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29.xml"/>
  <Override ContentType="application/vnd.openxmlformats-officedocument.spreadsheetml.table+xml" PartName="/xl/tables/table32.xml"/>
  <Override ContentType="application/vnd.openxmlformats-officedocument.spreadsheetml.table+xml" PartName="/xl/tables/table28.xml"/>
  <Override ContentType="application/vnd.openxmlformats-officedocument.spreadsheetml.table+xml" PartName="/xl/tables/table15.xml"/>
  <Override ContentType="application/vnd.openxmlformats-officedocument.spreadsheetml.table+xml" PartName="/xl/tables/table8.xml"/>
  <Override ContentType="application/vnd.openxmlformats-officedocument.spreadsheetml.table+xml" PartName="/xl/tables/table24.xml"/>
  <Override ContentType="application/vnd.openxmlformats-officedocument.spreadsheetml.table+xml" PartName="/xl/tables/table11.xml"/>
  <Override ContentType="application/vnd.openxmlformats-officedocument.spreadsheetml.table+xml" PartName="/xl/tables/table31.xml"/>
  <Override ContentType="application/vnd.openxmlformats-officedocument.spreadsheetml.table+xml" PartName="/xl/tables/table5.xml"/>
  <Override ContentType="application/vnd.openxmlformats-officedocument.spreadsheetml.table+xml" PartName="/xl/tables/table19.xml"/>
  <Override ContentType="application/vnd.openxmlformats-officedocument.spreadsheetml.table+xml" PartName="/xl/tables/table10.xml"/>
  <Override ContentType="application/vnd.openxmlformats-officedocument.spreadsheetml.table+xml" PartName="/xl/tables/table27.xml"/>
  <Override ContentType="application/vnd.openxmlformats-officedocument.spreadsheetml.table+xml" PartName="/xl/tables/table14.xml"/>
  <Override ContentType="application/vnd.openxmlformats-officedocument.spreadsheetml.table+xml" PartName="/xl/tables/table23.xml"/>
  <Override ContentType="application/vnd.openxmlformats-officedocument.spreadsheetml.table+xml" PartName="/xl/tables/table9.xml"/>
  <Override ContentType="application/vnd.openxmlformats-officedocument.spreadsheetml.table+xml" PartName="/xl/tables/table18.xml"/>
  <Override ContentType="application/vnd.openxmlformats-officedocument.spreadsheetml.table+xml" PartName="/xl/tables/table13.xml"/>
  <Override ContentType="application/vnd.openxmlformats-officedocument.spreadsheetml.table+xml" PartName="/xl/tables/table1.xml"/>
  <Override ContentType="application/vnd.openxmlformats-officedocument.spreadsheetml.table+xml" PartName="/xl/tables/table30.xml"/>
  <Override ContentType="application/vnd.openxmlformats-officedocument.spreadsheetml.table+xml" PartName="/xl/tables/table22.xml"/>
  <Override ContentType="application/vnd.openxmlformats-officedocument.spreadsheetml.table+xml" PartName="/xl/tables/table2.xml"/>
  <Override ContentType="application/vnd.openxmlformats-officedocument.spreadsheetml.table+xml" PartName="/xl/tables/table26.xml"/>
  <Override ContentType="application/vnd.openxmlformats-officedocument.spreadsheetml.table+xml" PartName="/xl/tables/table6.xml"/>
  <Override ContentType="application/vnd.openxmlformats-officedocument.spreadsheetml.table+xml" PartName="/xl/tables/table20.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33.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12.xml"/>
  <Override ContentType="application/vnd.openxmlformats-officedocument.spreadsheetml.table+xml" PartName="/xl/tables/table25.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IP" sheetId="1" r:id="rId5"/>
    <sheet state="visible" name="Blacklist" sheetId="2" r:id="rId6"/>
    <sheet state="visible" name="Proxy FundsCompanies" sheetId="3" r:id="rId7"/>
    <sheet state="visible" name="Prospects_m1" sheetId="4" r:id="rId8"/>
    <sheet state="visible" name="Prospects_m2" sheetId="5" r:id="rId9"/>
    <sheet state="visible" name="Prospects_m3" sheetId="6" r:id="rId10"/>
    <sheet state="visible" name="m3 Blurbs" sheetId="7" r:id="rId11"/>
    <sheet state="visible" name="m3 Blurb Export" sheetId="8" r:id="rId12"/>
    <sheet state="visible" name="Prospects_Hong Kong" sheetId="9" r:id="rId13"/>
    <sheet state="visible" name="Prospects_London" sheetId="10" r:id="rId14"/>
    <sheet state="visible" name="Client prospect pool" sheetId="11" r:id="rId1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tc={04f12574-6c13-449b-9fda-fa35a0f3b912}</author>
    <author>tc={2f487813-e17c-4af7-bc04-fe26d34a37e6}</author>
    <author>tc={5ea8abe3-cc59-42bb-a8c9-0584a3d012dc}</author>
    <author>tc={5fe8b8bb-e1b7-4d51-b453-752c3b256ed9}</author>
    <author>tc={6cbbeab6-8cb6-4d2f-9b72-4872ec5967ef}</author>
    <author>tc={6e7ea6ee-177f-470c-aeba-4cfee2bebe83}</author>
    <author>tc={6fedd793-5b74-46e6-9678-c3112fcec115}</author>
    <author>tc={72072b6a-8f4c-44e8-aaa0-a1b726a8af0a}</author>
    <author>tc={77482d7e-b820-4c28-83eb-51a9d3adc39a}</author>
    <author>tc={84ca6301-8ad5-4378-85a3-2b92673961eb}</author>
    <author>tc={a452ac22-1008-4f80-8fed-71b437482c5d}</author>
    <author>tc={bf88a1bb-56bf-41f5-afc0-e3256c8713d4}</author>
    <author>tc={d7208ba3-bc8d-4305-b7e2-36653c0c63c6}</author>
    <author>tc={eca2a7d3-86a0-4f77-9c45-a9382ceaca3b}</author>
  </authors>
  <commentList>
    <comment authorId="0" xr:uid="{04f12574-6c13-449b-9fda-fa35a0f3b912}" ref="K29">
      <text>
        <t xml:space="preserve">[Threaded comment]
 Your version of Excel allows you to read this threaded comment; however, any edits to it will get removed if the file is opened in a newer version of Excel. Learn more: https://go.microsoft.com/fwlink/?linkid=870924
Comment:
	Rejected
</t>
      </text>
    </comment>
    <comment authorId="1" xr:uid="{2f487813-e17c-4af7-bc04-fe26d34a37e6}" ref="K19">
      <text>
        <t xml:space="preserve">[Threaded comment]
 Your version of Excel allows you to read this threaded comment; however, any edits to it will get removed if the file is opened in a newer version of Excel. Learn more: https://go.microsoft.com/fwlink/?linkid=870924
Comment:
	ok to proceed with this
</t>
      </text>
    </comment>
    <comment authorId="2" xr:uid="{5ea8abe3-cc59-42bb-a8c9-0584a3d012dc}" ref="K82">
      <text>
        <t xml:space="preserve">[Threaded comment]
 Your version of Excel allows you to read this threaded comment; however, any edits to it will get removed if the file is opened in a newer version of Excel. Learn more: https://go.microsoft.com/fwlink/?linkid=870924
Comment:
	rejected
</t>
      </text>
    </comment>
    <comment authorId="3" xr:uid="{5fe8b8bb-e1b7-4d51-b453-752c3b256ed9}" ref="K39">
      <text>
        <t xml:space="preserve">[Threaded comment]
 Your version of Excel allows you to read this threaded comment; however, any edits to it will get removed if the file is opened in a newer version of Excel. Learn more: https://go.microsoft.com/fwlink/?linkid=870924
Comment:
	ok to proceed
</t>
      </text>
    </comment>
    <comment authorId="4" xr:uid="{6cbbeab6-8cb6-4d2f-9b72-4872ec5967ef}" ref="K33">
      <text>
        <t xml:space="preserve">[Threaded comment]
 Your version of Excel allows you to read this threaded comment; however, any edits to it will get removed if the file is opened in a newer version of Excel. Learn more: https://go.microsoft.com/fwlink/?linkid=870924
Comment:
	Rejected
</t>
      </text>
    </comment>
    <comment authorId="5" xr:uid="{6e7ea6ee-177f-470c-aeba-4cfee2bebe83}" ref="K47">
      <text>
        <t xml:space="preserve">[Threaded comment]
 Your version of Excel allows you to read this threaded comment; however, any edits to it will get removed if the file is opened in a newer version of Excel. Learn more: https://go.microsoft.com/fwlink/?linkid=870924
Comment:
	blacklisted
</t>
      </text>
    </comment>
    <comment authorId="6" xr:uid="{6fedd793-5b74-46e6-9678-c3112fcec115}" ref="K22">
      <text>
        <t xml:space="preserve">[Threaded comment]
 Your version of Excel allows you to read this threaded comment; however, any edits to it will get removed if the file is opened in a newer version of Excel. Learn more: https://go.microsoft.com/fwlink/?linkid=870924
Comment:
	Rejected
</t>
      </text>
    </comment>
    <comment authorId="7" xr:uid="{72072b6a-8f4c-44e8-aaa0-a1b726a8af0a}" ref="K12">
      <text>
        <t xml:space="preserve">[Threaded comment]
 Your version of Excel allows you to read this threaded comment; however, any edits to it will get removed if the file is opened in a newer version of Excel. Learn more: https://go.microsoft.com/fwlink/?linkid=870924
Comment:
	Rejected
</t>
      </text>
    </comment>
    <comment authorId="8" xr:uid="{77482d7e-b820-4c28-83eb-51a9d3adc39a}" ref="K70">
      <text>
        <t xml:space="preserve">[Threaded comment]
 Your version of Excel allows you to read this threaded comment; however, any edits to it will get removed if the file is opened in a newer version of Excel. Learn more: https://go.microsoft.com/fwlink/?linkid=870924
Comment:
	Rejected. Replaced with new one
</t>
      </text>
    </comment>
    <comment authorId="9" xr:uid="{84ca6301-8ad5-4378-85a3-2b92673961eb}" ref="K16">
      <text>
        <t xml:space="preserve">[Threaded comment]
 Your version of Excel allows you to read this threaded comment; however, any edits to it will get removed if the file is opened in a newer version of Excel. Learn more: https://go.microsoft.com/fwlink/?linkid=870924
Comment:
	Rejected
</t>
      </text>
    </comment>
    <comment authorId="10" xr:uid="{a452ac22-1008-4f80-8fed-71b437482c5d}" ref="K36">
      <text>
        <t xml:space="preserve">[Threaded comment]
 Your version of Excel allows you to read this threaded comment; however, any edits to it will get removed if the file is opened in a newer version of Excel. Learn more: https://go.microsoft.com/fwlink/?linkid=870924
Comment:
	Rejected
</t>
      </text>
    </comment>
    <comment authorId="11" xr:uid="{bf88a1bb-56bf-41f5-afc0-e3256c8713d4}" ref="K25">
      <text>
        <t xml:space="preserve">[Threaded comment]
 Your version of Excel allows you to read this threaded comment; however, any edits to it will get removed if the file is opened in a newer version of Excel. Learn more: https://go.microsoft.com/fwlink/?linkid=870924
Comment:
	Rejected
</t>
      </text>
    </comment>
    <comment authorId="12" xr:uid="{d7208ba3-bc8d-4305-b7e2-36653c0c63c6}" ref="K73">
      <text>
        <t xml:space="preserve">[Threaded comment]
 Your version of Excel allows you to read this threaded comment; however, any edits to it will get removed if the file is opened in a newer version of Excel. Learn more: https://go.microsoft.com/fwlink/?linkid=870924
Comment:
	Rejected. asset manager is secondary preference
</t>
      </text>
    </comment>
    <comment authorId="13" xr:uid="{eca2a7d3-86a0-4f77-9c45-a9382ceaca3b}" ref="K32">
      <text>
        <t xml:space="preserve">[Threaded comment]
 Your version of Excel allows you to read this threaded comment; however, any edits to it will get removed if the file is opened in a newer version of Excel. Learn more: https://go.microsoft.com/fwlink/?linkid=870924
Comment:
	Ok to proceed
</t>
      </text>
    </comment>
  </commentList>
</comments>
</file>

<file path=xl/sharedStrings.xml><?xml version="1.0" encoding="utf-8"?>
<sst xmlns="http://schemas.openxmlformats.org/spreadsheetml/2006/main" count="6951" uniqueCount="3029">
  <si>
    <t>Ideal Investor Profile</t>
  </si>
  <si>
    <t>This template provides an overview of your IIP, ensuring that our data miner &amp; key accounts have a comprehensive understanding of the kind of prospects targeted</t>
  </si>
  <si>
    <t>Key Success Factors</t>
  </si>
  <si>
    <r>
      <rPr>
        <rFont val="Poppins"/>
        <color theme="1"/>
        <sz val="9.0"/>
      </rPr>
      <t xml:space="preserve">- </t>
    </r>
    <r>
      <rPr>
        <rFont val="Poppins"/>
        <b/>
        <color theme="1"/>
        <sz val="9.0"/>
      </rPr>
      <t xml:space="preserve">Start with the Core: </t>
    </r>
    <r>
      <rPr>
        <rFont val="Poppins"/>
        <color theme="1"/>
        <sz val="9.0"/>
      </rPr>
      <t>Asset class, sector investment focus, and region investment focus are your non-negotiables. These define the strategic fit and should reflect what truly matters for LP alignment.</t>
    </r>
  </si>
  <si>
    <r>
      <rPr>
        <rFont val="Poppins"/>
        <color theme="1"/>
        <sz val="9.0"/>
      </rPr>
      <t xml:space="preserve">- </t>
    </r>
    <r>
      <rPr>
        <rFont val="Poppins"/>
        <b/>
        <color theme="1"/>
        <sz val="9.0"/>
      </rPr>
      <t xml:space="preserve">Be Ambitious, Not Restrictive: </t>
    </r>
    <r>
      <rPr>
        <rFont val="Poppins"/>
        <color theme="1"/>
        <sz val="9.0"/>
      </rPr>
      <t>Supporting criteria are valuable, but some data (like min check size or preferred fund size) isn’t always available. Over-defining them can unnecessarily narrow your target pool - and in a market that’s already selective, it’s smarter to stay open.</t>
    </r>
  </si>
  <si>
    <r>
      <rPr>
        <rFont val="Poppins"/>
        <color theme="1"/>
        <sz val="9.0"/>
      </rPr>
      <t xml:space="preserve">- </t>
    </r>
    <r>
      <rPr>
        <rFont val="Poppins"/>
        <b/>
        <color theme="1"/>
        <sz val="9.0"/>
      </rPr>
      <t>Leave It Blank If You’re Unsure</t>
    </r>
    <r>
      <rPr>
        <rFont val="Poppins"/>
        <color theme="1"/>
        <sz val="9.0"/>
      </rPr>
      <t>: It’s better to skip a field than make assumptions. We'll support you in interpreting or refining unclear inputs!</t>
    </r>
  </si>
  <si>
    <r>
      <rPr>
        <rFont val="Poppins"/>
        <color theme="1"/>
        <sz val="9.0"/>
      </rPr>
      <t xml:space="preserve">- </t>
    </r>
    <r>
      <rPr>
        <rFont val="Poppins"/>
        <b/>
        <color theme="1"/>
        <sz val="9.0"/>
      </rPr>
      <t>Scoring Discipline</t>
    </r>
    <r>
      <rPr>
        <rFont val="Poppins"/>
        <color theme="1"/>
        <sz val="9.0"/>
      </rPr>
      <t>: In the scoring details, all core criteria must be explicitly proved, while supporting criteria should be considered during prospecting and shouldn’t conflict with the preferences stated in the IIP.</t>
    </r>
  </si>
  <si>
    <r>
      <rPr>
        <rFont val="Poppins"/>
        <color theme="1"/>
        <sz val="9.0"/>
      </rPr>
      <t xml:space="preserve">- </t>
    </r>
    <r>
      <rPr>
        <rFont val="Poppins"/>
        <b/>
        <color theme="1"/>
        <sz val="9.0"/>
      </rPr>
      <t>Maintain a Healthy Balance Between Demand Creation and Demand Baiting</t>
    </r>
    <r>
      <rPr>
        <rFont val="Poppins"/>
        <color theme="1"/>
        <sz val="9.0"/>
      </rPr>
      <t>: A strong IIP maintains a healthy balance between demand generation - targeting LPs actively deploying capital into your fund type and strategy - and demand baiting, which sparks interest from LPs who aren’t actively looking but could potentially align with your strategy. This ensures broad reach without compromising quality.</t>
    </r>
  </si>
  <si>
    <r>
      <rPr>
        <rFont val="Poppins"/>
        <color theme="1"/>
        <sz val="9.0"/>
      </rPr>
      <t xml:space="preserve">- </t>
    </r>
    <r>
      <rPr>
        <rFont val="Poppins"/>
        <b/>
        <color theme="1"/>
        <sz val="9.0"/>
      </rPr>
      <t xml:space="preserve">Don’t Skip Proxy Funds and Companies: </t>
    </r>
    <r>
      <rPr>
        <rFont val="Poppins"/>
        <color theme="1"/>
        <sz val="9.0"/>
      </rPr>
      <t>These examples help us understand which types of funds and portfolio companies you're benchmarking against, so we can find LPs who’ve backed similar strategies. Even just a few names go a long way in improving both targeting and positioning!</t>
    </r>
  </si>
  <si>
    <r>
      <rPr>
        <rFont val="Poppins"/>
        <color theme="1"/>
        <sz val="9.0"/>
      </rPr>
      <t xml:space="preserve">- </t>
    </r>
    <r>
      <rPr>
        <rFont val="Poppins"/>
        <b/>
        <color theme="1"/>
        <sz val="9.0"/>
      </rPr>
      <t>Protect Existing Relationships</t>
    </r>
    <r>
      <rPr>
        <rFont val="Poppins"/>
        <color theme="1"/>
        <sz val="9.0"/>
      </rPr>
      <t xml:space="preserve">: </t>
    </r>
    <r>
      <rPr>
        <rFont val="Poppins"/>
        <b/>
        <color theme="1"/>
        <sz val="9.0"/>
      </rPr>
      <t>Add an LP Blacklist</t>
    </r>
    <r>
      <rPr>
        <rFont val="Poppins"/>
        <color theme="1"/>
        <sz val="9.0"/>
      </rPr>
      <t>: Sharing a list of current LPs (or those you’re already in talks with) helps us avoid any overlap or awkward outreach. It ensures cleaner targeting and protects existing relationships.</t>
    </r>
  </si>
  <si>
    <t>Core Criteria</t>
  </si>
  <si>
    <t xml:space="preserve">Definition </t>
  </si>
  <si>
    <t xml:space="preserve">Description </t>
  </si>
  <si>
    <t>Asset class</t>
  </si>
  <si>
    <t>Funds - VC</t>
  </si>
  <si>
    <r>
      <rPr>
        <rFont val="Poppins"/>
        <b/>
        <color theme="1"/>
        <sz val="7.0"/>
      </rPr>
      <t>Asset class</t>
    </r>
    <r>
      <rPr>
        <rFont val="Poppins"/>
        <color theme="1"/>
        <sz val="7.0"/>
      </rPr>
      <t xml:space="preserve"> refers to the specific type of investment vehicle an LP prefers to allocate capital to, such as venture capital, private equity, real estate, infrastructure, or hedge funds.</t>
    </r>
  </si>
  <si>
    <t>Sector investment focus</t>
  </si>
  <si>
    <t>Cybersecurity, Deep Tech, Defence Tech, Software as a Service (SaaS), Energy Tech, HR Tech, Industrial Tech, Legal Tech, InsureTech, Manufacturing, Space Tech, Mobility Tech, Open Source Software, Dual-Use Tech, Artificial Intelligence, FinTech</t>
  </si>
  <si>
    <r>
      <rPr>
        <rFont val="Poppins"/>
        <b/>
        <color rgb="FF000000"/>
        <sz val="7.0"/>
      </rPr>
      <t>Sector investment focus</t>
    </r>
    <r>
      <rPr>
        <rFont val="Poppins"/>
        <color rgb="FF000000"/>
        <sz val="7.0"/>
      </rPr>
      <t xml:space="preserve"> refers to the specific industries or market segments that a potential LP prefers to allocate capital to through their investments in funds, such as technology, healthcare, climate, financial services, or consumer goods. It helps ensure alignment between the fund’s investment strategy and the LP’s thematic interests.</t>
    </r>
  </si>
  <si>
    <t>Region investment focus</t>
  </si>
  <si>
    <t>Asia, North America, Middle East</t>
  </si>
  <si>
    <r>
      <rPr>
        <rFont val="Poppins"/>
        <b/>
        <color rgb="FF000000"/>
        <sz val="7.0"/>
      </rPr>
      <t>Region investment focus</t>
    </r>
    <r>
      <rPr>
        <rFont val="Poppins"/>
        <color rgb="FF000000"/>
        <sz val="7.0"/>
      </rPr>
      <t xml:space="preserve"> refers to the specific geographic areas where a potential LP prefers to allocate capital through fund investments, such as Europe, North America, Asia, or emerging markets. It ensures that the fund’s geographical strategy aligns with the LP’s regional investment interests.</t>
    </r>
  </si>
  <si>
    <t>Supporting Criteria</t>
  </si>
  <si>
    <r>
      <rPr>
        <rFont val="Poppins"/>
        <i/>
        <color theme="1"/>
        <sz val="8.0"/>
      </rPr>
      <t xml:space="preserve">*This criteria is not always available. What’s important to know is that we will always take these criteria into account - and prospects that move forward will </t>
    </r>
    <r>
      <rPr>
        <rFont val="Poppins"/>
        <b/>
        <i/>
        <color theme="1"/>
        <sz val="8.0"/>
      </rPr>
      <t>not have any known conflict</t>
    </r>
    <r>
      <rPr>
        <rFont val="Poppins"/>
        <i/>
        <color theme="1"/>
        <sz val="8.0"/>
      </rPr>
      <t xml:space="preserve"> with what you’ve indicated here.</t>
    </r>
  </si>
  <si>
    <t>LP type</t>
  </si>
  <si>
    <t>Family Office, Fund of Funds, Multi-family Office, Pension Fund, Endowment, Technology, Asset Manager, Corporate, Angel, Incubator, HNWI</t>
  </si>
  <si>
    <r>
      <rPr>
        <rFont val="Poppins"/>
        <b/>
        <color rgb="FF000000"/>
        <sz val="7.0"/>
      </rPr>
      <t>LP type</t>
    </r>
    <r>
      <rPr>
        <rFont val="Poppins"/>
        <color rgb="FF000000"/>
        <sz val="7.0"/>
      </rPr>
      <t xml:space="preserve"> refers to the category of investor the fund is targeting, such as fund of funds, family offices, or HNWIs.</t>
    </r>
  </si>
  <si>
    <t>Region of headquarter</t>
  </si>
  <si>
    <t>All</t>
  </si>
  <si>
    <r>
      <rPr>
        <rFont val="Poppins"/>
        <b/>
        <color theme="1"/>
        <sz val="7.0"/>
      </rPr>
      <t xml:space="preserve">Region of headquarter </t>
    </r>
    <r>
      <rPr>
        <rFont val="Poppins"/>
        <color theme="1"/>
        <sz val="7.0"/>
      </rPr>
      <t>refers to the geographic region where the LP’s main office or legal entity is based.</t>
    </r>
  </si>
  <si>
    <t>Maturity focus</t>
  </si>
  <si>
    <t>Emerging, Developing</t>
  </si>
  <si>
    <r>
      <rPr>
        <rFont val="Poppins"/>
        <b/>
        <color rgb="FF000000"/>
        <sz val="7.0"/>
      </rPr>
      <t>Maturity focus</t>
    </r>
    <r>
      <rPr>
        <rFont val="Poppins"/>
        <color rgb="FF000000"/>
        <sz val="7.0"/>
      </rPr>
      <t xml:space="preserve"> refers to the stage or experience level of the fund managers an LP prefers to back — such as emerging managers, developing teams, or established funds with a strong track record.</t>
    </r>
  </si>
  <si>
    <t>Stage investment focus</t>
  </si>
  <si>
    <t>PreSeed, Seed, Series A</t>
  </si>
  <si>
    <r>
      <rPr>
        <rFont val="Poppins"/>
        <b/>
        <color rgb="FF000000"/>
        <sz val="7.0"/>
      </rPr>
      <t>Stage investment focus</t>
    </r>
    <r>
      <rPr>
        <rFont val="Poppins"/>
        <color rgb="FF000000"/>
        <sz val="7.0"/>
      </rPr>
      <t xml:space="preserve"> refers to the company maturity stages the LP prefers to invest in through funds — such as pre-seed, seed, Series A, growth, or late stage.</t>
    </r>
  </si>
  <si>
    <t>Minimum check size in currency</t>
  </si>
  <si>
    <t>$250,000</t>
  </si>
  <si>
    <r>
      <rPr>
        <rFont val="Poppins"/>
        <b/>
        <color rgb="FF000000"/>
        <sz val="7.0"/>
      </rPr>
      <t>Minimum check size</t>
    </r>
    <r>
      <rPr>
        <rFont val="Poppins"/>
        <color rgb="FF000000"/>
        <sz val="7.0"/>
      </rPr>
      <t xml:space="preserve"> in currency refers to the smallest amount of capital that the LP is typically willing to commit to a fund.</t>
    </r>
  </si>
  <si>
    <r>
      <rPr>
        <rFont val="Poppins"/>
        <color theme="1"/>
        <sz val="10.0"/>
      </rPr>
      <t xml:space="preserve">Maximum check </t>
    </r>
    <r>
      <rPr>
        <rFont val="Poppins"/>
        <color theme="1"/>
        <sz val="10.0"/>
      </rPr>
      <t>size in currency</t>
    </r>
  </si>
  <si>
    <t>$30,000,000</t>
  </si>
  <si>
    <r>
      <rPr>
        <rFont val="Poppins"/>
        <b/>
        <color rgb="FF000000"/>
        <sz val="7.0"/>
      </rPr>
      <t>Maximum check size</t>
    </r>
    <r>
      <rPr>
        <rFont val="Poppins"/>
        <color rgb="FF000000"/>
        <sz val="7.0"/>
      </rPr>
      <t xml:space="preserve"> in currency refers to the largest amount of capital that the LP is typically willing to allocate to a single fund investment.</t>
    </r>
  </si>
  <si>
    <t>Preferred fund size</t>
  </si>
  <si>
    <r>
      <rPr>
        <rFont val="Poppins"/>
        <b/>
        <color rgb="FF000000"/>
        <sz val="7.0"/>
      </rPr>
      <t>Preferred fund size</t>
    </r>
    <r>
      <rPr>
        <rFont val="Poppins"/>
        <color rgb="FF000000"/>
        <sz val="7.0"/>
      </rPr>
      <t xml:space="preserve"> refers to the typical size range of funds an LP prefers to invest in, helping ensure alignment between the LP’s allocation strategy and the fund’s overall structure.</t>
    </r>
  </si>
  <si>
    <t>Other supporting criterias</t>
  </si>
  <si>
    <t>Only if clear interest in Artificial Intelligence and Robotics. No sanctioned countries. First list only LPs that work with emerging managers.</t>
  </si>
  <si>
    <t>For example, if you’re planning to travel to a specific country or city, you can add an additional criteria based on the country of headquarter or the location where the LP’s contact person is based. Please note that the 'Other' field is broad by nature, we cannot guarantee that this criterion can be effectively taken into account. We therefore highly recommend consulting your account manager before deciding to include it.</t>
  </si>
  <si>
    <t>AQVC IIP rating*</t>
  </si>
  <si>
    <t>Healthy</t>
  </si>
  <si>
    <t>Fund AQVC profile link/pitch deck</t>
  </si>
  <si>
    <t>https://www.papermark.com/view/cme1hmxcf000cl2040nqfzxjf</t>
  </si>
  <si>
    <t xml:space="preserve">Primary contact person </t>
  </si>
  <si>
    <t>-</t>
  </si>
  <si>
    <t>Primary contact person email</t>
  </si>
  <si>
    <t>Primary contact person phone</t>
  </si>
  <si>
    <t>Blacklist</t>
  </si>
  <si>
    <t>*Never treat LPs who’ve said "no" to other funds as part of your personal blacklist. Just because they passed on someone else doesn’t mean they’ll say no to you. Until you’ve reached out directly and presented your own strategy, you don’t really know how they’ll respond.</t>
  </si>
  <si>
    <t>Investor Name</t>
  </si>
  <si>
    <t>AQVC Investor identifier</t>
  </si>
  <si>
    <t>Investor Type</t>
  </si>
  <si>
    <t>Rational</t>
  </si>
  <si>
    <t>Play Capital</t>
  </si>
  <si>
    <t>TBD</t>
  </si>
  <si>
    <t>Family Office</t>
  </si>
  <si>
    <t>In contact</t>
  </si>
  <si>
    <t>Need more time</t>
  </si>
  <si>
    <t>Unicorn Capital Partners</t>
  </si>
  <si>
    <t>Fund of Funds</t>
  </si>
  <si>
    <t>WIP</t>
  </si>
  <si>
    <t>Angad Banga / Caravel Group</t>
  </si>
  <si>
    <t>Passed as they manage their own fund</t>
  </si>
  <si>
    <t>360One Asset</t>
  </si>
  <si>
    <t>Bank</t>
  </si>
  <si>
    <t>Other</t>
  </si>
  <si>
    <t>Passed as we were emerging</t>
  </si>
  <si>
    <t>SPIL Ventures</t>
  </si>
  <si>
    <t>Corporate</t>
  </si>
  <si>
    <t>HKIC</t>
  </si>
  <si>
    <t>Government</t>
  </si>
  <si>
    <t>Passed as they only focus on HK deployment</t>
  </si>
  <si>
    <t>UCEA</t>
  </si>
  <si>
    <t>Multi-family Office</t>
  </si>
  <si>
    <t>Capital allocator, we passed</t>
  </si>
  <si>
    <t>Wheelock</t>
  </si>
  <si>
    <t>Proxy Funds/Companies</t>
  </si>
  <si>
    <t>Name</t>
  </si>
  <si>
    <t>Neon Fund</t>
  </si>
  <si>
    <t>Better Capital</t>
  </si>
  <si>
    <t>Mana Ventures</t>
  </si>
  <si>
    <t>Afore Capital</t>
  </si>
  <si>
    <t>20VC</t>
  </si>
  <si>
    <t>Operator Studio</t>
  </si>
  <si>
    <t>Anti Fund</t>
  </si>
  <si>
    <t>Baobab Ventures</t>
  </si>
  <si>
    <t>Verb Ventures</t>
  </si>
  <si>
    <t xml:space="preserve">Firebrand </t>
  </si>
  <si>
    <t>Lumikai</t>
  </si>
  <si>
    <t>Gilgamesh Ventures</t>
  </si>
  <si>
    <t>Origgin</t>
  </si>
  <si>
    <t>Magic Fund</t>
  </si>
  <si>
    <t>Pi Ventures</t>
  </si>
  <si>
    <t>Golden Gate Ventures</t>
  </si>
  <si>
    <t>Jungle Ventures</t>
  </si>
  <si>
    <t>all AI fund that are below $250M</t>
  </si>
  <si>
    <t>all Asia focused fund</t>
  </si>
  <si>
    <t>all emerging market fund</t>
  </si>
  <si>
    <t>All cross-boarder fund</t>
  </si>
  <si>
    <t>Prospects</t>
  </si>
  <si>
    <t xml:space="preserve">Month </t>
  </si>
  <si>
    <t xml:space="preserve">Total </t>
  </si>
  <si>
    <t xml:space="preserve">Rejected </t>
  </si>
  <si>
    <t>Rejection rate</t>
  </si>
  <si>
    <t>Healthiness Score</t>
  </si>
  <si>
    <t>Green</t>
  </si>
  <si>
    <t>This field indicates the action taken when a prospect receives a Red healthiness score, such as broadening IIP criteria to reduce sourcing friction and optimize time and cost.</t>
  </si>
  <si>
    <t>*This field describes which type data sources have been used to generate the AQVC scoring.</t>
  </si>
  <si>
    <t>*This field is not a must field and mainly used when there are indicators of doubt that require an explanation of the AQVC scoring to help clients understand the relevance of the prospect towards their IIP.</t>
  </si>
  <si>
    <t>* This indicates the internal QA status of the record on AQVC side.</t>
  </si>
  <si>
    <t>*Please set a status for all prospects after review. In case you reject the prospect kindly provide a clear rational under  "client comments" column.</t>
  </si>
  <si>
    <r>
      <rPr>
        <rFont val="Poppins"/>
        <color theme="1"/>
        <sz val="6.0"/>
      </rPr>
      <t xml:space="preserve">*Comments are always welcome for future learnings. </t>
    </r>
    <r>
      <rPr>
        <rFont val="Poppins"/>
        <b/>
        <color theme="1"/>
        <sz val="6.0"/>
      </rPr>
      <t>If you’ve rejected a prospect with the reason “Rejected – Seems to conflict with what I outlined in the IIP”, a comment is required so we can understand the reasoning and replace the prospect accordingly.</t>
    </r>
  </si>
  <si>
    <t>* Reference to internal AQVC record database.</t>
  </si>
  <si>
    <r>
      <rPr>
        <rFont val="Poppins"/>
        <color theme="1"/>
        <sz val="6.0"/>
      </rPr>
      <t>*</t>
    </r>
    <r>
      <rPr>
        <rFont val="Poppins"/>
        <b/>
        <color theme="1"/>
        <sz val="6.0"/>
      </rPr>
      <t>Premium feature coming at extra charge</t>
    </r>
    <r>
      <rPr>
        <rFont val="Poppins"/>
        <color theme="1"/>
        <sz val="6.0"/>
      </rPr>
      <t xml:space="preserve"> (ask our sales), we research your network via LinkedIn to find relevant contacts who can introduce you to the respective prospect. By mapping your mutual LinkedIn connections, we reach out on your behalf and request warm introductions. This service increases your chances of engagement by leveraging trust and your existing relationships.</t>
    </r>
  </si>
  <si>
    <t>*This field is maintained by AQVC staff to monitor response rates.</t>
  </si>
  <si>
    <t>Nr</t>
  </si>
  <si>
    <t>Website</t>
  </si>
  <si>
    <t>Country of headquarter</t>
  </si>
  <si>
    <t>Data sources</t>
  </si>
  <si>
    <t>Scoring details / rational</t>
  </si>
  <si>
    <t>QA status*</t>
  </si>
  <si>
    <t>Client status*</t>
  </si>
  <si>
    <t>Client  comments</t>
  </si>
  <si>
    <t>Data miner comments</t>
  </si>
  <si>
    <t>Primary Contact Title</t>
  </si>
  <si>
    <t>Primary Contact Full Name</t>
  </si>
  <si>
    <t>First Name</t>
  </si>
  <si>
    <t>Last Name</t>
  </si>
  <si>
    <t>Email</t>
  </si>
  <si>
    <t>Linkedin</t>
  </si>
  <si>
    <t>Introducer Mapping &amp; Outreach Service</t>
  </si>
  <si>
    <t>AQVC contact identifier</t>
  </si>
  <si>
    <t>Email Status</t>
  </si>
  <si>
    <t>Prospect activity</t>
  </si>
  <si>
    <t>Data manager</t>
  </si>
  <si>
    <t>Key account</t>
  </si>
  <si>
    <t>Presight Capital</t>
  </si>
  <si>
    <t>https://presight.vc/</t>
  </si>
  <si>
    <t>United States</t>
  </si>
  <si>
    <t>Website, Private data provider</t>
  </si>
  <si>
    <r>
      <rPr>
        <rFont val="Poppins"/>
        <sz val="7.0"/>
      </rPr>
      <t xml:space="preserve">- [Asset class = Funds - VC] &gt; Website &gt; "... fund Presight Partners, we invest in emerging </t>
    </r>
    <r>
      <rPr>
        <rFont val="Poppins"/>
        <b/>
        <color rgb="FF1155CC"/>
        <sz val="7.0"/>
        <u/>
      </rPr>
      <t>venture capital funds</t>
    </r>
    <r>
      <rPr>
        <rFont val="Poppins"/>
        <sz val="7.0"/>
      </rPr>
      <t xml:space="preserve">, ..."
- [Maturity Focus = Emerging] &gt;  Website &gt; "... fund Presight Partners, we invest in </t>
    </r>
    <r>
      <rPr>
        <rFont val="Poppins"/>
        <b/>
        <color rgb="FF1155CC"/>
        <sz val="7.0"/>
        <u/>
      </rPr>
      <t>emerging venture capital funds</t>
    </r>
    <r>
      <rPr>
        <rFont val="Poppins"/>
        <sz val="7.0"/>
      </rPr>
      <t xml:space="preserve">, ..."
- [Sector investment focus] &gt; Website &gt; "...BioTech, Consumer, Crypto, </t>
    </r>
    <r>
      <rPr>
        <rFont val="Poppins"/>
        <b/>
        <sz val="7.0"/>
      </rPr>
      <t>DeepTech</t>
    </r>
    <r>
      <rPr>
        <rFont val="Poppins"/>
        <sz val="7.0"/>
      </rPr>
      <t xml:space="preserve">, </t>
    </r>
    <r>
      <rPr>
        <rFont val="Poppins"/>
        <b/>
        <color rgb="FF1155CC"/>
        <sz val="7.0"/>
        <u/>
      </rPr>
      <t>Energy</t>
    </r>
    <r>
      <rPr>
        <rFont val="Poppins"/>
        <sz val="7.0"/>
      </rPr>
      <t xml:space="preserve">, FinTech, FoodTech, Healthcare, Manufacturing, Robotics..."
- [Region investment focus] &gt; Private data provider &gt; Top Regions </t>
    </r>
    <r>
      <rPr>
        <rFont val="Poppins"/>
        <b/>
        <color rgb="FF1155CC"/>
        <sz val="7.0"/>
        <u/>
      </rPr>
      <t>North America</t>
    </r>
    <r>
      <rPr>
        <rFont val="Poppins"/>
        <sz val="7.0"/>
      </rPr>
      <t xml:space="preserve">, </t>
    </r>
    <r>
      <rPr>
        <rFont val="Poppins"/>
        <b/>
        <sz val="7.0"/>
      </rPr>
      <t>USA, California, Eastern US</t>
    </r>
    <r>
      <rPr>
        <rFont val="Poppins"/>
        <sz val="7.0"/>
      </rPr>
      <t xml:space="preserve">, Europe, </t>
    </r>
    <r>
      <rPr>
        <rFont val="Poppins"/>
        <b/>
        <sz val="7.0"/>
      </rPr>
      <t>Western Europe, Massachussets, New England</t>
    </r>
    <r>
      <rPr>
        <rFont val="Poppins"/>
        <sz val="7.0"/>
      </rPr>
      <t>, CEMEA, Africa and Middle East.</t>
    </r>
  </si>
  <si>
    <t>Validated</t>
  </si>
  <si>
    <t>Rejected - Seems to conflict with what I outlined in the IIP</t>
  </si>
  <si>
    <t>They seem to be more focused on direct investments vs Fund investments</t>
  </si>
  <si>
    <t>Prospect replaced.</t>
  </si>
  <si>
    <t>Chief Investment Officer</t>
  </si>
  <si>
    <t>Full details will be provided post acceptance</t>
  </si>
  <si>
    <t>rec6kTtZPOKVeFSm0</t>
  </si>
  <si>
    <t>Valid</t>
  </si>
  <si>
    <t>No response</t>
  </si>
  <si>
    <t>Ahmer Rasheed</t>
  </si>
  <si>
    <t>Tarik Pracic</t>
  </si>
  <si>
    <t>SGH CAPITAL</t>
  </si>
  <si>
    <t>https://www.sghcapital.com/</t>
  </si>
  <si>
    <t>Luxembourg</t>
  </si>
  <si>
    <t>Website, Data manager judgement, Portfolio</t>
  </si>
  <si>
    <r>
      <rPr>
        <rFont val="Poppins"/>
        <sz val="7.0"/>
      </rPr>
      <t xml:space="preserve">- [Asset class = Funds - VC] &gt; Website &gt; "... collective of </t>
    </r>
    <r>
      <rPr>
        <rFont val="Poppins"/>
        <b/>
        <color rgb="FF1155CC"/>
        <sz val="7.0"/>
        <u/>
      </rPr>
      <t>funds</t>
    </r>
    <r>
      <rPr>
        <rFont val="Poppins"/>
        <sz val="7.0"/>
      </rPr>
      <t xml:space="preserve"> investing in US and European technology, from Seed to mid-stage </t>
    </r>
    <r>
      <rPr>
        <rFont val="Poppins"/>
        <b/>
        <sz val="7.0"/>
      </rPr>
      <t>capital</t>
    </r>
    <r>
      <rPr>
        <rFont val="Poppins"/>
        <sz val="7.0"/>
      </rPr>
      <t xml:space="preserve">..." + "...Our investments include direct equity, venture debt, and </t>
    </r>
    <r>
      <rPr>
        <rFont val="Poppins"/>
        <b/>
        <color rgb="FF1155CC"/>
        <sz val="7.0"/>
        <u/>
      </rPr>
      <t>fund-of-funds</t>
    </r>
    <r>
      <rPr>
        <rFont val="Poppins"/>
        <sz val="7.0"/>
      </rPr>
      <t xml:space="preserve">, targeting both emerging and established teams..."
- [Maturity Focus = Emerging] &gt; Website &gt; "...Our investments include direct equity, venture debt, and fund-of-funds, targeting both </t>
    </r>
    <r>
      <rPr>
        <rFont val="Poppins"/>
        <b/>
        <color rgb="FF1155CC"/>
        <sz val="7.0"/>
        <u/>
      </rPr>
      <t>emerging</t>
    </r>
    <r>
      <rPr>
        <rFont val="Poppins"/>
        <sz val="7.0"/>
      </rPr>
      <t xml:space="preserve"> and established teams..."
- [Sector investment focus] &gt; Data manager judgement &gt; They have made investments in </t>
    </r>
    <r>
      <rPr>
        <rFont val="Poppins"/>
        <b/>
        <sz val="7.0"/>
      </rPr>
      <t>deep tech</t>
    </r>
    <r>
      <rPr>
        <rFont val="Poppins"/>
        <sz val="7.0"/>
      </rPr>
      <t xml:space="preserve"> and </t>
    </r>
    <r>
      <rPr>
        <rFont val="Poppins"/>
        <b/>
        <sz val="7.0"/>
      </rPr>
      <t xml:space="preserve">space tech, </t>
    </r>
    <r>
      <rPr>
        <rFont val="Poppins"/>
        <b/>
        <color rgb="FF1155CC"/>
        <sz val="7.0"/>
        <u/>
      </rPr>
      <t>robotics</t>
    </r>
    <r>
      <rPr>
        <rFont val="Poppins"/>
        <b/>
        <sz val="7.0"/>
      </rPr>
      <t xml:space="preserve">, </t>
    </r>
    <r>
      <rPr>
        <rFont val="Poppins"/>
        <sz val="7.0"/>
      </rPr>
      <t>fintech-blockchain</t>
    </r>
    <r>
      <rPr>
        <rFont val="Poppins"/>
        <b/>
        <sz val="7.0"/>
      </rPr>
      <t xml:space="preserve">, logistics, Saas </t>
    </r>
    <r>
      <rPr>
        <rFont val="Poppins"/>
        <sz val="7.0"/>
      </rPr>
      <t xml:space="preserve">sectors, ex: </t>
    </r>
    <r>
      <rPr>
        <rFont val="Poppins"/>
        <b/>
        <sz val="7.0"/>
      </rPr>
      <t>Pear VC, Long Journey, zeroavia, fairbrics, captivateIQ, zipline, etc.</t>
    </r>
    <r>
      <rPr>
        <rFont val="Poppins"/>
        <sz val="7.0"/>
      </rPr>
      <t xml:space="preserve">
- [Region investment focus] &gt; Website &gt; "...We are a collective of funds investing in </t>
    </r>
    <r>
      <rPr>
        <rFont val="Poppins"/>
        <b/>
        <color rgb="FF1155CC"/>
        <sz val="7.0"/>
        <u/>
      </rPr>
      <t>US</t>
    </r>
    <r>
      <rPr>
        <rFont val="Poppins"/>
        <sz val="7.0"/>
      </rPr>
      <t xml:space="preserve"> and European technology..."</t>
    </r>
  </si>
  <si>
    <t>Approved - Campaign</t>
  </si>
  <si>
    <t>Ok, to proceed but from website have more of a EU focus</t>
  </si>
  <si>
    <r>
      <rPr>
        <rFont val="Poppins"/>
        <sz val="7.0"/>
      </rPr>
      <t xml:space="preserve">They invest in both, the </t>
    </r>
    <r>
      <rPr>
        <rFont val="Poppins"/>
        <b/>
        <sz val="7.0"/>
      </rPr>
      <t>United States</t>
    </r>
    <r>
      <rPr>
        <rFont val="Poppins"/>
        <sz val="7.0"/>
      </rPr>
      <t xml:space="preserve"> and Europe, and they have mentioned on their website that they invest mostly in </t>
    </r>
    <r>
      <rPr>
        <rFont val="Poppins"/>
        <b/>
        <sz val="7.0"/>
      </rPr>
      <t>North America</t>
    </r>
    <r>
      <rPr>
        <rFont val="Poppins"/>
        <sz val="7.0"/>
      </rPr>
      <t xml:space="preserve">, "...We support a diverse group of founders across </t>
    </r>
    <r>
      <rPr>
        <rFont val="Poppins"/>
        <b/>
        <sz val="7.0"/>
      </rPr>
      <t xml:space="preserve">dozens of verticals, mostly in </t>
    </r>
    <r>
      <rPr>
        <rFont val="Poppins"/>
        <b/>
        <color rgb="FF1155CC"/>
        <sz val="7.0"/>
        <u/>
      </rPr>
      <t>North America</t>
    </r>
    <r>
      <rPr>
        <rFont val="Poppins"/>
        <sz val="7.0"/>
      </rPr>
      <t xml:space="preserve">..." </t>
    </r>
  </si>
  <si>
    <t>Managing Partner</t>
  </si>
  <si>
    <t>Alexandre Azoulay</t>
  </si>
  <si>
    <t>Alexandre</t>
  </si>
  <si>
    <t>Azoulay</t>
  </si>
  <si>
    <t>aa@sghcapital.com</t>
  </si>
  <si>
    <t>https://www.linkedin.com/in/alexandre-azoulay-48a87/</t>
  </si>
  <si>
    <t>rec6aLQlGm8ZECr0c</t>
  </si>
  <si>
    <t>NewChic Capital</t>
  </si>
  <si>
    <t>https://www.newchiccapital.com/</t>
  </si>
  <si>
    <t>HongKong</t>
  </si>
  <si>
    <r>
      <rPr>
        <rFont val="Poppins"/>
        <sz val="7.0"/>
      </rPr>
      <t xml:space="preserve">- [Asset class = Funds - VC] &gt; Website &gt;  "...We invest strategically in businesses built around life-improving tech with potential for universal impact.  Besides direct investments, we also allocate our proprietary </t>
    </r>
    <r>
      <rPr>
        <rFont val="Poppins"/>
        <b/>
        <sz val="7.0"/>
      </rPr>
      <t>funds</t>
    </r>
    <r>
      <rPr>
        <rFont val="Poppins"/>
        <sz val="7.0"/>
      </rPr>
      <t xml:space="preserve"> to </t>
    </r>
    <r>
      <rPr>
        <rFont val="Poppins"/>
        <b/>
        <color rgb="FF1155CC"/>
        <sz val="7.0"/>
        <u/>
      </rPr>
      <t>emerging</t>
    </r>
    <r>
      <rPr>
        <rFont val="Poppins"/>
        <color rgb="FF1155CC"/>
        <sz val="7.0"/>
        <u/>
      </rPr>
      <t xml:space="preserve"> </t>
    </r>
    <r>
      <rPr>
        <rFont val="Poppins"/>
        <b/>
        <color rgb="FF1155CC"/>
        <sz val="7.0"/>
        <u/>
      </rPr>
      <t>Fund</t>
    </r>
    <r>
      <rPr>
        <rFont val="Poppins"/>
        <color rgb="FF1155CC"/>
        <sz val="7.0"/>
        <u/>
      </rPr>
      <t xml:space="preserve"> </t>
    </r>
    <r>
      <rPr>
        <rFont val="Poppins"/>
        <b/>
        <color rgb="FF1155CC"/>
        <sz val="7.0"/>
        <u/>
      </rPr>
      <t>Managers</t>
    </r>
    <r>
      <rPr>
        <rFont val="Poppins"/>
        <sz val="7.0"/>
      </rPr>
      <t xml:space="preserve"> with like-minded values and vision...."  + Private data confirm that they invest in venture funds.
- [Maturity Focus = Emerging] &gt; Website &gt; "...Besides direct investments, we also allocate our proprietary funds to </t>
    </r>
    <r>
      <rPr>
        <rFont val="Poppins"/>
        <b/>
        <color rgb="FF1155CC"/>
        <sz val="7.0"/>
        <u/>
      </rPr>
      <t>emerging Fund Managers</t>
    </r>
    <r>
      <rPr>
        <rFont val="Poppins"/>
        <sz val="7.0"/>
      </rPr>
      <t xml:space="preserve"> with like-minded values and vision..."
- [Sector investment focus] &gt; Website &gt; "...a range of specific Technologies and areas including Early Childhood Education, Longevity Health Tech, Eco-friendly Food Tech, </t>
    </r>
    <r>
      <rPr>
        <rFont val="Poppins"/>
        <b/>
        <color rgb="FF1155CC"/>
        <sz val="7.0"/>
        <u/>
      </rPr>
      <t>AI</t>
    </r>
    <r>
      <rPr>
        <rFont val="Poppins"/>
        <sz val="7.0"/>
      </rPr>
      <t xml:space="preserve">, Beauty and Fashion Tech, FemTech, Female Consumer Tech, Social Platforms, Social </t>
    </r>
    <r>
      <rPr>
        <rFont val="Poppins"/>
        <b/>
        <sz val="7.0"/>
      </rPr>
      <t>Commerce</t>
    </r>
    <r>
      <rPr>
        <rFont val="Poppins"/>
        <sz val="7.0"/>
      </rPr>
      <t xml:space="preserve"> Platforms, Blockchain, Metaverse, NFTs, Crypto, Fintech..."
- [Region investment focus] &gt; Website &gt; "...we have experience with markets and establishing successful businesses in </t>
    </r>
    <r>
      <rPr>
        <rFont val="Poppins"/>
        <b/>
        <color rgb="FF1155CC"/>
        <sz val="7.0"/>
        <u/>
      </rPr>
      <t>North</t>
    </r>
    <r>
      <rPr>
        <rFont val="Poppins"/>
        <color rgb="FF1155CC"/>
        <sz val="7.0"/>
        <u/>
      </rPr>
      <t xml:space="preserve"> </t>
    </r>
    <r>
      <rPr>
        <rFont val="Poppins"/>
        <b/>
        <color rgb="FF1155CC"/>
        <sz val="7.0"/>
        <u/>
      </rPr>
      <t>America</t>
    </r>
    <r>
      <rPr>
        <rFont val="Poppins"/>
        <sz val="7.0"/>
      </rPr>
      <t xml:space="preserve"> and </t>
    </r>
    <r>
      <rPr>
        <rFont val="Poppins"/>
        <b/>
        <sz val="7.0"/>
      </rPr>
      <t>Asia</t>
    </r>
    <r>
      <rPr>
        <rFont val="Poppins"/>
        <sz val="7.0"/>
      </rPr>
      <t xml:space="preserve"> including SEA...." +  "...We are a Single-Family Office with roots in property, technology, and businesses in the </t>
    </r>
    <r>
      <rPr>
        <rFont val="Poppins"/>
        <b/>
        <sz val="7.0"/>
      </rPr>
      <t>US</t>
    </r>
    <r>
      <rPr>
        <rFont val="Poppins"/>
        <sz val="7.0"/>
      </rPr>
      <t xml:space="preserve"> and in </t>
    </r>
    <r>
      <rPr>
        <rFont val="Poppins"/>
        <b/>
        <sz val="7.0"/>
      </rPr>
      <t>Asia</t>
    </r>
    <r>
      <rPr>
        <rFont val="Poppins"/>
        <sz val="7.0"/>
      </rPr>
      <t>...."</t>
    </r>
  </si>
  <si>
    <t>They have a fashion and web3 focus</t>
  </si>
  <si>
    <r>
      <rPr>
        <rFont val="Poppins"/>
        <sz val="7.0"/>
      </rPr>
      <t>They also have a clear focus on AI and Fintech, while also stating that there are more sectors that they focus on other than the once they have mentioned, "</t>
    </r>
    <r>
      <rPr>
        <rFont val="Poppins"/>
        <b/>
        <sz val="7.0"/>
      </rPr>
      <t>AI</t>
    </r>
    <r>
      <rPr>
        <rFont val="Poppins"/>
        <sz val="7.0"/>
      </rPr>
      <t xml:space="preserve">, Beauty and Fashion Tech, FemTech, Female Consumer Tech, Social Platforms, Social Commerce Platforms, Blockchain, Metaverse, NFTs, Crypto, </t>
    </r>
    <r>
      <rPr>
        <rFont val="Poppins"/>
        <b/>
        <color rgb="FF1155CC"/>
        <sz val="7.0"/>
        <u/>
      </rPr>
      <t>Fintech</t>
    </r>
    <r>
      <rPr>
        <rFont val="Poppins"/>
        <sz val="7.0"/>
      </rPr>
      <t xml:space="preserve">, </t>
    </r>
    <r>
      <rPr>
        <rFont val="Poppins"/>
        <b/>
        <sz val="7.0"/>
      </rPr>
      <t>just to name a few</t>
    </r>
    <r>
      <rPr>
        <rFont val="Poppins"/>
        <sz val="7.0"/>
      </rPr>
      <t>..."</t>
    </r>
  </si>
  <si>
    <t>Senior Investment Associate</t>
  </si>
  <si>
    <t>rec7Zx6R9F5ctwtRi</t>
  </si>
  <si>
    <t>Alberta Enterprise</t>
  </si>
  <si>
    <t>https://www.alberta-enterprise.ca/</t>
  </si>
  <si>
    <t>Canada</t>
  </si>
  <si>
    <r>
      <rPr>
        <rFont val="Poppins"/>
        <sz val="7.0"/>
      </rPr>
      <t xml:space="preserve">- [Asset Class = Funds - VC] &gt; Website &gt; "...invests as a </t>
    </r>
    <r>
      <rPr>
        <rFont val="Poppins"/>
        <b/>
        <sz val="7.0"/>
      </rPr>
      <t xml:space="preserve">Limited Partner </t>
    </r>
    <r>
      <rPr>
        <rFont val="Poppins"/>
        <sz val="7.0"/>
      </rPr>
      <t xml:space="preserve">in technology </t>
    </r>
    <r>
      <rPr>
        <rFont val="Poppins"/>
        <b/>
        <color rgb="FF1155CC"/>
        <sz val="7.0"/>
        <u/>
      </rPr>
      <t>venture capital funds</t>
    </r>
    <r>
      <rPr>
        <rFont val="Poppins"/>
        <sz val="7.0"/>
      </rPr>
      <t>...." + "...</t>
    </r>
    <r>
      <rPr>
        <rFont val="Poppins"/>
        <b/>
        <color rgb="FF1155CC"/>
        <sz val="7.0"/>
        <u/>
      </rPr>
      <t>Amplitude Ventures Funds I and II</t>
    </r>
    <r>
      <rPr>
        <rFont val="Poppins"/>
        <sz val="7.0"/>
      </rPr>
      <t>..."
- [Maturity Focus = Emerging] &gt; Website &gt; "...</t>
    </r>
    <r>
      <rPr>
        <rFont val="Poppins"/>
        <b/>
        <color rgb="FF1155CC"/>
        <sz val="7.0"/>
        <u/>
      </rPr>
      <t>Amplitude Ventures Funds I and II</t>
    </r>
    <r>
      <rPr>
        <rFont val="Poppins"/>
        <sz val="7.0"/>
      </rPr>
      <t xml:space="preserve"> – focused on the life science sector in the Series A stage..." + They have invested in </t>
    </r>
    <r>
      <rPr>
        <rFont val="Poppins"/>
        <b/>
        <color rgb="FF1155CC"/>
        <sz val="7.0"/>
        <u/>
      </rPr>
      <t>emerging managers ex: Amplitude Ventures Fund I and II.</t>
    </r>
    <r>
      <rPr>
        <rFont val="Poppins"/>
        <sz val="7.0"/>
      </rPr>
      <t xml:space="preserve">
- [Region investment focus] &gt; Portfolio &gt; Their portfolio consists of VC funds based in </t>
    </r>
    <r>
      <rPr>
        <rFont val="Poppins"/>
        <b/>
        <color rgb="FF1155CC"/>
        <sz val="7.0"/>
        <u/>
      </rPr>
      <t>North America</t>
    </r>
    <r>
      <rPr>
        <rFont val="Poppins"/>
        <b/>
        <sz val="7.0"/>
      </rPr>
      <t xml:space="preserve"> </t>
    </r>
    <r>
      <rPr>
        <rFont val="Poppins"/>
        <sz val="7.0"/>
      </rPr>
      <t xml:space="preserve">ex: azure capital partners.
- [Sector investment focus] &gt; Website &gt; "...Software, cloud computing, telecom, the Internet of Things, </t>
    </r>
    <r>
      <rPr>
        <rFont val="Poppins"/>
        <b/>
        <color rgb="FF1155CC"/>
        <sz val="7.0"/>
        <u/>
      </rPr>
      <t>artificial intelligence</t>
    </r>
    <r>
      <rPr>
        <rFont val="Poppins"/>
        <sz val="7.0"/>
      </rPr>
      <t>, machine learning, blockchain, Industrial Technology, Energy and clean tech, industrial internet of things, materials, mining, Life Sciences, Biotechnology, nutraceuticals, advanced food manufacturing, ag tech, health/wellness, medical devices..."]</t>
    </r>
  </si>
  <si>
    <t>Rejected - Blacklist</t>
  </si>
  <si>
    <t>They only focus on fund local to Alberta per website</t>
  </si>
  <si>
    <t>Founding Partner and CEO</t>
  </si>
  <si>
    <t>rec74pKa3b55CpBUr</t>
  </si>
  <si>
    <t>VC4 ventures</t>
  </si>
  <si>
    <t>https://VC4ventures.com/#strategy</t>
  </si>
  <si>
    <t>Spain</t>
  </si>
  <si>
    <t>Website, Data manager judgement</t>
  </si>
  <si>
    <r>
      <rPr>
        <rFont val="Poppins"/>
        <sz val="7.0"/>
      </rPr>
      <t xml:space="preserve">- [Asset Class = Funds - VC] &gt; Website &gt; "...fund and a strong </t>
    </r>
    <r>
      <rPr>
        <rFont val="Poppins"/>
        <b/>
        <sz val="7.0"/>
      </rPr>
      <t xml:space="preserve">GP </t>
    </r>
    <r>
      <rPr>
        <rFont val="Poppins"/>
        <sz val="7.0"/>
      </rPr>
      <t xml:space="preserve">commitment of 10%, VC4 is fully aligned with ESG standards. VC4 aims to manage a dynamic portfolio spanning ∼30 </t>
    </r>
    <r>
      <rPr>
        <rFont val="Poppins"/>
        <b/>
        <color rgb="FF1155CC"/>
        <sz val="7.0"/>
        <u/>
      </rPr>
      <t xml:space="preserve">funds </t>
    </r>
    <r>
      <rPr>
        <rFont val="Poppins"/>
        <sz val="7.0"/>
      </rPr>
      <t xml:space="preserve">and 3,000+ companies...." +  "...Engage the Right </t>
    </r>
    <r>
      <rPr>
        <rFont val="Poppins"/>
        <b/>
        <color rgb="FF1155CC"/>
        <sz val="7.0"/>
        <u/>
      </rPr>
      <t>Emerging Managers</t>
    </r>
    <r>
      <rPr>
        <rFont val="Poppins"/>
        <sz val="7.0"/>
      </rPr>
      <t xml:space="preserve">..."
- [Maturity Focus = Emerging] &gt; "...Engage the Right </t>
    </r>
    <r>
      <rPr>
        <rFont val="Poppins"/>
        <b/>
        <color rgb="FF1155CC"/>
        <sz val="7.0"/>
        <u/>
      </rPr>
      <t>Emerging Managers</t>
    </r>
    <r>
      <rPr>
        <rFont val="Poppins"/>
        <sz val="7.0"/>
      </rPr>
      <t xml:space="preserve">..."
- [Sector investment focus] &gt; Portfolio &gt; "...transformative technologies: </t>
    </r>
    <r>
      <rPr>
        <rFont val="Poppins"/>
        <b/>
        <color rgb="FF1155CC"/>
        <sz val="7.0"/>
        <u/>
      </rPr>
      <t>AI</t>
    </r>
    <r>
      <rPr>
        <rFont val="Poppins"/>
        <sz val="7.0"/>
      </rPr>
      <t xml:space="preserve">, Marketplaces, Fintech, Software, Healthtech, Industrial Tech, and ESG-driven innovations...."
- [Region investment focus] &gt; Website &gt; "...across key regions, including the </t>
    </r>
    <r>
      <rPr>
        <rFont val="Poppins"/>
        <b/>
        <color rgb="FF1155CC"/>
        <sz val="7.0"/>
        <u/>
      </rPr>
      <t>US</t>
    </r>
    <r>
      <rPr>
        <rFont val="Poppins"/>
        <sz val="7.0"/>
      </rPr>
      <t>, Europe, and Latin America..."</t>
    </r>
  </si>
  <si>
    <t>Managing Director</t>
  </si>
  <si>
    <t>Bobby Aitkenhead</t>
  </si>
  <si>
    <t>Bobby</t>
  </si>
  <si>
    <t>Aitkenhead</t>
  </si>
  <si>
    <t>b@idcventures.com</t>
  </si>
  <si>
    <t>https://www.linkedin.com/in/bobby-aitkenhead-186a4217/?originalSubdomain=es</t>
  </si>
  <si>
    <t>rec7xpZ1tdpPCmmyO</t>
  </si>
  <si>
    <t>Forbes Family Trust</t>
  </si>
  <si>
    <t>https://www.fftwealth.com/</t>
  </si>
  <si>
    <r>
      <rPr>
        <rFont val="Poppins"/>
        <sz val="7.0"/>
      </rPr>
      <t xml:space="preserve">- [Asset class = Fund - VC] &gt; Website &gt; "...FFT's reputation in the global investment world provides us full access to a compelling set of emerging alternative investments, along with top-tier </t>
    </r>
    <r>
      <rPr>
        <rFont val="Poppins"/>
        <b/>
        <color rgb="FF1155CC"/>
        <sz val="7.0"/>
        <u/>
      </rPr>
      <t>venture capital</t>
    </r>
    <r>
      <rPr>
        <rFont val="Poppins"/>
        <sz val="7.0"/>
      </rPr>
      <t xml:space="preserve">, private equity and </t>
    </r>
    <r>
      <rPr>
        <rFont val="Poppins"/>
        <b/>
        <sz val="7.0"/>
      </rPr>
      <t>new funds</t>
    </r>
    <r>
      <rPr>
        <rFont val="Poppins"/>
        <sz val="7.0"/>
      </rPr>
      <t xml:space="preserve">..." + "...FFT's reputation in the global investment world provides us full access to a compelling set of </t>
    </r>
    <r>
      <rPr>
        <rFont val="Poppins"/>
        <b/>
        <color rgb="FF1155CC"/>
        <sz val="7.0"/>
        <u/>
      </rPr>
      <t>emerging alternative investments</t>
    </r>
    <r>
      <rPr>
        <rFont val="Poppins"/>
        <sz val="7.0"/>
      </rPr>
      <t xml:space="preserve">..."
- [Maturity Focus = Emerging] &gt; Website &gt; "...FFT's reputation in the global investment world provides us full access to a compelling set of </t>
    </r>
    <r>
      <rPr>
        <rFont val="Poppins"/>
        <b/>
        <color rgb="FF1155CC"/>
        <sz val="7.0"/>
        <u/>
      </rPr>
      <t>emerging alternative investments</t>
    </r>
    <r>
      <rPr>
        <rFont val="Poppins"/>
        <sz val="7.0"/>
      </rPr>
      <t xml:space="preserve">..."
- [Sector investment focus] &gt; Website &gt; "...Our Founder &amp; CEO Keith Bloomfield highlights </t>
    </r>
    <r>
      <rPr>
        <rFont val="Poppins"/>
        <b/>
        <color rgb="FF1155CC"/>
        <sz val="7.0"/>
        <u/>
      </rPr>
      <t>AI</t>
    </r>
    <r>
      <rPr>
        <rFont val="Poppins"/>
        <sz val="7.0"/>
      </rPr>
      <t xml:space="preserve"> and broader private equity as particularly compelling areas of investment..."
-[Region investment focus] &gt; Website &gt; "...FFT operates primarily out of </t>
    </r>
    <r>
      <rPr>
        <rFont val="Poppins"/>
        <b/>
        <color rgb="FF1155CC"/>
        <sz val="7.0"/>
        <u/>
      </rPr>
      <t>New York</t>
    </r>
    <r>
      <rPr>
        <rFont val="Poppins"/>
        <sz val="7.0"/>
      </rPr>
      <t xml:space="preserve">, with additional offices in </t>
    </r>
    <r>
      <rPr>
        <rFont val="Poppins"/>
        <b/>
        <sz val="7.0"/>
      </rPr>
      <t>Philadelphia and Palm Beach</t>
    </r>
    <r>
      <rPr>
        <rFont val="Poppins"/>
        <sz val="7.0"/>
      </rPr>
      <t>...."</t>
    </r>
  </si>
  <si>
    <t>John Tassone</t>
  </si>
  <si>
    <t>John</t>
  </si>
  <si>
    <t>Tassone</t>
  </si>
  <si>
    <t>jt@forbesfamilytrust.com</t>
  </si>
  <si>
    <t>http://www.linkedin.com/in/john-s-tassone-caia-jd-5361b96</t>
  </si>
  <si>
    <t>rec7HKYd85MJVvh74</t>
  </si>
  <si>
    <t>HarbourVest Partners</t>
  </si>
  <si>
    <r>
      <rPr>
        <rFont val="Poppins"/>
        <color rgb="FF1155CC"/>
        <sz val="7.0"/>
        <u/>
      </rPr>
      <t>https://www.harbourvest.com/</t>
    </r>
    <r>
      <rPr>
        <rFont val="Poppins"/>
        <color rgb="FF1155CC"/>
        <sz val="7.0"/>
        <u/>
      </rPr>
      <t xml:space="preserve"> </t>
    </r>
  </si>
  <si>
    <r>
      <rPr>
        <rFont val="Poppins"/>
        <sz val="7.0"/>
      </rPr>
      <t xml:space="preserve">- [Asset class = Fund - VC] &gt; Website &gt; "...A primary fund investment is an investment in a </t>
    </r>
    <r>
      <rPr>
        <rFont val="Poppins"/>
        <b/>
        <sz val="7.0"/>
      </rPr>
      <t>venture</t>
    </r>
    <r>
      <rPr>
        <rFont val="Poppins"/>
        <sz val="7.0"/>
      </rPr>
      <t xml:space="preserve">, buyout, credit, or other private markets </t>
    </r>
    <r>
      <rPr>
        <rFont val="Poppins"/>
        <b/>
        <color rgb="FF1155CC"/>
        <sz val="7.0"/>
        <u/>
      </rPr>
      <t>fund</t>
    </r>
    <r>
      <rPr>
        <rFont val="Poppins"/>
        <sz val="7.0"/>
      </rPr>
      <t>...." + "...</t>
    </r>
    <r>
      <rPr>
        <rFont val="Poppins"/>
        <b/>
        <color rgb="FF1155CC"/>
        <sz val="7.0"/>
        <u/>
      </rPr>
      <t>Emerging managers</t>
    </r>
    <r>
      <rPr>
        <rFont val="Poppins"/>
        <sz val="7.0"/>
      </rPr>
      <t xml:space="preserve"> (primarily first-, second-, or third-time </t>
    </r>
    <r>
      <rPr>
        <rFont val="Poppins"/>
        <b/>
        <sz val="7.0"/>
      </rPr>
      <t>funds</t>
    </r>
    <r>
      <rPr>
        <rFont val="Poppins"/>
        <sz val="7.0"/>
      </rPr>
      <t>)..."
- [Maturity Focus = Emerging] &gt; "..</t>
    </r>
    <r>
      <rPr>
        <rFont val="Poppins"/>
        <b/>
        <color rgb="FF1155CC"/>
        <sz val="7.0"/>
        <u/>
      </rPr>
      <t>.Emerging managers</t>
    </r>
    <r>
      <rPr>
        <rFont val="Poppins"/>
        <sz val="7.0"/>
      </rPr>
      <t xml:space="preserve"> (primarily first-, second-, or third-time funds)..."
-[Region investment focus] &gt; Private data provider &gt; "...It invests in opportunities in the </t>
    </r>
    <r>
      <rPr>
        <rFont val="Poppins"/>
        <b/>
        <color rgb="FF1155CC"/>
        <sz val="7.0"/>
        <u/>
      </rPr>
      <t>United</t>
    </r>
    <r>
      <rPr>
        <rFont val="Poppins"/>
        <color rgb="FF1155CC"/>
        <sz val="7.0"/>
        <u/>
      </rPr>
      <t xml:space="preserve"> </t>
    </r>
    <r>
      <rPr>
        <rFont val="Poppins"/>
        <b/>
        <color rgb="FF1155CC"/>
        <sz val="7.0"/>
        <u/>
      </rPr>
      <t>States</t>
    </r>
    <r>
      <rPr>
        <rFont val="Poppins"/>
        <color rgb="FF1155CC"/>
        <sz val="7.0"/>
        <u/>
      </rPr>
      <t xml:space="preserve">, </t>
    </r>
    <r>
      <rPr>
        <rFont val="Poppins"/>
        <b/>
        <color rgb="FF1155CC"/>
        <sz val="7.0"/>
        <u/>
      </rPr>
      <t>Europe</t>
    </r>
    <r>
      <rPr>
        <rFont val="Poppins"/>
        <sz val="7.0"/>
      </rPr>
      <t xml:space="preserve">, Asia Pacific, and emerging markets..."
- [Sector investment focus] &gt; Website &gt; "...Private Markets Investing in the </t>
    </r>
    <r>
      <rPr>
        <rFont val="Poppins"/>
        <b/>
        <color rgb="FF1155CC"/>
        <sz val="7.0"/>
        <u/>
      </rPr>
      <t>Artificial Intelligence</t>
    </r>
    <r>
      <rPr>
        <rFont val="Poppins"/>
        <b/>
        <sz val="7.0"/>
      </rPr>
      <t xml:space="preserve"> Revolution</t>
    </r>
    <r>
      <rPr>
        <rFont val="Poppins"/>
        <sz val="7.0"/>
      </rPr>
      <t>..."</t>
    </r>
  </si>
  <si>
    <t>They have a private equity focus</t>
  </si>
  <si>
    <r>
      <rPr>
        <rFont val="Poppins"/>
        <sz val="7.0"/>
      </rPr>
      <t xml:space="preserve">They have mentioned on their website that they focus on </t>
    </r>
    <r>
      <rPr>
        <rFont val="Poppins"/>
        <b/>
        <sz val="7.0"/>
      </rPr>
      <t>venture capital funds</t>
    </r>
    <r>
      <rPr>
        <rFont val="Poppins"/>
        <sz val="7.0"/>
      </rPr>
      <t xml:space="preserve">  "...A diversified primary portfolio may include 20-40 funds leading to a portfolio of 500+/- underlying companies across </t>
    </r>
    <r>
      <rPr>
        <rFont val="Poppins"/>
        <b/>
        <color rgb="FF1155CC"/>
        <sz val="7.0"/>
        <u/>
      </rPr>
      <t>venture capital</t>
    </r>
    <r>
      <rPr>
        <rFont val="Poppins"/>
        <sz val="7.0"/>
      </rPr>
      <t xml:space="preserve">, growth equity, and buyouts..." </t>
    </r>
  </si>
  <si>
    <t>Investor Relations at Rancilio Cube</t>
  </si>
  <si>
    <t>rec7LdbqFUbDkLbbb</t>
  </si>
  <si>
    <t>H14</t>
  </si>
  <si>
    <t>http://www.h14.it/</t>
  </si>
  <si>
    <t>Italy</t>
  </si>
  <si>
    <r>
      <rPr>
        <rFont val="Poppins"/>
        <sz val="7.0"/>
      </rPr>
      <t xml:space="preserve">- [Asset class = Funds VC] &gt; Website &gt; "...H14 invests across several asset classes, including Direct Investments in </t>
    </r>
    <r>
      <rPr>
        <rFont val="Poppins"/>
        <b/>
        <color rgb="FF1155CC"/>
        <sz val="7.0"/>
        <u/>
      </rPr>
      <t>Venture and Growth capital, Private Equity Funds</t>
    </r>
    <r>
      <rPr>
        <rFont val="Poppins"/>
        <sz val="7.0"/>
      </rPr>
      <t>, Hedge Funds and broad Capital Markets..."</t>
    </r>
    <r>
      <rPr>
        <rFont val="Poppins"/>
        <b/>
        <sz val="7.0"/>
      </rPr>
      <t xml:space="preserve">
</t>
    </r>
    <r>
      <rPr>
        <rFont val="Poppins"/>
        <sz val="7.0"/>
      </rPr>
      <t xml:space="preserve">- [Sector investment focus] &gt; Data manager judgement &gt; They have invested in </t>
    </r>
    <r>
      <rPr>
        <rFont val="Poppins"/>
        <b/>
        <color rgb="FF1155CC"/>
        <sz val="7.0"/>
        <u/>
      </rPr>
      <t>"ContentSquare"</t>
    </r>
    <r>
      <rPr>
        <rFont val="Poppins"/>
        <sz val="7.0"/>
      </rPr>
      <t xml:space="preserve"> which includes </t>
    </r>
    <r>
      <rPr>
        <rFont val="Poppins"/>
        <b/>
        <color rgb="FF1155CC"/>
        <sz val="7.0"/>
        <u/>
      </rPr>
      <t>AI in their focus</t>
    </r>
    <r>
      <rPr>
        <rFont val="Poppins"/>
        <sz val="7.0"/>
      </rPr>
      <t xml:space="preserve">.
- [Region investment focus] &gt; Website &gt; "...Its geographical scope is global, mainly focused on </t>
    </r>
    <r>
      <rPr>
        <rFont val="Poppins"/>
        <b/>
        <color rgb="FF1155CC"/>
        <sz val="7.0"/>
        <u/>
      </rPr>
      <t>North America</t>
    </r>
    <r>
      <rPr>
        <rFont val="Poppins"/>
        <sz val="7.0"/>
      </rPr>
      <t>, Europe and opportunistically on Emerging Markets..."
- [Maturity Focus = Emerging ] &gt; Private data provider &gt; Private data provider confirms their maturity focus is Emerging.</t>
    </r>
  </si>
  <si>
    <t>Marco Giovanni</t>
  </si>
  <si>
    <t>Marco</t>
  </si>
  <si>
    <t>Giovanni</t>
  </si>
  <si>
    <t>marco.agostinelli@h14.it</t>
  </si>
  <si>
    <t>https://www.linkedin.com/in/marco-giovanni-agostinelli-657785143/</t>
  </si>
  <si>
    <t>rec8sY1r82LgLzst3</t>
  </si>
  <si>
    <t>Constellar Ventures</t>
  </si>
  <si>
    <t>https://www.constellar.vc/</t>
  </si>
  <si>
    <r>
      <rPr>
        <rFont val="Poppins"/>
        <sz val="7.0"/>
      </rPr>
      <t xml:space="preserve">- [Asset class = Funds - VC] &gt; Website &gt; ''...We invest in early stage startups and </t>
    </r>
    <r>
      <rPr>
        <rFont val="Poppins"/>
        <b/>
        <color rgb="FF1155CC"/>
        <sz val="7.0"/>
        <u/>
      </rPr>
      <t>venture funds</t>
    </r>
    <r>
      <rPr>
        <rFont val="Poppins"/>
        <sz val="7.0"/>
      </rPr>
      <t xml:space="preserve">...''
- [Maturity Focus = Emerging] &gt;  ''...Our focus is on </t>
    </r>
    <r>
      <rPr>
        <rFont val="Poppins"/>
        <b/>
        <color rgb="FF1155CC"/>
        <sz val="7.0"/>
        <u/>
      </rPr>
      <t>emerging technologies</t>
    </r>
    <r>
      <rPr>
        <rFont val="Poppins"/>
        <sz val="7.0"/>
      </rPr>
      <t xml:space="preserve">..."
- [Sector investment focus] &gt; Website &gt; ''...Our focus is on emerging technologies, including </t>
    </r>
    <r>
      <rPr>
        <rFont val="Poppins"/>
        <b/>
        <color rgb="FF1155CC"/>
        <sz val="7.0"/>
        <u/>
      </rPr>
      <t>AI</t>
    </r>
    <r>
      <rPr>
        <rFont val="Poppins"/>
        <sz val="7.0"/>
      </rPr>
      <t xml:space="preserve">, IoT, AR/VR, new media, and more...''
- [Region investment focus] &gt; Private data provider &gt; Top region: </t>
    </r>
    <r>
      <rPr>
        <rFont val="Poppins"/>
        <b/>
        <color rgb="FF1155CC"/>
        <sz val="7.0"/>
        <u/>
      </rPr>
      <t>North America</t>
    </r>
    <r>
      <rPr>
        <rFont val="Poppins"/>
        <sz val="7.0"/>
      </rPr>
      <t>.</t>
    </r>
  </si>
  <si>
    <t>Ming Lin</t>
  </si>
  <si>
    <t>Ming</t>
  </si>
  <si>
    <t>Lin</t>
  </si>
  <si>
    <t>ming@constellar.vc</t>
  </si>
  <si>
    <t>https://www.linkedin.com/in/minglin-onelin/</t>
  </si>
  <si>
    <t>rec8Lf9C7H8Mcdn4R</t>
  </si>
  <si>
    <t>Morgan Creek Capital Management</t>
  </si>
  <si>
    <t>https://www.morgancreekcap.com/opportunistic-equity/</t>
  </si>
  <si>
    <t>China</t>
  </si>
  <si>
    <r>
      <rPr>
        <rFont val="Poppins"/>
        <sz val="7.0"/>
      </rPr>
      <t xml:space="preserve">-[Asset class = Fund - VC] &gt; Website &gt; "...We will invest in both established and emerging </t>
    </r>
    <r>
      <rPr>
        <rFont val="Poppins"/>
        <b/>
        <color rgb="FF1155CC"/>
        <sz val="7.0"/>
        <u/>
      </rPr>
      <t>venture</t>
    </r>
    <r>
      <rPr>
        <rFont val="Poppins"/>
        <sz val="7.0"/>
      </rPr>
      <t xml:space="preserve"> </t>
    </r>
    <r>
      <rPr>
        <rFont val="Poppins"/>
        <b/>
        <sz val="7.0"/>
      </rPr>
      <t>funds</t>
    </r>
    <r>
      <rPr>
        <rFont val="Poppins"/>
        <sz val="7.0"/>
      </rPr>
      <t xml:space="preserve">"
- [Maturity Focus = Emerging] &gt; Website &gt; "...We will invest in both established and </t>
    </r>
    <r>
      <rPr>
        <rFont val="Poppins"/>
        <b/>
        <color rgb="FF1155CC"/>
        <sz val="7.0"/>
        <u/>
      </rPr>
      <t>emerging venture funds</t>
    </r>
    <r>
      <rPr>
        <rFont val="Poppins"/>
        <sz val="7.0"/>
      </rPr>
      <t xml:space="preserve">..."
-[Region Investment focus  ] &gt; Website  &gt; "...The majority of exposure from a sector and geographic standpoint is typically in Technology, Consumer, Financials, Energy and Healthcare, across the </t>
    </r>
    <r>
      <rPr>
        <rFont val="Poppins"/>
        <b/>
        <color rgb="FF1155CC"/>
        <sz val="7.0"/>
        <u/>
      </rPr>
      <t>Americas, Asia</t>
    </r>
    <r>
      <rPr>
        <rFont val="Poppins"/>
        <sz val="7.0"/>
      </rPr>
      <t xml:space="preserve"> and Europe...."
-[Sector Investment focus   ] &gt; Website &gt;  "... Morgan Creek Digital (MCD) invests in the transformational technologies that include </t>
    </r>
    <r>
      <rPr>
        <rFont val="Poppins"/>
        <b/>
        <color rgb="FF1155CC"/>
        <sz val="7.0"/>
        <u/>
      </rPr>
      <t>Artificial Intelligence</t>
    </r>
    <r>
      <rPr>
        <rFont val="Poppins"/>
        <sz val="7.0"/>
      </rPr>
      <t>, Blockchain Technology, Computing Infrastructure and Big Data...."</t>
    </r>
  </si>
  <si>
    <t>Web3 focus</t>
  </si>
  <si>
    <r>
      <rPr>
        <rFont val="Poppins"/>
        <sz val="7.0"/>
      </rPr>
      <t xml:space="preserve">They have mentioned on their website that they invest in </t>
    </r>
    <r>
      <rPr>
        <rFont val="Poppins"/>
        <b/>
        <sz val="7.0"/>
      </rPr>
      <t>Artificial Intelligence</t>
    </r>
    <r>
      <rPr>
        <rFont val="Poppins"/>
        <sz val="7.0"/>
      </rPr>
      <t>, "</t>
    </r>
    <r>
      <rPr>
        <rFont val="Poppins"/>
        <b/>
        <color rgb="FF1155CC"/>
        <sz val="7.0"/>
        <u/>
      </rPr>
      <t>Artificial Intelligence</t>
    </r>
    <r>
      <rPr>
        <rFont val="Poppins"/>
        <sz val="7.0"/>
      </rPr>
      <t xml:space="preserve">: AI includes machine learning, supervised and unsupervised learning, neural networks, symbolic learning, and reinforcement learning..." </t>
    </r>
  </si>
  <si>
    <t>CEO &amp; Managing Partner</t>
  </si>
  <si>
    <t>rec9rw6DubpzWH7OQ</t>
  </si>
  <si>
    <t>Shanda</t>
  </si>
  <si>
    <t>https://www.shanda.com/</t>
  </si>
  <si>
    <t>Portfolio</t>
  </si>
  <si>
    <r>
      <rPr>
        <rFont val="Poppins"/>
        <sz val="7.0"/>
      </rPr>
      <t xml:space="preserve">- [Asset class = Funds - VC] &gt; Portfolio &gt; "...Shanda has invested in 75... </t>
    </r>
    <r>
      <rPr>
        <rFont val="Poppins"/>
        <b/>
        <color rgb="FF1155CC"/>
        <sz val="7.0"/>
        <u/>
      </rPr>
      <t>VC funds under 43 General Partners</t>
    </r>
    <r>
      <rPr>
        <rFont val="Poppins"/>
        <color rgb="FF1155CC"/>
        <sz val="7.0"/>
        <u/>
      </rPr>
      <t>.</t>
    </r>
    <r>
      <rPr>
        <rFont val="Poppins"/>
        <sz val="7.0"/>
      </rPr>
      <t xml:space="preserve">.."
- [Maturity Focus = Emerging] &gt;  Portfolio &gt;Their portfolio includes emerging manager funds, such as </t>
    </r>
    <r>
      <rPr>
        <rFont val="Poppins"/>
        <b/>
        <color rgb="FF1155CC"/>
        <sz val="7.0"/>
        <u/>
      </rPr>
      <t>Hustle Fund I and Hustle Fund II.</t>
    </r>
    <r>
      <rPr>
        <rFont val="Poppins"/>
        <sz val="7.0"/>
      </rPr>
      <t xml:space="preserve">
- [Sector investment focus] &gt; Website &gt; "...New, emerging </t>
    </r>
    <r>
      <rPr>
        <rFont val="Poppins"/>
        <b/>
        <color rgb="FF1155CC"/>
        <sz val="7.0"/>
        <u/>
      </rPr>
      <t>AI technologies</t>
    </r>
    <r>
      <rPr>
        <rFont val="Poppins"/>
        <sz val="7.0"/>
      </rPr>
      <t xml:space="preserve"> are also impacting the world and are part of our investment focus..."
- [Region investment focus] &gt; Portfolio &gt; Their portfolio confirms their investment in </t>
    </r>
    <r>
      <rPr>
        <rFont val="Poppins"/>
        <b/>
        <color rgb="FF1155CC"/>
        <sz val="7.0"/>
        <u/>
      </rPr>
      <t>North America</t>
    </r>
    <r>
      <rPr>
        <rFont val="Poppins"/>
        <b/>
        <sz val="7.0"/>
      </rPr>
      <t xml:space="preserve"> </t>
    </r>
    <r>
      <rPr>
        <rFont val="Poppins"/>
        <sz val="7.0"/>
      </rPr>
      <t xml:space="preserve">ex: </t>
    </r>
    <r>
      <rPr>
        <rFont val="Poppins"/>
        <b/>
        <sz val="7.0"/>
      </rPr>
      <t>Khosla Ventures, Eniac Ventures.</t>
    </r>
  </si>
  <si>
    <t>Investment Director</t>
  </si>
  <si>
    <t>Nan Shi</t>
  </si>
  <si>
    <t>Nan</t>
  </si>
  <si>
    <t>Shi</t>
  </si>
  <si>
    <t>shinan@shanda.com</t>
  </si>
  <si>
    <t>https://www.linkedin.com/in/nan-shi-23b64964/</t>
  </si>
  <si>
    <t>Ihar Mahaniok</t>
  </si>
  <si>
    <t>HNWI</t>
  </si>
  <si>
    <t>https://www.linkedin.com/in/mahaniok/</t>
  </si>
  <si>
    <t>LinkedIn, Data manager judgement</t>
  </si>
  <si>
    <r>
      <rPr>
        <rFont val="Poppins"/>
        <sz val="7.0"/>
      </rPr>
      <t xml:space="preserve">- [Asset class = Funds - VC] &gt; Linkedin &gt; I am an early-stage investor. Active LP in </t>
    </r>
    <r>
      <rPr>
        <rFont val="Poppins"/>
        <b/>
        <color rgb="FF1155CC"/>
        <sz val="7.0"/>
        <u/>
      </rPr>
      <t>emerging VC funds</t>
    </r>
    <r>
      <rPr>
        <rFont val="Poppins"/>
        <sz val="7.0"/>
      </rPr>
      <t xml:space="preserve">.
- [Maturity Focus = Emerging] &gt; LinkedIn &gt; Active LP in </t>
    </r>
    <r>
      <rPr>
        <rFont val="Poppins"/>
        <b/>
        <color rgb="FF1155CC"/>
        <sz val="7.0"/>
        <u/>
      </rPr>
      <t>emerging VC funds.</t>
    </r>
    <r>
      <rPr>
        <rFont val="Poppins"/>
        <sz val="7.0"/>
      </rPr>
      <t xml:space="preserve">
- [Sector investment focus] &gt; Linkedin &gt; focuses on </t>
    </r>
    <r>
      <rPr>
        <rFont val="Poppins"/>
        <b/>
        <color rgb="FF1155CC"/>
        <sz val="7.0"/>
        <u/>
      </rPr>
      <t xml:space="preserve">AI </t>
    </r>
    <r>
      <rPr>
        <rFont val="Poppins"/>
        <sz val="7.0"/>
      </rPr>
      <t xml:space="preserve">&amp; </t>
    </r>
    <r>
      <rPr>
        <rFont val="Poppins"/>
        <b/>
        <sz val="7.0"/>
      </rPr>
      <t>Robotics</t>
    </r>
    <r>
      <rPr>
        <rFont val="Poppins"/>
        <sz val="7.0"/>
      </rPr>
      <t xml:space="preserve">.
- [Region investment focus] &gt; Data manager judgement &gt; He hasn’t publicly disclosed his region focus, but his other investments are based in the </t>
    </r>
    <r>
      <rPr>
        <rFont val="Poppins"/>
        <b/>
        <sz val="7.0"/>
      </rPr>
      <t>United States</t>
    </r>
    <r>
      <rPr>
        <rFont val="Poppins"/>
        <sz val="7.0"/>
      </rPr>
      <t>. So this indicates that his emerging VC Fund investments are also based in the</t>
    </r>
    <r>
      <rPr>
        <rFont val="Poppins"/>
        <b/>
        <sz val="7.0"/>
      </rPr>
      <t xml:space="preserve"> United States.</t>
    </r>
    <r>
      <rPr>
        <rFont val="Poppins"/>
        <sz val="7.0"/>
      </rPr>
      <t xml:space="preserve"> </t>
    </r>
    <r>
      <rPr>
        <rFont val="Poppins"/>
        <b/>
        <sz val="7.0"/>
      </rPr>
      <t>#DemandCreation.</t>
    </r>
  </si>
  <si>
    <t xml:space="preserve">Ihar </t>
  </si>
  <si>
    <t>Mahaniok</t>
  </si>
  <si>
    <t>mahaniok@gmail.com</t>
  </si>
  <si>
    <t>Pictet Group</t>
  </si>
  <si>
    <t>Asset Manager</t>
  </si>
  <si>
    <t>https://www.pictet.com/mc/en</t>
  </si>
  <si>
    <t>Switzerland</t>
  </si>
  <si>
    <r>
      <rPr>
        <rFont val="Poppins"/>
        <sz val="7.0"/>
      </rPr>
      <t xml:space="preserve">- [Asset class = Funds - VC] &gt; Website &gt; "...Over USD 1.1bn raised by Pictet Alternative Advisors’ private equity </t>
    </r>
    <r>
      <rPr>
        <rFont val="Poppins"/>
        <b/>
        <color rgb="FF1155CC"/>
        <sz val="7.0"/>
        <u/>
      </rPr>
      <t>fund of funds</t>
    </r>
    <r>
      <rPr>
        <rFont val="Poppins"/>
        <sz val="7.0"/>
      </rPr>
      <t>..." + "...Monte Rosa V will invest mostly in North American and European buyout funds and to a lesser extent in other geographies (e.g. China, Australia and emerging markets) and other strategies (</t>
    </r>
    <r>
      <rPr>
        <rFont val="Poppins"/>
        <b/>
        <color rgb="FF1155CC"/>
        <sz val="7.0"/>
        <u/>
      </rPr>
      <t>venture capital</t>
    </r>
    <r>
      <rPr>
        <rFont val="Poppins"/>
        <sz val="7.0"/>
      </rPr>
      <t>, growth and turnaround)..."
- [Region investment focus] &gt; Website &gt; "....Monte Rosa V will invest mostly in</t>
    </r>
    <r>
      <rPr>
        <rFont val="Poppins"/>
        <b/>
        <sz val="7.0"/>
      </rPr>
      <t xml:space="preserve"> </t>
    </r>
    <r>
      <rPr>
        <rFont val="Poppins"/>
        <b/>
        <color rgb="FF1155CC"/>
        <sz val="7.0"/>
        <u/>
      </rPr>
      <t>North American</t>
    </r>
    <r>
      <rPr>
        <rFont val="Poppins"/>
        <sz val="7.0"/>
      </rPr>
      <t xml:space="preserve"> and European..."
- [Sector investment focus] &gt;  Website &gt; "... the Technology strategy targets high-conviction investment opportunities in the key segments of enterprise</t>
    </r>
    <r>
      <rPr>
        <rFont val="Poppins"/>
        <b/>
        <sz val="7.0"/>
      </rPr>
      <t xml:space="preserve"> </t>
    </r>
    <r>
      <rPr>
        <rFont val="Poppins"/>
        <sz val="7.0"/>
      </rPr>
      <t xml:space="preserve">software, data &amp; </t>
    </r>
    <r>
      <rPr>
        <rFont val="Poppins"/>
        <b/>
        <color rgb="FF1155CC"/>
        <sz val="7.0"/>
        <u/>
      </rPr>
      <t>AI</t>
    </r>
    <r>
      <rPr>
        <rFont val="Poppins"/>
        <sz val="7.0"/>
      </rPr>
      <t xml:space="preserve">, cybersecurity and fintech. The second vintage will continue this proven strategy in backing leading global venture capital, growth equity and buyout technology fund managers globally..."
- [Maturity Focus = Emerging] &gt; Data manager judgement &gt; They haven't publicly disclosed their maturity focus, but rest of the criteria aligns with the IIP </t>
    </r>
    <r>
      <rPr>
        <rFont val="Poppins"/>
        <b/>
        <sz val="7.0"/>
      </rPr>
      <t>#DemandCreation.</t>
    </r>
  </si>
  <si>
    <t>PE focus</t>
  </si>
  <si>
    <r>
      <rPr>
        <rFont val="Poppins"/>
        <sz val="7.0"/>
      </rPr>
      <t xml:space="preserve">Monte Rosa V is Pictet's fund which has invested in </t>
    </r>
    <r>
      <rPr>
        <rFont val="Poppins"/>
        <b/>
        <sz val="7.0"/>
      </rPr>
      <t>Venture Capital</t>
    </r>
    <r>
      <rPr>
        <rFont val="Poppins"/>
        <sz val="7.0"/>
      </rPr>
      <t xml:space="preserve">, "...Monte Rosa V will invest mostly in North American and European buyout </t>
    </r>
    <r>
      <rPr>
        <rFont val="Poppins"/>
        <b/>
        <sz val="7.0"/>
      </rPr>
      <t>funds</t>
    </r>
    <r>
      <rPr>
        <rFont val="Poppins"/>
        <sz val="7.0"/>
      </rPr>
      <t xml:space="preserve"> and to a lesser extent in other geographies (e.g. China, Australia and emerging markets) and other strategies (</t>
    </r>
    <r>
      <rPr>
        <rFont val="Poppins"/>
        <b/>
        <color rgb="FF1155CC"/>
        <sz val="7.0"/>
        <u/>
      </rPr>
      <t>venture capital</t>
    </r>
    <r>
      <rPr>
        <rFont val="Poppins"/>
        <sz val="7.0"/>
      </rPr>
      <t xml:space="preserve">, growth and turnaround)..." </t>
    </r>
  </si>
  <si>
    <t>Cambridge Associates</t>
  </si>
  <si>
    <t>https://www.cambridgeassociates.com/en-eu/venture-capital/</t>
  </si>
  <si>
    <r>
      <rPr>
        <rFont val="Poppins"/>
        <sz val="7.0"/>
      </rPr>
      <t xml:space="preserve">- [Asset Class = Funds Vc] &gt; Website &gt; "...While </t>
    </r>
    <r>
      <rPr>
        <rFont val="Poppins"/>
        <b/>
        <color rgb="FF1155CC"/>
        <sz val="7.0"/>
        <u/>
      </rPr>
      <t>Venture Capital</t>
    </r>
    <r>
      <rPr>
        <rFont val="Poppins"/>
        <sz val="7.0"/>
      </rPr>
      <t xml:space="preserve"> investing often connotes established, access-constrained funds, a majority of the top-quartile performers in a given vintage year are actually emerging managers raising one of their first few </t>
    </r>
    <r>
      <rPr>
        <rFont val="Poppins"/>
        <b/>
        <sz val="7.0"/>
      </rPr>
      <t>funds</t>
    </r>
    <r>
      <rPr>
        <rFont val="Poppins"/>
        <sz val="7.0"/>
      </rPr>
      <t xml:space="preserve">...."
- [Sector Investment Focus ] &gt; Website &gt; "...  we expect </t>
    </r>
    <r>
      <rPr>
        <rFont val="Poppins"/>
        <b/>
        <color rgb="FF1155CC"/>
        <sz val="7.0"/>
        <u/>
      </rPr>
      <t xml:space="preserve">AI </t>
    </r>
    <r>
      <rPr>
        <rFont val="Poppins"/>
        <sz val="7.0"/>
      </rPr>
      <t xml:space="preserve">will continue to serve as a major market catalyst, supporting new investments and fund commitments. ..."
- [Region Investment Focus] &gt; Website + Private data provider &gt; "...Our deep global networks, built over 50 years of investing in venture capital..." + Private data provider confirms that they invest in </t>
    </r>
    <r>
      <rPr>
        <rFont val="Poppins"/>
        <b/>
        <color rgb="FF1155CC"/>
        <sz val="7.0"/>
        <u/>
      </rPr>
      <t>North</t>
    </r>
    <r>
      <rPr>
        <rFont val="Poppins"/>
        <color rgb="FF1155CC"/>
        <sz val="7.0"/>
        <u/>
      </rPr>
      <t xml:space="preserve"> </t>
    </r>
    <r>
      <rPr>
        <rFont val="Poppins"/>
        <b/>
        <color rgb="FF1155CC"/>
        <sz val="7.0"/>
        <u/>
      </rPr>
      <t>America</t>
    </r>
    <r>
      <rPr>
        <rFont val="Poppins"/>
        <sz val="7.0"/>
      </rPr>
      <t xml:space="preserve">, </t>
    </r>
    <r>
      <rPr>
        <rFont val="Poppins"/>
        <b/>
        <sz val="7.0"/>
      </rPr>
      <t>Global</t>
    </r>
    <r>
      <rPr>
        <rFont val="Poppins"/>
        <sz val="7.0"/>
      </rPr>
      <t xml:space="preserve">, </t>
    </r>
    <r>
      <rPr>
        <rFont val="Poppins"/>
        <b/>
        <sz val="7.0"/>
      </rPr>
      <t xml:space="preserve">Europe.
</t>
    </r>
    <r>
      <rPr>
        <rFont val="Poppins"/>
        <sz val="7.0"/>
      </rPr>
      <t xml:space="preserve">- [Maturity Focus] &gt; Website &gt; "...a majority of the top-quartile performers in a given vintage year are actually </t>
    </r>
    <r>
      <rPr>
        <rFont val="Poppins"/>
        <b/>
        <sz val="7.0"/>
      </rPr>
      <t>emerging Manager</t>
    </r>
    <r>
      <rPr>
        <rFont val="Poppins"/>
        <sz val="7.0"/>
      </rPr>
      <t xml:space="preserve"> raising one of their </t>
    </r>
    <r>
      <rPr>
        <rFont val="Poppins"/>
        <b/>
        <sz val="7.0"/>
      </rPr>
      <t>first few funds</t>
    </r>
    <r>
      <rPr>
        <rFont val="Poppins"/>
        <sz val="7.0"/>
      </rPr>
      <t>..."</t>
    </r>
  </si>
  <si>
    <t>Managing Director and an Outsourced Chief Investment Officer</t>
  </si>
  <si>
    <t>Wendy Walker</t>
  </si>
  <si>
    <t>Wendy</t>
  </si>
  <si>
    <t>Walker</t>
  </si>
  <si>
    <t>wwalker@cambridgeassociates.com</t>
  </si>
  <si>
    <t>http://www.linkedin.com/in/wendy-walker-cfa</t>
  </si>
  <si>
    <t>Equation Capital</t>
  </si>
  <si>
    <t>https://www.equationcap.com/</t>
  </si>
  <si>
    <t>Germany</t>
  </si>
  <si>
    <r>
      <rPr>
        <rFont val="Poppins"/>
        <sz val="7.0"/>
      </rPr>
      <t xml:space="preserve">- [Asset class = Fund - VC] &gt; Website + Data manager judgement &gt; "...We strategically invest in upcoming </t>
    </r>
    <r>
      <rPr>
        <rFont val="Poppins"/>
        <b/>
        <color rgb="FF1155CC"/>
        <sz val="7.0"/>
        <u/>
      </rPr>
      <t>VC firms</t>
    </r>
    <r>
      <rPr>
        <rFont val="Poppins"/>
        <sz val="7.0"/>
      </rPr>
      <t>, often in first</t>
    </r>
    <r>
      <rPr>
        <rFont val="Poppins"/>
        <b/>
        <sz val="7.0"/>
      </rPr>
      <t xml:space="preserve"> fund</t>
    </r>
    <r>
      <rPr>
        <rFont val="Poppins"/>
        <sz val="7.0"/>
      </rPr>
      <t xml:space="preserve"> generations..." + They have investments in </t>
    </r>
    <r>
      <rPr>
        <rFont val="Poppins"/>
        <b/>
        <color rgb="FF1155CC"/>
        <sz val="7.0"/>
        <u/>
      </rPr>
      <t>VC Funds</t>
    </r>
    <r>
      <rPr>
        <rFont val="Poppins"/>
        <sz val="7.0"/>
      </rPr>
      <t xml:space="preserve">, ex: </t>
    </r>
    <r>
      <rPr>
        <rFont val="Poppins"/>
        <b/>
        <sz val="7.0"/>
      </rPr>
      <t>Nucleus Capital, Possible Ventures, etc.</t>
    </r>
    <r>
      <rPr>
        <rFont val="Poppins"/>
        <sz val="7.0"/>
      </rPr>
      <t xml:space="preserve">
-[Region investment focus] &gt; Website &gt; "...Fund- of-Funds 2.0 Our aim is to craft portfolios of the most promising investment strategies in Europe and the </t>
    </r>
    <r>
      <rPr>
        <rFont val="Poppins"/>
        <b/>
        <color rgb="FF1155CC"/>
        <sz val="7.0"/>
        <u/>
      </rPr>
      <t>US</t>
    </r>
    <r>
      <rPr>
        <rFont val="Poppins"/>
        <sz val="7.0"/>
      </rPr>
      <t xml:space="preserve">..."
- [Sector investment focus] &gt; Website &gt; "...We are actively looking for up and coming Micro VC strategies in their first fund generations with a unique positioning to allocate capital to meaningful innovation, especially in </t>
    </r>
    <r>
      <rPr>
        <rFont val="Poppins"/>
        <b/>
        <sz val="7.0"/>
      </rPr>
      <t>Deep Tech</t>
    </r>
    <r>
      <rPr>
        <rFont val="Poppins"/>
        <sz val="7.0"/>
      </rPr>
      <t xml:space="preserve">, Climate Tech, </t>
    </r>
    <r>
      <rPr>
        <rFont val="Poppins"/>
        <b/>
        <color rgb="FF1155CC"/>
        <sz val="7.0"/>
        <u/>
      </rPr>
      <t>B2B &amp; AI</t>
    </r>
    <r>
      <rPr>
        <rFont val="Poppins"/>
        <sz val="7.0"/>
      </rPr>
      <t xml:space="preserve"> as well as Health and Bio Tech..."
- [Maturity Focus = Emerging] &gt; Website &gt; "....We strategically invest in upcoming VC firms, often in </t>
    </r>
    <r>
      <rPr>
        <rFont val="Poppins"/>
        <b/>
        <color rgb="FF1155CC"/>
        <sz val="7.0"/>
        <u/>
      </rPr>
      <t>first fund generations</t>
    </r>
    <r>
      <rPr>
        <rFont val="Poppins"/>
        <sz val="7.0"/>
      </rPr>
      <t>..."</t>
    </r>
  </si>
  <si>
    <t>Mark Schmitz</t>
  </si>
  <si>
    <t>Mark</t>
  </si>
  <si>
    <t>Schmitz</t>
  </si>
  <si>
    <t>mark@equationcap.com</t>
  </si>
  <si>
    <t>https://www.linkedin.com/in/schmitzmark/</t>
  </si>
  <si>
    <t xml:space="preserve">Caterpillar Venture Capital </t>
  </si>
  <si>
    <t>https://www.caterpillar.com/en/company/innovation/caterpillar-ventures.html</t>
  </si>
  <si>
    <r>
      <rPr>
        <rFont val="Poppins"/>
        <sz val="7.0"/>
      </rPr>
      <t xml:space="preserve">- [Asset class = Funds - VC] &gt; Website &gt; "...We are also fund investors and take limited partner positions in </t>
    </r>
    <r>
      <rPr>
        <rFont val="Poppins"/>
        <b/>
        <color rgb="FF1155CC"/>
        <sz val="7.0"/>
        <u/>
      </rPr>
      <t>venture capital funds</t>
    </r>
    <r>
      <rPr>
        <rFont val="Poppins"/>
        <b/>
        <sz val="7.0"/>
      </rPr>
      <t>..."</t>
    </r>
    <r>
      <rPr>
        <rFont val="Poppins"/>
        <sz val="7.0"/>
      </rPr>
      <t xml:space="preserve">
- [Region Investement Focus] &gt; Private Data Provider &gt; sectors based in the </t>
    </r>
    <r>
      <rPr>
        <rFont val="Poppins"/>
        <b/>
        <color rgb="FF1155CC"/>
        <sz val="7.0"/>
        <u/>
      </rPr>
      <t>United States</t>
    </r>
    <r>
      <rPr>
        <rFont val="Poppins"/>
        <sz val="7.0"/>
      </rPr>
      <t xml:space="preserve">, Europe, </t>
    </r>
    <r>
      <rPr>
        <rFont val="Poppins"/>
        <b/>
        <sz val="7.0"/>
      </rPr>
      <t>Canada &amp; American region.</t>
    </r>
    <r>
      <rPr>
        <rFont val="Poppins"/>
        <sz val="7.0"/>
      </rPr>
      <t xml:space="preserve">
- [Sector Investement Focus] &gt; Private Data Provider &gt; The firm seeks to invest in B2B, commercial services, transportation, energy, information technology, construction technology, advanced manufacturing, artificial intelligence, climate technology, industrials, infrastructure, </t>
    </r>
    <r>
      <rPr>
        <rFont val="Poppins"/>
        <b/>
        <sz val="7.0"/>
      </rPr>
      <t>SaaS</t>
    </r>
    <r>
      <rPr>
        <rFont val="Poppins"/>
        <sz val="7.0"/>
      </rPr>
      <t xml:space="preserve">, manufacturing, </t>
    </r>
    <r>
      <rPr>
        <rFont val="Poppins"/>
        <b/>
        <color rgb="FF1155CC"/>
        <sz val="7.0"/>
        <u/>
      </rPr>
      <t>robotics &amp; drone</t>
    </r>
    <r>
      <rPr>
        <rFont val="Poppins"/>
        <color rgb="FF1155CC"/>
        <sz val="7.0"/>
        <u/>
      </rPr>
      <t xml:space="preserve">.
</t>
    </r>
    <r>
      <rPr>
        <rFont val="Poppins"/>
        <sz val="7.0"/>
      </rPr>
      <t xml:space="preserve">- [Maturity focus = Emerging] &gt; Data manager judgement &gt; They haven’t publicly disclosed their maturity focus, but the rest of the criteria aligns with your strategy </t>
    </r>
    <r>
      <rPr>
        <rFont val="Poppins"/>
        <b/>
        <sz val="7.0"/>
      </rPr>
      <t>#DemandCreation.</t>
    </r>
  </si>
  <si>
    <t>Approved - Don't campaign</t>
  </si>
  <si>
    <t>Have a construction, manufacturing focus</t>
  </si>
  <si>
    <r>
      <rPr>
        <rFont val="Poppins"/>
        <sz val="7.0"/>
      </rPr>
      <t xml:space="preserve">Pitchbook states and confirms that Caterpillar Venture Capital </t>
    </r>
    <r>
      <rPr>
        <rFont val="Poppins"/>
        <b/>
        <sz val="7.0"/>
      </rPr>
      <t>seeks</t>
    </r>
    <r>
      <rPr>
        <rFont val="Poppins"/>
        <sz val="7.0"/>
      </rPr>
      <t xml:space="preserve"> to invest in </t>
    </r>
    <r>
      <rPr>
        <rFont val="Poppins"/>
        <b/>
        <sz val="7.0"/>
      </rPr>
      <t>energy</t>
    </r>
    <r>
      <rPr>
        <rFont val="Poppins"/>
        <sz val="7.0"/>
      </rPr>
      <t xml:space="preserve">, </t>
    </r>
    <r>
      <rPr>
        <rFont val="Poppins"/>
        <b/>
        <sz val="7.0"/>
      </rPr>
      <t>digital</t>
    </r>
    <r>
      <rPr>
        <rFont val="Poppins"/>
        <sz val="7.0"/>
      </rPr>
      <t xml:space="preserve">, </t>
    </r>
    <r>
      <rPr>
        <rFont val="Poppins"/>
        <b/>
        <color rgb="FF1155CC"/>
        <sz val="7.0"/>
        <u/>
      </rPr>
      <t>robotics</t>
    </r>
    <r>
      <rPr>
        <rFont val="Poppins"/>
        <sz val="7.0"/>
      </rPr>
      <t xml:space="preserve">, and advanced materials sectors. This indicates that they are open to various sectors as well as the sectors you have demanded. </t>
    </r>
  </si>
  <si>
    <t>AVP - AXA Venture Partners</t>
  </si>
  <si>
    <t>https://www.axavp.com/fund-investing/</t>
  </si>
  <si>
    <t>France</t>
  </si>
  <si>
    <r>
      <rPr>
        <rFont val="Poppins"/>
        <sz val="7.0"/>
      </rPr>
      <t xml:space="preserve">-[Asset class = Funds - VC] &gt; Website &gt; "...AVP invests into top-tier </t>
    </r>
    <r>
      <rPr>
        <rFont val="Poppins"/>
        <b/>
        <sz val="7.0"/>
      </rPr>
      <t xml:space="preserve">emerging </t>
    </r>
    <r>
      <rPr>
        <rFont val="Poppins"/>
        <sz val="7.0"/>
      </rPr>
      <t xml:space="preserve">and established </t>
    </r>
    <r>
      <rPr>
        <rFont val="Poppins"/>
        <b/>
        <color rgb="FF1155CC"/>
        <sz val="7.0"/>
        <u/>
      </rPr>
      <t xml:space="preserve">venture-stage </t>
    </r>
    <r>
      <rPr>
        <rFont val="Poppins"/>
        <sz val="7.0"/>
      </rPr>
      <t xml:space="preserve">and growth </t>
    </r>
    <r>
      <rPr>
        <rFont val="Poppins"/>
        <b/>
        <sz val="7.0"/>
      </rPr>
      <t xml:space="preserve">funds </t>
    </r>
    <r>
      <rPr>
        <rFont val="Poppins"/>
        <sz val="7.0"/>
      </rPr>
      <t>...."
-[Region investement focus] &gt; Website &gt; "...AVP invests globally</t>
    </r>
    <r>
      <rPr>
        <rFont val="Poppins"/>
        <b/>
        <sz val="7.0"/>
      </rPr>
      <t xml:space="preserve"> </t>
    </r>
    <r>
      <rPr>
        <rFont val="Poppins"/>
        <sz val="7.0"/>
      </rPr>
      <t xml:space="preserve">through 3 offices: </t>
    </r>
    <r>
      <rPr>
        <rFont val="Poppins"/>
        <b/>
        <color rgb="FF1155CC"/>
        <sz val="7.0"/>
        <u/>
      </rPr>
      <t>New York,</t>
    </r>
    <r>
      <rPr>
        <rFont val="Poppins"/>
        <sz val="7.0"/>
      </rPr>
      <t xml:space="preserve"> London, Paris</t>
    </r>
    <r>
      <rPr>
        <rFont val="Poppins"/>
        <b/>
        <sz val="7.0"/>
      </rPr>
      <t>..."</t>
    </r>
    <r>
      <rPr>
        <rFont val="Poppins"/>
        <sz val="7.0"/>
      </rPr>
      <t xml:space="preserve">
-[Sector investement focus] &gt; Website &gt; "...including: enterprise SaaS, digital health, consumer </t>
    </r>
    <r>
      <rPr>
        <rFont val="Poppins"/>
        <b/>
        <sz val="7.0"/>
      </rPr>
      <t xml:space="preserve">technologies </t>
    </r>
    <r>
      <rPr>
        <rFont val="Poppins"/>
        <sz val="7.0"/>
      </rPr>
      <t xml:space="preserve">and Fintech/Insurtech. Within these verticals, latest investments have been in </t>
    </r>
    <r>
      <rPr>
        <rFont val="Poppins"/>
        <b/>
        <color rgb="FF1155CC"/>
        <sz val="7.0"/>
        <u/>
      </rPr>
      <t>AI</t>
    </r>
    <r>
      <rPr>
        <rFont val="Poppins"/>
        <sz val="7.0"/>
      </rPr>
      <t xml:space="preserve"> and cybersecurity..."
- [Maturity focus = Emerging] &gt; Data manager judgement &gt; We have confirmed from private data providers that they do infact invest in emerging managers.</t>
    </r>
  </si>
  <si>
    <t>Senior Associate - Investor Relations</t>
  </si>
  <si>
    <t>Marine de Fages</t>
  </si>
  <si>
    <t>Marine</t>
  </si>
  <si>
    <t>de Fages</t>
  </si>
  <si>
    <t>marine.defages@avpcap.com</t>
  </si>
  <si>
    <t>https://www.linkedin.com/in/marinedefages/</t>
  </si>
  <si>
    <t>Bain Capital Ventures</t>
  </si>
  <si>
    <t>https://baincapitalventures.com/</t>
  </si>
  <si>
    <t>Website, Private data provider, Portfolio</t>
  </si>
  <si>
    <r>
      <rPr>
        <rFont val="Poppins"/>
        <sz val="7.0"/>
      </rPr>
      <t xml:space="preserve">-[Asset class = Funds - VC] &gt; Website &gt; ''...For seven years, BCV has invested in emerging </t>
    </r>
    <r>
      <rPr>
        <rFont val="Poppins"/>
        <b/>
        <color rgb="FF1155CC"/>
        <sz val="7.0"/>
        <u/>
      </rPr>
      <t>fund</t>
    </r>
    <r>
      <rPr>
        <rFont val="Poppins"/>
        <sz val="7.0"/>
      </rPr>
      <t xml:space="preserve"> managers...'' + Private data provider confirms that they invest in </t>
    </r>
    <r>
      <rPr>
        <rFont val="Poppins"/>
        <b/>
        <sz val="7.0"/>
      </rPr>
      <t>VC funds.</t>
    </r>
    <r>
      <rPr>
        <rFont val="Poppins"/>
        <sz val="7.0"/>
      </rPr>
      <t xml:space="preserve">
- [Sector investment focus] &gt; Website &gt; Their sector focus is Fintech, Commerce, Security, Industrial, </t>
    </r>
    <r>
      <rPr>
        <rFont val="Poppins"/>
        <b/>
        <color rgb="FF1155CC"/>
        <sz val="7.0"/>
        <u/>
      </rPr>
      <t>AI Infrastructure</t>
    </r>
    <r>
      <rPr>
        <rFont val="Poppins"/>
        <sz val="7.0"/>
      </rPr>
      <t xml:space="preserve">, </t>
    </r>
    <r>
      <rPr>
        <rFont val="Poppins"/>
        <b/>
        <sz val="7.0"/>
      </rPr>
      <t>AI Apps</t>
    </r>
    <r>
      <rPr>
        <rFont val="Poppins"/>
        <sz val="7.0"/>
      </rPr>
      <t xml:space="preserve"> and Healthcare.
- [Region investment focus] &gt; Portfolio &gt; Their portfolio confirms their investments in </t>
    </r>
    <r>
      <rPr>
        <rFont val="Poppins"/>
        <b/>
        <color rgb="FF1155CC"/>
        <sz val="7.0"/>
        <u/>
      </rPr>
      <t>North America</t>
    </r>
    <r>
      <rPr>
        <rFont val="Poppins"/>
        <sz val="7.0"/>
      </rPr>
      <t xml:space="preserve"> (Hightouch, Unstructured, Moveworks, Crusoe, etc).
- [Maturity focus = Emerging ] &gt; Website &gt; ''...For seven years, BCV has invested in </t>
    </r>
    <r>
      <rPr>
        <rFont val="Poppins"/>
        <b/>
        <sz val="7.0"/>
      </rPr>
      <t>emerging fund managers</t>
    </r>
    <r>
      <rPr>
        <rFont val="Poppins"/>
        <sz val="7.0"/>
      </rPr>
      <t>...''</t>
    </r>
  </si>
  <si>
    <t>They prefer to like larger checks</t>
  </si>
  <si>
    <t>Founder - Executive Director</t>
  </si>
  <si>
    <t>Cardumen Capital</t>
  </si>
  <si>
    <t>https://www.cardumencapital.com/</t>
  </si>
  <si>
    <r>
      <rPr>
        <rFont val="Poppins"/>
        <sz val="7.0"/>
      </rPr>
      <t xml:space="preserve">- [Asset Class = Fund VC] &gt; Website + Portfolio &gt; "...Our strategy includes investing in </t>
    </r>
    <r>
      <rPr>
        <rFont val="Poppins"/>
        <b/>
        <sz val="7.0"/>
      </rPr>
      <t>private equity funds</t>
    </r>
    <r>
      <rPr>
        <rFont val="Poppins"/>
        <sz val="7.0"/>
      </rPr>
      <t xml:space="preserve"> engaging in buyouts, growth capital, and turnaround strategies. In </t>
    </r>
    <r>
      <rPr>
        <rFont val="Poppins"/>
        <b/>
        <color rgb="FF1155CC"/>
        <sz val="7.0"/>
        <u/>
      </rPr>
      <t>venture capital</t>
    </r>
    <r>
      <rPr>
        <rFont val="Poppins"/>
        <sz val="7.0"/>
      </rPr>
      <t xml:space="preserve"> we invest in </t>
    </r>
    <r>
      <rPr>
        <rFont val="Poppins"/>
        <b/>
        <sz val="7.0"/>
      </rPr>
      <t xml:space="preserve">funds </t>
    </r>
    <r>
      <rPr>
        <rFont val="Poppins"/>
        <sz val="7.0"/>
      </rPr>
      <t xml:space="preserve">targeting sectors with strong underlying technologies..." + Their portfolio includes </t>
    </r>
    <r>
      <rPr>
        <rFont val="Poppins"/>
        <b/>
        <color rgb="FF1155CC"/>
        <sz val="7.0"/>
        <u/>
      </rPr>
      <t>VC Funds</t>
    </r>
    <r>
      <rPr>
        <rFont val="Poppins"/>
        <sz val="7.0"/>
      </rPr>
      <t xml:space="preserve">, ex: </t>
    </r>
    <r>
      <rPr>
        <rFont val="Poppins"/>
        <b/>
        <sz val="7.0"/>
      </rPr>
      <t xml:space="preserve">Learn Capital Fund V, Q Impact Fund II, Ecosystem Integrity Fund V.
</t>
    </r>
    <r>
      <rPr>
        <rFont val="Poppins"/>
        <sz val="7.0"/>
      </rPr>
      <t xml:space="preserve">- [Sector Investment Focus] &gt; Website + Portfolio &gt; "...We are </t>
    </r>
    <r>
      <rPr>
        <rFont val="Poppins"/>
        <b/>
        <color rgb="FF1155CC"/>
        <sz val="7.0"/>
        <u/>
      </rPr>
      <t>DeepTech</t>
    </r>
    <r>
      <rPr>
        <rFont val="Poppins"/>
        <sz val="7.0"/>
      </rPr>
      <t xml:space="preserve"> investors, founders and operators..." + Their portfolio includes investments in the </t>
    </r>
    <r>
      <rPr>
        <rFont val="Poppins"/>
        <b/>
        <color rgb="FF1155CC"/>
        <sz val="7.0"/>
        <u/>
      </rPr>
      <t>AI</t>
    </r>
    <r>
      <rPr>
        <rFont val="Poppins"/>
        <sz val="7.0"/>
      </rPr>
      <t xml:space="preserve"> sector, ex: </t>
    </r>
    <r>
      <rPr>
        <rFont val="Poppins"/>
        <b/>
        <sz val="7.0"/>
      </rPr>
      <t>tomato, blee, brandlight, etc.</t>
    </r>
    <r>
      <rPr>
        <rFont val="Poppins"/>
        <sz val="7.0"/>
      </rPr>
      <t xml:space="preserve">
- [Region Investment Focus] &gt; Website + Portfolio &gt; "...We have a diverse set of investors, geographically spread across Europe, Latin America and </t>
    </r>
    <r>
      <rPr>
        <rFont val="Poppins"/>
        <b/>
        <color rgb="FF1155CC"/>
        <sz val="7.0"/>
        <u/>
      </rPr>
      <t>Asia</t>
    </r>
    <r>
      <rPr>
        <rFont val="Poppins"/>
        <sz val="7.0"/>
      </rPr>
      <t xml:space="preserve">..." + Their portfolio includes investments based in </t>
    </r>
    <r>
      <rPr>
        <rFont val="Poppins"/>
        <b/>
        <color rgb="FF1155CC"/>
        <sz val="7.0"/>
        <u/>
      </rPr>
      <t>North America</t>
    </r>
    <r>
      <rPr>
        <rFont val="Poppins"/>
        <b/>
        <sz val="7.0"/>
      </rPr>
      <t xml:space="preserve">, ex: blee, Brandlight, the ecosystem integrity fund, etc.
</t>
    </r>
    <r>
      <rPr>
        <rFont val="Poppins"/>
        <sz val="7.0"/>
      </rPr>
      <t xml:space="preserve">- [Maturity Focus = Emerging] &gt; Portfolio &gt; Their portfolio includes venture capital funds managed by </t>
    </r>
    <r>
      <rPr>
        <rFont val="Poppins"/>
        <b/>
        <sz val="7.0"/>
      </rPr>
      <t>emerging managers</t>
    </r>
    <r>
      <rPr>
        <rFont val="Poppins"/>
        <sz val="7.0"/>
      </rPr>
      <t>, such as Q Impact Fund II.</t>
    </r>
  </si>
  <si>
    <t>VC Analyst</t>
  </si>
  <si>
    <t>Carla Calviño Romeo</t>
  </si>
  <si>
    <t>Carla</t>
  </si>
  <si>
    <t>Calviño Romeo</t>
  </si>
  <si>
    <t>carla.calvino@cardumencapital.com</t>
  </si>
  <si>
    <t>https://www.linkedin.com/in/carla-calvi%C3%B1oromeo/</t>
  </si>
  <si>
    <t>Ruttenberg Gordon Investments</t>
  </si>
  <si>
    <t>https://www.ruttenberggordon.com/operating-businesses</t>
  </si>
  <si>
    <t>Website, Portfolio</t>
  </si>
  <si>
    <r>
      <rPr>
        <rFont val="Poppins"/>
        <sz val="7.0"/>
      </rPr>
      <t xml:space="preserve">- [Asset class = Fund - VC] &gt; Portfolio &gt; Their portfolio consists of </t>
    </r>
    <r>
      <rPr>
        <rFont val="Poppins"/>
        <b/>
        <color rgb="FF1155CC"/>
        <sz val="7.0"/>
        <u/>
      </rPr>
      <t>VC Funds</t>
    </r>
    <r>
      <rPr>
        <rFont val="Poppins"/>
        <sz val="7.0"/>
      </rPr>
      <t xml:space="preserve">, ex: </t>
    </r>
    <r>
      <rPr>
        <rFont val="Poppins"/>
        <b/>
        <sz val="7.0"/>
      </rPr>
      <t>Blockchain</t>
    </r>
    <r>
      <rPr>
        <rFont val="Poppins"/>
        <sz val="7.0"/>
      </rPr>
      <t xml:space="preserve"> </t>
    </r>
    <r>
      <rPr>
        <rFont val="Poppins"/>
        <b/>
        <sz val="7.0"/>
      </rPr>
      <t>venture</t>
    </r>
    <r>
      <rPr>
        <rFont val="Poppins"/>
        <sz val="7.0"/>
      </rPr>
      <t xml:space="preserve"> and </t>
    </r>
    <r>
      <rPr>
        <rFont val="Poppins"/>
        <b/>
        <sz val="7.0"/>
      </rPr>
      <t>PV</t>
    </r>
    <r>
      <rPr>
        <rFont val="Poppins"/>
        <sz val="7.0"/>
      </rPr>
      <t xml:space="preserve"> </t>
    </r>
    <r>
      <rPr>
        <rFont val="Poppins"/>
        <b/>
        <sz val="7.0"/>
      </rPr>
      <t>Venture.</t>
    </r>
    <r>
      <rPr>
        <rFont val="Poppins"/>
        <sz val="7.0"/>
      </rPr>
      <t xml:space="preserve">
- [Region investement focus] &gt; Portfolio &gt; There portfolio consists venture funds from </t>
    </r>
    <r>
      <rPr>
        <rFont val="Poppins"/>
        <b/>
        <color rgb="FF1155CC"/>
        <sz val="7.0"/>
        <u/>
      </rPr>
      <t>US</t>
    </r>
    <r>
      <rPr>
        <rFont val="Poppins"/>
        <sz val="7.0"/>
      </rPr>
      <t xml:space="preserve"> and UK, for example: Global Blockchain venture &amp; PV Venture.
- [Sector Investement focus] &gt; Website &gt;  "...Our team has provided equity and structured capital to companies across nearly every sector including </t>
    </r>
    <r>
      <rPr>
        <rFont val="Poppins"/>
        <b/>
        <sz val="7.0"/>
      </rPr>
      <t>deep</t>
    </r>
    <r>
      <rPr>
        <rFont val="Poppins"/>
        <sz val="7.0"/>
      </rPr>
      <t xml:space="preserve"> </t>
    </r>
    <r>
      <rPr>
        <rFont val="Poppins"/>
        <b/>
        <sz val="7.0"/>
      </rPr>
      <t>tech</t>
    </r>
    <r>
      <rPr>
        <rFont val="Poppins"/>
        <sz val="7.0"/>
      </rPr>
      <t xml:space="preserve">, fintech, clean tech, green energy, oil and gas, rare earths, metals and mining, hospitality, </t>
    </r>
    <r>
      <rPr>
        <rFont val="Poppins"/>
        <b/>
        <color rgb="FF1155CC"/>
        <sz val="7.0"/>
        <u/>
      </rPr>
      <t>AI</t>
    </r>
    <r>
      <rPr>
        <rFont val="Poppins"/>
        <sz val="7.0"/>
      </rPr>
      <t xml:space="preserve">, e-commerce, logistics, entertainment, sports, and sports tech..."
- [Maturity focus = Emerging] &gt; Website  &gt; "...RGI invests in multifamily real estate and private businesses across the capital stack in nearly </t>
    </r>
    <r>
      <rPr>
        <rFont val="Poppins"/>
        <b/>
        <sz val="7.0"/>
      </rPr>
      <t>every industry and stage</t>
    </r>
    <r>
      <rPr>
        <rFont val="Poppins"/>
        <sz val="7.0"/>
      </rPr>
      <t>...."</t>
    </r>
  </si>
  <si>
    <t>Real estate focus</t>
  </si>
  <si>
    <r>
      <rPr>
        <rFont val="Poppins"/>
        <sz val="7.0"/>
      </rPr>
      <t xml:space="preserve">Their portfolio confirms they invest in </t>
    </r>
    <r>
      <rPr>
        <rFont val="Poppins"/>
        <b/>
        <color rgb="FF1155CC"/>
        <sz val="7.0"/>
        <u/>
      </rPr>
      <t>VC Funds</t>
    </r>
    <r>
      <rPr>
        <rFont val="Poppins"/>
        <sz val="7.0"/>
      </rPr>
      <t xml:space="preserve">, ex: Blockchain venture and PV Venture, among others. </t>
    </r>
  </si>
  <si>
    <t>AS1 Growth Partners</t>
  </si>
  <si>
    <t>https://www.as1growthpartners.com/</t>
  </si>
  <si>
    <t>Australia</t>
  </si>
  <si>
    <r>
      <rPr>
        <rFont val="Poppins"/>
        <sz val="7.0"/>
      </rPr>
      <t xml:space="preserve">- [Asset Class = Funds - VC] &gt; Portfolio &gt; Their portfolio confirms that they invest in </t>
    </r>
    <r>
      <rPr>
        <rFont val="Poppins"/>
        <b/>
        <color rgb="FF1155CC"/>
        <sz val="7.0"/>
        <u/>
      </rPr>
      <t>VC funds</t>
    </r>
    <r>
      <rPr>
        <rFont val="Poppins"/>
        <b/>
        <sz val="7.0"/>
      </rPr>
      <t xml:space="preserve"> </t>
    </r>
    <r>
      <rPr>
        <rFont val="Poppins"/>
        <sz val="7.0"/>
      </rPr>
      <t>(</t>
    </r>
    <r>
      <rPr>
        <rFont val="Poppins"/>
        <b/>
        <sz val="7.0"/>
      </rPr>
      <t>Genesis Capital, January Capital</t>
    </r>
    <r>
      <rPr>
        <rFont val="Poppins"/>
        <sz val="7.0"/>
      </rPr>
      <t xml:space="preserve">)
- [Region Investment Focus ] &gt; Portfolio &gt; Their portfolio confirms that their region focus include US, ex: </t>
    </r>
    <r>
      <rPr>
        <rFont val="Poppins"/>
        <b/>
        <sz val="7.0"/>
      </rPr>
      <t xml:space="preserve">Tiger Global
</t>
    </r>
    <r>
      <rPr>
        <rFont val="Poppins"/>
        <sz val="7.0"/>
      </rPr>
      <t xml:space="preserve">- [Sector Investment Focus ] &gt; Website + Portfolio &gt; ''...We focus on growth-stage </t>
    </r>
    <r>
      <rPr>
        <rFont val="Poppins"/>
        <b/>
        <color rgb="FF1155CC"/>
        <sz val="7.0"/>
        <u/>
      </rPr>
      <t>technology</t>
    </r>
    <r>
      <rPr>
        <rFont val="Poppins"/>
        <sz val="7.0"/>
      </rPr>
      <t xml:space="preserve"> investments in both private &amp; public markets...'' + Their investment in Blackbird and January Capital, further focuses on </t>
    </r>
    <r>
      <rPr>
        <rFont val="Poppins"/>
        <b/>
        <color rgb="FF1155CC"/>
        <sz val="7.0"/>
        <u/>
      </rPr>
      <t>AI</t>
    </r>
    <r>
      <rPr>
        <rFont val="Poppins"/>
        <sz val="7.0"/>
      </rPr>
      <t xml:space="preserve"> and </t>
    </r>
    <r>
      <rPr>
        <rFont val="Poppins"/>
        <b/>
        <sz val="7.0"/>
      </rPr>
      <t>technology</t>
    </r>
    <r>
      <rPr>
        <rFont val="Poppins"/>
        <sz val="7.0"/>
      </rPr>
      <t xml:space="preserve">.
- [Maturity focus = Emerging] &gt; Data manager judgement &gt; They haven’t publicly disclosed their maturity focus, but the rest of the criteria aligns with your strategy </t>
    </r>
    <r>
      <rPr>
        <rFont val="Poppins"/>
        <b/>
        <sz val="7.0"/>
      </rPr>
      <t>#DemandCreation.</t>
    </r>
  </si>
  <si>
    <t>Principal</t>
  </si>
  <si>
    <t>Joe Patrick</t>
  </si>
  <si>
    <t>Joe</t>
  </si>
  <si>
    <t>Patrick</t>
  </si>
  <si>
    <t>joe.patrick@as1growthpartners.com</t>
  </si>
  <si>
    <t>https://www.linkedin.com/in/joe-patrick-36223b65/</t>
  </si>
  <si>
    <t>AR Capital</t>
  </si>
  <si>
    <t>https://ar-capital.ch/portfolio</t>
  </si>
  <si>
    <r>
      <rPr>
        <rFont val="Poppins"/>
        <sz val="7.0"/>
      </rPr>
      <t xml:space="preserve">-[Asset Class = Fund-VC] &gt; Website + Portfolio &gt; "...Our portfolio is diversified across a wide range of asset classes including Hedge Funds, Private Equity and </t>
    </r>
    <r>
      <rPr>
        <rFont val="Poppins"/>
        <b/>
        <color rgb="FF1155CC"/>
        <sz val="7.0"/>
        <u/>
      </rPr>
      <t>Venture Funds</t>
    </r>
    <r>
      <rPr>
        <rFont val="Poppins"/>
        <sz val="7.0"/>
      </rPr>
      <t xml:space="preserve">, Direct investments, Real Estate, Collectables and Liquid Assets such as bonds, equities and cash..." + Their portfolio has </t>
    </r>
    <r>
      <rPr>
        <rFont val="Poppins"/>
        <b/>
        <sz val="7.0"/>
      </rPr>
      <t>VC Funds</t>
    </r>
    <r>
      <rPr>
        <rFont val="Poppins"/>
        <sz val="7.0"/>
      </rPr>
      <t xml:space="preserve"> investments, ex: </t>
    </r>
    <r>
      <rPr>
        <rFont val="Poppins"/>
        <b/>
        <sz val="7.0"/>
      </rPr>
      <t>Compound, The House Fund, 8VC.</t>
    </r>
    <r>
      <rPr>
        <rFont val="Poppins"/>
        <sz val="7.0"/>
      </rPr>
      <t xml:space="preserve">
-[Sector Investment Focus] &gt; Website + Portfolio &gt; "...We have a portfolio of 40+ fund managers with a </t>
    </r>
    <r>
      <rPr>
        <rFont val="Poppins"/>
        <b/>
        <sz val="7.0"/>
      </rPr>
      <t>wide range</t>
    </r>
    <r>
      <rPr>
        <rFont val="Poppins"/>
        <sz val="7.0"/>
      </rPr>
      <t xml:space="preserve"> of stage, geography and </t>
    </r>
    <r>
      <rPr>
        <rFont val="Poppins"/>
        <b/>
        <color rgb="FF1155CC"/>
        <sz val="7.0"/>
        <u/>
      </rPr>
      <t>sector focus</t>
    </r>
    <r>
      <rPr>
        <rFont val="Poppins"/>
        <sz val="7.0"/>
      </rPr>
      <t xml:space="preserve">..." + Their portoflio has investments focusing on </t>
    </r>
    <r>
      <rPr>
        <rFont val="Poppins"/>
        <b/>
        <color rgb="FF1155CC"/>
        <sz val="7.0"/>
        <u/>
      </rPr>
      <t>AI</t>
    </r>
    <r>
      <rPr>
        <rFont val="Poppins"/>
        <b/>
        <sz val="7.0"/>
      </rPr>
      <t>, ex: Compound, The House Fund, 8VC.</t>
    </r>
    <r>
      <rPr>
        <rFont val="Poppins"/>
        <sz val="7.0"/>
      </rPr>
      <t xml:space="preserve">
-[Region Investment Focus] &gt; Website &gt; "...We invest minority stakes in private companies from different geographies (global mandate with focus on </t>
    </r>
    <r>
      <rPr>
        <rFont val="Poppins"/>
        <b/>
        <color rgb="FF1155CC"/>
        <sz val="7.0"/>
        <u/>
      </rPr>
      <t>US</t>
    </r>
    <r>
      <rPr>
        <rFont val="Poppins"/>
        <sz val="7.0"/>
      </rPr>
      <t xml:space="preserve">, </t>
    </r>
    <r>
      <rPr>
        <rFont val="Poppins"/>
        <b/>
        <sz val="7.0"/>
      </rPr>
      <t>Asia</t>
    </r>
    <r>
      <rPr>
        <rFont val="Poppins"/>
        <sz val="7.0"/>
      </rPr>
      <t xml:space="preserve">, EU, </t>
    </r>
    <r>
      <rPr>
        <rFont val="Poppins"/>
        <b/>
        <sz val="7.0"/>
      </rPr>
      <t>Middle-East</t>
    </r>
    <r>
      <rPr>
        <rFont val="Poppins"/>
        <sz val="7.0"/>
      </rPr>
      <t xml:space="preserve"> and Africa) ..."
- [Maturity Focus = Emerging] &gt; Data manager judgement &gt; They haven't publicly disclosed their maturity focus, but rest of the criteria aligns with the IIP </t>
    </r>
    <r>
      <rPr>
        <rFont val="Poppins"/>
        <b/>
        <sz val="7.0"/>
      </rPr>
      <t>#DemandCreation.</t>
    </r>
  </si>
  <si>
    <t>Founding Partner</t>
  </si>
  <si>
    <t>Benjamin Nuchowicz</t>
  </si>
  <si>
    <t xml:space="preserve">Benjamin </t>
  </si>
  <si>
    <t>Nuchowicz</t>
  </si>
  <si>
    <t>bnu@araudit.ch</t>
  </si>
  <si>
    <t>https://www.linkedin.com/in/benjamin-nuchowicz-3312b0126/</t>
  </si>
  <si>
    <t>August</t>
  </si>
  <si>
    <t>https://august.lu/</t>
  </si>
  <si>
    <r>
      <rPr>
        <rFont val="Poppins"/>
        <sz val="7.0"/>
      </rPr>
      <t xml:space="preserve">- [Asset Class = Funds - VC] &gt; Website + Portfolio &gt; "...Committed to 70+ </t>
    </r>
    <r>
      <rPr>
        <rFont val="Poppins"/>
        <b/>
        <color rgb="FF1155CC"/>
        <sz val="7.0"/>
        <u/>
      </rPr>
      <t>funds</t>
    </r>
    <r>
      <rPr>
        <rFont val="Poppins"/>
        <sz val="7.0"/>
      </rPr>
      <t xml:space="preserve">..." + Their portfolio consist of </t>
    </r>
    <r>
      <rPr>
        <rFont val="Poppins"/>
        <b/>
        <color rgb="FF1155CC"/>
        <sz val="7.0"/>
        <u/>
      </rPr>
      <t>VC Funds</t>
    </r>
    <r>
      <rPr>
        <rFont val="Poppins"/>
        <sz val="7.0"/>
      </rPr>
      <t xml:space="preserve">, ex: </t>
    </r>
    <r>
      <rPr>
        <rFont val="Poppins"/>
        <b/>
        <sz val="7.0"/>
      </rPr>
      <t>Singular, Sirder</t>
    </r>
    <r>
      <rPr>
        <rFont val="Poppins"/>
        <sz val="7.0"/>
      </rPr>
      <t>.
- [Sector Investment Focus] &gt; Website &gt; "...geographies (</t>
    </r>
    <r>
      <rPr>
        <rFont val="Poppins"/>
        <b/>
        <color rgb="FF1155CC"/>
        <sz val="7.0"/>
        <u/>
      </rPr>
      <t>Asia</t>
    </r>
    <r>
      <rPr>
        <rFont val="Poppins"/>
        <sz val="7.0"/>
      </rPr>
      <t xml:space="preserve">, Europe, </t>
    </r>
    <r>
      <rPr>
        <rFont val="Poppins"/>
        <b/>
        <sz val="7.0"/>
      </rPr>
      <t>US</t>
    </r>
    <r>
      <rPr>
        <rFont val="Poppins"/>
        <sz val="7.0"/>
      </rPr>
      <t xml:space="preserve">) through the best managers..."
- [Region investment focus] &gt; Portfolio &gt; Their portfolio confirms that they focus on broad technology which include </t>
    </r>
    <r>
      <rPr>
        <rFont val="Poppins"/>
        <b/>
        <color rgb="FF1155CC"/>
        <sz val="7.0"/>
        <u/>
      </rPr>
      <t>AI</t>
    </r>
    <r>
      <rPr>
        <rFont val="Poppins"/>
        <b/>
        <sz val="7.0"/>
      </rPr>
      <t>, Deep Tech</t>
    </r>
    <r>
      <rPr>
        <rFont val="Poppins"/>
        <sz val="7.0"/>
      </rPr>
      <t xml:space="preserve">, ex: </t>
    </r>
    <r>
      <rPr>
        <rFont val="Poppins"/>
        <b/>
        <sz val="7.0"/>
      </rPr>
      <t>Singular, Stride</t>
    </r>
    <r>
      <rPr>
        <rFont val="Poppins"/>
        <sz val="7.0"/>
      </rPr>
      <t xml:space="preserve">.
- [Maturity focus = Emerging] &gt; Data manager judgement &gt; They haven’t publicly disclosed their maturity focus, but the rest of the criteria aligns with your strategy </t>
    </r>
    <r>
      <rPr>
        <rFont val="Poppins"/>
        <b/>
        <sz val="7.0"/>
      </rPr>
      <t>#DemandCreation.</t>
    </r>
  </si>
  <si>
    <r>
      <rPr>
        <rFont val="Poppins"/>
        <sz val="7.0"/>
      </rPr>
      <t xml:space="preserve">They have multiple </t>
    </r>
    <r>
      <rPr>
        <rFont val="Poppins"/>
        <b/>
        <color rgb="FF1155CC"/>
        <sz val="7.0"/>
        <u/>
      </rPr>
      <t>VC Funds</t>
    </r>
    <r>
      <rPr>
        <rFont val="Poppins"/>
        <sz val="7.0"/>
      </rPr>
      <t xml:space="preserve"> in their portfolio. To solidify it even further, they themselves have lauched specialized VC Funds and by 2021 they were commited to </t>
    </r>
    <r>
      <rPr>
        <rFont val="Poppins"/>
        <b/>
        <sz val="7.0"/>
      </rPr>
      <t>70+ funds</t>
    </r>
    <r>
      <rPr>
        <rFont val="Poppins"/>
        <sz val="7.0"/>
      </rPr>
      <t xml:space="preserve">, this indicates that by now, they're commited to investing in </t>
    </r>
    <r>
      <rPr>
        <rFont val="Poppins"/>
        <b/>
        <sz val="7.0"/>
      </rPr>
      <t>even more funds</t>
    </r>
    <r>
      <rPr>
        <rFont val="Poppins"/>
        <sz val="7.0"/>
      </rPr>
      <t>, "...We provide our investors access to a wide array of asset classes (</t>
    </r>
    <r>
      <rPr>
        <rFont val="Poppins"/>
        <b/>
        <sz val="7.0"/>
      </rPr>
      <t>VC</t>
    </r>
    <r>
      <rPr>
        <rFont val="Poppins"/>
        <sz val="7.0"/>
      </rPr>
      <t>, buyout, secondaries, real estate, credit) and geographies (Asia, Europe, US) through the</t>
    </r>
    <r>
      <rPr>
        <rFont val="Poppins"/>
        <b/>
        <sz val="7.0"/>
      </rPr>
      <t xml:space="preserve"> best managers</t>
    </r>
    <r>
      <rPr>
        <rFont val="Poppins"/>
        <sz val="7.0"/>
      </rPr>
      <t>..."</t>
    </r>
  </si>
  <si>
    <t>Alexander Square Partners</t>
  </si>
  <si>
    <t>https://www.alexandersquarepartners.co.uk/</t>
  </si>
  <si>
    <t>United Kingdom</t>
  </si>
  <si>
    <r>
      <rPr>
        <rFont val="Poppins"/>
        <sz val="7.0"/>
      </rPr>
      <t xml:space="preserve">- [Asset class = Funds - VC] &gt; Portfolio &gt; their portfolio consists of </t>
    </r>
    <r>
      <rPr>
        <rFont val="Poppins"/>
        <b/>
        <color rgb="FF1155CC"/>
        <sz val="7.0"/>
        <u/>
      </rPr>
      <t>venture funds</t>
    </r>
    <r>
      <rPr>
        <rFont val="Poppins"/>
        <sz val="7.0"/>
      </rPr>
      <t xml:space="preserve">, ex: </t>
    </r>
    <r>
      <rPr>
        <rFont val="Poppins"/>
        <b/>
        <sz val="7.0"/>
      </rPr>
      <t>Talis Capital, Volution.</t>
    </r>
    <r>
      <rPr>
        <rFont val="Poppins"/>
        <sz val="7.0"/>
      </rPr>
      <t xml:space="preserve">
- [Sector investment focus] &gt; Portfolio &gt; "...We are open to </t>
    </r>
    <r>
      <rPr>
        <rFont val="Poppins"/>
        <b/>
        <color rgb="FF1155CC"/>
        <sz val="7.0"/>
        <u/>
      </rPr>
      <t>any sector</t>
    </r>
    <r>
      <rPr>
        <rFont val="Poppins"/>
        <sz val="7.0"/>
      </rPr>
      <t xml:space="preserve">..." + Their portfolio includes investments which focus on </t>
    </r>
    <r>
      <rPr>
        <rFont val="Poppins"/>
        <b/>
        <sz val="7.0"/>
      </rPr>
      <t>AI, ex: Talis Capital, Volution, Walden Catalyst.</t>
    </r>
    <r>
      <rPr>
        <rFont val="Poppins"/>
        <sz val="7.0"/>
      </rPr>
      <t xml:space="preserve">
- [Region investment focus] &gt; Portfolio &gt;Their investment are based in Europe and </t>
    </r>
    <r>
      <rPr>
        <rFont val="Poppins"/>
        <b/>
        <color rgb="FF1155CC"/>
        <sz val="7.0"/>
        <u/>
      </rPr>
      <t>North America</t>
    </r>
    <r>
      <rPr>
        <rFont val="Poppins"/>
        <sz val="7.0"/>
      </rPr>
      <t xml:space="preserve">, ex: </t>
    </r>
    <r>
      <rPr>
        <rFont val="Poppins"/>
        <b/>
        <sz val="7.0"/>
      </rPr>
      <t xml:space="preserve">Walden Catalyst, Talis Capital.
</t>
    </r>
    <r>
      <rPr>
        <rFont val="Poppins"/>
        <sz val="7.0"/>
      </rPr>
      <t xml:space="preserve">- [Maturity focus = Emerging] &gt; Data manager judgement &gt; They haven’t publicly disclosed their maturity focus, but the rest of the criteria align with your strategy </t>
    </r>
    <r>
      <rPr>
        <rFont val="Poppins"/>
        <b/>
        <sz val="7.0"/>
      </rPr>
      <t>#DemandCreation.</t>
    </r>
  </si>
  <si>
    <r>
      <rPr>
        <rFont val="Poppins"/>
        <sz val="7.0"/>
      </rPr>
      <t xml:space="preserve">They have active </t>
    </r>
    <r>
      <rPr>
        <rFont val="Poppins"/>
        <b/>
        <sz val="7.0"/>
      </rPr>
      <t>VC Fund</t>
    </r>
    <r>
      <rPr>
        <rFont val="Poppins"/>
        <sz val="7.0"/>
      </rPr>
      <t xml:space="preserve"> investments </t>
    </r>
    <r>
      <rPr>
        <rFont val="Poppins"/>
        <b/>
        <sz val="7.0"/>
      </rPr>
      <t>highlighted</t>
    </r>
    <r>
      <rPr>
        <rFont val="Poppins"/>
        <sz val="7.0"/>
      </rPr>
      <t xml:space="preserve"> on their website, which clearifies that they do invest in </t>
    </r>
    <r>
      <rPr>
        <rFont val="Poppins"/>
        <b/>
        <sz val="7.0"/>
      </rPr>
      <t>Venture Capital Funds</t>
    </r>
    <r>
      <rPr>
        <rFont val="Poppins"/>
        <sz val="7.0"/>
      </rPr>
      <t>, "...</t>
    </r>
    <r>
      <rPr>
        <rFont val="Poppins"/>
        <b/>
        <color rgb="FF1155CC"/>
        <sz val="7.0"/>
        <u/>
      </rPr>
      <t>Venture Funds</t>
    </r>
    <r>
      <rPr>
        <rFont val="Poppins"/>
        <sz val="7.0"/>
      </rPr>
      <t>..."</t>
    </r>
  </si>
  <si>
    <t>Willgrow</t>
  </si>
  <si>
    <t>https://willgrow.com/</t>
  </si>
  <si>
    <t>Lithuania</t>
  </si>
  <si>
    <r>
      <rPr>
        <rFont val="Poppins"/>
        <sz val="7.0"/>
      </rPr>
      <t xml:space="preserve">- [Asset Class = Funds - VC] &gt; Website + Portfolio &gt; "...We have invested in some of the world’s most well-known </t>
    </r>
    <r>
      <rPr>
        <rFont val="Poppins"/>
        <b/>
        <sz val="7.0"/>
      </rPr>
      <t>venture managers</t>
    </r>
    <r>
      <rPr>
        <rFont val="Poppins"/>
        <sz val="7.0"/>
      </rPr>
      <t xml:space="preserve"> and in some of the most exciting </t>
    </r>
    <r>
      <rPr>
        <rFont val="Poppins"/>
        <b/>
        <color rgb="FF1155CC"/>
        <sz val="7.0"/>
        <u/>
      </rPr>
      <t>emerging managers</t>
    </r>
    <r>
      <rPr>
        <rFont val="Poppins"/>
        <sz val="7.0"/>
      </rPr>
      <t xml:space="preserve">..." + Their portfolio confirms that they invest in </t>
    </r>
    <r>
      <rPr>
        <rFont val="Poppins"/>
        <b/>
        <color rgb="FF1155CC"/>
        <sz val="7.0"/>
        <u/>
      </rPr>
      <t>VC Funds</t>
    </r>
    <r>
      <rPr>
        <rFont val="Poppins"/>
        <sz val="7.0"/>
      </rPr>
      <t xml:space="preserve">, ex: </t>
    </r>
    <r>
      <rPr>
        <rFont val="Poppins"/>
        <b/>
        <sz val="7.0"/>
      </rPr>
      <t xml:space="preserve">DIG Ventures, etc.
</t>
    </r>
    <r>
      <rPr>
        <rFont val="Poppins"/>
        <sz val="7.0"/>
      </rPr>
      <t xml:space="preserve">- [Maturity Focus = Emerging] &gt; Website &gt;  "...We have invested in some of the world’s most well-known </t>
    </r>
    <r>
      <rPr>
        <rFont val="Poppins"/>
        <b/>
        <sz val="7.0"/>
      </rPr>
      <t>venture managers</t>
    </r>
    <r>
      <rPr>
        <rFont val="Poppins"/>
        <sz val="7.0"/>
      </rPr>
      <t xml:space="preserve"> and in some of the most exciting </t>
    </r>
    <r>
      <rPr>
        <rFont val="Poppins"/>
        <b/>
        <color rgb="FF1155CC"/>
        <sz val="7.0"/>
        <u/>
      </rPr>
      <t>emerging managers</t>
    </r>
    <r>
      <rPr>
        <rFont val="Poppins"/>
        <sz val="7.0"/>
      </rPr>
      <t xml:space="preserve">..."
- [Sector Investment Focus] &gt; Data manager judgement &gt; Their portfolio confirms that they focus on </t>
    </r>
    <r>
      <rPr>
        <rFont val="Poppins"/>
        <b/>
        <color rgb="FF1155CC"/>
        <sz val="7.0"/>
        <u/>
      </rPr>
      <t>AI</t>
    </r>
    <r>
      <rPr>
        <rFont val="Poppins"/>
        <b/>
        <sz val="7.0"/>
      </rPr>
      <t>, ex: Cannage Capital, Audious Capital, etc.</t>
    </r>
    <r>
      <rPr>
        <rFont val="Poppins"/>
        <sz val="7.0"/>
      </rPr>
      <t xml:space="preserve">
- [Region investment focus] &gt; Website &gt; We take a global view, but expect most of our allocation to be in Europe and </t>
    </r>
    <r>
      <rPr>
        <rFont val="Poppins"/>
        <b/>
        <color rgb="FF1155CC"/>
        <sz val="7.0"/>
        <u/>
      </rPr>
      <t>North America</t>
    </r>
    <r>
      <rPr>
        <rFont val="Poppins"/>
        <sz val="7.0"/>
      </rPr>
      <t>.\</t>
    </r>
  </si>
  <si>
    <t>Tomas Krakauskas</t>
  </si>
  <si>
    <t>Tomas</t>
  </si>
  <si>
    <t>Krakauskas</t>
  </si>
  <si>
    <t>tomas.krakauskas@willgrow.com</t>
  </si>
  <si>
    <t>https://www.linkedin.com/in/tomas-krakauskas-9800858/</t>
  </si>
  <si>
    <t>Ambient Sound Investments</t>
  </si>
  <si>
    <t>https://asi.ee/</t>
  </si>
  <si>
    <t>Estonia</t>
  </si>
  <si>
    <r>
      <rPr>
        <rFont val="Poppins"/>
        <sz val="7.0"/>
      </rPr>
      <t xml:space="preserve">- [Asset Class = Funds - VC] &gt; Website &gt; "...investing into the asset class mainly via early stage </t>
    </r>
    <r>
      <rPr>
        <rFont val="Poppins"/>
        <b/>
        <color rgb="FF1155CC"/>
        <sz val="7.0"/>
        <u/>
      </rPr>
      <t>venture capital funds</t>
    </r>
    <r>
      <rPr>
        <rFont val="Poppins"/>
        <sz val="7.0"/>
      </rPr>
      <t xml:space="preserve">..." + They have mentioned on their website that they </t>
    </r>
    <r>
      <rPr>
        <rFont val="Poppins"/>
        <b/>
        <sz val="7.0"/>
      </rPr>
      <t>invest in 1517 Fund  I and III</t>
    </r>
    <r>
      <rPr>
        <rFont val="Poppins"/>
        <sz val="7.0"/>
      </rPr>
      <t xml:space="preserve">, which states that they focus on </t>
    </r>
    <r>
      <rPr>
        <rFont val="Poppins"/>
        <b/>
        <color rgb="FF1155CC"/>
        <sz val="7.0"/>
        <u/>
      </rPr>
      <t>emerging managers.</t>
    </r>
    <r>
      <rPr>
        <rFont val="Poppins"/>
        <sz val="7.0"/>
      </rPr>
      <t xml:space="preserve">
- [Maturity Focus = Emerging] &gt; Website &gt; They have mention on their website that they invest in</t>
    </r>
    <r>
      <rPr>
        <rFont val="Poppins"/>
        <b/>
        <sz val="7.0"/>
      </rPr>
      <t xml:space="preserve"> 1517 Fund  I and III</t>
    </r>
    <r>
      <rPr>
        <rFont val="Poppins"/>
        <sz val="7.0"/>
      </rPr>
      <t xml:space="preserve">, which states that they focus on </t>
    </r>
    <r>
      <rPr>
        <rFont val="Poppins"/>
        <b/>
        <color rgb="FF1155CC"/>
        <sz val="7.0"/>
        <u/>
      </rPr>
      <t>emerging managers</t>
    </r>
    <r>
      <rPr>
        <rFont val="Poppins"/>
        <sz val="7.0"/>
      </rPr>
      <t xml:space="preserve">.
- [Sector Investment Focus] &gt; Website &gt; Their investments further focuses on </t>
    </r>
    <r>
      <rPr>
        <rFont val="Poppins"/>
        <b/>
        <color rgb="FF1155CC"/>
        <sz val="7.0"/>
        <u/>
      </rPr>
      <t>AI, Deep Tech</t>
    </r>
    <r>
      <rPr>
        <rFont val="Poppins"/>
        <sz val="7.0"/>
      </rPr>
      <t xml:space="preserve"> and Quantum Computing, ex: </t>
    </r>
    <r>
      <rPr>
        <rFont val="Poppins"/>
        <b/>
        <sz val="7.0"/>
      </rPr>
      <t>Karma Ventures, 1517 Fund, Golden Gate Ventures</t>
    </r>
    <r>
      <rPr>
        <rFont val="Poppins"/>
        <sz val="7.0"/>
      </rPr>
      <t xml:space="preserve">.
- [Region investment focus] &gt; Website &gt; "...ASI's investment portfolio consists of assets which are geographically located in Europe, </t>
    </r>
    <r>
      <rPr>
        <rFont val="Poppins"/>
        <b/>
        <color rgb="FF1155CC"/>
        <sz val="7.0"/>
        <u/>
      </rPr>
      <t>US</t>
    </r>
    <r>
      <rPr>
        <rFont val="Poppins"/>
        <sz val="7.0"/>
      </rPr>
      <t xml:space="preserve"> and </t>
    </r>
    <r>
      <rPr>
        <rFont val="Poppins"/>
        <b/>
        <sz val="7.0"/>
      </rPr>
      <t>Asia</t>
    </r>
    <r>
      <rPr>
        <rFont val="Poppins"/>
        <sz val="7.0"/>
      </rPr>
      <t>..."</t>
    </r>
  </si>
  <si>
    <t>Investment Manager</t>
  </si>
  <si>
    <t>Kaspar Daljajev</t>
  </si>
  <si>
    <t>Kaspar</t>
  </si>
  <si>
    <t>Daljajev</t>
  </si>
  <si>
    <t>kaspar@asi.ee</t>
  </si>
  <si>
    <t>https://www.linkedin.com/in/kaspar-daljajev-54b52547/</t>
  </si>
  <si>
    <t xml:space="preserve">Laerdal Invest </t>
  </si>
  <si>
    <t>https://www.laerdalinvest.com/</t>
  </si>
  <si>
    <t>Norway</t>
  </si>
  <si>
    <t>Website, Portfolio, Data manager judgement</t>
  </si>
  <si>
    <r>
      <rPr>
        <rFont val="Poppins"/>
        <sz val="7.0"/>
      </rPr>
      <t xml:space="preserve">- [Asset class = Funds - VC] &gt; Website &gt; "... Invest manages a portfolio of </t>
    </r>
    <r>
      <rPr>
        <rFont val="Poppins"/>
        <b/>
        <color rgb="FF1155CC"/>
        <sz val="7.0"/>
        <u/>
      </rPr>
      <t xml:space="preserve">venture funds </t>
    </r>
    <r>
      <rPr>
        <rFont val="Poppins"/>
        <sz val="7.0"/>
      </rPr>
      <t xml:space="preserve">and liquid investments...."
- [Region Investment focus] &gt; Data manager judgement &gt; Their portfolio consists of VC funds. based in </t>
    </r>
    <r>
      <rPr>
        <rFont val="Poppins"/>
        <b/>
        <color rgb="FF1155CC"/>
        <sz val="7.0"/>
        <u/>
      </rPr>
      <t>North America</t>
    </r>
    <r>
      <rPr>
        <rFont val="Poppins"/>
        <b/>
        <sz val="7.0"/>
      </rPr>
      <t xml:space="preserve"> </t>
    </r>
    <r>
      <rPr>
        <rFont val="Poppins"/>
        <sz val="7.0"/>
      </rPr>
      <t xml:space="preserve">and Europe ex: Climate Assets Fund, ArcTern Fund.
- [Sector Investment Focus] &gt; Data manager judgement &gt; Their portfolio consists of VC funds which focuses on </t>
    </r>
    <r>
      <rPr>
        <rFont val="Poppins"/>
        <b/>
        <color rgb="FF1155CC"/>
        <sz val="7.0"/>
        <u/>
      </rPr>
      <t>deep-tech</t>
    </r>
    <r>
      <rPr>
        <rFont val="Poppins"/>
        <b/>
        <sz val="7.0"/>
      </rPr>
      <t xml:space="preserve"> , AI </t>
    </r>
    <r>
      <rPr>
        <rFont val="Poppins"/>
        <sz val="7.0"/>
      </rPr>
      <t>and</t>
    </r>
    <r>
      <rPr>
        <rFont val="Poppins"/>
        <b/>
        <sz val="7.0"/>
      </rPr>
      <t xml:space="preserve"> </t>
    </r>
    <r>
      <rPr>
        <rFont val="Poppins"/>
        <sz val="7.0"/>
      </rPr>
      <t xml:space="preserve">Quantum Computing, ex: </t>
    </r>
    <r>
      <rPr>
        <rFont val="Poppins"/>
        <b/>
        <sz val="7.0"/>
      </rPr>
      <t xml:space="preserve">Cocoon Capital Opportunity Fund I, ArcTern Fund III.
</t>
    </r>
    <r>
      <rPr>
        <rFont val="Poppins"/>
        <sz val="7.0"/>
      </rPr>
      <t xml:space="preserve">- [Maturity Focus = Emerging] &gt; Data manager judgement &gt; They have invested in VC Fund I (Cocoon Capital Opportunity Fund I), which confirms they invest in </t>
    </r>
    <r>
      <rPr>
        <rFont val="Poppins"/>
        <b/>
        <color rgb="FF1155CC"/>
        <sz val="7.0"/>
        <u/>
      </rPr>
      <t>emerging managers</t>
    </r>
    <r>
      <rPr>
        <rFont val="Poppins"/>
        <b/>
        <sz val="7.0"/>
      </rPr>
      <t>.</t>
    </r>
  </si>
  <si>
    <t>PE &amp; climate focus</t>
  </si>
  <si>
    <r>
      <rPr>
        <rFont val="Poppins"/>
        <sz val="7.0"/>
      </rPr>
      <t xml:space="preserve">They have investments focusing on </t>
    </r>
    <r>
      <rPr>
        <rFont val="Poppins"/>
        <b/>
        <sz val="7.0"/>
      </rPr>
      <t>deep tech</t>
    </r>
    <r>
      <rPr>
        <rFont val="Poppins"/>
        <sz val="7.0"/>
      </rPr>
      <t xml:space="preserve"> and </t>
    </r>
    <r>
      <rPr>
        <rFont val="Poppins"/>
        <b/>
        <sz val="7.0"/>
      </rPr>
      <t>AI</t>
    </r>
    <r>
      <rPr>
        <rFont val="Poppins"/>
        <sz val="7.0"/>
      </rPr>
      <t xml:space="preserve">, which confirms that they are open to various sector investments. Their portfolio has active </t>
    </r>
    <r>
      <rPr>
        <rFont val="Poppins"/>
        <b/>
        <color rgb="FF1155CC"/>
        <sz val="7.0"/>
        <u/>
      </rPr>
      <t>VC Fund investments</t>
    </r>
    <r>
      <rPr>
        <rFont val="Poppins"/>
        <sz val="7.0"/>
      </rPr>
      <t>, ex: Sandwater Fund I, Owl Ventures IV and V, etc.</t>
    </r>
  </si>
  <si>
    <t>Skywalker</t>
  </si>
  <si>
    <t>https://www.skywalker.net.in/default.aspx</t>
  </si>
  <si>
    <t>India</t>
  </si>
  <si>
    <r>
      <rPr>
        <rFont val="Poppins"/>
        <sz val="7.0"/>
      </rPr>
      <t xml:space="preserve">-[Asset Class - Fund VC] &gt; Portfolio &gt; Their portfolio confirms that they invest in </t>
    </r>
    <r>
      <rPr>
        <rFont val="Poppins"/>
        <b/>
        <color rgb="FF1155CC"/>
        <sz val="7.0"/>
        <u/>
      </rPr>
      <t>VC Funds</t>
    </r>
    <r>
      <rPr>
        <rFont val="Poppins"/>
        <sz val="7.0"/>
      </rPr>
      <t xml:space="preserve">, ex: </t>
    </r>
    <r>
      <rPr>
        <rFont val="Poppins"/>
        <b/>
        <sz val="7.0"/>
      </rPr>
      <t>Owl Ventures, Seraphim Capital</t>
    </r>
    <r>
      <rPr>
        <rFont val="Poppins"/>
        <sz val="7.0"/>
      </rPr>
      <t>.
-[Region Investment Focus] &gt; Portfolio &gt; Their portfolio confirms that their region focus is</t>
    </r>
    <r>
      <rPr>
        <rFont val="Poppins"/>
        <b/>
        <color rgb="FF1155CC"/>
        <sz val="7.0"/>
        <u/>
      </rPr>
      <t xml:space="preserve"> North America</t>
    </r>
    <r>
      <rPr>
        <rFont val="Poppins"/>
        <sz val="7.0"/>
      </rPr>
      <t xml:space="preserve"> and </t>
    </r>
    <r>
      <rPr>
        <rFont val="Poppins"/>
        <b/>
        <sz val="7.0"/>
      </rPr>
      <t>Europe</t>
    </r>
    <r>
      <rPr>
        <rFont val="Poppins"/>
        <sz val="7.0"/>
      </rPr>
      <t xml:space="preserve">, ex: </t>
    </r>
    <r>
      <rPr>
        <rFont val="Poppins"/>
        <b/>
        <sz val="7.0"/>
      </rPr>
      <t>Dawn Capital, Owl Ventures</t>
    </r>
    <r>
      <rPr>
        <rFont val="Poppins"/>
        <sz val="7.0"/>
      </rPr>
      <t>.
-[Sector Investment Focus] &gt; Website + Portfolio&gt; They have mention on their website that they focus on</t>
    </r>
    <r>
      <rPr>
        <rFont val="Poppins"/>
        <b/>
        <color rgb="FF1155CC"/>
        <sz val="7.0"/>
        <u/>
      </rPr>
      <t xml:space="preserve"> Deep Tech, Fintech</t>
    </r>
    <r>
      <rPr>
        <rFont val="Poppins"/>
        <sz val="7.0"/>
      </rPr>
      <t xml:space="preserve">. + Their portfolio also confirms that they also focus on </t>
    </r>
    <r>
      <rPr>
        <rFont val="Poppins"/>
        <b/>
        <color rgb="FF1155CC"/>
        <sz val="7.0"/>
        <u/>
      </rPr>
      <t>AI</t>
    </r>
    <r>
      <rPr>
        <rFont val="Poppins"/>
        <sz val="7.0"/>
      </rPr>
      <t xml:space="preserve">, ex: </t>
    </r>
    <r>
      <rPr>
        <rFont val="Poppins"/>
        <b/>
        <sz val="7.0"/>
      </rPr>
      <t>Owl Ventures</t>
    </r>
    <r>
      <rPr>
        <rFont val="Poppins"/>
        <sz val="7.0"/>
      </rPr>
      <t xml:space="preserve">.
- [Maturity focus = Emerging] &gt; Portfolio &gt; Their portfolio confirms that they focus on </t>
    </r>
    <r>
      <rPr>
        <rFont val="Poppins"/>
        <b/>
        <color rgb="FF1155CC"/>
        <sz val="7.0"/>
        <u/>
      </rPr>
      <t>emerging managers</t>
    </r>
    <r>
      <rPr>
        <rFont val="Poppins"/>
        <sz val="7.0"/>
      </rPr>
      <t xml:space="preserve">, ex: </t>
    </r>
    <r>
      <rPr>
        <rFont val="Poppins"/>
        <b/>
        <sz val="7.0"/>
      </rPr>
      <t>Seraphim Capital.</t>
    </r>
  </si>
  <si>
    <t>Investment Analyst</t>
  </si>
  <si>
    <t>Shailee Shah</t>
  </si>
  <si>
    <t>Shailee</t>
  </si>
  <si>
    <t>Shah</t>
  </si>
  <si>
    <t>shailee.shah@skywalker.net.in</t>
  </si>
  <si>
    <t>https://www.linkedin.com/in/shailee-shah97/</t>
  </si>
  <si>
    <t>AMK Investment Office</t>
  </si>
  <si>
    <t>https://amkinvestment.com/index.html</t>
  </si>
  <si>
    <r>
      <rPr>
        <rFont val="Poppins"/>
        <sz val="7.0"/>
      </rPr>
      <t xml:space="preserve">- [Asset class = Fund - VC] &gt; Website &gt; "...AMK Investment Office makes opportunistic investments in </t>
    </r>
    <r>
      <rPr>
        <rFont val="Poppins"/>
        <b/>
        <color rgb="FF1155CC"/>
        <sz val="7.0"/>
        <u/>
      </rPr>
      <t>venture capital funds</t>
    </r>
    <r>
      <rPr>
        <rFont val="Poppins"/>
        <sz val="7.0"/>
      </rPr>
      <t xml:space="preserve">..."
- [Maturity focus = Emerging] &gt; Portfolio &gt; Their portfolio consists of venture funds focusing on </t>
    </r>
    <r>
      <rPr>
        <rFont val="Poppins"/>
        <b/>
        <color rgb="FF1155CC"/>
        <sz val="7.0"/>
        <u/>
      </rPr>
      <t>emerging funds</t>
    </r>
    <r>
      <rPr>
        <rFont val="Poppins"/>
        <sz val="7.0"/>
      </rPr>
      <t xml:space="preserve">, ex: </t>
    </r>
    <r>
      <rPr>
        <rFont val="Poppins"/>
        <b/>
        <sz val="7.0"/>
      </rPr>
      <t xml:space="preserve">CLOCKTOWER, Valia Ventures, etc.
</t>
    </r>
    <r>
      <rPr>
        <rFont val="Poppins"/>
        <sz val="7.0"/>
      </rPr>
      <t xml:space="preserve">- [Sector Investment Focus] &gt; Portfolio &gt; Their investments focuses on </t>
    </r>
    <r>
      <rPr>
        <rFont val="Poppins"/>
        <b/>
        <color rgb="FF1155CC"/>
        <sz val="7.0"/>
        <u/>
      </rPr>
      <t>AI</t>
    </r>
    <r>
      <rPr>
        <rFont val="Poppins"/>
        <sz val="7.0"/>
      </rPr>
      <t>, technology etc. ex: Clocktower Technology Ventures, Hoxton Ventures.
- [Region investment focus] &gt; Portfolio &gt; Their investment are based in</t>
    </r>
    <r>
      <rPr>
        <rFont val="Poppins"/>
        <b/>
        <sz val="7.0"/>
      </rPr>
      <t xml:space="preserve"> </t>
    </r>
    <r>
      <rPr>
        <rFont val="Poppins"/>
        <sz val="7.0"/>
      </rPr>
      <t xml:space="preserve">Europe and </t>
    </r>
    <r>
      <rPr>
        <rFont val="Poppins"/>
        <b/>
        <color rgb="FF1155CC"/>
        <sz val="7.0"/>
        <u/>
      </rPr>
      <t>North America</t>
    </r>
    <r>
      <rPr>
        <rFont val="Poppins"/>
        <sz val="7.0"/>
      </rPr>
      <t xml:space="preserve">, ex: Clocktower Technology Ventures (CTV) </t>
    </r>
    <r>
      <rPr>
        <rFont val="Poppins"/>
        <b/>
        <sz val="7.0"/>
      </rPr>
      <t>Fund 2</t>
    </r>
    <r>
      <rPr>
        <rFont val="Poppins"/>
        <sz val="7.0"/>
      </rPr>
      <t xml:space="preserve">, </t>
    </r>
    <r>
      <rPr>
        <rFont val="Poppins"/>
        <b/>
        <sz val="7.0"/>
      </rPr>
      <t>Global Ventures Fund I &amp; Fund II</t>
    </r>
    <r>
      <rPr>
        <rFont val="Poppins"/>
        <sz val="7.0"/>
      </rPr>
      <t>.</t>
    </r>
  </si>
  <si>
    <t>Loulwa Alkhawaja</t>
  </si>
  <si>
    <t>Loulwa</t>
  </si>
  <si>
    <t>Alkhawaja</t>
  </si>
  <si>
    <t>loulwa.alkhawaja@amkinvestment.com</t>
  </si>
  <si>
    <t>https://www.linkedin.com/in/loulwa-alkhawaja-2b38ab153/</t>
  </si>
  <si>
    <t>Teak Capital</t>
  </si>
  <si>
    <t>https://www.teakcapital.pt/</t>
  </si>
  <si>
    <t>Portugal</t>
  </si>
  <si>
    <r>
      <rPr>
        <rFont val="Poppins"/>
        <sz val="7.0"/>
      </rPr>
      <t xml:space="preserve">- [Asset class = Funds - VC] &gt; Website + Portfolio  &gt; "...Teak Capital was founded in 1997 and has been engaged in more than 40 investments in the industrial, financial, private equity, </t>
    </r>
    <r>
      <rPr>
        <rFont val="Poppins"/>
        <b/>
        <color rgb="FF1155CC"/>
        <sz val="7.0"/>
        <u/>
      </rPr>
      <t>venture capital</t>
    </r>
    <r>
      <rPr>
        <rFont val="Poppins"/>
        <sz val="7.0"/>
      </rPr>
      <t xml:space="preserve">..." + They have invested in </t>
    </r>
    <r>
      <rPr>
        <rFont val="Poppins"/>
        <b/>
        <color rgb="FF1155CC"/>
        <sz val="7.0"/>
        <u/>
      </rPr>
      <t>VC funds</t>
    </r>
    <r>
      <rPr>
        <rFont val="Poppins"/>
        <sz val="7.0"/>
      </rPr>
      <t>, ex: Alter Venture, Iconiq Capital.
- [Maturity focus = Emerging] &gt; Website &gt; They have invested in "</t>
    </r>
    <r>
      <rPr>
        <rFont val="Poppins"/>
        <b/>
        <sz val="7.0"/>
      </rPr>
      <t>Heritage Next Wave</t>
    </r>
    <r>
      <rPr>
        <rFont val="Poppins"/>
        <sz val="7.0"/>
      </rPr>
      <t xml:space="preserve">", which describes itself as follows; "...Heritage Next Wave is a fund of funds characterized by investments </t>
    </r>
    <r>
      <rPr>
        <rFont val="Poppins"/>
        <b/>
        <color rgb="FF1155CC"/>
        <sz val="7.0"/>
        <u/>
      </rPr>
      <t>Emerging VC managers</t>
    </r>
    <r>
      <rPr>
        <rFont val="Poppins"/>
        <sz val="7.0"/>
      </rPr>
      <t xml:space="preserve">, focusing on </t>
    </r>
    <r>
      <rPr>
        <rFont val="Poppins"/>
        <b/>
        <sz val="7.0"/>
      </rPr>
      <t>North America</t>
    </r>
    <r>
      <rPr>
        <rFont val="Poppins"/>
        <sz val="7.0"/>
      </rPr>
      <t xml:space="preserve"> and Europe..."
- [Sector Investment Focus] &gt; Portfolio &gt; They have invested in VC funds which focuses on blockchain and </t>
    </r>
    <r>
      <rPr>
        <rFont val="Poppins"/>
        <b/>
        <sz val="7.0"/>
      </rPr>
      <t>artificial intelligence</t>
    </r>
    <r>
      <rPr>
        <rFont val="Poppins"/>
        <sz val="7.0"/>
      </rPr>
      <t xml:space="preserve">.. ex: Indico Capital Partners, Alter Venture, Iconiq Capital.
- [Region investment focus] &gt; Portfolio &gt; Their investment are based in Europe and </t>
    </r>
    <r>
      <rPr>
        <rFont val="Poppins"/>
        <b/>
        <color rgb="FF1155CC"/>
        <sz val="7.0"/>
        <u/>
      </rPr>
      <t>North America</t>
    </r>
    <r>
      <rPr>
        <rFont val="Poppins"/>
        <sz val="7.0"/>
      </rPr>
      <t>, ex: ICONIQ Capital, Alter Venture.</t>
    </r>
  </si>
  <si>
    <t>PE Focus</t>
  </si>
  <si>
    <r>
      <rPr>
        <rFont val="Poppins"/>
        <sz val="7.0"/>
      </rPr>
      <t xml:space="preserve">They have been engaged in </t>
    </r>
    <r>
      <rPr>
        <rFont val="Poppins"/>
        <b/>
        <sz val="7.0"/>
      </rPr>
      <t>40+ investments</t>
    </r>
    <r>
      <rPr>
        <rFont val="Poppins"/>
        <sz val="7.0"/>
      </rPr>
      <t xml:space="preserve"> which include </t>
    </r>
    <r>
      <rPr>
        <rFont val="Poppins"/>
        <b/>
        <color rgb="FF1155CC"/>
        <sz val="7.0"/>
        <u/>
      </rPr>
      <t>VC investments</t>
    </r>
    <r>
      <rPr>
        <rFont val="Poppins"/>
        <sz val="7.0"/>
      </rPr>
      <t xml:space="preserve">, ex: Iconiq Capital, Alter Venture and </t>
    </r>
    <r>
      <rPr>
        <rFont val="Poppins"/>
        <b/>
        <sz val="7.0"/>
      </rPr>
      <t>more.</t>
    </r>
  </si>
  <si>
    <t>Stratel</t>
  </si>
  <si>
    <t>https://stratel.no/investments/</t>
  </si>
  <si>
    <r>
      <rPr>
        <rFont val="Poppins"/>
        <sz val="7.0"/>
      </rPr>
      <t xml:space="preserve">- [Asset class = Funds - VC] &gt; Portfolio &gt; Their portfolio confirms that they invest in </t>
    </r>
    <r>
      <rPr>
        <rFont val="Poppins"/>
        <b/>
        <color rgb="FF1155CC"/>
        <sz val="7.0"/>
        <u/>
      </rPr>
      <t>VC Funds</t>
    </r>
    <r>
      <rPr>
        <rFont val="Poppins"/>
        <sz val="7.0"/>
      </rPr>
      <t xml:space="preserve">, ex: </t>
    </r>
    <r>
      <rPr>
        <rFont val="Poppins"/>
        <b/>
        <sz val="7.0"/>
      </rPr>
      <t xml:space="preserve">Cocoon Capital ll LP, Antler East Africa Fund 1, Katapult Accelerator Fund 2.
</t>
    </r>
    <r>
      <rPr>
        <rFont val="Poppins"/>
        <sz val="7.0"/>
      </rPr>
      <t xml:space="preserve">- [Maturity Focus = Emerging] &gt; Portfolio &gt; Their portfolio consists of Katapult Accelerator Fund 2  and Cocoon Capital ll, which confirms they invest in </t>
    </r>
    <r>
      <rPr>
        <rFont val="Poppins"/>
        <b/>
        <color rgb="FF1155CC"/>
        <sz val="7.0"/>
        <u/>
      </rPr>
      <t>emerging managers</t>
    </r>
    <r>
      <rPr>
        <rFont val="Poppins"/>
        <sz val="7.0"/>
      </rPr>
      <t>.
- [Sector Investment Focus] &gt; Portfolio &gt; Their investments</t>
    </r>
    <r>
      <rPr>
        <rFont val="Poppins"/>
        <b/>
        <sz val="7.0"/>
      </rPr>
      <t xml:space="preserve"> </t>
    </r>
    <r>
      <rPr>
        <rFont val="Poppins"/>
        <sz val="7.0"/>
      </rPr>
      <t>Antler and Cocoon Capital</t>
    </r>
    <r>
      <rPr>
        <rFont val="Poppins"/>
        <b/>
        <sz val="7.0"/>
      </rPr>
      <t>,</t>
    </r>
    <r>
      <rPr>
        <rFont val="Poppins"/>
        <sz val="7.0"/>
      </rPr>
      <t xml:space="preserve"> focuses on </t>
    </r>
    <r>
      <rPr>
        <rFont val="Poppins"/>
        <b/>
        <color rgb="FF1155CC"/>
        <sz val="7.0"/>
        <u/>
      </rPr>
      <t>AI</t>
    </r>
    <r>
      <rPr>
        <rFont val="Poppins"/>
        <color rgb="FF1155CC"/>
        <sz val="7.0"/>
        <u/>
      </rPr>
      <t xml:space="preserve"> </t>
    </r>
    <r>
      <rPr>
        <rFont val="Poppins"/>
        <sz val="7.0"/>
      </rPr>
      <t xml:space="preserve">and </t>
    </r>
    <r>
      <rPr>
        <rFont val="Poppins"/>
        <b/>
        <sz val="7.0"/>
      </rPr>
      <t>Deep Tech</t>
    </r>
    <r>
      <rPr>
        <rFont val="Poppins"/>
        <sz val="7.0"/>
      </rPr>
      <t xml:space="preserve">.
- [Region Investment focus] &gt; Portfolio &gt; Their investments in Founders Fund, StartupLab Founders, Cocoon Capital ll LP  are based in </t>
    </r>
    <r>
      <rPr>
        <rFont val="Poppins"/>
        <b/>
        <color rgb="FF1155CC"/>
        <sz val="7.0"/>
        <u/>
      </rPr>
      <t xml:space="preserve">North America </t>
    </r>
    <r>
      <rPr>
        <rFont val="Poppins"/>
        <sz val="7.0"/>
      </rPr>
      <t xml:space="preserve">and Europe. </t>
    </r>
  </si>
  <si>
    <t>Healthcare focus</t>
  </si>
  <si>
    <t>Propect replaced.</t>
  </si>
  <si>
    <t>WOO HON FAI GROUP</t>
  </si>
  <si>
    <t>https://www.whfgroup.com/</t>
  </si>
  <si>
    <t>Hong Kong</t>
  </si>
  <si>
    <r>
      <rPr>
        <rFont val="Poppins"/>
        <sz val="7.0"/>
      </rPr>
      <t xml:space="preserve">- [Asset Class = Funds - VC] &gt; Portfolio &gt; Their portfolio confirms that they invest in </t>
    </r>
    <r>
      <rPr>
        <rFont val="Poppins"/>
        <b/>
        <color rgb="FF1155CC"/>
        <sz val="7.0"/>
        <u/>
      </rPr>
      <t>VC Funds</t>
    </r>
    <r>
      <rPr>
        <rFont val="Poppins"/>
        <sz val="7.0"/>
      </rPr>
      <t xml:space="preserve">, ex: </t>
    </r>
    <r>
      <rPr>
        <rFont val="Poppins"/>
        <b/>
        <sz val="7.0"/>
      </rPr>
      <t>Ridge Ventures, Vertex Ventures</t>
    </r>
    <r>
      <rPr>
        <rFont val="Poppins"/>
        <sz val="7.0"/>
      </rPr>
      <t xml:space="preserve">. 
- [Maturity Focus = Emerging] &gt; Portfolio &gt; Their portfolio confirms that they focus on </t>
    </r>
    <r>
      <rPr>
        <rFont val="Poppins"/>
        <b/>
        <color rgb="FF1155CC"/>
        <sz val="7.0"/>
        <u/>
      </rPr>
      <t>emerging managers</t>
    </r>
    <r>
      <rPr>
        <rFont val="Poppins"/>
        <sz val="7.0"/>
      </rPr>
      <t xml:space="preserve">, ex: </t>
    </r>
    <r>
      <rPr>
        <rFont val="Poppins"/>
        <b/>
        <sz val="7.0"/>
      </rPr>
      <t>Hamilton Lane</t>
    </r>
    <r>
      <rPr>
        <rFont val="Poppins"/>
        <sz val="7.0"/>
      </rPr>
      <t xml:space="preserve">.
- [Sector Investment Focus] &gt; Portfolio &gt; Their portfolio confirms that their sector focus is Broad Technology like Blockchain, </t>
    </r>
    <r>
      <rPr>
        <rFont val="Poppins"/>
        <b/>
        <color rgb="FF1155CC"/>
        <sz val="7.0"/>
        <u/>
      </rPr>
      <t>AI</t>
    </r>
    <r>
      <rPr>
        <rFont val="Poppins"/>
        <sz val="7.0"/>
      </rPr>
      <t xml:space="preserve"> and Fintech, ex: </t>
    </r>
    <r>
      <rPr>
        <rFont val="Poppins"/>
        <b/>
        <sz val="7.0"/>
      </rPr>
      <t>CRCM Ventures, Linear Capital, Ridge Venture, Vertex Venture</t>
    </r>
    <r>
      <rPr>
        <rFont val="Poppins"/>
        <sz val="7.0"/>
      </rPr>
      <t xml:space="preserve">.   
- [Region investment focus] &gt; Portfolio &gt; They have investments in their portfolio based in the </t>
    </r>
    <r>
      <rPr>
        <rFont val="Poppins"/>
        <b/>
        <color rgb="FF1155CC"/>
        <sz val="7.0"/>
        <u/>
      </rPr>
      <t>United States</t>
    </r>
    <r>
      <rPr>
        <rFont val="Poppins"/>
        <b/>
        <sz val="7.0"/>
      </rPr>
      <t>, ex: Hamilton Lane, Ridge Ventures, etc.</t>
    </r>
  </si>
  <si>
    <t>Darrin Woo</t>
  </si>
  <si>
    <t xml:space="preserve">Darrin </t>
  </si>
  <si>
    <t>Woo</t>
  </si>
  <si>
    <t>darrin.woo@whfgroup.com</t>
  </si>
  <si>
    <t>https://www.linkedin.com/in/darrin-woo/</t>
  </si>
  <si>
    <t>Kroschke Family Office</t>
  </si>
  <si>
    <t>https://www.kroschke-familyoffice.de/</t>
  </si>
  <si>
    <t>Portfolio, Website</t>
  </si>
  <si>
    <r>
      <rPr>
        <rFont val="Poppins"/>
        <sz val="7.0"/>
      </rPr>
      <t xml:space="preserve">- [Asset Class = Fund VC] &gt; Portfolio &gt; Their portfolio confirms their investment in </t>
    </r>
    <r>
      <rPr>
        <rFont val="Poppins"/>
        <b/>
        <color rgb="FF1155CC"/>
        <sz val="7.0"/>
        <u/>
      </rPr>
      <t>VC Funds</t>
    </r>
    <r>
      <rPr>
        <rFont val="Poppins"/>
        <sz val="7.0"/>
      </rPr>
      <t xml:space="preserve"> (Remagine Ventures, SquareOne Venture Capital)
- [Sector Investment Focus] &gt; Portfolio &gt; They have investments in their portfolio which focus on </t>
    </r>
    <r>
      <rPr>
        <rFont val="Poppins"/>
        <b/>
        <color rgb="FF1155CC"/>
        <sz val="7.0"/>
        <u/>
      </rPr>
      <t>AI</t>
    </r>
    <r>
      <rPr>
        <rFont val="Poppins"/>
        <sz val="7.0"/>
      </rPr>
      <t xml:space="preserve">, ex: </t>
    </r>
    <r>
      <rPr>
        <rFont val="Poppins"/>
        <b/>
        <sz val="7.0"/>
      </rPr>
      <t>Reimagine Ventures, etc.</t>
    </r>
    <r>
      <rPr>
        <rFont val="Poppins"/>
        <sz val="7.0"/>
      </rPr>
      <t xml:space="preserve">
- [Region Investment Focus] &gt; Portfolio &gt; Their portfolio confirms their investment in Europe and </t>
    </r>
    <r>
      <rPr>
        <rFont val="Poppins"/>
        <b/>
        <color rgb="FF1155CC"/>
        <sz val="7.0"/>
        <u/>
      </rPr>
      <t>North America</t>
    </r>
    <r>
      <rPr>
        <rFont val="Poppins"/>
        <b/>
        <sz val="7.0"/>
      </rPr>
      <t xml:space="preserve">, ex: FAIR HOLDINGS INC, etc.
</t>
    </r>
    <r>
      <rPr>
        <rFont val="Poppins"/>
        <sz val="7.0"/>
      </rPr>
      <t>- [Maturity focus = Emerging] &gt; Portfolio &gt; Their portfolio confirms that they focus on</t>
    </r>
    <r>
      <rPr>
        <rFont val="Poppins"/>
        <b/>
        <color rgb="FF1155CC"/>
        <sz val="7.0"/>
        <u/>
      </rPr>
      <t xml:space="preserve"> emerging managers</t>
    </r>
    <r>
      <rPr>
        <rFont val="Poppins"/>
        <sz val="7.0"/>
      </rPr>
      <t xml:space="preserve">, ex: </t>
    </r>
    <r>
      <rPr>
        <rFont val="Poppins"/>
        <b/>
        <sz val="7.0"/>
      </rPr>
      <t>SquareOne Venture Capital</t>
    </r>
    <r>
      <rPr>
        <rFont val="Poppins"/>
        <sz val="7.0"/>
      </rPr>
      <t>.</t>
    </r>
  </si>
  <si>
    <t>Jan Schleicher</t>
  </si>
  <si>
    <t>Jan</t>
  </si>
  <si>
    <t>Schleicher</t>
  </si>
  <si>
    <t>jan.schleicher@kroschke.de</t>
  </si>
  <si>
    <t>https://www.linkedin.com/in/jan-schleicher-211ab5217/</t>
  </si>
  <si>
    <t>Pratithi Investments</t>
  </si>
  <si>
    <t>https://pratithi.com/</t>
  </si>
  <si>
    <r>
      <rPr>
        <rFont val="Poppins"/>
        <sz val="7.0"/>
      </rPr>
      <t xml:space="preserve">-[Asset Class - Fund VC] &gt; Website &gt; "... Pratithi has invested in </t>
    </r>
    <r>
      <rPr>
        <rFont val="Poppins"/>
        <b/>
        <color rgb="FF1155CC"/>
        <sz val="7.0"/>
        <u/>
      </rPr>
      <t>venture</t>
    </r>
    <r>
      <rPr>
        <rFont val="Poppins"/>
        <sz val="7.0"/>
      </rPr>
      <t xml:space="preserve"> and private equity </t>
    </r>
    <r>
      <rPr>
        <rFont val="Poppins"/>
        <b/>
        <sz val="7.0"/>
      </rPr>
      <t>funds</t>
    </r>
    <r>
      <rPr>
        <rFont val="Poppins"/>
        <sz val="7.0"/>
      </rPr>
      <t xml:space="preserve"> across stages..."
-[Region Investment Focus] &gt; Portfolio &gt; Their portfolio has investments based in Europe and </t>
    </r>
    <r>
      <rPr>
        <rFont val="Poppins"/>
        <b/>
        <color rgb="FF1155CC"/>
        <sz val="7.0"/>
        <u/>
      </rPr>
      <t>Asia</t>
    </r>
    <r>
      <rPr>
        <rFont val="Poppins"/>
        <sz val="7.0"/>
      </rPr>
      <t xml:space="preserve">, ex: </t>
    </r>
    <r>
      <rPr>
        <rFont val="Poppins"/>
        <b/>
        <sz val="7.0"/>
      </rPr>
      <t>Stride Ventures, Kae Capital, etc.</t>
    </r>
    <r>
      <rPr>
        <rFont val="Poppins"/>
        <sz val="7.0"/>
      </rPr>
      <t xml:space="preserve">
-[Sector Investment Focus] &gt; Portfolio &gt; Their portfolio has investments which focus on </t>
    </r>
    <r>
      <rPr>
        <rFont val="Poppins"/>
        <b/>
        <color rgb="FF1155CC"/>
        <sz val="7.0"/>
        <u/>
      </rPr>
      <t>AI</t>
    </r>
    <r>
      <rPr>
        <rFont val="Poppins"/>
        <b/>
        <sz val="7.0"/>
      </rPr>
      <t>, ex: Kae Capital, StartupXseed, etc.</t>
    </r>
    <r>
      <rPr>
        <rFont val="Poppins"/>
        <sz val="7.0"/>
      </rPr>
      <t xml:space="preserve">
- [Maturity focus = Emerging] &gt; Portfolio &gt; Their portfolio confirms that they focus on </t>
    </r>
    <r>
      <rPr>
        <rFont val="Poppins"/>
        <b/>
        <color rgb="FF1155CC"/>
        <sz val="7.0"/>
        <u/>
      </rPr>
      <t>emerging managers</t>
    </r>
    <r>
      <rPr>
        <rFont val="Poppins"/>
        <sz val="7.0"/>
      </rPr>
      <t xml:space="preserve">, ex: </t>
    </r>
    <r>
      <rPr>
        <rFont val="Poppins"/>
        <b/>
        <sz val="7.0"/>
      </rPr>
      <t>Chiratae Ventures</t>
    </r>
    <r>
      <rPr>
        <rFont val="Poppins"/>
        <sz val="7.0"/>
      </rPr>
      <t>.</t>
    </r>
  </si>
  <si>
    <t>Investor</t>
  </si>
  <si>
    <t>Saumya Jain</t>
  </si>
  <si>
    <t>Saumya</t>
  </si>
  <si>
    <t>Jain</t>
  </si>
  <si>
    <t>saumya@pratithi.com</t>
  </si>
  <si>
    <t>https://www.linkedin.com/in/saumya-jain-pratithi/</t>
  </si>
  <si>
    <t>Redsalt Capital</t>
  </si>
  <si>
    <t>https://www.redsalt.capital/</t>
  </si>
  <si>
    <r>
      <rPr>
        <rFont val="Poppins"/>
        <sz val="7.0"/>
      </rPr>
      <t xml:space="preserve">-[Asset Class - Fund VC] &gt; Portfolio &gt; Their portfolio confirms that they invest in </t>
    </r>
    <r>
      <rPr>
        <rFont val="Poppins"/>
        <b/>
        <color rgb="FF1155CC"/>
        <sz val="7.0"/>
        <u/>
      </rPr>
      <t>VC Funds</t>
    </r>
    <r>
      <rPr>
        <rFont val="Poppins"/>
        <sz val="7.0"/>
      </rPr>
      <t>, ex:</t>
    </r>
    <r>
      <rPr>
        <rFont val="Poppins"/>
        <b/>
        <sz val="7.0"/>
      </rPr>
      <t xml:space="preserve"> Runa Capital, Oakely Capital</t>
    </r>
    <r>
      <rPr>
        <rFont val="Poppins"/>
        <sz val="7.0"/>
      </rPr>
      <t xml:space="preserve">.
-[Region Investment Focus] &gt; Website &gt; "...Our spectrum of partnerships includes growth, leveraged buyout (LBO), and turnaround funds, primarily in Europe and the </t>
    </r>
    <r>
      <rPr>
        <rFont val="Poppins"/>
        <b/>
        <color rgb="FF1155CC"/>
        <sz val="7.0"/>
        <u/>
      </rPr>
      <t>USA</t>
    </r>
    <r>
      <rPr>
        <rFont val="Poppins"/>
        <sz val="7.0"/>
      </rPr>
      <t xml:space="preserve">, reflecting our global reach..."
-[Sector Investment Focus] &gt; Portfolio &gt; Their portfolio confirms their sector focus include </t>
    </r>
    <r>
      <rPr>
        <rFont val="Poppins"/>
        <b/>
        <color rgb="FF1155CC"/>
        <sz val="7.0"/>
        <u/>
      </rPr>
      <t>AI, Deep Tech</t>
    </r>
    <r>
      <rPr>
        <rFont val="Poppins"/>
        <sz val="7.0"/>
      </rPr>
      <t xml:space="preserve"> and </t>
    </r>
    <r>
      <rPr>
        <rFont val="Poppins"/>
        <b/>
        <sz val="7.0"/>
      </rPr>
      <t>Fin Tech</t>
    </r>
    <r>
      <rPr>
        <rFont val="Poppins"/>
        <sz val="7.0"/>
      </rPr>
      <t xml:space="preserve">, ex: </t>
    </r>
    <r>
      <rPr>
        <rFont val="Poppins"/>
        <b/>
        <sz val="7.0"/>
      </rPr>
      <t>Runa Capital</t>
    </r>
    <r>
      <rPr>
        <rFont val="Poppins"/>
        <sz val="7.0"/>
      </rPr>
      <t xml:space="preserve">.
- [Maturity focus = Emerging] &gt; Porftolio &gt; Their portfolio confirms that they focus on </t>
    </r>
    <r>
      <rPr>
        <rFont val="Poppins"/>
        <b/>
        <color rgb="FF1155CC"/>
        <sz val="7.0"/>
        <u/>
      </rPr>
      <t>emerging managers</t>
    </r>
    <r>
      <rPr>
        <rFont val="Poppins"/>
        <sz val="7.0"/>
      </rPr>
      <t xml:space="preserve">, ex: </t>
    </r>
    <r>
      <rPr>
        <rFont val="Poppins"/>
        <b/>
        <sz val="7.0"/>
      </rPr>
      <t>Runa Capital</t>
    </r>
    <r>
      <rPr>
        <rFont val="Poppins"/>
        <sz val="7.0"/>
      </rPr>
      <t>.</t>
    </r>
  </si>
  <si>
    <t>Founder &amp; CEO</t>
  </si>
  <si>
    <t>Gabriele Pulvermueller</t>
  </si>
  <si>
    <t xml:space="preserve">Gabriele </t>
  </si>
  <si>
    <t>Pulvermueller</t>
  </si>
  <si>
    <t>gaby@redsalt.org</t>
  </si>
  <si>
    <t>https://www.linkedin.com/in/gabrielepulvermueller/</t>
  </si>
  <si>
    <t>Aken Capital</t>
  </si>
  <si>
    <t>https://www.akencapital.com/</t>
  </si>
  <si>
    <r>
      <rPr>
        <rFont val="Poppins"/>
        <sz val="7.0"/>
      </rPr>
      <t xml:space="preserve">- [Asset class = Funds - VC] &gt; Website &gt; "...VENTURE CAPITAL :“The biggest secret in </t>
    </r>
    <r>
      <rPr>
        <rFont val="Poppins"/>
        <b/>
        <sz val="7.0"/>
      </rPr>
      <t>venture capital</t>
    </r>
    <r>
      <rPr>
        <rFont val="Poppins"/>
        <sz val="7.0"/>
      </rPr>
      <t xml:space="preserve"> is that the best investment in a successful </t>
    </r>
    <r>
      <rPr>
        <rFont val="Poppins"/>
        <b/>
        <color rgb="FF1155CC"/>
        <sz val="7.0"/>
        <u/>
      </rPr>
      <t xml:space="preserve">fund </t>
    </r>
    <r>
      <rPr>
        <rFont val="Poppins"/>
        <sz val="7.0"/>
      </rPr>
      <t xml:space="preserve">equals or outperforms the entire rest of the fund combined” ..."
- [Region Investment focus] &gt; Website &gt; "...AKEN will invest in companies in geographies where management is close enough to track the business progress, this includes UK, the </t>
    </r>
    <r>
      <rPr>
        <rFont val="Poppins"/>
        <b/>
        <color rgb="FF1155CC"/>
        <sz val="7.0"/>
        <u/>
      </rPr>
      <t>United States</t>
    </r>
    <r>
      <rPr>
        <rFont val="Poppins"/>
        <sz val="7.0"/>
      </rPr>
      <t xml:space="preserve"> and Colombia..."
- [Sector Investment Focus] &gt; Portfolio &gt; Their portfolio consists of VC Funds which focus on </t>
    </r>
    <r>
      <rPr>
        <rFont val="Poppins"/>
        <b/>
        <color rgb="FF1155CC"/>
        <sz val="7.0"/>
        <u/>
      </rPr>
      <t>AI</t>
    </r>
    <r>
      <rPr>
        <rFont val="Poppins"/>
        <b/>
        <sz val="7.0"/>
      </rPr>
      <t>, ex: Legalist, G.P.Bullhound, etc.</t>
    </r>
    <r>
      <rPr>
        <rFont val="Poppins"/>
        <sz val="7.0"/>
      </rPr>
      <t xml:space="preserve">
- [Maturity focus = Emerging] &gt; Portfolio &gt; Their portfolio confirms that they focus on </t>
    </r>
    <r>
      <rPr>
        <rFont val="Poppins"/>
        <b/>
        <color rgb="FF1155CC"/>
        <sz val="7.0"/>
        <u/>
      </rPr>
      <t>emerging managers</t>
    </r>
    <r>
      <rPr>
        <rFont val="Poppins"/>
        <sz val="7.0"/>
      </rPr>
      <t xml:space="preserve">, ex: </t>
    </r>
    <r>
      <rPr>
        <rFont val="Poppins"/>
        <b/>
        <sz val="7.0"/>
      </rPr>
      <t>ONE VC, Broom Ventures</t>
    </r>
    <r>
      <rPr>
        <rFont val="Poppins"/>
        <sz val="7.0"/>
      </rPr>
      <t>.</t>
    </r>
  </si>
  <si>
    <t>Juan Camilo Penagos</t>
  </si>
  <si>
    <t>Juan</t>
  </si>
  <si>
    <t>Camilo Penagos</t>
  </si>
  <si>
    <t>juan.penagos@akencapital.com</t>
  </si>
  <si>
    <t>https://www.linkedin.com/in/jc-penagos10/</t>
  </si>
  <si>
    <t>Blue Lion</t>
  </si>
  <si>
    <t>https://www.blue-lion.de/en/</t>
  </si>
  <si>
    <r>
      <rPr>
        <rFont val="Poppins"/>
        <sz val="7.0"/>
      </rPr>
      <t xml:space="preserve">- [Asset class = Funds - VC] &gt; Website &gt; "...FUND-BASED INVESTMENTS Private Equity, </t>
    </r>
    <r>
      <rPr>
        <rFont val="Poppins"/>
        <b/>
        <color rgb="FF1155CC"/>
        <sz val="7.0"/>
        <u/>
      </rPr>
      <t>Venture Capital</t>
    </r>
    <r>
      <rPr>
        <rFont val="Poppins"/>
        <sz val="7.0"/>
      </rPr>
      <t xml:space="preserve">, Agriculture..."
- [Sector investment focus] &gt; Website + Portfolio &gt;Website &gt;  "....Business areas of the Schörghuber Group + PropTech, Agritech, Machine Economy, </t>
    </r>
    <r>
      <rPr>
        <rFont val="Poppins"/>
        <b/>
        <color rgb="FF1155CC"/>
        <sz val="7.0"/>
        <u/>
      </rPr>
      <t>AI</t>
    </r>
    <r>
      <rPr>
        <rFont val="Poppins"/>
        <sz val="7.0"/>
      </rPr>
      <t xml:space="preserve">, Fintech, Insurtech, Consumer Goods, E-Commerce, Software Applications..." + They have invested in </t>
    </r>
    <r>
      <rPr>
        <rFont val="Poppins"/>
        <b/>
        <color rgb="FF1155CC"/>
        <sz val="7.0"/>
        <u/>
      </rPr>
      <t>Yabeo</t>
    </r>
    <r>
      <rPr>
        <rFont val="Poppins"/>
        <sz val="7.0"/>
      </rPr>
      <t xml:space="preserve">, a tech startup, which further focuses on Health Tech, Climate Tech, Saas Tech and </t>
    </r>
    <r>
      <rPr>
        <rFont val="Poppins"/>
        <b/>
        <color rgb="FF1155CC"/>
        <sz val="7.0"/>
        <u/>
      </rPr>
      <t>Deep Tech</t>
    </r>
    <r>
      <rPr>
        <rFont val="Poppins"/>
        <sz val="7.0"/>
      </rPr>
      <t xml:space="preserve">.
- [ Region investment focus] &gt; Website &gt; They make their investment in EU / </t>
    </r>
    <r>
      <rPr>
        <rFont val="Poppins"/>
        <b/>
        <sz val="7.0"/>
      </rPr>
      <t>CH</t>
    </r>
    <r>
      <rPr>
        <rFont val="Poppins"/>
        <sz val="7.0"/>
      </rPr>
      <t xml:space="preserve"> / UK</t>
    </r>
    <r>
      <rPr>
        <rFont val="Poppins"/>
        <b/>
        <sz val="7.0"/>
      </rPr>
      <t xml:space="preserve"> </t>
    </r>
    <r>
      <rPr>
        <rFont val="Poppins"/>
        <sz val="7.0"/>
      </rPr>
      <t xml:space="preserve">/ </t>
    </r>
    <r>
      <rPr>
        <rFont val="Poppins"/>
        <b/>
        <color rgb="FF1155CC"/>
        <sz val="7.0"/>
        <u/>
      </rPr>
      <t>USA</t>
    </r>
    <r>
      <rPr>
        <rFont val="Poppins"/>
        <b/>
        <sz val="7.0"/>
      </rPr>
      <t xml:space="preserve">.
</t>
    </r>
    <r>
      <rPr>
        <rFont val="Poppins"/>
        <sz val="7.0"/>
      </rPr>
      <t xml:space="preserve">-[Maturity Focus = Emerging] &gt; Portfolio &gt; Their portfolio confirms that they focus on </t>
    </r>
    <r>
      <rPr>
        <rFont val="Poppins"/>
        <b/>
        <color rgb="FF1155CC"/>
        <sz val="7.0"/>
        <u/>
      </rPr>
      <t>emerging managers</t>
    </r>
    <r>
      <rPr>
        <rFont val="Poppins"/>
        <sz val="7.0"/>
      </rPr>
      <t>, ex: Castik Capital.</t>
    </r>
  </si>
  <si>
    <t>CEO</t>
  </si>
  <si>
    <t>Natascha Hostlowsky</t>
  </si>
  <si>
    <t>Natascha</t>
  </si>
  <si>
    <t>Hostlowsky</t>
  </si>
  <si>
    <t>natascha.hostlowsky@blue-lion.de</t>
  </si>
  <si>
    <t>https://www.linkedin.com/in/natascha-hostlowsky-50181bbb/</t>
  </si>
  <si>
    <t>Bayshore Capital</t>
  </si>
  <si>
    <t>https://bayshorecap.com/</t>
  </si>
  <si>
    <r>
      <rPr>
        <rFont val="Poppins"/>
        <sz val="7.0"/>
      </rPr>
      <t xml:space="preserve">- [Asset class = Funds - VC] &gt; Portfolio &gt; Their portfolio confirms that they invest in </t>
    </r>
    <r>
      <rPr>
        <rFont val="Poppins"/>
        <b/>
        <color rgb="FF1155CC"/>
        <sz val="7.0"/>
        <u/>
      </rPr>
      <t>VC Funds</t>
    </r>
    <r>
      <rPr>
        <rFont val="Poppins"/>
        <sz val="7.0"/>
      </rPr>
      <t xml:space="preserve">, ex: </t>
    </r>
    <r>
      <rPr>
        <rFont val="Poppins"/>
        <b/>
        <sz val="7.0"/>
      </rPr>
      <t>Bitkraft, Iron Pillar</t>
    </r>
    <r>
      <rPr>
        <rFont val="Poppins"/>
        <sz val="7.0"/>
      </rPr>
      <t xml:space="preserve">.  
- [ Region investment focus] &gt; Portfolio &gt; Their portfolio confirms that their region focus is </t>
    </r>
    <r>
      <rPr>
        <rFont val="Poppins"/>
        <b/>
        <sz val="7.0"/>
      </rPr>
      <t>Europe</t>
    </r>
    <r>
      <rPr>
        <rFont val="Poppins"/>
        <sz val="7.0"/>
      </rPr>
      <t xml:space="preserve"> and </t>
    </r>
    <r>
      <rPr>
        <rFont val="Poppins"/>
        <b/>
        <color rgb="FF1155CC"/>
        <sz val="7.0"/>
        <u/>
      </rPr>
      <t>North America</t>
    </r>
    <r>
      <rPr>
        <rFont val="Poppins"/>
        <sz val="7.0"/>
      </rPr>
      <t xml:space="preserve">, ex: </t>
    </r>
    <r>
      <rPr>
        <rFont val="Poppins"/>
        <b/>
        <sz val="7.0"/>
      </rPr>
      <t>Bitkraft, etc.</t>
    </r>
    <r>
      <rPr>
        <rFont val="Poppins"/>
        <sz val="7.0"/>
      </rPr>
      <t xml:space="preserve">
- [Sector Investment focus  ] &gt; Portfolio &gt; Their portfolio confirms that their sector focus include </t>
    </r>
    <r>
      <rPr>
        <rFont val="Poppins"/>
        <b/>
        <color rgb="FF1155CC"/>
        <sz val="7.0"/>
        <u/>
      </rPr>
      <t>AI</t>
    </r>
    <r>
      <rPr>
        <rFont val="Poppins"/>
        <sz val="7.0"/>
      </rPr>
      <t xml:space="preserve"> and Web3, ex: </t>
    </r>
    <r>
      <rPr>
        <rFont val="Poppins"/>
        <b/>
        <sz val="7.0"/>
      </rPr>
      <t>Bitkraft.</t>
    </r>
    <r>
      <rPr>
        <rFont val="Poppins"/>
        <sz val="7.0"/>
      </rPr>
      <t xml:space="preserve">
-[Maturity Focus = Emerging] &gt;.Portfolio &gt; Their portfolio confirms that they focus on </t>
    </r>
    <r>
      <rPr>
        <rFont val="Poppins"/>
        <b/>
        <color rgb="FF1155CC"/>
        <sz val="7.0"/>
        <u/>
      </rPr>
      <t>emerging managers</t>
    </r>
    <r>
      <rPr>
        <rFont val="Poppins"/>
        <sz val="7.0"/>
      </rPr>
      <t>, ex:</t>
    </r>
    <r>
      <rPr>
        <rFont val="Poppins"/>
        <b/>
        <sz val="7.0"/>
      </rPr>
      <t xml:space="preserve"> BITKRAFT Venture Fund I.</t>
    </r>
  </si>
  <si>
    <t>Wealth manager</t>
  </si>
  <si>
    <r>
      <rPr>
        <rFont val="Poppins"/>
        <sz val="7.0"/>
      </rPr>
      <t xml:space="preserve">Pitchbook confirms that they're a multi-family office, "Bayshore Capital Advisors is a </t>
    </r>
    <r>
      <rPr>
        <rFont val="Poppins"/>
        <b/>
        <color rgb="FF1155CC"/>
        <sz val="7.0"/>
        <u/>
      </rPr>
      <t>multi-family office</t>
    </r>
    <r>
      <rPr>
        <rFont val="Poppins"/>
        <sz val="7.0"/>
      </rPr>
      <t xml:space="preserve"> based in Tampa, Florida."
Not in the blacklist.</t>
    </r>
  </si>
  <si>
    <t>Euphemia</t>
  </si>
  <si>
    <t>https://euphemia.com/</t>
  </si>
  <si>
    <r>
      <rPr>
        <rFont val="Poppins"/>
        <sz val="7.0"/>
      </rPr>
      <t>- [Asset class = Funds - VC] &gt; Website &gt; "...</t>
    </r>
    <r>
      <rPr>
        <rFont val="Poppins"/>
        <b/>
        <color rgb="FF1155CC"/>
        <sz val="7.0"/>
        <u/>
      </rPr>
      <t>Ventures</t>
    </r>
    <r>
      <rPr>
        <rFont val="Poppins"/>
        <sz val="7.0"/>
      </rPr>
      <t xml:space="preserve">: More than $15m invested in 22 </t>
    </r>
    <r>
      <rPr>
        <rFont val="Poppins"/>
        <b/>
        <sz val="7.0"/>
      </rPr>
      <t>funds</t>
    </r>
    <r>
      <rPr>
        <rFont val="Poppins"/>
        <sz val="7.0"/>
      </rPr>
      <t xml:space="preserve"> globally..."  
- [ Region investment focus] &gt; Website &gt; "...Mostly in Australia, the </t>
    </r>
    <r>
      <rPr>
        <rFont val="Poppins"/>
        <b/>
        <sz val="7.0"/>
      </rPr>
      <t>UK</t>
    </r>
    <r>
      <rPr>
        <rFont val="Poppins"/>
        <sz val="7.0"/>
      </rPr>
      <t xml:space="preserve">, and the </t>
    </r>
    <r>
      <rPr>
        <rFont val="Poppins"/>
        <b/>
        <color rgb="FF1155CC"/>
        <sz val="7.0"/>
        <u/>
      </rPr>
      <t>US</t>
    </r>
    <r>
      <rPr>
        <rFont val="Poppins"/>
        <sz val="7.0"/>
      </rPr>
      <t xml:space="preserve">..."
- [Sector Investment focus  ] &gt; Data manager judgement &gt; Their portfolio consists of investments which focus on </t>
    </r>
    <r>
      <rPr>
        <rFont val="Poppins"/>
        <b/>
        <color rgb="FF1155CC"/>
        <sz val="7.0"/>
        <u/>
      </rPr>
      <t>AI, Deep Tech,</t>
    </r>
    <r>
      <rPr>
        <rFont val="Poppins"/>
        <sz val="7.0"/>
      </rPr>
      <t xml:space="preserve"> fintech and</t>
    </r>
    <r>
      <rPr>
        <rFont val="Poppins"/>
        <b/>
        <sz val="7.0"/>
      </rPr>
      <t xml:space="preserve"> web3,</t>
    </r>
    <r>
      <rPr>
        <rFont val="Poppins"/>
        <sz val="7.0"/>
      </rPr>
      <t xml:space="preserve"> ex: </t>
    </r>
    <r>
      <rPr>
        <rFont val="Poppins"/>
        <b/>
        <sz val="7.0"/>
      </rPr>
      <t>Possible Venture, Blackbird, Airtree Venture, AI-NC, mercu, etc.</t>
    </r>
    <r>
      <rPr>
        <rFont val="Poppins"/>
        <sz val="7.0"/>
      </rPr>
      <t xml:space="preserve">
-[Maturity Focus = Emerging] &gt; Website &gt; "...Euphemia is an investor (and/or Limited Partner) in some of Australia’s top and </t>
    </r>
    <r>
      <rPr>
        <rFont val="Poppins"/>
        <b/>
        <color rgb="FF1155CC"/>
        <sz val="7.0"/>
        <u/>
      </rPr>
      <t>emerging funds</t>
    </r>
    <r>
      <rPr>
        <rFont val="Poppins"/>
        <sz val="7.0"/>
      </rPr>
      <t>..."</t>
    </r>
  </si>
  <si>
    <t>Group CEO</t>
  </si>
  <si>
    <t>Judy Anderson-Firth</t>
  </si>
  <si>
    <t xml:space="preserve">Judy </t>
  </si>
  <si>
    <t>Anderson-Firth</t>
  </si>
  <si>
    <t>judy@euphemia.com</t>
  </si>
  <si>
    <t>https://www.linkedin.com/in/fasttrackjudy/</t>
  </si>
  <si>
    <t>Aarii Ventures</t>
  </si>
  <si>
    <t>https://www.aariiventures.com/</t>
  </si>
  <si>
    <t>Website, LinkedIn, Portfolio</t>
  </si>
  <si>
    <r>
      <rPr>
        <rFont val="Poppins"/>
        <sz val="7.0"/>
      </rPr>
      <t xml:space="preserve">- [Asset class = Funds - VC] &gt; Linkedin + Website &gt;  Our diversified approach also extends through various other avenues, including Private Equity Funds and </t>
    </r>
    <r>
      <rPr>
        <rFont val="Poppins"/>
        <b/>
        <color rgb="FF1155CC"/>
        <sz val="7.0"/>
        <u/>
      </rPr>
      <t>Venture Capital Funds</t>
    </r>
    <r>
      <rPr>
        <rFont val="Poppins"/>
        <sz val="7.0"/>
      </rPr>
      <t xml:space="preserve">, with a unique role as a </t>
    </r>
    <r>
      <rPr>
        <rFont val="Poppins"/>
        <b/>
        <sz val="7.0"/>
      </rPr>
      <t xml:space="preserve">Limited Partner (LP). </t>
    </r>
    <r>
      <rPr>
        <rFont val="Poppins"/>
        <sz val="7.0"/>
      </rPr>
      <t xml:space="preserve">+ They have </t>
    </r>
    <r>
      <rPr>
        <rFont val="Poppins"/>
        <b/>
        <color rgb="FF1155CC"/>
        <sz val="7.0"/>
        <u/>
      </rPr>
      <t>VC Fund</t>
    </r>
    <r>
      <rPr>
        <rFont val="Poppins"/>
        <sz val="7.0"/>
      </rPr>
      <t xml:space="preserve"> investments in their portfolio, ex: </t>
    </r>
    <r>
      <rPr>
        <rFont val="Poppins"/>
        <b/>
        <sz val="7.0"/>
      </rPr>
      <t>Sistema Asia Fund, ZNL Growth Fund.</t>
    </r>
    <r>
      <rPr>
        <rFont val="Poppins"/>
        <sz val="7.0"/>
      </rPr>
      <t xml:space="preserve">
- [ Region investment focus] &gt; Portfolio &gt; Their portfolio confirms that they invest in </t>
    </r>
    <r>
      <rPr>
        <rFont val="Poppins"/>
        <b/>
        <color rgb="FF1155CC"/>
        <sz val="7.0"/>
        <u/>
      </rPr>
      <t>US</t>
    </r>
    <r>
      <rPr>
        <rFont val="Poppins"/>
        <sz val="7.0"/>
      </rPr>
      <t xml:space="preserve">, ex: </t>
    </r>
    <r>
      <rPr>
        <rFont val="Poppins"/>
        <b/>
        <sz val="7.0"/>
      </rPr>
      <t>ZNL Growth Fund</t>
    </r>
    <r>
      <rPr>
        <rFont val="Poppins"/>
        <sz val="7.0"/>
      </rPr>
      <t xml:space="preserve">.
- [Sector Investment focus  ] &gt; Portfolio &gt; Their portfolio consists of funds which focus on </t>
    </r>
    <r>
      <rPr>
        <rFont val="Poppins"/>
        <b/>
        <color rgb="FF1155CC"/>
        <sz val="7.0"/>
        <u/>
      </rPr>
      <t>AI</t>
    </r>
    <r>
      <rPr>
        <rFont val="Poppins"/>
        <b/>
        <sz val="7.0"/>
      </rPr>
      <t>, ex: Sistema Asia Fund.</t>
    </r>
    <r>
      <rPr>
        <rFont val="Poppins"/>
        <sz val="7.0"/>
      </rPr>
      <t xml:space="preserve">
-[Maturity Focus = Emerging] &gt; Portfolio &gt; Their portfolio confirms that they focus on </t>
    </r>
    <r>
      <rPr>
        <rFont val="Poppins"/>
        <b/>
        <color rgb="FF1155CC"/>
        <sz val="7.0"/>
        <u/>
      </rPr>
      <t>emerging managers</t>
    </r>
    <r>
      <rPr>
        <rFont val="Poppins"/>
        <sz val="7.0"/>
      </rPr>
      <t xml:space="preserve">, ex: </t>
    </r>
    <r>
      <rPr>
        <rFont val="Poppins"/>
        <b/>
        <sz val="7.0"/>
      </rPr>
      <t>Sistema Asia Fund.</t>
    </r>
  </si>
  <si>
    <t>Sagar Nishar</t>
  </si>
  <si>
    <t xml:space="preserve">Sagar </t>
  </si>
  <si>
    <t>Nishar</t>
  </si>
  <si>
    <t>sagar.nishar@aariiventures.com</t>
  </si>
  <si>
    <t>https://www.linkedin.com/in/sagar-nishar/</t>
  </si>
  <si>
    <t>Schütz Family Office</t>
  </si>
  <si>
    <t>https://s-fo.at/</t>
  </si>
  <si>
    <t>Austria</t>
  </si>
  <si>
    <r>
      <rPr>
        <rFont val="Poppins"/>
        <sz val="7.0"/>
      </rPr>
      <t xml:space="preserve">-[Asset Class = Fund -VC] &gt; Portfolio &gt; Their portfolio confirms that they invest in </t>
    </r>
    <r>
      <rPr>
        <rFont val="Poppins"/>
        <b/>
        <color rgb="FF1155CC"/>
        <sz val="7.0"/>
        <u/>
      </rPr>
      <t>VC Funds</t>
    </r>
    <r>
      <rPr>
        <rFont val="Poppins"/>
        <sz val="7.0"/>
      </rPr>
      <t>, ex:</t>
    </r>
    <r>
      <rPr>
        <rFont val="Poppins"/>
        <b/>
        <sz val="7.0"/>
      </rPr>
      <t xml:space="preserve"> Elevat3 Capital, Presight Capital</t>
    </r>
    <r>
      <rPr>
        <rFont val="Poppins"/>
        <sz val="7.0"/>
      </rPr>
      <t xml:space="preserve">. 
-[Region Investment Focus] &gt; Website + Portfolio &gt; "...In terms of geography, the focus lies on Austria, Germany and Africa..." + Their investment are based in the </t>
    </r>
    <r>
      <rPr>
        <rFont val="Poppins"/>
        <b/>
        <color rgb="FF1155CC"/>
        <sz val="7.0"/>
        <u/>
      </rPr>
      <t>US</t>
    </r>
    <r>
      <rPr>
        <rFont val="Poppins"/>
        <sz val="7.0"/>
      </rPr>
      <t xml:space="preserve">, ex: </t>
    </r>
    <r>
      <rPr>
        <rFont val="Poppins"/>
        <b/>
        <sz val="7.0"/>
      </rPr>
      <t>Elevat3 Capital, Presight Capital.</t>
    </r>
    <r>
      <rPr>
        <rFont val="Poppins"/>
        <sz val="7.0"/>
      </rPr>
      <t xml:space="preserve">
-[Sector Investment Focus] &gt; Portfolio &gt; Their portfolio confirms that they focus on </t>
    </r>
    <r>
      <rPr>
        <rFont val="Poppins"/>
        <b/>
        <sz val="7.0"/>
      </rPr>
      <t xml:space="preserve">Blockchain, </t>
    </r>
    <r>
      <rPr>
        <rFont val="Poppins"/>
        <b/>
        <color rgb="FF1155CC"/>
        <sz val="7.0"/>
        <u/>
      </rPr>
      <t>AI</t>
    </r>
    <r>
      <rPr>
        <rFont val="Poppins"/>
        <b/>
        <sz val="7.0"/>
      </rPr>
      <t>, DeepTech</t>
    </r>
    <r>
      <rPr>
        <rFont val="Poppins"/>
        <sz val="7.0"/>
      </rPr>
      <t xml:space="preserve"> and Fintech</t>
    </r>
    <r>
      <rPr>
        <rFont val="Poppins"/>
        <b/>
        <sz val="7.0"/>
      </rPr>
      <t xml:space="preserve">, </t>
    </r>
    <r>
      <rPr>
        <rFont val="Poppins"/>
        <sz val="7.0"/>
      </rPr>
      <t xml:space="preserve">ex: </t>
    </r>
    <r>
      <rPr>
        <rFont val="Poppins"/>
        <b/>
        <sz val="7.0"/>
      </rPr>
      <t>Elevat3 Capital, Presight Capital.</t>
    </r>
    <r>
      <rPr>
        <rFont val="Poppins"/>
        <sz val="7.0"/>
      </rPr>
      <t xml:space="preserve">
-[Maturity Focus = Emerging] &gt; Portfolio &gt; Their portfolio confirms that they focus on </t>
    </r>
    <r>
      <rPr>
        <rFont val="Poppins"/>
        <b/>
        <color rgb="FF1155CC"/>
        <sz val="7.0"/>
        <u/>
      </rPr>
      <t>emerging managers</t>
    </r>
    <r>
      <rPr>
        <rFont val="Poppins"/>
        <sz val="7.0"/>
      </rPr>
      <t>, ex: Elevat3 Capital, Presight Capital.</t>
    </r>
  </si>
  <si>
    <t>Managing Director &amp; Investment Manager</t>
  </si>
  <si>
    <t>Martin Schindler</t>
  </si>
  <si>
    <t xml:space="preserve">Martin </t>
  </si>
  <si>
    <t>Schindler</t>
  </si>
  <si>
    <t>msch@s-fo.at</t>
  </si>
  <si>
    <t>https://www.linkedin.com/in/martin-schindler-cfa-35a563b3/</t>
  </si>
  <si>
    <t>Server Partners</t>
  </si>
  <si>
    <t>https://www.server.partners/portfolio</t>
  </si>
  <si>
    <t>LinkedIn, Portfolio</t>
  </si>
  <si>
    <r>
      <rPr>
        <rFont val="Poppins"/>
        <sz val="7.0"/>
      </rPr>
      <t xml:space="preserve">-[Asset Class = Fund -VC] &gt; Linkedin &gt; Family office with private investments in startups, </t>
    </r>
    <r>
      <rPr>
        <rFont val="Poppins"/>
        <b/>
        <color rgb="FF1155CC"/>
        <sz val="7.0"/>
        <u/>
      </rPr>
      <t>venture funds</t>
    </r>
    <r>
      <rPr>
        <rFont val="Poppins"/>
        <sz val="7.0"/>
      </rPr>
      <t xml:space="preserve">, scaleups and stocks.
-[Sector Investment Focus] &gt; Portfolio &gt; Their portfolio confirms that they focus on </t>
    </r>
    <r>
      <rPr>
        <rFont val="Poppins"/>
        <b/>
        <color rgb="FF1155CC"/>
        <sz val="7.0"/>
        <u/>
      </rPr>
      <t>Blockchain, AI, Deep Tech</t>
    </r>
    <r>
      <rPr>
        <rFont val="Poppins"/>
        <sz val="7.0"/>
      </rPr>
      <t xml:space="preserve">, ex: </t>
    </r>
    <r>
      <rPr>
        <rFont val="Poppins"/>
        <b/>
        <sz val="7.0"/>
      </rPr>
      <t>Coingaming, Tera Venture</t>
    </r>
    <r>
      <rPr>
        <rFont val="Poppins"/>
        <sz val="7.0"/>
      </rPr>
      <t xml:space="preserve">.
-[Region Investment Focus] &gt; Portfolio &gt; Their portfolio confirms that their region focus is </t>
    </r>
    <r>
      <rPr>
        <rFont val="Poppins"/>
        <b/>
        <color rgb="FF1155CC"/>
        <sz val="7.0"/>
        <u/>
      </rPr>
      <t>North America</t>
    </r>
    <r>
      <rPr>
        <rFont val="Poppins"/>
        <sz val="7.0"/>
      </rPr>
      <t xml:space="preserve"> and </t>
    </r>
    <r>
      <rPr>
        <rFont val="Poppins"/>
        <b/>
        <sz val="7.0"/>
      </rPr>
      <t>Europe</t>
    </r>
    <r>
      <rPr>
        <rFont val="Poppins"/>
        <sz val="7.0"/>
      </rPr>
      <t xml:space="preserve">.
-[Maturity Focus = Emerging] &gt; Portfolio &gt; Their portfolio confirms that they focus on </t>
    </r>
    <r>
      <rPr>
        <rFont val="Poppins"/>
        <b/>
        <color rgb="FF1155CC"/>
        <sz val="7.0"/>
        <u/>
      </rPr>
      <t>emerging managers</t>
    </r>
    <r>
      <rPr>
        <rFont val="Poppins"/>
        <sz val="7.0"/>
      </rPr>
      <t xml:space="preserve">, ex: </t>
    </r>
    <r>
      <rPr>
        <rFont val="Poppins"/>
        <b/>
        <sz val="7.0"/>
      </rPr>
      <t>DVC</t>
    </r>
  </si>
  <si>
    <t>Founder</t>
  </si>
  <si>
    <t>Sergei Verbitski</t>
  </si>
  <si>
    <t xml:space="preserve">Sergei </t>
  </si>
  <si>
    <t>Verbitski</t>
  </si>
  <si>
    <t>sergei.verbitski@server.partners</t>
  </si>
  <si>
    <t>https://www.linkedin.com/in/verbitski/</t>
  </si>
  <si>
    <t>MDSV Capital</t>
  </si>
  <si>
    <t>https://www.mdsv.vc/</t>
  </si>
  <si>
    <r>
      <rPr>
        <rFont val="Poppins"/>
        <sz val="7.0"/>
      </rPr>
      <t xml:space="preserve">- [Asset Class = Fund VC] &gt; Protfolio &gt; Their portfolio confirms their investment in </t>
    </r>
    <r>
      <rPr>
        <rFont val="Poppins"/>
        <b/>
        <color rgb="FF1155CC"/>
        <sz val="7.0"/>
        <u/>
      </rPr>
      <t>VC Funds</t>
    </r>
    <r>
      <rPr>
        <rFont val="Poppins"/>
        <b/>
        <sz val="7.0"/>
      </rPr>
      <t>, ex: Silent Ventures, Recursive Ventures.</t>
    </r>
    <r>
      <rPr>
        <rFont val="Poppins"/>
        <sz val="7.0"/>
      </rPr>
      <t xml:space="preserve">
- [Sector Investment Focus] &gt; Website &gt; "...We invest in sectors aligned with the current Innovation Supercycle, such as </t>
    </r>
    <r>
      <rPr>
        <rFont val="Poppins"/>
        <b/>
        <color rgb="FF1155CC"/>
        <sz val="7.0"/>
        <u/>
      </rPr>
      <t>AI</t>
    </r>
    <r>
      <rPr>
        <rFont val="Poppins"/>
        <sz val="7.0"/>
      </rPr>
      <t xml:space="preserve">, B2B Enterprise, Defense Tech, Deep Tech and the automation economy..."
- [Maturity focus = Emerging] &gt; Portfolio &gt; "...Investors in </t>
    </r>
    <r>
      <rPr>
        <rFont val="Poppins"/>
        <b/>
        <color rgb="FF1155CC"/>
        <sz val="7.0"/>
        <u/>
      </rPr>
      <t>emerging managers</t>
    </r>
    <r>
      <rPr>
        <rFont val="Poppins"/>
        <sz val="7.0"/>
      </rPr>
      <t xml:space="preserve"> and the outliers from their portfolios..."
- [Region Investment Focus] &gt; Portfolio &gt; Their portfolio confirms their investments in </t>
    </r>
    <r>
      <rPr>
        <rFont val="Poppins"/>
        <b/>
        <color rgb="FF1155CC"/>
        <sz val="7.0"/>
        <u/>
      </rPr>
      <t>North America</t>
    </r>
    <r>
      <rPr>
        <rFont val="Poppins"/>
        <b/>
        <sz val="7.0"/>
      </rPr>
      <t>, ex: Silent Ventures, Incisive Ventures, etc.</t>
    </r>
  </si>
  <si>
    <t>Semin Valani</t>
  </si>
  <si>
    <t>Semin</t>
  </si>
  <si>
    <t>Valani</t>
  </si>
  <si>
    <t>semin@mdsv.vc</t>
  </si>
  <si>
    <t>https://www.linkedin.com/in/semin-valani-8115b8a/</t>
  </si>
  <si>
    <t>Azuro Capital</t>
  </si>
  <si>
    <t>https://azurocapital.com/</t>
  </si>
  <si>
    <r>
      <rPr>
        <rFont val="Poppins"/>
        <sz val="7.0"/>
      </rPr>
      <t xml:space="preserve">- [Asset class = Funds - VC] &gt; LinkedIn + Website + Private data provider &gt; A venture firm with a dual focus on </t>
    </r>
    <r>
      <rPr>
        <rFont val="Poppins"/>
        <b/>
        <color rgb="FF1155CC"/>
        <sz val="7.0"/>
        <u/>
      </rPr>
      <t>LP investments.</t>
    </r>
    <r>
      <rPr>
        <rFont val="Poppins"/>
        <sz val="7.0"/>
      </rPr>
      <t xml:space="preserve"> + focused on the best-performing alternative asset class — </t>
    </r>
    <r>
      <rPr>
        <rFont val="Poppins"/>
        <b/>
        <color rgb="FF1155CC"/>
        <sz val="7.0"/>
        <u/>
      </rPr>
      <t>venture capital</t>
    </r>
    <r>
      <rPr>
        <rFont val="Poppins"/>
        <sz val="7.0"/>
      </rPr>
      <t xml:space="preserve">..." + In addition to direct investments, the firm also has a </t>
    </r>
    <r>
      <rPr>
        <rFont val="Poppins"/>
        <b/>
        <color rgb="FF1155CC"/>
        <sz val="7.0"/>
        <u/>
      </rPr>
      <t>fund-of-funds</t>
    </r>
    <r>
      <rPr>
        <rFont val="Poppins"/>
        <sz val="7.0"/>
      </rPr>
      <t xml:space="preserve"> strategy focused on U.S. </t>
    </r>
    <r>
      <rPr>
        <rFont val="Poppins"/>
        <b/>
        <sz val="7.0"/>
      </rPr>
      <t>emerging managers</t>
    </r>
    <r>
      <rPr>
        <rFont val="Poppins"/>
        <sz val="7.0"/>
      </rPr>
      <t xml:space="preserve">.
- [Maturity Focus] &gt; LinkedIn &gt; A venture firm with a dual focus on LP investments in </t>
    </r>
    <r>
      <rPr>
        <rFont val="Poppins"/>
        <b/>
        <color rgb="FF1155CC"/>
        <sz val="7.0"/>
        <u/>
      </rPr>
      <t>emerging managers</t>
    </r>
    <r>
      <rPr>
        <rFont val="Poppins"/>
        <sz val="7.0"/>
      </rPr>
      <t xml:space="preserve">.
- [Sector Investment Focus] &gt; Portfolio &gt; Their portfolio confirms their investments in the </t>
    </r>
    <r>
      <rPr>
        <rFont val="Poppins"/>
        <b/>
        <color rgb="FF1155CC"/>
        <sz val="7.0"/>
        <u/>
      </rPr>
      <t>AI</t>
    </r>
    <r>
      <rPr>
        <rFont val="Poppins"/>
        <sz val="7.0"/>
      </rPr>
      <t xml:space="preserve"> sector, </t>
    </r>
    <r>
      <rPr>
        <rFont val="Poppins"/>
        <b/>
        <sz val="7.0"/>
      </rPr>
      <t>ex: GC AI, Stealth.</t>
    </r>
    <r>
      <rPr>
        <rFont val="Poppins"/>
        <sz val="7.0"/>
      </rPr>
      <t xml:space="preserve">
- [Region Investment Focus] &gt; Portfolio + Private data provider &gt; Their portfolio confirms their investments in Europe and </t>
    </r>
    <r>
      <rPr>
        <rFont val="Poppins"/>
        <b/>
        <color rgb="FF1155CC"/>
        <sz val="7.0"/>
        <u/>
      </rPr>
      <t>North America</t>
    </r>
    <r>
      <rPr>
        <rFont val="Poppins"/>
        <b/>
        <sz val="7.0"/>
      </rPr>
      <t xml:space="preserve">, ex: GC AI, Stealth, etc. </t>
    </r>
    <r>
      <rPr>
        <rFont val="Poppins"/>
        <sz val="7.0"/>
      </rPr>
      <t xml:space="preserve">+ In addition to direct investments, the firm also has a fund-of-funds strategy focused on </t>
    </r>
    <r>
      <rPr>
        <rFont val="Poppins"/>
        <b/>
        <color rgb="FF1155CC"/>
        <sz val="7.0"/>
        <u/>
      </rPr>
      <t>U.S. emerging managers.</t>
    </r>
  </si>
  <si>
    <t>Yuly Djaparidze</t>
  </si>
  <si>
    <t>Yuly</t>
  </si>
  <si>
    <t>Djaparidze</t>
  </si>
  <si>
    <t>yuly@azurocapital.com</t>
  </si>
  <si>
    <t>https://www.linkedin.com/in/yulydjaparidze/</t>
  </si>
  <si>
    <t>Sofina Group</t>
  </si>
  <si>
    <t>https://www.sofinagroup.com/</t>
  </si>
  <si>
    <t>Belgium</t>
  </si>
  <si>
    <r>
      <rPr>
        <rFont val="Poppins"/>
        <sz val="7.0"/>
      </rPr>
      <t xml:space="preserve">-[Asset class = Fund - VC] &gt; Website &gt; "...This is also done through its investments in top-tier investment </t>
    </r>
    <r>
      <rPr>
        <rFont val="Poppins"/>
        <b/>
        <sz val="7.0"/>
      </rPr>
      <t>funds</t>
    </r>
    <r>
      <rPr>
        <rFont val="Poppins"/>
        <sz val="7.0"/>
      </rPr>
      <t xml:space="preserve"> with a strong bias towards </t>
    </r>
    <r>
      <rPr>
        <rFont val="Poppins"/>
        <b/>
        <color rgb="FF1155CC"/>
        <sz val="7.0"/>
        <u/>
      </rPr>
      <t>venture</t>
    </r>
    <r>
      <rPr>
        <rFont val="Poppins"/>
        <sz val="7.0"/>
      </rPr>
      <t xml:space="preserve"> and growth strategies..."
-[Region investment focus] &gt; Website &gt; "..Our Private Funds investments are diversified by geography (</t>
    </r>
    <r>
      <rPr>
        <rFont val="Poppins"/>
        <b/>
        <color rgb="FF1155CC"/>
        <sz val="7.0"/>
        <u/>
      </rPr>
      <t>US</t>
    </r>
    <r>
      <rPr>
        <rFont val="Poppins"/>
        <sz val="7.0"/>
      </rPr>
      <t xml:space="preserve">, Europe, </t>
    </r>
    <r>
      <rPr>
        <rFont val="Poppins"/>
        <b/>
        <sz val="7.0"/>
      </rPr>
      <t>Asia</t>
    </r>
    <r>
      <rPr>
        <rFont val="Poppins"/>
        <sz val="7.0"/>
      </rPr>
      <t xml:space="preserve">)...  "
- [Sector investment focus ] &gt; Data manager judgement &gt; Their investments focus on </t>
    </r>
    <r>
      <rPr>
        <rFont val="Poppins"/>
        <b/>
        <color rgb="FF1155CC"/>
        <sz val="7.0"/>
        <u/>
      </rPr>
      <t>AI</t>
    </r>
    <r>
      <rPr>
        <rFont val="Poppins"/>
        <sz val="7.0"/>
      </rPr>
      <t>, SaaS</t>
    </r>
    <r>
      <rPr>
        <rFont val="Poppins"/>
        <b/>
        <sz val="7.0"/>
      </rPr>
      <t xml:space="preserve">, </t>
    </r>
    <r>
      <rPr>
        <rFont val="Poppins"/>
        <sz val="7.0"/>
      </rPr>
      <t>defense,</t>
    </r>
    <r>
      <rPr>
        <rFont val="Poppins"/>
        <b/>
        <sz val="7.0"/>
      </rPr>
      <t xml:space="preserve"> </t>
    </r>
    <r>
      <rPr>
        <rFont val="Poppins"/>
        <sz val="7.0"/>
      </rPr>
      <t xml:space="preserve">etc, ex: </t>
    </r>
    <r>
      <rPr>
        <rFont val="Poppins"/>
        <b/>
        <sz val="7.0"/>
      </rPr>
      <t xml:space="preserve">Sequoia Capital, Redpoint, Iconiq, Founders Fund, etc.
</t>
    </r>
    <r>
      <rPr>
        <rFont val="Poppins"/>
        <sz val="7.0"/>
      </rPr>
      <t xml:space="preserve">- [Maturity Focus = Emerging] &gt; Website &gt; "...We target high-growth companies active in </t>
    </r>
    <r>
      <rPr>
        <rFont val="Poppins"/>
        <b/>
        <color rgb="FF1155CC"/>
        <sz val="7.0"/>
        <u/>
      </rPr>
      <t>emerging themes</t>
    </r>
    <r>
      <rPr>
        <rFont val="Poppins"/>
        <sz val="7.0"/>
      </rPr>
      <t xml:space="preserve"> around our Focus Sectors with a global approach..."</t>
    </r>
  </si>
  <si>
    <t>David Birget</t>
  </si>
  <si>
    <t>David</t>
  </si>
  <si>
    <t>Birget</t>
  </si>
  <si>
    <t>david.birget@sofinagroup.com</t>
  </si>
  <si>
    <t>https://www.linkedin.com/in/david-r-j-birget-2b069754/</t>
  </si>
  <si>
    <t>The Incredible Machine</t>
  </si>
  <si>
    <t>https://theincrediblemachine.com/</t>
  </si>
  <si>
    <t>Sweden</t>
  </si>
  <si>
    <r>
      <rPr>
        <rFont val="Poppins"/>
        <sz val="7.0"/>
      </rPr>
      <t xml:space="preserve">- [Asset class = Funds - VC] &gt; Website &gt; "...Our portfolio primarily consists of </t>
    </r>
    <r>
      <rPr>
        <rFont val="Poppins"/>
        <b/>
        <color rgb="FF1155CC"/>
        <sz val="7.0"/>
        <u/>
      </rPr>
      <t>venture capital funds</t>
    </r>
    <r>
      <rPr>
        <rFont val="Poppins"/>
        <sz val="7.0"/>
      </rPr>
      <t xml:space="preserve">..."
- [Sector investment focus] &gt; Portfolio &gt; Their portfolio comprises of VC funds that invest in </t>
    </r>
    <r>
      <rPr>
        <rFont val="Poppins"/>
        <b/>
        <color rgb="FF1155CC"/>
        <sz val="7.0"/>
        <u/>
      </rPr>
      <t>AI</t>
    </r>
    <r>
      <rPr>
        <rFont val="Poppins"/>
        <sz val="7.0"/>
      </rPr>
      <t xml:space="preserve">, technology, and more, ex: </t>
    </r>
    <r>
      <rPr>
        <rFont val="Poppins"/>
        <b/>
        <sz val="7.0"/>
      </rPr>
      <t>node.vc, moonfire, etc.</t>
    </r>
    <r>
      <rPr>
        <rFont val="Poppins"/>
        <sz val="7.0"/>
      </rPr>
      <t xml:space="preserve">
- [Region investment focus] &gt; Website &gt; "...Our portfolio primarily consists of venture capital funds in Europe and </t>
    </r>
    <r>
      <rPr>
        <rFont val="Poppins"/>
        <b/>
        <color rgb="FF1155CC"/>
        <sz val="7.0"/>
        <u/>
      </rPr>
      <t>the US</t>
    </r>
    <r>
      <rPr>
        <rFont val="Poppins"/>
        <sz val="7.0"/>
      </rPr>
      <t xml:space="preserve">..." 
- [Maturity Focus = Emerging] &gt; Data manager judgement &gt; They haven't publicly disclosed their maturity focus, but rest of the data align with the IIP </t>
    </r>
    <r>
      <rPr>
        <rFont val="Poppins"/>
        <b/>
        <sz val="7.0"/>
      </rPr>
      <t>#DemandCreation.</t>
    </r>
  </si>
  <si>
    <t>CEO &amp; Owner</t>
  </si>
  <si>
    <t>John Elvesjö</t>
  </si>
  <si>
    <t>Elvesjö</t>
  </si>
  <si>
    <t>john.elvesjo@the-incredible-machine.com</t>
  </si>
  <si>
    <t>https://www.linkedin.com/in/johnelvesjo/</t>
  </si>
  <si>
    <t>Decile Capital Partners</t>
  </si>
  <si>
    <t>https://decilegroup.com/</t>
  </si>
  <si>
    <r>
      <rPr>
        <rFont val="Poppins"/>
        <sz val="7.0"/>
      </rPr>
      <t xml:space="preserve">- [Asset class = Funds - VC] &gt; Website &gt; "...The Future of </t>
    </r>
    <r>
      <rPr>
        <rFont val="Poppins"/>
        <b/>
        <sz val="7.0"/>
      </rPr>
      <t>Venture Capital</t>
    </r>
    <r>
      <rPr>
        <rFont val="Poppins"/>
        <sz val="7.0"/>
      </rPr>
      <t xml:space="preserve">: More </t>
    </r>
    <r>
      <rPr>
        <rFont val="Poppins"/>
        <b/>
        <color rgb="FF1155CC"/>
        <sz val="7.0"/>
        <u/>
      </rPr>
      <t>Venture Funds</t>
    </r>
    <r>
      <rPr>
        <rFont val="Poppins"/>
        <sz val="7.0"/>
      </rPr>
      <t xml:space="preserve">..."
- [Maturity Focus = Emerging] &gt; Website &gt; "...Backing </t>
    </r>
    <r>
      <rPr>
        <rFont val="Poppins"/>
        <b/>
        <color rgb="FF1155CC"/>
        <sz val="7.0"/>
        <u/>
      </rPr>
      <t>Top Emerging Funds</t>
    </r>
    <r>
      <rPr>
        <rFont val="Poppins"/>
        <sz val="7.0"/>
      </rPr>
      <t xml:space="preserve">..."
- [Sector investment focus] &gt; Website &gt; Their sector focus is </t>
    </r>
    <r>
      <rPr>
        <rFont val="Poppins"/>
        <b/>
        <sz val="7.0"/>
      </rPr>
      <t xml:space="preserve">deeptech, </t>
    </r>
    <r>
      <rPr>
        <rFont val="Poppins"/>
        <b/>
        <color rgb="FF1155CC"/>
        <sz val="7.0"/>
        <u/>
      </rPr>
      <t>AI</t>
    </r>
    <r>
      <rPr>
        <rFont val="Poppins"/>
        <b/>
        <sz val="7.0"/>
      </rPr>
      <t>, Saas</t>
    </r>
    <r>
      <rPr>
        <rFont val="Poppins"/>
        <sz val="7.0"/>
      </rPr>
      <t>, fintech, biotech, healthtech.
- [Region investment focus] &gt; Website &gt; "...</t>
    </r>
    <r>
      <rPr>
        <rFont val="Poppins"/>
        <b/>
        <color rgb="FF1155CC"/>
        <sz val="7.0"/>
        <u/>
      </rPr>
      <t>India</t>
    </r>
    <r>
      <rPr>
        <rFont val="Poppins"/>
        <sz val="7.0"/>
      </rPr>
      <t xml:space="preserve"> Fintech and SaaS: A pre-seed fund focusing on fintech and SaaS startups expanding out of </t>
    </r>
    <r>
      <rPr>
        <rFont val="Poppins"/>
        <b/>
        <sz val="7.0"/>
      </rPr>
      <t>India</t>
    </r>
    <r>
      <rPr>
        <rFont val="Poppins"/>
        <sz val="7.0"/>
      </rPr>
      <t xml:space="preserve">..." + "...Decile Group powers next generation venture capital </t>
    </r>
    <r>
      <rPr>
        <rFont val="Poppins"/>
        <b/>
        <color rgb="FF1155CC"/>
        <sz val="7.0"/>
        <u/>
      </rPr>
      <t>worldwide</t>
    </r>
    <r>
      <rPr>
        <rFont val="Poppins"/>
        <sz val="7.0"/>
      </rPr>
      <t>..."</t>
    </r>
  </si>
  <si>
    <t>Have spoken to them</t>
  </si>
  <si>
    <t>Blue Future Partners</t>
  </si>
  <si>
    <t>https://www.bfp.vc/</t>
  </si>
  <si>
    <r>
      <rPr>
        <rFont val="Poppins"/>
        <sz val="7.0"/>
      </rPr>
      <t xml:space="preserve">- [Asset class = Funds - VC] &gt; Website &gt; "...We invest in early-stage </t>
    </r>
    <r>
      <rPr>
        <rFont val="Poppins"/>
        <b/>
        <color rgb="FF1155CC"/>
        <sz val="7.0"/>
        <u/>
      </rPr>
      <t>Venture Capital</t>
    </r>
    <r>
      <rPr>
        <rFont val="Poppins"/>
        <sz val="7.0"/>
      </rPr>
      <t xml:space="preserve"> and support </t>
    </r>
    <r>
      <rPr>
        <rFont val="Poppins"/>
        <b/>
        <sz val="7.0"/>
      </rPr>
      <t xml:space="preserve">Limited Partners </t>
    </r>
    <r>
      <rPr>
        <rFont val="Poppins"/>
        <sz val="7.0"/>
      </rPr>
      <t xml:space="preserve">in building their venture allocations..." + "...We have conducted due diligence on </t>
    </r>
    <r>
      <rPr>
        <rFont val="Poppins"/>
        <b/>
        <color rgb="FF1155CC"/>
        <sz val="7.0"/>
        <u/>
      </rPr>
      <t>thousands of VC funds</t>
    </r>
    <r>
      <rPr>
        <rFont val="Poppins"/>
        <sz val="7.0"/>
      </rPr>
      <t xml:space="preserve"> across the USA, Europe, Israel, China, and Southeast Asia..."
- [Maturity focus = Emerging] &gt; Private data provider + Website &gt; venture capital fund of funds and a day-one partner to </t>
    </r>
    <r>
      <rPr>
        <rFont val="Poppins"/>
        <b/>
        <color rgb="FF1155CC"/>
        <sz val="7.0"/>
        <u/>
      </rPr>
      <t>emerging fund managers</t>
    </r>
    <r>
      <rPr>
        <rFont val="Poppins"/>
        <sz val="7.0"/>
      </rPr>
      <t xml:space="preserve"> globally. + "...</t>
    </r>
    <r>
      <rPr>
        <rFont val="Poppins"/>
        <b/>
        <color rgb="FF1155CC"/>
        <sz val="7.0"/>
        <u/>
      </rPr>
      <t>Emerging VC Manager</t>
    </r>
    <r>
      <rPr>
        <rFont val="Poppins"/>
        <sz val="7.0"/>
      </rPr>
      <t xml:space="preserve"> programme..."
- [Sector Investment Focus] &gt; Private data provider + Website &gt;  Their have invested in a </t>
    </r>
    <r>
      <rPr>
        <rFont val="Poppins"/>
        <b/>
        <color rgb="FF1155CC"/>
        <sz val="7.0"/>
        <u/>
      </rPr>
      <t xml:space="preserve">vc fund </t>
    </r>
    <r>
      <rPr>
        <rFont val="Poppins"/>
        <sz val="7.0"/>
      </rPr>
      <t xml:space="preserve"> "Kindred Venture" which focuses on Climate Tech, Health &amp; Wellness,, </t>
    </r>
    <r>
      <rPr>
        <rFont val="Poppins"/>
        <b/>
        <color rgb="FF1155CC"/>
        <sz val="7.0"/>
        <u/>
      </rPr>
      <t>AI</t>
    </r>
    <r>
      <rPr>
        <rFont val="Poppins"/>
        <sz val="7.0"/>
      </rPr>
      <t xml:space="preserve">, Fintech, consumer, mobility and logistics etc. + "...Intuition VC – invests in consumer </t>
    </r>
    <r>
      <rPr>
        <rFont val="Poppins"/>
        <b/>
        <color rgb="FF1155CC"/>
        <sz val="7.0"/>
        <u/>
      </rPr>
      <t>AI</t>
    </r>
    <r>
      <rPr>
        <rFont val="Poppins"/>
        <sz val="7.0"/>
      </rPr>
      <t xml:space="preserve"> companies at pre-seed from Paris &amp; NYC..."
- [Region investment focus] &gt; Website &gt; "...We have conducted due diligence on thousands of VC funds across the </t>
    </r>
    <r>
      <rPr>
        <rFont val="Poppins"/>
        <b/>
        <color rgb="FF1155CC"/>
        <sz val="7.0"/>
        <u/>
      </rPr>
      <t>USA</t>
    </r>
    <r>
      <rPr>
        <rFont val="Poppins"/>
        <sz val="7.0"/>
      </rPr>
      <t xml:space="preserve">, Europe, Israel, </t>
    </r>
    <r>
      <rPr>
        <rFont val="Poppins"/>
        <b/>
        <sz val="7.0"/>
      </rPr>
      <t>China</t>
    </r>
    <r>
      <rPr>
        <rFont val="Poppins"/>
        <sz val="7.0"/>
      </rPr>
      <t xml:space="preserve">, and </t>
    </r>
    <r>
      <rPr>
        <rFont val="Poppins"/>
        <b/>
        <sz val="7.0"/>
      </rPr>
      <t>Southeast Asia</t>
    </r>
    <r>
      <rPr>
        <rFont val="Poppins"/>
        <sz val="7.0"/>
      </rPr>
      <t>..."</t>
    </r>
  </si>
  <si>
    <t>Co-Founder &amp; Managing Partner</t>
  </si>
  <si>
    <t>Gregor von dem Knesebeck</t>
  </si>
  <si>
    <t>Gregor</t>
  </si>
  <si>
    <t>Knesebeck</t>
  </si>
  <si>
    <t>gvdk@bfp.vc</t>
  </si>
  <si>
    <t>https://www.linkedin.com/in/gregorvdk/</t>
  </si>
  <si>
    <t>Aceana Group</t>
  </si>
  <si>
    <t>https://www.aceanagroup.com/</t>
  </si>
  <si>
    <t>Website, LinkedIn</t>
  </si>
  <si>
    <r>
      <rPr>
        <rFont val="Poppins"/>
        <sz val="7.0"/>
      </rPr>
      <t xml:space="preserve">- [Asset class = Funds - VC] &gt; Website &gt; "...specializing in private investments across a broad range of asset classes, including </t>
    </r>
    <r>
      <rPr>
        <rFont val="Poppins"/>
        <b/>
        <color rgb="FF1155CC"/>
        <sz val="7.0"/>
        <u/>
      </rPr>
      <t>venture capital</t>
    </r>
    <r>
      <rPr>
        <rFont val="Poppins"/>
        <sz val="7.0"/>
      </rPr>
      <t xml:space="preserve">, private equity, real estate, and infrastructure. Since the onset of the pandemic, the firm has strategically deployed capital in 14 </t>
    </r>
    <r>
      <rPr>
        <rFont val="Poppins"/>
        <b/>
        <sz val="7.0"/>
      </rPr>
      <t xml:space="preserve">funds </t>
    </r>
    <r>
      <rPr>
        <rFont val="Poppins"/>
        <sz val="7.0"/>
      </rPr>
      <t xml:space="preserve">and more than 50 direct and co-investments, with a primary focus on venture capital and private equity opportunities..."
- [Sector Investment Focus] &gt; Linkedin &gt; Our single-family office has invested since the pandemic in 14 funds and more than 50 direct/co-investments. in venture capital and pe funds in addition to the verticals of general tech, Blockchain, Crypto, </t>
    </r>
    <r>
      <rPr>
        <rFont val="Poppins"/>
        <b/>
        <color rgb="FF1155CC"/>
        <sz val="7.0"/>
        <u/>
      </rPr>
      <t>AI</t>
    </r>
    <r>
      <rPr>
        <rFont val="Poppins"/>
        <sz val="7.0"/>
      </rPr>
      <t xml:space="preserve">, </t>
    </r>
    <r>
      <rPr>
        <rFont val="Poppins"/>
        <b/>
        <sz val="7.0"/>
      </rPr>
      <t>Deep tech</t>
    </r>
    <r>
      <rPr>
        <rFont val="Poppins"/>
        <sz val="7.0"/>
      </rPr>
      <t xml:space="preserve">, SpaceTech, Life science, Healthcare, Fintech, EdTech &amp; MedTech.
- [Region investment focus] &gt; Website &gt; "... 25 years of experience in alternative assets, including private equity, venture capital, real estate, infrastructure, and renewable energy. His career spans </t>
    </r>
    <r>
      <rPr>
        <rFont val="Poppins"/>
        <b/>
        <color rgb="FF1155CC"/>
        <sz val="7.0"/>
        <u/>
      </rPr>
      <t>North America</t>
    </r>
    <r>
      <rPr>
        <rFont val="Poppins"/>
        <sz val="7.0"/>
      </rPr>
      <t xml:space="preserve">, Europe, South America, </t>
    </r>
    <r>
      <rPr>
        <rFont val="Poppins"/>
        <b/>
        <sz val="7.0"/>
      </rPr>
      <t>India</t>
    </r>
    <r>
      <rPr>
        <rFont val="Poppins"/>
        <sz val="7.0"/>
      </rPr>
      <t xml:space="preserve">, and </t>
    </r>
    <r>
      <rPr>
        <rFont val="Poppins"/>
        <b/>
        <sz val="7.0"/>
      </rPr>
      <t xml:space="preserve">China..."
</t>
    </r>
    <r>
      <rPr>
        <rFont val="Poppins"/>
        <sz val="7.0"/>
      </rPr>
      <t xml:space="preserve">- [Maturity Focus = Emerging] &gt; Data Manager Judgement &gt; Aceana Group has invested in diverse managers, which includes </t>
    </r>
    <r>
      <rPr>
        <rFont val="Poppins"/>
        <b/>
        <color rgb="FF1155CC"/>
        <sz val="7.0"/>
        <u/>
      </rPr>
      <t>emerging managers.</t>
    </r>
  </si>
  <si>
    <t>Russell Deakin</t>
  </si>
  <si>
    <t>Russell</t>
  </si>
  <si>
    <t>Deakin</t>
  </si>
  <si>
    <t>russell.deakin@aceanagroup.com</t>
  </si>
  <si>
    <t>https://www.linkedin.com/in/russell-deakin-434226/</t>
  </si>
  <si>
    <t>Kensington Capital Holdings</t>
  </si>
  <si>
    <t>https://kcpl.ca/</t>
  </si>
  <si>
    <r>
      <rPr>
        <rFont val="Poppins"/>
        <sz val="7.0"/>
      </rPr>
      <t>- [Asset class = Fund - VC] &gt; Website &gt;</t>
    </r>
    <r>
      <rPr>
        <rFont val="Poppins"/>
        <color rgb="FFFF0000"/>
        <sz val="7.0"/>
      </rPr>
      <t xml:space="preserve"> </t>
    </r>
    <r>
      <rPr>
        <rFont val="Poppins"/>
        <sz val="7.0"/>
      </rPr>
      <t xml:space="preserve">"...targeting both </t>
    </r>
    <r>
      <rPr>
        <rFont val="Poppins"/>
        <b/>
        <color rgb="FF1155CC"/>
        <sz val="7.0"/>
        <u/>
      </rPr>
      <t>venture</t>
    </r>
    <r>
      <rPr>
        <rFont val="Poppins"/>
        <color rgb="FF1155CC"/>
        <sz val="7.0"/>
        <u/>
      </rPr>
      <t xml:space="preserve"> </t>
    </r>
    <r>
      <rPr>
        <rFont val="Poppins"/>
        <b/>
        <color rgb="FF1155CC"/>
        <sz val="7.0"/>
        <u/>
      </rPr>
      <t>funds</t>
    </r>
    <r>
      <rPr>
        <rFont val="Poppins"/>
        <color rgb="FF1155CC"/>
        <sz val="7.0"/>
        <u/>
      </rPr>
      <t xml:space="preserve"> </t>
    </r>
    <r>
      <rPr>
        <rFont val="Poppins"/>
        <sz val="7.0"/>
      </rPr>
      <t xml:space="preserve">and promising emerging companies..."
- [Maturity Focus = Emerging] &gt; Private data provider &gt; Private data provider confirms that they invest in </t>
    </r>
    <r>
      <rPr>
        <rFont val="Poppins"/>
        <b/>
        <sz val="7.0"/>
      </rPr>
      <t>Emerging Managers.</t>
    </r>
    <r>
      <rPr>
        <rFont val="Poppins"/>
        <sz val="7.0"/>
      </rPr>
      <t xml:space="preserve">
- [Sector Investement focus ] &gt; Portfolio  &gt; "...a broadly </t>
    </r>
    <r>
      <rPr>
        <rFont val="Poppins"/>
        <b/>
        <sz val="7.0"/>
      </rPr>
      <t xml:space="preserve">diversified </t>
    </r>
    <r>
      <rPr>
        <rFont val="Poppins"/>
        <sz val="7.0"/>
      </rPr>
      <t xml:space="preserve">portfolio covering all key subsectors, including information and communications technology, life science/healthcare, energy and sustainability technologies, digital media, cybersecurity, </t>
    </r>
    <r>
      <rPr>
        <rFont val="Poppins"/>
        <b/>
        <color rgb="FF1155CC"/>
        <sz val="7.0"/>
        <u/>
      </rPr>
      <t>robotics</t>
    </r>
    <r>
      <rPr>
        <rFont val="Poppins"/>
        <sz val="7.0"/>
      </rPr>
      <t xml:space="preserve"> and tech-enabled services such as e-commerce, telemedicine and online education..."
- [Region investment focus] &gt; Website &gt; "...We invest primarily in funds and companies based across </t>
    </r>
    <r>
      <rPr>
        <rFont val="Poppins"/>
        <b/>
        <sz val="7.0"/>
      </rPr>
      <t>Canada</t>
    </r>
    <r>
      <rPr>
        <rFont val="Poppins"/>
        <sz val="7.0"/>
      </rPr>
      <t xml:space="preserve"> and the </t>
    </r>
    <r>
      <rPr>
        <rFont val="Poppins"/>
        <b/>
        <color rgb="FF1155CC"/>
        <sz val="7.0"/>
        <u/>
      </rPr>
      <t>United States</t>
    </r>
    <r>
      <rPr>
        <rFont val="Poppins"/>
        <sz val="7.0"/>
      </rPr>
      <t>..."</t>
    </r>
  </si>
  <si>
    <t xml:space="preserve">Managing Director </t>
  </si>
  <si>
    <t>Liam Cheung</t>
  </si>
  <si>
    <t xml:space="preserve">Liam </t>
  </si>
  <si>
    <t>Cheung</t>
  </si>
  <si>
    <t>liamacheung@gmail.com</t>
  </si>
  <si>
    <t>https://www.linkedin.com/in/liamcheung/</t>
  </si>
  <si>
    <t>CPP Investment Board</t>
  </si>
  <si>
    <t>Pension Fund</t>
  </si>
  <si>
    <t>https://www.cppinvestments.com/</t>
  </si>
  <si>
    <t>Website, Private data provider, Data manager judgement</t>
  </si>
  <si>
    <r>
      <rPr>
        <rFont val="Poppins"/>
        <sz val="7.0"/>
      </rPr>
      <t xml:space="preserve">- [Type = Pension Fund] &gt; Private data provider &gt; CPP Investments is a public </t>
    </r>
    <r>
      <rPr>
        <rFont val="Poppins"/>
        <b/>
        <color rgb="FF1155CC"/>
        <sz val="7.0"/>
        <u/>
      </rPr>
      <t>pension fund</t>
    </r>
    <r>
      <rPr>
        <rFont val="Poppins"/>
        <sz val="7.0"/>
      </rPr>
      <t xml:space="preserve"> based in Toronto
- [Asset class = Funds - VC] &gt; Private data provider &gt;  CPP Investments has committed $75 million to </t>
    </r>
    <r>
      <rPr>
        <rFont val="Poppins"/>
        <b/>
        <sz val="7.0"/>
      </rPr>
      <t xml:space="preserve">Radical Ventures </t>
    </r>
    <r>
      <rPr>
        <rFont val="Poppins"/>
        <sz val="7.0"/>
      </rPr>
      <t xml:space="preserve">+ CPP Investments said in public filings this week that it had committed $75mn to the </t>
    </r>
    <r>
      <rPr>
        <rFont val="Poppins"/>
        <b/>
        <color rgb="FF1155CC"/>
        <sz val="7.0"/>
        <u/>
      </rPr>
      <t>new fund</t>
    </r>
    <r>
      <rPr>
        <rFont val="Poppins"/>
        <sz val="7.0"/>
      </rPr>
      <t xml:space="preserve">, bringing its total commitments to Radical to $204mn. 
- [Maturity focus = Emerging] &gt; Data manager judgement &gt; CPP Investments committed to Radical Ventures' </t>
    </r>
    <r>
      <rPr>
        <rFont val="Poppins"/>
        <b/>
        <color rgb="FF1155CC"/>
        <sz val="7.0"/>
        <u/>
      </rPr>
      <t>Fund II</t>
    </r>
    <r>
      <rPr>
        <rFont val="Poppins"/>
        <sz val="7.0"/>
      </rPr>
      <t xml:space="preserve"> as an anchor investor 
- [Sector investment focus] &gt; Website &gt; ''...CPP Investments expanded our definition of sustainability-related factors to include responsible sourcing and use of </t>
    </r>
    <r>
      <rPr>
        <rFont val="Poppins"/>
        <b/>
        <color rgb="FF1155CC"/>
        <sz val="7.0"/>
        <u/>
      </rPr>
      <t>AI</t>
    </r>
    <r>
      <rPr>
        <rFont val="Poppins"/>
        <sz val="7.0"/>
      </rPr>
      <t xml:space="preserve"> in our recently updated 2023 Policy on Sustainable Investing...''
- [Region investment focus] &gt; Website &gt; "...Headquartered in </t>
    </r>
    <r>
      <rPr>
        <rFont val="Poppins"/>
        <b/>
        <sz val="7.0"/>
      </rPr>
      <t>Toronto</t>
    </r>
    <r>
      <rPr>
        <rFont val="Poppins"/>
        <sz val="7.0"/>
      </rPr>
      <t xml:space="preserve">, with offices in </t>
    </r>
    <r>
      <rPr>
        <rFont val="Poppins"/>
        <b/>
        <color rgb="FF1155CC"/>
        <sz val="7.0"/>
        <u/>
      </rPr>
      <t>Hong Kong</t>
    </r>
    <r>
      <rPr>
        <rFont val="Poppins"/>
        <sz val="7.0"/>
      </rPr>
      <t xml:space="preserve">, London, </t>
    </r>
    <r>
      <rPr>
        <rFont val="Poppins"/>
        <b/>
        <sz val="7.0"/>
      </rPr>
      <t>Mumbai</t>
    </r>
    <r>
      <rPr>
        <rFont val="Poppins"/>
        <sz val="7.0"/>
      </rPr>
      <t xml:space="preserve">, </t>
    </r>
    <r>
      <rPr>
        <rFont val="Poppins"/>
        <b/>
        <sz val="7.0"/>
      </rPr>
      <t>New York City</t>
    </r>
    <r>
      <rPr>
        <rFont val="Poppins"/>
        <sz val="7.0"/>
      </rPr>
      <t xml:space="preserve">, </t>
    </r>
    <r>
      <rPr>
        <rFont val="Poppins"/>
        <b/>
        <sz val="7.0"/>
      </rPr>
      <t>San Francisco</t>
    </r>
    <r>
      <rPr>
        <rFont val="Poppins"/>
        <sz val="7.0"/>
      </rPr>
      <t xml:space="preserve">, São Paulo and Sydney, CPP Investments is governed and managed independently of the </t>
    </r>
    <r>
      <rPr>
        <rFont val="Poppins"/>
        <b/>
        <sz val="7.0"/>
      </rPr>
      <t>Canada</t>
    </r>
    <r>
      <rPr>
        <rFont val="Poppins"/>
        <sz val="7.0"/>
      </rPr>
      <t xml:space="preserve"> Pension Plan..." + "...</t>
    </r>
    <r>
      <rPr>
        <rFont val="Poppins"/>
        <b/>
        <color rgb="FF1155CC"/>
        <sz val="7.0"/>
        <u/>
      </rPr>
      <t>Canada</t>
    </r>
    <r>
      <rPr>
        <rFont val="Poppins"/>
        <sz val="7.0"/>
      </rPr>
      <t xml:space="preserve"> </t>
    </r>
    <r>
      <rPr>
        <rFont val="Poppins"/>
        <b/>
        <sz val="7.0"/>
      </rPr>
      <t xml:space="preserve">United States </t>
    </r>
    <r>
      <rPr>
        <rFont val="Poppins"/>
        <sz val="7.0"/>
      </rPr>
      <t xml:space="preserve">Latin America Europe </t>
    </r>
    <r>
      <rPr>
        <rFont val="Poppins"/>
        <b/>
        <sz val="7.0"/>
      </rPr>
      <t>Asia Pacific</t>
    </r>
    <r>
      <rPr>
        <rFont val="Poppins"/>
        <sz val="7.0"/>
      </rPr>
      <t>..."</t>
    </r>
  </si>
  <si>
    <t>They write larger checks. We do not fit bucket</t>
  </si>
  <si>
    <t>PTK Capital</t>
  </si>
  <si>
    <t>https://www.ptkcapital.com/</t>
  </si>
  <si>
    <t>Website, News article, Portfolio, Private data provider</t>
  </si>
  <si>
    <r>
      <rPr>
        <rFont val="Poppins"/>
        <sz val="7.0"/>
      </rPr>
      <t xml:space="preserve">- [Asset Class = Funds - VC] &gt; Portfolio &gt; Their portfolio includes investments in </t>
    </r>
    <r>
      <rPr>
        <rFont val="Poppins"/>
        <b/>
        <sz val="7.0"/>
      </rPr>
      <t xml:space="preserve">funds </t>
    </r>
    <r>
      <rPr>
        <rFont val="Poppins"/>
        <sz val="7.0"/>
      </rPr>
      <t xml:space="preserve">such as Overture, T.Rx Capital, which are </t>
    </r>
    <r>
      <rPr>
        <rFont val="Poppins"/>
        <b/>
        <color rgb="FF1155CC"/>
        <sz val="7.0"/>
        <u/>
      </rPr>
      <t>VC Funds</t>
    </r>
    <r>
      <rPr>
        <rFont val="Poppins"/>
        <sz val="7.0"/>
      </rPr>
      <t xml:space="preserve">.
- [Maturity Focus = Emerging]&gt; News article &gt; the group allocates to venture capital funds - both </t>
    </r>
    <r>
      <rPr>
        <rFont val="Poppins"/>
        <b/>
        <color rgb="FF1155CC"/>
        <sz val="7.0"/>
        <u/>
      </rPr>
      <t>emerging</t>
    </r>
    <r>
      <rPr>
        <rFont val="Poppins"/>
        <color rgb="FF1155CC"/>
        <sz val="7.0"/>
        <u/>
      </rPr>
      <t xml:space="preserve"> </t>
    </r>
    <r>
      <rPr>
        <rFont val="Poppins"/>
        <sz val="7.0"/>
      </rPr>
      <t xml:space="preserve">and established.
- [Sector investment Focus ] &gt; Portfolio &gt; PTK Capital have invested in venture capital funds who further focus in </t>
    </r>
    <r>
      <rPr>
        <rFont val="Poppins"/>
        <b/>
        <color rgb="FF1155CC"/>
        <sz val="7.0"/>
        <u/>
      </rPr>
      <t>AI</t>
    </r>
    <r>
      <rPr>
        <rFont val="Poppins"/>
        <sz val="7.0"/>
      </rPr>
      <t xml:space="preserve"> sector. Their portfolio includes "</t>
    </r>
    <r>
      <rPr>
        <rFont val="Poppins"/>
        <b/>
        <sz val="7.0"/>
      </rPr>
      <t>obvious ventures</t>
    </r>
    <r>
      <rPr>
        <rFont val="Poppins"/>
        <sz val="7.0"/>
      </rPr>
      <t xml:space="preserve">"
- [Region investment focus] &gt; Private data provider confirms they invest in the </t>
    </r>
    <r>
      <rPr>
        <rFont val="Poppins"/>
        <b/>
        <color rgb="FF1155CC"/>
        <sz val="7.0"/>
        <u/>
      </rPr>
      <t>United States</t>
    </r>
    <r>
      <rPr>
        <rFont val="Poppins"/>
        <sz val="7.0"/>
      </rPr>
      <t xml:space="preserve"> and Switzerland.</t>
    </r>
  </si>
  <si>
    <t>Founder and CEO</t>
  </si>
  <si>
    <t>Kevin Wall</t>
  </si>
  <si>
    <t>Kevin</t>
  </si>
  <si>
    <t>Wall</t>
  </si>
  <si>
    <t>kwall@ptkcapital.com</t>
  </si>
  <si>
    <t>https://www.linkedin.com/in/kevin-m-wall-91291/</t>
  </si>
  <si>
    <t>Click Ventures</t>
  </si>
  <si>
    <t>https://www.clickventures.vc/</t>
  </si>
  <si>
    <r>
      <rPr>
        <rFont val="Poppins"/>
        <sz val="7.0"/>
      </rPr>
      <t xml:space="preserve">- [Type = Family office] &gt; Website &gt; "...our growth has led us to evolve into a single </t>
    </r>
    <r>
      <rPr>
        <rFont val="Poppins"/>
        <b/>
        <color rgb="FF1155CC"/>
        <sz val="7.0"/>
        <u/>
      </rPr>
      <t>family office</t>
    </r>
    <r>
      <rPr>
        <rFont val="Poppins"/>
        <b/>
        <sz val="7.0"/>
      </rPr>
      <t>.</t>
    </r>
    <r>
      <rPr>
        <rFont val="Poppins"/>
        <sz val="7.0"/>
      </rPr>
      <t xml:space="preserve">.."
- [Asset class = Funds - VC] &gt; Website &gt; "...a single family office focusing on seed-stage </t>
    </r>
    <r>
      <rPr>
        <rFont val="Poppins"/>
        <b/>
        <color rgb="FF1155CC"/>
        <sz val="7.0"/>
        <u/>
      </rPr>
      <t>venture</t>
    </r>
    <r>
      <rPr>
        <rFont val="Poppins"/>
        <color rgb="FF1155CC"/>
        <sz val="7.0"/>
        <u/>
      </rPr>
      <t xml:space="preserve"> </t>
    </r>
    <r>
      <rPr>
        <rFont val="Poppins"/>
        <b/>
        <color rgb="FF1155CC"/>
        <sz val="7.0"/>
        <u/>
      </rPr>
      <t>capital</t>
    </r>
    <r>
      <rPr>
        <rFont val="Poppins"/>
        <color rgb="FF1155CC"/>
        <sz val="7.0"/>
        <u/>
      </rPr>
      <t xml:space="preserve"> </t>
    </r>
    <r>
      <rPr>
        <rFont val="Poppins"/>
        <b/>
        <color rgb="FF1155CC"/>
        <sz val="7.0"/>
        <u/>
      </rPr>
      <t>fund</t>
    </r>
    <r>
      <rPr>
        <rFont val="Poppins"/>
        <sz val="7.0"/>
      </rPr>
      <t xml:space="preserve">...."
- [Maturity focus = Emerging] &gt; Website &gt; "...We aim to support </t>
    </r>
    <r>
      <rPr>
        <rFont val="Poppins"/>
        <b/>
        <color rgb="FF1155CC"/>
        <sz val="7.0"/>
        <u/>
      </rPr>
      <t>Emerging</t>
    </r>
    <r>
      <rPr>
        <rFont val="Poppins"/>
        <color rgb="FF1155CC"/>
        <sz val="7.0"/>
        <u/>
      </rPr>
      <t xml:space="preserve"> </t>
    </r>
    <r>
      <rPr>
        <rFont val="Poppins"/>
        <b/>
        <color rgb="FF1155CC"/>
        <sz val="7.0"/>
        <u/>
      </rPr>
      <t>VC</t>
    </r>
    <r>
      <rPr>
        <rFont val="Poppins"/>
        <color rgb="FF1155CC"/>
        <sz val="7.0"/>
        <u/>
      </rPr>
      <t xml:space="preserve"> </t>
    </r>
    <r>
      <rPr>
        <rFont val="Poppins"/>
        <b/>
        <color rgb="FF1155CC"/>
        <sz val="7.0"/>
        <u/>
      </rPr>
      <t>managers</t>
    </r>
    <r>
      <rPr>
        <rFont val="Poppins"/>
        <sz val="7.0"/>
      </rPr>
      <t xml:space="preserve">..."
- [Sector investment focus = ] &gt; Portfolio &gt; Their portfolio includes investments in areas such as FinTech, Software as a Service (SaaS), and </t>
    </r>
    <r>
      <rPr>
        <rFont val="Poppins"/>
        <b/>
        <color rgb="FF1155CC"/>
        <sz val="7.0"/>
        <u/>
      </rPr>
      <t>Artificial Intelligence</t>
    </r>
    <r>
      <rPr>
        <rFont val="Poppins"/>
        <sz val="7.0"/>
      </rPr>
      <t xml:space="preserve">.. they have invested in companies like Spotify and Palantir Technologies, which operate in these sectors.
- [Region investment focus] &gt; Data manager judgement &gt; They have made investments in funds based in the </t>
    </r>
    <r>
      <rPr>
        <rFont val="Poppins"/>
        <b/>
        <color rgb="FF1155CC"/>
        <sz val="7.0"/>
        <u/>
      </rPr>
      <t>United States</t>
    </r>
    <r>
      <rPr>
        <rFont val="Poppins"/>
        <b/>
        <sz val="7.0"/>
      </rPr>
      <t>, ex: Leonis Capital, Sogal Ventures.</t>
    </r>
  </si>
  <si>
    <t>Chief Investment Partner</t>
  </si>
  <si>
    <t>Jenni Risku</t>
  </si>
  <si>
    <t>Jenni</t>
  </si>
  <si>
    <t>Risku</t>
  </si>
  <si>
    <t>jenni@clickventures.vc</t>
  </si>
  <si>
    <t>https://www.linkedin.com/in/jennirisku/</t>
  </si>
  <si>
    <t>Arc31</t>
  </si>
  <si>
    <t>https://arc31.com/</t>
  </si>
  <si>
    <r>
      <rPr>
        <rFont val="Poppins"/>
        <sz val="7.0"/>
      </rPr>
      <t xml:space="preserve">- [Type = Family office] &gt; Website &gt; "...Arc31 is the </t>
    </r>
    <r>
      <rPr>
        <rFont val="Poppins"/>
        <b/>
        <color rgb="FF1155CC"/>
        <sz val="7.0"/>
        <u/>
      </rPr>
      <t xml:space="preserve">family office </t>
    </r>
    <r>
      <rPr>
        <rFont val="Poppins"/>
        <sz val="7.0"/>
      </rPr>
      <t xml:space="preserve">..."
- [Asset class = Funds - VC] &gt; Data manager judgement &gt; They have invested in </t>
    </r>
    <r>
      <rPr>
        <rFont val="Poppins"/>
        <b/>
        <sz val="7.0"/>
      </rPr>
      <t>Qure Ventures</t>
    </r>
    <r>
      <rPr>
        <rFont val="Poppins"/>
        <sz val="7.0"/>
      </rPr>
      <t xml:space="preserve">, first digital health-focused </t>
    </r>
    <r>
      <rPr>
        <rFont val="Poppins"/>
        <b/>
        <color rgb="FF1155CC"/>
        <sz val="7.0"/>
        <u/>
      </rPr>
      <t>fund</t>
    </r>
    <r>
      <rPr>
        <rFont val="Poppins"/>
        <sz val="7.0"/>
      </rPr>
      <t xml:space="preserve">, and OurCrowd,
- [Maturity focus = Emerging ] &gt; Data manager judgement &gt; Their have invested in Qure Ventures, which is identified as Israel’s first  digital health-focused fund, suggests a willingness to invest in </t>
    </r>
    <r>
      <rPr>
        <rFont val="Poppins"/>
        <b/>
        <color rgb="FF1155CC"/>
        <sz val="7.0"/>
        <u/>
      </rPr>
      <t>newer or emerging</t>
    </r>
    <r>
      <rPr>
        <rFont val="Poppins"/>
        <sz val="7.0"/>
      </rPr>
      <t xml:space="preserve"> venture capital funds.
- [Sector Investement focus = ] &gt; Private data provider &gt; They invested in </t>
    </r>
    <r>
      <rPr>
        <rFont val="Poppins"/>
        <b/>
        <color rgb="FF1155CC"/>
        <sz val="7.0"/>
        <u/>
      </rPr>
      <t>Afiniti</t>
    </r>
    <r>
      <rPr>
        <rFont val="Poppins"/>
        <sz val="7.0"/>
      </rPr>
      <t xml:space="preserve">, a U.S.-based company that applies </t>
    </r>
    <r>
      <rPr>
        <rFont val="Poppins"/>
        <b/>
        <sz val="7.0"/>
      </rPr>
      <t>artificial intelligence.</t>
    </r>
    <r>
      <rPr>
        <rFont val="Poppins"/>
        <sz val="7.0"/>
      </rPr>
      <t xml:space="preserve">
- [Region investment focus] &gt; Data manager judgement + Private data provider &gt; Their portfolio has investments based in </t>
    </r>
    <r>
      <rPr>
        <rFont val="Poppins"/>
        <b/>
        <color rgb="FF1155CC"/>
        <sz val="7.0"/>
        <u/>
      </rPr>
      <t>North America</t>
    </r>
    <r>
      <rPr>
        <rFont val="Poppins"/>
        <b/>
        <sz val="7.0"/>
      </rPr>
      <t xml:space="preserve">, ex: Century Cricket Centres. </t>
    </r>
    <r>
      <rPr>
        <rFont val="Poppins"/>
        <sz val="7.0"/>
      </rPr>
      <t xml:space="preserve">+ They invested in Afiniti, a </t>
    </r>
    <r>
      <rPr>
        <rFont val="Poppins"/>
        <b/>
        <color rgb="FF1155CC"/>
        <sz val="7.0"/>
        <u/>
      </rPr>
      <t>U.S.-based</t>
    </r>
    <r>
      <rPr>
        <rFont val="Poppins"/>
        <sz val="7.0"/>
      </rPr>
      <t xml:space="preserve"> company that applies artificial intelligence.</t>
    </r>
  </si>
  <si>
    <t>Andrew Reid</t>
  </si>
  <si>
    <t>Andrew</t>
  </si>
  <si>
    <t>Reid</t>
  </si>
  <si>
    <t>andrew@arc31.com</t>
  </si>
  <si>
    <t>https://www.linkedin.com/in/andrew-reid-6b1b9424/</t>
  </si>
  <si>
    <t xml:space="preserve">Pacenotes </t>
  </si>
  <si>
    <t>https://www.pacenotes.vc/#approach</t>
  </si>
  <si>
    <t>Netherlands</t>
  </si>
  <si>
    <r>
      <rPr>
        <rFont val="Poppins"/>
        <sz val="7.0"/>
      </rPr>
      <t xml:space="preserve">- [Asset Class = Funds - VC] &gt; Website &gt; "...Pacenotes is a venture capital firm investing in outlier founders and </t>
    </r>
    <r>
      <rPr>
        <rFont val="Poppins"/>
        <b/>
        <color rgb="FF1155CC"/>
        <sz val="7.0"/>
        <u/>
      </rPr>
      <t>venture funds</t>
    </r>
    <r>
      <rPr>
        <rFont val="Poppins"/>
        <sz val="7.0"/>
      </rPr>
      <t>..."
- [Maturity Focus = Emerging] &gt; Website &gt; "...</t>
    </r>
    <r>
      <rPr>
        <rFont val="Poppins"/>
        <b/>
        <color rgb="FF1155CC"/>
        <sz val="7.0"/>
        <u/>
      </rPr>
      <t xml:space="preserve">Early-stage funds </t>
    </r>
    <r>
      <rPr>
        <rFont val="Poppins"/>
        <sz val="7.0"/>
      </rPr>
      <t xml:space="preserve">and typically series A/B investments, ...:
- [Sector Investment Focus] &gt; Private data provider &gt; Private data provider confirms they have made investments in </t>
    </r>
    <r>
      <rPr>
        <rFont val="Poppins"/>
        <b/>
        <color rgb="FF1155CC"/>
        <sz val="7.0"/>
        <u/>
      </rPr>
      <t>AI</t>
    </r>
    <r>
      <rPr>
        <rFont val="Poppins"/>
        <b/>
        <sz val="7.0"/>
      </rPr>
      <t>, ex: Anyfin and Robin AI.</t>
    </r>
    <r>
      <rPr>
        <rFont val="Poppins"/>
        <sz val="7.0"/>
      </rPr>
      <t xml:space="preserve">
- [Region Investment Focus] &gt; Private data provider &gt; Investment geography: </t>
    </r>
    <r>
      <rPr>
        <rFont val="Poppins"/>
        <b/>
        <color rgb="FF1155CC"/>
        <sz val="7.0"/>
        <u/>
      </rPr>
      <t>USA</t>
    </r>
    <r>
      <rPr>
        <rFont val="Poppins"/>
        <sz val="7.0"/>
      </rPr>
      <t>, Europe.</t>
    </r>
  </si>
  <si>
    <t xml:space="preserve">Founder &amp; Managing Partner </t>
  </si>
  <si>
    <t>Jeroen van Doornik</t>
  </si>
  <si>
    <t xml:space="preserve">Jeroen </t>
  </si>
  <si>
    <t>van Doornik</t>
  </si>
  <si>
    <t>jd@pacenotes.vc</t>
  </si>
  <si>
    <t>https://www.linkedin.com/in/jeroenvandoornik/</t>
  </si>
  <si>
    <t>LTV capital</t>
  </si>
  <si>
    <t>https://www.ltvcapital.co/</t>
  </si>
  <si>
    <t>News article, LinkedIn</t>
  </si>
  <si>
    <r>
      <rPr>
        <rFont val="Poppins"/>
        <sz val="7.0"/>
      </rPr>
      <t xml:space="preserve">- [Asset Class = Funds - VC] &gt; News article &gt; venture capital fund-of-funds investing in best-in-class, capital-efficient, diverse emerging </t>
    </r>
    <r>
      <rPr>
        <rFont val="Poppins"/>
        <b/>
        <color rgb="FF1155CC"/>
        <sz val="7.0"/>
        <u/>
      </rPr>
      <t xml:space="preserve">fund </t>
    </r>
    <r>
      <rPr>
        <rFont val="Poppins"/>
        <sz val="7.0"/>
      </rPr>
      <t xml:space="preserve">managers, has published an exclusive report with data from 800+ global emerging </t>
    </r>
    <r>
      <rPr>
        <rFont val="Poppins"/>
        <b/>
        <sz val="7.0"/>
      </rPr>
      <t xml:space="preserve">fund </t>
    </r>
    <r>
      <rPr>
        <rFont val="Poppins"/>
        <sz val="7.0"/>
      </rPr>
      <t xml:space="preserve">managers across the </t>
    </r>
    <r>
      <rPr>
        <rFont val="Poppins"/>
        <b/>
        <sz val="7.0"/>
      </rPr>
      <t xml:space="preserve">venture capital </t>
    </r>
    <r>
      <rPr>
        <rFont val="Poppins"/>
        <sz val="7.0"/>
      </rPr>
      <t xml:space="preserve">ecosystem.
- [Maturity Focus = Emerging] &gt; LinedIn &gt; Investing into top-tier </t>
    </r>
    <r>
      <rPr>
        <rFont val="Poppins"/>
        <b/>
        <color rgb="FF1155CC"/>
        <sz val="7.0"/>
        <u/>
      </rPr>
      <t>emerging managers</t>
    </r>
    <r>
      <rPr>
        <rFont val="Poppins"/>
        <sz val="7.0"/>
      </rPr>
      <t xml:space="preserve"> globally.
- [Sector Investment Focus] &gt; News article + Data manager judgement &gt; network of fund managers worldwide, spanning </t>
    </r>
    <r>
      <rPr>
        <rFont val="Poppins"/>
        <b/>
        <color rgb="FF1155CC"/>
        <sz val="7.0"/>
        <u/>
      </rPr>
      <t>various sectors</t>
    </r>
    <r>
      <rPr>
        <rFont val="Poppins"/>
        <sz val="7.0"/>
      </rPr>
      <t xml:space="preserve">, + They have not publicly revealed their sector focus but the rest of the criteria aligns with our IIP. </t>
    </r>
    <r>
      <rPr>
        <rFont val="Poppins"/>
        <b/>
        <sz val="7.0"/>
      </rPr>
      <t>#DemandCreation.</t>
    </r>
    <r>
      <rPr>
        <rFont val="Poppins"/>
        <sz val="7.0"/>
      </rPr>
      <t xml:space="preserve">
- [Region Investment Focus] &gt; News article &gt; both LPs and GPs across European, </t>
    </r>
    <r>
      <rPr>
        <rFont val="Poppins"/>
        <b/>
        <color rgb="FF1155CC"/>
        <sz val="7.0"/>
        <u/>
      </rPr>
      <t>U.S</t>
    </r>
    <r>
      <rPr>
        <rFont val="Poppins"/>
        <color rgb="FF1155CC"/>
        <sz val="7.0"/>
        <u/>
      </rPr>
      <t>.</t>
    </r>
    <r>
      <rPr>
        <rFont val="Poppins"/>
        <sz val="7.0"/>
      </rPr>
      <t xml:space="preserve"> and emerging markets like </t>
    </r>
    <r>
      <rPr>
        <rFont val="Poppins"/>
        <b/>
        <sz val="7.0"/>
      </rPr>
      <t>MENA</t>
    </r>
    <r>
      <rPr>
        <rFont val="Poppins"/>
        <sz val="7.0"/>
      </rPr>
      <t xml:space="preserve">, LatAm and </t>
    </r>
    <r>
      <rPr>
        <rFont val="Poppins"/>
        <b/>
        <sz val="7.0"/>
      </rPr>
      <t>SE Asia.</t>
    </r>
  </si>
  <si>
    <t>Dario de Wet</t>
  </si>
  <si>
    <t>Dario</t>
  </si>
  <si>
    <t>de Wet</t>
  </si>
  <si>
    <t>dario@ltvcapital.co</t>
  </si>
  <si>
    <t>https://www.linkedin.com/in/dariodewet/</t>
  </si>
  <si>
    <t>Generali Ventures</t>
  </si>
  <si>
    <t>https://www.generali-am.com/uk/en/institutional/</t>
  </si>
  <si>
    <r>
      <rPr>
        <rFont val="Poppins"/>
        <sz val="7.0"/>
      </rPr>
      <t xml:space="preserve">- [Asset class = Funds - VC] &gt; Website &gt; "...after an extensive analysis of over 100 venture capital funds, Generali Ventures has committed investments to </t>
    </r>
    <r>
      <rPr>
        <rFont val="Poppins"/>
        <b/>
        <color rgb="FF1155CC"/>
        <sz val="7.0"/>
        <u/>
      </rPr>
      <t>five strategic Venture Capital Funds</t>
    </r>
    <r>
      <rPr>
        <rFont val="Poppins"/>
        <sz val="7.0"/>
      </rPr>
      <t xml:space="preserve">..."
- [Maturity focus] &gt; Data Manager Judgement &gt; They haven't publicly disclosed their maturity focus but rest of the data align with our IIP </t>
    </r>
    <r>
      <rPr>
        <rFont val="Poppins"/>
        <b/>
        <sz val="7.0"/>
      </rPr>
      <t xml:space="preserve">#DemandCreation 
</t>
    </r>
    <r>
      <rPr>
        <rFont val="Poppins"/>
        <sz val="7.0"/>
      </rPr>
      <t xml:space="preserve">- [Sector investment focus] &gt; Website &gt; "...These investments cover a wide range of transformative technologies that are revolutionising the insurance industry, such as </t>
    </r>
    <r>
      <rPr>
        <rFont val="Poppins"/>
        <b/>
        <color rgb="FF1155CC"/>
        <sz val="7.0"/>
        <u/>
      </rPr>
      <t>Artificial Intelligence</t>
    </r>
    <r>
      <rPr>
        <rFont val="Poppins"/>
        <sz val="7.0"/>
      </rPr>
      <t xml:space="preserve">, cybersecurity, and healthcare..."
- [Region investment focus] &gt; Website &gt; "...Investment targets include innovative startups with a geographic focus extending to VC funds in Europe and the </t>
    </r>
    <r>
      <rPr>
        <rFont val="Poppins"/>
        <b/>
        <color rgb="FF1155CC"/>
        <sz val="7.0"/>
        <u/>
      </rPr>
      <t>United States</t>
    </r>
    <r>
      <rPr>
        <rFont val="Poppins"/>
        <sz val="7.0"/>
      </rPr>
      <t>..."</t>
    </r>
  </si>
  <si>
    <t>Not a fit with what we are doing</t>
  </si>
  <si>
    <t>Fairview Capital Partners</t>
  </si>
  <si>
    <t>https://www.fairviewcapital.com/strategies/venture-capital</t>
  </si>
  <si>
    <r>
      <rPr>
        <rFont val="Poppins"/>
        <sz val="7.0"/>
      </rPr>
      <t xml:space="preserve">-[Asset class = Fund - VC] &gt; Website &gt; "...we navigate investors towards persistently performing </t>
    </r>
    <r>
      <rPr>
        <rFont val="Poppins"/>
        <b/>
        <color rgb="FF1155CC"/>
        <sz val="7.0"/>
        <u/>
      </rPr>
      <t>venture</t>
    </r>
    <r>
      <rPr>
        <rFont val="Poppins"/>
        <color rgb="FF1155CC"/>
        <sz val="7.0"/>
        <u/>
      </rPr>
      <t xml:space="preserve"> </t>
    </r>
    <r>
      <rPr>
        <rFont val="Poppins"/>
        <b/>
        <color rgb="FF1155CC"/>
        <sz val="7.0"/>
        <u/>
      </rPr>
      <t>capital</t>
    </r>
    <r>
      <rPr>
        <rFont val="Poppins"/>
        <color rgb="FF1155CC"/>
        <sz val="7.0"/>
        <u/>
      </rPr>
      <t xml:space="preserve"> </t>
    </r>
    <r>
      <rPr>
        <rFont val="Poppins"/>
        <b/>
        <color rgb="FF1155CC"/>
        <sz val="7.0"/>
        <u/>
      </rPr>
      <t>managers</t>
    </r>
    <r>
      <rPr>
        <rFont val="Poppins"/>
        <sz val="7.0"/>
      </rPr>
      <t>..." + "...Over
20 Deployed v</t>
    </r>
    <r>
      <rPr>
        <rFont val="Poppins"/>
        <b/>
        <color rgb="FF1155CC"/>
        <sz val="7.0"/>
        <u/>
      </rPr>
      <t>enture capital funds of funds</t>
    </r>
    <r>
      <rPr>
        <rFont val="Poppins"/>
        <sz val="7.0"/>
      </rPr>
      <t xml:space="preserve"> </t>
    </r>
    <r>
      <rPr>
        <rFont val="Poppins"/>
        <b/>
        <sz val="7.0"/>
      </rPr>
      <t>Over 230 Fund investments</t>
    </r>
    <r>
      <rPr>
        <rFont val="Poppins"/>
        <sz val="7.0"/>
      </rPr>
      <t xml:space="preserve">..."
-[Region investement focus] &gt; News Article  &gt; and are based in and primarily invest in the </t>
    </r>
    <r>
      <rPr>
        <rFont val="Poppins"/>
        <b/>
        <color rgb="FF1155CC"/>
        <sz val="7.0"/>
        <u/>
      </rPr>
      <t>U.S.</t>
    </r>
    <r>
      <rPr>
        <rFont val="Poppins"/>
        <sz val="7.0"/>
      </rPr>
      <t xml:space="preserve">
-[Maturity focus = Emerging] &gt; Website  &gt;  "...Fairview is a pioneer in diverse and </t>
    </r>
    <r>
      <rPr>
        <rFont val="Poppins"/>
        <b/>
        <color rgb="FF1155CC"/>
        <sz val="7.0"/>
        <u/>
      </rPr>
      <t>emerging</t>
    </r>
    <r>
      <rPr>
        <rFont val="Poppins"/>
        <color rgb="FF1155CC"/>
        <sz val="7.0"/>
        <u/>
      </rPr>
      <t xml:space="preserve"> </t>
    </r>
    <r>
      <rPr>
        <rFont val="Poppins"/>
        <b/>
        <color rgb="FF1155CC"/>
        <sz val="7.0"/>
        <u/>
      </rPr>
      <t>manager</t>
    </r>
    <r>
      <rPr>
        <rFont val="Poppins"/>
        <color rgb="FF1155CC"/>
        <sz val="7.0"/>
        <u/>
      </rPr>
      <t xml:space="preserve"> </t>
    </r>
    <r>
      <rPr>
        <rFont val="Poppins"/>
        <sz val="7.0"/>
      </rPr>
      <t xml:space="preserve">investing..."
- [Sector Investement focus  ] &gt; Website &gt; "...The rapid evolution of </t>
    </r>
    <r>
      <rPr>
        <rFont val="Poppins"/>
        <b/>
        <color rgb="FF1155CC"/>
        <sz val="7.0"/>
        <u/>
      </rPr>
      <t>artificial intelligence (AI)</t>
    </r>
    <r>
      <rPr>
        <rFont val="Poppins"/>
        <sz val="7.0"/>
      </rPr>
      <t xml:space="preserve">, particularly the rise of </t>
    </r>
    <r>
      <rPr>
        <rFont val="Poppins"/>
        <b/>
        <sz val="7.0"/>
      </rPr>
      <t>AI</t>
    </r>
    <r>
      <rPr>
        <rFont val="Poppins"/>
        <sz val="7.0"/>
      </rPr>
      <t xml:space="preserve"> agents capable of autonomously executing complex tasks..."</t>
    </r>
  </si>
  <si>
    <t>Aakar Vachhani</t>
  </si>
  <si>
    <t>Aakar</t>
  </si>
  <si>
    <t>Vachhani</t>
  </si>
  <si>
    <t>avachhani@fairviewcapital.com</t>
  </si>
  <si>
    <t>https://www.linkedin.com/in/aakarvachhani/</t>
  </si>
  <si>
    <t>Dara5</t>
  </si>
  <si>
    <t>https://www.dara5.com/</t>
  </si>
  <si>
    <t>Website, Private data provider, Public data provider</t>
  </si>
  <si>
    <r>
      <rPr>
        <rFont val="Poppins"/>
        <sz val="7.0"/>
      </rPr>
      <t>-[Type = Family Office] &gt; Private data provider &gt; "dara5 is a multi-</t>
    </r>
    <r>
      <rPr>
        <rFont val="Poppins"/>
        <b/>
        <color rgb="FF1155CC"/>
        <sz val="7.0"/>
        <u/>
      </rPr>
      <t>family office</t>
    </r>
    <r>
      <rPr>
        <rFont val="Poppins"/>
        <sz val="7.0"/>
      </rPr>
      <t xml:space="preserve"> based in London, United Kingdom."
-[Asset class = Fund - VC] &gt; Website &gt; "...dara5 focuses on investments in </t>
    </r>
    <r>
      <rPr>
        <rFont val="Poppins"/>
        <b/>
        <color rgb="FF1155CC"/>
        <sz val="7.0"/>
        <u/>
      </rPr>
      <t>Venture</t>
    </r>
    <r>
      <rPr>
        <rFont val="Poppins"/>
        <color rgb="FF1155CC"/>
        <sz val="7.0"/>
        <u/>
      </rPr>
      <t xml:space="preserve"> </t>
    </r>
    <r>
      <rPr>
        <rFont val="Poppins"/>
        <b/>
        <color rgb="FF1155CC"/>
        <sz val="7.0"/>
        <u/>
      </rPr>
      <t>Capital</t>
    </r>
    <r>
      <rPr>
        <rFont val="Poppins"/>
        <color rgb="FF1155CC"/>
        <sz val="7.0"/>
        <u/>
      </rPr>
      <t xml:space="preserve"> </t>
    </r>
    <r>
      <rPr>
        <rFont val="Poppins"/>
        <sz val="7.0"/>
      </rPr>
      <t xml:space="preserve">and Private Equity opportunities in Europe and the US, specifically looking for early stage </t>
    </r>
    <r>
      <rPr>
        <rFont val="Poppins"/>
        <b/>
        <sz val="7.0"/>
      </rPr>
      <t>venture</t>
    </r>
    <r>
      <rPr>
        <rFont val="Poppins"/>
        <sz val="7.0"/>
      </rPr>
      <t xml:space="preserve"> </t>
    </r>
    <r>
      <rPr>
        <rFont val="Poppins"/>
        <b/>
        <sz val="7.0"/>
      </rPr>
      <t>funds</t>
    </r>
    <r>
      <rPr>
        <rFont val="Poppins"/>
        <sz val="7.0"/>
      </rPr>
      <t xml:space="preserve">"
-[Region investement focus] &gt; Website  &gt; "...dara5 focuses on investments in Venture Capital and Private Equity opportunities in Europe and the </t>
    </r>
    <r>
      <rPr>
        <rFont val="Poppins"/>
        <b/>
        <color rgb="FF1155CC"/>
        <sz val="7.0"/>
        <u/>
      </rPr>
      <t>US</t>
    </r>
    <r>
      <rPr>
        <rFont val="Poppins"/>
        <sz val="7.0"/>
      </rPr>
      <t xml:space="preserve">..."
-[Maturity focus = Emerging] &gt; Website &gt;  "...specifically looking for early stage venture funds..." + This Article confirm they invets in </t>
    </r>
    <r>
      <rPr>
        <rFont val="Poppins"/>
        <b/>
        <color rgb="FF1155CC"/>
        <sz val="7.0"/>
        <u/>
      </rPr>
      <t>Emerging</t>
    </r>
    <r>
      <rPr>
        <rFont val="Poppins"/>
        <color rgb="FF1155CC"/>
        <sz val="7.0"/>
        <u/>
      </rPr>
      <t xml:space="preserve"> </t>
    </r>
    <r>
      <rPr>
        <rFont val="Poppins"/>
        <b/>
        <color rgb="FF1155CC"/>
        <sz val="7.0"/>
        <u/>
      </rPr>
      <t>manager</t>
    </r>
  </si>
  <si>
    <t>Bjoern Lippe</t>
  </si>
  <si>
    <t>Bjoern</t>
  </si>
  <si>
    <t>Lippe</t>
  </si>
  <si>
    <t>bjoern@dara5.com</t>
  </si>
  <si>
    <t>http://www.linkedin.com/in/bjoernlippe</t>
  </si>
  <si>
    <t>Equity Alliance</t>
  </si>
  <si>
    <t>https://equityalliance.fund/about/</t>
  </si>
  <si>
    <r>
      <rPr>
        <rFont val="Poppins"/>
        <sz val="7.0"/>
      </rPr>
      <t>- [Asset class = Funds - VC] &gt; Website &gt; "...The Equity Alliance invests in exceptional</t>
    </r>
    <r>
      <rPr>
        <rFont val="Poppins"/>
        <b/>
        <sz val="7.0"/>
      </rPr>
      <t xml:space="preserve"> </t>
    </r>
    <r>
      <rPr>
        <rFont val="Poppins"/>
        <b/>
        <color rgb="FF1155CC"/>
        <sz val="7.0"/>
        <u/>
      </rPr>
      <t>venture capital fund</t>
    </r>
    <r>
      <rPr>
        <rFont val="Poppins"/>
        <sz val="7.0"/>
      </rPr>
      <t xml:space="preserve"> managers and founders..."
- [Maturity focus = Emerging] &gt; Website &gt; "...namely </t>
    </r>
    <r>
      <rPr>
        <rFont val="Poppins"/>
        <b/>
        <color rgb="FF1155CC"/>
        <sz val="7.0"/>
        <u/>
      </rPr>
      <t>emerging</t>
    </r>
    <r>
      <rPr>
        <rFont val="Poppins"/>
        <sz val="7.0"/>
      </rPr>
      <t xml:space="preserve"> venture capital firms..."
- [Region investment focus] &gt; Portfolio &gt;  There portfolio funds located in </t>
    </r>
    <r>
      <rPr>
        <rFont val="Poppins"/>
        <b/>
        <color rgb="FF1155CC"/>
        <sz val="7.0"/>
        <u/>
      </rPr>
      <t>US</t>
    </r>
    <r>
      <rPr>
        <rFont val="Poppins"/>
        <b/>
        <sz val="7.0"/>
      </rPr>
      <t xml:space="preserve">, </t>
    </r>
    <r>
      <rPr>
        <rFont val="Poppins"/>
        <sz val="7.0"/>
      </rPr>
      <t xml:space="preserve">ex: </t>
    </r>
    <r>
      <rPr>
        <rFont val="Poppins"/>
        <b/>
        <sz val="7.0"/>
      </rPr>
      <t>Serene Ventures, NOEMIS Ventures</t>
    </r>
    <r>
      <rPr>
        <rFont val="Poppins"/>
        <sz val="7.0"/>
      </rPr>
      <t>.</t>
    </r>
    <r>
      <rPr>
        <rFont val="Poppins"/>
        <b/>
        <color rgb="FF1155CC"/>
        <sz val="7.0"/>
        <u/>
      </rPr>
      <t xml:space="preserve">
</t>
    </r>
    <r>
      <rPr>
        <rFont val="Poppins"/>
        <sz val="7.0"/>
      </rPr>
      <t xml:space="preserve">- [Sector Investement focus] &gt; Data Manager Judgement &gt; Reimagined Ventures has shown interest in </t>
    </r>
    <r>
      <rPr>
        <rFont val="Poppins"/>
        <b/>
        <color rgb="FF1155CC"/>
        <sz val="7.0"/>
        <u/>
      </rPr>
      <t xml:space="preserve">deep tech </t>
    </r>
    <r>
      <rPr>
        <rFont val="Poppins"/>
        <sz val="7.0"/>
      </rPr>
      <t xml:space="preserve">sectors. They have invested in companies like Vedanta, which operates at the intersection of biology and technology.  Reimagined Ventures has invested in companies utilizing </t>
    </r>
    <r>
      <rPr>
        <rFont val="Poppins"/>
        <b/>
        <color rgb="FF1155CC"/>
        <sz val="7.0"/>
        <u/>
      </rPr>
      <t>AI</t>
    </r>
    <r>
      <rPr>
        <rFont val="Poppins"/>
        <sz val="7.0"/>
      </rPr>
      <t xml:space="preserve">. </t>
    </r>
  </si>
  <si>
    <t>Managing Partner and CIO</t>
  </si>
  <si>
    <t>Adrienne Rees</t>
  </si>
  <si>
    <t>Adrienne</t>
  </si>
  <si>
    <t>Rees</t>
  </si>
  <si>
    <t>adrienne@equityalliance.fund</t>
  </si>
  <si>
    <t>http://www.linkedin.com/in/adrienne-rees-b799ba7</t>
  </si>
  <si>
    <t>Rock Creek Group</t>
  </si>
  <si>
    <t>https://therockcreekgroup.com/</t>
  </si>
  <si>
    <t>Website, Data manager judgement, News article</t>
  </si>
  <si>
    <r>
      <rPr>
        <rFont val="Poppins"/>
        <sz val="7.0"/>
      </rPr>
      <t>-[Asset class = Fund - VC] &gt; Website &gt;. "...</t>
    </r>
    <r>
      <rPr>
        <rFont val="Poppins"/>
        <b/>
        <color rgb="FF1155CC"/>
        <sz val="7.0"/>
        <u/>
      </rPr>
      <t>Venture</t>
    </r>
    <r>
      <rPr>
        <rFont val="Poppins"/>
        <color rgb="FF1155CC"/>
        <sz val="7.0"/>
        <u/>
      </rPr>
      <t xml:space="preserve"> </t>
    </r>
    <r>
      <rPr>
        <rFont val="Poppins"/>
        <b/>
        <color rgb="FF1155CC"/>
        <sz val="7.0"/>
        <u/>
      </rPr>
      <t>Capital</t>
    </r>
    <r>
      <rPr>
        <rFont val="Poppins"/>
        <color rgb="FF1155CC"/>
        <sz val="7.0"/>
        <u/>
      </rPr>
      <t xml:space="preserve"> </t>
    </r>
    <r>
      <rPr>
        <rFont val="Poppins"/>
        <sz val="7.0"/>
      </rPr>
      <t xml:space="preserve">and Private Equity: The investment team’s expertise spans direct investments and co-investments, primary </t>
    </r>
    <r>
      <rPr>
        <rFont val="Poppins"/>
        <b/>
        <sz val="7.0"/>
      </rPr>
      <t>fund</t>
    </r>
    <r>
      <rPr>
        <rFont val="Poppins"/>
        <sz val="7.0"/>
      </rPr>
      <t xml:space="preserve"> commitments, and secondaries ..."
-[Region investement focus = United State  ] &gt; Portfolio &gt; They invest globally, but their portfolio includes some companies that are specifically mentioned as being from the </t>
    </r>
    <r>
      <rPr>
        <rFont val="Poppins"/>
        <b/>
        <color rgb="FF1155CC"/>
        <sz val="7.0"/>
        <u/>
      </rPr>
      <t>U.S.</t>
    </r>
    <r>
      <rPr>
        <rFont val="Poppins"/>
        <sz val="7.0"/>
      </rPr>
      <t xml:space="preserve"> ex: </t>
    </r>
    <r>
      <rPr>
        <rFont val="Poppins"/>
        <b/>
        <sz val="7.0"/>
      </rPr>
      <t>Antora, etc.</t>
    </r>
    <r>
      <rPr>
        <rFont val="Poppins"/>
        <sz val="7.0"/>
      </rPr>
      <t xml:space="preserve">
-[Maturity focus = Emerging] &gt; News Article &gt; We have an established program of investing in </t>
    </r>
    <r>
      <rPr>
        <rFont val="Poppins"/>
        <b/>
        <color rgb="FF1155CC"/>
        <sz val="7.0"/>
        <u/>
      </rPr>
      <t xml:space="preserve">emerging </t>
    </r>
    <r>
      <rPr>
        <rFont val="Poppins"/>
        <sz val="7.0"/>
      </rPr>
      <t xml:space="preserve">investment </t>
    </r>
    <r>
      <rPr>
        <rFont val="Poppins"/>
        <b/>
        <sz val="7.0"/>
      </rPr>
      <t>managers</t>
    </r>
    <r>
      <rPr>
        <rFont val="Poppins"/>
        <sz val="7.0"/>
      </rPr>
      <t xml:space="preserve">.
- [Sector Investement focus] &gt; Data Manager Judgement &gt; The firm's multi-decade experience encompasses investments in energy, innovation, </t>
    </r>
    <r>
      <rPr>
        <rFont val="Poppins"/>
        <b/>
        <color rgb="FF1155CC"/>
        <sz val="7.0"/>
        <u/>
      </rPr>
      <t>AI</t>
    </r>
    <r>
      <rPr>
        <rFont val="Poppins"/>
        <sz val="7.0"/>
      </rPr>
      <t>, and data centers.</t>
    </r>
  </si>
  <si>
    <t>Energy focus</t>
  </si>
  <si>
    <r>
      <rPr>
        <rFont val="Poppins"/>
        <sz val="7.0"/>
      </rPr>
      <t>They clearly state on their website that Artificial Intelligence is an important focus, "...</t>
    </r>
    <r>
      <rPr>
        <rFont val="Poppins"/>
        <b/>
        <color rgb="FF1155CC"/>
        <sz val="7.0"/>
        <u/>
      </rPr>
      <t>AI</t>
    </r>
    <r>
      <rPr>
        <rFont val="Poppins"/>
        <sz val="7.0"/>
      </rPr>
      <t xml:space="preserve"> and data centers is an important focus of our partners..." </t>
    </r>
  </si>
  <si>
    <t>Teralys Capital</t>
  </si>
  <si>
    <t>www.teralyscapital.com</t>
  </si>
  <si>
    <r>
      <rPr>
        <rFont val="Poppins"/>
        <sz val="7.0"/>
      </rPr>
      <t xml:space="preserve">- [Type = Fund of funds] &gt; Private data provider + Website &gt; Private data provider confirms they're a fund of funds + "...With $2B in assets under management across 5 specialized venture capital </t>
    </r>
    <r>
      <rPr>
        <rFont val="Poppins"/>
        <b/>
        <color rgb="FF1155CC"/>
        <sz val="7.0"/>
        <u/>
      </rPr>
      <t>fund-of-funds</t>
    </r>
    <r>
      <rPr>
        <rFont val="Poppins"/>
        <sz val="7.0"/>
      </rPr>
      <t xml:space="preserve"> and 2 additional legacy portfolios of funds..."
- [Asset class = Funds - VC] &gt; Private data provider + Website &gt; Private data provider confirms that they invest into </t>
    </r>
    <r>
      <rPr>
        <rFont val="Poppins"/>
        <b/>
        <sz val="7.0"/>
      </rPr>
      <t xml:space="preserve">VC funds </t>
    </r>
    <r>
      <rPr>
        <rFont val="Poppins"/>
        <sz val="7.0"/>
      </rPr>
      <t xml:space="preserve">+ "...Teralys Capital is a private fund manager financing private </t>
    </r>
    <r>
      <rPr>
        <rFont val="Poppins"/>
        <b/>
        <color rgb="FF1155CC"/>
        <sz val="7.0"/>
        <u/>
      </rPr>
      <t>venture capital funds</t>
    </r>
    <r>
      <rPr>
        <rFont val="Poppins"/>
        <sz val="7.0"/>
      </rPr>
      <t xml:space="preserve"> investing in information technologies, life sciences, and clean or industrial innovations..."
- [Maturity focus = Emerging, Developing] &gt; Private data provider + Website &gt; Private data provider confirms that they invest in </t>
    </r>
    <r>
      <rPr>
        <rFont val="Poppins"/>
        <b/>
        <sz val="7.0"/>
      </rPr>
      <t xml:space="preserve">emerging/developing fund managers. </t>
    </r>
    <r>
      <rPr>
        <rFont val="Poppins"/>
        <sz val="7.0"/>
      </rPr>
      <t xml:space="preserve">+ "...Mandate to foster the development of </t>
    </r>
    <r>
      <rPr>
        <rFont val="Poppins"/>
        <b/>
        <color rgb="FF1155CC"/>
        <sz val="7.0"/>
        <u/>
      </rPr>
      <t>emerging seed managers</t>
    </r>
    <r>
      <rPr>
        <rFont val="Poppins"/>
        <sz val="7.0"/>
      </rPr>
      <t>..."</t>
    </r>
    <r>
      <rPr>
        <rFont val="Poppins"/>
        <b/>
        <sz val="7.0"/>
      </rPr>
      <t xml:space="preserve">
</t>
    </r>
    <r>
      <rPr>
        <rFont val="Poppins"/>
        <sz val="7.0"/>
      </rPr>
      <t xml:space="preserve">- [Sector investment focus =] &gt; Data manager judgement &gt; Cybersecurity: Through funds like Forgepoint Capital, which invests in early-stage cybersecurity companies. </t>
    </r>
    <r>
      <rPr>
        <rFont val="Poppins"/>
        <b/>
        <color rgb="FF1155CC"/>
        <sz val="7.0"/>
        <u/>
      </rPr>
      <t>Artificial Intelligence</t>
    </r>
    <r>
      <rPr>
        <rFont val="Poppins"/>
        <sz val="7.0"/>
      </rPr>
      <t xml:space="preserve">: Through funds like Georgian, which invests in business software and </t>
    </r>
    <r>
      <rPr>
        <rFont val="Poppins"/>
        <b/>
        <sz val="7.0"/>
      </rPr>
      <t xml:space="preserve">artificial intelligence </t>
    </r>
    <r>
      <rPr>
        <rFont val="Poppins"/>
        <sz val="7.0"/>
      </rPr>
      <t xml:space="preserve">companies.
- [Region investment focus =North America and Europe] &gt; Data manager judgement &gt;  Investments in </t>
    </r>
    <r>
      <rPr>
        <rFont val="Poppins"/>
        <b/>
        <color rgb="FF1155CC"/>
        <sz val="7.0"/>
        <u/>
      </rPr>
      <t>Europe</t>
    </r>
    <r>
      <rPr>
        <rFont val="Poppins"/>
        <sz val="7.0"/>
      </rPr>
      <t xml:space="preserve">: Idinvest Partners: Teralys Capital has invested in Idinvest Partners, a pan-European fund targeting Series A and Series B investments. Investments in the </t>
    </r>
    <r>
      <rPr>
        <rFont val="Poppins"/>
        <b/>
        <color rgb="FF1155CC"/>
        <sz val="7.0"/>
        <u/>
      </rPr>
      <t>United States</t>
    </r>
    <r>
      <rPr>
        <rFont val="Poppins"/>
        <sz val="7.0"/>
      </rPr>
      <t>: Forgepoint Capital: Teralys Capital has invested in Forgepoint Capital, a California-based fund that focuses on early-stage cybersecurity companies.</t>
    </r>
  </si>
  <si>
    <t>Investment Associate</t>
  </si>
  <si>
    <t>Sébastien Vicente</t>
  </si>
  <si>
    <t>Sébastien</t>
  </si>
  <si>
    <t>Vicente</t>
  </si>
  <si>
    <t>svicente@teralyscapital.com</t>
  </si>
  <si>
    <t>https://www.linkedin.com/in/sebastien-vicente/</t>
  </si>
  <si>
    <t>Sella Venture Partner</t>
  </si>
  <si>
    <t>https://sella.vc/#</t>
  </si>
  <si>
    <r>
      <rPr>
        <rFont val="Poppins"/>
        <sz val="7.0"/>
      </rPr>
      <t xml:space="preserve">- [Asset class = Funds - VC] &gt; Website &gt; "...invested in a selection of primary and secondary commitments </t>
    </r>
    <r>
      <rPr>
        <rFont val="Poppins"/>
        <b/>
        <color rgb="FF1155CC"/>
        <sz val="7.0"/>
        <u/>
      </rPr>
      <t>VCs early stage funds</t>
    </r>
    <r>
      <rPr>
        <rFont val="Poppins"/>
        <color rgb="FF1155CC"/>
        <sz val="7.0"/>
        <u/>
      </rPr>
      <t xml:space="preserve"> </t>
    </r>
    <r>
      <rPr>
        <rFont val="Poppins"/>
        <sz val="7.0"/>
      </rPr>
      <t xml:space="preserve">in North America and Europe..."; 
- [Maturity focus = Emerging]  &gt; Data Manager Judgement + Website &gt; They invest in </t>
    </r>
    <r>
      <rPr>
        <rFont val="Poppins"/>
        <b/>
        <color rgb="FF1155CC"/>
        <sz val="7.0"/>
        <u/>
      </rPr>
      <t xml:space="preserve">early-stage VC funds </t>
    </r>
    <r>
      <rPr>
        <rFont val="Poppins"/>
        <sz val="7.0"/>
      </rPr>
      <t>in North America and Europe, through their Fund of Funds strategy + "...</t>
    </r>
    <r>
      <rPr>
        <rFont val="Poppins"/>
        <b/>
        <color rgb="FF1155CC"/>
        <sz val="7.0"/>
        <u/>
      </rPr>
      <t>SVP Fund of Funds I and Fund of Funds II</t>
    </r>
    <r>
      <rPr>
        <rFont val="Poppins"/>
        <sz val="7.0"/>
      </rPr>
      <t xml:space="preserve">..."
- [Sector investment focus] &gt; Data Manager Judgement &gt; SVP has demonstrated a specific interest in </t>
    </r>
    <r>
      <rPr>
        <rFont val="Poppins"/>
        <b/>
        <color rgb="FF1155CC"/>
        <sz val="7.0"/>
        <u/>
      </rPr>
      <t xml:space="preserve">AI </t>
    </r>
    <r>
      <rPr>
        <rFont val="Poppins"/>
        <sz val="7.0"/>
      </rPr>
      <t>through initiatives like the "</t>
    </r>
    <r>
      <rPr>
        <rFont val="Poppins"/>
        <b/>
        <color rgb="FF1155CC"/>
        <sz val="7.0"/>
        <u/>
      </rPr>
      <t xml:space="preserve">Artificial Intelligence </t>
    </r>
    <r>
      <rPr>
        <rFont val="Poppins"/>
        <sz val="7.0"/>
      </rPr>
      <t xml:space="preserve">Business Incubator," which attracted 72 projects from 14 countries. This program supports startups and projects focusing on </t>
    </r>
    <r>
      <rPr>
        <rFont val="Poppins"/>
        <b/>
        <sz val="7.0"/>
      </rPr>
      <t xml:space="preserve">AI </t>
    </r>
    <r>
      <rPr>
        <rFont val="Poppins"/>
        <sz val="7.0"/>
      </rPr>
      <t xml:space="preserve">applications in finance. 
- [Region investment focus] &gt; Website &gt; "...invested in a selection of primary and secondary commitments VCs early stage funds in </t>
    </r>
    <r>
      <rPr>
        <rFont val="Poppins"/>
        <b/>
        <color rgb="FF1155CC"/>
        <sz val="7.0"/>
        <u/>
      </rPr>
      <t>North America</t>
    </r>
    <r>
      <rPr>
        <rFont val="Poppins"/>
        <sz val="7.0"/>
      </rPr>
      <t xml:space="preserve"> and Europe.</t>
    </r>
  </si>
  <si>
    <t>Vice President &amp; Managing Partner</t>
  </si>
  <si>
    <t>Grazia Borri</t>
  </si>
  <si>
    <t>Grazia</t>
  </si>
  <si>
    <t>Borri</t>
  </si>
  <si>
    <t>grazia.borri@sella.it</t>
  </si>
  <si>
    <t>http://www.linkedin.com/in/graziaborri</t>
  </si>
  <si>
    <t>New Alpha Asset Management</t>
  </si>
  <si>
    <t>https://www.newalpha.com/en/venture-capital/</t>
  </si>
  <si>
    <r>
      <rPr>
        <rFont val="Poppins"/>
        <sz val="7.0"/>
      </rPr>
      <t xml:space="preserve">-[Asset class = Funds - VC] &gt; Website &gt;  "...NewAlpha AM has been offering professional investors the opportunity to benefit from the growth and strategic innovation of the European Fintech sector through its </t>
    </r>
    <r>
      <rPr>
        <rFont val="Poppins"/>
        <b/>
        <sz val="7.0"/>
      </rPr>
      <t xml:space="preserve">early stage </t>
    </r>
    <r>
      <rPr>
        <rFont val="Poppins"/>
        <b/>
        <color rgb="FF1155CC"/>
        <sz val="7.0"/>
        <u/>
      </rPr>
      <t>venture</t>
    </r>
    <r>
      <rPr>
        <rFont val="Poppins"/>
        <color rgb="FF1155CC"/>
        <sz val="7.0"/>
        <u/>
      </rPr>
      <t xml:space="preserve"> </t>
    </r>
    <r>
      <rPr>
        <rFont val="Poppins"/>
        <b/>
        <color rgb="FF1155CC"/>
        <sz val="7.0"/>
        <u/>
      </rPr>
      <t>capital</t>
    </r>
    <r>
      <rPr>
        <rFont val="Poppins"/>
        <color rgb="FF1155CC"/>
        <sz val="7.0"/>
        <u/>
      </rPr>
      <t xml:space="preserve"> </t>
    </r>
    <r>
      <rPr>
        <rFont val="Poppins"/>
        <b/>
        <color rgb="FF1155CC"/>
        <sz val="7.0"/>
        <u/>
      </rPr>
      <t>funds</t>
    </r>
    <r>
      <rPr>
        <rFont val="Poppins"/>
        <sz val="7.0"/>
      </rPr>
      <t xml:space="preserve"> since 2015...."
-[Maturity Focus = Emerging ] &gt; Website &gt;  "...unique experience in investing with </t>
    </r>
    <r>
      <rPr>
        <rFont val="Poppins"/>
        <b/>
        <color rgb="FF1155CC"/>
        <sz val="7.0"/>
        <u/>
      </rPr>
      <t xml:space="preserve">emerging managers </t>
    </r>
    <r>
      <rPr>
        <rFont val="Poppins"/>
        <sz val="7.0"/>
      </rPr>
      <t xml:space="preserve">reflects a commitment to continuous improvement and innovation in our investment approach..."
-[Sector Investement Focus] &gt; Data Manager Judgement &gt; In January 2021, NewAlpha led a €7.5 million Series B funding round for SESAMm, a provider of analytics and </t>
    </r>
    <r>
      <rPr>
        <rFont val="Poppins"/>
        <b/>
        <color rgb="FF1155CC"/>
        <sz val="7.0"/>
        <u/>
      </rPr>
      <t xml:space="preserve">AI </t>
    </r>
    <r>
      <rPr>
        <rFont val="Poppins"/>
        <sz val="7.0"/>
      </rPr>
      <t xml:space="preserve">solutions for investment professionals and enterprises.
-[Region Investement Focus] &gt; Website  &gt; "...Our tailored solutions have been selected by sophisticated investors in Europe and </t>
    </r>
    <r>
      <rPr>
        <rFont val="Poppins"/>
        <b/>
        <color rgb="FF1155CC"/>
        <sz val="7.0"/>
        <u/>
      </rPr>
      <t>North America</t>
    </r>
    <r>
      <rPr>
        <rFont val="Poppins"/>
        <sz val="7.0"/>
      </rPr>
      <t>..."</t>
    </r>
  </si>
  <si>
    <t>Asset Manager is a part of your IIP.</t>
  </si>
  <si>
    <t>Hamilton Lane</t>
  </si>
  <si>
    <t>https://www.hamiltonlane.com/</t>
  </si>
  <si>
    <t>Website, News article, Data manager judgement</t>
  </si>
  <si>
    <r>
      <rPr>
        <rFont val="Poppins"/>
        <sz val="7.0"/>
      </rPr>
      <t xml:space="preserve">- [Asset class = Funds - VC] &gt; Website &gt; "...We do this through </t>
    </r>
    <r>
      <rPr>
        <rFont val="Poppins"/>
        <b/>
        <sz val="7.0"/>
      </rPr>
      <t xml:space="preserve">fund </t>
    </r>
    <r>
      <rPr>
        <rFont val="Poppins"/>
        <sz val="7.0"/>
      </rPr>
      <t xml:space="preserve">investments with </t>
    </r>
    <r>
      <rPr>
        <rFont val="Poppins"/>
        <b/>
        <color rgb="FF1155CC"/>
        <sz val="7.0"/>
        <u/>
      </rPr>
      <t>venture</t>
    </r>
    <r>
      <rPr>
        <rFont val="Poppins"/>
        <sz val="7.0"/>
      </rPr>
      <t xml:space="preserve"> and growth managers..."
- [Maturity focus = Emerging]&gt; Website &gt; "...Early access and introductions to best-in-class </t>
    </r>
    <r>
      <rPr>
        <rFont val="Poppins"/>
        <b/>
        <color rgb="FF1155CC"/>
        <sz val="7.0"/>
        <u/>
      </rPr>
      <t>emerging</t>
    </r>
    <r>
      <rPr>
        <rFont val="Poppins"/>
        <sz val="7.0"/>
      </rPr>
      <t xml:space="preserve"> and diverse-led </t>
    </r>
    <r>
      <rPr>
        <rFont val="Poppins"/>
        <b/>
        <sz val="7.0"/>
      </rPr>
      <t xml:space="preserve">managers </t>
    </r>
    <r>
      <rPr>
        <rFont val="Poppins"/>
        <sz val="7.0"/>
      </rPr>
      <t xml:space="preserve">across primary funds and co-investment transactions..."
- [Region investment focus ] &gt; News Article + Data manager judgement &gt; " Leading private markets investment management firm Hamilton Lane (Nasdaq: HLNE) today announced the expansion of its Direct Equity Investment Team, with the appointment of five new senior team members based in </t>
    </r>
    <r>
      <rPr>
        <rFont val="Poppins"/>
        <b/>
        <color rgb="FF1155CC"/>
        <sz val="7.0"/>
        <u/>
      </rPr>
      <t>North</t>
    </r>
    <r>
      <rPr>
        <rFont val="Poppins"/>
        <color rgb="FF1155CC"/>
        <sz val="7.0"/>
        <u/>
      </rPr>
      <t xml:space="preserve"> </t>
    </r>
    <r>
      <rPr>
        <rFont val="Poppins"/>
        <b/>
        <color rgb="FF1155CC"/>
        <sz val="7.0"/>
        <u/>
      </rPr>
      <t>America</t>
    </r>
    <r>
      <rPr>
        <rFont val="Poppins"/>
        <color rgb="FF1155CC"/>
        <sz val="7.0"/>
        <u/>
      </rPr>
      <t xml:space="preserve"> </t>
    </r>
    <r>
      <rPr>
        <rFont val="Poppins"/>
        <sz val="7.0"/>
      </rPr>
      <t xml:space="preserve">and Europe. + They have investments based in the </t>
    </r>
    <r>
      <rPr>
        <rFont val="Poppins"/>
        <b/>
        <color rgb="FF1155CC"/>
        <sz val="7.0"/>
        <u/>
      </rPr>
      <t>United States</t>
    </r>
    <r>
      <rPr>
        <rFont val="Poppins"/>
        <sz val="7.0"/>
      </rPr>
      <t xml:space="preserve">, ex: Databricks, etc.
- [Sector investment focus] &gt; Website &gt; They have investments which focus on </t>
    </r>
    <r>
      <rPr>
        <rFont val="Poppins"/>
        <b/>
        <color rgb="FF1155CC"/>
        <sz val="7.0"/>
        <u/>
      </rPr>
      <t>AI</t>
    </r>
    <r>
      <rPr>
        <rFont val="Poppins"/>
        <b/>
        <sz val="7.0"/>
      </rPr>
      <t>, ex: Databricks, etc.</t>
    </r>
  </si>
  <si>
    <t>Lauren Parente</t>
  </si>
  <si>
    <t>Lauren</t>
  </si>
  <si>
    <t>Parente</t>
  </si>
  <si>
    <t>lhennigan@hamiltonlane.com</t>
  </si>
  <si>
    <t>https://www.linkedin.com/in/laurenhennigan/</t>
  </si>
  <si>
    <t>Next Legacy Partners</t>
  </si>
  <si>
    <t>https://www.nextlegacy.com/</t>
  </si>
  <si>
    <r>
      <rPr>
        <rFont val="Poppins"/>
        <sz val="7.0"/>
      </rPr>
      <t xml:space="preserve">- [Asset class = Funds - VC] &gt; Website &gt; "...Next Legacy Partners achieves maximum ROI by backing leading </t>
    </r>
    <r>
      <rPr>
        <rFont val="Poppins"/>
        <b/>
        <color rgb="FF1155CC"/>
        <sz val="7.0"/>
        <u/>
      </rPr>
      <t xml:space="preserve">early-stage venture capital </t>
    </r>
    <r>
      <rPr>
        <rFont val="Poppins"/>
        <sz val="7.0"/>
      </rPr>
      <t>firms and enterprising founders...." + Website &gt; "...We take strong, concentrated positions in the most access-constrained and established</t>
    </r>
    <r>
      <rPr>
        <rFont val="Poppins"/>
        <color rgb="FF1155CC"/>
        <sz val="7.0"/>
        <u/>
      </rPr>
      <t xml:space="preserve"> </t>
    </r>
    <r>
      <rPr>
        <rFont val="Poppins"/>
        <b/>
        <color rgb="FF1155CC"/>
        <sz val="7.0"/>
        <u/>
      </rPr>
      <t>fund managers in the venture ecosystem</t>
    </r>
    <r>
      <rPr>
        <rFont val="Poppins"/>
        <sz val="7.0"/>
      </rPr>
      <t xml:space="preserve">..." + "...Through our Emerging Leaders </t>
    </r>
    <r>
      <rPr>
        <rFont val="Poppins"/>
        <b/>
        <sz val="7.0"/>
      </rPr>
      <t>Fund</t>
    </r>
    <r>
      <rPr>
        <rFont val="Poppins"/>
        <sz val="7.0"/>
      </rPr>
      <t xml:space="preserve">, we back early-stage managers..."
- [Maturity focus = Emerging] &gt; Website &gt; "...Through our </t>
    </r>
    <r>
      <rPr>
        <rFont val="Poppins"/>
        <b/>
        <color rgb="FF1155CC"/>
        <sz val="7.0"/>
        <u/>
      </rPr>
      <t>Emerging Leaders Fund</t>
    </r>
    <r>
      <rPr>
        <rFont val="Poppins"/>
        <sz val="7.0"/>
      </rPr>
      <t xml:space="preserve">, we back </t>
    </r>
    <r>
      <rPr>
        <rFont val="Poppins"/>
        <b/>
        <sz val="7.0"/>
      </rPr>
      <t>early-stage managers</t>
    </r>
    <r>
      <rPr>
        <rFont val="Poppins"/>
        <sz val="7.0"/>
      </rPr>
      <t xml:space="preserve">..."
- [Region investment focus ] &gt; Website &gt;  "...John is an investor in early-stage fintech, consumer, enterprise, and vertical SaaS companies, primarily in </t>
    </r>
    <r>
      <rPr>
        <rFont val="Poppins"/>
        <b/>
        <color rgb="FF1155CC"/>
        <sz val="7.0"/>
        <u/>
      </rPr>
      <t>North America</t>
    </r>
    <r>
      <rPr>
        <rFont val="Poppins"/>
        <sz val="7.0"/>
      </rPr>
      <t xml:space="preserve">...."
-[Sector Investement Focus] &gt; Data Manager Judgement &gt; Their 2023 Review and 2024 Outlook report indicates particular interest in </t>
    </r>
    <r>
      <rPr>
        <rFont val="Poppins"/>
        <b/>
        <color rgb="FF1155CC"/>
        <sz val="7.0"/>
        <u/>
      </rPr>
      <t>AI</t>
    </r>
    <r>
      <rPr>
        <rFont val="Poppins"/>
        <sz val="7.0"/>
      </rPr>
      <t xml:space="preserve">, among other areas. + They have investments focused on </t>
    </r>
    <r>
      <rPr>
        <rFont val="Poppins"/>
        <b/>
        <color rgb="FF1155CC"/>
        <sz val="7.0"/>
        <u/>
      </rPr>
      <t>AI</t>
    </r>
    <r>
      <rPr>
        <rFont val="Poppins"/>
        <b/>
        <sz val="7.0"/>
      </rPr>
      <t>, ex: nightfall AI, etc.</t>
    </r>
  </si>
  <si>
    <t>Investment Partner</t>
  </si>
  <si>
    <t>Jessie Jia Guo</t>
  </si>
  <si>
    <t>Jessie</t>
  </si>
  <si>
    <t>Jia Guo</t>
  </si>
  <si>
    <t>jessie@legacyventure.com</t>
  </si>
  <si>
    <t>https://www.linkedin.com/in/jessiejiaguo/</t>
  </si>
  <si>
    <t>Bare Ventures</t>
  </si>
  <si>
    <t>https://www.barevc.com/</t>
  </si>
  <si>
    <r>
      <rPr>
        <rFont val="Poppins"/>
        <sz val="7.0"/>
      </rPr>
      <t xml:space="preserve">- [Asset class = Fund - VC] &gt; Website &gt; "..We are believers in a more diversified approach to </t>
    </r>
    <r>
      <rPr>
        <rFont val="Poppins"/>
        <b/>
        <sz val="7.0"/>
      </rPr>
      <t>Venture Capital</t>
    </r>
    <r>
      <rPr>
        <rFont val="Poppins"/>
        <sz val="7.0"/>
      </rPr>
      <t xml:space="preserve"> and in opening up access to more investors. We are supporters of the next generation of </t>
    </r>
    <r>
      <rPr>
        <rFont val="Poppins"/>
        <b/>
        <color rgb="FF1155CC"/>
        <sz val="7.0"/>
        <u/>
      </rPr>
      <t>venture funds</t>
    </r>
    <r>
      <rPr>
        <rFont val="Poppins"/>
        <color rgb="FF1155CC"/>
        <sz val="7.0"/>
        <u/>
      </rPr>
      <t>.</t>
    </r>
    <r>
      <rPr>
        <rFont val="Poppins"/>
        <sz val="7.0"/>
      </rPr>
      <t xml:space="preserve">.."
- [Maturity focus = Emerging ] &gt; Website  &gt; "...Rather than focus only on long-standing venture fund managers, we believe there is a significant opportunity for investment in </t>
    </r>
    <r>
      <rPr>
        <rFont val="Poppins"/>
        <b/>
        <color rgb="FF1155CC"/>
        <sz val="7.0"/>
        <u/>
      </rPr>
      <t>emerging fund managers</t>
    </r>
    <r>
      <rPr>
        <rFont val="Poppins"/>
        <color rgb="FF1155CC"/>
        <sz val="7.0"/>
        <u/>
      </rPr>
      <t>.</t>
    </r>
    <r>
      <rPr>
        <rFont val="Poppins"/>
        <sz val="7.0"/>
      </rPr>
      <t xml:space="preserve">.."; 
- [Region investment focus ] &gt; Data Manager Judgement &gt; Bare Ventures is based in </t>
    </r>
    <r>
      <rPr>
        <rFont val="Poppins"/>
        <b/>
        <color rgb="FF1155CC"/>
        <sz val="7.0"/>
        <u/>
      </rPr>
      <t>Washington D.C</t>
    </r>
    <r>
      <rPr>
        <rFont val="Poppins"/>
        <b/>
        <sz val="7.0"/>
      </rPr>
      <t xml:space="preserve">., </t>
    </r>
    <r>
      <rPr>
        <rFont val="Poppins"/>
        <b/>
        <color rgb="FF1155CC"/>
        <sz val="7.0"/>
        <u/>
      </rPr>
      <t>USA</t>
    </r>
    <r>
      <rPr>
        <rFont val="Poppins"/>
        <sz val="7.0"/>
      </rPr>
      <t xml:space="preserve">. Their systematic approach to portfolio construction balances exposure across industry, geography, stage, and risk profile, indicating a </t>
    </r>
    <r>
      <rPr>
        <rFont val="Poppins"/>
        <b/>
        <sz val="7.0"/>
      </rPr>
      <t xml:space="preserve">diversified investment strategy.
</t>
    </r>
    <r>
      <rPr>
        <rFont val="Poppins"/>
        <sz val="7.0"/>
      </rPr>
      <t xml:space="preserve">- [Sector investment focus] &gt; Portfolio &gt; They have made investments focused on </t>
    </r>
    <r>
      <rPr>
        <rFont val="Poppins"/>
        <b/>
        <color rgb="FF1155CC"/>
        <sz val="7.0"/>
        <u/>
      </rPr>
      <t>AI</t>
    </r>
    <r>
      <rPr>
        <rFont val="Poppins"/>
        <b/>
        <sz val="7.0"/>
      </rPr>
      <t>, ex: Cortical Ventures, etc.</t>
    </r>
  </si>
  <si>
    <t>Samir Vig</t>
  </si>
  <si>
    <t>Samir</t>
  </si>
  <si>
    <t>Vig</t>
  </si>
  <si>
    <t>samir@barevc.com</t>
  </si>
  <si>
    <t>https://www.linkedin.com/in/samir-vig-b6245361/</t>
  </si>
  <si>
    <t>Arieli Capital</t>
  </si>
  <si>
    <t>https://www.arielicapital.com/</t>
  </si>
  <si>
    <t>Israel</t>
  </si>
  <si>
    <r>
      <rPr>
        <rFont val="Poppins"/>
        <sz val="7.0"/>
      </rPr>
      <t xml:space="preserve">- [Asset class = Funds - VC] &gt; Portfolio &gt; Their portfolio confirms their investment in </t>
    </r>
    <r>
      <rPr>
        <rFont val="Poppins"/>
        <b/>
        <color rgb="FF1155CC"/>
        <sz val="7.0"/>
        <u/>
      </rPr>
      <t>VC funds</t>
    </r>
    <r>
      <rPr>
        <rFont val="Poppins"/>
        <b/>
        <sz val="7.0"/>
      </rPr>
      <t xml:space="preserve">, </t>
    </r>
    <r>
      <rPr>
        <rFont val="Poppins"/>
        <sz val="7.0"/>
      </rPr>
      <t>ex:</t>
    </r>
    <r>
      <rPr>
        <rFont val="Poppins"/>
        <b/>
        <sz val="7.0"/>
      </rPr>
      <t xml:space="preserve"> </t>
    </r>
    <r>
      <rPr>
        <rFont val="Poppins"/>
        <sz val="7.0"/>
      </rPr>
      <t xml:space="preserve">Elron Ventures, Flashpoint Venture Capital, etc.
- [Sector investment focus] &gt; Data manager judgement &gt; They have made investments that which focus on </t>
    </r>
    <r>
      <rPr>
        <rFont val="Poppins"/>
        <b/>
        <color rgb="FF1155CC"/>
        <sz val="7.0"/>
        <u/>
      </rPr>
      <t>AI</t>
    </r>
    <r>
      <rPr>
        <rFont val="Poppins"/>
        <b/>
        <sz val="7.0"/>
      </rPr>
      <t>, ex: Concentric AI, elvy.ai, etc.</t>
    </r>
    <r>
      <rPr>
        <rFont val="Poppins"/>
        <sz val="7.0"/>
      </rPr>
      <t xml:space="preserve">
- [Region investment focus] &gt; Website &gt; "... presence in the </t>
    </r>
    <r>
      <rPr>
        <rFont val="Poppins"/>
        <b/>
        <color rgb="FF1155CC"/>
        <sz val="7.0"/>
        <u/>
      </rPr>
      <t>United States</t>
    </r>
    <r>
      <rPr>
        <rFont val="Poppins"/>
        <sz val="7.0"/>
      </rPr>
      <t xml:space="preserve">, Israel, and Europe..."
- [Maturity Focus = Emerging] &gt; Data manager judgement &gt; They have invested in </t>
    </r>
    <r>
      <rPr>
        <rFont val="Poppins"/>
        <b/>
        <sz val="7.0"/>
      </rPr>
      <t xml:space="preserve">VC Fund "Flashpoint Venture Capital", that has </t>
    </r>
    <r>
      <rPr>
        <rFont val="Poppins"/>
        <b/>
        <color rgb="FF1155CC"/>
        <sz val="7.0"/>
        <u/>
      </rPr>
      <t>first and second funds.</t>
    </r>
  </si>
  <si>
    <t>Co-Founder and Managing Partner</t>
  </si>
  <si>
    <t>Eric Bentov</t>
  </si>
  <si>
    <t>Eric</t>
  </si>
  <si>
    <t>Bentov</t>
  </si>
  <si>
    <t>eric@arielicapital.com</t>
  </si>
  <si>
    <t>https://www.linkedin.com/in/eric-bentov-a93a40128/</t>
  </si>
  <si>
    <t>SVB Capital</t>
  </si>
  <si>
    <t>https://www.svb.com/</t>
  </si>
  <si>
    <r>
      <rPr>
        <rFont val="Poppins"/>
        <sz val="7.0"/>
      </rPr>
      <t>- [Asset class = Fund - VC] &gt; Website &gt; "...</t>
    </r>
    <r>
      <rPr>
        <rFont val="Poppins"/>
        <b/>
        <color rgb="FF1155CC"/>
        <sz val="7.0"/>
        <u/>
      </rPr>
      <t>Venture capital funds</t>
    </r>
    <r>
      <rPr>
        <rFont val="Poppins"/>
        <sz val="7.0"/>
      </rPr>
      <t>: SVB is the leading behind-the-scenes support system for fund CFOs..."
- [Maturity focus = Emerging] &gt; Website &gt; "...</t>
    </r>
    <r>
      <rPr>
        <rFont val="Poppins"/>
        <b/>
        <color rgb="FF1155CC"/>
        <sz val="7.0"/>
        <u/>
      </rPr>
      <t>Emerging managers</t>
    </r>
    <r>
      <rPr>
        <rFont val="Poppins"/>
        <sz val="7.0"/>
      </rPr>
      <t>: SVB supports fund founders who are changing the venture landscape..."</t>
    </r>
    <r>
      <rPr>
        <rFont val="Poppins"/>
        <b/>
        <sz val="7.0"/>
      </rPr>
      <t xml:space="preserve">
</t>
    </r>
    <r>
      <rPr>
        <rFont val="Poppins"/>
        <sz val="7.0"/>
      </rPr>
      <t xml:space="preserve">- [Sector investment focus] &gt; Data manager judgement &gt; They have investments which focus on </t>
    </r>
    <r>
      <rPr>
        <rFont val="Poppins"/>
        <b/>
        <color rgb="FF1155CC"/>
        <sz val="7.0"/>
        <u/>
      </rPr>
      <t>AI</t>
    </r>
    <r>
      <rPr>
        <rFont val="Poppins"/>
        <b/>
        <sz val="7.0"/>
      </rPr>
      <t xml:space="preserve"> and deep tech, among others, ex: True Ventures, Bessemer Venture Partners, etc.
</t>
    </r>
    <r>
      <rPr>
        <rFont val="Poppins"/>
        <sz val="7.0"/>
      </rPr>
      <t xml:space="preserve">- [Region investment focus] &gt; Data manager judgement &gt; They have investments based in the </t>
    </r>
    <r>
      <rPr>
        <rFont val="Poppins"/>
        <b/>
        <color rgb="FF1155CC"/>
        <sz val="7.0"/>
        <u/>
      </rPr>
      <t>United States</t>
    </r>
    <r>
      <rPr>
        <rFont val="Poppins"/>
        <b/>
        <sz val="7.0"/>
      </rPr>
      <t>, ex: True Ventures, Bessemer Venture Partners, etc.</t>
    </r>
  </si>
  <si>
    <t>SVB doesnt invest in funds</t>
  </si>
  <si>
    <t>Chairwoman, Ballou | Investor at Ballou Capital</t>
  </si>
  <si>
    <t>Sapphire ventures</t>
  </si>
  <si>
    <t>https://sapphireventures.com/</t>
  </si>
  <si>
    <r>
      <rPr>
        <rFont val="Poppins"/>
        <sz val="7.0"/>
      </rPr>
      <t>- [Asset Class = Funds - VC] &gt; Website &gt; "...</t>
    </r>
    <r>
      <rPr>
        <rFont val="Poppins"/>
        <b/>
        <sz val="7.0"/>
      </rPr>
      <t xml:space="preserve">Limited partner </t>
    </r>
    <r>
      <rPr>
        <rFont val="Poppins"/>
        <sz val="7.0"/>
      </rPr>
      <t xml:space="preserve">investing in exceptional early-stage </t>
    </r>
    <r>
      <rPr>
        <rFont val="Poppins"/>
        <b/>
        <color rgb="FF1155CC"/>
        <sz val="7.0"/>
        <u/>
      </rPr>
      <t>venture fund</t>
    </r>
    <r>
      <rPr>
        <rFont val="Poppins"/>
        <b/>
        <sz val="7.0"/>
      </rPr>
      <t xml:space="preserve"> </t>
    </r>
    <r>
      <rPr>
        <rFont val="Poppins"/>
        <sz val="7.0"/>
      </rPr>
      <t xml:space="preserve">managers..."
- [Region Investment Focus] &gt; Website &gt; "...across the </t>
    </r>
    <r>
      <rPr>
        <rFont val="Poppins"/>
        <b/>
        <color rgb="FF1155CC"/>
        <sz val="7.0"/>
        <u/>
      </rPr>
      <t>U.S.</t>
    </r>
    <r>
      <rPr>
        <rFont val="Poppins"/>
        <sz val="7.0"/>
      </rPr>
      <t xml:space="preserve">, Europe,..."
- [Sector Investment Focus] &gt; Private data provider &gt;  specifically focusing on </t>
    </r>
    <r>
      <rPr>
        <rFont val="Poppins"/>
        <b/>
        <color rgb="FF1155CC"/>
        <sz val="7.0"/>
        <u/>
      </rPr>
      <t>artificial intelligence</t>
    </r>
    <r>
      <rPr>
        <rFont val="Poppins"/>
        <b/>
        <sz val="7.0"/>
      </rPr>
      <t xml:space="preserve"> </t>
    </r>
    <r>
      <rPr>
        <rFont val="Poppins"/>
        <sz val="7.0"/>
      </rPr>
      <t xml:space="preserve">&amp; machine learning, B2B SaaS, web3, cyber security, data &amp; analytics, DevOps, fintech, health tech, and vertical SaaS + Artificial Intelligence &amp; Machine Learning (AI/ML) FinTech Big Data &amp; Analytics ClimateTech &amp; CleanTech CloudTech </t>
    </r>
    <r>
      <rPr>
        <rFont val="Poppins"/>
        <b/>
        <sz val="7.0"/>
      </rPr>
      <t>Cybersecurity</t>
    </r>
    <r>
      <rPr>
        <rFont val="Poppins"/>
        <sz val="7.0"/>
      </rPr>
      <t xml:space="preserve"> HR Tech InsurTech Legal Tech Marketing (MarTech) PropTech SaaS.
- [Maturity Focus = Emerging] &gt; Website &gt; "...We focus on early-stage venture funds, </t>
    </r>
    <r>
      <rPr>
        <rFont val="Poppins"/>
        <b/>
        <sz val="7.0"/>
      </rPr>
      <t xml:space="preserve">both established and </t>
    </r>
    <r>
      <rPr>
        <rFont val="Poppins"/>
        <b/>
        <color rgb="FF1155CC"/>
        <sz val="7.0"/>
        <u/>
      </rPr>
      <t>emerging</t>
    </r>
    <r>
      <rPr>
        <rFont val="Poppins"/>
        <sz val="7.0"/>
      </rPr>
      <t>, in the US, Europe and Israel..."</t>
    </r>
  </si>
  <si>
    <t>Andreas Weiskam</t>
  </si>
  <si>
    <t>Andreas</t>
  </si>
  <si>
    <t>Weiskam</t>
  </si>
  <si>
    <t>andreas@sapphireventures.com</t>
  </si>
  <si>
    <t>https://www.linkedin.com/in/andreasweiskam/</t>
  </si>
  <si>
    <t>TrueBridge Capital Partners</t>
  </si>
  <si>
    <t>www.truebridgecapital.com</t>
  </si>
  <si>
    <t>Website, News article, Private data provider, Data manager judgement, Portfolio</t>
  </si>
  <si>
    <r>
      <rPr>
        <rFont val="Poppins"/>
        <sz val="7.0"/>
      </rPr>
      <t xml:space="preserve">- [Asset class = Fund - VC] &gt; Website &gt; "...As a </t>
    </r>
    <r>
      <rPr>
        <rFont val="Poppins"/>
        <b/>
        <sz val="7.0"/>
      </rPr>
      <t>fund of funds</t>
    </r>
    <r>
      <rPr>
        <rFont val="Poppins"/>
        <sz val="7.0"/>
      </rPr>
      <t xml:space="preserve">, we have a vantage point in the venture capital and technology ecosystem..." + Website &gt; "...TrueBridge invests in high performing access-constrained </t>
    </r>
    <r>
      <rPr>
        <rFont val="Poppins"/>
        <b/>
        <color rgb="FF1155CC"/>
        <sz val="7.0"/>
        <u/>
      </rPr>
      <t>venture capital funds</t>
    </r>
    <r>
      <rPr>
        <rFont val="Poppins"/>
        <sz val="7.0"/>
      </rPr>
      <t xml:space="preserve">..."
- [Maturity focus = Emerging] &gt; News article &gt; This article confirms their investment in </t>
    </r>
    <r>
      <rPr>
        <rFont val="Poppins"/>
        <b/>
        <color rgb="FF1155CC"/>
        <sz val="7.0"/>
        <u/>
      </rPr>
      <t>emerging VC funds</t>
    </r>
    <r>
      <rPr>
        <rFont val="Poppins"/>
        <sz val="7.0"/>
      </rPr>
      <t xml:space="preserve">.
- [Sector investment focus] &gt; Private data provider &gt; Private data providers confirm they invest in </t>
    </r>
    <r>
      <rPr>
        <rFont val="Poppins"/>
        <b/>
        <color rgb="FF1155CC"/>
        <sz val="7.0"/>
        <u/>
      </rPr>
      <t>AI.</t>
    </r>
    <r>
      <rPr>
        <rFont val="Poppins"/>
        <sz val="7.0"/>
      </rPr>
      <t xml:space="preserve">
- [Region investment focus] &gt; Data manager judgment &gt; His investments are based in the </t>
    </r>
    <r>
      <rPr>
        <rFont val="Poppins"/>
        <b/>
        <color rgb="FF1155CC"/>
        <sz val="7.0"/>
        <u/>
      </rPr>
      <t>United States</t>
    </r>
    <r>
      <rPr>
        <rFont val="Poppins"/>
        <b/>
        <sz val="7.0"/>
      </rPr>
      <t>, ex: Accel Partners, etc.</t>
    </r>
  </si>
  <si>
    <t>Michael Yenca</t>
  </si>
  <si>
    <t>Michael</t>
  </si>
  <si>
    <t>Yenca</t>
  </si>
  <si>
    <t>myenca@truebridgecapital.com</t>
  </si>
  <si>
    <t>https://www.linkedin.com/in/michaelyenca/</t>
  </si>
  <si>
    <t>Union Grove Venture Partners</t>
  </si>
  <si>
    <t>https://www.ugvp.com/</t>
  </si>
  <si>
    <r>
      <rPr>
        <rFont val="Poppins"/>
        <sz val="7.0"/>
      </rPr>
      <t xml:space="preserve">- [Asset class = Funds - VC] &gt; Website &gt; "...invested in over </t>
    </r>
    <r>
      <rPr>
        <rFont val="Poppins"/>
        <b/>
        <color rgb="FF1155CC"/>
        <sz val="7.0"/>
        <u/>
      </rPr>
      <t>100 venture capital funds</t>
    </r>
    <r>
      <rPr>
        <rFont val="Poppins"/>
        <sz val="7.0"/>
      </rPr>
      <t xml:space="preserve"> and over 60 venture-backed companies..."
- [Region investment focus] &gt; Website + Private data provider + Portfolio &gt; "...this experience has fostered strong relationships spanning generations, </t>
    </r>
    <r>
      <rPr>
        <rFont val="Poppins"/>
        <b/>
        <color rgb="FF1155CC"/>
        <sz val="7.0"/>
        <u/>
      </rPr>
      <t>geographies</t>
    </r>
    <r>
      <rPr>
        <rFont val="Poppins"/>
        <sz val="7.0"/>
      </rPr>
      <t xml:space="preserve">..." + invests in the </t>
    </r>
    <r>
      <rPr>
        <rFont val="Poppins"/>
        <b/>
        <color rgb="FF1155CC"/>
        <sz val="7.0"/>
        <u/>
      </rPr>
      <t>United States</t>
    </r>
    <r>
      <rPr>
        <rFont val="Poppins"/>
        <sz val="7.0"/>
      </rPr>
      <t xml:space="preserve"> + Their portfolio has investments based in the </t>
    </r>
    <r>
      <rPr>
        <rFont val="Poppins"/>
        <b/>
        <color rgb="FF1155CC"/>
        <sz val="7.0"/>
        <u/>
      </rPr>
      <t>United States</t>
    </r>
    <r>
      <rPr>
        <rFont val="Poppins"/>
        <b/>
        <sz val="7.0"/>
      </rPr>
      <t>, ex: Kindred Ventures, True Ventures, etc.</t>
    </r>
    <r>
      <rPr>
        <rFont val="Poppins"/>
        <sz val="7.0"/>
      </rPr>
      <t xml:space="preserve">
- [Sector investment focus] &gt; Portfolio &gt; Their investments focus on </t>
    </r>
    <r>
      <rPr>
        <rFont val="Poppins"/>
        <b/>
        <color rgb="FF1155CC"/>
        <sz val="7.0"/>
        <u/>
      </rPr>
      <t>AI</t>
    </r>
    <r>
      <rPr>
        <rFont val="Poppins"/>
        <sz val="7.0"/>
      </rPr>
      <t xml:space="preserve">, </t>
    </r>
    <r>
      <rPr>
        <rFont val="Poppins"/>
        <b/>
        <sz val="7.0"/>
      </rPr>
      <t>ex: Foundation Capital, Kindred Ventures, True Ventures, etc.</t>
    </r>
    <r>
      <rPr>
        <rFont val="Poppins"/>
        <sz val="7.0"/>
      </rPr>
      <t xml:space="preserve">
- [Maturity focus = Emerging] &gt; Website &gt; "...Manager Types: Established &amp; </t>
    </r>
    <r>
      <rPr>
        <rFont val="Poppins"/>
        <b/>
        <color rgb="FF1155CC"/>
        <sz val="7.0"/>
        <u/>
      </rPr>
      <t>Emerging</t>
    </r>
    <r>
      <rPr>
        <rFont val="Poppins"/>
        <sz val="7.0"/>
      </rPr>
      <t>..."</t>
    </r>
  </si>
  <si>
    <t>Patrick Cairns</t>
  </si>
  <si>
    <t>Cairns</t>
  </si>
  <si>
    <t>pc@ugvp.com</t>
  </si>
  <si>
    <t>http://www.linkedin.com/in/patrick-cairns-1958345</t>
  </si>
  <si>
    <t>4S Bay Partners</t>
  </si>
  <si>
    <t>https://www.4sbay.com/</t>
  </si>
  <si>
    <r>
      <rPr>
        <rFont val="Poppins"/>
        <sz val="7.0"/>
      </rPr>
      <t xml:space="preserve">- [Asset Class = Funds - VC] &gt; Website &gt; "...PE or </t>
    </r>
    <r>
      <rPr>
        <rFont val="Poppins"/>
        <b/>
        <color rgb="FF1155CC"/>
        <sz val="7.0"/>
        <u/>
      </rPr>
      <t>VC Fund</t>
    </r>
    <r>
      <rPr>
        <rFont val="Poppins"/>
        <sz val="7.0"/>
      </rPr>
      <t xml:space="preserve"> Investments..."
- [Maturity focus] &gt; Website &gt; "...Through these investments 4S Bay supports </t>
    </r>
    <r>
      <rPr>
        <rFont val="Poppins"/>
        <b/>
        <color rgb="FF1155CC"/>
        <sz val="7.0"/>
        <u/>
      </rPr>
      <t xml:space="preserve">emerging </t>
    </r>
    <r>
      <rPr>
        <rFont val="Poppins"/>
        <sz val="7.0"/>
      </rPr>
      <t xml:space="preserve">and diverse </t>
    </r>
    <r>
      <rPr>
        <rFont val="Poppins"/>
        <b/>
        <sz val="7.0"/>
      </rPr>
      <t>managers</t>
    </r>
    <r>
      <rPr>
        <rFont val="Poppins"/>
        <sz val="7.0"/>
      </rPr>
      <t xml:space="preserve">...'' 
- [Sector Investment Focus] &gt; Portfolio &gt; Their portfolio consists of investments which focus on </t>
    </r>
    <r>
      <rPr>
        <rFont val="Poppins"/>
        <b/>
        <sz val="7.0"/>
      </rPr>
      <t>technology</t>
    </r>
    <r>
      <rPr>
        <rFont val="Poppins"/>
        <sz val="7.0"/>
      </rPr>
      <t xml:space="preserve">, B2B, health, energy, </t>
    </r>
    <r>
      <rPr>
        <rFont val="Poppins"/>
        <b/>
        <sz val="7.0"/>
      </rPr>
      <t>cybersecurity</t>
    </r>
    <r>
      <rPr>
        <rFont val="Poppins"/>
        <sz val="7.0"/>
      </rPr>
      <t xml:space="preserve">, </t>
    </r>
    <r>
      <rPr>
        <rFont val="Poppins"/>
        <b/>
        <color rgb="FF1155CC"/>
        <sz val="7.0"/>
        <u/>
      </rPr>
      <t>AI</t>
    </r>
    <r>
      <rPr>
        <rFont val="Poppins"/>
        <sz val="7.0"/>
      </rPr>
      <t xml:space="preserve">, fintech etc. ex: obvious, mendoza ventures, climactic
- [Region Investment Focus] &gt; Data manager judgement &gt; Their investments are based in </t>
    </r>
    <r>
      <rPr>
        <rFont val="Poppins"/>
        <b/>
        <color rgb="FF1155CC"/>
        <sz val="7.0"/>
        <u/>
      </rPr>
      <t>North America</t>
    </r>
    <r>
      <rPr>
        <rFont val="Poppins"/>
        <sz val="7.0"/>
      </rPr>
      <t xml:space="preserve"> ex: Tola Capital, Cross Border.</t>
    </r>
  </si>
  <si>
    <r>
      <rPr>
        <rFont val="Poppins"/>
        <sz val="7.0"/>
      </rPr>
      <t xml:space="preserve">Their have mentioned on their website that they </t>
    </r>
    <r>
      <rPr>
        <rFont val="Poppins"/>
        <b/>
        <sz val="7.0"/>
      </rPr>
      <t xml:space="preserve">invest in multiple asset classes and </t>
    </r>
    <r>
      <rPr>
        <rFont val="Poppins"/>
        <b/>
        <color rgb="FF1155CC"/>
        <sz val="7.0"/>
        <u/>
      </rPr>
      <t>Venture Capital</t>
    </r>
    <r>
      <rPr>
        <rFont val="Poppins"/>
        <sz val="7.0"/>
      </rPr>
      <t xml:space="preserve"> is a part of it, "...Presently, our investments span venture capital (</t>
    </r>
    <r>
      <rPr>
        <rFont val="Poppins"/>
        <b/>
        <sz val="7.0"/>
      </rPr>
      <t>both early and late stages</t>
    </r>
    <r>
      <rPr>
        <rFont val="Poppins"/>
        <sz val="7.0"/>
      </rPr>
      <t>), private equity (growth)..."</t>
    </r>
  </si>
  <si>
    <t>Ahoy Capital</t>
  </si>
  <si>
    <t>https://www.ahoycap.com/</t>
  </si>
  <si>
    <r>
      <rPr>
        <rFont val="Poppins"/>
        <sz val="7.0"/>
      </rPr>
      <t xml:space="preserve">- [Asset Class = Funds - VC] &gt; Website &gt; "...Focusing on investments in both early-stage </t>
    </r>
    <r>
      <rPr>
        <rFont val="Poppins"/>
        <b/>
        <color rgb="FF1155CC"/>
        <sz val="7.0"/>
        <u/>
      </rPr>
      <t>venture capital funds</t>
    </r>
    <r>
      <rPr>
        <rFont val="Poppins"/>
        <sz val="7.0"/>
      </rPr>
      <t xml:space="preserve">..."
- [Maturity Focus = Emerging] &gt; Website &gt; "...investments in both </t>
    </r>
    <r>
      <rPr>
        <rFont val="Poppins"/>
        <b/>
        <color rgb="FF1155CC"/>
        <sz val="7.0"/>
        <u/>
      </rPr>
      <t xml:space="preserve">early-stage </t>
    </r>
    <r>
      <rPr>
        <rFont val="Poppins"/>
        <b/>
        <sz val="7.0"/>
      </rPr>
      <t>venture capital funds</t>
    </r>
    <r>
      <rPr>
        <rFont val="Poppins"/>
        <sz val="7.0"/>
      </rPr>
      <t xml:space="preserve">..." + Ahoy Capital seeks outstanding opportunities in the application of </t>
    </r>
    <r>
      <rPr>
        <rFont val="Poppins"/>
        <b/>
        <color rgb="FF1155CC"/>
        <sz val="7.0"/>
        <u/>
      </rPr>
      <t>emerging disruptive technologies</t>
    </r>
    <r>
      <rPr>
        <rFont val="Poppins"/>
        <sz val="7.0"/>
      </rPr>
      <t xml:space="preserve">..."
- [Sector Investment Focus] &gt; Website + Data manager judgement &gt; "...Ahoy Capital seeks outstanding opportunities in the application of emerging </t>
    </r>
    <r>
      <rPr>
        <rFont val="Poppins"/>
        <b/>
        <sz val="7.0"/>
      </rPr>
      <t>disruptive technologies</t>
    </r>
    <r>
      <rPr>
        <rFont val="Poppins"/>
        <sz val="7.0"/>
      </rPr>
      <t xml:space="preserve">..." + They also focus on the development of nascent frontier ideas, which focuses on </t>
    </r>
    <r>
      <rPr>
        <rFont val="Poppins"/>
        <b/>
        <color rgb="FF1155CC"/>
        <sz val="7.0"/>
        <u/>
      </rPr>
      <t>AI</t>
    </r>
    <r>
      <rPr>
        <rFont val="Poppins"/>
        <b/>
        <sz val="7.0"/>
      </rPr>
      <t>.</t>
    </r>
    <r>
      <rPr>
        <rFont val="Poppins"/>
        <sz val="7.0"/>
      </rPr>
      <t xml:space="preserve">
- [Region Investment Focus] &gt; Data manager judgement &gt; Their geographic exposure includes </t>
    </r>
    <r>
      <rPr>
        <rFont val="Poppins"/>
        <b/>
        <color rgb="FF1155CC"/>
        <sz val="7.0"/>
        <u/>
      </rPr>
      <t>America</t>
    </r>
    <r>
      <rPr>
        <rFont val="Poppins"/>
        <sz val="7.0"/>
      </rPr>
      <t>.</t>
    </r>
  </si>
  <si>
    <t>Chris Douvos</t>
  </si>
  <si>
    <t>Chris</t>
  </si>
  <si>
    <t>Douvos</t>
  </si>
  <si>
    <t>chris@ahoycap.com</t>
  </si>
  <si>
    <t>https://www.linkedin.com/in/chrisdouvos/</t>
  </si>
  <si>
    <t>Apeiron Investment Group</t>
  </si>
  <si>
    <t>https://apeiron-investments.com/</t>
  </si>
  <si>
    <r>
      <rPr>
        <rFont val="Poppins"/>
        <sz val="7.0"/>
      </rPr>
      <t xml:space="preserve">- [Asset class = Funds - VC] &gt; Website + Private data provider&gt; "...innovative companies - both private and listed, as well as anchor </t>
    </r>
    <r>
      <rPr>
        <rFont val="Poppins"/>
        <b/>
        <color rgb="FF1155CC"/>
        <sz val="7.0"/>
        <u/>
      </rPr>
      <t>LP investments</t>
    </r>
    <r>
      <rPr>
        <rFont val="Poppins"/>
        <sz val="7.0"/>
      </rPr>
      <t xml:space="preserve"> combined with GP stakes in emerging asset managers..." + Private data provider confirms that they invest in </t>
    </r>
    <r>
      <rPr>
        <rFont val="Poppins"/>
        <b/>
        <color rgb="FF1155CC"/>
        <sz val="7.0"/>
        <u/>
      </rPr>
      <t>VC funds</t>
    </r>
    <r>
      <rPr>
        <rFont val="Poppins"/>
        <sz val="7.0"/>
      </rPr>
      <t xml:space="preserve"> (Firstminute Capital II).
- [Region investment focus] &gt; Website &gt; "...With teams in </t>
    </r>
    <r>
      <rPr>
        <rFont val="Poppins"/>
        <b/>
        <sz val="7.0"/>
      </rPr>
      <t>New York, London, Berlin</t>
    </r>
    <r>
      <rPr>
        <rFont val="Poppins"/>
        <sz val="7.0"/>
      </rPr>
      <t xml:space="preserve">, Abu Dhabi, and </t>
    </r>
    <r>
      <rPr>
        <rFont val="Poppins"/>
        <b/>
        <sz val="7.0"/>
      </rPr>
      <t>Malta</t>
    </r>
    <r>
      <rPr>
        <rFont val="Poppins"/>
        <sz val="7.0"/>
      </rPr>
      <t>, we apply a</t>
    </r>
    <r>
      <rPr>
        <rFont val="Poppins"/>
        <b/>
        <sz val="7.0"/>
      </rPr>
      <t xml:space="preserve"> global</t>
    </r>
    <r>
      <rPr>
        <rFont val="Poppins"/>
        <sz val="7.0"/>
      </rPr>
      <t xml:space="preserve">, multi- strategy investment approach, with a primary focus on the </t>
    </r>
    <r>
      <rPr>
        <rFont val="Poppins"/>
        <b/>
        <color rgb="FF1155CC"/>
        <sz val="7.0"/>
        <u/>
      </rPr>
      <t>US</t>
    </r>
    <r>
      <rPr>
        <rFont val="Poppins"/>
        <sz val="7.0"/>
      </rPr>
      <t xml:space="preserve">..."
- [Sector investment focus] &gt; Website &gt; "...While we are generalist and opportunistic by nature, investing across a broad range of sectors and technologies, we place a heightened focus on: </t>
    </r>
    <r>
      <rPr>
        <rFont val="Poppins"/>
        <b/>
        <sz val="7.0"/>
      </rPr>
      <t>Biotech</t>
    </r>
    <r>
      <rPr>
        <rFont val="Poppins"/>
        <sz val="7.0"/>
      </rPr>
      <t xml:space="preserve">, Fintech &amp; Crypto, </t>
    </r>
    <r>
      <rPr>
        <rFont val="Poppins"/>
        <b/>
        <color rgb="FF1155CC"/>
        <sz val="7.0"/>
        <u/>
      </rPr>
      <t>Deep Tech</t>
    </r>
    <r>
      <rPr>
        <rFont val="Poppins"/>
        <sz val="7.0"/>
      </rPr>
      <t>, Experiences, Hospitality &amp; Sports, Real Estate, Natural Resources..."
- [Maturity Focus = Emerging] &gt; Website + Private data provider&gt; "...innovative companies - both private and listed, as well as anchor LP investments combined with GP stakes in</t>
    </r>
    <r>
      <rPr>
        <rFont val="Poppins"/>
        <b/>
        <sz val="7.0"/>
      </rPr>
      <t xml:space="preserve"> </t>
    </r>
    <r>
      <rPr>
        <rFont val="Poppins"/>
        <b/>
        <color rgb="FF1155CC"/>
        <sz val="7.0"/>
        <u/>
      </rPr>
      <t>emerging asset managers</t>
    </r>
    <r>
      <rPr>
        <rFont val="Poppins"/>
        <sz val="7.0"/>
      </rPr>
      <t>..." + Private data provider confirms that they invest in VC funds (</t>
    </r>
    <r>
      <rPr>
        <rFont val="Poppins"/>
        <b/>
        <color rgb="FF1155CC"/>
        <sz val="7.0"/>
        <u/>
      </rPr>
      <t>Firstminute Capital II</t>
    </r>
    <r>
      <rPr>
        <rFont val="Poppins"/>
        <sz val="7.0"/>
      </rPr>
      <t>).</t>
    </r>
  </si>
  <si>
    <t>Nick Nigam</t>
  </si>
  <si>
    <t>nick.nigam@apeiron-investments.com</t>
  </si>
  <si>
    <t>https://www.linkedin.com/in/nicknigam/</t>
  </si>
  <si>
    <t>AAF Management</t>
  </si>
  <si>
    <t>https://aaf.vc/</t>
  </si>
  <si>
    <r>
      <rPr>
        <rFont val="Poppins"/>
        <sz val="7.0"/>
      </rPr>
      <t xml:space="preserve">- [Asset class = Funds - VC] &gt; Website &gt; "...We have exposure to top global emerging </t>
    </r>
    <r>
      <rPr>
        <rFont val="Poppins"/>
        <b/>
        <color rgb="FF1155CC"/>
        <sz val="7.0"/>
        <u/>
      </rPr>
      <t>venture capital fund managers</t>
    </r>
    <r>
      <rPr>
        <rFont val="Poppins"/>
        <sz val="7.0"/>
      </rPr>
      <t xml:space="preserve"> investing..."
- [Sector investment focus] &gt; Private data provider &gt; The firm seeks to invest in the fintech, enterprise SaaS, digital healthcare, e-commerce, and </t>
    </r>
    <r>
      <rPr>
        <rFont val="Poppins"/>
        <b/>
        <color rgb="FF1155CC"/>
        <sz val="7.0"/>
        <u/>
      </rPr>
      <t xml:space="preserve">deep tech </t>
    </r>
    <r>
      <rPr>
        <rFont val="Poppins"/>
        <sz val="7.0"/>
      </rPr>
      <t xml:space="preserve">sectors.
- [Region investment focus] &gt; Website &gt; "...fund-of-funds, foundations, hedge fund managers and other strategic investors across the </t>
    </r>
    <r>
      <rPr>
        <rFont val="Poppins"/>
        <b/>
        <color rgb="FF1155CC"/>
        <sz val="7.0"/>
        <u/>
      </rPr>
      <t>US</t>
    </r>
    <r>
      <rPr>
        <rFont val="Poppins"/>
        <sz val="7.0"/>
      </rPr>
      <t xml:space="preserve">, Europe, and </t>
    </r>
    <r>
      <rPr>
        <rFont val="Poppins"/>
        <b/>
        <sz val="7.0"/>
      </rPr>
      <t>MENA region</t>
    </r>
    <r>
      <rPr>
        <rFont val="Poppins"/>
        <sz val="7.0"/>
      </rPr>
      <t xml:space="preserve">..."
- [Maturity Focus = Emerging] &gt; Website &gt; "...We have exposure to top global </t>
    </r>
    <r>
      <rPr>
        <rFont val="Poppins"/>
        <b/>
        <color rgb="FF1155CC"/>
        <sz val="7.0"/>
        <u/>
      </rPr>
      <t>emerging venture capital fund managers</t>
    </r>
    <r>
      <rPr>
        <rFont val="Poppins"/>
        <sz val="7.0"/>
      </rPr>
      <t xml:space="preserve"> investing..."</t>
    </r>
  </si>
  <si>
    <t>Omar Allabadi</t>
  </si>
  <si>
    <t xml:space="preserve">Omar </t>
  </si>
  <si>
    <t>Allabadi</t>
  </si>
  <si>
    <t>omarallabadi@aaf.vc</t>
  </si>
  <si>
    <t>http://www.linkedin.com/in/omar-allabadi</t>
  </si>
  <si>
    <t>Vinthera</t>
  </si>
  <si>
    <t>https://www.vinthera.com/</t>
  </si>
  <si>
    <r>
      <rPr>
        <rFont val="Poppins"/>
        <sz val="7.0"/>
      </rPr>
      <t xml:space="preserve">-[Asset class = Funds - VC] &gt; Website + Data manager judgement &gt; "...Our </t>
    </r>
    <r>
      <rPr>
        <rFont val="Poppins"/>
        <b/>
        <color rgb="FF1155CC"/>
        <sz val="7.0"/>
        <u/>
      </rPr>
      <t>fund investments</t>
    </r>
    <r>
      <rPr>
        <rFont val="Poppins"/>
        <sz val="7.0"/>
      </rPr>
      <t xml:space="preserve"> form the foundation of our investment strategy. At Vinthera, we selectively partner with </t>
    </r>
    <r>
      <rPr>
        <rFont val="Poppins"/>
        <b/>
        <sz val="7.0"/>
      </rPr>
      <t>top-5% fund managers</t>
    </r>
    <r>
      <rPr>
        <rFont val="Poppins"/>
        <sz val="7.0"/>
      </rPr>
      <t xml:space="preserve"> with proven track records. While the average chance of backing a unicorn at Seed is just 0.5%, the </t>
    </r>
    <r>
      <rPr>
        <rFont val="Poppins"/>
        <b/>
        <sz val="7.0"/>
      </rPr>
      <t>VCs we partner with</t>
    </r>
    <r>
      <rPr>
        <rFont val="Poppins"/>
        <sz val="7.0"/>
      </rPr>
      <t xml:space="preserve"> consistently achieve hit rates above 10%..." + They have </t>
    </r>
    <r>
      <rPr>
        <rFont val="Poppins"/>
        <b/>
        <color rgb="FF1155CC"/>
        <sz val="7.0"/>
        <u/>
      </rPr>
      <t>VC Fund investments</t>
    </r>
    <r>
      <rPr>
        <rFont val="Poppins"/>
        <sz val="7.0"/>
      </rPr>
      <t xml:space="preserve"> in their portfolio, </t>
    </r>
    <r>
      <rPr>
        <rFont val="Poppins"/>
        <b/>
        <sz val="7.0"/>
      </rPr>
      <t xml:space="preserve">ex: Scribble Ventures, Firebolt Ventures, etc.
</t>
    </r>
    <r>
      <rPr>
        <rFont val="Poppins"/>
        <sz val="7.0"/>
      </rPr>
      <t xml:space="preserve">-[Maturity Focus = Emerging ] &gt; Data manager judgement &gt; Rodrigo Ferreira, Investment Director at Vinthera, has discussed co-investment strategies and building relationships with </t>
    </r>
    <r>
      <rPr>
        <rFont val="Poppins"/>
        <b/>
        <color rgb="FF1155CC"/>
        <sz val="7.0"/>
        <u/>
      </rPr>
      <t>emerging</t>
    </r>
    <r>
      <rPr>
        <rFont val="Poppins"/>
        <color rgb="FF1155CC"/>
        <sz val="7.0"/>
        <u/>
      </rPr>
      <t xml:space="preserve"> </t>
    </r>
    <r>
      <rPr>
        <rFont val="Poppins"/>
        <b/>
        <color rgb="FF1155CC"/>
        <sz val="7.0"/>
        <u/>
      </rPr>
      <t>managers</t>
    </r>
    <r>
      <rPr>
        <rFont val="Poppins"/>
        <sz val="7.0"/>
      </rPr>
      <t xml:space="preserve">.
-[Sector Investement Focus] &gt; Website &gt; "...Exciting sectors include </t>
    </r>
    <r>
      <rPr>
        <rFont val="Poppins"/>
        <b/>
        <color rgb="FF1155CC"/>
        <sz val="7.0"/>
        <u/>
      </rPr>
      <t>AI</t>
    </r>
    <r>
      <rPr>
        <rFont val="Poppins"/>
        <b/>
        <sz val="7.0"/>
      </rPr>
      <t xml:space="preserve">, SaaS, </t>
    </r>
    <r>
      <rPr>
        <rFont val="Poppins"/>
        <sz val="7.0"/>
      </rPr>
      <t>FinTech</t>
    </r>
    <r>
      <rPr>
        <rFont val="Poppins"/>
        <b/>
        <sz val="7.0"/>
      </rPr>
      <t>, Healthcare, DeepTech</t>
    </r>
    <r>
      <rPr>
        <rFont val="Poppins"/>
        <sz val="7.0"/>
      </rPr>
      <t>, AdTech, Cybersecurity, and Decentralised Ledger Technologies. ..." + "...</t>
    </r>
    <r>
      <rPr>
        <rFont val="Poppins"/>
        <b/>
        <color rgb="FF1155CC"/>
        <sz val="7.0"/>
        <u/>
      </rPr>
      <t>AI Infrastructure</t>
    </r>
    <r>
      <rPr>
        <rFont val="Poppins"/>
        <sz val="7.0"/>
      </rPr>
      <t xml:space="preserve">..."
-[Region Investement Focus] &gt; Data manager judgement &gt; They have investments in their portfolio based in the </t>
    </r>
    <r>
      <rPr>
        <rFont val="Poppins"/>
        <b/>
        <color rgb="FF1155CC"/>
        <sz val="7.0"/>
        <u/>
      </rPr>
      <t>United States</t>
    </r>
    <r>
      <rPr>
        <rFont val="Poppins"/>
        <b/>
        <sz val="7.0"/>
      </rPr>
      <t>, ex: Scribble Ventures, Firebolt Ventures, etc.</t>
    </r>
  </si>
  <si>
    <t>Ludovica Saccavini</t>
  </si>
  <si>
    <t>Ludovica</t>
  </si>
  <si>
    <t>Saccavini</t>
  </si>
  <si>
    <t>ludovica@vinthera.com</t>
  </si>
  <si>
    <t>https://www.linkedin.com/in/ludovicasaccavini/</t>
  </si>
  <si>
    <t>Adams Street Partners</t>
  </si>
  <si>
    <t>https://www.adamsstreetpartners.com/</t>
  </si>
  <si>
    <r>
      <rPr>
        <rFont val="Poppins"/>
        <sz val="7.0"/>
      </rPr>
      <t>-[Asset class = Fund - VC] &gt; Website &gt; "...</t>
    </r>
    <r>
      <rPr>
        <rFont val="Poppins"/>
        <b/>
        <color rgb="FF1155CC"/>
        <sz val="7.0"/>
        <u/>
      </rPr>
      <t>Venture investing</t>
    </r>
    <r>
      <rPr>
        <rFont val="Poppins"/>
        <sz val="7.0"/>
      </rPr>
      <t xml:space="preserve"> has been a core part of Adams Street’s DNA since our first commitment over four decades ago...." + "...Primary Investments › Our global platform of relationships, supported by our highly advanced in-house analytics, facilitates </t>
    </r>
    <r>
      <rPr>
        <rFont val="Poppins"/>
        <b/>
        <sz val="7.0"/>
      </rPr>
      <t>investments</t>
    </r>
    <r>
      <rPr>
        <rFont val="Poppins"/>
        <sz val="7.0"/>
      </rPr>
      <t xml:space="preserve"> in buyout, </t>
    </r>
    <r>
      <rPr>
        <rFont val="Poppins"/>
        <b/>
        <color rgb="FF1155CC"/>
        <sz val="7.0"/>
        <u/>
      </rPr>
      <t>venture capital</t>
    </r>
    <r>
      <rPr>
        <rFont val="Poppins"/>
        <sz val="7.0"/>
      </rPr>
      <t xml:space="preserve">, growth equity, and other private markets </t>
    </r>
    <r>
      <rPr>
        <rFont val="Poppins"/>
        <b/>
        <sz val="7.0"/>
      </rPr>
      <t>fund strategies</t>
    </r>
    <r>
      <rPr>
        <rFont val="Poppins"/>
        <sz val="7.0"/>
      </rPr>
      <t xml:space="preserve">..."
-[Maturity focus = Emerging ] &gt; Website  &gt; "...Over the past five years alone, Adams Street has backed almost 150 </t>
    </r>
    <r>
      <rPr>
        <rFont val="Poppins"/>
        <b/>
        <color rgb="FF1155CC"/>
        <sz val="7.0"/>
        <u/>
      </rPr>
      <t>emerging</t>
    </r>
    <r>
      <rPr>
        <rFont val="Poppins"/>
        <color rgb="FF1155CC"/>
        <sz val="7.0"/>
        <u/>
      </rPr>
      <t xml:space="preserve"> </t>
    </r>
    <r>
      <rPr>
        <rFont val="Poppins"/>
        <b/>
        <color rgb="FF1155CC"/>
        <sz val="7.0"/>
        <u/>
      </rPr>
      <t>manager</t>
    </r>
    <r>
      <rPr>
        <rFont val="Poppins"/>
        <sz val="7.0"/>
      </rPr>
      <t xml:space="preserve"> funds globally, which we would define as private equity or venture capital fund managers..."
-[Region investement focus = North America and Europe] &gt; Data manager judgement &gt; Their Venture Innovation Fund IV is primarily focused on the</t>
    </r>
    <r>
      <rPr>
        <rFont val="Poppins"/>
        <b/>
        <color rgb="FF1155CC"/>
        <sz val="7.0"/>
        <u/>
      </rPr>
      <t xml:space="preserve"> U.S.</t>
    </r>
    <r>
      <rPr>
        <rFont val="Poppins"/>
        <sz val="7.0"/>
      </rPr>
      <t xml:space="preserve">, but they are seeking slightly greater exposure to Europe and </t>
    </r>
    <r>
      <rPr>
        <rFont val="Poppins"/>
        <b/>
        <color rgb="FF1155CC"/>
        <sz val="7.0"/>
        <u/>
      </rPr>
      <t>Asia</t>
    </r>
    <r>
      <rPr>
        <rFont val="Poppins"/>
        <sz val="7.0"/>
      </rPr>
      <t>.</t>
    </r>
  </si>
  <si>
    <t>Vice President &amp; Senior Investment Associate</t>
  </si>
  <si>
    <t>Annie Hamill</t>
  </si>
  <si>
    <t>Annie</t>
  </si>
  <si>
    <t>Hamill</t>
  </si>
  <si>
    <t>ahamill@adamsstreetpartners.com</t>
  </si>
  <si>
    <t>https://www.linkedin.com/in/annie-hamill-7662b5a6/</t>
  </si>
  <si>
    <t>Steyn Group</t>
  </si>
  <si>
    <t>https://www.steyngroup.com/</t>
  </si>
  <si>
    <t>Website, Internal data</t>
  </si>
  <si>
    <r>
      <rPr>
        <rFont val="Poppins"/>
        <sz val="7.0"/>
      </rPr>
      <t>- [Asset class = Funds - VC] &gt; Website + Linkedin &gt; "...</t>
    </r>
    <r>
      <rPr>
        <rFont val="Poppins"/>
        <b/>
        <color rgb="FF1155CC"/>
        <sz val="7.0"/>
        <u/>
      </rPr>
      <t>Venture Capital Backing world class early stage investors</t>
    </r>
    <r>
      <rPr>
        <rFont val="Poppins"/>
        <sz val="7.0"/>
      </rPr>
      <t xml:space="preserve"> and domain experts with the potential to be leaders in their fields..." + "...private market investment strategies including real estate, private equity and </t>
    </r>
    <r>
      <rPr>
        <rFont val="Poppins"/>
        <b/>
        <color rgb="FF1155CC"/>
        <sz val="7.0"/>
        <u/>
      </rPr>
      <t>venture capital</t>
    </r>
    <r>
      <rPr>
        <rFont val="Poppins"/>
        <sz val="7.0"/>
      </rPr>
      <t>..."</t>
    </r>
    <r>
      <rPr>
        <rFont val="Poppins"/>
        <b/>
        <sz val="7.0"/>
      </rPr>
      <t xml:space="preserve">
</t>
    </r>
    <r>
      <rPr>
        <rFont val="Poppins"/>
        <sz val="7.0"/>
      </rPr>
      <t xml:space="preserve">- [Sector investment focus] &gt; Website &gt; "...Sectors We Invest In: </t>
    </r>
    <r>
      <rPr>
        <rFont val="Poppins"/>
        <b/>
        <color rgb="FF1155CC"/>
        <sz val="7.0"/>
        <u/>
      </rPr>
      <t>Software</t>
    </r>
    <r>
      <rPr>
        <rFont val="Poppins"/>
        <sz val="7.0"/>
      </rPr>
      <t xml:space="preserve">..."
- [Region investment focus] &gt; Website &gt; "...Over the past decade, we have built a </t>
    </r>
    <r>
      <rPr>
        <rFont val="Poppins"/>
        <b/>
        <sz val="7.0"/>
      </rPr>
      <t>global presence across</t>
    </r>
    <r>
      <rPr>
        <rFont val="Poppins"/>
        <sz val="7.0"/>
      </rPr>
      <t xml:space="preserve"> the </t>
    </r>
    <r>
      <rPr>
        <rFont val="Poppins"/>
        <b/>
        <color rgb="FF1155CC"/>
        <sz val="7.0"/>
        <u/>
      </rPr>
      <t>United Kingdom</t>
    </r>
    <r>
      <rPr>
        <rFont val="Poppins"/>
        <sz val="7.0"/>
      </rPr>
      <t xml:space="preserve">, United States, and South Africa..."
- [Maturity focus] &gt; Internal data &gt; Confirms investment in </t>
    </r>
    <r>
      <rPr>
        <rFont val="Poppins"/>
        <b/>
        <sz val="7.0"/>
      </rPr>
      <t>emerging managers</t>
    </r>
  </si>
  <si>
    <t>Anthony Franks</t>
  </si>
  <si>
    <t>Anthony</t>
  </si>
  <si>
    <t>Franks</t>
  </si>
  <si>
    <t>anthony.franks@steyncapitalpartners.com</t>
  </si>
  <si>
    <t>https://www.linkedin.com/in/anthony-franks-03593a22/</t>
  </si>
  <si>
    <t>Al Falaj Investment</t>
  </si>
  <si>
    <t>https://www.alfalaj-investment.ae/</t>
  </si>
  <si>
    <r>
      <rPr>
        <rFont val="Poppins"/>
        <sz val="7.0"/>
      </rPr>
      <t xml:space="preserve">- [Asset class] &gt; Portfolio &gt; Their portfolio consists of </t>
    </r>
    <r>
      <rPr>
        <rFont val="Poppins"/>
        <b/>
        <color rgb="FF1155CC"/>
        <sz val="7.0"/>
        <u/>
      </rPr>
      <t xml:space="preserve">VC funds </t>
    </r>
    <r>
      <rPr>
        <rFont val="Poppins"/>
        <sz val="7.0"/>
      </rPr>
      <t xml:space="preserve">ex: razor capital
- [Sector Investment focus] &gt; Portfolio + Private data provider &gt; Thier portfolio consists of firms that further focuses in technology, </t>
    </r>
    <r>
      <rPr>
        <rFont val="Poppins"/>
        <b/>
        <color rgb="FF1155CC"/>
        <sz val="7.0"/>
        <u/>
      </rPr>
      <t xml:space="preserve">Ai </t>
    </r>
    <r>
      <rPr>
        <rFont val="Poppins"/>
        <sz val="7.0"/>
      </rPr>
      <t xml:space="preserve">etc ex: Loosely Coupled Technologies + They have invested in </t>
    </r>
    <r>
      <rPr>
        <rFont val="Poppins"/>
        <b/>
        <color rgb="FF1155CC"/>
        <sz val="7.0"/>
        <u/>
      </rPr>
      <t>SaaS and AI firms</t>
    </r>
    <r>
      <rPr>
        <rFont val="Poppins"/>
        <sz val="7.0"/>
      </rPr>
      <t xml:space="preserve"> (Grubtech, 99algorithms...) 
- [Region investment focus] &gt; Website &gt; "... range of sectors across MENA, </t>
    </r>
    <r>
      <rPr>
        <rFont val="Poppins"/>
        <b/>
        <color rgb="FF1155CC"/>
        <sz val="7.0"/>
        <u/>
      </rPr>
      <t>Europe</t>
    </r>
    <r>
      <rPr>
        <rFont val="Poppins"/>
        <sz val="7.0"/>
      </rPr>
      <t xml:space="preserve"> and South East Asia..."
- [Maturity focus] &gt; Data manager judgement &gt; Al Falaj has allocated more than $20 million into </t>
    </r>
    <r>
      <rPr>
        <rFont val="Poppins"/>
        <b/>
        <color rgb="FF1155CC"/>
        <sz val="7.0"/>
        <u/>
      </rPr>
      <t>new ventures</t>
    </r>
    <r>
      <rPr>
        <rFont val="Poppins"/>
        <sz val="7.0"/>
      </rPr>
      <t xml:space="preserve"> and young enterprises, this indicates that they invest in </t>
    </r>
    <r>
      <rPr>
        <rFont val="Poppins"/>
        <b/>
        <sz val="7.0"/>
      </rPr>
      <t>emerging managers</t>
    </r>
  </si>
  <si>
    <t>Hamdan Al Ketbi</t>
  </si>
  <si>
    <t>Hamdan</t>
  </si>
  <si>
    <t>Al Ketbi</t>
  </si>
  <si>
    <t>hamdan.alketbi@alfalaj-investment.ae</t>
  </si>
  <si>
    <t>https://www.linkedin.com/in/hamdan-al-ketbi/</t>
  </si>
  <si>
    <r>
      <rPr>
        <rFont val="Poppins"/>
        <sz val="7.0"/>
      </rPr>
      <t>- [Asset class = Funds - VC] &gt; Website + Linkedin &gt; "...</t>
    </r>
    <r>
      <rPr>
        <rFont val="Poppins"/>
        <b/>
        <color rgb="FF1155CC"/>
        <sz val="7.0"/>
        <u/>
      </rPr>
      <t>Venture Capital Backing world class early stage investors</t>
    </r>
    <r>
      <rPr>
        <rFont val="Poppins"/>
        <sz val="7.0"/>
      </rPr>
      <t xml:space="preserve"> and domain experts with the potential to be leaders in their fields..." + "...private market investment strategies including real estate, private equity and </t>
    </r>
    <r>
      <rPr>
        <rFont val="Poppins"/>
        <b/>
        <color rgb="FF1155CC"/>
        <sz val="7.0"/>
        <u/>
      </rPr>
      <t>venture capital</t>
    </r>
    <r>
      <rPr>
        <rFont val="Poppins"/>
        <sz val="7.0"/>
      </rPr>
      <t>..."</t>
    </r>
    <r>
      <rPr>
        <rFont val="Poppins"/>
        <b/>
        <sz val="7.0"/>
      </rPr>
      <t xml:space="preserve">
</t>
    </r>
    <r>
      <rPr>
        <rFont val="Poppins"/>
        <sz val="7.0"/>
      </rPr>
      <t xml:space="preserve">- [Sector investment focus] &gt; Website &gt; "...Sectors We Invest In: </t>
    </r>
    <r>
      <rPr>
        <rFont val="Poppins"/>
        <b/>
        <color rgb="FF1155CC"/>
        <sz val="7.0"/>
        <u/>
      </rPr>
      <t>Software</t>
    </r>
    <r>
      <rPr>
        <rFont val="Poppins"/>
        <sz val="7.0"/>
      </rPr>
      <t xml:space="preserve">..."
- [Region investment focus] &gt; Website &gt; "...Over the past decade, we have built a </t>
    </r>
    <r>
      <rPr>
        <rFont val="Poppins"/>
        <b/>
        <sz val="7.0"/>
      </rPr>
      <t>global presence across</t>
    </r>
    <r>
      <rPr>
        <rFont val="Poppins"/>
        <sz val="7.0"/>
      </rPr>
      <t xml:space="preserve"> the </t>
    </r>
    <r>
      <rPr>
        <rFont val="Poppins"/>
        <b/>
        <color rgb="FF1155CC"/>
        <sz val="7.0"/>
        <u/>
      </rPr>
      <t>United Kingdom</t>
    </r>
    <r>
      <rPr>
        <rFont val="Poppins"/>
        <sz val="7.0"/>
      </rPr>
      <t xml:space="preserve">, United States, and South Africa..."
- [Maturity focus] &gt; Internal data &gt; Confirms investment in </t>
    </r>
    <r>
      <rPr>
        <rFont val="Poppins"/>
        <b/>
        <sz val="7.0"/>
      </rPr>
      <t>emerging managers</t>
    </r>
  </si>
  <si>
    <r>
      <rPr>
        <rFont val="Poppins"/>
        <sz val="7.0"/>
      </rPr>
      <t xml:space="preserve">- [Asset class] &gt; Portfolio &gt; Their portfolio consists of </t>
    </r>
    <r>
      <rPr>
        <rFont val="Poppins"/>
        <b/>
        <color rgb="FF1155CC"/>
        <sz val="7.0"/>
        <u/>
      </rPr>
      <t xml:space="preserve">VC funds </t>
    </r>
    <r>
      <rPr>
        <rFont val="Poppins"/>
        <sz val="7.0"/>
      </rPr>
      <t xml:space="preserve">ex: razor capital
- [Sector Investment focus] &gt; Portfolio + Private data provider &gt; Thier portfolio consists of firms that further focuses in technology, </t>
    </r>
    <r>
      <rPr>
        <rFont val="Poppins"/>
        <b/>
        <color rgb="FF1155CC"/>
        <sz val="7.0"/>
        <u/>
      </rPr>
      <t xml:space="preserve">Ai </t>
    </r>
    <r>
      <rPr>
        <rFont val="Poppins"/>
        <sz val="7.0"/>
      </rPr>
      <t xml:space="preserve">etc ex: Loosely Coupled Technologies + They have invested in </t>
    </r>
    <r>
      <rPr>
        <rFont val="Poppins"/>
        <b/>
        <color rgb="FF1155CC"/>
        <sz val="7.0"/>
        <u/>
      </rPr>
      <t>SaaS and AI firms</t>
    </r>
    <r>
      <rPr>
        <rFont val="Poppins"/>
        <sz val="7.0"/>
      </rPr>
      <t xml:space="preserve"> (Grubtech, 99algorithms...) 
- [Region investment focus] &gt; Website &gt; "... range of sectors across MENA, </t>
    </r>
    <r>
      <rPr>
        <rFont val="Poppins"/>
        <b/>
        <color rgb="FF1155CC"/>
        <sz val="7.0"/>
        <u/>
      </rPr>
      <t>Europe</t>
    </r>
    <r>
      <rPr>
        <rFont val="Poppins"/>
        <sz val="7.0"/>
      </rPr>
      <t xml:space="preserve"> and South East Asia..."
- [Maturity focus] &gt; Data manager judgement &gt; Al Falaj has allocated more than $20 million into </t>
    </r>
    <r>
      <rPr>
        <rFont val="Poppins"/>
        <b/>
        <color rgb="FF1155CC"/>
        <sz val="7.0"/>
        <u/>
      </rPr>
      <t>new ventures</t>
    </r>
    <r>
      <rPr>
        <rFont val="Poppins"/>
        <sz val="7.0"/>
      </rPr>
      <t xml:space="preserve"> and young enterprises, this indicates that they invest in </t>
    </r>
    <r>
      <rPr>
        <rFont val="Poppins"/>
        <b/>
        <sz val="7.0"/>
      </rPr>
      <t>emerging managers</t>
    </r>
  </si>
  <si>
    <t>Unigestion</t>
  </si>
  <si>
    <t>https://www.unigestion.com/home/private-equity/</t>
  </si>
  <si>
    <r>
      <rPr>
        <rFont val="Poppins"/>
        <sz val="7.0"/>
      </rPr>
      <t xml:space="preserve">-[Asset class = Funds - VC] &gt;  Website &gt; "...We have established ourselves as an ‘LP of choice’ for many </t>
    </r>
    <r>
      <rPr>
        <rFont val="Poppins"/>
        <b/>
        <color rgb="FF1155CC"/>
        <sz val="7.0"/>
        <u/>
      </rPr>
      <t>emerging</t>
    </r>
    <r>
      <rPr>
        <rFont val="Poppins"/>
        <color rgb="FF1155CC"/>
        <sz val="7.0"/>
        <u/>
      </rPr>
      <t xml:space="preserve"> </t>
    </r>
    <r>
      <rPr>
        <rFont val="Poppins"/>
        <b/>
        <color rgb="FF1155CC"/>
        <sz val="7.0"/>
        <u/>
      </rPr>
      <t>managers</t>
    </r>
    <r>
      <rPr>
        <rFont val="Poppins"/>
        <sz val="7.0"/>
      </rPr>
      <t xml:space="preserve"> ..." + "...backing the early </t>
    </r>
    <r>
      <rPr>
        <rFont val="Poppins"/>
        <b/>
        <color rgb="FF1155CC"/>
        <sz val="7.0"/>
        <u/>
      </rPr>
      <t>funds</t>
    </r>
    <r>
      <rPr>
        <rFont val="Poppins"/>
        <sz val="7.0"/>
      </rPr>
      <t xml:space="preserve"> of firms that are now regarded as industry leaders, such as Hg Capital’s Mercury funds, Archimed, Blackfin Capital and Vance Street Capital...''
-[Sector investment focus] &gt; Website &gt; "...In May, Unigestion invested in a continuation vehicle for Tempo managed by Diversis. Tempo is a </t>
    </r>
    <r>
      <rPr>
        <rFont val="Poppins"/>
        <b/>
        <sz val="7.0"/>
      </rPr>
      <t>SaaS</t>
    </r>
    <r>
      <rPr>
        <rFont val="Poppins"/>
        <sz val="7.0"/>
      </rPr>
      <t xml:space="preserve">-based time-tracking solution focused on the Atlassian/Jira ecosystem..." + "...We continue to harness the latest advances in </t>
    </r>
    <r>
      <rPr>
        <rFont val="Poppins"/>
        <b/>
        <color rgb="FF1155CC"/>
        <sz val="7.0"/>
        <u/>
      </rPr>
      <t xml:space="preserve">AI </t>
    </r>
    <r>
      <rPr>
        <rFont val="Poppins"/>
        <sz val="7.0"/>
      </rPr>
      <t xml:space="preserve">to complement our investment process and strengthen our conviction on investment decisions..."
-[Region investment focus ] &gt; Website &gt; "...We have been successfully investing in private equity in Europe, </t>
    </r>
    <r>
      <rPr>
        <rFont val="Poppins"/>
        <b/>
        <color rgb="FF1155CC"/>
        <sz val="7.0"/>
        <u/>
      </rPr>
      <t>North America</t>
    </r>
    <r>
      <rPr>
        <rFont val="Poppins"/>
        <sz val="7.0"/>
      </rPr>
      <t xml:space="preserve"> and </t>
    </r>
    <r>
      <rPr>
        <rFont val="Poppins"/>
        <b/>
        <sz val="7.0"/>
      </rPr>
      <t>Asia Pacific</t>
    </r>
    <r>
      <rPr>
        <rFont val="Poppins"/>
        <sz val="7.0"/>
      </rPr>
      <t xml:space="preserve"> for more than 30 years, delivering attractive returns across market cycles..."
- [Maturity Focus = Emerging] &gt; Website &gt; "...We have established ourselves as an ‘LP of choice’ for many </t>
    </r>
    <r>
      <rPr>
        <rFont val="Poppins"/>
        <b/>
        <color rgb="FF1155CC"/>
        <sz val="7.0"/>
        <u/>
      </rPr>
      <t>emerging managers</t>
    </r>
    <r>
      <rPr>
        <rFont val="Poppins"/>
        <sz val="7.0"/>
      </rPr>
      <t xml:space="preserve"> ..."</t>
    </r>
  </si>
  <si>
    <t>BOUTEILLER Matthieu</t>
  </si>
  <si>
    <t>BOUTEILLER</t>
  </si>
  <si>
    <t>Matthieu</t>
  </si>
  <si>
    <t>bmatthieu@unigestion.com</t>
  </si>
  <si>
    <t>https://www.linkedin.com/in/bouteiller-matthieu-a671a53/</t>
  </si>
  <si>
    <t>Darco Capital</t>
  </si>
  <si>
    <t>https://www.darcocapital.com/</t>
  </si>
  <si>
    <r>
      <rPr>
        <rFont val="Poppins"/>
        <sz val="7.0"/>
      </rPr>
      <t xml:space="preserve">- [Asset class = Funds - VC] &gt; Website &gt; "...Adelman has made </t>
    </r>
    <r>
      <rPr>
        <rFont val="Poppins"/>
        <b/>
        <sz val="7.0"/>
      </rPr>
      <t>over 90 venture capital</t>
    </r>
    <r>
      <rPr>
        <rFont val="Poppins"/>
        <sz val="7.0"/>
      </rPr>
      <t xml:space="preserve"> and growth capital </t>
    </r>
    <r>
      <rPr>
        <rFont val="Poppins"/>
        <b/>
        <sz val="7.0"/>
      </rPr>
      <t>investments</t>
    </r>
    <r>
      <rPr>
        <rFont val="Poppins"/>
        <sz val="7.0"/>
      </rPr>
      <t xml:space="preserve">..." + They have made investments in </t>
    </r>
    <r>
      <rPr>
        <rFont val="Poppins"/>
        <b/>
        <color rgb="FF1155CC"/>
        <sz val="7.0"/>
        <u/>
      </rPr>
      <t>VC Funds</t>
    </r>
    <r>
      <rPr>
        <rFont val="Poppins"/>
        <b/>
        <sz val="7.0"/>
      </rPr>
      <t>, ex: 1 Confirmation Fund, Box Group, etc.</t>
    </r>
    <r>
      <rPr>
        <rFont val="Poppins"/>
        <sz val="7.0"/>
      </rPr>
      <t xml:space="preserve">
- [Maturity Focus = Emerging] &gt; Data manager judgement &gt; They have not publicly disclosed their maturity focus. </t>
    </r>
    <r>
      <rPr>
        <rFont val="Poppins"/>
        <b/>
        <sz val="7.0"/>
      </rPr>
      <t>#DemandCreation.</t>
    </r>
    <r>
      <rPr>
        <rFont val="Poppins"/>
        <sz val="7.0"/>
      </rPr>
      <t xml:space="preserve">
- [Sector investment focus] &gt; Website &gt; "...We invest in climate tech, </t>
    </r>
    <r>
      <rPr>
        <rFont val="Poppins"/>
        <b/>
        <color rgb="FF1155CC"/>
        <sz val="7.0"/>
        <u/>
      </rPr>
      <t>deep tech</t>
    </r>
    <r>
      <rPr>
        <rFont val="Poppins"/>
        <sz val="7.0"/>
      </rPr>
      <t xml:space="preserve">, consumer products, sports, and </t>
    </r>
    <r>
      <rPr>
        <rFont val="Poppins"/>
        <b/>
        <sz val="7.0"/>
      </rPr>
      <t>enterprise technology</t>
    </r>
    <r>
      <rPr>
        <rFont val="Poppins"/>
        <sz val="7.0"/>
      </rPr>
      <t xml:space="preserve">..."
- [Region investment focus] &gt; Website + Data manager judgement + Private data provider &gt; "...David J. Adelman is a </t>
    </r>
    <r>
      <rPr>
        <rFont val="Poppins"/>
        <b/>
        <color rgb="FF1155CC"/>
        <sz val="7.0"/>
        <u/>
      </rPr>
      <t>Philadelphia-based</t>
    </r>
    <r>
      <rPr>
        <rFont val="Poppins"/>
        <sz val="7.0"/>
      </rPr>
      <t xml:space="preserve"> entrepreneur and active private investor..." + The family office is based in Philadelphia, this indicates that they invest in the United States. + "...We love investing in our community in Philadelphia as well as </t>
    </r>
    <r>
      <rPr>
        <rFont val="Poppins"/>
        <b/>
        <sz val="7.0"/>
      </rPr>
      <t xml:space="preserve">all over the </t>
    </r>
    <r>
      <rPr>
        <rFont val="Poppins"/>
        <b/>
        <color rgb="FF1155CC"/>
        <sz val="7.0"/>
        <u/>
      </rPr>
      <t>world</t>
    </r>
    <r>
      <rPr>
        <rFont val="Poppins"/>
        <sz val="7.0"/>
      </rPr>
      <t xml:space="preserve">..." +  The Firm principally seeks opportunistic investments in technology and consumer oriented companies throughout the </t>
    </r>
    <r>
      <rPr>
        <rFont val="Poppins"/>
        <b/>
        <color rgb="FF1155CC"/>
        <sz val="7.0"/>
        <u/>
      </rPr>
      <t>US</t>
    </r>
    <r>
      <rPr>
        <rFont val="Poppins"/>
        <sz val="7.0"/>
      </rPr>
      <t>.</t>
    </r>
  </si>
  <si>
    <t>Head of Investments</t>
  </si>
  <si>
    <t>Jake Poliskin</t>
  </si>
  <si>
    <t>Jake</t>
  </si>
  <si>
    <t>Poliskin</t>
  </si>
  <si>
    <t>jacob@darcocapital.com</t>
  </si>
  <si>
    <t>https://www.linkedin.com/in/jacobpoliskin/</t>
  </si>
  <si>
    <t>RGlobal</t>
  </si>
  <si>
    <t>https://rglobal.com/</t>
  </si>
  <si>
    <r>
      <rPr>
        <rFont val="Poppins"/>
        <sz val="7.0"/>
      </rPr>
      <t xml:space="preserve">- [Asset class = Funds - VC] &gt; Website &gt; "...In addition to Richmond Global's direct investments, Kellner established a series of funds (Richmond I, II, and III) to seed and back crypto funds, </t>
    </r>
    <r>
      <rPr>
        <rFont val="Poppins"/>
        <b/>
        <color rgb="FF1155CC"/>
        <sz val="7.0"/>
        <u/>
      </rPr>
      <t>venture capital</t>
    </r>
    <r>
      <rPr>
        <rFont val="Poppins"/>
        <sz val="7.0"/>
      </rPr>
      <t xml:space="preserve">, private equity, and hedge funds..." + They have made </t>
    </r>
    <r>
      <rPr>
        <rFont val="Poppins"/>
        <b/>
        <color rgb="FF1155CC"/>
        <sz val="7.0"/>
        <u/>
      </rPr>
      <t>VC Fund</t>
    </r>
    <r>
      <rPr>
        <rFont val="Poppins"/>
        <sz val="7.0"/>
      </rPr>
      <t xml:space="preserve"> investments (8VC, Concentric, Tugboat Ventures).
- [Sector investment focus] &gt; Data manager judgement &gt; Their investments focuses on </t>
    </r>
    <r>
      <rPr>
        <rFont val="Poppins"/>
        <b/>
        <sz val="7.0"/>
      </rPr>
      <t>SaaS</t>
    </r>
    <r>
      <rPr>
        <rFont val="Poppins"/>
        <sz val="7.0"/>
      </rPr>
      <t xml:space="preserve"> Enterprise, CRM, </t>
    </r>
    <r>
      <rPr>
        <rFont val="Poppins"/>
        <b/>
        <sz val="7.0"/>
      </rPr>
      <t>Proptech</t>
    </r>
    <r>
      <rPr>
        <rFont val="Poppins"/>
        <sz val="7.0"/>
      </rPr>
      <t>, Cybersecurity</t>
    </r>
    <r>
      <rPr>
        <rFont val="Poppins"/>
        <b/>
        <sz val="7.0"/>
      </rPr>
      <t xml:space="preserve">, Natsecurity, </t>
    </r>
    <r>
      <rPr>
        <rFont val="Poppins"/>
        <b/>
        <color rgb="FF1155CC"/>
        <sz val="7.0"/>
        <u/>
      </rPr>
      <t>AI</t>
    </r>
    <r>
      <rPr>
        <rFont val="Poppins"/>
        <color rgb="FF1155CC"/>
        <sz val="7.0"/>
        <u/>
      </rPr>
      <t xml:space="preserve">, </t>
    </r>
    <r>
      <rPr>
        <rFont val="Poppins"/>
        <b/>
        <color rgb="FF1155CC"/>
        <sz val="7.0"/>
        <u/>
      </rPr>
      <t>Fintech</t>
    </r>
    <r>
      <rPr>
        <rFont val="Poppins"/>
        <sz val="7.0"/>
      </rPr>
      <t>, Sustainability, Ecommerce, Wellness (</t>
    </r>
    <r>
      <rPr>
        <rFont val="Poppins"/>
        <b/>
        <sz val="7.0"/>
      </rPr>
      <t>Lokker, Dataminr, Concentric</t>
    </r>
    <r>
      <rPr>
        <rFont val="Poppins"/>
        <sz val="7.0"/>
      </rPr>
      <t xml:space="preserve">).
- [Region investment focus] &gt; Website + Data manager judgement &gt; "...operating in several regions of the world..." + Their investments are based in </t>
    </r>
    <r>
      <rPr>
        <rFont val="Poppins"/>
        <b/>
        <sz val="7.0"/>
      </rPr>
      <t>Europe</t>
    </r>
    <r>
      <rPr>
        <rFont val="Poppins"/>
        <sz val="7.0"/>
      </rPr>
      <t xml:space="preserve"> and </t>
    </r>
    <r>
      <rPr>
        <rFont val="Poppins"/>
        <b/>
        <color rgb="FF1155CC"/>
        <sz val="7.0"/>
        <u/>
      </rPr>
      <t>North America</t>
    </r>
    <r>
      <rPr>
        <rFont val="Poppins"/>
        <b/>
        <sz val="7.0"/>
      </rPr>
      <t xml:space="preserve"> </t>
    </r>
    <r>
      <rPr>
        <rFont val="Poppins"/>
        <sz val="7.0"/>
      </rPr>
      <t>(8VC, Concentric, Tugboat Ventures).
- [Maturity Focus = Emerging] &gt; Website + Data manager judgement &gt; "...In addition to Richmond Global's direct investments, Kellner established a series of funds (</t>
    </r>
    <r>
      <rPr>
        <rFont val="Poppins"/>
        <b/>
        <color rgb="FF1155CC"/>
        <sz val="7.0"/>
        <u/>
      </rPr>
      <t>Richmond I, II, and III</t>
    </r>
    <r>
      <rPr>
        <rFont val="Poppins"/>
        <sz val="7.0"/>
      </rPr>
      <t xml:space="preserve">)..." + They have day one investments, which indicats that they invest me </t>
    </r>
    <r>
      <rPr>
        <rFont val="Poppins"/>
        <b/>
        <sz val="7.0"/>
      </rPr>
      <t>emerging managers</t>
    </r>
    <r>
      <rPr>
        <rFont val="Poppins"/>
        <sz val="7.0"/>
      </rPr>
      <t xml:space="preserve"> as well, </t>
    </r>
    <r>
      <rPr>
        <rFont val="Poppins"/>
        <b/>
        <sz val="7.0"/>
      </rPr>
      <t>ex: Baseline Ventures, Bold Capital Partners, etc.</t>
    </r>
  </si>
  <si>
    <t>Founder &amp; Managing Partner</t>
  </si>
  <si>
    <t>Peter Kellner</t>
  </si>
  <si>
    <t>Peter</t>
  </si>
  <si>
    <t>Kellner</t>
  </si>
  <si>
    <t>peter.kellner@rglobal.com</t>
  </si>
  <si>
    <t>https://www.linkedin.com/in/peter-kellner-05677/</t>
  </si>
  <si>
    <t>North-East Family Office</t>
  </si>
  <si>
    <t>https://www.nefo.com/</t>
  </si>
  <si>
    <t>Denmark</t>
  </si>
  <si>
    <r>
      <rPr>
        <rFont val="Poppins"/>
        <sz val="7.0"/>
      </rPr>
      <t xml:space="preserve">- [Asset Class = Funds - VC] &gt; Website &gt; "...all investments made by North-East (including private equity, </t>
    </r>
    <r>
      <rPr>
        <rFont val="Poppins"/>
        <b/>
        <color rgb="FF1155CC"/>
        <sz val="7.0"/>
        <u/>
      </rPr>
      <t>venture capital</t>
    </r>
    <r>
      <rPr>
        <rFont val="Poppins"/>
        <sz val="7.0"/>
      </rPr>
      <t xml:space="preserve"> and direct investments, together “</t>
    </r>
    <r>
      <rPr>
        <rFont val="Poppins"/>
        <b/>
        <sz val="7.0"/>
      </rPr>
      <t>Alternative Investments</t>
    </r>
    <r>
      <rPr>
        <rFont val="Poppins"/>
        <sz val="7.0"/>
      </rPr>
      <t xml:space="preserve">” ..."
- [Sector Investment Focus] &gt; Private data provider &gt; The firm seeks to invest in the areas of </t>
    </r>
    <r>
      <rPr>
        <rFont val="Poppins"/>
        <b/>
        <sz val="7.0"/>
      </rPr>
      <t>fintech</t>
    </r>
    <r>
      <rPr>
        <rFont val="Poppins"/>
        <sz val="7.0"/>
      </rPr>
      <t xml:space="preserve">, e-commerce and online marketplaces, consumer lifestyle and sustainability, </t>
    </r>
    <r>
      <rPr>
        <rFont val="Poppins"/>
        <b/>
        <color rgb="FF1155CC"/>
        <sz val="7.0"/>
        <u/>
      </rPr>
      <t>artificial intelligence</t>
    </r>
    <r>
      <rPr>
        <rFont val="Poppins"/>
        <sz val="7.0"/>
      </rPr>
      <t xml:space="preserve">, virtual reality, and augmented reality. 
- [Region investment focus] &gt; Data manager judgement &gt; They have mentioned that the current investment strategy focuses on </t>
    </r>
    <r>
      <rPr>
        <rFont val="Poppins"/>
        <b/>
        <sz val="7.0"/>
      </rPr>
      <t>OECD</t>
    </r>
    <r>
      <rPr>
        <rFont val="Poppins"/>
        <sz val="7.0"/>
      </rPr>
      <t xml:space="preserve"> countries. OECD countries include many European countires and also the </t>
    </r>
    <r>
      <rPr>
        <rFont val="Poppins"/>
        <b/>
        <color rgb="FF1155CC"/>
        <sz val="7.0"/>
        <u/>
      </rPr>
      <t>United States</t>
    </r>
    <r>
      <rPr>
        <rFont val="Poppins"/>
        <sz val="7.0"/>
      </rPr>
      <t xml:space="preserve">.
- [Maturity Focus = Emerging] &gt; Data manager judgement &gt; They have not publicly disclosed their maturity focus but the rest of the criteria aligns well with your IIP. </t>
    </r>
    <r>
      <rPr>
        <rFont val="Poppins"/>
        <b/>
        <sz val="7.0"/>
      </rPr>
      <t>#DemandCreation.</t>
    </r>
  </si>
  <si>
    <t>Jacob Berring</t>
  </si>
  <si>
    <t>Jacob</t>
  </si>
  <si>
    <t>Berring</t>
  </si>
  <si>
    <t>jb@nefo.com</t>
  </si>
  <si>
    <t>https://www.linkedin.com/in/jacob-berring-2036b91/</t>
  </si>
  <si>
    <t>Malex Enterprises</t>
  </si>
  <si>
    <t>https://malexenterprises.com/</t>
  </si>
  <si>
    <r>
      <rPr>
        <rFont val="Poppins"/>
        <sz val="7.0"/>
      </rPr>
      <t xml:space="preserve">-[Asset class = Funds - VC] &gt; Website &gt; "...specializes in domestic investments in </t>
    </r>
    <r>
      <rPr>
        <rFont val="Poppins"/>
        <b/>
        <color rgb="FF1155CC"/>
        <sz val="7.0"/>
        <u/>
      </rPr>
      <t>venture capital</t>
    </r>
    <r>
      <rPr>
        <rFont val="Poppins"/>
        <sz val="7.0"/>
      </rPr>
      <t xml:space="preserve"> and private equity </t>
    </r>
    <r>
      <rPr>
        <rFont val="Poppins"/>
        <b/>
        <sz val="7.0"/>
      </rPr>
      <t>funds</t>
    </r>
    <r>
      <rPr>
        <rFont val="Poppins"/>
        <sz val="7.0"/>
      </rPr>
      <t xml:space="preserve">, as well as direct investments in other private opportunities..."                                                                                                                                                                                                                                                                                                                                                             
-[Sector investment focus] &gt; Data manager judgement &gt; Their investments focuses on </t>
    </r>
    <r>
      <rPr>
        <rFont val="Poppins"/>
        <b/>
        <color rgb="FF1155CC"/>
        <sz val="7.0"/>
        <u/>
      </rPr>
      <t>AI, Fintech, SaaS, etc</t>
    </r>
    <r>
      <rPr>
        <rFont val="Poppins"/>
        <sz val="7.0"/>
      </rPr>
      <t xml:space="preserve"> (New Stack Venture, Mantis VC, etc).                                                                                                                                                                                                                                                                                              
-[Region investment focus] &gt; Data manager judgement &gt; Their investments are based in </t>
    </r>
    <r>
      <rPr>
        <rFont val="Poppins"/>
        <b/>
        <color rgb="FF1155CC"/>
        <sz val="7.0"/>
        <u/>
      </rPr>
      <t>United States</t>
    </r>
    <r>
      <rPr>
        <rFont val="Poppins"/>
        <sz val="7.0"/>
      </rPr>
      <t xml:space="preserve"> (New Stack Venture, Mantis VC, etc).
- [Maturity Focus = Emerging] &gt; Data manager judgement &gt; They have not publicly disclosed their maturity focus but the rest of the criteria aligns well with your IIP. </t>
    </r>
    <r>
      <rPr>
        <rFont val="Poppins"/>
        <b/>
        <sz val="7.0"/>
      </rPr>
      <t>#DemandCreation.</t>
    </r>
    <r>
      <rPr>
        <rFont val="Poppins"/>
        <sz val="7.0"/>
      </rPr>
      <t xml:space="preserve">                                                                                                                                                                                                                                                                                                                                                           </t>
    </r>
  </si>
  <si>
    <t>Michael Militello</t>
  </si>
  <si>
    <t>Militello</t>
  </si>
  <si>
    <t>mike@malex.com</t>
  </si>
  <si>
    <t>https://www.linkedin.com/in/mmilitello/</t>
  </si>
  <si>
    <t>Tetragon</t>
  </si>
  <si>
    <t>https://www.tetragoninv.com/</t>
  </si>
  <si>
    <r>
      <rPr>
        <rFont val="Poppins"/>
        <sz val="7.0"/>
      </rPr>
      <t xml:space="preserve">- [Asset class = Funds - VC] &gt; Website &gt; "...private equity investments with </t>
    </r>
    <r>
      <rPr>
        <rFont val="Poppins"/>
        <b/>
        <color rgb="FF1155CC"/>
        <sz val="7.0"/>
        <u/>
      </rPr>
      <t>third-party managers</t>
    </r>
    <r>
      <rPr>
        <rFont val="Poppins"/>
        <sz val="7.0"/>
      </rPr>
      <t xml:space="preserve">; and direct private equity investments, including </t>
    </r>
    <r>
      <rPr>
        <rFont val="Poppins"/>
        <b/>
        <color rgb="FF1155CC"/>
        <sz val="7.0"/>
        <u/>
      </rPr>
      <t>venture capital</t>
    </r>
    <r>
      <rPr>
        <rFont val="Poppins"/>
        <sz val="7.0"/>
      </rPr>
      <t xml:space="preserve"> investments..."
- [Sector investment focus] &gt; Website &gt; "...TFG Asset Management today announces that through Banyan Square Partners, it has made a strategic investment in WovenLight Limited, a technology company focused on the private equity industry that deploys sophisticated data analytics augmented by </t>
    </r>
    <r>
      <rPr>
        <rFont val="Poppins"/>
        <b/>
        <color rgb="FF1155CC"/>
        <sz val="7.0"/>
        <u/>
      </rPr>
      <t>artificial intelligence</t>
    </r>
    <r>
      <rPr>
        <rFont val="Poppins"/>
        <sz val="7.0"/>
      </rPr>
      <t xml:space="preserve"> to improve corporate performance..."
- [Region investment focus] &gt; Website &gt; "...These investments are geographically focused and include investments in the </t>
    </r>
    <r>
      <rPr>
        <rFont val="Poppins"/>
        <b/>
        <color rgb="FF1155CC"/>
        <sz val="7.0"/>
        <u/>
      </rPr>
      <t>United States</t>
    </r>
    <r>
      <rPr>
        <rFont val="Poppins"/>
        <sz val="7.0"/>
      </rPr>
      <t xml:space="preserve">, </t>
    </r>
    <r>
      <rPr>
        <rFont val="Poppins"/>
        <b/>
        <sz val="7.0"/>
      </rPr>
      <t>Canada</t>
    </r>
    <r>
      <rPr>
        <rFont val="Poppins"/>
        <sz val="7.0"/>
      </rPr>
      <t xml:space="preserve">, Europe and </t>
    </r>
    <r>
      <rPr>
        <rFont val="Poppins"/>
        <b/>
        <sz val="7.0"/>
      </rPr>
      <t>Asia</t>
    </r>
    <r>
      <rPr>
        <rFont val="Poppins"/>
        <sz val="7.0"/>
      </rPr>
      <t xml:space="preserve">..."
- [Maturity Focus = Emerging] &gt; Data manager judgement &gt; They have not publicly disclosed their maturity focus but the rest of the criteria aligns well with your IIP. </t>
    </r>
    <r>
      <rPr>
        <rFont val="Poppins"/>
        <b/>
        <sz val="7.0"/>
      </rPr>
      <t>#DemandCreation.</t>
    </r>
  </si>
  <si>
    <t>Founder and Chief Investment Officer</t>
  </si>
  <si>
    <t>Reade Griffith</t>
  </si>
  <si>
    <t>rgriffith@tetragoninv.com</t>
  </si>
  <si>
    <t>https://www.linkedin.com/in/readegriffith/?originalSubdomain=uk</t>
  </si>
  <si>
    <t>Ten Eighty Capital</t>
  </si>
  <si>
    <t>https://teneighty.us/</t>
  </si>
  <si>
    <r>
      <rPr>
        <rFont val="Poppins"/>
        <sz val="7.0"/>
      </rPr>
      <t xml:space="preserve">- [Asset class = Funds - VC] &gt; Website + Portfolio &gt; "...invests in both private operating companies and </t>
    </r>
    <r>
      <rPr>
        <rFont val="Poppins"/>
        <b/>
        <color rgb="FF1155CC"/>
        <sz val="7.0"/>
        <u/>
      </rPr>
      <t>funds</t>
    </r>
    <r>
      <rPr>
        <rFont val="Poppins"/>
        <sz val="7.0"/>
      </rPr>
      <t xml:space="preserve">..." + Their portfolio consist of </t>
    </r>
    <r>
      <rPr>
        <rFont val="Poppins"/>
        <b/>
        <color rgb="FF1155CC"/>
        <sz val="7.0"/>
        <u/>
      </rPr>
      <t>VC funds</t>
    </r>
    <r>
      <rPr>
        <rFont val="Poppins"/>
        <sz val="7.0"/>
      </rPr>
      <t xml:space="preserve"> (Origin Ventures, Kickstart Fund)
- [Sector investment focus] &gt; Data manager judgement &gt; Their investments focuses on </t>
    </r>
    <r>
      <rPr>
        <rFont val="Poppins"/>
        <b/>
        <color rgb="FF1155CC"/>
        <sz val="7.0"/>
        <u/>
      </rPr>
      <t>AI, SaaS, Fintech, etc</t>
    </r>
    <r>
      <rPr>
        <rFont val="Poppins"/>
        <sz val="7.0"/>
      </rPr>
      <t xml:space="preserve"> (Origin Ventures, Kickstart Fund)
- [Region investment focus] &gt; Website &gt; "...across </t>
    </r>
    <r>
      <rPr>
        <rFont val="Poppins"/>
        <b/>
        <color rgb="FF1155CC"/>
        <sz val="7.0"/>
        <u/>
      </rPr>
      <t>North America</t>
    </r>
    <r>
      <rPr>
        <rFont val="Poppins"/>
        <sz val="7.0"/>
      </rPr>
      <t xml:space="preserve">..."
- [Maturity Focus = Emerging] &gt; Data manager judgement &gt; They have not publicly disclosed their maturity focus but the rest of the criteria aligns well with your IIP. </t>
    </r>
    <r>
      <rPr>
        <rFont val="Poppins"/>
        <b/>
        <sz val="7.0"/>
      </rPr>
      <t>#DemandCreation.</t>
    </r>
  </si>
  <si>
    <t>CEO and President</t>
  </si>
  <si>
    <t>Ben Rifkin</t>
  </si>
  <si>
    <t>brifkin@teneighty.us</t>
  </si>
  <si>
    <t>https://www.linkedin.com/in/benrifkin/</t>
  </si>
  <si>
    <t>Nomura Holdings</t>
  </si>
  <si>
    <t>https://www.nomuraholdings.com/en/index.html</t>
  </si>
  <si>
    <t>Japan</t>
  </si>
  <si>
    <r>
      <rPr>
        <rFont val="Poppins"/>
        <sz val="7.0"/>
      </rPr>
      <t xml:space="preserve">- [Asset class = Funds-VC] &gt; Website &gt; "...Nomura Launches </t>
    </r>
    <r>
      <rPr>
        <rFont val="Poppins"/>
        <b/>
        <color rgb="FF1155CC"/>
        <sz val="7.0"/>
        <u/>
      </rPr>
      <t>FoFs</t>
    </r>
    <r>
      <rPr>
        <rFont val="Poppins"/>
        <sz val="7.0"/>
      </rPr>
      <t xml:space="preserve"> In-house Investment Strategy in Private Assets..." + "...The Strategy will mainly invest in buyout strategy funds, with some investment in </t>
    </r>
    <r>
      <rPr>
        <rFont val="Poppins"/>
        <b/>
        <color rgb="FF1155CC"/>
        <sz val="7.0"/>
        <u/>
      </rPr>
      <t>venture capital strategy funds</t>
    </r>
    <r>
      <rPr>
        <rFont val="Poppins"/>
        <sz val="7.0"/>
      </rPr>
      <t xml:space="preserve">..."
- [Sector investment focus] &gt; Website &gt; "...Nomura Strategic Ventures, LLC (NSV) today announced an investment in Osaro Inc. (OSARO), a San Francisco startup developing </t>
    </r>
    <r>
      <rPr>
        <rFont val="Poppins"/>
        <b/>
        <color rgb="FF1155CC"/>
        <sz val="7.0"/>
        <u/>
      </rPr>
      <t>AI</t>
    </r>
    <r>
      <rPr>
        <rFont val="Poppins"/>
        <sz val="7.0"/>
      </rPr>
      <t xml:space="preserve">-based software solutions for industrial automation..." + "...Nomura Strategic Ventures, LLC (NSV) today announced an investment in Quantifind, a Menlo Park startup that develops </t>
    </r>
    <r>
      <rPr>
        <rFont val="Poppins"/>
        <b/>
        <color rgb="FF1155CC"/>
        <sz val="7.0"/>
        <u/>
      </rPr>
      <t>AI</t>
    </r>
    <r>
      <rPr>
        <rFont val="Poppins"/>
        <sz val="7.0"/>
      </rPr>
      <t xml:space="preserve">-based solutions..."
- [Region investment focus] &gt; Website &gt; "...Nomura Asset Management has a growing international presence around the </t>
    </r>
    <r>
      <rPr>
        <rFont val="Poppins"/>
        <b/>
        <color rgb="FF1155CC"/>
        <sz val="7.0"/>
        <u/>
      </rPr>
      <t>world</t>
    </r>
    <r>
      <rPr>
        <rFont val="Poppins"/>
        <sz val="7.0"/>
      </rPr>
      <t xml:space="preserve">..."
- [Maturity Focus = Emerging] &gt; Website &gt; "...Initiatives to invest in and outsource investments to </t>
    </r>
    <r>
      <rPr>
        <rFont val="Poppins"/>
        <b/>
        <color rgb="FF1155CC"/>
        <sz val="7.0"/>
        <u/>
      </rPr>
      <t>Emerging Managers</t>
    </r>
    <r>
      <rPr>
        <rFont val="Poppins"/>
        <sz val="7.0"/>
      </rPr>
      <t>..."</t>
    </r>
  </si>
  <si>
    <t>Spoken to them, dont fit check</t>
  </si>
  <si>
    <t>J Heart Ventures</t>
  </si>
  <si>
    <t>https://jheart.ventures/</t>
  </si>
  <si>
    <t>Website, Portfolio, Private data provider</t>
  </si>
  <si>
    <r>
      <rPr>
        <rFont val="Poppins"/>
        <sz val="7.0"/>
      </rPr>
      <t xml:space="preserve">- [Asset class = Funds-VC] &gt; Website &gt; "...Jonathan has invested in over 100+ startups from Pre-Seed to Pre-IPO and over 30 </t>
    </r>
    <r>
      <rPr>
        <rFont val="Poppins"/>
        <b/>
        <color rgb="FF1155CC"/>
        <sz val="7.0"/>
        <u/>
      </rPr>
      <t xml:space="preserve">Venture Capital Funds </t>
    </r>
    <r>
      <rPr>
        <rFont val="Poppins"/>
        <sz val="7.0"/>
      </rPr>
      <t xml:space="preserve">as a Limited Partner...."  
- [Sector investment focus] &gt; Portfolio &gt; Their portfolio consists of investments in </t>
    </r>
    <r>
      <rPr>
        <rFont val="Poppins"/>
        <b/>
        <sz val="7.0"/>
      </rPr>
      <t>aerospace</t>
    </r>
    <r>
      <rPr>
        <rFont val="Poppins"/>
        <sz val="7.0"/>
      </rPr>
      <t xml:space="preserve">, </t>
    </r>
    <r>
      <rPr>
        <rFont val="Poppins"/>
        <b/>
        <sz val="7.0"/>
      </rPr>
      <t>technology</t>
    </r>
    <r>
      <rPr>
        <rFont val="Poppins"/>
        <sz val="7.0"/>
      </rPr>
      <t xml:space="preserve">, </t>
    </r>
    <r>
      <rPr>
        <rFont val="Poppins"/>
        <b/>
        <color rgb="FF1155CC"/>
        <sz val="7.0"/>
        <u/>
      </rPr>
      <t>AI</t>
    </r>
    <r>
      <rPr>
        <rFont val="Poppins"/>
        <sz val="7.0"/>
      </rPr>
      <t xml:space="preserve">, ex </t>
    </r>
    <r>
      <rPr>
        <rFont val="Poppins"/>
        <b/>
        <sz val="7.0"/>
      </rPr>
      <t>placer.ai, spacex.</t>
    </r>
    <r>
      <rPr>
        <rFont val="Poppins"/>
        <sz val="7.0"/>
      </rPr>
      <t xml:space="preserve">
- [Region investment focus] &gt; Portfolio &gt; Their portfolio includes  </t>
    </r>
    <r>
      <rPr>
        <rFont val="Poppins"/>
        <b/>
        <color rgb="FF1155CC"/>
        <sz val="7.0"/>
        <u/>
      </rPr>
      <t>U.S</t>
    </r>
    <r>
      <rPr>
        <rFont val="Poppins"/>
        <sz val="7.0"/>
      </rPr>
      <t xml:space="preserve">.-based investments, ex: </t>
    </r>
    <r>
      <rPr>
        <rFont val="Poppins"/>
        <b/>
        <sz val="7.0"/>
      </rPr>
      <t xml:space="preserve">Miso Robotics.
</t>
    </r>
    <r>
      <rPr>
        <rFont val="Poppins"/>
        <sz val="7.0"/>
      </rPr>
      <t xml:space="preserve">- [Maturity Focus = Emerging] &gt; Dara manager judgement &gt; They have not publicly disclosed their maturity focus but the rest of the criteria aligns with your IIP. </t>
    </r>
    <r>
      <rPr>
        <rFont val="Poppins"/>
        <b/>
        <sz val="7.0"/>
      </rPr>
      <t>#DemandCreation.</t>
    </r>
  </si>
  <si>
    <t>Jonathan Hung</t>
  </si>
  <si>
    <t xml:space="preserve">Jonathan </t>
  </si>
  <si>
    <t>Hung</t>
  </si>
  <si>
    <t>jonathan@jheart.ventures</t>
  </si>
  <si>
    <t>https://www.linkedin.com/in/jonathanhung/</t>
  </si>
  <si>
    <t>Kohli ventures</t>
  </si>
  <si>
    <t>https://kohliventures.com/</t>
  </si>
  <si>
    <r>
      <rPr>
        <rFont val="Poppins"/>
        <sz val="7.0"/>
      </rPr>
      <t xml:space="preserve">- [Asset class = Funds-VC] &gt; Website &gt; "...He has committed over $100m to the ‘Rewired’ venture studio and into the Rewired.GG esports </t>
    </r>
    <r>
      <rPr>
        <rFont val="Poppins"/>
        <b/>
        <color rgb="FF1155CC"/>
        <sz val="7.0"/>
        <u/>
      </rPr>
      <t>venture fund</t>
    </r>
    <r>
      <rPr>
        <rFont val="Poppins"/>
        <sz val="7.0"/>
      </rPr>
      <t xml:space="preserve">..."
- [Region investment focus] &gt; Data manager judgement &gt; They have investments based in the </t>
    </r>
    <r>
      <rPr>
        <rFont val="Poppins"/>
        <b/>
        <color rgb="FF1155CC"/>
        <sz val="7.0"/>
        <u/>
      </rPr>
      <t>United States</t>
    </r>
    <r>
      <rPr>
        <rFont val="Poppins"/>
        <b/>
        <sz val="7.0"/>
      </rPr>
      <t>, ex: SpaceX, etc.</t>
    </r>
    <r>
      <rPr>
        <rFont val="Poppins"/>
        <sz val="7.0"/>
      </rPr>
      <t xml:space="preserve">
- [Sector investment focus] &gt; Website &gt; "...stage ventures in the areas of </t>
    </r>
    <r>
      <rPr>
        <rFont val="Poppins"/>
        <b/>
        <color rgb="FF1155CC"/>
        <sz val="7.0"/>
        <u/>
      </rPr>
      <t>artificial intelligence</t>
    </r>
    <r>
      <rPr>
        <rFont val="Poppins"/>
        <sz val="7.0"/>
      </rPr>
      <t xml:space="preserve">, </t>
    </r>
    <r>
      <rPr>
        <rFont val="Poppins"/>
        <b/>
        <sz val="7.0"/>
      </rPr>
      <t>robotics</t>
    </r>
    <r>
      <rPr>
        <rFont val="Poppins"/>
        <sz val="7.0"/>
      </rPr>
      <t xml:space="preserve">, biotech and esports...."
- [Maturity Focus = Emerging] &gt; Data manager judgement &gt; They have not publicly disclosed their maturity focus but the rest of the criteria aligns with your IIP. </t>
    </r>
    <r>
      <rPr>
        <rFont val="Poppins"/>
        <b/>
        <sz val="7.0"/>
      </rPr>
      <t>#DemandCreation.</t>
    </r>
  </si>
  <si>
    <t>Tej Kohli</t>
  </si>
  <si>
    <t>Tej</t>
  </si>
  <si>
    <t>Kohli</t>
  </si>
  <si>
    <t>tej@kohliventures.com</t>
  </si>
  <si>
    <t>https://www.linkedin.com/in/mrtejkohli/</t>
  </si>
  <si>
    <t>3e Capital Group</t>
  </si>
  <si>
    <t>https://www.3ecapital.de/privateequityinvestments</t>
  </si>
  <si>
    <r>
      <rPr>
        <rFont val="Poppins"/>
        <sz val="7.0"/>
      </rPr>
      <t xml:space="preserve">- [Asset class = Funds-VC] &gt; Portfolio &gt; Their portfolio confirms that they invest in </t>
    </r>
    <r>
      <rPr>
        <rFont val="Poppins"/>
        <b/>
        <color rgb="FF1155CC"/>
        <sz val="7.0"/>
        <u/>
      </rPr>
      <t>VC funds</t>
    </r>
    <r>
      <rPr>
        <rFont val="Poppins"/>
        <sz val="7.0"/>
      </rPr>
      <t xml:space="preserve">, ex: </t>
    </r>
    <r>
      <rPr>
        <rFont val="Poppins"/>
        <b/>
        <sz val="7.0"/>
      </rPr>
      <t>Speedinvest, Seedcamp, Lakestar VC.</t>
    </r>
    <r>
      <rPr>
        <rFont val="Poppins"/>
        <sz val="7.0"/>
      </rPr>
      <t xml:space="preserve">
- [Sector investment focus] &gt; Portfolio &gt; Their investments further focuses on </t>
    </r>
    <r>
      <rPr>
        <rFont val="Poppins"/>
        <b/>
        <color rgb="FF1155CC"/>
        <sz val="7.0"/>
        <u/>
      </rPr>
      <t>AI, Deep Tech, SaaS, Fintech</t>
    </r>
    <r>
      <rPr>
        <rFont val="Poppins"/>
        <sz val="7.0"/>
      </rPr>
      <t xml:space="preserve">, </t>
    </r>
    <r>
      <rPr>
        <rFont val="Poppins"/>
        <b/>
        <sz val="7.0"/>
      </rPr>
      <t>Marketplace</t>
    </r>
    <r>
      <rPr>
        <rFont val="Poppins"/>
        <sz val="7.0"/>
      </rPr>
      <t xml:space="preserve">, etc, ex: </t>
    </r>
    <r>
      <rPr>
        <rFont val="Poppins"/>
        <b/>
        <sz val="7.0"/>
      </rPr>
      <t>Speedinvest, Seedcamp, Lakestar VC.</t>
    </r>
    <r>
      <rPr>
        <rFont val="Poppins"/>
        <sz val="7.0"/>
      </rPr>
      <t xml:space="preserve">
- [Region investment focus] &gt; Website &gt; "...Our investment strategy is to find and select only the best investment opportunities </t>
    </r>
    <r>
      <rPr>
        <rFont val="Poppins"/>
        <b/>
        <color rgb="FF1155CC"/>
        <sz val="7.0"/>
        <u/>
      </rPr>
      <t>worldwide</t>
    </r>
    <r>
      <rPr>
        <rFont val="Poppins"/>
        <sz val="7.0"/>
      </rPr>
      <t xml:space="preserve">..."
- [Maturity Focus = Emerging] &gt; Data manager judgement &gt; They have not publicly disclosed their maturity focus but the rest of the criteria aligns with your IIP. </t>
    </r>
    <r>
      <rPr>
        <rFont val="Poppins"/>
        <b/>
        <sz val="7.0"/>
      </rPr>
      <t>#DemandCreation.</t>
    </r>
  </si>
  <si>
    <t>Hans Even</t>
  </si>
  <si>
    <t>Hans</t>
  </si>
  <si>
    <t>Even</t>
  </si>
  <si>
    <t>even@3ecapital.de</t>
  </si>
  <si>
    <t>https://www.linkedin.com/in/heven/</t>
  </si>
  <si>
    <t>Crescent Enterprises</t>
  </si>
  <si>
    <t>https://www.crescententerprises.com/what-we-do/ce-ventures/</t>
  </si>
  <si>
    <t>United Arab Emirates</t>
  </si>
  <si>
    <r>
      <rPr>
        <rFont val="Poppins"/>
        <sz val="7.0"/>
      </rPr>
      <t xml:space="preserve">- [Asset class = Funds-VC] &gt; Website &gt; "...investing in early- to late-stage high-growth companies and </t>
    </r>
    <r>
      <rPr>
        <rFont val="Poppins"/>
        <b/>
        <color rgb="FF1155CC"/>
        <sz val="7.0"/>
        <u/>
      </rPr>
      <t>venture funds</t>
    </r>
    <r>
      <rPr>
        <rFont val="Poppins"/>
        <sz val="7.0"/>
      </rPr>
      <t xml:space="preserve"> globally..."
- [Sector investment focus] &gt; Website &gt;  "...We invest in transformative businesses across industries, including consumer, </t>
    </r>
    <r>
      <rPr>
        <rFont val="Poppins"/>
        <b/>
        <color rgb="FF1155CC"/>
        <sz val="7.0"/>
        <u/>
      </rPr>
      <t>deep-tech</t>
    </r>
    <r>
      <rPr>
        <rFont val="Poppins"/>
        <sz val="7.0"/>
      </rPr>
      <t xml:space="preserve"> and biotech..."
- [Region investment focus] &gt; Website &gt; "...Our investment scope spans the </t>
    </r>
    <r>
      <rPr>
        <rFont val="Poppins"/>
        <b/>
        <color rgb="FF1155CC"/>
        <sz val="7.0"/>
        <u/>
      </rPr>
      <t>US</t>
    </r>
    <r>
      <rPr>
        <rFont val="Poppins"/>
        <sz val="7.0"/>
      </rPr>
      <t xml:space="preserve">, the </t>
    </r>
    <r>
      <rPr>
        <rFont val="Poppins"/>
        <b/>
        <sz val="7.0"/>
      </rPr>
      <t>MENA</t>
    </r>
    <r>
      <rPr>
        <rFont val="Poppins"/>
        <sz val="7.0"/>
      </rPr>
      <t xml:space="preserve">, </t>
    </r>
    <r>
      <rPr>
        <rFont val="Poppins"/>
        <b/>
        <sz val="7.0"/>
      </rPr>
      <t>India</t>
    </r>
    <r>
      <rPr>
        <rFont val="Poppins"/>
        <sz val="7.0"/>
      </rPr>
      <t xml:space="preserve">, and </t>
    </r>
    <r>
      <rPr>
        <rFont val="Poppins"/>
        <b/>
        <sz val="7.0"/>
      </rPr>
      <t>Southeast Asia</t>
    </r>
    <r>
      <rPr>
        <rFont val="Poppins"/>
        <sz val="7.0"/>
      </rPr>
      <t xml:space="preserve">..."
- [Maturity Focus = Emerging] &gt; Data manager judgement &gt; They have made investment in </t>
    </r>
    <r>
      <rPr>
        <rFont val="Poppins"/>
        <b/>
        <sz val="7.0"/>
      </rPr>
      <t xml:space="preserve">TVM Capital Healthcare Fund I, </t>
    </r>
    <r>
      <rPr>
        <rFont val="Poppins"/>
        <sz val="7.0"/>
      </rPr>
      <t xml:space="preserve">which confirms that they invest in </t>
    </r>
    <r>
      <rPr>
        <rFont val="Poppins"/>
        <b/>
        <color rgb="FF1155CC"/>
        <sz val="7.0"/>
        <u/>
      </rPr>
      <t>emerging managers.</t>
    </r>
  </si>
  <si>
    <t>Investment Professional</t>
  </si>
  <si>
    <t>Bindu Sancheti</t>
  </si>
  <si>
    <t xml:space="preserve">Bindu
</t>
  </si>
  <si>
    <t xml:space="preserve">Sancheti
</t>
  </si>
  <si>
    <t>bsancheti@crescent.ae</t>
  </si>
  <si>
    <t>https://www.linkedin.com/in/bindusancheti/</t>
  </si>
  <si>
    <t>Octava</t>
  </si>
  <si>
    <t>https://octava-ssdberbe.konigle.net/</t>
  </si>
  <si>
    <t>Singapore</t>
  </si>
  <si>
    <r>
      <rPr>
        <rFont val="Poppins"/>
        <sz val="7.0"/>
      </rPr>
      <t xml:space="preserve">- [Asset class = Funds-VC] &gt; Website &gt; "...Investing in </t>
    </r>
    <r>
      <rPr>
        <rFont val="Poppins"/>
        <b/>
        <color rgb="FF1155CC"/>
        <sz val="7.0"/>
        <u/>
      </rPr>
      <t>venture capital funds</t>
    </r>
    <r>
      <rPr>
        <rFont val="Poppins"/>
        <sz val="7.0"/>
      </rPr>
      <t xml:space="preserve"> can be a strategic move for individuals and organisations looking to support early-stage startups and gain substantial returns in the long run..." 
- [Sector investment focus] &gt; Website &gt; "...industries such as </t>
    </r>
    <r>
      <rPr>
        <rFont val="Poppins"/>
        <b/>
        <sz val="7.0"/>
      </rPr>
      <t>FinTech</t>
    </r>
    <r>
      <rPr>
        <rFont val="Poppins"/>
        <sz val="7.0"/>
      </rPr>
      <t xml:space="preserve"> and </t>
    </r>
    <r>
      <rPr>
        <rFont val="Poppins"/>
        <b/>
        <color rgb="FF1155CC"/>
        <sz val="7.0"/>
        <u/>
      </rPr>
      <t>artificial intelligence</t>
    </r>
    <r>
      <rPr>
        <rFont val="Poppins"/>
        <sz val="7.0"/>
      </rPr>
      <t xml:space="preserve">, driving innovation and progress in these dynamic fields...."
- [Region investment focus] &gt; Website &gt; "...With a </t>
    </r>
    <r>
      <rPr>
        <rFont val="Poppins"/>
        <b/>
        <color rgb="FF1155CC"/>
        <sz val="7.0"/>
        <u/>
      </rPr>
      <t>global</t>
    </r>
    <r>
      <rPr>
        <rFont val="Poppins"/>
        <sz val="7.0"/>
      </rPr>
      <t xml:space="preserve"> mandate, we have the flexibility to invest anywhere in the </t>
    </r>
    <r>
      <rPr>
        <rFont val="Poppins"/>
        <b/>
        <sz val="7.0"/>
      </rPr>
      <t>world</t>
    </r>
    <r>
      <rPr>
        <rFont val="Poppins"/>
        <sz val="7.0"/>
      </rPr>
      <t xml:space="preserve">...."
- [Maturity Focus = Emerging] &gt; Data manager judgement &gt; They have not publicly disclosed their maturity focus but the rest of the criteria aligns with your IIP. </t>
    </r>
    <r>
      <rPr>
        <rFont val="Poppins"/>
        <b/>
        <sz val="7.0"/>
      </rPr>
      <t>#DemandCreation.</t>
    </r>
  </si>
  <si>
    <t>Director of Investments</t>
  </si>
  <si>
    <t>Gerard Yeo</t>
  </si>
  <si>
    <t>Gerard</t>
  </si>
  <si>
    <t>Yeo</t>
  </si>
  <si>
    <t>g.yeo@octava.sg</t>
  </si>
  <si>
    <t>https://www.linkedin.com/in/gerard-yeo-287b2a61/</t>
  </si>
  <si>
    <t>LMDV Capital</t>
  </si>
  <si>
    <t>https://lmdvcapital.it/</t>
  </si>
  <si>
    <r>
      <rPr>
        <rFont val="Poppins"/>
        <sz val="7.0"/>
      </rPr>
      <t xml:space="preserve">- [Asset class = Funds-VC] &gt; Website &gt; "...Our portfolio includes indirect investments in </t>
    </r>
    <r>
      <rPr>
        <rFont val="Poppins"/>
        <b/>
        <color rgb="FF1155CC"/>
        <sz val="7.0"/>
        <u/>
      </rPr>
      <t>venture and growth capital, private equity, hedge funds</t>
    </r>
    <r>
      <rPr>
        <rFont val="Poppins"/>
        <sz val="7.0"/>
      </rPr>
      <t xml:space="preserve">..."
- [Sector investment focus] &gt; Website &gt; "...we prioritize internationally recognized brands in the </t>
    </r>
    <r>
      <rPr>
        <rFont val="Poppins"/>
        <b/>
        <color rgb="FF1155CC"/>
        <sz val="7.0"/>
        <u/>
      </rPr>
      <t>technology</t>
    </r>
    <r>
      <rPr>
        <rFont val="Poppins"/>
        <sz val="7.0"/>
      </rPr>
      <t xml:space="preserve">, lifestyle, and consumer goods sectors..." + "...to preventive medicine and </t>
    </r>
    <r>
      <rPr>
        <rFont val="Poppins"/>
        <b/>
        <color rgb="FF1155CC"/>
        <sz val="7.0"/>
        <u/>
      </rPr>
      <t>artificial intelligence</t>
    </r>
    <r>
      <rPr>
        <rFont val="Poppins"/>
        <sz val="7.0"/>
      </rPr>
      <t xml:space="preserve">—always maintaining a sustainable approach..."
- [Region investment focus = Europe ] &gt; Website &gt; "...Our geographic focus spans Europe and </t>
    </r>
    <r>
      <rPr>
        <rFont val="Poppins"/>
        <b/>
        <color rgb="FF1155CC"/>
        <sz val="7.0"/>
        <u/>
      </rPr>
      <t>North America</t>
    </r>
    <r>
      <rPr>
        <rFont val="Poppins"/>
        <sz val="7.0"/>
      </rPr>
      <t xml:space="preserve">..."
- [Maturity Focus = Emerging] &gt; Data manager judgement &gt; They have not publicly disclosed their maturity focus but the rest of the criteria aligns with your IIP. </t>
    </r>
    <r>
      <rPr>
        <rFont val="Poppins"/>
        <b/>
        <sz val="7.0"/>
      </rPr>
      <t>#DemandCreation.</t>
    </r>
  </si>
  <si>
    <t>Private Equity - Investment Analyst</t>
  </si>
  <si>
    <t>Andrea Picchi</t>
  </si>
  <si>
    <t>Andrea</t>
  </si>
  <si>
    <t>Picchi</t>
  </si>
  <si>
    <t>a.picchi@lmdvcapital.it</t>
  </si>
  <si>
    <t>https://www.linkedin.com/in/andreapicchi-/</t>
  </si>
  <si>
    <t>Alturki Ventures</t>
  </si>
  <si>
    <t>https://alturkiventures.com/en/</t>
  </si>
  <si>
    <t>Saudi Arabia</t>
  </si>
  <si>
    <r>
      <rPr>
        <rFont val="Poppins"/>
        <sz val="7.0"/>
      </rPr>
      <t xml:space="preserve">- [Asset class = Funds-VC] &gt; Data manager judgement &gt; Their portfolio confirms investments into </t>
    </r>
    <r>
      <rPr>
        <rFont val="Poppins"/>
        <b/>
        <color rgb="FF1155CC"/>
        <sz val="7.0"/>
        <u/>
      </rPr>
      <t>VC Funds</t>
    </r>
    <r>
      <rPr>
        <rFont val="Poppins"/>
        <b/>
        <sz val="7.0"/>
      </rPr>
      <t>, ex: Endeavor Catalyst, MEVP, BECO Capital, etc.</t>
    </r>
    <r>
      <rPr>
        <rFont val="Poppins"/>
        <sz val="7.0"/>
      </rPr>
      <t xml:space="preserve">
- [Sector investment focus] &gt; Website &gt; "...They are empowering transformation in learning through </t>
    </r>
    <r>
      <rPr>
        <rFont val="Poppins"/>
        <b/>
        <color rgb="FF1155CC"/>
        <sz val="7.0"/>
        <u/>
      </rPr>
      <t>AI</t>
    </r>
    <r>
      <rPr>
        <rFont val="Poppins"/>
        <sz val="7.0"/>
      </rPr>
      <t xml:space="preserve"> and neuroscience, innovation in </t>
    </r>
    <r>
      <rPr>
        <rFont val="Poppins"/>
        <b/>
        <sz val="7.0"/>
      </rPr>
      <t>deep tech</t>
    </r>
    <r>
      <rPr>
        <rFont val="Poppins"/>
        <sz val="7.0"/>
      </rPr>
      <t xml:space="preserve">, digital health and synthetic biology..."
- [Region investment focus] &gt; Portfolio &gt; "...From the Middle East to Europe and the </t>
    </r>
    <r>
      <rPr>
        <rFont val="Poppins"/>
        <b/>
        <color rgb="FF1155CC"/>
        <sz val="7.0"/>
        <u/>
      </rPr>
      <t>Americas</t>
    </r>
    <r>
      <rPr>
        <rFont val="Poppins"/>
        <sz val="7.0"/>
      </rPr>
      <t xml:space="preserve">..."
- [Maturity Focus = Emerging] &gt; Data manager judgement &gt; They have not publicly disclosed their maturity focus but the rest of the criteria aligns with your IIP. </t>
    </r>
    <r>
      <rPr>
        <rFont val="Poppins"/>
        <b/>
        <sz val="7.0"/>
      </rPr>
      <t>#DemandCreation.</t>
    </r>
  </si>
  <si>
    <t>Sr. Investment Executive</t>
  </si>
  <si>
    <t>Srinivas Ananthan</t>
  </si>
  <si>
    <t>Srinivas</t>
  </si>
  <si>
    <t>Ananthan</t>
  </si>
  <si>
    <t>srinivas.ananthan@alturkiholding.com</t>
  </si>
  <si>
    <t>https://www.linkedin.com/in/srinivas-ananthan-a154364b/</t>
  </si>
  <si>
    <t>Inovia Capital</t>
  </si>
  <si>
    <t>https://www.inovia.vc/</t>
  </si>
  <si>
    <t>Portfolio, Data manager judgement, Website</t>
  </si>
  <si>
    <r>
      <rPr>
        <rFont val="Poppins"/>
        <sz val="7.0"/>
      </rPr>
      <t xml:space="preserve">- [Asset Class = Funds - VC] &gt; Portfolio + Website &gt; Their portfolio confirms investments in several </t>
    </r>
    <r>
      <rPr>
        <rFont val="Poppins"/>
        <b/>
        <color rgb="FF1155CC"/>
        <sz val="7.0"/>
        <u/>
      </rPr>
      <t>VC funds</t>
    </r>
    <r>
      <rPr>
        <rFont val="Poppins"/>
        <sz val="7.0"/>
      </rPr>
      <t xml:space="preserve">, ex: Front Row Ventures, Northside Ventures, etc. + "...We believe that nurturing a cohort of </t>
    </r>
    <r>
      <rPr>
        <rFont val="Poppins"/>
        <b/>
        <color rgb="FF1155CC"/>
        <sz val="7.0"/>
        <u/>
      </rPr>
      <t>emerging managers</t>
    </r>
    <r>
      <rPr>
        <rFont val="Poppins"/>
        <sz val="7.0"/>
      </rPr>
      <t xml:space="preserve">..."
- [Region Investment Focus] &gt; Portfolio &gt; Their portfolio confirms investment across </t>
    </r>
    <r>
      <rPr>
        <rFont val="Poppins"/>
        <b/>
        <color rgb="FF1155CC"/>
        <sz val="7.0"/>
        <u/>
      </rPr>
      <t>North America</t>
    </r>
    <r>
      <rPr>
        <rFont val="Poppins"/>
        <sz val="7.0"/>
      </rPr>
      <t xml:space="preserve"> ex: Mighty Capital.
- [Sector Investment Focus] &gt; Website &gt; "...advise the firm and guide our thinking around the implications of </t>
    </r>
    <r>
      <rPr>
        <rFont val="Poppins"/>
        <b/>
        <sz val="7.0"/>
      </rPr>
      <t xml:space="preserve">AI </t>
    </r>
    <r>
      <rPr>
        <rFont val="Poppins"/>
        <sz val="7.0"/>
      </rPr>
      <t xml:space="preserve">and building, operating and scaling companies in the new </t>
    </r>
    <r>
      <rPr>
        <rFont val="Poppins"/>
        <b/>
        <color rgb="FF1155CC"/>
        <sz val="7.0"/>
        <u/>
      </rPr>
      <t xml:space="preserve">AI </t>
    </r>
    <r>
      <rPr>
        <rFont val="Poppins"/>
        <sz val="7.0"/>
      </rPr>
      <t xml:space="preserve">era...."
- [Maturity Focus = Emerging] &gt; Website &gt; "...We believe that nurturing a cohort of </t>
    </r>
    <r>
      <rPr>
        <rFont val="Poppins"/>
        <b/>
        <color rgb="FF1155CC"/>
        <sz val="7.0"/>
        <u/>
      </rPr>
      <t>emerging managers</t>
    </r>
    <r>
      <rPr>
        <rFont val="Poppins"/>
        <sz val="7.0"/>
      </rPr>
      <t>..."</t>
    </r>
  </si>
  <si>
    <t xml:space="preserve">Investor Relations </t>
  </si>
  <si>
    <t>Hellen García</t>
  </si>
  <si>
    <t>Hellen</t>
  </si>
  <si>
    <t>García</t>
  </si>
  <si>
    <t>hellen@inovia.vc</t>
  </si>
  <si>
    <t>https://www.linkedin.com/in/hellengarcia/</t>
  </si>
  <si>
    <t>Rhodium</t>
  </si>
  <si>
    <t>https://www.rhodium.co.il/</t>
  </si>
  <si>
    <r>
      <rPr>
        <rFont val="Poppins"/>
        <sz val="7.0"/>
      </rPr>
      <t xml:space="preserve">- [Asset class = Funds - VC] &gt; Portfolio &gt; Their portfolio confirms that they invest in </t>
    </r>
    <r>
      <rPr>
        <rFont val="Poppins"/>
        <b/>
        <color rgb="FF1155CC"/>
        <sz val="7.0"/>
        <u/>
      </rPr>
      <t>VC funds</t>
    </r>
    <r>
      <rPr>
        <rFont val="Poppins"/>
        <sz val="7.0"/>
      </rPr>
      <t xml:space="preserve">, ex: </t>
    </r>
    <r>
      <rPr>
        <rFont val="Poppins"/>
        <b/>
        <sz val="7.0"/>
      </rPr>
      <t>J-Ventures, Coin Ventures</t>
    </r>
    <r>
      <rPr>
        <rFont val="Poppins"/>
        <sz val="7.0"/>
      </rPr>
      <t xml:space="preserve">.
- [Region investment focus] &gt; Website &gt; '...We support and strengthen entrepreneurs by providing funding, broad management expertise combined with our hands-on approach, and an extensive valuable network of business contacts around the </t>
    </r>
    <r>
      <rPr>
        <rFont val="Poppins"/>
        <b/>
        <color rgb="FF1155CC"/>
        <sz val="7.0"/>
        <u/>
      </rPr>
      <t>globe.</t>
    </r>
    <r>
      <rPr>
        <rFont val="Poppins"/>
        <sz val="7.0"/>
      </rPr>
      <t xml:space="preserve">.."
- [Sector investment focus] &gt; Website + Portfolio &gt; "...Rhodium works closely with passionate founders, first-timers as well as serial entrepreneurs in the fields of </t>
    </r>
    <r>
      <rPr>
        <rFont val="Poppins"/>
        <b/>
        <color rgb="FF1155CC"/>
        <sz val="7.0"/>
        <u/>
      </rPr>
      <t>AI</t>
    </r>
    <r>
      <rPr>
        <rFont val="Poppins"/>
        <sz val="7.0"/>
      </rPr>
      <t xml:space="preserve">, Impact, social, mobile, commerce and other exceptional technologies...." + Their portfolio also confirms that they focus on </t>
    </r>
    <r>
      <rPr>
        <rFont val="Poppins"/>
        <b/>
        <color rgb="FF1155CC"/>
        <sz val="7.0"/>
        <u/>
      </rPr>
      <t>Deep Tech</t>
    </r>
    <r>
      <rPr>
        <rFont val="Poppins"/>
        <sz val="7.0"/>
      </rPr>
      <t xml:space="preserve">.
- [Maturity Focus = Emerging] &gt; Data manager judgement &gt; They have not publicly disclosed their maturity focus but the rest of the criteria aligns with your IIP. </t>
    </r>
    <r>
      <rPr>
        <rFont val="Poppins"/>
        <b/>
        <sz val="7.0"/>
      </rPr>
      <t>#DemandCreation.</t>
    </r>
  </si>
  <si>
    <t>Founder, CEO</t>
  </si>
  <si>
    <t>Daniel Recanati</t>
  </si>
  <si>
    <t>Daniel</t>
  </si>
  <si>
    <t>Recanati</t>
  </si>
  <si>
    <t>daniel@rhodium.co.il</t>
  </si>
  <si>
    <t>https://www.linkedin.com/in/danielrecanati/</t>
  </si>
  <si>
    <t>LionRock Capital</t>
  </si>
  <si>
    <t>https://www.lionrock.com/</t>
  </si>
  <si>
    <r>
      <rPr>
        <rFont val="Poppins"/>
        <sz val="7.0"/>
      </rPr>
      <t xml:space="preserve">- [Asset class = Funds-VC] &gt; Portfolio &gt; "...LionRock is </t>
    </r>
    <r>
      <rPr>
        <rFont val="Poppins"/>
        <b/>
        <sz val="7.0"/>
      </rPr>
      <t>invested in over 75 funds across 20 core manager</t>
    </r>
    <r>
      <rPr>
        <rFont val="Poppins"/>
        <sz val="7.0"/>
      </rPr>
      <t xml:space="preserve"> relationships... LionRock’s fund portfolio is </t>
    </r>
    <r>
      <rPr>
        <rFont val="Poppins"/>
        <b/>
        <color rgb="FF1155CC"/>
        <sz val="7.0"/>
        <u/>
      </rPr>
      <t>focused on venture capital</t>
    </r>
    <r>
      <rPr>
        <rFont val="Poppins"/>
        <sz val="7.0"/>
      </rPr>
      <t xml:space="preserve">, growth equity and buyout..."
- [Sector investment focus =] &gt; Portfolio &gt; Their investments further focuses on </t>
    </r>
    <r>
      <rPr>
        <rFont val="Poppins"/>
        <b/>
        <color rgb="FF1155CC"/>
        <sz val="7.0"/>
        <u/>
      </rPr>
      <t>AI, Fintech, Deep Tech, Enterprise Software</t>
    </r>
    <r>
      <rPr>
        <rFont val="Poppins"/>
        <sz val="7.0"/>
      </rPr>
      <t xml:space="preserve">, etc, ex: </t>
    </r>
    <r>
      <rPr>
        <rFont val="Poppins"/>
        <b/>
        <sz val="7.0"/>
      </rPr>
      <t>Hoxton Ventures, Silver Lake, etc</t>
    </r>
    <r>
      <rPr>
        <rFont val="Poppins"/>
        <sz val="7.0"/>
      </rPr>
      <t xml:space="preserve">
- [Region investment focus =] &gt; Website &gt; "...LionRock’s portfolio is </t>
    </r>
    <r>
      <rPr>
        <rFont val="Poppins"/>
        <b/>
        <color rgb="FF1155CC"/>
        <sz val="7.0"/>
        <u/>
      </rPr>
      <t>invested globally</t>
    </r>
    <r>
      <rPr>
        <rFont val="Poppins"/>
        <sz val="7.0"/>
      </rPr>
      <t xml:space="preserve"> and comprises direct investments in public and private markets and allocations to private funds..."
- [Maturity Focus = Emerging] &gt; Data manager judgement &gt; They have not publicly disclosed their maturity focus but the rest of the criteria aligns with your IIP. </t>
    </r>
    <r>
      <rPr>
        <rFont val="Poppins"/>
        <b/>
        <sz val="7.0"/>
      </rPr>
      <t>#DemandCreation.</t>
    </r>
  </si>
  <si>
    <t>Cheif Investment Officer</t>
  </si>
  <si>
    <t>Anthnoy Sawtell</t>
  </si>
  <si>
    <t>Anthnoy</t>
  </si>
  <si>
    <t>Sawtell</t>
  </si>
  <si>
    <t>anthony@lionrock.com</t>
  </si>
  <si>
    <t>https://www.linkedin.com/in/anthonysawtell/?originalSubdomain=sg</t>
  </si>
  <si>
    <t>Virala Capital Partners</t>
  </si>
  <si>
    <t>https://viralacapitalpartners.com/</t>
  </si>
  <si>
    <t>Finland</t>
  </si>
  <si>
    <r>
      <rPr>
        <rFont val="Poppins"/>
        <sz val="7.0"/>
      </rPr>
      <t>- [Asset class = Funds-VC] &gt; Website &gt; "...currently has one active long term investment in an unlisted company and more than 20 investments in</t>
    </r>
    <r>
      <rPr>
        <rFont val="Poppins"/>
        <b/>
        <color rgb="FF1155CC"/>
        <sz val="7.0"/>
        <u/>
      </rPr>
      <t xml:space="preserve"> funds</t>
    </r>
    <r>
      <rPr>
        <rFont val="Poppins"/>
        <sz val="7.0"/>
      </rPr>
      <t xml:space="preserve">..." + On their website they have aslo mention about their </t>
    </r>
    <r>
      <rPr>
        <rFont val="Poppins"/>
        <b/>
        <color rgb="FF1155CC"/>
        <sz val="7.0"/>
        <u/>
      </rPr>
      <t>VC funds</t>
    </r>
    <r>
      <rPr>
        <rFont val="Poppins"/>
        <sz val="7.0"/>
      </rPr>
      <t xml:space="preserve"> investments, ex: </t>
    </r>
    <r>
      <rPr>
        <rFont val="Poppins"/>
        <b/>
        <sz val="7.0"/>
      </rPr>
      <t>Bascom Ventures Fund 7</t>
    </r>
    <r>
      <rPr>
        <rFont val="Poppins"/>
        <sz val="7.0"/>
      </rPr>
      <t xml:space="preserve">.
- [Region investment focus] &gt; Website &gt; "...The company makes long-term investments into companies in the United States, and into funds mainly managed from the </t>
    </r>
    <r>
      <rPr>
        <rFont val="Poppins"/>
        <b/>
        <color rgb="FF1155CC"/>
        <sz val="7.0"/>
        <u/>
      </rPr>
      <t>United States</t>
    </r>
    <r>
      <rPr>
        <rFont val="Poppins"/>
        <sz val="7.0"/>
      </rPr>
      <t xml:space="preserve">..."
- [Sector investment focus] &gt; Website &gt; Their investments further focuses on </t>
    </r>
    <r>
      <rPr>
        <rFont val="Poppins"/>
        <b/>
        <color rgb="FF1155CC"/>
        <sz val="7.0"/>
        <u/>
      </rPr>
      <t>AI</t>
    </r>
    <r>
      <rPr>
        <rFont val="Poppins"/>
        <sz val="7.0"/>
      </rPr>
      <t xml:space="preserve">, </t>
    </r>
    <r>
      <rPr>
        <rFont val="Poppins"/>
        <b/>
        <sz val="7.0"/>
      </rPr>
      <t>Fintech</t>
    </r>
    <r>
      <rPr>
        <rFont val="Poppins"/>
        <sz val="7.0"/>
      </rPr>
      <t xml:space="preserve">, Health Tech, etc, ex: </t>
    </r>
    <r>
      <rPr>
        <rFont val="Poppins"/>
        <b/>
        <sz val="7.0"/>
      </rPr>
      <t xml:space="preserve"> Bascom Ventures Fund 7, etc.
</t>
    </r>
    <r>
      <rPr>
        <rFont val="Poppins"/>
        <sz val="7.0"/>
      </rPr>
      <t xml:space="preserve">- [Maturity Focus = Emerging] &gt; Data manager judgement &gt; They have not publicly disclosed their maturity focus but the rest of the criteria aligns with your IIP. </t>
    </r>
    <r>
      <rPr>
        <rFont val="Poppins"/>
        <b/>
        <sz val="7.0"/>
      </rPr>
      <t>#DemandCreation.</t>
    </r>
  </si>
  <si>
    <t>Patrick Castren</t>
  </si>
  <si>
    <t>Castren</t>
  </si>
  <si>
    <t>patrick.castren@virala.fi</t>
  </si>
  <si>
    <t>https://www.linkedin.com/in/patrickcastren/</t>
  </si>
  <si>
    <r>
      <rPr>
        <rFont val="Poppins"/>
        <color theme="1"/>
        <sz val="6.0"/>
      </rPr>
      <t xml:space="preserve">*Comments are always welcome for future learnings. </t>
    </r>
    <r>
      <rPr>
        <rFont val="Poppins"/>
        <b/>
        <color theme="1"/>
        <sz val="6.0"/>
      </rPr>
      <t>If you’ve rejected a prospect with the reason “Rejected – Seems to conflict with what I outlined in the IIP”, a comment is required so we can understand the reasoning and replace the prospect accordingly.</t>
    </r>
  </si>
  <si>
    <r>
      <rPr>
        <rFont val="Poppins"/>
        <color theme="1"/>
        <sz val="6.0"/>
      </rPr>
      <t>*</t>
    </r>
    <r>
      <rPr>
        <rFont val="Poppins"/>
        <b/>
        <color theme="1"/>
        <sz val="6.0"/>
      </rPr>
      <t>Premium feature coming at extra charge</t>
    </r>
    <r>
      <rPr>
        <rFont val="Poppins"/>
        <color theme="1"/>
        <sz val="6.0"/>
      </rPr>
      <t xml:space="preserve"> (ask our sales), we research your network via LinkedIn to find relevant contacts who can introduce you to the respective prospect. By mapping your mutual LinkedIn connections, we reach out on your behalf and request warm introductions. This service increases your chances of engagement by leveraging trust and your existing relationships.</t>
    </r>
  </si>
  <si>
    <t>Kluz Ventures</t>
  </si>
  <si>
    <t>https://www.kluzventures.com/</t>
  </si>
  <si>
    <t>Website, Data manager judgement, LinkedIn</t>
  </si>
  <si>
    <r>
      <rPr>
        <rFont val="Poppins"/>
        <sz val="7.0"/>
      </rPr>
      <t xml:space="preserve">- [Asset Class = Funds VC] &gt; Website &gt; "...Kluz Ventures invests in </t>
    </r>
    <r>
      <rPr>
        <rFont val="Poppins"/>
        <b/>
        <color rgb="FF1155CC"/>
        <sz val="7.0"/>
        <u/>
      </rPr>
      <t>venture capital</t>
    </r>
    <r>
      <rPr>
        <rFont val="Poppins"/>
        <sz val="7.0"/>
      </rPr>
      <t xml:space="preserve">, growth equity, public equity, and </t>
    </r>
    <r>
      <rPr>
        <rFont val="Poppins"/>
        <b/>
        <sz val="7.0"/>
      </rPr>
      <t>fund of funds</t>
    </r>
    <r>
      <rPr>
        <rFont val="Poppins"/>
        <sz val="7.0"/>
      </rPr>
      <t xml:space="preserve">..."
- [Sector investment focus] &gt; Linkedin &gt; </t>
    </r>
    <r>
      <rPr>
        <rFont val="Poppins"/>
        <b/>
        <color rgb="FF1155CC"/>
        <sz val="7.0"/>
        <u/>
      </rPr>
      <t>artificial intelligence, cybersecurity</t>
    </r>
    <r>
      <rPr>
        <rFont val="Poppins"/>
        <sz val="7.0"/>
      </rPr>
      <t xml:space="preserve">, future of finance, </t>
    </r>
    <r>
      <rPr>
        <rFont val="Poppins"/>
        <b/>
        <sz val="7.0"/>
      </rPr>
      <t>space</t>
    </r>
    <r>
      <rPr>
        <rFont val="Poppins"/>
        <sz val="7.0"/>
      </rPr>
      <t xml:space="preserve">, satellites, drones, digital health and advanced medical technologies.
- [Region investment focus] &gt; Data manager judgement &gt; Their investments confirm that they invest in </t>
    </r>
    <r>
      <rPr>
        <rFont val="Poppins"/>
        <b/>
        <color rgb="FF1155CC"/>
        <sz val="7.0"/>
        <u/>
      </rPr>
      <t>North America</t>
    </r>
    <r>
      <rPr>
        <rFont val="Poppins"/>
        <b/>
        <sz val="7.0"/>
      </rPr>
      <t xml:space="preserve">, ex: Meron Capital, Tusk Venture Partners, STARBURT Ventures, etc.
</t>
    </r>
    <r>
      <rPr>
        <rFont val="Poppins"/>
        <sz val="7.0"/>
      </rPr>
      <t xml:space="preserve">- [Maturity Focus = Emerging] &gt; Data manager judgement &gt; They have mentioned on their website that they invest in trusted and exceptional </t>
    </r>
    <r>
      <rPr>
        <rFont val="Poppins"/>
        <b/>
        <sz val="7.0"/>
      </rPr>
      <t>venture capital managers</t>
    </r>
    <r>
      <rPr>
        <rFont val="Poppins"/>
        <sz val="7.0"/>
      </rPr>
      <t xml:space="preserve"> but no mention of emerging managers. </t>
    </r>
    <r>
      <rPr>
        <rFont val="Poppins"/>
        <b/>
        <sz val="7.0"/>
      </rPr>
      <t>#DemandCreation.</t>
    </r>
  </si>
  <si>
    <t>Founder, Chief Executive Officer</t>
  </si>
  <si>
    <t>Artur Kluz</t>
  </si>
  <si>
    <t>Artur</t>
  </si>
  <si>
    <t>Kluz</t>
  </si>
  <si>
    <t>akluz@kluzventures.com</t>
  </si>
  <si>
    <t>https://www.linkedin.com/in/akluz/</t>
  </si>
  <si>
    <t>Taheer Bin Saqib</t>
  </si>
  <si>
    <t>Tarik Pračić</t>
  </si>
  <si>
    <t>LNG Management</t>
  </si>
  <si>
    <t>https://www.lngmgmt.com/fund-investments/</t>
  </si>
  <si>
    <r>
      <rPr>
        <rFont val="Poppins"/>
        <sz val="7.0"/>
      </rPr>
      <t xml:space="preserve">-[Asset Class = Fund VC] &gt; Website &gt; "...LNG invests in private equity, debt, and </t>
    </r>
    <r>
      <rPr>
        <rFont val="Poppins"/>
        <b/>
        <color rgb="FF1155CC"/>
        <sz val="7.0"/>
        <u/>
      </rPr>
      <t>venture capital funds</t>
    </r>
    <r>
      <rPr>
        <rFont val="Poppins"/>
        <sz val="7.0"/>
      </rPr>
      <t xml:space="preserve"> globally...."
-[Region Investment Focus] &gt; Website &gt; "...LNG invests in private equity, debt, and venture capital funds </t>
    </r>
    <r>
      <rPr>
        <rFont val="Poppins"/>
        <b/>
        <color rgb="FF1155CC"/>
        <sz val="7.0"/>
        <u/>
      </rPr>
      <t>globally</t>
    </r>
    <r>
      <rPr>
        <rFont val="Poppins"/>
        <sz val="7.0"/>
      </rPr>
      <t xml:space="preserve">..."
-[Sector Investment Focus] &gt; Data manager judgement &gt; Their portfolio </t>
    </r>
    <r>
      <rPr>
        <rFont val="Poppins"/>
        <b/>
        <sz val="7.0"/>
      </rPr>
      <t>fund invests across multiple sectors</t>
    </r>
    <r>
      <rPr>
        <rFont val="Poppins"/>
        <sz val="7.0"/>
      </rPr>
      <t xml:space="preserve">, including </t>
    </r>
    <r>
      <rPr>
        <rFont val="Poppins"/>
        <b/>
        <sz val="7.0"/>
      </rPr>
      <t>technology</t>
    </r>
    <r>
      <rPr>
        <rFont val="Poppins"/>
        <sz val="7.0"/>
      </rPr>
      <t xml:space="preserve">, </t>
    </r>
    <r>
      <rPr>
        <rFont val="Poppins"/>
        <b/>
        <color rgb="FF1155CC"/>
        <sz val="7.0"/>
        <u/>
      </rPr>
      <t>artificial intelligence</t>
    </r>
    <r>
      <rPr>
        <rFont val="Poppins"/>
        <sz val="7.0"/>
      </rPr>
      <t xml:space="preserve">, healthcare, </t>
    </r>
    <r>
      <rPr>
        <rFont val="Poppins"/>
        <b/>
        <sz val="7.0"/>
      </rPr>
      <t>fintech</t>
    </r>
    <r>
      <rPr>
        <rFont val="Poppins"/>
        <sz val="7.0"/>
      </rPr>
      <t xml:space="preserve">, enterprise software, logistics, proptech, and several others.
- [Maturity Focus = Emerging] &gt; Data manager judgement &gt; They have not publicly disclosed their maturity focus but the rest of the criteria aligns with your IIP. </t>
    </r>
    <r>
      <rPr>
        <rFont val="Poppins"/>
        <b/>
        <sz val="7.0"/>
      </rPr>
      <t>#DemandCreation.</t>
    </r>
  </si>
  <si>
    <t>Kenny Li</t>
  </si>
  <si>
    <t>Kenny</t>
  </si>
  <si>
    <t>Li</t>
  </si>
  <si>
    <t>kenny@lngmgmt.com</t>
  </si>
  <si>
    <t>https://www.linkedin.com/in/kenny-li-cfa-87658416/</t>
  </si>
  <si>
    <t>Accomplice</t>
  </si>
  <si>
    <t>https://accomplice.co/</t>
  </si>
  <si>
    <r>
      <rPr>
        <rFont val="Poppins"/>
        <sz val="7.0"/>
      </rPr>
      <t>-[Asset class = Funds - VC] &gt; Website &gt; "...</t>
    </r>
    <r>
      <rPr>
        <rFont val="Poppins"/>
        <b/>
        <sz val="7.0"/>
      </rPr>
      <t>LPs</t>
    </r>
    <r>
      <rPr>
        <rFont val="Poppins"/>
        <sz val="7.0"/>
      </rPr>
      <t xml:space="preserve"> behind numerous solo </t>
    </r>
    <r>
      <rPr>
        <rFont val="Poppins"/>
        <b/>
        <color rgb="FF1155CC"/>
        <sz val="7.0"/>
        <u/>
      </rPr>
      <t>GP funds</t>
    </r>
    <r>
      <rPr>
        <rFont val="Poppins"/>
        <sz val="7.0"/>
      </rPr>
      <t xml:space="preserve"> including </t>
    </r>
    <r>
      <rPr>
        <rFont val="Poppins"/>
        <b/>
        <sz val="7.0"/>
      </rPr>
      <t>Archetype, Vinyl, Vibe, and Wolfhead</t>
    </r>
    <r>
      <rPr>
        <rFont val="Poppins"/>
        <sz val="7.0"/>
      </rPr>
      <t>..."
-[Sector investment focus] &gt; Data manager judgement &gt; Their investments focus on</t>
    </r>
    <r>
      <rPr>
        <rFont val="Poppins"/>
        <b/>
        <color rgb="FF1155CC"/>
        <sz val="7.0"/>
        <u/>
      </rPr>
      <t xml:space="preserve"> AI, SaaS</t>
    </r>
    <r>
      <rPr>
        <rFont val="Poppins"/>
        <sz val="7.0"/>
      </rPr>
      <t xml:space="preserve">, etc (Archetype, Vinyl).
-[Region investment focus] &gt; Data manager judgement &gt; Their investments are based in the </t>
    </r>
    <r>
      <rPr>
        <rFont val="Poppins"/>
        <b/>
        <color rgb="FF1155CC"/>
        <sz val="7.0"/>
        <u/>
      </rPr>
      <t>United States</t>
    </r>
    <r>
      <rPr>
        <rFont val="Poppins"/>
        <sz val="7.0"/>
      </rPr>
      <t xml:space="preserve"> (Archetype, Vinyl).
- [Maturity Focus = Emerging] &gt; Data manager judgement &gt; They have invested in </t>
    </r>
    <r>
      <rPr>
        <rFont val="Poppins"/>
        <b/>
        <sz val="7.0"/>
      </rPr>
      <t>Vibe Capital</t>
    </r>
    <r>
      <rPr>
        <rFont val="Poppins"/>
        <sz val="7.0"/>
      </rPr>
      <t xml:space="preserve">, which has </t>
    </r>
    <r>
      <rPr>
        <rFont val="Poppins"/>
        <b/>
        <sz val="7.0"/>
      </rPr>
      <t>Funds I &amp; II</t>
    </r>
    <r>
      <rPr>
        <rFont val="Poppins"/>
        <sz val="7.0"/>
      </rPr>
      <t xml:space="preserve">. This confirms they invest in </t>
    </r>
    <r>
      <rPr>
        <rFont val="Poppins"/>
        <b/>
        <color rgb="FF1155CC"/>
        <sz val="7.0"/>
        <u/>
      </rPr>
      <t>emerging managers</t>
    </r>
    <r>
      <rPr>
        <rFont val="Poppins"/>
        <sz val="7.0"/>
      </rPr>
      <t>.</t>
    </r>
  </si>
  <si>
    <t>Partner</t>
  </si>
  <si>
    <t>Chris Y.</t>
  </si>
  <si>
    <t>chris@accomplice.co</t>
  </si>
  <si>
    <t>https://www.linkedin.com/in/ceyinboston/</t>
  </si>
  <si>
    <t>Firstlane Capital</t>
  </si>
  <si>
    <t>https://www.firstlanecapital.com/#strategy</t>
  </si>
  <si>
    <r>
      <rPr>
        <rFont val="Poppins"/>
        <sz val="7.0"/>
      </rPr>
      <t>- [Asset Class = Funds - VC] &gt; Website &gt; "...Firstlane Capital partners across all asset classes, with a special emphasis on</t>
    </r>
    <r>
      <rPr>
        <rFont val="Poppins"/>
        <b/>
        <color rgb="FF1155CC"/>
        <sz val="7.0"/>
        <u/>
      </rPr>
      <t xml:space="preserve"> venture capital</t>
    </r>
    <r>
      <rPr>
        <rFont val="Poppins"/>
        <sz val="7.0"/>
      </rPr>
      <t xml:space="preserve"> at the core of our strategy. Whether backing </t>
    </r>
    <r>
      <rPr>
        <rFont val="Poppins"/>
        <b/>
        <sz val="7.0"/>
      </rPr>
      <t>funds</t>
    </r>
    <r>
      <rPr>
        <rFont val="Poppins"/>
        <sz val="7.0"/>
      </rPr>
      <t xml:space="preserve"> or investing directly in startups..."
- [Sector investment focus] &gt; Data manager judgement &gt; Their portfolio consists of funds which focus on </t>
    </r>
    <r>
      <rPr>
        <rFont val="Poppins"/>
        <b/>
        <color rgb="FF1155CC"/>
        <sz val="7.0"/>
        <u/>
      </rPr>
      <t>AI, technology</t>
    </r>
    <r>
      <rPr>
        <rFont val="Poppins"/>
        <sz val="7.0"/>
      </rPr>
      <t xml:space="preserve"> (</t>
    </r>
    <r>
      <rPr>
        <rFont val="Poppins"/>
        <b/>
        <sz val="7.0"/>
      </rPr>
      <t>pactos, antler</t>
    </r>
    <r>
      <rPr>
        <rFont val="Poppins"/>
        <sz val="7.0"/>
      </rPr>
      <t xml:space="preserve">).
- [Region investment focus] &gt; Data manager judgement &gt; Their investments are based in </t>
    </r>
    <r>
      <rPr>
        <rFont val="Poppins"/>
        <b/>
        <sz val="7.0"/>
      </rPr>
      <t>Europe</t>
    </r>
    <r>
      <rPr>
        <rFont val="Poppins"/>
        <sz val="7.0"/>
      </rPr>
      <t xml:space="preserve"> and </t>
    </r>
    <r>
      <rPr>
        <rFont val="Poppins"/>
        <b/>
        <color rgb="FF1155CC"/>
        <sz val="7.0"/>
        <u/>
      </rPr>
      <t>North America</t>
    </r>
    <r>
      <rPr>
        <rFont val="Poppins"/>
        <sz val="7.0"/>
      </rPr>
      <t xml:space="preserve"> (</t>
    </r>
    <r>
      <rPr>
        <rFont val="Poppins"/>
        <b/>
        <sz val="7.0"/>
      </rPr>
      <t>Spark Capital, Extantia</t>
    </r>
    <r>
      <rPr>
        <rFont val="Poppins"/>
        <sz val="7.0"/>
      </rPr>
      <t xml:space="preserve">).
- [Maturity Focus = Emerging] &gt; Data manager judgement &gt; They have not publicly disclosed their maturity focus but the rest of the criteria aligns with your IIP. </t>
    </r>
    <r>
      <rPr>
        <rFont val="Poppins"/>
        <b/>
        <sz val="7.0"/>
      </rPr>
      <t>#DemandCreation.</t>
    </r>
  </si>
  <si>
    <t>i dont see any emerging managers. are we sure they back emerging managers?</t>
  </si>
  <si>
    <t>Millennia Capital</t>
  </si>
  <si>
    <t>https://millenniallp.com/</t>
  </si>
  <si>
    <r>
      <rPr>
        <rFont val="Poppins"/>
        <sz val="7.0"/>
      </rPr>
      <t xml:space="preserve">- [Asset class = Funds - VC] &gt; Website &gt; "...Millennia invests through both discretionary </t>
    </r>
    <r>
      <rPr>
        <rFont val="Poppins"/>
        <b/>
        <color rgb="FF1155CC"/>
        <sz val="7.0"/>
        <u/>
      </rPr>
      <t xml:space="preserve">funds </t>
    </r>
    <r>
      <rPr>
        <rFont val="Poppins"/>
        <sz val="7.0"/>
      </rPr>
      <t xml:space="preserve">and other managed funds, leveraging its relationships and expertise in primary investments, </t>
    </r>
    <r>
      <rPr>
        <rFont val="Poppins"/>
        <b/>
        <sz val="7.0"/>
      </rPr>
      <t>LP</t>
    </r>
    <r>
      <rPr>
        <rFont val="Poppins"/>
        <sz val="7.0"/>
      </rPr>
      <t xml:space="preserve">- and </t>
    </r>
    <r>
      <rPr>
        <rFont val="Poppins"/>
        <b/>
        <sz val="7.0"/>
      </rPr>
      <t>GP</t>
    </r>
    <r>
      <rPr>
        <rFont val="Poppins"/>
        <sz val="7.0"/>
      </rPr>
      <t xml:space="preserve">-led secondaries..."
- [Sector investment focus] &gt; Data manager judgement &gt; Their portfolio consists of investments which focus on </t>
    </r>
    <r>
      <rPr>
        <rFont val="Poppins"/>
        <b/>
        <sz val="7.0"/>
      </rPr>
      <t>defense tech</t>
    </r>
    <r>
      <rPr>
        <rFont val="Poppins"/>
        <sz val="7.0"/>
      </rPr>
      <t xml:space="preserve">, </t>
    </r>
    <r>
      <rPr>
        <rFont val="Poppins"/>
        <b/>
        <sz val="7.0"/>
      </rPr>
      <t>technology</t>
    </r>
    <r>
      <rPr>
        <rFont val="Poppins"/>
        <sz val="7.0"/>
      </rPr>
      <t xml:space="preserve">, </t>
    </r>
    <r>
      <rPr>
        <rFont val="Poppins"/>
        <b/>
        <color rgb="FF1155CC"/>
        <sz val="7.0"/>
        <u/>
      </rPr>
      <t>ai</t>
    </r>
    <r>
      <rPr>
        <rFont val="Poppins"/>
        <b/>
        <sz val="7.0"/>
      </rPr>
      <t xml:space="preserve"> </t>
    </r>
    <r>
      <rPr>
        <rFont val="Poppins"/>
        <sz val="7.0"/>
      </rPr>
      <t xml:space="preserve">(stability ai, spacex).
- [Region investment focus] &gt; Data manager judgement &gt; Their portfolio consists of investments which are based in </t>
    </r>
    <r>
      <rPr>
        <rFont val="Poppins"/>
        <b/>
        <color rgb="FF1155CC"/>
        <sz val="7.0"/>
        <u/>
      </rPr>
      <t>North America</t>
    </r>
    <r>
      <rPr>
        <rFont val="Poppins"/>
        <sz val="7.0"/>
      </rPr>
      <t xml:space="preserve"> (stability ai, spaceX).
- [Maturity Focus = Emerging] &gt; Data manager judgement &gt; They have not publicly disclosed their maturity focus but the rest of the criteria aligns with your IIP. </t>
    </r>
    <r>
      <rPr>
        <rFont val="Poppins"/>
        <b/>
        <sz val="7.0"/>
      </rPr>
      <t>#DemandCreation.</t>
    </r>
  </si>
  <si>
    <t>they dont seem to invest in emerging managers</t>
  </si>
  <si>
    <t>Replaced</t>
  </si>
  <si>
    <t>Edgewood</t>
  </si>
  <si>
    <t>https://www.edgewoodvp.com/</t>
  </si>
  <si>
    <r>
      <rPr>
        <rFont val="Poppins"/>
        <sz val="7.0"/>
      </rPr>
      <t xml:space="preserve">- [Asset Class = Funds - VC] &gt; Website &gt; "...We are </t>
    </r>
    <r>
      <rPr>
        <rFont val="Poppins"/>
        <b/>
        <sz val="7.0"/>
      </rPr>
      <t>LPs</t>
    </r>
    <r>
      <rPr>
        <rFont val="Poppins"/>
        <sz val="7.0"/>
      </rPr>
      <t xml:space="preserve"> in many </t>
    </r>
    <r>
      <rPr>
        <rFont val="Poppins"/>
        <b/>
        <color rgb="FF1155CC"/>
        <sz val="7.0"/>
        <u/>
      </rPr>
      <t>venture funds</t>
    </r>
    <r>
      <rPr>
        <rFont val="Poppins"/>
        <sz val="7.0"/>
      </rPr>
      <t xml:space="preserve">..."
- [Sector investment focus] &gt; Data manager judgement &gt; His investments focus on </t>
    </r>
    <r>
      <rPr>
        <rFont val="Poppins"/>
        <b/>
        <color rgb="FF1155CC"/>
        <sz val="7.0"/>
        <u/>
      </rPr>
      <t>AI</t>
    </r>
    <r>
      <rPr>
        <rFont val="Poppins"/>
        <sz val="7.0"/>
      </rPr>
      <t xml:space="preserve">, Health Tech, ex: </t>
    </r>
    <r>
      <rPr>
        <rFont val="Poppins"/>
        <b/>
        <sz val="7.0"/>
      </rPr>
      <t>8VC, Sequoia, etc.</t>
    </r>
    <r>
      <rPr>
        <rFont val="Poppins"/>
        <sz val="7.0"/>
      </rPr>
      <t xml:space="preserve">
- [Region investment focus] &gt; Data manager judgement &gt; His investments are based in</t>
    </r>
    <r>
      <rPr>
        <rFont val="Poppins"/>
        <color rgb="FF1155CC"/>
        <sz val="7.0"/>
        <u/>
      </rPr>
      <t xml:space="preserve"> </t>
    </r>
    <r>
      <rPr>
        <rFont val="Poppins"/>
        <b/>
        <color rgb="FF1155CC"/>
        <sz val="7.0"/>
        <u/>
      </rPr>
      <t>North America</t>
    </r>
    <r>
      <rPr>
        <rFont val="Poppins"/>
        <sz val="7.0"/>
      </rPr>
      <t xml:space="preserve">, ex: </t>
    </r>
    <r>
      <rPr>
        <rFont val="Poppins"/>
        <b/>
        <sz val="7.0"/>
      </rPr>
      <t>8VC, Sequoia, etc</t>
    </r>
    <r>
      <rPr>
        <rFont val="Poppins"/>
        <sz val="7.0"/>
      </rPr>
      <t xml:space="preserve">.
- [Maturity Focus = Emerging] &gt; Data manager judgement &gt; They have made investments in </t>
    </r>
    <r>
      <rPr>
        <rFont val="Poppins"/>
        <b/>
        <sz val="7.0"/>
      </rPr>
      <t>Funds I and Funds II</t>
    </r>
    <r>
      <rPr>
        <rFont val="Poppins"/>
        <sz val="7.0"/>
      </rPr>
      <t xml:space="preserve">, ex: 8VC, Marcy Venture Partners. This confirms that they invest in </t>
    </r>
    <r>
      <rPr>
        <rFont val="Poppins"/>
        <b/>
        <color rgb="FF1155CC"/>
        <sz val="7.0"/>
        <u/>
      </rPr>
      <t>emerging managers</t>
    </r>
    <r>
      <rPr>
        <rFont val="Poppins"/>
        <b/>
        <sz val="7.0"/>
      </rPr>
      <t>.</t>
    </r>
  </si>
  <si>
    <t>Insight Family Office</t>
  </si>
  <si>
    <t>https://www.insightfamilyoffice.com/</t>
  </si>
  <si>
    <r>
      <rPr>
        <rFont val="Poppins"/>
        <sz val="7.0"/>
      </rPr>
      <t xml:space="preserve">- [Asset class = Funds-VC] &gt; Website &gt; ''...Insight Family Office is a private investment management company investing in PE and </t>
    </r>
    <r>
      <rPr>
        <rFont val="Poppins"/>
        <b/>
        <color rgb="FF1155CC"/>
        <sz val="7.0"/>
        <u/>
      </rPr>
      <t>VC secondaries</t>
    </r>
    <r>
      <rPr>
        <rFont val="Poppins"/>
        <sz val="7.0"/>
      </rPr>
      <t xml:space="preserve">....''
- [Sector Investment Focus ] &gt; News Article &gt; 'Venture Capital 10% - investment in top tier VC or select directs in </t>
    </r>
    <r>
      <rPr>
        <rFont val="Poppins"/>
        <b/>
        <color rgb="FF1155CC"/>
        <sz val="7.0"/>
        <u/>
      </rPr>
      <t>Artificial Intelligence</t>
    </r>
    <r>
      <rPr>
        <rFont val="Poppins"/>
        <sz val="7.0"/>
      </rPr>
      <t xml:space="preserve">, blockchain, biotechnology
- [Region Investment Focus ] &gt; News Article &gt; 'Geography - </t>
    </r>
    <r>
      <rPr>
        <rFont val="Poppins"/>
        <b/>
        <color rgb="FF1155CC"/>
        <sz val="7.0"/>
        <u/>
      </rPr>
      <t>North America</t>
    </r>
    <r>
      <rPr>
        <rFont val="Poppins"/>
        <sz val="7.0"/>
      </rPr>
      <t xml:space="preserve">, Europe.
- [Maturity Focus = Emerging] &gt; Data manager judgement &gt; They have not publicly disclosed their maturity focus but the rest of the criteria aligns with your IIP. </t>
    </r>
    <r>
      <rPr>
        <rFont val="Poppins"/>
        <b/>
        <sz val="7.0"/>
      </rPr>
      <t>#DemandCreation.</t>
    </r>
  </si>
  <si>
    <t>VC secondaries per website only</t>
  </si>
  <si>
    <t>Pooled Capital Investments</t>
  </si>
  <si>
    <t>https://pooledcapital.com/</t>
  </si>
  <si>
    <r>
      <rPr>
        <rFont val="Poppins"/>
        <sz val="7.0"/>
      </rPr>
      <t xml:space="preserve">- [Asset Class = Funds-VC] &gt; Website &gt; "...We act as a passive investor and </t>
    </r>
    <r>
      <rPr>
        <rFont val="Poppins"/>
        <b/>
        <color rgb="FF1155CC"/>
        <sz val="7.0"/>
        <u/>
      </rPr>
      <t>invest in Venture Capital</t>
    </r>
    <r>
      <rPr>
        <rFont val="Poppins"/>
        <sz val="7.0"/>
      </rPr>
      <t xml:space="preserve"> and Private Equity </t>
    </r>
    <r>
      <rPr>
        <rFont val="Poppins"/>
        <b/>
        <sz val="7.0"/>
      </rPr>
      <t>funds</t>
    </r>
    <r>
      <rPr>
        <rFont val="Poppins"/>
        <sz val="7.0"/>
      </rPr>
      <t xml:space="preserve"> in Europe, US and Asia..."
- [Region Investment Focus] &gt; Website &gt; "...We act as a passive investor and invest in Venture Capital and Private Equity funds in Europe, </t>
    </r>
    <r>
      <rPr>
        <rFont val="Poppins"/>
        <b/>
        <color rgb="FF1155CC"/>
        <sz val="7.0"/>
        <u/>
      </rPr>
      <t>US</t>
    </r>
    <r>
      <rPr>
        <rFont val="Poppins"/>
        <b/>
        <sz val="7.0"/>
      </rPr>
      <t xml:space="preserve"> </t>
    </r>
    <r>
      <rPr>
        <rFont val="Poppins"/>
        <sz val="7.0"/>
      </rPr>
      <t xml:space="preserve">and </t>
    </r>
    <r>
      <rPr>
        <rFont val="Poppins"/>
        <b/>
        <sz val="7.0"/>
      </rPr>
      <t>Asia</t>
    </r>
    <r>
      <rPr>
        <rFont val="Poppins"/>
        <sz val="7.0"/>
      </rPr>
      <t xml:space="preserve">..."
- [Sector Investment Focus] &gt; Data Manager Judgement &gt; Their website confirms investments across </t>
    </r>
    <r>
      <rPr>
        <rFont val="Poppins"/>
        <b/>
        <sz val="7.0"/>
      </rPr>
      <t>fintech</t>
    </r>
    <r>
      <rPr>
        <rFont val="Poppins"/>
        <sz val="7.0"/>
      </rPr>
      <t xml:space="preserve">, healthtech, blockchain, </t>
    </r>
    <r>
      <rPr>
        <rFont val="Poppins"/>
        <b/>
        <sz val="7.0"/>
      </rPr>
      <t>deep tech</t>
    </r>
    <r>
      <rPr>
        <rFont val="Poppins"/>
        <sz val="7.0"/>
      </rPr>
      <t xml:space="preserve">, and </t>
    </r>
    <r>
      <rPr>
        <rFont val="Poppins"/>
        <b/>
        <color rgb="FF1155CC"/>
        <sz val="7.0"/>
        <u/>
      </rPr>
      <t>artificial intelligence</t>
    </r>
    <r>
      <rPr>
        <rFont val="Poppins"/>
        <sz val="7.0"/>
      </rPr>
      <t xml:space="preserve">.
- [Maturity Focus = Emerging] &gt; Data manager judgement &gt; They have not publicly disclosed their maturity focus but the rest of the criteria aligns with your IIP. </t>
    </r>
    <r>
      <rPr>
        <rFont val="Poppins"/>
        <b/>
        <sz val="7.0"/>
      </rPr>
      <t>#DemandCreation.</t>
    </r>
  </si>
  <si>
    <t>Joep Uijttewaal</t>
  </si>
  <si>
    <t>Joep</t>
  </si>
  <si>
    <t>Uijttewaal</t>
  </si>
  <si>
    <t>joep@eastboundequity.com</t>
  </si>
  <si>
    <t>https://www.linkedin.com/in/joep-uijttewaal-0879a6a4/</t>
  </si>
  <si>
    <t>ODDO BHF</t>
  </si>
  <si>
    <t>https://am.oddo-bhf.com/uk/en/professional_investor/fundspage</t>
  </si>
  <si>
    <r>
      <rPr>
        <rFont val="Poppins"/>
        <sz val="7.0"/>
      </rPr>
      <t>- [Asset class = Funds-VC] &gt; Website &gt; "...ODDO BHF has announced the launch of</t>
    </r>
    <r>
      <rPr>
        <rFont val="Poppins"/>
        <b/>
        <color rgb="FF1155CC"/>
        <sz val="7.0"/>
        <u/>
      </rPr>
      <t xml:space="preserve"> ODDO BHF Venture Capital Fund</t>
    </r>
    <r>
      <rPr>
        <rFont val="Poppins"/>
        <sz val="7.0"/>
      </rPr>
      <t xml:space="preserve">..." + "...the fund aims to build a diversified portfolio consisting of stakes in </t>
    </r>
    <r>
      <rPr>
        <rFont val="Poppins"/>
        <b/>
        <color rgb="FF1155CC"/>
        <sz val="7.0"/>
        <u/>
      </rPr>
      <t>Venture Capital funds</t>
    </r>
    <r>
      <rPr>
        <rFont val="Poppins"/>
        <sz val="7.0"/>
      </rPr>
      <t xml:space="preserve"> and in non-listed technology and innovative companies..."
- [Sector investment focus] &gt; Website &gt; "...range of innovative themes such as </t>
    </r>
    <r>
      <rPr>
        <rFont val="Poppins"/>
        <b/>
        <color rgb="FF1155CC"/>
        <sz val="7.0"/>
        <u/>
      </rPr>
      <t>artificial intelligence</t>
    </r>
    <r>
      <rPr>
        <rFont val="Poppins"/>
        <sz val="7.0"/>
      </rPr>
      <t xml:space="preserve">, cybersecurity, medical technology and robotics..."
- [Region investment focus] &gt; Website &gt; "...innovative companies in the world’s largest markets, i.e. the </t>
    </r>
    <r>
      <rPr>
        <rFont val="Poppins"/>
        <b/>
        <color rgb="FF1155CC"/>
        <sz val="7.0"/>
        <u/>
      </rPr>
      <t>United States</t>
    </r>
    <r>
      <rPr>
        <rFont val="Poppins"/>
        <sz val="7.0"/>
      </rPr>
      <t xml:space="preserve">, Europe and </t>
    </r>
    <r>
      <rPr>
        <rFont val="Poppins"/>
        <b/>
        <sz val="7.0"/>
      </rPr>
      <t>Asia</t>
    </r>
    <r>
      <rPr>
        <rFont val="Poppins"/>
        <sz val="7.0"/>
      </rPr>
      <t xml:space="preserve">..."
- [Maturity Focus = Emerging] &gt; Data manager judgement &gt; They have not publicly disclosed their maturity focus but the rest of the criteria aligns with your IIP. </t>
    </r>
    <r>
      <rPr>
        <rFont val="Poppins"/>
        <b/>
        <sz val="7.0"/>
      </rPr>
      <t>#DemandCreation.</t>
    </r>
  </si>
  <si>
    <t>No emerging VC</t>
  </si>
  <si>
    <t>Firlej Kastory</t>
  </si>
  <si>
    <t>https://firlejkastory.com/</t>
  </si>
  <si>
    <t>Poland</t>
  </si>
  <si>
    <r>
      <rPr>
        <rFont val="Poppins"/>
        <sz val="7.0"/>
      </rPr>
      <t xml:space="preserve">- [Asset class = Funds-VC] &gt; Website &gt; "...Firlej Kastory is a family investment partnership devoted to managing and growing long-term capital. Today it predominantly invests in other </t>
    </r>
    <r>
      <rPr>
        <rFont val="Poppins"/>
        <b/>
        <color rgb="FF1155CC"/>
        <sz val="7.0"/>
        <u/>
      </rPr>
      <t>venture capital funds</t>
    </r>
    <r>
      <rPr>
        <rFont val="Poppins"/>
        <sz val="7.0"/>
      </rPr>
      <t xml:space="preserve">..."
- [Sector investment focus] &gt; Website &gt; "...I am interested in near and long-term </t>
    </r>
    <r>
      <rPr>
        <rFont val="Poppins"/>
        <b/>
        <color rgb="FF1155CC"/>
        <sz val="7.0"/>
        <u/>
      </rPr>
      <t>AI</t>
    </r>
    <r>
      <rPr>
        <rFont val="Poppins"/>
        <sz val="7.0"/>
      </rPr>
      <t xml:space="preserve"> safety and </t>
    </r>
    <r>
      <rPr>
        <rFont val="Poppins"/>
        <b/>
        <sz val="7.0"/>
      </rPr>
      <t>security</t>
    </r>
    <r>
      <rPr>
        <rFont val="Poppins"/>
        <sz val="7.0"/>
      </rPr>
      <t xml:space="preserve">, data privacy, the application of </t>
    </r>
    <r>
      <rPr>
        <rFont val="Poppins"/>
        <b/>
        <sz val="7.0"/>
      </rPr>
      <t>AI</t>
    </r>
    <r>
      <rPr>
        <rFont val="Poppins"/>
        <sz val="7.0"/>
      </rPr>
      <t xml:space="preserve"> and autonomy in the </t>
    </r>
    <r>
      <rPr>
        <rFont val="Poppins"/>
        <b/>
        <sz val="7.0"/>
      </rPr>
      <t>defense sector</t>
    </r>
    <r>
      <rPr>
        <rFont val="Poppins"/>
        <sz val="7.0"/>
      </rPr>
      <t xml:space="preserve">..."
- [Region investment focus] &gt; Website &gt; "...Today it predominantly invests in other venture capital funds </t>
    </r>
    <r>
      <rPr>
        <rFont val="Poppins"/>
        <b/>
        <color rgb="FF1155CC"/>
        <sz val="7.0"/>
        <u/>
      </rPr>
      <t>globally</t>
    </r>
    <r>
      <rPr>
        <rFont val="Poppins"/>
        <sz val="7.0"/>
      </rPr>
      <t xml:space="preserve">..."
- [Maturity Focus = Emerging] &gt; Data manager judgement &gt; They have not publicly disclosed their maturity focus but the rest of the criteria aligns with your IIP. </t>
    </r>
    <r>
      <rPr>
        <rFont val="Poppins"/>
        <b/>
        <sz val="7.0"/>
      </rPr>
      <t>#DemandCreation.</t>
    </r>
  </si>
  <si>
    <t>Co-Founder</t>
  </si>
  <si>
    <t>Stanislaw Kastory</t>
  </si>
  <si>
    <t>Stanislaw</t>
  </si>
  <si>
    <t>Kastory</t>
  </si>
  <si>
    <t>stanislaw.kastory@firlejkastory.com</t>
  </si>
  <si>
    <t>https://pl.linkedin.com/in/stanislaw-kastory-b9458250?trk=org-employees</t>
  </si>
  <si>
    <t>Fifth Era</t>
  </si>
  <si>
    <t>https://www.fifthera.com/</t>
  </si>
  <si>
    <r>
      <rPr>
        <rFont val="Poppins"/>
        <sz val="7.0"/>
      </rPr>
      <t xml:space="preserve">- [Asset class = Funds-VC] &gt; Website &gt; "...specializes in investment strategies which construct portfolios of hard-to-access </t>
    </r>
    <r>
      <rPr>
        <rFont val="Poppins"/>
        <b/>
        <color rgb="FF1155CC"/>
        <sz val="7.0"/>
        <u/>
      </rPr>
      <t>funds</t>
    </r>
    <r>
      <rPr>
        <rFont val="Poppins"/>
        <sz val="7.0"/>
      </rPr>
      <t xml:space="preserve"> and direct investments..." + "...Invest in pure-play AI </t>
    </r>
    <r>
      <rPr>
        <rFont val="Poppins"/>
        <b/>
        <color rgb="FF1155CC"/>
        <sz val="7.0"/>
        <u/>
      </rPr>
      <t>VCs</t>
    </r>
    <r>
      <rPr>
        <rFont val="Poppins"/>
        <sz val="7.0"/>
      </rPr>
      <t xml:space="preserve">..."
- [Sector investment focus] &gt; Website &gt; "...A single investment accesses global, diversified exposure to leading early stage </t>
    </r>
    <r>
      <rPr>
        <rFont val="Poppins"/>
        <b/>
        <color rgb="FF1155CC"/>
        <sz val="7.0"/>
        <u/>
      </rPr>
      <t xml:space="preserve">AI </t>
    </r>
    <r>
      <rPr>
        <rFont val="Poppins"/>
        <sz val="7.0"/>
      </rPr>
      <t xml:space="preserve">venture investments on an institutional platform..."
- [Region investment focus] &gt; Website &gt; "...funds in the </t>
    </r>
    <r>
      <rPr>
        <rFont val="Poppins"/>
        <b/>
        <color rgb="FF1155CC"/>
        <sz val="7.0"/>
        <u/>
      </rPr>
      <t>Americas</t>
    </r>
    <r>
      <rPr>
        <rFont val="Poppins"/>
        <sz val="7.0"/>
      </rPr>
      <t xml:space="preserve">, </t>
    </r>
    <r>
      <rPr>
        <rFont val="Poppins"/>
        <b/>
        <sz val="7.0"/>
      </rPr>
      <t>Asia</t>
    </r>
    <r>
      <rPr>
        <rFont val="Poppins"/>
        <sz val="7.0"/>
      </rPr>
      <t xml:space="preserve">, and Europe..."
- [Maturity Focus = Emerging] &gt; Data manager judgement &gt; They have not publicly disclosed their maturity focus but the rest of the criteria aligns with your IIP. </t>
    </r>
    <r>
      <rPr>
        <rFont val="Poppins"/>
        <b/>
        <sz val="7.0"/>
      </rPr>
      <t>#DemandCreation.</t>
    </r>
  </si>
  <si>
    <t>Matthew Le Merle</t>
  </si>
  <si>
    <t>mlemerle@fifthera.com</t>
  </si>
  <si>
    <t>https://www.linkedin.com/in/matthewlemerle/</t>
  </si>
  <si>
    <t>Lunate</t>
  </si>
  <si>
    <t>https://lunate.com/</t>
  </si>
  <si>
    <r>
      <rPr>
        <rFont val="Poppins"/>
        <sz val="7.0"/>
      </rPr>
      <t xml:space="preserve">- [Asset class = Funds-VC] &gt; Website &gt; "...We select </t>
    </r>
    <r>
      <rPr>
        <rFont val="Poppins"/>
        <b/>
        <sz val="7.0"/>
      </rPr>
      <t>managers</t>
    </r>
    <r>
      <rPr>
        <rFont val="Poppins"/>
        <sz val="7.0"/>
      </rPr>
      <t xml:space="preserve"> with proven track records in specific </t>
    </r>
    <r>
      <rPr>
        <rFont val="Poppins"/>
        <b/>
        <color rgb="FF1155CC"/>
        <sz val="7.0"/>
        <u/>
      </rPr>
      <t>asset classes</t>
    </r>
    <r>
      <rPr>
        <rFont val="Poppins"/>
        <sz val="7.0"/>
      </rPr>
      <t>, sector..." + "...Through our</t>
    </r>
    <r>
      <rPr>
        <rFont val="Poppins"/>
        <b/>
        <color rgb="FF1155CC"/>
        <sz val="7.0"/>
        <u/>
      </rPr>
      <t xml:space="preserve"> LP investment</t>
    </r>
    <r>
      <rPr>
        <rFont val="Poppins"/>
        <sz val="7.0"/>
      </rPr>
      <t xml:space="preserve"> experience, deep global relationships and rigorous manager..." + "...Through </t>
    </r>
    <r>
      <rPr>
        <rFont val="Poppins"/>
        <b/>
        <color rgb="FF1155CC"/>
        <sz val="7.0"/>
        <u/>
      </rPr>
      <t>Venture Capital</t>
    </r>
    <r>
      <rPr>
        <rFont val="Poppins"/>
        <sz val="7.0"/>
      </rPr>
      <t xml:space="preserve"> investments..."
- [Sector investment focus] &gt; Website &gt; "...We focus on </t>
    </r>
    <r>
      <rPr>
        <rFont val="Poppins"/>
        <b/>
        <color rgb="FF1155CC"/>
        <sz val="7.0"/>
        <u/>
      </rPr>
      <t>tech-enabled sectors</t>
    </r>
    <r>
      <rPr>
        <rFont val="Poppins"/>
        <sz val="7.0"/>
      </rPr>
      <t xml:space="preserve">..." + "...Lunate launches new </t>
    </r>
    <r>
      <rPr>
        <rFont val="Poppins"/>
        <b/>
        <color rgb="FF1155CC"/>
        <sz val="7.0"/>
        <u/>
      </rPr>
      <t>AI</t>
    </r>
    <r>
      <rPr>
        <rFont val="Poppins"/>
        <sz val="7.0"/>
      </rPr>
      <t xml:space="preserve"> Data, Power &amp; Infrastructure ETF..."
- [Region investment focus] &gt; Website &gt; "...</t>
    </r>
    <r>
      <rPr>
        <rFont val="Poppins"/>
        <b/>
        <color rgb="FF1155CC"/>
        <sz val="7.0"/>
        <u/>
      </rPr>
      <t>Global</t>
    </r>
    <r>
      <rPr>
        <rFont val="Poppins"/>
        <sz val="7.0"/>
      </rPr>
      <t xml:space="preserve">, diversified portfolio of multi-asset class private funds..." 
- [Maturity Focus = Emerging] &gt; Data manager judgement &gt; They have not publicly disclosed their maturity focus but the rest of the criteria aligns with your IIP. </t>
    </r>
    <r>
      <rPr>
        <rFont val="Poppins"/>
        <b/>
        <sz val="7.0"/>
      </rPr>
      <t>#DemandCreation.</t>
    </r>
  </si>
  <si>
    <t>Partner - Director of Investment Operations</t>
  </si>
  <si>
    <t>Mridul Ashok</t>
  </si>
  <si>
    <t>Mridul</t>
  </si>
  <si>
    <t>Ashok</t>
  </si>
  <si>
    <t>mashok@lunate.com</t>
  </si>
  <si>
    <t>https://www.linkedin.com/in/mridul-ashok-266b1b12/</t>
  </si>
  <si>
    <t>Alajlan Family Office</t>
  </si>
  <si>
    <t>https://alajlanfamilyoffice.com/</t>
  </si>
  <si>
    <t>Portfolio, Data manager judgement</t>
  </si>
  <si>
    <r>
      <rPr>
        <rFont val="Poppins"/>
        <sz val="7.0"/>
      </rPr>
      <t xml:space="preserve">- [Asset class = Funds-VC] &gt; Portfolio &gt; Their portfolio confirms it consists of </t>
    </r>
    <r>
      <rPr>
        <rFont val="Poppins"/>
        <b/>
        <color rgb="FF1155CC"/>
        <sz val="7.0"/>
        <u/>
      </rPr>
      <t>VC Funds</t>
    </r>
    <r>
      <rPr>
        <rFont val="Poppins"/>
        <sz val="7.0"/>
      </rPr>
      <t xml:space="preserve"> (Antler, VentureSouq, etc).
- [Sector investment focus] &gt; Data manager judgement &gt; Their investments focus on </t>
    </r>
    <r>
      <rPr>
        <rFont val="Poppins"/>
        <b/>
        <color rgb="FF1155CC"/>
        <sz val="7.0"/>
        <u/>
      </rPr>
      <t>AI, SaaS, Fintech, Health Tech</t>
    </r>
    <r>
      <rPr>
        <rFont val="Poppins"/>
        <sz val="7.0"/>
      </rPr>
      <t xml:space="preserve"> (</t>
    </r>
    <r>
      <rPr>
        <rFont val="Poppins"/>
        <b/>
        <sz val="7.0"/>
      </rPr>
      <t>Olive Tree Capital, Preface Ventures</t>
    </r>
    <r>
      <rPr>
        <rFont val="Poppins"/>
        <sz val="7.0"/>
      </rPr>
      <t xml:space="preserve">).
- [Region investment focus] &gt; Data manager judgement &gt; Their investments are based in the </t>
    </r>
    <r>
      <rPr>
        <rFont val="Poppins"/>
        <b/>
        <color rgb="FF1155CC"/>
        <sz val="7.0"/>
        <u/>
      </rPr>
      <t>United States</t>
    </r>
    <r>
      <rPr>
        <rFont val="Poppins"/>
        <sz val="7.0"/>
      </rPr>
      <t xml:space="preserve"> (</t>
    </r>
    <r>
      <rPr>
        <rFont val="Poppins"/>
        <b/>
        <sz val="7.0"/>
      </rPr>
      <t>Olive Tree Capital, Preface Ventures</t>
    </r>
    <r>
      <rPr>
        <rFont val="Poppins"/>
        <sz val="7.0"/>
      </rPr>
      <t xml:space="preserve">).
- [Maturity Focus = Emerging] &gt; Data manager judgement &gt; They have not publicly disclosed their maturity focus but the rest of the criteria aligns with your IIP. </t>
    </r>
    <r>
      <rPr>
        <rFont val="Poppins"/>
        <b/>
        <sz val="7.0"/>
      </rPr>
      <t>#DemandCreation.</t>
    </r>
  </si>
  <si>
    <t>Ziyad Alajlan</t>
  </si>
  <si>
    <t>alajlan.za@hotmail.com
z.alajlan@toyou.io</t>
  </si>
  <si>
    <t>https://www.linkedin.com/in/alajlanza/</t>
  </si>
  <si>
    <t>Param Hansa Values</t>
  </si>
  <si>
    <t>https://www.phvalues.org/</t>
  </si>
  <si>
    <r>
      <rPr>
        <rFont val="Poppins"/>
        <sz val="7.0"/>
      </rPr>
      <t xml:space="preserve">- [Asset class = Funds-VC] &gt; Website &gt; "...Our approach combines direct investments in public and private companies with indirect capital allocations to </t>
    </r>
    <r>
      <rPr>
        <rFont val="Poppins"/>
        <b/>
        <sz val="7.0"/>
      </rPr>
      <t>funds</t>
    </r>
    <r>
      <rPr>
        <rFont val="Poppins"/>
        <sz val="7.0"/>
      </rPr>
      <t>,</t>
    </r>
    <r>
      <rPr>
        <rFont val="Poppins"/>
        <b/>
        <color rgb="FF1155CC"/>
        <sz val="7.0"/>
        <u/>
      </rPr>
      <t xml:space="preserve"> venture capital</t>
    </r>
    <r>
      <rPr>
        <rFont val="Poppins"/>
        <sz val="7.0"/>
      </rPr>
      <t xml:space="preserve">, and private equity..." 
- [Sector investment focus] &gt; Data manager judgement &gt; Their investments focus on </t>
    </r>
    <r>
      <rPr>
        <rFont val="Poppins"/>
        <b/>
        <color rgb="FF1155CC"/>
        <sz val="7.0"/>
        <u/>
      </rPr>
      <t xml:space="preserve">SaaS, fintech, consumer, deep tech, technology </t>
    </r>
    <r>
      <rPr>
        <rFont val="Poppins"/>
        <sz val="7.0"/>
      </rPr>
      <t xml:space="preserve">(Accel, Lightspeed, etc).
- [Region investment focus] &gt; Data manager judgement &gt; Their investments are based in </t>
    </r>
    <r>
      <rPr>
        <rFont val="Poppins"/>
        <b/>
        <color rgb="FF1155CC"/>
        <sz val="7.0"/>
        <u/>
      </rPr>
      <t>North America</t>
    </r>
    <r>
      <rPr>
        <rFont val="Poppins"/>
        <sz val="7.0"/>
      </rPr>
      <t xml:space="preserve"> (</t>
    </r>
    <r>
      <rPr>
        <rFont val="Poppins"/>
        <b/>
        <sz val="7.0"/>
      </rPr>
      <t>Accel, Lightspeed Venture Partners, Red Tree Venture Capital</t>
    </r>
    <r>
      <rPr>
        <rFont val="Poppins"/>
        <sz val="7.0"/>
      </rPr>
      <t xml:space="preserve">).
- [Maturity Focus = Emerging] &gt; Data manager judgement &gt; They have not publicly disclosed their maturity focus but the rest of the criteria aligns with your IIP. </t>
    </r>
    <r>
      <rPr>
        <rFont val="Poppins"/>
        <b/>
        <sz val="7.0"/>
      </rPr>
      <t>#DemandCreation.</t>
    </r>
  </si>
  <si>
    <t>Co-Founder and CIO</t>
  </si>
  <si>
    <t>Amit Kumar</t>
  </si>
  <si>
    <t>amit@phvalues.org</t>
  </si>
  <si>
    <t>https://www.linkedin.com/in/amit-kumar-cfa-484593/</t>
  </si>
  <si>
    <t>Lalotte Ventures</t>
  </si>
  <si>
    <t>https://www.lalotteventures.com/family-office</t>
  </si>
  <si>
    <r>
      <rPr>
        <rFont val="Poppins"/>
        <sz val="7.0"/>
      </rPr>
      <t xml:space="preserve">- [Asset class = Funds-VC] &gt; Portfolio &gt; Their portfolio consists of </t>
    </r>
    <r>
      <rPr>
        <rFont val="Poppins"/>
        <b/>
        <color rgb="FF1155CC"/>
        <sz val="7.0"/>
        <u/>
      </rPr>
      <t>VC funds</t>
    </r>
    <r>
      <rPr>
        <rFont val="Poppins"/>
        <sz val="7.0"/>
      </rPr>
      <t xml:space="preserve"> (Shrug Capital,  F7 Ventures).
- [Sector investment focus] &gt; Data manager judgement &gt; Their investments focus on</t>
    </r>
    <r>
      <rPr>
        <rFont val="Poppins"/>
        <b/>
        <color rgb="FF1155CC"/>
        <sz val="7.0"/>
        <u/>
      </rPr>
      <t xml:space="preserve"> Deep Tech</t>
    </r>
    <r>
      <rPr>
        <rFont val="Poppins"/>
        <sz val="7.0"/>
      </rPr>
      <t xml:space="preserve"> (Shrug Capital).
- [Region investment focus] &gt; Data manager judgement &gt; Their investments are based in the </t>
    </r>
    <r>
      <rPr>
        <rFont val="Poppins"/>
        <b/>
        <color rgb="FF1155CC"/>
        <sz val="7.0"/>
        <u/>
      </rPr>
      <t>United States</t>
    </r>
    <r>
      <rPr>
        <rFont val="Poppins"/>
        <sz val="7.0"/>
      </rPr>
      <t xml:space="preserve"> (</t>
    </r>
    <r>
      <rPr>
        <rFont val="Poppins"/>
        <b/>
        <sz val="7.0"/>
      </rPr>
      <t>Shrug Capital,  F7 Ventures</t>
    </r>
    <r>
      <rPr>
        <rFont val="Poppins"/>
        <sz val="7.0"/>
      </rPr>
      <t xml:space="preserve">).
- [Maturity Focus = Emerging] &gt; Data manager judgement &gt; They have not publicly disclosed their maturity focus but the rest of the criteria aligns with your IIP. </t>
    </r>
    <r>
      <rPr>
        <rFont val="Poppins"/>
        <b/>
        <sz val="7.0"/>
      </rPr>
      <t>#DemandCreation.</t>
    </r>
  </si>
  <si>
    <t>Venture Partner</t>
  </si>
  <si>
    <t>Gregory Walfish</t>
  </si>
  <si>
    <t>gregory@lalotteventures.com</t>
  </si>
  <si>
    <t>https://www.linkedin.com/in/gregorywalfish/</t>
  </si>
  <si>
    <t>Jacobs Capital Group</t>
  </si>
  <si>
    <t>https://jacobscapitalgroup.com/#:~:text=INVEST%20IN%20PEOPLE%20SMARTER%20THAN,US</t>
  </si>
  <si>
    <r>
      <rPr>
        <rFont val="Poppins"/>
        <sz val="7.0"/>
      </rPr>
      <t xml:space="preserve">- [Asset class = Funds-VC] &gt; Website &gt; "...Investing in like-minded </t>
    </r>
    <r>
      <rPr>
        <rFont val="Poppins"/>
        <b/>
        <color rgb="FF1155CC"/>
        <sz val="7.0"/>
        <u/>
      </rPr>
      <t xml:space="preserve">venture funds </t>
    </r>
    <r>
      <rPr>
        <rFont val="Poppins"/>
        <sz val="7.0"/>
      </rPr>
      <t xml:space="preserve">around the world..."
- [Sector investment focus] &gt; Data manager judgement &gt; Their investments focus on </t>
    </r>
    <r>
      <rPr>
        <rFont val="Poppins"/>
        <b/>
        <color rgb="FF1155CC"/>
        <sz val="7.0"/>
        <u/>
      </rPr>
      <t>AI, Fintech</t>
    </r>
    <r>
      <rPr>
        <rFont val="Poppins"/>
        <sz val="7.0"/>
      </rPr>
      <t>, Health Tech (</t>
    </r>
    <r>
      <rPr>
        <rFont val="Poppins"/>
        <b/>
        <sz val="7.0"/>
      </rPr>
      <t>WI Harper Group, Translink Capital</t>
    </r>
    <r>
      <rPr>
        <rFont val="Poppins"/>
        <sz val="7.0"/>
      </rPr>
      <t>).
- [Region investment focus] &gt; Website &gt; "...Investing in like-minded venture funds around the</t>
    </r>
    <r>
      <rPr>
        <rFont val="Poppins"/>
        <b/>
        <color rgb="FF1155CC"/>
        <sz val="7.0"/>
        <u/>
      </rPr>
      <t xml:space="preserve"> world</t>
    </r>
    <r>
      <rPr>
        <rFont val="Poppins"/>
        <sz val="7.0"/>
      </rPr>
      <t xml:space="preserve">..."
- [Maturity Focus = Emerging] &gt; Data manager judgement &gt; They have not publicly disclosed their maturity focus but the rest of the criteria aligns with your IIP. </t>
    </r>
    <r>
      <rPr>
        <rFont val="Poppins"/>
        <b/>
        <sz val="7.0"/>
      </rPr>
      <t>#DemandCreation.</t>
    </r>
  </si>
  <si>
    <t>lifesciences focus</t>
  </si>
  <si>
    <t>Aglaia Family Office</t>
  </si>
  <si>
    <t>https://aglaiaim.com/</t>
  </si>
  <si>
    <r>
      <rPr>
        <rFont val="Poppins"/>
        <sz val="7.0"/>
      </rPr>
      <t xml:space="preserve">- [Asset Class = Funds VC] &gt; Linkedin &gt; Lujie leads investments at Aglaia Family Office. He focuses on </t>
    </r>
    <r>
      <rPr>
        <rFont val="Poppins"/>
        <b/>
        <color rgb="FF1155CC"/>
        <sz val="7.0"/>
        <u/>
      </rPr>
      <t>fund investments</t>
    </r>
    <r>
      <rPr>
        <rFont val="Poppins"/>
        <color rgb="FF1155CC"/>
        <sz val="7.0"/>
        <u/>
      </rPr>
      <t xml:space="preserve"> (</t>
    </r>
    <r>
      <rPr>
        <rFont val="Poppins"/>
        <b/>
        <color rgb="FF1155CC"/>
        <sz val="7.0"/>
        <u/>
      </rPr>
      <t>Venture Capital</t>
    </r>
    <r>
      <rPr>
        <rFont val="Poppins"/>
        <sz val="7.0"/>
      </rPr>
      <t xml:space="preserve">, Private Equity, Mutual Funds, Hedge Funds).
- [Region Investment Focus] &gt; Website &gt; "...We consider all asset classes, and are </t>
    </r>
    <r>
      <rPr>
        <rFont val="Poppins"/>
        <b/>
        <color rgb="FF1155CC"/>
        <sz val="7.0"/>
        <u/>
      </rPr>
      <t>not constrained by geography</t>
    </r>
    <r>
      <rPr>
        <rFont val="Poppins"/>
        <sz val="7.0"/>
      </rPr>
      <t xml:space="preserve">..."
- [Sector Investment Focus] &gt; Linkedin &gt; Lujie leads investments at Aglaia Family Office, specializing in Thematic </t>
    </r>
    <r>
      <rPr>
        <rFont val="Poppins"/>
        <b/>
        <color rgb="FF1155CC"/>
        <sz val="7.0"/>
        <u/>
      </rPr>
      <t>Investing across</t>
    </r>
    <r>
      <rPr>
        <rFont val="Poppins"/>
        <color rgb="FF1155CC"/>
        <sz val="7.0"/>
        <u/>
      </rPr>
      <t xml:space="preserve"> </t>
    </r>
    <r>
      <rPr>
        <rFont val="Poppins"/>
        <b/>
        <color rgb="FF1155CC"/>
        <sz val="7.0"/>
        <u/>
      </rPr>
      <t>Technology</t>
    </r>
    <r>
      <rPr>
        <rFont val="Poppins"/>
        <sz val="7.0"/>
      </rPr>
      <t xml:space="preserve">, Sustainability, and other structural trends in public and private markets. + They have made commitments into Wavemaker, which further invests into </t>
    </r>
    <r>
      <rPr>
        <rFont val="Poppins"/>
        <b/>
        <color rgb="FF1155CC"/>
        <sz val="7.0"/>
        <u/>
      </rPr>
      <t>AI, SaaS, IndustrialTech, ClimateTech, and Cybersecurity</t>
    </r>
    <r>
      <rPr>
        <rFont val="Poppins"/>
        <sz val="7.0"/>
      </rPr>
      <t xml:space="preserve"> (Staple, Atomionics, Eezee, VFlow, NEUfast, Tour Amigo, Valtec, CYFIRMA).
- [Maturity Focus = Emerging] &gt; Data manager judgement &gt; They have not publicly disclosed their maturity focus but the rest of the criteria aligns with your IIP. </t>
    </r>
    <r>
      <rPr>
        <rFont val="Poppins"/>
        <b/>
        <sz val="7.0"/>
      </rPr>
      <t>#DemandCreation.</t>
    </r>
  </si>
  <si>
    <t>Lujie Chen</t>
  </si>
  <si>
    <t xml:space="preserve">Lujie </t>
  </si>
  <si>
    <t>Chen</t>
  </si>
  <si>
    <t>lujiechen@aglaiaim.com</t>
  </si>
  <si>
    <t>https://www.linkedin.com/in/chenlujie/?originalSubdomain=sg</t>
  </si>
  <si>
    <t>Gi21</t>
  </si>
  <si>
    <t>https://gi21capital.com/</t>
  </si>
  <si>
    <t>Czech Republic</t>
  </si>
  <si>
    <t>Portfolio, Website, Data manager judgement</t>
  </si>
  <si>
    <r>
      <rPr>
        <rFont val="Poppins"/>
        <sz val="7.0"/>
      </rPr>
      <t xml:space="preserve">- [Asset class = Funds-VC] &gt; Portfolio &gt; Their portfolio consists of investments in </t>
    </r>
    <r>
      <rPr>
        <rFont val="Poppins"/>
        <b/>
        <color rgb="FF1155CC"/>
        <sz val="7.0"/>
        <u/>
      </rPr>
      <t>VC funds</t>
    </r>
    <r>
      <rPr>
        <rFont val="Poppins"/>
        <sz val="7.0"/>
      </rPr>
      <t xml:space="preserve">, ex: Oakley Capital, Credo, Bain Capital.
- [Region investment focus] &gt; Website &gt; "...with investments concentrated in the </t>
    </r>
    <r>
      <rPr>
        <rFont val="Poppins"/>
        <b/>
        <color rgb="FF1155CC"/>
        <sz val="7.0"/>
        <u/>
      </rPr>
      <t xml:space="preserve">EU </t>
    </r>
    <r>
      <rPr>
        <rFont val="Poppins"/>
        <sz val="7.0"/>
      </rPr>
      <t xml:space="preserve">and US..."
- [Sector investment focus] &gt; Data manager judgement &gt; Their portfolio consists of investments in VC Funds which further focuses on ESG, climate, healthcare, </t>
    </r>
    <r>
      <rPr>
        <rFont val="Poppins"/>
        <b/>
        <color rgb="FF1155CC"/>
        <sz val="7.0"/>
        <u/>
      </rPr>
      <t>AI, SaaS</t>
    </r>
    <r>
      <rPr>
        <rFont val="Poppins"/>
        <sz val="7.0"/>
      </rPr>
      <t xml:space="preserve"> ex: Oakley Capital, Credo, Bain Capital. 
- [Maturity Focus = Emerging] &gt; Data manager judgement &gt; They have not publicly disclosed their maturity focus but the rest of the criteria aligns with your IIP. </t>
    </r>
    <r>
      <rPr>
        <rFont val="Poppins"/>
        <b/>
        <sz val="7.0"/>
      </rPr>
      <t>#DemandCreation.</t>
    </r>
  </si>
  <si>
    <t>no emerging VCs</t>
  </si>
  <si>
    <t>Wasson Enterprise</t>
  </si>
  <si>
    <t>https://wassonenterprise.com/</t>
  </si>
  <si>
    <r>
      <rPr>
        <rFont val="Poppins"/>
        <sz val="7.0"/>
      </rPr>
      <t xml:space="preserve">- [Asset class = Funds-VC] &gt; Website + Portfolio &gt; "...We invest with a primary focus on the following investment vehicles: Direct &amp; </t>
    </r>
    <r>
      <rPr>
        <rFont val="Poppins"/>
        <b/>
        <sz val="7.0"/>
      </rPr>
      <t xml:space="preserve">Fund </t>
    </r>
    <r>
      <rPr>
        <rFont val="Poppins"/>
        <sz val="7.0"/>
      </rPr>
      <t xml:space="preserve">Investments, </t>
    </r>
    <r>
      <rPr>
        <rFont val="Poppins"/>
        <b/>
        <color rgb="FF1155CC"/>
        <sz val="7.0"/>
        <u/>
      </rPr>
      <t>Venture</t>
    </r>
    <r>
      <rPr>
        <rFont val="Poppins"/>
        <sz val="7.0"/>
      </rPr>
      <t xml:space="preserve">, Growth and Real Estate..." + Their portfolio confirms their investment in </t>
    </r>
    <r>
      <rPr>
        <rFont val="Poppins"/>
        <b/>
        <color rgb="FF1155CC"/>
        <sz val="7.0"/>
        <u/>
      </rPr>
      <t>VC funds</t>
    </r>
    <r>
      <rPr>
        <rFont val="Poppins"/>
        <sz val="7.0"/>
      </rPr>
      <t xml:space="preserve"> , ex: 7wireVentures, Balerion Space Ventures.
- [Sector investment focus] &gt; Data manager judgement &gt; Their investment further focuses on </t>
    </r>
    <r>
      <rPr>
        <rFont val="Poppins"/>
        <b/>
        <color rgb="FF1155CC"/>
        <sz val="7.0"/>
        <u/>
      </rPr>
      <t>AI, Defence Tech, Space Tech, etc</t>
    </r>
    <r>
      <rPr>
        <rFont val="Poppins"/>
        <sz val="7.0"/>
      </rPr>
      <t xml:space="preserve">, ex: </t>
    </r>
    <r>
      <rPr>
        <rFont val="Poppins"/>
        <b/>
        <sz val="7.0"/>
      </rPr>
      <t>Balerion Space Venture, Soma Capital</t>
    </r>
    <r>
      <rPr>
        <rFont val="Poppins"/>
        <sz val="7.0"/>
      </rPr>
      <t xml:space="preserve">.
- [Region investment focus] &gt; Data manager judgement &gt; Their portfolio confirms their investment in </t>
    </r>
    <r>
      <rPr>
        <rFont val="Poppins"/>
        <b/>
        <color rgb="FF1155CC"/>
        <sz val="7.0"/>
        <u/>
      </rPr>
      <t>North America</t>
    </r>
    <r>
      <rPr>
        <rFont val="Poppins"/>
        <sz val="7.0"/>
      </rPr>
      <t xml:space="preserve">.
- [Maturity Focus = Emerging] &gt; Data manager judgement &gt; They have not publicly disclosed their maturity focus but the rest of the criteria aligns with your IIP. </t>
    </r>
    <r>
      <rPr>
        <rFont val="Poppins"/>
        <b/>
        <sz val="7.0"/>
      </rPr>
      <t>#DemandCreation.</t>
    </r>
  </si>
  <si>
    <t>Trey Gill</t>
  </si>
  <si>
    <t>Trey</t>
  </si>
  <si>
    <t>Gill</t>
  </si>
  <si>
    <t>trey@wassonenterprise.com</t>
  </si>
  <si>
    <t>http://www.linkedin.com/in/trey-gill-839a56105</t>
  </si>
  <si>
    <t>Avighna Invest</t>
  </si>
  <si>
    <t>https://avighnainvest.com/</t>
  </si>
  <si>
    <r>
      <rPr>
        <rFont val="Poppins"/>
        <sz val="7.0"/>
      </rPr>
      <t xml:space="preserve">- [Asset class = Funds-VC] &gt; Website &gt; "...provide long-term capital to the entrepreneurial ecosystem by investing directly and through </t>
    </r>
    <r>
      <rPr>
        <rFont val="Poppins"/>
        <b/>
        <color rgb="FF1155CC"/>
        <sz val="7.0"/>
        <u/>
      </rPr>
      <t>Venture Capital Funds</t>
    </r>
    <r>
      <rPr>
        <rFont val="Poppins"/>
        <sz val="7.0"/>
      </rPr>
      <t>..."
- [Sector Investment Focus] &gt; Data manager judgement &gt; Their investments focus on</t>
    </r>
    <r>
      <rPr>
        <rFont val="Poppins"/>
        <b/>
        <color rgb="FF1155CC"/>
        <sz val="7.0"/>
        <u/>
      </rPr>
      <t xml:space="preserve"> AI, SaaS, Manufacturing</t>
    </r>
    <r>
      <rPr>
        <rFont val="Poppins"/>
        <sz val="7.0"/>
      </rPr>
      <t xml:space="preserve"> (Filter Capital, Blackoak Fund).
- [Region Investment focus] &gt; Website &gt; "...investing </t>
    </r>
    <r>
      <rPr>
        <rFont val="Poppins"/>
        <b/>
        <color rgb="FF1155CC"/>
        <sz val="7.0"/>
        <u/>
      </rPr>
      <t>globally</t>
    </r>
    <r>
      <rPr>
        <rFont val="Poppins"/>
        <sz val="7.0"/>
      </rPr>
      <t xml:space="preserve"> into an array of asset classes..."
- [Maturity Focus = Emerging] &gt; Data manager judgement &gt; They have not publicly disclosed their maturity focus but the rest of the criteria aligns with your IIP. </t>
    </r>
    <r>
      <rPr>
        <rFont val="Poppins"/>
        <b/>
        <sz val="7.0"/>
      </rPr>
      <t>#DemandCreation.</t>
    </r>
  </si>
  <si>
    <t>Head - Investments</t>
  </si>
  <si>
    <t>Arpit Ramsisaria</t>
  </si>
  <si>
    <t>arpit.ramsisaria@avighna.in</t>
  </si>
  <si>
    <t>https://www.linkedin.com/in/arpitca/</t>
  </si>
  <si>
    <t>Avant Global</t>
  </si>
  <si>
    <t>https://avantglobal.com</t>
  </si>
  <si>
    <t>Website, LinkedIn, Private data provider</t>
  </si>
  <si>
    <r>
      <rPr>
        <rFont val="Poppins"/>
        <sz val="7.0"/>
      </rPr>
      <t xml:space="preserve">- [Asset class = Funds-VC] &gt; Linkedin &gt;  the family office invests in hedge funds, private equity, </t>
    </r>
    <r>
      <rPr>
        <rFont val="Poppins"/>
        <b/>
        <color rgb="FF1155CC"/>
        <sz val="7.0"/>
        <u/>
      </rPr>
      <t>venture funds</t>
    </r>
    <r>
      <rPr>
        <rFont val="Poppins"/>
        <sz val="7.0"/>
      </rPr>
      <t>, operating companies, direct investments, and other private opportunities, including real estate
- [Sector investment focus] &gt; Website + Private Data Provider &gt; "...</t>
    </r>
    <r>
      <rPr>
        <rFont val="Poppins"/>
        <b/>
        <sz val="7.0"/>
      </rPr>
      <t xml:space="preserve">Industry </t>
    </r>
    <r>
      <rPr>
        <rFont val="Poppins"/>
        <sz val="7.0"/>
      </rPr>
      <t xml:space="preserve">and geography </t>
    </r>
    <r>
      <rPr>
        <rFont val="Poppins"/>
        <b/>
        <color rgb="FF1155CC"/>
        <sz val="7.0"/>
        <u/>
      </rPr>
      <t>agnostic</t>
    </r>
    <r>
      <rPr>
        <rFont val="Poppins"/>
        <sz val="7.0"/>
      </rPr>
      <t xml:space="preserve">..." + </t>
    </r>
    <r>
      <rPr>
        <rFont val="Poppins"/>
        <b/>
        <sz val="7.0"/>
      </rPr>
      <t>AI</t>
    </r>
    <r>
      <rPr>
        <rFont val="Poppins"/>
        <sz val="7.0"/>
      </rPr>
      <t xml:space="preserve"> &amp; </t>
    </r>
    <r>
      <rPr>
        <rFont val="Poppins"/>
        <b/>
        <color rgb="FF1155CC"/>
        <sz val="7.0"/>
        <u/>
      </rPr>
      <t>Deep Tech</t>
    </r>
    <r>
      <rPr>
        <rFont val="Poppins"/>
        <sz val="7.0"/>
      </rPr>
      <t xml:space="preserve">, </t>
    </r>
    <r>
      <rPr>
        <rFont val="Poppins"/>
        <b/>
        <sz val="7.0"/>
      </rPr>
      <t>CleanTech</t>
    </r>
    <r>
      <rPr>
        <rFont val="Poppins"/>
        <sz val="7.0"/>
      </rPr>
      <t xml:space="preserve"> &amp; Sustainability, Transportation &amp; </t>
    </r>
    <r>
      <rPr>
        <rFont val="Poppins"/>
        <b/>
        <sz val="7.0"/>
      </rPr>
      <t xml:space="preserve">Mobility
</t>
    </r>
    <r>
      <rPr>
        <rFont val="Poppins"/>
        <sz val="7.0"/>
      </rPr>
      <t xml:space="preserve">- [Region investment focus] &gt; Website + Private Data Provider &gt; "...Industry and </t>
    </r>
    <r>
      <rPr>
        <rFont val="Poppins"/>
        <b/>
        <color rgb="FF1155CC"/>
        <sz val="7.0"/>
        <u/>
      </rPr>
      <t>geography agnostic</t>
    </r>
    <r>
      <rPr>
        <rFont val="Poppins"/>
        <sz val="7.0"/>
      </rPr>
      <t xml:space="preserve">..." + Israel, Europe, </t>
    </r>
    <r>
      <rPr>
        <rFont val="Poppins"/>
        <b/>
        <sz val="7.0"/>
      </rPr>
      <t>USA</t>
    </r>
    <r>
      <rPr>
        <rFont val="Poppins"/>
        <sz val="7.0"/>
      </rPr>
      <t xml:space="preserve"> and </t>
    </r>
    <r>
      <rPr>
        <rFont val="Poppins"/>
        <b/>
        <sz val="7.0"/>
      </rPr>
      <t>Canada</t>
    </r>
    <r>
      <rPr>
        <rFont val="Poppins"/>
        <sz val="7.0"/>
      </rPr>
      <t xml:space="preserve">.
- [Maturity Focus = Emerging] &gt; Data manager judgement &gt; They have not publicly disclosed their maturity focus but the rest of the criteria aligns with your IIP. </t>
    </r>
    <r>
      <rPr>
        <rFont val="Poppins"/>
        <b/>
        <sz val="7.0"/>
      </rPr>
      <t>#DemandCreation.</t>
    </r>
  </si>
  <si>
    <t>President</t>
  </si>
  <si>
    <t>Justin Figgins</t>
  </si>
  <si>
    <t>Justin</t>
  </si>
  <si>
    <t>Figgins</t>
  </si>
  <si>
    <t>justin.figgins@avantglobal.com</t>
  </si>
  <si>
    <t>http://www.linkedin.com/in/justinfiggins</t>
  </si>
  <si>
    <t>BLN Capital</t>
  </si>
  <si>
    <t>https://www.blncapital.com/</t>
  </si>
  <si>
    <t>Germnay</t>
  </si>
  <si>
    <r>
      <rPr>
        <rFont val="Poppins"/>
        <sz val="7.0"/>
      </rPr>
      <t xml:space="preserve">- [Asset class = Funds - VC] &gt; Website &gt; "...Diversified investments in private equity and </t>
    </r>
    <r>
      <rPr>
        <rFont val="Poppins"/>
        <b/>
        <sz val="7.0"/>
      </rPr>
      <t>venture capital</t>
    </r>
    <r>
      <rPr>
        <rFont val="Poppins"/>
        <sz val="7.0"/>
      </rPr>
      <t xml:space="preserve"> and selected liquid </t>
    </r>
    <r>
      <rPr>
        <rFont val="Poppins"/>
        <b/>
        <color rgb="FF1155CC"/>
        <sz val="7.0"/>
        <u/>
      </rPr>
      <t>funds</t>
    </r>
    <r>
      <rPr>
        <rFont val="Poppins"/>
        <sz val="7.0"/>
      </rPr>
      <t xml:space="preserve">..."
- [Region investment focus] &gt; Website &gt; "...We focus on seed and pre-seed investments primarily in the areas of technology and gaming in Europe and the </t>
    </r>
    <r>
      <rPr>
        <rFont val="Poppins"/>
        <b/>
        <color rgb="FF1155CC"/>
        <sz val="7.0"/>
        <u/>
      </rPr>
      <t>US</t>
    </r>
    <r>
      <rPr>
        <rFont val="Poppins"/>
        <sz val="7.0"/>
      </rPr>
      <t xml:space="preserve">..."
- [Sector investment focus] &gt; Portfolio &gt; Their investments focus on </t>
    </r>
    <r>
      <rPr>
        <rFont val="Poppins"/>
        <b/>
        <sz val="7.0"/>
      </rPr>
      <t xml:space="preserve">Deep Tech, </t>
    </r>
    <r>
      <rPr>
        <rFont val="Poppins"/>
        <b/>
        <color rgb="FF1155CC"/>
        <sz val="7.0"/>
        <u/>
      </rPr>
      <t>AI</t>
    </r>
    <r>
      <rPr>
        <rFont val="Poppins"/>
        <b/>
        <sz val="7.0"/>
      </rPr>
      <t xml:space="preserve">, </t>
    </r>
    <r>
      <rPr>
        <rFont val="Poppins"/>
        <sz val="7.0"/>
      </rPr>
      <t xml:space="preserve">etc, ex: </t>
    </r>
    <r>
      <rPr>
        <rFont val="Poppins"/>
        <b/>
        <sz val="7.0"/>
      </rPr>
      <t xml:space="preserve">Possible Ventures, First Momentum Ventures, Evoco, Merantix Capital, First Momentum Ventures, etc.
</t>
    </r>
    <r>
      <rPr>
        <rFont val="Poppins"/>
        <sz val="7.0"/>
      </rPr>
      <t xml:space="preserve">- [Maturity Focus = Emerging] &gt; Data manager judgement &gt; They have not publicly disclosed their maturity focus but the rest of the criteria aligns with your IIP. </t>
    </r>
    <r>
      <rPr>
        <rFont val="Poppins"/>
        <b/>
        <sz val="7.0"/>
      </rPr>
      <t>#DemandCreation.</t>
    </r>
  </si>
  <si>
    <t>Senior Investment Manager</t>
  </si>
  <si>
    <t>Philipp Loeffler</t>
  </si>
  <si>
    <t>Philipp</t>
  </si>
  <si>
    <t>Loeffler</t>
  </si>
  <si>
    <t>pl@blncapital.com</t>
  </si>
  <si>
    <t>https://www.linkedin.com/in/philipp-l%c3%b6ffler-16215517a/</t>
  </si>
  <si>
    <t>B-FLEXION</t>
  </si>
  <si>
    <t>https://www.bflexion.com</t>
  </si>
  <si>
    <r>
      <rPr>
        <rFont val="Poppins"/>
        <sz val="7.0"/>
      </rPr>
      <t xml:space="preserve">- [Asset class = Funds- VC] &gt; Website &gt; "...significant expertise by investing in and partnering with asset managers across sectors including Private Equity, </t>
    </r>
    <r>
      <rPr>
        <rFont val="Poppins"/>
        <b/>
        <color rgb="FF1155CC"/>
        <sz val="7.0"/>
        <u/>
      </rPr>
      <t>Venture Capital</t>
    </r>
    <r>
      <rPr>
        <rFont val="Poppins"/>
        <sz val="7.0"/>
      </rPr>
      <t xml:space="preserve">, Infrastructure, Technology, Real Estate, Hedge Funds, Public and Private Credit, and Public Securities...."
- [Region investment focus] &gt; LinkedIn &gt; With offices across Europe and in the </t>
    </r>
    <r>
      <rPr>
        <rFont val="Poppins"/>
        <b/>
        <color rgb="FF1155CC"/>
        <sz val="7.0"/>
        <u/>
      </rPr>
      <t>US</t>
    </r>
    <r>
      <rPr>
        <rFont val="Poppins"/>
        <b/>
        <sz val="7.0"/>
      </rPr>
      <t>.</t>
    </r>
    <r>
      <rPr>
        <rFont val="Poppins"/>
        <sz val="7.0"/>
      </rPr>
      <t xml:space="preserve">
- [Sector investment focus] &gt; Website &gt; "...investing in and partnering with asset managers across sectors including Private Equity, Venture Capital, Infrastructure, </t>
    </r>
    <r>
      <rPr>
        <rFont val="Poppins"/>
        <b/>
        <sz val="7.0"/>
      </rPr>
      <t>Technology</t>
    </r>
    <r>
      <rPr>
        <rFont val="Poppins"/>
        <sz val="7.0"/>
      </rPr>
      <t xml:space="preserve">, Real Estate,..." + Industry focus: Generalist, </t>
    </r>
    <r>
      <rPr>
        <rFont val="Poppins"/>
        <b/>
        <color rgb="FF1155CC"/>
        <sz val="7.0"/>
        <u/>
      </rPr>
      <t>AI</t>
    </r>
    <r>
      <rPr>
        <rFont val="Poppins"/>
        <sz val="7.0"/>
      </rPr>
      <t xml:space="preserve">/Big Data, B2B/Enterprise, Cloud/Infrastructure, Consumer/Retail, Developer Tools, Ecommerce, Edtech, </t>
    </r>
    <r>
      <rPr>
        <rFont val="Poppins"/>
        <b/>
        <sz val="7.0"/>
      </rPr>
      <t>Fintech</t>
    </r>
    <r>
      <rPr>
        <rFont val="Poppins"/>
        <sz val="7.0"/>
      </rPr>
      <t xml:space="preserve">, Media/Content, Productivity.
- [Maturity Focus = Emerging] &gt; Data manager judgement &gt; They have not publicly disclosed their maturity focus but the rest of the criteria aligns with your IIP. </t>
    </r>
    <r>
      <rPr>
        <rFont val="Poppins"/>
        <b/>
        <sz val="7.0"/>
      </rPr>
      <t>#DemandCreation.</t>
    </r>
  </si>
  <si>
    <t>Adequita Capital</t>
  </si>
  <si>
    <t>https://adequita.co.uk/about-us/</t>
  </si>
  <si>
    <r>
      <rPr>
        <rFont val="Poppins"/>
        <sz val="7.0"/>
      </rPr>
      <t xml:space="preserve">- [Asset class = Funds-VC] &gt; Portfolio &gt; Their portfolio consists of </t>
    </r>
    <r>
      <rPr>
        <rFont val="Poppins"/>
        <b/>
        <color rgb="FF1155CC"/>
        <sz val="7.0"/>
        <u/>
      </rPr>
      <t xml:space="preserve">VC funds </t>
    </r>
    <r>
      <rPr>
        <rFont val="Poppins"/>
        <sz val="7.0"/>
      </rPr>
      <t xml:space="preserve">ex: erv
- [Region investment focus] &gt; Data manager judgement + Private data provider &gt; Their portfolio consists of VC funds based in </t>
    </r>
    <r>
      <rPr>
        <rFont val="Poppins"/>
        <b/>
        <color rgb="FF1155CC"/>
        <sz val="7.0"/>
        <u/>
      </rPr>
      <t>Europe</t>
    </r>
    <r>
      <rPr>
        <rFont val="Poppins"/>
        <sz val="7.0"/>
      </rPr>
      <t>,</t>
    </r>
    <r>
      <rPr>
        <rFont val="Poppins"/>
        <b/>
        <sz val="7.0"/>
      </rPr>
      <t xml:space="preserve"> </t>
    </r>
    <r>
      <rPr>
        <rFont val="Poppins"/>
        <sz val="7.0"/>
      </rPr>
      <t xml:space="preserve">ex: erv + strong business relationships in Europe, </t>
    </r>
    <r>
      <rPr>
        <rFont val="Poppins"/>
        <b/>
        <sz val="7.0"/>
      </rPr>
      <t>Asia</t>
    </r>
    <r>
      <rPr>
        <rFont val="Poppins"/>
        <sz val="7.0"/>
      </rPr>
      <t xml:space="preserve">, the </t>
    </r>
    <r>
      <rPr>
        <rFont val="Poppins"/>
        <b/>
        <color rgb="FF1155CC"/>
        <sz val="7.0"/>
        <u/>
      </rPr>
      <t>Americas</t>
    </r>
    <r>
      <rPr>
        <rFont val="Poppins"/>
        <sz val="7.0"/>
      </rPr>
      <t xml:space="preserve">, and the </t>
    </r>
    <r>
      <rPr>
        <rFont val="Poppins"/>
        <b/>
        <sz val="7.0"/>
      </rPr>
      <t>Middle East</t>
    </r>
    <r>
      <rPr>
        <rFont val="Poppins"/>
        <sz val="7.0"/>
      </rPr>
      <t xml:space="preserve">.
- [Sector investment focus] &gt; Website + Data manager judgement &gt; "...Adequita focuses on five areas of expertise: Real Estate, Hospitality, </t>
    </r>
    <r>
      <rPr>
        <rFont val="Poppins"/>
        <b/>
        <color rgb="FF1155CC"/>
        <sz val="7.0"/>
        <u/>
      </rPr>
      <t>Technology</t>
    </r>
    <r>
      <rPr>
        <rFont val="Poppins"/>
        <b/>
        <sz val="7.0"/>
      </rPr>
      <t>,</t>
    </r>
    <r>
      <rPr>
        <rFont val="Poppins"/>
        <sz val="7.0"/>
      </rPr>
      <t xml:space="preserve"> and Energy..." + They have invested in NxN, Quantinuum which further focuses on </t>
    </r>
    <r>
      <rPr>
        <rFont val="Poppins"/>
        <b/>
        <color rgb="FF1155CC"/>
        <sz val="7.0"/>
        <u/>
      </rPr>
      <t>AI</t>
    </r>
    <r>
      <rPr>
        <rFont val="Poppins"/>
        <sz val="7.0"/>
      </rPr>
      <t xml:space="preserve">, </t>
    </r>
    <r>
      <rPr>
        <rFont val="Poppins"/>
        <b/>
        <sz val="7.0"/>
      </rPr>
      <t>fintech</t>
    </r>
    <r>
      <rPr>
        <rFont val="Poppins"/>
        <sz val="7.0"/>
      </rPr>
      <t xml:space="preserve">, </t>
    </r>
    <r>
      <rPr>
        <rFont val="Poppins"/>
        <b/>
        <sz val="7.0"/>
      </rPr>
      <t>technology</t>
    </r>
    <r>
      <rPr>
        <rFont val="Poppins"/>
        <sz val="7.0"/>
      </rPr>
      <t xml:space="preserve">, energy, etc.
- [Maturity Focus = Emerging] &gt; Data manager judgement &gt; They have not publicly disclosed their maturity focus but the rest of the criteria aligns with your IIP. </t>
    </r>
    <r>
      <rPr>
        <rFont val="Poppins"/>
        <b/>
        <sz val="7.0"/>
      </rPr>
      <t>#DemandCreation.</t>
    </r>
  </si>
  <si>
    <t>Xavier Adsera</t>
  </si>
  <si>
    <t xml:space="preserve">Xavier </t>
  </si>
  <si>
    <t>Adsera</t>
  </si>
  <si>
    <t>xavier.adsera@adequita.co.uk</t>
  </si>
  <si>
    <t>http://www.linkedin.com/in/xavier-adser%c3%a0-55830766</t>
  </si>
  <si>
    <t>Smedvig Family Office</t>
  </si>
  <si>
    <t>https://www.smedvig.com/</t>
  </si>
  <si>
    <r>
      <rPr>
        <rFont val="Poppins"/>
        <sz val="7.0"/>
      </rPr>
      <t xml:space="preserve">- [Asset class = Funds-VC] &gt; Website &gt; "...The investment activity includes private equity &amp; </t>
    </r>
    <r>
      <rPr>
        <rFont val="Poppins"/>
        <b/>
        <color rgb="FF1155CC"/>
        <sz val="7.0"/>
        <u/>
      </rPr>
      <t>venture funds</t>
    </r>
    <r>
      <rPr>
        <rFont val="Poppins"/>
        <sz val="7.0"/>
      </rPr>
      <t xml:space="preserve"> and real assets..."
- [Region investment focus] &gt; Website &gt; "...Geographies we invest in:</t>
    </r>
    <r>
      <rPr>
        <rFont val="Poppins"/>
        <b/>
        <color rgb="FF1155CC"/>
        <sz val="7.0"/>
        <u/>
      </rPr>
      <t xml:space="preserve"> Global</t>
    </r>
    <r>
      <rPr>
        <rFont val="Poppins"/>
        <sz val="7.0"/>
      </rPr>
      <t xml:space="preserve">..."
- [Sector investment focus] &gt; Data manager judgement &gt; Their investments focus on </t>
    </r>
    <r>
      <rPr>
        <rFont val="Poppins"/>
        <b/>
        <color rgb="FF1155CC"/>
        <sz val="7.0"/>
        <u/>
      </rPr>
      <t>AI, Fintech, Health Tech, Industrial tech, SaaS</t>
    </r>
    <r>
      <rPr>
        <rFont val="Poppins"/>
        <sz val="7.0"/>
      </rPr>
      <t xml:space="preserve">, etc, ex: BCV, Altor, Permira.
- [Maturity Focus = Emerging] &gt; Website &gt; "...We have very selectively supported </t>
    </r>
    <r>
      <rPr>
        <rFont val="Poppins"/>
        <b/>
        <color rgb="FF1155CC"/>
        <sz val="7.0"/>
        <u/>
      </rPr>
      <t>emerging relationships</t>
    </r>
    <r>
      <rPr>
        <rFont val="Poppins"/>
        <sz val="7.0"/>
      </rPr>
      <t xml:space="preserve"> with best of breed partners..."</t>
    </r>
  </si>
  <si>
    <t>Alistair Cairns</t>
  </si>
  <si>
    <t>ac@smedvigcapital.com</t>
  </si>
  <si>
    <t>https://www.linkedin.com/in/alistair-cairns-8a1422/</t>
  </si>
  <si>
    <t>LGT Capital</t>
  </si>
  <si>
    <t>https://www.lgtcp.com/who-we-are</t>
  </si>
  <si>
    <t>Liechtenstein</t>
  </si>
  <si>
    <r>
      <rPr>
        <rFont val="Poppins"/>
        <sz val="7.0"/>
      </rPr>
      <t xml:space="preserve">- [Asset class = Funds-VC] &gt; Website &gt; "...As an experienced investor in the </t>
    </r>
    <r>
      <rPr>
        <rFont val="Poppins"/>
        <b/>
        <color rgb="FF1155CC"/>
        <sz val="7.0"/>
        <u/>
      </rPr>
      <t>venture market</t>
    </r>
    <r>
      <rPr>
        <rFont val="Poppins"/>
        <sz val="7.0"/>
      </rPr>
      <t xml:space="preserve">, we work with General Partners to build portfolios of high-conviction </t>
    </r>
    <r>
      <rPr>
        <rFont val="Poppins"/>
        <b/>
        <sz val="7.0"/>
      </rPr>
      <t>funds</t>
    </r>
    <r>
      <rPr>
        <rFont val="Poppins"/>
        <sz val="7.0"/>
      </rPr>
      <t xml:space="preserve">...."
- [Region investment focus] &gt; Website  &gt; "...As an experienced investor in the venture market, we work with General Partners to build portfolios of high-conviction funds and high-quality technology-driven companies. We use proprietary information to source opportunities through our local teams in Europe, the </t>
    </r>
    <r>
      <rPr>
        <rFont val="Poppins"/>
        <b/>
        <color rgb="FF1155CC"/>
        <sz val="7.0"/>
        <u/>
      </rPr>
      <t>US</t>
    </r>
    <r>
      <rPr>
        <rFont val="Poppins"/>
        <sz val="7.0"/>
      </rPr>
      <t xml:space="preserve"> and </t>
    </r>
    <r>
      <rPr>
        <rFont val="Poppins"/>
        <b/>
        <sz val="7.0"/>
      </rPr>
      <t>Asia Pacific</t>
    </r>
    <r>
      <rPr>
        <rFont val="Poppins"/>
        <sz val="7.0"/>
      </rPr>
      <t xml:space="preserve"> – leveraging LGT Capital Partners’ </t>
    </r>
    <r>
      <rPr>
        <rFont val="Poppins"/>
        <b/>
        <sz val="7.0"/>
      </rPr>
      <t xml:space="preserve">global </t>
    </r>
    <r>
      <rPr>
        <rFont val="Poppins"/>
        <sz val="7.0"/>
      </rPr>
      <t xml:space="preserve">private markets platform....."
- [Sector investment focus] &gt; Website &gt; "...on how hedge funds use </t>
    </r>
    <r>
      <rPr>
        <rFont val="Poppins"/>
        <b/>
        <color rgb="FF1155CC"/>
        <sz val="7.0"/>
        <u/>
      </rPr>
      <t>artificial intelligence (AI)</t>
    </r>
    <r>
      <rPr>
        <rFont val="Poppins"/>
        <sz val="7.0"/>
      </rPr>
      <t xml:space="preserve">..." + "...As an experienced investor in the venture market, we work with General Partners to build portfolios of high-conviction funds and high-quality </t>
    </r>
    <r>
      <rPr>
        <rFont val="Poppins"/>
        <b/>
        <color rgb="FF1155CC"/>
        <sz val="7.0"/>
        <u/>
      </rPr>
      <t>technology</t>
    </r>
    <r>
      <rPr>
        <rFont val="Poppins"/>
        <sz val="7.0"/>
      </rPr>
      <t xml:space="preserve">-driven companies..."
- [Maturity Focus = Emerging] &gt; Website &gt; "...highly promising </t>
    </r>
    <r>
      <rPr>
        <rFont val="Poppins"/>
        <b/>
        <color rgb="FF1155CC"/>
        <sz val="7.0"/>
        <u/>
      </rPr>
      <t>emerging managers</t>
    </r>
    <r>
      <rPr>
        <rFont val="Poppins"/>
        <sz val="7.0"/>
      </rPr>
      <t>..."</t>
    </r>
  </si>
  <si>
    <t>LGT isnt a fit for what we do</t>
  </si>
  <si>
    <t>RIT Capital Partners</t>
  </si>
  <si>
    <t>https://www.ritcap.com/</t>
  </si>
  <si>
    <r>
      <rPr>
        <rFont val="Poppins"/>
        <sz val="7.0"/>
      </rPr>
      <t>- [Asset class = Funds-VC] &gt; Website + Data manager judgement &gt; "...direct investments and specialist</t>
    </r>
    <r>
      <rPr>
        <rFont val="Poppins"/>
        <b/>
        <color rgb="FF1155CC"/>
        <sz val="7.0"/>
        <u/>
      </rPr>
      <t xml:space="preserve"> managers</t>
    </r>
    <r>
      <rPr>
        <rFont val="Poppins"/>
        <sz val="7.0"/>
      </rPr>
      <t>..." + "...Direct Investments and</t>
    </r>
    <r>
      <rPr>
        <rFont val="Poppins"/>
        <b/>
        <color rgb="FF1155CC"/>
        <sz val="7.0"/>
        <u/>
      </rPr>
      <t xml:space="preserve"> through Funds</t>
    </r>
    <r>
      <rPr>
        <rFont val="Poppins"/>
        <sz val="7.0"/>
      </rPr>
      <t xml:space="preserve">..." +  They have investments in </t>
    </r>
    <r>
      <rPr>
        <rFont val="Poppins"/>
        <b/>
        <color rgb="FF1155CC"/>
        <sz val="7.0"/>
        <u/>
      </rPr>
      <t>VC funds</t>
    </r>
    <r>
      <rPr>
        <rFont val="Poppins"/>
        <sz val="7.0"/>
      </rPr>
      <t xml:space="preserve"> like </t>
    </r>
    <r>
      <rPr>
        <rFont val="Poppins"/>
        <b/>
        <color rgb="FF1155CC"/>
        <sz val="7.0"/>
        <u/>
      </rPr>
      <t>"Founders Fund"</t>
    </r>
    <r>
      <rPr>
        <rFont val="Poppins"/>
        <sz val="7.0"/>
      </rPr>
      <t xml:space="preserve">, </t>
    </r>
    <r>
      <rPr>
        <rFont val="Poppins"/>
        <b/>
        <sz val="7.0"/>
      </rPr>
      <t>"Thrive Funds"</t>
    </r>
    <r>
      <rPr>
        <rFont val="Poppins"/>
        <sz val="7.0"/>
      </rPr>
      <t xml:space="preserve">
- [Sector investment focus] &gt; Website &gt; "...</t>
    </r>
    <r>
      <rPr>
        <rFont val="Poppins"/>
        <b/>
        <color rgb="FF1155CC"/>
        <sz val="7.0"/>
        <u/>
      </rPr>
      <t>Industrials: 2%, AI &amp; Advanced Technologies</t>
    </r>
    <r>
      <rPr>
        <rFont val="Poppins"/>
        <sz val="7.0"/>
      </rPr>
      <t>: 10%..." + "...</t>
    </r>
    <r>
      <rPr>
        <rFont val="Poppins"/>
        <b/>
        <color rgb="FF1155CC"/>
        <sz val="7.0"/>
        <u/>
      </rPr>
      <t>Fintech</t>
    </r>
    <r>
      <rPr>
        <rFont val="Poppins"/>
        <sz val="7.0"/>
      </rPr>
      <t>: 18%..."</t>
    </r>
    <r>
      <rPr>
        <rFont val="Poppins"/>
        <b/>
        <color rgb="FF1155CC"/>
        <sz val="7.0"/>
        <u/>
      </rPr>
      <t xml:space="preserve">
</t>
    </r>
    <r>
      <rPr>
        <rFont val="Poppins"/>
        <sz val="7.0"/>
      </rPr>
      <t xml:space="preserve">- [Region investment focus ] &gt; Website &gt; "...We work alongside our </t>
    </r>
    <r>
      <rPr>
        <rFont val="Poppins"/>
        <b/>
        <color rgb="FF1155CC"/>
        <sz val="7.0"/>
        <u/>
      </rPr>
      <t>global network of specialist managers</t>
    </r>
    <r>
      <rPr>
        <rFont val="Poppins"/>
        <sz val="7.0"/>
      </rPr>
      <t xml:space="preserve">..."
- [Maturity Focus = Emerging] &gt; Data manager judgement &gt; They have not publicly disclosed their maturity focus but the rest of the criteria aligns with your IIP. </t>
    </r>
    <r>
      <rPr>
        <rFont val="Poppins"/>
        <b/>
        <sz val="7.0"/>
      </rPr>
      <t>#DemandCreation.</t>
    </r>
  </si>
  <si>
    <t>do not do emerging private capital</t>
  </si>
  <si>
    <t>Schroders Capital</t>
  </si>
  <si>
    <t>https://www.schroderscapital.com/en/global/professional/</t>
  </si>
  <si>
    <r>
      <rPr>
        <rFont val="Poppins"/>
        <sz val="7.0"/>
      </rPr>
      <t xml:space="preserve">- [Asset class = Funds-VC] &gt; Website &gt; "...At Schroders Capital, we have been active in the venture segment since 1997, with capabilities across the full investment lifecycle from primary commitments into new </t>
    </r>
    <r>
      <rPr>
        <rFont val="Poppins"/>
        <b/>
        <color rgb="FF1155CC"/>
        <sz val="7.0"/>
        <u/>
      </rPr>
      <t>venture funds</t>
    </r>
    <r>
      <rPr>
        <rFont val="Poppins"/>
        <sz val="7.0"/>
      </rPr>
      <t>..."
- [Region investment focus] &gt; Website &gt; "...We continue to see the importance of a</t>
    </r>
    <r>
      <rPr>
        <rFont val="Poppins"/>
        <b/>
        <color rgb="FF1155CC"/>
        <sz val="7.0"/>
        <u/>
      </rPr>
      <t xml:space="preserve"> global approach </t>
    </r>
    <r>
      <rPr>
        <rFont val="Poppins"/>
        <sz val="7.0"/>
      </rPr>
      <t xml:space="preserve">that capitalises on innovation shifts across the top 20 innovation hubs..."
- [Sector investment focus] &gt;  Website &gt; "...As for sectors, </t>
    </r>
    <r>
      <rPr>
        <rFont val="Poppins"/>
        <b/>
        <sz val="7.0"/>
      </rPr>
      <t xml:space="preserve">technology </t>
    </r>
    <r>
      <rPr>
        <rFont val="Poppins"/>
        <sz val="7.0"/>
      </rPr>
      <t xml:space="preserve">is clearly a strong area of focus – and within this there are a growing array of opportunities in </t>
    </r>
    <r>
      <rPr>
        <rFont val="Poppins"/>
        <b/>
        <color rgb="FF1155CC"/>
        <sz val="7.0"/>
        <u/>
      </rPr>
      <t>AI</t>
    </r>
    <r>
      <rPr>
        <rFont val="Poppins"/>
        <sz val="7.0"/>
      </rPr>
      <t xml:space="preserve"> in particular..."
- [Maturity Focus = Emerging] &gt; Private data provider &gt; Tanja manages a number of Schroder Capital’s first time funds and </t>
    </r>
    <r>
      <rPr>
        <rFont val="Poppins"/>
        <b/>
        <color rgb="FF1155CC"/>
        <sz val="7.0"/>
        <u/>
      </rPr>
      <t>emerging managers</t>
    </r>
    <r>
      <rPr>
        <rFont val="Poppins"/>
        <sz val="7.0"/>
      </rPr>
      <t xml:space="preserve">. This confirms they </t>
    </r>
    <r>
      <rPr>
        <rFont val="Poppins"/>
        <b/>
        <sz val="7.0"/>
      </rPr>
      <t>invest in emerging managers.</t>
    </r>
  </si>
  <si>
    <t>have spoken to them not a fit for our size</t>
  </si>
  <si>
    <t>Fairway Asset Management</t>
  </si>
  <si>
    <t>https://fairway-asset.com/about/</t>
  </si>
  <si>
    <r>
      <rPr>
        <rFont val="Poppins"/>
        <sz val="7.0"/>
      </rPr>
      <t xml:space="preserve">- [Asset class = Funds-VC] &gt; Website + Private data provider &gt; "...offering a range of </t>
    </r>
    <r>
      <rPr>
        <rFont val="Poppins"/>
        <b/>
        <sz val="7.0"/>
      </rPr>
      <t xml:space="preserve">funds </t>
    </r>
    <r>
      <rPr>
        <rFont val="Poppins"/>
        <sz val="7.0"/>
      </rPr>
      <t xml:space="preserve">which invest predominantly in the US and Switzerland across both Public and </t>
    </r>
    <r>
      <rPr>
        <rFont val="Poppins"/>
        <b/>
        <color rgb="FF1155CC"/>
        <sz val="7.0"/>
        <u/>
      </rPr>
      <t xml:space="preserve">Private Markets </t>
    </r>
    <r>
      <rPr>
        <rFont val="Poppins"/>
        <sz val="7.0"/>
      </rPr>
      <t xml:space="preserve">+ Private data provider confirms that they invest in </t>
    </r>
    <r>
      <rPr>
        <rFont val="Poppins"/>
        <b/>
        <sz val="7.0"/>
      </rPr>
      <t>funds.</t>
    </r>
    <r>
      <rPr>
        <rFont val="Poppins"/>
        <sz val="7.0"/>
      </rPr>
      <t xml:space="preserve">
- [Region investment focus] &gt; Website &gt; "...invest predominantly in the </t>
    </r>
    <r>
      <rPr>
        <rFont val="Poppins"/>
        <b/>
        <color rgb="FF1155CC"/>
        <sz val="7.0"/>
        <u/>
      </rPr>
      <t xml:space="preserve">US </t>
    </r>
    <r>
      <rPr>
        <rFont val="Poppins"/>
        <sz val="7.0"/>
      </rPr>
      <t>and Switzerland</t>
    </r>
    <r>
      <rPr>
        <rFont val="Poppins"/>
        <b/>
        <sz val="7.0"/>
      </rPr>
      <t xml:space="preserve"> </t>
    </r>
    <r>
      <rPr>
        <rFont val="Poppins"/>
        <sz val="7.0"/>
      </rPr>
      <t xml:space="preserve">across both Public and Private Markets..."
- [Sector investment focus] &gt; Website &gt; "...investment themes such as smart living, smart working, data infrastructure and communication towers, </t>
    </r>
    <r>
      <rPr>
        <rFont val="Poppins"/>
        <b/>
        <sz val="7.0"/>
      </rPr>
      <t>logistics</t>
    </r>
    <r>
      <rPr>
        <rFont val="Poppins"/>
        <sz val="7.0"/>
      </rPr>
      <t xml:space="preserve">, distributed energy, waste management, </t>
    </r>
    <r>
      <rPr>
        <rFont val="Poppins"/>
        <b/>
        <color rgb="FF1155CC"/>
        <sz val="7.0"/>
        <u/>
      </rPr>
      <t>robotics</t>
    </r>
    <r>
      <rPr>
        <rFont val="Poppins"/>
        <sz val="7.0"/>
      </rPr>
      <t xml:space="preserve">, blockchain-related infrastructure, medtech, fintech, and many more..."
- [Maturity Focus = Emerging] &gt; Data manager judgement &gt; They have not publicly disclosed their maturity focus but the rest of the criteria aligns with your IIP. </t>
    </r>
    <r>
      <rPr>
        <rFont val="Poppins"/>
        <b/>
        <sz val="7.0"/>
      </rPr>
      <t>#DemandCreation.</t>
    </r>
  </si>
  <si>
    <t>Nicholas Verwilghen</t>
  </si>
  <si>
    <t>Nicholas</t>
  </si>
  <si>
    <t>Verwilghen</t>
  </si>
  <si>
    <t>nicholas.verwilghen@fairway-asset.com</t>
  </si>
  <si>
    <t>https://www.linkedin.com/in/nicholasverwilghen/</t>
  </si>
  <si>
    <t>M&amp;G Investments</t>
  </si>
  <si>
    <t>https://www.mandg.com/investments/institutional/en-gb</t>
  </si>
  <si>
    <r>
      <rPr>
        <rFont val="Poppins"/>
        <sz val="7.0"/>
      </rPr>
      <t xml:space="preserve">- [Asset class = Funds-VC] &gt; Website &gt; "...We aim to provide investors with exposure to a diversified portfolio of attractive private equity investments, with an emphasis on leading buyout, growth equity and </t>
    </r>
    <r>
      <rPr>
        <rFont val="Poppins"/>
        <b/>
        <color rgb="FF1155CC"/>
        <sz val="7.0"/>
        <u/>
      </rPr>
      <t>venture capital managers</t>
    </r>
    <r>
      <rPr>
        <rFont val="Poppins"/>
        <sz val="7.0"/>
      </rPr>
      <t xml:space="preserve">..." + "...We offer exposure to this Asset class through a series of </t>
    </r>
    <r>
      <rPr>
        <rFont val="Poppins"/>
        <b/>
        <color rgb="FF1155CC"/>
        <sz val="7.0"/>
        <u/>
      </rPr>
      <t>fund-of-funds</t>
    </r>
    <r>
      <rPr>
        <rFont val="Poppins"/>
        <sz val="7.0"/>
      </rPr>
      <t xml:space="preserve">..."
- [Region investment focus] &gt; Website &gt; "...Established in 2000, M&amp;G Private Equity has committed +$14 billion to over 550 investments across more than 185 private equity managers in </t>
    </r>
    <r>
      <rPr>
        <rFont val="Poppins"/>
        <b/>
        <color rgb="FF1155CC"/>
        <sz val="7.0"/>
        <u/>
      </rPr>
      <t>North America</t>
    </r>
    <r>
      <rPr>
        <rFont val="Poppins"/>
        <sz val="7.0"/>
      </rPr>
      <t xml:space="preserve">, Europe and </t>
    </r>
    <r>
      <rPr>
        <rFont val="Poppins"/>
        <b/>
        <sz val="7.0"/>
      </rPr>
      <t>Asia</t>
    </r>
    <r>
      <rPr>
        <rFont val="Poppins"/>
        <sz val="7.0"/>
      </rPr>
      <t xml:space="preserve">..."
- [Sector investment focus] &gt; Portfolio + Data manager judgement &gt; On their portfolio they have mentioned that the four key investment themes they focus are Planetary Health, Human Health, Access &amp; Inclusion and </t>
    </r>
    <r>
      <rPr>
        <rFont val="Poppins"/>
        <b/>
        <color rgb="FF1155CC"/>
        <sz val="7.0"/>
        <u/>
      </rPr>
      <t>Enabling Technologies</t>
    </r>
    <r>
      <rPr>
        <rFont val="Poppins"/>
        <sz val="7.0"/>
      </rPr>
      <t xml:space="preserve">. + Their investments focus on </t>
    </r>
    <r>
      <rPr>
        <rFont val="Poppins"/>
        <b/>
        <color rgb="FF1155CC"/>
        <sz val="7.0"/>
        <u/>
      </rPr>
      <t>AI</t>
    </r>
    <r>
      <rPr>
        <rFont val="Poppins"/>
        <sz val="7.0"/>
      </rPr>
      <t xml:space="preserve">, Health Tech and Digital Health, ex: Amboss, CytoReason.
- [Maturity Focus = Emerging] &gt; Data manager judgement &gt; They have not publicly disclosed their maturity focus but the rest of the criteria aligns with your IIP. </t>
    </r>
    <r>
      <rPr>
        <rFont val="Poppins"/>
        <b/>
        <sz val="7.0"/>
      </rPr>
      <t>#DemandCreation.</t>
    </r>
  </si>
  <si>
    <t xml:space="preserve">not a fit for what we do. </t>
  </si>
  <si>
    <t>Aberdeen Investment</t>
  </si>
  <si>
    <t>https://www.aberdeeninvestments.com/en-us/investor</t>
  </si>
  <si>
    <r>
      <rPr>
        <rFont val="Poppins"/>
        <sz val="7.0"/>
      </rPr>
      <t xml:space="preserve">- [Asset class = Funds-VC] &gt; Website &gt; "... through a mix of </t>
    </r>
    <r>
      <rPr>
        <rFont val="Poppins"/>
        <b/>
        <color rgb="FF1155CC"/>
        <sz val="7.0"/>
        <u/>
      </rPr>
      <t xml:space="preserve">fund </t>
    </r>
    <r>
      <rPr>
        <rFont val="Poppins"/>
        <sz val="7.0"/>
      </rPr>
      <t xml:space="preserve">commitments and </t>
    </r>
    <r>
      <rPr>
        <rFont val="Poppins"/>
        <b/>
        <sz val="7.0"/>
      </rPr>
      <t>direct</t>
    </r>
    <r>
      <rPr>
        <rFont val="Poppins"/>
        <sz val="7.0"/>
      </rPr>
      <t xml:space="preserve">/co-investments..." + "...Private Equity (27%) </t>
    </r>
    <r>
      <rPr>
        <rFont val="Poppins"/>
        <b/>
        <color rgb="FF1155CC"/>
        <sz val="7.0"/>
        <u/>
      </rPr>
      <t>Venture Capital</t>
    </r>
    <r>
      <rPr>
        <rFont val="Poppins"/>
        <sz val="7.0"/>
      </rPr>
      <t xml:space="preserve"> to companies that require capital for growth, management buyouts and turnarounds..."
- [Region investment focus] &gt; Website &gt; "...</t>
    </r>
    <r>
      <rPr>
        <rFont val="Poppins"/>
        <b/>
        <color rgb="FF1155CC"/>
        <sz val="7.0"/>
        <u/>
      </rPr>
      <t>Global reach</t>
    </r>
    <r>
      <rPr>
        <rFont val="Poppins"/>
        <sz val="7.0"/>
      </rPr>
      <t xml:space="preserve">: Experts on the ground in more than 25 locations. We deliver local insights at a global scale..."
- [Sector investment focus] &gt; Website &gt; "...We seek opportunities in venture capital and established businesses that are embracing </t>
    </r>
    <r>
      <rPr>
        <rFont val="Poppins"/>
        <b/>
        <color rgb="FF1155CC"/>
        <sz val="7.0"/>
        <u/>
      </rPr>
      <t>disruptive technologies</t>
    </r>
    <r>
      <rPr>
        <rFont val="Poppins"/>
        <sz val="7.0"/>
      </rPr>
      <t xml:space="preserve">..." + "...venture capital and growth funds will likely de-risk investments by backing repeat entrepreneurs in non-cyclical sectors. These include </t>
    </r>
    <r>
      <rPr>
        <rFont val="Poppins"/>
        <b/>
        <sz val="7.0"/>
      </rPr>
      <t>health technology</t>
    </r>
    <r>
      <rPr>
        <rFont val="Poppins"/>
        <sz val="7.0"/>
      </rPr>
      <t xml:space="preserve">, biotechnology, climate technology, enterprise software, and companies with an edge in applying generative </t>
    </r>
    <r>
      <rPr>
        <rFont val="Poppins"/>
        <b/>
        <color rgb="FF1155CC"/>
        <sz val="7.0"/>
        <u/>
      </rPr>
      <t>artificial intelligence technology</t>
    </r>
    <r>
      <rPr>
        <rFont val="Poppins"/>
        <sz val="7.0"/>
      </rPr>
      <t xml:space="preserve">..."
- [Maturity Focus = Emerging] &gt; Data manager judgement &gt; They have not publicly disclosed their maturity focus but the rest of the criteria aligns with your IIP. </t>
    </r>
    <r>
      <rPr>
        <rFont val="Poppins"/>
        <b/>
        <sz val="7.0"/>
      </rPr>
      <t>#DemandCreation.</t>
    </r>
  </si>
  <si>
    <t>Finvia</t>
  </si>
  <si>
    <t>https://www.finvia.fo/en</t>
  </si>
  <si>
    <r>
      <rPr>
        <rFont val="Poppins"/>
        <sz val="7.0"/>
      </rPr>
      <t xml:space="preserve">- [Asset class = Funds-VC] &gt; Website + Portfolio &gt; "...the best </t>
    </r>
    <r>
      <rPr>
        <rFont val="Poppins"/>
        <b/>
        <color rgb="FF1155CC"/>
        <sz val="7.0"/>
        <u/>
      </rPr>
      <t>venture capital funds</t>
    </r>
    <r>
      <rPr>
        <rFont val="Poppins"/>
        <sz val="7.0"/>
      </rPr>
      <t xml:space="preserve"> have outperformed not only the stock market but also private equity funds..." + Their portfolio confirms their investment in VC funds, ex: </t>
    </r>
    <r>
      <rPr>
        <rFont val="Poppins"/>
        <b/>
        <sz val="7.0"/>
      </rPr>
      <t>HV Capital, Spark Capital.</t>
    </r>
    <r>
      <rPr>
        <rFont val="Poppins"/>
        <sz val="7.0"/>
      </rPr>
      <t xml:space="preserve">
- [Sector investment focus] &gt; Data manager judgement &gt; Their investment further focuses on </t>
    </r>
    <r>
      <rPr>
        <rFont val="Poppins"/>
        <b/>
        <sz val="7.0"/>
      </rPr>
      <t>Fintech</t>
    </r>
    <r>
      <rPr>
        <rFont val="Poppins"/>
        <sz val="7.0"/>
      </rPr>
      <t xml:space="preserve"> and </t>
    </r>
    <r>
      <rPr>
        <rFont val="Poppins"/>
        <b/>
        <color rgb="FF1155CC"/>
        <sz val="7.0"/>
        <u/>
      </rPr>
      <t>AI</t>
    </r>
    <r>
      <rPr>
        <rFont val="Poppins"/>
        <sz val="7.0"/>
      </rPr>
      <t xml:space="preserve">, ex: </t>
    </r>
    <r>
      <rPr>
        <rFont val="Poppins"/>
        <b/>
        <sz val="7.0"/>
      </rPr>
      <t>Khosla Ventures, Project A.</t>
    </r>
    <r>
      <rPr>
        <rFont val="Poppins"/>
        <sz val="7.0"/>
      </rPr>
      <t xml:space="preserve">
- [Region investment focus] &gt; Data manager judgement &gt; Their investments are based in </t>
    </r>
    <r>
      <rPr>
        <rFont val="Poppins"/>
        <b/>
        <color rgb="FF1155CC"/>
        <sz val="7.0"/>
        <u/>
      </rPr>
      <t>US</t>
    </r>
    <r>
      <rPr>
        <rFont val="Poppins"/>
        <sz val="7.0"/>
      </rPr>
      <t xml:space="preserve"> and Europe, ex: </t>
    </r>
    <r>
      <rPr>
        <rFont val="Poppins"/>
        <b/>
        <sz val="7.0"/>
      </rPr>
      <t xml:space="preserve">khosla Ventures, Project A.
</t>
    </r>
    <r>
      <rPr>
        <rFont val="Poppins"/>
        <sz val="7.0"/>
      </rPr>
      <t xml:space="preserve">- [Maturity Focus = Emerging] &gt; Data manager judgement &gt; They have not publicly disclosed their maturity focus but the rest of the criteria aligns with your IIP. </t>
    </r>
    <r>
      <rPr>
        <rFont val="Poppins"/>
        <b/>
        <sz val="7.0"/>
      </rPr>
      <t>#DemandCreation.</t>
    </r>
  </si>
  <si>
    <t xml:space="preserve">Chief Investment Officer
</t>
  </si>
  <si>
    <t xml:space="preserve">Reinhard Panse
</t>
  </si>
  <si>
    <t xml:space="preserve">Reinhard 
</t>
  </si>
  <si>
    <t xml:space="preserve">Panse
</t>
  </si>
  <si>
    <t xml:space="preserve">r.panse@finvia.fo
</t>
  </si>
  <si>
    <t xml:space="preserve">http://www.linkedin.com/in/reinhard-panse-719766233
</t>
  </si>
  <si>
    <t>Blue Haven</t>
  </si>
  <si>
    <t>https://www.bluehaveninitiative.com/portfolio/funds/</t>
  </si>
  <si>
    <r>
      <rPr>
        <rFont val="Poppins"/>
        <sz val="7.0"/>
      </rPr>
      <t xml:space="preserve">- [Asset class = Funds-VC] &gt; Portfolio &gt; Their portfolio consists of </t>
    </r>
    <r>
      <rPr>
        <rFont val="Poppins"/>
        <b/>
        <color rgb="FF1155CC"/>
        <sz val="7.0"/>
        <u/>
      </rPr>
      <t>VC funds</t>
    </r>
    <r>
      <rPr>
        <rFont val="Poppins"/>
        <sz val="7.0"/>
      </rPr>
      <t xml:space="preserve">, ex: Activant capital, Bain capital.
- [Sector investment focus] &gt; Data manager judgement &gt; Their portfolio consists of venture funds which further focuses on </t>
    </r>
    <r>
      <rPr>
        <rFont val="Poppins"/>
        <b/>
        <color rgb="FF1155CC"/>
        <sz val="7.0"/>
        <u/>
      </rPr>
      <t xml:space="preserve"> AI, Fintech, SaaS, etc</t>
    </r>
    <r>
      <rPr>
        <rFont val="Poppins"/>
        <sz val="7.0"/>
      </rPr>
      <t xml:space="preserve"> ex: </t>
    </r>
    <r>
      <rPr>
        <rFont val="Poppins"/>
        <b/>
        <sz val="7.0"/>
      </rPr>
      <t>Blue bear capital, Bain capital.</t>
    </r>
    <r>
      <rPr>
        <rFont val="Poppins"/>
        <sz val="7.0"/>
      </rPr>
      <t xml:space="preserve">
- [Region investment focus] &gt; Data manager judgement &gt; Their portfolio confirms their investment in</t>
    </r>
    <r>
      <rPr>
        <rFont val="Poppins"/>
        <b/>
        <color rgb="FF1155CC"/>
        <sz val="7.0"/>
        <u/>
      </rPr>
      <t xml:space="preserve"> North America</t>
    </r>
    <r>
      <rPr>
        <rFont val="Poppins"/>
        <sz val="7.0"/>
      </rPr>
      <t xml:space="preserve">, ex: </t>
    </r>
    <r>
      <rPr>
        <rFont val="Poppins"/>
        <b/>
        <sz val="7.0"/>
      </rPr>
      <t>Blue bear capital, Bain capital.</t>
    </r>
    <r>
      <rPr>
        <rFont val="Poppins"/>
        <sz val="7.0"/>
      </rPr>
      <t xml:space="preserve">
- [Maturity Focus = Emerging] &gt; Data manager judgement &gt; They have not publicly disclosed their maturity focus but the rest of the criteria aligns with your IIP. </t>
    </r>
    <r>
      <rPr>
        <rFont val="Poppins"/>
        <b/>
        <sz val="7.0"/>
      </rPr>
      <t>#DemandCreation.</t>
    </r>
  </si>
  <si>
    <t xml:space="preserve">Managing Director
</t>
  </si>
  <si>
    <t xml:space="preserve">Hari Joy
</t>
  </si>
  <si>
    <t xml:space="preserve">Hari
</t>
  </si>
  <si>
    <t xml:space="preserve">Joy
</t>
  </si>
  <si>
    <t xml:space="preserve">hari@bluehaveninitiative.com
</t>
  </si>
  <si>
    <t xml:space="preserve">https://www.linkedin.com/in/hari-joy/
</t>
  </si>
  <si>
    <t>Infinitas Capital</t>
  </si>
  <si>
    <t>https://infinitas-capital.com/strategies</t>
  </si>
  <si>
    <t>Malta</t>
  </si>
  <si>
    <r>
      <rPr>
        <rFont val="Poppins"/>
        <sz val="7.0"/>
      </rPr>
      <t xml:space="preserve">- [Asset class = Funds-VC] &gt; Website &gt; "... To complement our universe we foster the development of platform companies and selectively invest in </t>
    </r>
    <r>
      <rPr>
        <rFont val="Poppins"/>
        <b/>
        <color rgb="FF1155CC"/>
        <sz val="7.0"/>
        <u/>
      </rPr>
      <t>venture</t>
    </r>
    <r>
      <rPr>
        <rFont val="Poppins"/>
        <color rgb="FF1155CC"/>
        <sz val="7.0"/>
        <u/>
      </rPr>
      <t xml:space="preserve"> </t>
    </r>
    <r>
      <rPr>
        <rFont val="Poppins"/>
        <b/>
        <color rgb="FF1155CC"/>
        <sz val="7.0"/>
        <u/>
      </rPr>
      <t>funds</t>
    </r>
    <r>
      <rPr>
        <rFont val="Poppins"/>
        <sz val="7.0"/>
      </rPr>
      <t xml:space="preserve">..." 
- [Sector investment focus] &gt; Website + Data manager judgement &gt; "...Through Korify Capital, we invest in longevity and mental health and through Prediction Capital in </t>
    </r>
    <r>
      <rPr>
        <rFont val="Poppins"/>
        <b/>
        <color rgb="FF1155CC"/>
        <sz val="7.0"/>
        <u/>
      </rPr>
      <t>fintech</t>
    </r>
    <r>
      <rPr>
        <rFont val="Poppins"/>
        <sz val="7.0"/>
      </rPr>
      <t xml:space="preserve"> and consumer-tech..." + Infinitas Capital invests in </t>
    </r>
    <r>
      <rPr>
        <rFont val="Poppins"/>
        <b/>
        <color rgb="FF1155CC"/>
        <sz val="7.0"/>
        <u/>
      </rPr>
      <t>artificial intelligence</t>
    </r>
    <r>
      <rPr>
        <rFont val="Poppins"/>
        <sz val="7.0"/>
      </rPr>
      <t xml:space="preserve"> (e.g., Alto Neuroscience).
- [Region investment focus] &gt; Data manager judgement  &gt; They invested in Korify Capital which primarily targets the </t>
    </r>
    <r>
      <rPr>
        <rFont val="Poppins"/>
        <b/>
        <color rgb="FF1155CC"/>
        <sz val="7.0"/>
        <u/>
      </rPr>
      <t>US</t>
    </r>
    <r>
      <rPr>
        <rFont val="Poppins"/>
        <sz val="7.0"/>
      </rPr>
      <t xml:space="preserve"> and Europe.
- [Maturity Focus = Emerging] &gt; Data manager judgement &gt; They have not publicly disclosed their maturity focus but the rest of the criteria aligns with your IIP. </t>
    </r>
    <r>
      <rPr>
        <rFont val="Poppins"/>
        <b/>
        <sz val="7.0"/>
      </rPr>
      <t>#DemandCreation.</t>
    </r>
  </si>
  <si>
    <t>Doesnt invest in our strategy</t>
  </si>
  <si>
    <t>Italmobiliare</t>
  </si>
  <si>
    <t>https://www.italmobiliare.it/en</t>
  </si>
  <si>
    <r>
      <rPr>
        <rFont val="Poppins"/>
        <sz val="7.0"/>
      </rPr>
      <t xml:space="preserve">- [Asset class = Funds-VC] &gt; Portfolio &gt;  Their portfolio includes investments in </t>
    </r>
    <r>
      <rPr>
        <rFont val="Poppins"/>
        <b/>
        <color rgb="FF1155CC"/>
        <sz val="7.0"/>
        <u/>
      </rPr>
      <t>VC funds</t>
    </r>
    <r>
      <rPr>
        <rFont val="Poppins"/>
        <sz val="7.0"/>
      </rPr>
      <t xml:space="preserve"> such as </t>
    </r>
    <r>
      <rPr>
        <rFont val="Poppins"/>
        <b/>
        <sz val="7.0"/>
      </rPr>
      <t xml:space="preserve">Isomer Capital, Lake Star, ICONIQ, etc.
</t>
    </r>
    <r>
      <rPr>
        <rFont val="Poppins"/>
        <sz val="7.0"/>
      </rPr>
      <t xml:space="preserve">- [Sector investment focus] &gt; Data manager judgement &gt; Their investments focus on </t>
    </r>
    <r>
      <rPr>
        <rFont val="Poppins"/>
        <b/>
        <color rgb="FF1155CC"/>
        <sz val="7.0"/>
        <u/>
      </rPr>
      <t>Deep Tech, AI, Fintech, etc</t>
    </r>
    <r>
      <rPr>
        <rFont val="Poppins"/>
        <sz val="7.0"/>
      </rPr>
      <t xml:space="preserve">, ex: </t>
    </r>
    <r>
      <rPr>
        <rFont val="Poppins"/>
        <b/>
        <sz val="7.0"/>
      </rPr>
      <t>Somer Capital, Lake Star.</t>
    </r>
    <r>
      <rPr>
        <rFont val="Poppins"/>
        <sz val="7.0"/>
      </rPr>
      <t xml:space="preserve">
- [Region investment focus] &gt;Data manager judgement &gt; Their investments are based in </t>
    </r>
    <r>
      <rPr>
        <rFont val="Poppins"/>
        <b/>
        <color rgb="FF1155CC"/>
        <sz val="7.0"/>
        <u/>
      </rPr>
      <t>US</t>
    </r>
    <r>
      <rPr>
        <rFont val="Poppins"/>
        <sz val="7.0"/>
      </rPr>
      <t xml:space="preserve"> and Europe, ex: </t>
    </r>
    <r>
      <rPr>
        <rFont val="Poppins"/>
        <b/>
        <sz val="7.0"/>
      </rPr>
      <t xml:space="preserve">Isomer Capital, Lake Star, ICONIQ.
</t>
    </r>
    <r>
      <rPr>
        <rFont val="Poppins"/>
        <sz val="7.0"/>
      </rPr>
      <t xml:space="preserve">- [Maturity Focus = Emerging] &gt; Data manager judgement &gt; They have not publicly disclosed their maturity focus but the rest of the criteria aligns with your IIP. </t>
    </r>
    <r>
      <rPr>
        <rFont val="Poppins"/>
        <b/>
        <sz val="7.0"/>
      </rPr>
      <t>#DemandCreation.</t>
    </r>
  </si>
  <si>
    <t>Italy focus</t>
  </si>
  <si>
    <t>Baksh Capital</t>
  </si>
  <si>
    <t>https://www.baksh.sg/</t>
  </si>
  <si>
    <r>
      <rPr>
        <rFont val="Poppins"/>
        <sz val="7.0"/>
      </rPr>
      <t xml:space="preserve">- [Asset class = Funds-VC] &gt; Website + Portfolio &gt; "...Our preference is to invest into direct deals but we are also open to taking indirect positions via experienced </t>
    </r>
    <r>
      <rPr>
        <rFont val="Poppins"/>
        <b/>
        <color rgb="FF1155CC"/>
        <sz val="7.0"/>
        <u/>
      </rPr>
      <t>fund managers</t>
    </r>
    <r>
      <rPr>
        <rFont val="Poppins"/>
        <sz val="7.0"/>
      </rPr>
      <t xml:space="preserve">..." + On their website they have mentioned about their </t>
    </r>
    <r>
      <rPr>
        <rFont val="Poppins"/>
        <b/>
        <color rgb="FF1155CC"/>
        <sz val="7.0"/>
        <u/>
      </rPr>
      <t>VC fund</t>
    </r>
    <r>
      <rPr>
        <rFont val="Poppins"/>
        <sz val="7.0"/>
      </rPr>
      <t xml:space="preserve"> investment, ex: </t>
    </r>
    <r>
      <rPr>
        <rFont val="Poppins"/>
        <b/>
        <sz val="7.0"/>
      </rPr>
      <t>TBV</t>
    </r>
    <r>
      <rPr>
        <rFont val="Poppins"/>
        <sz val="7.0"/>
      </rPr>
      <t xml:space="preserve">
- [Region investment focus] &gt; Private data provider &gt; focuses on </t>
    </r>
    <r>
      <rPr>
        <rFont val="Poppins"/>
        <b/>
        <color rgb="FF1155CC"/>
        <sz val="7.0"/>
        <u/>
      </rPr>
      <t>global</t>
    </r>
    <r>
      <rPr>
        <rFont val="Poppins"/>
        <sz val="7.0"/>
      </rPr>
      <t xml:space="preserve"> investments in public and private markets.
- [Sector investment focus] &gt; Data manager judgement &gt; Their investments focus on fintech and </t>
    </r>
    <r>
      <rPr>
        <rFont val="Poppins"/>
        <b/>
        <color rgb="FF1155CC"/>
        <sz val="7.0"/>
        <u/>
      </rPr>
      <t>AI</t>
    </r>
    <r>
      <rPr>
        <rFont val="Poppins"/>
        <sz val="7.0"/>
      </rPr>
      <t xml:space="preserve">, ex: Credilinq, etc.
- [Maturity Focus = Emerging] &gt; Data manager judgement &gt; They have not publicly disclosed their maturity focus but the rest of the criteria aligns with your IIP. </t>
    </r>
    <r>
      <rPr>
        <rFont val="Poppins"/>
        <b/>
        <sz val="7.0"/>
      </rPr>
      <t>#DemandCreation.</t>
    </r>
  </si>
  <si>
    <t>Birbal Singh Bajaj</t>
  </si>
  <si>
    <t>Birbal Singh</t>
  </si>
  <si>
    <t>Bajaj</t>
  </si>
  <si>
    <t>birbal@baksh.sg</t>
  </si>
  <si>
    <t>https://www.linkedin.com/in/birbal-singh-bajaj-96839361/</t>
  </si>
  <si>
    <t>Federated Hermes</t>
  </si>
  <si>
    <t>https://www.hermes-investment.com/uk/en/institutions/</t>
  </si>
  <si>
    <r>
      <rPr>
        <rFont val="Poppins"/>
        <sz val="7.0"/>
      </rPr>
      <t xml:space="preserve">- [Asset class = Funds-VC] &gt; Website &gt; "...We are active investors in </t>
    </r>
    <r>
      <rPr>
        <rFont val="Poppins"/>
        <b/>
        <color rgb="FF1155CC"/>
        <sz val="7.0"/>
        <u/>
      </rPr>
      <t>primary funds</t>
    </r>
    <r>
      <rPr>
        <rFont val="Poppins"/>
        <sz val="7.0"/>
      </rPr>
      <t xml:space="preserve"> with a particular focus on ‘next-generation’ managers around the globe..." + "...while we also invest into other private equity and </t>
    </r>
    <r>
      <rPr>
        <rFont val="Poppins"/>
        <b/>
        <color rgb="FF1155CC"/>
        <sz val="7.0"/>
        <u/>
      </rPr>
      <t>venture capital funds</t>
    </r>
    <r>
      <rPr>
        <rFont val="Poppins"/>
        <sz val="7.0"/>
      </rPr>
      <t xml:space="preserve">..."
- [Sector investment focus] &gt; Website &gt; "...We aim to construct portfolios sufficiently diversified across theme, </t>
    </r>
    <r>
      <rPr>
        <rFont val="Poppins"/>
        <b/>
        <color rgb="FF1155CC"/>
        <sz val="7.0"/>
        <u/>
      </rPr>
      <t>sector</t>
    </r>
    <r>
      <rPr>
        <rFont val="Poppins"/>
        <sz val="7.0"/>
      </rPr>
      <t>, vintage, and region..." + "...we have rarely been more excited by the transformative innovation across a multitude of sectors. The convergence of generative a</t>
    </r>
    <r>
      <rPr>
        <rFont val="Poppins"/>
        <b/>
        <color rgb="FF1155CC"/>
        <sz val="7.0"/>
        <u/>
      </rPr>
      <t>rtificial intelligence (AI)</t>
    </r>
    <r>
      <rPr>
        <rFont val="Poppins"/>
        <sz val="7.0"/>
      </rPr>
      <t xml:space="preserve"> and augmented reality (AR) has the potential to redefine user experiences and drive productivity..."
- [Region investment focus] &gt; Website &gt; "...An established team of specialist investors with a commitment to clients and a 30+ year track record of </t>
    </r>
    <r>
      <rPr>
        <rFont val="Poppins"/>
        <b/>
        <color rgb="FF1155CC"/>
        <sz val="7.0"/>
        <u/>
      </rPr>
      <t>global investment</t>
    </r>
    <r>
      <rPr>
        <rFont val="Poppins"/>
        <sz val="7.0"/>
      </rPr>
      <t xml:space="preserve"> excellence..."
- [Maturity Focus = Emerging] &gt; Private data provider &gt; Federated Hermes' 'deal first' approach to partnering with </t>
    </r>
    <r>
      <rPr>
        <rFont val="Poppins"/>
        <b/>
        <color rgb="FF1155CC"/>
        <sz val="7.0"/>
        <u/>
      </rPr>
      <t>emerging managers</t>
    </r>
    <r>
      <rPr>
        <rFont val="Poppins"/>
        <sz val="7.0"/>
      </rPr>
      <t>.</t>
    </r>
  </si>
  <si>
    <t>dont want asset managers and private placement agents</t>
  </si>
  <si>
    <t>Technologies Capital</t>
  </si>
  <si>
    <t>https://technologiescapital.com/about-us.html</t>
  </si>
  <si>
    <r>
      <rPr>
        <rFont val="Poppins"/>
        <sz val="7.0"/>
      </rPr>
      <t xml:space="preserve">- [Asset class = Funds-VC] &gt; Linkedin &gt; a unique hybrid approach of investing in deep tech focused </t>
    </r>
    <r>
      <rPr>
        <rFont val="Poppins"/>
        <b/>
        <color rgb="FF1155CC"/>
        <sz val="7.0"/>
        <u/>
      </rPr>
      <t>VC</t>
    </r>
    <r>
      <rPr>
        <rFont val="Poppins"/>
        <sz val="7.0"/>
      </rPr>
      <t xml:space="preserve"> and PE firms. 
- [Region investment focus] &gt; Data manager judgement &gt; We also have a Corporate Venture Capital initiative that allows corporates to leverage the technology from our </t>
    </r>
    <r>
      <rPr>
        <rFont val="Poppins"/>
        <b/>
        <color rgb="FF1155CC"/>
        <sz val="7.0"/>
        <u/>
      </rPr>
      <t xml:space="preserve">global </t>
    </r>
    <r>
      <rPr>
        <rFont val="Poppins"/>
        <sz val="7.0"/>
      </rPr>
      <t xml:space="preserve">investments, which suggests they may also invest in </t>
    </r>
    <r>
      <rPr>
        <rFont val="Poppins"/>
        <b/>
        <sz val="7.0"/>
      </rPr>
      <t>Europe</t>
    </r>
    <r>
      <rPr>
        <rFont val="Poppins"/>
        <sz val="7.0"/>
      </rPr>
      <t xml:space="preserve"> and </t>
    </r>
    <r>
      <rPr>
        <rFont val="Poppins"/>
        <b/>
        <sz val="7.0"/>
      </rPr>
      <t>North America</t>
    </r>
    <r>
      <rPr>
        <rFont val="Poppins"/>
        <sz val="7.0"/>
      </rPr>
      <t xml:space="preserve">.
- [Sector investment focus] &gt; Linkedin &gt; a unique hybrid approach of investing in </t>
    </r>
    <r>
      <rPr>
        <rFont val="Poppins"/>
        <b/>
        <color rgb="FF1155CC"/>
        <sz val="7.0"/>
        <u/>
      </rPr>
      <t>deep tech</t>
    </r>
    <r>
      <rPr>
        <rFont val="Poppins"/>
        <sz val="7.0"/>
      </rPr>
      <t xml:space="preserve"> focused VC and PE firms. 
- [Maturity Focus = Emerging] &gt; Data manager judgement &gt; They have not publicly disclosed their maturity focus but the rest of the criteria aligns with your IIP. </t>
    </r>
    <r>
      <rPr>
        <rFont val="Poppins"/>
        <b/>
        <sz val="7.0"/>
      </rPr>
      <t>#DemandCreation.</t>
    </r>
  </si>
  <si>
    <t>Cannot find website</t>
  </si>
  <si>
    <t>KG Investments</t>
  </si>
  <si>
    <t>https://www.kginvest.net/</t>
  </si>
  <si>
    <r>
      <rPr>
        <rFont val="Poppins"/>
        <sz val="7.0"/>
      </rPr>
      <t xml:space="preserve">- [Asset class = Funds-VC] &gt; Website + Portfolio &gt; "...investing in </t>
    </r>
    <r>
      <rPr>
        <rFont val="Poppins"/>
        <b/>
        <color rgb="FF1155CC"/>
        <sz val="7.0"/>
        <u/>
      </rPr>
      <t>Venture Capital</t>
    </r>
    <r>
      <rPr>
        <rFont val="Poppins"/>
        <sz val="7.0"/>
      </rPr>
      <t xml:space="preserve"> since 1998..." + Their portfolio confirms investments into </t>
    </r>
    <r>
      <rPr>
        <rFont val="Poppins"/>
        <b/>
        <color rgb="FF1155CC"/>
        <sz val="7.0"/>
        <u/>
      </rPr>
      <t>VC funds</t>
    </r>
    <r>
      <rPr>
        <rFont val="Poppins"/>
        <b/>
        <sz val="7.0"/>
      </rPr>
      <t>, ex:</t>
    </r>
    <r>
      <rPr>
        <rFont val="Poppins"/>
        <sz val="7.0"/>
      </rPr>
      <t xml:space="preserve"> Red Venture</t>
    </r>
    <r>
      <rPr>
        <rFont val="Poppins"/>
        <b/>
        <sz val="7.0"/>
      </rPr>
      <t xml:space="preserve">
</t>
    </r>
    <r>
      <rPr>
        <rFont val="Poppins"/>
        <sz val="7.0"/>
      </rPr>
      <t xml:space="preserve">- [Sector investment focus] &gt; Data manager judgement &gt; Their investment further focuses on </t>
    </r>
    <r>
      <rPr>
        <rFont val="Poppins"/>
        <b/>
        <color rgb="FF1155CC"/>
        <sz val="7.0"/>
        <u/>
      </rPr>
      <t>AI, Fintech</t>
    </r>
    <r>
      <rPr>
        <rFont val="Poppins"/>
        <sz val="7.0"/>
      </rPr>
      <t xml:space="preserve">, etc, ex: Ripple, Figure, etc
- [Region investment focus] &gt; Private data provider &gt;  investments in emerging growth companies around the </t>
    </r>
    <r>
      <rPr>
        <rFont val="Poppins"/>
        <b/>
        <color rgb="FF1155CC"/>
        <sz val="7.0"/>
        <u/>
      </rPr>
      <t>globe</t>
    </r>
    <r>
      <rPr>
        <rFont val="Poppins"/>
        <sz val="7.0"/>
      </rPr>
      <t xml:space="preserve">.
- [Maturity Focus = Emerging] &gt; Data manager judgement &gt; They have not publicly disclosed their maturity focus but the rest of the criteria aligns with your IIP. </t>
    </r>
    <r>
      <rPr>
        <rFont val="Poppins"/>
        <b/>
        <sz val="7.0"/>
      </rPr>
      <t>#DemandCreation.</t>
    </r>
  </si>
  <si>
    <t>Allan Kaplan</t>
  </si>
  <si>
    <t>Allan</t>
  </si>
  <si>
    <t>Kaplan</t>
  </si>
  <si>
    <t>allan@kginvest.net</t>
  </si>
  <si>
    <t>https://www.LinkedIn.com/in/allankaplan/</t>
  </si>
  <si>
    <t>Perch Bay Group</t>
  </si>
  <si>
    <t>https://perchbaygroup.com/</t>
  </si>
  <si>
    <r>
      <rPr>
        <rFont val="Poppins"/>
        <sz val="7.0"/>
      </rPr>
      <t xml:space="preserve">- [Asset class = Funds-VC] &gt; Portfolio &gt; Their portfolio consists of </t>
    </r>
    <r>
      <rPr>
        <rFont val="Poppins"/>
        <b/>
        <color rgb="FF1155CC"/>
        <sz val="7.0"/>
        <u/>
      </rPr>
      <t>VC funds</t>
    </r>
    <r>
      <rPr>
        <rFont val="Poppins"/>
        <sz val="7.0"/>
      </rPr>
      <t xml:space="preserve">. ex: </t>
    </r>
    <r>
      <rPr>
        <rFont val="Poppins"/>
        <b/>
        <sz val="7.0"/>
      </rPr>
      <t>Crossbeam Venture, Longitude Capital.</t>
    </r>
    <r>
      <rPr>
        <rFont val="Poppins"/>
        <sz val="7.0"/>
      </rPr>
      <t xml:space="preserve">
- [Region investment focus] &gt; Data manager judgement &gt; Their portfolio consists of VC funds based in </t>
    </r>
    <r>
      <rPr>
        <rFont val="Poppins"/>
        <b/>
        <color rgb="FF1155CC"/>
        <sz val="7.0"/>
        <u/>
      </rPr>
      <t>North America</t>
    </r>
    <r>
      <rPr>
        <rFont val="Poppins"/>
        <sz val="7.0"/>
      </rPr>
      <t>, ex: Crossbeam Venture, Longitude Capital.
- [Sector investment focus] &gt; Data manager judgement &gt; Their investment further focuses on</t>
    </r>
    <r>
      <rPr>
        <rFont val="Poppins"/>
        <color rgb="FF1155CC"/>
        <sz val="7.0"/>
        <u/>
      </rPr>
      <t xml:space="preserve"> </t>
    </r>
    <r>
      <rPr>
        <rFont val="Poppins"/>
        <b/>
        <color rgb="FF1155CC"/>
        <sz val="7.0"/>
        <u/>
      </rPr>
      <t>SaaS, Marketplace, AI</t>
    </r>
    <r>
      <rPr>
        <rFont val="Poppins"/>
        <color rgb="FF1155CC"/>
        <sz val="7.0"/>
        <u/>
      </rPr>
      <t>,</t>
    </r>
    <r>
      <rPr>
        <rFont val="Poppins"/>
        <sz val="7.0"/>
      </rPr>
      <t xml:space="preserve"> ex: </t>
    </r>
    <r>
      <rPr>
        <rFont val="Poppins"/>
        <b/>
        <sz val="7.0"/>
      </rPr>
      <t xml:space="preserve">Blue Pointe Ventures.
</t>
    </r>
    <r>
      <rPr>
        <rFont val="Poppins"/>
        <sz val="7.0"/>
      </rPr>
      <t xml:space="preserve">- [Maturity Focus = Emerging] &gt; Data manager judgement &gt; They have not publicly disclosed their maturity focus but the rest of the criteria aligns with your IIP. </t>
    </r>
    <r>
      <rPr>
        <rFont val="Poppins"/>
        <b/>
        <sz val="7.0"/>
      </rPr>
      <t>#DemandCreation.</t>
    </r>
  </si>
  <si>
    <t>Curt Brockelman</t>
  </si>
  <si>
    <t>Curt</t>
  </si>
  <si>
    <t>Brockelman</t>
  </si>
  <si>
    <t>cbrockelman@perchbaygroup.com</t>
  </si>
  <si>
    <t>https://www.LinkedIn.com/in/curt-brockelman-aa48b25/</t>
  </si>
  <si>
    <t>Colibri Equity Ventures</t>
  </si>
  <si>
    <t>https://colibriequity.vc/wip-portfolio</t>
  </si>
  <si>
    <r>
      <rPr>
        <rFont val="Poppins"/>
        <sz val="7.0"/>
      </rPr>
      <t xml:space="preserve">- [Asset class = Funds-VC] &gt; Portfolio &gt; Their portfolio consists of </t>
    </r>
    <r>
      <rPr>
        <rFont val="Poppins"/>
        <b/>
        <color rgb="FF1155CC"/>
        <sz val="7.0"/>
        <u/>
      </rPr>
      <t>VC funds</t>
    </r>
    <r>
      <rPr>
        <rFont val="Poppins"/>
        <sz val="7.0"/>
      </rPr>
      <t xml:space="preserve">, ex:  </t>
    </r>
    <r>
      <rPr>
        <rFont val="Poppins"/>
        <b/>
        <sz val="7.0"/>
      </rPr>
      <t>Refract Ventures, Also Capital</t>
    </r>
    <r>
      <rPr>
        <rFont val="Poppins"/>
        <sz val="7.0"/>
      </rPr>
      <t xml:space="preserve">.
- [Sector investment focus] &gt; Data manager judgement &gt; Their investments focus on </t>
    </r>
    <r>
      <rPr>
        <rFont val="Poppins"/>
        <b/>
        <color rgb="FF1155CC"/>
        <sz val="7.0"/>
        <u/>
      </rPr>
      <t>AI, Defence Tech, SaaS</t>
    </r>
    <r>
      <rPr>
        <rFont val="Poppins"/>
        <sz val="7.0"/>
      </rPr>
      <t xml:space="preserve">, etc, ex: </t>
    </r>
    <r>
      <rPr>
        <rFont val="Poppins"/>
        <b/>
        <sz val="7.0"/>
      </rPr>
      <t>Triatomic Capital, Also Capital</t>
    </r>
    <r>
      <rPr>
        <rFont val="Poppins"/>
        <sz val="7.0"/>
      </rPr>
      <t xml:space="preserve">.
- [Region investment focus] &gt; Data manager judgement &gt; Their investments are based in </t>
    </r>
    <r>
      <rPr>
        <rFont val="Poppins"/>
        <b/>
        <color rgb="FF1155CC"/>
        <sz val="7.0"/>
        <u/>
      </rPr>
      <t>North America</t>
    </r>
    <r>
      <rPr>
        <rFont val="Poppins"/>
        <sz val="7.0"/>
      </rPr>
      <t xml:space="preserve">, ex: </t>
    </r>
    <r>
      <rPr>
        <rFont val="Poppins"/>
        <b/>
        <sz val="7.0"/>
      </rPr>
      <t xml:space="preserve">Triatomic Capital, Also Capital.
</t>
    </r>
    <r>
      <rPr>
        <rFont val="Poppins"/>
        <sz val="7.0"/>
      </rPr>
      <t xml:space="preserve">- [Maturity Focus = Emerging] &gt; LinkedIn &gt; venture capital firm backing visionary founders and </t>
    </r>
    <r>
      <rPr>
        <rFont val="Poppins"/>
        <b/>
        <color rgb="FF1155CC"/>
        <sz val="7.0"/>
        <u/>
      </rPr>
      <t>emerging managers</t>
    </r>
    <r>
      <rPr>
        <rFont val="Poppins"/>
        <sz val="7.0"/>
      </rPr>
      <t>.</t>
    </r>
  </si>
  <si>
    <t>Zuri Michan</t>
  </si>
  <si>
    <t>Zuri</t>
  </si>
  <si>
    <t>Michan</t>
  </si>
  <si>
    <t>zuri@colibrieqm.com</t>
  </si>
  <si>
    <t>https://www.linkedin.com/in/zuri-michan/</t>
  </si>
  <si>
    <t>Regarde Familia</t>
  </si>
  <si>
    <t>https://regardefamilia.com/</t>
  </si>
  <si>
    <r>
      <rPr>
        <rFont val="Poppins"/>
        <sz val="7.0"/>
      </rPr>
      <t xml:space="preserve">- [Asset class = Funds-VC] &gt; Website + Linkedin &gt; "...investment opportunities across </t>
    </r>
    <r>
      <rPr>
        <rFont val="Poppins"/>
        <b/>
        <color rgb="FF1155CC"/>
        <sz val="7.0"/>
        <u/>
      </rPr>
      <t>all asset classes</t>
    </r>
    <r>
      <rPr>
        <rFont val="Poppins"/>
        <sz val="7.0"/>
      </rPr>
      <t xml:space="preserve"> opportunistically and globally..." + Regarde Familia family office </t>
    </r>
    <r>
      <rPr>
        <rFont val="Poppins"/>
        <b/>
        <sz val="7.0"/>
      </rPr>
      <t>invests</t>
    </r>
    <r>
      <rPr>
        <rFont val="Poppins"/>
        <sz val="7.0"/>
      </rPr>
      <t xml:space="preserve"> globally in hedge funds, private equity and </t>
    </r>
    <r>
      <rPr>
        <rFont val="Poppins"/>
        <b/>
        <color rgb="FF1155CC"/>
        <sz val="7.0"/>
        <u/>
      </rPr>
      <t>venture funds</t>
    </r>
    <r>
      <rPr>
        <rFont val="Poppins"/>
        <sz val="7.0"/>
      </rPr>
      <t xml:space="preserve">
- [Sector investment focus] &gt; Website + Data manager judgement &gt; "...Regarde Familia invests in </t>
    </r>
    <r>
      <rPr>
        <rFont val="Poppins"/>
        <b/>
        <color rgb="FF1155CC"/>
        <sz val="7.0"/>
        <u/>
      </rPr>
      <t>technology-focused</t>
    </r>
    <r>
      <rPr>
        <rFont val="Poppins"/>
        <sz val="7.0"/>
      </rPr>
      <t xml:space="preserve"> private equity funds with fund managers..." +  THE CIO of this firm states on his website that "The initiatives where I’m actively applying a family office lens to build enduring platforms. From personalized education to</t>
    </r>
    <r>
      <rPr>
        <rFont val="Poppins"/>
        <color rgb="FF1155CC"/>
        <sz val="7.0"/>
        <u/>
      </rPr>
      <t xml:space="preserve"> </t>
    </r>
    <r>
      <rPr>
        <rFont val="Poppins"/>
        <b/>
        <color rgb="FF1155CC"/>
        <sz val="7.0"/>
        <u/>
      </rPr>
      <t>AI</t>
    </r>
    <r>
      <rPr>
        <rFont val="Poppins"/>
        <sz val="7.0"/>
      </rPr>
      <t xml:space="preserve">-driven enterprise solution".
- [Region investment focus] &gt; Website &gt; "...across all asset classes opportunistically and </t>
    </r>
    <r>
      <rPr>
        <rFont val="Poppins"/>
        <b/>
        <color rgb="FF1155CC"/>
        <sz val="7.0"/>
        <u/>
      </rPr>
      <t>globally</t>
    </r>
    <r>
      <rPr>
        <rFont val="Poppins"/>
        <sz val="7.0"/>
      </rPr>
      <t xml:space="preserve">..."
- [Maturity Focus = Emerging] &gt; Data manager judgement &gt; They have not publicly disclosed their maturity focus but the rest of the criteria aligns with your IIP. </t>
    </r>
    <r>
      <rPr>
        <rFont val="Poppins"/>
        <b/>
        <sz val="7.0"/>
      </rPr>
      <t>#DemandCreation.</t>
    </r>
  </si>
  <si>
    <t>more focused on philanthropy and education</t>
  </si>
  <si>
    <t>Wami Capital</t>
  </si>
  <si>
    <t>https://wamicapital.com/</t>
  </si>
  <si>
    <r>
      <rPr>
        <rFont val="Poppins"/>
        <sz val="7.0"/>
      </rPr>
      <t xml:space="preserve">- [Asset class = Funds-VC] &gt; Website &gt; "...We invest with patience and purpose, allocating capital across public and private markets through a select group of </t>
    </r>
    <r>
      <rPr>
        <rFont val="Poppins"/>
        <b/>
        <color rgb="FF1155CC"/>
        <sz val="7.0"/>
        <u/>
      </rPr>
      <t>external managers</t>
    </r>
    <r>
      <rPr>
        <rFont val="Poppins"/>
        <sz val="7.0"/>
      </rPr>
      <t xml:space="preserve">..." + "...We manage capital </t>
    </r>
    <r>
      <rPr>
        <rFont val="Poppins"/>
        <b/>
        <color rgb="FF1155CC"/>
        <sz val="7.0"/>
        <u/>
      </rPr>
      <t>across Asset classes</t>
    </r>
    <r>
      <rPr>
        <rFont val="Poppins"/>
        <sz val="7.0"/>
      </rPr>
      <t>..." + "..Select Investment</t>
    </r>
    <r>
      <rPr>
        <rFont val="Poppins"/>
        <b/>
        <color rgb="FF1155CC"/>
        <sz val="7.0"/>
        <u/>
      </rPr>
      <t xml:space="preserve"> Funds</t>
    </r>
    <r>
      <rPr>
        <rFont val="Poppins"/>
        <sz val="7.0"/>
      </rPr>
      <t xml:space="preserve">..."
- [Region investment focus] &gt; Website &gt; "...We maintain a diversified, </t>
    </r>
    <r>
      <rPr>
        <rFont val="Poppins"/>
        <b/>
        <color rgb="FF1155CC"/>
        <sz val="7.0"/>
        <u/>
      </rPr>
      <t>global</t>
    </r>
    <r>
      <rPr>
        <rFont val="Poppins"/>
        <sz val="7.0"/>
      </rPr>
      <t xml:space="preserve"> investment portfolio..."
- [Sector investment focus] &gt; Data manager judgement + Private data provider &gt; They have invested into </t>
    </r>
    <r>
      <rPr>
        <rFont val="Poppins"/>
        <b/>
        <color rgb="FF1155CC"/>
        <sz val="7.0"/>
        <u/>
      </rPr>
      <t>HealthTech</t>
    </r>
    <r>
      <rPr>
        <rFont val="Poppins"/>
        <sz val="7.0"/>
      </rPr>
      <t xml:space="preserve"> (Smiles dot AI) + Private data provider confirms that Wami Capital's investment areas include: </t>
    </r>
    <r>
      <rPr>
        <rFont val="Poppins"/>
        <b/>
        <color rgb="FF1155CC"/>
        <sz val="7.0"/>
        <u/>
      </rPr>
      <t xml:space="preserve">AI </t>
    </r>
    <r>
      <rPr>
        <rFont val="Poppins"/>
        <sz val="7.0"/>
      </rPr>
      <t xml:space="preserve">and ML, Agritech and Farming </t>
    </r>
    <r>
      <rPr>
        <rFont val="Poppins"/>
        <b/>
        <sz val="7.0"/>
      </rPr>
      <t xml:space="preserve">+26 </t>
    </r>
    <r>
      <rPr>
        <rFont val="Poppins"/>
        <sz val="7.0"/>
      </rPr>
      <t xml:space="preserve">more categories.
- [Maturity Focus = Emerging] &gt; Data manager judgement &gt; They have not publicly disclosed their maturity focus but the rest of the criteria aligns with your IIP. </t>
    </r>
    <r>
      <rPr>
        <rFont val="Poppins"/>
        <b/>
        <sz val="7.0"/>
      </rPr>
      <t>#DemandCreation.</t>
    </r>
  </si>
  <si>
    <t>Bajrang Singh</t>
  </si>
  <si>
    <t>Bajrang</t>
  </si>
  <si>
    <t>Singh</t>
  </si>
  <si>
    <t>bajrang.singh@wamicapital.com</t>
  </si>
  <si>
    <t>https://www.linkedin.com/in/bajrang-singh-b7339417/</t>
  </si>
  <si>
    <t>Opus Capital Partners</t>
  </si>
  <si>
    <t>https://ocphk.com/strategy</t>
  </si>
  <si>
    <r>
      <rPr>
        <rFont val="Poppins"/>
        <sz val="7.0"/>
      </rPr>
      <t xml:space="preserve">-[Asset class = Funds-VC] &gt; Website &gt;"...We back founders and </t>
    </r>
    <r>
      <rPr>
        <rFont val="Poppins"/>
        <b/>
        <color rgb="FF1155CC"/>
        <sz val="7.0"/>
        <u/>
      </rPr>
      <t>funds</t>
    </r>
    <r>
      <rPr>
        <rFont val="Poppins"/>
        <sz val="7.0"/>
      </rPr>
      <t xml:space="preserve"> that are building the infrastructure and applications of the AI age.  Early-stage </t>
    </r>
    <r>
      <rPr>
        <rFont val="Poppins"/>
        <b/>
        <color rgb="FF1155CC"/>
        <sz val="7.0"/>
        <u/>
      </rPr>
      <t>Venture Capital</t>
    </r>
    <r>
      <rPr>
        <rFont val="Poppins"/>
        <sz val="7.0"/>
      </rPr>
      <t>..." 
-[Sector investment focus] &gt; Website &gt; "...</t>
    </r>
    <r>
      <rPr>
        <rFont val="Poppins"/>
        <b/>
        <color rgb="FF1155CC"/>
        <sz val="7.0"/>
        <u/>
      </rPr>
      <t>Artificial Intelligence</t>
    </r>
    <r>
      <rPr>
        <rFont val="Poppins"/>
        <sz val="7.0"/>
      </rPr>
      <t xml:space="preserve"> Infrastructure Robotics &amp; Automation Biotech &amp; Longevity..."
-[Region investment focus] &gt; Website &gt; "...Investments spanning </t>
    </r>
    <r>
      <rPr>
        <rFont val="Poppins"/>
        <b/>
        <sz val="7.0"/>
      </rPr>
      <t>Asia</t>
    </r>
    <r>
      <rPr>
        <rFont val="Poppins"/>
        <sz val="7.0"/>
      </rPr>
      <t xml:space="preserve">, </t>
    </r>
    <r>
      <rPr>
        <rFont val="Poppins"/>
        <b/>
        <color rgb="FF1155CC"/>
        <sz val="7.0"/>
        <u/>
      </rPr>
      <t>North America</t>
    </r>
    <r>
      <rPr>
        <rFont val="Poppins"/>
        <sz val="7.0"/>
      </rPr>
      <t xml:space="preserve"> and Europe..."
- [Maturity Focus = Emerging] &gt; Data manager judgement &gt; They have not publicly disclosed their maturity focus but the rest of the criteria aligns with your IIP. </t>
    </r>
    <r>
      <rPr>
        <rFont val="Poppins"/>
        <b/>
        <sz val="7.0"/>
      </rPr>
      <t>#DemandCreation.</t>
    </r>
  </si>
  <si>
    <t>Kevin Sample</t>
  </si>
  <si>
    <t>Sample</t>
  </si>
  <si>
    <t>kevin@ocpllc.net</t>
  </si>
  <si>
    <t>https://www.linkedin.com/in/kevinsampletransactions/</t>
  </si>
  <si>
    <t>Moses Capital</t>
  </si>
  <si>
    <t>https://mosescapital.com/</t>
  </si>
  <si>
    <r>
      <rPr>
        <rFont val="Poppins"/>
        <sz val="7.0"/>
      </rPr>
      <t xml:space="preserve">- [Asset Class = Funds - VC] &gt; Website &gt; "...High-conviction capital to early-stage </t>
    </r>
    <r>
      <rPr>
        <rFont val="Poppins"/>
        <b/>
        <color rgb="FF1155CC"/>
        <sz val="7.0"/>
        <u/>
      </rPr>
      <t>VC managers</t>
    </r>
    <r>
      <rPr>
        <rFont val="Poppins"/>
        <sz val="7.0"/>
      </rPr>
      <t xml:space="preserve">..."
- [Region Investment Focus] &gt; Website &gt; "...Diversification by </t>
    </r>
    <r>
      <rPr>
        <rFont val="Poppins"/>
        <b/>
        <color rgb="FF1155CC"/>
        <sz val="7.0"/>
        <u/>
      </rPr>
      <t>geo</t>
    </r>
    <r>
      <rPr>
        <rFont val="Poppins"/>
        <sz val="7.0"/>
      </rPr>
      <t xml:space="preserve"> and sector..."
- [Sector Investment Focus] &gt; Website &gt; Their website also graphically confirms sectors like Internet &amp; Software Services, Cybersecurity, </t>
    </r>
    <r>
      <rPr>
        <rFont val="Poppins"/>
        <b/>
        <color rgb="FF1155CC"/>
        <sz val="7.0"/>
        <u/>
      </rPr>
      <t>AI</t>
    </r>
    <r>
      <rPr>
        <rFont val="Poppins"/>
        <sz val="7.0"/>
      </rPr>
      <t xml:space="preserve">, </t>
    </r>
    <r>
      <rPr>
        <rFont val="Poppins"/>
        <b/>
        <sz val="7.0"/>
      </rPr>
      <t>DeepTech</t>
    </r>
    <r>
      <rPr>
        <rFont val="Poppins"/>
        <sz val="7.0"/>
      </rPr>
      <t xml:space="preserve">, and more.
- [Maturity Focus = Emerging] &gt; Website "...Balance experienced and </t>
    </r>
    <r>
      <rPr>
        <rFont val="Poppins"/>
        <b/>
        <color rgb="FF1155CC"/>
        <sz val="7.0"/>
        <u/>
      </rPr>
      <t>emerging managers</t>
    </r>
    <r>
      <rPr>
        <rFont val="Poppins"/>
        <sz val="7.0"/>
      </rPr>
      <t>..."</t>
    </r>
  </si>
  <si>
    <t>David Kobakhidze</t>
  </si>
  <si>
    <t>Kobakhidze</t>
  </si>
  <si>
    <t>david@mosescapital.com</t>
  </si>
  <si>
    <t>https://www.linkedin.com/in/david-kobakhidze-307a2b165/</t>
  </si>
  <si>
    <t>Bedrox Capital</t>
  </si>
  <si>
    <t>https://www.bedroxcap.com/</t>
  </si>
  <si>
    <r>
      <rPr>
        <rFont val="Poppins"/>
        <sz val="7.0"/>
      </rPr>
      <t xml:space="preserve">- [Asset class = Funds - VC] &gt; Website &gt; "...portfolio includes public equities alongside both direct and </t>
    </r>
    <r>
      <rPr>
        <rFont val="Poppins"/>
        <b/>
        <sz val="7.0"/>
      </rPr>
      <t xml:space="preserve">indirect </t>
    </r>
    <r>
      <rPr>
        <rFont val="Poppins"/>
        <sz val="7.0"/>
      </rPr>
      <t xml:space="preserve">investments in </t>
    </r>
    <r>
      <rPr>
        <rFont val="Poppins"/>
        <b/>
        <color rgb="FF1155CC"/>
        <sz val="7.0"/>
        <u/>
      </rPr>
      <t xml:space="preserve">venture capital </t>
    </r>
    <r>
      <rPr>
        <rFont val="Poppins"/>
        <sz val="7.0"/>
      </rPr>
      <t xml:space="preserve">and private equity..."
- [Sector investment focus] &gt; Website + Data manager judgement &gt; "...A </t>
    </r>
    <r>
      <rPr>
        <rFont val="Poppins"/>
        <b/>
        <color rgb="FF1155CC"/>
        <sz val="7.0"/>
        <u/>
      </rPr>
      <t xml:space="preserve">Diversified </t>
    </r>
    <r>
      <rPr>
        <rFont val="Poppins"/>
        <sz val="7.0"/>
      </rPr>
      <t xml:space="preserve">Portfolio..." + They have invested in spaceX which focus on </t>
    </r>
    <r>
      <rPr>
        <rFont val="Poppins"/>
        <b/>
        <color rgb="FF1155CC"/>
        <sz val="7.0"/>
        <u/>
      </rPr>
      <t>AI</t>
    </r>
    <r>
      <rPr>
        <rFont val="Poppins"/>
        <sz val="7.0"/>
      </rPr>
      <t xml:space="preserve">, </t>
    </r>
    <r>
      <rPr>
        <rFont val="Poppins"/>
        <b/>
        <sz val="7.0"/>
      </rPr>
      <t>Defense tech</t>
    </r>
    <r>
      <rPr>
        <rFont val="Poppins"/>
        <sz val="7.0"/>
      </rPr>
      <t xml:space="preserve">, </t>
    </r>
    <r>
      <rPr>
        <rFont val="Poppins"/>
        <b/>
        <sz val="7.0"/>
      </rPr>
      <t xml:space="preserve">technology </t>
    </r>
    <r>
      <rPr>
        <rFont val="Poppins"/>
        <sz val="7.0"/>
      </rPr>
      <t xml:space="preserve">etc.
- [Region investment focus] &gt; Website &gt; "...managing a </t>
    </r>
    <r>
      <rPr>
        <rFont val="Poppins"/>
        <b/>
        <color rgb="FF1155CC"/>
        <sz val="7.0"/>
        <u/>
      </rPr>
      <t xml:space="preserve">globally </t>
    </r>
    <r>
      <rPr>
        <rFont val="Poppins"/>
        <sz val="7.0"/>
      </rPr>
      <t xml:space="preserve">diversified portfolio..."
- [Maturity Focus = Emerging] &gt; Data manager judgement &gt; They have not publicly disclosed their maturity focus but the rest of the criteria aligns with your IIP. </t>
    </r>
    <r>
      <rPr>
        <rFont val="Poppins"/>
        <b/>
        <sz val="7.0"/>
      </rPr>
      <t>#DemandCreation.</t>
    </r>
  </si>
  <si>
    <t>website says leading managers not emerging managers</t>
  </si>
  <si>
    <t>Volpini Ventures</t>
  </si>
  <si>
    <t>https://www.volpiniventures.com/</t>
  </si>
  <si>
    <r>
      <rPr>
        <rFont val="Poppins"/>
        <sz val="7.0"/>
      </rPr>
      <t xml:space="preserve">- [Asset class = Funds - VC] &gt; Data manager judgement &gt; Their portfolio consists of </t>
    </r>
    <r>
      <rPr>
        <rFont val="Poppins"/>
        <b/>
        <color rgb="FF1155CC"/>
        <sz val="7.0"/>
        <u/>
      </rPr>
      <t>VC Funds</t>
    </r>
    <r>
      <rPr>
        <rFont val="Poppins"/>
        <b/>
        <sz val="7.0"/>
      </rPr>
      <t xml:space="preserve"> </t>
    </r>
    <r>
      <rPr>
        <rFont val="Poppins"/>
        <sz val="7.0"/>
      </rPr>
      <t xml:space="preserve">ex: </t>
    </r>
    <r>
      <rPr>
        <rFont val="Poppins"/>
        <b/>
        <sz val="7.0"/>
      </rPr>
      <t>grids capital, 7percent ventures, etc.</t>
    </r>
    <r>
      <rPr>
        <rFont val="Poppins"/>
        <sz val="7.0"/>
      </rPr>
      <t xml:space="preserve">
- [Sector investment focus] &gt; Data manager judgement &gt; Their portfolio consists of VC funds which focus on defense tech, </t>
    </r>
    <r>
      <rPr>
        <rFont val="Poppins"/>
        <b/>
        <color rgb="FF1155CC"/>
        <sz val="7.0"/>
        <u/>
      </rPr>
      <t>AI</t>
    </r>
    <r>
      <rPr>
        <rFont val="Poppins"/>
        <sz val="7.0"/>
      </rPr>
      <t xml:space="preserve">, </t>
    </r>
    <r>
      <rPr>
        <rFont val="Poppins"/>
        <b/>
        <sz val="7.0"/>
      </rPr>
      <t>Robotics</t>
    </r>
    <r>
      <rPr>
        <rFont val="Poppins"/>
        <sz val="7.0"/>
      </rPr>
      <t xml:space="preserve">, Life Sciences, Tech Infrastructure, Advanced Materials, </t>
    </r>
    <r>
      <rPr>
        <rFont val="Poppins"/>
        <b/>
        <sz val="7.0"/>
      </rPr>
      <t>deeptech</t>
    </r>
    <r>
      <rPr>
        <rFont val="Poppins"/>
        <sz val="7.0"/>
      </rPr>
      <t xml:space="preserve">, etc, ex: grids capital, 7percent ventures, grids capital, etc.
- [Region investment focus] &gt; Data manager judgement &gt; Their portfolio consists of VC funds based in </t>
    </r>
    <r>
      <rPr>
        <rFont val="Poppins"/>
        <b/>
        <color rgb="FF1155CC"/>
        <sz val="7.0"/>
        <u/>
      </rPr>
      <t>North America</t>
    </r>
    <r>
      <rPr>
        <rFont val="Poppins"/>
        <b/>
        <sz val="7.0"/>
      </rPr>
      <t xml:space="preserve"> </t>
    </r>
    <r>
      <rPr>
        <rFont val="Poppins"/>
        <sz val="7.0"/>
      </rPr>
      <t xml:space="preserve">ex: </t>
    </r>
    <r>
      <rPr>
        <rFont val="Poppins"/>
        <b/>
        <sz val="7.0"/>
      </rPr>
      <t xml:space="preserve">grids capital, 7percent ventures, etc.
</t>
    </r>
    <r>
      <rPr>
        <rFont val="Poppins"/>
        <sz val="7.0"/>
      </rPr>
      <t xml:space="preserve">- [Maturity Focus = Emerging] &gt; Data manager judgement &gt; They have not publicly disclosed their maturity focus but the rest of the criteria aligns with your IIP. </t>
    </r>
    <r>
      <rPr>
        <rFont val="Poppins"/>
        <b/>
        <sz val="7.0"/>
      </rPr>
      <t>#DemandCreation.</t>
    </r>
  </si>
  <si>
    <t>Mateus Paiva Lambranho</t>
  </si>
  <si>
    <t>Mateus</t>
  </si>
  <si>
    <t>Paiva Lambranho</t>
  </si>
  <si>
    <t>mlambranho@gmail.com
mateus@hypr.agency</t>
  </si>
  <si>
    <t>https://www.linkedin.com/in/mateus-paiva-lambranho-192594b1/</t>
  </si>
  <si>
    <t>Bili Capital</t>
  </si>
  <si>
    <t>https://www.bilicap.com/</t>
  </si>
  <si>
    <r>
      <rPr>
        <rFont val="Poppins"/>
        <sz val="7.0"/>
      </rPr>
      <t xml:space="preserve">- [Asset class = Funds-VC] &gt; Portfolio &gt; Their portfolio consists of </t>
    </r>
    <r>
      <rPr>
        <rFont val="Poppins"/>
        <b/>
        <color rgb="FF1155CC"/>
        <sz val="7.0"/>
        <u/>
      </rPr>
      <t>VC Funds</t>
    </r>
    <r>
      <rPr>
        <rFont val="Poppins"/>
        <sz val="7.0"/>
      </rPr>
      <t xml:space="preserve">, ex: </t>
    </r>
    <r>
      <rPr>
        <rFont val="Poppins"/>
        <b/>
        <sz val="7.0"/>
      </rPr>
      <t>Lightspeed, Lux Capital, Cherry Ventures.</t>
    </r>
    <r>
      <rPr>
        <rFont val="Poppins"/>
        <sz val="7.0"/>
      </rPr>
      <t xml:space="preserve">
- [Sector investment focus] &gt; Data manager judgement &gt; Their investments focus on </t>
    </r>
    <r>
      <rPr>
        <rFont val="Poppins"/>
        <b/>
        <color rgb="FF1155CC"/>
        <sz val="7.0"/>
        <u/>
      </rPr>
      <t>AI</t>
    </r>
    <r>
      <rPr>
        <rFont val="Poppins"/>
        <sz val="7.0"/>
      </rPr>
      <t xml:space="preserve">, Space Tech, Fintech, Industrial Tech, Health Tech, etc, </t>
    </r>
    <r>
      <rPr>
        <rFont val="Poppins"/>
        <b/>
        <sz val="7.0"/>
      </rPr>
      <t>ex: Headline, Lux Capital, Cherry Ventures.</t>
    </r>
    <r>
      <rPr>
        <rFont val="Poppins"/>
        <sz val="7.0"/>
      </rPr>
      <t xml:space="preserve">
- [Region investment focus] &gt; Website &gt; "...established partnerships with prominent asset managers across the</t>
    </r>
    <r>
      <rPr>
        <rFont val="Poppins"/>
        <b/>
        <sz val="7.0"/>
      </rPr>
      <t xml:space="preserve"> </t>
    </r>
    <r>
      <rPr>
        <rFont val="Poppins"/>
        <b/>
        <color rgb="FF1155CC"/>
        <sz val="7.0"/>
        <u/>
      </rPr>
      <t xml:space="preserve">US </t>
    </r>
    <r>
      <rPr>
        <rFont val="Poppins"/>
        <sz val="7.0"/>
      </rPr>
      <t xml:space="preserve">and Europe..."
- [Maturity Focus = Emerging] &gt; Data manager judgement &gt; They have not publicly disclosed their maturity focus but the rest of the criteria aligns with your IIP. </t>
    </r>
    <r>
      <rPr>
        <rFont val="Poppins"/>
        <b/>
        <sz val="7.0"/>
      </rPr>
      <t>#DemandCreation.</t>
    </r>
  </si>
  <si>
    <t>Manager</t>
  </si>
  <si>
    <t>Anton Savin</t>
  </si>
  <si>
    <t>Anton</t>
  </si>
  <si>
    <t>Savin</t>
  </si>
  <si>
    <t>anton@biliuk.com</t>
  </si>
  <si>
    <t>https://www.linkedin.com/in/anton-savin-balashov-382b7531/</t>
  </si>
  <si>
    <t>Paeonia Ventures</t>
  </si>
  <si>
    <t>https://www.paeonia.com.sg/</t>
  </si>
  <si>
    <t>Portfolio, LinkedIn, Data manager judgement</t>
  </si>
  <si>
    <r>
      <rPr>
        <rFont val="Poppins"/>
        <sz val="7.0"/>
      </rPr>
      <t xml:space="preserve">- [Asset Class = Funds - VC] &gt; Data manager judgement &gt; Their portfolio consists of </t>
    </r>
    <r>
      <rPr>
        <rFont val="Poppins"/>
        <b/>
        <color rgb="FF1155CC"/>
        <sz val="7.0"/>
        <u/>
      </rPr>
      <t>VC Funds</t>
    </r>
    <r>
      <rPr>
        <rFont val="Poppins"/>
        <sz val="7.0"/>
      </rPr>
      <t xml:space="preserve">, ex: </t>
    </r>
    <r>
      <rPr>
        <rFont val="Poppins"/>
        <b/>
        <sz val="7.0"/>
      </rPr>
      <t xml:space="preserve">Alpha JWC Venture, Boost VC, etc.
</t>
    </r>
    <r>
      <rPr>
        <rFont val="Poppins"/>
        <sz val="7.0"/>
      </rPr>
      <t xml:space="preserve">- [Sector investment focus] &gt; Data manager judgement + Linkedin &gt; Their portfolio consists of investments which focus on </t>
    </r>
    <r>
      <rPr>
        <rFont val="Poppins"/>
        <b/>
        <color rgb="FF1155CC"/>
        <sz val="7.0"/>
        <u/>
      </rPr>
      <t>AI</t>
    </r>
    <r>
      <rPr>
        <rFont val="Poppins"/>
        <sz val="7.0"/>
      </rPr>
      <t xml:space="preserve">, </t>
    </r>
    <r>
      <rPr>
        <rFont val="Poppins"/>
        <b/>
        <sz val="7.0"/>
      </rPr>
      <t>technology</t>
    </r>
    <r>
      <rPr>
        <rFont val="Poppins"/>
        <sz val="7.0"/>
      </rPr>
      <t xml:space="preserve">, SaaS, consumer etc, ex: boost VC, AC ventures.+ Leveraging its global network of partners, the group actively pursues investment opportunities in </t>
    </r>
    <r>
      <rPr>
        <rFont val="Poppins"/>
        <b/>
        <color rgb="FF1155CC"/>
        <sz val="7.0"/>
        <u/>
      </rPr>
      <t>deep tech</t>
    </r>
    <r>
      <rPr>
        <rFont val="Poppins"/>
        <sz val="7.0"/>
      </rPr>
      <t xml:space="preserve"> start-ups and university spinouts with strategic alignment with its core businesses.</t>
    </r>
    <r>
      <rPr>
        <rFont val="Poppins"/>
        <b/>
        <sz val="7.0"/>
      </rPr>
      <t xml:space="preserve">
</t>
    </r>
    <r>
      <rPr>
        <rFont val="Poppins"/>
        <sz val="7.0"/>
      </rPr>
      <t xml:space="preserve">- [Region investment focus] &gt; Data manager judgement &gt; Their portfolio funds are  located in Europe, </t>
    </r>
    <r>
      <rPr>
        <rFont val="Poppins"/>
        <b/>
        <color rgb="FF1155CC"/>
        <sz val="7.0"/>
        <u/>
      </rPr>
      <t xml:space="preserve">North America </t>
    </r>
    <r>
      <rPr>
        <rFont val="Poppins"/>
        <sz val="7.0"/>
      </rPr>
      <t xml:space="preserve">and </t>
    </r>
    <r>
      <rPr>
        <rFont val="Poppins"/>
        <b/>
        <sz val="7.0"/>
      </rPr>
      <t>Asia</t>
    </r>
    <r>
      <rPr>
        <rFont val="Poppins"/>
        <sz val="7.0"/>
      </rPr>
      <t xml:space="preserve">, ex: Cambridge Innovation Capital, General Atlantic, boost VC, etc.
- [Maturity Focus = Emerging] &gt; Data manager judgement &gt; They have not publicly disclosed their maturity focus but the rest of the criteria aligns with your IIP. </t>
    </r>
    <r>
      <rPr>
        <rFont val="Poppins"/>
        <b/>
        <sz val="7.0"/>
      </rPr>
      <t>#DemandCreation.</t>
    </r>
  </si>
  <si>
    <t>Gerald Toh</t>
  </si>
  <si>
    <t>Gerald</t>
  </si>
  <si>
    <t>Toh</t>
  </si>
  <si>
    <t>gerald@paeonia.com.sg</t>
  </si>
  <si>
    <t>https://www.linkedin.com/in/gerald-toh/</t>
  </si>
  <si>
    <t>MBS Global Investments</t>
  </si>
  <si>
    <t>https://www.mbs.investments/</t>
  </si>
  <si>
    <r>
      <rPr>
        <rFont val="Poppins"/>
        <sz val="7.0"/>
      </rPr>
      <t xml:space="preserve">- [Asset Class = Fund - VC] &gt; Portfolio &gt; Their portfolio confirms that they invest in </t>
    </r>
    <r>
      <rPr>
        <rFont val="Poppins"/>
        <b/>
        <color rgb="FF1155CC"/>
        <sz val="7.0"/>
        <u/>
      </rPr>
      <t>VC Funds</t>
    </r>
    <r>
      <rPr>
        <rFont val="Poppins"/>
        <sz val="7.0"/>
      </rPr>
      <t>, ex:</t>
    </r>
    <r>
      <rPr>
        <rFont val="Poppins"/>
        <b/>
        <sz val="7.0"/>
      </rPr>
      <t xml:space="preserve"> Varys Capital, etc.</t>
    </r>
    <r>
      <rPr>
        <rFont val="Poppins"/>
        <sz val="7.0"/>
      </rPr>
      <t xml:space="preserve">
- [Region Investment Focus] &gt; Website &gt; "...</t>
    </r>
    <r>
      <rPr>
        <rFont val="Poppins"/>
        <b/>
        <color rgb="FF1155CC"/>
        <sz val="7.0"/>
        <u/>
      </rPr>
      <t>global</t>
    </r>
    <r>
      <rPr>
        <rFont val="Poppins"/>
        <sz val="7.0"/>
      </rPr>
      <t xml:space="preserve"> investment within our specialist sectors
Real Estate, Finance, and Technology..."
- [Sector Investment Focus] &gt; Website &gt; "...with a focus on </t>
    </r>
    <r>
      <rPr>
        <rFont val="Poppins"/>
        <b/>
        <color rgb="FF1155CC"/>
        <sz val="7.0"/>
        <u/>
      </rPr>
      <t>artificial intelligence</t>
    </r>
    <r>
      <rPr>
        <rFont val="Poppins"/>
        <sz val="7.0"/>
      </rPr>
      <t xml:space="preserve">, blockchain, and emerging digital infrastructure..."
- [Maturity Focus = Emerging] &gt; Data manager judgement &gt; They have not publicly disclosed their maturity focus but the rest of the criteria aligns with your IIP. </t>
    </r>
    <r>
      <rPr>
        <rFont val="Poppins"/>
        <b/>
        <sz val="7.0"/>
      </rPr>
      <t>#DemandCreation.</t>
    </r>
  </si>
  <si>
    <t>Franck Bruno Lopez</t>
  </si>
  <si>
    <t>Franck</t>
  </si>
  <si>
    <t>Bruno Lopez</t>
  </si>
  <si>
    <t>fl@mbs.investments</t>
  </si>
  <si>
    <t>https://www.linkedin.com/in/franck-bruno-lopez-4998162/</t>
  </si>
  <si>
    <t>Winterberg Group</t>
  </si>
  <si>
    <t>https://winterberg.group/#home</t>
  </si>
  <si>
    <r>
      <rPr>
        <rFont val="Poppins"/>
        <sz val="7.0"/>
      </rPr>
      <t xml:space="preserve">- [Asset class = Funds - VC] &gt; Website + Data manager judgement &gt; "...Winterberg Group has a global presence in Europe and emerging markets with offices in Zurich. It invests in various Asset classes, such as private equity, </t>
    </r>
    <r>
      <rPr>
        <rFont val="Poppins"/>
        <b/>
        <color rgb="FF1155CC"/>
        <sz val="7.0"/>
        <u/>
      </rPr>
      <t>venture capital</t>
    </r>
    <r>
      <rPr>
        <rFont val="Poppins"/>
        <sz val="7.0"/>
      </rPr>
      <t xml:space="preserve">, real estate and public equities..." + They have </t>
    </r>
    <r>
      <rPr>
        <rFont val="Poppins"/>
        <b/>
        <color rgb="FF1155CC"/>
        <sz val="7.0"/>
        <u/>
      </rPr>
      <t>VC Fund</t>
    </r>
    <r>
      <rPr>
        <rFont val="Poppins"/>
        <sz val="7.0"/>
      </rPr>
      <t xml:space="preserve"> investment in their portfolio, </t>
    </r>
    <r>
      <rPr>
        <rFont val="Poppins"/>
        <b/>
        <sz val="7.0"/>
      </rPr>
      <t>ex: Varys Capital.</t>
    </r>
    <r>
      <rPr>
        <rFont val="Poppins"/>
        <sz val="7.0"/>
      </rPr>
      <t xml:space="preserve">
- [Region investment focus] &gt; Website &gt; "...Location: Europe, </t>
    </r>
    <r>
      <rPr>
        <rFont val="Poppins"/>
        <b/>
        <color rgb="FF1155CC"/>
        <sz val="7.0"/>
        <u/>
      </rPr>
      <t>US</t>
    </r>
    <r>
      <rPr>
        <rFont val="Poppins"/>
        <sz val="7.0"/>
      </rPr>
      <t xml:space="preserve">, South Africa..."
- [Sector investment focus] &gt; Website &gt; ''...Start-ups and growth-stage companies in sectors such as fintech, </t>
    </r>
    <r>
      <rPr>
        <rFont val="Poppins"/>
        <b/>
        <color rgb="FF1155CC"/>
        <sz val="7.0"/>
        <u/>
      </rPr>
      <t>artificial intelligence</t>
    </r>
    <r>
      <rPr>
        <rFont val="Poppins"/>
        <sz val="7.0"/>
      </rPr>
      <t xml:space="preserve">, health tech and e-commerce are attracting substantial investments. The Winterberg Group, led by industry expert Fabian Kroeher, has been actively funding innovative ventures in these sectors...''
- [Maturity Focus = Emerging] &gt; Data manager judgement &gt; They have not publicly disclosed their maturity focus but the rest of the criteria aligns with your IIP. </t>
    </r>
    <r>
      <rPr>
        <rFont val="Poppins"/>
        <b/>
        <sz val="7.0"/>
      </rPr>
      <t>#DemandCreation.</t>
    </r>
  </si>
  <si>
    <t>buyout strategy</t>
  </si>
  <si>
    <t>Quonota Investments</t>
  </si>
  <si>
    <t>https://www.quonota.com/industries/</t>
  </si>
  <si>
    <t>Cyprus</t>
  </si>
  <si>
    <r>
      <rPr>
        <rFont val="Poppins"/>
        <sz val="7.0"/>
      </rPr>
      <t xml:space="preserve">- [Asset class = Funds - VC] &gt; Website &gt; "... Quonota supports early-stage, tech-enabled companies with top-tier seed and </t>
    </r>
    <r>
      <rPr>
        <rFont val="Poppins"/>
        <b/>
        <color rgb="FF1155CC"/>
        <sz val="7.0"/>
        <u/>
      </rPr>
      <t>VC Funds</t>
    </r>
    <r>
      <rPr>
        <rFont val="Poppins"/>
        <sz val="7.0"/>
      </rPr>
      <t>..." 
- [Sector investment focus] &gt; Website &gt; "...</t>
    </r>
    <r>
      <rPr>
        <rFont val="Poppins"/>
        <b/>
        <color rgb="FF1155CC"/>
        <sz val="7.0"/>
        <u/>
      </rPr>
      <t>AI</t>
    </r>
    <r>
      <rPr>
        <rFont val="Poppins"/>
        <sz val="7.0"/>
      </rPr>
      <t xml:space="preserve">, Web3.0 and blockchain, </t>
    </r>
    <r>
      <rPr>
        <rFont val="Poppins"/>
        <b/>
        <sz val="7.0"/>
      </rPr>
      <t>space tech</t>
    </r>
    <r>
      <rPr>
        <rFont val="Poppins"/>
        <sz val="7.0"/>
      </rPr>
      <t xml:space="preserve">, </t>
    </r>
    <r>
      <rPr>
        <rFont val="Poppins"/>
        <b/>
        <sz val="7.0"/>
      </rPr>
      <t>fintech</t>
    </r>
    <r>
      <rPr>
        <rFont val="Poppins"/>
        <sz val="7.0"/>
      </rPr>
      <t xml:space="preserve">, biotech, agtech, smart tech, wellness and health..."
- [Region investment focus] &gt; Website &gt; "...We do not have restrictive criteria because we’re willing to explore </t>
    </r>
    <r>
      <rPr>
        <rFont val="Poppins"/>
        <b/>
        <sz val="7.0"/>
      </rPr>
      <t xml:space="preserve">all kinds </t>
    </r>
    <r>
      <rPr>
        <rFont val="Poppins"/>
        <sz val="7.0"/>
      </rPr>
      <t xml:space="preserve">of opportunities, across every industry, deal size and </t>
    </r>
    <r>
      <rPr>
        <rFont val="Poppins"/>
        <b/>
        <color rgb="FF1155CC"/>
        <sz val="7.0"/>
        <u/>
      </rPr>
      <t>geographical area</t>
    </r>
    <r>
      <rPr>
        <rFont val="Poppins"/>
        <sz val="7.0"/>
      </rPr>
      <t xml:space="preserve">..."
- [Maturity Focus = Emerging] &gt; Data manager judgement &gt; They have not publicly disclosed their maturity focus but the rest of the criteria aligns with your IIP. </t>
    </r>
    <r>
      <rPr>
        <rFont val="Poppins"/>
        <b/>
        <sz val="7.0"/>
      </rPr>
      <t>#DemandCreation.</t>
    </r>
  </si>
  <si>
    <t>Ekaterina Zubtsova</t>
  </si>
  <si>
    <t>Ekaterina</t>
  </si>
  <si>
    <t>Zubtsova</t>
  </si>
  <si>
    <t>ekaterina@quonota.com</t>
  </si>
  <si>
    <t>https://www.linkedin.com/in/ekaterina-zubtsova/</t>
  </si>
  <si>
    <t>Crosspring</t>
  </si>
  <si>
    <t>https://www.crosspring.com/</t>
  </si>
  <si>
    <r>
      <rPr>
        <rFont val="Poppins"/>
        <sz val="7.0"/>
      </rPr>
      <t xml:space="preserve">- [Asset Class = Funds - VC] &gt; Website &gt; ''...We do this by investing directly in companies or in </t>
    </r>
    <r>
      <rPr>
        <rFont val="Poppins"/>
        <b/>
        <color rgb="FF1155CC"/>
        <sz val="7.0"/>
        <u/>
      </rPr>
      <t xml:space="preserve">VC </t>
    </r>
    <r>
      <rPr>
        <rFont val="Poppins"/>
        <sz val="7.0"/>
      </rPr>
      <t xml:space="preserve"> and PE </t>
    </r>
    <r>
      <rPr>
        <rFont val="Poppins"/>
        <b/>
        <sz val="7.0"/>
      </rPr>
      <t>funds</t>
    </r>
    <r>
      <rPr>
        <rFont val="Poppins"/>
        <sz val="7.0"/>
      </rPr>
      <t xml:space="preserve">...''
- [Region Investment Focus] &gt; Website &gt; ''...We usually partner with (local) companies, governments, universities and institutes like EU, </t>
    </r>
    <r>
      <rPr>
        <rFont val="Poppins"/>
        <b/>
        <color rgb="FF1155CC"/>
        <sz val="7.0"/>
        <u/>
      </rPr>
      <t xml:space="preserve">US </t>
    </r>
    <r>
      <rPr>
        <rFont val="Poppins"/>
        <sz val="7.0"/>
      </rPr>
      <t>aid and many others...''</t>
    </r>
    <r>
      <rPr>
        <rFont val="Poppins"/>
        <b/>
        <sz val="7.0"/>
      </rPr>
      <t xml:space="preserve">
</t>
    </r>
    <r>
      <rPr>
        <rFont val="Poppins"/>
        <sz val="7.0"/>
      </rPr>
      <t xml:space="preserve">- [Sector Investment Focus] &gt; Private data provider &gt; They are active in the fields of FinTech, </t>
    </r>
    <r>
      <rPr>
        <rFont val="Poppins"/>
        <b/>
        <color rgb="FF1155CC"/>
        <sz val="7.0"/>
        <u/>
      </rPr>
      <t>AI</t>
    </r>
    <r>
      <rPr>
        <rFont val="Poppins"/>
        <sz val="7.0"/>
      </rPr>
      <t xml:space="preserve">, B2B SaaS, Cyber Security, AgriTech, AR/VR, Food, and Horti-tech.
- [Maturity Focus = Emerging] &gt; Website &gt; "...If you're a </t>
    </r>
    <r>
      <rPr>
        <rFont val="Poppins"/>
        <b/>
        <sz val="7.0"/>
      </rPr>
      <t>startup founder seeking investment or general partner with a new fund</t>
    </r>
    <r>
      <rPr>
        <rFont val="Poppins"/>
        <sz val="7.0"/>
      </rPr>
      <t xml:space="preserve">, please reach out to us. Let's explore how we can help accelerate your journey..." This indicates they are open to </t>
    </r>
    <r>
      <rPr>
        <rFont val="Poppins"/>
        <b/>
        <color rgb="FF1155CC"/>
        <sz val="7.0"/>
        <u/>
      </rPr>
      <t>emerging manager investments</t>
    </r>
    <r>
      <rPr>
        <rFont val="Poppins"/>
        <b/>
        <sz val="7.0"/>
      </rPr>
      <t>.</t>
    </r>
  </si>
  <si>
    <t>Maurice Beckand Verwee</t>
  </si>
  <si>
    <t>Maurice</t>
  </si>
  <si>
    <t>Beckand Verwee</t>
  </si>
  <si>
    <t>maurice@crosspring.com</t>
  </si>
  <si>
    <t>http://www.linkedin.com/in/mauricebv</t>
  </si>
  <si>
    <t>Lagoon Capital</t>
  </si>
  <si>
    <t>https://lagooncapital.fi/investment-criteria/</t>
  </si>
  <si>
    <t>Website, Data manager judgement, Portfolio, Private data provider</t>
  </si>
  <si>
    <r>
      <rPr>
        <rFont val="Poppins"/>
        <sz val="7.0"/>
      </rPr>
      <t xml:space="preserve">- [Asset class = Funds - VC] &gt; Data manager judgement &gt; Their portfolio consists of </t>
    </r>
    <r>
      <rPr>
        <rFont val="Poppins"/>
        <b/>
        <color rgb="FF1155CC"/>
        <sz val="7.0"/>
        <u/>
      </rPr>
      <t>VC Funds</t>
    </r>
    <r>
      <rPr>
        <rFont val="Poppins"/>
        <sz val="7.0"/>
      </rPr>
      <t xml:space="preserve">. ex: Manhattan venture partners, GP bullhound, spintop ventures.
- [Sector investment focus] &gt;  Website + Private data provider &gt; "...I’m interested in </t>
    </r>
    <r>
      <rPr>
        <rFont val="Poppins"/>
        <b/>
        <sz val="7.0"/>
      </rPr>
      <t>Technology companies</t>
    </r>
    <r>
      <rPr>
        <rFont val="Poppins"/>
        <sz val="7.0"/>
      </rPr>
      <t xml:space="preserve">, which includes areas such as </t>
    </r>
    <r>
      <rPr>
        <rFont val="Poppins"/>
        <b/>
        <sz val="7.0"/>
      </rPr>
      <t>SaaS, FinTech</t>
    </r>
    <r>
      <rPr>
        <rFont val="Poppins"/>
        <sz val="7.0"/>
      </rPr>
      <t xml:space="preserve">, AdTech, e-Commerce, </t>
    </r>
    <r>
      <rPr>
        <rFont val="Poppins"/>
        <b/>
        <color rgb="FF1155CC"/>
        <sz val="7.0"/>
        <u/>
      </rPr>
      <t>AI</t>
    </r>
    <r>
      <rPr>
        <rFont val="Poppins"/>
        <sz val="7.0"/>
      </rPr>
      <t xml:space="preserve">, IoT, VR/AR, content, marketplaces and games..." + The firm seeks to invest in companies operating in the </t>
    </r>
    <r>
      <rPr>
        <rFont val="Poppins"/>
        <b/>
        <sz val="7.0"/>
      </rPr>
      <t>SaaS, fintech</t>
    </r>
    <r>
      <rPr>
        <rFont val="Poppins"/>
        <sz val="7.0"/>
      </rPr>
      <t xml:space="preserve">, adtech, e-commerce, </t>
    </r>
    <r>
      <rPr>
        <rFont val="Poppins"/>
        <b/>
        <color rgb="FF1155CC"/>
        <sz val="7.0"/>
        <u/>
      </rPr>
      <t>artificial intelligence</t>
    </r>
    <r>
      <rPr>
        <rFont val="Poppins"/>
        <sz val="7.0"/>
      </rPr>
      <t xml:space="preserve">, IoT, VR/AR, content, marketplaces, and game sectors.
- [Region investment focus] &gt; Data manager judgement &gt; Their portfolio consists of funds based in </t>
    </r>
    <r>
      <rPr>
        <rFont val="Poppins"/>
        <b/>
        <color rgb="FF1155CC"/>
        <sz val="7.0"/>
        <u/>
      </rPr>
      <t>North America</t>
    </r>
    <r>
      <rPr>
        <rFont val="Poppins"/>
        <sz val="7.0"/>
      </rPr>
      <t xml:space="preserve">, Europe etc. ex: Manhattan venture partners, GP bullhound, spintop ventures.
- [Maturity Focus = Emerging] &gt; Data manager judgement &gt; They have not publicly disclosed their maturity focus but the rest of the criteria aligns with your IIP. </t>
    </r>
    <r>
      <rPr>
        <rFont val="Poppins"/>
        <b/>
        <sz val="7.0"/>
      </rPr>
      <t>#DemandCreation.</t>
    </r>
  </si>
  <si>
    <t>Juha Korhonen</t>
  </si>
  <si>
    <t>Juha</t>
  </si>
  <si>
    <t>Korhonen</t>
  </si>
  <si>
    <t>juha@lagooncapital.com</t>
  </si>
  <si>
    <t>https://www.linkedin.com/in/juha-korhonen1/</t>
  </si>
  <si>
    <t>MGA Ventures</t>
  </si>
  <si>
    <t>https://mgaventures.in/</t>
  </si>
  <si>
    <t>Portfolio, Private data provider, Data manager judgement</t>
  </si>
  <si>
    <r>
      <rPr>
        <rFont val="Poppins"/>
        <sz val="7.0"/>
      </rPr>
      <t xml:space="preserve">- [Asset Class = Fund - VC] &gt; Private data provider + Portfolio &gt; MGA Ventures is a single-Family Office of the Ashra Family. They focus on public &amp; private equity investments, venture debt &amp; business collaboration opportunities in India &amp; abroad, through investments in public market funds, </t>
    </r>
    <r>
      <rPr>
        <rFont val="Poppins"/>
        <b/>
        <color rgb="FF1155CC"/>
        <sz val="7.0"/>
        <u/>
      </rPr>
      <t xml:space="preserve">private market funds </t>
    </r>
    <r>
      <rPr>
        <rFont val="Poppins"/>
        <sz val="7.0"/>
      </rPr>
      <t xml:space="preserve">and direct investments. + Their portfolio confirms that they invest in </t>
    </r>
    <r>
      <rPr>
        <rFont val="Poppins"/>
        <b/>
        <color rgb="FF1155CC"/>
        <sz val="7.0"/>
        <u/>
      </rPr>
      <t>VC funds</t>
    </r>
    <r>
      <rPr>
        <rFont val="Poppins"/>
        <sz val="7.0"/>
      </rPr>
      <t xml:space="preserve">, ex: True North Ventures Partners, Stride Ventures.
- [Region Investment Focus] &gt; Private data provider + Portfolio &gt; They focus on public &amp; private equity investments, venture debt &amp; business collaboration opportunities in India &amp; </t>
    </r>
    <r>
      <rPr>
        <rFont val="Poppins"/>
        <b/>
        <color rgb="FF1155CC"/>
        <sz val="7.0"/>
        <u/>
      </rPr>
      <t>abroad</t>
    </r>
    <r>
      <rPr>
        <rFont val="Poppins"/>
        <sz val="7.0"/>
      </rPr>
      <t xml:space="preserve">. + Their portfolio confirms that their region focus include </t>
    </r>
    <r>
      <rPr>
        <rFont val="Poppins"/>
        <b/>
        <color rgb="FF1155CC"/>
        <sz val="7.0"/>
        <u/>
      </rPr>
      <t>US</t>
    </r>
    <r>
      <rPr>
        <rFont val="Poppins"/>
        <sz val="7.0"/>
      </rPr>
      <t xml:space="preserve">.
- [Sector Investment Focus] &gt;  Private data provider + Portfolio &gt; Prominent Investment Areas: </t>
    </r>
    <r>
      <rPr>
        <rFont val="Poppins"/>
        <b/>
        <color rgb="FF1155CC"/>
        <sz val="7.0"/>
        <u/>
      </rPr>
      <t xml:space="preserve">AI </t>
    </r>
    <r>
      <rPr>
        <rFont val="Poppins"/>
        <sz val="7.0"/>
      </rPr>
      <t xml:space="preserve">and ML Biotech Community and Lifestyle +19 more categories. + Their portfolio confirms that their sector focus includes </t>
    </r>
    <r>
      <rPr>
        <rFont val="Poppins"/>
        <b/>
        <color rgb="FF1155CC"/>
        <sz val="7.0"/>
        <u/>
      </rPr>
      <t>AI</t>
    </r>
    <r>
      <rPr>
        <rFont val="Poppins"/>
        <sz val="7.0"/>
      </rPr>
      <t xml:space="preserve">, ex: </t>
    </r>
    <r>
      <rPr>
        <rFont val="Poppins"/>
        <b/>
        <sz val="7.0"/>
      </rPr>
      <t xml:space="preserve">RIPIK-AI, etc.
</t>
    </r>
    <r>
      <rPr>
        <rFont val="Poppins"/>
        <sz val="7.0"/>
      </rPr>
      <t xml:space="preserve">- [Maturity Focus = Emerging] &gt; Data manager judgement &gt; They have not publicly disclosed their maturity focus but the rest of the criteria aligns with your IIP. </t>
    </r>
    <r>
      <rPr>
        <rFont val="Poppins"/>
        <b/>
        <sz val="7.0"/>
      </rPr>
      <t>#DemandCreation.</t>
    </r>
  </si>
  <si>
    <t>Aaryaman Kagzi</t>
  </si>
  <si>
    <t>Aaryaman</t>
  </si>
  <si>
    <t>Kagzi</t>
  </si>
  <si>
    <t>aaryamankagzi@mgaventures.in</t>
  </si>
  <si>
    <t>https://www.linkedin.com/in/aaryamankagzi/</t>
  </si>
  <si>
    <t>Praesidium Private Investment Office</t>
  </si>
  <si>
    <t>https://www.praesidium.eu/</t>
  </si>
  <si>
    <r>
      <rPr>
        <rFont val="Poppins"/>
        <sz val="7.0"/>
      </rPr>
      <t xml:space="preserve">- [Asset class = Funds - VC] &gt; Website &gt; "...We provide access to premier opportunities in Private Equity and </t>
    </r>
    <r>
      <rPr>
        <rFont val="Poppins"/>
        <b/>
        <color rgb="FF1155CC"/>
        <sz val="7.0"/>
        <u/>
      </rPr>
      <t>Venture Capital</t>
    </r>
    <r>
      <rPr>
        <rFont val="Poppins"/>
        <sz val="7.0"/>
      </rPr>
      <t>..." + "...</t>
    </r>
    <r>
      <rPr>
        <rFont val="Poppins"/>
        <b/>
        <color rgb="FF1155CC"/>
        <sz val="7.0"/>
        <u/>
      </rPr>
      <t>130+ Fund Investments</t>
    </r>
    <r>
      <rPr>
        <rFont val="Poppins"/>
        <sz val="7.0"/>
      </rPr>
      <t>..."</t>
    </r>
    <r>
      <rPr>
        <rFont val="Poppins"/>
        <b/>
        <sz val="7.0"/>
      </rPr>
      <t xml:space="preserve">
</t>
    </r>
    <r>
      <rPr>
        <rFont val="Poppins"/>
        <sz val="7.0"/>
      </rPr>
      <t xml:space="preserve">- [Sector Investment Focus] &gt; Website &gt; "...Within this space, the sub-sectors of focus are application </t>
    </r>
    <r>
      <rPr>
        <rFont val="Poppins"/>
        <b/>
        <sz val="7.0"/>
      </rPr>
      <t>software, infrastructure software and cybersecurity</t>
    </r>
    <r>
      <rPr>
        <rFont val="Poppins"/>
        <sz val="7.0"/>
      </rPr>
      <t xml:space="preserve">, </t>
    </r>
    <r>
      <rPr>
        <rFont val="Poppins"/>
        <b/>
        <sz val="7.0"/>
      </rPr>
      <t xml:space="preserve">data analytics and </t>
    </r>
    <r>
      <rPr>
        <rFont val="Poppins"/>
        <b/>
        <color rgb="FF1155CC"/>
        <sz val="7.0"/>
        <u/>
      </rPr>
      <t>artificial intelligence</t>
    </r>
    <r>
      <rPr>
        <rFont val="Poppins"/>
        <sz val="7.0"/>
      </rPr>
      <t xml:space="preserve">..."
- [Region Investment Focus] &gt; Website &gt; "...We provide access to premier opportunities in Private Equity and Venture Capital in </t>
    </r>
    <r>
      <rPr>
        <rFont val="Poppins"/>
        <b/>
        <color rgb="FF1155CC"/>
        <sz val="7.0"/>
        <u/>
      </rPr>
      <t>North America</t>
    </r>
    <r>
      <rPr>
        <rFont val="Poppins"/>
        <sz val="7.0"/>
      </rPr>
      <t xml:space="preserve"> and Europe..."
- [Maturity Focus = Emerging] &gt; Data manager judgement &gt; They have not publicly disclosed their maturity focus but the rest of the criteria aligns with your IIP. </t>
    </r>
    <r>
      <rPr>
        <rFont val="Poppins"/>
        <b/>
        <sz val="7.0"/>
      </rPr>
      <t>#DemandCreation.</t>
    </r>
  </si>
  <si>
    <t>Luxempart S.A.</t>
  </si>
  <si>
    <t>https://www.luxempart.lu/</t>
  </si>
  <si>
    <r>
      <rPr>
        <rFont val="Poppins"/>
        <sz val="7.0"/>
      </rPr>
      <t xml:space="preserve">- [Asset class = Funds - VC] &gt; Website &gt; "...Luxempart’s </t>
    </r>
    <r>
      <rPr>
        <rFont val="Poppins"/>
        <b/>
        <sz val="7.0"/>
      </rPr>
      <t xml:space="preserve">Investment Funds </t>
    </r>
    <r>
      <rPr>
        <rFont val="Poppins"/>
        <sz val="7.0"/>
      </rPr>
      <t xml:space="preserve">portfolio is shaped by the strategic repositioning initiated in 2021, driven by a disciplined, long-term vision. Our objective is to partner with best-in-class </t>
    </r>
    <r>
      <rPr>
        <rFont val="Poppins"/>
        <b/>
        <color rgb="FF1155CC"/>
        <sz val="7.0"/>
        <u/>
      </rPr>
      <t>managers</t>
    </r>
    <r>
      <rPr>
        <rFont val="Poppins"/>
        <sz val="7.0"/>
      </rPr>
      <t>..." + "...</t>
    </r>
    <r>
      <rPr>
        <rFont val="Poppins"/>
        <b/>
        <color rgb="FF1155CC"/>
        <sz val="7.0"/>
        <u/>
      </rPr>
      <t>Venture capital exposure</t>
    </r>
    <r>
      <rPr>
        <rFont val="Poppins"/>
        <sz val="7.0"/>
      </rPr>
      <t xml:space="preserve">, which forms part of the historical portfolio..."
- [Sector investment focus] &gt; News article &gt; In the realm of </t>
    </r>
    <r>
      <rPr>
        <rFont val="Poppins"/>
        <b/>
        <color rgb="FF1155CC"/>
        <sz val="7.0"/>
        <u/>
      </rPr>
      <t xml:space="preserve">AI </t>
    </r>
    <r>
      <rPr>
        <rFont val="Poppins"/>
        <sz val="7.0"/>
      </rPr>
      <t xml:space="preserve">investments, Luxempart S.A. has strategically positioned itself to capitalize on the transformative potential of </t>
    </r>
    <r>
      <rPr>
        <rFont val="Poppins"/>
        <b/>
        <sz val="7.0"/>
      </rPr>
      <t>artificial intelligence</t>
    </r>
    <r>
      <rPr>
        <rFont val="Poppins"/>
        <sz val="7.0"/>
      </rPr>
      <t xml:space="preserve">
- [Region investment focus] &gt; Website &gt; "...We aim, in the medium term, to have a geographical diversification as follows: </t>
    </r>
    <r>
      <rPr>
        <rFont val="Poppins"/>
        <b/>
        <color rgb="FF1155CC"/>
        <sz val="7.0"/>
        <u/>
      </rPr>
      <t>North America: ~60%</t>
    </r>
    <r>
      <rPr>
        <rFont val="Poppins"/>
        <sz val="7.0"/>
      </rPr>
      <t xml:space="preserve">..."
- [Maturity Focus = Emerging] &gt; Data manager judgement &gt; They have not publicly disclosed their maturity focus but the rest of the criteria aligns with your IIP. </t>
    </r>
    <r>
      <rPr>
        <rFont val="Poppins"/>
        <b/>
        <sz val="7.0"/>
      </rPr>
      <t>#DemandCreation.</t>
    </r>
  </si>
  <si>
    <t>buyout focus</t>
  </si>
  <si>
    <t>SNV Global</t>
  </si>
  <si>
    <t>https://www.snvglobal.com/</t>
  </si>
  <si>
    <r>
      <rPr>
        <rFont val="Poppins"/>
        <sz val="7.0"/>
      </rPr>
      <t xml:space="preserve">- [Asset class = Funds - VC] &gt; Website &gt; "...We selectively invest in </t>
    </r>
    <r>
      <rPr>
        <rFont val="Poppins"/>
        <b/>
        <color rgb="FF1155CC"/>
        <sz val="7.0"/>
        <u/>
      </rPr>
      <t>VC funds</t>
    </r>
    <r>
      <rPr>
        <rFont val="Poppins"/>
        <sz val="7.0"/>
      </rPr>
      <t xml:space="preserve">..."
- [Sector investment focus] &gt; Website + Data manager judgement &gt; "...We are active in </t>
    </r>
    <r>
      <rPr>
        <rFont val="Poppins"/>
        <b/>
        <color rgb="FF1155CC"/>
        <sz val="7.0"/>
        <u/>
      </rPr>
      <t>disruptive technologies</t>
    </r>
    <r>
      <rPr>
        <rFont val="Poppins"/>
        <color rgb="FF1155CC"/>
        <sz val="7.0"/>
        <u/>
      </rPr>
      <t xml:space="preserve"> </t>
    </r>
    <r>
      <rPr>
        <rFont val="Poppins"/>
        <sz val="7.0"/>
      </rPr>
      <t xml:space="preserve">(fin-tech, climate-tech, prop-tech, food-tech), and various fields including healthcare, education and digital media..." + They have invested in </t>
    </r>
    <r>
      <rPr>
        <rFont val="Poppins"/>
        <b/>
        <color rgb="FF1155CC"/>
        <sz val="7.0"/>
        <u/>
      </rPr>
      <t xml:space="preserve">technology </t>
    </r>
    <r>
      <rPr>
        <rFont val="Poppins"/>
        <sz val="7.0"/>
      </rPr>
      <t xml:space="preserve">and its sub-sectors, also their portfolio confirms investment in </t>
    </r>
    <r>
      <rPr>
        <rFont val="Poppins"/>
        <b/>
        <color rgb="FF1155CC"/>
        <sz val="7.0"/>
        <u/>
      </rPr>
      <t xml:space="preserve">AI </t>
    </r>
    <r>
      <rPr>
        <rFont val="Poppins"/>
        <sz val="7.0"/>
      </rPr>
      <t xml:space="preserve">and Health tech through "Wildcat Venture Partners", hence, worth a shot
- [Region investment focus] &gt; Website &gt; "...ambitious projects and get access in the funding rounds of some of the emerging companies </t>
    </r>
    <r>
      <rPr>
        <rFont val="Poppins"/>
        <b/>
        <color rgb="FF1155CC"/>
        <sz val="7.0"/>
        <u/>
      </rPr>
      <t>globally</t>
    </r>
    <r>
      <rPr>
        <rFont val="Poppins"/>
        <sz val="7.0"/>
      </rPr>
      <t xml:space="preserve">..."
- [Maturity Focus = Emerging] &gt; Data manager judgement &gt; They have not publicly disclosed their maturity focus but the rest of the criteria aligns with your IIP. </t>
    </r>
    <r>
      <rPr>
        <rFont val="Poppins"/>
        <b/>
        <sz val="7.0"/>
      </rPr>
      <t>#DemandCreation.</t>
    </r>
  </si>
  <si>
    <t>Chief Executive Officer</t>
  </si>
  <si>
    <t>Simon O'Connell</t>
  </si>
  <si>
    <t>Simon</t>
  </si>
  <si>
    <t>O'Connell</t>
  </si>
  <si>
    <t>soconnell@snv.org</t>
  </si>
  <si>
    <t>https://www.linkedin.com/in/simon-o-connell-66117972/?originalSubdomain=nl</t>
  </si>
  <si>
    <t>Saber GmbH</t>
  </si>
  <si>
    <t>https://www.saberinvestments.at/</t>
  </si>
  <si>
    <r>
      <rPr>
        <rFont val="Poppins"/>
        <sz val="7.0"/>
      </rPr>
      <t xml:space="preserve">- [Asset class = Funds - VC] &gt; Linkedin &gt; emerged as a sophisticated player in the </t>
    </r>
    <r>
      <rPr>
        <rFont val="Poppins"/>
        <b/>
        <sz val="7.0"/>
      </rPr>
      <t xml:space="preserve">venture </t>
    </r>
    <r>
      <rPr>
        <rFont val="Poppins"/>
        <sz val="7.0"/>
      </rPr>
      <t xml:space="preserve">ecosystem, investing not only in </t>
    </r>
    <r>
      <rPr>
        <rFont val="Poppins"/>
        <b/>
        <color rgb="FF1155CC"/>
        <sz val="7.0"/>
        <u/>
      </rPr>
      <t xml:space="preserve">funds </t>
    </r>
    <r>
      <rPr>
        <rFont val="Poppins"/>
        <sz val="7.0"/>
      </rPr>
      <t xml:space="preserve">but also directly in startups. 
- [Sector investment focus] &gt; Linkedin + Private data provider &gt;  active investors in private growth companies across </t>
    </r>
    <r>
      <rPr>
        <rFont val="Poppins"/>
        <b/>
        <color rgb="FF1155CC"/>
        <sz val="7.0"/>
        <u/>
      </rPr>
      <t>diverse sectors</t>
    </r>
    <r>
      <rPr>
        <rFont val="Poppins"/>
        <sz val="7.0"/>
      </rPr>
      <t xml:space="preserve">, + We invest in early stage startups with proven traction. Verticals of interest, Fintech, Cleantech, </t>
    </r>
    <r>
      <rPr>
        <rFont val="Poppins"/>
        <b/>
        <color rgb="FF1155CC"/>
        <sz val="7.0"/>
        <u/>
      </rPr>
      <t>AI</t>
    </r>
    <r>
      <rPr>
        <rFont val="Poppins"/>
        <sz val="7.0"/>
      </rPr>
      <t xml:space="preserve">/ML, Medtech, Healthtech.
- [Region investment focus] &gt; Linkedin &gt; SABER Capital is active in Europe, </t>
    </r>
    <r>
      <rPr>
        <rFont val="Poppins"/>
        <b/>
        <color rgb="FF1155CC"/>
        <sz val="7.0"/>
        <u/>
      </rPr>
      <t>US</t>
    </r>
    <r>
      <rPr>
        <rFont val="Poppins"/>
        <b/>
        <sz val="7.0"/>
      </rPr>
      <t xml:space="preserve"> </t>
    </r>
    <r>
      <rPr>
        <rFont val="Poppins"/>
        <sz val="7.0"/>
      </rPr>
      <t xml:space="preserve">and Israel.
- [Maturity Focus = Emerging] &gt; Data manager judgement &gt; They have not publicly disclosed their maturity focus but the rest of the criteria aligns with your IIP. </t>
    </r>
    <r>
      <rPr>
        <rFont val="Poppins"/>
        <b/>
        <sz val="7.0"/>
      </rPr>
      <t>#DemandCreation.</t>
    </r>
  </si>
  <si>
    <t>prop trading firm</t>
  </si>
  <si>
    <t>Nan Fung Trinity</t>
  </si>
  <si>
    <t>https://www.nftrinity.com/</t>
  </si>
  <si>
    <r>
      <rPr>
        <rFont val="Poppins"/>
        <sz val="7.0"/>
      </rPr>
      <t>- [Asset class = Fund VC] &gt; Website &gt; "...</t>
    </r>
    <r>
      <rPr>
        <rFont val="Poppins"/>
        <b/>
        <sz val="7.0"/>
      </rPr>
      <t>Primary fund investments</t>
    </r>
    <r>
      <rPr>
        <rFont val="Poppins"/>
        <sz val="7.0"/>
      </rPr>
      <t xml:space="preserve">: Long-standing relationships with leading global private equity, </t>
    </r>
    <r>
      <rPr>
        <rFont val="Poppins"/>
        <b/>
        <color rgb="FF1155CC"/>
        <sz val="7.0"/>
        <u/>
      </rPr>
      <t>venture capital</t>
    </r>
    <r>
      <rPr>
        <rFont val="Poppins"/>
        <sz val="7.0"/>
      </rPr>
      <t xml:space="preserve">, private credit and real estate fund managers..."
- [Sector investment focus] &gt; Website &gt; "'....In the interview, she discussed the </t>
    </r>
    <r>
      <rPr>
        <rFont val="Poppins"/>
        <b/>
        <color rgb="FF1155CC"/>
        <sz val="7.0"/>
        <u/>
      </rPr>
      <t>AI market</t>
    </r>
    <r>
      <rPr>
        <rFont val="Poppins"/>
        <sz val="7.0"/>
      </rPr>
      <t xml:space="preserve">, anticipating a possible devaluation affecting </t>
    </r>
    <r>
      <rPr>
        <rFont val="Poppins"/>
        <b/>
        <color rgb="FF1155CC"/>
        <sz val="7.0"/>
        <u/>
      </rPr>
      <t>AI sentiments</t>
    </r>
    <r>
      <rPr>
        <rFont val="Poppins"/>
        <sz val="7.0"/>
      </rPr>
      <t>...."
- [Region investment focus] &gt; Website &gt; "....</t>
    </r>
    <r>
      <rPr>
        <rFont val="Poppins"/>
        <b/>
        <color rgb="FF1155CC"/>
        <sz val="7.0"/>
        <u/>
      </rPr>
      <t>Invest in leading global managers</t>
    </r>
    <r>
      <rPr>
        <rFont val="Poppins"/>
        <sz val="7.0"/>
      </rPr>
      <t xml:space="preserve"> and sought-after opportunities, with vigorous due diligence and robust exit strategies..."
- [Maturity Focus = Emerging] &gt; Data manager judgement &gt; They have not publicly disclosed their maturity focus but the rest of the criteria aligns with your IIP. </t>
    </r>
    <r>
      <rPr>
        <rFont val="Poppins"/>
        <b/>
        <sz val="7.0"/>
      </rPr>
      <t>#DemandCreation.</t>
    </r>
  </si>
  <si>
    <t>Managing Partner &amp; CIO</t>
  </si>
  <si>
    <t>Helen Zhu</t>
  </si>
  <si>
    <t>Helen</t>
  </si>
  <si>
    <t>Zhu</t>
  </si>
  <si>
    <t>helen.zhu@nftrinity.com</t>
  </si>
  <si>
    <t>https://www.linkedin.com/in/helen-zhu-63796/</t>
  </si>
  <si>
    <t>Yildiz Ventures</t>
  </si>
  <si>
    <t>https://yildiz.ventures/en/</t>
  </si>
  <si>
    <t>Turkey</t>
  </si>
  <si>
    <r>
      <rPr>
        <rFont val="Poppins"/>
        <sz val="7.0"/>
      </rPr>
      <t xml:space="preserve">- [Asset class = Funds - VC] &gt; Website &gt; "...As Yıldız Ventures, we invest in innovative early-stage startups across the world directly or </t>
    </r>
    <r>
      <rPr>
        <rFont val="Poppins"/>
        <b/>
        <sz val="7.0"/>
      </rPr>
      <t xml:space="preserve">indirectly </t>
    </r>
    <r>
      <rPr>
        <rFont val="Poppins"/>
        <sz val="7.0"/>
      </rPr>
      <t xml:space="preserve">through other </t>
    </r>
    <r>
      <rPr>
        <rFont val="Poppins"/>
        <b/>
        <color rgb="FF1155CC"/>
        <sz val="7.0"/>
        <u/>
      </rPr>
      <t>VC funds</t>
    </r>
    <r>
      <rPr>
        <rFont val="Poppins"/>
        <sz val="7.0"/>
      </rPr>
      <t xml:space="preserve">..."
- [Sector investment focus] &gt; Private data provider &gt; Industries: AgroTech • FinTech (&amp; Financials services) • Hardware (&amp; Manufacturing) • Retail (&amp; E-Commerce) • Sales (&amp; Marketing) • </t>
    </r>
    <r>
      <rPr>
        <rFont val="Poppins"/>
        <b/>
        <color rgb="FF1155CC"/>
        <sz val="7.0"/>
        <u/>
      </rPr>
      <t>A.I.</t>
    </r>
    <r>
      <rPr>
        <rFont val="Poppins"/>
        <sz val="7.0"/>
      </rPr>
      <t xml:space="preserve"> (&amp; Big Data) • Blockchain (&amp; Cryptos) • Advertising • Future Of Work • Food &amp; Beverage
- [Region investment focus] &gt; Website &gt; "...Our investments in other VC funds enable diversification within our portfolio on a </t>
    </r>
    <r>
      <rPr>
        <rFont val="Poppins"/>
        <b/>
        <color rgb="FF1155CC"/>
        <sz val="7.0"/>
        <u/>
      </rPr>
      <t>global level</t>
    </r>
    <r>
      <rPr>
        <rFont val="Poppins"/>
        <sz val="7.0"/>
      </rPr>
      <t xml:space="preserve">..."
- [Maturity Focus = Emerging] &gt; Data manager judgement &gt; They have not publicly disclosed their maturity focus but the rest of the criteria aligns with your IIP. </t>
    </r>
    <r>
      <rPr>
        <rFont val="Poppins"/>
        <b/>
        <sz val="7.0"/>
      </rPr>
      <t>#DemandCreation.</t>
    </r>
  </si>
  <si>
    <t>Ecem Altiok</t>
  </si>
  <si>
    <t>Ecem</t>
  </si>
  <si>
    <t>Altiok</t>
  </si>
  <si>
    <t>ecem.altiok@yildiz.ventures</t>
  </si>
  <si>
    <t>https://www.linkedin.com/in/ecem-altiok-704b2029/?originalSubdomain=tr</t>
  </si>
  <si>
    <t>Aonia Ventures</t>
  </si>
  <si>
    <t>https://www.aonia.vc/</t>
  </si>
  <si>
    <r>
      <rPr>
        <rFont val="Poppins"/>
        <sz val="7.0"/>
      </rPr>
      <t xml:space="preserve">- [Asset Class = Funds - VC] &gt; Data manager judgement &gt; Their portfolio consists of investments in </t>
    </r>
    <r>
      <rPr>
        <rFont val="Poppins"/>
        <b/>
        <color rgb="FF1155CC"/>
        <sz val="7.0"/>
        <u/>
      </rPr>
      <t>VC Funds</t>
    </r>
    <r>
      <rPr>
        <rFont val="Poppins"/>
        <sz val="7.0"/>
      </rPr>
      <t>, ex: Anthemis, VENTECH, etc.</t>
    </r>
    <r>
      <rPr>
        <rFont val="Poppins"/>
        <b/>
        <sz val="7.0"/>
      </rPr>
      <t xml:space="preserve">
</t>
    </r>
    <r>
      <rPr>
        <rFont val="Poppins"/>
        <sz val="7.0"/>
      </rPr>
      <t xml:space="preserve">- [Region Investment Focus] &gt; Data manager judgement &gt; Their portfolio confirms that their region focus is </t>
    </r>
    <r>
      <rPr>
        <rFont val="Poppins"/>
        <b/>
        <color rgb="FF1155CC"/>
        <sz val="7.0"/>
        <u/>
      </rPr>
      <t xml:space="preserve">North America  </t>
    </r>
    <r>
      <rPr>
        <rFont val="Poppins"/>
        <sz val="7.0"/>
      </rPr>
      <t xml:space="preserve">and Europe, ex: anthemis, VENTECH, etc.
- [Sector Investment Focus] &gt; Portfolio &gt; Their portfolio consists of investments which focus on, </t>
    </r>
    <r>
      <rPr>
        <rFont val="Poppins"/>
        <b/>
        <color rgb="FF1155CC"/>
        <sz val="7.0"/>
        <u/>
      </rPr>
      <t>AI</t>
    </r>
    <r>
      <rPr>
        <rFont val="Poppins"/>
        <sz val="7.0"/>
      </rPr>
      <t xml:space="preserve">, </t>
    </r>
    <r>
      <rPr>
        <rFont val="Poppins"/>
        <b/>
        <sz val="7.0"/>
      </rPr>
      <t>Deeptech</t>
    </r>
    <r>
      <rPr>
        <rFont val="Poppins"/>
        <sz val="7.0"/>
      </rPr>
      <t xml:space="preserve"> and broad </t>
    </r>
    <r>
      <rPr>
        <rFont val="Poppins"/>
        <b/>
        <sz val="7.0"/>
      </rPr>
      <t xml:space="preserve">technology, ex: Fullwhere, Namla, etc.
</t>
    </r>
    <r>
      <rPr>
        <rFont val="Poppins"/>
        <sz val="7.0"/>
      </rPr>
      <t xml:space="preserve">- [Maturity Focus = Emerging] &gt; Data manager judgement &gt; They have not publicly disclosed their maturity focus but the rest of the criteria aligns with your IIP. </t>
    </r>
    <r>
      <rPr>
        <rFont val="Poppins"/>
        <b/>
        <sz val="7.0"/>
      </rPr>
      <t>#DemandCreation.</t>
    </r>
  </si>
  <si>
    <t>Bruno Febvret</t>
  </si>
  <si>
    <t>Bruno</t>
  </si>
  <si>
    <t>Febvret</t>
  </si>
  <si>
    <t>bruno@aonia.vc</t>
  </si>
  <si>
    <t xml:space="preserve">https://www.linkedin.com/in/bruno-febvret-79061558/
</t>
  </si>
  <si>
    <t>Innovative Startups &amp; SMEs Fund</t>
  </si>
  <si>
    <t>https://issfjo.com/</t>
  </si>
  <si>
    <t>Jordan</t>
  </si>
  <si>
    <r>
      <rPr>
        <rFont val="Poppins"/>
        <sz val="7.0"/>
      </rPr>
      <t xml:space="preserve">- [Asset Class = Funds - VC] &gt; Website &gt; "...through investments in </t>
    </r>
    <r>
      <rPr>
        <rFont val="Poppins"/>
        <b/>
        <color rgb="FF1155CC"/>
        <sz val="7.0"/>
        <u/>
      </rPr>
      <t xml:space="preserve">venture capital funds </t>
    </r>
    <r>
      <rPr>
        <rFont val="Poppins"/>
        <sz val="7.0"/>
      </rPr>
      <t xml:space="preserve">as well as direct investment in startups...."
- [Region Investment Focus] &gt; Website + Data manager judgement &gt; "...ISSF invested in 20 existing and emerging local, </t>
    </r>
    <r>
      <rPr>
        <rFont val="Poppins"/>
        <b/>
        <sz val="7.0"/>
      </rPr>
      <t xml:space="preserve">regional </t>
    </r>
    <r>
      <rPr>
        <rFont val="Poppins"/>
        <sz val="7.0"/>
      </rPr>
      <t xml:space="preserve">and </t>
    </r>
    <r>
      <rPr>
        <rFont val="Poppins"/>
        <b/>
        <color rgb="FF1155CC"/>
        <sz val="7.0"/>
        <u/>
      </rPr>
      <t xml:space="preserve">international </t>
    </r>
    <r>
      <rPr>
        <rFont val="Poppins"/>
        <sz val="7.0"/>
      </rPr>
      <t xml:space="preserve">qualified..." + They have investments based in </t>
    </r>
    <r>
      <rPr>
        <rFont val="Poppins"/>
        <b/>
        <color rgb="FF1155CC"/>
        <sz val="7.0"/>
        <u/>
      </rPr>
      <t>North America</t>
    </r>
    <r>
      <rPr>
        <rFont val="Poppins"/>
        <sz val="7.0"/>
      </rPr>
      <t xml:space="preserve">, Europe, </t>
    </r>
    <r>
      <rPr>
        <rFont val="Poppins"/>
        <b/>
        <sz val="7.0"/>
      </rPr>
      <t>Middle East</t>
    </r>
    <r>
      <rPr>
        <rFont val="Poppins"/>
        <sz val="7.0"/>
      </rPr>
      <t xml:space="preserve">, </t>
    </r>
    <r>
      <rPr>
        <rFont val="Poppins"/>
        <b/>
        <sz val="7.0"/>
      </rPr>
      <t>ex: Antler, vision ventures.</t>
    </r>
    <r>
      <rPr>
        <rFont val="Poppins"/>
        <sz val="7.0"/>
      </rPr>
      <t xml:space="preserve">
- [Sector Investment Focus] &gt; Data manager judgement &gt; Their portfolio consists of investments which focus on </t>
    </r>
    <r>
      <rPr>
        <rFont val="Poppins"/>
        <b/>
        <sz val="7.0"/>
      </rPr>
      <t>Technology</t>
    </r>
    <r>
      <rPr>
        <rFont val="Poppins"/>
        <sz val="7.0"/>
      </rPr>
      <t xml:space="preserve">, </t>
    </r>
    <r>
      <rPr>
        <rFont val="Poppins"/>
        <b/>
        <color rgb="FF1155CC"/>
        <sz val="7.0"/>
        <u/>
      </rPr>
      <t>AI</t>
    </r>
    <r>
      <rPr>
        <rFont val="Poppins"/>
        <sz val="7.0"/>
      </rPr>
      <t xml:space="preserve">, health tech, </t>
    </r>
    <r>
      <rPr>
        <rFont val="Poppins"/>
        <b/>
        <sz val="7.0"/>
      </rPr>
      <t>SaaS</t>
    </r>
    <r>
      <rPr>
        <rFont val="Poppins"/>
        <sz val="7.0"/>
      </rPr>
      <t xml:space="preserve">, </t>
    </r>
    <r>
      <rPr>
        <rFont val="Poppins"/>
        <b/>
        <sz val="7.0"/>
      </rPr>
      <t>fintech</t>
    </r>
    <r>
      <rPr>
        <rFont val="Poppins"/>
        <sz val="7.0"/>
      </rPr>
      <t xml:space="preserve">, </t>
    </r>
    <r>
      <rPr>
        <rFont val="Poppins"/>
        <b/>
        <sz val="7.0"/>
      </rPr>
      <t xml:space="preserve">ex: mevp, vision ventures, etc.
</t>
    </r>
    <r>
      <rPr>
        <rFont val="Poppins"/>
        <sz val="7.0"/>
      </rPr>
      <t xml:space="preserve">- [Maturity Focus = Emerging] &gt; Website + Data manager judgement &gt; ISSF invested in </t>
    </r>
    <r>
      <rPr>
        <rFont val="Poppins"/>
        <b/>
        <color rgb="FF1155CC"/>
        <sz val="7.0"/>
        <u/>
      </rPr>
      <t>20 existing and emerging</t>
    </r>
    <r>
      <rPr>
        <rFont val="Poppins"/>
        <sz val="7.0"/>
      </rPr>
      <t xml:space="preserve"> local, regional and international qualified and eligible funds + They have made investments in </t>
    </r>
    <r>
      <rPr>
        <rFont val="Poppins"/>
        <b/>
        <color rgb="FF1155CC"/>
        <sz val="7.0"/>
        <u/>
      </rPr>
      <t>Funds I &amp; II</t>
    </r>
    <r>
      <rPr>
        <rFont val="Poppins"/>
        <sz val="7.0"/>
      </rPr>
      <t xml:space="preserve">, </t>
    </r>
    <r>
      <rPr>
        <rFont val="Poppins"/>
        <b/>
        <sz val="7.0"/>
      </rPr>
      <t>ex: Shorooq Bedaya fund II, Propeller Ventures II LP, Global Ventures Fund II, etc</t>
    </r>
    <r>
      <rPr>
        <rFont val="Poppins"/>
        <sz val="7.0"/>
      </rPr>
      <t xml:space="preserve">, which indicates that they invest in </t>
    </r>
    <r>
      <rPr>
        <rFont val="Poppins"/>
        <b/>
        <sz val="7.0"/>
      </rPr>
      <t>emerging managers</t>
    </r>
    <r>
      <rPr>
        <rFont val="Poppins"/>
        <sz val="7.0"/>
      </rPr>
      <t xml:space="preserve"> as well. </t>
    </r>
    <r>
      <rPr>
        <rFont val="Poppins"/>
        <b/>
        <sz val="7.0"/>
      </rPr>
      <t>#DemandCreation.</t>
    </r>
  </si>
  <si>
    <t xml:space="preserve">Investment Manager </t>
  </si>
  <si>
    <t>Dina Toukan</t>
  </si>
  <si>
    <t>Dina</t>
  </si>
  <si>
    <t>Toukan</t>
  </si>
  <si>
    <t>dtoukan@issfjo.com</t>
  </si>
  <si>
    <t>https://www.linkedin.com/in/dinatoukan/</t>
  </si>
  <si>
    <t>K Street Capital</t>
  </si>
  <si>
    <t>https://www.kstreet.vc/</t>
  </si>
  <si>
    <r>
      <rPr>
        <rFont val="Poppins"/>
        <sz val="7.0"/>
      </rPr>
      <t xml:space="preserve">- [Asset class = Funds - VC] &gt; Website &gt; "...DC </t>
    </r>
    <r>
      <rPr>
        <rFont val="Poppins"/>
        <b/>
        <sz val="7.0"/>
      </rPr>
      <t>VC Fund of Funds</t>
    </r>
    <r>
      <rPr>
        <rFont val="Poppins"/>
        <sz val="7.0"/>
      </rPr>
      <t xml:space="preserve"> + DC-focused </t>
    </r>
    <r>
      <rPr>
        <rFont val="Poppins"/>
        <b/>
        <color rgb="FF1155CC"/>
        <sz val="7.0"/>
        <u/>
      </rPr>
      <t>Fund of Funds</t>
    </r>
    <r>
      <rPr>
        <rFont val="Poppins"/>
        <sz val="7.0"/>
      </rPr>
      <t xml:space="preserve">. We back exceptional founders and </t>
    </r>
    <r>
      <rPr>
        <rFont val="Poppins"/>
        <b/>
        <sz val="7.0"/>
      </rPr>
      <t>fund</t>
    </r>
    <r>
      <rPr>
        <rFont val="Poppins"/>
        <sz val="7.0"/>
      </rPr>
      <t xml:space="preserve"> managers..." + "...</t>
    </r>
    <r>
      <rPr>
        <rFont val="Poppins"/>
        <b/>
        <sz val="7.0"/>
      </rPr>
      <t>160+ Investments</t>
    </r>
    <r>
      <rPr>
        <rFont val="Poppins"/>
        <sz val="7.0"/>
      </rPr>
      <t xml:space="preserve">..."
- [Sector investment focus] &gt; Website &gt; "...focused on </t>
    </r>
    <r>
      <rPr>
        <rFont val="Poppins"/>
        <b/>
        <sz val="7.0"/>
      </rPr>
      <t>early-stage tech</t>
    </r>
    <r>
      <rPr>
        <rFont val="Poppins"/>
        <sz val="7.0"/>
      </rPr>
      <t xml:space="preserve"> in </t>
    </r>
    <r>
      <rPr>
        <rFont val="Poppins"/>
        <b/>
        <sz val="7.0"/>
      </rPr>
      <t>high-growth markets</t>
    </r>
    <r>
      <rPr>
        <rFont val="Poppins"/>
        <sz val="7.0"/>
      </rPr>
      <t xml:space="preserve"> with strong regulatory tailwinds (specifically healthtech, fintech, </t>
    </r>
    <r>
      <rPr>
        <rFont val="Poppins"/>
        <b/>
        <color rgb="FF1155CC"/>
        <sz val="7.0"/>
        <u/>
      </rPr>
      <t>cybersecurity</t>
    </r>
    <r>
      <rPr>
        <rFont val="Poppins"/>
        <sz val="7.0"/>
      </rPr>
      <t>, climatetech, and AI)..."
- [Region investment focus] &gt; Website &gt; "...K Street Capital is a</t>
    </r>
    <r>
      <rPr>
        <rFont val="Poppins"/>
        <b/>
        <sz val="7.0"/>
      </rPr>
      <t xml:space="preserve"> Washington, DC</t>
    </r>
    <r>
      <rPr>
        <rFont val="Poppins"/>
        <sz val="7.0"/>
      </rPr>
      <t xml:space="preserve">–based venture capital firm that invests </t>
    </r>
    <r>
      <rPr>
        <rFont val="Poppins"/>
        <b/>
        <color rgb="FF1155CC"/>
        <sz val="7.0"/>
        <u/>
      </rPr>
      <t>across the U.S.</t>
    </r>
    <r>
      <rPr>
        <rFont val="Poppins"/>
        <sz val="7.0"/>
      </rPr>
      <t>..."
- [Maturity Focus = Emerging] &gt; "...KSC will evaluate and score first-time funds against first-time funds,</t>
    </r>
    <r>
      <rPr>
        <rFont val="Poppins"/>
        <b/>
        <sz val="7.0"/>
      </rPr>
      <t xml:space="preserve"> emerging funds against emerging funds</t>
    </r>
    <r>
      <rPr>
        <rFont val="Poppins"/>
        <sz val="7.0"/>
      </rPr>
      <t xml:space="preserve">, and more experienced funds against more experienced funds. </t>
    </r>
    <r>
      <rPr>
        <rFont val="Poppins"/>
        <b/>
        <sz val="7.0"/>
      </rPr>
      <t>First-time funds are funds where the Managing Director of Managing Partner is a first-</t>
    </r>
    <r>
      <rPr>
        <rFont val="Poppins"/>
        <b/>
        <color rgb="FF1155CC"/>
        <sz val="7.0"/>
        <u/>
      </rPr>
      <t>time venture capital fund manager</t>
    </r>
    <r>
      <rPr>
        <rFont val="Poppins"/>
        <sz val="7.0"/>
      </rPr>
      <t xml:space="preserve"> who has not previously been a GP in a venture capital fund..." This indicates that they invest in emerging managers as well.</t>
    </r>
  </si>
  <si>
    <t>Washington DC focused funds</t>
  </si>
  <si>
    <t>Armada Investment Group</t>
  </si>
  <si>
    <t>https://www.armada.com/</t>
  </si>
  <si>
    <r>
      <rPr>
        <rFont val="Poppins"/>
        <sz val="7.0"/>
      </rPr>
      <t xml:space="preserve">- [Asset class = Funds - VC] &gt; Website + Data manager judgement &gt; "...We also offer access to our broad network of partners that </t>
    </r>
    <r>
      <rPr>
        <rFont val="Poppins"/>
        <b/>
        <color rgb="FF1155CC"/>
        <sz val="7.0"/>
        <u/>
      </rPr>
      <t>includes top venture capital and private equity firms</t>
    </r>
    <r>
      <rPr>
        <rFont val="Poppins"/>
        <sz val="7.0"/>
      </rPr>
      <t xml:space="preserve"> across the </t>
    </r>
    <r>
      <rPr>
        <rFont val="Poppins"/>
        <b/>
        <sz val="7.0"/>
      </rPr>
      <t>globe</t>
    </r>
    <r>
      <rPr>
        <rFont val="Poppins"/>
        <sz val="7.0"/>
      </rPr>
      <t xml:space="preserve">..." + They have team members listed as their </t>
    </r>
    <r>
      <rPr>
        <rFont val="Poppins"/>
        <b/>
        <sz val="7.0"/>
      </rPr>
      <t>VC Funds</t>
    </r>
    <r>
      <rPr>
        <rFont val="Poppins"/>
        <sz val="7.0"/>
      </rPr>
      <t xml:space="preserve"> representatives.
- [Sector investment focus] &gt; Portfolio &gt; Their investments include </t>
    </r>
    <r>
      <rPr>
        <rFont val="Poppins"/>
        <b/>
        <sz val="7.0"/>
      </rPr>
      <t>technology</t>
    </r>
    <r>
      <rPr>
        <rFont val="Poppins"/>
        <sz val="7.0"/>
      </rPr>
      <t xml:space="preserve"> and </t>
    </r>
    <r>
      <rPr>
        <rFont val="Poppins"/>
        <b/>
        <color rgb="FF1155CC"/>
        <sz val="7.0"/>
        <u/>
      </rPr>
      <t>AI</t>
    </r>
    <r>
      <rPr>
        <rFont val="Poppins"/>
        <sz val="7.0"/>
      </rPr>
      <t xml:space="preserve">, ex: ASAPP, Cybera, etc.
- [Region investment focus] &gt; Website &gt; "...We are happy to partner with visionary entrepreneurs </t>
    </r>
    <r>
      <rPr>
        <rFont val="Poppins"/>
        <b/>
        <sz val="7.0"/>
      </rPr>
      <t>all over the world</t>
    </r>
    <r>
      <rPr>
        <rFont val="Poppins"/>
        <sz val="7.0"/>
      </rPr>
      <t xml:space="preserve">, but particularly love backing founders in Switzerland, Germany, the UK and the </t>
    </r>
    <r>
      <rPr>
        <rFont val="Poppins"/>
        <b/>
        <color rgb="FF1155CC"/>
        <sz val="7.0"/>
        <u/>
      </rPr>
      <t>United States</t>
    </r>
    <r>
      <rPr>
        <rFont val="Poppins"/>
        <sz val="7.0"/>
      </rPr>
      <t xml:space="preserve">..."
- [Maturity Focus = Emerging] &gt; Data manager judgement &gt; They have not publicly disclosed their maturity focus but the rest of the criteria aligns with your IIP. </t>
    </r>
    <r>
      <rPr>
        <rFont val="Poppins"/>
        <b/>
        <sz val="7.0"/>
      </rPr>
      <t>#DemandCreation.</t>
    </r>
  </si>
  <si>
    <t xml:space="preserve">more direct investment </t>
  </si>
  <si>
    <t>Capria Ventures</t>
  </si>
  <si>
    <t>https://capria.vc/</t>
  </si>
  <si>
    <r>
      <rPr>
        <rFont val="Poppins"/>
        <sz val="7.0"/>
      </rPr>
      <t xml:space="preserve">- [Asset class = Funds - VC] &gt; Portfolio &gt; Their portfolio confirms investments into </t>
    </r>
    <r>
      <rPr>
        <rFont val="Poppins"/>
        <b/>
        <color rgb="FF1155CC"/>
        <sz val="7.0"/>
        <u/>
      </rPr>
      <t>VC Funds</t>
    </r>
    <r>
      <rPr>
        <rFont val="Poppins"/>
        <sz val="7.0"/>
      </rPr>
      <t xml:space="preserve">, ex: 4G Capital, Alami, etc.
- [Sector investment focus] &gt; Website + Portfolio &gt; "...Capria Ventures is a Global South specialist venture capital firm investing in applied </t>
    </r>
    <r>
      <rPr>
        <rFont val="Poppins"/>
        <b/>
        <color rgb="FF1155CC"/>
        <sz val="7.0"/>
        <u/>
      </rPr>
      <t>Generative AI</t>
    </r>
    <r>
      <rPr>
        <rFont val="Poppins"/>
        <sz val="7.0"/>
      </rPr>
      <t xml:space="preserve">..." + Their portfolio confirms investments in </t>
    </r>
    <r>
      <rPr>
        <rFont val="Poppins"/>
        <b/>
        <color rgb="FF1155CC"/>
        <sz val="7.0"/>
        <u/>
      </rPr>
      <t>AI and sub-sectors of technology</t>
    </r>
    <r>
      <rPr>
        <rFont val="Poppins"/>
        <sz val="7.0"/>
      </rPr>
      <t xml:space="preserve"> among other sectors, </t>
    </r>
    <r>
      <rPr>
        <rFont val="Poppins"/>
        <b/>
        <sz val="7.0"/>
      </rPr>
      <t>ex: Al Mouneer, Colektia, etc.</t>
    </r>
    <r>
      <rPr>
        <rFont val="Poppins"/>
        <sz val="7.0"/>
      </rPr>
      <t xml:space="preserve">
- [Region investment focus] &gt; Data manager judgement &gt; Their portfolio includes investments in </t>
    </r>
    <r>
      <rPr>
        <rFont val="Poppins"/>
        <b/>
        <color rgb="FF1155CC"/>
        <sz val="7.0"/>
        <u/>
      </rPr>
      <t>Asia</t>
    </r>
    <r>
      <rPr>
        <rFont val="Poppins"/>
        <sz val="7.0"/>
      </rPr>
      <t xml:space="preserve">, </t>
    </r>
    <r>
      <rPr>
        <rFont val="Poppins"/>
        <b/>
        <sz val="7.0"/>
      </rPr>
      <t>America</t>
    </r>
    <r>
      <rPr>
        <rFont val="Poppins"/>
        <sz val="7.0"/>
      </rPr>
      <t xml:space="preserve"> and </t>
    </r>
    <r>
      <rPr>
        <rFont val="Poppins"/>
        <b/>
        <sz val="7.0"/>
      </rPr>
      <t>MENA</t>
    </r>
    <r>
      <rPr>
        <rFont val="Poppins"/>
        <sz val="7.0"/>
      </rPr>
      <t xml:space="preserve"> regions, </t>
    </r>
    <r>
      <rPr>
        <rFont val="Poppins"/>
        <b/>
        <sz val="7.0"/>
      </rPr>
      <t xml:space="preserve">ex: 384, 310 AI, 4G Capital, etc.
</t>
    </r>
    <r>
      <rPr>
        <rFont val="Poppins"/>
        <sz val="7.0"/>
      </rPr>
      <t xml:space="preserve">- [Maturity Focus = Emerging] &gt; Data manager judgement + Website &gt; the launch of Capria </t>
    </r>
    <r>
      <rPr>
        <rFont val="Poppins"/>
        <b/>
        <color rgb="FF1155CC"/>
        <sz val="7.0"/>
        <u/>
      </rPr>
      <t>Emerging Managers Fund</t>
    </r>
    <r>
      <rPr>
        <rFont val="Poppins"/>
        <sz val="7.0"/>
      </rPr>
      <t xml:space="preserve">. This confirms that they invest in </t>
    </r>
    <r>
      <rPr>
        <rFont val="Poppins"/>
        <b/>
        <sz val="7.0"/>
      </rPr>
      <t xml:space="preserve">emerging managers. </t>
    </r>
    <r>
      <rPr>
        <rFont val="Poppins"/>
        <sz val="7.0"/>
      </rPr>
      <t xml:space="preserve">+ "...As we’ve interacted with over 100 aspiring </t>
    </r>
    <r>
      <rPr>
        <rFont val="Poppins"/>
        <b/>
        <color rgb="FF1155CC"/>
        <sz val="7.0"/>
        <u/>
      </rPr>
      <t>emerging market fund manager</t>
    </r>
    <r>
      <rPr>
        <rFont val="Poppins"/>
        <sz val="7.0"/>
      </rPr>
      <t xml:space="preserve"> teams..."</t>
    </r>
  </si>
  <si>
    <t>Bryan Njuguna</t>
  </si>
  <si>
    <t>Bryan</t>
  </si>
  <si>
    <t>Njuguna</t>
  </si>
  <si>
    <t>bryann@capria.vc</t>
  </si>
  <si>
    <t>https://www.linkedin.com/in/bryan-njuguna-73965b142/</t>
  </si>
  <si>
    <t>Neuberger Berman</t>
  </si>
  <si>
    <t>https://www.nb.com/en/gb/institutional-investor</t>
  </si>
  <si>
    <r>
      <rPr>
        <rFont val="Poppins"/>
        <sz val="7.0"/>
      </rPr>
      <t xml:space="preserve">- [Asset class = Funds - VC] &gt; Website &gt; "...NB Private Equity integrated model of </t>
    </r>
    <r>
      <rPr>
        <rFont val="Poppins"/>
        <b/>
        <color rgb="FF1155CC"/>
        <sz val="7.0"/>
        <u/>
      </rPr>
      <t>primary and secondary fund investments and direct private equity</t>
    </r>
    <r>
      <rPr>
        <rFont val="Poppins"/>
        <sz val="7.0"/>
      </rPr>
      <t xml:space="preserve"> businesses enhances deal flow, diligence and </t>
    </r>
    <r>
      <rPr>
        <rFont val="Poppins"/>
        <b/>
        <sz val="7.0"/>
      </rPr>
      <t>GP relationships</t>
    </r>
    <r>
      <rPr>
        <rFont val="Poppins"/>
        <sz val="7.0"/>
      </rPr>
      <t xml:space="preserve">..." + Their private equity investments page mentions </t>
    </r>
    <r>
      <rPr>
        <rFont val="Poppins"/>
        <b/>
        <color rgb="FF1155CC"/>
        <sz val="7.0"/>
        <u/>
      </rPr>
      <t>Venture Capital</t>
    </r>
    <r>
      <rPr>
        <rFont val="Poppins"/>
        <sz val="7.0"/>
      </rPr>
      <t xml:space="preserve"> as well.
- [Sector investment focus] &gt; Website &gt; "...The Second Wave of the </t>
    </r>
    <r>
      <rPr>
        <rFont val="Poppins"/>
        <b/>
        <color rgb="FF1155CC"/>
        <sz val="7.0"/>
        <u/>
      </rPr>
      <t>AI Investment Theme</t>
    </r>
    <r>
      <rPr>
        <rFont val="Poppins"/>
        <sz val="7.0"/>
      </rPr>
      <t xml:space="preserve">..."
- [Region investment focus] &gt; Website + Data manager judgement &gt; "...A </t>
    </r>
    <r>
      <rPr>
        <rFont val="Poppins"/>
        <b/>
        <color rgb="FF1155CC"/>
        <sz val="7.0"/>
        <u/>
      </rPr>
      <t>global equity strategy</t>
    </r>
    <r>
      <rPr>
        <rFont val="Poppins"/>
        <sz val="7.0"/>
      </rPr>
      <t xml:space="preserve"> that seeks to outperform its benchmark over a full market cycle..." + They have offices across the globe, including the </t>
    </r>
    <r>
      <rPr>
        <rFont val="Poppins"/>
        <b/>
        <sz val="7.0"/>
      </rPr>
      <t>US</t>
    </r>
    <r>
      <rPr>
        <rFont val="Poppins"/>
        <sz val="7.0"/>
      </rPr>
      <t xml:space="preserve">, strongly indicating their interest in investment in </t>
    </r>
    <r>
      <rPr>
        <rFont val="Poppins"/>
        <b/>
        <color rgb="FF1155CC"/>
        <sz val="7.0"/>
        <u/>
      </rPr>
      <t>North America</t>
    </r>
    <r>
      <rPr>
        <rFont val="Poppins"/>
        <sz val="7.0"/>
      </rPr>
      <t xml:space="preserve">.
- [Maturity Focus = Emerging] &gt; Website &gt; "...Partner with overlooked and underserved </t>
    </r>
    <r>
      <rPr>
        <rFont val="Poppins"/>
        <b/>
        <color rgb="FF1155CC"/>
        <sz val="7.0"/>
        <u/>
      </rPr>
      <t>emerging managers</t>
    </r>
    <r>
      <rPr>
        <rFont val="Poppins"/>
        <sz val="7.0"/>
      </rPr>
      <t>..."</t>
    </r>
  </si>
  <si>
    <t>CIO</t>
  </si>
  <si>
    <t>Shannon Saccocia</t>
  </si>
  <si>
    <t>Shannon</t>
  </si>
  <si>
    <t>Saccocia</t>
  </si>
  <si>
    <t>shannon.saccocia@nb.com</t>
  </si>
  <si>
    <t>https://www.linkedin.com/in/shannon-l-saccocia-cfa-63ab066/</t>
  </si>
  <si>
    <t>MK Venture Capital</t>
  </si>
  <si>
    <t>https://mk-vc.com/#header</t>
  </si>
  <si>
    <r>
      <rPr>
        <rFont val="Poppins"/>
        <sz val="7.0"/>
      </rPr>
      <t xml:space="preserve">- [Asset class = Funds - VC] &gt; Website + Data manager judgement &gt; "...The extremely unequal distribution of returns in </t>
    </r>
    <r>
      <rPr>
        <rFont val="Poppins"/>
        <b/>
        <color rgb="FF1155CC"/>
        <sz val="7.0"/>
        <u/>
      </rPr>
      <t>venture capital</t>
    </r>
    <r>
      <rPr>
        <rFont val="Poppins"/>
        <sz val="7.0"/>
      </rPr>
      <t xml:space="preserve"> (power law) becomes manageable and profitable with </t>
    </r>
    <r>
      <rPr>
        <rFont val="Poppins"/>
        <b/>
        <sz val="7.0"/>
      </rPr>
      <t>funds of funds</t>
    </r>
    <r>
      <rPr>
        <rFont val="Poppins"/>
        <sz val="7.0"/>
      </rPr>
      <t xml:space="preserve">..." + Their portfolio consists of </t>
    </r>
    <r>
      <rPr>
        <rFont val="Poppins"/>
        <b/>
        <color rgb="FF1155CC"/>
        <sz val="7.0"/>
        <u/>
      </rPr>
      <t>VC funds</t>
    </r>
    <r>
      <rPr>
        <rFont val="Poppins"/>
        <sz val="7.0"/>
      </rPr>
      <t xml:space="preserve">, i.e.,  </t>
    </r>
    <r>
      <rPr>
        <rFont val="Poppins"/>
        <b/>
        <sz val="7.0"/>
      </rPr>
      <t>1Up Ventures, etc.</t>
    </r>
    <r>
      <rPr>
        <rFont val="Poppins"/>
        <sz val="7.0"/>
      </rPr>
      <t xml:space="preserve">
- [Sector investment focus] &gt; Data manager judgement &gt; Their portfolio confirms investments in </t>
    </r>
    <r>
      <rPr>
        <rFont val="Poppins"/>
        <b/>
        <color rgb="FF1155CC"/>
        <sz val="7.0"/>
        <u/>
      </rPr>
      <t>AI</t>
    </r>
    <r>
      <rPr>
        <rFont val="Poppins"/>
        <sz val="7.0"/>
      </rPr>
      <t xml:space="preserve">, ex: </t>
    </r>
    <r>
      <rPr>
        <rFont val="Poppins"/>
        <b/>
        <sz val="7.0"/>
      </rPr>
      <t>lang.ai, Mistral AI_, etc.</t>
    </r>
    <r>
      <rPr>
        <rFont val="Poppins"/>
        <sz val="7.0"/>
      </rPr>
      <t xml:space="preserve">
- [Region investment focus] &gt; Data manager judgement &gt; Their investments are based in the </t>
    </r>
    <r>
      <rPr>
        <rFont val="Poppins"/>
        <b/>
        <color rgb="FF1155CC"/>
        <sz val="7.0"/>
        <u/>
      </rPr>
      <t>United States</t>
    </r>
    <r>
      <rPr>
        <rFont val="Poppins"/>
        <sz val="7.0"/>
      </rPr>
      <t xml:space="preserve">, ex: </t>
    </r>
    <r>
      <rPr>
        <rFont val="Poppins"/>
        <b/>
        <sz val="7.0"/>
      </rPr>
      <t xml:space="preserve">1Up Ventures., etc.
</t>
    </r>
    <r>
      <rPr>
        <rFont val="Poppins"/>
        <sz val="7.0"/>
      </rPr>
      <t xml:space="preserve">- [Maturity Focus = Emerging] &gt; Data manager judgement &gt; They have not publicly disclosed their maturity focus but the rest of the criteria aligns with your IIP. </t>
    </r>
    <r>
      <rPr>
        <rFont val="Poppins"/>
        <b/>
        <sz val="7.0"/>
      </rPr>
      <t>#DemandCreation.</t>
    </r>
  </si>
  <si>
    <t>Mato Krahl</t>
  </si>
  <si>
    <t>Mato</t>
  </si>
  <si>
    <t>Krahl</t>
  </si>
  <si>
    <t>mato.krahl@mkub.de</t>
  </si>
  <si>
    <t>https://www.linkedin.com/in/mato-krahl-mkvc/</t>
  </si>
  <si>
    <t>Genesis 256</t>
  </si>
  <si>
    <t>https://genesis256.com/</t>
  </si>
  <si>
    <r>
      <rPr>
        <rFont val="Poppins"/>
        <sz val="7.0"/>
      </rPr>
      <t xml:space="preserve">- [Asset class = Fund VC] &gt; Website &gt; "...Our capital deployment spans direct and </t>
    </r>
    <r>
      <rPr>
        <rFont val="Poppins"/>
        <b/>
        <color rgb="FF1155CC"/>
        <sz val="7.0"/>
        <u/>
      </rPr>
      <t>indirect venture investments</t>
    </r>
    <r>
      <rPr>
        <rFont val="Poppins"/>
        <sz val="7.0"/>
      </rPr>
      <t xml:space="preserve"> (equity and token)..."
- [Sector investment focus] &gt; Website &gt; "...Genesis 256 is a crypto-native Single-Family Office for investments and advisory in Blockchain &amp; </t>
    </r>
    <r>
      <rPr>
        <rFont val="Poppins"/>
        <b/>
        <color rgb="FF1155CC"/>
        <sz val="7.0"/>
        <u/>
      </rPr>
      <t>AI</t>
    </r>
    <r>
      <rPr>
        <rFont val="Poppins"/>
        <sz val="7.0"/>
      </rPr>
      <t xml:space="preserve">..."
- [Region investment focus] &gt; Data manager judgement &gt;Their portfolio confirms their investment in Europe and </t>
    </r>
    <r>
      <rPr>
        <rFont val="Poppins"/>
        <b/>
        <color rgb="FF1155CC"/>
        <sz val="7.0"/>
        <u/>
      </rPr>
      <t>North America</t>
    </r>
    <r>
      <rPr>
        <rFont val="Poppins"/>
        <sz val="7.0"/>
      </rPr>
      <t xml:space="preserve">, ex: xAI, Ekiden.fi, etc.
- [Maturity Focus = Emerging] &gt; Data manager judgement &gt; They have not publicly disclosed their maturity focus but the rest of the criteria aligns with your IIP. </t>
    </r>
    <r>
      <rPr>
        <rFont val="Poppins"/>
        <b/>
        <sz val="7.0"/>
      </rPr>
      <t>#DemandCreation.</t>
    </r>
  </si>
  <si>
    <t>Founder &amp; Managing Director</t>
  </si>
  <si>
    <t>Philipp Seeck</t>
  </si>
  <si>
    <t>Seeck</t>
  </si>
  <si>
    <t>philipp.seeck@genesis256.com</t>
  </si>
  <si>
    <t>https://www.linkedin.com/in/philipp-h-seeck-caia/</t>
  </si>
  <si>
    <t>Bridge Capital Holding</t>
  </si>
  <si>
    <t>https://bch.co/</t>
  </si>
  <si>
    <t>Lebanon</t>
  </si>
  <si>
    <r>
      <rPr>
        <rFont val="Poppins"/>
        <sz val="7.0"/>
      </rPr>
      <t xml:space="preserve">-[Asset class = Funds - VC] &gt; Portfolio &gt; Their Portfolio Consists of </t>
    </r>
    <r>
      <rPr>
        <rFont val="Poppins"/>
        <b/>
        <color rgb="FF1155CC"/>
        <sz val="7.0"/>
        <u/>
      </rPr>
      <t>VC Funds</t>
    </r>
    <r>
      <rPr>
        <rFont val="Poppins"/>
        <sz val="7.0"/>
      </rPr>
      <t>, ex: Maki VC, Montage Venture, etc.
-[Sector investment focus] &gt; Website &gt; "...</t>
    </r>
    <r>
      <rPr>
        <rFont val="Poppins"/>
        <b/>
        <color rgb="FF1155CC"/>
        <sz val="7.0"/>
        <u/>
      </rPr>
      <t>Artificial Intelligence</t>
    </r>
    <r>
      <rPr>
        <rFont val="Poppins"/>
        <sz val="7.0"/>
      </rPr>
      <t xml:space="preserve">, B2B, B2C, Blockchain, Consumer Electronics, Courier Service, E-Commerce, Finance, </t>
    </r>
    <r>
      <rPr>
        <rFont val="Poppins"/>
        <b/>
        <sz val="7.0"/>
      </rPr>
      <t>FinTech</t>
    </r>
    <r>
      <rPr>
        <rFont val="Poppins"/>
        <sz val="7.0"/>
      </rPr>
      <t xml:space="preserve">, Food and Beverage, Grocery, Health Care, Identity Management, KaaS, Machinery, Renewable Energy, Shopping, Technology..."
-[Region investment focus] &gt; Website &gt; "...Focus on UK, </t>
    </r>
    <r>
      <rPr>
        <rFont val="Poppins"/>
        <b/>
        <color rgb="FF1155CC"/>
        <sz val="7.0"/>
        <u/>
      </rPr>
      <t>US</t>
    </r>
    <r>
      <rPr>
        <rFont val="Poppins"/>
        <sz val="7.0"/>
      </rPr>
      <t xml:space="preserve"> and Europe...."
- [Maturity Focus = Emerging] &gt; Data manager judgement &gt; They have not publicly disclosed their maturity focus but the rest of the criteria aligns with your IIP. </t>
    </r>
    <r>
      <rPr>
        <rFont val="Poppins"/>
        <b/>
        <sz val="7.0"/>
      </rPr>
      <t>#DemandCreation.</t>
    </r>
  </si>
  <si>
    <t>Anthony Talhami</t>
  </si>
  <si>
    <t>Talhami</t>
  </si>
  <si>
    <t>atalhami@bch.co</t>
  </si>
  <si>
    <t>https://www.linkedin.com/in/anthonytalhami/</t>
  </si>
  <si>
    <t>Invext Corp.</t>
  </si>
  <si>
    <t>https://invext.es/#private-equity</t>
  </si>
  <si>
    <r>
      <rPr>
        <rFont val="Poppins"/>
        <sz val="7.0"/>
      </rPr>
      <t xml:space="preserve">- [Asset Class - Funds - VC] &gt; Website  &gt; "...Invext is inclined to invest directly in companies or </t>
    </r>
    <r>
      <rPr>
        <rFont val="Poppins"/>
        <b/>
        <color rgb="FF1155CC"/>
        <sz val="7.0"/>
        <u/>
      </rPr>
      <t>funds</t>
    </r>
    <r>
      <rPr>
        <rFont val="Poppins"/>
        <sz val="7.0"/>
      </rPr>
      <t xml:space="preserve"> that have innovation as their key business activity..." + "...</t>
    </r>
    <r>
      <rPr>
        <rFont val="Poppins"/>
        <b/>
        <color rgb="FF1155CC"/>
        <sz val="7.0"/>
        <u/>
      </rPr>
      <t>Venture Capital</t>
    </r>
    <r>
      <rPr>
        <rFont val="Poppins"/>
        <sz val="7.0"/>
      </rPr>
      <t xml:space="preserve">..."
- [Region investment focus] &gt; Website  &gt; "...Our investment policy is based on long-term strategies primarily using  </t>
    </r>
    <r>
      <rPr>
        <rFont val="Poppins"/>
        <b/>
        <color rgb="FF1155CC"/>
        <sz val="7.0"/>
        <u/>
      </rPr>
      <t xml:space="preserve">global </t>
    </r>
    <r>
      <rPr>
        <rFont val="Poppins"/>
        <sz val="7.0"/>
      </rPr>
      <t xml:space="preserve">investment funds and with very strict minimum requirements..." + "...at least 50% of the investments will be located in the </t>
    </r>
    <r>
      <rPr>
        <rFont val="Poppins"/>
        <b/>
        <color rgb="FF1155CC"/>
        <sz val="7.0"/>
        <u/>
      </rPr>
      <t>United States</t>
    </r>
    <r>
      <rPr>
        <rFont val="Poppins"/>
        <sz val="7.0"/>
      </rPr>
      <t xml:space="preserve">, with the remainder primarily in Europe..."
- [Sector investment focus] &gt; Data manager judgement &gt; They have investments in funds which focus on </t>
    </r>
    <r>
      <rPr>
        <rFont val="Poppins"/>
        <b/>
        <color rgb="FF1155CC"/>
        <sz val="7.0"/>
        <u/>
      </rPr>
      <t>AI</t>
    </r>
    <r>
      <rPr>
        <rFont val="Poppins"/>
        <b/>
        <sz val="7.0"/>
      </rPr>
      <t xml:space="preserve">, fintech, </t>
    </r>
    <r>
      <rPr>
        <rFont val="Poppins"/>
        <sz val="7.0"/>
      </rPr>
      <t>healthtech</t>
    </r>
    <r>
      <rPr>
        <rFont val="Poppins"/>
        <b/>
        <sz val="7.0"/>
      </rPr>
      <t xml:space="preserve">, </t>
    </r>
    <r>
      <rPr>
        <rFont val="Poppins"/>
        <sz val="7.0"/>
      </rPr>
      <t>insurtech</t>
    </r>
    <r>
      <rPr>
        <rFont val="Poppins"/>
        <b/>
        <sz val="7.0"/>
      </rPr>
      <t xml:space="preserve">, </t>
    </r>
    <r>
      <rPr>
        <rFont val="Poppins"/>
        <sz val="7.0"/>
      </rPr>
      <t xml:space="preserve">proptech, etc, </t>
    </r>
    <r>
      <rPr>
        <rFont val="Poppins"/>
        <b/>
        <sz val="7.0"/>
      </rPr>
      <t>ex: The Lab Ventures, Demium, etc.</t>
    </r>
    <r>
      <rPr>
        <rFont val="Poppins"/>
        <sz val="7.0"/>
      </rPr>
      <t xml:space="preserve">
- [Maturity Focus = Emerging] &gt; Data manager judgement &gt; They have not publicly disclosed their maturity focus but the rest of the criteria aligns with your IIP. </t>
    </r>
    <r>
      <rPr>
        <rFont val="Poppins"/>
        <b/>
        <sz val="7.0"/>
      </rPr>
      <t>#DemandCreation.</t>
    </r>
  </si>
  <si>
    <t>Santiago Royo López</t>
  </si>
  <si>
    <t>Santiago</t>
  </si>
  <si>
    <t>Royo López</t>
  </si>
  <si>
    <t>santiago.royo@invext.es</t>
  </si>
  <si>
    <t>https://www.linkedin.com/in/santiago-royo-l%C3%B3pez-a516b721/</t>
  </si>
  <si>
    <t>G4 Investments</t>
  </si>
  <si>
    <t>https://g4.sk/en/eng/</t>
  </si>
  <si>
    <r>
      <rPr>
        <rFont val="Poppins"/>
        <sz val="7.0"/>
      </rPr>
      <t xml:space="preserve">- [Asset class = Funds - VC] &gt; Website &gt; "... we have invested in 70 projects across various asset classes (equity, real estate, </t>
    </r>
    <r>
      <rPr>
        <rFont val="Poppins"/>
        <b/>
        <color rgb="FF1155CC"/>
        <sz val="7.0"/>
        <u/>
      </rPr>
      <t>venture capital funds</t>
    </r>
    <r>
      <rPr>
        <rFont val="Poppins"/>
        <sz val="7.0"/>
      </rPr>
      <t>, startups, debt, and passive investments)..."
- [Region investment focus] &gt; Website &gt; "...</t>
    </r>
    <r>
      <rPr>
        <rFont val="Poppins"/>
        <b/>
        <color rgb="FF1155CC"/>
        <sz val="7.0"/>
        <u/>
      </rPr>
      <t>Global</t>
    </r>
    <r>
      <rPr>
        <rFont val="Poppins"/>
        <color rgb="FF1155CC"/>
        <sz val="7.0"/>
        <u/>
      </rPr>
      <t xml:space="preserve"> </t>
    </r>
    <r>
      <rPr>
        <rFont val="Poppins"/>
        <sz val="7.0"/>
      </rPr>
      <t xml:space="preserve">and Central European private equity fund investments..."
- [Sector investment focus] &gt; Data manager judgement &gt; They have mentioned on their website that they focus on </t>
    </r>
    <r>
      <rPr>
        <rFont val="Poppins"/>
        <b/>
        <color rgb="FF1155CC"/>
        <sz val="7.0"/>
        <u/>
      </rPr>
      <t>AI</t>
    </r>
    <r>
      <rPr>
        <rFont val="Poppins"/>
        <sz val="7.0"/>
      </rPr>
      <t xml:space="preserve">, Biotech, space and blockchain.
- [Maturity Focus = Emerging] &gt; Data manager judgement &gt; They have not publicly disclosed their maturity focus but the rest of the criteria aligns with your IIP. </t>
    </r>
    <r>
      <rPr>
        <rFont val="Poppins"/>
        <b/>
        <sz val="7.0"/>
      </rPr>
      <t>#DemandCreation.</t>
    </r>
  </si>
  <si>
    <t xml:space="preserve"> Investment Manager</t>
  </si>
  <si>
    <t>Miroslav Suchy</t>
  </si>
  <si>
    <t>Miroslav</t>
  </si>
  <si>
    <t>Suchy</t>
  </si>
  <si>
    <t>miroslav.suchy@g4.sk</t>
  </si>
  <si>
    <t>https://www.linkedin.com/in/miroslav-suchy/</t>
  </si>
  <si>
    <t>M4 capital</t>
  </si>
  <si>
    <t>https://www.m4capital.de/</t>
  </si>
  <si>
    <r>
      <rPr>
        <rFont val="Poppins"/>
        <sz val="7.0"/>
      </rPr>
      <t xml:space="preserve">- [Asset class = Funds - VC] &gt; Portfolio &gt; They have made </t>
    </r>
    <r>
      <rPr>
        <rFont val="Poppins"/>
        <b/>
        <color rgb="FF1155CC"/>
        <sz val="7.0"/>
        <u/>
      </rPr>
      <t>VC Fund</t>
    </r>
    <r>
      <rPr>
        <rFont val="Poppins"/>
        <sz val="7.0"/>
      </rPr>
      <t xml:space="preserve"> investments, </t>
    </r>
    <r>
      <rPr>
        <rFont val="Poppins"/>
        <b/>
        <sz val="7.0"/>
      </rPr>
      <t>ex: Soleria capital, 10x founders, etc.</t>
    </r>
    <r>
      <rPr>
        <rFont val="Poppins"/>
        <sz val="7.0"/>
      </rPr>
      <t xml:space="preserve">
- [Sector investment focus] &gt; Portfolio &gt; They have made investments in </t>
    </r>
    <r>
      <rPr>
        <rFont val="Poppins"/>
        <b/>
        <color rgb="FF1155CC"/>
        <sz val="7.0"/>
        <u/>
      </rPr>
      <t>AI</t>
    </r>
    <r>
      <rPr>
        <rFont val="Poppins"/>
        <b/>
        <sz val="7.0"/>
      </rPr>
      <t>, ex: Vara, Meucci, etc.</t>
    </r>
    <r>
      <rPr>
        <rFont val="Poppins"/>
        <sz val="7.0"/>
      </rPr>
      <t xml:space="preserve">
- [Region investment focus] &gt; Data manager judgement &gt; They have investments based in the </t>
    </r>
    <r>
      <rPr>
        <rFont val="Poppins"/>
        <b/>
        <color rgb="FF1155CC"/>
        <sz val="7.0"/>
        <u/>
      </rPr>
      <t>United States</t>
    </r>
    <r>
      <rPr>
        <rFont val="Poppins"/>
        <sz val="7.0"/>
      </rPr>
      <t xml:space="preserve">, ex: </t>
    </r>
    <r>
      <rPr>
        <rFont val="Poppins"/>
        <b/>
        <sz val="7.0"/>
      </rPr>
      <t>Cambrian Bio, etc.</t>
    </r>
    <r>
      <rPr>
        <rFont val="Poppins"/>
        <sz val="7.0"/>
      </rPr>
      <t xml:space="preserve">
- [Maturity Focus = Emerging] &gt; Data manager judgement &gt; They haven't publicly disclosed their maturity focus but the rest of the criteria aligns with your IIP. </t>
    </r>
    <r>
      <rPr>
        <rFont val="Poppins"/>
        <b/>
        <sz val="7.0"/>
      </rPr>
      <t>#DemandCreation.</t>
    </r>
  </si>
  <si>
    <t>Reinhard Meier</t>
  </si>
  <si>
    <t>Reinhard</t>
  </si>
  <si>
    <t>Meier</t>
  </si>
  <si>
    <t>reinhardtmeier@gmail.com
reinhard@yzr.vc</t>
  </si>
  <si>
    <t>https://www.linkedin.com/in/reinhard-meier-yzr/</t>
  </si>
  <si>
    <t>STALUSA</t>
  </si>
  <si>
    <t>https://www.stalusa.be/</t>
  </si>
  <si>
    <t>Portfolio, LinkedIn</t>
  </si>
  <si>
    <r>
      <rPr>
        <rFont val="Poppins"/>
        <sz val="7.0"/>
      </rPr>
      <t xml:space="preserve">- [Asset class = Funds - VC] &gt; Linkedin + Portfolio &gt; Private Equity &amp; </t>
    </r>
    <r>
      <rPr>
        <rFont val="Poppins"/>
        <b/>
        <color rgb="FF1155CC"/>
        <sz val="7.0"/>
        <u/>
      </rPr>
      <t>Venture Capital Funds</t>
    </r>
    <r>
      <rPr>
        <rFont val="Poppins"/>
        <sz val="7.0"/>
      </rPr>
      <t xml:space="preserve">, diversify further with strong return expectations. + Their portfolio consists of </t>
    </r>
    <r>
      <rPr>
        <rFont val="Poppins"/>
        <b/>
        <color rgb="FF1155CC"/>
        <sz val="7.0"/>
        <u/>
      </rPr>
      <t>VC Funds</t>
    </r>
    <r>
      <rPr>
        <rFont val="Poppins"/>
        <sz val="7.0"/>
      </rPr>
      <t xml:space="preserve">, ex: </t>
    </r>
    <r>
      <rPr>
        <rFont val="Poppins"/>
        <b/>
        <sz val="7.0"/>
      </rPr>
      <t>6degrees, founders fund, Smile Sail, etc.</t>
    </r>
    <r>
      <rPr>
        <rFont val="Poppins"/>
        <sz val="7.0"/>
      </rPr>
      <t xml:space="preserve">
- [Sector Investment Focus] &gt; Portfolio &gt; Their portfolio consists of VC Funds which focus on </t>
    </r>
    <r>
      <rPr>
        <rFont val="Poppins"/>
        <b/>
        <sz val="7.0"/>
      </rPr>
      <t>SaaS</t>
    </r>
    <r>
      <rPr>
        <rFont val="Poppins"/>
        <sz val="7.0"/>
      </rPr>
      <t xml:space="preserve">, </t>
    </r>
    <r>
      <rPr>
        <rFont val="Poppins"/>
        <b/>
        <sz val="7.0"/>
      </rPr>
      <t>Fintech</t>
    </r>
    <r>
      <rPr>
        <rFont val="Poppins"/>
        <sz val="7.0"/>
      </rPr>
      <t xml:space="preserve"> and </t>
    </r>
    <r>
      <rPr>
        <rFont val="Poppins"/>
        <b/>
        <color rgb="FF1155CC"/>
        <sz val="7.0"/>
        <u/>
      </rPr>
      <t>AI</t>
    </r>
    <r>
      <rPr>
        <rFont val="Poppins"/>
        <sz val="7.0"/>
      </rPr>
      <t xml:space="preserve"> ex: </t>
    </r>
    <r>
      <rPr>
        <rFont val="Poppins"/>
        <b/>
        <sz val="7.0"/>
      </rPr>
      <t>6degrees, founders fund, Smile Sail, etc.</t>
    </r>
    <r>
      <rPr>
        <rFont val="Poppins"/>
        <sz val="7.0"/>
      </rPr>
      <t xml:space="preserve">
- [Region Investment Focus] &gt; Portfolio &gt; Their portfolio consists of investments based in Europe</t>
    </r>
    <r>
      <rPr>
        <rFont val="Poppins"/>
        <b/>
        <sz val="7.0"/>
      </rPr>
      <t xml:space="preserve"> </t>
    </r>
    <r>
      <rPr>
        <rFont val="Poppins"/>
        <sz val="7.0"/>
      </rPr>
      <t xml:space="preserve">and </t>
    </r>
    <r>
      <rPr>
        <rFont val="Poppins"/>
        <b/>
        <color rgb="FF1155CC"/>
        <sz val="7.0"/>
        <u/>
      </rPr>
      <t>North America</t>
    </r>
    <r>
      <rPr>
        <rFont val="Poppins"/>
        <sz val="7.0"/>
      </rPr>
      <t xml:space="preserve">, ex: </t>
    </r>
    <r>
      <rPr>
        <rFont val="Poppins"/>
        <b/>
        <sz val="7.0"/>
      </rPr>
      <t xml:space="preserve">6degrees, founders fund, etc.
</t>
    </r>
    <r>
      <rPr>
        <rFont val="Poppins"/>
        <sz val="7.0"/>
      </rPr>
      <t xml:space="preserve">- [Maturity Focus = Emerging] &gt; Data manager judgement &gt; They haven't publicly disclosed their maturity focus but the rest of the criteria aligns with your IIP. </t>
    </r>
    <r>
      <rPr>
        <rFont val="Poppins"/>
        <b/>
        <sz val="7.0"/>
      </rPr>
      <t>#DemandCreation.</t>
    </r>
  </si>
  <si>
    <t>Stanislas Emsens</t>
  </si>
  <si>
    <t>Stanislas</t>
  </si>
  <si>
    <t>Emsens</t>
  </si>
  <si>
    <t>stanislas@stalusa.com</t>
  </si>
  <si>
    <t>https://www.linkedin.com/in/stanislasemsens</t>
  </si>
  <si>
    <t>FRK Investments</t>
  </si>
  <si>
    <t>https://www.frkinvestments.com/</t>
  </si>
  <si>
    <t>Ireland</t>
  </si>
  <si>
    <r>
      <rPr>
        <rFont val="Poppins"/>
        <sz val="7.0"/>
      </rPr>
      <t xml:space="preserve">- [Asset class = Funds-VC] &gt; Website &gt; "...We reinvest our profits in both </t>
    </r>
    <r>
      <rPr>
        <rFont val="Poppins"/>
        <b/>
        <sz val="7.0"/>
      </rPr>
      <t>emerging</t>
    </r>
    <r>
      <rPr>
        <rFont val="Poppins"/>
        <sz val="7.0"/>
      </rPr>
      <t xml:space="preserve"> and leading </t>
    </r>
    <r>
      <rPr>
        <rFont val="Poppins"/>
        <b/>
        <sz val="7.0"/>
      </rPr>
      <t>fund managers</t>
    </r>
    <r>
      <rPr>
        <rFont val="Poppins"/>
        <sz val="7.0"/>
      </rPr>
      <t xml:space="preserve">..." + "...Our core investment areas include Early-Stage </t>
    </r>
    <r>
      <rPr>
        <rFont val="Poppins"/>
        <b/>
        <color rgb="FF1155CC"/>
        <sz val="7.0"/>
        <u/>
      </rPr>
      <t>Venture Capital</t>
    </r>
    <r>
      <rPr>
        <rFont val="Poppins"/>
        <sz val="7.0"/>
      </rPr>
      <t>..."
- [Sector Investment Focus] &gt; Website &gt; "...Additionally, we invest in early-stage funds and occasionally make direct investments in startups, with a current focus on Generative</t>
    </r>
    <r>
      <rPr>
        <rFont val="Poppins"/>
        <b/>
        <color rgb="FF1155CC"/>
        <sz val="7.0"/>
        <u/>
      </rPr>
      <t xml:space="preserve"> Artificial Intelligence</t>
    </r>
    <r>
      <rPr>
        <rFont val="Poppins"/>
        <sz val="7.0"/>
      </rPr>
      <t xml:space="preserve">..."
- [Region Investment focus] &gt; Linkedin &gt; Our portfolio and partnerships span Europe, the </t>
    </r>
    <r>
      <rPr>
        <rFont val="Poppins"/>
        <b/>
        <color rgb="FF1155CC"/>
        <sz val="7.0"/>
        <u/>
      </rPr>
      <t>US</t>
    </r>
    <r>
      <rPr>
        <rFont val="Poppins"/>
        <sz val="7.0"/>
      </rPr>
      <t xml:space="preserve">, and the </t>
    </r>
    <r>
      <rPr>
        <rFont val="Poppins"/>
        <b/>
        <sz val="7.0"/>
      </rPr>
      <t>Middle East</t>
    </r>
    <r>
      <rPr>
        <rFont val="Poppins"/>
        <sz val="7.0"/>
      </rPr>
      <t xml:space="preserve">.
- [Maturity Focus = Emerging] &gt; Website &gt; "...We reinvest our profits in both </t>
    </r>
    <r>
      <rPr>
        <rFont val="Poppins"/>
        <b/>
        <color rgb="FF1155CC"/>
        <sz val="7.0"/>
        <u/>
      </rPr>
      <t>emerging</t>
    </r>
    <r>
      <rPr>
        <rFont val="Poppins"/>
        <b/>
        <sz val="7.0"/>
      </rPr>
      <t xml:space="preserve"> and leading fund managers</t>
    </r>
    <r>
      <rPr>
        <rFont val="Poppins"/>
        <sz val="7.0"/>
      </rPr>
      <t>..."</t>
    </r>
  </si>
  <si>
    <t>Jesus F.</t>
  </si>
  <si>
    <t>jesus@frkinvestments.com</t>
  </si>
  <si>
    <t>https://www.linkedin.com/in/jesus-f-ramos22/</t>
  </si>
  <si>
    <t>NJF Capital</t>
  </si>
  <si>
    <t>https://www.njfcapital.com/</t>
  </si>
  <si>
    <t>Private data provider, Data manager judgement, Portfolio</t>
  </si>
  <si>
    <r>
      <rPr>
        <rFont val="Poppins"/>
        <sz val="7.0"/>
      </rPr>
      <t xml:space="preserve">- [Asset class = Funds - VC] &gt; Website + Private data provider &gt; "...NJF Capital focuses on </t>
    </r>
    <r>
      <rPr>
        <rFont val="Poppins"/>
        <b/>
        <color rgb="FF1155CC"/>
        <sz val="7.0"/>
        <u/>
      </rPr>
      <t>ventures</t>
    </r>
    <r>
      <rPr>
        <rFont val="Poppins"/>
        <sz val="7.0"/>
      </rPr>
      <t xml:space="preserve"> with the potential..." + "...NJF Capital is the </t>
    </r>
    <r>
      <rPr>
        <rFont val="Poppins"/>
        <b/>
        <color rgb="FF1155CC"/>
        <sz val="7.0"/>
        <u/>
      </rPr>
      <t>venture investment</t>
    </r>
    <r>
      <rPr>
        <rFont val="Poppins"/>
        <sz val="7.0"/>
      </rPr>
      <t xml:space="preserve"> arm..." + NJF has invested in </t>
    </r>
    <r>
      <rPr>
        <rFont val="Poppins"/>
        <b/>
        <color rgb="FF1155CC"/>
        <sz val="7.0"/>
        <u/>
      </rPr>
      <t>VC Funds</t>
    </r>
    <r>
      <rPr>
        <rFont val="Poppins"/>
        <sz val="7.0"/>
      </rPr>
      <t xml:space="preserve">, ex: Hakluyt Capital, etc.
- [Sector investment focus] &gt; Website &gt; "...Backing frontier </t>
    </r>
    <r>
      <rPr>
        <rFont val="Poppins"/>
        <b/>
        <color rgb="FF1155CC"/>
        <sz val="7.0"/>
        <u/>
      </rPr>
      <t>AI</t>
    </r>
    <r>
      <rPr>
        <rFont val="Poppins"/>
        <sz val="7.0"/>
      </rPr>
      <t xml:space="preserve">, autonomous </t>
    </r>
    <r>
      <rPr>
        <rFont val="Poppins"/>
        <b/>
        <sz val="7.0"/>
      </rPr>
      <t>technologies</t>
    </r>
    <r>
      <rPr>
        <rFont val="Poppins"/>
        <sz val="7.0"/>
      </rPr>
      <t xml:space="preserve">..."
- [Region investment focus] &gt; Website &gt; "...focuses on ventures with the potential to scale </t>
    </r>
    <r>
      <rPr>
        <rFont val="Poppins"/>
        <b/>
        <color rgb="FF1155CC"/>
        <sz val="7.0"/>
        <u/>
      </rPr>
      <t>globally</t>
    </r>
    <r>
      <rPr>
        <rFont val="Poppins"/>
        <sz val="7.0"/>
      </rPr>
      <t xml:space="preserve">..." + They have investments based in </t>
    </r>
    <r>
      <rPr>
        <rFont val="Poppins"/>
        <b/>
        <color rgb="FF1155CC"/>
        <sz val="7.0"/>
        <u/>
      </rPr>
      <t>North America</t>
    </r>
    <r>
      <rPr>
        <rFont val="Poppins"/>
        <sz val="7.0"/>
      </rPr>
      <t xml:space="preserve">. ex: Hakluyt Capital, etc.
- [Maturity Focus = Emerging] &gt; Data manager judgement &gt; They haven't publicly disclosed their maturity focus but the rest of the criteria aligns with your IIP. </t>
    </r>
    <r>
      <rPr>
        <rFont val="Poppins"/>
        <b/>
        <sz val="7.0"/>
      </rPr>
      <t>#DemandCreation.</t>
    </r>
  </si>
  <si>
    <t>Nicole J.</t>
  </si>
  <si>
    <t>Nicole</t>
  </si>
  <si>
    <t>J.</t>
  </si>
  <si>
    <t>junkermann@njfholdings.com</t>
  </si>
  <si>
    <t>https://www.linkedin.com/in/nicolejunkermann/</t>
  </si>
  <si>
    <t>ISTCAPITAL</t>
  </si>
  <si>
    <t>https://www.istcapital.com/</t>
  </si>
  <si>
    <r>
      <rPr>
        <rFont val="Poppins"/>
        <sz val="7.0"/>
      </rPr>
      <t xml:space="preserve">- [Asset class = Funds - VC] &gt; Website + Linkedin &gt; "...We also invest to the </t>
    </r>
    <r>
      <rPr>
        <rFont val="Poppins"/>
        <b/>
        <color rgb="FF1155CC"/>
        <sz val="7.0"/>
        <u/>
      </rPr>
      <t>Venture Capital Funds</t>
    </r>
    <r>
      <rPr>
        <rFont val="Poppins"/>
        <sz val="7.0"/>
      </rPr>
      <t xml:space="preserve">, Private Equity funds and </t>
    </r>
    <r>
      <rPr>
        <rFont val="Poppins"/>
        <b/>
        <sz val="7.0"/>
      </rPr>
      <t>Fund of Funds</t>
    </r>
    <r>
      <rPr>
        <rFont val="Poppins"/>
        <sz val="7.0"/>
      </rPr>
      <t xml:space="preserve">..." + We invest directly in early-stage start-ups, </t>
    </r>
    <r>
      <rPr>
        <rFont val="Poppins"/>
        <b/>
        <color rgb="FF1155CC"/>
        <sz val="7.0"/>
        <u/>
      </rPr>
      <t>Venture Capital Funds</t>
    </r>
    <r>
      <rPr>
        <rFont val="Poppins"/>
        <sz val="7.0"/>
      </rPr>
      <t>, Private Equity funds and Fund of Funds.</t>
    </r>
    <r>
      <rPr>
        <rFont val="Poppins"/>
        <b/>
        <sz val="7.0"/>
      </rPr>
      <t xml:space="preserve">
</t>
    </r>
    <r>
      <rPr>
        <rFont val="Poppins"/>
        <sz val="7.0"/>
      </rPr>
      <t xml:space="preserve">- [Sector investment focus] &gt; Website + Portfolio &gt; "...We focus on </t>
    </r>
    <r>
      <rPr>
        <rFont val="Poppins"/>
        <b/>
        <color rgb="FF1155CC"/>
        <sz val="7.0"/>
        <u/>
      </rPr>
      <t>financial technologies</t>
    </r>
    <r>
      <rPr>
        <rFont val="Poppins"/>
        <sz val="7.0"/>
      </rPr>
      <t xml:space="preserve">, property technologies, </t>
    </r>
    <r>
      <rPr>
        <rFont val="Poppins"/>
        <b/>
        <sz val="7.0"/>
      </rPr>
      <t>software as a service</t>
    </r>
    <r>
      <rPr>
        <rFont val="Poppins"/>
        <sz val="7.0"/>
      </rPr>
      <t xml:space="preserve">, digital health, infrastructure / </t>
    </r>
    <r>
      <rPr>
        <rFont val="Poppins"/>
        <b/>
        <sz val="7.0"/>
      </rPr>
      <t>developer softwares</t>
    </r>
    <r>
      <rPr>
        <rFont val="Poppins"/>
        <sz val="7.0"/>
      </rPr>
      <t xml:space="preserve">, </t>
    </r>
    <r>
      <rPr>
        <rFont val="Poppins"/>
        <b/>
        <sz val="7.0"/>
      </rPr>
      <t>cybersecurity</t>
    </r>
    <r>
      <rPr>
        <rFont val="Poppins"/>
        <sz val="7.0"/>
      </rPr>
      <t xml:space="preserve">, gaming and e-commerce which based on </t>
    </r>
    <r>
      <rPr>
        <rFont val="Poppins"/>
        <b/>
        <sz val="7.0"/>
      </rPr>
      <t>machine learning or deep technologies</t>
    </r>
    <r>
      <rPr>
        <rFont val="Poppins"/>
        <sz val="7.0"/>
      </rPr>
      <t xml:space="preserve">..." + Their portfolio consists of investments which focus on software, </t>
    </r>
    <r>
      <rPr>
        <rFont val="Poppins"/>
        <b/>
        <sz val="7.0"/>
      </rPr>
      <t>technology</t>
    </r>
    <r>
      <rPr>
        <rFont val="Poppins"/>
        <sz val="7.0"/>
      </rPr>
      <t xml:space="preserve">, </t>
    </r>
    <r>
      <rPr>
        <rFont val="Poppins"/>
        <b/>
        <color rgb="FF1155CC"/>
        <sz val="7.0"/>
        <u/>
      </rPr>
      <t xml:space="preserve">AI </t>
    </r>
    <r>
      <rPr>
        <rFont val="Poppins"/>
        <sz val="7.0"/>
      </rPr>
      <t xml:space="preserve">etc, ex: eloquent AI, Fuse AI, etc.
- [Region investment focus] &gt; Website &gt; "...strategies, action plans and forming a </t>
    </r>
    <r>
      <rPr>
        <rFont val="Poppins"/>
        <b/>
        <color rgb="FF1155CC"/>
        <sz val="7.0"/>
        <u/>
      </rPr>
      <t xml:space="preserve">global </t>
    </r>
    <r>
      <rPr>
        <rFont val="Poppins"/>
        <sz val="7.0"/>
      </rPr>
      <t xml:space="preserve">vision is what we do best..."
- [Maturity Focus = Emerging] &gt; Data manager judgement &gt; They haven't publicly disclosed their maturity focus but the rest of the criteria aligns with your IIP. </t>
    </r>
    <r>
      <rPr>
        <rFont val="Poppins"/>
        <b/>
        <sz val="7.0"/>
      </rPr>
      <t>#DemandCreation.</t>
    </r>
  </si>
  <si>
    <t>no fund investments focus</t>
  </si>
  <si>
    <r>
      <rPr>
        <rFont val="Poppins"/>
        <sz val="7.0"/>
      </rPr>
      <t xml:space="preserve">They haven't publicly disclosed any of their VC fund investments but they have mentioned on their website that they do infact invest in </t>
    </r>
    <r>
      <rPr>
        <rFont val="Poppins"/>
        <b/>
        <color rgb="FF1155CC"/>
        <sz val="7.0"/>
        <u/>
      </rPr>
      <t>VC funds</t>
    </r>
    <r>
      <rPr>
        <rFont val="Poppins"/>
        <sz val="7.0"/>
      </rPr>
      <t xml:space="preserve"> and </t>
    </r>
    <r>
      <rPr>
        <rFont val="Poppins"/>
        <b/>
        <sz val="7.0"/>
      </rPr>
      <t>fund of funds</t>
    </r>
    <r>
      <rPr>
        <rFont val="Poppins"/>
        <sz val="7.0"/>
      </rPr>
      <t>.</t>
    </r>
  </si>
  <si>
    <t>Ferd</t>
  </si>
  <si>
    <t>https://ferd.no/en/</t>
  </si>
  <si>
    <r>
      <rPr>
        <rFont val="Poppins"/>
        <sz val="7.0"/>
      </rPr>
      <t xml:space="preserve">- [Asset class = Funds-VC] &gt; Website &gt; "...Ferd External Managers is responsible for the company’s investments with </t>
    </r>
    <r>
      <rPr>
        <rFont val="Poppins"/>
        <b/>
        <color rgb="FF1155CC"/>
        <sz val="7.0"/>
        <u/>
      </rPr>
      <t>external managers</t>
    </r>
    <r>
      <rPr>
        <rFont val="Poppins"/>
        <sz val="7.0"/>
      </rPr>
      <t xml:space="preserve">..." +  Their portfolio consists of </t>
    </r>
    <r>
      <rPr>
        <rFont val="Poppins"/>
        <b/>
        <color rgb="FF1155CC"/>
        <sz val="7.0"/>
        <u/>
      </rPr>
      <t>VC Funds</t>
    </r>
    <r>
      <rPr>
        <rFont val="Poppins"/>
        <sz val="7.0"/>
      </rPr>
      <t xml:space="preserve"> (</t>
    </r>
    <r>
      <rPr>
        <rFont val="Poppins"/>
        <b/>
        <sz val="7.0"/>
      </rPr>
      <t>Antler, ArcTern Ventures</t>
    </r>
    <r>
      <rPr>
        <rFont val="Poppins"/>
        <sz val="7.0"/>
      </rPr>
      <t xml:space="preserve">).
- [Sector investment focus] &gt; Website + Data manager judgement &gt; "... operating across a </t>
    </r>
    <r>
      <rPr>
        <rFont val="Poppins"/>
        <b/>
        <color rgb="FF1155CC"/>
        <sz val="7.0"/>
        <u/>
      </rPr>
      <t>range of industries</t>
    </r>
    <r>
      <rPr>
        <rFont val="Poppins"/>
        <sz val="7.0"/>
      </rPr>
      <t xml:space="preserve">..." + They have made investments focused on </t>
    </r>
    <r>
      <rPr>
        <rFont val="Poppins"/>
        <b/>
        <color rgb="FF1155CC"/>
        <sz val="7.0"/>
        <u/>
      </rPr>
      <t>AI</t>
    </r>
    <r>
      <rPr>
        <rFont val="Poppins"/>
        <sz val="7.0"/>
      </rPr>
      <t>,</t>
    </r>
    <r>
      <rPr>
        <rFont val="Poppins"/>
        <b/>
        <sz val="7.0"/>
      </rPr>
      <t xml:space="preserve"> ex: Egnite, Clir, 2150, etc.</t>
    </r>
    <r>
      <rPr>
        <rFont val="Poppins"/>
        <sz val="7.0"/>
      </rPr>
      <t xml:space="preserve">
- [Region investment focus] &gt; Website &gt; "...Geographic allocation: Europe 22 %, </t>
    </r>
    <r>
      <rPr>
        <rFont val="Poppins"/>
        <b/>
        <color rgb="FF1155CC"/>
        <sz val="7.0"/>
        <u/>
      </rPr>
      <t>America 51 %</t>
    </r>
    <r>
      <rPr>
        <rFont val="Poppins"/>
        <sz val="7.0"/>
      </rPr>
      <t xml:space="preserve">, </t>
    </r>
    <r>
      <rPr>
        <rFont val="Poppins"/>
        <b/>
        <sz val="7.0"/>
      </rPr>
      <t>Rest of the world 27 %</t>
    </r>
    <r>
      <rPr>
        <rFont val="Poppins"/>
        <sz val="7.0"/>
      </rPr>
      <t xml:space="preserve">..."
- [Maturity Focus = Emerging] &gt; Data manager judgement &gt; They have made investments in </t>
    </r>
    <r>
      <rPr>
        <rFont val="Poppins"/>
        <b/>
        <sz val="7.0"/>
      </rPr>
      <t>Funds I &amp; II</t>
    </r>
    <r>
      <rPr>
        <rFont val="Poppins"/>
        <sz val="7.0"/>
      </rPr>
      <t xml:space="preserve">, ex: </t>
    </r>
    <r>
      <rPr>
        <rFont val="Poppins"/>
        <b/>
        <sz val="7.0"/>
      </rPr>
      <t xml:space="preserve">Antler Nordic Fund II, 2150 Fund I, etc. </t>
    </r>
    <r>
      <rPr>
        <rFont val="Poppins"/>
        <sz val="7.0"/>
      </rPr>
      <t xml:space="preserve">This confirms that they invest in </t>
    </r>
    <r>
      <rPr>
        <rFont val="Poppins"/>
        <b/>
        <color rgb="FF1155CC"/>
        <sz val="7.0"/>
        <u/>
      </rPr>
      <t>emerging managers</t>
    </r>
    <r>
      <rPr>
        <rFont val="Poppins"/>
        <sz val="7.0"/>
      </rPr>
      <t>.</t>
    </r>
  </si>
  <si>
    <t>impact investing focus</t>
  </si>
  <si>
    <t>Illusian</t>
  </si>
  <si>
    <t>https://illusian.org/</t>
  </si>
  <si>
    <t>Website, LinkedIn, Data manager judgement</t>
  </si>
  <si>
    <r>
      <rPr>
        <rFont val="Poppins"/>
        <sz val="7.0"/>
      </rPr>
      <t xml:space="preserve">- [Asset class = Funds-VC] &gt; Website + Linkedin &gt; "...our portfolios consist of several minority investments in unlisted early-stage companies, and several </t>
    </r>
    <r>
      <rPr>
        <rFont val="Poppins"/>
        <b/>
        <color rgb="FF1155CC"/>
        <sz val="7.0"/>
        <u/>
      </rPr>
      <t>fund investments</t>
    </r>
    <r>
      <rPr>
        <rFont val="Poppins"/>
        <sz val="7.0"/>
      </rPr>
      <t xml:space="preserve">..." + "...with investments mainly consisting of </t>
    </r>
    <r>
      <rPr>
        <rFont val="Poppins"/>
        <b/>
        <color rgb="FF1155CC"/>
        <sz val="7.0"/>
        <u/>
      </rPr>
      <t>fund investments</t>
    </r>
    <r>
      <rPr>
        <rFont val="Poppins"/>
        <sz val="7.0"/>
      </rPr>
      <t xml:space="preserve">..." Illusian backs teams through </t>
    </r>
    <r>
      <rPr>
        <rFont val="Poppins"/>
        <b/>
        <color rgb="FF1155CC"/>
        <sz val="7.0"/>
        <u/>
      </rPr>
      <t>venture capital</t>
    </r>
    <r>
      <rPr>
        <rFont val="Poppins"/>
        <sz val="7.0"/>
      </rPr>
      <t xml:space="preserve"> and philanthropy.
- [Sector investment focus] &gt; Website &gt; "...While we’re </t>
    </r>
    <r>
      <rPr>
        <rFont val="Poppins"/>
        <b/>
        <color rgb="FF1155CC"/>
        <sz val="7.0"/>
        <u/>
      </rPr>
      <t>industry agnostic</t>
    </r>
    <r>
      <rPr>
        <rFont val="Poppins"/>
        <sz val="7.0"/>
      </rPr>
      <t xml:space="preserve">..." + Their investments focus on </t>
    </r>
    <r>
      <rPr>
        <rFont val="Poppins"/>
        <b/>
        <sz val="7.0"/>
      </rPr>
      <t>Defence Tech</t>
    </r>
    <r>
      <rPr>
        <rFont val="Poppins"/>
        <sz val="7.0"/>
      </rPr>
      <t xml:space="preserve"> and </t>
    </r>
    <r>
      <rPr>
        <rFont val="Poppins"/>
        <b/>
        <color rgb="FF1155CC"/>
        <sz val="7.0"/>
        <u/>
      </rPr>
      <t>AI</t>
    </r>
    <r>
      <rPr>
        <rFont val="Poppins"/>
        <sz val="7.0"/>
      </rPr>
      <t xml:space="preserve">, ex: </t>
    </r>
    <r>
      <rPr>
        <rFont val="Poppins"/>
        <b/>
        <sz val="7.0"/>
      </rPr>
      <t>DeepL, Pigment, etc.</t>
    </r>
    <r>
      <rPr>
        <rFont val="Poppins"/>
        <sz val="7.0"/>
      </rPr>
      <t xml:space="preserve">
- [Region investment focus] &gt; Website &gt; "...A </t>
    </r>
    <r>
      <rPr>
        <rFont val="Poppins"/>
        <b/>
        <sz val="7.0"/>
      </rPr>
      <t xml:space="preserve">global </t>
    </r>
    <r>
      <rPr>
        <rFont val="Poppins"/>
        <sz val="7.0"/>
      </rPr>
      <t xml:space="preserve">footprint..."
- [Maturity Focus = Emerging] &gt; Data manager judgement &gt; Private data provider states that they have invested in </t>
    </r>
    <r>
      <rPr>
        <rFont val="Poppins"/>
        <b/>
        <sz val="7.0"/>
      </rPr>
      <t>Transition Ventures II</t>
    </r>
    <r>
      <rPr>
        <rFont val="Poppins"/>
        <sz val="7.0"/>
      </rPr>
      <t xml:space="preserve">, which confirms that they invest in </t>
    </r>
    <r>
      <rPr>
        <rFont val="Poppins"/>
        <b/>
        <color rgb="FF1155CC"/>
        <sz val="7.0"/>
        <u/>
      </rPr>
      <t>emerging managers</t>
    </r>
    <r>
      <rPr>
        <rFont val="Poppins"/>
        <sz val="7.0"/>
      </rPr>
      <t>.</t>
    </r>
  </si>
  <si>
    <t>Jasmin Jutila</t>
  </si>
  <si>
    <t>Jasmin</t>
  </si>
  <si>
    <t>Jutila</t>
  </si>
  <si>
    <t>jasmin.jutila@illusian.org</t>
  </si>
  <si>
    <t>https://www.linkedin.com/in/jasminjutila/</t>
  </si>
  <si>
    <t>EVALUE FAMILY OFFICE</t>
  </si>
  <si>
    <t>https://www.evalue.de/</t>
  </si>
  <si>
    <r>
      <rPr>
        <rFont val="Poppins"/>
        <sz val="7.0"/>
      </rPr>
      <t xml:space="preserve">- [Asset class = Funds-VC] &gt; Website &gt; "...Evalue invests in global </t>
    </r>
    <r>
      <rPr>
        <rFont val="Poppins"/>
        <b/>
        <color rgb="FF1155CC"/>
        <sz val="7.0"/>
        <u/>
      </rPr>
      <t>venture capital</t>
    </r>
    <r>
      <rPr>
        <rFont val="Poppins"/>
        <sz val="7.0"/>
      </rPr>
      <t xml:space="preserve"> and private equity at all stages..." + "...Angela is Chief Investment Officer at eValue AG, the Single-Family Office of the serial tech entrepreneur Thomas Falk. One of the pillars of the FO is venture capital where they have </t>
    </r>
    <r>
      <rPr>
        <rFont val="Poppins"/>
        <b/>
        <color rgb="FF1155CC"/>
        <sz val="7.0"/>
        <u/>
      </rPr>
      <t>backed around 80 entrepreneurial minds as well as venture funds</t>
    </r>
    <r>
      <rPr>
        <rFont val="Poppins"/>
        <sz val="7.0"/>
      </rPr>
      <t>..."</t>
    </r>
    <r>
      <rPr>
        <rFont val="Poppins"/>
        <b/>
        <sz val="7.0"/>
      </rPr>
      <t xml:space="preserve">
</t>
    </r>
    <r>
      <rPr>
        <rFont val="Poppins"/>
        <sz val="7.0"/>
      </rPr>
      <t xml:space="preserve">- [Sector investment focus] &gt; Website + Data manager judgement &gt; "...Evalue Capital is an independent holding company that primarily invests in </t>
    </r>
    <r>
      <rPr>
        <rFont val="Poppins"/>
        <b/>
        <color rgb="FF1155CC"/>
        <sz val="7.0"/>
        <u/>
      </rPr>
      <t>information technology, software-as-a-service</t>
    </r>
    <r>
      <rPr>
        <rFont val="Poppins"/>
        <sz val="7.0"/>
      </rPr>
      <t xml:space="preserve">..." + They have made investments which focus on </t>
    </r>
    <r>
      <rPr>
        <rFont val="Poppins"/>
        <b/>
        <color rgb="FF1155CC"/>
        <sz val="7.0"/>
        <u/>
      </rPr>
      <t>AI</t>
    </r>
    <r>
      <rPr>
        <rFont val="Poppins"/>
        <b/>
        <sz val="7.0"/>
      </rPr>
      <t xml:space="preserve"> and Robotics, ex: OpenAI, ARX Robotics, DeepL, etc.</t>
    </r>
    <r>
      <rPr>
        <rFont val="Poppins"/>
        <sz val="7.0"/>
      </rPr>
      <t xml:space="preserve">
- [Region investment focus] &gt; Website &gt; "...We take pride in the strength of our network and reputation within the European and </t>
    </r>
    <r>
      <rPr>
        <rFont val="Poppins"/>
        <b/>
        <color rgb="FF1155CC"/>
        <sz val="7.0"/>
        <u/>
      </rPr>
      <t>American tech sectors</t>
    </r>
    <r>
      <rPr>
        <rFont val="Poppins"/>
        <sz val="7.0"/>
      </rPr>
      <t xml:space="preserve">..."
- [Maturity Focus = Emerging] &gt; Data manager judgement &gt; They haven't publicly disclosed their maturity focus but the rest of the criteria aligns with your IIP. </t>
    </r>
    <r>
      <rPr>
        <rFont val="Poppins"/>
        <b/>
        <sz val="7.0"/>
      </rPr>
      <t>#DemandCreation.</t>
    </r>
  </si>
  <si>
    <t>Thomas Falk</t>
  </si>
  <si>
    <t>Thomas</t>
  </si>
  <si>
    <t>Falk</t>
  </si>
  <si>
    <t>falk@evalue.de</t>
  </si>
  <si>
    <t>https://www.linkedin.com/in/thomasfalk/</t>
  </si>
  <si>
    <t>Ivailo Jordanov</t>
  </si>
  <si>
    <t>https://www.linkedin.com/in/ivailo/</t>
  </si>
  <si>
    <r>
      <rPr>
        <rFont val="Poppins"/>
        <sz val="7.0"/>
      </rPr>
      <t xml:space="preserve">- [Asset class = Funds-VC] &gt; Linkedin &gt; </t>
    </r>
    <r>
      <rPr>
        <rFont val="Poppins"/>
        <b/>
        <sz val="7.0"/>
      </rPr>
      <t>LP</t>
    </r>
    <r>
      <rPr>
        <rFont val="Poppins"/>
        <sz val="7.0"/>
      </rPr>
      <t xml:space="preserve"> in </t>
    </r>
    <r>
      <rPr>
        <rFont val="Poppins"/>
        <b/>
        <color rgb="FF1155CC"/>
        <sz val="7.0"/>
        <u/>
      </rPr>
      <t>VC Funds</t>
    </r>
    <r>
      <rPr>
        <rFont val="Poppins"/>
        <sz val="7.0"/>
      </rPr>
      <t xml:space="preserve">: </t>
    </r>
    <r>
      <rPr>
        <rFont val="Poppins"/>
        <b/>
        <sz val="7.0"/>
      </rPr>
      <t>Maven 11, Crucible Capital, Halo Capital, Bankless Ventures, DBA, Frachtis, Zero Knowledge Ventures, Lionheart Ventures, and Amphibian Capital.</t>
    </r>
    <r>
      <rPr>
        <rFont val="Poppins"/>
        <sz val="7.0"/>
      </rPr>
      <t xml:space="preserve">
- [Sector investment focus] &gt; Data manager judgement &gt; His investments focus on</t>
    </r>
    <r>
      <rPr>
        <rFont val="Poppins"/>
        <b/>
        <color rgb="FF1155CC"/>
        <sz val="7.0"/>
        <u/>
      </rPr>
      <t xml:space="preserve"> AI, Deep Tech</t>
    </r>
    <r>
      <rPr>
        <rFont val="Poppins"/>
        <sz val="7.0"/>
      </rPr>
      <t xml:space="preserve"> (</t>
    </r>
    <r>
      <rPr>
        <rFont val="Poppins"/>
        <b/>
        <sz val="7.0"/>
      </rPr>
      <t>Zero Knowledge Ventures, Lionheart Ventures</t>
    </r>
    <r>
      <rPr>
        <rFont val="Poppins"/>
        <sz val="7.0"/>
      </rPr>
      <t xml:space="preserve">).
- [Region investment focus] &gt; Data manager judgement &gt; His investments are based in </t>
    </r>
    <r>
      <rPr>
        <rFont val="Poppins"/>
        <b/>
        <color rgb="FF1155CC"/>
        <sz val="7.0"/>
        <u/>
      </rPr>
      <t>North America</t>
    </r>
    <r>
      <rPr>
        <rFont val="Poppins"/>
        <sz val="7.0"/>
      </rPr>
      <t xml:space="preserve"> and Europe (</t>
    </r>
    <r>
      <rPr>
        <rFont val="Poppins"/>
        <b/>
        <sz val="7.0"/>
      </rPr>
      <t>Zero Knowledge Ventures, Maven 11, etc</t>
    </r>
    <r>
      <rPr>
        <rFont val="Poppins"/>
        <sz val="7.0"/>
      </rPr>
      <t xml:space="preserve">).
- [Maturity Focus = Emerging] &gt; Data manager judgement &gt; They haven't publicly disclosed their maturity focus but the rest of the criteria aligns with your IIP. </t>
    </r>
    <r>
      <rPr>
        <rFont val="Poppins"/>
        <b/>
        <sz val="7.0"/>
      </rPr>
      <t>#DemandCreation.</t>
    </r>
  </si>
  <si>
    <t>ivailo@gmail.com</t>
  </si>
  <si>
    <t>JMCR Partners</t>
  </si>
  <si>
    <t>https://www.jmcrpartners.com/home</t>
  </si>
  <si>
    <r>
      <rPr>
        <rFont val="Poppins"/>
        <sz val="7.0"/>
      </rPr>
      <t xml:space="preserve">- [Asset Class = Fund -VC] &gt; Website &gt; They have investments in </t>
    </r>
    <r>
      <rPr>
        <rFont val="Poppins"/>
        <b/>
        <color rgb="FF1155CC"/>
        <sz val="7.0"/>
        <u/>
      </rPr>
      <t>VC Funds</t>
    </r>
    <r>
      <rPr>
        <rFont val="Poppins"/>
        <sz val="7.0"/>
      </rPr>
      <t xml:space="preserve">, ex: </t>
    </r>
    <r>
      <rPr>
        <rFont val="Poppins"/>
        <b/>
        <sz val="7.0"/>
      </rPr>
      <t>Amino Capital, Lightspeed, etc.</t>
    </r>
    <r>
      <rPr>
        <rFont val="Poppins"/>
        <sz val="7.0"/>
      </rPr>
      <t xml:space="preserve">
- [Sector Investment Focus] &gt; Data manager judgement &gt; Their investments also focus on </t>
    </r>
    <r>
      <rPr>
        <rFont val="Poppins"/>
        <b/>
        <color rgb="FF1155CC"/>
        <sz val="7.0"/>
        <u/>
      </rPr>
      <t>AI</t>
    </r>
    <r>
      <rPr>
        <rFont val="Poppins"/>
        <b/>
        <sz val="7.0"/>
      </rPr>
      <t>, Saas</t>
    </r>
    <r>
      <rPr>
        <rFont val="Poppins"/>
        <sz val="7.0"/>
      </rPr>
      <t xml:space="preserve">, ex: </t>
    </r>
    <r>
      <rPr>
        <rFont val="Poppins"/>
        <b/>
        <sz val="7.0"/>
      </rPr>
      <t>Amino Capital, Lightspeed, etc.</t>
    </r>
    <r>
      <rPr>
        <rFont val="Poppins"/>
        <sz val="7.0"/>
      </rPr>
      <t xml:space="preserve">
- [Region Investment Focus] &gt; Website &gt; They have mentioned on their website that they have made </t>
    </r>
    <r>
      <rPr>
        <rFont val="Poppins"/>
        <b/>
        <color rgb="FF1155CC"/>
        <sz val="7.0"/>
        <u/>
      </rPr>
      <t>Global</t>
    </r>
    <r>
      <rPr>
        <rFont val="Poppins"/>
        <sz val="7.0"/>
      </rPr>
      <t xml:space="preserve"> Fund investments.
- [Maturity Focus = Emerging] &gt; Data manager judgement &gt; They have made investments in </t>
    </r>
    <r>
      <rPr>
        <rFont val="Poppins"/>
        <b/>
        <sz val="7.0"/>
      </rPr>
      <t>Fund II, ex: Dyal II</t>
    </r>
    <r>
      <rPr>
        <rFont val="Poppins"/>
        <sz val="7.0"/>
      </rPr>
      <t xml:space="preserve">​, which confirms that they invest in </t>
    </r>
    <r>
      <rPr>
        <rFont val="Poppins"/>
        <b/>
        <color rgb="FF1155CC"/>
        <sz val="7.0"/>
        <u/>
      </rPr>
      <t>emerging managers</t>
    </r>
    <r>
      <rPr>
        <rFont val="Poppins"/>
        <sz val="7.0"/>
      </rPr>
      <t>.</t>
    </r>
  </si>
  <si>
    <t>Adeline</t>
  </si>
  <si>
    <t>https://www.adeline.co.uk/</t>
  </si>
  <si>
    <r>
      <rPr>
        <rFont val="Poppins"/>
        <sz val="7.0"/>
      </rPr>
      <t xml:space="preserve">-[Asset class = Funds - VC] &gt; Portfolio &gt; Their portfolio consists of </t>
    </r>
    <r>
      <rPr>
        <rFont val="Poppins"/>
        <b/>
        <color rgb="FF1155CC"/>
        <sz val="7.0"/>
        <u/>
      </rPr>
      <t>VC funds</t>
    </r>
    <r>
      <rPr>
        <rFont val="Poppins"/>
        <sz val="7.0"/>
      </rPr>
      <t>. (</t>
    </r>
    <r>
      <rPr>
        <rFont val="Poppins"/>
        <b/>
        <sz val="7.0"/>
      </rPr>
      <t>QVentures, KAYA</t>
    </r>
    <r>
      <rPr>
        <rFont val="Poppins"/>
        <sz val="7.0"/>
      </rPr>
      <t xml:space="preserve">).
-[Region investment focus] &gt; Website &gt; "...We are based in London and  invest with a </t>
    </r>
    <r>
      <rPr>
        <rFont val="Poppins"/>
        <b/>
        <color rgb="FF1155CC"/>
        <sz val="7.0"/>
        <u/>
      </rPr>
      <t xml:space="preserve">global </t>
    </r>
    <r>
      <rPr>
        <rFont val="Poppins"/>
        <sz val="7.0"/>
      </rPr>
      <t xml:space="preserve">outlook..."
-[Sector investment focus] &gt; Website &gt; "...We are </t>
    </r>
    <r>
      <rPr>
        <rFont val="Poppins"/>
        <b/>
        <sz val="7.0"/>
      </rPr>
      <t>sector agnostic</t>
    </r>
    <r>
      <rPr>
        <rFont val="Poppins"/>
        <sz val="7.0"/>
      </rPr>
      <t xml:space="preserve">, investing across frontier </t>
    </r>
    <r>
      <rPr>
        <rFont val="Poppins"/>
        <b/>
        <sz val="7.0"/>
      </rPr>
      <t>technologies</t>
    </r>
    <r>
      <rPr>
        <rFont val="Poppins"/>
        <sz val="7.0"/>
      </rPr>
      <t xml:space="preserve">, infrastructure tools, </t>
    </r>
    <r>
      <rPr>
        <rFont val="Poppins"/>
        <b/>
        <color rgb="FF1155CC"/>
        <sz val="7.0"/>
        <u/>
      </rPr>
      <t>AI</t>
    </r>
    <r>
      <rPr>
        <rFont val="Poppins"/>
        <sz val="7.0"/>
      </rPr>
      <t xml:space="preserve">, and deep science-led solutions..."
-[Maturity Focus = Emerging] &gt; Data manager judgement &gt; They haven't publicly disclosed their maturity focus but the rest of the criteria aligns with your IIP. </t>
    </r>
    <r>
      <rPr>
        <rFont val="Poppins"/>
        <b/>
        <sz val="7.0"/>
      </rPr>
      <t>#DemandCreation.</t>
    </r>
  </si>
  <si>
    <t>Jaysri (Jay) Thangam</t>
  </si>
  <si>
    <t>Jaysri</t>
  </si>
  <si>
    <t>Thangam</t>
  </si>
  <si>
    <t>jaysri@adeline.co.uk</t>
  </si>
  <si>
    <t>https://www.linkedin.com/in/jaysrithangam/</t>
  </si>
  <si>
    <t>Lucian Todea</t>
  </si>
  <si>
    <t>https://www.linkedin.com/in/luciantodea/</t>
  </si>
  <si>
    <t>Romania</t>
  </si>
  <si>
    <t>LinkedIn</t>
  </si>
  <si>
    <r>
      <rPr>
        <rFont val="Poppins"/>
        <sz val="7.0"/>
      </rPr>
      <t xml:space="preserve">- [Asset class = Funds - VC] &gt; Linkedin &gt; </t>
    </r>
    <r>
      <rPr>
        <rFont val="Poppins"/>
        <b/>
        <sz val="7.0"/>
      </rPr>
      <t xml:space="preserve">LP </t>
    </r>
    <r>
      <rPr>
        <rFont val="Poppins"/>
        <sz val="7.0"/>
      </rPr>
      <t xml:space="preserve">in 10+ </t>
    </r>
    <r>
      <rPr>
        <rFont val="Poppins"/>
        <b/>
        <color rgb="FF1155CC"/>
        <sz val="7.0"/>
        <u/>
      </rPr>
      <t>funds</t>
    </r>
    <r>
      <rPr>
        <rFont val="Poppins"/>
        <sz val="7.0"/>
      </rPr>
      <t xml:space="preserve">
- [Sector investment focus] &gt; Linkedin &gt; Investments in 200+ startups active in different markets: web3/blockchain, </t>
    </r>
    <r>
      <rPr>
        <rFont val="Poppins"/>
        <b/>
        <color rgb="FF1155CC"/>
        <sz val="7.0"/>
        <u/>
      </rPr>
      <t>AI</t>
    </r>
    <r>
      <rPr>
        <rFont val="Poppins"/>
        <sz val="7.0"/>
      </rPr>
      <t xml:space="preserve">/ML, biotech, fintech, health, cleantech, SaaS, VR/AR, aerospace, hardware, etc
- [Region investment focus] &gt; Linkedin &gt; LP in 10+ funds from </t>
    </r>
    <r>
      <rPr>
        <rFont val="Poppins"/>
        <b/>
        <color rgb="FF1155CC"/>
        <sz val="7.0"/>
        <u/>
      </rPr>
      <t>US</t>
    </r>
    <r>
      <rPr>
        <rFont val="Poppins"/>
        <sz val="7.0"/>
      </rPr>
      <t xml:space="preserve"> and Europe</t>
    </r>
  </si>
  <si>
    <t>Lucian</t>
  </si>
  <si>
    <t>Todea</t>
  </si>
  <si>
    <t>todealucian@gmail.com</t>
  </si>
  <si>
    <t>Pietari Päivänen</t>
  </si>
  <si>
    <t>https://www.linkedin.com/in/pietaripaivanen/</t>
  </si>
  <si>
    <r>
      <rPr>
        <rFont val="Poppins"/>
        <sz val="7.0"/>
      </rPr>
      <t xml:space="preserve">- [Asset class = Funds - VC] &gt; Linkedin &gt; Limited Partner in several </t>
    </r>
    <r>
      <rPr>
        <rFont val="Poppins"/>
        <b/>
        <color rgb="FF1155CC"/>
        <sz val="7.0"/>
        <u/>
      </rPr>
      <t>VC funds</t>
    </r>
    <r>
      <rPr>
        <rFont val="Poppins"/>
        <sz val="7.0"/>
      </rPr>
      <t xml:space="preserve">.
- [Sector investment focus] &gt; Linkedin &gt;  +30 </t>
    </r>
    <r>
      <rPr>
        <rFont val="Poppins"/>
        <b/>
        <sz val="7.0"/>
      </rPr>
      <t xml:space="preserve">tech </t>
    </r>
    <r>
      <rPr>
        <rFont val="Poppins"/>
        <sz val="7.0"/>
      </rPr>
      <t>startups across Europe, US and Africa (</t>
    </r>
    <r>
      <rPr>
        <rFont val="Poppins"/>
        <b/>
        <color rgb="FF1155CC"/>
        <sz val="7.0"/>
        <u/>
      </rPr>
      <t>AI</t>
    </r>
    <r>
      <rPr>
        <rFont val="Poppins"/>
        <sz val="7.0"/>
      </rPr>
      <t xml:space="preserve">, SaaS, gaming, health, impact etc.).
- [Region investment focus] &gt; Linkedin &gt; +30 tech startups across Europe, </t>
    </r>
    <r>
      <rPr>
        <rFont val="Poppins"/>
        <b/>
        <color rgb="FF1155CC"/>
        <sz val="7.0"/>
        <u/>
      </rPr>
      <t xml:space="preserve">US </t>
    </r>
    <r>
      <rPr>
        <rFont val="Poppins"/>
        <sz val="7.0"/>
      </rPr>
      <t xml:space="preserve">and Africa </t>
    </r>
  </si>
  <si>
    <t>Pietari</t>
  </si>
  <si>
    <t>Päivänen</t>
  </si>
  <si>
    <t>pietaripaivanen@gmail.com</t>
  </si>
  <si>
    <t>Aly Madhavji</t>
  </si>
  <si>
    <t>https://www.linkedin.com/in/alymadhavji/</t>
  </si>
  <si>
    <r>
      <rPr>
        <rFont val="Poppins"/>
        <sz val="7.0"/>
      </rPr>
      <t xml:space="preserve">- [Asset class = Funds - VC] &gt; Linkedin &gt; He is a Limited partner in </t>
    </r>
    <r>
      <rPr>
        <rFont val="Poppins"/>
        <b/>
        <color rgb="FF1155CC"/>
        <sz val="7.0"/>
        <u/>
      </rPr>
      <t>VC funds</t>
    </r>
    <r>
      <rPr>
        <rFont val="Poppins"/>
        <sz val="7.0"/>
      </rPr>
      <t xml:space="preserve">, ex: </t>
    </r>
    <r>
      <rPr>
        <rFont val="Poppins"/>
        <b/>
        <sz val="7.0"/>
      </rPr>
      <t>Loyal VC, Draper Goren Holm.</t>
    </r>
    <r>
      <rPr>
        <rFont val="Poppins"/>
        <sz val="7.0"/>
      </rPr>
      <t xml:space="preserve">
- [Region investment focus] &gt; Data manager judgement &gt; His investments are based in </t>
    </r>
    <r>
      <rPr>
        <rFont val="Poppins"/>
        <b/>
        <color rgb="FF1155CC"/>
        <sz val="7.0"/>
        <u/>
      </rPr>
      <t>North America</t>
    </r>
    <r>
      <rPr>
        <rFont val="Poppins"/>
        <sz val="7.0"/>
      </rPr>
      <t xml:space="preserve">, ex: </t>
    </r>
    <r>
      <rPr>
        <rFont val="Poppins"/>
        <b/>
        <sz val="7.0"/>
      </rPr>
      <t>Loyal VC, Draper Goren Holm</t>
    </r>
    <r>
      <rPr>
        <rFont val="Poppins"/>
        <sz val="7.0"/>
      </rPr>
      <t xml:space="preserve">.
- [Sector investment focus] &gt; Linkedin &gt; I am deeply engaged in the intersection of blockchain technology and venture capital, focusing on empowering groundbreaking startups that drive innovation across Web3, </t>
    </r>
    <r>
      <rPr>
        <rFont val="Poppins"/>
        <b/>
        <color rgb="FF1155CC"/>
        <sz val="7.0"/>
        <u/>
      </rPr>
      <t>AI</t>
    </r>
    <r>
      <rPr>
        <rFont val="Poppins"/>
        <sz val="7.0"/>
      </rPr>
      <t>, machine learning, IoT, education, and FinTech</t>
    </r>
    <r>
      <rPr>
        <rFont val="Poppins"/>
        <b/>
        <sz val="7.0"/>
      </rPr>
      <t xml:space="preserve"> </t>
    </r>
    <r>
      <rPr>
        <rFont val="Poppins"/>
        <sz val="7.0"/>
      </rPr>
      <t>sectors.</t>
    </r>
  </si>
  <si>
    <t>Aly</t>
  </si>
  <si>
    <t>Madhavji</t>
  </si>
  <si>
    <t>alykhanmadhavji@gmail.com</t>
  </si>
  <si>
    <t>Raviv Sapir</t>
  </si>
  <si>
    <t>https://www.linkedin.com/in/raviv-sapir/</t>
  </si>
  <si>
    <r>
      <rPr>
        <rFont val="Poppins"/>
        <sz val="7.0"/>
      </rPr>
      <t xml:space="preserve">-[Asset class = Funds -VC] &gt; Linkedin &gt; My background spans VC, growth, and </t>
    </r>
    <r>
      <rPr>
        <rFont val="Poppins"/>
        <b/>
        <color rgb="FF1155CC"/>
        <sz val="7.0"/>
        <u/>
      </rPr>
      <t>fund investing</t>
    </r>
    <r>
      <rPr>
        <rFont val="Poppins"/>
        <sz val="7.0"/>
      </rPr>
      <t xml:space="preserve"> + He is a </t>
    </r>
    <r>
      <rPr>
        <rFont val="Poppins"/>
        <b/>
        <sz val="7.0"/>
      </rPr>
      <t xml:space="preserve">limited partner </t>
    </r>
    <r>
      <rPr>
        <rFont val="Poppins"/>
        <sz val="7.0"/>
      </rPr>
      <t xml:space="preserve">in </t>
    </r>
    <r>
      <rPr>
        <rFont val="Poppins"/>
        <b/>
        <color rgb="FF1155CC"/>
        <sz val="7.0"/>
        <u/>
      </rPr>
      <t>VC funds</t>
    </r>
    <r>
      <rPr>
        <rFont val="Poppins"/>
        <sz val="7.0"/>
      </rPr>
      <t xml:space="preserve">, ex:  </t>
    </r>
    <r>
      <rPr>
        <rFont val="Poppins"/>
        <b/>
        <sz val="7.0"/>
      </rPr>
      <t>MASTERKEY Venture Capital.</t>
    </r>
    <r>
      <rPr>
        <rFont val="Poppins"/>
        <sz val="7.0"/>
      </rPr>
      <t xml:space="preserve">
-[Sector investment focus] &gt; Linkedin &gt; I’m an investor–operator with a focus on enterprise software,</t>
    </r>
    <r>
      <rPr>
        <rFont val="Poppins"/>
        <b/>
        <color rgb="FF1155CC"/>
        <sz val="7.0"/>
        <u/>
      </rPr>
      <t xml:space="preserve"> AI, and frontier technologies</t>
    </r>
    <r>
      <rPr>
        <rFont val="Poppins"/>
        <sz val="7.0"/>
      </rPr>
      <t xml:space="preserve">.
-[Region investment focus] &gt; Linkedin &gt; I’m a venture capital investor and tech operator with over 10 years of experience in startups, VC, and product management across the </t>
    </r>
    <r>
      <rPr>
        <rFont val="Poppins"/>
        <b/>
        <color rgb="FF1155CC"/>
        <sz val="7.0"/>
        <u/>
      </rPr>
      <t>U.S.</t>
    </r>
    <r>
      <rPr>
        <rFont val="Poppins"/>
        <sz val="7.0"/>
      </rPr>
      <t>, Europe, and Israel</t>
    </r>
  </si>
  <si>
    <t>Raviv</t>
  </si>
  <si>
    <t>Sapir</t>
  </si>
  <si>
    <t>ravivsapir@gmail.com</t>
  </si>
  <si>
    <t>Charmaine Carmichael</t>
  </si>
  <si>
    <t>https://www.linkedin.com/in/charmaine-carmichael-bb990/</t>
  </si>
  <si>
    <r>
      <rPr>
        <rFont val="Poppins"/>
        <sz val="7.0"/>
      </rPr>
      <t xml:space="preserve">- [Asset Class = Fund VC] &gt; Linkedin &gt; He is a limited partner in </t>
    </r>
    <r>
      <rPr>
        <rFont val="Poppins"/>
        <b/>
        <color rgb="FF1155CC"/>
        <sz val="7.0"/>
        <u/>
      </rPr>
      <t>VC funds</t>
    </r>
    <r>
      <rPr>
        <rFont val="Poppins"/>
        <sz val="7.0"/>
      </rPr>
      <t xml:space="preserve">, ex: Cocoon Capital, Outward VC.
- [Sector Investment Focus] &gt; Linkedin &gt; </t>
    </r>
    <r>
      <rPr>
        <rFont val="Poppins"/>
        <b/>
        <color rgb="FF1155CC"/>
        <sz val="7.0"/>
        <u/>
      </rPr>
      <t>AI</t>
    </r>
    <r>
      <rPr>
        <rFont val="Poppins"/>
        <sz val="7.0"/>
      </rPr>
      <t xml:space="preserve"> &amp; Deep Tech Leader.
- [Region Investment Focus] &gt; Linkedin &gt; His investments are located in Europe and </t>
    </r>
    <r>
      <rPr>
        <rFont val="Poppins"/>
        <b/>
        <color rgb="FF1155CC"/>
        <sz val="7.0"/>
        <u/>
      </rPr>
      <t>Asia</t>
    </r>
    <r>
      <rPr>
        <rFont val="Poppins"/>
        <sz val="7.0"/>
      </rPr>
      <t xml:space="preserve"> (Cocoon Capital, Outward VC).</t>
    </r>
  </si>
  <si>
    <t>Charmaine</t>
  </si>
  <si>
    <t>Carmichael</t>
  </si>
  <si>
    <t>ceggberry@yahoo.co.uk</t>
  </si>
  <si>
    <t>Vitor Asseituno</t>
  </si>
  <si>
    <t>https://www.linkedin.com/in/vitorasseituno/</t>
  </si>
  <si>
    <t>Brazil</t>
  </si>
  <si>
    <r>
      <rPr>
        <rFont val="Poppins"/>
        <sz val="7.0"/>
      </rPr>
      <t xml:space="preserve">- [Asset class = Funds - VC] &gt; Linkedin &gt; He is a </t>
    </r>
    <r>
      <rPr>
        <rFont val="Poppins"/>
        <b/>
        <sz val="7.0"/>
      </rPr>
      <t>limited partner</t>
    </r>
    <r>
      <rPr>
        <rFont val="Poppins"/>
        <sz val="7.0"/>
      </rPr>
      <t xml:space="preserve"> in </t>
    </r>
    <r>
      <rPr>
        <rFont val="Poppins"/>
        <b/>
        <color rgb="FF1155CC"/>
        <sz val="7.0"/>
        <u/>
      </rPr>
      <t>VC fund</t>
    </r>
    <r>
      <rPr>
        <rFont val="Poppins"/>
        <sz val="7.0"/>
      </rPr>
      <t xml:space="preserve">, ex: </t>
    </r>
    <r>
      <rPr>
        <rFont val="Poppins"/>
        <b/>
        <sz val="7.0"/>
      </rPr>
      <t>Everywhere Venture, Tau Venture</t>
    </r>
    <r>
      <rPr>
        <rFont val="Poppins"/>
        <sz val="7.0"/>
      </rPr>
      <t xml:space="preserve">.
- [Sector investment focus] &gt; Data manager judgement &gt; His investments focus on </t>
    </r>
    <r>
      <rPr>
        <rFont val="Poppins"/>
        <b/>
        <color rgb="FF1155CC"/>
        <sz val="7.0"/>
        <u/>
      </rPr>
      <t>AI</t>
    </r>
    <r>
      <rPr>
        <rFont val="Poppins"/>
        <sz val="7.0"/>
      </rPr>
      <t xml:space="preserve"> ex: </t>
    </r>
    <r>
      <rPr>
        <rFont val="Poppins"/>
        <b/>
        <sz val="7.0"/>
      </rPr>
      <t>Tau Venture</t>
    </r>
    <r>
      <rPr>
        <rFont val="Poppins"/>
        <sz val="7.0"/>
      </rPr>
      <t xml:space="preserve"> 
- [Region investment focus] &gt; Data manager judgement &gt; His investment are based in </t>
    </r>
    <r>
      <rPr>
        <rFont val="Poppins"/>
        <b/>
        <color rgb="FF1155CC"/>
        <sz val="7.0"/>
        <u/>
      </rPr>
      <t>US</t>
    </r>
    <r>
      <rPr>
        <rFont val="Poppins"/>
        <sz val="7.0"/>
      </rPr>
      <t xml:space="preserve">, ex: </t>
    </r>
    <r>
      <rPr>
        <rFont val="Poppins"/>
        <b/>
        <sz val="7.0"/>
      </rPr>
      <t>Everywhere Venture, Tau Venture</t>
    </r>
    <r>
      <rPr>
        <rFont val="Poppins"/>
        <sz val="7.0"/>
      </rPr>
      <t>.</t>
    </r>
  </si>
  <si>
    <t>Vitor</t>
  </si>
  <si>
    <t>Asseituno</t>
  </si>
  <si>
    <t>vitorasseituno@gmail.com</t>
  </si>
  <si>
    <t>Andy Lenz</t>
  </si>
  <si>
    <t>https://www.linkedin.com/in/andy-lenz-digital-future/?originalSubdomain=de</t>
  </si>
  <si>
    <r>
      <rPr>
        <rFont val="Poppins"/>
        <sz val="7.0"/>
      </rPr>
      <t xml:space="preserve">- [Asset class = Funds - VC] &gt; Data manager judgement &gt; Prospect's experience confirms he's an </t>
    </r>
    <r>
      <rPr>
        <rFont val="Poppins"/>
        <b/>
        <sz val="7.0"/>
      </rPr>
      <t xml:space="preserve">LP </t>
    </r>
    <r>
      <rPr>
        <rFont val="Poppins"/>
        <sz val="7.0"/>
      </rPr>
      <t xml:space="preserve">in multiple </t>
    </r>
    <r>
      <rPr>
        <rFont val="Poppins"/>
        <b/>
        <color rgb="FF1155CC"/>
        <sz val="7.0"/>
        <u/>
      </rPr>
      <t xml:space="preserve">VC funds </t>
    </r>
    <r>
      <rPr>
        <rFont val="Poppins"/>
        <sz val="7.0"/>
      </rPr>
      <t xml:space="preserve">like "altitude", "Robin Capital", and more.
- [Sector investment focus] &gt; Linkedin &gt; </t>
    </r>
    <r>
      <rPr>
        <rFont val="Poppins"/>
        <b/>
        <color rgb="FF1155CC"/>
        <sz val="7.0"/>
        <u/>
      </rPr>
      <t>AI expertise and 20 years+</t>
    </r>
    <r>
      <rPr>
        <rFont val="Poppins"/>
        <sz val="7.0"/>
      </rPr>
      <t xml:space="preserve"> of scaling media &amp; community businesses + at the intersection of </t>
    </r>
    <r>
      <rPr>
        <rFont val="Poppins"/>
        <b/>
        <color rgb="FF1155CC"/>
        <sz val="7.0"/>
        <u/>
      </rPr>
      <t>AI</t>
    </r>
    <r>
      <rPr>
        <rFont val="Poppins"/>
        <sz val="7.0"/>
      </rPr>
      <t xml:space="preserve">, B2B SaaS, Web3 and Longevity.
- [Region investment focus] &gt; Linkedin &gt; Portfolio of 20+ early-stage investments across Europe &amp; the </t>
    </r>
    <r>
      <rPr>
        <rFont val="Poppins"/>
        <b/>
        <color rgb="FF1155CC"/>
        <sz val="7.0"/>
        <u/>
      </rPr>
      <t>US</t>
    </r>
  </si>
  <si>
    <t>Andy</t>
  </si>
  <si>
    <t>Lenz</t>
  </si>
  <si>
    <t>andylenz@gmail.com</t>
  </si>
  <si>
    <t>GJOLEKA GROUP</t>
  </si>
  <si>
    <t>https://www.gjolekagroup.com/</t>
  </si>
  <si>
    <r>
      <rPr>
        <rFont val="Poppins"/>
        <sz val="7.0"/>
      </rPr>
      <t xml:space="preserve">- [Asset class = Funds - VC] &gt; Website &gt; "...Investment in top-tier private equity and </t>
    </r>
    <r>
      <rPr>
        <rFont val="Poppins"/>
        <b/>
        <color rgb="FF1155CC"/>
        <sz val="7.0"/>
        <u/>
      </rPr>
      <t xml:space="preserve">venture capital funds </t>
    </r>
    <r>
      <rPr>
        <rFont val="Poppins"/>
        <sz val="7.0"/>
      </rPr>
      <t xml:space="preserve">in the USA, Asia, and Europe..."
- [Region investment focus] &gt; Website &gt; "...Investment in top-tier private equity and venture capital funds in the </t>
    </r>
    <r>
      <rPr>
        <rFont val="Poppins"/>
        <b/>
        <color rgb="FF1155CC"/>
        <sz val="7.0"/>
        <u/>
      </rPr>
      <t>USA</t>
    </r>
    <r>
      <rPr>
        <rFont val="Poppins"/>
        <sz val="7.0"/>
      </rPr>
      <t xml:space="preserve">, </t>
    </r>
    <r>
      <rPr>
        <rFont val="Poppins"/>
        <b/>
        <sz val="7.0"/>
      </rPr>
      <t>Asia</t>
    </r>
    <r>
      <rPr>
        <rFont val="Poppins"/>
        <sz val="7.0"/>
      </rPr>
      <t xml:space="preserve">, and Europe..."
- [Sector investment focus] &gt; Portfolio &gt; Their portfolio consists of VC funds that focus on frontier </t>
    </r>
    <r>
      <rPr>
        <rFont val="Poppins"/>
        <b/>
        <sz val="7.0"/>
      </rPr>
      <t>technology</t>
    </r>
    <r>
      <rPr>
        <rFont val="Poppins"/>
        <sz val="7.0"/>
      </rPr>
      <t xml:space="preserve">, </t>
    </r>
    <r>
      <rPr>
        <rFont val="Poppins"/>
        <b/>
        <color rgb="FF1155CC"/>
        <sz val="7.0"/>
        <u/>
      </rPr>
      <t xml:space="preserve">AI </t>
    </r>
    <r>
      <rPr>
        <rFont val="Poppins"/>
        <sz val="7.0"/>
      </rPr>
      <t xml:space="preserve">&amp; Automation, Infrastructure &amp; Enterprise Software, Energy Transition &amp; Climate. ex: khosla ventures, 468 capital etc.
-[Maturity Focus = Emerging] &gt; Data manager judgement &gt; They haven't publicly disclosed their maturity focus but the rest of the criteria aligns with your IIP. </t>
    </r>
    <r>
      <rPr>
        <rFont val="Poppins"/>
        <b/>
        <sz val="7.0"/>
      </rPr>
      <t>#DemandCreation.</t>
    </r>
  </si>
  <si>
    <t>Philipp Zinsmayer</t>
  </si>
  <si>
    <t xml:space="preserve">Philipp </t>
  </si>
  <si>
    <t>Zinsmayer</t>
  </si>
  <si>
    <t>philipp-zinsmayer@gmx.de</t>
  </si>
  <si>
    <t>https://www.linkedin.com/in/philipp-zinsmayer-952936a3/</t>
  </si>
  <si>
    <t>Juan Felipe Gonzalez Hidalgo</t>
  </si>
  <si>
    <t>https://www.linkedin.com/in/jfgonzalez/</t>
  </si>
  <si>
    <t>Andorra</t>
  </si>
  <si>
    <r>
      <rPr>
        <rFont val="Poppins"/>
        <sz val="7.0"/>
      </rPr>
      <t xml:space="preserve">- [Asset class = Funds - VC] &gt; Linkedin &gt; . </t>
    </r>
    <r>
      <rPr>
        <rFont val="Poppins"/>
        <b/>
        <sz val="7.0"/>
      </rPr>
      <t>Limited Partner</t>
    </r>
    <r>
      <rPr>
        <rFont val="Poppins"/>
        <sz val="7.0"/>
      </rPr>
      <t xml:space="preserve"> at Enzo Ventures, and a </t>
    </r>
    <r>
      <rPr>
        <rFont val="Poppins"/>
        <b/>
        <color rgb="FF1155CC"/>
        <sz val="7.0"/>
        <u/>
      </rPr>
      <t>Limited Partner</t>
    </r>
    <r>
      <rPr>
        <rFont val="Poppins"/>
        <color rgb="FF1155CC"/>
        <sz val="7.0"/>
        <u/>
      </rPr>
      <t xml:space="preserve"> </t>
    </r>
    <r>
      <rPr>
        <rFont val="Poppins"/>
        <sz val="7.0"/>
      </rPr>
      <t xml:space="preserve">at several investment funds, including TandemLaunch, Kibo Ventures,
- [Region investment focus] &gt; Linkedin &gt; His investments are based in </t>
    </r>
    <r>
      <rPr>
        <rFont val="Poppins"/>
        <b/>
        <color rgb="FF1155CC"/>
        <sz val="7.0"/>
        <u/>
      </rPr>
      <t xml:space="preserve">North America </t>
    </r>
    <r>
      <rPr>
        <rFont val="Poppins"/>
        <sz val="7.0"/>
      </rPr>
      <t xml:space="preserve">and Europe, ex: TandemLaunch, Kibo Ventures, Leadwind (K Fund).
- [Sector investment focus] &gt; Data manager judgements &gt; He has investments that focus on </t>
    </r>
    <r>
      <rPr>
        <rFont val="Poppins"/>
        <b/>
        <color rgb="FF1155CC"/>
        <sz val="7.0"/>
        <u/>
      </rPr>
      <t>AI</t>
    </r>
    <r>
      <rPr>
        <rFont val="Poppins"/>
        <sz val="7.0"/>
      </rPr>
      <t xml:space="preserve">, </t>
    </r>
    <r>
      <rPr>
        <rFont val="Poppins"/>
        <b/>
        <sz val="7.0"/>
      </rPr>
      <t>technology</t>
    </r>
    <r>
      <rPr>
        <rFont val="Poppins"/>
        <sz val="7.0"/>
      </rPr>
      <t>, SaaS, blockchain. ex: TandemLaunch, Kibo Ventures, Leadwind (K Fund), enzo ventures.</t>
    </r>
  </si>
  <si>
    <t>Felipe Gonzalez Hidalgo</t>
  </si>
  <si>
    <t>juanfegon@gmail.com</t>
  </si>
  <si>
    <t>Sandro Gianella</t>
  </si>
  <si>
    <t>https://www.linkedin.com/in/sandrogianella/</t>
  </si>
  <si>
    <r>
      <rPr>
        <rFont val="Poppins"/>
        <sz val="7.0"/>
      </rPr>
      <t xml:space="preserve">- [Asset Class = Funds - VC] &gt; Linkedin &gt; </t>
    </r>
    <r>
      <rPr>
        <rFont val="Poppins"/>
        <b/>
        <color rgb="FF1155CC"/>
        <sz val="7.0"/>
        <u/>
      </rPr>
      <t xml:space="preserve">LP </t>
    </r>
    <r>
      <rPr>
        <rFont val="Poppins"/>
        <sz val="7.0"/>
      </rPr>
      <t xml:space="preserve"> positions: Evantic, Common Magic, Players Fund.
- [Region investment focus] &gt; Linkedin &gt; He has LP position in Europe and </t>
    </r>
    <r>
      <rPr>
        <rFont val="Poppins"/>
        <b/>
        <color rgb="FF1155CC"/>
        <sz val="7.0"/>
        <u/>
      </rPr>
      <t>North America</t>
    </r>
    <r>
      <rPr>
        <rFont val="Poppins"/>
        <sz val="7.0"/>
      </rPr>
      <t xml:space="preserve">. ex: Evantic, Common Magic
- [Sector investment focus] &gt; Linkedin &gt; companies driving innovation in wealth tech, automated construction, biomechanical intelligence, causal </t>
    </r>
    <r>
      <rPr>
        <rFont val="Poppins"/>
        <b/>
        <color rgb="FF1155CC"/>
        <sz val="7.0"/>
        <u/>
      </rPr>
      <t>AI</t>
    </r>
    <r>
      <rPr>
        <rFont val="Poppins"/>
        <sz val="7.0"/>
      </rPr>
      <t>, and proactive software reliability</t>
    </r>
  </si>
  <si>
    <t>Sandro</t>
  </si>
  <si>
    <t>Gianella</t>
  </si>
  <si>
    <t>gianellasandro@gmail.com</t>
  </si>
  <si>
    <t>Lily Joo</t>
  </si>
  <si>
    <t>https://www.linkedin.com/in/lilyjoo/</t>
  </si>
  <si>
    <r>
      <rPr>
        <rFont val="Poppins"/>
        <sz val="7.0"/>
      </rPr>
      <t xml:space="preserve">-[Asset Class = Funds - VC] &gt; Linkedin &gt; 20+ Investments. 6 soonicorns ⏳🦄. 2 Exits 🙌.  </t>
    </r>
    <r>
      <rPr>
        <rFont val="Poppins"/>
        <b/>
        <color rgb="FF1155CC"/>
        <sz val="7.0"/>
        <u/>
      </rPr>
      <t>4 Early-stage VC funds</t>
    </r>
    <r>
      <rPr>
        <rFont val="Poppins"/>
        <sz val="7.0"/>
      </rPr>
      <t xml:space="preserve"> across Europe/UK, LATAM and Emerging Markets globally</t>
    </r>
    <r>
      <rPr>
        <rFont val="Poppins"/>
        <b/>
        <color rgb="FF1155CC"/>
        <sz val="7.0"/>
        <u/>
      </rPr>
      <t xml:space="preserve">
</t>
    </r>
    <r>
      <rPr>
        <rFont val="Poppins"/>
        <sz val="7.0"/>
      </rPr>
      <t xml:space="preserve">- [Region Investment Focus] &gt; Linkedin &gt; 4 Early-stage VC funds across Europe/UK, LATAM and Emerging Markets </t>
    </r>
    <r>
      <rPr>
        <rFont val="Poppins"/>
        <b/>
        <color rgb="FF1155CC"/>
        <sz val="7.0"/>
        <u/>
      </rPr>
      <t>globally</t>
    </r>
    <r>
      <rPr>
        <rFont val="Poppins"/>
        <sz val="7.0"/>
      </rPr>
      <t xml:space="preserve">
- [Sector Investment Focus] &gt; Data manager judgement &gt; His investments focus on Fintech, </t>
    </r>
    <r>
      <rPr>
        <rFont val="Poppins"/>
        <b/>
        <color rgb="FF1155CC"/>
        <sz val="7.0"/>
        <u/>
      </rPr>
      <t xml:space="preserve">AI </t>
    </r>
    <r>
      <rPr>
        <rFont val="Poppins"/>
        <sz val="7.0"/>
      </rPr>
      <t>(Pensero AI, Newtopia VC).</t>
    </r>
  </si>
  <si>
    <t>Lily</t>
  </si>
  <si>
    <t>Joo</t>
  </si>
  <si>
    <t>lilyjoo91@gmail.com</t>
  </si>
  <si>
    <t>Aleksei Dovzhikov</t>
  </si>
  <si>
    <t>https://www.linkedin.com/in/dovzhikov/</t>
  </si>
  <si>
    <t xml:space="preserve"> Cyprus</t>
  </si>
  <si>
    <r>
      <rPr>
        <rFont val="Poppins"/>
        <sz val="7.0"/>
      </rPr>
      <t xml:space="preserve">- [Asset class = Funds - VC] &gt; Linkedin &gt; Angel investor and </t>
    </r>
    <r>
      <rPr>
        <rFont val="Poppins"/>
        <b/>
        <color rgb="FF1155CC"/>
        <sz val="7.0"/>
        <u/>
      </rPr>
      <t>LP</t>
    </r>
    <r>
      <rPr>
        <rFont val="Poppins"/>
        <sz val="7.0"/>
      </rPr>
      <t xml:space="preserve"> in global funds. + LP in: Qantum, S16VC, Flint Capital, Flashpoint Venture Capital, One Way Ventures, YellowRocks!, Contribution Capital • Actively collaborating with global </t>
    </r>
    <r>
      <rPr>
        <rFont val="Poppins"/>
        <b/>
        <color rgb="FF1155CC"/>
        <sz val="7.0"/>
        <u/>
      </rPr>
      <t>VC funds</t>
    </r>
    <r>
      <rPr>
        <rFont val="Poppins"/>
        <sz val="7.0"/>
      </rPr>
      <t xml:space="preserve"> and syndicates
- [Sector investment focus] &gt; Linkedin &gt; B2B SaaS: fintech, infrastructure, cybersecurity, </t>
    </r>
    <r>
      <rPr>
        <rFont val="Poppins"/>
        <b/>
        <color rgb="FF1155CC"/>
        <sz val="7.0"/>
        <u/>
      </rPr>
      <t>AI</t>
    </r>
    <r>
      <rPr>
        <rFont val="Poppins"/>
        <sz val="7.0"/>
      </rPr>
      <t xml:space="preserve">-driven solutions, AI roll-up.
- [Region investment focus] &gt; Linkedin &gt; Actively collaborating with </t>
    </r>
    <r>
      <rPr>
        <rFont val="Poppins"/>
        <b/>
        <color rgb="FF1155CC"/>
        <sz val="7.0"/>
        <u/>
      </rPr>
      <t>global</t>
    </r>
    <r>
      <rPr>
        <rFont val="Poppins"/>
        <sz val="7.0"/>
      </rPr>
      <t xml:space="preserve"> VC funds.</t>
    </r>
  </si>
  <si>
    <t>alex@dovzhikov.com</t>
  </si>
  <si>
    <t>Nikola Cavic</t>
  </si>
  <si>
    <t>https://www.linkedin.com/in/nikolacavic/</t>
  </si>
  <si>
    <r>
      <rPr>
        <rFont val="Poppins"/>
        <sz val="7.0"/>
      </rPr>
      <t xml:space="preserve">- [Asset Class = Funds - VC] &gt; Linkedin &gt; He is a </t>
    </r>
    <r>
      <rPr>
        <rFont val="Poppins"/>
        <b/>
        <sz val="7.0"/>
      </rPr>
      <t>limited partner</t>
    </r>
    <r>
      <rPr>
        <rFont val="Poppins"/>
        <sz val="7.0"/>
      </rPr>
      <t xml:space="preserve"> in</t>
    </r>
    <r>
      <rPr>
        <rFont val="Poppins"/>
        <b/>
        <color rgb="FF1155CC"/>
        <sz val="7.0"/>
        <u/>
      </rPr>
      <t xml:space="preserve"> VC funds</t>
    </r>
    <r>
      <rPr>
        <rFont val="Poppins"/>
        <sz val="7.0"/>
      </rPr>
      <t xml:space="preserve"> (Fifth Quarter Ventures, Silicon Gardens)
- [Region investment focus] &gt; Linkedin &gt; His investments are based in </t>
    </r>
    <r>
      <rPr>
        <rFont val="Poppins"/>
        <b/>
        <color rgb="FF1155CC"/>
        <sz val="7.0"/>
        <u/>
      </rPr>
      <t>North America</t>
    </r>
    <r>
      <rPr>
        <rFont val="Poppins"/>
        <sz val="7.0"/>
      </rPr>
      <t xml:space="preserve">, Europe (Fifth Quarter Ventures, Fuller vision)
- [Sector investment focus] &gt; Data manager judgement &gt; His investments focus on </t>
    </r>
    <r>
      <rPr>
        <rFont val="Poppins"/>
        <b/>
        <color rgb="FF1155CC"/>
        <sz val="7.0"/>
        <u/>
      </rPr>
      <t>AI</t>
    </r>
    <r>
      <rPr>
        <rFont val="Poppins"/>
        <sz val="7.0"/>
      </rPr>
      <t>, SaaS (Fifth Quarter Ventures, Silicon Gardens)</t>
    </r>
  </si>
  <si>
    <t>Nikola</t>
  </si>
  <si>
    <t>Cavic</t>
  </si>
  <si>
    <t>cavicn@gmail.com</t>
  </si>
  <si>
    <t>Cyril Vermeulen</t>
  </si>
  <si>
    <t>https://www.linkedin.com/in/cvermeulen/</t>
  </si>
  <si>
    <r>
      <rPr>
        <rFont val="Poppins"/>
        <sz val="7.0"/>
      </rPr>
      <t xml:space="preserve">- [Asset class = Funds - VC] &gt; Linkedin &gt; Early stage </t>
    </r>
    <r>
      <rPr>
        <rFont val="Poppins"/>
        <b/>
        <color rgb="FF1155CC"/>
        <sz val="7.0"/>
        <u/>
      </rPr>
      <t>VC funds</t>
    </r>
    <r>
      <rPr>
        <rFont val="Poppins"/>
        <sz val="7.0"/>
      </rPr>
      <t xml:space="preserve"> : Uncork, ISAI, Daphni, Elaia, Ring, Asterion, ClimateClub, Ovni, 50Partners capital, Galion.exe, Wind.
- [Sector investment focus] &gt; Data manager judgement &gt; His investments focus on Deep Tech, </t>
    </r>
    <r>
      <rPr>
        <rFont val="Poppins"/>
        <b/>
        <color rgb="FF1155CC"/>
        <sz val="7.0"/>
        <u/>
      </rPr>
      <t>AI</t>
    </r>
    <r>
      <rPr>
        <rFont val="Poppins"/>
        <sz val="7.0"/>
      </rPr>
      <t>, SaaS, (ISAI, Daphni, Elaia)
- [Region investment focus] &gt; Linkedin &gt; Early stage Tech Europe-</t>
    </r>
    <r>
      <rPr>
        <rFont val="Poppins"/>
        <b/>
        <color rgb="FF1155CC"/>
        <sz val="7.0"/>
        <u/>
      </rPr>
      <t>US</t>
    </r>
    <r>
      <rPr>
        <rFont val="Poppins"/>
        <sz val="7.0"/>
      </rPr>
      <t>.</t>
    </r>
  </si>
  <si>
    <t>cyrilvermeulen@gmail.com</t>
  </si>
  <si>
    <t>Mike Zarin</t>
  </si>
  <si>
    <t>https://www.linkedin.com/in/mike-zarin/</t>
  </si>
  <si>
    <r>
      <rPr>
        <rFont val="Poppins"/>
        <sz val="7.0"/>
      </rPr>
      <t xml:space="preserve">- [Asset Class = Funds - VC] &gt; Linkedin &gt; He is a </t>
    </r>
    <r>
      <rPr>
        <rFont val="Poppins"/>
        <b/>
        <sz val="7.0"/>
      </rPr>
      <t>limited partner</t>
    </r>
    <r>
      <rPr>
        <rFont val="Poppins"/>
        <sz val="7.0"/>
      </rPr>
      <t xml:space="preserve"> in </t>
    </r>
    <r>
      <rPr>
        <rFont val="Poppins"/>
        <b/>
        <color rgb="FF1155CC"/>
        <sz val="7.0"/>
        <u/>
      </rPr>
      <t>VC funds</t>
    </r>
    <r>
      <rPr>
        <rFont val="Poppins"/>
        <sz val="7.0"/>
      </rPr>
      <t xml:space="preserve"> (AAL VC, Contribution Capital)
- [Sector Investment Focus] &gt; Linkedin &gt; Limited partner @ AAL VC </t>
    </r>
    <r>
      <rPr>
        <rFont val="Poppins"/>
        <b/>
        <color rgb="FF1155CC"/>
        <sz val="7.0"/>
        <u/>
      </rPr>
      <t>#AI</t>
    </r>
    <r>
      <rPr>
        <rFont val="Poppins"/>
        <sz val="7.0"/>
      </rPr>
      <t xml:space="preserve"> | Contribution Capital #web3
- [Region Investment Focus] &gt; Linkedin &gt; His investments are located in </t>
    </r>
    <r>
      <rPr>
        <rFont val="Poppins"/>
        <b/>
        <color rgb="FF1155CC"/>
        <sz val="7.0"/>
        <u/>
      </rPr>
      <t>North America</t>
    </r>
    <r>
      <rPr>
        <rFont val="Poppins"/>
        <sz val="7.0"/>
      </rPr>
      <t>, ex: AAL VC, etc.</t>
    </r>
  </si>
  <si>
    <t>mihailzarin@gmail.com</t>
  </si>
  <si>
    <t>Bernd Gross</t>
  </si>
  <si>
    <t>https://www.linkedin.com/in/berndgross/</t>
  </si>
  <si>
    <t>Data manager judgement, LinkedIn</t>
  </si>
  <si>
    <r>
      <rPr>
        <rFont val="Poppins"/>
        <sz val="7.0"/>
      </rPr>
      <t xml:space="preserve">- [Asset class = Funds - VC] &gt; Linkedin &gt; He is a </t>
    </r>
    <r>
      <rPr>
        <rFont val="Poppins"/>
        <b/>
        <sz val="7.0"/>
      </rPr>
      <t xml:space="preserve">limited partner </t>
    </r>
    <r>
      <rPr>
        <rFont val="Poppins"/>
        <sz val="7.0"/>
      </rPr>
      <t xml:space="preserve">in several </t>
    </r>
    <r>
      <rPr>
        <rFont val="Poppins"/>
        <b/>
        <color rgb="FF1155CC"/>
        <sz val="7.0"/>
        <u/>
      </rPr>
      <t xml:space="preserve">VC funds </t>
    </r>
    <r>
      <rPr>
        <rFont val="Poppins"/>
        <b/>
        <sz val="7.0"/>
      </rPr>
      <t xml:space="preserve"> </t>
    </r>
    <r>
      <rPr>
        <rFont val="Poppins"/>
        <sz val="7.0"/>
      </rPr>
      <t xml:space="preserve">ex: uVC partners, hv capital etc
- [Sector investment focus] &gt; Data manager judgement &gt; His investment focus on fintech, healthtech, </t>
    </r>
    <r>
      <rPr>
        <rFont val="Poppins"/>
        <b/>
        <color rgb="FF1155CC"/>
        <sz val="7.0"/>
        <u/>
      </rPr>
      <t>Ai</t>
    </r>
    <r>
      <rPr>
        <rFont val="Poppins"/>
        <sz val="7.0"/>
      </rPr>
      <t xml:space="preserve">, </t>
    </r>
    <r>
      <rPr>
        <rFont val="Poppins"/>
        <b/>
        <sz val="7.0"/>
      </rPr>
      <t>technology</t>
    </r>
    <r>
      <rPr>
        <rFont val="Poppins"/>
        <sz val="7.0"/>
      </rPr>
      <t xml:space="preserve">, SaaS, b2b, enterprise, climate, frontier. ex: uVC partners, hv capital etc
- [Region Investment Focus] &gt; LinkedIn &gt; 25+ years of </t>
    </r>
    <r>
      <rPr>
        <rFont val="Poppins"/>
        <b/>
        <sz val="7.0"/>
      </rPr>
      <t xml:space="preserve">international </t>
    </r>
    <r>
      <rPr>
        <rFont val="Poppins"/>
        <sz val="7.0"/>
      </rPr>
      <t xml:space="preserve">work experience in Germany, Finland, UK and </t>
    </r>
    <r>
      <rPr>
        <rFont val="Poppins"/>
        <b/>
        <color rgb="FF1155CC"/>
        <sz val="7.0"/>
        <u/>
      </rPr>
      <t xml:space="preserve">USA </t>
    </r>
    <r>
      <rPr>
        <rFont val="Poppins"/>
        <sz val="7.0"/>
      </rPr>
      <t xml:space="preserve">(CA). </t>
    </r>
    <r>
      <rPr>
        <rFont val="Poppins"/>
        <b/>
        <sz val="7.0"/>
      </rPr>
      <t>#DemandCreation</t>
    </r>
  </si>
  <si>
    <t>Bernd</t>
  </si>
  <si>
    <t>Gross</t>
  </si>
  <si>
    <t>bernd.gross@yahoo.co.uk</t>
  </si>
  <si>
    <t>https://www.LinkedIn.com/in/berndgross/</t>
  </si>
  <si>
    <t>Matt Portman</t>
  </si>
  <si>
    <t>https://www.linkedin.com/in/mattportman/</t>
  </si>
  <si>
    <r>
      <rPr>
        <rFont val="Poppins"/>
        <sz val="7.0"/>
      </rPr>
      <t xml:space="preserve">- [Asset Class = Funds - VC] &gt; Linkedin &gt; He is a limited partner in </t>
    </r>
    <r>
      <rPr>
        <rFont val="Poppins"/>
        <b/>
        <color rgb="FF1155CC"/>
        <sz val="7.0"/>
        <u/>
      </rPr>
      <t>VC funds</t>
    </r>
    <r>
      <rPr>
        <rFont val="Poppins"/>
        <b/>
        <sz val="7.0"/>
      </rPr>
      <t xml:space="preserve"> </t>
    </r>
    <r>
      <rPr>
        <rFont val="Poppins"/>
        <sz val="7.0"/>
      </rPr>
      <t>(</t>
    </r>
    <r>
      <rPr>
        <rFont val="Poppins"/>
        <b/>
        <sz val="7.0"/>
      </rPr>
      <t>Worlds Fund, At One Venture</t>
    </r>
    <r>
      <rPr>
        <rFont val="Poppins"/>
        <sz val="7.0"/>
      </rPr>
      <t xml:space="preserve">)
- [Region Investment Focus] &gt; Linkedin &gt; His investments are based in Europe and </t>
    </r>
    <r>
      <rPr>
        <rFont val="Poppins"/>
        <b/>
        <color rgb="FF1155CC"/>
        <sz val="7.0"/>
        <u/>
      </rPr>
      <t xml:space="preserve">North America </t>
    </r>
    <r>
      <rPr>
        <rFont val="Poppins"/>
        <sz val="7.0"/>
      </rPr>
      <t xml:space="preserve">(Worlds Fund, At One Venture)
- [Sector Investment Focus] &gt; Data Manager Judgement &gt; He has investments which focus on </t>
    </r>
    <r>
      <rPr>
        <rFont val="Poppins"/>
        <b/>
        <color rgb="FF1155CC"/>
        <sz val="7.0"/>
        <u/>
      </rPr>
      <t>AI</t>
    </r>
    <r>
      <rPr>
        <rFont val="Poppins"/>
        <sz val="7.0"/>
      </rPr>
      <t>, disruptive deep tech. ex: Lion heart, At One Ventures</t>
    </r>
  </si>
  <si>
    <t>Matt</t>
  </si>
  <si>
    <t>Portman</t>
  </si>
  <si>
    <t>matt.portman@icloud.com</t>
  </si>
  <si>
    <t>https://www.linkedin.com/in/mattportman/details/experience/</t>
  </si>
  <si>
    <t>Natalia Simonenko</t>
  </si>
  <si>
    <t>https://www.linkedin.com/in/nataliasimonenko/</t>
  </si>
  <si>
    <r>
      <rPr>
        <rFont val="Poppins"/>
        <sz val="7.0"/>
      </rPr>
      <t xml:space="preserve">- [Asset class = Funds - VC] &gt; Linkedin &gt; Investor, Angel Investor, </t>
    </r>
    <r>
      <rPr>
        <rFont val="Poppins"/>
        <b/>
        <sz val="7.0"/>
      </rPr>
      <t>LP</t>
    </r>
    <r>
      <rPr>
        <rFont val="Poppins"/>
        <sz val="7.0"/>
      </rPr>
      <t xml:space="preserve"> in</t>
    </r>
    <r>
      <rPr>
        <rFont val="Poppins"/>
        <b/>
        <color rgb="FF1155CC"/>
        <sz val="7.0"/>
        <u/>
      </rPr>
      <t xml:space="preserve"> VC funds</t>
    </r>
    <r>
      <rPr>
        <rFont val="Poppins"/>
        <sz val="7.0"/>
      </rPr>
      <t xml:space="preserve">.
- [Sector investment focus] &gt; Data manager judgement &gt; Her investments focus on </t>
    </r>
    <r>
      <rPr>
        <rFont val="Poppins"/>
        <b/>
        <color rgb="FF1155CC"/>
        <sz val="7.0"/>
        <u/>
      </rPr>
      <t>AI</t>
    </r>
    <r>
      <rPr>
        <rFont val="Poppins"/>
        <sz val="7.0"/>
      </rPr>
      <t xml:space="preserve">, Fintech and Software (Target Global funds, Day One Ventures fund)
- [Region investment focus] &gt; Linkedin &gt; experience in identifying, building, managing, and </t>
    </r>
    <r>
      <rPr>
        <rFont val="Poppins"/>
        <b/>
        <color rgb="FF1155CC"/>
        <sz val="7.0"/>
        <u/>
      </rPr>
      <t>globally</t>
    </r>
    <r>
      <rPr>
        <rFont val="Poppins"/>
        <sz val="7.0"/>
      </rPr>
      <t xml:space="preserve"> scaling high growth</t>
    </r>
  </si>
  <si>
    <t>khnatalie@gmail.com</t>
  </si>
  <si>
    <t>Jakko B.</t>
  </si>
  <si>
    <t>https://www.linkedin.com/in/jakko-bloemena/?originalSubdomain=nl</t>
  </si>
  <si>
    <r>
      <rPr>
        <rFont val="Poppins"/>
        <sz val="7.0"/>
      </rPr>
      <t xml:space="preserve">- [Asset Class = Funds - VC] &gt; Linkedin &gt; He is a </t>
    </r>
    <r>
      <rPr>
        <rFont val="Poppins"/>
        <b/>
        <sz val="7.0"/>
      </rPr>
      <t>limited partner</t>
    </r>
    <r>
      <rPr>
        <rFont val="Poppins"/>
        <sz val="7.0"/>
      </rPr>
      <t xml:space="preserve"> in </t>
    </r>
    <r>
      <rPr>
        <rFont val="Poppins"/>
        <b/>
        <color rgb="FF1155CC"/>
        <sz val="7.0"/>
        <u/>
      </rPr>
      <t>VC funds</t>
    </r>
    <r>
      <rPr>
        <rFont val="Poppins"/>
        <sz val="7.0"/>
      </rPr>
      <t xml:space="preserve">, ex:  Countdown Capital, Also Capital, Space fund
- [Sector Investment focus] &gt; Data manager judgement &gt; He is a limited partner in VC funds which focus on </t>
    </r>
    <r>
      <rPr>
        <rFont val="Poppins"/>
        <b/>
        <sz val="7.0"/>
      </rPr>
      <t>technology</t>
    </r>
    <r>
      <rPr>
        <rFont val="Poppins"/>
        <sz val="7.0"/>
      </rPr>
      <t xml:space="preserve">, </t>
    </r>
    <r>
      <rPr>
        <rFont val="Poppins"/>
        <b/>
        <sz val="7.0"/>
      </rPr>
      <t>robotics</t>
    </r>
    <r>
      <rPr>
        <rFont val="Poppins"/>
        <sz val="7.0"/>
      </rPr>
      <t xml:space="preserve">, </t>
    </r>
    <r>
      <rPr>
        <rFont val="Poppins"/>
        <b/>
        <sz val="7.0"/>
      </rPr>
      <t>aerospace</t>
    </r>
    <r>
      <rPr>
        <rFont val="Poppins"/>
        <sz val="7.0"/>
      </rPr>
      <t xml:space="preserve">, hard tech, defense, </t>
    </r>
    <r>
      <rPr>
        <rFont val="Poppins"/>
        <b/>
        <color rgb="FF1155CC"/>
        <sz val="7.0"/>
        <u/>
      </rPr>
      <t>AI</t>
    </r>
    <r>
      <rPr>
        <rFont val="Poppins"/>
        <sz val="7.0"/>
      </rPr>
      <t xml:space="preserve">. ex: Space fund, Also Capital
- [Region investment focus] &gt; Linkedin &gt; His investments are based in </t>
    </r>
    <r>
      <rPr>
        <rFont val="Poppins"/>
        <b/>
        <color rgb="FF1155CC"/>
        <sz val="7.0"/>
        <u/>
      </rPr>
      <t>North America</t>
    </r>
    <r>
      <rPr>
        <rFont val="Poppins"/>
        <sz val="7.0"/>
      </rPr>
      <t>, ex: Countdown Capital, Also Capital, Space fund</t>
    </r>
  </si>
  <si>
    <t xml:space="preserve">Jakko </t>
  </si>
  <si>
    <t>B.</t>
  </si>
  <si>
    <t>jjebloemena@hotmail.com</t>
  </si>
  <si>
    <t>Andrey Anishchenko</t>
  </si>
  <si>
    <t>https://www.linkedin.com/in/andrey-anishchenko-b6784613/</t>
  </si>
  <si>
    <r>
      <rPr>
        <rFont val="Poppins"/>
        <sz val="7.0"/>
      </rPr>
      <t xml:space="preserve">- [Asset class = Funds - VC] &gt; Linkedin &gt; He is a </t>
    </r>
    <r>
      <rPr>
        <rFont val="Poppins"/>
        <b/>
        <sz val="7.0"/>
      </rPr>
      <t>limited partner</t>
    </r>
    <r>
      <rPr>
        <rFont val="Poppins"/>
        <sz val="7.0"/>
      </rPr>
      <t xml:space="preserve"> in </t>
    </r>
    <r>
      <rPr>
        <rFont val="Poppins"/>
        <b/>
        <color rgb="FF1155CC"/>
        <sz val="7.0"/>
        <u/>
      </rPr>
      <t>VC funds</t>
    </r>
    <r>
      <rPr>
        <rFont val="Poppins"/>
        <sz val="7.0"/>
      </rPr>
      <t xml:space="preserve"> (Mento vc, s16vc)
- [Sector investment focus] &gt; Data manager judgement &gt; His investments focus on </t>
    </r>
    <r>
      <rPr>
        <rFont val="Poppins"/>
        <b/>
        <color rgb="FF1155CC"/>
        <sz val="7.0"/>
        <u/>
      </rPr>
      <t>AI</t>
    </r>
    <r>
      <rPr>
        <rFont val="Poppins"/>
        <sz val="7.0"/>
      </rPr>
      <t>, Fintech (Mento vc, s16vc)
- [Region investment focus] &gt; Linkedin &gt; His investments are based in</t>
    </r>
    <r>
      <rPr>
        <rFont val="Poppins"/>
        <b/>
        <sz val="7.0"/>
      </rPr>
      <t xml:space="preserve"> </t>
    </r>
    <r>
      <rPr>
        <rFont val="Poppins"/>
        <b/>
        <color rgb="FF1155CC"/>
        <sz val="7.0"/>
        <u/>
      </rPr>
      <t>North America</t>
    </r>
    <r>
      <rPr>
        <rFont val="Poppins"/>
        <color rgb="FF1155CC"/>
        <sz val="7.0"/>
        <u/>
      </rPr>
      <t xml:space="preserve"> </t>
    </r>
    <r>
      <rPr>
        <rFont val="Poppins"/>
        <sz val="7.0"/>
      </rPr>
      <t>and Europe (Mento vc, s16vc)</t>
    </r>
  </si>
  <si>
    <t>aaanischenko@gmail.com</t>
  </si>
  <si>
    <t>Roberto Ricci</t>
  </si>
  <si>
    <t>https://www.linkedin.com/in/rr-robertoricci/</t>
  </si>
  <si>
    <r>
      <rPr>
        <rFont val="Poppins"/>
        <sz val="7.0"/>
      </rPr>
      <t xml:space="preserve">- [Asset class = Funds - VC] &gt; Linkedin &gt; He is a limited partner, investor in </t>
    </r>
    <r>
      <rPr>
        <rFont val="Poppins"/>
        <b/>
        <color rgb="FF1155CC"/>
        <sz val="7.0"/>
        <u/>
      </rPr>
      <t>VC funds</t>
    </r>
    <r>
      <rPr>
        <rFont val="Poppins"/>
        <sz val="7.0"/>
      </rPr>
      <t xml:space="preserve"> (firedrop, Behind Genius Ventures, Passion Capital, Backstage Capital)
- [Sector investment focus] &gt; Data manager judgement &gt; His investments focus on </t>
    </r>
    <r>
      <rPr>
        <rFont val="Poppins"/>
        <b/>
        <color rgb="FF1155CC"/>
        <sz val="7.0"/>
        <u/>
      </rPr>
      <t>AI</t>
    </r>
    <r>
      <rPr>
        <rFont val="Poppins"/>
        <sz val="7.0"/>
      </rPr>
      <t xml:space="preserve">, Fintech, etc (firedrop, Behind Genius Ventures, Passion Capital, Backstage Capital)
- [Region investment focus] &gt; Linkedin &gt; His investments are based in </t>
    </r>
    <r>
      <rPr>
        <rFont val="Poppins"/>
        <b/>
        <color rgb="FF1155CC"/>
        <sz val="7.0"/>
        <u/>
      </rPr>
      <t>North America</t>
    </r>
    <r>
      <rPr>
        <rFont val="Poppins"/>
        <sz val="7.0"/>
      </rPr>
      <t xml:space="preserve"> and Europe (firedrop, Behind Genius Ventures, Passion Capital, Backstage Capital)</t>
    </r>
  </si>
  <si>
    <t>rob_92@hotmail.it</t>
  </si>
  <si>
    <t>Yuelin Li</t>
  </si>
  <si>
    <t>https://www.linkedin.com/in/yuelinx/</t>
  </si>
  <si>
    <r>
      <rPr>
        <rFont val="Poppins"/>
        <sz val="7.0"/>
      </rPr>
      <t xml:space="preserve">- [Asset class = Funds - VC] &gt; Linkedin &gt; She is a </t>
    </r>
    <r>
      <rPr>
        <rFont val="Poppins"/>
        <b/>
        <sz val="7.0"/>
      </rPr>
      <t>limited partner</t>
    </r>
    <r>
      <rPr>
        <rFont val="Poppins"/>
        <sz val="7.0"/>
      </rPr>
      <t xml:space="preserve"> in </t>
    </r>
    <r>
      <rPr>
        <rFont val="Poppins"/>
        <b/>
        <color rgb="FF1155CC"/>
        <sz val="7.0"/>
        <u/>
      </rPr>
      <t>VC Funds</t>
    </r>
    <r>
      <rPr>
        <rFont val="Poppins"/>
        <sz val="7.0"/>
      </rPr>
      <t xml:space="preserve">, ex: Earl Grey Capital, Weekend Capital 
- [Sector investment focus] &gt; Linkedin + Data manager judgement &gt; has held key leadership roles at some of Europe’s leading </t>
    </r>
    <r>
      <rPr>
        <rFont val="Poppins"/>
        <b/>
        <color rgb="FF1155CC"/>
        <sz val="7.0"/>
        <u/>
      </rPr>
      <t xml:space="preserve">AI </t>
    </r>
    <r>
      <rPr>
        <rFont val="Poppins"/>
        <sz val="7.0"/>
      </rPr>
      <t xml:space="preserve">companies, including + Her investments  focus on SaaS and </t>
    </r>
    <r>
      <rPr>
        <rFont val="Poppins"/>
        <b/>
        <color rgb="FF1155CC"/>
        <sz val="7.0"/>
        <u/>
      </rPr>
      <t>technology</t>
    </r>
    <r>
      <rPr>
        <rFont val="Poppins"/>
        <sz val="7.0"/>
      </rPr>
      <t xml:space="preserve">, ex: Earl Grey Capital, Weekend Capital
- [Region investment focus] &gt; Linkedin &gt; Her investments are based in </t>
    </r>
    <r>
      <rPr>
        <rFont val="Poppins"/>
        <b/>
        <color rgb="FF1155CC"/>
        <sz val="7.0"/>
        <u/>
      </rPr>
      <t>US</t>
    </r>
    <r>
      <rPr>
        <rFont val="Poppins"/>
        <sz val="7.0"/>
      </rPr>
      <t>, ex: Earl Grey Capital, Weekend Capital</t>
    </r>
  </si>
  <si>
    <t>Yuelin</t>
  </si>
  <si>
    <t>yuelinali@gmail.com</t>
  </si>
  <si>
    <t>Akhil Paul</t>
  </si>
  <si>
    <t>https://www.linkedin.com/in/akhil--paul/</t>
  </si>
  <si>
    <r>
      <rPr>
        <rFont val="Poppins"/>
        <sz val="7.0"/>
      </rPr>
      <t>- [Asset class = Funds - VC] &gt; Linkedin &gt; He is a</t>
    </r>
    <r>
      <rPr>
        <rFont val="Poppins"/>
        <b/>
        <sz val="7.0"/>
      </rPr>
      <t xml:space="preserve"> limited partner </t>
    </r>
    <r>
      <rPr>
        <rFont val="Poppins"/>
        <sz val="7.0"/>
      </rPr>
      <t>in</t>
    </r>
    <r>
      <rPr>
        <rFont val="Poppins"/>
        <b/>
        <color rgb="FF1155CC"/>
        <sz val="7.0"/>
        <u/>
      </rPr>
      <t xml:space="preserve"> VC funds </t>
    </r>
    <r>
      <rPr>
        <rFont val="Poppins"/>
        <sz val="7.0"/>
      </rPr>
      <t xml:space="preserve">(20VC, 776, 8VC, A16Z, Cendana, Chapter One, Creandum, Evantic, Felicis, Firedrop, Iconiq Capital, Lightspeed, Redesign Health, Village Global, Weekend Fund)
- [Sector investment focus] &gt; Linkedin &gt; Investments include: </t>
    </r>
    <r>
      <rPr>
        <rFont val="Poppins"/>
        <b/>
        <color rgb="FF1155CC"/>
        <sz val="7.0"/>
        <u/>
      </rPr>
      <t>AI/ML</t>
    </r>
    <r>
      <rPr>
        <rFont val="Poppins"/>
        <sz val="7.0"/>
      </rPr>
      <t xml:space="preserve">, Healthcare, </t>
    </r>
    <r>
      <rPr>
        <rFont val="Poppins"/>
        <b/>
        <sz val="7.0"/>
      </rPr>
      <t>Fintech, SaaS</t>
    </r>
    <r>
      <rPr>
        <rFont val="Poppins"/>
        <sz val="7.0"/>
      </rPr>
      <t xml:space="preserve"> (B2B Software / Infrastructure), Consumer.
- [Region investment focus] &gt; Data manager judgement &gt; His investment companies or funds based in the </t>
    </r>
    <r>
      <rPr>
        <rFont val="Poppins"/>
        <b/>
        <color rgb="FF1155CC"/>
        <sz val="7.0"/>
        <u/>
      </rPr>
      <t>US</t>
    </r>
    <r>
      <rPr>
        <rFont val="Poppins"/>
        <sz val="7.0"/>
      </rPr>
      <t xml:space="preserve"> include startups such as Gradient Labs, 0pass, Otterize, and Ellipsis Health.</t>
    </r>
  </si>
  <si>
    <t>Akhil</t>
  </si>
  <si>
    <t>Paul</t>
  </si>
  <si>
    <t>akhil_paul@hotmail.com</t>
  </si>
  <si>
    <t>TKM</t>
  </si>
  <si>
    <t>https://www.linkedin.com/company/tkm-vc/</t>
  </si>
  <si>
    <r>
      <rPr>
        <rFont val="Poppins"/>
        <sz val="7.0"/>
      </rPr>
      <t>-[Asset class = Funds-VC] &gt; Linkedin &gt; We invest in early-stage technology startups as well as in selected</t>
    </r>
    <r>
      <rPr>
        <rFont val="Poppins"/>
        <b/>
        <color rgb="FF1155CC"/>
        <sz val="7.0"/>
        <u/>
      </rPr>
      <t xml:space="preserve"> VC funds</t>
    </r>
    <r>
      <rPr>
        <rFont val="Poppins"/>
        <sz val="7.0"/>
      </rPr>
      <t xml:space="preserve">.
-[Sector investment focus] &gt; Linkedin &gt; Our focus is on companies building the technological foundations of the digital economy, including </t>
    </r>
    <r>
      <rPr>
        <rFont val="Poppins"/>
        <b/>
        <sz val="7.0"/>
      </rPr>
      <t xml:space="preserve">software </t>
    </r>
    <r>
      <rPr>
        <rFont val="Poppins"/>
        <sz val="7.0"/>
      </rPr>
      <t xml:space="preserve">infrastructure, developer tools, cybersecurity, and </t>
    </r>
    <r>
      <rPr>
        <rFont val="Poppins"/>
        <b/>
        <color rgb="FF1155CC"/>
        <sz val="7.0"/>
        <u/>
      </rPr>
      <t>AI</t>
    </r>
    <r>
      <rPr>
        <rFont val="Poppins"/>
        <sz val="7.0"/>
      </rPr>
      <t xml:space="preserve">-related technologies
-[Region investment focus] &gt; Linkedin &gt; Primarily across </t>
    </r>
    <r>
      <rPr>
        <rFont val="Poppins"/>
        <b/>
        <sz val="7.0"/>
      </rPr>
      <t>Europe</t>
    </r>
    <r>
      <rPr>
        <rFont val="Poppins"/>
        <sz val="7.0"/>
      </rPr>
      <t xml:space="preserve"> and the </t>
    </r>
    <r>
      <rPr>
        <rFont val="Poppins"/>
        <b/>
        <color rgb="FF1155CC"/>
        <sz val="7.0"/>
        <u/>
      </rPr>
      <t>United States</t>
    </r>
    <r>
      <rPr>
        <rFont val="Poppins"/>
        <sz val="7.0"/>
      </rPr>
      <t xml:space="preserve">.
- [Maturity Focus = Emerging] &gt; Data manager judgement &gt; They haven't publicly disclosed their maturity focus but the rest of the criteria aligns with your IIP. </t>
    </r>
    <r>
      <rPr>
        <rFont val="Poppins"/>
        <b/>
        <sz val="7.0"/>
      </rPr>
      <t>#DemandCreation.</t>
    </r>
  </si>
  <si>
    <t>Philipp Langnickel</t>
  </si>
  <si>
    <t>Langnickel</t>
  </si>
  <si>
    <t>philipp.langnickel@tkm.gmbh</t>
  </si>
  <si>
    <t>https://www.linkedin.com/in/philipp-langnickel/</t>
  </si>
  <si>
    <t>Scale Invest</t>
  </si>
  <si>
    <t>https://www.scaleinvest.de/</t>
  </si>
  <si>
    <r>
      <rPr>
        <rFont val="Poppins"/>
        <sz val="7.0"/>
      </rPr>
      <t xml:space="preserve">- [Asset class = Funds - VC] &gt; Website &gt; "...we invest strategically in future-oriented areas: These include </t>
    </r>
    <r>
      <rPr>
        <rFont val="Poppins"/>
        <b/>
        <color rgb="FF1155CC"/>
        <sz val="7.0"/>
        <u/>
      </rPr>
      <t xml:space="preserve">venture capital funds </t>
    </r>
    <r>
      <rPr>
        <rFont val="Poppins"/>
        <sz val="7.0"/>
      </rPr>
      <t xml:space="preserve">for innovative start-ups ..."
- [Sector Investment focus] &gt; Portfolio &gt; They have investments which focus on software, </t>
    </r>
    <r>
      <rPr>
        <rFont val="Poppins"/>
        <b/>
        <sz val="7.0"/>
      </rPr>
      <t>deeptech</t>
    </r>
    <r>
      <rPr>
        <rFont val="Poppins"/>
        <sz val="7.0"/>
      </rPr>
      <t xml:space="preserve">, </t>
    </r>
    <r>
      <rPr>
        <rFont val="Poppins"/>
        <b/>
        <color rgb="FF1155CC"/>
        <sz val="7.0"/>
        <u/>
      </rPr>
      <t>AI</t>
    </r>
    <r>
      <rPr>
        <rFont val="Poppins"/>
        <sz val="7.0"/>
      </rPr>
      <t xml:space="preserve">, </t>
    </r>
    <r>
      <rPr>
        <rFont val="Poppins"/>
        <b/>
        <sz val="7.0"/>
      </rPr>
      <t>technology</t>
    </r>
    <r>
      <rPr>
        <rFont val="Poppins"/>
        <sz val="7.0"/>
      </rPr>
      <t xml:space="preserve">, energy, </t>
    </r>
    <r>
      <rPr>
        <rFont val="Poppins"/>
        <b/>
        <sz val="7.0"/>
      </rPr>
      <t>fintech</t>
    </r>
    <r>
      <rPr>
        <rFont val="Poppins"/>
        <sz val="7.0"/>
      </rPr>
      <t xml:space="preserve">, health etc, ex: flex capital, redstone, etc.
- [Region Investment focus] &gt; Website &gt; "...the very beginning of their entrepreneurial journey. With proven methods, an </t>
    </r>
    <r>
      <rPr>
        <rFont val="Poppins"/>
        <b/>
        <color rgb="FF1155CC"/>
        <sz val="7.0"/>
        <u/>
      </rPr>
      <t xml:space="preserve">international </t>
    </r>
    <r>
      <rPr>
        <rFont val="Poppins"/>
        <sz val="7.0"/>
      </rPr>
      <t xml:space="preserve">network, and a supportive environment..." 
- [Maturity Focus = Emerging] &gt; Data manager judgement &gt; They haven't publicly disclosed their maturity focus but the rest of the criteria aligns with your IIP. </t>
    </r>
    <r>
      <rPr>
        <rFont val="Poppins"/>
        <b/>
        <sz val="7.0"/>
      </rPr>
      <t>#DemandCreation.</t>
    </r>
  </si>
  <si>
    <t>Head of Family Office / Managing Director</t>
  </si>
  <si>
    <t>Niels Fritze</t>
  </si>
  <si>
    <t>Niels</t>
  </si>
  <si>
    <t>Fritze</t>
  </si>
  <si>
    <t>niels.fritze@scaleinvest.de</t>
  </si>
  <si>
    <t>https://www.linkedin.com/in/niels-fritze-2a97b3133/</t>
  </si>
  <si>
    <t>Pierre-Louis Theron</t>
  </si>
  <si>
    <t>https://www.linkedin.com/in/theronpl/?locale=fr_FR</t>
  </si>
  <si>
    <r>
      <rPr>
        <rFont val="Poppins"/>
        <sz val="7.0"/>
      </rPr>
      <t xml:space="preserve">- [Asset Class = Funds - VC] &gt; Linkedin &gt; </t>
    </r>
    <r>
      <rPr>
        <rFont val="Poppins"/>
        <b/>
        <color rgb="FF1155CC"/>
        <sz val="7.0"/>
        <u/>
      </rPr>
      <t xml:space="preserve">Limited Partner </t>
    </r>
    <r>
      <rPr>
        <rFont val="Poppins"/>
        <sz val="7.0"/>
      </rPr>
      <t xml:space="preserve">investor in Partech, One Way Ventures, CentraleSupelec VenturesAngel
- [Sector Investment Focus] &gt; Linkedin &gt; Building the new internet infrastructure for </t>
    </r>
    <r>
      <rPr>
        <rFont val="Poppins"/>
        <b/>
        <color rgb="FF1155CC"/>
        <sz val="7.0"/>
        <u/>
      </rPr>
      <t>AI</t>
    </r>
    <r>
      <rPr>
        <rFont val="Poppins"/>
        <sz val="7.0"/>
      </rPr>
      <t xml:space="preserve">
- [Region Investment Focus] &gt; Linkedin &gt; His investments are located in </t>
    </r>
    <r>
      <rPr>
        <rFont val="Poppins"/>
        <b/>
        <color rgb="FF1155CC"/>
        <sz val="7.0"/>
        <u/>
      </rPr>
      <t xml:space="preserve">North America </t>
    </r>
    <r>
      <rPr>
        <rFont val="Poppins"/>
        <sz val="7.0"/>
      </rPr>
      <t xml:space="preserve">and </t>
    </r>
    <r>
      <rPr>
        <rFont val="Poppins"/>
        <b/>
        <sz val="7.0"/>
      </rPr>
      <t>Europe</t>
    </r>
    <r>
      <rPr>
        <rFont val="Poppins"/>
        <sz val="7.0"/>
      </rPr>
      <t>. ex: Partech, One Way Ventures</t>
    </r>
  </si>
  <si>
    <t>Pierre</t>
  </si>
  <si>
    <t>Louis Theron</t>
  </si>
  <si>
    <t>pierrelouistheron@gmail.com</t>
  </si>
  <si>
    <r>
      <rPr>
        <rFont val="Poppins"/>
        <color theme="1"/>
        <sz val="6.0"/>
      </rPr>
      <t xml:space="preserve">*Comments are always welcome for future learnings. </t>
    </r>
    <r>
      <rPr>
        <rFont val="Poppins"/>
        <b/>
        <color theme="1"/>
        <sz val="6.0"/>
      </rPr>
      <t>If you’ve rejected a prospect with the reason “Rejected – Seems to conflict with what I outlined in the IIP”, a comment is required so we can understand the reasoning and replace the prospect accordingly.</t>
    </r>
  </si>
  <si>
    <r>
      <rPr>
        <rFont val="Poppins"/>
        <color theme="1"/>
        <sz val="6.0"/>
      </rPr>
      <t>*</t>
    </r>
    <r>
      <rPr>
        <rFont val="Poppins"/>
        <b/>
        <color theme="1"/>
        <sz val="6.0"/>
      </rPr>
      <t>Premium feature coming at extra charge</t>
    </r>
    <r>
      <rPr>
        <rFont val="Poppins"/>
        <color theme="1"/>
        <sz val="6.0"/>
      </rPr>
      <t xml:space="preserve"> (ask our sales), we research your network via LinkedIn to find relevant contacts who can introduce you to the respective prospect. By mapping your mutual LinkedIn connections, we reach out on your behalf and request warm introductions. This service increases your chances of engagement by leveraging trust and your existing relationships.</t>
    </r>
  </si>
  <si>
    <t>Aurum Investments</t>
  </si>
  <si>
    <t>https://auruminvestments.sg/about/</t>
  </si>
  <si>
    <r>
      <rPr>
        <rFont val="Poppins"/>
        <sz val="7.0"/>
      </rPr>
      <t xml:space="preserve">-[Asset Class = Funds - VC] &gt; Website &gt; "...We invest across most asset classes in public and private markets globally. This includes investments in Public Equities, Fixed Income, Hedge Funds, Private Equity, Private Credit, and </t>
    </r>
    <r>
      <rPr>
        <rFont val="Poppins"/>
        <b/>
        <color rgb="FF1155CC"/>
        <sz val="7.0"/>
        <u/>
      </rPr>
      <t>Venture Capital</t>
    </r>
    <r>
      <rPr>
        <rFont val="Poppins"/>
        <sz val="7.0"/>
      </rPr>
      <t xml:space="preserve">. We make most of our </t>
    </r>
    <r>
      <rPr>
        <rFont val="Poppins"/>
        <b/>
        <color rgb="FF1155CC"/>
        <sz val="7.0"/>
        <u/>
      </rPr>
      <t>allocations through funds</t>
    </r>
    <r>
      <rPr>
        <rFont val="Poppins"/>
        <sz val="7.0"/>
      </rPr>
      <t xml:space="preserve">...." 
-[Sector Investment Focus] &gt; Portfolio &gt; Their portfolio confirms investments in </t>
    </r>
    <r>
      <rPr>
        <rFont val="Poppins"/>
        <b/>
        <color rgb="FF1155CC"/>
        <sz val="7.0"/>
        <u/>
      </rPr>
      <t>artificial intelligence</t>
    </r>
    <r>
      <rPr>
        <rFont val="Poppins"/>
        <sz val="7.0"/>
      </rPr>
      <t xml:space="preserve">, including Fabrica AI and Wenti Labs.
-[Region Investment Focus] &gt; Website &gt; "...We invest in a diverse range of asset classes in public and private markets </t>
    </r>
    <r>
      <rPr>
        <rFont val="Poppins"/>
        <b/>
        <color rgb="FF1155CC"/>
        <sz val="7.0"/>
        <u/>
      </rPr>
      <t>globally</t>
    </r>
    <r>
      <rPr>
        <rFont val="Poppins"/>
        <sz val="7.0"/>
      </rPr>
      <t xml:space="preserve">..."
- [Maturity Focus] &gt; Data manager judgement &gt; They have not publicly disclosed their maturity focus but the rest of the criteria aligns with your IIP. </t>
    </r>
    <r>
      <rPr>
        <rFont val="Poppins"/>
        <b/>
        <sz val="7.0"/>
      </rPr>
      <t>#DemandCreation</t>
    </r>
    <r>
      <rPr>
        <rFont val="Poppins"/>
        <sz val="7.0"/>
      </rPr>
      <t>.</t>
    </r>
  </si>
  <si>
    <t>Director of Financial Investments</t>
  </si>
  <si>
    <t>Austyn Yong</t>
  </si>
  <si>
    <t>Austyn</t>
  </si>
  <si>
    <t>Yong</t>
  </si>
  <si>
    <t>austyn_yong@wohhup.com</t>
  </si>
  <si>
    <t>https://www.linkedin.com/in/austyn-yong-cfa-497675a9/</t>
  </si>
  <si>
    <t xml:space="preserve">Oak Grove Ventures </t>
  </si>
  <si>
    <t>https://www.oakgrove.vc/</t>
  </si>
  <si>
    <r>
      <rPr>
        <rFont val="Poppins"/>
        <sz val="7.0"/>
      </rPr>
      <t xml:space="preserve">- [Asset Class = Funds - VC] &gt; Portfolio &gt; Their portfolio confirms that they invest in </t>
    </r>
    <r>
      <rPr>
        <rFont val="Poppins"/>
        <b/>
        <color rgb="FF1155CC"/>
        <sz val="7.0"/>
        <u/>
      </rPr>
      <t>VC funds</t>
    </r>
    <r>
      <rPr>
        <rFont val="Poppins"/>
        <sz val="7.0"/>
      </rPr>
      <t xml:space="preserve">, ex: </t>
    </r>
    <r>
      <rPr>
        <rFont val="Poppins"/>
        <b/>
        <sz val="7.0"/>
      </rPr>
      <t>Nomad Capital, Draper Dragon</t>
    </r>
    <r>
      <rPr>
        <rFont val="Poppins"/>
        <sz val="7.0"/>
      </rPr>
      <t xml:space="preserve">.
- [Region Investment Focus] &gt; Portfolio &gt; Their portfolio confirms that their region focus is </t>
    </r>
    <r>
      <rPr>
        <rFont val="Poppins"/>
        <b/>
        <color rgb="FF1155CC"/>
        <sz val="7.0"/>
        <u/>
      </rPr>
      <t>North America</t>
    </r>
    <r>
      <rPr>
        <rFont val="Poppins"/>
        <sz val="7.0"/>
      </rPr>
      <t xml:space="preserve"> (Draper Dragon, ShangBay Capital).
- [Sector Investment Focus ] &gt; Website &gt; "... specializing in early-stage investments, with a primary focus on cutting-edge technology sectors such as Web3, </t>
    </r>
    <r>
      <rPr>
        <rFont val="Poppins"/>
        <b/>
        <color rgb="FF1155CC"/>
        <sz val="7.0"/>
        <u/>
      </rPr>
      <t>Artificial Intelligence (AI)</t>
    </r>
    <r>
      <rPr>
        <rFont val="Poppins"/>
        <sz val="7.0"/>
      </rPr>
      <t xml:space="preserve">, and Biotechnology..."
- [Maturity Focus] &gt; Data manager judgement &gt; They have not publicly disclosed their maturity focus but the rest of the criteria aligns with your IIP. </t>
    </r>
    <r>
      <rPr>
        <rFont val="Poppins"/>
        <b/>
        <sz val="7.0"/>
      </rPr>
      <t>#DemandCreation</t>
    </r>
    <r>
      <rPr>
        <rFont val="Poppins"/>
        <sz val="7.0"/>
      </rPr>
      <t>.</t>
    </r>
  </si>
  <si>
    <r>
      <rPr>
        <rFont val="Poppins"/>
        <b/>
        <color rgb="FF1155CC"/>
        <sz val="7.0"/>
        <u/>
      </rPr>
      <t>AI</t>
    </r>
    <r>
      <rPr>
        <rFont val="Poppins"/>
        <sz val="7.0"/>
      </rPr>
      <t xml:space="preserve"> is part of their main focus as per their portfolio: Polyhedra, Codatta, Compute Labs, etc.</t>
    </r>
  </si>
  <si>
    <t>Wellco Capital</t>
  </si>
  <si>
    <t>https://www.wellcocapital.com/</t>
  </si>
  <si>
    <r>
      <rPr>
        <rFont val="Poppins"/>
        <sz val="7.0"/>
      </rPr>
      <t xml:space="preserve">-[Asset class = Funds - VC] &gt; Website &gt; "...Our </t>
    </r>
    <r>
      <rPr>
        <rFont val="Poppins"/>
        <b/>
        <sz val="7.0"/>
      </rPr>
      <t>alternative investments</t>
    </r>
    <r>
      <rPr>
        <rFont val="Poppins"/>
        <sz val="7.0"/>
      </rPr>
      <t xml:space="preserve"> include hedge funds, real estate, life endowments, insurance, direct lending, diversified endowments, legal claims, private equity and </t>
    </r>
    <r>
      <rPr>
        <rFont val="Poppins"/>
        <b/>
        <color rgb="FF1155CC"/>
        <sz val="7.0"/>
        <u/>
      </rPr>
      <t>venture capital</t>
    </r>
    <r>
      <rPr>
        <rFont val="Poppins"/>
        <sz val="7.0"/>
      </rPr>
      <t xml:space="preserve">..."
-[Sector investment focus] &gt; Private data provider &gt; Wellco Capital, a Singapore-based single-family office, is refocusing its investment strategy on cash-flow stability and undervalued opportunities while steering clear of high-risk bets in </t>
    </r>
    <r>
      <rPr>
        <rFont val="Poppins"/>
        <b/>
        <color rgb="FF1155CC"/>
        <sz val="7.0"/>
        <u/>
      </rPr>
      <t>artificial intelligence</t>
    </r>
    <r>
      <rPr>
        <rFont val="Poppins"/>
        <sz val="7.0"/>
      </rPr>
      <t xml:space="preserve">.
-[Region investment focus] &gt; Private data provider &gt; Wellco Capital, a Singapore-based single-family office, is refocusing its investment strategy on cash-flow stability and undervalued opportunities while steering clear of high-risk bets in artificial intelligence and the overheated </t>
    </r>
    <r>
      <rPr>
        <rFont val="Poppins"/>
        <b/>
        <color rgb="FF1155CC"/>
        <sz val="7.0"/>
        <u/>
      </rPr>
      <t>U.S.</t>
    </r>
    <r>
      <rPr>
        <rFont val="Poppins"/>
        <sz val="7.0"/>
      </rPr>
      <t xml:space="preserve"> equities market.
- [Maturity Focus] &gt; Data manager judgement &gt; They have not publicly disclosed their maturity focus but the rest of the criteria aligns with your IIP. </t>
    </r>
    <r>
      <rPr>
        <rFont val="Poppins"/>
        <b/>
        <sz val="7.0"/>
      </rPr>
      <t>#DemandCreation</t>
    </r>
    <r>
      <rPr>
        <rFont val="Poppins"/>
        <sz val="7.0"/>
      </rPr>
      <t>.</t>
    </r>
  </si>
  <si>
    <t>CEO &amp; CIO</t>
  </si>
  <si>
    <t>Kah Ken Kam</t>
  </si>
  <si>
    <t>kam@wellcocapital.com</t>
  </si>
  <si>
    <t>https://www.linkedin.com/in/kah-ken-kam-117b8915/</t>
  </si>
  <si>
    <t>CSD Ventures</t>
  </si>
  <si>
    <t>https://www.csdventure.com/</t>
  </si>
  <si>
    <r>
      <rPr>
        <rFont val="Poppins"/>
        <sz val="7.0"/>
      </rPr>
      <t>-[Asset Class - Funds - VC] &gt; Website &gt; "...we also invest with specialized</t>
    </r>
    <r>
      <rPr>
        <rFont val="Poppins"/>
        <b/>
        <sz val="7.0"/>
      </rPr>
      <t xml:space="preserve"> </t>
    </r>
    <r>
      <rPr>
        <rFont val="Poppins"/>
        <b/>
        <color rgb="FF1155CC"/>
        <sz val="7.0"/>
        <u/>
      </rPr>
      <t>funds</t>
    </r>
    <r>
      <rPr>
        <rFont val="Poppins"/>
        <sz val="7.0"/>
      </rPr>
      <t xml:space="preserve">. Depending on the opportunity and asset class, CSD </t>
    </r>
    <r>
      <rPr>
        <rFont val="Poppins"/>
        <b/>
        <sz val="7.0"/>
      </rPr>
      <t>Ventures</t>
    </r>
    <r>
      <rPr>
        <rFont val="Poppins"/>
        <sz val="7.0"/>
      </rPr>
      <t>..." 
-[Sector Investment Focus] &gt; Website &gt; "...</t>
    </r>
    <r>
      <rPr>
        <rFont val="Poppins"/>
        <b/>
        <color rgb="FF1155CC"/>
        <sz val="7.0"/>
        <u/>
      </rPr>
      <t>Technology</t>
    </r>
    <r>
      <rPr>
        <rFont val="Poppins"/>
        <sz val="7.0"/>
      </rPr>
      <t xml:space="preserve"> Education  Real Estate Health Care.."
-[Region Investment Focus] &gt; Website &gt; "...</t>
    </r>
    <r>
      <rPr>
        <rFont val="Poppins"/>
        <b/>
        <color rgb="FF1155CC"/>
        <sz val="7.0"/>
        <u/>
      </rPr>
      <t>Malaysia</t>
    </r>
    <r>
      <rPr>
        <rFont val="Poppins"/>
        <sz val="7.0"/>
      </rPr>
      <t xml:space="preserve">, </t>
    </r>
    <r>
      <rPr>
        <rFont val="Poppins"/>
        <b/>
        <sz val="7.0"/>
      </rPr>
      <t>Egypt</t>
    </r>
    <r>
      <rPr>
        <rFont val="Poppins"/>
        <sz val="7.0"/>
      </rPr>
      <t xml:space="preserve">, Kenya, </t>
    </r>
    <r>
      <rPr>
        <rFont val="Poppins"/>
        <b/>
        <sz val="7.0"/>
      </rPr>
      <t>Sri Lanka</t>
    </r>
    <r>
      <rPr>
        <rFont val="Poppins"/>
        <sz val="7.0"/>
      </rPr>
      <t xml:space="preserve">, </t>
    </r>
    <r>
      <rPr>
        <rFont val="Poppins"/>
        <b/>
        <sz val="7.0"/>
      </rPr>
      <t>India</t>
    </r>
    <r>
      <rPr>
        <rFont val="Poppins"/>
        <sz val="7.0"/>
      </rPr>
      <t xml:space="preserve">, </t>
    </r>
    <r>
      <rPr>
        <rFont val="Poppins"/>
        <b/>
        <sz val="7.0"/>
      </rPr>
      <t>Singapore</t>
    </r>
    <r>
      <rPr>
        <rFont val="Poppins"/>
        <sz val="7.0"/>
      </rPr>
      <t xml:space="preserve">, </t>
    </r>
    <r>
      <rPr>
        <rFont val="Poppins"/>
        <b/>
        <sz val="7.0"/>
      </rPr>
      <t>Indonesia</t>
    </r>
    <r>
      <rPr>
        <rFont val="Poppins"/>
        <sz val="7.0"/>
      </rPr>
      <t xml:space="preserve">, United Kingdom, Nigeria, </t>
    </r>
    <r>
      <rPr>
        <rFont val="Poppins"/>
        <b/>
        <sz val="7.0"/>
      </rPr>
      <t>Vietnam</t>
    </r>
    <r>
      <rPr>
        <rFont val="Poppins"/>
        <sz val="7.0"/>
      </rPr>
      <t xml:space="preserve">, </t>
    </r>
    <r>
      <rPr>
        <rFont val="Poppins"/>
        <b/>
        <sz val="7.0"/>
      </rPr>
      <t>Thailand</t>
    </r>
    <r>
      <rPr>
        <rFont val="Poppins"/>
        <sz val="7.0"/>
      </rPr>
      <t xml:space="preserve">..."
-[Maturity Focus] &gt; Data manager judgement &gt; They have not publicly disclosed their maturity focus but the rest of the criteria aligns with your IIP. </t>
    </r>
    <r>
      <rPr>
        <rFont val="Poppins"/>
        <b/>
        <sz val="7.0"/>
      </rPr>
      <t>#DemandCreation</t>
    </r>
    <r>
      <rPr>
        <rFont val="Poppins"/>
        <sz val="7.0"/>
      </rPr>
      <t>.</t>
    </r>
  </si>
  <si>
    <t>Sanjey Chandran</t>
  </si>
  <si>
    <t>Sanjey</t>
  </si>
  <si>
    <t>Chandran</t>
  </si>
  <si>
    <t>sanjey@csdventure.com</t>
  </si>
  <si>
    <t>https://www.linkedin.com/in/sanjeychandran/</t>
  </si>
  <si>
    <t>TWO Family Office</t>
  </si>
  <si>
    <t>https://www.twofo.org/</t>
  </si>
  <si>
    <r>
      <rPr>
        <rFont val="Poppins"/>
        <sz val="7.0"/>
      </rPr>
      <t xml:space="preserve">- [Asset Class = Funds - VC] &gt; Website &gt; "...TWO Family Office manages its global, diversified portfolio across a </t>
    </r>
    <r>
      <rPr>
        <rFont val="Poppins"/>
        <b/>
        <color rgb="FF1155CC"/>
        <sz val="7.0"/>
        <u/>
      </rPr>
      <t>broad range of asset</t>
    </r>
    <r>
      <rPr>
        <rFont val="Poppins"/>
        <sz val="7.0"/>
      </rPr>
      <t xml:space="preserve"> classes in public and private markets with a long-term investment horizon. We value deep and long-standing relationships, partnering with select external </t>
    </r>
    <r>
      <rPr>
        <rFont val="Poppins"/>
        <b/>
        <sz val="7.0"/>
      </rPr>
      <t>investment managers</t>
    </r>
    <r>
      <rPr>
        <rFont val="Poppins"/>
        <sz val="7.0"/>
      </rPr>
      <t xml:space="preserve"> as well as investing directly alongside high quality management teams, entrepreneurs, and other institutional investors..." </t>
    </r>
    <r>
      <rPr>
        <rFont val="Poppins"/>
        <b/>
        <sz val="7.0"/>
      </rPr>
      <t>#DemandCreation</t>
    </r>
    <r>
      <rPr>
        <rFont val="Poppins"/>
        <sz val="7.0"/>
      </rPr>
      <t xml:space="preserve">
- [Sector investment focus] &gt; Website &gt; "...We focus on strategic investments in the building sector including building materials, e-commerce, and renewable energy, leveraging cutting-edge technologies such as blockchain, </t>
    </r>
    <r>
      <rPr>
        <rFont val="Poppins"/>
        <b/>
        <color rgb="FF1155CC"/>
        <sz val="7.0"/>
        <u/>
      </rPr>
      <t>AI</t>
    </r>
    <r>
      <rPr>
        <rFont val="Poppins"/>
        <sz val="7.0"/>
      </rPr>
      <t xml:space="preserve">, Web3, and cybersecurity..."
- [Region investment focus] &gt; Portfolio &gt; Their investment are based in </t>
    </r>
    <r>
      <rPr>
        <rFont val="Poppins"/>
        <b/>
        <sz val="7.0"/>
      </rPr>
      <t>North America</t>
    </r>
    <r>
      <rPr>
        <rFont val="Poppins"/>
        <sz val="7.0"/>
      </rPr>
      <t xml:space="preserve"> and </t>
    </r>
    <r>
      <rPr>
        <rFont val="Poppins"/>
        <b/>
        <color rgb="FF1155CC"/>
        <sz val="7.0"/>
        <u/>
      </rPr>
      <t>Europe</t>
    </r>
    <r>
      <rPr>
        <rFont val="Poppins"/>
        <sz val="7.0"/>
      </rPr>
      <t xml:space="preserve">, ex: Day One Technology, Lumenaza.
- [Maturity Focus] &gt; Data manager judgement &gt; They have not publicly disclosed their maturity focus but the rest of the criteria aligns with your IIP. </t>
    </r>
    <r>
      <rPr>
        <rFont val="Poppins"/>
        <b/>
        <sz val="7.0"/>
      </rPr>
      <t>#DemandCreation</t>
    </r>
    <r>
      <rPr>
        <rFont val="Poppins"/>
        <sz val="7.0"/>
      </rPr>
      <t>.</t>
    </r>
  </si>
  <si>
    <t>does not invest in funds from website</t>
  </si>
  <si>
    <t>would try to replace.</t>
  </si>
  <si>
    <t>RIVA Investment</t>
  </si>
  <si>
    <t>https://rivainvest.sa</t>
  </si>
  <si>
    <r>
      <rPr>
        <rFont val="Poppins"/>
        <sz val="7.0"/>
      </rPr>
      <t xml:space="preserve">-[Asset class = Funds - VC] &gt; Website &gt; "...RIVA Investment, a dedicated long-term investor, focuses on building a solid foundation with broadly diversified exposure and </t>
    </r>
    <r>
      <rPr>
        <rFont val="Poppins"/>
        <b/>
        <color rgb="FF1155CC"/>
        <sz val="7.0"/>
        <u/>
      </rPr>
      <t>top-tier managers</t>
    </r>
    <r>
      <rPr>
        <rFont val="Poppins"/>
        <sz val="7.0"/>
      </rPr>
      <t xml:space="preserve">..." + Their investments confirm that they invest in </t>
    </r>
    <r>
      <rPr>
        <rFont val="Poppins"/>
        <b/>
        <color rgb="FF1155CC"/>
        <sz val="7.0"/>
        <u/>
      </rPr>
      <t>VC funds</t>
    </r>
    <r>
      <rPr>
        <rFont val="Poppins"/>
        <sz val="7.0"/>
      </rPr>
      <t xml:space="preserve">, ex: </t>
    </r>
    <r>
      <rPr>
        <rFont val="Poppins"/>
        <b/>
        <sz val="7.0"/>
      </rPr>
      <t>CRV, FIRSTMARK</t>
    </r>
    <r>
      <rPr>
        <rFont val="Poppins"/>
        <sz val="7.0"/>
      </rPr>
      <t xml:space="preserve">
-[Sector Investment Focus] &gt; Website &gt; Their investments focus on </t>
    </r>
    <r>
      <rPr>
        <rFont val="Poppins"/>
        <b/>
        <color rgb="FF1155CC"/>
        <sz val="7.0"/>
        <u/>
      </rPr>
      <t>AI</t>
    </r>
    <r>
      <rPr>
        <rFont val="Poppins"/>
        <sz val="7.0"/>
      </rPr>
      <t xml:space="preserve">, FinTech, and Blockchain, ex: </t>
    </r>
    <r>
      <rPr>
        <rFont val="Poppins"/>
        <b/>
        <sz val="7.0"/>
      </rPr>
      <t>CRV, FIRSTMARK</t>
    </r>
    <r>
      <rPr>
        <rFont val="Poppins"/>
        <sz val="7.0"/>
      </rPr>
      <t xml:space="preserve">
-[Region Investment Focus] &gt; Website &gt; "...RIVA's strategy revolves around accessing the vast potential of </t>
    </r>
    <r>
      <rPr>
        <rFont val="Poppins"/>
        <b/>
        <sz val="7.0"/>
      </rPr>
      <t xml:space="preserve">global </t>
    </r>
    <r>
      <rPr>
        <rFont val="Poppins"/>
        <sz val="7.0"/>
      </rPr>
      <t xml:space="preserve">markets. This deliberate focus on </t>
    </r>
    <r>
      <rPr>
        <rFont val="Poppins"/>
        <b/>
        <color rgb="FF1155CC"/>
        <sz val="7.0"/>
        <u/>
      </rPr>
      <t>Global investments</t>
    </r>
    <r>
      <rPr>
        <rFont val="Poppins"/>
        <sz val="7.0"/>
      </rPr>
      <t xml:space="preserve"> offers a compelling proposition, providing stakeholders with promising long-term return potential while mitigating exposure to market fluctuations.."
-[Maturity Focus] &gt; Data manager judgement &gt; They have not publicly disclosed their maturity focus but the rest of the criteria aligns with your IIP. </t>
    </r>
    <r>
      <rPr>
        <rFont val="Poppins"/>
        <b/>
        <sz val="7.0"/>
      </rPr>
      <t>#DemandCreation</t>
    </r>
    <r>
      <rPr>
        <rFont val="Poppins"/>
        <sz val="7.0"/>
      </rPr>
      <t>.</t>
    </r>
  </si>
  <si>
    <r>
      <rPr>
        <rFont val="Poppins"/>
        <sz val="7.0"/>
      </rPr>
      <t xml:space="preserve">Venture Capital is also a part of PE, Their portfolio is rich with PE and </t>
    </r>
    <r>
      <rPr>
        <rFont val="Poppins"/>
        <b/>
        <color rgb="FF1155CC"/>
        <sz val="7.0"/>
        <u/>
      </rPr>
      <t>VC investments</t>
    </r>
    <r>
      <rPr>
        <rFont val="Poppins"/>
        <sz val="7.0"/>
      </rPr>
      <t>:
CRV Venture Capital, FirstMark Venture Capital, etc.
Definitely worth a shot.</t>
    </r>
  </si>
  <si>
    <t>Deep Blue Ventures</t>
  </si>
  <si>
    <t>https://www.deepblueventures.co/</t>
  </si>
  <si>
    <r>
      <rPr>
        <rFont val="Poppins"/>
        <sz val="7.0"/>
      </rPr>
      <t xml:space="preserve">- [Asset class = Funds - VC] &gt; Website + Data manager judgement &gt; "...Companies and </t>
    </r>
    <r>
      <rPr>
        <rFont val="Poppins"/>
        <b/>
        <color rgb="FF1155CC"/>
        <sz val="7.0"/>
        <u/>
      </rPr>
      <t>funds</t>
    </r>
    <r>
      <rPr>
        <rFont val="Poppins"/>
        <sz val="7.0"/>
      </rPr>
      <t xml:space="preserve"> we have invested in across stages, sectors, and geographies..." + They have </t>
    </r>
    <r>
      <rPr>
        <rFont val="Poppins"/>
        <b/>
        <color rgb="FF1155CC"/>
        <sz val="7.0"/>
        <u/>
      </rPr>
      <t>VC fund</t>
    </r>
    <r>
      <rPr>
        <rFont val="Poppins"/>
        <sz val="7.0"/>
      </rPr>
      <t xml:space="preserve"> investments in their portfolio (</t>
    </r>
    <r>
      <rPr>
        <rFont val="Poppins"/>
        <b/>
        <sz val="7.0"/>
      </rPr>
      <t>Jungle Ventures, Sixth Sense Ventures, etc</t>
    </r>
    <r>
      <rPr>
        <rFont val="Poppins"/>
        <sz val="7.0"/>
      </rPr>
      <t xml:space="preserve">).
- [Sector investment focus] &gt; Data manager judgement &gt; Their portfolio includes investments in </t>
    </r>
    <r>
      <rPr>
        <rFont val="Poppins"/>
        <b/>
        <color rgb="FF1155CC"/>
        <sz val="7.0"/>
        <u/>
      </rPr>
      <t>AI</t>
    </r>
    <r>
      <rPr>
        <rFont val="Poppins"/>
        <sz val="7.0"/>
      </rPr>
      <t xml:space="preserve">, </t>
    </r>
    <r>
      <rPr>
        <rFont val="Poppins"/>
        <b/>
        <sz val="7.0"/>
      </rPr>
      <t>fintech</t>
    </r>
    <r>
      <rPr>
        <rFont val="Poppins"/>
        <sz val="7.0"/>
      </rPr>
      <t xml:space="preserve">, SaaS, </t>
    </r>
    <r>
      <rPr>
        <rFont val="Poppins"/>
        <b/>
        <sz val="7.0"/>
      </rPr>
      <t>HR tech</t>
    </r>
    <r>
      <rPr>
        <rFont val="Poppins"/>
        <sz val="7.0"/>
      </rPr>
      <t xml:space="preserve">, gaming, marketplaces, etc (Advantage Club, Awesomic, Leap Finance, etc).
- [Region investment focus] &gt; Website + Data manager judgement &gt; "...Backing founders from pre-seed through growth across multiple </t>
    </r>
    <r>
      <rPr>
        <rFont val="Poppins"/>
        <b/>
        <color rgb="FF1155CC"/>
        <sz val="7.0"/>
        <u/>
      </rPr>
      <t>geographies</t>
    </r>
    <r>
      <rPr>
        <rFont val="Poppins"/>
        <sz val="7.0"/>
      </rPr>
      <t xml:space="preserve"> and sectors..." + Their investments are based in </t>
    </r>
    <r>
      <rPr>
        <rFont val="Poppins"/>
        <b/>
        <sz val="7.0"/>
      </rPr>
      <t>India</t>
    </r>
    <r>
      <rPr>
        <rFont val="Poppins"/>
        <sz val="7.0"/>
      </rPr>
      <t xml:space="preserve">, the </t>
    </r>
    <r>
      <rPr>
        <rFont val="Poppins"/>
        <b/>
        <color rgb="FF1155CC"/>
        <sz val="7.0"/>
        <u/>
      </rPr>
      <t>United States</t>
    </r>
    <r>
      <rPr>
        <rFont val="Poppins"/>
        <sz val="7.0"/>
      </rPr>
      <t xml:space="preserve"> and Europe (Orange Health Labs, Monument Bank, Leap Finance, etc).
-[Maturity Focus] &gt; Data manager judgement &gt; They have not publicly disclosed their maturity focus but the rest of the criteria aligns with your IIP. </t>
    </r>
    <r>
      <rPr>
        <rFont val="Poppins"/>
        <b/>
        <sz val="7.0"/>
      </rPr>
      <t>#DemandCreation</t>
    </r>
    <r>
      <rPr>
        <rFont val="Poppins"/>
        <sz val="7.0"/>
      </rPr>
      <t>.</t>
    </r>
  </si>
  <si>
    <t>Director</t>
  </si>
  <si>
    <t>Abhishek K.</t>
  </si>
  <si>
    <t>Abhishek</t>
  </si>
  <si>
    <t>K.</t>
  </si>
  <si>
    <t>abhishekko@gmail.com</t>
  </si>
  <si>
    <t>https://www.linkedin.com/in/abhishekko/</t>
  </si>
  <si>
    <t>DM Partners</t>
  </si>
  <si>
    <t>https://www.dmpartners.net/family-office/</t>
  </si>
  <si>
    <r>
      <rPr>
        <rFont val="Poppins"/>
        <sz val="7.0"/>
      </rPr>
      <t xml:space="preserve">-[Asset Class = Fund VC] &gt; Website &gt; "...DMP invests across global markets and </t>
    </r>
    <r>
      <rPr>
        <rFont val="Poppins"/>
        <b/>
        <sz val="7.0"/>
      </rPr>
      <t>asset classes</t>
    </r>
    <r>
      <rPr>
        <rFont val="Poppins"/>
        <sz val="7.0"/>
      </rPr>
      <t xml:space="preserve"> with a wide range of strategies..." + "...private equity/</t>
    </r>
    <r>
      <rPr>
        <rFont val="Poppins"/>
        <b/>
        <sz val="7.0"/>
      </rPr>
      <t>venture capital</t>
    </r>
    <r>
      <rPr>
        <rFont val="Poppins"/>
        <sz val="7.0"/>
      </rPr>
      <t xml:space="preserve"> investment and international property management...." + Venture capital (direct + </t>
    </r>
    <r>
      <rPr>
        <rFont val="Poppins"/>
        <b/>
        <color rgb="FF1155CC"/>
        <sz val="7.0"/>
        <u/>
      </rPr>
      <t>3rd party</t>
    </r>
    <r>
      <rPr>
        <rFont val="Poppins"/>
        <sz val="7.0"/>
      </rPr>
      <t xml:space="preserve">)
-[Sector Investment Focus] &gt; Website &gt; "...DMP is active in early stage technology investments with a focus in </t>
    </r>
    <r>
      <rPr>
        <rFont val="Poppins"/>
        <b/>
        <color rgb="FF1155CC"/>
        <sz val="7.0"/>
        <u/>
      </rPr>
      <t>FinTech</t>
    </r>
    <r>
      <rPr>
        <rFont val="Poppins"/>
        <sz val="7.0"/>
      </rPr>
      <t xml:space="preserve"> and Blockchain...." +  Venture capital (direct + 3rd party) focusing on convergent themes of Social Media &amp; Mobile, AdTech, Big Data &amp; Computing, MedTech and </t>
    </r>
    <r>
      <rPr>
        <rFont val="Poppins"/>
        <b/>
        <color rgb="FF1155CC"/>
        <sz val="7.0"/>
        <u/>
      </rPr>
      <t>AI</t>
    </r>
    <r>
      <rPr>
        <rFont val="Poppins"/>
        <sz val="7.0"/>
      </rPr>
      <t xml:space="preserve">/Robotics.
-[Region Investment Focus] &gt; Website &gt; "...DMP </t>
    </r>
    <r>
      <rPr>
        <rFont val="Poppins"/>
        <b/>
        <color rgb="FF1155CC"/>
        <sz val="7.0"/>
        <u/>
      </rPr>
      <t>invests across global</t>
    </r>
    <r>
      <rPr>
        <rFont val="Poppins"/>
        <sz val="7.0"/>
      </rPr>
      <t xml:space="preserve"> markets and asset classes with a wide range of strategies...."
-[Maturity Focus] &gt; Data manager judgement &gt; They have not publicly disclosed their maturity focus but the rest of the criteria aligns with your IIP. </t>
    </r>
    <r>
      <rPr>
        <rFont val="Poppins"/>
        <b/>
        <sz val="7.0"/>
      </rPr>
      <t>#DemandCreation</t>
    </r>
    <r>
      <rPr>
        <rFont val="Poppins"/>
        <sz val="7.0"/>
      </rPr>
      <t>.</t>
    </r>
  </si>
  <si>
    <t>blockchain focus</t>
  </si>
  <si>
    <r>
      <rPr>
        <rFont val="Poppins"/>
        <sz val="7.0"/>
      </rPr>
      <t xml:space="preserve">They highlight many sectors and </t>
    </r>
    <r>
      <rPr>
        <rFont val="Poppins"/>
        <b/>
        <color rgb="FF1155CC"/>
        <sz val="7.0"/>
        <u/>
      </rPr>
      <t>AI/Robotics</t>
    </r>
    <r>
      <rPr>
        <rFont val="Poppins"/>
        <sz val="7.0"/>
      </rPr>
      <t xml:space="preserve"> is one of them.
I think this is a perfect fit.</t>
    </r>
  </si>
  <si>
    <t>Leonie Hill Capital</t>
  </si>
  <si>
    <t>https://leoniehillcapital.com/</t>
  </si>
  <si>
    <r>
      <rPr>
        <rFont val="Poppins"/>
        <sz val="7.0"/>
      </rPr>
      <t xml:space="preserve">- [Asset class = Funds - VC] &gt; Website + Private data provider &gt; "...Leonie Hill Capital teams up with Aerospace Innovation Catalyst Starburst to launch the first </t>
    </r>
    <r>
      <rPr>
        <rFont val="Poppins"/>
        <b/>
        <color rgb="FF1155CC"/>
        <sz val="7.0"/>
        <u/>
      </rPr>
      <t>global venture fund</t>
    </r>
    <r>
      <rPr>
        <rFont val="Poppins"/>
        <sz val="7.0"/>
      </rPr>
      <t xml:space="preserve"> dedicated to aviation startups..." + Private data provider confirms that they invest into </t>
    </r>
    <r>
      <rPr>
        <rFont val="Poppins"/>
        <b/>
        <color rgb="FF1155CC"/>
        <sz val="7.0"/>
        <u/>
      </rPr>
      <t xml:space="preserve">VC funds </t>
    </r>
    <r>
      <rPr>
        <rFont val="Poppins"/>
        <b/>
        <sz val="7.0"/>
      </rPr>
      <t>(Starburst Ventures)</t>
    </r>
    <r>
      <rPr>
        <rFont val="Poppins"/>
        <sz val="7.0"/>
      </rPr>
      <t xml:space="preserve">
- [Sector investment focus] &gt; Website &gt; "...We focus on breakthrough and </t>
    </r>
    <r>
      <rPr>
        <rFont val="Poppins"/>
        <b/>
        <color rgb="FF1155CC"/>
        <sz val="7.0"/>
        <u/>
      </rPr>
      <t>disruptive technologies</t>
    </r>
    <r>
      <rPr>
        <rFont val="Poppins"/>
        <sz val="7.0"/>
      </rPr>
      <t xml:space="preserve">.."
- [Region Investment Focus] &gt; Website &gt; "...Spearheaded by partners from </t>
    </r>
    <r>
      <rPr>
        <rFont val="Poppins"/>
        <b/>
        <color rgb="FF1155CC"/>
        <sz val="7.0"/>
        <u/>
      </rPr>
      <t>United States</t>
    </r>
    <r>
      <rPr>
        <rFont val="Poppins"/>
        <sz val="7.0"/>
      </rPr>
      <t xml:space="preserve">, </t>
    </r>
    <r>
      <rPr>
        <rFont val="Poppins"/>
        <b/>
        <sz val="7.0"/>
      </rPr>
      <t>Singapore</t>
    </r>
    <r>
      <rPr>
        <rFont val="Poppins"/>
        <sz val="7.0"/>
      </rPr>
      <t xml:space="preserve"> and Switzerland who have vast experience in technology, finance, impact management and business development..." + "...composed of a management team with more than 60 years of combined </t>
    </r>
    <r>
      <rPr>
        <rFont val="Poppins"/>
        <b/>
        <color rgb="FF1155CC"/>
        <sz val="7.0"/>
        <u/>
      </rPr>
      <t xml:space="preserve">international </t>
    </r>
    <r>
      <rPr>
        <rFont val="Poppins"/>
        <sz val="7.0"/>
      </rPr>
      <t xml:space="preserve">experience..."
-[Maturity Focus] &gt; Data manager judgement &gt; They have not publicly disclosed their maturity focus but the rest of the criteria aligns with your IIP. </t>
    </r>
    <r>
      <rPr>
        <rFont val="Poppins"/>
        <b/>
        <sz val="7.0"/>
      </rPr>
      <t>#DemandCreation</t>
    </r>
    <r>
      <rPr>
        <rFont val="Poppins"/>
        <sz val="7.0"/>
      </rPr>
      <t>.</t>
    </r>
  </si>
  <si>
    <t>website doesnt have information but lets try</t>
  </si>
  <si>
    <t>Arun Kant</t>
  </si>
  <si>
    <t>Arun</t>
  </si>
  <si>
    <t>Kant</t>
  </si>
  <si>
    <t>arun.kant@leoniehillcapital.com</t>
  </si>
  <si>
    <t>https://www.linkedin.com/in/arun-kant-11a1587/</t>
  </si>
  <si>
    <t>Cherry Tree</t>
  </si>
  <si>
    <t>https://www.cherrytree.vc/</t>
  </si>
  <si>
    <r>
      <rPr>
        <rFont val="Poppins"/>
        <sz val="7.0"/>
      </rPr>
      <t xml:space="preserve">- [Asset Class = Funds - VC] &gt; Website &gt; "...Cherry Tree invests in top tier </t>
    </r>
    <r>
      <rPr>
        <rFont val="Poppins"/>
        <b/>
        <color rgb="FF1155CC"/>
        <sz val="7.0"/>
        <u/>
      </rPr>
      <t xml:space="preserve">venture capital (VC) fund </t>
    </r>
    <r>
      <rPr>
        <rFont val="Poppins"/>
        <sz val="7.0"/>
      </rPr>
      <t xml:space="preserve">managers..."
- [Sector Investment Focus] &gt; Website &gt;  "...invested in over 140 </t>
    </r>
    <r>
      <rPr>
        <rFont val="Poppins"/>
        <b/>
        <color rgb="FF1155CC"/>
        <sz val="7.0"/>
        <u/>
      </rPr>
      <t xml:space="preserve">tech </t>
    </r>
    <r>
      <rPr>
        <rFont val="Poppins"/>
        <sz val="7.0"/>
      </rPr>
      <t xml:space="preserve">companies, adopting an </t>
    </r>
    <r>
      <rPr>
        <rFont val="Poppins"/>
        <b/>
        <sz val="7.0"/>
      </rPr>
      <t xml:space="preserve">agnostic sector </t>
    </r>
    <r>
      <rPr>
        <rFont val="Poppins"/>
        <sz val="7.0"/>
      </rPr>
      <t xml:space="preserve">approach (consumers, transportation, financial services)..." </t>
    </r>
    <r>
      <rPr>
        <rFont val="Poppins"/>
        <b/>
        <sz val="7.0"/>
      </rPr>
      <t>#DemandCreation.</t>
    </r>
    <r>
      <rPr>
        <rFont val="Poppins"/>
        <sz val="7.0"/>
      </rPr>
      <t xml:space="preserve">
- [Region Investment Focus] &gt; Website &gt; "...Cherry Tree invests in the U.S. and around the </t>
    </r>
    <r>
      <rPr>
        <rFont val="Poppins"/>
        <b/>
        <color rgb="FF1155CC"/>
        <sz val="7.0"/>
        <u/>
      </rPr>
      <t>globe</t>
    </r>
    <r>
      <rPr>
        <rFont val="Poppins"/>
        <sz val="7.0"/>
      </rPr>
      <t xml:space="preserve">,..."
-[Maturity Focus] &gt; Data manager judgement &gt; They have not publicly disclosed their maturity focus but the rest of the criteria aligns with your IIP. </t>
    </r>
    <r>
      <rPr>
        <rFont val="Poppins"/>
        <b/>
        <sz val="7.0"/>
      </rPr>
      <t>#DemandCreation</t>
    </r>
    <r>
      <rPr>
        <rFont val="Poppins"/>
        <sz val="7.0"/>
      </rPr>
      <t>.</t>
    </r>
  </si>
  <si>
    <t>Co-founder and managing partner</t>
  </si>
  <si>
    <t>Cyrille Costes</t>
  </si>
  <si>
    <t>Cyrille</t>
  </si>
  <si>
    <t>Costes</t>
  </si>
  <si>
    <t>cyrille@cherrytree.vc</t>
  </si>
  <si>
    <t>https://www.linkedin.com/in/cyrille-costes-8bb9093b/</t>
  </si>
  <si>
    <t>Mojo Partners</t>
  </si>
  <si>
    <t>https://www.linkedin.com/company/mojo-partners/?originalSubdomain=sg</t>
  </si>
  <si>
    <r>
      <rPr>
        <rFont val="Poppins"/>
        <sz val="7.0"/>
      </rPr>
      <t>-[Asset Class = Funds - VC] &gt; Linkedin &gt; Mojo Partners is part of a single family office that invests in companies and</t>
    </r>
    <r>
      <rPr>
        <rFont val="Poppins"/>
        <b/>
        <sz val="7.0"/>
      </rPr>
      <t xml:space="preserve"> </t>
    </r>
    <r>
      <rPr>
        <rFont val="Poppins"/>
        <b/>
        <color rgb="FF1155CC"/>
        <sz val="7.0"/>
        <u/>
      </rPr>
      <t xml:space="preserve">funds </t>
    </r>
    <r>
      <rPr>
        <rFont val="Poppins"/>
        <sz val="7.0"/>
      </rPr>
      <t xml:space="preserve">across a diverse range of sectors.
-[Sector Investment Focus] &gt; Linkedin &gt; We are stage and </t>
    </r>
    <r>
      <rPr>
        <rFont val="Poppins"/>
        <b/>
        <color rgb="FF1155CC"/>
        <sz val="7.0"/>
        <u/>
      </rPr>
      <t>sector agnostic</t>
    </r>
    <r>
      <rPr>
        <rFont val="Poppins"/>
        <b/>
        <sz val="7.0"/>
      </rPr>
      <t xml:space="preserve">  </t>
    </r>
    <r>
      <rPr>
        <rFont val="Poppins"/>
        <sz val="7.0"/>
      </rPr>
      <t xml:space="preserve">+  our recent investments include private investments in novel materials, healthcare, </t>
    </r>
    <r>
      <rPr>
        <rFont val="Poppins"/>
        <b/>
        <sz val="7.0"/>
      </rPr>
      <t>FinTech</t>
    </r>
    <r>
      <rPr>
        <rFont val="Poppins"/>
        <sz val="7.0"/>
      </rPr>
      <t xml:space="preserve"> and </t>
    </r>
    <r>
      <rPr>
        <rFont val="Poppins"/>
        <b/>
        <color rgb="FF1155CC"/>
        <sz val="7.0"/>
        <u/>
      </rPr>
      <t>funds investing in</t>
    </r>
    <r>
      <rPr>
        <rFont val="Poppins"/>
        <color rgb="FF1155CC"/>
        <sz val="7.0"/>
        <u/>
      </rPr>
      <t xml:space="preserve"> </t>
    </r>
    <r>
      <rPr>
        <rFont val="Poppins"/>
        <b/>
        <color rgb="FF1155CC"/>
        <sz val="7.0"/>
        <u/>
      </rPr>
      <t>deep technologies</t>
    </r>
    <r>
      <rPr>
        <rFont val="Poppins"/>
        <sz val="7.0"/>
      </rPr>
      <t xml:space="preserve">.
-[Region Investment Focus] &gt; Linkedin &gt; with operations </t>
    </r>
    <r>
      <rPr>
        <rFont val="Poppins"/>
        <b/>
        <color rgb="FF1155CC"/>
        <sz val="7.0"/>
        <u/>
      </rPr>
      <t>globally</t>
    </r>
    <r>
      <rPr>
        <rFont val="Poppins"/>
        <sz val="7.0"/>
      </rPr>
      <t xml:space="preserve">.
-[Maturity Focus] &gt; Data manager judgement &gt; They have not publicly disclosed their maturity focus but the rest of the criteria aligns with your IIP. </t>
    </r>
    <r>
      <rPr>
        <rFont val="Poppins"/>
        <b/>
        <sz val="7.0"/>
      </rPr>
      <t>#DemandCreation</t>
    </r>
    <r>
      <rPr>
        <rFont val="Poppins"/>
        <sz val="7.0"/>
      </rPr>
      <t>.</t>
    </r>
  </si>
  <si>
    <t xml:space="preserve">Cheif Investment Officer </t>
  </si>
  <si>
    <t>Damien Lim</t>
  </si>
  <si>
    <t xml:space="preserve">Damien </t>
  </si>
  <si>
    <t>Lim</t>
  </si>
  <si>
    <t>biz@mojo.partners</t>
  </si>
  <si>
    <t>https://www.linkedin.com/in/damien-lim-33a64112/?originalSubdomain=sg</t>
  </si>
  <si>
    <t xml:space="preserve"> Highland Family Office </t>
  </si>
  <si>
    <t>https://www.highlandsfo.com/about-1</t>
  </si>
  <si>
    <r>
      <rPr>
        <rFont val="Poppins"/>
        <sz val="7.0"/>
      </rPr>
      <t xml:space="preserve">- [Asset Class = Funds - VC] &gt; Website &gt; "...as well as direct investments in hedge funds, </t>
    </r>
    <r>
      <rPr>
        <rFont val="Poppins"/>
        <b/>
        <color rgb="FF1155CC"/>
        <sz val="7.0"/>
        <u/>
      </rPr>
      <t>venture funds</t>
    </r>
    <r>
      <rPr>
        <rFont val="Poppins"/>
        <sz val="7.0"/>
      </rPr>
      <t xml:space="preserve">, and private equity..." 
- [Sector Investment Focus] &gt; Website &gt; "...Highland Family Office engages in strategic investments in individual </t>
    </r>
    <r>
      <rPr>
        <rFont val="Poppins"/>
        <b/>
        <color rgb="FF1155CC"/>
        <sz val="7.0"/>
        <u/>
      </rPr>
      <t>tech start-ups</t>
    </r>
    <r>
      <rPr>
        <rFont val="Poppins"/>
        <sz val="7.0"/>
      </rPr>
      <t xml:space="preserve">..."
- [Region Investment Focus] &gt; Website &gt; "...We seek </t>
    </r>
    <r>
      <rPr>
        <rFont val="Poppins"/>
        <b/>
        <color rgb="FF1155CC"/>
        <sz val="7.0"/>
        <u/>
      </rPr>
      <t>investment opportunities globally</t>
    </r>
    <r>
      <rPr>
        <rFont val="Poppins"/>
        <sz val="7.0"/>
      </rPr>
      <t xml:space="preserve"> across all asset classes based on careful investment objectives and fiduciary duties. .."
- [Maturity Focus] &gt; Data manager judgement &gt; They have not publicly disclosed their maturity focus but the rest of the criteria aligns with your IIP. </t>
    </r>
    <r>
      <rPr>
        <rFont val="Poppins"/>
        <b/>
        <sz val="7.0"/>
      </rPr>
      <t>#DemandCreation</t>
    </r>
    <r>
      <rPr>
        <rFont val="Poppins"/>
        <sz val="7.0"/>
      </rPr>
      <t>.</t>
    </r>
  </si>
  <si>
    <t>not a fit, see wording on wesbite: Highland Family Office engages in strategic investments in individual tech start-ups, as well as participating in middle to late-stage financing or indirect investments through our partners</t>
  </si>
  <si>
    <r>
      <rPr>
        <rFont val="Poppins"/>
        <sz val="7.0"/>
      </rPr>
      <t xml:space="preserve">Additional proof from their website to further solidify this pick:
"...investments in hedge funds, </t>
    </r>
    <r>
      <rPr>
        <rFont val="Poppins"/>
        <b/>
        <color rgb="FF1155CC"/>
        <sz val="7.0"/>
        <u/>
      </rPr>
      <t>venture funds</t>
    </r>
    <r>
      <rPr>
        <rFont val="Poppins"/>
        <sz val="7.0"/>
      </rPr>
      <t>, and private equity..."</t>
    </r>
  </si>
  <si>
    <t>G. K. Goh Holdings</t>
  </si>
  <si>
    <t>https://www.gkgoh.com/</t>
  </si>
  <si>
    <r>
      <rPr>
        <rFont val="Poppins"/>
        <sz val="7.0"/>
      </rPr>
      <t>- [Asset Class = Funds - VC] &gt; Website &gt; "...we also invest in listed equities, public market</t>
    </r>
    <r>
      <rPr>
        <rFont val="Poppins"/>
        <b/>
        <sz val="7.0"/>
      </rPr>
      <t xml:space="preserve"> </t>
    </r>
    <r>
      <rPr>
        <rFont val="Poppins"/>
        <sz val="7.0"/>
      </rPr>
      <t>funds,</t>
    </r>
    <r>
      <rPr>
        <rFont val="Poppins"/>
        <b/>
        <sz val="7.0"/>
      </rPr>
      <t xml:space="preserve"> </t>
    </r>
    <r>
      <rPr>
        <rFont val="Poppins"/>
        <b/>
        <color rgb="FF1155CC"/>
        <sz val="7.0"/>
        <u/>
      </rPr>
      <t>venture capital</t>
    </r>
    <r>
      <rPr>
        <rFont val="Poppins"/>
        <b/>
        <sz val="7.0"/>
      </rPr>
      <t xml:space="preserve"> </t>
    </r>
    <r>
      <rPr>
        <rFont val="Poppins"/>
        <sz val="7.0"/>
      </rPr>
      <t xml:space="preserve">and private equity..." + On their website they have mention </t>
    </r>
    <r>
      <rPr>
        <rFont val="Poppins"/>
        <b/>
        <color rgb="FF1155CC"/>
        <sz val="7.0"/>
        <u/>
      </rPr>
      <t>vc funds</t>
    </r>
    <r>
      <rPr>
        <rFont val="Poppins"/>
        <sz val="7.0"/>
      </rPr>
      <t xml:space="preserve">, ex: </t>
    </r>
    <r>
      <rPr>
        <rFont val="Poppins"/>
        <b/>
        <sz val="7.0"/>
      </rPr>
      <t>ONE Capital</t>
    </r>
    <r>
      <rPr>
        <rFont val="Poppins"/>
        <sz val="7.0"/>
      </rPr>
      <t xml:space="preserve">.
- [Sector Investment Focus] &gt; Website &gt; "...We have a particular interest in science-based early-stage ventures, including </t>
    </r>
    <r>
      <rPr>
        <rFont val="Poppins"/>
        <b/>
        <color rgb="FF1155CC"/>
        <sz val="7.0"/>
        <u/>
      </rPr>
      <t>deep tech</t>
    </r>
    <r>
      <rPr>
        <rFont val="Poppins"/>
        <sz val="7.0"/>
      </rPr>
      <t>..."
- [Region Investment Focus] &gt; Website &gt; "...G. K. Goh Group is based in Singapore and invests</t>
    </r>
    <r>
      <rPr>
        <rFont val="Poppins"/>
        <b/>
        <sz val="7.0"/>
      </rPr>
      <t xml:space="preserve"> </t>
    </r>
    <r>
      <rPr>
        <rFont val="Poppins"/>
        <b/>
        <color rgb="FF1155CC"/>
        <sz val="7.0"/>
        <u/>
      </rPr>
      <t>internationally</t>
    </r>
    <r>
      <rPr>
        <rFont val="Poppins"/>
        <sz val="7.0"/>
      </rPr>
      <t xml:space="preserve">...."
- [Maturity Focus] &gt; Data manager judgement &gt; Private data provider confirms their investment in </t>
    </r>
    <r>
      <rPr>
        <rFont val="Poppins"/>
        <b/>
        <color rgb="FF1155CC"/>
        <sz val="7.0"/>
        <u/>
      </rPr>
      <t>emerging managers</t>
    </r>
    <r>
      <rPr>
        <rFont val="Poppins"/>
        <sz val="7.0"/>
      </rPr>
      <t xml:space="preserve"> (Seraphim Space Ventures II).</t>
    </r>
  </si>
  <si>
    <t>Vice President, Investment</t>
  </si>
  <si>
    <t>Choon Hiong Tan</t>
  </si>
  <si>
    <t>Choon</t>
  </si>
  <si>
    <t>Hiong Tan</t>
  </si>
  <si>
    <t>choonhiong2002@yahoo.com.sg</t>
  </si>
  <si>
    <t>https://www.linkedin.com/in/choon-hiong-tan-61491320/?originalSubdomain=sg</t>
  </si>
  <si>
    <t>Flexstone Partners</t>
  </si>
  <si>
    <t>https://www.flexstonepartners.com/</t>
  </si>
  <si>
    <r>
      <rPr>
        <rFont val="Poppins"/>
        <sz val="7.0"/>
      </rPr>
      <t xml:space="preserve">- [Asset Class = Funds VC] &gt; Website &gt; "...Since 2005, we have </t>
    </r>
    <r>
      <rPr>
        <rFont val="Poppins"/>
        <b/>
        <sz val="7.0"/>
      </rPr>
      <t xml:space="preserve">invested in several hundred </t>
    </r>
    <r>
      <rPr>
        <rFont val="Poppins"/>
        <b/>
        <color rgb="FF1155CC"/>
        <sz val="7.0"/>
        <u/>
      </rPr>
      <t>funds</t>
    </r>
    <r>
      <rPr>
        <rFont val="Poppins"/>
        <sz val="7.0"/>
      </rPr>
      <t xml:space="preserve">, and developed close relationships with top private markets </t>
    </r>
    <r>
      <rPr>
        <rFont val="Poppins"/>
        <b/>
        <sz val="7.0"/>
      </rPr>
      <t>managers</t>
    </r>
    <r>
      <rPr>
        <rFont val="Poppins"/>
        <sz val="7.0"/>
      </rPr>
      <t xml:space="preserve"> worldwide...."
- [Region Investment Focus] &gt; Website &gt; "...Primary, secondary and co-investment funds in the </t>
    </r>
    <r>
      <rPr>
        <rFont val="Poppins"/>
        <b/>
        <sz val="7.0"/>
      </rPr>
      <t>US</t>
    </r>
    <r>
      <rPr>
        <rFont val="Poppins"/>
        <sz val="7.0"/>
      </rPr>
      <t xml:space="preserve">, Europe, and </t>
    </r>
    <r>
      <rPr>
        <rFont val="Poppins"/>
        <b/>
        <color rgb="FF1155CC"/>
        <sz val="7.0"/>
        <u/>
      </rPr>
      <t>Asia</t>
    </r>
    <r>
      <rPr>
        <rFont val="Poppins"/>
        <sz val="7.0"/>
      </rPr>
      <t xml:space="preserve"> offer various and efficient ways to get exposure to the global economy..."
- [Sector Investment Focus] &gt; Website &gt; "... Both compartments seek to have a high level of </t>
    </r>
    <r>
      <rPr>
        <rFont val="Poppins"/>
        <b/>
        <color rgb="FF1155CC"/>
        <sz val="7.0"/>
        <u/>
      </rPr>
      <t>diversification across sectors</t>
    </r>
    <r>
      <rPr>
        <rFont val="Poppins"/>
        <sz val="7.0"/>
      </rPr>
      <t xml:space="preserve"> and General Partners. ..."
- [Maturity Focus] &gt; Data manager judgement &gt; They have not publicly disclosed their maturity focus but the rest of the criteria aligns with your IIP. </t>
    </r>
    <r>
      <rPr>
        <rFont val="Poppins"/>
        <b/>
        <sz val="7.0"/>
      </rPr>
      <t>#DemandCreation</t>
    </r>
    <r>
      <rPr>
        <rFont val="Poppins"/>
        <sz val="7.0"/>
      </rPr>
      <t>.</t>
    </r>
  </si>
  <si>
    <t>does not do emerging fund managers</t>
  </si>
  <si>
    <t>They haven't disclosed their maturity focus but the rest of the criteria aligns with your IIP.
Might be worth a try.</t>
  </si>
  <si>
    <t>Bhansali Equities</t>
  </si>
  <si>
    <t>https://bhansalisfo.com/</t>
  </si>
  <si>
    <r>
      <rPr>
        <rFont val="Poppins"/>
        <sz val="7.0"/>
      </rPr>
      <t xml:space="preserve">- [Asset Class = Fund VC] &gt; Website &gt; "...The Group’s leadership has extensive experience across </t>
    </r>
    <r>
      <rPr>
        <rFont val="Poppins"/>
        <b/>
        <color rgb="FF1155CC"/>
        <sz val="7.0"/>
        <u/>
      </rPr>
      <t>Venture Capital</t>
    </r>
    <r>
      <rPr>
        <rFont val="Poppins"/>
        <sz val="7.0"/>
      </rPr>
      <t xml:space="preserve">..." + "... Investments are made into equity both directly and as </t>
    </r>
    <r>
      <rPr>
        <rFont val="Poppins"/>
        <b/>
        <color rgb="FF1155CC"/>
        <sz val="7.0"/>
        <u/>
      </rPr>
      <t>LP’s</t>
    </r>
    <r>
      <rPr>
        <rFont val="Poppins"/>
        <sz val="7.0"/>
      </rPr>
      <t xml:space="preserve">..."
- [Sector Investment Focus] &gt; Portfolio &gt; They mention on their portfolio that they focus on Fintech and </t>
    </r>
    <r>
      <rPr>
        <rFont val="Poppins"/>
        <b/>
        <color rgb="FF1155CC"/>
        <sz val="7.0"/>
        <u/>
      </rPr>
      <t>DeepTech</t>
    </r>
    <r>
      <rPr>
        <rFont val="Poppins"/>
        <sz val="7.0"/>
      </rPr>
      <t>.</t>
    </r>
    <r>
      <rPr>
        <rFont val="Poppins"/>
        <b/>
        <color rgb="FF1155CC"/>
        <sz val="7.0"/>
        <u/>
      </rPr>
      <t xml:space="preserve">
</t>
    </r>
    <r>
      <rPr>
        <rFont val="Poppins"/>
        <sz val="7.0"/>
      </rPr>
      <t xml:space="preserve">- [Region Investment Focus] &gt; Data manager judgement &gt; They have listed investments across </t>
    </r>
    <r>
      <rPr>
        <rFont val="Poppins"/>
        <b/>
        <color rgb="FF1155CC"/>
        <sz val="7.0"/>
        <u/>
      </rPr>
      <t>Americas</t>
    </r>
    <r>
      <rPr>
        <rFont val="Poppins"/>
        <sz val="7.0"/>
      </rPr>
      <t xml:space="preserve">, </t>
    </r>
    <r>
      <rPr>
        <rFont val="Poppins"/>
        <b/>
        <sz val="7.0"/>
      </rPr>
      <t>Asia</t>
    </r>
    <r>
      <rPr>
        <rFont val="Poppins"/>
        <sz val="7.0"/>
      </rPr>
      <t xml:space="preserve">, and EMEA.
- [Maturity Focus] &gt; Data manager judgement &gt; They have not publicly disclosed their maturity focus but the rest of the criteria aligns with your IIP. </t>
    </r>
    <r>
      <rPr>
        <rFont val="Poppins"/>
        <b/>
        <sz val="7.0"/>
      </rPr>
      <t>#DemandCreation</t>
    </r>
    <r>
      <rPr>
        <rFont val="Poppins"/>
        <sz val="7.0"/>
      </rPr>
      <t>.</t>
    </r>
  </si>
  <si>
    <t>Rishikumar Bhansali</t>
  </si>
  <si>
    <t>Rishikumar</t>
  </si>
  <si>
    <t>Bhansali</t>
  </si>
  <si>
    <t>rishikumar@bhansalisfo.com</t>
  </si>
  <si>
    <t>https://www.linkedin.com/in/rishikumar-bhansali-b7446927/</t>
  </si>
  <si>
    <t>76Columbus Family Office</t>
  </si>
  <si>
    <t>https://76columbus.com/investment</t>
  </si>
  <si>
    <r>
      <rPr>
        <rFont val="Poppins"/>
        <sz val="7.0"/>
      </rPr>
      <t xml:space="preserve">- [Asset Class = Funds - VC] &gt; Website + Linkedin &gt; "...We support early to growth-stage </t>
    </r>
    <r>
      <rPr>
        <rFont val="Poppins"/>
        <b/>
        <sz val="7.0"/>
      </rPr>
      <t>ventures</t>
    </r>
    <r>
      <rPr>
        <rFont val="Poppins"/>
        <sz val="7.0"/>
      </rPr>
      <t xml:space="preserve">, as well as </t>
    </r>
    <r>
      <rPr>
        <rFont val="Poppins"/>
        <b/>
        <color rgb="FF1155CC"/>
        <sz val="7.0"/>
        <u/>
      </rPr>
      <t>funds</t>
    </r>
    <r>
      <rPr>
        <rFont val="Poppins"/>
        <sz val="7.0"/>
      </rPr>
      <t xml:space="preserve"> and structures aligned with our strategic interests...." +  We </t>
    </r>
    <r>
      <rPr>
        <rFont val="Poppins"/>
        <b/>
        <sz val="7.0"/>
      </rPr>
      <t>invest</t>
    </r>
    <r>
      <rPr>
        <rFont val="Poppins"/>
        <sz val="7.0"/>
      </rPr>
      <t xml:space="preserve"> globally in alternative assets, including </t>
    </r>
    <r>
      <rPr>
        <rFont val="Poppins"/>
        <b/>
        <color rgb="FF1155CC"/>
        <sz val="7.0"/>
        <u/>
      </rPr>
      <t>venture funds</t>
    </r>
    <r>
      <rPr>
        <rFont val="Poppins"/>
        <sz val="7.0"/>
      </rPr>
      <t xml:space="preserve">, hedge funds, FoF, Real Estate. 
- [Sector Investment Focus] &gt; Website  &gt; "...we are active in areas such as </t>
    </r>
    <r>
      <rPr>
        <rFont val="Poppins"/>
        <b/>
        <color rgb="FF1155CC"/>
        <sz val="7.0"/>
        <u/>
      </rPr>
      <t>Artificial Intelligence</t>
    </r>
    <r>
      <rPr>
        <rFont val="Poppins"/>
        <sz val="7.0"/>
      </rPr>
      <t xml:space="preserve">, Digital Infrastructure, and </t>
    </r>
    <r>
      <rPr>
        <rFont val="Poppins"/>
        <b/>
        <sz val="7.0"/>
      </rPr>
      <t>Financial Innovation</t>
    </r>
    <r>
      <rPr>
        <rFont val="Poppins"/>
        <sz val="7.0"/>
      </rPr>
      <t xml:space="preserve">..."
- [Region Investment Focus] &gt; Website &gt; "...We invest in alternative assets, forge strategic partnerships, and drive a next-generation leadership academy across the </t>
    </r>
    <r>
      <rPr>
        <rFont val="Poppins"/>
        <b/>
        <sz val="7.0"/>
      </rPr>
      <t xml:space="preserve">US, </t>
    </r>
    <r>
      <rPr>
        <rFont val="Poppins"/>
        <sz val="7.0"/>
      </rPr>
      <t>Europe</t>
    </r>
    <r>
      <rPr>
        <rFont val="Poppins"/>
        <b/>
        <sz val="7.0"/>
      </rPr>
      <t>, Asia</t>
    </r>
    <r>
      <rPr>
        <rFont val="Poppins"/>
        <sz val="7.0"/>
      </rPr>
      <t xml:space="preserve">, and the </t>
    </r>
    <r>
      <rPr>
        <rFont val="Poppins"/>
        <b/>
        <color rgb="FF1155CC"/>
        <sz val="7.0"/>
        <u/>
      </rPr>
      <t>Middle East</t>
    </r>
    <r>
      <rPr>
        <rFont val="Poppins"/>
        <sz val="7.0"/>
      </rPr>
      <t xml:space="preserve">..."
- [Maturity Focus] &gt; Data manager judgement &gt; They have not publicly disclosed their maturity focus but the rest of the criteria aligns with your IIP. </t>
    </r>
    <r>
      <rPr>
        <rFont val="Poppins"/>
        <b/>
        <sz val="7.0"/>
      </rPr>
      <t>#DemandCreation</t>
    </r>
    <r>
      <rPr>
        <rFont val="Poppins"/>
        <sz val="7.0"/>
      </rPr>
      <t>.</t>
    </r>
  </si>
  <si>
    <t>Lixia Zhu</t>
  </si>
  <si>
    <t>Lixia</t>
  </si>
  <si>
    <t>lixia@76columbus.com</t>
  </si>
  <si>
    <t>https://www.linkedin.com/in/lixiazhu/</t>
  </si>
  <si>
    <t>GSB Global</t>
  </si>
  <si>
    <t>https://gsbglobal.com/</t>
  </si>
  <si>
    <r>
      <rPr>
        <rFont val="Poppins"/>
        <sz val="7.0"/>
      </rPr>
      <t xml:space="preserve">- [Asset Class = Funds - VC] &gt; Website + Private data provider &gt; "...Private Market Investments Private Market Investments </t>
    </r>
    <r>
      <rPr>
        <rFont val="Poppins"/>
        <b/>
        <color rgb="FF1155CC"/>
        <sz val="7.0"/>
        <u/>
      </rPr>
      <t xml:space="preserve">VC </t>
    </r>
    <r>
      <rPr>
        <rFont val="Poppins"/>
        <sz val="7.0"/>
      </rPr>
      <t xml:space="preserve">&amp; growth-stage opportunities..." + The firm offers a range of alternative investment opportunities tailored to different risk profiles, including </t>
    </r>
    <r>
      <rPr>
        <rFont val="Poppins"/>
        <b/>
        <color rgb="FF1155CC"/>
        <sz val="7.0"/>
        <u/>
      </rPr>
      <t>VC funds</t>
    </r>
    <r>
      <rPr>
        <rFont val="Poppins"/>
        <sz val="7.0"/>
      </rPr>
      <t xml:space="preserve">, co-investment vehicles, and access to late-stage IPO opportunities.
- [Region Investment Focus] &gt; Data Manager Judgement &gt; investments will be between $500k-3mn in companies across </t>
    </r>
    <r>
      <rPr>
        <rFont val="Poppins"/>
        <b/>
        <color rgb="FF1155CC"/>
        <sz val="7.0"/>
        <u/>
      </rPr>
      <t>EMEA</t>
    </r>
    <r>
      <rPr>
        <rFont val="Poppins"/>
        <sz val="7.0"/>
      </rPr>
      <t xml:space="preserve">
- [Sector investment Focus] &gt; Data Manager Judgement &gt; The core focus will be on opportunities that are highly disruptive to their respective verticals and will include sectors such as:, • </t>
    </r>
    <r>
      <rPr>
        <rFont val="Poppins"/>
        <b/>
        <color rgb="FF1155CC"/>
        <sz val="7.0"/>
        <u/>
      </rPr>
      <t>AI &amp; data</t>
    </r>
    <r>
      <rPr>
        <rFont val="Poppins"/>
        <sz val="7.0"/>
      </rPr>
      <t xml:space="preserve">, • Climate Tech, • </t>
    </r>
    <r>
      <rPr>
        <rFont val="Poppins"/>
        <b/>
        <sz val="7.0"/>
      </rPr>
      <t>FinTech</t>
    </r>
    <r>
      <rPr>
        <rFont val="Poppins"/>
        <sz val="7.0"/>
      </rPr>
      <t xml:space="preserve">, • Food &amp; Agriculture, • HealthTech, • Gaming &amp; Commerce
- [Maturity Focus] &gt; Data manager judgement &gt; They have not publicly disclosed their maturity focus but the rest of the criteria aligns with your IIP. </t>
    </r>
    <r>
      <rPr>
        <rFont val="Poppins"/>
        <b/>
        <sz val="7.0"/>
      </rPr>
      <t>#DemandCreation</t>
    </r>
    <r>
      <rPr>
        <rFont val="Poppins"/>
        <sz val="7.0"/>
      </rPr>
      <t>.</t>
    </r>
  </si>
  <si>
    <t>Private investments, directly or via a syndicated SPV structure
Co-investments, alongside a reputable lead investor
Secondaries – reallocation of existing private company shares and access to high demand, hard-to-access trophy assets</t>
  </si>
  <si>
    <t>Eudaimonia Capital</t>
  </si>
  <si>
    <t>https://www.eudaimoniacapital.com/</t>
  </si>
  <si>
    <r>
      <rPr>
        <rFont val="Poppins"/>
        <sz val="7.0"/>
      </rPr>
      <t xml:space="preserve">- [Asset Class = Funds - VC] &gt; Portfolio &gt; Their portfolio confirms that they invest in </t>
    </r>
    <r>
      <rPr>
        <rFont val="Poppins"/>
        <b/>
        <color rgb="FF1155CC"/>
        <sz val="7.0"/>
        <u/>
      </rPr>
      <t>VC funds</t>
    </r>
    <r>
      <rPr>
        <rFont val="Poppins"/>
        <sz val="7.0"/>
      </rPr>
      <t xml:space="preserve">, ex: </t>
    </r>
    <r>
      <rPr>
        <rFont val="Poppins"/>
        <b/>
        <sz val="7.0"/>
      </rPr>
      <t>Dream Machine, Wefunder</t>
    </r>
    <r>
      <rPr>
        <rFont val="Poppins"/>
        <sz val="7.0"/>
      </rPr>
      <t xml:space="preserve">. 
- [Region Investment Focus] &gt; Portfolio &gt; Their portfolio confirms that their region focus includes the </t>
    </r>
    <r>
      <rPr>
        <rFont val="Poppins"/>
        <b/>
        <color rgb="FF1155CC"/>
        <sz val="7.0"/>
        <u/>
      </rPr>
      <t>United States</t>
    </r>
    <r>
      <rPr>
        <rFont val="Poppins"/>
        <sz val="7.0"/>
      </rPr>
      <t xml:space="preserve"> (Dream Machine, Wefunder, etc).
- [Sector Investment Focus] &gt; Portfolio &gt; Their investment focus on </t>
    </r>
    <r>
      <rPr>
        <rFont val="Poppins"/>
        <b/>
        <color rgb="FF1155CC"/>
        <sz val="7.0"/>
        <u/>
      </rPr>
      <t>AI</t>
    </r>
    <r>
      <rPr>
        <rFont val="Poppins"/>
        <sz val="7.0"/>
      </rPr>
      <t>, SaaS,</t>
    </r>
    <r>
      <rPr>
        <rFont val="Poppins"/>
        <b/>
        <sz val="7.0"/>
      </rPr>
      <t xml:space="preserve"> </t>
    </r>
    <r>
      <rPr>
        <rFont val="Poppins"/>
        <sz val="7.0"/>
      </rPr>
      <t xml:space="preserve">ex: </t>
    </r>
    <r>
      <rPr>
        <rFont val="Poppins"/>
        <b/>
        <sz val="7.0"/>
      </rPr>
      <t xml:space="preserve">Niles, Ayraa, Dream Machine, etc.
</t>
    </r>
    <r>
      <rPr>
        <rFont val="Poppins"/>
        <sz val="7.0"/>
      </rPr>
      <t xml:space="preserve">- [Maturity Focus] &gt; Data manager judgement &gt; Their portfolio confirms their investments in </t>
    </r>
    <r>
      <rPr>
        <rFont val="Poppins"/>
        <b/>
        <color rgb="FF1155CC"/>
        <sz val="7.0"/>
        <u/>
      </rPr>
      <t>emerging managers</t>
    </r>
    <r>
      <rPr>
        <rFont val="Poppins"/>
        <sz val="7.0"/>
      </rPr>
      <t xml:space="preserve"> (Wefunder).</t>
    </r>
  </si>
  <si>
    <t>Chris Evdaimon</t>
  </si>
  <si>
    <t>Evdaimon</t>
  </si>
  <si>
    <t>cevdemon@gmail.com</t>
  </si>
  <si>
    <t>https://www.linkedin.com/in/evdemon/</t>
  </si>
  <si>
    <t>VDL Ventures</t>
  </si>
  <si>
    <t>https://www.linkedin.com/company/vdl-ventures/</t>
  </si>
  <si>
    <r>
      <rPr>
        <rFont val="Poppins"/>
        <sz val="7.0"/>
      </rPr>
      <t xml:space="preserve">- [Asset Class = Funds - VC] &gt; Linkedin &gt; VDL Ventures is a family office that invests globally in private equity, startups, </t>
    </r>
    <r>
      <rPr>
        <rFont val="Poppins"/>
        <b/>
        <color rgb="FF1155CC"/>
        <sz val="7.0"/>
        <u/>
      </rPr>
      <t>venture capital funds</t>
    </r>
    <r>
      <rPr>
        <rFont val="Poppins"/>
        <sz val="7.0"/>
      </rPr>
      <t xml:space="preserve"> and real estate.
- [Sector investment focus] &gt; Linkedin &gt; Their investments focus on </t>
    </r>
    <r>
      <rPr>
        <rFont val="Poppins"/>
        <b/>
        <color rgb="FF1155CC"/>
        <sz val="7.0"/>
        <u/>
      </rPr>
      <t>AI</t>
    </r>
    <r>
      <rPr>
        <rFont val="Poppins"/>
        <sz val="7.0"/>
      </rPr>
      <t xml:space="preserve">, ex: </t>
    </r>
    <r>
      <rPr>
        <rFont val="Poppins"/>
        <b/>
        <sz val="7.0"/>
      </rPr>
      <t>Loyal VC, Moonfare.</t>
    </r>
    <r>
      <rPr>
        <rFont val="Poppins"/>
        <sz val="7.0"/>
      </rPr>
      <t xml:space="preserve">
- [Region investment focus] &gt; Linkedin &gt; VDL Ventures is a family office that invests </t>
    </r>
    <r>
      <rPr>
        <rFont val="Poppins"/>
        <b/>
        <color rgb="FF1155CC"/>
        <sz val="7.0"/>
        <u/>
      </rPr>
      <t xml:space="preserve">globally
</t>
    </r>
    <r>
      <rPr>
        <rFont val="Poppins"/>
        <sz val="7.0"/>
      </rPr>
      <t xml:space="preserve">- [Maturity Focus] &gt; Data manager judgement &gt; They have not publicly disclosed their maturity focus but the rest of the criteria aligns with your IIP. </t>
    </r>
    <r>
      <rPr>
        <rFont val="Poppins"/>
        <b/>
        <sz val="7.0"/>
      </rPr>
      <t>#DemandCreation</t>
    </r>
    <r>
      <rPr>
        <rFont val="Poppins"/>
        <sz val="7.0"/>
      </rPr>
      <t>.</t>
    </r>
  </si>
  <si>
    <t>early stage venture focus not fund focus</t>
  </si>
  <si>
    <r>
      <rPr>
        <rFont val="Poppins"/>
        <sz val="7.0"/>
      </rPr>
      <t xml:space="preserve">private equity, startups, </t>
    </r>
    <r>
      <rPr>
        <rFont val="Poppins"/>
        <b/>
        <color rgb="FF1155CC"/>
        <sz val="7.0"/>
        <u/>
      </rPr>
      <t>venture capital funds</t>
    </r>
    <r>
      <rPr>
        <rFont val="Poppins"/>
        <b/>
        <sz val="7.0"/>
      </rPr>
      <t xml:space="preserve">
</t>
    </r>
    <r>
      <rPr>
        <rFont val="Poppins"/>
        <sz val="7.0"/>
      </rPr>
      <t>They invest in venture funds.
We would kindly suggest giving it a shot.</t>
    </r>
  </si>
  <si>
    <t>PPR Ventures</t>
  </si>
  <si>
    <t>https://www.ppr-ventures.com/</t>
  </si>
  <si>
    <r>
      <rPr>
        <rFont val="Poppins"/>
        <sz val="7.0"/>
      </rPr>
      <t xml:space="preserve">- [Asset Class = Funds - VC] &gt; Website + Portfolio &gt; "...We invest in various asset classes as </t>
    </r>
    <r>
      <rPr>
        <rFont val="Poppins"/>
        <b/>
        <color rgb="FF1155CC"/>
        <sz val="7.0"/>
        <u/>
      </rPr>
      <t>LPs</t>
    </r>
    <r>
      <rPr>
        <rFont val="Poppins"/>
        <sz val="7.0"/>
      </rPr>
      <t xml:space="preserve">, predominantly in alternative asset classes,..." + Their portfolio consists of </t>
    </r>
    <r>
      <rPr>
        <rFont val="Poppins"/>
        <b/>
        <color rgb="FF1155CC"/>
        <sz val="7.0"/>
        <u/>
      </rPr>
      <t>VC funds</t>
    </r>
    <r>
      <rPr>
        <rFont val="Poppins"/>
        <sz val="7.0"/>
      </rPr>
      <t xml:space="preserve">, ex: </t>
    </r>
    <r>
      <rPr>
        <rFont val="Poppins"/>
        <b/>
        <sz val="7.0"/>
      </rPr>
      <t>Master Ventures, Play Future Fund</t>
    </r>
    <r>
      <rPr>
        <rFont val="Poppins"/>
        <sz val="7.0"/>
      </rPr>
      <t xml:space="preserve">).
- [Region Investment Focus] &gt; Data manager judgement &gt; His investments are based in </t>
    </r>
    <r>
      <rPr>
        <rFont val="Poppins"/>
        <b/>
        <color rgb="FF1155CC"/>
        <sz val="7.0"/>
        <u/>
      </rPr>
      <t>North America</t>
    </r>
    <r>
      <rPr>
        <rFont val="Poppins"/>
        <sz val="7.0"/>
      </rPr>
      <t xml:space="preserve"> and </t>
    </r>
    <r>
      <rPr>
        <rFont val="Poppins"/>
        <b/>
        <sz val="7.0"/>
      </rPr>
      <t>Singapore</t>
    </r>
    <r>
      <rPr>
        <rFont val="Poppins"/>
        <sz val="7.0"/>
      </rPr>
      <t xml:space="preserve"> (Play Future Fund, SpaceX).
- [Sector Investment Focus] &gt; Data manager judgement &gt; The investments in their portfolio focus on </t>
    </r>
    <r>
      <rPr>
        <rFont val="Poppins"/>
        <b/>
        <sz val="7.0"/>
      </rPr>
      <t xml:space="preserve">fintech, </t>
    </r>
    <r>
      <rPr>
        <rFont val="Poppins"/>
        <sz val="7.0"/>
      </rPr>
      <t xml:space="preserve">crypto, </t>
    </r>
    <r>
      <rPr>
        <rFont val="Poppins"/>
        <b/>
        <color rgb="FF1155CC"/>
        <sz val="7.0"/>
        <u/>
      </rPr>
      <t>technology</t>
    </r>
    <r>
      <rPr>
        <rFont val="Poppins"/>
        <sz val="7.0"/>
      </rPr>
      <t xml:space="preserve">, business-to-business, business-to-consumer, media, blockchain, software as a service, mobile, </t>
    </r>
    <r>
      <rPr>
        <rFont val="Poppins"/>
        <b/>
        <sz val="7.0"/>
      </rPr>
      <t>cybersecurity</t>
    </r>
    <r>
      <rPr>
        <rFont val="Poppins"/>
        <sz val="7.0"/>
      </rPr>
      <t xml:space="preserve">, infrastructure, big data, and </t>
    </r>
    <r>
      <rPr>
        <rFont val="Poppins"/>
        <b/>
        <sz val="7.0"/>
      </rPr>
      <t>technology sectors</t>
    </r>
    <r>
      <rPr>
        <rFont val="Poppins"/>
        <sz val="7.0"/>
      </rPr>
      <t xml:space="preserve">, ex: master ventures, lobster capital, etc.
- [Maturity Focus] &gt; Data manager judgement &gt; Their portfolio confirms their investments in </t>
    </r>
    <r>
      <rPr>
        <rFont val="Poppins"/>
        <b/>
        <color rgb="FF1155CC"/>
        <sz val="7.0"/>
        <u/>
      </rPr>
      <t>emerging managers</t>
    </r>
    <r>
      <rPr>
        <rFont val="Poppins"/>
        <b/>
        <sz val="7.0"/>
      </rPr>
      <t xml:space="preserve"> </t>
    </r>
    <r>
      <rPr>
        <rFont val="Poppins"/>
        <sz val="7.0"/>
      </rPr>
      <t>(Play Future Fund).</t>
    </r>
  </si>
  <si>
    <t>Alexander Peters</t>
  </si>
  <si>
    <t>Alexander</t>
  </si>
  <si>
    <t>Peters</t>
  </si>
  <si>
    <t>alex@ppr-ventures.com</t>
  </si>
  <si>
    <t>https://www.linkedin.com/in/alexander-peters-7819a2a9/</t>
  </si>
  <si>
    <t>Abu Dhabi Capital Group</t>
  </si>
  <si>
    <t>https://adcg.ae/what-we-do-detail/1</t>
  </si>
  <si>
    <r>
      <rPr>
        <rFont val="Poppins"/>
        <sz val="7.0"/>
      </rPr>
      <t xml:space="preserve">- [Asset Class = Funds - VC] &gt; Portfolio &gt; Their portfolio consists of </t>
    </r>
    <r>
      <rPr>
        <rFont val="Poppins"/>
        <b/>
        <color rgb="FF1155CC"/>
        <sz val="7.0"/>
        <u/>
      </rPr>
      <t>VC funds</t>
    </r>
    <r>
      <rPr>
        <rFont val="Poppins"/>
        <sz val="7.0"/>
      </rPr>
      <t xml:space="preserve">, ex: </t>
    </r>
    <r>
      <rPr>
        <rFont val="Poppins"/>
        <b/>
        <sz val="7.0"/>
      </rPr>
      <t>500 global, etc</t>
    </r>
    <r>
      <rPr>
        <rFont val="Poppins"/>
        <sz val="7.0"/>
      </rPr>
      <t xml:space="preserve">.
- [Region Investment Focus] &gt; Website &gt; "...With our broad </t>
    </r>
    <r>
      <rPr>
        <rFont val="Poppins"/>
        <b/>
        <color rgb="FF1155CC"/>
        <sz val="7.0"/>
        <u/>
      </rPr>
      <t xml:space="preserve">global </t>
    </r>
    <r>
      <rPr>
        <rFont val="Poppins"/>
        <sz val="7.0"/>
      </rPr>
      <t xml:space="preserve">and sectoral coverage...."
- [Sector Investment Focus] &gt; Portfolio &gt; Their portfolio consists of investments which focus on </t>
    </r>
    <r>
      <rPr>
        <rFont val="Poppins"/>
        <b/>
        <color rgb="FF1155CC"/>
        <sz val="7.0"/>
        <u/>
      </rPr>
      <t>AI</t>
    </r>
    <r>
      <rPr>
        <rFont val="Poppins"/>
        <sz val="7.0"/>
      </rPr>
      <t xml:space="preserve">, </t>
    </r>
    <r>
      <rPr>
        <rFont val="Poppins"/>
        <b/>
        <sz val="7.0"/>
      </rPr>
      <t>fintech</t>
    </r>
    <r>
      <rPr>
        <rFont val="Poppins"/>
        <sz val="7.0"/>
      </rPr>
      <t xml:space="preserve">, energy, </t>
    </r>
    <r>
      <rPr>
        <rFont val="Poppins"/>
        <b/>
        <sz val="7.0"/>
      </rPr>
      <t>cybersecurity</t>
    </r>
    <r>
      <rPr>
        <rFont val="Poppins"/>
        <sz val="7.0"/>
      </rPr>
      <t xml:space="preserve">, agtech, etc. ex: 500 global, etc.
- [Maturity Focus] &gt; Data manager judgement &gt; They have not publicly disclosed their maturity focus but the rest of the criteria aligns with your IIP. </t>
    </r>
    <r>
      <rPr>
        <rFont val="Poppins"/>
        <b/>
        <sz val="7.0"/>
      </rPr>
      <t>#DemandCreation</t>
    </r>
    <r>
      <rPr>
        <rFont val="Poppins"/>
        <sz val="7.0"/>
      </rPr>
      <t>.</t>
    </r>
  </si>
  <si>
    <t>Nayaz R.</t>
  </si>
  <si>
    <t>Nayaz</t>
  </si>
  <si>
    <t>R.</t>
  </si>
  <si>
    <t>nayaz.rojid@abudhabicapital.ae</t>
  </si>
  <si>
    <t>https://www.linkedin.com/in/nayazrojid/</t>
  </si>
  <si>
    <t>Mubadala Capital</t>
  </si>
  <si>
    <t>https://www.mubadalacapital.ae/en/private-equity</t>
  </si>
  <si>
    <r>
      <rPr>
        <rFont val="Poppins"/>
        <sz val="7.0"/>
      </rPr>
      <t xml:space="preserve">- [Asset class = Funds - VC] &gt; Website &gt; "...Ventures: Pursues venture capital direct investments through a third party capital managed </t>
    </r>
    <r>
      <rPr>
        <rFont val="Poppins"/>
        <b/>
        <sz val="7.0"/>
      </rPr>
      <t>fund</t>
    </r>
    <r>
      <rPr>
        <rFont val="Poppins"/>
        <sz val="7.0"/>
      </rPr>
      <t xml:space="preserve">, makes </t>
    </r>
    <r>
      <rPr>
        <rFont val="Poppins"/>
        <b/>
        <color rgb="FF1155CC"/>
        <sz val="7.0"/>
        <u/>
      </rPr>
      <t xml:space="preserve">fund </t>
    </r>
    <r>
      <rPr>
        <rFont val="Poppins"/>
        <sz val="7.0"/>
      </rPr>
      <t xml:space="preserve">commitments through a </t>
    </r>
    <r>
      <rPr>
        <rFont val="Poppins"/>
        <b/>
        <sz val="7.0"/>
      </rPr>
      <t xml:space="preserve">Fund of Funds </t>
    </r>
    <r>
      <rPr>
        <rFont val="Poppins"/>
        <sz val="7.0"/>
      </rPr>
      <t xml:space="preserve">platform and manages Mubadala’s partnership with Softbank including its US $15 billion </t>
    </r>
    <r>
      <rPr>
        <rFont val="Poppins"/>
        <b/>
        <sz val="7.0"/>
      </rPr>
      <t xml:space="preserve">LP </t>
    </r>
    <r>
      <rPr>
        <rFont val="Poppins"/>
        <sz val="7.0"/>
      </rPr>
      <t xml:space="preserve">commitment to the Vision Fund..."
- [Sector investment focus] &gt; Website &gt; "...Silver Lake, the global leader in </t>
    </r>
    <r>
      <rPr>
        <rFont val="Poppins"/>
        <b/>
        <color rgb="FF1155CC"/>
        <sz val="7.0"/>
        <u/>
      </rPr>
      <t>technology</t>
    </r>
    <r>
      <rPr>
        <rFont val="Poppins"/>
        <sz val="7.0"/>
      </rPr>
      <t xml:space="preserve"> investing, and Mubadala Investment Company, one of the world’s largest global investors, today announced they are building on their existing relationship by establishing a long-term investment strategy..."
- [Region investment focus] &gt; Website &gt; "...strategy to advance into the developed markets of </t>
    </r>
    <r>
      <rPr>
        <rFont val="Poppins"/>
        <b/>
        <color rgb="FF1155CC"/>
        <sz val="7.0"/>
        <u/>
      </rPr>
      <t>North America</t>
    </r>
    <r>
      <rPr>
        <rFont val="Poppins"/>
        <sz val="7.0"/>
      </rPr>
      <t xml:space="preserve">, Europe and </t>
    </r>
    <r>
      <rPr>
        <rFont val="Poppins"/>
        <b/>
        <sz val="7.0"/>
      </rPr>
      <t>Asia</t>
    </r>
    <r>
      <rPr>
        <rFont val="Poppins"/>
        <sz val="7.0"/>
      </rPr>
      <t xml:space="preserve">..."
- [Maturity Focus] &gt; Data manager judgement &gt; They have not publicly disclosed their maturity focus but the rest of the criteria aligns with your IIP. </t>
    </r>
    <r>
      <rPr>
        <rFont val="Poppins"/>
        <b/>
        <sz val="7.0"/>
      </rPr>
      <t>#DemandCreation</t>
    </r>
    <r>
      <rPr>
        <rFont val="Poppins"/>
        <sz val="7.0"/>
      </rPr>
      <t>.</t>
    </r>
  </si>
  <si>
    <r>
      <rPr>
        <rFont val="Poppins"/>
        <sz val="7.0"/>
      </rPr>
      <t xml:space="preserve">The link must have been down at the time of your reviewing. Here's the link:
</t>
    </r>
    <r>
      <rPr>
        <rFont val="Poppins"/>
        <color rgb="FF1155CC"/>
        <sz val="7.0"/>
        <u/>
      </rPr>
      <t xml:space="preserve">https://www.mubadala.com/annual-review-2017/en/index.html
</t>
    </r>
    <r>
      <rPr>
        <rFont val="Poppins"/>
        <sz val="7.0"/>
      </rPr>
      <t>Please review it again, as we believe it could be a good fit</t>
    </r>
  </si>
  <si>
    <t>Vera Capital</t>
  </si>
  <si>
    <t>https://veracapital.com/</t>
  </si>
  <si>
    <r>
      <rPr>
        <rFont val="Poppins"/>
        <sz val="7.0"/>
      </rPr>
      <t xml:space="preserve">- [Asset class = Funds - VC] &gt; Website &gt; "...We invest in many assets classes, including direct investments to early stage tech companies, real estate/assets, </t>
    </r>
    <r>
      <rPr>
        <rFont val="Poppins"/>
        <b/>
        <color rgb="FF1155CC"/>
        <sz val="7.0"/>
        <u/>
      </rPr>
      <t>venture capital funds</t>
    </r>
    <r>
      <rPr>
        <rFont val="Poppins"/>
        <sz val="7.0"/>
      </rPr>
      <t xml:space="preserve"> and quoted markets..."
- [Sector investment focus] &gt; Website &gt; "...We invest in many assets classes, including direct investments to early stage </t>
    </r>
    <r>
      <rPr>
        <rFont val="Poppins"/>
        <b/>
        <color rgb="FF1155CC"/>
        <sz val="7.0"/>
        <u/>
      </rPr>
      <t xml:space="preserve">tech </t>
    </r>
    <r>
      <rPr>
        <rFont val="Poppins"/>
        <sz val="7.0"/>
      </rPr>
      <t xml:space="preserve">companies..." + "...We are a global, </t>
    </r>
    <r>
      <rPr>
        <rFont val="Poppins"/>
        <b/>
        <color rgb="FF1155CC"/>
        <sz val="7.0"/>
        <u/>
      </rPr>
      <t>technology</t>
    </r>
    <r>
      <rPr>
        <rFont val="Poppins"/>
        <sz val="7.0"/>
      </rPr>
      <t xml:space="preserve">-focused investment firm..."
- [Region investment focus] &gt; Website &gt; "...Our firm makes venture capital investments in </t>
    </r>
    <r>
      <rPr>
        <rFont val="Poppins"/>
        <b/>
        <color rgb="FF1155CC"/>
        <sz val="7.0"/>
        <u/>
      </rPr>
      <t>North America</t>
    </r>
    <r>
      <rPr>
        <rFont val="Poppins"/>
        <sz val="7.0"/>
      </rPr>
      <t xml:space="preserve">, Northern Europe and Turkey..."
- [Maturity Focus] &gt; Data manager judgement &gt; They have not publicly disclosed their maturity focus but the rest of the criteria aligns with your IIP. </t>
    </r>
    <r>
      <rPr>
        <rFont val="Poppins"/>
        <b/>
        <sz val="7.0"/>
      </rPr>
      <t>#DemandCreation</t>
    </r>
    <r>
      <rPr>
        <rFont val="Poppins"/>
        <sz val="7.0"/>
      </rPr>
      <t>.</t>
    </r>
  </si>
  <si>
    <t>website is blacklisted</t>
  </si>
  <si>
    <t>Would try to replace.</t>
  </si>
  <si>
    <t>Starling Holding</t>
  </si>
  <si>
    <t>https://www.starlinggroup.com/</t>
  </si>
  <si>
    <r>
      <rPr>
        <rFont val="Poppins"/>
        <sz val="7.0"/>
      </rPr>
      <t>- [Asset Class = Funds - VC] &gt; Website &gt; "...The group invests primarily through interests in limited partnership positions, in Leveraged Buyout (MBO and LBO), Growth and Expansion Capital Private Equity Funds, Seed and Early Stage Growth Capital Private Equity Funds, Late Stage Venture Capital Funds and Seed and Early Stage</t>
    </r>
    <r>
      <rPr>
        <rFont val="Poppins"/>
        <b/>
        <color rgb="FF1155CC"/>
        <sz val="7.0"/>
        <u/>
      </rPr>
      <t xml:space="preserve"> Venture Capital Funds</t>
    </r>
    <r>
      <rPr>
        <rFont val="Poppins"/>
        <sz val="7.0"/>
      </rPr>
      <t xml:space="preserve">..."
- [Sector Investment Focus] &gt; Website &gt; "...Starling holds equity positions in a number of prominent companies across a </t>
    </r>
    <r>
      <rPr>
        <rFont val="Poppins"/>
        <b/>
        <color rgb="FF1155CC"/>
        <sz val="7.0"/>
        <u/>
      </rPr>
      <t>broad range of industries</t>
    </r>
    <r>
      <rPr>
        <rFont val="Poppins"/>
        <sz val="7.0"/>
      </rPr>
      <t xml:space="preserve">, </t>
    </r>
    <r>
      <rPr>
        <rFont val="Poppins"/>
        <b/>
        <sz val="7.0"/>
      </rPr>
      <t xml:space="preserve">technologies </t>
    </r>
    <r>
      <rPr>
        <rFont val="Poppins"/>
        <sz val="7.0"/>
      </rPr>
      <t xml:space="preserve">and geographic regions..."
- [Region Investment Focus] &gt; Website &gt; "...Starling’s portfolio is highly diversified, encompassing leading private equity and venture capital funds across </t>
    </r>
    <r>
      <rPr>
        <rFont val="Poppins"/>
        <b/>
        <color rgb="FF1155CC"/>
        <sz val="7.0"/>
        <u/>
      </rPr>
      <t>North America</t>
    </r>
    <r>
      <rPr>
        <rFont val="Poppins"/>
        <sz val="7.0"/>
      </rPr>
      <t xml:space="preserve">, Europe, and </t>
    </r>
    <r>
      <rPr>
        <rFont val="Poppins"/>
        <b/>
        <sz val="7.0"/>
      </rPr>
      <t>Asia</t>
    </r>
    <r>
      <rPr>
        <rFont val="Poppins"/>
        <sz val="7.0"/>
      </rPr>
      <t xml:space="preserve">..."
- [Maturity Focus] &gt; Data manager judgement &gt; They have not publicly disclosed their maturity focus but the rest of the criteria aligns with your IIP. </t>
    </r>
    <r>
      <rPr>
        <rFont val="Poppins"/>
        <b/>
        <sz val="7.0"/>
      </rPr>
      <t>#DemandCreation</t>
    </r>
    <r>
      <rPr>
        <rFont val="Poppins"/>
        <sz val="7.0"/>
      </rPr>
      <t>.</t>
    </r>
  </si>
  <si>
    <t>Jamal Ahmed Jawa</t>
  </si>
  <si>
    <t xml:space="preserve">Jamal </t>
  </si>
  <si>
    <t>Ahmed Jawa</t>
  </si>
  <si>
    <t>jamal.a.jawa@starlinggroup.com</t>
  </si>
  <si>
    <t>https://www.linkedin.com/in/jamaljawa/?originalSubdomain=ae</t>
  </si>
  <si>
    <t>Malmor Associates</t>
  </si>
  <si>
    <t>https://malmor.com.cy/</t>
  </si>
  <si>
    <r>
      <rPr>
        <rFont val="Poppins"/>
        <sz val="7.0"/>
      </rPr>
      <t xml:space="preserve">- [Asset Class = Funds - VC] &gt; Website + Portfolio &gt; "....We combine investments in Private Equity </t>
    </r>
    <r>
      <rPr>
        <rFont val="Poppins"/>
        <b/>
        <color rgb="FF1155CC"/>
        <sz val="7.0"/>
        <u/>
      </rPr>
      <t>Funds</t>
    </r>
    <r>
      <rPr>
        <rFont val="Poppins"/>
        <sz val="7.0"/>
      </rPr>
      <t xml:space="preserve">, Liquid Assets with Direct Investments to create diversified portfolio and deliver attractive returns...." + Their portfolio confirms their investments in </t>
    </r>
    <r>
      <rPr>
        <rFont val="Poppins"/>
        <b/>
        <sz val="7.0"/>
      </rPr>
      <t>venture funds</t>
    </r>
    <r>
      <rPr>
        <rFont val="Poppins"/>
        <sz val="7.0"/>
      </rPr>
      <t xml:space="preserve">, for example Baring Venture and Stanhope Capital.
- [Sector Investment Focus] &gt; Portfolio &gt; Their portfolio includes investment in Baring ventures, Constructor Capital, which indicates a focus on </t>
    </r>
    <r>
      <rPr>
        <rFont val="Poppins"/>
        <b/>
        <color rgb="FF1155CC"/>
        <sz val="7.0"/>
        <u/>
      </rPr>
      <t>AI</t>
    </r>
    <r>
      <rPr>
        <rFont val="Poppins"/>
        <sz val="7.0"/>
      </rPr>
      <t xml:space="preserve">, </t>
    </r>
    <r>
      <rPr>
        <rFont val="Poppins"/>
        <b/>
        <sz val="7.0"/>
      </rPr>
      <t>technology</t>
    </r>
    <r>
      <rPr>
        <rFont val="Poppins"/>
        <sz val="7.0"/>
      </rPr>
      <t>, B2B, deep-tech.
- [Region Investment Focus] &gt; Website &gt; "...</t>
    </r>
    <r>
      <rPr>
        <rFont val="Poppins"/>
        <b/>
        <color rgb="FF1155CC"/>
        <sz val="7.0"/>
        <u/>
      </rPr>
      <t>USA</t>
    </r>
    <r>
      <rPr>
        <rFont val="Poppins"/>
        <sz val="7.0"/>
      </rPr>
      <t xml:space="preserve">, Canada, Western Europe, Latin America, Greece, Cyprus, South Africa, Australia, New Zealand, United Kingdom, Scandinavia, Israel, India, </t>
    </r>
    <r>
      <rPr>
        <rFont val="Poppins"/>
        <b/>
        <sz val="7.0"/>
      </rPr>
      <t>Southeast Asia</t>
    </r>
    <r>
      <rPr>
        <rFont val="Poppins"/>
        <sz val="7.0"/>
      </rPr>
      <t xml:space="preserve">..."
- [Maturity Focus] &gt; Data manager judgement &gt; They have not publicly disclosed their maturity focus but the rest of the criteria aligns with your IIP. </t>
    </r>
    <r>
      <rPr>
        <rFont val="Poppins"/>
        <b/>
        <sz val="7.0"/>
      </rPr>
      <t>#DemandCreation</t>
    </r>
    <r>
      <rPr>
        <rFont val="Poppins"/>
        <sz val="7.0"/>
      </rPr>
      <t>.</t>
    </r>
  </si>
  <si>
    <t>Alexei Kalinin</t>
  </si>
  <si>
    <t>alexei@malmor.com.cy</t>
  </si>
  <si>
    <t>https://www.linkedin.com/in/alexei-kalinin-032aa856/</t>
  </si>
  <si>
    <t>ABFA Investments</t>
  </si>
  <si>
    <t>https://abfa-investments.com/index.html</t>
  </si>
  <si>
    <t>LinkedIn, Website</t>
  </si>
  <si>
    <r>
      <rPr>
        <rFont val="Poppins"/>
        <sz val="7.0"/>
      </rPr>
      <t>- [Asset class = Funds - VC] &gt; Website &gt; "...Our passive investment platform aims to diversify the portfolio into less covered sectors (</t>
    </r>
    <r>
      <rPr>
        <rFont val="Poppins"/>
        <b/>
        <color rgb="FF1155CC"/>
        <sz val="7.0"/>
        <u/>
      </rPr>
      <t>VC</t>
    </r>
    <r>
      <rPr>
        <rFont val="Poppins"/>
        <sz val="7.0"/>
      </rPr>
      <t xml:space="preserve">, large cap buyouts, PE in regions not covered by direct investments) and manage ABFA Investment’s liquidity through investment into </t>
    </r>
    <r>
      <rPr>
        <rFont val="Poppins"/>
        <b/>
        <sz val="7.0"/>
      </rPr>
      <t>private funds</t>
    </r>
    <r>
      <rPr>
        <rFont val="Poppins"/>
        <sz val="7.0"/>
      </rPr>
      <t xml:space="preserve">..."
- [Sector Investment focus] &gt; Private data provider &gt; ABFA Investments is a single family office that manages a </t>
    </r>
    <r>
      <rPr>
        <rFont val="Poppins"/>
        <b/>
        <color rgb="FF1155CC"/>
        <sz val="7.0"/>
        <u/>
      </rPr>
      <t xml:space="preserve">diversified </t>
    </r>
    <r>
      <rPr>
        <rFont val="Poppins"/>
        <sz val="7.0"/>
      </rPr>
      <t xml:space="preserve">portfolio across various asset classes. + They have invested in funds which focus on </t>
    </r>
    <r>
      <rPr>
        <rFont val="Poppins"/>
        <b/>
        <color rgb="FF1155CC"/>
        <sz val="7.0"/>
        <u/>
      </rPr>
      <t>AI</t>
    </r>
    <r>
      <rPr>
        <rFont val="Poppins"/>
        <sz val="7.0"/>
      </rPr>
      <t xml:space="preserve">, software, broad </t>
    </r>
    <r>
      <rPr>
        <rFont val="Poppins"/>
        <b/>
        <color rgb="FF1155CC"/>
        <sz val="7.0"/>
        <u/>
      </rPr>
      <t>technology</t>
    </r>
    <r>
      <rPr>
        <rFont val="Poppins"/>
        <sz val="7.0"/>
      </rPr>
      <t>, B2B etc. ex: Antler UK II Fund ( Antler Ventures UK II)
- [Region investment focus] &gt; Website &gt; "...</t>
    </r>
    <r>
      <rPr>
        <rFont val="Poppins"/>
        <b/>
        <color rgb="FF1155CC"/>
        <sz val="7.0"/>
        <u/>
      </rPr>
      <t xml:space="preserve">Global </t>
    </r>
    <r>
      <rPr>
        <rFont val="Poppins"/>
        <sz val="7.0"/>
      </rPr>
      <t xml:space="preserve">portfolio approach with trusted co-investors across all continents..."
- [Maturity Focus] &gt; Data manager judgement &gt; Private data provider confirms their investments in </t>
    </r>
    <r>
      <rPr>
        <rFont val="Poppins"/>
        <b/>
        <color rgb="FF1155CC"/>
        <sz val="7.0"/>
        <u/>
      </rPr>
      <t>emerging managers</t>
    </r>
    <r>
      <rPr>
        <rFont val="Poppins"/>
        <sz val="7.0"/>
      </rPr>
      <t xml:space="preserve"> (Antler UK II Fund (Antler Ventures UK II)).</t>
    </r>
  </si>
  <si>
    <t>central europe focus</t>
  </si>
  <si>
    <t>Enabling Future</t>
  </si>
  <si>
    <t>https://enablingfuture.com/</t>
  </si>
  <si>
    <t>LinkedIn, Website, Data manager judgement</t>
  </si>
  <si>
    <r>
      <rPr>
        <rFont val="Poppins"/>
        <sz val="7.0"/>
      </rPr>
      <t>- [Asset Class = Fund - VC] &gt; Website + Data manager judgement &gt; "...All our portfolio entities and fund-investments share one common goal..." + Their portfolio confirms that they invest in</t>
    </r>
    <r>
      <rPr>
        <rFont val="Poppins"/>
        <b/>
        <color rgb="FF1155CC"/>
        <sz val="7.0"/>
        <u/>
      </rPr>
      <t xml:space="preserve"> VC funds</t>
    </r>
    <r>
      <rPr>
        <rFont val="Poppins"/>
        <sz val="7.0"/>
      </rPr>
      <t xml:space="preserve">, ex: </t>
    </r>
    <r>
      <rPr>
        <rFont val="Poppins"/>
        <b/>
        <sz val="7.0"/>
      </rPr>
      <t xml:space="preserve">MEVP, etc.
</t>
    </r>
    <r>
      <rPr>
        <rFont val="Poppins"/>
        <sz val="7.0"/>
      </rPr>
      <t xml:space="preserve">- [Sector investment focus] &gt; LinkedIn + Data manager judgement &gt; Our team consists of entrepreneurs with diverse backgrounds in blockchain, data, enterprise </t>
    </r>
    <r>
      <rPr>
        <rFont val="Poppins"/>
        <b/>
        <color rgb="FF1155CC"/>
        <sz val="7.0"/>
        <u/>
      </rPr>
      <t>technology</t>
    </r>
    <r>
      <rPr>
        <rFont val="Poppins"/>
        <sz val="7.0"/>
      </rPr>
      <t xml:space="preserve">, and consumer goods. + They have investments in their portfolio focusing on </t>
    </r>
    <r>
      <rPr>
        <rFont val="Poppins"/>
        <b/>
        <color rgb="FF1155CC"/>
        <sz val="7.0"/>
        <u/>
      </rPr>
      <t>technology</t>
    </r>
    <r>
      <rPr>
        <rFont val="Poppins"/>
        <sz val="7.0"/>
      </rPr>
      <t xml:space="preserve"> (MEVP, Pipe Technologies, Inc).
- [Region investment focus] &gt; Portfolio &gt; Their portfolio confirms that their region focus is </t>
    </r>
    <r>
      <rPr>
        <rFont val="Poppins"/>
        <b/>
        <color rgb="FF1155CC"/>
        <sz val="7.0"/>
        <u/>
      </rPr>
      <t>North America</t>
    </r>
    <r>
      <rPr>
        <rFont val="Poppins"/>
        <b/>
        <sz val="7.0"/>
      </rPr>
      <t xml:space="preserve">, Asia, </t>
    </r>
    <r>
      <rPr>
        <rFont val="Poppins"/>
        <sz val="7.0"/>
      </rPr>
      <t xml:space="preserve">Europe and </t>
    </r>
    <r>
      <rPr>
        <rFont val="Poppins"/>
        <b/>
        <sz val="7.0"/>
      </rPr>
      <t>Middle East</t>
    </r>
    <r>
      <rPr>
        <rFont val="Poppins"/>
        <sz val="7.0"/>
      </rPr>
      <t xml:space="preserve">.
- [Maturity Focus] &gt; Data manager judgement &gt; They have not publicly disclosed their maturity focus but the rest of the criteria aligns with your IIP. </t>
    </r>
    <r>
      <rPr>
        <rFont val="Poppins"/>
        <b/>
        <sz val="7.0"/>
      </rPr>
      <t>#DemandCreation</t>
    </r>
    <r>
      <rPr>
        <rFont val="Poppins"/>
        <sz val="7.0"/>
      </rPr>
      <t>.</t>
    </r>
  </si>
  <si>
    <t>Founding Partner (D2C &amp; Tech)</t>
  </si>
  <si>
    <t>Saad Umerani</t>
  </si>
  <si>
    <t>Saad</t>
  </si>
  <si>
    <t>Umerani</t>
  </si>
  <si>
    <t>s@enablingfuture.com</t>
  </si>
  <si>
    <t>https://www.linkedin.com/in/saadumerani/</t>
  </si>
  <si>
    <t>KAAF Investments</t>
  </si>
  <si>
    <t>https://kaafinvestments.com/</t>
  </si>
  <si>
    <r>
      <rPr>
        <rFont val="Poppins"/>
        <sz val="7.0"/>
      </rPr>
      <t xml:space="preserve">-[Asset class = Funds- VC] &gt; Website &gt; "...KAAF has also built a portfolio of 3rd party managed Private Equity (“PE’) and </t>
    </r>
    <r>
      <rPr>
        <rFont val="Poppins"/>
        <b/>
        <color rgb="FF1155CC"/>
        <sz val="7.0"/>
        <u/>
      </rPr>
      <t>Venture Capital</t>
    </r>
    <r>
      <rPr>
        <rFont val="Poppins"/>
        <sz val="7.0"/>
      </rPr>
      <t xml:space="preserve"> (“VC”) </t>
    </r>
    <r>
      <rPr>
        <rFont val="Poppins"/>
        <b/>
        <sz val="7.0"/>
      </rPr>
      <t>funds</t>
    </r>
    <r>
      <rPr>
        <rFont val="Poppins"/>
        <sz val="7.0"/>
      </rPr>
      <t>..."
-[Region investment focus] &gt; Website &gt; "...we source</t>
    </r>
    <r>
      <rPr>
        <rFont val="Poppins"/>
        <b/>
        <color rgb="FF1155CC"/>
        <sz val="7.0"/>
        <u/>
      </rPr>
      <t xml:space="preserve"> global</t>
    </r>
    <r>
      <rPr>
        <rFont val="Poppins"/>
        <sz val="7.0"/>
      </rPr>
      <t xml:space="preserve"> investment opportunities within a variety of sectors, Asset classes..."
-[Sector investment focus] &gt; Website + Data manager judgement &gt; "...we source global investment opportunities within a</t>
    </r>
    <r>
      <rPr>
        <rFont val="Poppins"/>
        <b/>
        <color rgb="FF1155CC"/>
        <sz val="7.0"/>
        <u/>
      </rPr>
      <t xml:space="preserve"> variety of sectors</t>
    </r>
    <r>
      <rPr>
        <rFont val="Poppins"/>
        <sz val="7.0"/>
      </rPr>
      <t xml:space="preserve">, Asset classes and strategies to deliver positive returns to our shareholders..." + In their portfolio they have mentioned VC funds which focus on </t>
    </r>
    <r>
      <rPr>
        <rFont val="Poppins"/>
        <b/>
        <sz val="7.0"/>
      </rPr>
      <t xml:space="preserve">Fintech, </t>
    </r>
    <r>
      <rPr>
        <rFont val="Poppins"/>
        <b/>
        <color rgb="FF1155CC"/>
        <sz val="7.0"/>
        <u/>
      </rPr>
      <t>AI</t>
    </r>
    <r>
      <rPr>
        <rFont val="Poppins"/>
        <sz val="7.0"/>
      </rPr>
      <t xml:space="preserve"> and </t>
    </r>
    <r>
      <rPr>
        <rFont val="Poppins"/>
        <b/>
        <sz val="7.0"/>
      </rPr>
      <t xml:space="preserve">infrastructure technology </t>
    </r>
    <r>
      <rPr>
        <rFont val="Poppins"/>
        <sz val="7.0"/>
      </rPr>
      <t xml:space="preserve">(Haymaker Ventures, Nio Capital, Race Capital).
- [Maturity Focus] &gt; Website + Data manager judgement &gt; "...Diversification across top </t>
    </r>
    <r>
      <rPr>
        <rFont val="Poppins"/>
        <b/>
        <color rgb="FF1155CC"/>
        <sz val="7.0"/>
        <u/>
      </rPr>
      <t>emerging</t>
    </r>
    <r>
      <rPr>
        <rFont val="Poppins"/>
        <sz val="7.0"/>
      </rPr>
      <t xml:space="preserve"> and established managers..." + Private data provider further confirms their investments in </t>
    </r>
    <r>
      <rPr>
        <rFont val="Poppins"/>
        <b/>
        <color rgb="FF1155CC"/>
        <sz val="7.0"/>
        <u/>
      </rPr>
      <t>emerging managers</t>
    </r>
    <r>
      <rPr>
        <rFont val="Poppins"/>
        <sz val="7.0"/>
      </rPr>
      <t xml:space="preserve"> (BECO Booster Fund II).</t>
    </r>
  </si>
  <si>
    <t>Filmon Ghebrihiwet</t>
  </si>
  <si>
    <t>Filmon</t>
  </si>
  <si>
    <t>Ghebrihiwet</t>
  </si>
  <si>
    <t>filmon@kaafinvestments.com</t>
  </si>
  <si>
    <t>https://www.linkedin.com/in/filmon-ghebrihiwet-b32a251/</t>
  </si>
  <si>
    <t>Kafaa invest</t>
  </si>
  <si>
    <t>https://kafaa-invest.com/</t>
  </si>
  <si>
    <r>
      <rPr>
        <rFont val="Poppins"/>
        <sz val="7.0"/>
      </rPr>
      <t xml:space="preserve">- [Asset class = Funds - VC] &gt; Website &gt; "...Invest globally in private equity, hedge funds and </t>
    </r>
    <r>
      <rPr>
        <rFont val="Poppins"/>
        <b/>
        <color rgb="FF1155CC"/>
        <sz val="7.0"/>
        <u/>
      </rPr>
      <t>venture funds</t>
    </r>
    <r>
      <rPr>
        <rFont val="Poppins"/>
        <sz val="7.0"/>
      </rPr>
      <t xml:space="preserve">..."
- [Region Investment Focus] &gt; Website &gt; "...Invest </t>
    </r>
    <r>
      <rPr>
        <rFont val="Poppins"/>
        <b/>
        <color rgb="FF1155CC"/>
        <sz val="7.0"/>
        <u/>
      </rPr>
      <t xml:space="preserve">globally </t>
    </r>
    <r>
      <rPr>
        <rFont val="Poppins"/>
        <sz val="7.0"/>
      </rPr>
      <t xml:space="preserve">in private equity, hedge funds and venture funds..."
- [Sector Investment Focus] &gt; Website &gt; "...Logistics, Food &amp; Beverage, Energy &amp; Materials, Education, Petrochemical, </t>
    </r>
    <r>
      <rPr>
        <rFont val="Poppins"/>
        <b/>
        <color rgb="FF1155CC"/>
        <sz val="7.0"/>
        <u/>
      </rPr>
      <t>Information Technology</t>
    </r>
    <r>
      <rPr>
        <rFont val="Poppins"/>
        <sz val="7.0"/>
      </rPr>
      <t xml:space="preserve">, Health Care and Bioscience, </t>
    </r>
    <r>
      <rPr>
        <rFont val="Poppins"/>
        <b/>
        <sz val="7.0"/>
      </rPr>
      <t>Financial Services</t>
    </r>
    <r>
      <rPr>
        <rFont val="Poppins"/>
        <sz val="7.0"/>
      </rPr>
      <t xml:space="preserve"> and Insurance, Hospitality &amp; Tourism, Infrastructure &amp; Utilities, Real estate Development &amp; Management, Telecommunication, Media &amp; Communication..." 
- [Maturity Focus] &gt; Data manager judgement &gt; They have not publicly disclosed their maturity focus but the rest of the criteria aligns with your IIP. </t>
    </r>
    <r>
      <rPr>
        <rFont val="Poppins"/>
        <b/>
        <sz val="7.0"/>
      </rPr>
      <t>#DemandCreation</t>
    </r>
    <r>
      <rPr>
        <rFont val="Poppins"/>
        <sz val="7.0"/>
      </rPr>
      <t>.</t>
    </r>
  </si>
  <si>
    <t>Mohammad Algassim</t>
  </si>
  <si>
    <t>Mohammad</t>
  </si>
  <si>
    <t>Algassim</t>
  </si>
  <si>
    <t>algassim_m@hotmail.com</t>
  </si>
  <si>
    <t>https://www.linkedin.com/in/mohammadalgassim/</t>
  </si>
  <si>
    <t>Ghobash Group</t>
  </si>
  <si>
    <t>https://ghobash.com/</t>
  </si>
  <si>
    <r>
      <rPr>
        <rFont val="Poppins"/>
        <sz val="7.0"/>
      </rPr>
      <t xml:space="preserve">- [Asset class = Funds-VC] &gt; Website + Private Data Provider &gt; "...GTI is also active in private financial investments, including private equity and debt, </t>
    </r>
    <r>
      <rPr>
        <rFont val="Poppins"/>
        <b/>
        <color rgb="FF1155CC"/>
        <sz val="7.0"/>
        <u/>
      </rPr>
      <t>venture</t>
    </r>
    <r>
      <rPr>
        <rFont val="Poppins"/>
        <color rgb="FF1155CC"/>
        <sz val="7.0"/>
        <u/>
      </rPr>
      <t xml:space="preserve"> </t>
    </r>
    <r>
      <rPr>
        <rFont val="Poppins"/>
        <b/>
        <color rgb="FF1155CC"/>
        <sz val="7.0"/>
        <u/>
      </rPr>
      <t>capital</t>
    </r>
    <r>
      <rPr>
        <rFont val="Poppins"/>
        <sz val="7.0"/>
      </rPr>
      <t xml:space="preserve">, real estate, and publicly listed financial investments..." + Private data provider confirm that they invest in </t>
    </r>
    <r>
      <rPr>
        <rFont val="Poppins"/>
        <b/>
        <sz val="7.0"/>
      </rPr>
      <t xml:space="preserve">VC funds.
</t>
    </r>
    <r>
      <rPr>
        <rFont val="Poppins"/>
        <sz val="7.0"/>
      </rPr>
      <t xml:space="preserve">- [Sector Investment Focus] &gt; Data manager judgement + Website &gt; They invest in </t>
    </r>
    <r>
      <rPr>
        <rFont val="Poppins"/>
        <b/>
        <color rgb="FF1155CC"/>
        <sz val="7.0"/>
        <u/>
      </rPr>
      <t>technology</t>
    </r>
    <r>
      <rPr>
        <rFont val="Poppins"/>
        <sz val="7.0"/>
      </rPr>
      <t xml:space="preserve">, energy, healthcare, real estate and education. + "...Harnessing </t>
    </r>
    <r>
      <rPr>
        <rFont val="Poppins"/>
        <b/>
        <color rgb="FF1155CC"/>
        <sz val="7.0"/>
        <u/>
      </rPr>
      <t>Technology</t>
    </r>
    <r>
      <rPr>
        <rFont val="Poppins"/>
        <sz val="7.0"/>
      </rPr>
      <t xml:space="preserve"> for a Connected World..."
- [Region investment focus] &gt; Website + Private data provider &gt; "...Our diverse portfolio empowers us to be resilient and stable throughout varying economic cycles and to leverage synergies across </t>
    </r>
    <r>
      <rPr>
        <rFont val="Poppins"/>
        <b/>
        <sz val="7.0"/>
      </rPr>
      <t xml:space="preserve">different </t>
    </r>
    <r>
      <rPr>
        <rFont val="Poppins"/>
        <sz val="7.0"/>
      </rPr>
      <t xml:space="preserve">enterprises, industries, and </t>
    </r>
    <r>
      <rPr>
        <rFont val="Poppins"/>
        <b/>
        <color rgb="FF1155CC"/>
        <sz val="7.0"/>
        <u/>
      </rPr>
      <t>regional markets</t>
    </r>
    <r>
      <rPr>
        <rFont val="Poppins"/>
        <sz val="7.0"/>
      </rPr>
      <t xml:space="preserve">..." + The privately-owned group has expanded to geographies across the </t>
    </r>
    <r>
      <rPr>
        <rFont val="Poppins"/>
        <b/>
        <color rgb="FF1155CC"/>
        <sz val="7.0"/>
        <u/>
      </rPr>
      <t>Middle East</t>
    </r>
    <r>
      <rPr>
        <rFont val="Poppins"/>
        <sz val="7.0"/>
      </rPr>
      <t xml:space="preserve">, </t>
    </r>
    <r>
      <rPr>
        <rFont val="Poppins"/>
        <b/>
        <sz val="7.0"/>
      </rPr>
      <t>Asia</t>
    </r>
    <r>
      <rPr>
        <rFont val="Poppins"/>
        <sz val="7.0"/>
      </rPr>
      <t xml:space="preserve">, Africa and Europe.
- [Maturity Focus] &gt; Data manager judgement &gt; They have not publicly disclosed their maturity focus but the rest of the criteria aligns with your IIP. </t>
    </r>
    <r>
      <rPr>
        <rFont val="Poppins"/>
        <b/>
        <sz val="7.0"/>
      </rPr>
      <t>#DemandCreation</t>
    </r>
    <r>
      <rPr>
        <rFont val="Poppins"/>
        <sz val="7.0"/>
      </rPr>
      <t>.</t>
    </r>
  </si>
  <si>
    <t>Davide Iebba</t>
  </si>
  <si>
    <t>Davide</t>
  </si>
  <si>
    <t>Iebba</t>
  </si>
  <si>
    <t>davide.iebba@ghobash.com</t>
  </si>
  <si>
    <t>http://www.linkedin.com/in/davide-iebba-48728a29</t>
  </si>
  <si>
    <t>DAMAC Group</t>
  </si>
  <si>
    <t>https://www.damacgroup.com/en-ae/investments/</t>
  </si>
  <si>
    <r>
      <rPr>
        <rFont val="Poppins"/>
        <sz val="7.0"/>
      </rPr>
      <t>- [Asset Class = Funds - VC] &gt; Website + Private Data Provider &gt; "...</t>
    </r>
    <r>
      <rPr>
        <rFont val="Poppins"/>
        <b/>
        <sz val="7.0"/>
      </rPr>
      <t>Private Equities</t>
    </r>
    <r>
      <rPr>
        <rFont val="Poppins"/>
        <sz val="7.0"/>
      </rPr>
      <t xml:space="preserve"> &amp;  Co-Investments: Top Tier Early &amp; Late State Tech </t>
    </r>
    <r>
      <rPr>
        <rFont val="Poppins"/>
        <b/>
        <color rgb="FF1155CC"/>
        <sz val="7.0"/>
        <u/>
      </rPr>
      <t>venture capitals</t>
    </r>
    <r>
      <rPr>
        <rFont val="Poppins"/>
        <sz val="7.0"/>
      </rPr>
      <t xml:space="preserve">..." + The firm strategically allocates </t>
    </r>
    <r>
      <rPr>
        <rFont val="Poppins"/>
        <b/>
        <sz val="7.0"/>
      </rPr>
      <t xml:space="preserve">funds </t>
    </r>
    <r>
      <rPr>
        <rFont val="Poppins"/>
        <sz val="7.0"/>
      </rPr>
      <t xml:space="preserve">across various sectors, specializing in both private and public equity investments. Leveraging the resources and expertise of DAMAC Group, DAMAC Capital actively identifies and seizes promising investment opportunities across strategies such as </t>
    </r>
    <r>
      <rPr>
        <rFont val="Poppins"/>
        <b/>
        <color rgb="FF1155CC"/>
        <sz val="7.0"/>
        <u/>
      </rPr>
      <t>Venture</t>
    </r>
    <r>
      <rPr>
        <rFont val="Poppins"/>
        <sz val="7.0"/>
      </rPr>
      <t xml:space="preserve">, Growth, Buyout, and Real Estate.
- [Sector Investment Focus] &gt; LinkedIn + Data manager judgement &gt; Through DAMAC Capital, it invests in future-focused industries like </t>
    </r>
    <r>
      <rPr>
        <rFont val="Poppins"/>
        <b/>
        <color rgb="FF1155CC"/>
        <sz val="7.0"/>
        <u/>
      </rPr>
      <t>tech</t>
    </r>
    <r>
      <rPr>
        <rFont val="Poppins"/>
        <sz val="7.0"/>
      </rPr>
      <t xml:space="preserve">, </t>
    </r>
    <r>
      <rPr>
        <rFont val="Poppins"/>
        <b/>
        <sz val="7.0"/>
      </rPr>
      <t>finance</t>
    </r>
    <r>
      <rPr>
        <rFont val="Poppins"/>
        <sz val="7.0"/>
      </rPr>
      <t xml:space="preserve">, and life sciences. + On their website, they have </t>
    </r>
    <r>
      <rPr>
        <rFont val="Poppins"/>
        <b/>
        <color rgb="FF1155CC"/>
        <sz val="7.0"/>
        <u/>
      </rPr>
      <t>Artificial Intelligence</t>
    </r>
    <r>
      <rPr>
        <rFont val="Poppins"/>
        <sz val="7.0"/>
      </rPr>
      <t xml:space="preserve"> highlighted in their presentation video.
- [Region Investment Focus] &gt; Website &gt; "...The DAMAC Group of Companies has successfully built ventures across various sectors in Europe, </t>
    </r>
    <r>
      <rPr>
        <rFont val="Poppins"/>
        <b/>
        <sz val="7.0"/>
      </rPr>
      <t>North America</t>
    </r>
    <r>
      <rPr>
        <rFont val="Poppins"/>
        <sz val="7.0"/>
      </rPr>
      <t xml:space="preserve">, </t>
    </r>
    <r>
      <rPr>
        <rFont val="Poppins"/>
        <b/>
        <sz val="7.0"/>
      </rPr>
      <t>Asia</t>
    </r>
    <r>
      <rPr>
        <rFont val="Poppins"/>
        <sz val="7.0"/>
      </rPr>
      <t xml:space="preserve">, the </t>
    </r>
    <r>
      <rPr>
        <rFont val="Poppins"/>
        <b/>
        <color rgb="FF1155CC"/>
        <sz val="7.0"/>
        <u/>
      </rPr>
      <t>Middle East</t>
    </r>
    <r>
      <rPr>
        <rFont val="Poppins"/>
        <sz val="7.0"/>
      </rPr>
      <t xml:space="preserve">, and North Africa..."
- [Maturity Focus] &gt; Data manager judgement &gt; They have not publicly disclosed their maturity focus but the rest of the criteria aligns with your IIP. </t>
    </r>
    <r>
      <rPr>
        <rFont val="Poppins"/>
        <b/>
        <sz val="7.0"/>
      </rPr>
      <t>#DemandCreation</t>
    </r>
    <r>
      <rPr>
        <rFont val="Poppins"/>
        <sz val="7.0"/>
      </rPr>
      <t>.</t>
    </r>
  </si>
  <si>
    <t>dont do emerging fund managers</t>
  </si>
  <si>
    <t>They haven't disclosed their maturity focus but the rest of the criteria aligns with your IIP.
Worth a shot.</t>
  </si>
  <si>
    <t>Oberoi Expeditions</t>
  </si>
  <si>
    <t>https://www.oberoiexpeditions.com/</t>
  </si>
  <si>
    <r>
      <rPr>
        <rFont val="Poppins"/>
        <sz val="7.0"/>
      </rPr>
      <t xml:space="preserve">- [Asset Class = Fund - VC] &gt; Website &gt; "...The Oberoi family office globally channels funds into </t>
    </r>
    <r>
      <rPr>
        <rFont val="Poppins"/>
        <b/>
        <color rgb="FF1155CC"/>
        <sz val="7.0"/>
        <u/>
      </rPr>
      <t>venture funds</t>
    </r>
    <r>
      <rPr>
        <rFont val="Poppins"/>
        <sz val="7.0"/>
      </rPr>
      <t xml:space="preserve">, and private equity, along with making direct investments in public and private operating entities as well as other private ventures, encompassing real estate..."
- [Region Investment Focus] &gt; Website &gt; "...The Oberoi family office </t>
    </r>
    <r>
      <rPr>
        <rFont val="Poppins"/>
        <b/>
        <color rgb="FF1155CC"/>
        <sz val="7.0"/>
        <u/>
      </rPr>
      <t>globally</t>
    </r>
    <r>
      <rPr>
        <rFont val="Poppins"/>
        <sz val="7.0"/>
      </rPr>
      <t xml:space="preserve"> channels funds into venture funds..."
- [Sector Investment Focus] &gt; Data manager judgement &gt; Private data provider confirms their investments in </t>
    </r>
    <r>
      <rPr>
        <rFont val="Poppins"/>
        <b/>
        <color rgb="FF1155CC"/>
        <sz val="7.0"/>
        <u/>
      </rPr>
      <t>AI</t>
    </r>
    <r>
      <rPr>
        <rFont val="Poppins"/>
        <sz val="7.0"/>
      </rPr>
      <t xml:space="preserve"> And Blockchain.
- [Maturity Focus] &gt; Data manager judgement &gt; They have not publicly disclosed their maturity focus but the rest of the criteria aligns with your IIP. </t>
    </r>
    <r>
      <rPr>
        <rFont val="Poppins"/>
        <b/>
        <sz val="7.0"/>
      </rPr>
      <t>#DemandCreation</t>
    </r>
    <r>
      <rPr>
        <rFont val="Poppins"/>
        <sz val="7.0"/>
      </rPr>
      <t>.</t>
    </r>
  </si>
  <si>
    <t>Ankit Oberoi</t>
  </si>
  <si>
    <t xml:space="preserve">Ankit </t>
  </si>
  <si>
    <t>Oberoi</t>
  </si>
  <si>
    <t>ankitoberoiindia@gmail.com</t>
  </si>
  <si>
    <t>https://www.linkedin.com/in/ankitoberoi/</t>
  </si>
  <si>
    <t>Kanoo Group</t>
  </si>
  <si>
    <t>https://www.kanoo.com/business/global-investments-overview/</t>
  </si>
  <si>
    <r>
      <rPr>
        <rFont val="Poppins"/>
        <sz val="7.0"/>
      </rPr>
      <t xml:space="preserve">- [Type = Family office] &gt; Website &gt; "...Kanoo Group is one of the largest independent </t>
    </r>
    <r>
      <rPr>
        <rFont val="Poppins"/>
        <b/>
        <color rgb="FF1155CC"/>
        <sz val="7.0"/>
        <u/>
      </rPr>
      <t xml:space="preserve">family-owned </t>
    </r>
    <r>
      <rPr>
        <rFont val="Poppins"/>
        <sz val="7.0"/>
      </rPr>
      <t xml:space="preserve">multinationals..."
- [Asset class = Funds - VC] &gt; Website  &gt; "...its private market interests cover private equity, </t>
    </r>
    <r>
      <rPr>
        <rFont val="Poppins"/>
        <b/>
        <color rgb="FF1155CC"/>
        <sz val="7.0"/>
        <u/>
      </rPr>
      <t>venture capital</t>
    </r>
    <r>
      <rPr>
        <rFont val="Poppins"/>
        <sz val="7.0"/>
      </rPr>
      <t xml:space="preserve">, real estate and infrastructure. KGI predominantly makes its investments through externally managed </t>
    </r>
    <r>
      <rPr>
        <rFont val="Poppins"/>
        <b/>
        <sz val="7.0"/>
      </rPr>
      <t>funds</t>
    </r>
    <r>
      <rPr>
        <rFont val="Poppins"/>
        <sz val="7.0"/>
      </rPr>
      <t xml:space="preserve">...."
- [Sector investment focus] &gt; Website &gt; "...Later-stage </t>
    </r>
    <r>
      <rPr>
        <rFont val="Poppins"/>
        <b/>
        <color rgb="FF1155CC"/>
        <sz val="7.0"/>
        <u/>
      </rPr>
      <t>Technology</t>
    </r>
    <r>
      <rPr>
        <rFont val="Poppins"/>
        <sz val="7.0"/>
      </rPr>
      <t xml:space="preserve"> and Venture Capital Opportunities..."
- [Region investment focus] &gt; Website &gt; "...KGI goes beyond the MENA region with an </t>
    </r>
    <r>
      <rPr>
        <rFont val="Poppins"/>
        <b/>
        <color rgb="FF1155CC"/>
        <sz val="7.0"/>
        <u/>
      </rPr>
      <t xml:space="preserve">international </t>
    </r>
    <r>
      <rPr>
        <rFont val="Poppins"/>
        <sz val="7.0"/>
      </rPr>
      <t xml:space="preserve">reach..."
- [Maturity Focus] &gt; Data manager judgement &gt; They have not publicly disclosed their maturity focus but the rest of the criteria aligns with your IIP. </t>
    </r>
    <r>
      <rPr>
        <rFont val="Poppins"/>
        <b/>
        <sz val="7.0"/>
      </rPr>
      <t>#DemandCreation</t>
    </r>
    <r>
      <rPr>
        <rFont val="Poppins"/>
        <sz val="7.0"/>
      </rPr>
      <t>.</t>
    </r>
  </si>
  <si>
    <t>Later-stage Technology and Venture Capital Opportunities</t>
  </si>
  <si>
    <t>Quilvest Capital Partners</t>
  </si>
  <si>
    <t>https://www.quilvestcapital.com/</t>
  </si>
  <si>
    <r>
      <rPr>
        <rFont val="Poppins"/>
        <sz val="7.0"/>
      </rPr>
      <t xml:space="preserve">- [Asset class = Fund-VC] &gt; Website  &gt; "...With 50 years of expertise in private equity, we have cultivated an expansive international network and strong relationships with </t>
    </r>
    <r>
      <rPr>
        <rFont val="Poppins"/>
        <b/>
        <color rgb="FF1155CC"/>
        <sz val="7.0"/>
        <u/>
      </rPr>
      <t>GPs</t>
    </r>
    <r>
      <rPr>
        <rFont val="Poppins"/>
        <sz val="7.0"/>
      </rPr>
      <t xml:space="preserve">..."  + "....Trusted relationships with leading </t>
    </r>
    <r>
      <rPr>
        <rFont val="Poppins"/>
        <b/>
        <color rgb="FF1155CC"/>
        <sz val="7.0"/>
        <u/>
      </rPr>
      <t>fund</t>
    </r>
    <r>
      <rPr>
        <rFont val="Poppins"/>
        <color rgb="FF1155CC"/>
        <sz val="7.0"/>
        <u/>
      </rPr>
      <t xml:space="preserve"> </t>
    </r>
    <r>
      <rPr>
        <rFont val="Poppins"/>
        <b/>
        <color rgb="FF1155CC"/>
        <sz val="7.0"/>
        <u/>
      </rPr>
      <t>managers</t>
    </r>
    <r>
      <rPr>
        <rFont val="Poppins"/>
        <sz val="7.0"/>
      </rPr>
      <t>...."</t>
    </r>
    <r>
      <rPr>
        <rFont val="Poppins"/>
        <b/>
        <sz val="7.0"/>
      </rPr>
      <t xml:space="preserve">
</t>
    </r>
    <r>
      <rPr>
        <rFont val="Poppins"/>
        <sz val="7.0"/>
      </rPr>
      <t xml:space="preserve">- [Region investment focus ] &gt; Website &gt; "...One-stop access to middle market investments in the </t>
    </r>
    <r>
      <rPr>
        <rFont val="Poppins"/>
        <b/>
        <sz val="7.0"/>
      </rPr>
      <t>US</t>
    </r>
    <r>
      <rPr>
        <rFont val="Poppins"/>
        <sz val="7.0"/>
      </rPr>
      <t xml:space="preserve">, Europe and </t>
    </r>
    <r>
      <rPr>
        <rFont val="Poppins"/>
        <b/>
        <color rgb="FF1155CC"/>
        <sz val="7.0"/>
        <u/>
      </rPr>
      <t>Asia</t>
    </r>
    <r>
      <rPr>
        <rFont val="Poppins"/>
        <sz val="7.0"/>
      </rPr>
      <t xml:space="preserve">, underpinned by sectoral themes..."
- [Sector investment focus] &gt; Website  &gt; "...key sectors, including Healthcare, Software and </t>
    </r>
    <r>
      <rPr>
        <rFont val="Poppins"/>
        <b/>
        <color rgb="FF1155CC"/>
        <sz val="7.0"/>
        <u/>
      </rPr>
      <t>Tech Services</t>
    </r>
    <r>
      <rPr>
        <rFont val="Poppins"/>
        <sz val="7.0"/>
      </rPr>
      <t xml:space="preserve">, Advanced Industrials and Business Services, Consumer Evolution, and Sustainability..."
- [Maturity Focus] &gt; Website &gt; "...facilitates access to next-generation opportunities and </t>
    </r>
    <r>
      <rPr>
        <rFont val="Poppins"/>
        <b/>
        <color rgb="FF1155CC"/>
        <sz val="7.0"/>
        <u/>
      </rPr>
      <t>emerging managers</t>
    </r>
    <r>
      <rPr>
        <rFont val="Poppins"/>
        <sz val="7.0"/>
      </rPr>
      <t>..."</t>
    </r>
  </si>
  <si>
    <t>mid market PR focus</t>
  </si>
  <si>
    <t>EGR Partner</t>
  </si>
  <si>
    <t>https://www.egrpartners.com/</t>
  </si>
  <si>
    <r>
      <rPr>
        <rFont val="Poppins"/>
        <sz val="7.0"/>
      </rPr>
      <t xml:space="preserve">- [Asset class = Funds - VC] &gt; Website &gt; "...LP in 12 early stage / scale-up </t>
    </r>
    <r>
      <rPr>
        <rFont val="Poppins"/>
        <b/>
        <color rgb="FF1155CC"/>
        <sz val="7.0"/>
        <u/>
      </rPr>
      <t>venture capital funds</t>
    </r>
    <r>
      <rPr>
        <rFont val="Poppins"/>
        <sz val="7.0"/>
      </rPr>
      <t xml:space="preserve">..."
- [Sector investment focus] &gt; Data manager judgement &gt; Their portfolio investments include focus on </t>
    </r>
    <r>
      <rPr>
        <rFont val="Poppins"/>
        <b/>
        <color rgb="FF1155CC"/>
        <sz val="7.0"/>
        <u/>
      </rPr>
      <t>technology</t>
    </r>
    <r>
      <rPr>
        <rFont val="Poppins"/>
        <sz val="7.0"/>
      </rPr>
      <t xml:space="preserve"> and </t>
    </r>
    <r>
      <rPr>
        <rFont val="Poppins"/>
        <b/>
        <sz val="7.0"/>
      </rPr>
      <t xml:space="preserve">deep tech </t>
    </r>
    <r>
      <rPr>
        <rFont val="Poppins"/>
        <sz val="7.0"/>
      </rPr>
      <t xml:space="preserve">(Revaia, Genesis Alternative ventures, etc).
- [Region investment focus] &gt; Website &gt; "...We look for "insanely scalable" companies </t>
    </r>
    <r>
      <rPr>
        <rFont val="Poppins"/>
        <b/>
        <color rgb="FF1155CC"/>
        <sz val="7.0"/>
        <u/>
      </rPr>
      <t>around the globe</t>
    </r>
    <r>
      <rPr>
        <rFont val="Poppins"/>
        <sz val="7.0"/>
      </rPr>
      <t xml:space="preserve">..."
- [Maturity Focus] &gt; Data manager judgement &gt; Their portfolio confirms their investments in </t>
    </r>
    <r>
      <rPr>
        <rFont val="Poppins"/>
        <b/>
        <color rgb="FF1155CC"/>
        <sz val="7.0"/>
        <u/>
      </rPr>
      <t>emerging managers</t>
    </r>
    <r>
      <rPr>
        <rFont val="Poppins"/>
        <sz val="7.0"/>
      </rPr>
      <t xml:space="preserve"> (Makers Fund II, etc).</t>
    </r>
  </si>
  <si>
    <t>Investment Advisor</t>
  </si>
  <si>
    <t>Philippe Zanetti</t>
  </si>
  <si>
    <t>Philippe</t>
  </si>
  <si>
    <t>Zanetti</t>
  </si>
  <si>
    <t>philippe@egrpartners.com</t>
  </si>
  <si>
    <t>https://www.linkedin.com/in/philippe-zanetti/</t>
  </si>
  <si>
    <t>TPN Investments</t>
  </si>
  <si>
    <t>https://tpninvestments.ae/</t>
  </si>
  <si>
    <r>
      <rPr>
        <rFont val="Poppins"/>
        <sz val="7.0"/>
      </rPr>
      <t xml:space="preserve">- [Asset class] &gt; Data manager judgement &gt; Their portfolio consists of </t>
    </r>
    <r>
      <rPr>
        <rFont val="Poppins"/>
        <b/>
        <color rgb="FF1155CC"/>
        <sz val="7.0"/>
        <u/>
      </rPr>
      <t xml:space="preserve">VC funds </t>
    </r>
    <r>
      <rPr>
        <rFont val="Poppins"/>
        <sz val="7.0"/>
      </rPr>
      <t xml:space="preserve">ex: Razor Capital.
- [Region investment focus] &gt; Website &gt; "...focused primarily on early stage VC opportunities across sectors in the </t>
    </r>
    <r>
      <rPr>
        <rFont val="Poppins"/>
        <b/>
        <color rgb="FF1155CC"/>
        <sz val="7.0"/>
        <u/>
      </rPr>
      <t>UAE</t>
    </r>
    <r>
      <rPr>
        <rFont val="Poppins"/>
        <b/>
        <sz val="7.0"/>
      </rPr>
      <t xml:space="preserve"> </t>
    </r>
    <r>
      <rPr>
        <rFont val="Poppins"/>
        <sz val="7.0"/>
      </rPr>
      <t xml:space="preserve">and </t>
    </r>
    <r>
      <rPr>
        <rFont val="Poppins"/>
        <b/>
        <sz val="7.0"/>
      </rPr>
      <t>wider region</t>
    </r>
    <r>
      <rPr>
        <rFont val="Poppins"/>
        <sz val="7.0"/>
      </rPr>
      <t xml:space="preserve">...."
- [Sector Investment focus] &gt; Website + Data manager judgement &gt; "...E-Commerce, FoodTech, </t>
    </r>
    <r>
      <rPr>
        <rFont val="Poppins"/>
        <b/>
        <sz val="7.0"/>
      </rPr>
      <t>FinTech</t>
    </r>
    <r>
      <rPr>
        <rFont val="Poppins"/>
        <sz val="7.0"/>
      </rPr>
      <t xml:space="preserve">, SportsTech, SaaS, Media, HealthTech, Big Data &amp; Analytics + They have made </t>
    </r>
    <r>
      <rPr>
        <rFont val="Poppins"/>
        <b/>
        <color rgb="FF1155CC"/>
        <sz val="7.0"/>
        <u/>
      </rPr>
      <t>AI</t>
    </r>
    <r>
      <rPr>
        <rFont val="Poppins"/>
        <sz val="7.0"/>
      </rPr>
      <t xml:space="preserve"> focused investments as well (Razor Capital, Loosely Coupled Technologies).
- [Maturity Focus] &gt; Data manager judgement &gt; They have not publicly disclosed their maturity focus but the rest of the criteria aligns with your IIP. </t>
    </r>
    <r>
      <rPr>
        <rFont val="Poppins"/>
        <b/>
        <sz val="7.0"/>
      </rPr>
      <t>#DemandCreation</t>
    </r>
    <r>
      <rPr>
        <rFont val="Poppins"/>
        <sz val="7.0"/>
      </rPr>
      <t>.</t>
    </r>
  </si>
  <si>
    <t>focus on uae and wider region</t>
  </si>
  <si>
    <t>According to your IIP, Middle East region focus is a part of it.</t>
  </si>
  <si>
    <t>Alexstrasza Holdings</t>
  </si>
  <si>
    <t>https://www.alxza.com/strategy</t>
  </si>
  <si>
    <r>
      <rPr>
        <rFont val="Poppins"/>
        <sz val="7.0"/>
      </rPr>
      <t xml:space="preserve">- [Asset Class = Funds - VC] &gt; Website &gt; "...Indirect Investment: We invest </t>
    </r>
    <r>
      <rPr>
        <rFont val="Poppins"/>
        <b/>
        <sz val="7.0"/>
      </rPr>
      <t xml:space="preserve">indirectly </t>
    </r>
    <r>
      <rPr>
        <rFont val="Poppins"/>
        <sz val="7.0"/>
      </rPr>
      <t xml:space="preserve">via private equity, private credit, </t>
    </r>
    <r>
      <rPr>
        <rFont val="Poppins"/>
        <b/>
        <color rgb="FF1155CC"/>
        <sz val="7.0"/>
        <u/>
      </rPr>
      <t xml:space="preserve">venture capital </t>
    </r>
    <r>
      <rPr>
        <rFont val="Poppins"/>
        <sz val="7.0"/>
      </rPr>
      <t xml:space="preserve">and venture debt..."
- [Region Investment Focus] &gt; Website &gt; "...We generally focus on </t>
    </r>
    <r>
      <rPr>
        <rFont val="Poppins"/>
        <b/>
        <sz val="7.0"/>
      </rPr>
      <t>Hong Kong, South Korea, Southeast Asia</t>
    </r>
    <r>
      <rPr>
        <rFont val="Poppins"/>
        <sz val="7.0"/>
      </rPr>
      <t xml:space="preserve">, the </t>
    </r>
    <r>
      <rPr>
        <rFont val="Poppins"/>
        <b/>
        <color rgb="FF1155CC"/>
        <sz val="7.0"/>
        <u/>
      </rPr>
      <t xml:space="preserve">Middle East </t>
    </r>
    <r>
      <rPr>
        <rFont val="Poppins"/>
        <sz val="7.0"/>
      </rPr>
      <t xml:space="preserve">and Germany; however we have investments and partners </t>
    </r>
    <r>
      <rPr>
        <rFont val="Poppins"/>
        <b/>
        <sz val="7.0"/>
      </rPr>
      <t>globally</t>
    </r>
    <r>
      <rPr>
        <rFont val="Poppins"/>
        <sz val="7.0"/>
      </rPr>
      <t xml:space="preserve">..."
- [Sector Investment Focus] &gt; Website &gt; "...We focus on real estate, healthcare, education, consumer, renewable energy and </t>
    </r>
    <r>
      <rPr>
        <rFont val="Poppins"/>
        <b/>
        <color rgb="FF1155CC"/>
        <sz val="7.0"/>
        <u/>
      </rPr>
      <t>technology</t>
    </r>
    <r>
      <rPr>
        <rFont val="Poppins"/>
        <sz val="7.0"/>
      </rPr>
      <t xml:space="preserve">..."
- [Maturity Focus] &gt; Data manager judgement &gt; They have not publicly disclosed their maturity focus but the rest of the criteria aligns with your IIP. </t>
    </r>
    <r>
      <rPr>
        <rFont val="Poppins"/>
        <b/>
        <sz val="7.0"/>
      </rPr>
      <t>#DemandCreation</t>
    </r>
    <r>
      <rPr>
        <rFont val="Poppins"/>
        <sz val="7.0"/>
      </rPr>
      <t>.</t>
    </r>
  </si>
  <si>
    <t>real estate focus</t>
  </si>
  <si>
    <r>
      <rPr>
        <rFont val="Poppins"/>
        <sz val="7.0"/>
      </rPr>
      <t xml:space="preserve">Website: "...We invest </t>
    </r>
    <r>
      <rPr>
        <rFont val="Poppins"/>
        <b/>
        <sz val="7.0"/>
      </rPr>
      <t>indirectly</t>
    </r>
    <r>
      <rPr>
        <rFont val="Poppins"/>
        <sz val="7.0"/>
      </rPr>
      <t xml:space="preserve"> via private equity, private credit, </t>
    </r>
    <r>
      <rPr>
        <rFont val="Poppins"/>
        <b/>
        <color rgb="FF1155CC"/>
        <sz val="7.0"/>
        <u/>
      </rPr>
      <t>venture capital</t>
    </r>
    <r>
      <rPr>
        <rFont val="Poppins"/>
        <sz val="7.0"/>
      </rPr>
      <t xml:space="preserve"> and venture debt..."
They seem to be open to all opportunities.
Definitely worth a shot.</t>
    </r>
  </si>
  <si>
    <t xml:space="preserve"> Olayan Group</t>
  </si>
  <si>
    <t>https://olayan.com/</t>
  </si>
  <si>
    <r>
      <rPr>
        <rFont val="Poppins"/>
        <sz val="7.0"/>
      </rPr>
      <t>- [Asset class = Funds - VC] &gt; Website + Private data provider &gt; "...</t>
    </r>
    <r>
      <rPr>
        <rFont val="Poppins"/>
        <b/>
        <color rgb="FF1155CC"/>
        <sz val="7.0"/>
        <u/>
      </rPr>
      <t>Funds</t>
    </r>
    <r>
      <rPr>
        <rFont val="Poppins"/>
        <sz val="7.0"/>
      </rPr>
      <t xml:space="preserve"> invested in, alongside 30+ private equity </t>
    </r>
    <r>
      <rPr>
        <rFont val="Poppins"/>
        <b/>
        <sz val="7.0"/>
      </rPr>
      <t>GPs</t>
    </r>
    <r>
      <rPr>
        <rFont val="Poppins"/>
        <sz val="7.0"/>
      </rPr>
      <t xml:space="preserve">, across strategies and regions..." + "...We invest across the </t>
    </r>
    <r>
      <rPr>
        <rFont val="Poppins"/>
        <b/>
        <color rgb="FF1155CC"/>
        <sz val="7.0"/>
        <u/>
      </rPr>
      <t>top funds</t>
    </r>
    <r>
      <rPr>
        <rFont val="Poppins"/>
        <sz val="7.0"/>
      </rPr>
      <t xml:space="preserve"> and sponsors..." + Iliad Partners Announces Launch of $50M MENA </t>
    </r>
    <r>
      <rPr>
        <rFont val="Poppins"/>
        <b/>
        <color rgb="FF1155CC"/>
        <sz val="7.0"/>
        <u/>
      </rPr>
      <t>VC Fund</t>
    </r>
    <r>
      <rPr>
        <rFont val="Poppins"/>
        <sz val="7.0"/>
      </rPr>
      <t xml:space="preserve"> + The</t>
    </r>
    <r>
      <rPr>
        <rFont val="Poppins"/>
        <b/>
        <sz val="7.0"/>
      </rPr>
      <t xml:space="preserve"> Iliad Fund</t>
    </r>
    <r>
      <rPr>
        <rFont val="Poppins"/>
        <sz val="7.0"/>
      </rPr>
      <t xml:space="preserve"> is backed by prominent regional and global investors including Jada </t>
    </r>
    <r>
      <rPr>
        <rFont val="Poppins"/>
        <b/>
        <sz val="7.0"/>
      </rPr>
      <t>Fund of Funds</t>
    </r>
    <r>
      <rPr>
        <rFont val="Poppins"/>
        <sz val="7.0"/>
      </rPr>
      <t xml:space="preserve"> (a subsidiary of PIF, the sovereign wealth fund of Saudi Arabia), the </t>
    </r>
    <r>
      <rPr>
        <rFont val="Poppins"/>
        <b/>
        <color rgb="FF1155CC"/>
        <sz val="7.0"/>
        <u/>
      </rPr>
      <t>Olayan Family</t>
    </r>
    <r>
      <rPr>
        <rFont val="Poppins"/>
        <sz val="7.0"/>
      </rPr>
      <t xml:space="preserve">.
- [Sector investment focus] &gt; Website &gt; "...we currently focus on the following key sectors and themes: Health and Wellness, Enterprise Software and </t>
    </r>
    <r>
      <rPr>
        <rFont val="Poppins"/>
        <b/>
        <color rgb="FF1155CC"/>
        <sz val="7.0"/>
        <u/>
      </rPr>
      <t>Tech-Enabled</t>
    </r>
    <r>
      <rPr>
        <rFont val="Poppins"/>
        <sz val="7.0"/>
      </rPr>
      <t xml:space="preserve"> Services, Business Services and Niche Products/Manufacturing, Energy and Energy Transition, and Digital Infrastructure..."
- [Region investment focus] &gt; Website &gt; "...The Olayan Group is a </t>
    </r>
    <r>
      <rPr>
        <rFont val="Poppins"/>
        <b/>
        <color rgb="FF1155CC"/>
        <sz val="7.0"/>
        <u/>
      </rPr>
      <t>global enterprise</t>
    </r>
    <r>
      <rPr>
        <rFont val="Poppins"/>
        <sz val="7.0"/>
      </rPr>
      <t xml:space="preserve">..."
- [Maturity Focus] &gt; Data manager judgement &gt; Private data provider confirms that they invest in </t>
    </r>
    <r>
      <rPr>
        <rFont val="Poppins"/>
        <b/>
        <color rgb="FF1155CC"/>
        <sz val="7.0"/>
        <u/>
      </rPr>
      <t>emerging managers</t>
    </r>
    <r>
      <rPr>
        <rFont val="Poppins"/>
        <sz val="7.0"/>
      </rPr>
      <t xml:space="preserve"> (Iliad Fund).</t>
    </r>
  </si>
  <si>
    <t>no emerging venture capital focus</t>
  </si>
  <si>
    <r>
      <rPr>
        <rFont val="Poppins"/>
        <sz val="7.0"/>
      </rPr>
      <t xml:space="preserve">They have invested in </t>
    </r>
    <r>
      <rPr>
        <rFont val="Poppins"/>
        <b/>
        <color rgb="FF1155CC"/>
        <sz val="7.0"/>
        <u/>
      </rPr>
      <t>Iliad</t>
    </r>
    <r>
      <rPr>
        <rFont val="Poppins"/>
        <sz val="7.0"/>
      </rPr>
      <t>, which is a first time fund.</t>
    </r>
  </si>
  <si>
    <t>Blue Horizon Advisors</t>
  </si>
  <si>
    <t>https://bluehorizonadvisors.com/en/Investment-Strategy</t>
  </si>
  <si>
    <r>
      <rPr>
        <rFont val="Poppins"/>
        <sz val="7.0"/>
      </rPr>
      <t xml:space="preserve">- [Asset class = Funds - VC] &gt; Website &gt; "...invests in Private Markets </t>
    </r>
    <r>
      <rPr>
        <rFont val="Poppins"/>
        <b/>
        <sz val="7.0"/>
      </rPr>
      <t xml:space="preserve">funds </t>
    </r>
    <r>
      <rPr>
        <rFont val="Poppins"/>
        <sz val="7.0"/>
      </rPr>
      <t>across asset classes including private equity, private credit, secondaries, infrastructure and</t>
    </r>
    <r>
      <rPr>
        <rFont val="Poppins"/>
        <color rgb="FF1155CC"/>
        <sz val="7.0"/>
        <u/>
      </rPr>
      <t xml:space="preserve"> </t>
    </r>
    <r>
      <rPr>
        <rFont val="Poppins"/>
        <b/>
        <color rgb="FF1155CC"/>
        <sz val="7.0"/>
        <u/>
      </rPr>
      <t>venture capita</t>
    </r>
    <r>
      <rPr>
        <rFont val="Poppins"/>
        <color rgb="FF1155CC"/>
        <sz val="7.0"/>
        <u/>
      </rPr>
      <t>l.</t>
    </r>
    <r>
      <rPr>
        <rFont val="Poppins"/>
        <sz val="7.0"/>
      </rPr>
      <t xml:space="preserve">.."
- [Sector investment focus] &gt; Website &gt; "...The group follows a </t>
    </r>
    <r>
      <rPr>
        <rFont val="Poppins"/>
        <b/>
        <color rgb="FF1155CC"/>
        <sz val="7.0"/>
        <u/>
      </rPr>
      <t>sector agnostic</t>
    </r>
    <r>
      <rPr>
        <rFont val="Poppins"/>
        <sz val="7.0"/>
      </rPr>
      <t xml:space="preserve"> strategy..."
- [Region investment focus] &gt; Website &gt; "...across </t>
    </r>
    <r>
      <rPr>
        <rFont val="Poppins"/>
        <b/>
        <color rgb="FF1155CC"/>
        <sz val="7.0"/>
        <u/>
      </rPr>
      <t>North America</t>
    </r>
    <r>
      <rPr>
        <rFont val="Poppins"/>
        <sz val="7.0"/>
      </rPr>
      <t xml:space="preserve">, Europe and </t>
    </r>
    <r>
      <rPr>
        <rFont val="Poppins"/>
        <b/>
        <sz val="7.0"/>
      </rPr>
      <t>Asia</t>
    </r>
    <r>
      <rPr>
        <rFont val="Poppins"/>
        <sz val="7.0"/>
      </rPr>
      <t xml:space="preserve"> and adopts a thematic investing approach based on market trends and conditions..."
- [Maturity Focus] &gt; Data manager judgement &gt; They have not publicly disclosed their maturity focus but the rest of the criteria aligns with your IIP. </t>
    </r>
    <r>
      <rPr>
        <rFont val="Poppins"/>
        <b/>
        <sz val="7.0"/>
      </rPr>
      <t>#DemandCreation</t>
    </r>
    <r>
      <rPr>
        <rFont val="Poppins"/>
        <sz val="7.0"/>
      </rPr>
      <t>.</t>
    </r>
  </si>
  <si>
    <t>Blue Horizon invests in public markets instruments across asset classes, geographies and sectors.</t>
  </si>
  <si>
    <r>
      <rPr>
        <rFont val="Poppins"/>
        <sz val="7.0"/>
      </rPr>
      <t xml:space="preserve">invests in Private Markets </t>
    </r>
    <r>
      <rPr>
        <rFont val="Poppins"/>
        <b/>
        <sz val="7.0"/>
      </rPr>
      <t>funds</t>
    </r>
    <r>
      <rPr>
        <rFont val="Poppins"/>
        <sz val="7.0"/>
      </rPr>
      <t xml:space="preserve"> across asset classes including private equity, private credit, secondaries, infrastructure and </t>
    </r>
    <r>
      <rPr>
        <rFont val="Poppins"/>
        <b/>
        <color rgb="FF1155CC"/>
        <sz val="7.0"/>
        <u/>
      </rPr>
      <t>venture capital</t>
    </r>
    <r>
      <rPr>
        <rFont val="Poppins"/>
        <sz val="7.0"/>
      </rPr>
      <t>.
This is described in the Private Markets investment strategy section of the page</t>
    </r>
  </si>
  <si>
    <t>Golden Vision Capital</t>
  </si>
  <si>
    <t>https://www.goldenvisioncapital.com.sg/</t>
  </si>
  <si>
    <r>
      <rPr>
        <rFont val="Poppins"/>
        <sz val="7.0"/>
      </rPr>
      <t xml:space="preserve">- [Asset class = Funds - VC] &gt; Website &gt; "...set up in 2021 to invest in </t>
    </r>
    <r>
      <rPr>
        <rFont val="Poppins"/>
        <b/>
        <sz val="7.0"/>
      </rPr>
      <t>VC</t>
    </r>
    <r>
      <rPr>
        <rFont val="Poppins"/>
        <sz val="7.0"/>
      </rPr>
      <t xml:space="preserve"> / PE / Private Credit </t>
    </r>
    <r>
      <rPr>
        <rFont val="Poppins"/>
        <b/>
        <color rgb="FF1155CC"/>
        <sz val="7.0"/>
        <u/>
      </rPr>
      <t>funds</t>
    </r>
    <r>
      <rPr>
        <rFont val="Poppins"/>
        <sz val="7.0"/>
      </rPr>
      <t xml:space="preserve">, direct and co-investments globally..." + "...We invest in some of the leading global </t>
    </r>
    <r>
      <rPr>
        <rFont val="Poppins"/>
        <b/>
        <color rgb="FF1155CC"/>
        <sz val="7.0"/>
        <u/>
      </rPr>
      <t>funds</t>
    </r>
    <r>
      <rPr>
        <rFont val="Poppins"/>
        <sz val="7.0"/>
      </rPr>
      <t xml:space="preserve"> worldwide across various strategies..."
- [Sector investment focus] &gt; Website &gt; "...While </t>
    </r>
    <r>
      <rPr>
        <rFont val="Poppins"/>
        <b/>
        <color rgb="FF1155CC"/>
        <sz val="7.0"/>
        <u/>
      </rPr>
      <t>we are sector agnostic</t>
    </r>
    <r>
      <rPr>
        <rFont val="Poppins"/>
        <sz val="7.0"/>
      </rPr>
      <t xml:space="preserve">, we are optimistic of the long term macroeconomic trends supporting the </t>
    </r>
    <r>
      <rPr>
        <rFont val="Poppins"/>
        <b/>
        <sz val="7.0"/>
      </rPr>
      <t>digital economy</t>
    </r>
    <r>
      <rPr>
        <rFont val="Poppins"/>
        <sz val="7.0"/>
      </rPr>
      <t xml:space="preserve"> / enablers and healthcare segments..."
- [Region investment focus] &gt; Website &gt; "...We invest in some of the leading </t>
    </r>
    <r>
      <rPr>
        <rFont val="Poppins"/>
        <b/>
        <color rgb="FF1155CC"/>
        <sz val="7.0"/>
        <u/>
      </rPr>
      <t>global funds worldwide</t>
    </r>
    <r>
      <rPr>
        <rFont val="Poppins"/>
        <sz val="7.0"/>
      </rPr>
      <t xml:space="preserve"> across various strategies..."
- [Maturity Focus] &gt; Data manager judgement &gt; They have not publicly disclosed their maturity focus but the rest of the criteria aligns with your IIP. </t>
    </r>
    <r>
      <rPr>
        <rFont val="Poppins"/>
        <b/>
        <sz val="7.0"/>
      </rPr>
      <t>#DemandCreation</t>
    </r>
    <r>
      <rPr>
        <rFont val="Poppins"/>
        <sz val="7.0"/>
      </rPr>
      <t>.</t>
    </r>
  </si>
  <si>
    <t>CEO and Chief Investment Officer</t>
  </si>
  <si>
    <t>Sean Low</t>
  </si>
  <si>
    <t>Sean</t>
  </si>
  <si>
    <t>Low</t>
  </si>
  <si>
    <t>seanlow@goldenvisioncapital.com</t>
  </si>
  <si>
    <t>https://www.linkedin.com/in/seanlow/</t>
  </si>
  <si>
    <t>Wah Hin &amp; Company Pte Ltd</t>
  </si>
  <si>
    <t>https://www.wah-hin.com/</t>
  </si>
  <si>
    <r>
      <rPr>
        <rFont val="Poppins"/>
        <b val="0"/>
        <sz val="7.0"/>
      </rPr>
      <t xml:space="preserve">-[Asset Class = Funds - VC] &gt; Website &gt; "...with investments in public and private equity, special situations, </t>
    </r>
    <r>
      <rPr>
        <rFont val="Poppins"/>
        <b/>
        <color rgb="FF1155CC"/>
        <sz val="7.0"/>
        <u/>
      </rPr>
      <t>venture capital</t>
    </r>
    <r>
      <rPr>
        <rFont val="Poppins"/>
        <b val="0"/>
        <sz val="7.0"/>
      </rPr>
      <t xml:space="preserve">, hedge funds and fixed income credit..."
-[Sector Investment Focus] &gt; Private data provider &gt; Wah Hin and Company (WH) is the Lien family office. It is an investment company focusing on the long-term investment horizon with a </t>
    </r>
    <r>
      <rPr>
        <rFont val="Poppins"/>
        <b/>
        <sz val="7.0"/>
      </rPr>
      <t xml:space="preserve">sector-agnostic global approach.
</t>
    </r>
    <r>
      <rPr>
        <rFont val="Poppins"/>
        <b val="0"/>
        <sz val="7.0"/>
      </rPr>
      <t xml:space="preserve">-[Region Investment Focus] &gt; Private data provider &gt; Wah Hin and Company (WH) is the Lien family office. It is an investment company focusing on the long-term investment horizon with a </t>
    </r>
    <r>
      <rPr>
        <rFont val="Poppins"/>
        <b/>
        <color rgb="FF1155CC"/>
        <sz val="7.0"/>
        <u/>
      </rPr>
      <t xml:space="preserve">sector-agnostic global approach. 
</t>
    </r>
    <r>
      <rPr>
        <rFont val="Poppins"/>
        <b val="0"/>
        <sz val="7.0"/>
      </rPr>
      <t>- [Maturity Focus] &gt; Data manager judgement &gt; They have not publicly disclosed their maturity focus but the rest of the criteria aligns with your IIP</t>
    </r>
    <r>
      <rPr>
        <rFont val="Poppins"/>
        <b/>
        <sz val="7.0"/>
      </rPr>
      <t xml:space="preserve"> #DemandCreation.</t>
    </r>
  </si>
  <si>
    <r>
      <rPr>
        <rFont val="Poppins"/>
        <sz val="7.0"/>
      </rPr>
      <t xml:space="preserve">They invest in </t>
    </r>
    <r>
      <rPr>
        <rFont val="Poppins"/>
        <b/>
        <color rgb="FF1155CC"/>
        <sz val="7.0"/>
        <u/>
      </rPr>
      <t>VC funds</t>
    </r>
    <r>
      <rPr>
        <rFont val="Poppins"/>
        <sz val="7.0"/>
      </rPr>
      <t xml:space="preserve">, are </t>
    </r>
    <r>
      <rPr>
        <rFont val="Poppins"/>
        <b/>
        <sz val="7.0"/>
      </rPr>
      <t>sector</t>
    </r>
    <r>
      <rPr>
        <rFont val="Poppins"/>
        <sz val="7.0"/>
      </rPr>
      <t xml:space="preserve"> and </t>
    </r>
    <r>
      <rPr>
        <rFont val="Poppins"/>
        <b/>
        <sz val="7.0"/>
      </rPr>
      <t>geo</t>
    </r>
    <r>
      <rPr>
        <rFont val="Poppins"/>
        <sz val="7.0"/>
      </rPr>
      <t xml:space="preserve"> </t>
    </r>
    <r>
      <rPr>
        <rFont val="Poppins"/>
        <b/>
        <color rgb="FF1155CC"/>
        <sz val="7.0"/>
        <u/>
      </rPr>
      <t>agnostic</t>
    </r>
    <r>
      <rPr>
        <rFont val="Poppins"/>
        <sz val="7.0"/>
      </rPr>
      <t>.</t>
    </r>
  </si>
  <si>
    <t>Global Markets Partners</t>
  </si>
  <si>
    <t>https://www.globalmarkets.partners/</t>
  </si>
  <si>
    <r>
      <rPr>
        <rFont val="Poppins"/>
        <sz val="7.0"/>
      </rPr>
      <t xml:space="preserve">- [Asset class = Funds - VC] &gt; Website &gt; "...Our interests span diverse markets and asset classes, from pioneering, </t>
    </r>
    <r>
      <rPr>
        <rFont val="Poppins"/>
        <b/>
        <color rgb="FF1155CC"/>
        <sz val="7.0"/>
        <u/>
      </rPr>
      <t>venture</t>
    </r>
    <r>
      <rPr>
        <rFont val="Poppins"/>
        <sz val="7.0"/>
      </rPr>
      <t xml:space="preserve">-backed companies in North America..." + "...We primarily invest in private markets both directly and in partnership with specialized </t>
    </r>
    <r>
      <rPr>
        <rFont val="Poppins"/>
        <b/>
        <color rgb="FF1155CC"/>
        <sz val="7.0"/>
        <u/>
      </rPr>
      <t>external managers</t>
    </r>
    <r>
      <rPr>
        <rFont val="Poppins"/>
        <sz val="7.0"/>
      </rPr>
      <t xml:space="preserve">...."
- [Sector investment focus] &gt; Website &gt; "...Established in 2018, GMP Investments, an investment vehicle of Global Markets Partners, operates globally through complementary strategies across </t>
    </r>
    <r>
      <rPr>
        <rFont val="Poppins"/>
        <b/>
        <color rgb="FF1155CC"/>
        <sz val="7.0"/>
        <u/>
      </rPr>
      <t>multiple sectors</t>
    </r>
    <r>
      <rPr>
        <rFont val="Poppins"/>
        <sz val="7.0"/>
      </rPr>
      <t xml:space="preserve">, asset classes and geographies..."
- [Region investment focus] &gt; Website &gt; "...Our interests span diverse markets and asset classes, from pioneering, venture-backed companies in </t>
    </r>
    <r>
      <rPr>
        <rFont val="Poppins"/>
        <b/>
        <color rgb="FF1155CC"/>
        <sz val="7.0"/>
        <u/>
      </rPr>
      <t xml:space="preserve">North America </t>
    </r>
    <r>
      <rPr>
        <rFont val="Poppins"/>
        <sz val="7.0"/>
      </rPr>
      <t xml:space="preserve">..."
- [Maturity Focus] &gt; Data manager judgement &gt; They have not publicly disclosed their maturity focus but the rest of the criteria aligns with your IIP </t>
    </r>
    <r>
      <rPr>
        <rFont val="Poppins"/>
        <b/>
        <sz val="7.0"/>
      </rPr>
      <t>#DemandCreation</t>
    </r>
    <r>
      <rPr>
        <rFont val="Poppins"/>
        <sz val="7.0"/>
      </rPr>
      <t>.</t>
    </r>
  </si>
  <si>
    <t>Chairman &amp; Managing Partner</t>
  </si>
  <si>
    <t>Faisal Mikou</t>
  </si>
  <si>
    <t>Faisal</t>
  </si>
  <si>
    <t>Mikou</t>
  </si>
  <si>
    <t>faisal.mikou@gmp-capital.com</t>
  </si>
  <si>
    <t>https://www.linkedin.com/in/faisal-mikou-a152a039/</t>
  </si>
  <si>
    <t xml:space="preserve">GSI Ventures </t>
  </si>
  <si>
    <t>https://www.gsiventures.com/</t>
  </si>
  <si>
    <r>
      <rPr>
        <rFont val="Poppins"/>
        <sz val="7.0"/>
      </rPr>
      <t xml:space="preserve">- [Asset Class = Funds - VC] &gt; Website &gt; "...The office invests globally across numerous </t>
    </r>
    <r>
      <rPr>
        <rFont val="Poppins"/>
        <b/>
        <sz val="7.0"/>
      </rPr>
      <t>asset classes</t>
    </r>
    <r>
      <rPr>
        <rFont val="Poppins"/>
        <sz val="7.0"/>
      </rPr>
      <t xml:space="preserve"> with a particular focus on</t>
    </r>
    <r>
      <rPr>
        <rFont val="Poppins"/>
        <b/>
        <sz val="7.0"/>
      </rPr>
      <t xml:space="preserve"> </t>
    </r>
    <r>
      <rPr>
        <rFont val="Poppins"/>
        <b/>
        <color rgb="FF1155CC"/>
        <sz val="7.0"/>
        <u/>
      </rPr>
      <t xml:space="preserve">venture </t>
    </r>
    <r>
      <rPr>
        <rFont val="Poppins"/>
        <sz val="7.0"/>
      </rPr>
      <t xml:space="preserve">investing..." </t>
    </r>
    <r>
      <rPr>
        <rFont val="Poppins"/>
        <b/>
        <sz val="7.0"/>
      </rPr>
      <t>#DemandCreation</t>
    </r>
    <r>
      <rPr>
        <rFont val="Poppins"/>
        <sz val="7.0"/>
      </rPr>
      <t xml:space="preserve">
- [Sector investment focus] &gt; Website &gt; "...focus on venture investing as well as bridging venture-backed </t>
    </r>
    <r>
      <rPr>
        <rFont val="Poppins"/>
        <b/>
        <color rgb="FF1155CC"/>
        <sz val="7.0"/>
        <u/>
      </rPr>
      <t>technologies</t>
    </r>
    <r>
      <rPr>
        <rFont val="Poppins"/>
        <sz val="7.0"/>
      </rPr>
      <t xml:space="preserve">..."
- [Region investment focus] &gt; Website &gt; "...between </t>
    </r>
    <r>
      <rPr>
        <rFont val="Poppins"/>
        <b/>
        <color rgb="FF1155CC"/>
        <sz val="7.0"/>
        <u/>
      </rPr>
      <t>North America</t>
    </r>
    <r>
      <rPr>
        <rFont val="Poppins"/>
        <sz val="7.0"/>
      </rPr>
      <t xml:space="preserve"> and the MENA region..."
- [Maturity Focus] &gt; Data manager judgement &gt; They have not publicly disclosed their maturity focus but the rest of the criteria aligns with your IIP </t>
    </r>
    <r>
      <rPr>
        <rFont val="Poppins"/>
        <b/>
        <sz val="7.0"/>
      </rPr>
      <t>#DemandCreation</t>
    </r>
    <r>
      <rPr>
        <rFont val="Poppins"/>
        <sz val="7.0"/>
      </rPr>
      <t>.</t>
    </r>
  </si>
  <si>
    <t>Director, Investment</t>
  </si>
  <si>
    <t>Hatem Altariqi</t>
  </si>
  <si>
    <t>Hatem</t>
  </si>
  <si>
    <t>Altariqi</t>
  </si>
  <si>
    <t>hatem@gsiventures.com</t>
  </si>
  <si>
    <t>https://www.linkedin.com/in/hatem-altariqi-b1776591/</t>
  </si>
  <si>
    <t>GTCC Wealth</t>
  </si>
  <si>
    <t>https://www.gtccwealth.com/about-us</t>
  </si>
  <si>
    <r>
      <rPr>
        <rFont val="Poppins"/>
        <sz val="7.0"/>
      </rPr>
      <t xml:space="preserve">- [Asset class = Funds-VC] &gt; Portfolio + Website &gt; Their portfolio consists of </t>
    </r>
    <r>
      <rPr>
        <rFont val="Poppins"/>
        <b/>
        <color rgb="FF1155CC"/>
        <sz val="7.0"/>
        <u/>
      </rPr>
      <t xml:space="preserve">VC fund </t>
    </r>
    <r>
      <rPr>
        <rFont val="Poppins"/>
        <sz val="7.0"/>
      </rPr>
      <t xml:space="preserve">investment. ex: id4 Ventures.
- [Sector investment focus] &gt; Website &gt; "...Diversification across </t>
    </r>
    <r>
      <rPr>
        <rFont val="Poppins"/>
        <b/>
        <color rgb="FF1155CC"/>
        <sz val="7.0"/>
        <u/>
      </rPr>
      <t xml:space="preserve">industries </t>
    </r>
    <r>
      <rPr>
        <rFont val="Poppins"/>
        <sz val="7.0"/>
      </rPr>
      <t xml:space="preserve">and geographies..."
- [Region investment focus] &gt; Website &gt; "...around the globe from emerging EMEA to continental Europe and </t>
    </r>
    <r>
      <rPr>
        <rFont val="Poppins"/>
        <b/>
        <color rgb="FF1155CC"/>
        <sz val="7.0"/>
        <u/>
      </rPr>
      <t>North America</t>
    </r>
    <r>
      <rPr>
        <rFont val="Poppins"/>
        <sz val="7.0"/>
      </rPr>
      <t xml:space="preserve">...."
- [Maturity Focus] &gt; Data manager judgement &gt; They have not publicly disclosed their maturity focus but the rest of the criteria aligns with your IIP </t>
    </r>
    <r>
      <rPr>
        <rFont val="Poppins"/>
        <b/>
        <sz val="7.0"/>
      </rPr>
      <t>#DemandCreation</t>
    </r>
    <r>
      <rPr>
        <rFont val="Poppins"/>
        <sz val="7.0"/>
      </rPr>
      <t>.</t>
    </r>
  </si>
  <si>
    <t>Noor Holding</t>
  </si>
  <si>
    <t>https://noorholding.co/pages/investment</t>
  </si>
  <si>
    <t>Kuwait</t>
  </si>
  <si>
    <r>
      <rPr>
        <rFont val="Poppins"/>
        <sz val="7.0"/>
      </rPr>
      <t xml:space="preserve">- [Asset class = Funds - VC] &gt; Website &gt; "...the family office has become a major investor in companies, </t>
    </r>
    <r>
      <rPr>
        <rFont val="Poppins"/>
        <b/>
        <color rgb="FF1155CC"/>
        <sz val="7.0"/>
        <u/>
      </rPr>
      <t xml:space="preserve">funds </t>
    </r>
    <r>
      <rPr>
        <rFont val="Poppins"/>
        <sz val="7.0"/>
      </rPr>
      <t xml:space="preserve">and markets across the world..." + "...fostering innovation and supporting high-potential ventures that can drive future growth. Capitoria’s focus on </t>
    </r>
    <r>
      <rPr>
        <rFont val="Poppins"/>
        <b/>
        <color rgb="FF1155CC"/>
        <sz val="7.0"/>
        <u/>
      </rPr>
      <t xml:space="preserve">venture capital </t>
    </r>
    <r>
      <rPr>
        <rFont val="Poppins"/>
        <sz val="7.0"/>
      </rPr>
      <t>and unique market situations enables Noor Holding..."
- [Sector Investment focus] &gt; Website &gt; "...</t>
    </r>
    <r>
      <rPr>
        <rFont val="Poppins"/>
        <b/>
        <sz val="7.0"/>
      </rPr>
      <t xml:space="preserve">diversification </t>
    </r>
    <r>
      <rPr>
        <rFont val="Poppins"/>
        <sz val="7.0"/>
      </rPr>
      <t xml:space="preserve">of our investment portfolio across various asset classes, geographies, and </t>
    </r>
    <r>
      <rPr>
        <rFont val="Poppins"/>
        <b/>
        <color rgb="FF1155CC"/>
        <sz val="7.0"/>
        <u/>
      </rPr>
      <t>industries</t>
    </r>
    <r>
      <rPr>
        <rFont val="Poppins"/>
        <sz val="7.0"/>
      </rPr>
      <t>..." 
- [Region Investment focus] &gt; Website &gt; "...</t>
    </r>
    <r>
      <rPr>
        <rFont val="Poppins"/>
        <b/>
        <sz val="7.0"/>
      </rPr>
      <t xml:space="preserve">diversification </t>
    </r>
    <r>
      <rPr>
        <rFont val="Poppins"/>
        <sz val="7.0"/>
      </rPr>
      <t xml:space="preserve">of our investment portfolio across various asset classes, </t>
    </r>
    <r>
      <rPr>
        <rFont val="Poppins"/>
        <b/>
        <color rgb="FF1155CC"/>
        <sz val="7.0"/>
        <u/>
      </rPr>
      <t>geographies</t>
    </r>
    <r>
      <rPr>
        <rFont val="Poppins"/>
        <sz val="7.0"/>
      </rPr>
      <t xml:space="preserve">, and industries..." 
- [Maturity Focus] &gt; Data manager judgement &gt; They have not publicly disclosed their maturity focus but the rest of the criteria aligns with your IIP </t>
    </r>
    <r>
      <rPr>
        <rFont val="Poppins"/>
        <b/>
        <sz val="7.0"/>
      </rPr>
      <t>#DemandCreation</t>
    </r>
    <r>
      <rPr>
        <rFont val="Poppins"/>
        <sz val="7.0"/>
      </rPr>
      <t>.</t>
    </r>
  </si>
  <si>
    <t xml:space="preserve">Chairman &amp; CEO </t>
  </si>
  <si>
    <t xml:space="preserve">Abdulwahab Ahmad Alnakib </t>
  </si>
  <si>
    <t xml:space="preserve">Abdulwahab </t>
  </si>
  <si>
    <t xml:space="preserve">Ahmad Alnakib </t>
  </si>
  <si>
    <t>linkedin@noorholding.co</t>
  </si>
  <si>
    <t>https://www.linkedin.com/in/alnakib/</t>
  </si>
  <si>
    <t>Murbiha</t>
  </si>
  <si>
    <t>https://murbiha.com/</t>
  </si>
  <si>
    <r>
      <rPr>
        <rFont val="Poppins"/>
        <sz val="7.0"/>
      </rPr>
      <t xml:space="preserve">- [Asset class = Funds - VC] &gt; Website &gt; "...participation as </t>
    </r>
    <r>
      <rPr>
        <rFont val="Poppins"/>
        <b/>
        <sz val="7.0"/>
      </rPr>
      <t xml:space="preserve">Limited Partner </t>
    </r>
    <r>
      <rPr>
        <rFont val="Poppins"/>
        <sz val="7.0"/>
      </rPr>
      <t xml:space="preserve">with best in class </t>
    </r>
    <r>
      <rPr>
        <rFont val="Poppins"/>
        <b/>
        <sz val="7.0"/>
      </rPr>
      <t>external managers</t>
    </r>
    <r>
      <rPr>
        <rFont val="Poppins"/>
        <sz val="7.0"/>
      </rPr>
      <t xml:space="preserve">. We partner with external managers across private equity, </t>
    </r>
    <r>
      <rPr>
        <rFont val="Poppins"/>
        <b/>
        <color rgb="FF1155CC"/>
        <sz val="7.0"/>
        <u/>
      </rPr>
      <t xml:space="preserve">venture capital </t>
    </r>
    <r>
      <rPr>
        <rFont val="Poppins"/>
        <sz val="7.0"/>
      </rPr>
      <t xml:space="preserve">and co-investments..."
- [Sector investment focus] &gt; Website + Data manager judgement &gt; "...We run an optimally </t>
    </r>
    <r>
      <rPr>
        <rFont val="Poppins"/>
        <b/>
        <sz val="7.0"/>
      </rPr>
      <t xml:space="preserve">diversified </t>
    </r>
    <r>
      <rPr>
        <rFont val="Poppins"/>
        <sz val="7.0"/>
      </rPr>
      <t xml:space="preserve">portfolio enabling us to benefit from a variety of asset classes, geographies and </t>
    </r>
    <r>
      <rPr>
        <rFont val="Poppins"/>
        <b/>
        <color rgb="FF1155CC"/>
        <sz val="7.0"/>
        <u/>
      </rPr>
      <t>themes</t>
    </r>
    <r>
      <rPr>
        <rFont val="Poppins"/>
        <sz val="7.0"/>
      </rPr>
      <t xml:space="preserve">..." + Their investments include </t>
    </r>
    <r>
      <rPr>
        <rFont val="Poppins"/>
        <b/>
        <color rgb="FF1155CC"/>
        <sz val="7.0"/>
        <u/>
      </rPr>
      <t>AI</t>
    </r>
    <r>
      <rPr>
        <rFont val="Poppins"/>
        <sz val="7.0"/>
      </rPr>
      <t xml:space="preserve"> focus (Behavox).
- [Region investment focus] &gt; Website &gt; "...We run an optimally diversified portfolio enabling us to benefit from a variety of asset classes, </t>
    </r>
    <r>
      <rPr>
        <rFont val="Poppins"/>
        <b/>
        <color rgb="FF1155CC"/>
        <sz val="7.0"/>
        <u/>
      </rPr>
      <t xml:space="preserve">geographies </t>
    </r>
    <r>
      <rPr>
        <rFont val="Poppins"/>
        <sz val="7.0"/>
      </rPr>
      <t xml:space="preserve">and themes..."
- [Maturity Focus] &gt; Data manager judgement &gt; They have not publicly disclosed their maturity focus but the rest of the criteria aligns with your IIP </t>
    </r>
    <r>
      <rPr>
        <rFont val="Poppins"/>
        <b/>
        <sz val="7.0"/>
      </rPr>
      <t>#DemandCreation</t>
    </r>
    <r>
      <rPr>
        <rFont val="Poppins"/>
        <sz val="7.0"/>
      </rPr>
      <t>.</t>
    </r>
  </si>
  <si>
    <t>Ankit Jaiswal</t>
  </si>
  <si>
    <t>Jaiswal</t>
  </si>
  <si>
    <t>ajankit56@gmail.com</t>
  </si>
  <si>
    <t>https://www.linkedin.com/in/caankitjaiswal/</t>
  </si>
  <si>
    <t>Al Rajhi United</t>
  </si>
  <si>
    <t>https://www.alrajhiunited.com/</t>
  </si>
  <si>
    <r>
      <rPr>
        <rFont val="Poppins"/>
        <sz val="7.0"/>
      </rPr>
      <t xml:space="preserve">- [Asset class = Funds - VC] &gt; Website &gt; "...We invest in international private equity and </t>
    </r>
    <r>
      <rPr>
        <rFont val="Poppins"/>
        <b/>
        <color rgb="FF1155CC"/>
        <sz val="7.0"/>
        <u/>
      </rPr>
      <t>venture capital directly and through fund managers</t>
    </r>
    <r>
      <rPr>
        <rFont val="Poppins"/>
        <sz val="7.0"/>
      </rPr>
      <t>..."
- [Sector investment focus] &gt; Website &gt; "...</t>
    </r>
    <r>
      <rPr>
        <rFont val="Poppins"/>
        <b/>
        <color rgb="FF1155CC"/>
        <sz val="7.0"/>
        <u/>
      </rPr>
      <t>focusing on diversification</t>
    </r>
    <r>
      <rPr>
        <rFont val="Poppins"/>
        <sz val="7.0"/>
      </rPr>
      <t xml:space="preserve"> and wealth preservation, and adopting an entrepreneurship spirit..."
- [Region investment focus] &gt; Website &gt; "...We invest in </t>
    </r>
    <r>
      <rPr>
        <rFont val="Poppins"/>
        <b/>
        <color rgb="FF1155CC"/>
        <sz val="7.0"/>
        <u/>
      </rPr>
      <t>international</t>
    </r>
    <r>
      <rPr>
        <rFont val="Poppins"/>
        <b/>
        <sz val="7.0"/>
      </rPr>
      <t xml:space="preserve"> </t>
    </r>
    <r>
      <rPr>
        <rFont val="Poppins"/>
        <sz val="7.0"/>
      </rPr>
      <t xml:space="preserve">private equity and venture capital directly and through fund managers. ..."
- [Maturity Focus] &gt; Data manager judgement &gt; They have not publicly disclosed their maturity focus but the rest of the criteria aligns with your IIP </t>
    </r>
    <r>
      <rPr>
        <rFont val="Poppins"/>
        <b/>
        <sz val="7.0"/>
      </rPr>
      <t>#DemandCreation</t>
    </r>
    <r>
      <rPr>
        <rFont val="Poppins"/>
        <sz val="7.0"/>
      </rPr>
      <t>.</t>
    </r>
  </si>
  <si>
    <t>Abdulsalam Alrajhi</t>
  </si>
  <si>
    <t>Abdulsalam</t>
  </si>
  <si>
    <t>Alrajhi</t>
  </si>
  <si>
    <t>aalrajhi@alrajhi-partners.com</t>
  </si>
  <si>
    <t>https://www.linkedin.com/in/abdulsalam-alrajhi-7b8580113/</t>
  </si>
  <si>
    <t>JL Family Office</t>
  </si>
  <si>
    <t>https://www.jlfo.com.sg/</t>
  </si>
  <si>
    <r>
      <rPr>
        <rFont val="Poppins"/>
        <sz val="7.0"/>
      </rPr>
      <t xml:space="preserve">- [Asset class = Funds - VC] &gt; Website + Data manager judgement &gt; "...We invest in private equity and </t>
    </r>
    <r>
      <rPr>
        <rFont val="Poppins"/>
        <b/>
        <color rgb="FF1155CC"/>
        <sz val="7.0"/>
        <u/>
      </rPr>
      <t>venture capital deals</t>
    </r>
    <r>
      <rPr>
        <rFont val="Poppins"/>
        <sz val="7.0"/>
      </rPr>
      <t xml:space="preserve">..." + Their portfolio confirms investments in </t>
    </r>
    <r>
      <rPr>
        <rFont val="Poppins"/>
        <b/>
        <color rgb="FF1155CC"/>
        <sz val="7.0"/>
        <u/>
      </rPr>
      <t>VC funds</t>
    </r>
    <r>
      <rPr>
        <rFont val="Poppins"/>
        <sz val="7.0"/>
      </rPr>
      <t>, (</t>
    </r>
    <r>
      <rPr>
        <rFont val="Poppins"/>
        <b/>
        <sz val="7.0"/>
      </rPr>
      <t>Play Ventures, Hustle Fund)</t>
    </r>
    <r>
      <rPr>
        <rFont val="Poppins"/>
        <sz val="7.0"/>
      </rPr>
      <t xml:space="preserve">.
- [Sector investment focus] &gt; Website + Data manager judgement &gt; "...with a focus on B2B solutions and </t>
    </r>
    <r>
      <rPr>
        <rFont val="Poppins"/>
        <b/>
        <color rgb="FF1155CC"/>
        <sz val="7.0"/>
        <u/>
      </rPr>
      <t>tech</t>
    </r>
    <r>
      <rPr>
        <rFont val="Poppins"/>
        <sz val="7.0"/>
      </rPr>
      <t xml:space="preserve"> and gaming..." + Their investments focus on gaming, </t>
    </r>
    <r>
      <rPr>
        <rFont val="Poppins"/>
        <b/>
        <color rgb="FF1155CC"/>
        <sz val="7.0"/>
        <u/>
      </rPr>
      <t>tech</t>
    </r>
    <r>
      <rPr>
        <rFont val="Poppins"/>
        <sz val="7.0"/>
      </rPr>
      <t xml:space="preserve">, </t>
    </r>
    <r>
      <rPr>
        <rFont val="Poppins"/>
        <b/>
        <sz val="7.0"/>
      </rPr>
      <t>fintech</t>
    </r>
    <r>
      <rPr>
        <rFont val="Poppins"/>
        <sz val="7.0"/>
      </rPr>
      <t xml:space="preserve">, digital health, etc (Play Ventures, Hustle Fund).
- [Region investment focus] &gt; Data manager judgement &gt; Their investments are based in Europe, </t>
    </r>
    <r>
      <rPr>
        <rFont val="Poppins"/>
        <b/>
        <sz val="7.0"/>
      </rPr>
      <t>Asia</t>
    </r>
    <r>
      <rPr>
        <rFont val="Poppins"/>
        <sz val="7.0"/>
      </rPr>
      <t xml:space="preserve"> and </t>
    </r>
    <r>
      <rPr>
        <rFont val="Poppins"/>
        <b/>
        <color rgb="FF1155CC"/>
        <sz val="7.0"/>
        <u/>
      </rPr>
      <t>North America</t>
    </r>
    <r>
      <rPr>
        <rFont val="Poppins"/>
        <sz val="7.0"/>
      </rPr>
      <t xml:space="preserve"> (Play Ventures, Hustle Fund).
- [Maturity Focus] &gt; Data manager judgement &gt; Their investments confirm that they invest in </t>
    </r>
    <r>
      <rPr>
        <rFont val="Poppins"/>
        <b/>
        <color rgb="FF1155CC"/>
        <sz val="7.0"/>
        <u/>
      </rPr>
      <t>emerging managers</t>
    </r>
    <r>
      <rPr>
        <rFont val="Poppins"/>
        <sz val="7.0"/>
      </rPr>
      <t xml:space="preserve"> (Hustle Fund ll, Play Ventures ll).</t>
    </r>
  </si>
  <si>
    <t>Andy Lim</t>
  </si>
  <si>
    <t>andyljh@hotmail.com</t>
  </si>
  <si>
    <t>https://www.linkedin.com/in/andylim2388/</t>
  </si>
  <si>
    <t>Almutlaq Group (AMG)</t>
  </si>
  <si>
    <t>https://www.almutlaq.com/</t>
  </si>
  <si>
    <r>
      <rPr>
        <rFont val="Poppins"/>
        <sz val="7.0"/>
      </rPr>
      <t xml:space="preserve">- [Asset class = Funds - VC] &gt; Website &gt; "...AMG started investing in the </t>
    </r>
    <r>
      <rPr>
        <rFont val="Poppins"/>
        <b/>
        <color rgb="FF1155CC"/>
        <sz val="7.0"/>
        <u/>
      </rPr>
      <t>Venture Capital</t>
    </r>
    <r>
      <rPr>
        <rFont val="Poppins"/>
        <sz val="7.0"/>
      </rPr>
      <t xml:space="preserve"> space in 2017..."
- [Sector investment focus] &gt; Website &gt; "...diversified across multiple sectors such as </t>
    </r>
    <r>
      <rPr>
        <rFont val="Poppins"/>
        <b/>
        <color rgb="FF1155CC"/>
        <sz val="7.0"/>
        <u/>
      </rPr>
      <t>FinTech</t>
    </r>
    <r>
      <rPr>
        <rFont val="Poppins"/>
        <sz val="7.0"/>
      </rPr>
      <t xml:space="preserve">, Retail, Food &amp; Beverages, Agriculture, </t>
    </r>
    <r>
      <rPr>
        <rFont val="Poppins"/>
        <b/>
        <sz val="7.0"/>
      </rPr>
      <t>E-commerce</t>
    </r>
    <r>
      <rPr>
        <rFont val="Poppins"/>
        <sz val="7.0"/>
      </rPr>
      <t xml:space="preserve">, Media, Education and Logistics..."
- [Region investment focus] &gt; Website &gt; "...opportunities spanning </t>
    </r>
    <r>
      <rPr>
        <rFont val="Poppins"/>
        <b/>
        <color rgb="FF1155CC"/>
        <sz val="7.0"/>
        <u/>
      </rPr>
      <t>MENA</t>
    </r>
    <r>
      <rPr>
        <rFont val="Poppins"/>
        <sz val="7.0"/>
      </rPr>
      <t xml:space="preserve">, </t>
    </r>
    <r>
      <rPr>
        <rFont val="Poppins"/>
        <b/>
        <sz val="7.0"/>
      </rPr>
      <t>US</t>
    </r>
    <r>
      <rPr>
        <rFont val="Poppins"/>
        <sz val="7.0"/>
      </rPr>
      <t xml:space="preserve">, </t>
    </r>
    <r>
      <rPr>
        <rFont val="Poppins"/>
        <b/>
        <sz val="7.0"/>
      </rPr>
      <t>India</t>
    </r>
    <r>
      <rPr>
        <rFont val="Poppins"/>
        <sz val="7.0"/>
      </rPr>
      <t xml:space="preserve"> and </t>
    </r>
    <r>
      <rPr>
        <rFont val="Poppins"/>
        <b/>
        <sz val="7.0"/>
      </rPr>
      <t>other promising geographical hubs</t>
    </r>
    <r>
      <rPr>
        <rFont val="Poppins"/>
        <sz val="7.0"/>
      </rPr>
      <t xml:space="preserve">..."
- [Maturity Focus] &gt; Data manager judgement &gt; They have not publicly disclosed their maturity focus but the rest of the criteria aligns with your IIP </t>
    </r>
    <r>
      <rPr>
        <rFont val="Poppins"/>
        <b/>
        <sz val="7.0"/>
      </rPr>
      <t>#DemandCreation.</t>
    </r>
  </si>
  <si>
    <t>Executive Chairman</t>
  </si>
  <si>
    <t>Bader Almutlaq</t>
  </si>
  <si>
    <t>Bader</t>
  </si>
  <si>
    <t>Almutlaq</t>
  </si>
  <si>
    <t>bader@almutlaq.com</t>
  </si>
  <si>
    <t>https://www.linkedin.com/in/bader-almutlaq-b545891/</t>
  </si>
  <si>
    <t>MASIC (Mohammed I. Alsubeaei &amp; Sons Investment Company)</t>
  </si>
  <si>
    <t>https://masic.com.sa/</t>
  </si>
  <si>
    <r>
      <rPr>
        <rFont val="Poppins"/>
        <sz val="7.0"/>
      </rPr>
      <t xml:space="preserve">- [Asset class = Funds - VC] &gt; Website &gt; "...MASIC’s private equity strategy centers around investing directly inside the Kingdom of Saudi Arabia and investing as a limited partner in global </t>
    </r>
    <r>
      <rPr>
        <rFont val="Poppins"/>
        <b/>
        <color rgb="FF1155CC"/>
        <sz val="7.0"/>
        <u/>
      </rPr>
      <t>venture capital funds</t>
    </r>
    <r>
      <rPr>
        <rFont val="Poppins"/>
        <sz val="7.0"/>
      </rPr>
      <t xml:space="preserve">..."
- [Sector investment focus] &gt; Website &gt; "...MASIC’s focus is on acquiring influential equity stakes in growth companies and on establishing </t>
    </r>
    <r>
      <rPr>
        <rFont val="Poppins"/>
        <b/>
        <color rgb="FF1155CC"/>
        <sz val="7.0"/>
        <u/>
      </rPr>
      <t>sector-specific</t>
    </r>
    <r>
      <rPr>
        <rFont val="Poppins"/>
        <sz val="7.0"/>
      </rPr>
      <t xml:space="preserve"> platforms in partnership with experienced local and/or foreign investors..."
- [Region investment focus] &gt; Website &gt; "...investing as a limited partner in </t>
    </r>
    <r>
      <rPr>
        <rFont val="Poppins"/>
        <b/>
        <color rgb="FF1155CC"/>
        <sz val="7.0"/>
        <u/>
      </rPr>
      <t>global</t>
    </r>
    <r>
      <rPr>
        <rFont val="Poppins"/>
        <sz val="7.0"/>
      </rPr>
      <t xml:space="preserve"> venture capital funds...."
- [Maturity Focus] &gt; Data manager judgement &gt; They have not publicly disclosed their maturity focus but the rest of the criteria aligns with your IIP </t>
    </r>
    <r>
      <rPr>
        <rFont val="Poppins"/>
        <b/>
        <sz val="7.0"/>
      </rPr>
      <t>#DemandCreation</t>
    </r>
    <r>
      <rPr>
        <rFont val="Poppins"/>
        <sz val="7.0"/>
      </rPr>
      <t>.</t>
    </r>
  </si>
  <si>
    <t>Private Funds Co-Head</t>
  </si>
  <si>
    <t>Saad Alhumayyd</t>
  </si>
  <si>
    <t>Alhumayyd</t>
  </si>
  <si>
    <t>salhumayyd@masic.com.sa</t>
  </si>
  <si>
    <t>https://www.linkedin.com/in/saad-alhumayyd-cfa-caia-5015b460/</t>
  </si>
  <si>
    <t>Pacific Eagle Asset Management</t>
  </si>
  <si>
    <t>https://www.peagle.com/</t>
  </si>
  <si>
    <r>
      <rPr>
        <rFont val="Poppins"/>
        <sz val="7.0"/>
      </rPr>
      <t xml:space="preserve">- [Asset class = Funds VC] &gt; Website &gt; "...Our investments encompass private equity funds, co-investments and direct equity investments. We work with renowned, </t>
    </r>
    <r>
      <rPr>
        <rFont val="Poppins"/>
        <b/>
        <sz val="7.0"/>
      </rPr>
      <t>top-tier managers</t>
    </r>
    <r>
      <rPr>
        <rFont val="Poppins"/>
        <sz val="7.0"/>
      </rPr>
      <t xml:space="preserve"> and our global investments cover the Americas, Europe and Asia. We maintain a </t>
    </r>
    <r>
      <rPr>
        <rFont val="Poppins"/>
        <b/>
        <sz val="7.0"/>
      </rPr>
      <t>diversified portfolio across asset classes</t>
    </r>
    <r>
      <rPr>
        <rFont val="Poppins"/>
        <sz val="7.0"/>
      </rPr>
      <t xml:space="preserve"> and strategies, including buyout, infrastructure, growth, </t>
    </r>
    <r>
      <rPr>
        <rFont val="Poppins"/>
        <b/>
        <color rgb="FF1155CC"/>
        <sz val="7.0"/>
        <u/>
      </rPr>
      <t>venture</t>
    </r>
    <r>
      <rPr>
        <rFont val="Poppins"/>
        <sz val="7.0"/>
      </rPr>
      <t xml:space="preserve"> and secondaries..."</t>
    </r>
    <r>
      <rPr>
        <rFont val="Poppins"/>
        <b/>
        <sz val="7.0"/>
      </rPr>
      <t xml:space="preserve">
</t>
    </r>
    <r>
      <rPr>
        <rFont val="Poppins"/>
        <sz val="7.0"/>
      </rPr>
      <t xml:space="preserve">- [Region investment focus] &gt; Website &gt; "...We work with renowned, top-tier managers and our </t>
    </r>
    <r>
      <rPr>
        <rFont val="Poppins"/>
        <b/>
        <sz val="7.0"/>
      </rPr>
      <t>global</t>
    </r>
    <r>
      <rPr>
        <rFont val="Poppins"/>
        <sz val="7.0"/>
      </rPr>
      <t xml:space="preserve"> investments cover the </t>
    </r>
    <r>
      <rPr>
        <rFont val="Poppins"/>
        <b/>
        <color rgb="FF1155CC"/>
        <sz val="7.0"/>
        <u/>
      </rPr>
      <t>Americas</t>
    </r>
    <r>
      <rPr>
        <rFont val="Poppins"/>
        <sz val="7.0"/>
      </rPr>
      <t xml:space="preserve">, Europe and </t>
    </r>
    <r>
      <rPr>
        <rFont val="Poppins"/>
        <b/>
        <sz val="7.0"/>
      </rPr>
      <t>Asia</t>
    </r>
    <r>
      <rPr>
        <rFont val="Poppins"/>
        <sz val="7.0"/>
      </rPr>
      <t xml:space="preserve">..."
- [Sector investment focus] &gt; Website + Private data provider &gt; "...diversified </t>
    </r>
    <r>
      <rPr>
        <rFont val="Poppins"/>
        <b/>
        <color rgb="FF1155CC"/>
        <sz val="7.0"/>
        <u/>
      </rPr>
      <t>global portfolio</t>
    </r>
    <r>
      <rPr>
        <rFont val="Poppins"/>
        <sz val="7.0"/>
      </rPr>
      <t xml:space="preserve">..."
- [Maturity Focus] &gt; Data manager judgement &gt; They have not publicly disclosed their maturity focus but the rest of the criteria aligns with your IIP </t>
    </r>
    <r>
      <rPr>
        <rFont val="Poppins"/>
        <b/>
        <sz val="7.0"/>
      </rPr>
      <t>#DemandCreation</t>
    </r>
    <r>
      <rPr>
        <rFont val="Poppins"/>
        <sz val="7.0"/>
      </rPr>
      <t>.</t>
    </r>
  </si>
  <si>
    <r>
      <rPr>
        <rFont val="Poppins"/>
        <color theme="1"/>
        <sz val="7.0"/>
      </rPr>
      <t xml:space="preserve">They invest in </t>
    </r>
    <r>
      <rPr>
        <rFont val="Poppins"/>
        <b/>
        <color theme="1"/>
        <sz val="7.0"/>
      </rPr>
      <t>all asset classes</t>
    </r>
    <r>
      <rPr>
        <rFont val="Poppins"/>
        <color theme="1"/>
        <sz val="7.0"/>
      </rPr>
      <t xml:space="preserve"> as per their website and that definitely includes </t>
    </r>
    <r>
      <rPr>
        <rFont val="Poppins"/>
        <b/>
        <color theme="1"/>
        <sz val="7.0"/>
      </rPr>
      <t>VC funds</t>
    </r>
    <r>
      <rPr>
        <rFont val="Poppins"/>
        <color theme="1"/>
        <sz val="7.0"/>
      </rPr>
      <t>.
Worth a shot.</t>
    </r>
  </si>
  <si>
    <t>Shaw River Investment</t>
  </si>
  <si>
    <t>https://www.shawriver.com/</t>
  </si>
  <si>
    <r>
      <rPr>
        <rFont val="Poppins"/>
        <sz val="7.0"/>
      </rPr>
      <t xml:space="preserve">- [Asset Class = Funds - VC] &gt; Website &gt; "...We invest in top </t>
    </r>
    <r>
      <rPr>
        <rFont val="Poppins"/>
        <b/>
        <color rgb="FF1155CC"/>
        <sz val="7.0"/>
        <u/>
      </rPr>
      <t>venture capital funds</t>
    </r>
    <r>
      <rPr>
        <rFont val="Poppins"/>
        <sz val="7.0"/>
      </rPr>
      <t xml:space="preserve"> and build strong partnerships with leading early-stage investors..."
- [Region Investment Focus] &gt; LinkedIn + Website &gt; Our expertise lies in managing a diverse portfolio that spans various companies, real estate developments, investment syndicates, and venture capital funds across </t>
    </r>
    <r>
      <rPr>
        <rFont val="Poppins"/>
        <b/>
        <color rgb="FF1155CC"/>
        <sz val="7.0"/>
        <u/>
      </rPr>
      <t>8 countries</t>
    </r>
    <r>
      <rPr>
        <rFont val="Poppins"/>
        <sz val="7.0"/>
      </rPr>
      <t xml:space="preserve">. + "...We currently hold investments in </t>
    </r>
    <r>
      <rPr>
        <rFont val="Poppins"/>
        <b/>
        <color rgb="FF1155CC"/>
        <sz val="7.0"/>
        <u/>
      </rPr>
      <t>Singapore</t>
    </r>
    <r>
      <rPr>
        <rFont val="Poppins"/>
        <sz val="7.0"/>
      </rPr>
      <t xml:space="preserve">, </t>
    </r>
    <r>
      <rPr>
        <rFont val="Poppins"/>
        <b/>
        <sz val="7.0"/>
      </rPr>
      <t>Indonesia</t>
    </r>
    <r>
      <rPr>
        <rFont val="Poppins"/>
        <sz val="7.0"/>
      </rPr>
      <t xml:space="preserve">, </t>
    </r>
    <r>
      <rPr>
        <rFont val="Poppins"/>
        <b/>
        <sz val="7.0"/>
      </rPr>
      <t>Japan</t>
    </r>
    <r>
      <rPr>
        <rFont val="Poppins"/>
        <sz val="7.0"/>
      </rPr>
      <t xml:space="preserve">, </t>
    </r>
    <r>
      <rPr>
        <rFont val="Poppins"/>
        <b/>
        <sz val="7.0"/>
      </rPr>
      <t>Vietnam</t>
    </r>
    <r>
      <rPr>
        <rFont val="Poppins"/>
        <sz val="7.0"/>
      </rPr>
      <t xml:space="preserve">, </t>
    </r>
    <r>
      <rPr>
        <rFont val="Poppins"/>
        <b/>
        <sz val="7.0"/>
      </rPr>
      <t>Malaysia</t>
    </r>
    <r>
      <rPr>
        <rFont val="Poppins"/>
        <sz val="7.0"/>
      </rPr>
      <t>, the UK and Australia..."</t>
    </r>
    <r>
      <rPr>
        <rFont val="Poppins"/>
        <b/>
        <sz val="7.0"/>
      </rPr>
      <t xml:space="preserve">
</t>
    </r>
    <r>
      <rPr>
        <rFont val="Poppins"/>
        <sz val="7.0"/>
      </rPr>
      <t xml:space="preserve">- [Sector Investment Focus] &gt; Website + Private data provider &gt; "...INVESTMENT SECTORS: Real Estate, </t>
    </r>
    <r>
      <rPr>
        <rFont val="Poppins"/>
        <b/>
        <color rgb="FF1155CC"/>
        <sz val="7.0"/>
        <u/>
      </rPr>
      <t>Financial Technology</t>
    </r>
    <r>
      <rPr>
        <rFont val="Poppins"/>
        <sz val="7.0"/>
      </rPr>
      <t xml:space="preserve">, Blockchain Technology, Lifestyle Concepts, Agriculture..." + Sector: </t>
    </r>
    <r>
      <rPr>
        <rFont val="Poppins"/>
        <b/>
        <sz val="7.0"/>
      </rPr>
      <t xml:space="preserve">Financial Services, </t>
    </r>
    <r>
      <rPr>
        <rFont val="Poppins"/>
        <b/>
        <color rgb="FF1155CC"/>
        <sz val="7.0"/>
        <u/>
      </rPr>
      <t>Technology</t>
    </r>
    <r>
      <rPr>
        <rFont val="Poppins"/>
        <sz val="7.0"/>
      </rPr>
      <t xml:space="preserve">
- [Maturity Focus] &gt; Website &gt; "...allowing us to manage top-tier and </t>
    </r>
    <r>
      <rPr>
        <rFont val="Poppins"/>
        <b/>
        <color rgb="FF1155CC"/>
        <sz val="7.0"/>
        <u/>
      </rPr>
      <t>emerging venture managers</t>
    </r>
    <r>
      <rPr>
        <rFont val="Poppins"/>
        <sz val="7.0"/>
      </rPr>
      <t xml:space="preserve"> for consistent returns..."</t>
    </r>
  </si>
  <si>
    <t>Owner</t>
  </si>
  <si>
    <t>Henry C</t>
  </si>
  <si>
    <t xml:space="preserve">Henry </t>
  </si>
  <si>
    <t>C</t>
  </si>
  <si>
    <t>henry.c@shawriver.com</t>
  </si>
  <si>
    <t>https://www.linkedin.com/in/henry-c-5427422b1/?originalSubdomain=sg</t>
  </si>
  <si>
    <t>SEDCO Holding</t>
  </si>
  <si>
    <t>https://annualreview.sedco.com/who_we_are/who_we_are.html</t>
  </si>
  <si>
    <r>
      <rPr>
        <rFont val="Poppins"/>
        <sz val="7.0"/>
      </rPr>
      <t xml:space="preserve">- [Asset Class = Funds - VC] &gt; Website &gt; "...This included direct investments in both public and private companies, as well as </t>
    </r>
    <r>
      <rPr>
        <rFont val="Poppins"/>
        <b/>
        <sz val="7.0"/>
      </rPr>
      <t xml:space="preserve">indirect investments </t>
    </r>
    <r>
      <rPr>
        <rFont val="Poppins"/>
        <sz val="7.0"/>
      </rPr>
      <t>through Discretionary Portfolio Management of public equities, Shariah-compliant bonds (Sukuk), and Private Equity/</t>
    </r>
    <r>
      <rPr>
        <rFont val="Poppins"/>
        <b/>
        <color rgb="FF1155CC"/>
        <sz val="7.0"/>
        <u/>
      </rPr>
      <t>Venture Capital funds</t>
    </r>
    <r>
      <rPr>
        <rFont val="Poppins"/>
        <sz val="7.0"/>
      </rPr>
      <t xml:space="preserve">..."
- [Sector Investment Focus] &gt; Data manager judgement &gt; They have made investments in Nuwa Venture Fund I which focus on </t>
    </r>
    <r>
      <rPr>
        <rFont val="Poppins"/>
        <b/>
        <color rgb="FF1155CC"/>
        <sz val="7.0"/>
        <u/>
      </rPr>
      <t>AI</t>
    </r>
    <r>
      <rPr>
        <rFont val="Poppins"/>
        <b/>
        <sz val="7.0"/>
      </rPr>
      <t>, fintech</t>
    </r>
    <r>
      <rPr>
        <rFont val="Poppins"/>
        <sz val="7.0"/>
      </rPr>
      <t xml:space="preserve">, etc.
- [Region Investment Focus] &gt; Website &gt; "...extensive domestic, </t>
    </r>
    <r>
      <rPr>
        <rFont val="Poppins"/>
        <b/>
        <sz val="7.0"/>
      </rPr>
      <t>regional</t>
    </r>
    <r>
      <rPr>
        <rFont val="Poppins"/>
        <sz val="7.0"/>
      </rPr>
      <t xml:space="preserve">, and </t>
    </r>
    <r>
      <rPr>
        <rFont val="Poppins"/>
        <b/>
        <color rgb="FF1155CC"/>
        <sz val="7.0"/>
        <u/>
      </rPr>
      <t xml:space="preserve">international </t>
    </r>
    <r>
      <rPr>
        <rFont val="Poppins"/>
        <sz val="7.0"/>
      </rPr>
      <t xml:space="preserve">presence...."
- [Maturity Focus] &gt; Data manager judgement &gt; Their investments confirm that they invest in </t>
    </r>
    <r>
      <rPr>
        <rFont val="Poppins"/>
        <b/>
        <color rgb="FF1155CC"/>
        <sz val="7.0"/>
        <u/>
      </rPr>
      <t>emerging managers</t>
    </r>
    <r>
      <rPr>
        <rFont val="Poppins"/>
        <sz val="7.0"/>
      </rPr>
      <t xml:space="preserve"> (Nuwa Venture Fund I).</t>
    </r>
  </si>
  <si>
    <t>Ossama Banaja</t>
  </si>
  <si>
    <t>Ossama</t>
  </si>
  <si>
    <t>Banaja</t>
  </si>
  <si>
    <t>obanaja@sedco.com</t>
  </si>
  <si>
    <t>https://www.linkedin.com/in/ossama-banaja-4a82b9b/</t>
  </si>
  <si>
    <t>Wee Hur Holdings</t>
  </si>
  <si>
    <t>https://weehur.com.sg/</t>
  </si>
  <si>
    <r>
      <rPr>
        <rFont val="Poppins"/>
        <sz val="7.0"/>
      </rPr>
      <t xml:space="preserve">-[Asset class = Funds-VC] &gt; Website &gt; "... the Group deploys a small sum of capital to participate in the world of venture capital by investing into </t>
    </r>
    <r>
      <rPr>
        <rFont val="Poppins"/>
        <b/>
        <color rgb="FF1155CC"/>
        <sz val="7.0"/>
        <u/>
      </rPr>
      <t>venture capital funds</t>
    </r>
    <r>
      <rPr>
        <rFont val="Poppins"/>
        <sz val="7.0"/>
      </rPr>
      <t xml:space="preserve">..."
-[Sector investment focus] &gt; Data manager judgement &gt; Data manager judgement &gt; They have mentioned some of their investments, which focus on </t>
    </r>
    <r>
      <rPr>
        <rFont val="Poppins"/>
        <b/>
        <sz val="7.0"/>
      </rPr>
      <t>technology</t>
    </r>
    <r>
      <rPr>
        <rFont val="Poppins"/>
        <sz val="7.0"/>
      </rPr>
      <t xml:space="preserve">, </t>
    </r>
    <r>
      <rPr>
        <rFont val="Poppins"/>
        <b/>
        <color rgb="FF1155CC"/>
        <sz val="7.0"/>
        <u/>
      </rPr>
      <t>AI</t>
    </r>
    <r>
      <rPr>
        <rFont val="Poppins"/>
        <sz val="7.0"/>
      </rPr>
      <t xml:space="preserve"> (TNB Aura, 500 Global).
-[Region investment focus] &gt; Website &gt; "...fund of fund investments Based on Country: </t>
    </r>
    <r>
      <rPr>
        <rFont val="Poppins"/>
        <b/>
        <sz val="7.0"/>
      </rPr>
      <t>Singapore</t>
    </r>
    <r>
      <rPr>
        <rFont val="Poppins"/>
        <sz val="7.0"/>
      </rPr>
      <t xml:space="preserve">, Australia, </t>
    </r>
    <r>
      <rPr>
        <rFont val="Poppins"/>
        <b/>
        <color rgb="FF1155CC"/>
        <sz val="7.0"/>
        <u/>
      </rPr>
      <t>United States of America</t>
    </r>
    <r>
      <rPr>
        <rFont val="Poppins"/>
        <sz val="7.0"/>
      </rPr>
      <t xml:space="preserve">, Cayman Islands.
- [Maturity Focus] &gt; Data manager judgement &gt; They have not publicly disclosed their maturity focus but the rest of the criteria aligns with your IIP </t>
    </r>
    <r>
      <rPr>
        <rFont val="Poppins"/>
        <b/>
        <sz val="7.0"/>
      </rPr>
      <t>#DemandCreation</t>
    </r>
    <r>
      <rPr>
        <rFont val="Poppins"/>
        <sz val="7.0"/>
      </rPr>
      <t>.</t>
    </r>
  </si>
  <si>
    <t>already spoke to them; they arent interested</t>
  </si>
  <si>
    <t>ACT Holdings</t>
  </si>
  <si>
    <t>https://act-holdings.com.sg/</t>
  </si>
  <si>
    <r>
      <rPr>
        <rFont val="Poppins"/>
        <sz val="7.0"/>
      </rPr>
      <t xml:space="preserve">-[Asset class = Funds-VC] &gt; Linkedin &gt; </t>
    </r>
    <r>
      <rPr>
        <rFont val="Poppins"/>
        <b/>
        <sz val="7.0"/>
      </rPr>
      <t>alternative investments</t>
    </r>
    <r>
      <rPr>
        <rFont val="Poppins"/>
        <sz val="7.0"/>
      </rPr>
      <t xml:space="preserve"> in the areas of real estate, private equity, and </t>
    </r>
    <r>
      <rPr>
        <rFont val="Poppins"/>
        <b/>
        <color rgb="FF1155CC"/>
        <sz val="7.0"/>
        <u/>
      </rPr>
      <t>venture capital</t>
    </r>
    <r>
      <rPr>
        <rFont val="Poppins"/>
        <sz val="7.0"/>
      </rPr>
      <t xml:space="preserve"> + In the alternatives space, ACT has a 30 year track record of supporting several spin-out </t>
    </r>
    <r>
      <rPr>
        <rFont val="Poppins"/>
        <b/>
        <color rgb="FF1155CC"/>
        <sz val="7.0"/>
        <u/>
      </rPr>
      <t>VC</t>
    </r>
    <r>
      <rPr>
        <rFont val="Poppins"/>
        <sz val="7.0"/>
      </rPr>
      <t xml:space="preserve">, PE and Hedge Funds </t>
    </r>
    <r>
      <rPr>
        <rFont val="Poppins"/>
        <b/>
        <sz val="7.0"/>
      </rPr>
      <t>GP</t>
    </r>
    <r>
      <rPr>
        <rFont val="Poppins"/>
        <sz val="7.0"/>
      </rPr>
      <t xml:space="preserve"> teams. +  + "...ACT was also an inception-stage investor in </t>
    </r>
    <r>
      <rPr>
        <rFont val="Poppins"/>
        <b/>
        <sz val="7.0"/>
      </rPr>
      <t>Monks Hill Ventures I and II</t>
    </r>
    <r>
      <rPr>
        <rFont val="Poppins"/>
        <sz val="7.0"/>
      </rPr>
      <t xml:space="preserve">, a leading Singapore based </t>
    </r>
    <r>
      <rPr>
        <rFont val="Poppins"/>
        <b/>
        <color rgb="FF1155CC"/>
        <sz val="7.0"/>
        <u/>
      </rPr>
      <t>VC Fund</t>
    </r>
    <r>
      <rPr>
        <rFont val="Poppins"/>
        <sz val="7.0"/>
      </rPr>
      <t xml:space="preserve">..."
-[Sector investment focus] &gt; Website &gt; "...ACT seeded Novo Tellus Capital Partners’ PE Fund I, a private equity fund focused on control investments in </t>
    </r>
    <r>
      <rPr>
        <rFont val="Poppins"/>
        <b/>
        <color rgb="FF1155CC"/>
        <sz val="7.0"/>
        <u/>
      </rPr>
      <t>technology</t>
    </r>
    <r>
      <rPr>
        <rFont val="Poppins"/>
        <sz val="7.0"/>
      </rPr>
      <t xml:space="preserve"> and industrial..."
-[Region investment focus] &gt; Website &gt; "...A global view allows the company to allocate assets between emerging markets in Asia, and the developed markets in the </t>
    </r>
    <r>
      <rPr>
        <rFont val="Poppins"/>
        <b/>
        <color rgb="FF1155CC"/>
        <sz val="7.0"/>
        <u/>
      </rPr>
      <t>US</t>
    </r>
    <r>
      <rPr>
        <rFont val="Poppins"/>
        <sz val="7.0"/>
      </rPr>
      <t xml:space="preserve"> and Europe..."
-[Maturity Focus] &gt; Website &gt; "...ACT was also an inception-stage investor in </t>
    </r>
    <r>
      <rPr>
        <rFont val="Poppins"/>
        <b/>
        <color rgb="FF1155CC"/>
        <sz val="7.0"/>
        <u/>
      </rPr>
      <t>Monks Hill Ventures I and II</t>
    </r>
    <r>
      <rPr>
        <rFont val="Poppins"/>
        <sz val="7.0"/>
      </rPr>
      <t>, a leading Singapore based VC Fund..."</t>
    </r>
  </si>
  <si>
    <t>privateequity and real estate focus</t>
  </si>
  <si>
    <t xml:space="preserve">Bugshan Investment </t>
  </si>
  <si>
    <t>https://bugshaninvestment.com/</t>
  </si>
  <si>
    <r>
      <rPr>
        <rFont val="Poppins"/>
        <sz val="7.0"/>
      </rPr>
      <t xml:space="preserve">-[Asset class = Funds-VC] &gt; Website &gt; "...We allocate capital to </t>
    </r>
    <r>
      <rPr>
        <rFont val="Poppins"/>
        <b/>
        <color rgb="FF1155CC"/>
        <sz val="7.0"/>
        <u/>
      </rPr>
      <t>venture capital funds</t>
    </r>
    <r>
      <rPr>
        <rFont val="Poppins"/>
        <sz val="7.0"/>
      </rPr>
      <t xml:space="preserve">..."
-[Sector investment focus] &gt; Private data provider &gt; Bugshan family office, managing a diverse global portfolio across sectors including healthcare, real estate, automotive, consumer products, food and beverages, and </t>
    </r>
    <r>
      <rPr>
        <rFont val="Poppins"/>
        <b/>
        <color rgb="FF1155CC"/>
        <sz val="7.0"/>
        <u/>
      </rPr>
      <t>technology</t>
    </r>
    <r>
      <rPr>
        <rFont val="Poppins"/>
        <sz val="7.0"/>
      </rPr>
      <t xml:space="preserve">
-[Region investment focus] &gt; Website &gt; "...Our </t>
    </r>
    <r>
      <rPr>
        <rFont val="Poppins"/>
        <b/>
        <color rgb="FF1155CC"/>
        <sz val="7.0"/>
        <u/>
      </rPr>
      <t>global</t>
    </r>
    <r>
      <rPr>
        <rFont val="Poppins"/>
        <sz val="7.0"/>
      </rPr>
      <t xml:space="preserve"> investment strategy encompasses a diverse range of Asset classes..."
-[Maturity Focus] &gt; Data manager judgement &gt; They have not publicly disclosed their maturity focus but the rest of the criteria aligns with your IIP </t>
    </r>
    <r>
      <rPr>
        <rFont val="Poppins"/>
        <b/>
        <sz val="7.0"/>
      </rPr>
      <t>#DemandCreation</t>
    </r>
    <r>
      <rPr>
        <rFont val="Poppins"/>
        <sz val="7.0"/>
      </rPr>
      <t>.</t>
    </r>
  </si>
  <si>
    <t>Fares Bugshan</t>
  </si>
  <si>
    <t>fares.bugshan@bugshan-investment.com</t>
  </si>
  <si>
    <t>https://www.linkedin.com/in/faresbugshan/</t>
  </si>
  <si>
    <t>Tawoos Group</t>
  </si>
  <si>
    <t>https://tawoos.com/</t>
  </si>
  <si>
    <t>Oman</t>
  </si>
  <si>
    <r>
      <rPr>
        <rFont val="Poppins"/>
        <sz val="7.0"/>
      </rPr>
      <t>-[Asset class = Funds-VC] &gt; Website &gt; "...Private Equity and</t>
    </r>
    <r>
      <rPr>
        <rFont val="Poppins"/>
        <b/>
        <color rgb="FF1155CC"/>
        <sz val="7.0"/>
        <u/>
      </rPr>
      <t xml:space="preserve"> Venture Capital</t>
    </r>
    <r>
      <rPr>
        <rFont val="Poppins"/>
        <sz val="7.0"/>
      </rPr>
      <t xml:space="preserve"> which includes</t>
    </r>
    <r>
      <rPr>
        <rFont val="Poppins"/>
        <b/>
        <sz val="7.0"/>
      </rPr>
      <t xml:space="preserve"> LP</t>
    </r>
    <r>
      <rPr>
        <rFont val="Poppins"/>
        <sz val="7.0"/>
      </rPr>
      <t xml:space="preserve"> commitments with seasoned </t>
    </r>
    <r>
      <rPr>
        <rFont val="Poppins"/>
        <b/>
        <sz val="7.0"/>
      </rPr>
      <t>fund managers</t>
    </r>
    <r>
      <rPr>
        <rFont val="Poppins"/>
        <sz val="7.0"/>
      </rPr>
      <t>..."
-[Sector investment focus] &gt; Website &gt; "...This strategy comprises a</t>
    </r>
    <r>
      <rPr>
        <rFont val="Poppins"/>
        <b/>
        <color rgb="FF1155CC"/>
        <sz val="7.0"/>
        <u/>
      </rPr>
      <t xml:space="preserve"> sector-agnostic</t>
    </r>
    <r>
      <rPr>
        <rFont val="Poppins"/>
        <sz val="7.0"/>
      </rPr>
      <t>..."
-[Region investment focus] &gt; Website &gt; "...</t>
    </r>
    <r>
      <rPr>
        <rFont val="Poppins"/>
        <b/>
        <color rgb="FF1155CC"/>
        <sz val="7.0"/>
        <u/>
      </rPr>
      <t>global</t>
    </r>
    <r>
      <rPr>
        <rFont val="Poppins"/>
        <sz val="7.0"/>
      </rPr>
      <t xml:space="preserve"> capital markets, private equity and venture capital..."
-[Maturity Focus] &gt; Data manager judgement &gt; They have not publicly disclosed their maturity focus but the rest of the criteria aligns with your IIP </t>
    </r>
    <r>
      <rPr>
        <rFont val="Poppins"/>
        <b/>
        <sz val="7.0"/>
      </rPr>
      <t>#DemandCreation</t>
    </r>
    <r>
      <rPr>
        <rFont val="Poppins"/>
        <sz val="7.0"/>
      </rPr>
      <t>.</t>
    </r>
  </si>
  <si>
    <t xml:space="preserve"> Venture Capital which includes LP commitments with seasoned fund managers.</t>
  </si>
  <si>
    <t>Analog Capital</t>
  </si>
  <si>
    <t>https://analog-cap.com/</t>
  </si>
  <si>
    <t>Website, Private data provider, Portfolio, Data manager judgement</t>
  </si>
  <si>
    <r>
      <rPr>
        <rFont val="Poppins"/>
        <sz val="7.0"/>
      </rPr>
      <t xml:space="preserve">- [Asset Class = Fund VC] &gt; Portfolio &gt; Their portfolio confirms their investment in </t>
    </r>
    <r>
      <rPr>
        <rFont val="Poppins"/>
        <b/>
        <color rgb="FF1155CC"/>
        <sz val="7.0"/>
        <u/>
      </rPr>
      <t>VC funds</t>
    </r>
    <r>
      <rPr>
        <rFont val="Poppins"/>
        <sz val="7.0"/>
      </rPr>
      <t xml:space="preserve"> (</t>
    </r>
    <r>
      <rPr>
        <rFont val="Poppins"/>
        <b/>
        <sz val="7.0"/>
      </rPr>
      <t>ACV Capital, Kopital Ventures</t>
    </r>
    <r>
      <rPr>
        <rFont val="Poppins"/>
        <sz val="7.0"/>
      </rPr>
      <t xml:space="preserve">).
- [Sector Investment Focus] &gt; Website &gt; "...Analog Capital is an institutional fund manager dedicated to </t>
    </r>
    <r>
      <rPr>
        <rFont val="Poppins"/>
        <b/>
        <color rgb="FF1155CC"/>
        <sz val="7.0"/>
        <u/>
      </rPr>
      <t>technology</t>
    </r>
    <r>
      <rPr>
        <rFont val="Poppins"/>
        <sz val="7.0"/>
      </rPr>
      <t xml:space="preserve"> founders in Asia..."
- [Region Investment Focus] &gt; Website &gt; "...dedicated to technology founders in </t>
    </r>
    <r>
      <rPr>
        <rFont val="Poppins"/>
        <b/>
        <color rgb="FF1155CC"/>
        <sz val="7.0"/>
        <u/>
      </rPr>
      <t>Asia</t>
    </r>
    <r>
      <rPr>
        <rFont val="Poppins"/>
        <sz val="7.0"/>
      </rPr>
      <t xml:space="preserve">..."
- [Maturity Focus] &gt; Data manager judgement &gt; Private data provider confirms that they invest in </t>
    </r>
    <r>
      <rPr>
        <rFont val="Poppins"/>
        <b/>
        <color rgb="FF1155CC"/>
        <sz val="7.0"/>
        <u/>
      </rPr>
      <t>emerging managers</t>
    </r>
    <r>
      <rPr>
        <rFont val="Poppins"/>
        <sz val="7.0"/>
      </rPr>
      <t xml:space="preserve"> (Kopital Ventures Fund, Forge Ventures Fund I).</t>
    </r>
  </si>
  <si>
    <t>Founder &amp; Chief Executive Officer</t>
  </si>
  <si>
    <t>Jim Quismorio</t>
  </si>
  <si>
    <t>Jim</t>
  </si>
  <si>
    <t>Quismorio</t>
  </si>
  <si>
    <t>jamesquismorio@gmail.com</t>
  </si>
  <si>
    <t>https://www.linkedin.com/in/jim-quismorio-4b130846/</t>
  </si>
  <si>
    <t>Sakal Group</t>
  </si>
  <si>
    <t>https://www.sakal.group/</t>
  </si>
  <si>
    <r>
      <rPr>
        <rFont val="Poppins"/>
        <sz val="7.0"/>
      </rPr>
      <t xml:space="preserve">-[Asset class = Funds - VC] &gt; Website &gt; ''...Our various industry partners include </t>
    </r>
    <r>
      <rPr>
        <rFont val="Poppins"/>
        <b/>
        <color rgb="FF1155CC"/>
        <sz val="7.0"/>
        <u/>
      </rPr>
      <t>Venture Capital Funds</t>
    </r>
    <r>
      <rPr>
        <rFont val="Poppins"/>
        <sz val="7.0"/>
      </rPr>
      <t xml:space="preserve"> where we are </t>
    </r>
    <r>
      <rPr>
        <rFont val="Poppins"/>
        <b/>
        <sz val="7.0"/>
      </rPr>
      <t>LP's</t>
    </r>
    <r>
      <rPr>
        <rFont val="Poppins"/>
        <sz val="7.0"/>
      </rPr>
      <t xml:space="preserve">..."
-[Region investment focus] &gt;  Data manager judgement &gt; Their investments are based in the </t>
    </r>
    <r>
      <rPr>
        <rFont val="Poppins"/>
        <b/>
        <color rgb="FF1155CC"/>
        <sz val="7.0"/>
        <u/>
      </rPr>
      <t>United States</t>
    </r>
    <r>
      <rPr>
        <rFont val="Poppins"/>
        <sz val="7.0"/>
      </rPr>
      <t xml:space="preserve"> (Savyon Ventures, Sarona Ventures, etc).
-[Sector investment focus] &gt; Website &gt; "...private equity investments in impactful startups within</t>
    </r>
    <r>
      <rPr>
        <rFont val="Poppins"/>
        <b/>
        <sz val="7.0"/>
      </rPr>
      <t xml:space="preserve"> Technology</t>
    </r>
    <r>
      <rPr>
        <rFont val="Poppins"/>
        <sz val="7.0"/>
      </rPr>
      <t xml:space="preserve">, Impact Tech, Agro Tech, </t>
    </r>
    <r>
      <rPr>
        <rFont val="Poppins"/>
        <b/>
        <color rgb="FF1155CC"/>
        <sz val="7.0"/>
        <u/>
      </rPr>
      <t>Fintech</t>
    </r>
    <r>
      <rPr>
        <rFont val="Poppins"/>
        <sz val="7.0"/>
      </rPr>
      <t xml:space="preserve">, Capital Markets, Beauty &amp; Fashion sectors..." + Their investments focus on </t>
    </r>
    <r>
      <rPr>
        <rFont val="Poppins"/>
        <b/>
        <color rgb="FF1155CC"/>
        <sz val="7.0"/>
        <u/>
      </rPr>
      <t>AI</t>
    </r>
    <r>
      <rPr>
        <rFont val="Poppins"/>
        <sz val="7.0"/>
      </rPr>
      <t xml:space="preserve"> as well (ShopperAI, Savyon Ventures, etc).
-[Maturity Focus] &gt; Data manager judgement &gt; They have not publicly disclosed their maturity focus but the rest of the criteria aligns with your IIP </t>
    </r>
    <r>
      <rPr>
        <rFont val="Poppins"/>
        <b/>
        <sz val="7.0"/>
      </rPr>
      <t>#DemandCreation</t>
    </r>
    <r>
      <rPr>
        <rFont val="Poppins"/>
        <sz val="7.0"/>
      </rPr>
      <t>.</t>
    </r>
  </si>
  <si>
    <t>direct investments</t>
  </si>
  <si>
    <t>850 Management</t>
  </si>
  <si>
    <t>https://www.linkedin.com/company/850m/</t>
  </si>
  <si>
    <t>LinkedIn, Private data provider</t>
  </si>
  <si>
    <r>
      <rPr>
        <rFont val="Poppins"/>
        <sz val="7.0"/>
      </rPr>
      <t xml:space="preserve">-[Asset class = Funds-VC] &gt; Linkedin &gt; capitalize on opportunities in </t>
    </r>
    <r>
      <rPr>
        <rFont val="Poppins"/>
        <b/>
        <color rgb="FF1155CC"/>
        <sz val="7.0"/>
        <u/>
      </rPr>
      <t>Funds</t>
    </r>
    <r>
      <rPr>
        <rFont val="Poppins"/>
        <sz val="7.0"/>
      </rPr>
      <t xml:space="preserve"> &amp; Co-investments. +  with a strong focus on investments with top tier Global Private Equity, </t>
    </r>
    <r>
      <rPr>
        <rFont val="Poppins"/>
        <b/>
        <color rgb="FF1155CC"/>
        <sz val="7.0"/>
        <u/>
      </rPr>
      <t>Venture Capital</t>
    </r>
    <r>
      <rPr>
        <rFont val="Poppins"/>
        <sz val="7.0"/>
      </rPr>
      <t xml:space="preserve">, and Real Estate Funds
-[Region investment focus] &gt; Private data provider &gt; with a strong focus on investments with top tier </t>
    </r>
    <r>
      <rPr>
        <rFont val="Poppins"/>
        <b/>
        <color rgb="FF1155CC"/>
        <sz val="7.0"/>
        <u/>
      </rPr>
      <t>Global</t>
    </r>
    <r>
      <rPr>
        <rFont val="Poppins"/>
        <sz val="7.0"/>
      </rPr>
      <t xml:space="preserve"> Private Equity, Venture Capital, and Real Estate </t>
    </r>
    <r>
      <rPr>
        <rFont val="Poppins"/>
        <b/>
        <sz val="7.0"/>
      </rPr>
      <t>Funds</t>
    </r>
    <r>
      <rPr>
        <rFont val="Poppins"/>
        <sz val="7.0"/>
      </rPr>
      <t xml:space="preserve">.
-[Sector investment focus] &gt; Private data provider &gt; across various </t>
    </r>
    <r>
      <rPr>
        <rFont val="Poppins"/>
        <b/>
        <color rgb="FF1155CC"/>
        <sz val="7.0"/>
        <u/>
      </rPr>
      <t xml:space="preserve">sectors
</t>
    </r>
    <r>
      <rPr>
        <rFont val="Poppins"/>
        <sz val="7.0"/>
      </rPr>
      <t xml:space="preserve">-[Maturity Focus] &gt; Data manager judgement &gt; They have not publicly disclosed their maturity focus but the rest of the criteria aligns with your IIP </t>
    </r>
    <r>
      <rPr>
        <rFont val="Poppins"/>
        <b/>
        <sz val="7.0"/>
      </rPr>
      <t>#DemandCreation</t>
    </r>
    <r>
      <rPr>
        <rFont val="Poppins"/>
        <sz val="7.0"/>
      </rPr>
      <t>.</t>
    </r>
  </si>
  <si>
    <t xml:space="preserve">Amkan Venture </t>
  </si>
  <si>
    <t>https://www.amkanventures.com/</t>
  </si>
  <si>
    <r>
      <rPr>
        <rFont val="Poppins"/>
        <sz val="7.0"/>
      </rPr>
      <t xml:space="preserve">- [Asset class = Fund - VC] &gt; Website &gt; "...We back the next generation of venture </t>
    </r>
    <r>
      <rPr>
        <rFont val="Poppins"/>
        <b/>
        <color rgb="FF1155CC"/>
        <sz val="7.0"/>
        <u/>
      </rPr>
      <t>funds</t>
    </r>
    <r>
      <rPr>
        <rFont val="Poppins"/>
        <sz val="7.0"/>
      </rPr>
      <t xml:space="preserve">..."
- [Maturity focus] &gt; Website &gt; "...We are constantly looking for </t>
    </r>
    <r>
      <rPr>
        <rFont val="Poppins"/>
        <b/>
        <color rgb="FF1155CC"/>
        <sz val="7.0"/>
        <u/>
      </rPr>
      <t>emerging managers</t>
    </r>
    <r>
      <rPr>
        <rFont val="Poppins"/>
        <sz val="7.0"/>
      </rPr>
      <t xml:space="preserve">..."
- [Sector investment focus] &gt; Data manager judgement &gt; Their website confirms that they invest in </t>
    </r>
    <r>
      <rPr>
        <rFont val="Poppins"/>
        <b/>
        <color rgb="FF1155CC"/>
        <sz val="7.0"/>
        <u/>
      </rPr>
      <t>tech-enabled</t>
    </r>
    <r>
      <rPr>
        <rFont val="Poppins"/>
        <sz val="7.0"/>
      </rPr>
      <t xml:space="preserve"> sectors.
- [Region investment focus] &gt; Website &gt; "...</t>
    </r>
    <r>
      <rPr>
        <rFont val="Poppins"/>
        <b/>
        <color rgb="FF1155CC"/>
        <sz val="7.0"/>
        <u/>
      </rPr>
      <t>U.S.</t>
    </r>
    <r>
      <rPr>
        <rFont val="Poppins"/>
        <sz val="7.0"/>
      </rPr>
      <t xml:space="preserve"> Focus: With supportive government policies and world-class infrastructure, the </t>
    </r>
    <r>
      <rPr>
        <rFont val="Poppins"/>
        <b/>
        <sz val="7.0"/>
      </rPr>
      <t>U.S.</t>
    </r>
    <r>
      <rPr>
        <rFont val="Poppins"/>
        <sz val="7.0"/>
      </rPr>
      <t xml:space="preserve"> provides a solid foundation and fertile grounds for businesses to scale and thrive..."</t>
    </r>
  </si>
  <si>
    <t>Raida Jisr</t>
  </si>
  <si>
    <t>Raida</t>
  </si>
  <si>
    <t>Jisr</t>
  </si>
  <si>
    <t>raida@amkanventures.com</t>
  </si>
  <si>
    <t>https://www.linkedin.com/in/raidadaouk/</t>
  </si>
  <si>
    <t>Aestus Capital</t>
  </si>
  <si>
    <t>https://aestuscapital.com/</t>
  </si>
  <si>
    <r>
      <rPr>
        <rFont val="Poppins"/>
        <sz val="7.0"/>
      </rPr>
      <t>- [Asset class = Funds - VC] &gt; Website &gt; "...</t>
    </r>
    <r>
      <rPr>
        <rFont val="Poppins"/>
        <b/>
        <sz val="7.0"/>
      </rPr>
      <t>VC</t>
    </r>
    <r>
      <rPr>
        <rFont val="Poppins"/>
        <sz val="7.0"/>
      </rPr>
      <t xml:space="preserve"> and PE </t>
    </r>
    <r>
      <rPr>
        <rFont val="Poppins"/>
        <b/>
        <color rgb="FF1155CC"/>
        <sz val="7.0"/>
        <u/>
      </rPr>
      <t xml:space="preserve">Fund </t>
    </r>
    <r>
      <rPr>
        <rFont val="Poppins"/>
        <sz val="7.0"/>
      </rPr>
      <t xml:space="preserve">Investing Aestus Capital primarily invests in smaller and middle market funds..." + "...We are an experienced, long-term, partnership-oriented investor in </t>
    </r>
    <r>
      <rPr>
        <rFont val="Poppins"/>
        <b/>
        <color rgb="FF1155CC"/>
        <sz val="7.0"/>
        <u/>
      </rPr>
      <t>venture capital</t>
    </r>
    <r>
      <rPr>
        <rFont val="Poppins"/>
        <sz val="7.0"/>
      </rPr>
      <t xml:space="preserve"> and private equity funds as well as co-investments...."
- [Maturity Focus] &gt; Website  &gt; "...We also invest in highly capable, next generation managers who are raising their </t>
    </r>
    <r>
      <rPr>
        <rFont val="Poppins"/>
        <b/>
        <color rgb="FF1155CC"/>
        <sz val="7.0"/>
        <u/>
      </rPr>
      <t>first</t>
    </r>
    <r>
      <rPr>
        <rFont val="Poppins"/>
        <b/>
        <sz val="7.0"/>
      </rPr>
      <t xml:space="preserve">, </t>
    </r>
    <r>
      <rPr>
        <rFont val="Poppins"/>
        <sz val="7.0"/>
      </rPr>
      <t xml:space="preserve">second or third funds..."
- [Sector investment focus] &gt; Private data provider &gt; opportunities in </t>
    </r>
    <r>
      <rPr>
        <rFont val="Poppins"/>
        <b/>
        <color rgb="FF1155CC"/>
        <sz val="7.0"/>
        <u/>
      </rPr>
      <t>promising sectors</t>
    </r>
    <r>
      <rPr>
        <rFont val="Poppins"/>
        <sz val="7.0"/>
      </rPr>
      <t xml:space="preserve"> in the US and Europe.
- [Region investment focus] &gt; Website &gt; "...Gateway to top-tier and access-constrained </t>
    </r>
    <r>
      <rPr>
        <rFont val="Poppins"/>
        <b/>
        <color rgb="FF1155CC"/>
        <sz val="7.0"/>
        <u/>
      </rPr>
      <t>U.S.</t>
    </r>
    <r>
      <rPr>
        <rFont val="Poppins"/>
        <sz val="7.0"/>
      </rPr>
      <t xml:space="preserve"> and European alternative assets..."</t>
    </r>
  </si>
  <si>
    <t>capital allocator</t>
  </si>
  <si>
    <t>Xin Fund Management</t>
  </si>
  <si>
    <t>https://www.xinfamily.vip/#key-management</t>
  </si>
  <si>
    <r>
      <rPr>
        <rFont val="Poppins"/>
        <sz val="7.0"/>
      </rPr>
      <t xml:space="preserve">- [Asset class = Funds VC] &gt; Website &gt; "...Investment: </t>
    </r>
    <r>
      <rPr>
        <rFont val="Poppins"/>
        <b/>
        <color rgb="FF1155CC"/>
        <sz val="7.0"/>
        <u/>
      </rPr>
      <t>Venture Capitalist, Private Equity Investment</t>
    </r>
    <r>
      <rPr>
        <rFont val="Poppins"/>
        <sz val="7.0"/>
      </rPr>
      <t>..."</t>
    </r>
    <r>
      <rPr>
        <rFont val="Poppins"/>
        <b/>
        <sz val="7.0"/>
      </rPr>
      <t xml:space="preserve">
</t>
    </r>
    <r>
      <rPr>
        <rFont val="Poppins"/>
        <sz val="7.0"/>
      </rPr>
      <t xml:space="preserve">- [Sector investment focus] &gt; Data manager judgement &gt; Private data provider in </t>
    </r>
    <r>
      <rPr>
        <rFont val="Poppins"/>
        <b/>
        <color rgb="FF1155CC"/>
        <sz val="7.0"/>
        <u/>
      </rPr>
      <t>AI</t>
    </r>
    <r>
      <rPr>
        <rFont val="Poppins"/>
        <sz val="7.0"/>
      </rPr>
      <t xml:space="preserve"> (Adot).
- [Region investment focus] &gt; Data manager judgement &gt; Their investment is based in the </t>
    </r>
    <r>
      <rPr>
        <rFont val="Poppins"/>
        <b/>
        <color rgb="FF1155CC"/>
        <sz val="7.0"/>
        <u/>
      </rPr>
      <t>United States</t>
    </r>
    <r>
      <rPr>
        <rFont val="Poppins"/>
        <sz val="7.0"/>
      </rPr>
      <t xml:space="preserve"> (Adot).
- [Maturity Focus] &gt; Data manager judgement &gt; They have not publicly disclosed their maturity focus but the rest of the criteria aligns with your IIP </t>
    </r>
    <r>
      <rPr>
        <rFont val="Poppins"/>
        <b/>
        <sz val="7.0"/>
      </rPr>
      <t>#DemandCreation</t>
    </r>
    <r>
      <rPr>
        <rFont val="Poppins"/>
        <sz val="7.0"/>
      </rPr>
      <t>.</t>
    </r>
  </si>
  <si>
    <t>Ken Chew</t>
  </si>
  <si>
    <t>Ken</t>
  </si>
  <si>
    <t>Chew</t>
  </si>
  <si>
    <t>kentchew@yahoo.co.jp</t>
  </si>
  <si>
    <t>https://www.linkedin.com/in/ken-chew-6ab75414/</t>
  </si>
  <si>
    <t>Yurbi Capital</t>
  </si>
  <si>
    <t>https://yurbicapital.com/</t>
  </si>
  <si>
    <r>
      <rPr>
        <rFont val="Poppins"/>
        <sz val="7.0"/>
      </rPr>
      <t xml:space="preserve">- [Asset class = Funds - VC] &gt; Website &gt; "...We have invested in more than 50 companies and </t>
    </r>
    <r>
      <rPr>
        <rFont val="Poppins"/>
        <b/>
        <color rgb="FF1155CC"/>
        <sz val="7.0"/>
        <u/>
      </rPr>
      <t xml:space="preserve">funds </t>
    </r>
    <r>
      <rPr>
        <rFont val="Poppins"/>
        <sz val="7.0"/>
      </rPr>
      <t>at different stages..." + "...We have also anchored and co-invested in</t>
    </r>
    <r>
      <rPr>
        <rFont val="Poppins"/>
        <b/>
        <color rgb="FF1155CC"/>
        <sz val="7.0"/>
        <u/>
      </rPr>
      <t xml:space="preserve"> Venture Capital</t>
    </r>
    <r>
      <rPr>
        <rFont val="Poppins"/>
        <sz val="7.0"/>
      </rPr>
      <t xml:space="preserve">, Private Equity and alternative investment </t>
    </r>
    <r>
      <rPr>
        <rFont val="Poppins"/>
        <b/>
        <sz val="7.0"/>
      </rPr>
      <t>funds</t>
    </r>
    <r>
      <rPr>
        <rFont val="Poppins"/>
        <sz val="7.0"/>
      </rPr>
      <t xml:space="preserve">..."
- [Region investment focus] &gt; Data manager judgement &gt; They haven’t publicly disclosed their region focus, but the rest of the criteria align with your strategy </t>
    </r>
    <r>
      <rPr>
        <rFont val="Poppins"/>
        <b/>
        <sz val="7.0"/>
      </rPr>
      <t xml:space="preserve">#DemandCreation
</t>
    </r>
    <r>
      <rPr>
        <rFont val="Poppins"/>
        <sz val="7.0"/>
      </rPr>
      <t xml:space="preserve">- [Sector Investment Focus] &gt;  Website &gt; "... Yurbi Capital is </t>
    </r>
    <r>
      <rPr>
        <rFont val="Poppins"/>
        <b/>
        <sz val="7.0"/>
      </rPr>
      <t>industry agnostic</t>
    </r>
    <r>
      <rPr>
        <rFont val="Poppins"/>
        <sz val="7.0"/>
      </rPr>
      <t xml:space="preserve">. We have invested in more than 50 companies and funds at different stages, in the last 10 years. Our current portfolio includes holdings in </t>
    </r>
    <r>
      <rPr>
        <rFont val="Poppins"/>
        <b/>
        <color rgb="FF1155CC"/>
        <sz val="7.0"/>
        <u/>
      </rPr>
      <t>technology</t>
    </r>
    <r>
      <rPr>
        <rFont val="Poppins"/>
        <sz val="7.0"/>
      </rPr>
      <t xml:space="preserve">, data centers, financial services, real estate, pharmaceuticals and education..."
- [Maturity Focus] &gt; Data manager judgement &gt; They have not publicly disclosed their maturity focus but the rest of the criteria aligns with your IIP </t>
    </r>
    <r>
      <rPr>
        <rFont val="Poppins"/>
        <b/>
        <sz val="7.0"/>
      </rPr>
      <t>#DemandCreation</t>
    </r>
    <r>
      <rPr>
        <rFont val="Poppins"/>
        <sz val="7.0"/>
      </rPr>
      <t>.</t>
    </r>
  </si>
  <si>
    <t>Head Of Investments</t>
  </si>
  <si>
    <t>Salwa Katkhuda</t>
  </si>
  <si>
    <t>Salwa</t>
  </si>
  <si>
    <t xml:space="preserve"> Katkhuda</t>
  </si>
  <si>
    <t>salwakat@gmail.com</t>
  </si>
  <si>
    <r>
      <rPr>
        <rFont val="Poppins"/>
        <color rgb="FF1155CC"/>
        <sz val="7.0"/>
        <u/>
      </rPr>
      <t>https://www.linkedin.com/in/salwa-katkhuda-75b23513/</t>
    </r>
    <r>
      <rPr>
        <rFont val="Poppins"/>
        <color rgb="FF1155CC"/>
        <sz val="7.0"/>
        <u/>
      </rPr>
      <t xml:space="preserve"> </t>
    </r>
  </si>
  <si>
    <t>Daher Capital</t>
  </si>
  <si>
    <t>https://daherinvestments.com/about</t>
  </si>
  <si>
    <r>
      <rPr>
        <rFont val="Poppins"/>
        <sz val="7.0"/>
      </rPr>
      <t xml:space="preserve">- [Asset class = Funds - VC] &gt; Website &gt; "...The firm also invests in </t>
    </r>
    <r>
      <rPr>
        <rFont val="Poppins"/>
        <b/>
        <sz val="7.0"/>
      </rPr>
      <t>funds</t>
    </r>
    <r>
      <rPr>
        <rFont val="Poppins"/>
        <sz val="7.0"/>
      </rPr>
      <t xml:space="preserve"> managed by top-tier private equity and </t>
    </r>
    <r>
      <rPr>
        <rFont val="Poppins"/>
        <b/>
        <color rgb="FF1155CC"/>
        <sz val="7.0"/>
        <u/>
      </rPr>
      <t>venture capital</t>
    </r>
    <r>
      <rPr>
        <rFont val="Poppins"/>
        <sz val="7.0"/>
      </rPr>
      <t xml:space="preserve"> managers..."
- [Region Investment focus] &gt; Website &gt; "...Daher Investments oversees a </t>
    </r>
    <r>
      <rPr>
        <rFont val="Poppins"/>
        <b/>
        <color rgb="FF1155CC"/>
        <sz val="7.0"/>
        <u/>
      </rPr>
      <t>global</t>
    </r>
    <r>
      <rPr>
        <rFont val="Poppins"/>
        <sz val="7.0"/>
      </rPr>
      <t xml:space="preserve"> portfolio of investments..."
- [Sector Investment focus] &gt; Website &gt; "...This concentrated approach ensures a resilient and </t>
    </r>
    <r>
      <rPr>
        <rFont val="Poppins"/>
        <b/>
        <color rgb="FF1155CC"/>
        <sz val="7.0"/>
        <u/>
      </rPr>
      <t>diversified portfolio</t>
    </r>
    <r>
      <rPr>
        <rFont val="Poppins"/>
        <sz val="7.0"/>
      </rPr>
      <t xml:space="preserve">..." + "...Daher Investments has executed over 100 direct deals across a </t>
    </r>
    <r>
      <rPr>
        <rFont val="Poppins"/>
        <b/>
        <color rgb="FF1155CC"/>
        <sz val="7.0"/>
        <u/>
      </rPr>
      <t>diverse range of companies</t>
    </r>
    <r>
      <rPr>
        <rFont val="Poppins"/>
        <sz val="7.0"/>
      </rPr>
      <t xml:space="preserve">..."
- [Maturity focus] &gt; Data manager judgement &gt; They have not publicly disclosed their maturity focus but the rest of the criteria aligns with your IIP </t>
    </r>
    <r>
      <rPr>
        <rFont val="Poppins"/>
        <b/>
        <sz val="7.0"/>
      </rPr>
      <t>#DemandCreation</t>
    </r>
    <r>
      <rPr>
        <rFont val="Poppins"/>
        <sz val="7.0"/>
      </rPr>
      <t>.</t>
    </r>
  </si>
  <si>
    <t>CEO &amp; Managing Director</t>
  </si>
  <si>
    <t>Mark Daher</t>
  </si>
  <si>
    <t>Daher</t>
  </si>
  <si>
    <t>mark@dahercapital.com</t>
  </si>
  <si>
    <t>https://www.LinkedIn.com/in/markdaher/</t>
  </si>
  <si>
    <t>Crux Venture Partners</t>
  </si>
  <si>
    <t>https://www.cruxventure.com/</t>
  </si>
  <si>
    <r>
      <rPr>
        <rFont val="Poppins"/>
        <sz val="7.0"/>
      </rPr>
      <t>- [Asset class = Funds - VC] &gt; Website &gt; "...</t>
    </r>
    <r>
      <rPr>
        <rFont val="Poppins"/>
        <b/>
        <sz val="7.0"/>
      </rPr>
      <t>Alternative investment</t>
    </r>
    <r>
      <rPr>
        <rFont val="Poppins"/>
        <sz val="7.0"/>
      </rPr>
      <t xml:space="preserve"> strategies including private equities, </t>
    </r>
    <r>
      <rPr>
        <rFont val="Poppins"/>
        <b/>
        <color rgb="FF1155CC"/>
        <sz val="7.0"/>
        <u/>
      </rPr>
      <t>venture capital</t>
    </r>
    <r>
      <rPr>
        <rFont val="Poppins"/>
        <sz val="7.0"/>
      </rPr>
      <t xml:space="preserve">, and alternative debt strategies..."
- [Sector investment focus] &gt; Website &gt; "...focusing on investments in </t>
    </r>
    <r>
      <rPr>
        <rFont val="Poppins"/>
        <b/>
        <color rgb="FF1155CC"/>
        <sz val="7.0"/>
        <u/>
      </rPr>
      <t>technology</t>
    </r>
    <r>
      <rPr>
        <rFont val="Poppins"/>
        <sz val="7.0"/>
      </rPr>
      <t xml:space="preserve"> and e-commerce sectors..."
- [Region investment focus] &gt; Data manager judgement &gt; They haven’t publicly disclosed their region focus, but the rest of the criteria align with your strategy </t>
    </r>
    <r>
      <rPr>
        <rFont val="Poppins"/>
        <b/>
        <sz val="7.0"/>
      </rPr>
      <t>#DemandCreation</t>
    </r>
    <r>
      <rPr>
        <rFont val="Poppins"/>
        <sz val="7.0"/>
      </rPr>
      <t xml:space="preserve">.
- [Maturity Focus] &gt; Data manager judgement &gt; They have not publicly disclosed their maturity focus but the rest of the criteria aligns with your IIP </t>
    </r>
    <r>
      <rPr>
        <rFont val="Poppins"/>
        <b/>
        <sz val="7.0"/>
      </rPr>
      <t>#DemandCreation</t>
    </r>
    <r>
      <rPr>
        <rFont val="Poppins"/>
        <sz val="7.0"/>
      </rPr>
      <t>.</t>
    </r>
  </si>
  <si>
    <t>ecommerce focus</t>
  </si>
  <si>
    <r>
      <rPr>
        <rFont val="Poppins"/>
        <sz val="7.0"/>
      </rPr>
      <t xml:space="preserve">They focus on tech and e-commerce.
Difeinitely worth a shot.
</t>
    </r>
    <r>
      <rPr>
        <rFont val="Poppins"/>
        <color rgb="FF1155CC"/>
        <sz val="7.0"/>
        <u/>
      </rPr>
      <t>https://www.cruxventure.com/#About</t>
    </r>
  </si>
  <si>
    <t>AMKM Investments</t>
  </si>
  <si>
    <t>https://amkm.ae/#illustrative</t>
  </si>
  <si>
    <r>
      <rPr>
        <rFont val="Poppins"/>
        <sz val="7.0"/>
      </rPr>
      <t xml:space="preserve">-[Asset class = Funds-VC] &gt; Website &gt; "...capital markets: Hedge Funds / Private Equity Funds / </t>
    </r>
    <r>
      <rPr>
        <rFont val="Poppins"/>
        <b/>
        <color rgb="FF1155CC"/>
        <sz val="7.0"/>
        <u/>
      </rPr>
      <t>Venture Funds</t>
    </r>
    <r>
      <rPr>
        <rFont val="Poppins"/>
        <b/>
        <sz val="7.0"/>
      </rPr>
      <t xml:space="preserve"> /</t>
    </r>
    <r>
      <rPr>
        <rFont val="Poppins"/>
        <sz val="7.0"/>
      </rPr>
      <t xml:space="preserve"> Hard Assets / Direct Investing..."
-[Region investment focus] &gt; Website &gt; "...AMKM Investments aims to assure continued success for the region by investing in both the local economy, </t>
    </r>
    <r>
      <rPr>
        <rFont val="Poppins"/>
        <b/>
        <sz val="7.0"/>
      </rPr>
      <t>as well as the global</t>
    </r>
    <r>
      <rPr>
        <rFont val="Poppins"/>
        <sz val="7.0"/>
      </rPr>
      <t xml:space="preserve"> economy..."
-[Sector investment focus] &gt; Website &gt; "...venture Capital: Consumer Internet / </t>
    </r>
    <r>
      <rPr>
        <rFont val="Poppins"/>
        <b/>
        <color rgb="FF1155CC"/>
        <sz val="7.0"/>
        <u/>
      </rPr>
      <t>SaaS</t>
    </r>
    <r>
      <rPr>
        <rFont val="Poppins"/>
        <sz val="7.0"/>
      </rPr>
      <t xml:space="preserve"> / Fintech / Legaltech / Biotech / AR / Gaming..."
-[Maturity Focus] &gt; Data manager judgement &gt; They have not publicly disclosed their maturity focus but the rest of the criteria aligns with your IIP </t>
    </r>
    <r>
      <rPr>
        <rFont val="Poppins"/>
        <b/>
        <sz val="7.0"/>
      </rPr>
      <t>#DemandCreation</t>
    </r>
    <r>
      <rPr>
        <rFont val="Poppins"/>
        <sz val="7.0"/>
      </rPr>
      <t>.</t>
    </r>
  </si>
  <si>
    <t>Chief Operating Officer</t>
  </si>
  <si>
    <t>Hatan Bin khalfan</t>
  </si>
  <si>
    <t>hatan@amkm.ae</t>
  </si>
  <si>
    <t>https://www.linkedin.com/in/hatan-bin-khalfan-b02100200/</t>
  </si>
  <si>
    <t>Exnite</t>
  </si>
  <si>
    <t>https://www.exnite.com/</t>
  </si>
  <si>
    <r>
      <rPr>
        <rFont val="Poppins"/>
        <sz val="7.0"/>
      </rPr>
      <t xml:space="preserve">- [Asset Class = Funds - VC] &gt; Website &gt; "...invests its ideas, energy and capital in high growth companies and </t>
    </r>
    <r>
      <rPr>
        <rFont val="Poppins"/>
        <b/>
        <color rgb="FF1155CC"/>
        <sz val="7.0"/>
        <u/>
      </rPr>
      <t xml:space="preserve">emerging fund managers </t>
    </r>
    <r>
      <rPr>
        <rFont val="Poppins"/>
        <sz val="7.0"/>
      </rPr>
      <t xml:space="preserve">across asset classes with a global remit. ..."
- [Maturity Focus] &gt; Website &gt; "...invests its ideas, energy and capital in high growth companies and </t>
    </r>
    <r>
      <rPr>
        <rFont val="Poppins"/>
        <b/>
        <color rgb="FF1155CC"/>
        <sz val="7.0"/>
        <u/>
      </rPr>
      <t xml:space="preserve">emerging fund </t>
    </r>
    <r>
      <rPr>
        <rFont val="Poppins"/>
        <sz val="7.0"/>
      </rPr>
      <t xml:space="preserve">manager ..."
- [Sector investment Focus] &gt; Data Manager Judgement &gt; They haven't publicly disclosed their Sector focus, but rest of the data align with the IIP </t>
    </r>
    <r>
      <rPr>
        <rFont val="Poppins"/>
        <b/>
        <sz val="7.0"/>
      </rPr>
      <t>#Demand Creation</t>
    </r>
    <r>
      <rPr>
        <rFont val="Poppins"/>
        <sz val="7.0"/>
      </rPr>
      <t xml:space="preserve">
- [Region Investment Focus] &gt; Website &gt; "...invests its ideas, energy and capital in high growth companies and emerging fund managers across asset classes with a </t>
    </r>
    <r>
      <rPr>
        <rFont val="Poppins"/>
        <b/>
        <color rgb="FF1155CC"/>
        <sz val="7.0"/>
        <u/>
      </rPr>
      <t xml:space="preserve">global </t>
    </r>
    <r>
      <rPr>
        <rFont val="Poppins"/>
        <sz val="7.0"/>
      </rPr>
      <t>remit. ..."</t>
    </r>
  </si>
  <si>
    <t>Fawad T.</t>
  </si>
  <si>
    <t>Fawad</t>
  </si>
  <si>
    <t>T.</t>
  </si>
  <si>
    <t>fawad@exnite.com</t>
  </si>
  <si>
    <t>https://www.linkedin.com/in/fawadtariq/</t>
  </si>
  <si>
    <t>XSQUARED Family Office</t>
  </si>
  <si>
    <t>https://www.linkedin.com/company/xsquared-family-office/</t>
  </si>
  <si>
    <r>
      <rPr>
        <rFont val="Poppins"/>
        <sz val="7.0"/>
      </rPr>
      <t xml:space="preserve">- [Asset Class = Funds - VC] &gt; Linkedin &gt;  We specialise in diverse investment opportunities, including traditional hedge funds, </t>
    </r>
    <r>
      <rPr>
        <rFont val="Poppins"/>
        <b/>
        <color rgb="FF1155CC"/>
        <sz val="7.0"/>
        <u/>
      </rPr>
      <t>venture capital funds</t>
    </r>
    <r>
      <rPr>
        <rFont val="Poppins"/>
        <sz val="7.0"/>
      </rPr>
      <t xml:space="preserve">, and other investment vehicles.
- [Sector investment focus] &gt; Linkedin &gt; Our principal believe that investing in new </t>
    </r>
    <r>
      <rPr>
        <rFont val="Poppins"/>
        <b/>
        <color rgb="FF1155CC"/>
        <sz val="7.0"/>
        <u/>
      </rPr>
      <t xml:space="preserve">technology </t>
    </r>
    <r>
      <rPr>
        <rFont val="Poppins"/>
        <sz val="7.0"/>
      </rPr>
      <t xml:space="preserve">will be mutually beneficial for both our clients and future generations.
- [Maturity Focus] &gt; Data manager judgement &gt; They have not publicly disclosed their maturity focus but the rest of the criteria aligns with your IIP </t>
    </r>
    <r>
      <rPr>
        <rFont val="Poppins"/>
        <b/>
        <sz val="7.0"/>
      </rPr>
      <t>#DemandCreation.</t>
    </r>
    <r>
      <rPr>
        <rFont val="Poppins"/>
        <sz val="7.0"/>
      </rPr>
      <t xml:space="preserve">
- [Region investment focus] &gt; Data manager judgement &gt; They haven’t publicly disclosed their region focus, but the rest of the criteria align with your strategy </t>
    </r>
    <r>
      <rPr>
        <rFont val="Poppins"/>
        <b/>
        <sz val="7.0"/>
      </rPr>
      <t>#DemandCreation</t>
    </r>
  </si>
  <si>
    <t>crypto focus</t>
  </si>
  <si>
    <t>Chen Capital</t>
  </si>
  <si>
    <t>https://chencptl.com/</t>
  </si>
  <si>
    <r>
      <rPr>
        <rFont val="Poppins"/>
        <sz val="7.0"/>
      </rPr>
      <t xml:space="preserve">- [Asset Class = Funds - VC] &gt; Linkedin &gt; We allocate capital across a diversified portfolio of public equities, private markets, </t>
    </r>
    <r>
      <rPr>
        <rFont val="Poppins"/>
        <b/>
        <color rgb="FF1155CC"/>
        <sz val="7.0"/>
        <u/>
      </rPr>
      <t>venture capital</t>
    </r>
    <r>
      <rPr>
        <rFont val="Poppins"/>
        <sz val="7.0"/>
      </rPr>
      <t xml:space="preserve">, real estate, and alternative assets + We maintain a lean, agile structure, partnering selectively with </t>
    </r>
    <r>
      <rPr>
        <rFont val="Poppins"/>
        <b/>
        <color rgb="FF1155CC"/>
        <sz val="7.0"/>
        <u/>
      </rPr>
      <t xml:space="preserve">fund managers
</t>
    </r>
    <r>
      <rPr>
        <rFont val="Poppins"/>
        <sz val="7.0"/>
      </rPr>
      <t xml:space="preserve">- [Region Investment Focus] &gt; Data manager judgement &gt; They haven’t publicly disclosed their region focus, but the rest of the criteria align with your strategy </t>
    </r>
    <r>
      <rPr>
        <rFont val="Poppins"/>
        <b/>
        <sz val="7.0"/>
      </rPr>
      <t xml:space="preserve">#DemandCreation
</t>
    </r>
    <r>
      <rPr>
        <rFont val="Poppins"/>
        <sz val="7.0"/>
      </rPr>
      <t xml:space="preserve">- [Maturity Focus] &gt; Data manager judgement &gt; They have not publicly disclosed their maturity focus but the rest of the criteria aligns with your IIP </t>
    </r>
    <r>
      <rPr>
        <rFont val="Poppins"/>
        <b/>
        <sz val="7.0"/>
      </rPr>
      <t xml:space="preserve">#DemandCreation.
</t>
    </r>
    <r>
      <rPr>
        <rFont val="Poppins"/>
        <sz val="7.0"/>
      </rPr>
      <t xml:space="preserve">- [Sector Investment Focus] &gt; Linkedin &gt; We allocate capital across a </t>
    </r>
    <r>
      <rPr>
        <rFont val="Poppins"/>
        <b/>
        <color rgb="FF1155CC"/>
        <sz val="7.0"/>
        <u/>
      </rPr>
      <t>diversified portfolio</t>
    </r>
  </si>
  <si>
    <r>
      <rPr>
        <rFont val="Poppins"/>
        <sz val="7.0"/>
      </rPr>
      <t xml:space="preserve">They invest in VC funds:
</t>
    </r>
    <r>
      <rPr>
        <rFont val="Poppins"/>
        <color rgb="FF1155CC"/>
        <sz val="7.0"/>
        <u/>
      </rPr>
      <t>https://www.linkedin.com/company/chencptl/about/</t>
    </r>
  </si>
  <si>
    <t>JIMCO</t>
  </si>
  <si>
    <t>https://jimco.com/en/</t>
  </si>
  <si>
    <r>
      <rPr>
        <rFont val="Poppins"/>
        <sz val="7.0"/>
      </rPr>
      <t xml:space="preserve">- [Asset class = Funds - VC] &gt; Website &gt; "...Outside of MENA, the Fund continues to invest in top tier public and private equity and </t>
    </r>
    <r>
      <rPr>
        <rFont val="Poppins"/>
        <b/>
        <color rgb="FF1155CC"/>
        <sz val="7.0"/>
        <u/>
      </rPr>
      <t>venture funds</t>
    </r>
    <r>
      <rPr>
        <rFont val="Poppins"/>
        <sz val="7.0"/>
      </rPr>
      <t xml:space="preserve"> and top promising </t>
    </r>
    <r>
      <rPr>
        <rFont val="Poppins"/>
        <b/>
        <sz val="7.0"/>
      </rPr>
      <t>managers</t>
    </r>
    <r>
      <rPr>
        <rFont val="Poppins"/>
        <sz val="7.0"/>
      </rPr>
      <t xml:space="preserve">..."
- [Sector investment focus] &gt; Website &gt; "...Our primary focus areas includes core </t>
    </r>
    <r>
      <rPr>
        <rFont val="Poppins"/>
        <b/>
        <sz val="7.0"/>
      </rPr>
      <t xml:space="preserve">technology </t>
    </r>
    <r>
      <rPr>
        <rFont val="Poppins"/>
        <sz val="7.0"/>
      </rPr>
      <t xml:space="preserve">fintech and insurtech; </t>
    </r>
    <r>
      <rPr>
        <rFont val="Poppins"/>
        <b/>
        <sz val="7.0"/>
      </rPr>
      <t>energy</t>
    </r>
    <r>
      <rPr>
        <rFont val="Poppins"/>
        <sz val="7.0"/>
      </rPr>
      <t xml:space="preserve">, water and renewables; </t>
    </r>
    <r>
      <rPr>
        <rFont val="Poppins"/>
        <b/>
        <color rgb="FF1155CC"/>
        <sz val="7.0"/>
        <u/>
      </rPr>
      <t>artificial intelligence</t>
    </r>
    <r>
      <rPr>
        <rFont val="Poppins"/>
        <sz val="7.0"/>
      </rPr>
      <t xml:space="preserve">, </t>
    </r>
    <r>
      <rPr>
        <rFont val="Poppins"/>
        <b/>
        <sz val="7.0"/>
      </rPr>
      <t xml:space="preserve">software </t>
    </r>
    <r>
      <rPr>
        <rFont val="Poppins"/>
        <sz val="7.0"/>
      </rPr>
      <t xml:space="preserve">and cloud computing; social, gaming and other consumer platforms; food and agritech, and future mobility solutions.,..."
- [Maturity Focus] &gt; Data manager judgement &gt; They have not publicly disclosed their maturity focus but the rest of the criteria aligns with your IIP </t>
    </r>
    <r>
      <rPr>
        <rFont val="Poppins"/>
        <b/>
        <sz val="7.0"/>
      </rPr>
      <t>#DemandCreation.</t>
    </r>
    <r>
      <rPr>
        <rFont val="Poppins"/>
        <sz val="7.0"/>
      </rPr>
      <t xml:space="preserve">
- [Region investment focus] &gt; Website &gt; "...Our scope is</t>
    </r>
    <r>
      <rPr>
        <rFont val="Poppins"/>
        <b/>
        <color rgb="FF1155CC"/>
        <sz val="7.0"/>
        <u/>
      </rPr>
      <t xml:space="preserve"> global</t>
    </r>
    <r>
      <rPr>
        <rFont val="Poppins"/>
        <sz val="7.0"/>
      </rPr>
      <t xml:space="preserve"> and covers all Asset classes..."</t>
    </r>
  </si>
  <si>
    <r>
      <rPr>
        <rFont val="Poppins"/>
        <sz val="7.0"/>
      </rPr>
      <t xml:space="preserve">They do </t>
    </r>
    <r>
      <rPr>
        <rFont val="Poppins"/>
        <b/>
        <sz val="7.0"/>
      </rPr>
      <t>fund investments</t>
    </r>
    <r>
      <rPr>
        <rFont val="Poppins"/>
        <sz val="7.0"/>
      </rPr>
      <t xml:space="preserve"> and direct:
</t>
    </r>
    <r>
      <rPr>
        <rFont val="Poppins"/>
        <color rgb="FF1155CC"/>
        <sz val="7.0"/>
        <u/>
      </rPr>
      <t xml:space="preserve">https://jimco.com/en/funds/technology/
</t>
    </r>
    <r>
      <rPr>
        <rFont val="Poppins"/>
        <sz val="7.0"/>
      </rPr>
      <t xml:space="preserve">"...private equity and </t>
    </r>
    <r>
      <rPr>
        <rFont val="Poppins"/>
        <b/>
        <color rgb="FF1155CC"/>
        <sz val="7.0"/>
        <u/>
      </rPr>
      <t>venture funds</t>
    </r>
    <r>
      <rPr>
        <rFont val="Poppins"/>
        <sz val="7.0"/>
      </rPr>
      <t xml:space="preserve"> and top promising managers..."</t>
    </r>
  </si>
  <si>
    <t>Pensive Ibis</t>
  </si>
  <si>
    <t>http://pensiveibis.com/</t>
  </si>
  <si>
    <r>
      <rPr>
        <rFont val="Poppins"/>
        <sz val="7.0"/>
      </rPr>
      <t xml:space="preserve">- [Asset class = Funds - VC] &gt; Website &gt; "...secondary investments in </t>
    </r>
    <r>
      <rPr>
        <rFont val="Poppins"/>
        <b/>
        <sz val="7.0"/>
      </rPr>
      <t xml:space="preserve">venture capital </t>
    </r>
    <r>
      <rPr>
        <rFont val="Poppins"/>
        <sz val="7.0"/>
      </rPr>
      <t xml:space="preserve">and private equity..." + "...The family invests both directly and through highly differentiated </t>
    </r>
    <r>
      <rPr>
        <rFont val="Poppins"/>
        <b/>
        <color rgb="FF1155CC"/>
        <sz val="7.0"/>
        <u/>
      </rPr>
      <t xml:space="preserve">fund </t>
    </r>
    <r>
      <rPr>
        <rFont val="Poppins"/>
        <sz val="7.0"/>
      </rPr>
      <t xml:space="preserve">vehicles..."
- [Region investment focus] &gt; Website &gt; "...Chief sectors of interest are consumer tech (DNVBs and DTC businesses), fintech, healthcare, enterprise </t>
    </r>
    <r>
      <rPr>
        <rFont val="Poppins"/>
        <b/>
        <color rgb="FF1155CC"/>
        <sz val="7.0"/>
        <u/>
      </rPr>
      <t xml:space="preserve">SaaS </t>
    </r>
    <r>
      <rPr>
        <rFont val="Poppins"/>
        <sz val="7.0"/>
      </rPr>
      <t xml:space="preserve">(analytics, </t>
    </r>
    <r>
      <rPr>
        <rFont val="Poppins"/>
        <b/>
        <sz val="7.0"/>
      </rPr>
      <t>cybersecurity</t>
    </r>
    <r>
      <rPr>
        <rFont val="Poppins"/>
        <sz val="7.0"/>
      </rPr>
      <t xml:space="preserve">, backoffice automation), and opportunistic real-estate..."
- [Sector investment Focus] &gt; Website &gt;  "...emerging </t>
    </r>
    <r>
      <rPr>
        <rFont val="Poppins"/>
        <b/>
        <color rgb="FF1155CC"/>
        <sz val="7.0"/>
        <u/>
      </rPr>
      <t xml:space="preserve">Asian </t>
    </r>
    <r>
      <rPr>
        <rFont val="Poppins"/>
        <sz val="7.0"/>
      </rPr>
      <t xml:space="preserve">markets...."
- [Maturity Focus] &gt; Data manager judgement &gt; They have not publicly disclosed their maturity focus but the rest of the criteria aligns with your IIP </t>
    </r>
    <r>
      <rPr>
        <rFont val="Poppins"/>
        <b/>
        <sz val="7.0"/>
      </rPr>
      <t>#DemandCreation.</t>
    </r>
  </si>
  <si>
    <t xml:space="preserve"> project development and investment banking business </t>
  </si>
  <si>
    <r>
      <rPr>
        <rFont val="Poppins"/>
        <sz val="7.0"/>
      </rPr>
      <t xml:space="preserve">"...The family invests both directly and through highly differentiated </t>
    </r>
    <r>
      <rPr>
        <rFont val="Poppins"/>
        <b/>
        <color rgb="FF1155CC"/>
        <sz val="7.0"/>
        <u/>
      </rPr>
      <t>fund</t>
    </r>
    <r>
      <rPr>
        <rFont val="Poppins"/>
        <b/>
        <sz val="7.0"/>
      </rPr>
      <t xml:space="preserve"> vehicles</t>
    </r>
    <r>
      <rPr>
        <rFont val="Poppins"/>
        <sz val="7.0"/>
      </rPr>
      <t>..."
A clear sign of them investing in VC funds</t>
    </r>
  </si>
  <si>
    <t>Sanad Abu Dhabi</t>
  </si>
  <si>
    <t>https://sanadad.ae/</t>
  </si>
  <si>
    <r>
      <rPr>
        <rFont val="Poppins"/>
        <sz val="7.0"/>
      </rPr>
      <t xml:space="preserve">- [Asset class = Funds - VC] &gt; Website &gt; "...we allocate capital to both direct investments and </t>
    </r>
    <r>
      <rPr>
        <rFont val="Poppins"/>
        <b/>
        <color rgb="FF1155CC"/>
        <sz val="7.0"/>
        <u/>
      </rPr>
      <t>funds</t>
    </r>
    <r>
      <rPr>
        <rFont val="Poppins"/>
        <sz val="7.0"/>
      </rPr>
      <t xml:space="preserve">..." + "...invests capital globally across </t>
    </r>
    <r>
      <rPr>
        <rFont val="Poppins"/>
        <b/>
        <color rgb="FF1155CC"/>
        <sz val="7.0"/>
        <u/>
      </rPr>
      <t>assets classes</t>
    </r>
    <r>
      <rPr>
        <rFont val="Poppins"/>
        <sz val="7.0"/>
      </rPr>
      <t xml:space="preserve">..." </t>
    </r>
    <r>
      <rPr>
        <rFont val="Poppins"/>
        <b/>
        <sz val="7.0"/>
      </rPr>
      <t>#DemandCreation</t>
    </r>
    <r>
      <rPr>
        <rFont val="Poppins"/>
        <sz val="7.0"/>
      </rPr>
      <t xml:space="preserve">
- [Sector investment focus] &gt; Private data provider &gt; Private data provider confirms their sector focus: financial services, </t>
    </r>
    <r>
      <rPr>
        <rFont val="Poppins"/>
        <b/>
        <color rgb="FF1155CC"/>
        <sz val="7.0"/>
        <u/>
      </rPr>
      <t>technology</t>
    </r>
    <r>
      <rPr>
        <rFont val="Poppins"/>
        <sz val="7.0"/>
      </rPr>
      <t xml:space="preserve">, healthcare, </t>
    </r>
    <r>
      <rPr>
        <rFont val="Poppins"/>
        <b/>
        <sz val="7.0"/>
      </rPr>
      <t>energy</t>
    </r>
    <r>
      <rPr>
        <rFont val="Poppins"/>
        <sz val="7.0"/>
      </rPr>
      <t xml:space="preserve">, consumer Goods, real Estate, telecommunications, media, retail, education, agriculture, transportation, hospitality, construction, </t>
    </r>
    <r>
      <rPr>
        <rFont val="Poppins"/>
        <b/>
        <sz val="7.0"/>
      </rPr>
      <t>manufacturing</t>
    </r>
    <r>
      <rPr>
        <rFont val="Poppins"/>
        <sz val="7.0"/>
      </rPr>
      <t xml:space="preserve">.
- [Region investment focus] &gt; Website + Private data provider &gt; "...single-family office that owns and operates assets in the Emirate, and invests capital </t>
    </r>
    <r>
      <rPr>
        <rFont val="Poppins"/>
        <b/>
        <color rgb="FF1155CC"/>
        <sz val="7.0"/>
        <u/>
      </rPr>
      <t xml:space="preserve">globally </t>
    </r>
    <r>
      <rPr>
        <rFont val="Poppins"/>
        <sz val="7.0"/>
      </rPr>
      <t xml:space="preserve">across assets classes.." + Geographical Focus: </t>
    </r>
    <r>
      <rPr>
        <rFont val="Poppins"/>
        <b/>
        <color rgb="FF1155CC"/>
        <sz val="7.0"/>
        <u/>
      </rPr>
      <t>United States</t>
    </r>
    <r>
      <rPr>
        <rFont val="Poppins"/>
        <sz val="7.0"/>
      </rPr>
      <t xml:space="preserve">, United Kingdom, </t>
    </r>
    <r>
      <rPr>
        <rFont val="Poppins"/>
        <b/>
        <sz val="7.0"/>
      </rPr>
      <t>Canada</t>
    </r>
    <r>
      <rPr>
        <rFont val="Poppins"/>
        <sz val="7.0"/>
      </rPr>
      <t xml:space="preserve">, Germany, Japan, Australia, China, </t>
    </r>
    <r>
      <rPr>
        <rFont val="Poppins"/>
        <b/>
        <sz val="7.0"/>
      </rPr>
      <t>India</t>
    </r>
    <r>
      <rPr>
        <rFont val="Poppins"/>
        <sz val="7.0"/>
      </rPr>
      <t xml:space="preserve">, Brazil, France, </t>
    </r>
    <r>
      <rPr>
        <rFont val="Poppins"/>
        <b/>
        <sz val="7.0"/>
      </rPr>
      <t>United Arab Emirates</t>
    </r>
    <r>
      <rPr>
        <rFont val="Poppins"/>
        <sz val="7.0"/>
      </rPr>
      <t xml:space="preserve">, Mexico, Indonesia, South Korea, </t>
    </r>
    <r>
      <rPr>
        <rFont val="Poppins"/>
        <b/>
        <sz val="7.0"/>
      </rPr>
      <t>Saudi Arabia</t>
    </r>
    <r>
      <rPr>
        <rFont val="Poppins"/>
        <sz val="7.0"/>
      </rPr>
      <t>, Egypt, Turkey, South Africa, Russia, Argentina.
- [Maturity Focus] &gt; Data manager judgement &gt; They have not publicly disclosed their maturity focus but the rest of the criteria aligns with your IIP #</t>
    </r>
    <r>
      <rPr>
        <rFont val="Poppins"/>
        <b/>
        <sz val="7.0"/>
      </rPr>
      <t>DemandCreation.</t>
    </r>
  </si>
  <si>
    <t xml:space="preserve">Investment Analyst </t>
  </si>
  <si>
    <t>Shweta Maheshwary</t>
  </si>
  <si>
    <t>Shweta</t>
  </si>
  <si>
    <t>Maheshwary</t>
  </si>
  <si>
    <t>smaheshwary@sanadad.ae</t>
  </si>
  <si>
    <t>https://www.linkedin.com/in/shweta-maheshwary-98a346159/</t>
  </si>
  <si>
    <t>Deus X Capital</t>
  </si>
  <si>
    <t>https://deusx.capital/</t>
  </si>
  <si>
    <r>
      <rPr>
        <rFont val="Poppins"/>
        <sz val="7.0"/>
      </rPr>
      <t>- [Asset class = Funds - VC] &gt; Website &gt; "...Private Equity..." + "...</t>
    </r>
    <r>
      <rPr>
        <rFont val="Poppins"/>
        <b/>
        <sz val="7.0"/>
      </rPr>
      <t>Venture Capital</t>
    </r>
    <r>
      <rPr>
        <rFont val="Poppins"/>
        <sz val="7.0"/>
      </rPr>
      <t>..." + "...</t>
    </r>
    <r>
      <rPr>
        <rFont val="Poppins"/>
        <b/>
        <color rgb="FF1155CC"/>
        <sz val="7.0"/>
        <u/>
      </rPr>
      <t xml:space="preserve">Fund </t>
    </r>
    <r>
      <rPr>
        <rFont val="Poppins"/>
        <sz val="7.0"/>
      </rPr>
      <t xml:space="preserve">Allocation..."
- [Sector investment focus] &gt; Website &gt; "...Deus X Capital announces strategic investment in analytics and </t>
    </r>
    <r>
      <rPr>
        <rFont val="Poppins"/>
        <b/>
        <color rgb="FF1155CC"/>
        <sz val="7.0"/>
        <u/>
      </rPr>
      <t xml:space="preserve">AI </t>
    </r>
    <r>
      <rPr>
        <rFont val="Poppins"/>
        <sz val="7.0"/>
      </rPr>
      <t xml:space="preserve">focused APEX..."
- [Region investment focus] &gt; Website &gt; "...Deus X invests globally and has a presence in </t>
    </r>
    <r>
      <rPr>
        <rFont val="Poppins"/>
        <b/>
        <sz val="7.0"/>
      </rPr>
      <t>Dublin</t>
    </r>
    <r>
      <rPr>
        <rFont val="Poppins"/>
        <sz val="7.0"/>
      </rPr>
      <t xml:space="preserve">, </t>
    </r>
    <r>
      <rPr>
        <rFont val="Poppins"/>
        <b/>
        <sz val="7.0"/>
      </rPr>
      <t xml:space="preserve">London </t>
    </r>
    <r>
      <rPr>
        <rFont val="Poppins"/>
        <sz val="7.0"/>
      </rPr>
      <t xml:space="preserve">and the </t>
    </r>
    <r>
      <rPr>
        <rFont val="Poppins"/>
        <b/>
        <color rgb="FF1155CC"/>
        <sz val="7.0"/>
        <u/>
      </rPr>
      <t>UAE</t>
    </r>
    <r>
      <rPr>
        <rFont val="Poppins"/>
        <sz val="7.0"/>
      </rPr>
      <t xml:space="preserve">..."
- [Maturity Focus] &gt; Data manager judgement &gt; They have not publicly disclosed their maturity focus but the rest of the criteria aligns with your IIP </t>
    </r>
    <r>
      <rPr>
        <rFont val="Poppins"/>
        <b/>
        <sz val="7.0"/>
      </rPr>
      <t>#DemandCreation.</t>
    </r>
  </si>
  <si>
    <t>Stuart Connolly</t>
  </si>
  <si>
    <t>Connolly</t>
  </si>
  <si>
    <t>stuart@deusx.capital</t>
  </si>
  <si>
    <t>https://www.linkedin.com/in/stuart-connolly-44027b26/</t>
  </si>
  <si>
    <t>Twin and Bull</t>
  </si>
  <si>
    <t>https://twinandbull.com/</t>
  </si>
  <si>
    <r>
      <rPr>
        <rFont val="Poppins"/>
        <sz val="7.0"/>
      </rPr>
      <t xml:space="preserve">- [Asset class = Funds - VC] &gt; Website &gt; "...Public Equities – Listed Companies and </t>
    </r>
    <r>
      <rPr>
        <rFont val="Poppins"/>
        <b/>
        <color rgb="FF1155CC"/>
        <sz val="7.0"/>
        <u/>
      </rPr>
      <t>Funds</t>
    </r>
    <r>
      <rPr>
        <rFont val="Poppins"/>
        <sz val="7.0"/>
      </rPr>
      <t xml:space="preserve">..." + "...Select Alternatives – Private Equity, </t>
    </r>
    <r>
      <rPr>
        <rFont val="Poppins"/>
        <b/>
        <sz val="7.0"/>
      </rPr>
      <t xml:space="preserve">Venture Capital </t>
    </r>
    <r>
      <rPr>
        <rFont val="Poppins"/>
        <sz val="7.0"/>
      </rPr>
      <t xml:space="preserve">and Direct Investment..."
- [Sector investment focus] &gt; Website &gt; "... His lifelong enthusiasm to learn about and partake in </t>
    </r>
    <r>
      <rPr>
        <rFont val="Poppins"/>
        <b/>
        <color rgb="FF1155CC"/>
        <sz val="7.0"/>
        <u/>
      </rPr>
      <t xml:space="preserve">technological </t>
    </r>
    <r>
      <rPr>
        <rFont val="Poppins"/>
        <sz val="7.0"/>
      </rPr>
      <t xml:space="preserve">innovation has led him to explore Angel &amp; Start-Up Investing through the Investment Office. ..." + "...Our investment philosophy centers around a deliberate and strategic focus on cash-generative investments, partnerships with select management teams and operators, and </t>
    </r>
    <r>
      <rPr>
        <rFont val="Poppins"/>
        <b/>
        <color rgb="FF1155CC"/>
        <sz val="7.0"/>
        <u/>
      </rPr>
      <t>diversification</t>
    </r>
    <r>
      <rPr>
        <rFont val="Poppins"/>
        <sz val="7.0"/>
      </rPr>
      <t xml:space="preserve">...."
- [Region investment focus] &gt; Website &gt; "...we have made over 50 investments across </t>
    </r>
    <r>
      <rPr>
        <rFont val="Poppins"/>
        <b/>
        <sz val="7.0"/>
      </rPr>
      <t xml:space="preserve">North America </t>
    </r>
    <r>
      <rPr>
        <rFont val="Poppins"/>
        <sz val="7.0"/>
      </rPr>
      <t xml:space="preserve">(US/CA), Europe (France and the UK), and </t>
    </r>
    <r>
      <rPr>
        <rFont val="Poppins"/>
        <b/>
        <color rgb="FF1155CC"/>
        <sz val="7.0"/>
        <u/>
      </rPr>
      <t xml:space="preserve">Asia </t>
    </r>
    <r>
      <rPr>
        <rFont val="Poppins"/>
        <sz val="7.0"/>
      </rPr>
      <t xml:space="preserve">(Singapore, China, and India)..."
- [Maturity Focus] &gt; Data manager judgement &gt; They have not publicly disclosed their maturity focus but the rest of the criteria aligns with your IIP </t>
    </r>
    <r>
      <rPr>
        <rFont val="Poppins"/>
        <b/>
        <sz val="7.0"/>
      </rPr>
      <t>#DemandCreation.</t>
    </r>
  </si>
  <si>
    <t>Public Equities – Listed Companies and Funds 
Real Estate – Direct investment, REITs and Funds  
Select Alternatives – Private Equity, Venture Capital and Direct Investment  
Debt – Public Listed Bond / Bond Fund / Private Debt Capital and Redeemable Preferred Capital</t>
  </si>
  <si>
    <r>
      <rPr>
        <rFont val="Poppins"/>
        <sz val="7.0"/>
      </rPr>
      <t xml:space="preserve">They invets in VC funds and their website states it as well:
</t>
    </r>
    <r>
      <rPr>
        <rFont val="Poppins"/>
        <color rgb="FF1155CC"/>
        <sz val="7.0"/>
        <u/>
      </rPr>
      <t>https://twinandbull.com/investment-office/</t>
    </r>
  </si>
  <si>
    <t>AFAQ Group</t>
  </si>
  <si>
    <t>https://afaq.ae/#about</t>
  </si>
  <si>
    <t>Website, News article</t>
  </si>
  <si>
    <r>
      <rPr>
        <rFont val="Poppins"/>
        <sz val="7.0"/>
      </rPr>
      <t xml:space="preserve">- [Asset class = Funds - VC] &gt; Website + News Article &gt; "...We connect global opportunity with authentic local access, powering trade, agriculture, artificial intelligence, and healthcare </t>
    </r>
    <r>
      <rPr>
        <rFont val="Poppins"/>
        <b/>
        <color rgb="FF1155CC"/>
        <sz val="7.0"/>
        <u/>
      </rPr>
      <t>ventures</t>
    </r>
    <r>
      <rPr>
        <rFont val="Poppins"/>
        <sz val="7.0"/>
      </rPr>
      <t xml:space="preserve">..." + 2025 </t>
    </r>
    <r>
      <rPr>
        <rFont val="Poppins"/>
        <b/>
        <color rgb="FF1155CC"/>
        <sz val="7.0"/>
        <u/>
      </rPr>
      <t xml:space="preserve">LP </t>
    </r>
    <r>
      <rPr>
        <rFont val="Poppins"/>
        <sz val="7.0"/>
      </rPr>
      <t xml:space="preserve">speakers included AI Othaim Holding Company, AKG Investment, Islamic Development Bank, AFAQ Group, Dana Group and Almulla Capital. </t>
    </r>
    <r>
      <rPr>
        <rFont val="Poppins"/>
        <b/>
        <sz val="7.0"/>
      </rPr>
      <t>#DemandCreation</t>
    </r>
    <r>
      <rPr>
        <rFont val="Poppins"/>
        <sz val="7.0"/>
      </rPr>
      <t xml:space="preserve">
- [Sector investment focus] &gt; Website &gt; "...powering trade, agriculture, </t>
    </r>
    <r>
      <rPr>
        <rFont val="Poppins"/>
        <b/>
        <color rgb="FF1155CC"/>
        <sz val="7.0"/>
        <u/>
      </rPr>
      <t>artificial intelligence</t>
    </r>
    <r>
      <rPr>
        <rFont val="Poppins"/>
        <sz val="7.0"/>
      </rPr>
      <t xml:space="preserve">, and healthcare ventures..." 
- [Region investment focus] &gt; Website  &gt; "...We connect </t>
    </r>
    <r>
      <rPr>
        <rFont val="Poppins"/>
        <b/>
        <color rgb="FF1155CC"/>
        <sz val="7.0"/>
        <u/>
      </rPr>
      <t xml:space="preserve">global </t>
    </r>
    <r>
      <rPr>
        <rFont val="Poppins"/>
        <sz val="7.0"/>
      </rPr>
      <t xml:space="preserve">opportunity..."
- [Maturity Focus] &gt; Data manager judgement &gt; They have not publicly disclosed their maturity focus but the rest of the criteria aligns with your IIP </t>
    </r>
    <r>
      <rPr>
        <rFont val="Poppins"/>
        <b/>
        <sz val="7.0"/>
      </rPr>
      <t>#DemandCreation.</t>
    </r>
  </si>
  <si>
    <t xml:space="preserve">Principal </t>
  </si>
  <si>
    <t>Latifa MBM</t>
  </si>
  <si>
    <t>Latifa</t>
  </si>
  <si>
    <t>MBM</t>
  </si>
  <si>
    <t>latifa@afaqgroupadv.com</t>
  </si>
  <si>
    <t>https://www.linkedin.com/in/latifa-mbm-015b22104/</t>
  </si>
  <si>
    <t>MXB Investment</t>
  </si>
  <si>
    <t>https://mxb.sa/about</t>
  </si>
  <si>
    <r>
      <rPr>
        <rFont val="Poppins"/>
        <sz val="7.0"/>
      </rPr>
      <t xml:space="preserve">- [Asset class = Funds - VC] &gt; Website &gt; "...Direct equity, private equity, real estate funds, </t>
    </r>
    <r>
      <rPr>
        <rFont val="Poppins"/>
        <b/>
        <color rgb="FF1155CC"/>
        <sz val="7.0"/>
        <u/>
      </rPr>
      <t>venture capital funds</t>
    </r>
    <r>
      <rPr>
        <rFont val="Poppins"/>
        <sz val="7.0"/>
      </rPr>
      <t xml:space="preserve">..."
- [Region investment focus] &gt; Portfolio &gt; Their portfolio consists of investments based in </t>
    </r>
    <r>
      <rPr>
        <rFont val="Poppins"/>
        <b/>
        <color rgb="FF1155CC"/>
        <sz val="7.0"/>
        <u/>
      </rPr>
      <t>middle east</t>
    </r>
    <r>
      <rPr>
        <rFont val="Poppins"/>
        <sz val="7.0"/>
      </rPr>
      <t xml:space="preserve">. ex: seedra ventures
- [Maturity Focus] &gt; Data manager judgement &gt; They have not publicly disclosed their maturity focus but the rest of the criteria aligns with your IIP </t>
    </r>
    <r>
      <rPr>
        <rFont val="Poppins"/>
        <b/>
        <sz val="7.0"/>
      </rPr>
      <t>#DemandCreation</t>
    </r>
    <r>
      <rPr>
        <rFont val="Poppins"/>
        <sz val="7.0"/>
      </rPr>
      <t xml:space="preserve">.
- [Sector Investment Focus] &gt; Portfolio &gt; Their portfolio consists of investments which focus on broad </t>
    </r>
    <r>
      <rPr>
        <rFont val="Poppins"/>
        <b/>
        <sz val="7.0"/>
      </rPr>
      <t>technology</t>
    </r>
    <r>
      <rPr>
        <rFont val="Poppins"/>
        <sz val="7.0"/>
      </rPr>
      <t xml:space="preserve">, </t>
    </r>
    <r>
      <rPr>
        <rFont val="Poppins"/>
        <b/>
        <color rgb="FF1155CC"/>
        <sz val="7.0"/>
        <u/>
      </rPr>
      <t xml:space="preserve">AI </t>
    </r>
    <r>
      <rPr>
        <rFont val="Poppins"/>
        <sz val="7.0"/>
      </rPr>
      <t>etc. ex: seedra ventures</t>
    </r>
  </si>
  <si>
    <t>middle east focus</t>
  </si>
  <si>
    <t>Middle East is part of your IIP</t>
  </si>
  <si>
    <t>Tsao Family Office</t>
  </si>
  <si>
    <t>https://www.tsao.com/</t>
  </si>
  <si>
    <r>
      <rPr>
        <rFont val="Poppins"/>
        <sz val="7.0"/>
      </rPr>
      <t xml:space="preserve">- [Asset class = Funds - VC] &gt; Website &gt; ''...Direct and </t>
    </r>
    <r>
      <rPr>
        <rFont val="Poppins"/>
        <b/>
        <sz val="7.0"/>
      </rPr>
      <t>fund</t>
    </r>
    <r>
      <rPr>
        <rFont val="Poppins"/>
        <sz val="7.0"/>
      </rPr>
      <t xml:space="preserve"> investments in </t>
    </r>
    <r>
      <rPr>
        <rFont val="Poppins"/>
        <b/>
        <color rgb="FF1155CC"/>
        <sz val="7.0"/>
        <u/>
      </rPr>
      <t>venture capital</t>
    </r>
    <r>
      <rPr>
        <rFont val="Poppins"/>
        <sz val="7.0"/>
      </rPr>
      <t xml:space="preserve">, growth private equity, and buyouts...''
- [Region Investment Focus] &gt; Private data provider &gt;  It invests across the </t>
    </r>
    <r>
      <rPr>
        <rFont val="Poppins"/>
        <b/>
        <color rgb="FF1155CC"/>
        <sz val="7.0"/>
        <u/>
      </rPr>
      <t>globe</t>
    </r>
    <r>
      <rPr>
        <rFont val="Poppins"/>
        <sz val="7.0"/>
      </rPr>
      <t xml:space="preserve"> in private and public markets.
- [Sector Investment Focus ] &gt; Website &gt; "...Long and long/short equity funds across various themes, </t>
    </r>
    <r>
      <rPr>
        <rFont val="Poppins"/>
        <b/>
        <color rgb="FF1155CC"/>
        <sz val="7.0"/>
        <u/>
      </rPr>
      <t>sectors</t>
    </r>
    <r>
      <rPr>
        <rFont val="Poppins"/>
        <sz val="7.0"/>
      </rPr>
      <t xml:space="preserve"> and regions..." </t>
    </r>
    <r>
      <rPr>
        <rFont val="Poppins"/>
        <b/>
        <sz val="7.0"/>
      </rPr>
      <t xml:space="preserve">#DemandCreation
</t>
    </r>
    <r>
      <rPr>
        <rFont val="Poppins"/>
        <sz val="7.0"/>
      </rPr>
      <t xml:space="preserve">- [Maturity Focus] &gt; Data manager judgement &gt; They have not publicly disclosed their maturity focus but the rest of the criteria aligns with your IIP </t>
    </r>
    <r>
      <rPr>
        <rFont val="Poppins"/>
        <b/>
        <sz val="7.0"/>
      </rPr>
      <t>#DemandCreation</t>
    </r>
  </si>
  <si>
    <t>public equities focus</t>
  </si>
  <si>
    <t>Would try to replace</t>
  </si>
  <si>
    <t>Enspire</t>
  </si>
  <si>
    <t>https://enspire.vc/</t>
  </si>
  <si>
    <r>
      <rPr>
        <rFont val="Poppins"/>
        <sz val="7.0"/>
      </rPr>
      <t xml:space="preserve">- [Asset Class = Funds - VC] &gt; Website &gt; They have mention several </t>
    </r>
    <r>
      <rPr>
        <rFont val="Poppins"/>
        <b/>
        <color rgb="FF1155CC"/>
        <sz val="7.0"/>
        <u/>
      </rPr>
      <t xml:space="preserve">vc funds </t>
    </r>
    <r>
      <rPr>
        <rFont val="Poppins"/>
        <sz val="7.0"/>
      </rPr>
      <t xml:space="preserve">on their website, ex: </t>
    </r>
    <r>
      <rPr>
        <rFont val="Poppins"/>
        <b/>
        <sz val="7.0"/>
      </rPr>
      <t>Merus Capital, Sky9 Capital</t>
    </r>
    <r>
      <rPr>
        <rFont val="Poppins"/>
        <sz val="7.0"/>
      </rPr>
      <t xml:space="preserve">. 
- [Sector Investment Focus] &gt; Website &gt; "...the area of Telecommunication, Media and Technology (TMT), Mobile, Cloud, </t>
    </r>
    <r>
      <rPr>
        <rFont val="Poppins"/>
        <b/>
        <color rgb="FF1155CC"/>
        <sz val="7.0"/>
        <u/>
      </rPr>
      <t>SaaS</t>
    </r>
    <r>
      <rPr>
        <rFont val="Poppins"/>
        <sz val="7.0"/>
      </rPr>
      <t xml:space="preserve"> and IoT. ..."
- [Region Investment Focus] &gt; Website &gt; "...Track records of IPOs and M&amp;A in </t>
    </r>
    <r>
      <rPr>
        <rFont val="Poppins"/>
        <b/>
        <color rgb="FF1155CC"/>
        <sz val="7.0"/>
        <u/>
      </rPr>
      <t>Asia</t>
    </r>
    <r>
      <rPr>
        <rFont val="Poppins"/>
        <sz val="7.0"/>
      </rPr>
      <t xml:space="preserve"> and Silicon Valley..."</t>
    </r>
  </si>
  <si>
    <t>VP</t>
  </si>
  <si>
    <t>Lee Meng Yeo</t>
  </si>
  <si>
    <t>Lee</t>
  </si>
  <si>
    <t xml:space="preserve"> Meng Yeo</t>
  </si>
  <si>
    <t>leemeng@enspire-capital.com</t>
  </si>
  <si>
    <t>https://www.linkedin.com/in/yeoleemeng/</t>
  </si>
  <si>
    <t>Miras Investments</t>
  </si>
  <si>
    <t>https://www.mirasinvest.com/</t>
  </si>
  <si>
    <r>
      <rPr>
        <rFont val="Poppins"/>
        <sz val="7.0"/>
      </rPr>
      <t xml:space="preserve">- [Asset class = Funds - VC] &gt; Website + Data manager judgement &gt; "...Growth Assets: Private Equity, </t>
    </r>
    <r>
      <rPr>
        <rFont val="Poppins"/>
        <b/>
        <color rgb="FF1155CC"/>
        <sz val="7.0"/>
        <u/>
      </rPr>
      <t>Venture Capital</t>
    </r>
    <r>
      <rPr>
        <rFont val="Poppins"/>
        <sz val="7.0"/>
      </rPr>
      <t xml:space="preserve">, Public Equity..." + Mentioned publicly that their "Head of </t>
    </r>
    <r>
      <rPr>
        <rFont val="Poppins"/>
        <b/>
        <sz val="7.0"/>
      </rPr>
      <t xml:space="preserve">VC </t>
    </r>
    <r>
      <rPr>
        <rFont val="Poppins"/>
        <sz val="7.0"/>
      </rPr>
      <t xml:space="preserve">and US Tech PE" built the global venture capital strategy through investing in both </t>
    </r>
    <r>
      <rPr>
        <rFont val="Poppins"/>
        <b/>
        <color rgb="FF1155CC"/>
        <sz val="7.0"/>
        <u/>
      </rPr>
      <t xml:space="preserve">funds </t>
    </r>
    <r>
      <rPr>
        <rFont val="Poppins"/>
        <sz val="7.0"/>
      </rPr>
      <t xml:space="preserve">and directs.
- [Sector investment focus] &gt; Data manager judgement &gt; They haven’t publicly disclosed their sector focus, but the rest of the criteria align with your strategy </t>
    </r>
    <r>
      <rPr>
        <rFont val="Poppins"/>
        <b/>
        <sz val="7.0"/>
      </rPr>
      <t>#DemandCreation</t>
    </r>
    <r>
      <rPr>
        <rFont val="Poppins"/>
        <sz val="7.0"/>
      </rPr>
      <t xml:space="preserve">
- [Region investment focus] &gt; Website &gt; "...Partnering with the leading investment minds around the </t>
    </r>
    <r>
      <rPr>
        <rFont val="Poppins"/>
        <b/>
        <color rgb="FF1155CC"/>
        <sz val="7.0"/>
        <u/>
      </rPr>
      <t>globe</t>
    </r>
    <r>
      <rPr>
        <rFont val="Poppins"/>
        <sz val="7.0"/>
      </rPr>
      <t xml:space="preserve">..."
- [Maturity Focus] &gt; Data manager judgement &gt; They have not publicly disclosed their maturity focus but the rest of the criteria aligns with your IIP </t>
    </r>
    <r>
      <rPr>
        <rFont val="Poppins"/>
        <b/>
        <sz val="7.0"/>
      </rPr>
      <t>#DemandCreation</t>
    </r>
  </si>
  <si>
    <t>Elizabeth Hewitt</t>
  </si>
  <si>
    <t>Elizabeth</t>
  </si>
  <si>
    <t>Hewitt</t>
  </si>
  <si>
    <t>elizabeth@mirasinvest.com</t>
  </si>
  <si>
    <t>https://www.linkedin.com/in/elizabeth-hewitt-0531406/</t>
  </si>
  <si>
    <t>Julius Baer</t>
  </si>
  <si>
    <t>https://www.juliusbaer.com/international/en/</t>
  </si>
  <si>
    <r>
      <rPr>
        <rFont val="Poppins"/>
        <sz val="7.0"/>
      </rPr>
      <t xml:space="preserve">- [Asset class = Funds-VC] &gt; Website &gt; ''...Impact investments may be made in both emerging and developed markets and are accessible through various private markets strategies, including </t>
    </r>
    <r>
      <rPr>
        <rFont val="Poppins"/>
        <b/>
        <color rgb="FF1155CC"/>
        <sz val="7.0"/>
        <u/>
      </rPr>
      <t>venture capital</t>
    </r>
    <r>
      <rPr>
        <rFont val="Poppins"/>
        <sz val="7.0"/>
      </rPr>
      <t xml:space="preserve">, growth, leveraged buyouts, private debt, and real estate assets...'' + ''...Our comprehensive shelf of funds, which range from ETFs and mutual funds to alternative </t>
    </r>
    <r>
      <rPr>
        <rFont val="Poppins"/>
        <b/>
        <color rgb="FF1155CC"/>
        <sz val="7.0"/>
        <u/>
      </rPr>
      <t>funds</t>
    </r>
    <r>
      <rPr>
        <rFont val="Poppins"/>
        <sz val="7.0"/>
      </rPr>
      <t xml:space="preserve">, enables you to invest in any segment you’re interested in...''
- [Sector investment focus] &gt; Website &gt; "...Next Generation themes are </t>
    </r>
    <r>
      <rPr>
        <rFont val="Poppins"/>
        <b/>
        <color rgb="FF1155CC"/>
        <sz val="7.0"/>
        <u/>
      </rPr>
      <t>Digital Disruption</t>
    </r>
    <r>
      <rPr>
        <rFont val="Poppins"/>
        <sz val="7.0"/>
      </rPr>
      <t xml:space="preserve">, </t>
    </r>
    <r>
      <rPr>
        <rFont val="Poppins"/>
        <b/>
        <sz val="7.0"/>
      </rPr>
      <t>Energy Transition</t>
    </r>
    <r>
      <rPr>
        <rFont val="Poppins"/>
        <sz val="7.0"/>
      </rPr>
      <t xml:space="preserve">, Feeding the World, Future Cities and Future Health..."
- [Region investment focus] &gt; News article &gt; 1,340 relationship managers and over 60 locations in 25 countries across Europe, </t>
    </r>
    <r>
      <rPr>
        <rFont val="Poppins"/>
        <b/>
        <color rgb="FF1155CC"/>
        <sz val="7.0"/>
        <u/>
      </rPr>
      <t>Asia</t>
    </r>
    <r>
      <rPr>
        <rFont val="Poppins"/>
        <sz val="7.0"/>
      </rPr>
      <t xml:space="preserve">, Latin America, Africa and the </t>
    </r>
    <r>
      <rPr>
        <rFont val="Poppins"/>
        <b/>
        <sz val="7.0"/>
      </rPr>
      <t>Middle East</t>
    </r>
    <r>
      <rPr>
        <rFont val="Poppins"/>
        <sz val="7.0"/>
      </rPr>
      <t xml:space="preserve">.
- [Maturity Focus] &gt; Data manager judgement &gt; They have not publicly disclosed their maturity focus but the rest of the criteria aligns with your IIP </t>
    </r>
    <r>
      <rPr>
        <rFont val="Poppins"/>
        <b/>
        <sz val="7.0"/>
      </rPr>
      <t>#DemandCreation</t>
    </r>
    <r>
      <rPr>
        <rFont val="Poppins"/>
        <sz val="7.0"/>
      </rPr>
      <t>.</t>
    </r>
  </si>
  <si>
    <t>bank!</t>
  </si>
  <si>
    <t>would try to replace</t>
  </si>
  <si>
    <t>CORECAM Family Office</t>
  </si>
  <si>
    <t>https://corecam.com/</t>
  </si>
  <si>
    <t>Website, Public data provider</t>
  </si>
  <si>
    <r>
      <rPr>
        <rFont val="Poppins"/>
        <sz val="7.0"/>
      </rPr>
      <t xml:space="preserve">- [Asset class - Funds - VC] &gt; Public data provider &gt; Venture Capital: We allocate capital to established startups and specialized </t>
    </r>
    <r>
      <rPr>
        <rFont val="Poppins"/>
        <b/>
        <color rgb="FF1155CC"/>
        <sz val="7.0"/>
        <u/>
      </rPr>
      <t xml:space="preserve">Venture Capital funds </t>
    </r>
    <r>
      <rPr>
        <rFont val="Poppins"/>
        <sz val="7.0"/>
      </rPr>
      <t xml:space="preserve">with top tier track records
- [Sector investment focus] &gt; Public data provider &gt; Typically </t>
    </r>
    <r>
      <rPr>
        <rFont val="Poppins"/>
        <b/>
        <sz val="7.0"/>
      </rPr>
      <t xml:space="preserve">B2B </t>
    </r>
    <r>
      <rPr>
        <rFont val="Poppins"/>
        <sz val="7.0"/>
      </rPr>
      <t xml:space="preserve">companies with a high share of recurring revenues. Over 60% of Corecam’s current Venture Capital portfolio is focused on </t>
    </r>
    <r>
      <rPr>
        <rFont val="Poppins"/>
        <b/>
        <color rgb="FF1155CC"/>
        <sz val="7.0"/>
        <u/>
      </rPr>
      <t xml:space="preserve">software </t>
    </r>
    <r>
      <rPr>
        <rFont val="Poppins"/>
        <sz val="7.0"/>
      </rPr>
      <t xml:space="preserve">companies
- [Region investment focus] &gt; Website &gt; "...Strategically positioned in 3 jurisdictions within secure financial centers, our global network empowers us to maintain boutique agility while seizing investment opportunities </t>
    </r>
    <r>
      <rPr>
        <rFont val="Poppins"/>
        <b/>
        <color rgb="FF1155CC"/>
        <sz val="7.0"/>
        <u/>
      </rPr>
      <t>worldwide</t>
    </r>
    <r>
      <rPr>
        <rFont val="Poppins"/>
        <sz val="7.0"/>
      </rPr>
      <t xml:space="preserve">...; 
- [Maturity Focus] &gt; Data manager judgement &gt; They have not publicly disclosed their maturity focus but the rest of the criteria aligns with your IIP </t>
    </r>
    <r>
      <rPr>
        <rFont val="Poppins"/>
        <b/>
        <sz val="7.0"/>
      </rPr>
      <t>#DemandCreation.</t>
    </r>
  </si>
  <si>
    <t>not an investor but a manager - We source private market deal opportunities, spanning across real estate, private equity and venture capital.</t>
  </si>
  <si>
    <t>Kingsley Advani</t>
  </si>
  <si>
    <t>https://www.linkedin.com/in/kadvani/</t>
  </si>
  <si>
    <r>
      <rPr>
        <rFont val="Poppins"/>
        <sz val="7.0"/>
      </rPr>
      <t xml:space="preserve">- [Asset class = Funds - VC] &gt; Linkedin &gt; He is a </t>
    </r>
    <r>
      <rPr>
        <rFont val="Poppins"/>
        <b/>
        <sz val="7.0"/>
      </rPr>
      <t>limited partner</t>
    </r>
    <r>
      <rPr>
        <rFont val="Poppins"/>
        <sz val="7.0"/>
      </rPr>
      <t xml:space="preserve"> in </t>
    </r>
    <r>
      <rPr>
        <rFont val="Poppins"/>
        <b/>
        <color rgb="FF1155CC"/>
        <sz val="7.0"/>
        <u/>
      </rPr>
      <t>VC funds</t>
    </r>
    <r>
      <rPr>
        <rFont val="Poppins"/>
        <sz val="7.0"/>
      </rPr>
      <t xml:space="preserve"> (</t>
    </r>
    <r>
      <rPr>
        <rFont val="Poppins"/>
        <b/>
        <sz val="7.0"/>
      </rPr>
      <t>Cluster Capital, Tribe Capital, etc</t>
    </r>
    <r>
      <rPr>
        <rFont val="Poppins"/>
        <sz val="7.0"/>
      </rPr>
      <t xml:space="preserve">).
- [Sector Investment focus] &gt; Data manager judgement &gt; His investments focus on </t>
    </r>
    <r>
      <rPr>
        <rFont val="Poppins"/>
        <b/>
        <color rgb="FF1155CC"/>
        <sz val="7.0"/>
        <u/>
      </rPr>
      <t>AI</t>
    </r>
    <r>
      <rPr>
        <rFont val="Poppins"/>
        <sz val="7.0"/>
      </rPr>
      <t>, space tech,</t>
    </r>
    <r>
      <rPr>
        <rFont val="Poppins"/>
        <b/>
        <sz val="7.0"/>
      </rPr>
      <t xml:space="preserve"> </t>
    </r>
    <r>
      <rPr>
        <rFont val="Poppins"/>
        <sz val="7.0"/>
      </rPr>
      <t xml:space="preserve">fintech, blockchain &amp; Web3, etc. (Cluster Capital, Space fund, Tribe Capital, etc).
- [Region investment focus] &gt; Linkedin &gt; His investments are based in </t>
    </r>
    <r>
      <rPr>
        <rFont val="Poppins"/>
        <b/>
        <color rgb="FF1155CC"/>
        <sz val="7.0"/>
        <u/>
      </rPr>
      <t>United States</t>
    </r>
    <r>
      <rPr>
        <rFont val="Poppins"/>
        <sz val="7.0"/>
      </rPr>
      <t>. (Cluster Capital, Tribe Capital, etc).</t>
    </r>
  </si>
  <si>
    <t>Kingsley</t>
  </si>
  <si>
    <t>Advani</t>
  </si>
  <si>
    <t>kadvani1@gmail.com</t>
  </si>
  <si>
    <t>AG Ventures</t>
  </si>
  <si>
    <t>https://agventures.co.in/</t>
  </si>
  <si>
    <r>
      <rPr>
        <rFont val="Poppins"/>
        <sz val="7.0"/>
      </rPr>
      <t xml:space="preserve">- [Type = Family office] &gt; LinkedIn &gt; a </t>
    </r>
    <r>
      <rPr>
        <rFont val="Poppins"/>
        <b/>
        <color rgb="FF1155CC"/>
        <sz val="7.0"/>
        <u/>
      </rPr>
      <t>family office</t>
    </r>
    <r>
      <rPr>
        <rFont val="Poppins"/>
        <sz val="7.0"/>
      </rPr>
      <t xml:space="preserve"> that is focused on investing
- [Asset class = Funds - VC] &gt; Website &gt; "...has also taken </t>
    </r>
    <r>
      <rPr>
        <rFont val="Poppins"/>
        <b/>
        <sz val="7.0"/>
      </rPr>
      <t>LP</t>
    </r>
    <r>
      <rPr>
        <rFont val="Poppins"/>
        <sz val="7.0"/>
      </rPr>
      <t xml:space="preserve"> positions in some prominent </t>
    </r>
    <r>
      <rPr>
        <rFont val="Poppins"/>
        <b/>
        <color rgb="FF1155CC"/>
        <sz val="7.0"/>
        <u/>
      </rPr>
      <t>funds</t>
    </r>
    <r>
      <rPr>
        <rFont val="Poppins"/>
        <sz val="7.0"/>
      </rPr>
      <t>..." + "...</t>
    </r>
    <r>
      <rPr>
        <rFont val="Poppins"/>
        <b/>
        <sz val="7.0"/>
      </rPr>
      <t>10 + FUNDS</t>
    </r>
    <r>
      <rPr>
        <rFont val="Poppins"/>
        <sz val="7.0"/>
      </rPr>
      <t xml:space="preserve"> INVESTED IN..."
- [Sector investment focus] &gt; Data manager judgement &gt; Their investments focus on </t>
    </r>
    <r>
      <rPr>
        <rFont val="Poppins"/>
        <b/>
        <color rgb="FF1155CC"/>
        <sz val="7.0"/>
        <u/>
      </rPr>
      <t>AI</t>
    </r>
    <r>
      <rPr>
        <rFont val="Poppins"/>
        <sz val="7.0"/>
      </rPr>
      <t xml:space="preserve">, space tech, fintech (Enmovil, HuddleUp, KalaGato, AgniKul Cosmos, Snapmint, etc).
- [Region investment focus] &gt; Data manager judgement &gt; They have investments based in </t>
    </r>
    <r>
      <rPr>
        <rFont val="Poppins"/>
        <b/>
        <color rgb="FF1155CC"/>
        <sz val="7.0"/>
        <u/>
      </rPr>
      <t>India</t>
    </r>
    <r>
      <rPr>
        <rFont val="Poppins"/>
        <sz val="7.0"/>
      </rPr>
      <t xml:space="preserve"> (Enmovil, AgniKul Cosmos, etc). + They have investments in the </t>
    </r>
    <r>
      <rPr>
        <rFont val="Poppins"/>
        <b/>
        <sz val="7.0"/>
      </rPr>
      <t>United States</t>
    </r>
    <r>
      <rPr>
        <rFont val="Poppins"/>
        <sz val="7.0"/>
      </rPr>
      <t xml:space="preserve"> and </t>
    </r>
    <r>
      <rPr>
        <rFont val="Poppins"/>
        <b/>
        <color rgb="FF1155CC"/>
        <sz val="7.0"/>
        <u/>
      </rPr>
      <t>Japan</t>
    </r>
    <r>
      <rPr>
        <rFont val="Poppins"/>
        <sz val="7.0"/>
      </rPr>
      <t xml:space="preserve"> as well (SpaceX, Vimano, EF Polymer). 
- [Maturity focus] &gt; They have not publicly disclosed their maturity focus but the rest of the criteria aligns with your IIP </t>
    </r>
    <r>
      <rPr>
        <rFont val="Poppins"/>
        <b/>
        <sz val="7.0"/>
      </rPr>
      <t>#DemandCreation.</t>
    </r>
  </si>
  <si>
    <t>Akshat Goenka</t>
  </si>
  <si>
    <t>Akshat</t>
  </si>
  <si>
    <t>Goenka</t>
  </si>
  <si>
    <t>ag@agventures.co.in</t>
  </si>
  <si>
    <t>https://www.linkedin.com/in/akshat-goenka-91223b16b/</t>
  </si>
  <si>
    <t>Double Peak Group</t>
  </si>
  <si>
    <t>https://www.doublepeak.io/</t>
  </si>
  <si>
    <r>
      <rPr>
        <rFont val="Poppins"/>
        <sz val="7.0"/>
      </rPr>
      <t xml:space="preserve">- [Type = Family office] &gt; Data manager judgement &gt; Private data provider confirms that they are a </t>
    </r>
    <r>
      <rPr>
        <rFont val="Poppins"/>
        <b/>
        <color rgb="FF1155CC"/>
        <sz val="7.0"/>
        <u/>
      </rPr>
      <t>family office</t>
    </r>
    <r>
      <rPr>
        <rFont val="Poppins"/>
        <sz val="7.0"/>
      </rPr>
      <t xml:space="preserve">.
- [Asset class = Funds - VC] &gt; Website &gt; "...making meaningful investments during early </t>
    </r>
    <r>
      <rPr>
        <rFont val="Poppins"/>
        <b/>
        <color rgb="FF1155CC"/>
        <sz val="7.0"/>
        <u/>
      </rPr>
      <t>funding</t>
    </r>
    <r>
      <rPr>
        <rFont val="Poppins"/>
        <sz val="7.0"/>
      </rPr>
      <t xml:space="preserve"> rounds and </t>
    </r>
    <r>
      <rPr>
        <rFont val="Poppins"/>
        <b/>
        <sz val="7.0"/>
      </rPr>
      <t>secondary</t>
    </r>
    <r>
      <rPr>
        <rFont val="Poppins"/>
        <sz val="7.0"/>
      </rPr>
      <t xml:space="preserve"> markets..." + </t>
    </r>
    <r>
      <rPr>
        <rFont val="Poppins"/>
        <b/>
        <color rgb="FF1155CC"/>
        <sz val="7.0"/>
        <u/>
      </rPr>
      <t>Investment Funds</t>
    </r>
    <r>
      <rPr>
        <rFont val="Poppins"/>
        <b/>
        <sz val="7.0"/>
      </rPr>
      <t xml:space="preserve">
</t>
    </r>
    <r>
      <rPr>
        <rFont val="Poppins"/>
        <sz val="7.0"/>
      </rPr>
      <t xml:space="preserve">- [Sector investment focus] &gt; Website &gt; "...markets in </t>
    </r>
    <r>
      <rPr>
        <rFont val="Poppins"/>
        <b/>
        <color rgb="FF1155CC"/>
        <sz val="7.0"/>
        <u/>
      </rPr>
      <t>robotics</t>
    </r>
    <r>
      <rPr>
        <rFont val="Poppins"/>
        <sz val="7.0"/>
      </rPr>
      <t xml:space="preserve">, embodied intelligence and the digital asset ecosystem..."
- [Region investment focus] &gt; Website &gt; "...enabling the diffusion of these technologies across the </t>
    </r>
    <r>
      <rPr>
        <rFont val="Poppins"/>
        <b/>
        <color rgb="FF1155CC"/>
        <sz val="7.0"/>
        <u/>
      </rPr>
      <t>global</t>
    </r>
    <r>
      <rPr>
        <rFont val="Poppins"/>
        <sz val="7.0"/>
      </rPr>
      <t xml:space="preserve"> landscape..."</t>
    </r>
    <r>
      <rPr>
        <rFont val="Poppins"/>
        <b/>
        <color rgb="FF1155CC"/>
        <sz val="7.0"/>
        <u/>
      </rPr>
      <t xml:space="preserve">
</t>
    </r>
    <r>
      <rPr>
        <rFont val="Poppins"/>
        <sz val="7.0"/>
      </rPr>
      <t xml:space="preserve">- [Maturity focus] &gt; They have not publicly dsclosed their maturity focus but the rest of the criteria aligns with your IIP </t>
    </r>
    <r>
      <rPr>
        <rFont val="Poppins"/>
        <b/>
        <sz val="7.0"/>
      </rPr>
      <t>#DemandCreation</t>
    </r>
    <r>
      <rPr>
        <rFont val="Poppins"/>
        <sz val="7.0"/>
      </rPr>
      <t>.</t>
    </r>
  </si>
  <si>
    <t>more on advisory</t>
  </si>
  <si>
    <t>Hunch Ventures</t>
  </si>
  <si>
    <t>https://hunchventures.com/</t>
  </si>
  <si>
    <r>
      <rPr>
        <rFont val="Poppins"/>
        <sz val="7.0"/>
      </rPr>
      <t xml:space="preserve">- [Type = Family office] &gt; Data manager judgement &gt; Private data provider confirms their investor type is </t>
    </r>
    <r>
      <rPr>
        <rFont val="Poppins"/>
        <b/>
        <color rgb="FF1155CC"/>
        <sz val="7.0"/>
        <u/>
      </rPr>
      <t>family office</t>
    </r>
    <r>
      <rPr>
        <rFont val="Poppins"/>
        <sz val="7.0"/>
      </rPr>
      <t xml:space="preserve">.
- [Asset class = Funds - VC] &gt; Data manager judgement &gt; Their portfolio consists of </t>
    </r>
    <r>
      <rPr>
        <rFont val="Poppins"/>
        <b/>
        <color rgb="FF1155CC"/>
        <sz val="7.0"/>
        <u/>
      </rPr>
      <t xml:space="preserve">VC funds </t>
    </r>
    <r>
      <rPr>
        <rFont val="Poppins"/>
        <sz val="7.0"/>
      </rPr>
      <t>(Roots Ventures, N+1 Capital).</t>
    </r>
    <r>
      <rPr>
        <rFont val="Poppins"/>
        <b/>
        <sz val="7.0"/>
      </rPr>
      <t xml:space="preserve">
</t>
    </r>
    <r>
      <rPr>
        <rFont val="Poppins"/>
        <sz val="7.0"/>
      </rPr>
      <t xml:space="preserve">- [Sector investment focus] &gt; Private data provider + Data manager judgement &gt; The firm prefers to invest in entrepreneurship, </t>
    </r>
    <r>
      <rPr>
        <rFont val="Poppins"/>
        <b/>
        <sz val="7.0"/>
      </rPr>
      <t>innovation</t>
    </r>
    <r>
      <rPr>
        <rFont val="Poppins"/>
        <sz val="7.0"/>
      </rPr>
      <t xml:space="preserve">, and </t>
    </r>
    <r>
      <rPr>
        <rFont val="Poppins"/>
        <b/>
        <color rgb="FF1155CC"/>
        <sz val="7.0"/>
        <u/>
      </rPr>
      <t xml:space="preserve">technology </t>
    </r>
    <r>
      <rPr>
        <rFont val="Poppins"/>
        <sz val="7.0"/>
      </rPr>
      <t xml:space="preserve">companies. + new-age </t>
    </r>
    <r>
      <rPr>
        <rFont val="Poppins"/>
        <b/>
        <color rgb="FF1155CC"/>
        <sz val="7.0"/>
        <u/>
      </rPr>
      <t>technology</t>
    </r>
    <r>
      <rPr>
        <rFont val="Poppins"/>
        <sz val="7.0"/>
      </rPr>
      <t xml:space="preserve"> sectors + Private data provider confirms that they have investments focusing on </t>
    </r>
    <r>
      <rPr>
        <rFont val="Poppins"/>
        <b/>
        <color rgb="FF1155CC"/>
        <sz val="7.0"/>
        <u/>
      </rPr>
      <t>AI</t>
    </r>
    <r>
      <rPr>
        <rFont val="Poppins"/>
        <sz val="7.0"/>
      </rPr>
      <t xml:space="preserve">, ex: MyHealthcare, Nimble Vision, Spotdraft.
- [Region investment focus] &gt; Private data provider + Data manager judgement &gt; It has investments in </t>
    </r>
    <r>
      <rPr>
        <rFont val="Poppins"/>
        <b/>
        <sz val="7.0"/>
      </rPr>
      <t>India</t>
    </r>
    <r>
      <rPr>
        <rFont val="Poppins"/>
        <sz val="7.0"/>
      </rPr>
      <t xml:space="preserve">, Canada, the US, Tanzania, </t>
    </r>
    <r>
      <rPr>
        <rFont val="Poppins"/>
        <b/>
        <color rgb="FF1155CC"/>
        <sz val="7.0"/>
        <u/>
      </rPr>
      <t>Singapore</t>
    </r>
    <r>
      <rPr>
        <rFont val="Poppins"/>
        <sz val="7.0"/>
      </rPr>
      <t xml:space="preserve">, UAE and the United Kingdom. + Their portfolio includes </t>
    </r>
    <r>
      <rPr>
        <rFont val="Poppins"/>
        <b/>
        <color rgb="FF1155CC"/>
        <sz val="7.0"/>
        <u/>
      </rPr>
      <t>US</t>
    </r>
    <r>
      <rPr>
        <rFont val="Poppins"/>
        <sz val="7.0"/>
      </rPr>
      <t xml:space="preserve"> based investments (Comprehensive, Blade, etc).
- [Maturity focus] &gt; They have not publicly disclosed their maturity focus but the rest of the criteria aligns with your IIP </t>
    </r>
    <r>
      <rPr>
        <rFont val="Poppins"/>
        <b/>
        <sz val="7.0"/>
      </rPr>
      <t>#DemandCreation</t>
    </r>
    <r>
      <rPr>
        <rFont val="Poppins"/>
        <sz val="7.0"/>
      </rPr>
      <t>.</t>
    </r>
  </si>
  <si>
    <t>Karanpal Singh</t>
  </si>
  <si>
    <t>Karanpal</t>
  </si>
  <si>
    <t>karan@hunchventures.com</t>
  </si>
  <si>
    <t>https://www.linkedin.com/in/karanpal-singh-5707645a/</t>
  </si>
  <si>
    <t>B2V Ventures</t>
  </si>
  <si>
    <t>https://b2vventures.com/#about</t>
  </si>
  <si>
    <r>
      <rPr>
        <rFont val="Poppins"/>
        <sz val="7.0"/>
      </rPr>
      <t xml:space="preserve">- [Type = Family office] &gt; Website &gt; "...B2V Ventures is a Mumbai based </t>
    </r>
    <r>
      <rPr>
        <rFont val="Poppins"/>
        <b/>
        <color rgb="FF1155CC"/>
        <sz val="7.0"/>
        <u/>
      </rPr>
      <t>Single-Family Office</t>
    </r>
    <r>
      <rPr>
        <rFont val="Poppins"/>
        <sz val="7.0"/>
      </rPr>
      <t xml:space="preserve">..."
- [Asset class - Funds - VC] &gt; Website + Data manager judgement &gt; "...We invest across various asset classes in India &amp; Overseas, directly, or through </t>
    </r>
    <r>
      <rPr>
        <rFont val="Poppins"/>
        <b/>
        <color rgb="FF1155CC"/>
        <sz val="7.0"/>
        <u/>
      </rPr>
      <t>funds</t>
    </r>
    <r>
      <rPr>
        <rFont val="Poppins"/>
        <sz val="7.0"/>
      </rPr>
      <t xml:space="preserve"> and managed accounts..." + Their portfolio confirms that they invest in </t>
    </r>
    <r>
      <rPr>
        <rFont val="Poppins"/>
        <b/>
        <color rgb="FF1155CC"/>
        <sz val="7.0"/>
        <u/>
      </rPr>
      <t>VC funds</t>
    </r>
    <r>
      <rPr>
        <rFont val="Poppins"/>
        <sz val="7.0"/>
      </rPr>
      <t xml:space="preserve">, ex: Chiratae Ventures, Arakm Venture.
- [Region investment focus] &gt; Website &gt; "... We invest across various asset classes in </t>
    </r>
    <r>
      <rPr>
        <rFont val="Poppins"/>
        <b/>
        <sz val="7.0"/>
      </rPr>
      <t>India</t>
    </r>
    <r>
      <rPr>
        <rFont val="Poppins"/>
        <sz val="7.0"/>
      </rPr>
      <t xml:space="preserve"> &amp; </t>
    </r>
    <r>
      <rPr>
        <rFont val="Poppins"/>
        <b/>
        <color rgb="FF1155CC"/>
        <sz val="7.0"/>
        <u/>
      </rPr>
      <t>Overseas</t>
    </r>
    <r>
      <rPr>
        <rFont val="Poppins"/>
        <sz val="7.0"/>
      </rPr>
      <t>..."
- [Sector investment focus] &gt; Website + Portfolio &gt; "...we follow a Multi-Stage,</t>
    </r>
    <r>
      <rPr>
        <rFont val="Poppins"/>
        <b/>
        <sz val="7.0"/>
      </rPr>
      <t xml:space="preserve"> Sector-</t>
    </r>
    <r>
      <rPr>
        <rFont val="Poppins"/>
        <b/>
        <color rgb="FF1155CC"/>
        <sz val="7.0"/>
        <u/>
      </rPr>
      <t>Agnostic</t>
    </r>
    <r>
      <rPr>
        <rFont val="Poppins"/>
        <sz val="7.0"/>
      </rPr>
      <t xml:space="preserve"> strategy..." + Their investments include </t>
    </r>
    <r>
      <rPr>
        <rFont val="Poppins"/>
        <b/>
        <color rgb="FF1155CC"/>
        <sz val="7.0"/>
        <u/>
      </rPr>
      <t>AI</t>
    </r>
    <r>
      <rPr>
        <rFont val="Poppins"/>
        <b/>
        <sz val="7.0"/>
      </rPr>
      <t xml:space="preserve"> </t>
    </r>
    <r>
      <rPr>
        <rFont val="Poppins"/>
        <sz val="7.0"/>
      </rPr>
      <t>&amp;</t>
    </r>
    <r>
      <rPr>
        <rFont val="Poppins"/>
        <b/>
        <sz val="7.0"/>
      </rPr>
      <t xml:space="preserve"> Robotics</t>
    </r>
    <r>
      <rPr>
        <rFont val="Poppins"/>
        <sz val="7.0"/>
      </rPr>
      <t xml:space="preserve"> (Miko AI: AI Powered Robot).
- [Maturity focus] &gt; They have not publicly disclosed their maturity focus but the rest of the criteria aligns with your IIP </t>
    </r>
    <r>
      <rPr>
        <rFont val="Poppins"/>
        <b/>
        <sz val="7.0"/>
      </rPr>
      <t>#DemandCreation</t>
    </r>
    <r>
      <rPr>
        <rFont val="Poppins"/>
        <sz val="7.0"/>
      </rPr>
      <t>.</t>
    </r>
  </si>
  <si>
    <t>Apurva Shah</t>
  </si>
  <si>
    <t xml:space="preserve">Apurva </t>
  </si>
  <si>
    <t>apurvashah85@hotmail.com</t>
  </si>
  <si>
    <t>https://www.linkedin.com/in/apurvashah85/</t>
  </si>
  <si>
    <t>Sharrp Ventures</t>
  </si>
  <si>
    <t>https://www.sharrpventures.com/about</t>
  </si>
  <si>
    <r>
      <rPr>
        <rFont val="Poppins"/>
        <sz val="7.0"/>
      </rPr>
      <t xml:space="preserve">- [Type = Family office] &gt; Website &gt; "...The investment </t>
    </r>
    <r>
      <rPr>
        <rFont val="Poppins"/>
        <b/>
        <sz val="7.0"/>
      </rPr>
      <t>office</t>
    </r>
    <r>
      <rPr>
        <rFont val="Poppins"/>
        <sz val="7.0"/>
      </rPr>
      <t xml:space="preserve"> of the </t>
    </r>
    <r>
      <rPr>
        <rFont val="Poppins"/>
        <b/>
        <color rgb="FF1155CC"/>
        <sz val="7.0"/>
        <u/>
      </rPr>
      <t>Harsh Mariwala family</t>
    </r>
    <r>
      <rPr>
        <rFont val="Poppins"/>
        <sz val="7.0"/>
      </rPr>
      <t xml:space="preserve">..."
- [Asset Class = Funds -VC] &gt; Data manager judgement &gt; Their portfolio confirms that they invest in </t>
    </r>
    <r>
      <rPr>
        <rFont val="Poppins"/>
        <b/>
        <color rgb="FF1155CC"/>
        <sz val="7.0"/>
        <u/>
      </rPr>
      <t>VC funds</t>
    </r>
    <r>
      <rPr>
        <rFont val="Poppins"/>
        <sz val="7.0"/>
      </rPr>
      <t>, ex:</t>
    </r>
    <r>
      <rPr>
        <rFont val="Poppins"/>
        <b/>
        <sz val="7.0"/>
      </rPr>
      <t xml:space="preserve"> </t>
    </r>
    <r>
      <rPr>
        <rFont val="Poppins"/>
        <sz val="7.0"/>
      </rPr>
      <t xml:space="preserve">Kae Capital, unitus venture. 
- [Sector Investment Focus] &gt; Website + Data manager judgement &gt; "...While we are </t>
    </r>
    <r>
      <rPr>
        <rFont val="Poppins"/>
        <b/>
        <color rgb="FF1155CC"/>
        <sz val="7.0"/>
        <u/>
      </rPr>
      <t>sector agnostic</t>
    </r>
    <r>
      <rPr>
        <rFont val="Poppins"/>
        <sz val="7.0"/>
      </rPr>
      <t xml:space="preserve">, our focus is in Financials, Consumer, Healthcare and </t>
    </r>
    <r>
      <rPr>
        <rFont val="Poppins"/>
        <b/>
        <sz val="7.0"/>
      </rPr>
      <t>Technology</t>
    </r>
    <r>
      <rPr>
        <rFont val="Poppins"/>
        <sz val="7.0"/>
      </rPr>
      <t xml:space="preserve">..." + Their portfolio includes investments focused on </t>
    </r>
    <r>
      <rPr>
        <rFont val="Poppins"/>
        <b/>
        <color rgb="FF1155CC"/>
        <sz val="7.0"/>
        <u/>
      </rPr>
      <t>AI</t>
    </r>
    <r>
      <rPr>
        <rFont val="Poppins"/>
        <sz val="7.0"/>
      </rPr>
      <t xml:space="preserve">, </t>
    </r>
    <r>
      <rPr>
        <rFont val="Poppins"/>
        <b/>
        <sz val="7.0"/>
      </rPr>
      <t>deep tech</t>
    </r>
    <r>
      <rPr>
        <rFont val="Poppins"/>
        <sz val="7.0"/>
      </rPr>
      <t xml:space="preserve"> &amp; </t>
    </r>
    <r>
      <rPr>
        <rFont val="Poppins"/>
        <b/>
        <sz val="7.0"/>
      </rPr>
      <t>robotics</t>
    </r>
    <r>
      <rPr>
        <rFont val="Poppins"/>
        <sz val="7.0"/>
      </rPr>
      <t xml:space="preserve"> (Kae Capital, exfinity, G Squared, Creaegis).
- [Region Investment Focus] &gt; Website &gt; "...private equity funds primarily in </t>
    </r>
    <r>
      <rPr>
        <rFont val="Poppins"/>
        <b/>
        <color rgb="FF1155CC"/>
        <sz val="7.0"/>
        <u/>
      </rPr>
      <t>India</t>
    </r>
    <r>
      <rPr>
        <rFont val="Poppins"/>
        <sz val="7.0"/>
      </rPr>
      <t xml:space="preserve"> and </t>
    </r>
    <r>
      <rPr>
        <rFont val="Poppins"/>
        <b/>
        <sz val="7.0"/>
      </rPr>
      <t>USA</t>
    </r>
    <r>
      <rPr>
        <rFont val="Poppins"/>
        <sz val="7.0"/>
      </rPr>
      <t xml:space="preserve">..."
- [Maturity focus] &gt; They have not publicly disclosed their maturity focus but the rest of the criteria aligns with your IIP </t>
    </r>
    <r>
      <rPr>
        <rFont val="Poppins"/>
        <b/>
        <sz val="7.0"/>
      </rPr>
      <t>#DemandCreation</t>
    </r>
    <r>
      <rPr>
        <rFont val="Poppins"/>
        <sz val="7.0"/>
      </rPr>
      <t>.</t>
    </r>
  </si>
  <si>
    <t>Consumer focus</t>
  </si>
  <si>
    <t>FRO Management Limited</t>
  </si>
  <si>
    <t>https://www.linkedin.com/company/fro-management-limited/about/</t>
  </si>
  <si>
    <r>
      <rPr>
        <rFont val="Poppins"/>
        <sz val="7.0"/>
      </rPr>
      <t xml:space="preserve">- [Type = Family office] &gt; LinkedIn &gt; FRO Management Limited (FRO), is a </t>
    </r>
    <r>
      <rPr>
        <rFont val="Poppins"/>
        <b/>
        <color rgb="FF1155CC"/>
        <sz val="7.0"/>
        <u/>
      </rPr>
      <t>family office</t>
    </r>
    <r>
      <rPr>
        <rFont val="Poppins"/>
        <sz val="7.0"/>
      </rPr>
      <t xml:space="preserve"> based in Hong Kong
-[Asset class = Funds-VC] &gt; Linkedin &gt; Winro deploys long-term capital into aalternative investments across various companies and </t>
    </r>
    <r>
      <rPr>
        <rFont val="Poppins"/>
        <b/>
        <color rgb="FF1155CC"/>
        <sz val="7.0"/>
        <u/>
      </rPr>
      <t>funds</t>
    </r>
    <r>
      <rPr>
        <rFont val="Poppins"/>
        <b/>
        <sz val="7.0"/>
      </rPr>
      <t xml:space="preserve">  </t>
    </r>
    <r>
      <rPr>
        <rFont val="Poppins"/>
        <sz val="7.0"/>
      </rPr>
      <t xml:space="preserve">+ Industry Expertise: Our team consists of </t>
    </r>
    <r>
      <rPr>
        <rFont val="Poppins"/>
        <b/>
        <color rgb="FF1155CC"/>
        <sz val="7.0"/>
        <u/>
      </rPr>
      <t>VC/PE</t>
    </r>
    <r>
      <rPr>
        <rFont val="Poppins"/>
        <sz val="7.0"/>
      </rPr>
      <t xml:space="preserve"> 
-[Sector investment focus] &gt; Linkedin &gt; aalternative investments across various companies and funds in the </t>
    </r>
    <r>
      <rPr>
        <rFont val="Poppins"/>
        <b/>
        <color rgb="FF1155CC"/>
        <sz val="7.0"/>
        <u/>
      </rPr>
      <t>technology</t>
    </r>
    <r>
      <rPr>
        <rFont val="Poppins"/>
        <sz val="7.0"/>
      </rPr>
      <t xml:space="preserve">, healthcare, and consumer sectors.
-[Region investment focus] &gt; Linkedin &gt; </t>
    </r>
    <r>
      <rPr>
        <rFont val="Poppins"/>
        <b/>
        <color rgb="FF1155CC"/>
        <sz val="7.0"/>
        <u/>
      </rPr>
      <t>Global</t>
    </r>
    <r>
      <rPr>
        <rFont val="Poppins"/>
        <sz val="7.0"/>
      </rPr>
      <t xml:space="preserve"> Connections
-[Maturity focus] &gt; They have not publicly disclosed their maturity focus but the rest of the criteria aligns with your IIP </t>
    </r>
    <r>
      <rPr>
        <rFont val="Poppins"/>
        <b/>
        <sz val="7.0"/>
      </rPr>
      <t>#DemandCreation</t>
    </r>
    <r>
      <rPr>
        <rFont val="Poppins"/>
        <sz val="7.0"/>
      </rPr>
      <t>.</t>
    </r>
  </si>
  <si>
    <t>Phoebe Kwan</t>
  </si>
  <si>
    <t>Phoebe</t>
  </si>
  <si>
    <t>Kwan</t>
  </si>
  <si>
    <t>phoebe.kwan@fromanagement.com</t>
  </si>
  <si>
    <t>https://www.linkedin.com/in/phoebe-kwan-cfa-8993508/</t>
  </si>
  <si>
    <t>8T8 Capital</t>
  </si>
  <si>
    <t>https://www.8t8capital.com/index.htm</t>
  </si>
  <si>
    <r>
      <rPr>
        <rFont val="Poppins"/>
        <sz val="7.0"/>
      </rPr>
      <t>- [Type = Family office] &gt; Website &gt; "...private investment firm (</t>
    </r>
    <r>
      <rPr>
        <rFont val="Poppins"/>
        <b/>
        <color rgb="FF1155CC"/>
        <sz val="7.0"/>
        <u/>
      </rPr>
      <t>Family Office</t>
    </r>
    <r>
      <rPr>
        <rFont val="Poppins"/>
        <sz val="7.0"/>
      </rPr>
      <t xml:space="preserve">) based in Hong Kong..."
-[Asset class = Funds- VC] &gt; Website &gt; "...The company invests in a wide variety of products and sectors, including but not restricted to hedge funds, private equity, </t>
    </r>
    <r>
      <rPr>
        <rFont val="Poppins"/>
        <b/>
        <color rgb="FF1155CC"/>
        <sz val="7.0"/>
        <u/>
      </rPr>
      <t>venture</t>
    </r>
    <r>
      <rPr>
        <rFont val="Poppins"/>
        <color rgb="FF1155CC"/>
        <sz val="7.0"/>
        <u/>
      </rPr>
      <t xml:space="preserve"> </t>
    </r>
    <r>
      <rPr>
        <rFont val="Poppins"/>
        <b/>
        <color rgb="FF1155CC"/>
        <sz val="7.0"/>
        <u/>
      </rPr>
      <t>capital</t>
    </r>
    <r>
      <rPr>
        <rFont val="Poppins"/>
        <b/>
        <sz val="7.0"/>
      </rPr>
      <t>...</t>
    </r>
    <r>
      <rPr>
        <rFont val="Poppins"/>
        <sz val="7.0"/>
      </rPr>
      <t xml:space="preserve"> " + "...due diligence on companies and </t>
    </r>
    <r>
      <rPr>
        <rFont val="Poppins"/>
        <b/>
        <sz val="7.0"/>
      </rPr>
      <t>funds</t>
    </r>
    <r>
      <rPr>
        <rFont val="Poppins"/>
        <sz val="7.0"/>
      </rPr>
      <t xml:space="preserve"> and strategic management advice in a wide variety of industries..."
-[Sector investment focus] &gt; Website &gt; "...The company invests in a </t>
    </r>
    <r>
      <rPr>
        <rFont val="Poppins"/>
        <b/>
        <sz val="7.0"/>
      </rPr>
      <t>wide variety</t>
    </r>
    <r>
      <rPr>
        <rFont val="Poppins"/>
        <sz val="7.0"/>
      </rPr>
      <t xml:space="preserve"> of products and </t>
    </r>
    <r>
      <rPr>
        <rFont val="Poppins"/>
        <b/>
        <color rgb="FF1155CC"/>
        <sz val="7.0"/>
        <u/>
      </rPr>
      <t>sectors</t>
    </r>
    <r>
      <rPr>
        <rFont val="Poppins"/>
        <sz val="7.0"/>
      </rPr>
      <t xml:space="preserve">..."
-[Region investment focus] &gt; Website  &gt; "...The experience of the firm covers various geographical regions, including but not limited to Southern Africa, UK and Europe as well and a number of countries in the </t>
    </r>
    <r>
      <rPr>
        <rFont val="Poppins"/>
        <b/>
        <color rgb="FF1155CC"/>
        <sz val="7.0"/>
        <u/>
      </rPr>
      <t>Asia-Pacific</t>
    </r>
    <r>
      <rPr>
        <rFont val="Poppins"/>
        <sz val="7.0"/>
      </rPr>
      <t xml:space="preserve"> region..."
-[Maturity focus] &gt; They have not publicly disclosed their maturity focus but the rest of the criteria aligns with your IIP </t>
    </r>
    <r>
      <rPr>
        <rFont val="Poppins"/>
        <b/>
        <sz val="7.0"/>
      </rPr>
      <t>#DemandCreation</t>
    </r>
    <r>
      <rPr>
        <rFont val="Poppins"/>
        <sz val="7.0"/>
      </rPr>
      <t>.
- Website has been tested to recently show up as insecure in some regions (likely due to recent certificate expiration that needs to be renewed), but is otherwise still worth checking out.</t>
    </r>
  </si>
  <si>
    <t>Strategic Advisor - Portfolio Management</t>
  </si>
  <si>
    <t>Robert Dawson</t>
  </si>
  <si>
    <t>Robert</t>
  </si>
  <si>
    <t>Dawson</t>
  </si>
  <si>
    <t>rdawson@8t8capital.com</t>
  </si>
  <si>
    <t>https://www.linkedin.com/in/robert-dawson-44a9661/?originalSubdomain=za</t>
  </si>
  <si>
    <t>New Heritage Investments Limited</t>
  </si>
  <si>
    <t>http://www.nh-holdings.com/</t>
  </si>
  <si>
    <t>Website, Private data provider, News article, Data manager judgement</t>
  </si>
  <si>
    <r>
      <rPr>
        <rFont val="Poppins"/>
        <sz val="7.0"/>
      </rPr>
      <t xml:space="preserve">- [Type = Family office] &gt; Private Data Provider &gt; "Founded in 1978, New Heritage Group is a </t>
    </r>
    <r>
      <rPr>
        <rFont val="Poppins"/>
        <b/>
        <color rgb="FF1155CC"/>
        <sz val="7.0"/>
        <u/>
      </rPr>
      <t>family office</t>
    </r>
    <r>
      <rPr>
        <rFont val="Poppins"/>
        <sz val="7.0"/>
      </rPr>
      <t xml:space="preserve"> based in </t>
    </r>
    <r>
      <rPr>
        <rFont val="Poppins"/>
        <b/>
        <sz val="7.0"/>
      </rPr>
      <t>Hong Kong</t>
    </r>
    <r>
      <rPr>
        <rFont val="Poppins"/>
        <sz val="7.0"/>
      </rPr>
      <t xml:space="preserve"> that focuses on private investments." (The link appears to be temporarily offline, but a quick Google search </t>
    </r>
    <r>
      <rPr>
        <rFont val="Poppins"/>
        <b/>
        <color rgb="FF1155CC"/>
        <sz val="7.0"/>
        <u/>
      </rPr>
      <t>confirms this quote</t>
    </r>
    <r>
      <rPr>
        <rFont val="Poppins"/>
        <sz val="7.0"/>
      </rPr>
      <t xml:space="preserve">).
-[Asset class = Funds- VC] &gt; News Article &gt; "Rather than building an in-house AI research team, Hampton Tao’s strategy centers on </t>
    </r>
    <r>
      <rPr>
        <rFont val="Poppins"/>
        <b/>
        <color rgb="FF1155CC"/>
        <sz val="7.0"/>
        <u/>
      </rPr>
      <t>selecting venture capital managers</t>
    </r>
    <r>
      <rPr>
        <rFont val="Poppins"/>
        <sz val="7.0"/>
      </rPr>
      <t xml:space="preserve"> with domain expertise."
-[Sector investment focus] &gt; Website &gt; "The grandson of a developer behind some of China’s earliest landmark hotels and mixed-use projects has for several years been building exposure to </t>
    </r>
    <r>
      <rPr>
        <rFont val="Poppins"/>
        <b/>
        <color rgb="FF1155CC"/>
        <sz val="7.0"/>
        <u/>
      </rPr>
      <t>AI</t>
    </r>
    <r>
      <rPr>
        <rFont val="Poppins"/>
        <color rgb="FF1155CC"/>
        <sz val="7.0"/>
        <u/>
      </rPr>
      <t xml:space="preserve"> infrastructure, venture funds, and </t>
    </r>
    <r>
      <rPr>
        <rFont val="Poppins"/>
        <b/>
        <color rgb="FF1155CC"/>
        <sz val="7.0"/>
        <u/>
      </rPr>
      <t>emerging robotics</t>
    </r>
    <r>
      <rPr>
        <rFont val="Poppins"/>
        <sz val="7.0"/>
      </rPr>
      <t xml:space="preserve"> plays as part of a broader technology diversification strategy."
-[Region investment focus] &gt; Website  &gt; "Our investments are in </t>
    </r>
    <r>
      <rPr>
        <rFont val="Poppins"/>
        <b/>
        <color rgb="FF1155CC"/>
        <sz val="7.0"/>
        <u/>
      </rPr>
      <t>Hong Kong, Mainland China, Europe and the USA</t>
    </r>
    <r>
      <rPr>
        <rFont val="Poppins"/>
        <sz val="7.0"/>
      </rPr>
      <t xml:space="preserve">."
-[Maturity focus] &gt; Data Manager Judgement &gt; The news article discusses a very strong preference for managers with domain expertise, we would strongly recommend giving this a shot as the sector focus aligns almost perfectly. </t>
    </r>
    <r>
      <rPr>
        <rFont val="Poppins"/>
        <b/>
        <sz val="7.0"/>
      </rPr>
      <t>#DemandCreation</t>
    </r>
  </si>
  <si>
    <t>Investment Manager, Special Projects</t>
  </si>
  <si>
    <t>Hampton Tao</t>
  </si>
  <si>
    <t>Hampton</t>
  </si>
  <si>
    <t>Tao</t>
  </si>
  <si>
    <t>hampton.tao@nh-holdings.com</t>
  </si>
  <si>
    <t>https://hk.linkedin.com/in/hamptontao</t>
  </si>
  <si>
    <t>JRT Partners</t>
  </si>
  <si>
    <t>https://www.jrtpartners.com/</t>
  </si>
  <si>
    <r>
      <rPr>
        <rFont val="Poppins"/>
        <sz val="7.0"/>
      </rPr>
      <t xml:space="preserve">- [Type = Family office] &gt; Private Data Provider &gt; "JRT Partners is a </t>
    </r>
    <r>
      <rPr>
        <rFont val="Poppins"/>
        <b/>
        <color rgb="FF1155CC"/>
        <sz val="7.0"/>
        <u/>
      </rPr>
      <t>single-family office based in Singapore</t>
    </r>
    <r>
      <rPr>
        <rFont val="Poppins"/>
        <sz val="7.0"/>
      </rPr>
      <t xml:space="preserve">. The firm was created by Tuck Meng Yee in 2015, and was intended to have a </t>
    </r>
    <r>
      <rPr>
        <rFont val="Poppins"/>
        <b/>
        <sz val="7.0"/>
      </rPr>
      <t>global</t>
    </r>
    <r>
      <rPr>
        <rFont val="Poppins"/>
        <sz val="7.0"/>
      </rPr>
      <t xml:space="preserve"> and collective ..." (The link appears to be temporarily offline, but a quick Google search </t>
    </r>
    <r>
      <rPr>
        <rFont val="Poppins"/>
        <b/>
        <color rgb="FF1155CC"/>
        <sz val="7.0"/>
        <u/>
      </rPr>
      <t>confirms this quote</t>
    </r>
    <r>
      <rPr>
        <rFont val="Poppins"/>
        <sz val="7.0"/>
      </rPr>
      <t>).
-[Asset class = Funds- VC] &gt; News Article &gt; "</t>
    </r>
    <r>
      <rPr>
        <rFont val="Poppins"/>
        <b/>
        <sz val="7.0"/>
      </rPr>
      <t>JRT Partners</t>
    </r>
    <r>
      <rPr>
        <rFont val="Poppins"/>
        <sz val="7.0"/>
      </rPr>
      <t xml:space="preserve"> is a </t>
    </r>
    <r>
      <rPr>
        <rFont val="Poppins"/>
        <b/>
        <sz val="7.0"/>
      </rPr>
      <t>Singapore based single-family office</t>
    </r>
    <r>
      <rPr>
        <rFont val="Poppins"/>
        <sz val="7.0"/>
      </rPr>
      <t xml:space="preserve"> that invests across multiple asset classes including real estate, alternatives such as private equity, hedge funds and </t>
    </r>
    <r>
      <rPr>
        <rFont val="Poppins"/>
        <b/>
        <sz val="7.0"/>
      </rPr>
      <t>venture capital,</t>
    </r>
    <r>
      <rPr>
        <rFont val="Poppins"/>
        <sz val="7.0"/>
      </rPr>
      <t xml:space="preserve"> and mutual funds."
-[Sector investment focus] &gt; News Article &gt; "Tuck Meng Yee from JRT Partners, another family office, agrees with this perspective and is particularly interested in the </t>
    </r>
    <r>
      <rPr>
        <rFont val="Poppins"/>
        <b/>
        <color rgb="FF1155CC"/>
        <sz val="7.0"/>
        <u/>
      </rPr>
      <t>data classification aspects of AI.</t>
    </r>
    <r>
      <rPr>
        <rFont val="Poppins"/>
        <sz val="7.0"/>
      </rPr>
      <t xml:space="preserve">"
-[Region investment focus] &gt; News Article &gt; "he has built a reputation as one of the </t>
    </r>
    <r>
      <rPr>
        <rFont val="Poppins"/>
        <b/>
        <color rgb="FF1155CC"/>
        <sz val="7.0"/>
        <u/>
      </rPr>
      <t>Asia-Pacific (APAC) region</t>
    </r>
    <r>
      <rPr>
        <rFont val="Poppins"/>
        <sz val="7.0"/>
      </rPr>
      <t xml:space="preserve">’s more vocal proponents of digital assets".
-[Maturity focus] &gt; Data Manager Judgement &gt; They have not publicly disclosed their maturity focus but the rest of the criteria aligns with your IIP </t>
    </r>
    <r>
      <rPr>
        <rFont val="Poppins"/>
        <b/>
        <sz val="7.0"/>
      </rPr>
      <t>#DemandCreation</t>
    </r>
    <r>
      <rPr>
        <rFont val="Poppins"/>
        <sz val="7.0"/>
      </rPr>
      <t>.
- Website has been tested to recently show up as down in some regions, but since they remain active its still more than worth a shot.</t>
    </r>
  </si>
  <si>
    <t>Partner &amp; CIO</t>
  </si>
  <si>
    <t>Tuck Meng Yee</t>
  </si>
  <si>
    <t>Tuck</t>
  </si>
  <si>
    <t>Meng Yee</t>
  </si>
  <si>
    <t>tm_yee@yahoo.com</t>
  </si>
  <si>
    <t>https://sg.linkedin.com/in/tuck-meng-yee-712128</t>
  </si>
  <si>
    <t>Naveen Tewari</t>
  </si>
  <si>
    <t>https://in.linkedin.com/in/naveentewari</t>
  </si>
  <si>
    <t>LinkedIn, News article, Data manager judgement</t>
  </si>
  <si>
    <r>
      <rPr>
        <rFont val="Poppins"/>
        <sz val="7.0"/>
      </rPr>
      <t xml:space="preserve">-[Asset class = Founder - HNWI] &gt; LinkedIn &gt; </t>
    </r>
    <r>
      <rPr>
        <rFont val="Poppins"/>
        <b/>
        <color rgb="FF1155CC"/>
        <sz val="7.0"/>
        <u/>
      </rPr>
      <t>Founder &amp; CEO</t>
    </r>
    <r>
      <rPr>
        <rFont val="Poppins"/>
        <sz val="7.0"/>
      </rPr>
      <t xml:space="preserve">, InMobi Group (InMobi &amp; Glance)
-[Sector investment focus] &gt; News Article &gt; Strong AI focus: "Today, he leads a global consumer platform that connects more than 235 million people daily through </t>
    </r>
    <r>
      <rPr>
        <rFont val="Poppins"/>
        <b/>
        <color rgb="FF1155CC"/>
        <sz val="7.0"/>
        <u/>
      </rPr>
      <t>InMobi</t>
    </r>
    <r>
      <rPr>
        <rFont val="Poppins"/>
        <sz val="7.0"/>
      </rPr>
      <t xml:space="preserve"> and its subsidiary, </t>
    </r>
    <r>
      <rPr>
        <rFont val="Poppins"/>
        <b/>
        <sz val="7.0"/>
      </rPr>
      <t>Glance AI</t>
    </r>
    <r>
      <rPr>
        <rFont val="Poppins"/>
        <sz val="7.0"/>
      </rPr>
      <t xml:space="preserve">, creating real-time, </t>
    </r>
    <r>
      <rPr>
        <rFont val="Poppins"/>
        <b/>
        <sz val="7.0"/>
      </rPr>
      <t>AI-powered</t>
    </r>
    <r>
      <rPr>
        <rFont val="Poppins"/>
        <sz val="7.0"/>
      </rPr>
      <t xml:space="preserve"> content and commerce."
-[Region investment focus] &gt; Private Data Provider  &gt; His main focus is in the </t>
    </r>
    <r>
      <rPr>
        <rFont val="Poppins"/>
        <b/>
        <color rgb="FF1155CC"/>
        <sz val="7.0"/>
        <u/>
      </rPr>
      <t>APAC region</t>
    </r>
    <r>
      <rPr>
        <rFont val="Poppins"/>
        <sz val="7.0"/>
      </rPr>
      <t xml:space="preserve">. It also lists cross-border investments (Bright Money, </t>
    </r>
    <r>
      <rPr>
        <rFont val="Poppins"/>
        <color rgb="FF1155CC"/>
        <sz val="7.0"/>
        <u/>
      </rPr>
      <t>Factors.AI</t>
    </r>
    <r>
      <rPr>
        <rFont val="Poppins"/>
        <sz val="7.0"/>
      </rPr>
      <t xml:space="preserve">, Klub, Springboard) across India, US and Singapore.
-[Maturity focus] &gt; Data Manager Judgement &gt; They have not publicly disclosed their maturity focus but the rest of the criteria aligns with your IIP </t>
    </r>
    <r>
      <rPr>
        <rFont val="Poppins"/>
        <b/>
        <sz val="7.0"/>
      </rPr>
      <t>#DemandCreation</t>
    </r>
    <r>
      <rPr>
        <rFont val="Poppins"/>
        <sz val="7.0"/>
      </rPr>
      <t>.</t>
    </r>
  </si>
  <si>
    <t>Naveen</t>
  </si>
  <si>
    <t>Tewari</t>
  </si>
  <si>
    <t>naveen.tewari@glance.com</t>
  </si>
  <si>
    <t>Sachin Bansal</t>
  </si>
  <si>
    <t>https://in.linkedin.com/in/sachinbansal</t>
  </si>
  <si>
    <t>LinkedIn, Private data provider, Data manager judgement</t>
  </si>
  <si>
    <r>
      <rPr>
        <rFont val="Poppins"/>
        <sz val="7.0"/>
      </rPr>
      <t xml:space="preserve">-[Asset class = Founder - HNWI] &gt; LinkedIn &gt; </t>
    </r>
    <r>
      <rPr>
        <rFont val="Poppins"/>
        <b/>
        <color rgb="FF1155CC"/>
        <sz val="7.0"/>
        <u/>
      </rPr>
      <t>Chairman</t>
    </r>
    <r>
      <rPr>
        <rFont val="Poppins"/>
        <sz val="7.0"/>
      </rPr>
      <t xml:space="preserve"> of </t>
    </r>
    <r>
      <rPr>
        <rFont val="Poppins"/>
        <b/>
        <sz val="7.0"/>
      </rPr>
      <t>Navi</t>
    </r>
    <r>
      <rPr>
        <rFont val="Poppins"/>
        <sz val="7.0"/>
      </rPr>
      <t xml:space="preserve">
-[Sector investment focus] &gt; LinkedIn &gt; "Drawing on our in-house </t>
    </r>
    <r>
      <rPr>
        <rFont val="Poppins"/>
        <b/>
        <color rgb="FF1155CC"/>
        <sz val="7.0"/>
        <u/>
      </rPr>
      <t>AI/ML capabilities, technology</t>
    </r>
    <r>
      <rPr>
        <rFont val="Poppins"/>
        <sz val="7.0"/>
      </rPr>
      <t xml:space="preserve">, and product expertise, Navi is dedicated to building delightful customer experiences."
-[Region investment focus] &gt; Private Data Provider  &gt; Strong </t>
    </r>
    <r>
      <rPr>
        <rFont val="Poppins"/>
        <b/>
        <sz val="7.0"/>
      </rPr>
      <t>APAC</t>
    </r>
    <r>
      <rPr>
        <rFont val="Poppins"/>
        <sz val="7.0"/>
      </rPr>
      <t xml:space="preserve"> relevance via founding and scaling </t>
    </r>
    <r>
      <rPr>
        <rFont val="Poppins"/>
        <b/>
        <sz val="7.0"/>
      </rPr>
      <t>Flipkart</t>
    </r>
    <r>
      <rPr>
        <rFont val="Poppins"/>
        <sz val="7.0"/>
      </rPr>
      <t xml:space="preserve"> (major liquidity event): Sachin Bansal: Co-Founder, CEO &amp; Chairman of Navi and founder of 10 other companies, including </t>
    </r>
    <r>
      <rPr>
        <rFont val="Poppins"/>
        <b/>
        <color rgb="FF1155CC"/>
        <sz val="7.0"/>
        <u/>
      </rPr>
      <t>Flipkart Group</t>
    </r>
    <r>
      <rPr>
        <rFont val="Poppins"/>
        <sz val="7.0"/>
      </rPr>
      <t xml:space="preserve">, Shopsy and Jambool. They are also an angel investor in 31 startups and serve on the boards of 2 companies.
-[Maturity focus] &gt; Data Manager Judgement &gt; They have not publicly disclosed their maturity focus but the rest of the criteria aligns with your IIP </t>
    </r>
    <r>
      <rPr>
        <rFont val="Poppins"/>
        <b/>
        <sz val="7.0"/>
      </rPr>
      <t>#DemandCreation</t>
    </r>
    <r>
      <rPr>
        <rFont val="Poppins"/>
        <sz val="7.0"/>
      </rPr>
      <t>.</t>
    </r>
  </si>
  <si>
    <t>Sachin</t>
  </si>
  <si>
    <t>Bansal</t>
  </si>
  <si>
    <t>sachin@bacq.com</t>
  </si>
  <si>
    <t>Binny Bansal</t>
  </si>
  <si>
    <t>https://sg.linkedin.com/in/binnybansal</t>
  </si>
  <si>
    <r>
      <rPr>
        <rFont val="Poppins"/>
        <sz val="7.0"/>
      </rPr>
      <t xml:space="preserve">-[Asset class = Founder - HNWI] &gt; LinkedIn &gt; </t>
    </r>
    <r>
      <rPr>
        <rFont val="Poppins"/>
        <b/>
        <color rgb="FF1155CC"/>
        <sz val="7.0"/>
        <u/>
      </rPr>
      <t>Founder and Co-Founder</t>
    </r>
    <r>
      <rPr>
        <rFont val="Poppins"/>
        <sz val="7.0"/>
      </rPr>
      <t xml:space="preserve"> in various firms, including </t>
    </r>
    <r>
      <rPr>
        <rFont val="Poppins"/>
        <b/>
        <sz val="7.0"/>
      </rPr>
      <t>Flipkart</t>
    </r>
    <r>
      <rPr>
        <rFont val="Poppins"/>
        <sz val="7.0"/>
      </rPr>
      <t xml:space="preserve">.
-[Sector investment focus] &gt; LinkedIn + News Article &gt; </t>
    </r>
    <r>
      <rPr>
        <rFont val="Poppins"/>
        <b/>
        <color rgb="FF1155CC"/>
        <sz val="7.0"/>
        <u/>
      </rPr>
      <t>Advisor</t>
    </r>
    <r>
      <rPr>
        <rFont val="Poppins"/>
        <sz val="7.0"/>
      </rPr>
      <t xml:space="preserve"> in </t>
    </r>
    <r>
      <rPr>
        <rFont val="Poppins"/>
        <b/>
        <sz val="7.0"/>
      </rPr>
      <t>XEED Ventures /  021 Capital</t>
    </r>
    <r>
      <rPr>
        <rFont val="Poppins"/>
        <sz val="7.0"/>
      </rPr>
      <t xml:space="preserve"> which has invested into </t>
    </r>
    <r>
      <rPr>
        <rFont val="Poppins"/>
        <b/>
        <color rgb="FF1155CC"/>
        <sz val="7.0"/>
        <u/>
      </rPr>
      <t>AI (Spotdraft)</t>
    </r>
    <r>
      <rPr>
        <rFont val="Poppins"/>
        <b/>
        <sz val="7.0"/>
      </rPr>
      <t xml:space="preserve"> </t>
    </r>
    <r>
      <rPr>
        <rFont val="Poppins"/>
        <sz val="7.0"/>
      </rPr>
      <t>+</t>
    </r>
    <r>
      <rPr>
        <rFont val="Poppins"/>
        <b/>
        <sz val="7.0"/>
      </rPr>
      <t xml:space="preserve"> </t>
    </r>
    <r>
      <rPr>
        <rFont val="Poppins"/>
        <sz val="7.0"/>
      </rPr>
      <t xml:space="preserve">" Binny Bansal has invested $20 million in ShopOS, a startup building an </t>
    </r>
    <r>
      <rPr>
        <rFont val="Poppins"/>
        <b/>
        <color rgb="FF1155CC"/>
        <sz val="7.0"/>
        <u/>
      </rPr>
      <t>AI-operating system</t>
    </r>
    <r>
      <rPr>
        <rFont val="Poppins"/>
        <sz val="7.0"/>
      </rPr>
      <t xml:space="preserve"> aimed at simplifying and scaling ecommerce operations for brands."
-[Region investment focus] &gt; News Article  &gt; </t>
    </r>
    <r>
      <rPr>
        <rFont val="Poppins"/>
        <b/>
        <sz val="7.0"/>
      </rPr>
      <t>Singapore</t>
    </r>
    <r>
      <rPr>
        <rFont val="Poppins"/>
        <sz val="7.0"/>
      </rPr>
      <t xml:space="preserve"> based with </t>
    </r>
    <r>
      <rPr>
        <rFont val="Poppins"/>
        <b/>
        <sz val="7.0"/>
      </rPr>
      <t>APAC presence</t>
    </r>
    <r>
      <rPr>
        <rFont val="Poppins"/>
        <sz val="7.0"/>
      </rPr>
      <t xml:space="preserve"> through</t>
    </r>
    <r>
      <rPr>
        <rFont val="Poppins"/>
        <b/>
        <sz val="7.0"/>
      </rPr>
      <t xml:space="preserve"> </t>
    </r>
    <r>
      <rPr>
        <rFont val="Poppins"/>
        <b/>
        <color rgb="FF1155CC"/>
        <sz val="7.0"/>
        <u/>
      </rPr>
      <t>Flipkart exit</t>
    </r>
    <r>
      <rPr>
        <rFont val="Poppins"/>
        <sz val="7.0"/>
      </rPr>
      <t xml:space="preserve">. Singapore regulatory filings suggest cross-border deals. 
-[Maturity focus] &gt; Data Manager Judgement &gt; They have not publicly disclosed their maturity focus but the rest of the criteria aligns with your IIP </t>
    </r>
    <r>
      <rPr>
        <rFont val="Poppins"/>
        <b/>
        <sz val="7.0"/>
      </rPr>
      <t>#DemandCreation</t>
    </r>
    <r>
      <rPr>
        <rFont val="Poppins"/>
        <sz val="7.0"/>
      </rPr>
      <t>.</t>
    </r>
  </si>
  <si>
    <t>Binny</t>
  </si>
  <si>
    <t>binny@opptra.com</t>
  </si>
  <si>
    <t>T.V. Mohandas Pai</t>
  </si>
  <si>
    <t>https://in.linkedin.com/in/mohandaspai</t>
  </si>
  <si>
    <r>
      <rPr>
        <rFont val="Poppins"/>
        <sz val="7.0"/>
      </rPr>
      <t xml:space="preserve">-[Asset class = Founder - HNWI] &gt; Website &gt; Served various </t>
    </r>
    <r>
      <rPr>
        <rFont val="Poppins"/>
        <b/>
        <color rgb="FF1155CC"/>
        <sz val="7.0"/>
        <u/>
      </rPr>
      <t>Founder, Co-founder and chairman</t>
    </r>
    <r>
      <rPr>
        <rFont val="Poppins"/>
        <sz val="7.0"/>
      </rPr>
      <t xml:space="preserve"> roles.
-[Sector investment focus] &gt; News Article &gt; He is a named investor in an AI fund (pi Ventures): ""The current technological disruption is being caused globally by automation led by </t>
    </r>
    <r>
      <rPr>
        <rFont val="Poppins"/>
        <b/>
        <color rgb="FF1155CC"/>
        <sz val="7.0"/>
        <u/>
      </rPr>
      <t>artificial intelligence and machine learning</t>
    </r>
    <r>
      <rPr>
        <rFont val="Poppins"/>
        <sz val="7.0"/>
      </rPr>
      <t xml:space="preserve">. Industry 4.0 also depends a lot on </t>
    </r>
    <r>
      <rPr>
        <rFont val="Poppins"/>
        <b/>
        <sz val="7.0"/>
      </rPr>
      <t>artificial intelligence</t>
    </r>
    <r>
      <rPr>
        <rFont val="Poppins"/>
        <sz val="7.0"/>
      </rPr>
      <t xml:space="preserve"> and machine learning," said </t>
    </r>
    <r>
      <rPr>
        <rFont val="Poppins"/>
        <b/>
        <sz val="7.0"/>
      </rPr>
      <t>Mohandas Pai</t>
    </r>
    <r>
      <rPr>
        <rFont val="Poppins"/>
        <sz val="7.0"/>
      </rPr>
      <t xml:space="preserve">, partner of Aarin Capital who is also an investor in the new fund."
-[Region investment focus] &gt; Private Data Provider  &gt; He has made </t>
    </r>
    <r>
      <rPr>
        <rFont val="Poppins"/>
        <b/>
        <color rgb="FF1155CC"/>
        <sz val="7.0"/>
        <u/>
      </rPr>
      <t>cross-border</t>
    </r>
    <r>
      <rPr>
        <rFont val="Poppins"/>
        <sz val="7.0"/>
      </rPr>
      <t xml:space="preserve"> investments across</t>
    </r>
    <r>
      <rPr>
        <rFont val="Poppins"/>
        <b/>
        <sz val="7.0"/>
      </rPr>
      <t xml:space="preserve"> India, USA and EU</t>
    </r>
    <r>
      <rPr>
        <rFont val="Poppins"/>
        <sz val="7.0"/>
      </rPr>
      <t xml:space="preserve">.
-[Maturity focus] &gt; Data Manager Judgement &gt; They have not publicly disclosed their maturity focus but the rest of the criteria aligns with your IIP </t>
    </r>
    <r>
      <rPr>
        <rFont val="Poppins"/>
        <b/>
        <sz val="7.0"/>
      </rPr>
      <t>#DemandCreation</t>
    </r>
    <r>
      <rPr>
        <rFont val="Poppins"/>
        <sz val="7.0"/>
      </rPr>
      <t>.</t>
    </r>
  </si>
  <si>
    <t>Chair of 3One4 Capital</t>
  </si>
  <si>
    <t>Deep Kalra</t>
  </si>
  <si>
    <t>https://in.linkedin.com/in/deepkalra</t>
  </si>
  <si>
    <t>LinkedIn, Private data provider, News article, Data manager judgement</t>
  </si>
  <si>
    <r>
      <rPr>
        <rFont val="Poppins"/>
        <sz val="7.0"/>
      </rPr>
      <t>-[Asset class = Founder- HNWI] &gt; LinkedIn &gt; "The pioneer of online travel in India, Deep Kalra</t>
    </r>
    <r>
      <rPr>
        <rFont val="Poppins"/>
        <b/>
        <color rgb="FF1155CC"/>
        <sz val="7.0"/>
        <u/>
      </rPr>
      <t xml:space="preserve"> founded MakeMyTrip</t>
    </r>
    <r>
      <rPr>
        <rFont val="Poppins"/>
        <sz val="7.0"/>
      </rPr>
      <t xml:space="preserve"> in April, 2000. Drawing on his experience from his years at GE Capital, AMF Bowling Inc. and ABN AMRO Bank, under his stewardship, MakeMyTrip has become the largest online travel company, as well as the largest e-commerce business in India."
-[Sector investment focus] &gt; News Article &gt; "We are making sustained investment in </t>
    </r>
    <r>
      <rPr>
        <rFont val="Poppins"/>
        <b/>
        <color rgb="FF1155CC"/>
        <sz val="7.0"/>
        <u/>
      </rPr>
      <t>AI and natural language processing</t>
    </r>
    <r>
      <rPr>
        <rFont val="Poppins"/>
        <sz val="7.0"/>
      </rPr>
      <t xml:space="preserve"> to understand user intent in a better way to leverage this technology and increasingly personalize service to every customer."
-[Region investment focus] &gt; Private Data Provider &gt; He is an active angel</t>
    </r>
    <r>
      <rPr>
        <rFont val="Poppins"/>
        <b/>
        <sz val="7.0"/>
      </rPr>
      <t xml:space="preserve"> investor </t>
    </r>
    <r>
      <rPr>
        <rFont val="Poppins"/>
        <sz val="7.0"/>
      </rPr>
      <t xml:space="preserve">in the </t>
    </r>
    <r>
      <rPr>
        <rFont val="Poppins"/>
        <b/>
        <color rgb="FF1155CC"/>
        <sz val="7.0"/>
        <u/>
      </rPr>
      <t>APAC region</t>
    </r>
    <r>
      <rPr>
        <rFont val="Poppins"/>
        <b/>
        <sz val="7.0"/>
      </rPr>
      <t xml:space="preserve">, </t>
    </r>
    <r>
      <rPr>
        <rFont val="Poppins"/>
        <sz val="7.0"/>
      </rPr>
      <t xml:space="preserve">with </t>
    </r>
    <r>
      <rPr>
        <rFont val="Poppins"/>
        <b/>
        <sz val="7.0"/>
      </rPr>
      <t xml:space="preserve">cross-border investments </t>
    </r>
    <r>
      <rPr>
        <rFont val="Poppins"/>
        <sz val="7.0"/>
      </rPr>
      <t xml:space="preserve">(Terra.do - US)
-[Maturity focus] &gt; Website &gt; They have not publicly disclosed their maturity focus but the rest of the criteria aligns with your IIP </t>
    </r>
    <r>
      <rPr>
        <rFont val="Poppins"/>
        <b/>
        <sz val="7.0"/>
      </rPr>
      <t>#DemandCreation</t>
    </r>
    <r>
      <rPr>
        <rFont val="Poppins"/>
        <sz val="7.0"/>
      </rPr>
      <t>.</t>
    </r>
  </si>
  <si>
    <t>Spoken, doesntalign</t>
  </si>
  <si>
    <t>Vijay Shekhar Sharma</t>
  </si>
  <si>
    <t>https://in.linkedin.com/in/vijayshekhar</t>
  </si>
  <si>
    <t>LinkedIn, News article, Private data provider, Data manager judgement</t>
  </si>
  <si>
    <r>
      <rPr>
        <rFont val="Poppins"/>
        <sz val="7.0"/>
      </rPr>
      <t>-[Asset class = Founder- HNWI] &gt; LinkedIn &gt; "</t>
    </r>
    <r>
      <rPr>
        <rFont val="Poppins"/>
        <b/>
        <color rgb="FF1155CC"/>
        <sz val="7.0"/>
        <u/>
      </rPr>
      <t>Founder</t>
    </r>
    <r>
      <rPr>
        <rFont val="Poppins"/>
        <sz val="7.0"/>
      </rPr>
      <t xml:space="preserve"> - </t>
    </r>
    <r>
      <rPr>
        <rFont val="Poppins"/>
        <b/>
        <sz val="7.0"/>
      </rPr>
      <t>One97 &amp; Paytm</t>
    </r>
    <r>
      <rPr>
        <rFont val="Poppins"/>
        <sz val="7.0"/>
      </rPr>
      <t xml:space="preserve">"
-[Sector investment focus] &gt; News Article &gt; "Paytm founder Vijay Shekhar Sharma launches fund to invest in </t>
    </r>
    <r>
      <rPr>
        <rFont val="Poppins"/>
        <b/>
        <color rgb="FF1155CC"/>
        <sz val="7.0"/>
        <u/>
      </rPr>
      <t>AI, EV startups</t>
    </r>
    <r>
      <rPr>
        <rFont val="Poppins"/>
        <sz val="7.0"/>
      </rPr>
      <t>" + "</t>
    </r>
    <r>
      <rPr>
        <rFont val="Poppins"/>
        <b/>
        <color rgb="FF1155CC"/>
        <sz val="7.0"/>
        <u/>
      </rPr>
      <t>Drone startup TechEagle</t>
    </r>
    <r>
      <rPr>
        <rFont val="Poppins"/>
        <sz val="7.0"/>
      </rPr>
      <t xml:space="preserve"> secures funding from Vijay Shekhar Sharma’s VSS Investco, Inflection Point Ventures and more"
-[Region investment focus] &gt; Private Data Provider + News Article  &gt; He has made investments across </t>
    </r>
    <r>
      <rPr>
        <rFont val="Poppins"/>
        <b/>
        <color rgb="FF1155CC"/>
        <sz val="7.0"/>
        <u/>
      </rPr>
      <t>India</t>
    </r>
    <r>
      <rPr>
        <rFont val="Poppins"/>
        <sz val="7.0"/>
      </rPr>
      <t xml:space="preserve">, + "Vijay Shekhar Sharma also invested across India and </t>
    </r>
    <r>
      <rPr>
        <rFont val="Poppins"/>
        <b/>
        <color rgb="FF1155CC"/>
        <sz val="7.0"/>
        <u/>
      </rPr>
      <t>Singapore</t>
    </r>
    <r>
      <rPr>
        <rFont val="Poppins"/>
        <sz val="7.0"/>
      </rPr>
      <t xml:space="preserve">'.
-[Maturity focus] &gt; Data Manager Judgement &gt; They have not publicly disclosed their maturity focus but the rest of the criteria aligns with your IIP </t>
    </r>
    <r>
      <rPr>
        <rFont val="Poppins"/>
        <b/>
        <sz val="7.0"/>
      </rPr>
      <t>#DemandCreation</t>
    </r>
    <r>
      <rPr>
        <rFont val="Poppins"/>
        <sz val="7.0"/>
      </rPr>
      <t>.</t>
    </r>
  </si>
  <si>
    <t>runs own fund and doesnt invest as an LP</t>
  </si>
  <si>
    <t>Kunal Bahl</t>
  </si>
  <si>
    <t>https://in.linkedin.com/in/kunalbahl</t>
  </si>
  <si>
    <r>
      <rPr>
        <rFont val="Poppins"/>
        <sz val="7.0"/>
      </rPr>
      <t xml:space="preserve">-[Asset class = Founder- HNWI] &gt; LinkedIn &gt; </t>
    </r>
    <r>
      <rPr>
        <rFont val="Poppins"/>
        <b/>
        <color rgb="FF1155CC"/>
        <sz val="7.0"/>
        <u/>
      </rPr>
      <t>Co-founder</t>
    </r>
    <r>
      <rPr>
        <rFont val="Poppins"/>
        <sz val="7.0"/>
      </rPr>
      <t xml:space="preserve"> of AceVector, Titan Capital and Snapdeal.
-[Sector investment focus] &gt; News Article &gt; </t>
    </r>
    <r>
      <rPr>
        <rFont val="Poppins"/>
        <b/>
        <color rgb="FF1155CC"/>
        <sz val="7.0"/>
        <u/>
      </rPr>
      <t>AI exposure</t>
    </r>
    <r>
      <rPr>
        <rFont val="Poppins"/>
        <b/>
        <sz val="7.0"/>
      </rPr>
      <t xml:space="preserve"> </t>
    </r>
    <r>
      <rPr>
        <rFont val="Poppins"/>
        <sz val="7.0"/>
      </rPr>
      <t xml:space="preserve">in seed stage via Yellow.ai
-[Region investment focus] &gt; Private data provider  &gt;  Has a proven record of </t>
    </r>
    <r>
      <rPr>
        <rFont val="Poppins"/>
        <b/>
        <color rgb="FF1155CC"/>
        <sz val="7.0"/>
        <u/>
      </rPr>
      <t>cross-border deals/investments</t>
    </r>
    <r>
      <rPr>
        <rFont val="Poppins"/>
        <sz val="7.0"/>
      </rPr>
      <t xml:space="preserve">.
-[Maturity focus] &gt; Data Manager Judgement &gt; They have not publicly disclosed their maturity focus but the rest of the criteria aligns with your IIP </t>
    </r>
    <r>
      <rPr>
        <rFont val="Poppins"/>
        <b/>
        <sz val="7.0"/>
      </rPr>
      <t>#DemandCreation</t>
    </r>
    <r>
      <rPr>
        <rFont val="Poppins"/>
        <sz val="7.0"/>
      </rPr>
      <t>.</t>
    </r>
  </si>
  <si>
    <t>Anupam Mittal</t>
  </si>
  <si>
    <t>https://in.linkedin.com/in/anupammittal007</t>
  </si>
  <si>
    <t>LinkedIn, Private data provider, Portfolio, Data manager judgement</t>
  </si>
  <si>
    <r>
      <rPr>
        <rFont val="Poppins"/>
        <sz val="7.0"/>
      </rPr>
      <t xml:space="preserve">-[Asset class = Founder- HNWI] &gt; LinkedIn &gt; "I am the </t>
    </r>
    <r>
      <rPr>
        <rFont val="Poppins"/>
        <b/>
        <color rgb="FF1155CC"/>
        <sz val="7.0"/>
        <u/>
      </rPr>
      <t>Founder &amp; CEO</t>
    </r>
    <r>
      <rPr>
        <rFont val="Poppins"/>
        <sz val="7.0"/>
      </rPr>
      <t xml:space="preserve"> of People Group, a well-renowned operator and investor in </t>
    </r>
    <r>
      <rPr>
        <rFont val="Poppins"/>
        <b/>
        <sz val="7.0"/>
      </rPr>
      <t>tech</t>
    </r>
    <r>
      <rPr>
        <rFont val="Poppins"/>
        <sz val="7.0"/>
      </rPr>
      <t xml:space="preserve"> and D2C companies..."
-[Sector investment focus] &gt; Private Data Provider + Portfolio &gt; He's an </t>
    </r>
    <r>
      <rPr>
        <rFont val="Poppins"/>
        <b/>
        <color rgb="FF1155CC"/>
        <sz val="7.0"/>
        <u/>
      </rPr>
      <t>advisor</t>
    </r>
    <r>
      <rPr>
        <rFont val="Poppins"/>
        <sz val="7.0"/>
      </rPr>
      <t xml:space="preserve"> at Kae Capital, which has a strong </t>
    </r>
    <r>
      <rPr>
        <rFont val="Poppins"/>
        <b/>
        <color rgb="FF1155CC"/>
        <sz val="7.0"/>
        <u/>
      </rPr>
      <t>AI focus</t>
    </r>
    <r>
      <rPr>
        <rFont val="Poppins"/>
        <b/>
        <sz val="7.0"/>
      </rPr>
      <t xml:space="preserve"> </t>
    </r>
    <r>
      <rPr>
        <rFont val="Poppins"/>
        <sz val="7.0"/>
      </rPr>
      <t xml:space="preserve">and lists various exits and investments across India and US (SuperAgi, Hiver, Hippo Video, BPR Hub).
-[Maturity focus] &gt; Data Manager Judgement &gt; They have not publicly disclosed their maturity focus but the rest of the criteria aligns with your IIP </t>
    </r>
    <r>
      <rPr>
        <rFont val="Poppins"/>
        <b/>
        <sz val="7.0"/>
      </rPr>
      <t>#DemandCreation</t>
    </r>
    <r>
      <rPr>
        <rFont val="Poppins"/>
        <sz val="7.0"/>
      </rPr>
      <t>.</t>
    </r>
  </si>
  <si>
    <t>Kunal Shah</t>
  </si>
  <si>
    <t>https://in.linkedin.com/in/kunalshah1</t>
  </si>
  <si>
    <r>
      <rPr>
        <rFont val="Poppins"/>
        <sz val="7.0"/>
      </rPr>
      <t>-[Asset class = Founder- HNWI] &gt; LinkedIn &gt;</t>
    </r>
    <r>
      <rPr>
        <rFont val="Poppins"/>
        <b/>
        <sz val="7.0"/>
      </rPr>
      <t xml:space="preserve"> </t>
    </r>
    <r>
      <rPr>
        <rFont val="Poppins"/>
        <b/>
        <color rgb="FF1155CC"/>
        <sz val="7.0"/>
        <u/>
      </rPr>
      <t>Founder, CEO and Chairman</t>
    </r>
    <r>
      <rPr>
        <rFont val="Poppins"/>
        <sz val="7.0"/>
      </rPr>
      <t xml:space="preserve"> of various firms.
-[Sector investment focus] &gt; News Article &gt; "Control One AI, an </t>
    </r>
    <r>
      <rPr>
        <rFont val="Poppins"/>
        <b/>
        <color rgb="FF1155CC"/>
        <sz val="7.0"/>
        <u/>
      </rPr>
      <t>AI-first robotics startup</t>
    </r>
    <r>
      <rPr>
        <rFont val="Poppins"/>
        <sz val="7.0"/>
      </rPr>
      <t xml:space="preserve">, has raised $350,000 from a group of investors in the United States and India. The investors include Kunal Shah (Founder, CRED)"
-[Region investment focus] &gt; News Article  &gt; "Kunal Shah invests in the </t>
    </r>
    <r>
      <rPr>
        <rFont val="Poppins"/>
        <b/>
        <color rgb="FF1155CC"/>
        <sz val="7.0"/>
        <u/>
      </rPr>
      <t>U.S. (23 companies) and Singapore (9 companies)</t>
    </r>
    <r>
      <rPr>
        <rFont val="Poppins"/>
        <sz val="7.0"/>
      </rPr>
      <t xml:space="preserve">."
-[Maturity focus] &gt; Data Manager Judgement &gt; They have not publicly disclosed their maturity focus but the rest of the criteria aligns with your IIP </t>
    </r>
    <r>
      <rPr>
        <rFont val="Poppins"/>
        <b/>
        <sz val="7.0"/>
      </rPr>
      <t>#DemandCreation</t>
    </r>
    <r>
      <rPr>
        <rFont val="Poppins"/>
        <sz val="7.0"/>
      </rPr>
      <t>.</t>
    </r>
  </si>
  <si>
    <t>Cendana Capital</t>
  </si>
  <si>
    <t>https://www.cendanacapital.com/</t>
  </si>
  <si>
    <t>United States (USA)</t>
  </si>
  <si>
    <r>
      <rPr>
        <rFont val="Poppins"/>
        <sz val="7.0"/>
      </rPr>
      <t xml:space="preserve">- [Asset class = Funds-VC] &gt; Website &gt; FoF investing solely in early-stage VC funds; among the largest LPs in its core funds — https://www.cendanacapital.com/our-approach
- [Maturity = Emerging] &gt; News &gt; Doubles down on sub-$100M pre-seed/seed emerging managers; avg portfolio fund ~$55M, core check ~$15M — </t>
    </r>
    <r>
      <rPr>
        <rFont val="Poppins"/>
        <color rgb="FF1155CC"/>
        <sz val="7.0"/>
        <u/>
      </rPr>
      <t>https://kristieneo.substack.com/p/interesting-reads-this-week-5</t>
    </r>
    <r>
      <rPr>
        <rFont val="Poppins"/>
        <sz val="7.0"/>
      </rPr>
      <t xml:space="preserve"> 
- [Check size] &gt; News &gt; Core $10-20M (within band) — https://techcrunch.com/2023/09/08/exclusive-cendana-capital-closes-on-470m-more-to-back-seed-stage-fund-managers
- [Sector/AI] &gt; News &gt; AI-aware thesis (sector-agnostic seed). #DemandCreation on AI-specific — </t>
    </r>
    <r>
      <rPr>
        <rFont val="Poppins"/>
        <color rgb="FF1155CC"/>
        <sz val="7.0"/>
        <u/>
      </rPr>
      <t>https://kristieneo.substack.com/p/interesting-reads-this-week-5</t>
    </r>
    <r>
      <rPr>
        <rFont val="Poppins"/>
        <sz val="7.0"/>
      </rPr>
      <t xml:space="preserve"> </t>
    </r>
  </si>
  <si>
    <t>Michael Kim</t>
  </si>
  <si>
    <t>Kim</t>
  </si>
  <si>
    <t>mkim@cendanacapital.com</t>
  </si>
  <si>
    <t>https://www.linkedin.com/in/michael-kim-cendana-capital/</t>
  </si>
  <si>
    <t>Screendoor</t>
  </si>
  <si>
    <t>screendoor.co</t>
  </si>
  <si>
    <r>
      <rPr>
        <rFont val="Poppins"/>
        <sz val="7.0"/>
      </rPr>
      <t xml:space="preserve">- [Asset class = Funds-VC] &gt; Website &gt; FoF platform investing anchor LP capital into new venture managers — </t>
    </r>
    <r>
      <rPr>
        <rFont val="Poppins"/>
        <color rgb="FF1155CC"/>
        <sz val="7.0"/>
        <u/>
      </rPr>
      <t>https://www.screendoor.co/about</t>
    </r>
    <r>
      <rPr>
        <rFont val="Poppins"/>
        <sz val="7.0"/>
      </rPr>
      <t xml:space="preserve"> 
- [Maturity = Emerging] &gt; Website &gt; Catalyzes first closes for first-time/early institutional managers; underwrites Fund I — </t>
    </r>
    <r>
      <rPr>
        <rFont val="Poppins"/>
        <color rgb="FF1155CC"/>
        <sz val="7.0"/>
        <u/>
      </rPr>
      <t>https://www.screendoor.co/about</t>
    </r>
    <r>
      <rPr>
        <rFont val="Poppins"/>
        <sz val="7.0"/>
      </rPr>
      <t xml:space="preserve"> 
- [Maturity = Emerging] &gt; News &gt; LP team specialises in underwriting Fund I vs Fund 5+ — </t>
    </r>
    <r>
      <rPr>
        <rFont val="Poppins"/>
        <color rgb="FF1155CC"/>
        <sz val="7.0"/>
        <u/>
      </rPr>
      <t>https://swimmingwithallocators.com/podcast/how-screendoor-underwrites-first-time-fund-managers-with-lisa-cawley/</t>
    </r>
    <r>
      <rPr>
        <rFont val="Poppins"/>
        <sz val="7.0"/>
      </rPr>
      <t xml:space="preserve"> 
- [Sector/AI] &gt; Website &gt; Backs managers across 'sectors of today and tomorrow'. #DemandCreation on AI — </t>
    </r>
    <r>
      <rPr>
        <rFont val="Poppins"/>
        <color rgb="FF1155CC"/>
        <sz val="7.0"/>
        <u/>
      </rPr>
      <t>https://www.screendoor.co/about</t>
    </r>
    <r>
      <rPr>
        <rFont val="Poppins"/>
        <sz val="7.0"/>
      </rPr>
      <t xml:space="preserve"> </t>
    </r>
  </si>
  <si>
    <t>Lisa Cawley</t>
  </si>
  <si>
    <t>Lisa</t>
  </si>
  <si>
    <t>Cawley</t>
  </si>
  <si>
    <t>lisamcawley@gmail.com</t>
  </si>
  <si>
    <t>https://www.linkedin.com/in/31mml/</t>
  </si>
  <si>
    <t>Recast Capital</t>
  </si>
  <si>
    <t>https://recastcapital.com/</t>
  </si>
  <si>
    <r>
      <rPr>
        <rFont val="Poppins"/>
        <sz val="7.0"/>
      </rPr>
      <t xml:space="preserve">- [Asset class = Funds-VC] &gt; News &gt; FoF cutting checks into emerging VC funds; enables larger LPs to access smaller funds — </t>
    </r>
    <r>
      <rPr>
        <rFont val="Poppins"/>
        <color rgb="FF1155CC"/>
        <sz val="7.0"/>
        <u/>
      </rPr>
      <t>https://techcrunch.com/2023/06/29/fund-of-funds-lps/</t>
    </r>
    <r>
      <rPr>
        <rFont val="Poppins"/>
        <sz val="7.0"/>
      </rPr>
      <t xml:space="preserve"> 
- [Maturity = Emerging] &gt; News &gt; Thesis = backing diverse and emerging managers overlooked by traditional allocators — </t>
    </r>
    <r>
      <rPr>
        <rFont val="Poppins"/>
        <color rgb="FF1155CC"/>
        <sz val="7.0"/>
        <u/>
      </rPr>
      <t>https://vcbeast.com/fund-of-funds-venture-capital</t>
    </r>
    <r>
      <rPr>
        <rFont val="Poppins"/>
        <sz val="7.0"/>
      </rPr>
      <t xml:space="preserve"> 
- [Sector/AI] &gt; Data manager judgement &gt; Generalist early-stage. #DemandCreation on AI
- [Region] &gt; Data manager judgement &gt; US (New York)</t>
    </r>
  </si>
  <si>
    <t>Courtney Russell McCrea</t>
  </si>
  <si>
    <t>Courtney Russell</t>
  </si>
  <si>
    <t>McCrea</t>
  </si>
  <si>
    <t>courtney@recastcapital.com</t>
  </si>
  <si>
    <t>https://www.linkedin.com/in/courtneymccrea/</t>
  </si>
  <si>
    <t>Top Tier Capital Partners</t>
  </si>
  <si>
    <t>https://ttcp.com/</t>
  </si>
  <si>
    <r>
      <rPr>
        <rFont val="Poppins"/>
        <sz val="7.0"/>
      </rPr>
      <t xml:space="preserve">- [Asset class = Funds-VC] &gt; Website &gt; Venture FoF making primary commitments to VC funds + secondaries + co-invest; 160+ investments — </t>
    </r>
    <r>
      <rPr>
        <rFont val="Poppins"/>
        <color rgb="FF1155CC"/>
        <sz val="7.0"/>
        <u/>
      </rPr>
      <t>https://ttcp.com/</t>
    </r>
    <r>
      <rPr>
        <rFont val="Poppins"/>
        <sz val="7.0"/>
      </rPr>
      <t xml:space="preserve"> 
- [Maturity = Emerging] &gt; News &gt; Identifies emerging and established managers before widely known; takes early positions in emerging managers — </t>
    </r>
    <r>
      <rPr>
        <rFont val="Poppins"/>
        <color rgb="FF1155CC"/>
        <sz val="7.0"/>
        <u/>
      </rPr>
      <t>https://vcbeast.com/fund-of-funds-venture-capital</t>
    </r>
    <r>
      <rPr>
        <rFont val="Poppins"/>
        <sz val="7.0"/>
      </rPr>
      <t xml:space="preserve"> 
- [Sector/AI] &gt; Data manager judgement &gt; Tech/venture generalist. #DemandCreation on AI 
- [Region] &gt; Website &gt; US (San Francisco); global VC — </t>
    </r>
    <r>
      <rPr>
        <rFont val="Poppins"/>
        <color rgb="FF1155CC"/>
        <sz val="7.0"/>
        <u/>
      </rPr>
      <t>https://ttcp.com/</t>
    </r>
    <r>
      <rPr>
        <rFont val="Poppins"/>
        <sz val="7.0"/>
      </rPr>
      <t xml:space="preserve"> </t>
    </r>
  </si>
  <si>
    <t>David York</t>
  </si>
  <si>
    <t>York</t>
  </si>
  <si>
    <t>dyork@ttcp.com</t>
  </si>
  <si>
    <t>https://www.linkedin.com/in/david-york-2407295</t>
  </si>
  <si>
    <t>Industry Ventures</t>
  </si>
  <si>
    <t>https://www.industryventures.com/</t>
  </si>
  <si>
    <r>
      <rPr>
        <rFont val="Poppins"/>
        <sz val="7.0"/>
      </rPr>
      <t xml:space="preserve">- [Asset class = Funds-VC] &gt; News &gt; 725+ LP-interest commitments; 300+ managers (one of world's largest VC-manager portfolios) — </t>
    </r>
    <r>
      <rPr>
        <rFont val="Poppins"/>
        <color rgb="FF1155CC"/>
        <sz val="7.0"/>
        <u/>
      </rPr>
      <t>https://www.businesswire.com/news/home/20240702891885/en/Industry-Ventures-Raises-Oversubscribed-900-Million-Early-Stage-Hybrid-Fund</t>
    </r>
    <r>
      <rPr>
        <rFont val="Poppins"/>
        <sz val="7.0"/>
      </rPr>
      <t xml:space="preserve"> 
- [Maturity = Emerging] &gt; News &gt; Partnership Holdings provides patient capital to emerging VC managers since 2007 (primaries + early secondaries) — </t>
    </r>
    <r>
      <rPr>
        <rFont val="Poppins"/>
        <color rgb="FF1155CC"/>
        <sz val="7.0"/>
        <u/>
      </rPr>
      <t>https://www.businesswire.com/news/home/20240702891885/en/Industry-Ventures-Raises-Oversubscribed-900-Million-Early-Stage-Hybrid-Fund</t>
    </r>
    <r>
      <rPr>
        <rFont val="Poppins"/>
        <sz val="7.0"/>
      </rPr>
      <t xml:space="preserve"> 
- [Sector/AI] &gt; News &gt; Explicitly cites generative-AI tailwinds — </t>
    </r>
    <r>
      <rPr>
        <rFont val="Poppins"/>
        <color rgb="FF1155CC"/>
        <sz val="7.0"/>
        <u/>
      </rPr>
      <t>https://www.businesswire.com/news/home/20240702891885/en/Industry-Ventures-Raises-Oversubscribed-900-Million-Early-Stage-Hybrid-Fund</t>
    </r>
    <r>
      <rPr>
        <rFont val="Poppins"/>
        <sz val="7.0"/>
      </rPr>
      <t xml:space="preserve"> 
- [Region] &gt; Data manager judgement &gt; US (San Francisco); global</t>
    </r>
  </si>
  <si>
    <t>CEO &amp; Founder</t>
  </si>
  <si>
    <t>Hans Swildens</t>
  </si>
  <si>
    <t>Swildens</t>
  </si>
  <si>
    <t>hans@industryventures.com</t>
  </si>
  <si>
    <t>https://www.linkedin.com/in/hansswildens/</t>
  </si>
  <si>
    <t>Accolade Partners</t>
  </si>
  <si>
    <t>https://www.accoladepartners.com/</t>
  </si>
  <si>
    <r>
      <rPr>
        <rFont val="Poppins"/>
        <sz val="7.0"/>
      </rPr>
      <t xml:space="preserve">- [Asset class = Funds-VC] &gt; Website &gt; Invests in early-stage VC, growth equity and blockchain funds — </t>
    </r>
    <r>
      <rPr>
        <rFont val="Poppins"/>
        <color rgb="FF1155CC"/>
        <sz val="7.0"/>
        <u/>
      </rPr>
      <t>https://www.accoladepartners.com/aboutus</t>
    </r>
    <r>
      <rPr>
        <rFont val="Poppins"/>
        <sz val="7.0"/>
      </rPr>
      <t xml:space="preserve"> 
- [Maturity = Emerging] &gt; Website &gt; Selectively targets emerging managers at an inflection point; raises modest fund sizes — </t>
    </r>
    <r>
      <rPr>
        <rFont val="Poppins"/>
        <color rgb="FF1155CC"/>
        <sz val="7.0"/>
        <u/>
      </rPr>
      <t>https://www.accoladepartners.com/venture</t>
    </r>
    <r>
      <rPr>
        <rFont val="Poppins"/>
        <sz val="7.0"/>
      </rPr>
      <t xml:space="preserve"> 
- [Stage = Seed/Series A] &gt; Website &gt; Seed and Series A managers — https://www.accoladepartners.com/venture
- [Sector/AI] &gt; Data manager judgement &gt; Tech/venture; AI tailwinds. #DemandCreation on AI
- [Region] &gt; Data manager judgement &gt; US (Washington DC)</t>
    </r>
  </si>
  <si>
    <t>Joelle Kayden</t>
  </si>
  <si>
    <t>Joelle</t>
  </si>
  <si>
    <t>Kayden</t>
  </si>
  <si>
    <t>joelle@accoladepartners.com</t>
  </si>
  <si>
    <t>https://www.linkedin.com/in/joelle-kayden-938a708/</t>
  </si>
  <si>
    <t>Plexo Capital</t>
  </si>
  <si>
    <t>https://www.plexocap.com/</t>
  </si>
  <si>
    <r>
      <rPr>
        <rFont val="Poppins"/>
        <sz val="7.0"/>
      </rPr>
      <t xml:space="preserve">- [Asset class = Funds-VC] &gt; Profile &gt; Invests $500K-$5M as LP into emerging seed-stage VC funds (+ direct) — </t>
    </r>
    <r>
      <rPr>
        <rFont val="Poppins"/>
        <color rgb="FF1155CC"/>
        <sz val="7.0"/>
        <u/>
      </rPr>
      <t>https://startupintros.com/orgs/plexo-capital</t>
    </r>
    <r>
      <rPr>
        <rFont val="Poppins"/>
        <sz val="7.0"/>
      </rPr>
      <t xml:space="preserve"> 
- [Maturity = Emerging] &gt; News &gt; Spun out of GV; backs emerging seed-stage managers (often women/POC-led) — </t>
    </r>
    <r>
      <rPr>
        <rFont val="Poppins"/>
        <color rgb="FF1155CC"/>
        <sz val="7.0"/>
        <u/>
      </rPr>
      <t>https://techcrunch.com/2023/06/29/fund-of-funds-lps/</t>
    </r>
    <r>
      <rPr>
        <rFont val="Poppins"/>
        <sz val="7.0"/>
      </rPr>
      <t xml:space="preserve"> 
- [Sector/AI] &gt; Profile &gt; Key sectors include AI, deep tech, software — </t>
    </r>
    <r>
      <rPr>
        <rFont val="Poppins"/>
        <color rgb="FF1155CC"/>
        <sz val="7.0"/>
        <u/>
      </rPr>
      <t>https://startupintros.com/orgs/plexo-capital</t>
    </r>
    <r>
      <rPr>
        <rFont val="Poppins"/>
        <sz val="7.0"/>
      </rPr>
      <t xml:space="preserve"> 
- [Region] &gt; Profile &gt; US + Africa + LatAm — </t>
    </r>
    <r>
      <rPr>
        <rFont val="Poppins"/>
        <color rgb="FF1155CC"/>
        <sz val="7.0"/>
        <u/>
      </rPr>
      <t>https://startupintros.com/orgs/plexo-capital</t>
    </r>
    <r>
      <rPr>
        <rFont val="Poppins"/>
        <sz val="7.0"/>
      </rPr>
      <t xml:space="preserve"> </t>
    </r>
  </si>
  <si>
    <t>Founding Managing Partner</t>
  </si>
  <si>
    <t>Lo Toney</t>
  </si>
  <si>
    <t>Lo</t>
  </si>
  <si>
    <t>Toney</t>
  </si>
  <si>
    <t>lo@plexocap.com</t>
  </si>
  <si>
    <t>https://www.linkedin.com/in/ltoney</t>
  </si>
  <si>
    <t>Reshape Capital</t>
  </si>
  <si>
    <t>https://www.reshape.co/</t>
  </si>
  <si>
    <t>News article</t>
  </si>
  <si>
    <r>
      <rPr>
        <rFont val="Poppins"/>
        <sz val="7.0"/>
      </rPr>
      <t xml:space="preserve">- [Asset class = Funds-VC] &gt; News &gt; Operates a FoF sleeve investing into VC managers — </t>
    </r>
    <r>
      <rPr>
        <rFont val="Poppins"/>
        <color rgb="FF1155CC"/>
        <sz val="7.0"/>
        <u/>
      </rPr>
      <t>https://techcrunch.com/2023/06/29/fund-of-funds-lps/</t>
    </r>
    <r>
      <rPr>
        <rFont val="Poppins"/>
        <sz val="7.0"/>
      </rPr>
      <t xml:space="preserve"> 
- [Maturity = Emerging] &gt; News &gt; Named alongside Plexo as backing emerging managers — </t>
    </r>
    <r>
      <rPr>
        <rFont val="Poppins"/>
        <color rgb="FF1155CC"/>
        <sz val="7.0"/>
        <u/>
      </rPr>
      <t>https://techcrunch.com/2023/06/29/fund-of-funds-lps/</t>
    </r>
    <r>
      <rPr>
        <rFont val="Poppins"/>
        <sz val="7.0"/>
      </rPr>
      <t xml:space="preserve"> 
- [Sector/AI] &gt; Data manager judgement &gt; Tech/venture. #DemandCreation on AI
- [Region] &gt; Data manager judgement &gt; US</t>
    </r>
  </si>
  <si>
    <t>Aziz Kabbaj</t>
  </si>
  <si>
    <t>Aziz</t>
  </si>
  <si>
    <t>Kabbaj</t>
  </si>
  <si>
    <t>aziz@reshape.co</t>
  </si>
  <si>
    <t>https://www.linkedin.com/in/azizkabbaj/</t>
  </si>
  <si>
    <t>Atento Capital</t>
  </si>
  <si>
    <t>https://www.atentocapital.com/</t>
  </si>
  <si>
    <r>
      <rPr>
        <rFont val="Poppins"/>
        <sz val="7.0"/>
      </rPr>
      <t xml:space="preserve">- [Asset class = Funds-VC] &gt; News &gt; FoF investing into VC managers (Tulsa ecosystem builder) — </t>
    </r>
    <r>
      <rPr>
        <rFont val="Poppins"/>
        <color rgb="FF1155CC"/>
        <sz val="7.0"/>
        <u/>
      </rPr>
      <t>https://techcrunch.com/2023/06/29/fund-of-funds-lps/</t>
    </r>
    <r>
      <rPr>
        <rFont val="Poppins"/>
        <sz val="7.0"/>
      </rPr>
      <t xml:space="preserve"> 
- [Maturity = Emerging] &gt; News &gt; Named among FoFs backing emerging managers — </t>
    </r>
    <r>
      <rPr>
        <rFont val="Poppins"/>
        <color rgb="FF1155CC"/>
        <sz val="7.0"/>
        <u/>
      </rPr>
      <t>https://techcrunch.com/2023/06/29/fund-of-funds-lps/</t>
    </r>
    <r>
      <rPr>
        <rFont val="Poppins"/>
        <sz val="7.0"/>
      </rPr>
      <t xml:space="preserve"> 
- [Sector/AI] &gt; Data manager judgement &gt; Tech/venture. #DemandCreation on AI
- [Region] &gt; Data manager judgement &gt; US</t>
    </r>
  </si>
  <si>
    <t>Marcos Bazzana</t>
  </si>
  <si>
    <t>Marcos</t>
  </si>
  <si>
    <t>Bazzana</t>
  </si>
  <si>
    <t>hola@atentocapital.com</t>
  </si>
  <si>
    <t>https://www.linkedin.com/in/marcos-bazzana-bbb610164/</t>
  </si>
  <si>
    <t>Mesa Lane Capital Partners</t>
  </si>
  <si>
    <t>https://www.mesalanecapital.com/</t>
  </si>
  <si>
    <r>
      <rPr>
        <rFont val="Poppins"/>
        <sz val="7.0"/>
      </rPr>
      <t xml:space="preserve">- [Asset class = Funds-VC] &gt; Source &gt; Asset manager providing seed/acceleration capital to early-stage venture firms — </t>
    </r>
    <r>
      <rPr>
        <rFont val="Poppins"/>
        <color rgb="FF1155CC"/>
        <sz val="7.0"/>
        <u/>
      </rPr>
      <t>https://pitchcalls.com/vc</t>
    </r>
    <r>
      <rPr>
        <rFont val="Poppins"/>
        <sz val="7.0"/>
      </rPr>
      <t xml:space="preserve"> 
- [Maturity = Emerging] &gt; Source &gt; Built to seed emerging managers; founder did 40+ emerging-manager seedings at Tiger Management — </t>
    </r>
    <r>
      <rPr>
        <rFont val="Poppins"/>
        <color rgb="FF1155CC"/>
        <sz val="7.0"/>
        <u/>
      </rPr>
      <t>https://pitchcalls.com/vc</t>
    </r>
    <r>
      <rPr>
        <rFont val="Poppins"/>
        <sz val="7.0"/>
      </rPr>
      <t xml:space="preserve"> 
- [Check size] &gt; Source &gt; ~$20M LP checks (within band) — https://pitchcalls.com/vc
- [Sector/Region] &gt; Not disclosed. #DemandCreation</t>
    </r>
  </si>
  <si>
    <t>Scott Sherman</t>
  </si>
  <si>
    <t>Scott</t>
  </si>
  <si>
    <t>Sherman</t>
  </si>
  <si>
    <t>scott@mesalanecap.com</t>
  </si>
  <si>
    <t>https://www.linkedin.com/in/scott-sherman-87b7926/</t>
  </si>
  <si>
    <t>GEX Ventures</t>
  </si>
  <si>
    <t>https://www.gex.vc/</t>
  </si>
  <si>
    <r>
      <rPr>
        <rFont val="Poppins"/>
        <sz val="7.0"/>
      </rPr>
      <t xml:space="preserve">- [Asset class = Funds-VC] &gt; Source &gt; FoF investing in top-performing VC managers + co-invest rights (institutionalized from a family office) — https://www.vcnetworks.gex.vc/p/family-offices-are-reshaping-venture
- [Maturity = Emerging] &gt; Source &gt; Partners with leading AND emerging VC managers — </t>
    </r>
    <r>
      <rPr>
        <rFont val="Poppins"/>
        <color rgb="FF1155CC"/>
        <sz val="7.0"/>
        <u/>
      </rPr>
      <t>https://www.vcnetworks.gex.vc/p/family-offices-are-reshaping-venture</t>
    </r>
    <r>
      <rPr>
        <rFont val="Poppins"/>
        <sz val="7.0"/>
      </rPr>
      <t xml:space="preserve"> 
- [Sector/Region] &gt; Not specified. #DemandCreation</t>
    </r>
  </si>
  <si>
    <t>Patrick Liew</t>
  </si>
  <si>
    <t>Liew</t>
  </si>
  <si>
    <t>patrickliew77@gmail.com</t>
  </si>
  <si>
    <t>https://www.linkedin.com/in/liewpatrick/</t>
  </si>
  <si>
    <t>Verdis Investment Management</t>
  </si>
  <si>
    <t>https://www.verdisinvestment.com/</t>
  </si>
  <si>
    <r>
      <rPr>
        <rFont val="Poppins"/>
        <sz val="7.0"/>
      </rPr>
      <t xml:space="preserve">- [Asset class = Funds-VC] &gt; Source &gt; Gen 7-10 single-family office investing across VC, PE and hedge funds — </t>
    </r>
    <r>
      <rPr>
        <rFont val="Poppins"/>
        <color rgb="FF1155CC"/>
        <sz val="7.0"/>
        <u/>
      </rPr>
      <t>https://pitchcalls.com/vc</t>
    </r>
    <r>
      <rPr>
        <rFont val="Poppins"/>
        <sz val="7.0"/>
      </rPr>
      <t xml:space="preserve"> 
- [Maturity = Emerging] &gt; Source &gt; Invests across emerging VC managers — </t>
    </r>
    <r>
      <rPr>
        <rFont val="Poppins"/>
        <color rgb="FF1155CC"/>
        <sz val="7.0"/>
        <u/>
      </rPr>
      <t>https://pitchcalls.com/vc</t>
    </r>
    <r>
      <rPr>
        <rFont val="Poppins"/>
        <sz val="7.0"/>
      </rPr>
      <t xml:space="preserve"> 
- [Sector/Region] &gt; Not specified. #DemandCreation</t>
    </r>
  </si>
  <si>
    <t>Partner, Investment Strategy and Risk</t>
  </si>
  <si>
    <t>Steve Kim</t>
  </si>
  <si>
    <t>Steve</t>
  </si>
  <si>
    <t>pe@verdisinvestment.com</t>
  </si>
  <si>
    <t>https://www.linkedin.com/in/stevenrkim/</t>
  </si>
  <si>
    <t>Isomer Capital</t>
  </si>
  <si>
    <t>https://isomercapital.com/</t>
  </si>
  <si>
    <r>
      <rPr>
        <rFont val="Poppins"/>
        <sz val="7.0"/>
      </rPr>
      <t xml:space="preserve">- [Asset class = Funds-VC] &gt; Interview &gt; FoF making LP investments into early-stage European VC funds (+ co-invest, secondaries); 70+ funds — https://www.vestbee.com/insights/articles/inside-isomer-interview-with-chris-wade
- [Maturity = Emerging] &gt; Interview &gt; Backs Europe's emerging early-stage managers; defines 'emerging' as funds 1-3; hosts emerging-VC conference 2x/yr — </t>
    </r>
    <r>
      <rPr>
        <rFont val="Poppins"/>
        <color rgb="FF1155CC"/>
        <sz val="7.0"/>
        <u/>
      </rPr>
      <t>https://www.vestbee.com/insights/articles/isomer-capital-market-trends-interview</t>
    </r>
    <r>
      <rPr>
        <rFont val="Poppins"/>
        <sz val="7.0"/>
      </rPr>
      <t xml:space="preserve"> 
- [Sector/AI] &gt; Interview &gt; Heavy AI focus; 'small is beautiful' fund-size thesis — </t>
    </r>
    <r>
      <rPr>
        <rFont val="Poppins"/>
        <color rgb="FF1155CC"/>
        <sz val="7.0"/>
        <u/>
      </rPr>
      <t>https://www.vestbee.com/insights/articles/inside-isomer-interview-with-chris-wade</t>
    </r>
    <r>
      <rPr>
        <rFont val="Poppins"/>
        <sz val="7.0"/>
      </rPr>
      <t xml:space="preserve"> 
- [Region] &gt; Website &gt; Europe — </t>
    </r>
    <r>
      <rPr>
        <rFont val="Poppins"/>
        <color rgb="FF1155CC"/>
        <sz val="7.0"/>
        <u/>
      </rPr>
      <t>https://isomercapital.com/</t>
    </r>
    <r>
      <rPr>
        <rFont val="Poppins"/>
        <sz val="7.0"/>
      </rPr>
      <t xml:space="preserve"> </t>
    </r>
  </si>
  <si>
    <t>Joe Schorge</t>
  </si>
  <si>
    <t>Schorge</t>
  </si>
  <si>
    <t>js@isomercapital.com</t>
  </si>
  <si>
    <t>https://www.linkedin.com/in/joe-schorge-isomer/</t>
  </si>
  <si>
    <t>KfW Capital</t>
  </si>
  <si>
    <t>https://www.kfw-capital.de/</t>
  </si>
  <si>
    <r>
      <rPr>
        <rFont val="Poppins"/>
        <sz val="7.0"/>
      </rPr>
      <t xml:space="preserve">- [Asset class = Funds-VC] &gt; Website &gt; Government-backed FoF committing to European VC funds (large GP portfolio) — </t>
    </r>
    <r>
      <rPr>
        <rFont val="Poppins"/>
        <color rgb="FF1155CC"/>
        <sz val="7.0"/>
        <u/>
      </rPr>
      <t>https://www.kfw-capital.de/Investment-focus/Portfolio/</t>
    </r>
    <r>
      <rPr>
        <rFont val="Poppins"/>
        <sz val="7.0"/>
      </rPr>
      <t xml:space="preserve"> 
- [Maturity = Emerging] &gt; Programme &gt; KfW (Christian Stiebner) cited as an LP investing in emerging managers / mentoring emerging GPs — </t>
    </r>
    <r>
      <rPr>
        <rFont val="Poppins"/>
        <color rgb="FF1155CC"/>
        <sz val="7.0"/>
        <u/>
      </rPr>
      <t>https://www.bluefp.com/emerging-vc-manager-programme/</t>
    </r>
    <r>
      <rPr>
        <rFont val="Poppins"/>
        <sz val="7.0"/>
      </rPr>
      <t xml:space="preserve"> 
- [Sector/AI] &gt; Website &gt; Tech/venture incl. AI/deeptech funds — </t>
    </r>
    <r>
      <rPr>
        <rFont val="Poppins"/>
        <color rgb="FF1155CC"/>
        <sz val="7.0"/>
        <u/>
      </rPr>
      <t>https://www.kfw-capital.de/Investment-focus/Portfolio/</t>
    </r>
    <r>
      <rPr>
        <rFont val="Poppins"/>
        <sz val="7.0"/>
      </rPr>
      <t xml:space="preserve"> 
- [Region] &gt; Website &gt; Europe (Germany)</t>
    </r>
  </si>
  <si>
    <t>Sebastian Wandtke</t>
  </si>
  <si>
    <t>Sebastian</t>
  </si>
  <si>
    <t>Wandtke</t>
  </si>
  <si>
    <t>sebastian.wandtke@kfw.de</t>
  </si>
  <si>
    <t>https://www.linkedin.com/in/sebastian-wandtke-4a801b12b/</t>
  </si>
  <si>
    <t>European Investment Fund (EIF)</t>
  </si>
  <si>
    <t>http://eif.org/</t>
  </si>
  <si>
    <r>
      <rPr>
        <rFont val="Poppins"/>
        <sz val="7.0"/>
      </rPr>
      <t xml:space="preserve">- [Asset class = Funds-VC] &gt; Source &gt; Largest institutional LP backing European VC funds (named LP in fund closes) — </t>
    </r>
    <r>
      <rPr>
        <rFont val="Poppins"/>
        <color rgb="FF1155CC"/>
        <sz val="7.0"/>
        <u/>
      </rPr>
      <t>https://seedblink.com/blog/ready-to-invest-european-vcs-with-fresh-funds-raised-in-h2-2025</t>
    </r>
    <r>
      <rPr>
        <rFont val="Poppins"/>
        <sz val="7.0"/>
      </rPr>
      <t xml:space="preserve"> 
- [Maturity = Emerging] &gt; Source &gt; Major anchor of first-time / emerging European managers — </t>
    </r>
    <r>
      <rPr>
        <rFont val="Poppins"/>
        <color rgb="FF1155CC"/>
        <sz val="7.0"/>
        <u/>
      </rPr>
      <t>https://www.vestbee.com/insights/articles/isomer-capital-market-trends-interview</t>
    </r>
    <r>
      <rPr>
        <rFont val="Poppins"/>
        <sz val="7.0"/>
      </rPr>
      <t xml:space="preserve"> 
- [Sector/AI] &gt; Data manager judgement &gt; Tech/deeptech/AI across mandates
- [Region] &gt; Data manager judgement &gt; Europe</t>
    </r>
  </si>
  <si>
    <t>VC Fund of Fund Investor</t>
  </si>
  <si>
    <t>René Andres</t>
  </si>
  <si>
    <t>René</t>
  </si>
  <si>
    <t>Andres</t>
  </si>
  <si>
    <t>Andres@uni-trier.de</t>
  </si>
  <si>
    <t>https://www.linkedin.com/in/ren%C3%A9-andres-663457aa/</t>
  </si>
  <si>
    <t>Bpifrance</t>
  </si>
  <si>
    <t>https://www.bpifrance.com/</t>
  </si>
  <si>
    <t>Data manager judgement</t>
  </si>
  <si>
    <r>
      <rPr>
        <rFont val="Poppins"/>
        <sz val="7.0"/>
      </rPr>
      <t xml:space="preserve">- [Asset class = Funds-VC] &gt; French government FoF committing as LP into VC funds — </t>
    </r>
    <r>
      <rPr>
        <rFont val="Poppins"/>
        <color rgb="FF1155CC"/>
        <sz val="7.0"/>
        <u/>
      </rPr>
      <t>https://sifted.eu/articles/bpifrance-vc-results-2013-2023</t>
    </r>
    <r>
      <rPr>
        <rFont val="Poppins"/>
        <sz val="7.0"/>
      </rPr>
      <t xml:space="preserve"> 
- [Maturity = Emerging] &gt;  Backs emerging French/European managers — </t>
    </r>
    <r>
      <rPr>
        <rFont val="Poppins"/>
        <color rgb="FF1155CC"/>
        <sz val="7.0"/>
        <u/>
      </rPr>
      <t>https://www.globalcapital.com/article/2g0vh81w729rw8y5abrwg/ssa/supras-and-agencies/bpifrance-dives-into-european-green-bond-market</t>
    </r>
    <r>
      <rPr>
        <rFont val="Poppins"/>
        <sz val="7.0"/>
      </rPr>
      <t xml:space="preserve"> 
- [Sector/AI] &gt; Tech/deeptech/AI — </t>
    </r>
    <r>
      <rPr>
        <rFont val="Poppins"/>
        <color rgb="FF1155CC"/>
        <sz val="7.0"/>
        <u/>
      </rPr>
      <t>https://www.newprivatemarkets.com/in-brief-jpmorgan-and-bpifrance-partner-to-invest-in-diverse-impact-managers/</t>
    </r>
    <r>
      <rPr>
        <rFont val="Poppins"/>
        <sz val="7.0"/>
      </rPr>
      <t xml:space="preserve"> 
- [Region] &gt; France/Europe </t>
    </r>
    <r>
      <rPr>
        <rFont val="Poppins"/>
        <color rgb="FF1155CC"/>
        <sz val="7.0"/>
        <u/>
      </rPr>
      <t>https://www.maddyness.com/uk/2024/05/01/why-frances-largest-vc-is-government-owned/</t>
    </r>
    <r>
      <rPr>
        <rFont val="Poppins"/>
        <sz val="7.0"/>
      </rPr>
      <t xml:space="preserve"> </t>
    </r>
  </si>
  <si>
    <t>Ivan de Lastours</t>
  </si>
  <si>
    <t>Ivan</t>
  </si>
  <si>
    <t>de Lastours</t>
  </si>
  <si>
    <t>ivan.delastours@bpifrance.fr</t>
  </si>
  <si>
    <t>https://www.linkedin.com/in/ivandelastours/</t>
  </si>
  <si>
    <t>50 South Capital</t>
  </si>
  <si>
    <t>https://www.50southcapital.com/</t>
  </si>
  <si>
    <r>
      <rPr>
        <rFont val="Poppins"/>
        <sz val="7.0"/>
      </rPr>
      <t xml:space="preserve">- [Asset class = Funds-VC] &gt; Data manager judgement &gt; Venture FoF (Northern Trust alternatives) — </t>
    </r>
    <r>
      <rPr>
        <rFont val="Poppins"/>
        <color rgb="FF1155CC"/>
        <sz val="7.0"/>
        <u/>
      </rPr>
      <t>https://www.50southcapital.com/private-equity/capabilities</t>
    </r>
    <r>
      <rPr>
        <rFont val="Poppins"/>
        <sz val="7.0"/>
      </rPr>
      <t xml:space="preserve"> 
- [Maturity = Emerging] &gt; Data manager judgement &gt; Runs an emerging-manager program — </t>
    </r>
    <r>
      <rPr>
        <rFont val="Poppins"/>
        <color rgb="FF1155CC"/>
        <sz val="7.0"/>
        <u/>
      </rPr>
      <t>https://www.opalesque.com/676546/50_South_Capital_Preqin_highlight_emerging_manager654.html</t>
    </r>
    <r>
      <rPr>
        <rFont val="Poppins"/>
        <sz val="7.0"/>
      </rPr>
      <t xml:space="preserve"> , </t>
    </r>
    <r>
      <rPr>
        <rFont val="Poppins"/>
        <color rgb="FF1155CC"/>
        <sz val="7.0"/>
        <u/>
      </rPr>
      <t>https://www.venturecapitaljournal.com/meet-the-lp-50-south-capital/</t>
    </r>
    <r>
      <rPr>
        <rFont val="Poppins"/>
        <sz val="7.0"/>
      </rPr>
      <t xml:space="preserve"> 
- [Sector/AI] &gt; Data manager judgement &gt; Tech/venture. #DemandCreation on AI
- [Region] &gt; Data manager judgement &gt; US </t>
    </r>
    <r>
      <rPr>
        <rFont val="Poppins"/>
        <color rgb="FF1155CC"/>
        <sz val="7.0"/>
        <u/>
      </rPr>
      <t>https://www.preqin.com/data/profile/fund-manager/50-south-capital-advisors/3616</t>
    </r>
    <r>
      <rPr>
        <rFont val="Poppins"/>
        <sz val="7.0"/>
      </rPr>
      <t xml:space="preserve"> </t>
    </r>
  </si>
  <si>
    <t>Vice President</t>
  </si>
  <si>
    <t>George Adamopoulos</t>
  </si>
  <si>
    <t>George</t>
  </si>
  <si>
    <t>Adamopoulos</t>
  </si>
  <si>
    <t>george.adamopoulos@50southcapital.ntrs.com</t>
  </si>
  <si>
    <t>https://www.linkedin.com/in/gadamopoulos/</t>
  </si>
  <si>
    <t>Invesco Private Capital</t>
  </si>
  <si>
    <t>https://www.invesco.com/corporate/en/home.html</t>
  </si>
  <si>
    <r>
      <rPr>
        <rFont val="Poppins"/>
        <sz val="7.0"/>
      </rPr>
      <t xml:space="preserve">- [Asset class = Funds-VC] &gt; Data manager judgement &gt; Venture FoF / private-capital arm with LP commitments to VC funds — </t>
    </r>
    <r>
      <rPr>
        <rFont val="Poppins"/>
        <color rgb="FF1155CC"/>
        <sz val="7.0"/>
        <u/>
      </rPr>
      <t>https://www.invesco.com/il/en/capabilities/alternatives/invesco-private-capital.html</t>
    </r>
    <r>
      <rPr>
        <rFont val="Poppins"/>
        <sz val="7.0"/>
      </rPr>
      <t xml:space="preserve"> 
- [Maturity = Emerging] &gt; Data manager judgement &gt; Historic backer of emerging managers — </t>
    </r>
    <r>
      <rPr>
        <rFont val="Poppins"/>
        <color rgb="FF1155CC"/>
        <sz val="7.0"/>
        <u/>
      </rPr>
      <t>https://www.invesco.com/il/en/capabilities/alternatives/invesco-private-capital.html</t>
    </r>
    <r>
      <rPr>
        <rFont val="Poppins"/>
        <sz val="7.0"/>
      </rPr>
      <t xml:space="preserve"> 
- [Sector/AI] &gt; Data manager judgement &gt; Tech/venture
- [Region] &gt; Data manager judgement &gt; US</t>
    </r>
  </si>
  <si>
    <t>Director, Investment Strategy</t>
  </si>
  <si>
    <t>Amanda Clegg</t>
  </si>
  <si>
    <t>Amanda</t>
  </si>
  <si>
    <t>Clegg</t>
  </si>
  <si>
    <t>amanda.clegg@invesco.com</t>
  </si>
  <si>
    <t>https://www.linkedin.com/in/amanda-clegg-2b86889a/</t>
  </si>
  <si>
    <t>First Close Partners</t>
  </si>
  <si>
    <t>http://www.firstclosepartners.com/</t>
  </si>
  <si>
    <r>
      <rPr>
        <rFont val="Poppins"/>
        <sz val="7.0"/>
      </rPr>
      <t xml:space="preserve">- [Asset class = Funds-VC] &gt; Data manager judgement &gt; FoF investing into VC funds — </t>
    </r>
    <r>
      <rPr>
        <rFont val="Poppins"/>
        <color rgb="FF1155CC"/>
        <sz val="7.0"/>
        <u/>
      </rPr>
      <t>https://pitchbook.com/profiles/investor/458201-53</t>
    </r>
    <r>
      <rPr>
        <rFont val="Poppins"/>
        <sz val="7.0"/>
      </rPr>
      <t xml:space="preserve"> 
- [Maturity = Emerging] &gt; Data manager judgement &gt; Focus on emerging / underrepresented managers — </t>
    </r>
    <r>
      <rPr>
        <rFont val="Poppins"/>
        <color rgb="FF1155CC"/>
        <sz val="7.0"/>
        <u/>
      </rPr>
      <t>https://www.crunchbase.com/organization/weathergage-capital</t>
    </r>
    <r>
      <rPr>
        <rFont val="Poppins"/>
        <sz val="7.0"/>
      </rPr>
      <t xml:space="preserve"> 
- [Sector/AI] &gt; Data manager judgement &gt; Tech/venture
- [Region] &gt; Data manager judgement &gt; US</t>
    </r>
  </si>
  <si>
    <t>Anthony Pergola</t>
  </si>
  <si>
    <t>Pergola</t>
  </si>
  <si>
    <t>anthonyop@gmail.com</t>
  </si>
  <si>
    <t>https://www.linkedin.com/in/anthonypergola/</t>
  </si>
  <si>
    <t>Weathergage Capital</t>
  </si>
  <si>
    <t>https://www.weathergagecapital.com/</t>
  </si>
  <si>
    <r>
      <rPr>
        <rFont val="Poppins"/>
        <sz val="7.0"/>
      </rPr>
      <t xml:space="preserve">- [Asset class = Funds-VC] &gt; Data manager judgement &gt; Venture FoF committing as LP into VC funds — </t>
    </r>
    <r>
      <rPr>
        <rFont val="Poppins"/>
        <color rgb="FF1155CC"/>
        <sz val="7.0"/>
        <u/>
      </rPr>
      <t>https://www.weathergagecapital.com/about/who-we-are</t>
    </r>
    <r>
      <rPr>
        <rFont val="Poppins"/>
        <sz val="7.0"/>
      </rPr>
      <t xml:space="preserve"> 
- [Maturity = Emerging] &gt; Data manager judgement &gt; Historic backer of emerging venture managers — </t>
    </r>
    <r>
      <rPr>
        <rFont val="Poppins"/>
        <color rgb="FF1155CC"/>
        <sz val="7.0"/>
        <u/>
      </rPr>
      <t>https://www.crunchbase.com/organization/weathergage-capital</t>
    </r>
    <r>
      <rPr>
        <rFont val="Poppins"/>
        <sz val="7.0"/>
      </rPr>
      <t xml:space="preserve"> 
- [Sector/AI] &gt; Data manager judgement &gt; Tech/venture
- [Region] &gt; Data manager judgement &gt; US</t>
    </r>
  </si>
  <si>
    <t>Co-founder and Managing Director, Investment Committee</t>
  </si>
  <si>
    <t>Sandy Guitar</t>
  </si>
  <si>
    <t>Sandy</t>
  </si>
  <si>
    <t>Guitar</t>
  </si>
  <si>
    <t>sandy.guitar@weathergagecapital.com</t>
  </si>
  <si>
    <t>https://www.linkedin.com/in/sandyguitar/</t>
  </si>
  <si>
    <t>Arcano Ventures</t>
  </si>
  <si>
    <t>https://www.arcanopartners.com/</t>
  </si>
  <si>
    <r>
      <rPr>
        <rFont val="Poppins"/>
        <sz val="7.0"/>
      </rPr>
      <t xml:space="preserve">- [Asset class = Funds-VC] &gt; Source &gt; VC/PE FoF programs (Arcano Ventures / Balboa Ventures) giving LPs access to EU &amp; US VC funds — </t>
    </r>
    <r>
      <rPr>
        <rFont val="Poppins"/>
        <color rgb="FF1155CC"/>
        <sz val="7.0"/>
        <u/>
      </rPr>
      <t>https://www.vestbee.com/insights/articles/active-fund-of-funds-in-vc-who-s-investing-now-in-europe</t>
    </r>
    <r>
      <rPr>
        <rFont val="Poppins"/>
        <sz val="7.0"/>
      </rPr>
      <t xml:space="preserve"> 
- [Maturity = Emerging] &gt; Data manager judgement &gt; Backs top-tier managers; strict emerging-manager evidence to confirm — </t>
    </r>
    <r>
      <rPr>
        <rFont val="Poppins"/>
        <color rgb="FF1155CC"/>
        <sz val="7.0"/>
        <u/>
      </rPr>
      <t>https://www.arcanopartners.com/en/arcano-insights/news/search-1-hunt-elite-fund-managers</t>
    </r>
    <r>
      <rPr>
        <rFont val="Poppins"/>
        <sz val="7.0"/>
      </rPr>
      <t xml:space="preserve"> 
- [Sector/AI] &gt; Data manager judgement &gt; Tech/venture
- [Region] &gt; Source &gt; Spain/Europe + US</t>
    </r>
  </si>
  <si>
    <t>Derek Bunting</t>
  </si>
  <si>
    <t>Derek</t>
  </si>
  <si>
    <t>Bunting</t>
  </si>
  <si>
    <t>investors@arcanopartners.com</t>
  </si>
  <si>
    <t>https://www.linkedin.com/in/derek-bunting-cfa-2b087050/</t>
  </si>
  <si>
    <t>Saudi Venture Capital (SVC)</t>
  </si>
  <si>
    <t>https://svc.com.sa/en/</t>
  </si>
  <si>
    <r>
      <rPr>
        <rFont val="Poppins"/>
        <sz val="7.0"/>
      </rPr>
      <t xml:space="preserve">- [Asset class = Funds-VC] &gt; Website &gt; Government FoF; invested in 65 private-capital funds (VC/PE/venture debt) backing 1,000+ startups — </t>
    </r>
    <r>
      <rPr>
        <rFont val="Poppins"/>
        <color rgb="FF1155CC"/>
        <sz val="7.0"/>
        <u/>
      </rPr>
      <t>https://svc.com.sa/en/</t>
    </r>
    <r>
      <rPr>
        <rFont val="Poppins"/>
        <sz val="7.0"/>
      </rPr>
      <t xml:space="preserve"> 
- [Maturity = Emerging] &gt; News &gt; Core mandate builds local/emerging fund-manager ecosystem; attracts international VCs — </t>
    </r>
    <r>
      <rPr>
        <rFont val="Poppins"/>
        <color rgb="FF1155CC"/>
        <sz val="7.0"/>
        <u/>
      </rPr>
      <t>https://vision2030.ai/encyclopedia/saudi-arabia-venture-funds/</t>
    </r>
    <r>
      <rPr>
        <rFont val="Poppins"/>
        <sz val="7.0"/>
      </rPr>
      <t xml:space="preserve"> 
- [Stage] &gt; Website &gt; Pre-seed to pre-IPO — </t>
    </r>
    <r>
      <rPr>
        <rFont val="Poppins"/>
        <color rgb="FF1155CC"/>
        <sz val="7.0"/>
        <u/>
      </rPr>
      <t>https://svc.com.sa/en/</t>
    </r>
    <r>
      <rPr>
        <rFont val="Poppins"/>
        <sz val="7.0"/>
      </rPr>
      <t xml:space="preserve"> 
- [Region] &gt; News &gt; Wants KSA-startup exposure (regional nexus needed) — </t>
    </r>
    <r>
      <rPr>
        <rFont val="Poppins"/>
        <color rgb="FF1155CC"/>
        <sz val="7.0"/>
        <u/>
      </rPr>
      <t>https://www.arabnews.com/node/2327471/business-economy</t>
    </r>
    <r>
      <rPr>
        <rFont val="Poppins"/>
        <sz val="7.0"/>
      </rPr>
      <t xml:space="preserve"> </t>
    </r>
  </si>
  <si>
    <t>CEO &amp; Board Member</t>
  </si>
  <si>
    <t>Dr. Nabeel Koshak</t>
  </si>
  <si>
    <t>Nabeel</t>
  </si>
  <si>
    <t>Koshak</t>
  </si>
  <si>
    <t>nkoshak@svc.com.sa</t>
  </si>
  <si>
    <t>https://www.linkedin.com/in/nkoshak/</t>
  </si>
  <si>
    <t>Jada Fund of Funds</t>
  </si>
  <si>
    <t>https://www.jada.com.sa/</t>
  </si>
  <si>
    <r>
      <rPr>
        <rFont val="Poppins"/>
        <sz val="7.0"/>
      </rPr>
      <t xml:space="preserve">- [Asset class = Funds-VC] &gt; Website &gt; FoF backing VC, PE and private-debt funds (PIF-backed) — </t>
    </r>
    <r>
      <rPr>
        <rFont val="Poppins"/>
        <color rgb="FF1155CC"/>
        <sz val="7.0"/>
        <u/>
      </rPr>
      <t>https://www.jada.com.sa/</t>
    </r>
    <r>
      <rPr>
        <rFont val="Poppins"/>
        <sz val="7.0"/>
      </rPr>
      <t xml:space="preserve"> 
- [Maturity = Emerging] &gt; Website &gt; Runs a dedicated Emerging Manager Program — </t>
    </r>
    <r>
      <rPr>
        <rFont val="Poppins"/>
        <color rgb="FF1155CC"/>
        <sz val="7.0"/>
        <u/>
      </rPr>
      <t>https://www.jada.com.sa/</t>
    </r>
    <r>
      <rPr>
        <rFont val="Poppins"/>
        <sz val="7.0"/>
      </rPr>
      <t xml:space="preserve"> 
- [Sector/AI] &gt; Data manager judgement &gt; Tech/venture. #DemandCreation on AI
- [Region] &gt; Website &gt; Develops Saudi-focused managers (regional nexus needed) — </t>
    </r>
    <r>
      <rPr>
        <rFont val="Poppins"/>
        <color rgb="FF1155CC"/>
        <sz val="7.0"/>
        <u/>
      </rPr>
      <t>https://www.jada.com.sa/</t>
    </r>
    <r>
      <rPr>
        <rFont val="Poppins"/>
        <sz val="7.0"/>
      </rPr>
      <t xml:space="preserve"> </t>
    </r>
  </si>
  <si>
    <t>Head of Private Equity</t>
  </si>
  <si>
    <t>Rawan Aljermawi</t>
  </si>
  <si>
    <t>Rawan</t>
  </si>
  <si>
    <t>Aljermawi</t>
  </si>
  <si>
    <t>raljermawi@jada.com.sa</t>
  </si>
  <si>
    <t>https://www.linkedin.com/in/rawan-aljermawi/</t>
  </si>
  <si>
    <t>Sanabil Investments</t>
  </si>
  <si>
    <t>https://www.sanabil.com/en/</t>
  </si>
  <si>
    <r>
      <rPr>
        <rFont val="Poppins"/>
        <sz val="7.0"/>
      </rPr>
      <t xml:space="preserve">- [Asset class = Funds-VC] &gt; Website &gt; Commits ~$3bn/yr into private investments incl VC/growth; direct + fund commitments — </t>
    </r>
    <r>
      <rPr>
        <rFont val="Poppins"/>
        <color rgb="FF1155CC"/>
        <sz val="7.0"/>
        <u/>
      </rPr>
      <t>https://www.sanabil.com/en/home</t>
    </r>
    <r>
      <rPr>
        <rFont val="Poppins"/>
        <sz val="7.0"/>
      </rPr>
      <t xml:space="preserve"> 
- [Maturity = Emerging] &gt; News &gt; FoF commitments include emerging Saudi managers; runs Sanabil 500 / VC Unlocked emerging-VC programs —  </t>
    </r>
    <r>
      <rPr>
        <rFont val="Poppins"/>
        <color rgb="FF1155CC"/>
        <sz val="7.0"/>
        <u/>
      </rPr>
      <t>https://investriyadh.ai/venture-capital/sanabil-investments/</t>
    </r>
    <r>
      <rPr>
        <rFont val="Poppins"/>
        <sz val="7.0"/>
      </rPr>
      <t xml:space="preserve"> 
- [Maturity = Emerging] &gt; Program &gt; VC Unlocked trains/nominates emerging VCs &amp; fund managers — </t>
    </r>
    <r>
      <rPr>
        <rFont val="Poppins"/>
        <color rgb="FF1155CC"/>
        <sz val="7.0"/>
        <u/>
      </rPr>
      <t>https://500.co/venture-education/vcu/mena</t>
    </r>
    <r>
      <rPr>
        <rFont val="Poppins"/>
        <sz val="7.0"/>
      </rPr>
      <t xml:space="preserve"> 
- [Region] &gt; Website &gt; Global + GCC ecosystem mandate — </t>
    </r>
    <r>
      <rPr>
        <rFont val="Poppins"/>
        <color rgb="FF1155CC"/>
        <sz val="7.0"/>
        <u/>
      </rPr>
      <t>https://www.sanabil.com/en/home</t>
    </r>
    <r>
      <rPr>
        <rFont val="Poppins"/>
        <sz val="7.0"/>
      </rPr>
      <t xml:space="preserve"> </t>
    </r>
  </si>
  <si>
    <t>Director (Venture Studio, Health)</t>
  </si>
  <si>
    <t>Ahmed Zakadan</t>
  </si>
  <si>
    <t>Ahmed</t>
  </si>
  <si>
    <t>Zakadan</t>
  </si>
  <si>
    <t>ahmed.zakadan@redesignhealth.com</t>
  </si>
  <si>
    <t>https://www.linkedin.com/in/ahmedzakadan/</t>
  </si>
  <si>
    <t>The Family Office (TFO)</t>
  </si>
  <si>
    <t>https://tfoco.com/</t>
  </si>
  <si>
    <t>Bahrain</t>
  </si>
  <si>
    <r>
      <rPr>
        <rFont val="Poppins"/>
        <sz val="7.0"/>
      </rPr>
      <t xml:space="preserve">- [Asset class = Funds-VC] &gt; Website &gt; 21+ yr MFO ($2.1bn AUM, 800+ clients) building diversified private-market fund portfolios — </t>
    </r>
    <r>
      <rPr>
        <rFont val="Poppins"/>
        <color rgb="FF1155CC"/>
        <sz val="7.0"/>
        <u/>
      </rPr>
      <t>https://tfoco.com/en/sa</t>
    </r>
    <r>
      <rPr>
        <rFont val="Poppins"/>
        <sz val="7.0"/>
      </rPr>
      <t xml:space="preserve"> 
- [Maturity] &gt; Data manager judgement &gt; Not disclosed. #DemandCreation
- [Sector/AI] &gt; Data manager judgement &gt; Private markets; AI tilt to confirm
- [Region] &gt; Press release &gt; Bahrain/KSA/UAE/Kuwait/Switzerland/US/HK — </t>
    </r>
    <r>
      <rPr>
        <rFont val="Poppins"/>
        <color rgb="FF1155CC"/>
        <sz val="7.0"/>
        <u/>
      </rPr>
      <t>https://tfoco.com/en/insights/press-release/family-office-kuwait-investment-solutions</t>
    </r>
    <r>
      <rPr>
        <rFont val="Poppins"/>
        <sz val="7.0"/>
      </rPr>
      <t xml:space="preserve"> </t>
    </r>
  </si>
  <si>
    <t>Client Investment Manager</t>
  </si>
  <si>
    <t>Lyla Amir</t>
  </si>
  <si>
    <t>Lyla</t>
  </si>
  <si>
    <t>Amir</t>
  </si>
  <si>
    <t>l.amir@tfoco.com</t>
  </si>
  <si>
    <t>https://www.linkedin.com/in/lylaamir/</t>
  </si>
  <si>
    <t>KBW Ventures</t>
  </si>
  <si>
    <t>https://kbw-ventures.com/</t>
  </si>
  <si>
    <r>
      <rPr>
        <rFont val="Poppins"/>
        <sz val="7.0"/>
      </rPr>
      <t xml:space="preserve">- [Asset class = Funds-VC] &gt; News &gt; Saudi family office increasing VC/PE exposure; described as an LP 'with dry powder' — </t>
    </r>
    <r>
      <rPr>
        <rFont val="Poppins"/>
        <color rgb="FF1155CC"/>
        <sz val="7.0"/>
        <u/>
      </rPr>
      <t>https://www.marketsgroup.org/news/saudi-family-office-bets-on-vc-ai-and-growth-equity</t>
    </r>
    <r>
      <rPr>
        <rFont val="Poppins"/>
        <sz val="7.0"/>
      </rPr>
      <t xml:space="preserve"> 
- [Sector/AI] &gt; News &gt; Portfolio shifted toward AI-driven businesses and growth-stage ventures — </t>
    </r>
    <r>
      <rPr>
        <rFont val="Poppins"/>
        <color rgb="FF1155CC"/>
        <sz val="7.0"/>
        <u/>
      </rPr>
      <t>https://www.marketsgroup.org/news/saudi-family-office-bets-on-vc-ai-and-growth-equity</t>
    </r>
    <r>
      <rPr>
        <rFont val="Poppins"/>
        <sz val="7.0"/>
      </rPr>
      <t xml:space="preserve"> 
- [Maturity] &gt; Data manager judgement &gt; Emerging-manager appetite inferred, not stated. #DemandCreation
- [Region] &gt; News &gt; KSA-local + broadening international — </t>
    </r>
    <r>
      <rPr>
        <rFont val="Poppins"/>
        <color rgb="FF1155CC"/>
        <sz val="7.0"/>
        <u/>
      </rPr>
      <t>https://www.marketsgroup.org/news/saudi-family-office-bets-on-vc-ai-and-growth-equity</t>
    </r>
    <r>
      <rPr>
        <rFont val="Poppins"/>
        <sz val="7.0"/>
      </rPr>
      <t xml:space="preserve"> </t>
    </r>
  </si>
  <si>
    <t>Ekta Tolani</t>
  </si>
  <si>
    <t>Ekta</t>
  </si>
  <si>
    <t>Tolani</t>
  </si>
  <si>
    <t>ekta@kbw.vc</t>
  </si>
  <si>
    <t>https://www.linkedin.com/in/ekta-tolani/</t>
  </si>
  <si>
    <t>2PointZero</t>
  </si>
  <si>
    <t>https://2pointzero.com/</t>
  </si>
  <si>
    <t>Private data provider</t>
  </si>
  <si>
    <r>
      <rPr>
        <rFont val="Poppins"/>
        <sz val="7.0"/>
      </rPr>
      <t xml:space="preserve">- [Asset class = Funds-VC] &gt; Directory &gt; Specializes in VC, private and direct investments; ticket $1M-$100M — </t>
    </r>
    <r>
      <rPr>
        <rFont val="Poppins"/>
        <color rgb="FF1155CC"/>
        <sz val="7.0"/>
        <u/>
      </rPr>
      <t>https://www.dakota.com/resources/blog/top-family-offices-in-uae-2025-guide</t>
    </r>
    <r>
      <rPr>
        <rFont val="Poppins"/>
        <sz val="7.0"/>
      </rPr>
      <t xml:space="preserve"> 
- [Sector/AI] &gt; Directory &gt; Technology &amp; AI is a core sector — </t>
    </r>
    <r>
      <rPr>
        <rFont val="Poppins"/>
        <color rgb="FF1155CC"/>
        <sz val="7.0"/>
        <u/>
      </rPr>
      <t>https://www.dakota.com/resources/blog/top-family-offices-in-uae-2025-guide</t>
    </r>
    <r>
      <rPr>
        <rFont val="Poppins"/>
        <sz val="7.0"/>
      </rPr>
      <t xml:space="preserve"> 
- [Maturity] &gt; Not disclosed. #DemandCreation
- [Region] &gt; Directory &gt; Abu Dhabi (IHC subsidiary)</t>
    </r>
  </si>
  <si>
    <t>Group Investment Director</t>
  </si>
  <si>
    <t>Krishnadas Mani</t>
  </si>
  <si>
    <t>Krishnadas</t>
  </si>
  <si>
    <t>Mani</t>
  </si>
  <si>
    <t>krishnadas@2pointzero.com</t>
  </si>
  <si>
    <t>https://www.linkedin.com/in/krishnadas-mani-cfa-a01a6b11/</t>
  </si>
  <si>
    <t>AlTouq Group</t>
  </si>
  <si>
    <t>https://altouq.com/</t>
  </si>
  <si>
    <r>
      <rPr>
        <rFont val="Poppins"/>
        <sz val="7.0"/>
      </rPr>
      <t xml:space="preserve">- [Asset class = Funds-VC] &gt; Directory &gt; Investment vehicle for the AlTouq family; known tech co-investor — </t>
    </r>
    <r>
      <rPr>
        <rFont val="Poppins"/>
        <color rgb="FF1155CC"/>
        <sz val="7.0"/>
        <u/>
      </rPr>
      <t>https://incubatorlist.com/top-vcs-in-saudi-arabia</t>
    </r>
    <r>
      <rPr>
        <rFont val="Poppins"/>
        <sz val="7.0"/>
      </rPr>
      <t xml:space="preserve"> 
- [Sector/AI] &gt; Data manager judgement &gt; Technology exposure; AI to confirm
- [Maturity] &gt; Not disclosed. #DemandCreation
- [Region] &gt; Directory &gt; Riyadh; Europe/MENA</t>
    </r>
  </si>
  <si>
    <t>Executive Advisor</t>
  </si>
  <si>
    <t>Afif AlNsouli</t>
  </si>
  <si>
    <t>AlNsouli</t>
  </si>
  <si>
    <t>afif@altouq.com</t>
  </si>
  <si>
    <t>https://www.linkedin.com/in/afif-alnsouli/</t>
  </si>
  <si>
    <t>Aljazira Capital</t>
  </si>
  <si>
    <t>https://www.aljaziracapital.com.sa/en/</t>
  </si>
  <si>
    <t>Public data provider</t>
  </si>
  <si>
    <r>
      <rPr>
        <rFont val="Poppins"/>
        <sz val="7.0"/>
      </rPr>
      <t xml:space="preserve">- [Asset class = Funds-VC] &gt; Directory &gt; Riyadh investment firm investing regionally in startups (Floward, Tarabut) and internationally — </t>
    </r>
    <r>
      <rPr>
        <rFont val="Poppins"/>
        <color rgb="FF1155CC"/>
        <sz val="7.0"/>
        <u/>
      </rPr>
      <t>https://www.dubaibeat.com/investors/saudi_family_offices/</t>
    </r>
    <r>
      <rPr>
        <rFont val="Poppins"/>
        <sz val="7.0"/>
      </rPr>
      <t xml:space="preserve"> 
- [Sector/AI] &gt; Data manager judgement &gt; Tech exposure; AI to confirm
- [Maturity] &gt; Not disclosed. #DemandCreation
- [Region] &gt; Directory &gt; Saudi Arabia + international</t>
    </r>
  </si>
  <si>
    <t>Ali Alqaraawi</t>
  </si>
  <si>
    <t>Ali</t>
  </si>
  <si>
    <t>Alqaraawi</t>
  </si>
  <si>
    <t>ali.alqaraawi@aljaziracapital.com.sa</t>
  </si>
  <si>
    <t>https://www.linkedin.com/in/ali-alqaraawi/</t>
  </si>
  <si>
    <t>Financial Horizon Group</t>
  </si>
  <si>
    <t>https://f-horizon.com/</t>
  </si>
  <si>
    <r>
      <rPr>
        <rFont val="Poppins"/>
        <sz val="7.0"/>
      </rPr>
      <t xml:space="preserve">- [Asset class = Funds-VC] &gt; Directory &gt; Family office managing diversified investments and businesses — </t>
    </r>
    <r>
      <rPr>
        <rFont val="Poppins"/>
        <color rgb="FF1155CC"/>
        <sz val="7.0"/>
        <u/>
      </rPr>
      <t>https://incubatorlist.com/top-vcs-in-saudi-arabia</t>
    </r>
    <r>
      <rPr>
        <rFont val="Poppins"/>
        <sz val="7.0"/>
      </rPr>
      <t xml:space="preserve"> 
- [Sector/AI] &gt; Data manager judgement &gt; Generic; tech/AI to confirm
- [Maturity] &gt; Not disclosed. #DemandCreation
- [Region] &gt; Directory &gt; Al Khobar; Europe/MENA</t>
    </r>
  </si>
  <si>
    <t>Founder &amp; Chief Executive Officer at HALA Capital</t>
  </si>
  <si>
    <t>Ali Abussaud</t>
  </si>
  <si>
    <t>Abussaud</t>
  </si>
  <si>
    <t>ali@hala.capital</t>
  </si>
  <si>
    <t>https://www.linkedin.com/in/ali-abussaud-9117bb9/</t>
  </si>
  <si>
    <t>Kingdom Holding</t>
  </si>
  <si>
    <t>https://kingdom.com.sa/homepage</t>
  </si>
  <si>
    <r>
      <rPr>
        <rFont val="Poppins"/>
        <sz val="7.0"/>
      </rPr>
      <t xml:space="preserve">- [Asset class] &gt; Directory &gt; Major technology investor (Snap, Lyft, JD, historically Twitter) - largely direct/public equity — </t>
    </r>
    <r>
      <rPr>
        <rFont val="Poppins"/>
        <color rgb="FF1155CC"/>
        <sz val="7.0"/>
        <u/>
      </rPr>
      <t>https://www.dubaibeat.com/investors/saudi_family_offices/</t>
    </r>
    <r>
      <rPr>
        <rFont val="Poppins"/>
        <sz val="7.0"/>
      </rPr>
      <t xml:space="preserve"> 
- [Sector/AI] &gt; Directory &gt; Heavy tech exposure — </t>
    </r>
    <r>
      <rPr>
        <rFont val="Poppins"/>
        <color rgb="FF1155CC"/>
        <sz val="7.0"/>
        <u/>
      </rPr>
      <t>https://www.dubaibeat.com/investors/saudi_family_offices/</t>
    </r>
    <r>
      <rPr>
        <rFont val="Poppins"/>
        <sz val="7.0"/>
      </rPr>
      <t xml:space="preserve"> 
- [Maturity] &gt; Not a VC-fund LP profile. #DemandCreation
- [Region] &gt; Directory &gt; Riyadh; global</t>
    </r>
  </si>
  <si>
    <t>Chief of Domestic Investments</t>
  </si>
  <si>
    <t>Khalid Kreidie</t>
  </si>
  <si>
    <t>Khalid</t>
  </si>
  <si>
    <t>Kreidie</t>
  </si>
  <si>
    <t>khaledkreidie@gmail.com</t>
  </si>
  <si>
    <t>https://www.linkedin.com/in/khalidkreidie/</t>
  </si>
  <si>
    <t>Atyab Al-Marshoud</t>
  </si>
  <si>
    <t>https://www.atyabalmarshoud.com/</t>
  </si>
  <si>
    <r>
      <rPr>
        <rFont val="Poppins"/>
        <sz val="7.0"/>
      </rPr>
      <t xml:space="preserve">- [Asset class = Funds-VC] &gt; Directory &gt; Multi-generational family company (consumer/e-commerce/retail) with an associated VC fund — </t>
    </r>
    <r>
      <rPr>
        <rFont val="Poppins"/>
        <color rgb="FF1155CC"/>
        <sz val="7.0"/>
        <u/>
      </rPr>
      <t>https://shizune.co/investors/vc-funds-kuwait</t>
    </r>
    <r>
      <rPr>
        <rFont val="Poppins"/>
        <sz val="7.0"/>
      </rPr>
      <t xml:space="preserve"> 
- [Sector/AI] &gt; Data manager judgement &gt; Tech via VC fund; AI to confirm
- [Maturity] &gt; Not disclosed. #DemandCreation
- [Region] &gt; Directory &gt; Kuwait</t>
    </r>
  </si>
  <si>
    <t>Regional Director of Operations</t>
  </si>
  <si>
    <t>Ruba Saliba</t>
  </si>
  <si>
    <t>Ruba</t>
  </si>
  <si>
    <t>Saliba</t>
  </si>
  <si>
    <t>ruba@atyabalmarshoud.com</t>
  </si>
  <si>
    <t>https://www.linkedin.com/in/ruba-saliba-a0a437a7/</t>
  </si>
  <si>
    <t>Personalized Blurb/Introduction tag (Longer)</t>
  </si>
  <si>
    <t>Personalized Blurb/Introduction tag (Concise)</t>
  </si>
  <si>
    <t>Given Aurum’s roots as the Woh Hup family office and its corporate venture activity across the built-environment stack, Contra VC felt relevant: we back technical Asian founders building AI and robotics companies that can improve enterprise workflows beyond software alone. The timing is interesting as physical AI, automation and cross-border B2B adoption move from pilots into real budgets.</t>
  </si>
  <si>
    <t>Aurum’s Woh Hup family-office roots and built-environment CVC activity map well to Contra VC’s AI/robotics focus as physical automation moves into enterprise budgets.</t>
  </si>
  <si>
    <t>As CEO &amp; CIO of a Singapore single-family office built around endowment-style, multi-asset compounding, you are likely selective on where venture belongs in the portfolio. Contra VC is a focused way to look at early AI/Robotics exposure through MyAsiaVC’s deal flow and LP co-invest access, without needing to chase every AI headline.</t>
  </si>
  <si>
    <t>For Wellco’s endowment-style SFO mandate, our AI &amp; Robotics Fund I offers a focused venture sleeve built on MyAsiaVC deal flow and co-invest access.</t>
  </si>
  <si>
    <t>Your work at CSD Ventures spans exactly the kind of sustainable growth sectors, AI, education, food-tech and blockchain, where we think technical Asian founders can build global companies early. Contra VC brings MyAsiaVC’s Asia/US sourcing engine to that intersection, with a dedicated fund for cross-border AI and robotics.</t>
  </si>
  <si>
    <t>CSD’s work across AI, education, food-tech and blockchain sits squarely where Contra VC sees Asian technical founders using AI to scale globally.</t>
  </si>
  <si>
    <t>Deep Blue’s mix of venture, operating businesses and global fund commitments maps well to how Contra VC thinks about early-stage AI: not just capital, but hands-on help turning technical products into cross-border companies. Since your platform already spans fintech, healthtech, enterprise software and deep tech across Asia, the US and Europe, I thought this could be a natural conversation.</t>
  </si>
  <si>
    <t>Deep Blue’s mix of venture, operating businesses and fund commitments makes Contra VC’s early-stage Asian AI lens a natural complement to your broader tech exposure.</t>
  </si>
  <si>
    <t>Your background as both technologist and investor at Leonie Hill makes Contra VC especially relevant: we are focused on technical founders in AI/Robotics where product depth and commercial scaling both matter. The fund is being raised now to turn MyAsiaVC’s existing access and pattern recognition into a more structured early-stage vehicle.</t>
  </si>
  <si>
    <t>With your technologist-investor lens at Leonie Hill, Contra VC’s emphasis on product-heavy AI/Robotics founders felt particularly aligned right now.</t>
  </si>
  <si>
    <t>Cherry Tree’s hybrid model, backing venture managers while also co-investing directly in internet and tech companies, is close to the LP profile we designed Contra VC for. We can offer a focused early-stage window into global Asian AI founders, with the additional ability for LPs to lean into selected SPVs when conviction is high.</t>
  </si>
  <si>
    <t>Cherry Tree’s fund-plus-co-invest model matches how we’ve designed Contra VC: concentrated access to global Asian AI founders with optional SPVs for higher-conviction deals.</t>
  </si>
  <si>
    <t>Mojo Partners’ activity across healthcare, technology and private fund exposure made me think there could be room for a narrower AI/Robotics angle. Contra VC sits at the cross-border B2B layer, using MyAsiaVC’s Asia/US sourcing network to find technical founders before larger managers arrive.</t>
  </si>
  <si>
    <t>Mojo’s healthcare, technology and private-fund exposure makes Contra VC’s Asia/US AI sourcing network a useful, narrower angle to discuss.</t>
  </si>
  <si>
    <t>G. K. Goh’s combination of long-term operating businesses, aged-care exposure and early-stage ventures feels well aligned with our view that AI will reshape both service-heavy and infrastructure-heavy industries. Contra VC is designed to capture that shift through technical Asian founders building for global enterprise markets.</t>
  </si>
  <si>
    <t>At Contra VC, we think G. K. Goh’s long-term operating and venture perspective fits where AI will reshape service-heavy industries first.</t>
  </si>
  <si>
    <t>Given Bhansali SFO’s long-term approach across real assets, private markets and capital markets, I thought Contra VC could be a differentiated way to underwrite the AI wave without treating it as a public-market momentum trade. We are focused on early technical Asian founders where entry valuations and cross-border scaling can still create meaningful asymmetry.</t>
  </si>
  <si>
    <t>For Bhansali SFO, Contra VC is a cleaner way to underwrite early AI venture than chasing public-market momentum around the theme.</t>
  </si>
  <si>
    <t>With 76Columbus bridging Asia, the US and the Middle East across global alternatives, the Contra VC thesis felt especially relevant. We are building a cross-border AI/Robotics fund from the MyAsiaVC platform, focused on technical Asian founders who can reach global customers from day one.</t>
  </si>
  <si>
    <t>76Columbus already bridges Asia, the US and the Middle East; our fund is built around that same cross-border AI/Robotics opportunity.</t>
  </si>
  <si>
    <t>Your experience building China and Silicon Valley venture exposure at Eudaimonia and Sinovation makes the Contra VC angle highly relevant: we are looking at the next version of that cross-border talent flow through AI and Robotics. The dedicated fund lets us act earlier and more consistently than the MyAsiaVC syndicate structure allowed.</t>
  </si>
  <si>
    <t>Your China and Silicon Valley venture work at Eudaimonia/Sinovation is close to the talent flow Contra VC is targeting through AI and Robotics.</t>
  </si>
  <si>
    <t>PPR’s mix of building, acquiring and allocating to alternative managers is exactly why I thought this intro could be worth a look. Contra VC offers a focused venture sleeve around technical Asian AI founders, while LPs can also access selected co-investments where the fund has early conviction.</t>
  </si>
  <si>
    <t>PPR’s builder-investor model across alternatives made our focused AI fund and selected co-investment access through MyAsiaVC worth putting on your radar.</t>
  </si>
  <si>
    <t>ADCG’s global reach and diversified private-markets footprint made me think Contra VC could fit as a specialist early-stage AI allocation rather than a broad venture product. We bring a purpose-built Asia/US sourcing network to founders building B2B AI and Robotics companies for global markets.</t>
  </si>
  <si>
    <t>For ADCG’s global private-markets platform, Contra VC offers specialist exposure to Asian technical founders building B2B AI for worldwide customers.</t>
  </si>
  <si>
    <t>Starling’s long history across private equity and venture capital in North America, Europe and Asia is a strong match for the cross-border nature of Contra VC. We are raising Fund I to back technical Asian founders at the point where AI companies are being built globally from the start, not after regional validation.</t>
  </si>
  <si>
    <t>Starling’s PE/VC history across North America, Europe and Asia aligns with Contra VC’s thesis that the best AI companies increasingly start global.</t>
  </si>
  <si>
    <t>Given your role at Malmor and your background across financial markets and private investing, I thought a more focused AI/Robotics fund might be relevant alongside broader alternatives exposure. Contra VC is built on MyAsiaVC’s existing deal flow, with the aim of backing technical Asian founders before they become obvious to global capital.</t>
  </si>
  <si>
    <t>Malmor’s private-investing background made our AI/Robotics Fund I worth sharing, especially given the existing early-stage deal flow behind MyAsiaVC.</t>
  </si>
  <si>
    <t>Enabling Future’s focus on future-facing sectors like web3, climate tech, data and enterprise technology overlaps with where we see AI adoption accelerating fastest. Contra VC brings a dedicated Asia/US lens to that opportunity, backing technical founders whose products can scale across markets rather than stay local.</t>
  </si>
  <si>
    <t>Enabling Future’s work across web3, climate, data and enterprise tech overlaps with the areas where Contra VC sees AI adoption accelerating first.</t>
  </si>
  <si>
    <t>As CIO at KAAF, you are already looking across direct, alternative and liquid strategies in sectors where AI is becoming an operating layer, healthcare, technology, financial services and beyond. Contra VC would add a focused early-stage perspective through technical Asian founders and a cross-border sourcing network built through MyAsiaVC.</t>
  </si>
  <si>
    <t>KAAF’s direct, alternative and liquid-strategy mandate across healthcare, tech and financial services fits Contra VC’s view of AI as a new operating layer.</t>
  </si>
  <si>
    <t>Given your governance-heavy background across investment committees and operating boards, I thought Contra VC’s structured approach to early-stage AI could be worth comparing notes on. The fund is designed to pair early conviction with disciplined portfolio construction, follow-on reserves and LP co-invest access.</t>
  </si>
  <si>
    <t>Your governance and committee background makes Contra VC worth comparing notes on: early AI exposure with portfolio discipline, reserves and co-invest access.</t>
  </si>
  <si>
    <t>Your move into the CIO seat at Ghobash, after experience across family offices, fund-of-funds and investment banking, made Contra VC feel timely for a manager-selection discussion. We are a specialist AI/Robotics fund built on MyAsiaVC’s Asia/US deal flow, rather than another broad emerging-manager pitch.</t>
  </si>
  <si>
    <t>With your new CIO seat at Ghobash after family-office and FoF roles, I thought Contra VC was timely for a specialist manager discussion.</t>
  </si>
  <si>
    <t>Given you built AdPushup before launching a long-term, management-friendly family office, I thought Contra VC’s founder-first approach could resonate. We back technical Asian AI/Robotics founders early and stay involved on GTM and cross-border execution, which is where operator-led LPs often add the most value.</t>
  </si>
  <si>
    <t>As an operator-founder building a long-term family office, you may appreciate Contra VC’s hands-on approach to helping technical AI founders scale cross-border.</t>
  </si>
  <si>
    <t>EGR’s venture focus and appetite for “insanely scalable” companies, especially in Southeast Asia, is very close to the market Contra VC is targeting. We are bringing a dedicated AI/Robotics fund to the MyAsiaVC platform, with the goal of finding global Asian founders before they hit mainstream venture radars.</t>
  </si>
  <si>
    <t>EGR’s venture focus and Southeast Asia angle line up with Contra VC’s hunt for Asian AI founders before they reach mainstream VC radars.</t>
  </si>
  <si>
    <t>Golden Vision’s PE/VC direct-investing lens in Southeast Asia and Sean’s GIC background make this a strong fit for a more institutional conversation around early-stage venture. Contra VC gives LPs a focused route into technical Asian AI founders, with fund discipline and selected SPV access rather than one-off deal chasing.</t>
  </si>
  <si>
    <t>Golden Vision’s Southeast Asia PE/VC lens and GIC-style discipline make our institutionally structured early-AI strategy a strong fit to discuss.</t>
  </si>
  <si>
    <t>GMP’s long-term, multi-generational investment approach is exactly the kind of capital base we think can be patient enough for early AI winners. Contra VC is raising Fund I to convert MyAsiaVC’s existing sourcing edge into a structured portfolio of technical Asian founders building for global markets.</t>
  </si>
  <si>
    <t>GMP’s multi-generational capital base feels suited to patient early-AI exposure, where Contra VC is backing Asian technical founders before winners become obvious.</t>
  </si>
  <si>
    <t>GSI Ventures’ mandate around venture and bridging technologies between North America and MENA lines up well with Contra VC’s cross-border thesis. We are focused on the Asia/US side of that same problem: backing technical Asian AI founders early, then helping them reach global enterprise customers.</t>
  </si>
  <si>
    <t>GSI’s North America–MENA technology bridge parallels our Asia/US thesis: backing early technical AI founders with global enterprise ambitions.</t>
  </si>
  <si>
    <t>Noor Holding’s mix of global alternatives, early-stage investing and operating exposure through businesses like aviation made me think Contra VC could be a useful specialist manager to evaluate. We are backing technical Asian AI/Robotics founders where enterprise demand and cross-border deployment are converging now.</t>
  </si>
  <si>
    <t>Noor Holding’s global alternatives and operating exposure make our AI/Robotics strategy worth evaluating as enterprise automation moves from concept to adoption.</t>
  </si>
  <si>
    <t>Given your work on investment selection at Murbiha, I thought a focused AI/Robotics strategy built around Asian founder talent might be relevant as Gulf capital continues to broaden its venture exposure. Contra VC brings the MyAsiaVC sourcing platform and an LP-friendly co-invest model to that theme.</t>
  </si>
  <si>
    <t>Your investment-selection work at Murbiha made Contra VC worth sharing as Gulf investors broaden venture exposure toward focused AI and Asian-founder strategies.</t>
  </si>
  <si>
    <t>Al Rajhi United’s long-term partnership mindset and Abdulsalam’s family-business and private-equity background make this an interesting fit for a focused venture discussion. Contra VC is designed to back technical Asian AI founders early, while retaining the discipline of a structured fund and follow-on reserve model.</t>
  </si>
  <si>
    <t>Al Rajhi United’s long-term partnership mindset fits our fund structure: early Asian AI founders, follow-on reserves and disciplined governance.</t>
  </si>
  <si>
    <t>JLFO’s move beyond real estate into PE/VC and B2B technology made Contra VC feel like a timely fit. Our focus is the next wave of technical Asian founders in AI and Robotics, where operator support and cross-border market access matter as much as the initial capital.</t>
  </si>
  <si>
    <t>JLFO’s expansion from real estate into PE/VC and B2B tech makes our Asian AI/Robotics focus timely for comparison.</t>
  </si>
  <si>
    <t>Almutlaq Group’s multi-asset platform, spanning private equity, real estate and venture capital, gives you a broad view on where technology can create new operating value. Contra VC offers a narrower early-stage AI/Robotics lens, focused on technical Asian founders who can serve global enterprise markets from day one.</t>
  </si>
  <si>
    <t>Almutlaq’s PE, real estate and venture platform gives strong context for our narrower AI/Robotics lens on global enterprise value creation.</t>
  </si>
  <si>
    <t>As Co-Head of Private Funds at MASIC, you are likely seeing many broad venture managers; I thought Contra VC stood out because the strategy is intentionally narrow. We focus on technical Asian founders in AI/Robotics, with MyAsiaVC’s existing deal engine and a fund structure built for faster decisions and follow-on ownership.</t>
  </si>
  <si>
    <t>As MASIC’s Private Funds Co-Head, you likely see broad venture managers; Contra VC is deliberately narrower around Asian AI/Robotics founders.</t>
  </si>
  <si>
    <t>Shaw River’s blend of venture capital, property and sustainability-driven investing made Contra VC feel relevant from both a technology and real-world automation angle. We are backing technical Asian AI/Robotics founders whose products can improve enterprise workflows across markets, not just software demos.</t>
  </si>
  <si>
    <t>Shaw River’s VC, property and sustainability mix made our AI/Robotics thesis relevant as a bridge between technology and real-world workflows.</t>
  </si>
  <si>
    <t>SEDCO’s values-driven, multi-generational investment philosophy and Ossama’s direct-investment remit make this a good fit for a disciplined conversation around AI exposure. Contra VC is a specialist early-stage fund built on MyAsiaVC’s sourcing network, targeting technical Asian founders with global B2B potential.</t>
  </si>
  <si>
    <t>SEDCO’s values-driven, multi-generational approach fits a disciplined AI conversation; our fund targets Asian technical founders with global B2B potential.</t>
  </si>
  <si>
    <t>Bugshan Investment’s blend of legacy family capital and global private-markets exposure makes it a natural LP profile for a focused emerging AI manager. Contra VC gives access to technical Asian founders at Pre-Seed and Seed, where our Asia/US network can matter before larger capital pools crowd in.</t>
  </si>
  <si>
    <t>Bugshan’s legacy family capital and global private-markets exposure make early access to Asian AI/Robotics founders a natural fit for Contra VC.</t>
  </si>
  <si>
    <t>Analog Capital is already built around empowering technology founders in Asia, so Contra VC felt less like a generic fund intro and more like a focused thesis to compare. We are concentrating that Asian founder lens on AI and Robotics, backed by MyAsiaVC’s early-stage sourcing and co-invest infrastructure.</t>
  </si>
  <si>
    <t>Analog Capital already backs Asian technology founders; our Fund I narrows that lens to AI/Robotics with MyAsiaVC sourcing and co-invest infrastructure.</t>
  </si>
  <si>
    <t>Amkan’s focus on emerging solo GPs and conviction-led manager selection made me think Contra VC could be an interesting edge-case to review. We are not a solo GP fund, but we share the same narrow-thesis discipline: technical Asian AI founders, cross-border scaling and early access through the MyAsiaVC network.</t>
  </si>
  <si>
    <t>Amkan’s emerging-manager and conviction-led selection work makes Contra VC an interesting narrow-thesis fund around technical Asian AI founders.</t>
  </si>
  <si>
    <t>Given your background across family offices, licensed fund management, Web3, AI, fintech, IoT and healthcare, I thought Contra VC’s focused AI/Robotics thesis would be directly relevant. We are turning MyAsiaVC’s existing Asia/US venture network into a dedicated early-stage fund for technical Asian founders.</t>
  </si>
  <si>
    <t>Your family-office, AI, fintech, IoT and healthcare background makes Contra VC’s dedicated AI/Robotics strategy directly worth comparing.</t>
  </si>
  <si>
    <t>Your work at Yurbi Capital and recent comments around underpenetrated Middle East search-fund and SMB opportunities suggest you look for themes before they become crowded. Contra VC takes a similar early view on AI, backing technical Asian founders at the point where enterprise demand and cross-border scaling are starting to converge.</t>
  </si>
  <si>
    <t>Yurbi’s interest in underpenetrated Middle East opportunities suggests a similar early-theme appetite; we apply that lens to Asian AI founders.</t>
  </si>
  <si>
    <r>
      <rPr>
        <rFont val="Poppins"/>
        <color rgb="FF1155CC"/>
        <sz val="7.0"/>
        <u/>
      </rPr>
      <t>https://www.linkedin.com/in/salwa-katkhuda-75b23513/</t>
    </r>
    <r>
      <rPr>
        <rFont val="Poppins"/>
        <color rgb="FF1155CC"/>
        <sz val="7.0"/>
        <u/>
      </rPr>
      <t xml:space="preserve"> </t>
    </r>
  </si>
  <si>
    <t>Daher’s long-term global partnership model and history around technology investing made Contra VC feel like a relevant specialist conversation. We are focused on the next wave of technical Asian AI/Robotics founders, where early access and cross-border support can matter more than simply having capital.</t>
  </si>
  <si>
    <t>Daher’s long-term global partnership model aligns with our belief that early access and cross-border support matter most in AI/Robotics venture.</t>
  </si>
  <si>
    <t>AMKM’s mandate across venture innovation, real assets and strategic partnerships maps well to the way we view AI as both a software and operating-infrastructure shift. Contra VC is built to back technical Asian founders who can bring those AI and robotics capabilities into global enterprise markets.</t>
  </si>
  <si>
    <t>AMKM’s venture innovation, real-assets and partnership focus fits Contra VC’s view that AI will reshape both software and operating infrastructure.</t>
  </si>
  <si>
    <t>With Exnite’s mandate around high-growth companies and emerging managers, plus your work around AI agents, Contra VC feels like a natural thesis to compare. We are raising a specialist AI/Robotics fund from the MyAsiaVC platform, with a cross-border Asia/US edge and selective SPV access for LPs.</t>
  </si>
  <si>
    <t>Exnite’s work with high-growth companies, emerging managers and AI agents makes our Asia/US AI/Robotics strategy a natural conversation.</t>
  </si>
  <si>
    <t>Sanad’s evolution from a family office into a venture builder, operator and strategic investor is close to how we think early AI companies need to be supported. Contra VC brings MyAsiaVC’s Asia/US network to technical founders who need more than capital to commercialize across markets.</t>
  </si>
  <si>
    <t>Sanad’s venture-builder and operator model matches Contra VC’s approach: capital plus cross-border commercialization support for technical AI founders.</t>
  </si>
  <si>
    <t>Deus X is already operating at the intersection of capital markets, fintech and digital assets, so I thought Contra VC’s AI/Robotics fund could be a useful adjacent angle. We are looking upstream at technical Asian founders building the infrastructure and enterprise applications that may define the next financial and operating stack.</t>
  </si>
  <si>
    <t>Deus X’s fintech, capital-markets and digital-assets focus made our upstream AI/Robotics thesis worth sharing as the next operating stack forms.</t>
  </si>
  <si>
    <t>AFAQ’s innovation-stewardship approach made Contra VC feel relevant as a manager focused on how frontier technologies translate into real long-term value. We are backing technical Asian AI/Robotics founders early, using MyAsiaVC’s cross-border network to help them move beyond local markets.</t>
  </si>
  <si>
    <t>AFAQ’s innovation-stewardship approach fits Contra VC’s focus on turning frontier AI/Robotics technologies into durable global companies.</t>
  </si>
  <si>
    <t>Enspire’s direct and fund-investing work across TMT, cloud, SaaS and IoT in China and Singapore is highly adjacent to Contra VC’s thesis. We are taking that technology lens into AI/Robotics, focused on technical Asian founders whose products can travel globally from day one.</t>
  </si>
  <si>
    <t>Enspire’s TMT, cloud, SaaS and IoT work in China/Singapore sits close to Contra VC’s focus on Asian AI/Robotics founders.</t>
  </si>
  <si>
    <t>Given your CIO role at Miras and your background running institutional-style manager selection and risk at the Sloan Foundation, I thought Contra VC could be worth viewing through a disciplined portfolio-construction lens. We are a focused early-stage AI/Robotics fund, not a broad venture product, built on MyAsiaVC’s existing sourcing and co-invest infrastructure.</t>
  </si>
  <si>
    <t>With your institutional CIO background at Miras, Contra VC is best framed as focused early-AI exposure rather than broad venture beta.</t>
  </si>
  <si>
    <t>Because you sit at the intersection of angel investing, SPV infrastructure and HNWI access through Allocations, Contra VC felt like a natural conversation. We are building a focused AI/Robotics fund on the MyAsiaVC platform, with LP co-investment access that matches how sophisticated private investors increasingly want to engage.</t>
  </si>
  <si>
    <t>Your angel, SPV and HNWI infrastructure work at Allocations maps well to Contra VC’s AI fund-plus-co-invest model.</t>
  </si>
  <si>
    <t>AG Ventures’ mandate to back solution-driven founders across Seed, Series A and fund partnerships made Contra VC feel relevant from both a direct and LP perspective. We are focused on technical Asian AI founders, where India and the diaspora are becoming an increasingly important source of globally scalable companies.</t>
  </si>
  <si>
    <t>AG Ventures’ startup and LP-partnership lens fits Contra VC from both sides: backing Asian AI founders while working closely with family-office LPs.</t>
  </si>
  <si>
    <t>Hunch’s multi-stage, operator-minded approach across health, retail, hospitality and new-age technology lines up with the areas where AI is starting to change real business workflows. Contra VC is focused earlier, backing technical Asian founders before those companies grow into larger cross-sector platforms.</t>
  </si>
  <si>
    <t>Hunch’s operator-minded investing across health, retail, hospitality and new-age tech overlaps with our view that AI will change real business workflows.</t>
  </si>
  <si>
    <t>B2V’s capital-preservation-and-growth mandate across India and overseas makes Contra VC a specialist complement rather than a broad allocation. We are targeting early AI/Robotics exposure through technical Asian founders, with the fund discipline and co-invest optionality that family offices typically value.</t>
  </si>
  <si>
    <t>B2V’s preservation-and-growth mandate makes Contra VC a specialist complement: early AI/Robotics exposure through Asian founders with co-invest optionality.</t>
  </si>
  <si>
    <t>FRO’s alternative-asset focus across direct investments and funds in technology made Contra VC feel like a relevant Asia-led venture conversation. We are backing technical Asian AI/Robotics founders early, while giving LPs a structured fund relationship and selected SPV access when there is high conviction.</t>
  </si>
  <si>
    <t>FRO’s alternatives and technology focus made our Asia-led AI venture strategy worth discussing, especially with structured fund exposure and selected SPVs.</t>
  </si>
  <si>
    <t>Given your portfolio-management role at 8T8, I thought an emerging manager with a narrow thesis might be more useful than another broad private-markets pitch. Contra VC is focused on technical Asian AI/Robotics founders and uses MyAsiaVC’s sourcing network to create access before the opportunity becomes crowded.</t>
  </si>
  <si>
    <t>For 8T8’s portfolio-management lens, our narrow emerging-manager thesis targets Asian AI/Robotics founders before the market becomes crowded.</t>
  </si>
  <si>
    <t>Your work on special projects at New Heritage, especially around digital health, digital assets and technology for social impact, made Contra VC feel particularly relevant. We are focused on technical Asian AI founders where healthcare, infrastructure and enterprise workflows are being rebuilt by software and automation.</t>
  </si>
  <si>
    <t>Your digital health, digital assets and social-impact work at New Heritage overlaps with our AI thesis across healthcare and enterprise infrastructure.</t>
  </si>
  <si>
    <t>JRT Partners’ global public/private markets lens and recent focus on selective private credit and growth equity make this a good time to compare notes on where early AI venture fits. Contra VC is a narrow Fund I strategy backing technical Asian founders before they reach later-stage growth portfolios.</t>
  </si>
  <si>
    <t>JRT’s public/private markets lens and growth-equity focus make Contra VC timely as an earlier-stage view on Asian AI founders.</t>
  </si>
  <si>
    <t>Given what you have built at InMobi and Glance AI, you probably have a sharper view than most on how Asian technical teams can create global consumer and enterprise platforms. Contra VC is trying to institutionalize that same cross-border founder thesis at the earliest AI/Robotics stages through the MyAsiaVC platform.</t>
  </si>
  <si>
    <t>Given InMobi and Glance AI, your view on Asian tech going global is rare; Contra VC is institutionalizing that thesis at the earliest stages.</t>
  </si>
  <si>
    <t>Your post-Flipkart work with Navi/BACQ and early-stage investments across technology-driven businesses made Contra VC feel relevant as a focused founder-led venture conversation. We are backing technical Asian AI founders early, with the goal of turning local insight and engineering depth into global B2B companies.</t>
  </si>
  <si>
    <t>Your Flipkart, Navi and BACQ experience makes Contra VC a focused founder-led conversation on Asian AI builders creating global B2B companies.</t>
  </si>
  <si>
    <t>Opptra’s AI-native GTM work helping brands unlock Asia is very close to the cross-border company-building problem Contra VC is focused on. We are backing technical Asian AI/Robotics founders early and helping them translate product depth into global market access through the MyAsiaVC network.</t>
  </si>
  <si>
    <t>Opptra’s AI-native GTM work for brands entering Asia sits close to our mission: helping Asian AI founders reach global markets.</t>
  </si>
  <si>
    <t>Given Cendana’s long-running focus on very early-stage VC funds with a discernible edge, I thought Contra VC could be worth putting on your radar: we’re turning MyAsiaVC’s cross-border Asia/US angel and syndicate platform into a dedicated AI &amp; Robotics fund. The fit is around an edge-led seed strategy - technical Asian founders building global B2B AI companies - at a moment when that talent pool is becoming more institutional and competitive.</t>
  </si>
  <si>
    <t>Cendana’s edge-led early-manager lens is why Contra VC belongs on your radar: MyAsiaVC is formalizing a focused AI &amp; Robotics fund for technical Asian founders.</t>
  </si>
  <si>
    <t>Screendoor’s work helping new managers raise their first institutional venture funds felt directly relevant to Contra VC, the dedicated AI &amp; Robotics fund we’re building on the MyAsiaVC platform. Our angle is a little different from a generic first-time fund: a large deployed syndicate base, Asia/US sourcing rails, and a focused wedge into technical Asian founders going global from day one.</t>
  </si>
  <si>
    <t>Screendoor’s first-institutional-fund focus maps well to Contra VC, a Fund I built from MyAsiaVC’s existing Asia/US syndicate, scouts and founder pipeline.</t>
  </si>
  <si>
    <t>Top Tier’s combination of primary venture fund commitments, secondaries, and direct exposure made me think our Contra VC/MyAsiaVC path may be an interesting fit to compare notes on. We’re taking a platform that has already sourced thousands of Asia/US early-stage deals and turning it into a focused AI &amp; Robotics Fund I, where early fund exposure can also open targeted co-invest access as the winners scale.</t>
  </si>
  <si>
    <t>Top Tier’s primary, secondary and co-invest platform makes Contra VC a relevant early-stage AI manager to know, with MyAsiaVC dealflow and LP co-invest access.</t>
  </si>
  <si>
    <t>Given your experience building the modern venture secondaries market and backing seed/early-stage partnerships ahead of the curve, Contra VC felt relevant to share as MyAsiaVC’s next evolution. We’re formalizing a dedicated AI &amp; Robotics fund around technical Asian founders building globally, at a point when both AI company formation and venture market structure are changing quickly.</t>
  </si>
  <si>
    <t>Industry Ventures has long backed shifts in venture structure; Contra VC is MyAsiaVC’s move from syndicate access into a dedicated fund for global Asian AI founders.</t>
  </si>
  <si>
    <t>Accolade’s concentrated approach to hard-to-access venture and growth managers is why I thought Contra VC may be worth a closer look. We’re not coming as a broad emerging-manager story; MyAsiaVC has already built a large Asia/US syndicate and dealflow engine, and Fund I is the focused expression of that work in technical Asian-founded AI &amp; Robotics.</t>
  </si>
  <si>
    <t>Accolade’s hard-to-access manager lens fits Contra VC: a focused AI &amp; Robotics Fund I built from MyAsiaVC’s Asia/US syndicate and technical founder access.</t>
  </si>
  <si>
    <t>Plexo’s model of backing next-generation GP franchises while using a broader startup-network flywheel felt very close to how we think about Contra VC. We’re building from MyAsiaVC’s operator, scout, and syndicate base into a dedicated fund for technical Asian founders, where the differentiated access is the product rather than just another check.</t>
  </si>
  <si>
    <t>Plexo’s network-driven GP model resonates with Contra VC, which converts MyAsiaVC’s operator, scout and syndicate base into focused access to technical Asian AI founders.</t>
  </si>
  <si>
    <t>Reshape’s early-stage track record across proptech, retail/e-commerce, and healthcare made me think our applied AI lens could be a useful adjacency. Contra VC is where we’re concentrating MyAsiaVC’s cross-border dealflow into AI &amp; Robotics companies that can turn Asian technical talent and local problem-solving into global B2B software and automation businesses.</t>
  </si>
  <si>
    <t>Reshape’s early-stage work across proptech, commerce and healthcare makes Contra VC a useful applied-AI adjacency for technical Asian founders building global automation businesses.</t>
  </si>
  <si>
    <t>Atento’s Tulsa-rooted but global approach to unlocking overlooked founders is precisely the kind of ecosystem-builder mindset that made Contra VC feel relevant. MyAsiaVC has been finding ambitious technical founders across Asia and the diaspora; Fund I turns that access into a dedicated AI &amp; Robotics strategy for companies that can scale beyond their first market.</t>
  </si>
  <si>
    <t>Atento’s ecosystem-builder mindset overlaps with Contra VC’s thesis: MyAsiaVC has sourced overlooked technical Asian founders early, and Fund I concentrates that access into AI &amp; Robotics.</t>
  </si>
  <si>
    <t>Given Mesa Lane’s focus on seeding and aligning with the next generation of venture managers, I thought Contra VC would be relevant as a manager built out of an existing MyAsiaVC platform rather than from a blank slate. The opportunity we’re underwriting is a focused wedge: technical Asian founders in AI &amp; Robotics, with Asia/US sourcing and follow-on support already embedded.</t>
  </si>
  <si>
    <t>Mesa Lane’s next-generation manager focus fits Contra VC as a Fund I built from MyAsiaVC’s existing platform, with targeted exposure to Asian AI &amp; Robotics founders.</t>
  </si>
  <si>
    <t>Given your background as an entrepreneur-investor across Asia and GEX’s broader focus on building value across ventures, Contra VC felt like a timely introduction. We’re building on MyAsiaVC to back technical Asian founders whose AI &amp; Robotics companies are designed for global markets from the start, matching founder ambition with cross-border capital and operator support.</t>
  </si>
  <si>
    <t>Your Asia entrepreneur-investor background at GEX makes Contra VC timely: MyAsiaVC is pairing technical Asian AI founders with cross-border capital and operator support.</t>
  </si>
  <si>
    <t>Verdis’ long-horizon, data-informed approach to global private markets made me think Contra VC could be an interesting manager to put in front of you. We’re taking MyAsiaVC’s large early-stage dataset and syndicate history and focusing it into an AI &amp; Robotics fund built for a specific repeatable pattern: technical Asian founders solving real enterprise problems for global customers.</t>
  </si>
  <si>
    <t>Verdis’ data-informed private-markets lens matches Contra VC’s foundation: MyAsiaVC’s early-stage dataset and syndicate history now power a focused AI &amp; Robotics fund.</t>
  </si>
  <si>
    <t>Isomer’s early conviction on European tech VC and its fund, co-invest, and secondaries model is a useful parallel for how we see the next cross-border opportunity forming out of Asia. Contra VC is MyAsiaVC’s dedicated fund to back technical Asian founders building global AI &amp; Robotics companies, with the same belief that regional ecosystems can produce globally relevant category leaders when accessed early.</t>
  </si>
  <si>
    <t>Isomer’s belief in regional ecosystems producing global tech leaders is a strong parallel for Contra VC’s focus on technical Asian AI &amp; Robotics founders.</t>
  </si>
  <si>
    <t>KfW Capital’s mandate to strengthen German and European VC through long-term fund commitments made me think our cross-border AI thesis could be a useful external lens. Contra VC/MyAsiaVC is focused on technical Asian founders building global AI &amp; Robotics companies, which may be relevant as European corporates and funds look for deeper bridges into Asia’s engineering and applied-AI ecosystems.</t>
  </si>
  <si>
    <t>KfW Capital’s European venture mandate makes Contra VC a useful Asia/US AI bridge as funds and corporates seek deeper access to Asian engineering talent.</t>
  </si>
  <si>
    <t>EIF’s role as an anchor LP for Europe’s innovation ecosystem, including fund-of-funds vehicles and support for first-time or specialized teams, is exactly why I thought Contra VC might be worth sharing. We’re building a focused AI &amp; Robotics fund on top of MyAsiaVC’s Asia/US platform, with a thesis that technical Asian founders can become important global partners to European innovation priorities in AI, cyber, health, and industrial automation.</t>
  </si>
  <si>
    <t>EIF’s innovation-ecosystem role makes Contra VC a relevant cross-border AI manager as technical Asian founders become partners across AI, health, cyber and automation.</t>
  </si>
  <si>
    <t>Bpifrance’s role in strengthening the funding continuum for European tech, together with your emerging-technologies lens, made Contra VC feel like a relevant cross-border manager to share. We’re building on MyAsiaVC to back technical Asian founders in AI &amp; Robotics whose companies can scale into global enterprise and industrial markets—precisely where Europe’s next innovation partnerships will need deeper Asia/US bridges.</t>
  </si>
  <si>
    <t>Bpifrance’s tech funding continuum lens makes Contra VC a relevant Asia/US AI bridge for technical Asian founders building into global enterprise and industrial markets.</t>
  </si>
  <si>
    <t>Your work at 50 South Capital across secondaries and co-investments with venture and buyout funds made me think Contra VC could be relevant both as a primary relationship and as a future co-investment source. MyAsiaVC has already built the sourcing engine; Fund I is the focused expression of that access around technical Asian founders building global AI &amp; Robotics companies.</t>
  </si>
  <si>
    <t>50 South Capital’s secondaries and co-investment work makes Contra VC relevant both as a primary manager relationship and as a future early-AI co-invest source.</t>
  </si>
  <si>
    <t>Invesco Private Capital’s breadth across early-stage venture, growth, buyout funds, and co-investments made me think Contra VC could fit as a specialized AI allocation rather than a broad emerging-manager pitch. We’re turning MyAsiaVC’s Asia/US dealflow into focused exposure to technical Asian founders building global B2B AI and automation businesses at the earliest stages.</t>
  </si>
  <si>
    <t>Your investment-strategy role at Invesco makes Contra VC a focused way to evaluate early AI exposure through MyAsiaVC’s Asia/US dealflow and technical founder network.</t>
  </si>
  <si>
    <t>First Close Partners’ commitment to backing differentiated and underrepresented venture managers globally is closely aligned with the reason we’re institutionalizing Contra VC out of MyAsiaVC. Our wedge is a founder segment still under-owned by many LP portfolios: technical Asian founders using cross-border networks to build AI &amp; Robotics companies for global customers.</t>
  </si>
  <si>
    <t>First Close’s underrepresented-manager focus aligns with Contra VC, where MyAsiaVC is institutionalizing access to technical Asian founders building global AI &amp; Robotics companies.</t>
  </si>
  <si>
    <t>Weathergage’s long-running venture fund-of-funds lens, paired with your work around Houston’s innovation ecosystem, made Contra VC feel like a natural manager to put on your radar. Our focus on technical Asian founders in AI &amp; Robotics gives LPs early access to the software and physical-AI companies that can reshape enterprise, industrial, and climate-adjacent workflows.</t>
  </si>
  <si>
    <t>Weathergage’s venture fund-of-funds lens and Houston ecosystem work make Contra VC relevant for early access to Asian AI &amp; Robotics founders reshaping enterprise workflows.</t>
  </si>
  <si>
    <t>Arcano’s venture strategy across primary funds, secondaries, and co-investments made me think Contra VC could be a useful cross-border AI manager to compare notes on. We’re building from MyAsiaVC’s Asia/US sourcing rails into a dedicated early-stage fund, with LP co-invest access as the strongest technical founders scale beyond their first market.</t>
  </si>
  <si>
    <t>Arcano’s primary, secondary and co-invest platform makes Contra VC a relevant cross-border AI manager built from MyAsiaVC’s Asia/US sourcing rails.</t>
  </si>
  <si>
    <t>SVC’s role in expanding Saudi private capital from fund commitments to co-investments makes Contra VC relevant at a moment when AI company formation is increasingly borderless. We’re focused on technical Asian founders building global AI &amp; Robotics businesses, with a cross-border platform that could complement Saudi Arabia’s ambition to connect local capital with high-growth international innovation.</t>
  </si>
  <si>
    <t>SVC’s fund and co-investment role makes Contra VC a natural complement: early exposure to technical Asian AI &amp; Robotics founders with global ambition.</t>
  </si>
  <si>
    <t>Jada’s mandate to catalyze Saudi private capital by backing high-performing fund managers made me think Contra VC could be a timely specialized relationship. We’re building on MyAsiaVC’s platform to access technical Asian founders in AI &amp; Robotics early, where global enterprise adoption and Saudi/GCC innovation priorities are starting to overlap.</t>
  </si>
  <si>
    <t>Jada’s mandate to catalyze Saudi private capital through strong managers fits Contra VC, a specialized AI fund built on MyAsiaVC’s Asia/US founder access.</t>
  </si>
  <si>
    <t>Your work with Sanabil Venture Studio by Redesign Health around healthcare innovation and AI made Contra VC feel especially relevant. We’re backing technical Asian founders in applied AI, including health, clinical infrastructure, and automation themes where cross-border talent can create companies that matter for both Saudi Arabia and global markets.</t>
  </si>
  <si>
    <t>Your healthcare venture-studio work makes Contra VC relevant where MyAsiaVC backs technical Asian founders applying AI to health infrastructure, automation and clinical workflows.</t>
  </si>
  <si>
    <t>The Family Office’s work giving GCC families access to institutional-quality global private markets made me think Contra VC could be a focused way to discuss early AI exposure beyond the obvious mega-funds. We’re building on MyAsiaVC to back technical Asian founders in AI &amp; Robotics at Pre-Seed and Seed, with a structure that also gives LPs priority access to co-invest as winners emerge.</t>
  </si>
  <si>
    <t>The Family Office’s global private-markets access for GCC families makes Contra VC a focused early-AI route beyond mega-funds, with dealflow and co-invest access.</t>
  </si>
  <si>
    <t>KBW Ventures’ focus on life-changing technologies and sustainable solutions made Contra VC feel like a natural AI/Robotics adjacency. We’re bringing MyAsiaVC’s Asia/US network into a dedicated fund for technical Asian founders, where the opportunity is to catch globally relevant companies before they become obvious to growth capital.</t>
  </si>
  <si>
    <t>KBW Ventures’ life-changing technology lens makes Contra VC a natural AI/Robotics adjacency, backing technical Asian founders before they become obvious to growth capital.</t>
  </si>
  <si>
    <t>2PointZero’s AI-enabled, synergy-driven investment platform across real-world sectors made Contra VC feel relevant from the venture edge of the market. We’re focused on technical Asian founders building AI &amp; Robotics tools for enterprise and physical-world efficiency, the kind of early innovation that can later connect into broader energy, consumer, and infrastructure ecosystems.</t>
  </si>
  <si>
    <t>2PointZero’s AI-enabled platform across real-world sectors makes Contra VC relevant at the venture edge, backing technical Asian founders building enterprise and physical-AI tools.</t>
  </si>
  <si>
    <t>AlTouq’s evolution from a Saudi family office into a more institutional, diversified investor made Contra VC a relevant specialized private-market conversation. Our fund offers a focused route into early AI &amp; Robotics companies built by technical Asian founders, with MyAsiaVC’s cross-border network helping reduce the usual distance between GCC capital and Asia/US startup formation.</t>
  </si>
  <si>
    <t>AlTouq’s diversified family-office platform makes Contra VC a focused route into early AI &amp; Robotics companies built by technical Asian founders across Asia and the US.</t>
  </si>
  <si>
    <t>Afif</t>
  </si>
  <si>
    <t>Your COO background at Aljazira Capital across digital technology, operations, and business transformation made me think Contra VC could be a useful strategic AI lens. We’re backing technical Asian founders building enterprise AI and automation businesses that can matter now for financial institutions, operating platforms, and the broader Saudi digital economy.</t>
  </si>
  <si>
    <t>Your transformation and operations background at Aljazira Capital makes Contra VC a strategic AI lens into technical Asian founders building automation for financial institutions.</t>
  </si>
  <si>
    <t>With Financial Horizon and HALA Capital evolving from founder-led venture roots into a broader private-capital platform, Contra VC felt timely to share. We’re building on MyAsiaVC’s Asia/US access to back technical Asian AI &amp; Robotics founders early, with LP co-invest pathways that could complement HALA’s venture and private-capital work across Saudi Arabia and MENA.</t>
  </si>
  <si>
    <t>HALA Capital’s broader private-capital platform makes Contra VC a useful complement to regional venture work, adding MyAsiaVC’s early access to Asian AI &amp; Robotics founders.</t>
  </si>
  <si>
    <t>Given your remit across Kingdom Holding’s domestic listed and private assets, and your prior PIF experience across real estate, private equity, and infrastructure, Contra VC felt worth sharing as a cross-border AI &amp; Robotics manager. We’re turning MyAsiaVC’s Asia/US sourcing rails into early access to technical Asian founders whose enterprise and physical-AI companies could matter for Saudi Arabia’s next wave of strategic growth.</t>
  </si>
  <si>
    <t>Your Kingdom Holding remit and prior PIF experience make Contra VC a cross-border AI &amp; Robotics lens for Saudi Arabia’s next strategic growth themes.</t>
  </si>
  <si>
    <t>Atyab Al Marshoud’s century-old Gulf heritage and international retail expansion made me think our cross-border AI thesis could be a useful strategic conversation rather than a generic fund note. Contra VC backs technical Asian founders building AI &amp; Robotics tools for enterprise, commerce, operations, and automation—the kinds of applied technologies that can matter for regional consumer brands scaling across markets.</t>
  </si>
  <si>
    <t>Atyab Al Marshoud’s consumer heritage and international retail expansion make Contra VC’s applied AI &amp; Robotics focus relevant to operations, commerce and automation.</t>
  </si>
  <si>
    <t>FIRST NAME</t>
  </si>
  <si>
    <t>LAST NAME</t>
  </si>
  <si>
    <t>EMAIL</t>
  </si>
  <si>
    <t>LINKEDIN URL</t>
  </si>
  <si>
    <t>TITLE</t>
  </si>
  <si>
    <t>COMPANY</t>
  </si>
  <si>
    <t>INTRODUCTION TAG</t>
  </si>
  <si>
    <t>(First Event)</t>
  </si>
  <si>
    <t>Red</t>
  </si>
  <si>
    <t>City</t>
  </si>
  <si>
    <r>
      <rPr>
        <rFont val="Poppins"/>
        <sz val="7.0"/>
      </rPr>
      <t>- [Asset class = Fund VC] &gt; Website &gt; "...</t>
    </r>
    <r>
      <rPr>
        <rFont val="Poppins"/>
        <b/>
        <sz val="7.0"/>
      </rPr>
      <t>Primary fund investments</t>
    </r>
    <r>
      <rPr>
        <rFont val="Poppins"/>
        <sz val="7.0"/>
      </rPr>
      <t xml:space="preserve">: Long standing relationships with leading global private equity, </t>
    </r>
    <r>
      <rPr>
        <rFont val="Poppins"/>
        <b/>
        <color rgb="FF1155CC"/>
        <sz val="7.0"/>
        <u/>
      </rPr>
      <t>venture capital</t>
    </r>
    <r>
      <rPr>
        <rFont val="Poppins"/>
        <sz val="7.0"/>
      </rPr>
      <t xml:space="preserve">, private credit and real estate fund managers..."
- [Sector investment focus] &gt; Website &gt; "'...In the interview, she discussed the </t>
    </r>
    <r>
      <rPr>
        <rFont val="Poppins"/>
        <b/>
        <color rgb="FF1155CC"/>
        <sz val="7.0"/>
        <u/>
      </rPr>
      <t>AI market</t>
    </r>
    <r>
      <rPr>
        <rFont val="Poppins"/>
        <sz val="7.0"/>
      </rPr>
      <t xml:space="preserve">, anticipating a possible devaluation affecting </t>
    </r>
    <r>
      <rPr>
        <rFont val="Poppins"/>
        <b/>
        <color rgb="FF1155CC"/>
        <sz val="7.0"/>
        <u/>
      </rPr>
      <t>AI sentiments</t>
    </r>
    <r>
      <rPr>
        <rFont val="Poppins"/>
        <sz val="7.0"/>
      </rPr>
      <t>...."
- [Region investment focus] &gt; Website &gt; "...</t>
    </r>
    <r>
      <rPr>
        <rFont val="Poppins"/>
        <b/>
        <color rgb="FF1155CC"/>
        <sz val="7.0"/>
        <u/>
      </rPr>
      <t>Invest in leading global managers</t>
    </r>
    <r>
      <rPr>
        <rFont val="Poppins"/>
        <sz val="7.0"/>
      </rPr>
      <t xml:space="preserve"> and sought-after opportunities, with vigorous due diligence and robust exit strategies..."
- [Maturity Focus = Emerging] &gt; Data manager judgement &gt; They have not publicly disclosed their maturity focus but the rest of the criteria aligns with your IIP. </t>
    </r>
    <r>
      <rPr>
        <rFont val="Poppins"/>
        <b/>
        <sz val="7.0"/>
      </rPr>
      <t>#DemandCreation.</t>
    </r>
  </si>
  <si>
    <r>
      <rPr>
        <rFont val="Poppins"/>
        <sz val="7.0"/>
      </rPr>
      <t xml:space="preserve">- [Asset class = Funds - VC] &gt; Website &gt;  "...We invest strategically in businesses built around life-improving tech with potential for universal impact.  Besides direct investments, we also allocate our proprietary </t>
    </r>
    <r>
      <rPr>
        <rFont val="Poppins"/>
        <b/>
        <sz val="7.0"/>
      </rPr>
      <t>funds</t>
    </r>
    <r>
      <rPr>
        <rFont val="Poppins"/>
        <sz val="7.0"/>
      </rPr>
      <t xml:space="preserve"> to </t>
    </r>
    <r>
      <rPr>
        <rFont val="Poppins"/>
        <b/>
        <color rgb="FF1155CC"/>
        <sz val="7.0"/>
        <u/>
      </rPr>
      <t>emerging</t>
    </r>
    <r>
      <rPr>
        <rFont val="Poppins"/>
        <color rgb="FF1155CC"/>
        <sz val="7.0"/>
        <u/>
      </rPr>
      <t xml:space="preserve"> </t>
    </r>
    <r>
      <rPr>
        <rFont val="Poppins"/>
        <b/>
        <color rgb="FF1155CC"/>
        <sz val="7.0"/>
        <u/>
      </rPr>
      <t>Fund</t>
    </r>
    <r>
      <rPr>
        <rFont val="Poppins"/>
        <color rgb="FF1155CC"/>
        <sz val="7.0"/>
        <u/>
      </rPr>
      <t xml:space="preserve"> </t>
    </r>
    <r>
      <rPr>
        <rFont val="Poppins"/>
        <b/>
        <color rgb="FF1155CC"/>
        <sz val="7.0"/>
        <u/>
      </rPr>
      <t>Managers</t>
    </r>
    <r>
      <rPr>
        <rFont val="Poppins"/>
        <sz val="7.0"/>
      </rPr>
      <t xml:space="preserve"> with like-minded values and vision..."
- [Maturity Focus = Emerging] &gt; Website &gt; "...Besides direct investments, we also allocate our proprietary funds to </t>
    </r>
    <r>
      <rPr>
        <rFont val="Poppins"/>
        <b/>
        <color rgb="FF1155CC"/>
        <sz val="7.0"/>
        <u/>
      </rPr>
      <t>emerging Fund Managers</t>
    </r>
    <r>
      <rPr>
        <rFont val="Poppins"/>
        <sz val="7.0"/>
      </rPr>
      <t xml:space="preserve"> with like-minded values and vision..."
- [Sector investment focus] &gt; Website &gt; "...a range of specific Technologies and areas including Early Childhood Education, Longevity Health Tech, Eco-friendly Food Tech, </t>
    </r>
    <r>
      <rPr>
        <rFont val="Poppins"/>
        <b/>
        <color rgb="FF1155CC"/>
        <sz val="7.0"/>
        <u/>
      </rPr>
      <t>AI</t>
    </r>
    <r>
      <rPr>
        <rFont val="Poppins"/>
        <sz val="7.0"/>
      </rPr>
      <t xml:space="preserve">, Beauty and Fashion Tech, FemTech, Female Consumer Tech, Social Platforms, Social Commerce Platforms, Blockchain, Metaverse, NFTs, Crypto, </t>
    </r>
    <r>
      <rPr>
        <rFont val="Poppins"/>
        <b/>
        <sz val="7.0"/>
      </rPr>
      <t xml:space="preserve">Fintech, </t>
    </r>
    <r>
      <rPr>
        <rFont val="Poppins"/>
        <sz val="7.0"/>
      </rPr>
      <t xml:space="preserve">just to name a few..."
- [Region investment focus] &gt; Website &gt; "...we have experience with markets and establishing successful businesses in </t>
    </r>
    <r>
      <rPr>
        <rFont val="Poppins"/>
        <b/>
        <color rgb="FF1155CC"/>
        <sz val="7.0"/>
        <u/>
      </rPr>
      <t>North</t>
    </r>
    <r>
      <rPr>
        <rFont val="Poppins"/>
        <color rgb="FF1155CC"/>
        <sz val="7.0"/>
        <u/>
      </rPr>
      <t xml:space="preserve"> </t>
    </r>
    <r>
      <rPr>
        <rFont val="Poppins"/>
        <b/>
        <color rgb="FF1155CC"/>
        <sz val="7.0"/>
        <u/>
      </rPr>
      <t>America</t>
    </r>
    <r>
      <rPr>
        <rFont val="Poppins"/>
        <sz val="7.0"/>
      </rPr>
      <t xml:space="preserve"> and </t>
    </r>
    <r>
      <rPr>
        <rFont val="Poppins"/>
        <b/>
        <sz val="7.0"/>
      </rPr>
      <t>Asia</t>
    </r>
    <r>
      <rPr>
        <rFont val="Poppins"/>
        <sz val="7.0"/>
      </rPr>
      <t xml:space="preserve"> including SEA...." +  "...We are a Single-Family Office with roots in property, technology, and businesses in the </t>
    </r>
    <r>
      <rPr>
        <rFont val="Poppins"/>
        <b/>
        <color rgb="FF1155CC"/>
        <sz val="7.0"/>
        <u/>
      </rPr>
      <t>US</t>
    </r>
    <r>
      <rPr>
        <rFont val="Poppins"/>
        <sz val="7.0"/>
      </rPr>
      <t xml:space="preserve"> and in </t>
    </r>
    <r>
      <rPr>
        <rFont val="Poppins"/>
        <b/>
        <sz val="7.0"/>
      </rPr>
      <t>Asia</t>
    </r>
    <r>
      <rPr>
        <rFont val="Poppins"/>
        <sz val="7.0"/>
      </rPr>
      <t>..."</t>
    </r>
  </si>
  <si>
    <t>Founder &amp; Chair</t>
  </si>
  <si>
    <t>Jennifer Cheng Lo</t>
  </si>
  <si>
    <t>Jennifer</t>
  </si>
  <si>
    <t>Cheng Lo</t>
  </si>
  <si>
    <t>jennifer@newchiccapital.com</t>
  </si>
  <si>
    <t>https://www.linkedin.com/in/JenniferCheng/</t>
  </si>
  <si>
    <r>
      <rPr>
        <rFont val="Poppins"/>
        <sz val="7.0"/>
      </rPr>
      <t xml:space="preserve">- [Asset Class = Funds - VC] &gt; Portfolio &gt; Their portfolio confirms that they invest in </t>
    </r>
    <r>
      <rPr>
        <rFont val="Poppins"/>
        <b/>
        <color rgb="FF1155CC"/>
        <sz val="7.0"/>
        <u/>
      </rPr>
      <t>VC Funds</t>
    </r>
    <r>
      <rPr>
        <rFont val="Poppins"/>
        <sz val="7.0"/>
      </rPr>
      <t xml:space="preserve">, ex: </t>
    </r>
    <r>
      <rPr>
        <rFont val="Poppins"/>
        <b/>
        <sz val="7.0"/>
      </rPr>
      <t>Ridge Ventures, Vertex Ventures</t>
    </r>
    <r>
      <rPr>
        <rFont val="Poppins"/>
        <sz val="7.0"/>
      </rPr>
      <t xml:space="preserve">. 
- [Maturity Focus = Emerging] &gt; Data manager judgement &gt; They have not publicly disclosed their maturity focus but the rest of the criteria aligns with your IIP. </t>
    </r>
    <r>
      <rPr>
        <rFont val="Poppins"/>
        <b/>
        <sz val="7.0"/>
      </rPr>
      <t>#DemandCreation.</t>
    </r>
    <r>
      <rPr>
        <rFont val="Poppins"/>
        <sz val="7.0"/>
      </rPr>
      <t xml:space="preserve">
- [Sector Investment Focus] &gt; Data manager jdugement &gt; Their portfolio confirms that their sector focus is Broad Technology like Blockchain, </t>
    </r>
    <r>
      <rPr>
        <rFont val="Poppins"/>
        <b/>
        <color rgb="FF1155CC"/>
        <sz val="7.0"/>
        <u/>
      </rPr>
      <t>AI</t>
    </r>
    <r>
      <rPr>
        <rFont val="Poppins"/>
        <sz val="7.0"/>
      </rPr>
      <t xml:space="preserve"> and Fintech, ex: </t>
    </r>
    <r>
      <rPr>
        <rFont val="Poppins"/>
        <b/>
        <sz val="7.0"/>
      </rPr>
      <t>CRCM Ventures, Linear Capital, Ridge Venture, Vertex Venture</t>
    </r>
    <r>
      <rPr>
        <rFont val="Poppins"/>
        <sz val="7.0"/>
      </rPr>
      <t xml:space="preserve">.   
- [Region investment focus] &gt; Data manager jdugement &gt; They have investments in their portfolio based in the </t>
    </r>
    <r>
      <rPr>
        <rFont val="Poppins"/>
        <b/>
        <color rgb="FF1155CC"/>
        <sz val="7.0"/>
        <u/>
      </rPr>
      <t>United States</t>
    </r>
    <r>
      <rPr>
        <rFont val="Poppins"/>
        <b/>
        <sz val="7.0"/>
      </rPr>
      <t>, ex: Hamilton Lane, Ridge Ventures, etc.</t>
    </r>
  </si>
  <si>
    <t>VMS Asset Management</t>
  </si>
  <si>
    <t>https://vmsam.com/</t>
  </si>
  <si>
    <r>
      <rPr>
        <rFont val="Poppins"/>
        <sz val="7.0"/>
      </rPr>
      <t xml:space="preserve">- [Asset class = Funds-VC] &gt; Website &gt; "...investing in other </t>
    </r>
    <r>
      <rPr>
        <rFont val="Poppins"/>
        <b/>
        <sz val="7.0"/>
      </rPr>
      <t>managers' funds</t>
    </r>
    <r>
      <rPr>
        <rFont val="Poppins"/>
        <sz val="7.0"/>
      </rPr>
      <t>, across a wide variety of</t>
    </r>
    <r>
      <rPr>
        <rFont val="Poppins"/>
        <b/>
        <color rgb="FF1155CC"/>
        <sz val="7.0"/>
        <u/>
      </rPr>
      <t xml:space="preserve"> alternative asset classes</t>
    </r>
    <r>
      <rPr>
        <rFont val="Poppins"/>
        <sz val="7.0"/>
      </rPr>
      <t xml:space="preserve">..." + They have mentioned some of their </t>
    </r>
    <r>
      <rPr>
        <rFont val="Poppins"/>
        <b/>
        <color rgb="FF1155CC"/>
        <sz val="7.0"/>
        <u/>
      </rPr>
      <t>VC funds</t>
    </r>
    <r>
      <rPr>
        <rFont val="Poppins"/>
        <b/>
        <sz val="7.0"/>
      </rPr>
      <t xml:space="preserve"> </t>
    </r>
    <r>
      <rPr>
        <rFont val="Poppins"/>
        <sz val="7.0"/>
      </rPr>
      <t>investments on their website (</t>
    </r>
    <r>
      <rPr>
        <rFont val="Poppins"/>
        <b/>
        <sz val="7.0"/>
      </rPr>
      <t>Northern Light Venture Capital</t>
    </r>
    <r>
      <rPr>
        <rFont val="Poppins"/>
        <sz val="7.0"/>
      </rPr>
      <t xml:space="preserve">).
- [Sector Investment Focus] &gt; Data manager judgement &gt; Their investments focuses on </t>
    </r>
    <r>
      <rPr>
        <rFont val="Poppins"/>
        <b/>
        <color rgb="FF1155CC"/>
        <sz val="7.0"/>
        <u/>
      </rPr>
      <t>AI, Healthcare, Software,</t>
    </r>
    <r>
      <rPr>
        <rFont val="Poppins"/>
        <b/>
        <sz val="7.0"/>
      </rPr>
      <t xml:space="preserve"> </t>
    </r>
    <r>
      <rPr>
        <rFont val="Poppins"/>
        <sz val="7.0"/>
      </rPr>
      <t>Industrials and Consumer (</t>
    </r>
    <r>
      <rPr>
        <rFont val="Poppins"/>
        <b/>
        <sz val="7.0"/>
      </rPr>
      <t>Northern Light Venture Capital, 3C AGI Partners</t>
    </r>
    <r>
      <rPr>
        <rFont val="Poppins"/>
        <sz val="7.0"/>
      </rPr>
      <t xml:space="preserve">).
- [Region Investment focus] &gt; Data manager judgement &gt; Their investments are based in </t>
    </r>
    <r>
      <rPr>
        <rFont val="Poppins"/>
        <b/>
        <color rgb="FF1155CC"/>
        <sz val="7.0"/>
        <u/>
      </rPr>
      <t>United States</t>
    </r>
    <r>
      <rPr>
        <rFont val="Poppins"/>
        <sz val="7.0"/>
      </rPr>
      <t xml:space="preserve"> (</t>
    </r>
    <r>
      <rPr>
        <rFont val="Poppins"/>
        <b/>
        <sz val="7.0"/>
      </rPr>
      <t>Northern Light Venture Capital, 3C AGI Partners</t>
    </r>
    <r>
      <rPr>
        <rFont val="Poppins"/>
        <sz val="7.0"/>
      </rPr>
      <t xml:space="preserve">).
- [Maturity Focus = Emerging] &gt; Data manager judgement &gt; They have not publicly disclosed their maturity focus but the rest of the criteria aligns with your IIP. </t>
    </r>
    <r>
      <rPr>
        <rFont val="Poppins"/>
        <b/>
        <sz val="7.0"/>
      </rPr>
      <t>#DemandCreation.</t>
    </r>
  </si>
  <si>
    <t>Investor Relations</t>
  </si>
  <si>
    <t>Valerie Ma</t>
  </si>
  <si>
    <t>Valerie</t>
  </si>
  <si>
    <t>Ma</t>
  </si>
  <si>
    <t>valeriema@vmsig.com</t>
  </si>
  <si>
    <t>https://www.linkedin.com/in/valeriekma/</t>
  </si>
  <si>
    <t>Decent Capital</t>
  </si>
  <si>
    <t>https://www.decentcapital.com/en/home</t>
  </si>
  <si>
    <r>
      <rPr>
        <rFont val="Poppins"/>
        <color rgb="FF000000"/>
        <sz val="7.0"/>
      </rPr>
      <t xml:space="preserve">- [Asset class = Funds-VC] &gt; Website &gt; "...invests across a </t>
    </r>
    <r>
      <rPr>
        <rFont val="Poppins"/>
        <b/>
        <color rgb="FF000000"/>
        <sz val="7.0"/>
      </rPr>
      <t>broadly diversified set of strategies</t>
    </r>
    <r>
      <rPr>
        <rFont val="Poppins"/>
        <color rgb="FF000000"/>
        <sz val="7.0"/>
      </rPr>
      <t xml:space="preserve">, including </t>
    </r>
    <r>
      <rPr>
        <rFont val="Poppins"/>
        <b/>
        <color rgb="FF1155CC"/>
        <sz val="7.0"/>
        <u/>
      </rPr>
      <t>venture capital</t>
    </r>
    <r>
      <rPr>
        <rFont val="Poppins"/>
        <color rgb="FF000000"/>
        <sz val="7.0"/>
      </rPr>
      <t xml:space="preserve">, private equity, public market, and other </t>
    </r>
    <r>
      <rPr>
        <rFont val="Poppins"/>
        <b/>
        <color rgb="FF000000"/>
        <sz val="7.0"/>
      </rPr>
      <t>alternative solutions</t>
    </r>
    <r>
      <rPr>
        <rFont val="Poppins"/>
        <color rgb="FF000000"/>
        <sz val="7.0"/>
      </rPr>
      <t xml:space="preserve">..."
- [Region investment focus] &gt; Website &gt; "...with offices in Shenzhen, Beijing, Shanghai, Hong Kong in China, Silicon Valley in the </t>
    </r>
    <r>
      <rPr>
        <rFont val="Poppins"/>
        <b/>
        <color rgb="FF1155CC"/>
        <sz val="7.0"/>
        <u/>
      </rPr>
      <t>US</t>
    </r>
    <r>
      <rPr>
        <rFont val="Poppins"/>
        <color rgb="FF000000"/>
        <sz val="7.0"/>
      </rPr>
      <t xml:space="preserve"> and Tokyo in Japan..." + "...Decent Capital manages assets around the </t>
    </r>
    <r>
      <rPr>
        <rFont val="Poppins"/>
        <b/>
        <color rgb="FF1155CC"/>
        <sz val="7.0"/>
        <u/>
      </rPr>
      <t>globe</t>
    </r>
    <r>
      <rPr>
        <rFont val="Poppins"/>
        <color rgb="FF000000"/>
        <sz val="7.0"/>
      </rPr>
      <t xml:space="preserve">..."
- [Sector investment focus] &gt; Data manager judgement &gt; Their investment focus on </t>
    </r>
    <r>
      <rPr>
        <rFont val="Poppins"/>
        <b/>
        <color rgb="FF1155CC"/>
        <sz val="7.0"/>
        <u/>
      </rPr>
      <t>AI, Deep Tech</t>
    </r>
    <r>
      <rPr>
        <rFont val="Poppins"/>
        <color rgb="FF000000"/>
        <sz val="7.0"/>
      </rPr>
      <t xml:space="preserve"> and Digital Health, ex: Lightelligence, PyrAmes, etc.
- [Maturity Focus = Emerging] &gt; Data manager judgement &gt; They have not publicly disclosed their maturity focus but the rest of the criteria aligns with your IIP. </t>
    </r>
    <r>
      <rPr>
        <rFont val="Poppins"/>
        <b/>
        <color rgb="FF000000"/>
        <sz val="7.0"/>
      </rPr>
      <t>#DemandCreation.</t>
    </r>
  </si>
  <si>
    <t>Zhengchen CAO</t>
  </si>
  <si>
    <t>Zhengchen</t>
  </si>
  <si>
    <t>CAO</t>
  </si>
  <si>
    <t>zhengchen.cao@decentcapital.com</t>
  </si>
  <si>
    <t>https://www.linkedin.com/in/caozhengchen/</t>
  </si>
  <si>
    <t>https://www.alxza.com/</t>
  </si>
  <si>
    <r>
      <rPr>
        <rFont val="Poppins"/>
        <sz val="7.0"/>
      </rPr>
      <t xml:space="preserve">- [Asset class = Funds-VC] &gt; Website &gt; "...Indirect Investment: We invest </t>
    </r>
    <r>
      <rPr>
        <rFont val="Poppins"/>
        <b/>
        <sz val="7.0"/>
      </rPr>
      <t xml:space="preserve">indirectly </t>
    </r>
    <r>
      <rPr>
        <rFont val="Poppins"/>
        <sz val="7.0"/>
      </rPr>
      <t xml:space="preserve">via private equity, private credit, </t>
    </r>
    <r>
      <rPr>
        <rFont val="Poppins"/>
        <b/>
        <color rgb="FF1155CC"/>
        <sz val="7.0"/>
        <u/>
      </rPr>
      <t xml:space="preserve">venture capital </t>
    </r>
    <r>
      <rPr>
        <rFont val="Poppins"/>
        <sz val="7.0"/>
      </rPr>
      <t xml:space="preserve">and venture debt..."
- [Region investment focus] &gt; Website &gt; "...We generally focus on </t>
    </r>
    <r>
      <rPr>
        <rFont val="Poppins"/>
        <b/>
        <sz val="7.0"/>
      </rPr>
      <t>Hong Kong, South Korea, Southeast Asia, the Middle East</t>
    </r>
    <r>
      <rPr>
        <rFont val="Poppins"/>
        <sz val="7.0"/>
      </rPr>
      <t xml:space="preserve"> and Germany; however we have investments and partners </t>
    </r>
    <r>
      <rPr>
        <rFont val="Poppins"/>
        <b/>
        <color rgb="FF1155CC"/>
        <sz val="7.0"/>
        <u/>
      </rPr>
      <t>globally</t>
    </r>
    <r>
      <rPr>
        <rFont val="Poppins"/>
        <sz val="7.0"/>
      </rPr>
      <t xml:space="preserve">..."
- [Sector investment focus] &gt; Website &gt; "...We focus on real estate, healthcare, education, consumer, renewable energy and </t>
    </r>
    <r>
      <rPr>
        <rFont val="Poppins"/>
        <b/>
        <color rgb="FF1155CC"/>
        <sz val="7.0"/>
        <u/>
      </rPr>
      <t>technology</t>
    </r>
    <r>
      <rPr>
        <rFont val="Poppins"/>
        <sz val="7.0"/>
      </rPr>
      <t xml:space="preserve">..."
- [Maturity Focus = Emerging] &gt; Data manager judgement &gt; They have not publicly disclosed their maturity focus but the rest of the criteria aligns with your IIP. </t>
    </r>
    <r>
      <rPr>
        <rFont val="Poppins"/>
        <b/>
        <sz val="7.0"/>
      </rPr>
      <t>#DemandCreation.</t>
    </r>
  </si>
  <si>
    <t>Helen Chau</t>
  </si>
  <si>
    <t>Chau</t>
  </si>
  <si>
    <t>hc@alxza.com</t>
  </si>
  <si>
    <t>https://www.linkedin.com/in/helen-chau830/</t>
  </si>
  <si>
    <r>
      <rPr>
        <rFont val="Poppins"/>
        <sz val="7.0"/>
      </rPr>
      <t xml:space="preserve">- [Asset class = Funds - VC] &gt; Website &gt; "...a single family office focusing on seed-stage </t>
    </r>
    <r>
      <rPr>
        <rFont val="Poppins"/>
        <b/>
        <color rgb="FF1155CC"/>
        <sz val="7.0"/>
        <u/>
      </rPr>
      <t>venture</t>
    </r>
    <r>
      <rPr>
        <rFont val="Poppins"/>
        <color rgb="FF1155CC"/>
        <sz val="7.0"/>
        <u/>
      </rPr>
      <t xml:space="preserve"> </t>
    </r>
    <r>
      <rPr>
        <rFont val="Poppins"/>
        <b/>
        <color rgb="FF1155CC"/>
        <sz val="7.0"/>
        <u/>
      </rPr>
      <t>capital</t>
    </r>
    <r>
      <rPr>
        <rFont val="Poppins"/>
        <color rgb="FF1155CC"/>
        <sz val="7.0"/>
        <u/>
      </rPr>
      <t xml:space="preserve"> </t>
    </r>
    <r>
      <rPr>
        <rFont val="Poppins"/>
        <b/>
        <color rgb="FF1155CC"/>
        <sz val="7.0"/>
        <u/>
      </rPr>
      <t>fund</t>
    </r>
    <r>
      <rPr>
        <rFont val="Poppins"/>
        <sz val="7.0"/>
      </rPr>
      <t xml:space="preserve">...."
- [Maturity focus = Emerging] &gt; Website &gt; "...We aim to support </t>
    </r>
    <r>
      <rPr>
        <rFont val="Poppins"/>
        <b/>
        <color rgb="FF1155CC"/>
        <sz val="7.0"/>
        <u/>
      </rPr>
      <t>Emerging</t>
    </r>
    <r>
      <rPr>
        <rFont val="Poppins"/>
        <color rgb="FF1155CC"/>
        <sz val="7.0"/>
        <u/>
      </rPr>
      <t xml:space="preserve"> </t>
    </r>
    <r>
      <rPr>
        <rFont val="Poppins"/>
        <b/>
        <color rgb="FF1155CC"/>
        <sz val="7.0"/>
        <u/>
      </rPr>
      <t>VC</t>
    </r>
    <r>
      <rPr>
        <rFont val="Poppins"/>
        <color rgb="FF1155CC"/>
        <sz val="7.0"/>
        <u/>
      </rPr>
      <t xml:space="preserve"> </t>
    </r>
    <r>
      <rPr>
        <rFont val="Poppins"/>
        <b/>
        <color rgb="FF1155CC"/>
        <sz val="7.0"/>
        <u/>
      </rPr>
      <t>managers</t>
    </r>
    <r>
      <rPr>
        <rFont val="Poppins"/>
        <sz val="7.0"/>
      </rPr>
      <t xml:space="preserve">..."
- [Sector investment focus = ] &gt; Data manager judgement &gt; Private data providers confirm that they invest in areas such as </t>
    </r>
    <r>
      <rPr>
        <rFont val="Poppins"/>
        <b/>
        <sz val="7.0"/>
      </rPr>
      <t>FinTech, Software as a Service (SaaS)</t>
    </r>
    <r>
      <rPr>
        <rFont val="Poppins"/>
        <sz val="7.0"/>
      </rPr>
      <t xml:space="preserve">, and </t>
    </r>
    <r>
      <rPr>
        <rFont val="Poppins"/>
        <b/>
        <color rgb="FF1155CC"/>
        <sz val="7.0"/>
        <u/>
      </rPr>
      <t>Artificial Intelligence</t>
    </r>
    <r>
      <rPr>
        <rFont val="Poppins"/>
        <sz val="7.0"/>
      </rPr>
      <t xml:space="preserve">. 
- [Region investment focus] &gt; Data manager judgement &gt; They have made investments in funds based in the </t>
    </r>
    <r>
      <rPr>
        <rFont val="Poppins"/>
        <b/>
        <color rgb="FF1155CC"/>
        <sz val="7.0"/>
        <u/>
      </rPr>
      <t>United States</t>
    </r>
    <r>
      <rPr>
        <rFont val="Poppins"/>
        <b/>
        <sz val="7.0"/>
      </rPr>
      <t>, ex: Leonis Capital, Sogal Ventures.</t>
    </r>
  </si>
  <si>
    <t>Already attending</t>
  </si>
  <si>
    <t>Founder and Principal</t>
  </si>
  <si>
    <t>Carman Chan</t>
  </si>
  <si>
    <t>Carman</t>
  </si>
  <si>
    <t>Chan</t>
  </si>
  <si>
    <t>carman@clickventures.vc</t>
  </si>
  <si>
    <t>https://www.linkedin.com/in/carmanchan/</t>
  </si>
  <si>
    <t>Ferretto Capital</t>
  </si>
  <si>
    <t>https://www.ferrettocap.com/</t>
  </si>
  <si>
    <r>
      <rPr>
        <rFont val="Poppins"/>
        <sz val="7.0"/>
      </rPr>
      <t xml:space="preserve">- [Asset class = Funds-VC] &gt; Website &gt; "...We invest in both liquid and </t>
    </r>
    <r>
      <rPr>
        <rFont val="Poppins"/>
        <b/>
        <sz val="7.0"/>
      </rPr>
      <t>private market funds</t>
    </r>
    <r>
      <rPr>
        <rFont val="Poppins"/>
        <sz val="7.0"/>
      </rPr>
      <t xml:space="preserve">, including a range of hedge fund strategies (absolute return, quantitative strategies, long-short, macro and event driven), </t>
    </r>
    <r>
      <rPr>
        <rFont val="Poppins"/>
        <b/>
        <color rgb="FF1155CC"/>
        <sz val="7.0"/>
        <u/>
      </rPr>
      <t>venture capital</t>
    </r>
    <r>
      <rPr>
        <rFont val="Poppins"/>
        <sz val="7.0"/>
      </rPr>
      <t xml:space="preserve"> and private equity..."</t>
    </r>
    <r>
      <rPr>
        <rFont val="Poppins"/>
        <b/>
        <sz val="7.0"/>
      </rPr>
      <t xml:space="preserve">
</t>
    </r>
    <r>
      <rPr>
        <rFont val="Poppins"/>
        <sz val="7.0"/>
      </rPr>
      <t xml:space="preserve">- [Sector investment focus] &gt; News article &gt; </t>
    </r>
    <r>
      <rPr>
        <rFont val="Poppins"/>
        <b/>
        <color rgb="FF1155CC"/>
        <sz val="7.0"/>
        <u/>
      </rPr>
      <t>deep tech</t>
    </r>
    <r>
      <rPr>
        <rFont val="Poppins"/>
        <sz val="7.0"/>
      </rPr>
      <t xml:space="preserve"> is inferior to advances made in recent years, which makes venture capital the preferred mode of investing for Ferretto Capital</t>
    </r>
    <r>
      <rPr>
        <rFont val="Poppins"/>
        <b/>
        <color rgb="FF1155CC"/>
        <sz val="7.0"/>
        <u/>
      </rPr>
      <t xml:space="preserve">
</t>
    </r>
    <r>
      <rPr>
        <rFont val="Poppins"/>
        <sz val="7.0"/>
      </rPr>
      <t xml:space="preserve">- [Region investment focus] &gt; Website &gt; "...Ferretto Capital is a professionally-run Family Office that focuses on generating consistent long-term returns by allocating into a </t>
    </r>
    <r>
      <rPr>
        <rFont val="Poppins"/>
        <b/>
        <color rgb="FF1155CC"/>
        <sz val="7.0"/>
        <u/>
      </rPr>
      <t>globally diversified portfolio of funds</t>
    </r>
    <r>
      <rPr>
        <rFont val="Poppins"/>
        <sz val="7.0"/>
      </rPr>
      <t xml:space="preserve">..."
- [Maturity Focus = Emerging] &gt; Data manager judgement &gt; They have not publicly disclosed their maturity focus but the rest of the criteria aligns with your IIP. </t>
    </r>
    <r>
      <rPr>
        <rFont val="Poppins"/>
        <b/>
        <sz val="7.0"/>
      </rPr>
      <t>#DemandCreation.</t>
    </r>
  </si>
  <si>
    <t>Investment Director
Senior Associate</t>
  </si>
  <si>
    <t>Nydia Zhang
Hyun Jong Kim</t>
  </si>
  <si>
    <t>Nydia
Hyun Jong</t>
  </si>
  <si>
    <t>Zhang
Kim</t>
  </si>
  <si>
    <t>nydia@ferrettocap.com
h.j.kim3@hotmail.com</t>
  </si>
  <si>
    <t>https://www.linkedin.com/in/nydia-zhang-34161084/
https://www.linkedin.com/in/hyun-jong-kim-4427183b/</t>
  </si>
  <si>
    <t>GurryShark Capital</t>
  </si>
  <si>
    <t>https://www.gurryshark.com/</t>
  </si>
  <si>
    <t>Private data provider, LinkedIn</t>
  </si>
  <si>
    <r>
      <rPr>
        <rFont val="Poppins"/>
        <sz val="7.0"/>
      </rPr>
      <t xml:space="preserve">- [Asset class = Funds-VC] &gt; Linkedin &gt; including </t>
    </r>
    <r>
      <rPr>
        <rFont val="Poppins"/>
        <b/>
        <sz val="7.0"/>
      </rPr>
      <t>fund</t>
    </r>
    <r>
      <rPr>
        <rFont val="Poppins"/>
        <sz val="7.0"/>
      </rPr>
      <t xml:space="preserve"> investments into </t>
    </r>
    <r>
      <rPr>
        <rFont val="Poppins"/>
        <b/>
        <color rgb="FF1155CC"/>
        <sz val="7.0"/>
        <u/>
      </rPr>
      <t>Venture Capital</t>
    </r>
    <r>
      <rPr>
        <rFont val="Poppins"/>
        <sz val="7.0"/>
      </rPr>
      <t xml:space="preserve">, Private Equity and Hedge Funds.
- [Region investment focus] &gt; Linkedin &gt; Gurryshark invests </t>
    </r>
    <r>
      <rPr>
        <rFont val="Poppins"/>
        <b/>
        <color rgb="FF1155CC"/>
        <sz val="7.0"/>
        <u/>
      </rPr>
      <t>globally</t>
    </r>
    <r>
      <rPr>
        <rFont val="Poppins"/>
        <sz val="7.0"/>
      </rPr>
      <t xml:space="preserve"> across Asset classes.
- [Sector investment focus] &gt; Private data provider &gt; with a </t>
    </r>
    <r>
      <rPr>
        <rFont val="Poppins"/>
        <b/>
        <sz val="7.0"/>
      </rPr>
      <t>diverse investment portfolio</t>
    </r>
    <r>
      <rPr>
        <rFont val="Poppins"/>
        <sz val="7.0"/>
      </rPr>
      <t xml:space="preserve"> focused on </t>
    </r>
    <r>
      <rPr>
        <rFont val="Poppins"/>
        <b/>
        <color rgb="FF1155CC"/>
        <sz val="7.0"/>
        <u/>
      </rPr>
      <t>technology</t>
    </r>
    <r>
      <rPr>
        <rFont val="Poppins"/>
        <sz val="7.0"/>
      </rPr>
      <t xml:space="preserve">, spanning both private equity and venture capital.
- [Maturity Focus = Emerging] &gt; Data manager judgement &gt; They have not publicly disclosed their maturity focus but the rest of the criteria aligns with your IIP. </t>
    </r>
    <r>
      <rPr>
        <rFont val="Poppins"/>
        <b/>
        <sz val="7.0"/>
      </rPr>
      <t>#DemandCreation.</t>
    </r>
  </si>
  <si>
    <t>Fei Chen</t>
  </si>
  <si>
    <t>Fei</t>
  </si>
  <si>
    <t>fei.chen@gurryshark.com</t>
  </si>
  <si>
    <t>https://www.linkedin.com/in/fei-chen-4b750b2b/</t>
  </si>
  <si>
    <t>Andon Hong Kong</t>
  </si>
  <si>
    <t>https://www.linkedin.com/company/andon-hong-kong/</t>
  </si>
  <si>
    <t>LinkedIn, Data manager judgement, Private data provider, News article</t>
  </si>
  <si>
    <r>
      <rPr>
        <rFont val="Poppins"/>
        <sz val="7.0"/>
      </rPr>
      <t xml:space="preserve">- [Asset class = Funds-VC] &gt; Linkedin &gt; The firm strategically allocates capital across </t>
    </r>
    <r>
      <rPr>
        <rFont val="Poppins"/>
        <b/>
        <sz val="7.0"/>
      </rPr>
      <t>various global asset classes</t>
    </r>
    <r>
      <rPr>
        <rFont val="Poppins"/>
        <sz val="7.0"/>
      </rPr>
      <t xml:space="preserve">, including direct investments, </t>
    </r>
    <r>
      <rPr>
        <rFont val="Poppins"/>
        <b/>
        <color rgb="FF1155CC"/>
        <sz val="7.0"/>
        <u/>
      </rPr>
      <t>fund investments</t>
    </r>
    <r>
      <rPr>
        <rFont val="Poppins"/>
        <sz val="7.0"/>
      </rPr>
      <t xml:space="preserve">, and co-investments in public equity, public credit, private equity, private credit, hedge funds and other marketable </t>
    </r>
    <r>
      <rPr>
        <rFont val="Poppins"/>
        <b/>
        <sz val="7.0"/>
      </rPr>
      <t>alternatives</t>
    </r>
    <r>
      <rPr>
        <rFont val="Poppins"/>
        <sz val="7.0"/>
      </rPr>
      <t xml:space="preserve">.
- [Sector investment focus] &gt; Data manager judgement &gt; Investment focus: Through equity investment funds or direct investment, the ultimate investments will be in fields such as </t>
    </r>
    <r>
      <rPr>
        <rFont val="Poppins"/>
        <b/>
        <color rgb="FF1155CC"/>
        <sz val="7.0"/>
        <u/>
      </rPr>
      <t>artificial intelligence</t>
    </r>
    <r>
      <rPr>
        <rFont val="Poppins"/>
        <sz val="7.0"/>
      </rPr>
      <t xml:space="preserve">, information technology, biomanufacturing, and </t>
    </r>
    <r>
      <rPr>
        <rFont val="Poppins"/>
        <b/>
        <sz val="7.0"/>
      </rPr>
      <t>healthcare</t>
    </r>
    <r>
      <rPr>
        <rFont val="Poppins"/>
        <sz val="7.0"/>
      </rPr>
      <t xml:space="preserve">.
- [Region investment focus] &gt; news article + Data manager judgement &gt; Andon Hong Kong </t>
    </r>
    <r>
      <rPr>
        <rFont val="Poppins"/>
        <b/>
        <color rgb="FF1155CC"/>
        <sz val="7.0"/>
        <u/>
      </rPr>
      <t>Expands to New York</t>
    </r>
    <r>
      <rPr>
        <rFont val="Poppins"/>
        <sz val="7.0"/>
      </rPr>
      <t xml:space="preserve"> to Boost Alternative Investments. + A private data provider states that Andon Hong Kong's core base and activities are anchored in </t>
    </r>
    <r>
      <rPr>
        <rFont val="Poppins"/>
        <b/>
        <sz val="7.0"/>
      </rPr>
      <t>Asia</t>
    </r>
    <r>
      <rPr>
        <rFont val="Poppins"/>
        <sz val="7.0"/>
      </rPr>
      <t xml:space="preserve">, particularly </t>
    </r>
    <r>
      <rPr>
        <rFont val="Poppins"/>
        <b/>
        <sz val="7.0"/>
      </rPr>
      <t>Greater China</t>
    </r>
    <r>
      <rPr>
        <rFont val="Poppins"/>
        <sz val="7.0"/>
      </rPr>
      <t xml:space="preserve"> and the broader </t>
    </r>
    <r>
      <rPr>
        <rFont val="Poppins"/>
        <b/>
        <color rgb="FF1155CC"/>
        <sz val="7.0"/>
        <u/>
      </rPr>
      <t xml:space="preserve">Asia-Pacific region.
</t>
    </r>
    <r>
      <rPr>
        <rFont val="Poppins"/>
        <sz val="7.0"/>
      </rPr>
      <t xml:space="preserve">- [Maturity Focus = Emerging] &gt; Data manager judgement &gt; They have not publicly disclosed their maturity focus but the rest of the criteria aligns with your IIP. </t>
    </r>
    <r>
      <rPr>
        <rFont val="Poppins"/>
        <b/>
        <sz val="7.0"/>
      </rPr>
      <t>#DemandCreation.</t>
    </r>
  </si>
  <si>
    <t>Chief Executive Officer and Chief Investment Officer</t>
  </si>
  <si>
    <t>Jason Guo</t>
  </si>
  <si>
    <t>guoqiang@jiuan.com</t>
  </si>
  <si>
    <t>https://www.linkedin.com/in/jason-guo-a794341a/</t>
  </si>
  <si>
    <t>Tikehau Capital</t>
  </si>
  <si>
    <t>https://www.tikehaucapital.com/en</t>
  </si>
  <si>
    <t>Data manager judgement, Portfolio, Website</t>
  </si>
  <si>
    <r>
      <rPr>
        <rFont val="Poppins"/>
        <sz val="7.0"/>
      </rPr>
      <t>- [Asset class = Funds - VC] &gt; Data manager judgement + Website &gt; Tikehau Capital invested in a newly launched</t>
    </r>
    <r>
      <rPr>
        <rFont val="Poppins"/>
        <color rgb="FF1155CC"/>
        <sz val="7.0"/>
        <u/>
      </rPr>
      <t xml:space="preserve"> </t>
    </r>
    <r>
      <rPr>
        <rFont val="Poppins"/>
        <b/>
        <color rgb="FF1155CC"/>
        <sz val="7.0"/>
        <u/>
      </rPr>
      <t>venture fund</t>
    </r>
    <r>
      <rPr>
        <rFont val="Poppins"/>
        <b/>
        <sz val="7.0"/>
      </rPr>
      <t xml:space="preserve"> </t>
    </r>
    <r>
      <rPr>
        <rFont val="Poppins"/>
        <sz val="7.0"/>
      </rPr>
      <t xml:space="preserve">Ring Capital. + "... Our range includes bond (credit) funds, </t>
    </r>
    <r>
      <rPr>
        <rFont val="Poppins"/>
        <b/>
        <color rgb="FF1155CC"/>
        <sz val="7.0"/>
        <u/>
      </rPr>
      <t>equity funds</t>
    </r>
    <r>
      <rPr>
        <rFont val="Poppins"/>
        <sz val="7.0"/>
      </rPr>
      <t xml:space="preserve"> and a flexible fund..."
- [Region investment focus] &gt; Data manager judgement &gt; Their portfolio confirms investments across Europe and </t>
    </r>
    <r>
      <rPr>
        <rFont val="Poppins"/>
        <b/>
        <color rgb="FF1155CC"/>
        <sz val="7.0"/>
        <u/>
      </rPr>
      <t>North America</t>
    </r>
    <r>
      <rPr>
        <rFont val="Poppins"/>
        <b/>
        <sz val="7.0"/>
      </rPr>
      <t>, ex: Stamford, West Avenue I, etc.</t>
    </r>
    <r>
      <rPr>
        <rFont val="Poppins"/>
        <sz val="7.0"/>
      </rPr>
      <t xml:space="preserve">
- [Sector investment focus] &gt; Website &gt; "..We focus on buoyant themes such as growth and sustainability, energy transition, regenerative agriculture, </t>
    </r>
    <r>
      <rPr>
        <rFont val="Poppins"/>
        <b/>
        <color rgb="FF1155CC"/>
        <sz val="7.0"/>
        <u/>
      </rPr>
      <t>cybersecurity</t>
    </r>
    <r>
      <rPr>
        <rFont val="Poppins"/>
        <sz val="7.0"/>
      </rPr>
      <t xml:space="preserve">, </t>
    </r>
    <r>
      <rPr>
        <rFont val="Poppins"/>
        <b/>
        <sz val="7.0"/>
      </rPr>
      <t xml:space="preserve">aerospace </t>
    </r>
    <r>
      <rPr>
        <rFont val="Poppins"/>
        <sz val="7.0"/>
      </rPr>
      <t xml:space="preserve">and </t>
    </r>
    <r>
      <rPr>
        <rFont val="Poppins"/>
        <b/>
        <sz val="7.0"/>
      </rPr>
      <t>defence</t>
    </r>
    <r>
      <rPr>
        <rFont val="Poppins"/>
        <sz val="7.0"/>
      </rPr>
      <t xml:space="preserve">..." + They have also made investments into </t>
    </r>
    <r>
      <rPr>
        <rFont val="Poppins"/>
        <b/>
        <color rgb="FF1155CC"/>
        <sz val="7.0"/>
        <u/>
      </rPr>
      <t>AI, SaaS</t>
    </r>
    <r>
      <rPr>
        <rFont val="Poppins"/>
        <sz val="7.0"/>
      </rPr>
      <t xml:space="preserve">, ex: Vercel, etc.
- [Maturity Focus = Emerging] &gt; Website + Data manager judgement "...Tikehau Capital invests in newly launched venture fund Ring Capital, to support </t>
    </r>
    <r>
      <rPr>
        <rFont val="Poppins"/>
        <b/>
        <color rgb="FF1155CC"/>
        <sz val="7.0"/>
        <u/>
      </rPr>
      <t>the emergence of</t>
    </r>
    <r>
      <rPr>
        <rFont val="Poppins"/>
        <sz val="7.0"/>
      </rPr>
      <t xml:space="preserve"> European tech leaders..." + They have investments in Funds I, ex: </t>
    </r>
    <r>
      <rPr>
        <rFont val="Poppins"/>
        <b/>
        <sz val="7.0"/>
      </rPr>
      <t xml:space="preserve">West Avenue I, </t>
    </r>
    <r>
      <rPr>
        <rFont val="Poppins"/>
        <sz val="7.0"/>
      </rPr>
      <t xml:space="preserve">which also confirms that they invest in </t>
    </r>
    <r>
      <rPr>
        <rFont val="Poppins"/>
        <b/>
        <color rgb="FF1155CC"/>
        <sz val="7.0"/>
        <u/>
      </rPr>
      <t>emerging managers.</t>
    </r>
  </si>
  <si>
    <t>More of a credit focus</t>
  </si>
  <si>
    <t>Head of Capital Formation, Asia-Pacific, Managing Director</t>
  </si>
  <si>
    <t>Young Joon Moon</t>
  </si>
  <si>
    <t>Young Joon</t>
  </si>
  <si>
    <t>Moon</t>
  </si>
  <si>
    <t>ymoon@tikehaucapital.com</t>
  </si>
  <si>
    <t>https://www.linkedin.com/in/young-joon-moon-7672b634/</t>
  </si>
  <si>
    <t>Junson Capital</t>
  </si>
  <si>
    <t>https://www.junsoncapital.com/#/index</t>
  </si>
  <si>
    <r>
      <rPr>
        <rFont val="Poppins"/>
        <sz val="7.0"/>
      </rPr>
      <t xml:space="preserve">- [Asset Class = Funds - VC] &gt; Website + Private data provider &gt; "...JUNSON CAPITAL'S ASSET MANAGEMENT AND INVESTMENT ACTIVITIES EXTEND ACROSS PUBLIC MARKETS,
PRIVATE EQUITY, </t>
    </r>
    <r>
      <rPr>
        <rFont val="Poppins"/>
        <b/>
        <color rgb="FF1155CC"/>
        <sz val="7.0"/>
        <u/>
      </rPr>
      <t>VENTURE CAPITAL</t>
    </r>
    <r>
      <rPr>
        <rFont val="Poppins"/>
        <sz val="7.0"/>
      </rPr>
      <t xml:space="preserve">, REAL ESTATE, </t>
    </r>
    <r>
      <rPr>
        <rFont val="Poppins"/>
        <b/>
        <sz val="7.0"/>
      </rPr>
      <t xml:space="preserve">ALTERNATIVE ASSETS </t>
    </r>
    <r>
      <rPr>
        <rFont val="Poppins"/>
        <sz val="7.0"/>
      </rPr>
      <t xml:space="preserve">AND GENERATIONAL SERVICES..." + Junson Capital invests across public and private markets, spanning real estate, </t>
    </r>
    <r>
      <rPr>
        <rFont val="Poppins"/>
        <b/>
        <color rgb="FF1155CC"/>
        <sz val="7.0"/>
        <u/>
      </rPr>
      <t>venture capital</t>
    </r>
    <r>
      <rPr>
        <rFont val="Poppins"/>
        <sz val="7.0"/>
      </rPr>
      <t xml:space="preserve">, private equity, hedge funds and direct deals.
- [Sector Investment Focus] &gt; News Article &gt; </t>
    </r>
    <r>
      <rPr>
        <rFont val="Poppins"/>
        <b/>
        <color rgb="FF1155CC"/>
        <sz val="7.0"/>
        <u/>
      </rPr>
      <t>AI</t>
    </r>
    <r>
      <rPr>
        <rFont val="Poppins"/>
        <sz val="7.0"/>
      </rPr>
      <t xml:space="preserve">, Biotech &amp; Private Markets: Exclusive Insights from Wei Shen, Head of Principal Investment - Junson Capital.
- [Region Investment Focus] &gt; News Article &gt; other Net Lease assets in both the </t>
    </r>
    <r>
      <rPr>
        <rFont val="Poppins"/>
        <b/>
        <color rgb="FF1155CC"/>
        <sz val="7.0"/>
        <u/>
      </rPr>
      <t>U.S.</t>
    </r>
    <r>
      <rPr>
        <rFont val="Poppins"/>
        <sz val="7.0"/>
      </rPr>
      <t xml:space="preserve"> and Europe.
- [Maturity Focus = Emerging] &gt; Data manager judgement &gt; Junson Capital is open to first-time funds, meaning they may invest as a Limited Partner (LP) in </t>
    </r>
    <r>
      <rPr>
        <rFont val="Poppins"/>
        <b/>
        <sz val="7.0"/>
      </rPr>
      <t xml:space="preserve">new or </t>
    </r>
    <r>
      <rPr>
        <rFont val="Poppins"/>
        <b/>
        <color rgb="FF1155CC"/>
        <sz val="7.0"/>
        <u/>
      </rPr>
      <t>emerging</t>
    </r>
    <r>
      <rPr>
        <rFont val="Poppins"/>
        <b/>
        <sz val="7.0"/>
      </rPr>
      <t xml:space="preserve"> fund managers</t>
    </r>
    <r>
      <rPr>
        <rFont val="Poppins"/>
        <sz val="7.0"/>
      </rPr>
      <t>.</t>
    </r>
  </si>
  <si>
    <t>Daisy Ce Shi</t>
  </si>
  <si>
    <t>Daisy</t>
  </si>
  <si>
    <t>Ce Shi</t>
  </si>
  <si>
    <t>daisy.shi@junsoncapital.com</t>
  </si>
  <si>
    <t>https://www.linkedin.com/in/daisy-ce-shi-406408b4/</t>
  </si>
  <si>
    <t>Morgan Stanley</t>
  </si>
  <si>
    <t>https://www.morganstanley.com/im/en-gb/institutional-investor.html</t>
  </si>
  <si>
    <r>
      <rPr>
        <rFont val="Poppins"/>
        <sz val="7.0"/>
      </rPr>
      <t xml:space="preserve">- [Asset Class = Funds - VC] &gt; Data manager judgement &gt; What morgan stanley looks for in early stage </t>
    </r>
    <r>
      <rPr>
        <rFont val="Poppins"/>
        <b/>
        <color rgb="FF1155CC"/>
        <sz val="7.0"/>
        <u/>
      </rPr>
      <t>VC Funds</t>
    </r>
    <r>
      <rPr>
        <rFont val="Poppins"/>
        <b/>
        <sz val="7.0"/>
      </rPr>
      <t xml:space="preserve"> </t>
    </r>
    <r>
      <rPr>
        <rFont val="Poppins"/>
        <sz val="7.0"/>
      </rPr>
      <t xml:space="preserve">+ Morgan Stanley is backing early-stage </t>
    </r>
    <r>
      <rPr>
        <rFont val="Poppins"/>
        <b/>
        <color rgb="FF1155CC"/>
        <sz val="7.0"/>
        <u/>
      </rPr>
      <t>VC Funds</t>
    </r>
    <r>
      <rPr>
        <rFont val="Poppins"/>
        <sz val="7.0"/>
      </rPr>
      <t xml:space="preserve">.
- [Region investment Focus] &gt; News Article &gt; Unparalleled </t>
    </r>
    <r>
      <rPr>
        <rFont val="Poppins"/>
        <b/>
        <color rgb="FF1155CC"/>
        <sz val="7.0"/>
        <u/>
      </rPr>
      <t xml:space="preserve">global </t>
    </r>
    <r>
      <rPr>
        <rFont val="Poppins"/>
        <sz val="7.0"/>
      </rPr>
      <t xml:space="preserve">reach, resources and reputation.
- [Sector investment Focus ] &gt; Website &gt; "...Makes privately negotiated later-stage investments in </t>
    </r>
    <r>
      <rPr>
        <rFont val="Poppins"/>
        <b/>
        <color rgb="FF1155CC"/>
        <sz val="7.0"/>
        <u/>
      </rPr>
      <t>technology</t>
    </r>
    <r>
      <rPr>
        <rFont val="Poppins"/>
        <sz val="7.0"/>
      </rPr>
      <t xml:space="preserve">, health care, consumer, and other sectors..."
- [Maturity Focus = Emerging] &gt; Website &gt; "...Morgan Stanley Investment Management Launches </t>
    </r>
    <r>
      <rPr>
        <rFont val="Poppins"/>
        <b/>
        <color rgb="FF1155CC"/>
        <sz val="7.0"/>
        <u/>
      </rPr>
      <t>Emerging Manager</t>
    </r>
    <r>
      <rPr>
        <rFont val="Poppins"/>
        <sz val="7.0"/>
      </rPr>
      <t xml:space="preserve"> Program..."</t>
    </r>
  </si>
  <si>
    <t>Managing Director, Head of Hong Kong Coverage</t>
  </si>
  <si>
    <t>Michael Vollmerich</t>
  </si>
  <si>
    <t>Vollmerich</t>
  </si>
  <si>
    <t>michael.vollmerich@morganstanley.com</t>
  </si>
  <si>
    <t>https://www.linkedin.com/in/michael-vollmerich-5171918/</t>
  </si>
  <si>
    <t>Temasek</t>
  </si>
  <si>
    <t>https://www.temasek.com.sg/en/index</t>
  </si>
  <si>
    <r>
      <rPr>
        <rFont val="Poppins"/>
        <sz val="7.0"/>
      </rPr>
      <t xml:space="preserve">- [Asset class = Funds - VC] &gt; Website &gt; "...Currently, our early-stage investments account for under 6% of our total portfolio, with about half through direct investments and the rest through </t>
    </r>
    <r>
      <rPr>
        <rFont val="Poppins"/>
        <b/>
        <color rgb="FF1155CC"/>
        <sz val="7.0"/>
        <u/>
      </rPr>
      <t>venture capital funds</t>
    </r>
    <r>
      <rPr>
        <rFont val="Poppins"/>
        <sz val="7.0"/>
      </rPr>
      <t xml:space="preserve">...."
- [Region investment focus = ] &gt; Website &gt; "... and expanded beyond investing in emerging markets and Asia, to developed markets in the </t>
    </r>
    <r>
      <rPr>
        <rFont val="Poppins"/>
        <b/>
        <color rgb="FF1155CC"/>
        <sz val="7.0"/>
        <u/>
      </rPr>
      <t>US</t>
    </r>
    <r>
      <rPr>
        <rFont val="Poppins"/>
        <sz val="7.0"/>
      </rPr>
      <t xml:space="preserve"> and Europe...."
- [Sector Investment Focus ] &gt; Website &gt; "...We invest in early-stage companies to keep abreast of the latest </t>
    </r>
    <r>
      <rPr>
        <rFont val="Poppins"/>
        <b/>
        <color rgb="FF1155CC"/>
        <sz val="7.0"/>
        <u/>
      </rPr>
      <t xml:space="preserve">technologies </t>
    </r>
    <r>
      <rPr>
        <rFont val="Poppins"/>
        <sz val="7.0"/>
      </rPr>
      <t xml:space="preserve">and innovations..."
- [Maturity Focus = Emerging] &gt; Data manager judgement &gt; They have not publicly disclosed their maturity focus but the rest of the criteria aligns with your IIP. </t>
    </r>
    <r>
      <rPr>
        <rFont val="Poppins"/>
        <b/>
        <sz val="7.0"/>
      </rPr>
      <t>#DemandCreation.</t>
    </r>
  </si>
  <si>
    <t>Associate Director, Investment Group</t>
  </si>
  <si>
    <t>YU (Albert) GU</t>
  </si>
  <si>
    <t>YU</t>
  </si>
  <si>
    <t>GU</t>
  </si>
  <si>
    <t>yu.gu@temasek.com.sg</t>
  </si>
  <si>
    <t>https://www.linkedin.com/in/albertguyu/</t>
  </si>
  <si>
    <t>Siguler Guff</t>
  </si>
  <si>
    <t>https://www.sigulerguff.com/</t>
  </si>
  <si>
    <r>
      <rPr>
        <rFont val="Poppins"/>
        <sz val="7.0"/>
      </rPr>
      <t>- [Asset class = Funds - VC] &gt; Website &gt; "...</t>
    </r>
    <r>
      <rPr>
        <rFont val="Poppins"/>
        <b/>
        <sz val="7.0"/>
      </rPr>
      <t>Fund Investments</t>
    </r>
    <r>
      <rPr>
        <rFont val="Poppins"/>
        <sz val="7.0"/>
      </rPr>
      <t xml:space="preserve"> Sector or geography focused funds  </t>
    </r>
    <r>
      <rPr>
        <rFont val="Poppins"/>
        <b/>
        <color rgb="FF1155CC"/>
        <sz val="7.0"/>
        <u/>
      </rPr>
      <t>Venture</t>
    </r>
    <r>
      <rPr>
        <rFont val="Poppins"/>
        <color rgb="FF1155CC"/>
        <sz val="7.0"/>
        <u/>
      </rPr>
      <t xml:space="preserve"> </t>
    </r>
    <r>
      <rPr>
        <rFont val="Poppins"/>
        <b/>
        <color rgb="FF1155CC"/>
        <sz val="7.0"/>
        <u/>
      </rPr>
      <t>capital</t>
    </r>
    <r>
      <rPr>
        <rFont val="Poppins"/>
        <sz val="7.0"/>
      </rPr>
      <t xml:space="preserve">, growth equity and buyout focus..."
- [Region investment focus] &gt; Website  &gt; "...the Emerging Markets platform has local offices across </t>
    </r>
    <r>
      <rPr>
        <rFont val="Poppins"/>
        <b/>
        <color rgb="FF1155CC"/>
        <sz val="7.0"/>
        <u/>
      </rPr>
      <t>Asia</t>
    </r>
    <r>
      <rPr>
        <rFont val="Poppins"/>
        <sz val="7.0"/>
      </rPr>
      <t xml:space="preserve">, Latin America and Eastern Europe and contains distinct investment strategies covering commitments to private equity funds..."
- [Sector Investment focus ] &gt; Website &gt;  "...Investment Criteria (Equity &amp; Special Situations Investments): Consumption-Driven Sector Bias: Consumer, Healthcare, </t>
    </r>
    <r>
      <rPr>
        <rFont val="Poppins"/>
        <b/>
        <color rgb="FF1155CC"/>
        <sz val="7.0"/>
        <u/>
      </rPr>
      <t>Technology</t>
    </r>
    <r>
      <rPr>
        <rFont val="Poppins"/>
        <sz val="7.0"/>
      </rPr>
      <t xml:space="preserve">, Financial Services"
- [Maturity Focus = Emerging] &gt; Data manager judgement &gt; They have not publicly disclosed their maturity focus but the rest of the criteria aligns with your IIP. </t>
    </r>
    <r>
      <rPr>
        <rFont val="Poppins"/>
        <b/>
        <sz val="7.0"/>
      </rPr>
      <t>#DemandCreation.</t>
    </r>
  </si>
  <si>
    <t>Gee Lee</t>
  </si>
  <si>
    <t>Gee</t>
  </si>
  <si>
    <t>glee@sigulerguff.com</t>
  </si>
  <si>
    <t>https://www.linkedin.com/in/gee-lee-8630942b/</t>
  </si>
  <si>
    <t>Raymond Yip</t>
  </si>
  <si>
    <t>https://www.linkedin.com/in/rayyip/?isSelfProfile=false</t>
  </si>
  <si>
    <r>
      <rPr>
        <rFont val="Poppins"/>
        <sz val="7.0"/>
      </rPr>
      <t>- [Asset class = Funds-VC] &gt; Linkedin &gt; I am also a</t>
    </r>
    <r>
      <rPr>
        <rFont val="Poppins"/>
        <b/>
        <sz val="7.0"/>
      </rPr>
      <t xml:space="preserve"> Limited Partner</t>
    </r>
    <r>
      <rPr>
        <rFont val="Poppins"/>
        <sz val="7.0"/>
      </rPr>
      <t xml:space="preserve"> in </t>
    </r>
    <r>
      <rPr>
        <rFont val="Poppins"/>
        <b/>
        <sz val="7.0"/>
      </rPr>
      <t>C2V Capital Partners</t>
    </r>
    <r>
      <rPr>
        <rFont val="Poppins"/>
        <sz val="7.0"/>
      </rPr>
      <t xml:space="preserve"> and </t>
    </r>
    <r>
      <rPr>
        <rFont val="Poppins"/>
        <b/>
        <color rgb="FF1155CC"/>
        <sz val="7.0"/>
        <u/>
      </rPr>
      <t xml:space="preserve">Firsthand Ventures </t>
    </r>
    <r>
      <rPr>
        <rFont val="Poppins"/>
        <sz val="7.0"/>
      </rPr>
      <t xml:space="preserve">
- [Sector Investment Focus] &gt; Linkedin &gt;  investing in early stage</t>
    </r>
    <r>
      <rPr>
        <rFont val="Poppins"/>
        <b/>
        <color rgb="FF1155CC"/>
        <sz val="7.0"/>
        <u/>
      </rPr>
      <t xml:space="preserve"> AI</t>
    </r>
    <r>
      <rPr>
        <rFont val="Poppins"/>
        <sz val="7.0"/>
      </rPr>
      <t xml:space="preserve"> startups
- [Region Investment focus] &gt; Linkedin &gt; I am also a Limited Partner in C2V Capital Partners and Firsthand Ventures in </t>
    </r>
    <r>
      <rPr>
        <rFont val="Poppins"/>
        <b/>
        <color rgb="FF1155CC"/>
        <sz val="7.0"/>
        <u/>
      </rPr>
      <t>New York</t>
    </r>
    <r>
      <rPr>
        <rFont val="Poppins"/>
        <sz val="7.0"/>
      </rPr>
      <t>.</t>
    </r>
  </si>
  <si>
    <t>longevity focus</t>
  </si>
  <si>
    <t>Raymond</t>
  </si>
  <si>
    <t xml:space="preserve"> Yip</t>
  </si>
  <si>
    <t>raymondhyip@gmail.com</t>
  </si>
  <si>
    <t>Will Au</t>
  </si>
  <si>
    <t>https://www.linkedin.com/in/mrwillau/</t>
  </si>
  <si>
    <r>
      <rPr>
        <rFont val="Poppins"/>
        <color rgb="FF000000"/>
        <sz val="7.0"/>
      </rPr>
      <t>- [Asset Class = Fund - VC] &gt; Linekdin &gt; Investor/</t>
    </r>
    <r>
      <rPr>
        <rFont val="Poppins"/>
        <b/>
        <color rgb="FF1155CC"/>
        <sz val="7.0"/>
        <u/>
      </rPr>
      <t>LP</t>
    </r>
    <r>
      <rPr>
        <rFont val="Poppins"/>
        <color rgb="FF000000"/>
        <sz val="7.0"/>
      </rPr>
      <t xml:space="preserve"> +  </t>
    </r>
    <r>
      <rPr>
        <rFont val="Poppins"/>
        <b/>
        <color rgb="FF000000"/>
        <sz val="7.0"/>
      </rPr>
      <t>Limited Partner</t>
    </r>
    <r>
      <rPr>
        <rFont val="Poppins"/>
        <color rgb="FF000000"/>
        <sz val="7.0"/>
      </rPr>
      <t xml:space="preserve"> in multiple </t>
    </r>
    <r>
      <rPr>
        <rFont val="Poppins"/>
        <b/>
        <color rgb="FF1155CC"/>
        <sz val="7.0"/>
        <u/>
      </rPr>
      <t>VC funds</t>
    </r>
    <r>
      <rPr>
        <rFont val="Poppins"/>
        <color rgb="FF000000"/>
        <sz val="7.0"/>
      </rPr>
      <t xml:space="preserve">.
- [Region Investment Focus] &gt; Linekdin &gt; Limited Partner in multiple VC funds across </t>
    </r>
    <r>
      <rPr>
        <rFont val="Poppins"/>
        <b/>
        <color rgb="FF000000"/>
        <sz val="7.0"/>
      </rPr>
      <t>Silicon Valley, Asia,</t>
    </r>
    <r>
      <rPr>
        <rFont val="Poppins"/>
        <color rgb="FF000000"/>
        <sz val="7.0"/>
      </rPr>
      <t xml:space="preserve"> and </t>
    </r>
    <r>
      <rPr>
        <rFont val="Poppins"/>
        <b/>
        <color rgb="FF1155CC"/>
        <sz val="7.0"/>
        <u/>
      </rPr>
      <t>North America</t>
    </r>
    <r>
      <rPr>
        <rFont val="Poppins"/>
        <color rgb="FF000000"/>
        <sz val="7.0"/>
      </rPr>
      <t xml:space="preserve">
- [Sector Investment Focus] &gt; Linekdin &gt; DeFi liquidity, </t>
    </r>
    <r>
      <rPr>
        <rFont val="Poppins"/>
        <b/>
        <color rgb="FF000000"/>
        <sz val="7.0"/>
      </rPr>
      <t>AI agentic</t>
    </r>
    <r>
      <rPr>
        <rFont val="Poppins"/>
        <color rgb="FF000000"/>
        <sz val="7.0"/>
      </rPr>
      <t xml:space="preserve"> madness, and Web3</t>
    </r>
  </si>
  <si>
    <t>recU7OW3xTm2mRcrR</t>
  </si>
  <si>
    <t>Will</t>
  </si>
  <si>
    <t>Au</t>
  </si>
  <si>
    <t>willau@gmail.com</t>
  </si>
  <si>
    <t>Nexus Bay Capital</t>
  </si>
  <si>
    <t>https://www.nexusbaycap.com/#top</t>
  </si>
  <si>
    <t>Website, Data manager judgement, Private data provider, Portfolio</t>
  </si>
  <si>
    <r>
      <rPr>
        <rFont val="Poppins"/>
        <sz val="7.0"/>
      </rPr>
      <t xml:space="preserve">- [Asset class = Funds - VC] &gt; Website &gt; "...Access to Top-Tier </t>
    </r>
    <r>
      <rPr>
        <rFont val="Poppins"/>
        <b/>
        <sz val="7.0"/>
      </rPr>
      <t>Venture Capital Funds</t>
    </r>
    <r>
      <rPr>
        <rFont val="Poppins"/>
        <sz val="7.0"/>
      </rPr>
      <t xml:space="preserve">: We invest in leading, hard-to-access </t>
    </r>
    <r>
      <rPr>
        <rFont val="Poppins"/>
        <b/>
        <color rgb="FF1155CC"/>
        <sz val="7.0"/>
        <u/>
      </rPr>
      <t>venture capital funds</t>
    </r>
    <r>
      <rPr>
        <rFont val="Poppins"/>
        <sz val="7.0"/>
      </rPr>
      <t xml:space="preserve"> and innovative tech startups..."
- [Maturity Focus = Emerging] &gt; Data manager judgement &gt; Private data provider confirms that they invest in </t>
    </r>
    <r>
      <rPr>
        <rFont val="Poppins"/>
        <b/>
        <color rgb="FF1155CC"/>
        <sz val="7.0"/>
        <u/>
      </rPr>
      <t>emerging managers</t>
    </r>
    <r>
      <rPr>
        <rFont val="Poppins"/>
        <sz val="7.0"/>
      </rPr>
      <t xml:space="preserve"> (Creator Ventures Fund II).
- [Sector investment focus] &gt; Data manager judgement &gt; They have investments in their portfolio that which focus on </t>
    </r>
    <r>
      <rPr>
        <rFont val="Poppins"/>
        <b/>
        <color rgb="FF1155CC"/>
        <sz val="7.0"/>
        <u/>
      </rPr>
      <t>AI</t>
    </r>
    <r>
      <rPr>
        <rFont val="Poppins"/>
        <sz val="7.0"/>
      </rPr>
      <t xml:space="preserve">, ex: Fastbreak AI, Micro1, etc.
- [Region investment focus] &gt; Data manager judgement + Private data provider &gt; Their investments are based in the </t>
    </r>
    <r>
      <rPr>
        <rFont val="Poppins"/>
        <b/>
        <color rgb="FF1155CC"/>
        <sz val="7.0"/>
        <u/>
      </rPr>
      <t>United States</t>
    </r>
    <r>
      <rPr>
        <rFont val="Poppins"/>
        <sz val="7.0"/>
      </rPr>
      <t xml:space="preserve">, ex: Fastbreak AI, Micro1, etc. + The firm focuses on various industries across the </t>
    </r>
    <r>
      <rPr>
        <rFont val="Poppins"/>
        <b/>
        <color rgb="FF1155CC"/>
        <sz val="7.0"/>
        <u/>
      </rPr>
      <t>U.S</t>
    </r>
  </si>
  <si>
    <t>Andy Ann</t>
  </si>
  <si>
    <t>https://www.linkedin.com/in/andy-ann/</t>
  </si>
  <si>
    <r>
      <rPr>
        <rFont val="Poppins"/>
        <sz val="7.0"/>
      </rPr>
      <t xml:space="preserve">- [Asset class = Funds - VC] &gt; LinkedIn &gt; He is an </t>
    </r>
    <r>
      <rPr>
        <rFont val="Poppins"/>
        <b/>
        <sz val="7.0"/>
      </rPr>
      <t xml:space="preserve">LP </t>
    </r>
    <r>
      <rPr>
        <rFont val="Poppins"/>
        <sz val="7.0"/>
      </rPr>
      <t xml:space="preserve">in </t>
    </r>
    <r>
      <rPr>
        <rFont val="Poppins"/>
        <b/>
        <color rgb="FF1155CC"/>
        <sz val="7.0"/>
        <u/>
      </rPr>
      <t>VC funds</t>
    </r>
    <r>
      <rPr>
        <rFont val="Poppins"/>
        <sz val="7.0"/>
      </rPr>
      <t xml:space="preserve">, ex: </t>
    </r>
    <r>
      <rPr>
        <rFont val="Poppins"/>
        <b/>
        <sz val="7.0"/>
      </rPr>
      <t>FirsthandVC and Reforge.</t>
    </r>
    <r>
      <rPr>
        <rFont val="Poppins"/>
        <sz val="7.0"/>
      </rPr>
      <t xml:space="preserve">
- [Sector investment focus] &gt; Data manager judgement &gt; His investments focus on </t>
    </r>
    <r>
      <rPr>
        <rFont val="Poppins"/>
        <b/>
        <color rgb="FF1155CC"/>
        <sz val="7.0"/>
        <u/>
      </rPr>
      <t>AI</t>
    </r>
    <r>
      <rPr>
        <rFont val="Poppins"/>
        <sz val="7.0"/>
      </rPr>
      <t xml:space="preserve">, ex: FirsthandVC.
- [Region investment focus] &gt; Data manager judgement &gt; His investments are based in the </t>
    </r>
    <r>
      <rPr>
        <rFont val="Poppins"/>
        <b/>
        <color rgb="FF1155CC"/>
        <sz val="7.0"/>
        <u/>
      </rPr>
      <t>United States</t>
    </r>
    <r>
      <rPr>
        <rFont val="Poppins"/>
        <sz val="7.0"/>
      </rPr>
      <t>, ex: FirsthandVC and Reforge.</t>
    </r>
  </si>
  <si>
    <t>Chi Ho W.</t>
  </si>
  <si>
    <t>https://www.linkedin.com/in/chihowong/</t>
  </si>
  <si>
    <r>
      <rPr>
        <rFont val="Poppins"/>
        <sz val="7.0"/>
      </rPr>
      <t xml:space="preserve">- [Asset class = Funds - VC] &gt; LinkedIn &gt; His keen interest in emerging technologies has led him to become a </t>
    </r>
    <r>
      <rPr>
        <rFont val="Poppins"/>
        <b/>
        <sz val="7.0"/>
      </rPr>
      <t>limited partner (LP)</t>
    </r>
    <r>
      <rPr>
        <rFont val="Poppins"/>
        <sz val="7.0"/>
      </rPr>
      <t xml:space="preserve"> in various </t>
    </r>
    <r>
      <rPr>
        <rFont val="Poppins"/>
        <b/>
        <color rgb="FF1155CC"/>
        <sz val="7.0"/>
        <u/>
      </rPr>
      <t>venture capital (VC) funds</t>
    </r>
    <r>
      <rPr>
        <rFont val="Poppins"/>
        <sz val="7.0"/>
      </rPr>
      <t xml:space="preserve">
- [Sector investment focus] &gt; LinkedIn &gt; His keen interest in emerging </t>
    </r>
    <r>
      <rPr>
        <rFont val="Poppins"/>
        <b/>
        <color rgb="FF1155CC"/>
        <sz val="7.0"/>
        <u/>
      </rPr>
      <t>technologies</t>
    </r>
    <r>
      <rPr>
        <rFont val="Poppins"/>
        <sz val="7.0"/>
      </rPr>
      <t xml:space="preserve"> has led him to become a limited partner (LP) in various venture capital (VC) funds
- [Region investment focus] &gt; Data manager judgement &gt; He is based in </t>
    </r>
    <r>
      <rPr>
        <rFont val="Poppins"/>
        <b/>
        <sz val="7.0"/>
      </rPr>
      <t>Hong Kong</t>
    </r>
    <r>
      <rPr>
        <rFont val="Poppins"/>
        <sz val="7.0"/>
      </rPr>
      <t xml:space="preserve">, which indicates that his investments are </t>
    </r>
    <r>
      <rPr>
        <rFont val="Poppins"/>
        <b/>
        <sz val="7.0"/>
      </rPr>
      <t>Hong Kong</t>
    </r>
    <r>
      <rPr>
        <rFont val="Poppins"/>
        <sz val="7.0"/>
      </rPr>
      <t xml:space="preserve"> based as well. </t>
    </r>
    <r>
      <rPr>
        <rFont val="Poppins"/>
        <b/>
        <sz val="7.0"/>
      </rPr>
      <t>#DemandCreation.</t>
    </r>
  </si>
  <si>
    <t>Menka Patel</t>
  </si>
  <si>
    <t>https://www.linkedin.com/in/menka-p-8501613/</t>
  </si>
  <si>
    <r>
      <rPr>
        <rFont val="Poppins"/>
        <sz val="7.0"/>
      </rPr>
      <t xml:space="preserve">- [Asset class = Funds - VC] &gt; LinkedIn &gt; She is a </t>
    </r>
    <r>
      <rPr>
        <rFont val="Poppins"/>
        <b/>
        <sz val="7.0"/>
      </rPr>
      <t>limited partner</t>
    </r>
    <r>
      <rPr>
        <rFont val="Poppins"/>
        <sz val="7.0"/>
      </rPr>
      <t xml:space="preserve"> in </t>
    </r>
    <r>
      <rPr>
        <rFont val="Poppins"/>
        <b/>
        <color rgb="FF1155CC"/>
        <sz val="7.0"/>
        <u/>
      </rPr>
      <t>VC funds</t>
    </r>
    <r>
      <rPr>
        <rFont val="Poppins"/>
        <sz val="7.0"/>
      </rPr>
      <t xml:space="preserve">, ex: </t>
    </r>
    <r>
      <rPr>
        <rFont val="Poppins"/>
        <b/>
        <sz val="7.0"/>
      </rPr>
      <t>Park Rangers Capital, SoGal Ventures</t>
    </r>
    <r>
      <rPr>
        <rFont val="Poppins"/>
        <sz val="7.0"/>
      </rPr>
      <t xml:space="preserve">.
- [Sector investment focus] &gt; Data manager judgement &gt; Her investments focus on </t>
    </r>
    <r>
      <rPr>
        <rFont val="Poppins"/>
        <b/>
        <color rgb="FF1155CC"/>
        <sz val="7.0"/>
        <u/>
      </rPr>
      <t>AI</t>
    </r>
    <r>
      <rPr>
        <rFont val="Poppins"/>
        <sz val="7.0"/>
      </rPr>
      <t xml:space="preserve">, ex: Park Rangers Capital.
- [Region investment focus] &gt; Data manager judgement &gt; Her investments are based in the </t>
    </r>
    <r>
      <rPr>
        <rFont val="Poppins"/>
        <b/>
        <color rgb="FF1155CC"/>
        <sz val="7.0"/>
        <u/>
      </rPr>
      <t>United States</t>
    </r>
    <r>
      <rPr>
        <rFont val="Poppins"/>
        <sz val="7.0"/>
      </rPr>
      <t>, ex: Park Rangers Capital, SoGal Ventures.</t>
    </r>
  </si>
  <si>
    <t>Everest Ventures Group</t>
  </si>
  <si>
    <t>https://www.evg.co/</t>
  </si>
  <si>
    <r>
      <rPr>
        <rFont val="Poppins"/>
        <sz val="7.0"/>
      </rPr>
      <t xml:space="preserve">- [Asset Class = Fund - VC] &gt; Data manager judgement &gt; Their investments confirm that they invest in </t>
    </r>
    <r>
      <rPr>
        <rFont val="Poppins"/>
        <b/>
        <color rgb="FF1155CC"/>
        <sz val="7.0"/>
        <u/>
      </rPr>
      <t>VC funds</t>
    </r>
    <r>
      <rPr>
        <rFont val="Poppins"/>
        <sz val="7.0"/>
      </rPr>
      <t xml:space="preserve">, ex: </t>
    </r>
    <r>
      <rPr>
        <rFont val="Poppins"/>
        <b/>
        <sz val="7.0"/>
      </rPr>
      <t>6th Man Ventures, Folius Ventures</t>
    </r>
    <r>
      <rPr>
        <rFont val="Poppins"/>
        <sz val="7.0"/>
      </rPr>
      <t xml:space="preserve">.
- [Region Investment Focus] &gt; Website + Data manager judgement &gt; "...We are an </t>
    </r>
    <r>
      <rPr>
        <rFont val="Poppins"/>
        <b/>
        <color rgb="FF1155CC"/>
        <sz val="7.0"/>
        <u/>
      </rPr>
      <t>Asia</t>
    </r>
    <r>
      <rPr>
        <rFont val="Poppins"/>
        <sz val="7.0"/>
      </rPr>
      <t xml:space="preserve"> premier venture studio..." + They have investments in the </t>
    </r>
    <r>
      <rPr>
        <rFont val="Poppins"/>
        <b/>
        <color rgb="FF1155CC"/>
        <sz val="7.0"/>
        <u/>
      </rPr>
      <t>United States</t>
    </r>
    <r>
      <rPr>
        <rFont val="Poppins"/>
        <sz val="7.0"/>
      </rPr>
      <t>, ex: 6th Man Ventures, Folius Ventures.
- [Sector Investment Focus] &gt; Website + Data manager judgement &gt; "...</t>
    </r>
    <r>
      <rPr>
        <rFont val="Poppins"/>
        <b/>
        <color rgb="FF1155CC"/>
        <sz val="7.0"/>
        <u/>
      </rPr>
      <t>AI</t>
    </r>
    <r>
      <rPr>
        <rFont val="Poppins"/>
        <sz val="7.0"/>
      </rPr>
      <t xml:space="preserve"> &amp; </t>
    </r>
    <r>
      <rPr>
        <rFont val="Poppins"/>
        <b/>
        <sz val="7.0"/>
      </rPr>
      <t>Tech</t>
    </r>
    <r>
      <rPr>
        <rFont val="Poppins"/>
        <sz val="7.0"/>
      </rPr>
      <t xml:space="preserve">..." + They have </t>
    </r>
    <r>
      <rPr>
        <rFont val="Poppins"/>
        <b/>
        <color rgb="FF1155CC"/>
        <sz val="7.0"/>
        <u/>
      </rPr>
      <t>AI</t>
    </r>
    <r>
      <rPr>
        <rFont val="Poppins"/>
        <sz val="7.0"/>
      </rPr>
      <t xml:space="preserve"> focused investments in their portfolio, ex: </t>
    </r>
    <r>
      <rPr>
        <rFont val="Poppins"/>
        <b/>
        <sz val="7.0"/>
      </rPr>
      <t>Suia, Rct.ai.</t>
    </r>
    <r>
      <rPr>
        <rFont val="Poppins"/>
        <sz val="7.0"/>
      </rPr>
      <t xml:space="preserve">
- [Maturity Focus = Emerging] &gt; Data manager judgement &gt; Their portfolio confirms therir investment in </t>
    </r>
    <r>
      <rPr>
        <rFont val="Poppins"/>
        <b/>
        <color rgb="FF1155CC"/>
        <sz val="7.0"/>
        <u/>
      </rPr>
      <t>emerging managers</t>
    </r>
    <r>
      <rPr>
        <rFont val="Poppins"/>
        <sz val="7.0"/>
      </rPr>
      <t xml:space="preserve"> (Lightspeed Faction Fund).</t>
    </r>
  </si>
  <si>
    <t>Ardian</t>
  </si>
  <si>
    <t>https://www.ardian.com/</t>
  </si>
  <si>
    <r>
      <rPr>
        <rFont val="Poppins"/>
        <sz val="7.0"/>
      </rPr>
      <t xml:space="preserve">-[Asset class = Funds-VC] &gt; Website + Private data provider &gt; "...Secondaries &amp; Primaries Investing in </t>
    </r>
    <r>
      <rPr>
        <rFont val="Poppins"/>
        <b/>
        <color rgb="FF1155CC"/>
        <sz val="7.0"/>
        <u/>
      </rPr>
      <t xml:space="preserve">private market funds </t>
    </r>
    <r>
      <rPr>
        <rFont val="Poppins"/>
        <sz val="7.0"/>
      </rPr>
      <t xml:space="preserve">since 1999..." + In pursuing its investment objective, the Fund intends to invest in a global portfolio of private asset investments (“Private Assets”) across a broad set of managers, strategies (e.g., focusing on buyout, growth capital, </t>
    </r>
    <r>
      <rPr>
        <rFont val="Poppins"/>
        <b/>
        <color rgb="FF1155CC"/>
        <sz val="7.0"/>
        <u/>
      </rPr>
      <t>venture capital</t>
    </r>
    <r>
      <rPr>
        <rFont val="Poppins"/>
        <sz val="7.0"/>
      </rPr>
      <t xml:space="preserve">, special situations, infrastructure and/or other private assets).
-[Sector investment focus] &gt; Website &gt; "...4 key sectors (IT &amp; </t>
    </r>
    <r>
      <rPr>
        <rFont val="Poppins"/>
        <b/>
        <color rgb="FF1155CC"/>
        <sz val="7.0"/>
        <u/>
      </rPr>
      <t>Technologies</t>
    </r>
    <r>
      <rPr>
        <rFont val="Poppins"/>
        <sz val="7.0"/>
      </rPr>
      <t xml:space="preserve">, Business Services, Healthcare and Value-Added
Industrials)..." + "...Ardian's </t>
    </r>
    <r>
      <rPr>
        <rFont val="Poppins"/>
        <b/>
        <color rgb="FF1155CC"/>
        <sz val="7.0"/>
        <u/>
      </rPr>
      <t>Al</t>
    </r>
    <r>
      <rPr>
        <rFont val="Poppins"/>
        <sz val="7.0"/>
      </rPr>
      <t xml:space="preserve"> integration..."
-[Region investment focus] &gt; Website &gt; "...We are Europe’s leading private equity investor with local teams in Paris, London, Frankfurt, Milan and Madrid, and a growing presence in </t>
    </r>
    <r>
      <rPr>
        <rFont val="Poppins"/>
        <b/>
        <color rgb="FF1155CC"/>
        <sz val="7.0"/>
        <u/>
      </rPr>
      <t>North America</t>
    </r>
    <r>
      <rPr>
        <rFont val="Poppins"/>
        <sz val="7.0"/>
      </rPr>
      <t xml:space="preserve">..."
- [Maturity Focus = Emerging] &gt; They haven't publicly disclosed their maturity focus but the rest of the criteria aligns with your IIP. </t>
    </r>
    <r>
      <rPr>
        <rFont val="Poppins"/>
        <b/>
        <sz val="7.0"/>
      </rPr>
      <t>#DemandCreation.</t>
    </r>
  </si>
  <si>
    <t>Dont do PE</t>
  </si>
  <si>
    <t>Eric Nadalin</t>
  </si>
  <si>
    <t>https://www.linkedin.com/in/enadalin/</t>
  </si>
  <si>
    <t>London</t>
  </si>
  <si>
    <r>
      <rPr>
        <rFont val="Poppins"/>
        <color rgb="FF000000"/>
        <sz val="7.0"/>
      </rPr>
      <t xml:space="preserve">-[Asset class = Funds-VC] &gt; Linkedin &gt; He is a </t>
    </r>
    <r>
      <rPr>
        <rFont val="Poppins"/>
        <b/>
        <color rgb="FF000000"/>
        <sz val="7.0"/>
      </rPr>
      <t>limited partner</t>
    </r>
    <r>
      <rPr>
        <rFont val="Poppins"/>
        <color rgb="FF000000"/>
        <sz val="7.0"/>
      </rPr>
      <t xml:space="preserve"> in </t>
    </r>
    <r>
      <rPr>
        <rFont val="Poppins"/>
        <b/>
        <color rgb="FF1155CC"/>
        <sz val="7.0"/>
        <u/>
      </rPr>
      <t>VC funds</t>
    </r>
    <r>
      <rPr>
        <rFont val="Poppins"/>
        <color rgb="FF000000"/>
        <sz val="7.0"/>
      </rPr>
      <t xml:space="preserve"> (</t>
    </r>
    <r>
      <rPr>
        <rFont val="Poppins"/>
        <b/>
        <color rgb="FF000000"/>
        <sz val="7.0"/>
      </rPr>
      <t>Enzo Ventures, MMC Ventures. Episode 1 Ventures</t>
    </r>
    <r>
      <rPr>
        <rFont val="Poppins"/>
        <color rgb="FF000000"/>
        <sz val="7.0"/>
      </rPr>
      <t xml:space="preserve">)
-[Sector investment focus] &gt; Data manager judgement &gt; His investments focus on </t>
    </r>
    <r>
      <rPr>
        <rFont val="Poppins"/>
        <b/>
        <color rgb="FF1155CC"/>
        <sz val="7.0"/>
        <u/>
      </rPr>
      <t>AI, SaaS</t>
    </r>
    <r>
      <rPr>
        <rFont val="Poppins"/>
        <color rgb="FF000000"/>
        <sz val="7.0"/>
      </rPr>
      <t xml:space="preserve"> (</t>
    </r>
    <r>
      <rPr>
        <rFont val="Poppins"/>
        <b/>
        <color rgb="FF000000"/>
        <sz val="7.0"/>
      </rPr>
      <t>MMC Ventures, Episode 1 Ventures</t>
    </r>
    <r>
      <rPr>
        <rFont val="Poppins"/>
        <color rgb="FF000000"/>
        <sz val="7.0"/>
      </rPr>
      <t xml:space="preserve">)
-[Region investment focus] &gt; Data manager judgement &gt; His investments are based in </t>
    </r>
    <r>
      <rPr>
        <rFont val="Poppins"/>
        <b/>
        <color rgb="FF1155CC"/>
        <sz val="7.0"/>
        <u/>
      </rPr>
      <t>Europe</t>
    </r>
    <r>
      <rPr>
        <rFont val="Poppins"/>
        <color rgb="FF000000"/>
        <sz val="7.0"/>
      </rPr>
      <t xml:space="preserve"> (</t>
    </r>
    <r>
      <rPr>
        <rFont val="Poppins"/>
        <b/>
        <color rgb="FF000000"/>
        <sz val="7.0"/>
      </rPr>
      <t>Enzo Ventures, MMC Ventures. Episode 1 Ventures</t>
    </r>
    <r>
      <rPr>
        <rFont val="Poppins"/>
        <color rgb="FF000000"/>
        <sz val="7.0"/>
      </rPr>
      <t>)</t>
    </r>
  </si>
  <si>
    <t>Nadalin</t>
  </si>
  <si>
    <t>eric_n69@yahoo.com</t>
  </si>
  <si>
    <t>Parvin Mammadov</t>
  </si>
  <si>
    <t>https://www.linkedin.com/in/parvinmammadov/</t>
  </si>
  <si>
    <r>
      <rPr>
        <rFont val="Poppins"/>
        <sz val="7.0"/>
      </rPr>
      <t xml:space="preserve">- [Asset class = Funds - VC] &gt; Linkedin &gt; He is a </t>
    </r>
    <r>
      <rPr>
        <rFont val="Poppins"/>
        <b/>
        <sz val="7.0"/>
      </rPr>
      <t xml:space="preserve">limited partner </t>
    </r>
    <r>
      <rPr>
        <rFont val="Poppins"/>
        <sz val="7.0"/>
      </rPr>
      <t xml:space="preserve">in </t>
    </r>
    <r>
      <rPr>
        <rFont val="Poppins"/>
        <b/>
        <color rgb="FF1155CC"/>
        <sz val="7.0"/>
        <u/>
      </rPr>
      <t>VC funds</t>
    </r>
    <r>
      <rPr>
        <rFont val="Poppins"/>
        <sz val="7.0"/>
      </rPr>
      <t xml:space="preserve"> (Andrena Ventures, Fundomo, etc)
- [Sector investment focus] &gt; Data manager judgement &gt; His investments focus on Deep Tech, </t>
    </r>
    <r>
      <rPr>
        <rFont val="Poppins"/>
        <b/>
        <color rgb="FF1155CC"/>
        <sz val="7.0"/>
        <u/>
      </rPr>
      <t>AI</t>
    </r>
    <r>
      <rPr>
        <rFont val="Poppins"/>
        <sz val="7.0"/>
      </rPr>
      <t xml:space="preserve">, etc (Andrena Ventures, Fundomo, etc)
- [Region investment focus] &gt; Linkedin &gt; His investments are based in </t>
    </r>
    <r>
      <rPr>
        <rFont val="Poppins"/>
        <b/>
        <sz val="7.0"/>
      </rPr>
      <t>North America</t>
    </r>
    <r>
      <rPr>
        <rFont val="Poppins"/>
        <sz val="7.0"/>
      </rPr>
      <t xml:space="preserve"> and </t>
    </r>
    <r>
      <rPr>
        <rFont val="Poppins"/>
        <b/>
        <color rgb="FF1155CC"/>
        <sz val="7.0"/>
        <u/>
      </rPr>
      <t>Europe</t>
    </r>
    <r>
      <rPr>
        <rFont val="Poppins"/>
        <sz val="7.0"/>
      </rPr>
      <t xml:space="preserve"> (Andrena Ventures, Fundomo, etc)</t>
    </r>
  </si>
  <si>
    <t>mammadov.p@hotmail.co.uk</t>
  </si>
  <si>
    <t>Robert Swerling</t>
  </si>
  <si>
    <t>https://www.linkedin.com/in/robertswerling/</t>
  </si>
  <si>
    <r>
      <rPr>
        <rFont val="Poppins"/>
        <sz val="7.0"/>
      </rPr>
      <t xml:space="preserve">- [Asset class = Funds - VC] &gt; LinkedIn &gt; He is a </t>
    </r>
    <r>
      <rPr>
        <rFont val="Poppins"/>
        <b/>
        <sz val="7.0"/>
      </rPr>
      <t>limited partner</t>
    </r>
    <r>
      <rPr>
        <rFont val="Poppins"/>
        <sz val="7.0"/>
      </rPr>
      <t xml:space="preserve"> in </t>
    </r>
    <r>
      <rPr>
        <rFont val="Poppins"/>
        <b/>
        <color rgb="FF1155CC"/>
        <sz val="7.0"/>
        <u/>
      </rPr>
      <t>VC funds</t>
    </r>
    <r>
      <rPr>
        <rFont val="Poppins"/>
        <sz val="7.0"/>
      </rPr>
      <t xml:space="preserve">, ex: Hoxton Ventures, Outward VC, etc.
- [Sector investment focus] &gt; Data manager judgement &gt; His investments focus on </t>
    </r>
    <r>
      <rPr>
        <rFont val="Poppins"/>
        <b/>
        <sz val="7.0"/>
      </rPr>
      <t xml:space="preserve">deep tech and </t>
    </r>
    <r>
      <rPr>
        <rFont val="Poppins"/>
        <b/>
        <color rgb="FF1155CC"/>
        <sz val="7.0"/>
        <u/>
      </rPr>
      <t>AI</t>
    </r>
    <r>
      <rPr>
        <rFont val="Poppins"/>
        <sz val="7.0"/>
      </rPr>
      <t xml:space="preserve">, ex: Zero Carbon, Hoxton Ventures.
- [Region investment focus] &gt; Data manager judgement &gt; His investments are based in the </t>
    </r>
    <r>
      <rPr>
        <rFont val="Poppins"/>
        <b/>
        <color rgb="FF1155CC"/>
        <sz val="7.0"/>
        <u/>
      </rPr>
      <t>United Kingdom</t>
    </r>
    <r>
      <rPr>
        <rFont val="Poppins"/>
        <sz val="7.0"/>
      </rPr>
      <t>, ex: Hoxton Ventures, Outward VC, etc.</t>
    </r>
  </si>
  <si>
    <t>Swerling</t>
  </si>
  <si>
    <t>robertswerling@gmail.com</t>
  </si>
  <si>
    <t>Chris Lee</t>
  </si>
  <si>
    <t>https://www.linkedin.com/in/leechris1/</t>
  </si>
  <si>
    <r>
      <rPr>
        <rFont val="Poppins"/>
        <sz val="7.0"/>
      </rPr>
      <t xml:space="preserve">- [Asset class = Funds - VC] &gt; LinkedIn &gt; He is a </t>
    </r>
    <r>
      <rPr>
        <rFont val="Poppins"/>
        <b/>
        <sz val="7.0"/>
      </rPr>
      <t xml:space="preserve">limited partner </t>
    </r>
    <r>
      <rPr>
        <rFont val="Poppins"/>
        <sz val="7.0"/>
      </rPr>
      <t>in</t>
    </r>
    <r>
      <rPr>
        <rFont val="Poppins"/>
        <b/>
        <sz val="7.0"/>
      </rPr>
      <t xml:space="preserve"> </t>
    </r>
    <r>
      <rPr>
        <rFont val="Poppins"/>
        <b/>
        <color rgb="FF1155CC"/>
        <sz val="7.0"/>
        <u/>
      </rPr>
      <t>VC funds</t>
    </r>
    <r>
      <rPr>
        <rFont val="Poppins"/>
        <b/>
        <sz val="7.0"/>
      </rPr>
      <t>, Play Ventures, Connect Ventures, etc.</t>
    </r>
    <r>
      <rPr>
        <rFont val="Poppins"/>
        <sz val="7.0"/>
      </rPr>
      <t xml:space="preserve">
- [Sector investment focus] &gt; Data manager judgement &gt; His investments focus on </t>
    </r>
    <r>
      <rPr>
        <rFont val="Poppins"/>
        <b/>
        <sz val="7.0"/>
      </rPr>
      <t>technology</t>
    </r>
    <r>
      <rPr>
        <rFont val="Poppins"/>
        <sz val="7.0"/>
      </rPr>
      <t>,</t>
    </r>
    <r>
      <rPr>
        <rFont val="Poppins"/>
        <b/>
        <sz val="7.0"/>
      </rPr>
      <t xml:space="preserve"> </t>
    </r>
    <r>
      <rPr>
        <rFont val="Poppins"/>
        <b/>
        <color rgb="FF1155CC"/>
        <sz val="7.0"/>
        <u/>
      </rPr>
      <t>AI</t>
    </r>
    <r>
      <rPr>
        <rFont val="Poppins"/>
        <sz val="7.0"/>
      </rPr>
      <t xml:space="preserve">, </t>
    </r>
    <r>
      <rPr>
        <rFont val="Poppins"/>
        <b/>
        <sz val="7.0"/>
      </rPr>
      <t>deep tech</t>
    </r>
    <r>
      <rPr>
        <rFont val="Poppins"/>
        <sz val="7.0"/>
      </rPr>
      <t xml:space="preserve">, data, infrastructure, </t>
    </r>
    <r>
      <rPr>
        <rFont val="Poppins"/>
        <b/>
        <sz val="7.0"/>
      </rPr>
      <t>fintech</t>
    </r>
    <r>
      <rPr>
        <rFont val="Poppins"/>
        <sz val="7.0"/>
      </rPr>
      <t xml:space="preserve"> and health, ex: Play Ventures, Connect Ventures.
- [Region investment focus] &gt; Data manager judgement &gt; His investments are based in </t>
    </r>
    <r>
      <rPr>
        <rFont val="Poppins"/>
        <b/>
        <sz val="7.0"/>
      </rPr>
      <t xml:space="preserve">Asia and </t>
    </r>
    <r>
      <rPr>
        <rFont val="Poppins"/>
        <b/>
        <color rgb="FF1155CC"/>
        <sz val="7.0"/>
        <u/>
      </rPr>
      <t>Europe</t>
    </r>
    <r>
      <rPr>
        <rFont val="Poppins"/>
        <sz val="7.0"/>
      </rPr>
      <t>, ex: Play Ventures, Connect Ventures, Fabric Ventures.</t>
    </r>
  </si>
  <si>
    <t>leechris1@mac.com</t>
  </si>
  <si>
    <t>https://www.linkedin.com/in/leechris1</t>
  </si>
  <si>
    <t>Gabbi Cahane</t>
  </si>
  <si>
    <t>https://www.linkedin.com/in/gabbicahane/</t>
  </si>
  <si>
    <r>
      <rPr>
        <rFont val="Poppins"/>
        <sz val="7.0"/>
      </rPr>
      <t xml:space="preserve">-[Asset class = Funds-VC] &gt; Linkedin &gt; He is a </t>
    </r>
    <r>
      <rPr>
        <rFont val="Poppins"/>
        <b/>
        <sz val="7.0"/>
      </rPr>
      <t>limited partner</t>
    </r>
    <r>
      <rPr>
        <rFont val="Poppins"/>
        <sz val="7.0"/>
      </rPr>
      <t xml:space="preserve"> in </t>
    </r>
    <r>
      <rPr>
        <rFont val="Poppins"/>
        <b/>
        <color rgb="FF1155CC"/>
        <sz val="7.0"/>
        <u/>
      </rPr>
      <t>VC funds</t>
    </r>
    <r>
      <rPr>
        <rFont val="Poppins"/>
        <sz val="7.0"/>
      </rPr>
      <t xml:space="preserve"> (</t>
    </r>
    <r>
      <rPr>
        <rFont val="Poppins"/>
        <b/>
        <sz val="7.0"/>
      </rPr>
      <t>Tiny VC, firedrop</t>
    </r>
    <r>
      <rPr>
        <rFont val="Poppins"/>
        <sz val="7.0"/>
      </rPr>
      <t xml:space="preserve">) 
-[Sector investment focus] &gt; Data manager judgement &gt; His investments focus on </t>
    </r>
    <r>
      <rPr>
        <rFont val="Poppins"/>
        <b/>
        <color rgb="FF1155CC"/>
        <sz val="7.0"/>
        <u/>
      </rPr>
      <t>AI</t>
    </r>
    <r>
      <rPr>
        <rFont val="Poppins"/>
        <sz val="7.0"/>
      </rPr>
      <t xml:space="preserve"> and </t>
    </r>
    <r>
      <rPr>
        <rFont val="Poppins"/>
        <b/>
        <sz val="7.0"/>
      </rPr>
      <t>Technology</t>
    </r>
    <r>
      <rPr>
        <rFont val="Poppins"/>
        <sz val="7.0"/>
      </rPr>
      <t xml:space="preserve"> (</t>
    </r>
    <r>
      <rPr>
        <rFont val="Poppins"/>
        <b/>
        <sz val="7.0"/>
      </rPr>
      <t>Tiny VC, firedrop, ARGO AI, etc</t>
    </r>
    <r>
      <rPr>
        <rFont val="Poppins"/>
        <sz val="7.0"/>
      </rPr>
      <t xml:space="preserve">) 
-[Region investment focus] &gt; Data manager judgement &gt; His investments are based in </t>
    </r>
    <r>
      <rPr>
        <rFont val="Poppins"/>
        <b/>
        <color rgb="FF1155CC"/>
        <sz val="7.0"/>
        <u/>
      </rPr>
      <t>Europe</t>
    </r>
    <r>
      <rPr>
        <rFont val="Poppins"/>
        <sz val="7.0"/>
      </rPr>
      <t xml:space="preserve"> (</t>
    </r>
    <r>
      <rPr>
        <rFont val="Poppins"/>
        <b/>
        <sz val="7.0"/>
      </rPr>
      <t>Tiny VC, firedrop</t>
    </r>
    <r>
      <rPr>
        <rFont val="Poppins"/>
        <sz val="7.0"/>
      </rPr>
      <t>)</t>
    </r>
  </si>
  <si>
    <t>gabbi@cahane.co.uk</t>
  </si>
  <si>
    <t>Morten Schlosser</t>
  </si>
  <si>
    <t>https://www.linkedin.com/in/morten-schlosser-9a6127/</t>
  </si>
  <si>
    <r>
      <rPr>
        <rFont val="Poppins"/>
        <sz val="7.0"/>
      </rPr>
      <t xml:space="preserve">-[Asset class = Funds-VC] &gt; Linkedin &gt;  I am also an active </t>
    </r>
    <r>
      <rPr>
        <rFont val="Poppins"/>
        <b/>
        <sz val="7.0"/>
      </rPr>
      <t>Limited Partner</t>
    </r>
    <r>
      <rPr>
        <rFont val="Poppins"/>
        <sz val="7.0"/>
      </rPr>
      <t xml:space="preserve">, NED and Advisor for several </t>
    </r>
    <r>
      <rPr>
        <rFont val="Poppins"/>
        <b/>
        <color rgb="FF1155CC"/>
        <sz val="7.0"/>
        <u/>
      </rPr>
      <t>technology</t>
    </r>
    <r>
      <rPr>
        <rFont val="Poppins"/>
        <sz val="7.0"/>
      </rPr>
      <t xml:space="preserve"> ventures.
-[Sector investment focus] &gt; Linkedin &gt; I have a strong background in working with cutting-edge technologies, including Graph Technology, Big Data, Analytics, automated </t>
    </r>
    <r>
      <rPr>
        <rFont val="Poppins"/>
        <b/>
        <color rgb="FF1155CC"/>
        <sz val="7.0"/>
        <u/>
      </rPr>
      <t>AI &amp; ML</t>
    </r>
    <r>
      <rPr>
        <rFont val="Poppins"/>
        <sz val="7.0"/>
      </rPr>
      <t xml:space="preserve">, Enterprise Search, </t>
    </r>
    <r>
      <rPr>
        <rFont val="Poppins"/>
        <b/>
        <sz val="7.0"/>
      </rPr>
      <t>SaaS</t>
    </r>
    <r>
      <rPr>
        <rFont val="Poppins"/>
        <sz val="7.0"/>
      </rPr>
      <t xml:space="preserve">, Cloud and Open Source.
-[Region investment focus] &gt; Data manager judgement &gt; His investments are based in </t>
    </r>
    <r>
      <rPr>
        <rFont val="Poppins"/>
        <b/>
        <color rgb="FF1155CC"/>
        <sz val="7.0"/>
        <u/>
      </rPr>
      <t>Europe</t>
    </r>
    <r>
      <rPr>
        <rFont val="Poppins"/>
        <sz val="7.0"/>
      </rPr>
      <t xml:space="preserve"> (</t>
    </r>
    <r>
      <rPr>
        <rFont val="Poppins"/>
        <b/>
        <sz val="7.0"/>
      </rPr>
      <t>13books Capital</t>
    </r>
    <r>
      <rPr>
        <rFont val="Poppins"/>
        <sz val="7.0"/>
      </rPr>
      <t>)</t>
    </r>
  </si>
  <si>
    <t>mortenschlosser@hotmail.com</t>
  </si>
  <si>
    <t>Tariq Aris</t>
  </si>
  <si>
    <t>https://www.linkedin.com/in/tariqaris/</t>
  </si>
  <si>
    <r>
      <rPr>
        <rFont val="Poppins"/>
        <color rgb="FF000000"/>
        <sz val="7.0"/>
      </rPr>
      <t xml:space="preserve">- [Asset Class = Fund - VC] &gt; Data manager judgement &gt; He is a </t>
    </r>
    <r>
      <rPr>
        <rFont val="Poppins"/>
        <b/>
        <color rgb="FF000000"/>
        <sz val="7.0"/>
      </rPr>
      <t xml:space="preserve">limited partner </t>
    </r>
    <r>
      <rPr>
        <rFont val="Poppins"/>
        <color rgb="FF000000"/>
        <sz val="7.0"/>
      </rPr>
      <t xml:space="preserve">in </t>
    </r>
    <r>
      <rPr>
        <rFont val="Poppins"/>
        <b/>
        <color rgb="FF1155CC"/>
        <sz val="7.0"/>
        <u/>
      </rPr>
      <t>VC funds</t>
    </r>
    <r>
      <rPr>
        <rFont val="Poppins"/>
        <color rgb="FF000000"/>
        <sz val="7.0"/>
      </rPr>
      <t xml:space="preserve">. ex: Paper VC, FOV Ventures, Portfolio Ventures, etc.
- [Region Investment Focus] &gt; Data manager judgement &gt; His investments are based in </t>
    </r>
    <r>
      <rPr>
        <rFont val="Poppins"/>
        <b/>
        <color rgb="FF1155CC"/>
        <sz val="7.0"/>
        <u/>
      </rPr>
      <t>Europe</t>
    </r>
    <r>
      <rPr>
        <rFont val="Poppins"/>
        <color rgb="FF000000"/>
        <sz val="7.0"/>
      </rPr>
      <t xml:space="preserve"> ex: Paper VC, FOV Ventures, Portfolio Ventures, etc.
- [Sector Investment Focus] &gt; Data manager judgement &gt; His investments focus on </t>
    </r>
    <r>
      <rPr>
        <rFont val="Poppins"/>
        <b/>
        <color rgb="FF1155CC"/>
        <sz val="7.0"/>
        <u/>
      </rPr>
      <t>AI</t>
    </r>
    <r>
      <rPr>
        <rFont val="Poppins"/>
        <color rgb="FF000000"/>
        <sz val="7.0"/>
      </rPr>
      <t xml:space="preserve">, </t>
    </r>
    <r>
      <rPr>
        <rFont val="Poppins"/>
        <b/>
        <color rgb="FF000000"/>
        <sz val="7.0"/>
      </rPr>
      <t>robotics</t>
    </r>
    <r>
      <rPr>
        <rFont val="Poppins"/>
        <color rgb="FF000000"/>
        <sz val="7.0"/>
      </rPr>
      <t xml:space="preserve">, </t>
    </r>
    <r>
      <rPr>
        <rFont val="Poppins"/>
        <b/>
        <color rgb="FF000000"/>
        <sz val="7.0"/>
      </rPr>
      <t>deep tech</t>
    </r>
    <r>
      <rPr>
        <rFont val="Poppins"/>
        <color rgb="FF000000"/>
        <sz val="7.0"/>
      </rPr>
      <t xml:space="preserve">, data &amp; infrastructure, health tech, </t>
    </r>
    <r>
      <rPr>
        <rFont val="Poppins"/>
        <b/>
        <color rgb="FF000000"/>
        <sz val="7.0"/>
      </rPr>
      <t>fintech</t>
    </r>
    <r>
      <rPr>
        <rFont val="Poppins"/>
        <color rgb="FF000000"/>
        <sz val="7.0"/>
      </rPr>
      <t xml:space="preserve">, Insurtech, </t>
    </r>
    <r>
      <rPr>
        <rFont val="Poppins"/>
        <b/>
        <color rgb="FF000000"/>
        <sz val="7.0"/>
      </rPr>
      <t>B2B SaaS</t>
    </r>
    <r>
      <rPr>
        <rFont val="Poppins"/>
        <color rgb="FF000000"/>
        <sz val="7.0"/>
      </rPr>
      <t>, and Enterprise Software, ex: Portfolio Ventures, FOV Ventures, Connect Ventures.</t>
    </r>
  </si>
  <si>
    <t>Tariq</t>
  </si>
  <si>
    <t>Aris</t>
  </si>
  <si>
    <t>tariqaris@gmail.com</t>
  </si>
  <si>
    <t>Ben Wright</t>
  </si>
  <si>
    <t>https://www.linkedin.com/in/benwrightconsulting/</t>
  </si>
  <si>
    <r>
      <rPr>
        <rFont val="Poppins"/>
        <sz val="7.0"/>
      </rPr>
      <t xml:space="preserve">-[Asset class = Funds-VC] &gt; Linkedin &gt; He is a </t>
    </r>
    <r>
      <rPr>
        <rFont val="Poppins"/>
        <b/>
        <sz val="7.0"/>
      </rPr>
      <t>limited partner</t>
    </r>
    <r>
      <rPr>
        <rFont val="Poppins"/>
        <sz val="7.0"/>
      </rPr>
      <t xml:space="preserve"> in </t>
    </r>
    <r>
      <rPr>
        <rFont val="Poppins"/>
        <b/>
        <color rgb="FF1155CC"/>
        <sz val="7.0"/>
        <u/>
      </rPr>
      <t>VC funds</t>
    </r>
    <r>
      <rPr>
        <rFont val="Poppins"/>
        <sz val="7.0"/>
      </rPr>
      <t xml:space="preserve"> (</t>
    </r>
    <r>
      <rPr>
        <rFont val="Poppins"/>
        <b/>
        <sz val="7.0"/>
      </rPr>
      <t>Stage 2 Capital, Episode 1 Ventures</t>
    </r>
    <r>
      <rPr>
        <rFont val="Poppins"/>
        <sz val="7.0"/>
      </rPr>
      <t xml:space="preserve">) 
-[Sector investment focus] &gt; Data manager judgement &gt; His investments focus on </t>
    </r>
    <r>
      <rPr>
        <rFont val="Poppins"/>
        <b/>
        <sz val="7.0"/>
      </rPr>
      <t xml:space="preserve">B2B SaaS, </t>
    </r>
    <r>
      <rPr>
        <rFont val="Poppins"/>
        <b/>
        <color rgb="FF1155CC"/>
        <sz val="7.0"/>
        <u/>
      </rPr>
      <t>AI</t>
    </r>
    <r>
      <rPr>
        <rFont val="Poppins"/>
        <b/>
        <sz val="7.0"/>
      </rPr>
      <t xml:space="preserve"> </t>
    </r>
    <r>
      <rPr>
        <rFont val="Poppins"/>
        <sz val="7.0"/>
      </rPr>
      <t xml:space="preserve">(Stage 2 Capital, Episode 1 Ventures)
-[Region investment focus] &gt; Data manager judgement &gt; His investments are based in </t>
    </r>
    <r>
      <rPr>
        <rFont val="Poppins"/>
        <b/>
        <color rgb="FF1155CC"/>
        <sz val="7.0"/>
        <u/>
      </rPr>
      <t>Europe</t>
    </r>
    <r>
      <rPr>
        <rFont val="Poppins"/>
        <sz val="7.0"/>
      </rPr>
      <t>. (</t>
    </r>
    <r>
      <rPr>
        <rFont val="Poppins"/>
        <b/>
        <sz val="7.0"/>
      </rPr>
      <t>Stage 2 Capital, Episode 1 Ventures</t>
    </r>
    <r>
      <rPr>
        <rFont val="Poppins"/>
        <sz val="7.0"/>
      </rPr>
      <t>)</t>
    </r>
  </si>
  <si>
    <t>benwrightconsulting@gmail.com</t>
  </si>
  <si>
    <t>Will Neale</t>
  </si>
  <si>
    <t>https://www.linkedin.com/in/willn/</t>
  </si>
  <si>
    <r>
      <rPr>
        <rFont val="Poppins"/>
        <sz val="7.0"/>
      </rPr>
      <t xml:space="preserve">-[Asset class = Funds-VC] &gt; Linkedin &gt; He is a </t>
    </r>
    <r>
      <rPr>
        <rFont val="Poppins"/>
        <b/>
        <sz val="7.0"/>
      </rPr>
      <t>limited partner</t>
    </r>
    <r>
      <rPr>
        <rFont val="Poppins"/>
        <sz val="7.0"/>
      </rPr>
      <t xml:space="preserve"> in </t>
    </r>
    <r>
      <rPr>
        <rFont val="Poppins"/>
        <b/>
        <sz val="7.0"/>
      </rPr>
      <t xml:space="preserve"> </t>
    </r>
    <r>
      <rPr>
        <rFont val="Poppins"/>
        <b/>
        <color rgb="FF1155CC"/>
        <sz val="7.0"/>
        <u/>
      </rPr>
      <t>VC funds</t>
    </r>
    <r>
      <rPr>
        <rFont val="Poppins"/>
        <sz val="7.0"/>
      </rPr>
      <t>, (</t>
    </r>
    <r>
      <rPr>
        <rFont val="Poppins"/>
        <b/>
        <sz val="7.0"/>
      </rPr>
      <t>Seedcamp, LocalGlobe</t>
    </r>
    <r>
      <rPr>
        <rFont val="Poppins"/>
        <sz val="7.0"/>
      </rPr>
      <t xml:space="preserve">)
-[Region investment focus] &gt; Data manager judgement &gt; His investments are based in </t>
    </r>
    <r>
      <rPr>
        <rFont val="Poppins"/>
        <b/>
        <color rgb="FF1155CC"/>
        <sz val="7.0"/>
        <u/>
      </rPr>
      <t>Europe</t>
    </r>
    <r>
      <rPr>
        <rFont val="Poppins"/>
        <sz val="7.0"/>
      </rPr>
      <t xml:space="preserve">, </t>
    </r>
    <r>
      <rPr>
        <rFont val="Poppins"/>
        <b/>
        <sz val="7.0"/>
      </rPr>
      <t>(Seedcamp, LocalGlobe)</t>
    </r>
    <r>
      <rPr>
        <rFont val="Poppins"/>
        <sz val="7.0"/>
      </rPr>
      <t xml:space="preserve">
-[Sector investment focus] &gt; Data manager judgement &gt; His investments focus on </t>
    </r>
    <r>
      <rPr>
        <rFont val="Poppins"/>
        <b/>
        <color rgb="FF1155CC"/>
        <sz val="7.0"/>
        <u/>
      </rPr>
      <t>AI</t>
    </r>
    <r>
      <rPr>
        <rFont val="Poppins"/>
        <sz val="7.0"/>
      </rPr>
      <t>, (</t>
    </r>
    <r>
      <rPr>
        <rFont val="Poppins"/>
        <b/>
        <sz val="7.0"/>
      </rPr>
      <t>Seedcamp, LocalGlobe</t>
    </r>
    <r>
      <rPr>
        <rFont val="Poppins"/>
        <sz val="7.0"/>
      </rPr>
      <t>)</t>
    </r>
  </si>
  <si>
    <t>Neale</t>
  </si>
  <si>
    <t>willneale@gmail.com</t>
  </si>
  <si>
    <t>Cooper Family Office</t>
  </si>
  <si>
    <t>https://www.cooperfamilyoffice.com/</t>
  </si>
  <si>
    <r>
      <rPr>
        <rFont val="Poppins"/>
        <sz val="7.0"/>
      </rPr>
      <t xml:space="preserve">-[Asset class = Funds- VC] &gt; Website &gt; "...We maintain a portfolio of co-mingled </t>
    </r>
    <r>
      <rPr>
        <rFont val="Poppins"/>
        <b/>
        <color rgb="FF1155CC"/>
        <sz val="7.0"/>
        <u/>
      </rPr>
      <t>venture capital fund investments</t>
    </r>
    <r>
      <rPr>
        <rFont val="Poppins"/>
        <sz val="7.0"/>
      </rPr>
      <t xml:space="preserve">..."
-[Region investment focus] &gt;  Website &gt; "...We seek the best investment talent within their sector and area of expertise. Our portfolio includes private credit - domestically and abroad, primarily </t>
    </r>
    <r>
      <rPr>
        <rFont val="Poppins"/>
        <b/>
        <color rgb="FF1155CC"/>
        <sz val="7.0"/>
        <u/>
      </rPr>
      <t>Europe</t>
    </r>
    <r>
      <rPr>
        <rFont val="Poppins"/>
        <sz val="7.0"/>
      </rPr>
      <t xml:space="preserve">..."
-[Sector investment focus =] &gt; Website &gt; "...We are active investors in new and advanced </t>
    </r>
    <r>
      <rPr>
        <rFont val="Poppins"/>
        <b/>
        <color rgb="FF1155CC"/>
        <sz val="7.0"/>
        <u/>
      </rPr>
      <t>technologies</t>
    </r>
    <r>
      <rPr>
        <rFont val="Poppins"/>
        <sz val="7.0"/>
      </rPr>
      <t xml:space="preserve">, ..." + "...Our family office considers various quantitative and </t>
    </r>
    <r>
      <rPr>
        <rFont val="Poppins"/>
        <b/>
        <color rgb="FF1155CC"/>
        <sz val="7.0"/>
        <u/>
      </rPr>
      <t>AI</t>
    </r>
    <r>
      <rPr>
        <rFont val="Poppins"/>
        <sz val="7.0"/>
      </rPr>
      <t xml:space="preserve">-driven strategies in both public and private equities as well as credit strategies..."
-[Maturity Focus] &gt; Data manager judgement &gt; They haven't publicly disclosed their maturity focus but the rest of the criteria aligns with your IIP. </t>
    </r>
    <r>
      <rPr>
        <rFont val="Poppins"/>
        <b/>
        <sz val="7.0"/>
      </rPr>
      <t>#DemandCreation.</t>
    </r>
  </si>
  <si>
    <t>Farid Moeinifar</t>
  </si>
  <si>
    <t>Farid</t>
  </si>
  <si>
    <t>Moeinifar</t>
  </si>
  <si>
    <t>farid.moeinifar@cooperfamilyoffice.com</t>
  </si>
  <si>
    <t>https://www.linkedin.com/in/farid-moeinifar/</t>
  </si>
  <si>
    <r>
      <rPr>
        <rFont val="Poppins"/>
        <sz val="7.0"/>
      </rPr>
      <t xml:space="preserve">-[Asset class = Funds-VC] &gt; Linkedin &gt; He is a </t>
    </r>
    <r>
      <rPr>
        <rFont val="Poppins"/>
        <b/>
        <sz val="7.0"/>
      </rPr>
      <t xml:space="preserve">limited partner </t>
    </r>
    <r>
      <rPr>
        <rFont val="Poppins"/>
        <sz val="7.0"/>
      </rPr>
      <t xml:space="preserve">and investor in </t>
    </r>
    <r>
      <rPr>
        <rFont val="Poppins"/>
        <b/>
        <color rgb="FF1155CC"/>
        <sz val="7.0"/>
        <u/>
      </rPr>
      <t>VC funds</t>
    </r>
    <r>
      <rPr>
        <rFont val="Poppins"/>
        <sz val="7.0"/>
      </rPr>
      <t xml:space="preserve"> (</t>
    </r>
    <r>
      <rPr>
        <rFont val="Poppins"/>
        <b/>
        <sz val="7.0"/>
      </rPr>
      <t>firedrop, Behind Genius Ventures, Passion Capital, Backstage Capital</t>
    </r>
    <r>
      <rPr>
        <rFont val="Poppins"/>
        <sz val="7.0"/>
      </rPr>
      <t xml:space="preserve">).
-[Sector investment focus] &gt; Data manager judgement &gt; His investments focus on </t>
    </r>
    <r>
      <rPr>
        <rFont val="Poppins"/>
        <b/>
        <color rgb="FF1155CC"/>
        <sz val="7.0"/>
        <u/>
      </rPr>
      <t>AI, Fintech,</t>
    </r>
    <r>
      <rPr>
        <rFont val="Poppins"/>
        <sz val="7.0"/>
      </rPr>
      <t xml:space="preserve"> </t>
    </r>
    <r>
      <rPr>
        <rFont val="Poppins"/>
        <b/>
        <sz val="7.0"/>
      </rPr>
      <t>etc</t>
    </r>
    <r>
      <rPr>
        <rFont val="Poppins"/>
        <sz val="7.0"/>
      </rPr>
      <t xml:space="preserve"> (firedrop, Behind Genius Ventures, Passion Capital, Backstage Capital).
-[Region investment focus] &gt; Data manager judgement &gt; His investments are based in </t>
    </r>
    <r>
      <rPr>
        <rFont val="Poppins"/>
        <b/>
        <color rgb="FF1155CC"/>
        <sz val="7.0"/>
        <u/>
      </rPr>
      <t>North America</t>
    </r>
    <r>
      <rPr>
        <rFont val="Poppins"/>
        <sz val="7.0"/>
      </rPr>
      <t xml:space="preserve"> and Europe (firedrop, Behind Genius Ventures, Passion Capital, Backstage Capital).</t>
    </r>
  </si>
  <si>
    <t>Roberto</t>
  </si>
  <si>
    <t>Ricci</t>
  </si>
  <si>
    <t>Ferdinand Reynolds</t>
  </si>
  <si>
    <t>https://www.linkedin.com/in/ferdinand-reynolds/</t>
  </si>
  <si>
    <r>
      <rPr>
        <rFont val="Poppins"/>
        <sz val="7.0"/>
      </rPr>
      <t xml:space="preserve">-[Asset class = Funds-VC] &gt; Linkedin &gt; Angel Investor and </t>
    </r>
    <r>
      <rPr>
        <rFont val="Poppins"/>
        <b/>
        <sz val="7.0"/>
      </rPr>
      <t>Limited Partner</t>
    </r>
    <r>
      <rPr>
        <rFont val="Poppins"/>
        <sz val="7.0"/>
      </rPr>
      <t xml:space="preserve"> : </t>
    </r>
    <r>
      <rPr>
        <rFont val="Poppins"/>
        <b/>
        <color rgb="FF1155CC"/>
        <sz val="7.0"/>
        <u/>
      </rPr>
      <t>Venture Capital</t>
    </r>
    <r>
      <rPr>
        <rFont val="Poppins"/>
        <color rgb="FF1155CC"/>
        <sz val="7.0"/>
        <u/>
      </rPr>
      <t xml:space="preserve"> </t>
    </r>
    <r>
      <rPr>
        <rFont val="Poppins"/>
        <sz val="7.0"/>
      </rPr>
      <t xml:space="preserve">· Private Equity Funding · Angel Investing · Start-up Ventures · Early-Stage Startups
-[Sector investment focus] &gt; Linkedin &gt; Investing in </t>
    </r>
    <r>
      <rPr>
        <rFont val="Poppins"/>
        <b/>
        <sz val="7.0"/>
      </rPr>
      <t>AI</t>
    </r>
    <r>
      <rPr>
        <rFont val="Poppins"/>
        <sz val="7.0"/>
      </rPr>
      <t xml:space="preserve"> ∩ Real Economy | </t>
    </r>
    <r>
      <rPr>
        <rFont val="Poppins"/>
        <b/>
        <color rgb="FF1155CC"/>
        <sz val="7.0"/>
        <u/>
      </rPr>
      <t>Defence Tech</t>
    </r>
    <r>
      <rPr>
        <rFont val="Poppins"/>
        <sz val="7.0"/>
      </rPr>
      <t xml:space="preserve"> | Industry 4.0 | AgriTech | Supply Chain Tech | Construction Tech
-[Region investment focus] &gt; Data manager judgement &gt; He has not mentioned his region investment focus but the rest of the criteria aligns with your IIP </t>
    </r>
    <r>
      <rPr>
        <rFont val="Poppins"/>
        <b/>
        <sz val="7.0"/>
      </rPr>
      <t>#DemandCreation</t>
    </r>
    <r>
      <rPr>
        <rFont val="Poppins"/>
        <sz val="7.0"/>
      </rPr>
      <t>.</t>
    </r>
  </si>
  <si>
    <t>ferdyreynolds@gmail.com</t>
  </si>
  <si>
    <r>
      <rPr>
        <rFont val="Poppins"/>
        <sz val="7.0"/>
      </rPr>
      <t xml:space="preserve">-[Asset class = Funds-VC] &gt; Linkedin &gt; He is a </t>
    </r>
    <r>
      <rPr>
        <rFont val="Poppins"/>
        <b/>
        <sz val="7.0"/>
      </rPr>
      <t>limited partner</t>
    </r>
    <r>
      <rPr>
        <rFont val="Poppins"/>
        <sz val="7.0"/>
      </rPr>
      <t xml:space="preserve"> in </t>
    </r>
    <r>
      <rPr>
        <rFont val="Poppins"/>
        <b/>
        <color rgb="FF1155CC"/>
        <sz val="7.0"/>
        <u/>
      </rPr>
      <t>VC funds</t>
    </r>
    <r>
      <rPr>
        <rFont val="Poppins"/>
        <sz val="7.0"/>
      </rPr>
      <t xml:space="preserve"> (</t>
    </r>
    <r>
      <rPr>
        <rFont val="Poppins"/>
        <b/>
        <sz val="7.0"/>
      </rPr>
      <t>Mento vc, s16vc</t>
    </r>
    <r>
      <rPr>
        <rFont val="Poppins"/>
        <sz val="7.0"/>
      </rPr>
      <t xml:space="preserve">).
-[Sector investment focus] &gt; Data manager judgement &gt; His investments focus on </t>
    </r>
    <r>
      <rPr>
        <rFont val="Poppins"/>
        <b/>
        <color rgb="FF1155CC"/>
        <sz val="7.0"/>
        <u/>
      </rPr>
      <t>AI, Fintech</t>
    </r>
    <r>
      <rPr>
        <rFont val="Poppins"/>
        <sz val="7.0"/>
      </rPr>
      <t xml:space="preserve"> (</t>
    </r>
    <r>
      <rPr>
        <rFont val="Poppins"/>
        <b/>
        <sz val="7.0"/>
      </rPr>
      <t>Mento vc, s16vc</t>
    </r>
    <r>
      <rPr>
        <rFont val="Poppins"/>
        <sz val="7.0"/>
      </rPr>
      <t>).
-[Region investment focus] &gt; Data manager judgement &gt; His investments are based in</t>
    </r>
    <r>
      <rPr>
        <rFont val="Poppins"/>
        <b/>
        <sz val="7.0"/>
      </rPr>
      <t xml:space="preserve"> </t>
    </r>
    <r>
      <rPr>
        <rFont val="Poppins"/>
        <b/>
        <color rgb="FF1155CC"/>
        <sz val="7.0"/>
        <u/>
      </rPr>
      <t>North America</t>
    </r>
    <r>
      <rPr>
        <rFont val="Poppins"/>
        <sz val="7.0"/>
      </rPr>
      <t xml:space="preserve"> and Europe (</t>
    </r>
    <r>
      <rPr>
        <rFont val="Poppins"/>
        <b/>
        <sz val="7.0"/>
      </rPr>
      <t>Mento vc, s16vc</t>
    </r>
    <r>
      <rPr>
        <rFont val="Poppins"/>
        <sz val="7.0"/>
      </rPr>
      <t>).</t>
    </r>
  </si>
  <si>
    <t>Karan Chouhan</t>
  </si>
  <si>
    <t>https://www.linkedin.com/in/karanchouhan/</t>
  </si>
  <si>
    <r>
      <rPr>
        <rFont val="Poppins"/>
        <sz val="7.0"/>
      </rPr>
      <t xml:space="preserve">-[Asset class = Funds-VC] &gt; Linkedin &gt; | </t>
    </r>
    <r>
      <rPr>
        <rFont val="Poppins"/>
        <b/>
        <color rgb="FF1155CC"/>
        <sz val="7.0"/>
        <u/>
      </rPr>
      <t>Venture Capital | Fund of Funds</t>
    </r>
    <r>
      <rPr>
        <rFont val="Poppins"/>
        <sz val="7.0"/>
      </rPr>
      <t xml:space="preserve"> + Investing in innovative early-stage and growth-stage </t>
    </r>
    <r>
      <rPr>
        <rFont val="Poppins"/>
        <b/>
        <sz val="7.0"/>
      </rPr>
      <t>funds</t>
    </r>
    <r>
      <rPr>
        <rFont val="Poppins"/>
        <sz val="7.0"/>
      </rPr>
      <t>/companies. ACA qualified and passionate about disruptive tech!
-[Sector investment focus] &gt; Linkedin &gt; Investing in innovative early-stage and growth-stage funds/companies. ACA qualified and passionate about</t>
    </r>
    <r>
      <rPr>
        <rFont val="Poppins"/>
        <b/>
        <sz val="7.0"/>
      </rPr>
      <t xml:space="preserve"> disruptive tech! </t>
    </r>
    <r>
      <rPr>
        <rFont val="Poppins"/>
        <sz val="7.0"/>
      </rPr>
      <t xml:space="preserve">+ Venture, Growth and Fund Investments  </t>
    </r>
    <r>
      <rPr>
        <rFont val="Poppins"/>
        <b/>
        <color rgb="FF1155CC"/>
        <sz val="7.0"/>
        <u/>
      </rPr>
      <t>AI</t>
    </r>
    <r>
      <rPr>
        <rFont val="Poppins"/>
        <b/>
        <sz val="7.0"/>
      </rPr>
      <t>,</t>
    </r>
    <r>
      <rPr>
        <rFont val="Poppins"/>
        <sz val="7.0"/>
      </rPr>
      <t xml:space="preserve"> Digital Assets, Health/Lifesciences
-[Region investment focus] &gt; Data Manager judgment &gt; He is based in the UK and is an investor in Valiance. His experience also strongly indicates that the UK is His primary geographic focus. </t>
    </r>
    <r>
      <rPr>
        <rFont val="Poppins"/>
        <b/>
        <sz val="7.0"/>
      </rPr>
      <t>#DemandCreation.</t>
    </r>
  </si>
  <si>
    <t>Karan</t>
  </si>
  <si>
    <t>Chouhan</t>
  </si>
  <si>
    <t>kranc12@hotmail.co.uk</t>
  </si>
  <si>
    <t>Alex Macdonald</t>
  </si>
  <si>
    <t>https://www.linkedin.com/in/alexfmac/</t>
  </si>
  <si>
    <r>
      <rPr>
        <rFont val="Poppins"/>
        <sz val="7.0"/>
      </rPr>
      <t xml:space="preserve">-[Asset class = Funds-VC] &gt; Linkedin &gt; Active investor in more than 50 early stage startups and </t>
    </r>
    <r>
      <rPr>
        <rFont val="Poppins"/>
        <b/>
        <color rgb="FF1155CC"/>
        <sz val="7.0"/>
        <u/>
      </rPr>
      <t>12 venture funds</t>
    </r>
    <r>
      <rPr>
        <rFont val="Poppins"/>
        <sz val="7.0"/>
      </rPr>
      <t xml:space="preserve">. 
-[Sector investment focus] &gt; Linkedin + Data manager judgement &gt; 50+ </t>
    </r>
    <r>
      <rPr>
        <rFont val="Poppins"/>
        <b/>
        <color rgb="FF1155CC"/>
        <sz val="7.0"/>
        <u/>
      </rPr>
      <t>technology</t>
    </r>
    <r>
      <rPr>
        <rFont val="Poppins"/>
        <sz val="7.0"/>
      </rPr>
      <t xml:space="preserve"> companies + His investments focus on </t>
    </r>
    <r>
      <rPr>
        <rFont val="Poppins"/>
        <b/>
        <color rgb="FF1155CC"/>
        <sz val="7.0"/>
        <u/>
      </rPr>
      <t>AI, Fintech, SaaS</t>
    </r>
    <r>
      <rPr>
        <rFont val="Poppins"/>
        <sz val="7.0"/>
      </rPr>
      <t>, etc (</t>
    </r>
    <r>
      <rPr>
        <rFont val="Poppins"/>
        <b/>
        <sz val="7.0"/>
      </rPr>
      <t>Goodloans, Atman Labs, etc</t>
    </r>
    <r>
      <rPr>
        <rFont val="Poppins"/>
        <sz val="7.0"/>
      </rPr>
      <t xml:space="preserve">).
-[Region investment focus] &gt; Data manager judgement &gt; He has mentioned that he invests </t>
    </r>
    <r>
      <rPr>
        <rFont val="Poppins"/>
        <b/>
        <color rgb="FF1155CC"/>
        <sz val="7.0"/>
        <u/>
      </rPr>
      <t>globally</t>
    </r>
    <r>
      <rPr>
        <rFont val="Poppins"/>
        <sz val="7.0"/>
      </rPr>
      <t>.</t>
    </r>
  </si>
  <si>
    <t>alexfrankmacdonald@gmail.com</t>
  </si>
  <si>
    <t>http://linkedin.com/in/alexfmac/</t>
  </si>
  <si>
    <r>
      <rPr>
        <rFont val="Poppins"/>
        <color rgb="FF000000"/>
        <sz val="7.0"/>
      </rPr>
      <t xml:space="preserve">-[Asset class = Funds-VC] &gt; Linkedin &gt; Investor, Angel Investor, </t>
    </r>
    <r>
      <rPr>
        <rFont val="Poppins"/>
        <b/>
        <color rgb="FF000000"/>
        <sz val="7.0"/>
      </rPr>
      <t>LP</t>
    </r>
    <r>
      <rPr>
        <rFont val="Poppins"/>
        <color rgb="FF000000"/>
        <sz val="7.0"/>
      </rPr>
      <t xml:space="preserve"> in</t>
    </r>
    <r>
      <rPr>
        <rFont val="Poppins"/>
        <b/>
        <color rgb="FF1155CC"/>
        <sz val="7.0"/>
        <u/>
      </rPr>
      <t xml:space="preserve"> VC funds</t>
    </r>
    <r>
      <rPr>
        <rFont val="Poppins"/>
        <color rgb="FF000000"/>
        <sz val="7.0"/>
      </rPr>
      <t xml:space="preserve">.
-[Sector investment focus] &gt; Data manager judgement &gt; Her investments focus on </t>
    </r>
    <r>
      <rPr>
        <rFont val="Poppins"/>
        <b/>
        <color rgb="FF1155CC"/>
        <sz val="7.0"/>
        <u/>
      </rPr>
      <t>AI, Fintech</t>
    </r>
    <r>
      <rPr>
        <rFont val="Poppins"/>
        <color rgb="FF000000"/>
        <sz val="7.0"/>
      </rPr>
      <t xml:space="preserve"> and </t>
    </r>
    <r>
      <rPr>
        <rFont val="Poppins"/>
        <b/>
        <color rgb="FF000000"/>
        <sz val="7.0"/>
      </rPr>
      <t>Software</t>
    </r>
    <r>
      <rPr>
        <rFont val="Poppins"/>
        <color rgb="FF000000"/>
        <sz val="7.0"/>
      </rPr>
      <t xml:space="preserve"> (</t>
    </r>
    <r>
      <rPr>
        <rFont val="Poppins"/>
        <b/>
        <color rgb="FF000000"/>
        <sz val="7.0"/>
      </rPr>
      <t>Target Global funds, Day One Ventures fund</t>
    </r>
    <r>
      <rPr>
        <rFont val="Poppins"/>
        <color rgb="FF000000"/>
        <sz val="7.0"/>
      </rPr>
      <t xml:space="preserve">).
-[Region investment focus] &gt; Data manager judgement &gt; She has mentioned that she invests </t>
    </r>
    <r>
      <rPr>
        <rFont val="Poppins"/>
        <b/>
        <color rgb="FF1155CC"/>
        <sz val="7.0"/>
        <u/>
      </rPr>
      <t>globally</t>
    </r>
    <r>
      <rPr>
        <rFont val="Poppins"/>
        <color rgb="FF000000"/>
        <sz val="7.0"/>
      </rPr>
      <t>.</t>
    </r>
  </si>
  <si>
    <t>Client Prospect Pool</t>
  </si>
  <si>
    <t>If you have any prospects ( beyond the ones we’ve already created for you) that you’d like us to include in the standard MaaS campaigns, just drop them here. We’ll be more than happy to make it happen! Investor name is required so we know who to include — we’ll take care of the rest. If there’s a specific person you’d like us to include and enrich, feel free to add a "Primary Contact Full Name" column as well.</t>
  </si>
  <si>
    <t>Email Valid</t>
  </si>
  <si>
    <t>Name A</t>
  </si>
  <si>
    <t>https://willgrow.com/portfolio/</t>
  </si>
  <si>
    <t>Name B</t>
  </si>
  <si>
    <t>UK</t>
  </si>
  <si>
    <t>amkinvestment.com</t>
  </si>
  <si>
    <t>Name C</t>
  </si>
  <si>
    <t>Name D</t>
  </si>
  <si>
    <t>https://www.mrm-family.com/</t>
  </si>
  <si>
    <t>Name E</t>
  </si>
  <si>
    <t>https://www.linkedin.com/company/n-capital-holding/</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</si>
</sst>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
  </numFmts>
  <fonts count="104">
    <font>
      <sz val="10.0"/>
      <color rgb="FF000000"/>
      <name val="Arial"/>
      <scheme val="minor"/>
    </font>
    <font>
      <b/>
      <sz val="15.0"/>
      <color rgb="FFFF9900"/>
      <name val="Poppins"/>
    </font>
    <font/>
    <font>
      <sz val="10.0"/>
      <color theme="1"/>
      <name val="Poppins"/>
    </font>
    <font>
      <b/>
      <sz val="10.0"/>
      <color theme="1"/>
      <name val="Poppins"/>
    </font>
    <font>
      <sz val="9.0"/>
      <color theme="1"/>
      <name val="Poppins"/>
    </font>
    <font>
      <b/>
      <sz val="9.0"/>
      <color theme="1"/>
      <name val="Poppins"/>
    </font>
    <font>
      <sz val="7.0"/>
      <color theme="1"/>
      <name val="Poppins"/>
    </font>
    <font>
      <sz val="7.0"/>
      <color rgb="FF000000"/>
      <name val="Poppins"/>
    </font>
    <font>
      <i/>
      <sz val="8.0"/>
      <color theme="1"/>
      <name val="Poppins"/>
    </font>
    <font>
      <u/>
      <sz val="10.0"/>
      <color rgb="FF0000FF"/>
      <name val="Poppins"/>
    </font>
    <font>
      <color theme="1"/>
      <name val="Arial"/>
      <scheme val="minor"/>
    </font>
    <font>
      <b/>
      <sz val="14.0"/>
      <color theme="1"/>
      <name val="Poppins"/>
    </font>
    <font>
      <i/>
      <sz val="9.0"/>
      <color theme="1"/>
      <name val="Poppins"/>
    </font>
    <font>
      <sz val="10.0"/>
      <color rgb="FF111827"/>
      <name val="Poppins"/>
    </font>
    <font>
      <sz val="10.0"/>
      <color rgb="FFCCCCCC"/>
      <name val="Poppins"/>
    </font>
    <font>
      <color theme="1"/>
      <name val="Poppins"/>
    </font>
    <font>
      <sz val="8.0"/>
      <color theme="1"/>
      <name val="Poppins"/>
    </font>
    <font>
      <b/>
      <sz val="8.0"/>
      <color theme="1"/>
      <name val="Poppins"/>
    </font>
    <font>
      <sz val="6.0"/>
      <color theme="1"/>
      <name val="Poppins"/>
    </font>
    <font>
      <b/>
      <sz val="7.0"/>
      <color theme="1"/>
      <name val="Poppins"/>
    </font>
    <font>
      <b/>
      <i/>
      <sz val="7.0"/>
      <color theme="1"/>
      <name val="Poppins"/>
    </font>
    <font>
      <u/>
      <sz val="7.0"/>
      <color rgb="FF1155CC"/>
      <name val="Poppins"/>
    </font>
    <font>
      <u/>
      <sz val="7.0"/>
      <color rgb="FF0000FF"/>
      <name val="Poppins"/>
    </font>
    <font>
      <sz val="7.0"/>
      <color rgb="FFCCCCCC"/>
      <name val="Poppins"/>
    </font>
    <font>
      <sz val="7.0"/>
      <color rgb="FFA64D79"/>
      <name val="Poppins"/>
    </font>
    <font>
      <u/>
      <sz val="7.0"/>
      <color rgb="FF0000FF"/>
      <name val="Poppins"/>
    </font>
    <font>
      <u/>
      <sz val="7.0"/>
      <color rgb="FF0000FF"/>
      <name val="Poppins"/>
    </font>
    <font>
      <u/>
      <sz val="7.0"/>
      <color rgb="FF0563C1"/>
      <name val="Poppins"/>
    </font>
    <font>
      <u/>
      <sz val="7.0"/>
      <color rgb="FF0000FF"/>
      <name val="Poppins"/>
    </font>
    <font>
      <u/>
      <sz val="7.0"/>
      <color rgb="FF0000FF"/>
      <name val="Poppins"/>
    </font>
    <font>
      <u/>
      <sz val="7.0"/>
      <color rgb="FF1155CC"/>
      <name val="Poppins"/>
    </font>
    <font>
      <u/>
      <sz val="7.0"/>
      <color rgb="FF0000FF"/>
      <name val="Poppins"/>
    </font>
    <font>
      <u/>
      <sz val="7.0"/>
      <color rgb="FF1155CC"/>
      <name val="Poppins"/>
    </font>
    <font>
      <u/>
      <sz val="7.0"/>
      <color rgb="FF0000FF"/>
      <name val="Poppins"/>
    </font>
    <font>
      <sz val="7.0"/>
      <color rgb="FF3F3C39"/>
      <name val="Poppins"/>
    </font>
    <font>
      <sz val="7.0"/>
      <color rgb="FF0000FF"/>
      <name val="Poppins"/>
    </font>
    <font>
      <u/>
      <sz val="7.0"/>
      <color rgb="FF0000FF"/>
      <name val="Poppins"/>
    </font>
    <font>
      <sz val="7.0"/>
      <color rgb="FFC27BA0"/>
      <name val="Poppins"/>
    </font>
    <font>
      <u/>
      <sz val="7.0"/>
      <color rgb="FF0000FF"/>
      <name val="Poppins"/>
    </font>
    <font>
      <u/>
      <sz val="7.0"/>
      <color rgb="FF1155CC"/>
      <name val="Poppins"/>
    </font>
    <font>
      <u/>
      <sz val="7.0"/>
      <color rgb="FF1155CC"/>
      <name val="Poppins"/>
    </font>
    <font>
      <u/>
      <sz val="7.0"/>
      <color rgb="FF0000FF"/>
      <name val="Poppins"/>
    </font>
    <font>
      <color theme="1"/>
      <name val="Arial"/>
    </font>
    <font>
      <u/>
      <sz val="7.0"/>
      <color rgb="FF1155CC"/>
      <name val="Poppins"/>
    </font>
    <font>
      <u/>
      <sz val="7.0"/>
      <color rgb="FF0000FF"/>
      <name val="Poppins"/>
    </font>
    <font>
      <u/>
      <sz val="7.0"/>
      <color rgb="FF0000FF"/>
      <name val="Poppins"/>
    </font>
    <font>
      <sz val="7.0"/>
      <color rgb="FF1A1A1A"/>
      <name val="Poppins"/>
    </font>
    <font>
      <u/>
      <sz val="7.0"/>
      <color rgb="FF1155CC"/>
      <name val="Poppins"/>
    </font>
    <font>
      <u/>
      <sz val="7.0"/>
      <color rgb="FF0000FF"/>
      <name val="Poppins"/>
    </font>
    <font>
      <u/>
      <sz val="7.0"/>
      <color rgb="FF0000FF"/>
      <name val="Poppins"/>
    </font>
    <font>
      <u/>
      <sz val="7.0"/>
      <color rgb="FF0000FF"/>
      <name val="Poppins"/>
    </font>
    <font>
      <u/>
      <sz val="7.0"/>
      <color rgb="FF1155CC"/>
      <name val="Poppins"/>
    </font>
    <font>
      <u/>
      <sz val="7.0"/>
      <color rgb="FF1155CC"/>
      <name val="Poppins"/>
    </font>
    <font>
      <u/>
      <sz val="7.0"/>
      <color rgb="FF1155CC"/>
      <name val="Poppins"/>
    </font>
    <font>
      <u/>
      <sz val="7.0"/>
      <color rgb="FF0000FF"/>
      <name val="Poppins"/>
    </font>
    <font>
      <u/>
      <sz val="7.0"/>
      <color rgb="FF1155CC"/>
      <name val="Poppins"/>
    </font>
    <font>
      <u/>
      <sz val="7.0"/>
      <color rgb="FF0000FF"/>
      <name val="Poppins"/>
    </font>
    <font>
      <u/>
      <sz val="7.0"/>
      <color rgb="FF0563C1"/>
      <name val="Poppins"/>
    </font>
    <font>
      <u/>
      <sz val="7.0"/>
      <color rgb="FF0000FF"/>
      <name val="Poppins"/>
    </font>
    <font>
      <u/>
      <sz val="7.0"/>
      <color rgb="FF0000FF"/>
      <name val="Poppins"/>
    </font>
    <font>
      <sz val="7.0"/>
      <color rgb="FF3F3F46"/>
      <name val="Poppins"/>
    </font>
    <font>
      <u/>
      <sz val="7.0"/>
      <color rgb="FF0000FF"/>
      <name val="Poppins"/>
    </font>
    <font>
      <u/>
      <sz val="7.0"/>
      <color rgb="FF0000FF"/>
      <name val="Poppins"/>
    </font>
    <font>
      <u/>
      <sz val="7.0"/>
      <color rgb="FF0000FF"/>
      <name val="Poppins"/>
    </font>
    <font>
      <u/>
      <sz val="7.0"/>
      <color rgb="FF0000FF"/>
      <name val="Poppins"/>
    </font>
    <font>
      <b/>
      <u/>
      <sz val="7.0"/>
      <color rgb="FF0000FF"/>
      <name val="Poppins"/>
    </font>
    <font>
      <u/>
      <sz val="7.0"/>
      <color rgb="FF0000FF"/>
      <name val="Poppins"/>
    </font>
    <font>
      <u/>
      <sz val="7.0"/>
      <color rgb="FF0000FF"/>
      <name val="Poppins"/>
    </font>
    <font>
      <u/>
      <sz val="7.0"/>
      <color rgb="FF0000FF"/>
      <name val="Poppins"/>
    </font>
    <font>
      <u/>
      <sz val="7.0"/>
      <color rgb="FF0000FF"/>
      <name val="Poppins"/>
    </font>
    <font>
      <u/>
      <sz val="7.0"/>
      <color rgb="FF1155CC"/>
      <name val="Poppins"/>
    </font>
    <font>
      <u/>
      <sz val="7.0"/>
      <color rgb="FF1155CC"/>
      <name val="Poppins"/>
    </font>
    <font>
      <u/>
      <sz val="7.0"/>
      <color rgb="FF0000FF"/>
      <name val="Poppins"/>
    </font>
    <font>
      <u/>
      <sz val="7.0"/>
      <color rgb="FF0000FF"/>
      <name val="Poppins"/>
    </font>
    <font>
      <u/>
      <sz val="7.0"/>
      <color rgb="FF0563C1"/>
      <name val="Poppins"/>
    </font>
    <font>
      <u/>
      <sz val="7.0"/>
      <color rgb="FF0000FF"/>
      <name val="Poppins"/>
    </font>
    <font>
      <u/>
      <sz val="7.0"/>
      <color rgb="FF0563C1"/>
      <name val="Poppins"/>
    </font>
    <font>
      <u/>
      <sz val="7.0"/>
      <color rgb="FF0563C1"/>
      <name val="Poppins"/>
    </font>
    <font>
      <u/>
      <sz val="7.0"/>
      <color rgb="FF0563C1"/>
      <name val="Poppins"/>
    </font>
    <font>
      <u/>
      <sz val="7.0"/>
      <color rgb="FF1155CC"/>
      <name val="Poppins"/>
    </font>
    <font>
      <u/>
      <sz val="7.0"/>
      <color rgb="FF1155CC"/>
      <name val="Poppins"/>
    </font>
    <font>
      <u/>
      <sz val="7.0"/>
      <color rgb="FF1155CC"/>
      <name val="Poppins"/>
    </font>
    <font>
      <u/>
      <sz val="7.0"/>
      <color rgb="FF1155CC"/>
      <name val="Poppins"/>
    </font>
    <font>
      <u/>
      <sz val="7.0"/>
      <color rgb="FF1155CC"/>
      <name val="Poppins"/>
    </font>
    <font>
      <u/>
      <sz val="7.0"/>
      <color rgb="FF1155CC"/>
      <name val="Poppins"/>
    </font>
    <font>
      <u/>
      <sz val="7.0"/>
      <color rgb="FF1155CC"/>
      <name val="Poppins"/>
    </font>
    <font>
      <u/>
      <sz val="7.0"/>
      <color rgb="FF1155CC"/>
      <name val="Poppins"/>
    </font>
    <font>
      <u/>
      <sz val="7.0"/>
      <color rgb="FF1155CC"/>
      <name val="Poppins"/>
    </font>
    <font>
      <u/>
      <sz val="7.0"/>
      <color rgb="FF1155CC"/>
      <name val="Poppins"/>
    </font>
    <font>
      <u/>
      <sz val="7.0"/>
      <color rgb="FF0000FF"/>
      <name val="Poppins"/>
    </font>
    <font>
      <u/>
      <sz val="7.0"/>
      <color rgb="FF1155CC"/>
      <name val="Poppins"/>
    </font>
    <font>
      <u/>
      <sz val="7.0"/>
      <color rgb="FF0000FF"/>
      <name val="Poppins"/>
    </font>
    <font>
      <u/>
      <sz val="7.0"/>
      <color rgb="FF1155CC"/>
      <name val="Poppins"/>
    </font>
    <font>
      <u/>
      <sz val="7.0"/>
      <color rgb="FF0000FF"/>
      <name val="Poppins"/>
    </font>
    <font>
      <u/>
      <sz val="7.0"/>
      <color rgb="FF1155CC"/>
      <name val="Poppins"/>
    </font>
    <font>
      <u/>
      <sz val="7.0"/>
      <color rgb="FF0000FF"/>
      <name val="Poppins"/>
    </font>
    <font>
      <u/>
      <sz val="7.0"/>
      <color rgb="FF0000FF"/>
      <name val="Poppins"/>
    </font>
    <font>
      <u/>
      <sz val="7.0"/>
      <color rgb="FF1155CC"/>
      <name val="Poppins"/>
    </font>
    <font>
      <u/>
      <sz val="7.0"/>
      <color rgb="FF0000FF"/>
      <name val="Poppins"/>
    </font>
    <font>
      <u/>
      <sz val="7.0"/>
      <color rgb="FF1155CC"/>
      <name val="Poppins"/>
    </font>
    <font>
      <u/>
      <sz val="7.0"/>
      <color rgb="FF1155CC"/>
      <name val="Poppins"/>
    </font>
    <font>
      <u/>
      <sz val="7.0"/>
      <color rgb="FF1155CC"/>
      <name val="Poppins"/>
    </font>
    <font>
      <u/>
      <sz val="7.0"/>
      <color rgb="FF1155CC"/>
      <name val="Poppins"/>
    </font>
  </fonts>
  <fills count="12">
    <fill>
      <patternFill patternType="none"/>
    </fill>
    <fill>
      <patternFill patternType="lightGray"/>
    </fill>
    <fill>
      <patternFill patternType="solid">
        <fgColor rgb="FFFFFFFF"/>
        <bgColor rgb="FFFFFFFF"/>
      </patternFill>
    </fill>
    <fill>
      <patternFill patternType="solid">
        <fgColor theme="0"/>
        <bgColor theme="0"/>
      </patternFill>
    </fill>
    <fill>
      <patternFill patternType="solid">
        <fgColor rgb="FFF3F3F3"/>
        <bgColor rgb="FFF3F3F3"/>
      </patternFill>
    </fill>
    <fill>
      <patternFill patternType="solid">
        <fgColor rgb="FFEFEFEF"/>
        <bgColor rgb="FFEFEFEF"/>
      </patternFill>
    </fill>
    <fill>
      <patternFill patternType="solid">
        <fgColor rgb="FFFCE5CD"/>
        <bgColor rgb="FFFCE5CD"/>
      </patternFill>
    </fill>
    <fill>
      <patternFill patternType="solid">
        <fgColor rgb="FFFFF2CC"/>
        <bgColor rgb="FFFFF2CC"/>
      </patternFill>
    </fill>
    <fill>
      <patternFill patternType="solid">
        <fgColor rgb="FF6AA84F"/>
        <bgColor rgb="FF6AA84F"/>
      </patternFill>
    </fill>
    <fill>
      <patternFill patternType="solid">
        <fgColor rgb="FFD9EAD3"/>
        <bgColor rgb="FFD9EAD3"/>
      </patternFill>
    </fill>
    <fill>
      <patternFill patternType="solid">
        <fgColor rgb="FFF6F8F9"/>
        <bgColor rgb="FFF6F8F9"/>
      </patternFill>
    </fill>
    <fill>
      <patternFill patternType="solid">
        <fgColor rgb="FFFF0000"/>
        <bgColor rgb="FFFF0000"/>
      </patternFill>
    </fill>
  </fills>
  <borders count="16">
    <border/>
    <border>
      <left style="thin">
        <color rgb="FFFFFFFF"/>
      </left>
      <top style="thin">
        <color rgb="FFFFFFFF"/>
      </top>
      <bottom style="thin">
        <color rgb="FFFFFFFF"/>
      </bottom>
    </border>
    <border>
      <top style="thin">
        <color rgb="FFFFFFFF"/>
      </top>
      <bottom style="thin">
        <color rgb="FFFFFFFF"/>
      </bottom>
    </border>
    <border>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top style="thin">
        <color rgb="FFFFFFFF"/>
      </top>
    </border>
    <border>
      <top style="thin">
        <color rgb="FFFFFFFF"/>
      </top>
    </border>
    <border>
      <right style="thin">
        <color rgb="FFFFFFFF"/>
      </right>
      <top style="thin">
        <color rgb="FFFFFFFF"/>
      </top>
    </border>
    <border>
      <left style="thin">
        <color rgb="FFF9CB9C"/>
      </left>
      <right style="thin">
        <color rgb="FFF9CB9C"/>
      </right>
      <top style="thin">
        <color rgb="FFF9CB9C"/>
      </top>
      <bottom style="thin">
        <color rgb="FFF9CB9C"/>
      </bottom>
    </border>
    <border>
      <left style="thin">
        <color rgb="FFF9CB9C"/>
      </left>
      <top style="thin">
        <color rgb="FFF9CB9C"/>
      </top>
      <bottom style="thin">
        <color rgb="FFF9CB9C"/>
      </bottom>
    </border>
    <border>
      <top style="thin">
        <color rgb="FFF9CB9C"/>
      </top>
      <bottom style="thin">
        <color rgb="FFF9CB9C"/>
      </bottom>
    </border>
    <border>
      <right style="thin">
        <color rgb="FFF9CB9C"/>
      </right>
      <top style="thin">
        <color rgb="FFF9CB9C"/>
      </top>
      <bottom style="thin">
        <color rgb="FFF9CB9C"/>
      </bottom>
    </border>
    <border>
      <left style="thin">
        <color rgb="FFFFFFFF"/>
      </left>
      <right style="thin">
        <color rgb="FFFFFFFF"/>
      </right>
    </border>
    <border>
      <left style="thin">
        <color rgb="FFFFFFFF"/>
      </left>
      <right style="thin">
        <color rgb="FFFFFFFF"/>
      </right>
      <bottom style="thin">
        <color rgb="FFFFFFFF"/>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s>
  <cellStyleXfs count="1">
    <xf borderId="0" fillId="0" fontId="0" numFmtId="0" applyAlignment="1" applyFont="1"/>
  </cellStyleXfs>
  <cellXfs count="368">
    <xf borderId="0" fillId="0" fontId="0" numFmtId="0" xfId="0" applyAlignment="1" applyFont="1">
      <alignment readingOrder="0" shrinkToFit="0" vertical="bottom" wrapText="0"/>
    </xf>
    <xf borderId="1" fillId="2" fontId="1" numFmtId="0" xfId="0" applyAlignment="1" applyBorder="1" applyFill="1" applyFont="1">
      <alignment horizontal="center" readingOrder="0" vertical="center"/>
    </xf>
    <xf borderId="2" fillId="0" fontId="2" numFmtId="0" xfId="0" applyBorder="1" applyFont="1"/>
    <xf borderId="3" fillId="0" fontId="2" numFmtId="0" xfId="0" applyBorder="1" applyFont="1"/>
    <xf borderId="4" fillId="0" fontId="3" numFmtId="0" xfId="0" applyAlignment="1" applyBorder="1" applyFont="1">
      <alignment vertical="center"/>
    </xf>
    <xf borderId="1" fillId="0" fontId="3" numFmtId="0" xfId="0" applyAlignment="1" applyBorder="1" applyFont="1">
      <alignment horizontal="center" readingOrder="0" vertical="center"/>
    </xf>
    <xf borderId="1" fillId="0" fontId="4" numFmtId="0" xfId="0" applyAlignment="1" applyBorder="1" applyFont="1">
      <alignment horizontal="center" readingOrder="0" vertical="center"/>
    </xf>
    <xf borderId="1" fillId="3" fontId="5" numFmtId="0" xfId="0" applyAlignment="1" applyBorder="1" applyFill="1" applyFont="1">
      <alignment readingOrder="0" shrinkToFit="0" vertical="center" wrapText="1"/>
    </xf>
    <xf borderId="4" fillId="0" fontId="3" numFmtId="0" xfId="0" applyAlignment="1" applyBorder="1" applyFont="1">
      <alignment shrinkToFit="0" vertical="center" wrapText="1"/>
    </xf>
    <xf borderId="5" fillId="0" fontId="5" numFmtId="0" xfId="0" applyAlignment="1" applyBorder="1" applyFont="1">
      <alignment readingOrder="0" vertical="center"/>
    </xf>
    <xf borderId="6" fillId="0" fontId="2" numFmtId="0" xfId="0" applyBorder="1" applyFont="1"/>
    <xf borderId="7" fillId="0" fontId="2" numFmtId="0" xfId="0" applyBorder="1" applyFont="1"/>
    <xf borderId="5" fillId="0" fontId="5" numFmtId="0" xfId="0" applyAlignment="1" applyBorder="1" applyFont="1">
      <alignment readingOrder="0" shrinkToFit="0" vertical="center" wrapText="1"/>
    </xf>
    <xf borderId="8" fillId="4" fontId="4" numFmtId="0" xfId="0" applyAlignment="1" applyBorder="1" applyFill="1" applyFont="1">
      <alignment horizontal="center" readingOrder="0" vertical="center"/>
    </xf>
    <xf borderId="8" fillId="4" fontId="4" numFmtId="0" xfId="0" applyAlignment="1" applyBorder="1" applyFont="1">
      <alignment horizontal="center" readingOrder="0" shrinkToFit="0" vertical="center" wrapText="0"/>
    </xf>
    <xf borderId="3" fillId="0" fontId="3" numFmtId="0" xfId="0" applyAlignment="1" applyBorder="1" applyFont="1">
      <alignment vertical="center"/>
    </xf>
    <xf borderId="8" fillId="5" fontId="3" numFmtId="0" xfId="0" applyAlignment="1" applyBorder="1" applyFill="1" applyFont="1">
      <alignment readingOrder="0" vertical="center"/>
    </xf>
    <xf borderId="8" fillId="6" fontId="6" numFmtId="0" xfId="0" applyAlignment="1" applyBorder="1" applyFill="1" applyFont="1">
      <alignment horizontal="left" readingOrder="0" shrinkToFit="0" vertical="center" wrapText="0"/>
    </xf>
    <xf borderId="8" fillId="0" fontId="7" numFmtId="0" xfId="0" applyAlignment="1" applyBorder="1" applyFont="1">
      <alignment readingOrder="0" shrinkToFit="0" vertical="center" wrapText="1"/>
    </xf>
    <xf borderId="4" fillId="0" fontId="3" numFmtId="0" xfId="0" applyAlignment="1" applyBorder="1" applyFont="1">
      <alignment readingOrder="0" vertical="center"/>
    </xf>
    <xf borderId="8" fillId="2" fontId="8" numFmtId="0" xfId="0" applyAlignment="1" applyBorder="1" applyFont="1">
      <alignment horizontal="left" readingOrder="0" shrinkToFit="0" vertical="center" wrapText="1"/>
    </xf>
    <xf borderId="4" fillId="0" fontId="3" numFmtId="0" xfId="0" applyAlignment="1" applyBorder="1" applyFont="1">
      <alignment horizontal="left" readingOrder="0" vertical="center"/>
    </xf>
    <xf borderId="4" fillId="2" fontId="3" numFmtId="0" xfId="0" applyAlignment="1" applyBorder="1" applyFont="1">
      <alignment vertical="center"/>
    </xf>
    <xf borderId="9" fillId="0" fontId="9" numFmtId="0" xfId="0" applyAlignment="1" applyBorder="1" applyFont="1">
      <alignment readingOrder="0" vertical="center"/>
    </xf>
    <xf borderId="10" fillId="0" fontId="2" numFmtId="0" xfId="0" applyBorder="1" applyFont="1"/>
    <xf borderId="11" fillId="0" fontId="2" numFmtId="0" xfId="0" applyBorder="1" applyFont="1"/>
    <xf borderId="8" fillId="2" fontId="8" numFmtId="0" xfId="0" applyAlignment="1" applyBorder="1" applyFont="1">
      <alignment horizontal="left" readingOrder="0" vertical="center"/>
    </xf>
    <xf borderId="8" fillId="0" fontId="7" numFmtId="0" xfId="0" applyAlignment="1" applyBorder="1" applyFont="1">
      <alignment readingOrder="0" vertical="center"/>
    </xf>
    <xf borderId="8" fillId="6" fontId="6" numFmtId="164" xfId="0" applyAlignment="1" applyBorder="1" applyFont="1" applyNumberFormat="1">
      <alignment horizontal="left" readingOrder="0" shrinkToFit="0" vertical="center" wrapText="0"/>
    </xf>
    <xf borderId="12" fillId="0" fontId="3" numFmtId="0" xfId="0" applyAlignment="1" applyBorder="1" applyFont="1">
      <alignment readingOrder="0" vertical="center"/>
    </xf>
    <xf borderId="12" fillId="0" fontId="3" numFmtId="0" xfId="0" applyAlignment="1" applyBorder="1" applyFont="1">
      <alignment horizontal="left" readingOrder="0" shrinkToFit="0" vertical="center" wrapText="0"/>
    </xf>
    <xf borderId="12" fillId="0" fontId="7" numFmtId="0" xfId="0" applyAlignment="1" applyBorder="1" applyFont="1">
      <alignment horizontal="left" readingOrder="0" vertical="center"/>
    </xf>
    <xf borderId="1" fillId="0" fontId="4" numFmtId="0" xfId="0" applyAlignment="1" applyBorder="1" applyFont="1">
      <alignment readingOrder="0" vertical="center"/>
    </xf>
    <xf borderId="8" fillId="0" fontId="4" numFmtId="0" xfId="0" applyAlignment="1" applyBorder="1" applyFont="1">
      <alignment readingOrder="0" vertical="center"/>
    </xf>
    <xf borderId="8" fillId="6" fontId="4" numFmtId="0" xfId="0" applyAlignment="1" applyBorder="1" applyFont="1">
      <alignment horizontal="left" readingOrder="0" shrinkToFit="0" vertical="center" wrapText="0"/>
    </xf>
    <xf borderId="8" fillId="6" fontId="10" numFmtId="0" xfId="0" applyAlignment="1" applyBorder="1" applyFont="1">
      <alignment horizontal="left" readingOrder="0" shrinkToFit="0" vertical="center" wrapText="0"/>
    </xf>
    <xf borderId="1" fillId="0" fontId="3" numFmtId="0" xfId="0" applyAlignment="1" applyBorder="1" applyFont="1">
      <alignment readingOrder="0" vertical="center"/>
    </xf>
    <xf borderId="8" fillId="0" fontId="3" numFmtId="0" xfId="0" applyAlignment="1" applyBorder="1" applyFont="1">
      <alignment readingOrder="0" vertical="center"/>
    </xf>
    <xf borderId="13" fillId="0" fontId="3" numFmtId="0" xfId="0" applyAlignment="1" applyBorder="1" applyFont="1">
      <alignment readingOrder="0" vertical="center"/>
    </xf>
    <xf borderId="13" fillId="0" fontId="3" numFmtId="0" xfId="0" applyAlignment="1" applyBorder="1" applyFont="1">
      <alignment horizontal="left" readingOrder="0" shrinkToFit="0" vertical="center" wrapText="0"/>
    </xf>
    <xf borderId="13" fillId="0" fontId="7" numFmtId="0" xfId="0" applyAlignment="1" applyBorder="1" applyFont="1">
      <alignment horizontal="left" readingOrder="0" vertical="center"/>
    </xf>
    <xf borderId="4" fillId="0" fontId="9" numFmtId="0" xfId="0" applyAlignment="1" applyBorder="1" applyFont="1">
      <alignment readingOrder="0" vertical="center"/>
    </xf>
    <xf borderId="4" fillId="0" fontId="9" numFmtId="0" xfId="0" applyAlignment="1" applyBorder="1" applyFont="1">
      <alignment horizontal="left" shrinkToFit="0" vertical="center" wrapText="0"/>
    </xf>
    <xf borderId="4" fillId="0" fontId="9" numFmtId="0" xfId="0" applyAlignment="1" applyBorder="1" applyFont="1">
      <alignment vertical="center"/>
    </xf>
    <xf borderId="4" fillId="0" fontId="3" numFmtId="0" xfId="0" applyAlignment="1" applyBorder="1" applyFont="1">
      <alignment horizontal="left" readingOrder="0" shrinkToFit="0" vertical="center" wrapText="0"/>
    </xf>
    <xf borderId="4" fillId="0" fontId="3" numFmtId="0" xfId="0" applyAlignment="1" applyBorder="1" applyFont="1">
      <alignment horizontal="left" readingOrder="0" shrinkToFit="0" vertical="center" wrapText="1"/>
    </xf>
    <xf borderId="4" fillId="0" fontId="3" numFmtId="0" xfId="0" applyAlignment="1" applyBorder="1" applyFont="1">
      <alignment horizontal="left" shrinkToFit="0" vertical="center" wrapText="0"/>
    </xf>
    <xf borderId="4" fillId="0" fontId="11" numFmtId="0" xfId="0" applyAlignment="1" applyBorder="1" applyFont="1">
      <alignment vertical="center"/>
    </xf>
    <xf borderId="0" fillId="0" fontId="12" numFmtId="0" xfId="0" applyAlignment="1" applyFont="1">
      <alignment vertical="bottom"/>
    </xf>
    <xf borderId="0" fillId="0" fontId="3" numFmtId="0" xfId="0" applyAlignment="1" applyFont="1">
      <alignment vertical="bottom"/>
    </xf>
    <xf borderId="0" fillId="0" fontId="3" numFmtId="0" xfId="0" applyFont="1"/>
    <xf borderId="0" fillId="0" fontId="3" numFmtId="0" xfId="0" applyAlignment="1" applyFont="1">
      <alignment horizontal="center"/>
    </xf>
    <xf borderId="0" fillId="0" fontId="13" numFmtId="0" xfId="0" applyAlignment="1" applyFont="1">
      <alignment readingOrder="0" shrinkToFit="0" vertical="bottom" wrapText="1"/>
    </xf>
    <xf borderId="14" fillId="6" fontId="4" numFmtId="0" xfId="0" applyAlignment="1" applyBorder="1" applyFont="1">
      <alignment horizontal="center"/>
    </xf>
    <xf borderId="15" fillId="6" fontId="4" numFmtId="0" xfId="0" applyAlignment="1" applyBorder="1" applyFont="1">
      <alignment horizontal="center"/>
    </xf>
    <xf borderId="0" fillId="0" fontId="14" numFmtId="0" xfId="0" applyAlignment="1" applyFont="1">
      <alignment readingOrder="0" vertical="bottom"/>
    </xf>
    <xf borderId="0" fillId="0" fontId="15" numFmtId="0" xfId="0" applyAlignment="1" applyFont="1">
      <alignment readingOrder="0" shrinkToFit="0" wrapText="0"/>
    </xf>
    <xf borderId="0" fillId="2" fontId="3" numFmtId="0" xfId="0" applyAlignment="1" applyFont="1">
      <alignment horizontal="left" readingOrder="0" shrinkToFit="0" vertical="center" wrapText="0"/>
    </xf>
    <xf borderId="0" fillId="0" fontId="3" numFmtId="0" xfId="0" applyAlignment="1" applyFont="1">
      <alignment vertical="bottom"/>
    </xf>
    <xf borderId="0" fillId="0" fontId="3" numFmtId="0" xfId="0" applyAlignment="1" applyFont="1">
      <alignment readingOrder="0"/>
    </xf>
    <xf borderId="0" fillId="0" fontId="3" numFmtId="0" xfId="0" applyAlignment="1" applyFont="1">
      <alignment readingOrder="0" vertical="bottom"/>
    </xf>
    <xf borderId="0" fillId="0" fontId="12" numFmtId="0" xfId="0" applyAlignment="1" applyFont="1">
      <alignment readingOrder="0" vertical="bottom"/>
    </xf>
    <xf borderId="14" fillId="6" fontId="4" numFmtId="0" xfId="0" applyAlignment="1" applyBorder="1" applyFont="1">
      <alignment horizontal="center" readingOrder="0"/>
    </xf>
    <xf borderId="0" fillId="0" fontId="12" numFmtId="0" xfId="0" applyAlignment="1" applyFont="1">
      <alignment readingOrder="0" vertical="center"/>
    </xf>
    <xf borderId="0" fillId="0" fontId="16" numFmtId="0" xfId="0" applyAlignment="1" applyFont="1">
      <alignment vertical="center"/>
    </xf>
    <xf borderId="0" fillId="0" fontId="16" numFmtId="0" xfId="0" applyAlignment="1" applyFont="1">
      <alignment shrinkToFit="0" vertical="center" wrapText="0"/>
    </xf>
    <xf borderId="0" fillId="0" fontId="7" numFmtId="0" xfId="0" applyAlignment="1" applyFont="1">
      <alignment horizontal="center" vertical="center"/>
    </xf>
    <xf borderId="0" fillId="0" fontId="16" numFmtId="0" xfId="0" applyAlignment="1" applyFont="1">
      <alignment shrinkToFit="0" vertical="center" wrapText="1"/>
    </xf>
    <xf borderId="0" fillId="0" fontId="7" numFmtId="0" xfId="0" applyAlignment="1" applyFont="1">
      <alignment vertical="center"/>
    </xf>
    <xf borderId="0" fillId="0" fontId="16" numFmtId="0" xfId="0" applyAlignment="1" applyFont="1">
      <alignment readingOrder="0" vertical="center"/>
    </xf>
    <xf borderId="0" fillId="0" fontId="17" numFmtId="0" xfId="0" applyAlignment="1" applyFont="1">
      <alignment readingOrder="0" vertical="center"/>
    </xf>
    <xf borderId="0" fillId="7" fontId="18" numFmtId="0" xfId="0" applyAlignment="1" applyFill="1" applyFont="1">
      <alignment horizontal="left" readingOrder="0" vertical="center"/>
    </xf>
    <xf borderId="0" fillId="0" fontId="7" numFmtId="0" xfId="0" applyAlignment="1" applyFont="1">
      <alignment horizontal="left" readingOrder="0" vertical="center"/>
    </xf>
    <xf borderId="0" fillId="5" fontId="18" numFmtId="0" xfId="0" applyAlignment="1" applyFont="1">
      <alignment horizontal="left" readingOrder="0" vertical="center"/>
    </xf>
    <xf borderId="0" fillId="5" fontId="18" numFmtId="10" xfId="0" applyAlignment="1" applyFont="1" applyNumberFormat="1">
      <alignment horizontal="left" vertical="center"/>
    </xf>
    <xf borderId="0" fillId="0" fontId="16" numFmtId="0" xfId="0" applyAlignment="1" applyFont="1">
      <alignment horizontal="left" vertical="center"/>
    </xf>
    <xf borderId="0" fillId="0" fontId="16" numFmtId="0" xfId="0" applyAlignment="1" applyFont="1">
      <alignment horizontal="left" shrinkToFit="0" vertical="center" wrapText="0"/>
    </xf>
    <xf borderId="0" fillId="0" fontId="19" numFmtId="0" xfId="0" applyAlignment="1" applyFont="1">
      <alignment horizontal="left" readingOrder="0" shrinkToFit="0" vertical="center" wrapText="1"/>
    </xf>
    <xf borderId="0" fillId="0" fontId="19" numFmtId="0" xfId="0" applyAlignment="1" applyFont="1">
      <alignment horizontal="left" readingOrder="0" shrinkToFit="0" vertical="center" wrapText="0"/>
    </xf>
    <xf borderId="0" fillId="0" fontId="7" numFmtId="0" xfId="0" applyAlignment="1" applyFont="1">
      <alignment horizontal="left" vertical="center"/>
    </xf>
    <xf borderId="14" fillId="6" fontId="20" numFmtId="0" xfId="0" applyAlignment="1" applyBorder="1" applyFont="1">
      <alignment horizontal="center" vertical="center"/>
    </xf>
    <xf borderId="14" fillId="6" fontId="20" numFmtId="0" xfId="0" applyAlignment="1" applyBorder="1" applyFont="1">
      <alignment horizontal="center" readingOrder="0" vertical="center"/>
    </xf>
    <xf borderId="14" fillId="6" fontId="20" numFmtId="0" xfId="0" applyAlignment="1" applyBorder="1" applyFont="1">
      <alignment horizontal="center" readingOrder="0" shrinkToFit="0" vertical="center" wrapText="0"/>
    </xf>
    <xf borderId="14" fillId="6" fontId="20" numFmtId="0" xfId="0" applyAlignment="1" applyBorder="1" applyFont="1">
      <alignment horizontal="center" readingOrder="0" shrinkToFit="0" vertical="center" wrapText="1"/>
    </xf>
    <xf borderId="14" fillId="8" fontId="20" numFmtId="0" xfId="0" applyAlignment="1" applyBorder="1" applyFill="1" applyFont="1">
      <alignment horizontal="center" readingOrder="0" vertical="center"/>
    </xf>
    <xf borderId="14" fillId="0" fontId="7" numFmtId="0" xfId="0" applyAlignment="1" applyBorder="1" applyFont="1">
      <alignment horizontal="center" vertical="center"/>
    </xf>
    <xf borderId="14" fillId="0" fontId="21" numFmtId="0" xfId="0" applyAlignment="1" applyBorder="1" applyFont="1">
      <alignment horizontal="center" vertical="center"/>
    </xf>
    <xf borderId="14" fillId="0" fontId="7" numFmtId="0" xfId="0" applyAlignment="1" applyBorder="1" applyFont="1">
      <alignment horizontal="center" shrinkToFit="0" vertical="center" wrapText="0"/>
    </xf>
    <xf borderId="14" fillId="2" fontId="22" numFmtId="0" xfId="0" applyAlignment="1" applyBorder="1" applyFont="1">
      <alignment horizontal="center" shrinkToFit="0" vertical="center" wrapText="1"/>
    </xf>
    <xf borderId="14" fillId="2" fontId="7" numFmtId="0" xfId="0" applyAlignment="1" applyBorder="1" applyFont="1">
      <alignment horizontal="center" shrinkToFit="0" vertical="center" wrapText="0"/>
    </xf>
    <xf borderId="14" fillId="2" fontId="7" numFmtId="0" xfId="0" applyAlignment="1" applyBorder="1" applyFont="1">
      <alignment horizontal="center" shrinkToFit="0" vertical="center" wrapText="1"/>
    </xf>
    <xf borderId="14" fillId="2" fontId="23" numFmtId="0" xfId="0" applyAlignment="1" applyBorder="1" applyFont="1">
      <alignment horizontal="left" readingOrder="0" shrinkToFit="0" vertical="center" wrapText="1"/>
    </xf>
    <xf borderId="14" fillId="0" fontId="7" numFmtId="0" xfId="0" applyAlignment="1" applyBorder="1" applyFont="1">
      <alignment horizontal="center" vertical="center"/>
    </xf>
    <xf borderId="14" fillId="0" fontId="7" numFmtId="0" xfId="0" applyAlignment="1" applyBorder="1" applyFont="1">
      <alignment horizontal="center" readingOrder="0" vertical="center"/>
    </xf>
    <xf borderId="14" fillId="0" fontId="7" numFmtId="0" xfId="0" applyAlignment="1" applyBorder="1" applyFont="1">
      <alignment horizontal="left" readingOrder="0" shrinkToFit="0" vertical="center" wrapText="1"/>
    </xf>
    <xf borderId="14" fillId="0" fontId="24" numFmtId="0" xfId="0" applyAlignment="1" applyBorder="1" applyFont="1">
      <alignment readingOrder="0" shrinkToFit="0" vertical="center" wrapText="0"/>
    </xf>
    <xf borderId="14" fillId="0" fontId="7" numFmtId="0" xfId="0" applyAlignment="1" applyBorder="1" applyFont="1">
      <alignment vertical="center"/>
    </xf>
    <xf borderId="14" fillId="5" fontId="25" numFmtId="0" xfId="0" applyAlignment="1" applyBorder="1" applyFont="1">
      <alignment readingOrder="0" vertical="center"/>
    </xf>
    <xf borderId="14" fillId="5" fontId="16" numFmtId="0" xfId="0" applyAlignment="1" applyBorder="1" applyFont="1">
      <alignment vertical="center"/>
    </xf>
    <xf borderId="14" fillId="9" fontId="16" numFmtId="0" xfId="0" applyAlignment="1" applyBorder="1" applyFill="1" applyFont="1">
      <alignment vertical="center"/>
    </xf>
    <xf borderId="14" fillId="0" fontId="7" numFmtId="0" xfId="0" applyAlignment="1" applyBorder="1" applyFont="1">
      <alignment horizontal="center" readingOrder="0" vertical="center"/>
    </xf>
    <xf borderId="14" fillId="0" fontId="24" numFmtId="0" xfId="0" applyAlignment="1" applyBorder="1" applyFont="1">
      <alignment horizontal="center" readingOrder="0" shrinkToFit="0" vertical="center" wrapText="0"/>
    </xf>
    <xf borderId="14" fillId="0" fontId="20" numFmtId="0" xfId="0" applyAlignment="1" applyBorder="1" applyFont="1">
      <alignment horizontal="center" shrinkToFit="0" vertical="center" wrapText="1"/>
    </xf>
    <xf borderId="14" fillId="2" fontId="26" numFmtId="0" xfId="0" applyAlignment="1" applyBorder="1" applyFont="1">
      <alignment horizontal="left" shrinkToFit="0" vertical="center" wrapText="1"/>
    </xf>
    <xf borderId="14" fillId="0" fontId="7" numFmtId="0" xfId="0" applyAlignment="1" applyBorder="1" applyFont="1">
      <alignment horizontal="left" readingOrder="0" vertical="center"/>
    </xf>
    <xf borderId="14" fillId="0" fontId="27" numFmtId="0" xfId="0" applyAlignment="1" applyBorder="1" applyFont="1">
      <alignment horizontal="left" readingOrder="0" shrinkToFit="0" vertical="center" wrapText="1"/>
    </xf>
    <xf borderId="14" fillId="0" fontId="7" numFmtId="0" xfId="0" applyAlignment="1" applyBorder="1" applyFont="1">
      <alignment horizontal="center" shrinkToFit="0" vertical="center" wrapText="1"/>
    </xf>
    <xf borderId="14" fillId="5" fontId="25" numFmtId="0" xfId="0" applyAlignment="1" applyBorder="1" applyFont="1">
      <alignment horizontal="center" shrinkToFit="0" vertical="center" wrapText="1"/>
    </xf>
    <xf borderId="14" fillId="5" fontId="7" numFmtId="0" xfId="0" applyAlignment="1" applyBorder="1" applyFont="1">
      <alignment horizontal="center" shrinkToFit="0" vertical="center" wrapText="1"/>
    </xf>
    <xf borderId="14" fillId="5" fontId="28" numFmtId="0" xfId="0" applyAlignment="1" applyBorder="1" applyFont="1">
      <alignment horizontal="center" shrinkToFit="0" vertical="center" wrapText="1"/>
    </xf>
    <xf borderId="14" fillId="2" fontId="21" numFmtId="0" xfId="0" applyAlignment="1" applyBorder="1" applyFont="1">
      <alignment horizontal="center" shrinkToFit="0" vertical="center" wrapText="0"/>
    </xf>
    <xf borderId="14" fillId="9" fontId="29" numFmtId="0" xfId="0" applyAlignment="1" applyBorder="1" applyFont="1">
      <alignment horizontal="left" readingOrder="0" shrinkToFit="0" vertical="center" wrapText="1"/>
    </xf>
    <xf borderId="14" fillId="0" fontId="7" numFmtId="10" xfId="0" applyAlignment="1" applyBorder="1" applyFont="1" applyNumberFormat="1">
      <alignment horizontal="center" shrinkToFit="0" vertical="center" wrapText="0"/>
    </xf>
    <xf borderId="14" fillId="2" fontId="7" numFmtId="10" xfId="0" applyAlignment="1" applyBorder="1" applyFont="1" applyNumberFormat="1">
      <alignment horizontal="center" shrinkToFit="0" vertical="center" wrapText="1"/>
    </xf>
    <xf borderId="14" fillId="0" fontId="7" numFmtId="0" xfId="0" applyAlignment="1" applyBorder="1" applyFont="1">
      <alignment horizontal="left" vertical="center"/>
    </xf>
    <xf borderId="14" fillId="0" fontId="11" numFmtId="0" xfId="0" applyBorder="1" applyFont="1"/>
    <xf borderId="14" fillId="5" fontId="25" numFmtId="0" xfId="0" applyAlignment="1" applyBorder="1" applyFont="1">
      <alignment horizontal="center" shrinkToFit="0" vertical="center" wrapText="0"/>
    </xf>
    <xf borderId="14" fillId="5" fontId="7" numFmtId="0" xfId="0" applyAlignment="1" applyBorder="1" applyFont="1">
      <alignment horizontal="center" shrinkToFit="0" vertical="center" wrapText="0"/>
    </xf>
    <xf borderId="14" fillId="5" fontId="7" numFmtId="0" xfId="0" applyAlignment="1" applyBorder="1" applyFont="1">
      <alignment horizontal="center" shrinkToFit="0" vertical="center" wrapText="0"/>
    </xf>
    <xf borderId="14" fillId="5" fontId="30" numFmtId="0" xfId="0" applyAlignment="1" applyBorder="1" applyFont="1">
      <alignment horizontal="center" shrinkToFit="0" vertical="center" wrapText="1"/>
    </xf>
    <xf borderId="14" fillId="5" fontId="31" numFmtId="0" xfId="0" applyAlignment="1" applyBorder="1" applyFont="1">
      <alignment horizontal="center" shrinkToFit="0" vertical="center" wrapText="1"/>
    </xf>
    <xf borderId="14" fillId="2" fontId="21" numFmtId="0" xfId="0" applyAlignment="1" applyBorder="1" applyFont="1">
      <alignment horizontal="center" shrinkToFit="0" vertical="center" wrapText="1"/>
    </xf>
    <xf borderId="14" fillId="0" fontId="7" numFmtId="0" xfId="0" applyAlignment="1" applyBorder="1" applyFont="1">
      <alignment horizontal="center" shrinkToFit="0" vertical="center" wrapText="1"/>
    </xf>
    <xf borderId="14" fillId="5" fontId="25" numFmtId="0" xfId="0" applyAlignment="1" applyBorder="1" applyFont="1">
      <alignment horizontal="center" shrinkToFit="0" vertical="center" wrapText="1"/>
    </xf>
    <xf borderId="14" fillId="5" fontId="7" numFmtId="0" xfId="0" applyAlignment="1" applyBorder="1" applyFont="1">
      <alignment horizontal="center" shrinkToFit="0" vertical="center" wrapText="1"/>
    </xf>
    <xf borderId="14" fillId="2" fontId="32" numFmtId="0" xfId="0" applyAlignment="1" applyBorder="1" applyFont="1">
      <alignment horizontal="left" readingOrder="0" shrinkToFit="0" vertical="center" wrapText="1"/>
    </xf>
    <xf borderId="14" fillId="0" fontId="7" numFmtId="0" xfId="0" applyAlignment="1" applyBorder="1" applyFont="1">
      <alignment horizontal="center" vertical="center"/>
    </xf>
    <xf borderId="14" fillId="0" fontId="21" numFmtId="0" xfId="0" applyAlignment="1" applyBorder="1" applyFont="1">
      <alignment horizontal="center" vertical="center"/>
    </xf>
    <xf borderId="14" fillId="2" fontId="33" numFmtId="0" xfId="0" applyAlignment="1" applyBorder="1" applyFont="1">
      <alignment horizontal="center" shrinkToFit="0" vertical="center" wrapText="1"/>
    </xf>
    <xf borderId="14" fillId="2" fontId="7" numFmtId="0" xfId="0" applyAlignment="1" applyBorder="1" applyFont="1">
      <alignment horizontal="center" shrinkToFit="0" vertical="center" wrapText="1"/>
    </xf>
    <xf borderId="14" fillId="2" fontId="34" numFmtId="0" xfId="0" applyAlignment="1" applyBorder="1" applyFont="1">
      <alignment horizontal="left" shrinkToFit="0" vertical="center" wrapText="1"/>
    </xf>
    <xf borderId="14" fillId="0" fontId="7" numFmtId="0" xfId="0" applyAlignment="1" applyBorder="1" applyFont="1">
      <alignment horizontal="center" vertical="center"/>
    </xf>
    <xf borderId="14" fillId="2" fontId="21" numFmtId="0" xfId="0" applyAlignment="1" applyBorder="1" applyFont="1">
      <alignment horizontal="center" vertical="center"/>
    </xf>
    <xf borderId="14" fillId="0" fontId="21" numFmtId="0" xfId="0" applyAlignment="1" applyBorder="1" applyFont="1">
      <alignment horizontal="center" shrinkToFit="0" vertical="center" wrapText="1"/>
    </xf>
    <xf borderId="14" fillId="0" fontId="7" numFmtId="0" xfId="0" applyAlignment="1" applyBorder="1" applyFont="1">
      <alignment horizontal="center" shrinkToFit="0" vertical="center" wrapText="0"/>
    </xf>
    <xf borderId="14" fillId="2" fontId="7" numFmtId="0" xfId="0" applyAlignment="1" applyBorder="1" applyFont="1">
      <alignment horizontal="center" shrinkToFit="0" vertical="center" wrapText="0"/>
    </xf>
    <xf borderId="14" fillId="2" fontId="21" numFmtId="0" xfId="0" applyAlignment="1" applyBorder="1" applyFont="1">
      <alignment horizontal="center" shrinkToFit="0" vertical="center" wrapText="1"/>
    </xf>
    <xf borderId="14" fillId="0" fontId="21" numFmtId="0" xfId="0" applyAlignment="1" applyBorder="1" applyFont="1">
      <alignment horizontal="center" shrinkToFit="0" vertical="center" wrapText="1"/>
    </xf>
    <xf borderId="14" fillId="2" fontId="7" numFmtId="0" xfId="0" applyAlignment="1" applyBorder="1" applyFont="1">
      <alignment horizontal="center" vertical="center"/>
    </xf>
    <xf borderId="14" fillId="2" fontId="7" numFmtId="0" xfId="0" applyAlignment="1" applyBorder="1" applyFont="1">
      <alignment readingOrder="0" shrinkToFit="0" vertical="center" wrapText="1"/>
    </xf>
    <xf borderId="0" fillId="2" fontId="7" numFmtId="0" xfId="0" applyAlignment="1" applyFont="1">
      <alignment horizontal="center" shrinkToFit="0" vertical="center" wrapText="1"/>
    </xf>
    <xf borderId="14" fillId="2" fontId="20" numFmtId="0" xfId="0" applyAlignment="1" applyBorder="1" applyFont="1">
      <alignment horizontal="center" shrinkToFit="0" vertical="center" wrapText="1"/>
    </xf>
    <xf borderId="14" fillId="2" fontId="7" numFmtId="0" xfId="0" applyAlignment="1" applyBorder="1" applyFont="1">
      <alignment horizontal="center" shrinkToFit="0" vertical="center" wrapText="1"/>
    </xf>
    <xf borderId="0" fillId="2" fontId="35" numFmtId="0" xfId="0" applyAlignment="1" applyFont="1">
      <alignment horizontal="center" shrinkToFit="0" vertical="center" wrapText="1"/>
    </xf>
    <xf borderId="14" fillId="2" fontId="36" numFmtId="0" xfId="0" applyAlignment="1" applyBorder="1" applyFont="1">
      <alignment horizontal="left" readingOrder="0" shrinkToFit="0" vertical="center" wrapText="1"/>
    </xf>
    <xf borderId="14" fillId="2" fontId="7" numFmtId="0" xfId="0" applyAlignment="1" applyBorder="1" applyFont="1">
      <alignment horizontal="left" readingOrder="0" shrinkToFit="0" vertical="center" wrapText="1"/>
    </xf>
    <xf borderId="0" fillId="5" fontId="7" numFmtId="0" xfId="0" applyAlignment="1" applyFont="1">
      <alignment horizontal="center" shrinkToFit="0" vertical="center" wrapText="1"/>
    </xf>
    <xf borderId="14" fillId="2" fontId="37" numFmtId="0" xfId="0" applyAlignment="1" applyBorder="1" applyFont="1">
      <alignment horizontal="center" readingOrder="0" shrinkToFit="0" vertical="center" wrapText="1"/>
    </xf>
    <xf borderId="14" fillId="2" fontId="7" numFmtId="0" xfId="0" applyAlignment="1" applyBorder="1" applyFont="1">
      <alignment horizontal="center" readingOrder="0" shrinkToFit="0" vertical="center" wrapText="1"/>
    </xf>
    <xf borderId="14" fillId="0" fontId="7" numFmtId="0" xfId="0" applyAlignment="1" applyBorder="1" applyFont="1">
      <alignment horizontal="left" readingOrder="0" shrinkToFit="0" vertical="center" wrapText="0"/>
    </xf>
    <xf borderId="14" fillId="5" fontId="38" numFmtId="0" xfId="0" applyAlignment="1" applyBorder="1" applyFont="1">
      <alignment horizontal="center" shrinkToFit="0" vertical="center" wrapText="1"/>
    </xf>
    <xf borderId="14" fillId="0" fontId="20" numFmtId="0" xfId="0" applyAlignment="1" applyBorder="1" applyFont="1">
      <alignment horizontal="center" shrinkToFit="0" vertical="center" wrapText="1"/>
    </xf>
    <xf borderId="14" fillId="0" fontId="20" numFmtId="0" xfId="0" applyAlignment="1" applyBorder="1" applyFont="1">
      <alignment horizontal="center" vertical="center"/>
    </xf>
    <xf borderId="14" fillId="3" fontId="39" numFmtId="0" xfId="0" applyAlignment="1" applyBorder="1" applyFont="1">
      <alignment horizontal="left" readingOrder="0" shrinkToFit="0" vertical="center" wrapText="1"/>
    </xf>
    <xf borderId="14" fillId="2" fontId="7" numFmtId="0" xfId="0" applyAlignment="1" applyBorder="1" applyFont="1">
      <alignment horizontal="center" vertical="center"/>
    </xf>
    <xf borderId="14" fillId="2" fontId="40" numFmtId="0" xfId="0" applyAlignment="1" applyBorder="1" applyFont="1">
      <alignment horizontal="center" vertical="center"/>
    </xf>
    <xf borderId="14" fillId="2" fontId="7" numFmtId="0" xfId="0" applyAlignment="1" applyBorder="1" applyFont="1">
      <alignment shrinkToFit="0" vertical="center" wrapText="1"/>
    </xf>
    <xf borderId="14" fillId="5" fontId="7" numFmtId="0" xfId="0" applyAlignment="1" applyBorder="1" applyFont="1">
      <alignment horizontal="center" vertical="center"/>
    </xf>
    <xf borderId="14" fillId="10" fontId="41" numFmtId="0" xfId="0" applyAlignment="1" applyBorder="1" applyFill="1" applyFont="1">
      <alignment horizontal="center" shrinkToFit="0" vertical="center" wrapText="1"/>
    </xf>
    <xf borderId="14" fillId="10" fontId="7" numFmtId="0" xfId="0" applyAlignment="1" applyBorder="1" applyFont="1">
      <alignment horizontal="center" shrinkToFit="0" vertical="center" wrapText="1"/>
    </xf>
    <xf borderId="14" fillId="10" fontId="42" numFmtId="0" xfId="0" applyAlignment="1" applyBorder="1" applyFont="1">
      <alignment horizontal="left" shrinkToFit="0" vertical="center" wrapText="1"/>
    </xf>
    <xf borderId="14" fillId="0" fontId="43" numFmtId="0" xfId="0" applyAlignment="1" applyBorder="1" applyFont="1">
      <alignment horizontal="center" readingOrder="0" vertical="center"/>
    </xf>
    <xf borderId="14" fillId="5" fontId="25" numFmtId="0" xfId="0" applyAlignment="1" applyBorder="1" applyFont="1">
      <alignment horizontal="center" shrinkToFit="0" vertical="center" wrapText="1"/>
    </xf>
    <xf borderId="14" fillId="5" fontId="7" numFmtId="0" xfId="0" applyAlignment="1" applyBorder="1" applyFont="1">
      <alignment horizontal="center" shrinkToFit="0" vertical="center" wrapText="1"/>
    </xf>
    <xf borderId="14" fillId="5" fontId="44" numFmtId="0" xfId="0" applyAlignment="1" applyBorder="1" applyFont="1">
      <alignment horizontal="center" shrinkToFit="0" vertical="center" wrapText="1"/>
    </xf>
    <xf borderId="14" fillId="2" fontId="43" numFmtId="0" xfId="0" applyAlignment="1" applyBorder="1" applyFont="1">
      <alignment horizontal="center" readingOrder="0" vertical="center"/>
    </xf>
    <xf borderId="14" fillId="2" fontId="43" numFmtId="0" xfId="0" applyAlignment="1" applyBorder="1" applyFont="1">
      <alignment horizontal="center" vertical="center"/>
    </xf>
    <xf borderId="14" fillId="0" fontId="7" numFmtId="0" xfId="0" applyAlignment="1" applyBorder="1" applyFont="1">
      <alignment shrinkToFit="0" vertical="center" wrapText="0"/>
    </xf>
    <xf borderId="14" fillId="2" fontId="45" numFmtId="0" xfId="0" applyAlignment="1" applyBorder="1" applyFont="1">
      <alignment shrinkToFit="0" wrapText="1"/>
    </xf>
    <xf borderId="14" fillId="0" fontId="43" numFmtId="0" xfId="0" applyAlignment="1" applyBorder="1" applyFont="1">
      <alignment readingOrder="0" vertical="center"/>
    </xf>
    <xf borderId="14" fillId="2" fontId="43" numFmtId="0" xfId="0" applyBorder="1" applyFont="1"/>
    <xf borderId="14" fillId="10" fontId="43" numFmtId="0" xfId="0" applyBorder="1" applyFont="1"/>
    <xf borderId="14" fillId="10" fontId="46" numFmtId="0" xfId="0" applyAlignment="1" applyBorder="1" applyFont="1">
      <alignment shrinkToFit="0" wrapText="1"/>
    </xf>
    <xf borderId="0" fillId="2" fontId="47" numFmtId="0" xfId="0" applyAlignment="1" applyFont="1">
      <alignment horizontal="center" shrinkToFit="0" vertical="center" wrapText="1"/>
    </xf>
    <xf borderId="14" fillId="2" fontId="43" numFmtId="0" xfId="0" applyAlignment="1" applyBorder="1" applyFont="1">
      <alignment vertical="bottom"/>
    </xf>
    <xf borderId="14" fillId="5" fontId="38" numFmtId="0" xfId="0" applyAlignment="1" applyBorder="1" applyFont="1">
      <alignment horizontal="center" shrinkToFit="0" vertical="center" wrapText="1"/>
    </xf>
    <xf borderId="14" fillId="0" fontId="48" numFmtId="0" xfId="0" applyAlignment="1" applyBorder="1" applyFont="1">
      <alignment horizontal="center" shrinkToFit="0" vertical="center" wrapText="1"/>
    </xf>
    <xf borderId="14" fillId="0" fontId="49" numFmtId="0" xfId="0" applyAlignment="1" applyBorder="1" applyFont="1">
      <alignment shrinkToFit="0" wrapText="1"/>
    </xf>
    <xf borderId="14" fillId="0" fontId="43" numFmtId="0" xfId="0" applyAlignment="1" applyBorder="1" applyFont="1">
      <alignment readingOrder="0" vertical="center"/>
    </xf>
    <xf borderId="14" fillId="0" fontId="43" numFmtId="0" xfId="0" applyBorder="1" applyFont="1"/>
    <xf borderId="14" fillId="2" fontId="50" numFmtId="0" xfId="0" applyAlignment="1" applyBorder="1" applyFont="1">
      <alignment shrinkToFit="0" wrapText="1"/>
    </xf>
    <xf borderId="14" fillId="9" fontId="43" numFmtId="0" xfId="0" applyAlignment="1" applyBorder="1" applyFont="1">
      <alignment horizontal="center" vertical="center"/>
    </xf>
    <xf borderId="14" fillId="0" fontId="43" numFmtId="0" xfId="0" applyAlignment="1" applyBorder="1" applyFont="1">
      <alignment horizontal="center" vertical="center"/>
    </xf>
    <xf borderId="14" fillId="10" fontId="51" numFmtId="0" xfId="0" applyAlignment="1" applyBorder="1" applyFont="1">
      <alignment horizontal="left" shrinkToFit="0" vertical="center" wrapText="1"/>
    </xf>
    <xf borderId="14" fillId="0" fontId="7" numFmtId="0" xfId="0" applyAlignment="1" applyBorder="1" applyFont="1">
      <alignment horizontal="left" readingOrder="0" shrinkToFit="0" vertical="center" wrapText="1"/>
    </xf>
    <xf borderId="14" fillId="0" fontId="7" numFmtId="0" xfId="0" applyAlignment="1" applyBorder="1" applyFont="1">
      <alignment horizontal="left" readingOrder="0" shrinkToFit="0" vertical="center" wrapText="1"/>
    </xf>
    <xf borderId="14" fillId="0" fontId="7" numFmtId="10" xfId="0" applyAlignment="1" applyBorder="1" applyFont="1" applyNumberFormat="1">
      <alignment horizontal="center" shrinkToFit="0" vertical="center" wrapText="1"/>
    </xf>
    <xf borderId="14" fillId="2" fontId="7" numFmtId="0" xfId="0" applyAlignment="1" applyBorder="1" applyFont="1">
      <alignment horizontal="center" vertical="center"/>
    </xf>
    <xf borderId="14" fillId="10" fontId="7" numFmtId="0" xfId="0" applyAlignment="1" applyBorder="1" applyFont="1">
      <alignment horizontal="center" vertical="center"/>
    </xf>
    <xf borderId="14" fillId="10" fontId="52" numFmtId="0" xfId="0" applyAlignment="1" applyBorder="1" applyFont="1">
      <alignment horizontal="center" shrinkToFit="0" vertical="center" wrapText="1"/>
    </xf>
    <xf borderId="14" fillId="10" fontId="7" numFmtId="0" xfId="0" applyAlignment="1" applyBorder="1" applyFont="1">
      <alignment horizontal="center" shrinkToFit="0" vertical="center" wrapText="1"/>
    </xf>
    <xf borderId="14" fillId="0" fontId="7" numFmtId="0" xfId="0" applyAlignment="1" applyBorder="1" applyFont="1">
      <alignment readingOrder="0" vertical="center"/>
    </xf>
    <xf borderId="14" fillId="5" fontId="7" numFmtId="0" xfId="0" applyAlignment="1" applyBorder="1" applyFont="1">
      <alignment horizontal="center" readingOrder="0" shrinkToFit="0" vertical="center" wrapText="1"/>
    </xf>
    <xf borderId="14" fillId="10" fontId="7" numFmtId="0" xfId="0" applyAlignment="1" applyBorder="1" applyFont="1">
      <alignment horizontal="center" shrinkToFit="0" vertical="center" wrapText="0"/>
    </xf>
    <xf borderId="14" fillId="2" fontId="7" numFmtId="0" xfId="0" applyAlignment="1" applyBorder="1" applyFont="1">
      <alignment horizontal="center" shrinkToFit="0" vertical="center" wrapText="1"/>
    </xf>
    <xf borderId="14" fillId="2" fontId="21" numFmtId="0" xfId="0" applyAlignment="1" applyBorder="1" applyFont="1">
      <alignment horizontal="center" shrinkToFit="0" vertical="center" wrapText="0"/>
    </xf>
    <xf borderId="14" fillId="3" fontId="7" numFmtId="0" xfId="0" applyAlignment="1" applyBorder="1" applyFont="1">
      <alignment horizontal="left" readingOrder="0" shrinkToFit="0" vertical="center" wrapText="1"/>
    </xf>
    <xf borderId="14" fillId="2" fontId="53" numFmtId="0" xfId="0" applyAlignment="1" applyBorder="1" applyFont="1">
      <alignment horizontal="center" shrinkToFit="0" vertical="center" wrapText="0"/>
    </xf>
    <xf borderId="14" fillId="5" fontId="25" numFmtId="0" xfId="0" applyAlignment="1" applyBorder="1" applyFont="1">
      <alignment horizontal="center" shrinkToFit="0" vertical="center" wrapText="0"/>
    </xf>
    <xf borderId="14" fillId="2" fontId="20" numFmtId="0" xfId="0" applyAlignment="1" applyBorder="1" applyFont="1">
      <alignment horizontal="center" vertical="center"/>
    </xf>
    <xf borderId="14" fillId="9" fontId="43" numFmtId="0" xfId="0" applyAlignment="1" applyBorder="1" applyFont="1">
      <alignment horizontal="center" vertical="center"/>
    </xf>
    <xf borderId="14" fillId="2" fontId="43" numFmtId="0" xfId="0" applyAlignment="1" applyBorder="1" applyFont="1">
      <alignment horizontal="center" vertical="center"/>
    </xf>
    <xf borderId="14" fillId="0" fontId="43" numFmtId="0" xfId="0" applyAlignment="1" applyBorder="1" applyFont="1">
      <alignment horizontal="center" vertical="center"/>
    </xf>
    <xf borderId="14" fillId="10" fontId="43" numFmtId="0" xfId="0" applyAlignment="1" applyBorder="1" applyFont="1">
      <alignment horizontal="center" vertical="center"/>
    </xf>
    <xf borderId="14" fillId="10" fontId="54" numFmtId="0" xfId="0" applyAlignment="1" applyBorder="1" applyFont="1">
      <alignment horizontal="center" vertical="center"/>
    </xf>
    <xf borderId="14" fillId="5" fontId="7" numFmtId="0" xfId="0" applyAlignment="1" applyBorder="1" applyFont="1">
      <alignment horizontal="center" readingOrder="0" shrinkToFit="0" vertical="center" wrapText="1"/>
    </xf>
    <xf borderId="14" fillId="0" fontId="7" numFmtId="0" xfId="0" applyAlignment="1" applyBorder="1" applyFont="1">
      <alignment horizontal="center" shrinkToFit="0" vertical="center" wrapText="1"/>
    </xf>
    <xf borderId="0" fillId="2" fontId="7" numFmtId="0" xfId="0" applyAlignment="1" applyFont="1">
      <alignment horizontal="center" vertical="center"/>
    </xf>
    <xf borderId="14" fillId="2" fontId="55" numFmtId="0" xfId="0" applyAlignment="1" applyBorder="1" applyFont="1">
      <alignment readingOrder="0" shrinkToFit="0" vertical="center" wrapText="1"/>
    </xf>
    <xf borderId="0" fillId="5" fontId="7" numFmtId="0" xfId="0" applyAlignment="1" applyFont="1">
      <alignment horizontal="center" shrinkToFit="0" vertical="center" wrapText="1"/>
    </xf>
    <xf borderId="14" fillId="5" fontId="25" numFmtId="0" xfId="0" applyAlignment="1" applyBorder="1" applyFont="1">
      <alignment horizontal="center" shrinkToFit="0" vertical="center" wrapText="0"/>
    </xf>
    <xf borderId="14" fillId="5" fontId="7" numFmtId="0" xfId="0" applyAlignment="1" applyBorder="1" applyFont="1">
      <alignment horizontal="center" shrinkToFit="0" vertical="center" wrapText="0"/>
    </xf>
    <xf borderId="14" fillId="5" fontId="56" numFmtId="0" xfId="0" applyAlignment="1" applyBorder="1" applyFont="1">
      <alignment horizontal="center" shrinkToFit="0" vertical="center" wrapText="0"/>
    </xf>
    <xf borderId="14" fillId="2" fontId="25" numFmtId="0" xfId="0" applyAlignment="1" applyBorder="1" applyFont="1">
      <alignment horizontal="center" shrinkToFit="0" vertical="center" wrapText="1"/>
    </xf>
    <xf borderId="14" fillId="2" fontId="57" numFmtId="0" xfId="0" applyAlignment="1" applyBorder="1" applyFont="1">
      <alignment horizontal="center" shrinkToFit="0" vertical="center" wrapText="1"/>
    </xf>
    <xf borderId="14" fillId="0" fontId="7" numFmtId="0" xfId="0" applyAlignment="1" applyBorder="1" applyFont="1">
      <alignment horizontal="center" shrinkToFit="0" vertical="center" wrapText="1"/>
    </xf>
    <xf borderId="14" fillId="2" fontId="58" numFmtId="0" xfId="0" applyAlignment="1" applyBorder="1" applyFont="1">
      <alignment horizontal="center" shrinkToFit="0" vertical="center" wrapText="1"/>
    </xf>
    <xf borderId="14" fillId="2" fontId="20" numFmtId="0" xfId="0" applyAlignment="1" applyBorder="1" applyFont="1">
      <alignment horizontal="center" shrinkToFit="0" vertical="center" wrapText="1"/>
    </xf>
    <xf borderId="14" fillId="11" fontId="7" numFmtId="0" xfId="0" applyAlignment="1" applyBorder="1" applyFill="1" applyFont="1">
      <alignment horizontal="center" vertical="center"/>
    </xf>
    <xf borderId="14" fillId="0" fontId="11" numFmtId="0" xfId="0" applyAlignment="1" applyBorder="1" applyFont="1">
      <alignment vertical="center"/>
    </xf>
    <xf borderId="14" fillId="2" fontId="59" numFmtId="0" xfId="0" applyAlignment="1" applyBorder="1" applyFont="1">
      <alignment horizontal="center" shrinkToFit="0" vertical="center" wrapText="1"/>
    </xf>
    <xf borderId="14" fillId="2" fontId="60" numFmtId="0" xfId="0" applyAlignment="1" applyBorder="1" applyFont="1">
      <alignment readingOrder="0" shrinkToFit="0" vertical="center" wrapText="1"/>
    </xf>
    <xf borderId="0" fillId="2" fontId="61" numFmtId="0" xfId="0" applyAlignment="1" applyFont="1">
      <alignment horizontal="center" shrinkToFit="0" vertical="center" wrapText="1"/>
    </xf>
    <xf borderId="14" fillId="0" fontId="7" numFmtId="0" xfId="0" applyAlignment="1" applyBorder="1" applyFont="1">
      <alignment horizontal="center" readingOrder="0" shrinkToFit="0" vertical="center" wrapText="1"/>
    </xf>
    <xf borderId="14" fillId="0" fontId="21" numFmtId="0" xfId="0" applyAlignment="1" applyBorder="1" applyFont="1">
      <alignment horizontal="center" shrinkToFit="0" vertical="center" wrapText="0"/>
    </xf>
    <xf borderId="14" fillId="0" fontId="25" numFmtId="0" xfId="0" applyAlignment="1" applyBorder="1" applyFont="1">
      <alignment horizontal="center" shrinkToFit="0" vertical="center" wrapText="0"/>
    </xf>
    <xf borderId="14" fillId="10" fontId="7" numFmtId="0" xfId="0" applyAlignment="1" applyBorder="1" applyFont="1">
      <alignment horizontal="center" vertical="center"/>
    </xf>
    <xf borderId="14" fillId="10" fontId="43" numFmtId="0" xfId="0" applyAlignment="1" applyBorder="1" applyFont="1">
      <alignment horizontal="center" vertical="center"/>
    </xf>
    <xf borderId="14" fillId="10" fontId="62" numFmtId="0" xfId="0" applyAlignment="1" applyBorder="1" applyFont="1">
      <alignment horizontal="left" readingOrder="0" shrinkToFit="0" vertical="center" wrapText="1"/>
    </xf>
    <xf borderId="14" fillId="11" fontId="7" numFmtId="0" xfId="0" applyAlignment="1" applyBorder="1" applyFont="1">
      <alignment horizontal="center" shrinkToFit="0" vertical="center" wrapText="1"/>
    </xf>
    <xf borderId="14" fillId="10" fontId="43" numFmtId="0" xfId="0" applyAlignment="1" applyBorder="1" applyFont="1">
      <alignment horizontal="center" readingOrder="0" vertical="center"/>
    </xf>
    <xf borderId="14" fillId="10" fontId="63" numFmtId="0" xfId="0" applyAlignment="1" applyBorder="1" applyFont="1">
      <alignment horizontal="center" shrinkToFit="0" vertical="center" wrapText="1"/>
    </xf>
    <xf borderId="14" fillId="2" fontId="64" numFmtId="0" xfId="0" applyAlignment="1" applyBorder="1" applyFont="1">
      <alignment shrinkToFit="0" vertical="center" wrapText="1"/>
    </xf>
    <xf borderId="14" fillId="10" fontId="65" numFmtId="0" xfId="0" applyAlignment="1" applyBorder="1" applyFont="1">
      <alignment readingOrder="0" shrinkToFit="0" vertical="center" wrapText="1"/>
    </xf>
    <xf borderId="14" fillId="2" fontId="66" numFmtId="0" xfId="0" applyAlignment="1" applyBorder="1" applyFont="1">
      <alignment horizontal="left" shrinkToFit="0" vertical="center" wrapText="1"/>
    </xf>
    <xf borderId="14" fillId="5" fontId="7" numFmtId="0" xfId="0" applyAlignment="1" applyBorder="1" applyFont="1">
      <alignment horizontal="center" shrinkToFit="0" vertical="center" wrapText="1"/>
    </xf>
    <xf borderId="14" fillId="10" fontId="7" numFmtId="0" xfId="0" applyAlignment="1" applyBorder="1" applyFont="1">
      <alignment readingOrder="0" shrinkToFit="0" vertical="center" wrapText="1"/>
    </xf>
    <xf borderId="14" fillId="10" fontId="7" numFmtId="0" xfId="0" applyAlignment="1" applyBorder="1" applyFont="1">
      <alignment horizontal="center" shrinkToFit="0" vertical="center" wrapText="1"/>
    </xf>
    <xf borderId="14" fillId="5" fontId="25" numFmtId="0" xfId="0" applyAlignment="1" applyBorder="1" applyFont="1">
      <alignment horizontal="center" vertical="center"/>
    </xf>
    <xf borderId="14" fillId="2" fontId="25" numFmtId="0" xfId="0" applyAlignment="1" applyBorder="1" applyFont="1">
      <alignment horizontal="center" shrinkToFit="0" vertical="center" wrapText="1"/>
    </xf>
    <xf borderId="14" fillId="10" fontId="67" numFmtId="0" xfId="0" applyAlignment="1" applyBorder="1" applyFont="1">
      <alignment horizontal="center" readingOrder="0" shrinkToFit="0" vertical="center" wrapText="1"/>
    </xf>
    <xf borderId="14" fillId="11" fontId="43" numFmtId="0" xfId="0" applyAlignment="1" applyBorder="1" applyFont="1">
      <alignment horizontal="center" vertical="center"/>
    </xf>
    <xf borderId="14" fillId="10" fontId="68" numFmtId="0" xfId="0" applyAlignment="1" applyBorder="1" applyFont="1">
      <alignment shrinkToFit="0" vertical="center" wrapText="1"/>
    </xf>
    <xf borderId="14" fillId="10" fontId="7" numFmtId="0" xfId="0" applyAlignment="1" applyBorder="1" applyFont="1">
      <alignment horizontal="center" shrinkToFit="0" vertical="center" wrapText="1"/>
    </xf>
    <xf borderId="14" fillId="0" fontId="7" numFmtId="0" xfId="0" applyAlignment="1" applyBorder="1" applyFont="1">
      <alignment vertical="center"/>
    </xf>
    <xf borderId="14" fillId="0" fontId="21" numFmtId="0" xfId="0" applyAlignment="1" applyBorder="1" applyFont="1">
      <alignment shrinkToFit="0" vertical="center" wrapText="1"/>
    </xf>
    <xf borderId="14" fillId="2" fontId="69" numFmtId="0" xfId="0" applyAlignment="1" applyBorder="1" applyFont="1">
      <alignment shrinkToFit="0" vertical="center" wrapText="1"/>
    </xf>
    <xf borderId="14" fillId="0" fontId="7" numFmtId="0" xfId="0" applyAlignment="1" applyBorder="1" applyFont="1">
      <alignment readingOrder="0" vertical="center"/>
    </xf>
    <xf borderId="14" fillId="0" fontId="20" numFmtId="0" xfId="0" applyAlignment="1" applyBorder="1" applyFont="1">
      <alignment vertical="center"/>
    </xf>
    <xf borderId="14" fillId="10" fontId="70" numFmtId="0" xfId="0" applyAlignment="1" applyBorder="1" applyFont="1">
      <alignment shrinkToFit="0" vertical="center" wrapText="1"/>
    </xf>
    <xf borderId="14" fillId="10" fontId="25" numFmtId="0" xfId="0" applyAlignment="1" applyBorder="1" applyFont="1">
      <alignment horizontal="center" shrinkToFit="0" vertical="center" wrapText="1"/>
    </xf>
    <xf borderId="14" fillId="0" fontId="21" numFmtId="0" xfId="0" applyAlignment="1" applyBorder="1" applyFont="1">
      <alignment vertical="center"/>
    </xf>
    <xf borderId="14" fillId="2" fontId="21" numFmtId="0" xfId="0" applyAlignment="1" applyBorder="1" applyFont="1">
      <alignment shrinkToFit="0" vertical="center" wrapText="1"/>
    </xf>
    <xf borderId="0" fillId="10" fontId="71" numFmtId="0" xfId="0" applyAlignment="1" applyFont="1">
      <alignment shrinkToFit="0" vertical="center" wrapText="1"/>
    </xf>
    <xf borderId="14" fillId="2" fontId="43" numFmtId="0" xfId="0" applyAlignment="1" applyBorder="1" applyFont="1">
      <alignment vertical="center"/>
    </xf>
    <xf borderId="14" fillId="10" fontId="43" numFmtId="0" xfId="0" applyAlignment="1" applyBorder="1" applyFont="1">
      <alignment vertical="center"/>
    </xf>
    <xf borderId="14" fillId="5" fontId="25" numFmtId="0" xfId="0" applyAlignment="1" applyBorder="1" applyFont="1">
      <alignment horizontal="center" readingOrder="0" shrinkToFit="0" vertical="center" wrapText="1"/>
    </xf>
    <xf borderId="14" fillId="5" fontId="72" numFmtId="0" xfId="0" applyAlignment="1" applyBorder="1" applyFont="1">
      <alignment horizontal="center" readingOrder="0" shrinkToFit="0" vertical="center" wrapText="1"/>
    </xf>
    <xf borderId="14" fillId="10" fontId="7" numFmtId="0" xfId="0" applyAlignment="1" applyBorder="1" applyFont="1">
      <alignment horizontal="center" readingOrder="0" shrinkToFit="0" vertical="center" wrapText="0"/>
    </xf>
    <xf borderId="14" fillId="5" fontId="25" numFmtId="0" xfId="0" applyAlignment="1" applyBorder="1" applyFont="1">
      <alignment horizontal="center" readingOrder="0" shrinkToFit="0" vertical="center" wrapText="0"/>
    </xf>
    <xf borderId="14" fillId="5" fontId="7" numFmtId="0" xfId="0" applyAlignment="1" applyBorder="1" applyFont="1">
      <alignment horizontal="center" readingOrder="0" shrinkToFit="0" vertical="center" wrapText="0"/>
    </xf>
    <xf borderId="14" fillId="5" fontId="73" numFmtId="0" xfId="0" applyAlignment="1" applyBorder="1" applyFont="1">
      <alignment horizontal="center" readingOrder="0" shrinkToFit="0" vertical="center" wrapText="0"/>
    </xf>
    <xf borderId="14" fillId="5" fontId="74" numFmtId="0" xfId="0" applyAlignment="1" applyBorder="1" applyFont="1">
      <alignment horizontal="center" readingOrder="0" shrinkToFit="0" vertical="center" wrapText="1"/>
    </xf>
    <xf borderId="14" fillId="10" fontId="43" numFmtId="0" xfId="0" applyAlignment="1" applyBorder="1" applyFont="1">
      <alignment readingOrder="0" vertical="center"/>
    </xf>
    <xf borderId="14" fillId="2" fontId="43" numFmtId="0" xfId="0" applyAlignment="1" applyBorder="1" applyFont="1">
      <alignment readingOrder="0" vertical="center"/>
    </xf>
    <xf borderId="14" fillId="0" fontId="43" numFmtId="0" xfId="0" applyAlignment="1" applyBorder="1" applyFont="1">
      <alignment vertical="center"/>
    </xf>
    <xf borderId="14" fillId="0" fontId="21" numFmtId="0" xfId="0" applyAlignment="1" applyBorder="1" applyFont="1">
      <alignment horizontal="left" shrinkToFit="0" vertical="center" wrapText="1"/>
    </xf>
    <xf borderId="14" fillId="0" fontId="75" numFmtId="0" xfId="0" applyAlignment="1" applyBorder="1" applyFont="1">
      <alignment horizontal="center" readingOrder="0" shrinkToFit="0" vertical="center" wrapText="1"/>
    </xf>
    <xf borderId="14" fillId="0" fontId="76" numFmtId="0" xfId="0" applyAlignment="1" applyBorder="1" applyFont="1">
      <alignment readingOrder="0" shrinkToFit="0" vertical="top" wrapText="1"/>
    </xf>
    <xf borderId="14" fillId="0" fontId="77" numFmtId="0" xfId="0" applyAlignment="1" applyBorder="1" applyFont="1">
      <alignment horizontal="center" shrinkToFit="0" vertical="center" wrapText="1"/>
    </xf>
    <xf borderId="14" fillId="10" fontId="7" numFmtId="0" xfId="0" applyAlignment="1" applyBorder="1" applyFont="1">
      <alignment horizontal="center" readingOrder="0" shrinkToFit="0" vertical="center" wrapText="1"/>
    </xf>
    <xf borderId="14" fillId="0" fontId="7" numFmtId="10" xfId="0" applyAlignment="1" applyBorder="1" applyFont="1" applyNumberFormat="1">
      <alignment horizontal="center" readingOrder="0" shrinkToFit="0" vertical="center" wrapText="1"/>
    </xf>
    <xf borderId="14" fillId="0" fontId="43" numFmtId="0" xfId="0" applyAlignment="1" applyBorder="1" applyFont="1">
      <alignment vertical="center"/>
    </xf>
    <xf borderId="14" fillId="0" fontId="16" numFmtId="0" xfId="0" applyAlignment="1" applyBorder="1" applyFont="1">
      <alignment shrinkToFit="0" vertical="center" wrapText="0"/>
    </xf>
    <xf borderId="14" fillId="0" fontId="16" numFmtId="0" xfId="0" applyAlignment="1" applyBorder="1" applyFont="1">
      <alignment vertical="center"/>
    </xf>
    <xf borderId="14" fillId="0" fontId="21" numFmtId="0" xfId="0" applyAlignment="1" applyBorder="1" applyFont="1">
      <alignment horizontal="left" shrinkToFit="0" vertical="center" wrapText="1"/>
    </xf>
    <xf borderId="14" fillId="0" fontId="7" numFmtId="0" xfId="0" applyAlignment="1" applyBorder="1" applyFont="1">
      <alignment horizontal="center" readingOrder="0" shrinkToFit="0" vertical="center" wrapText="1"/>
    </xf>
    <xf borderId="14" fillId="0" fontId="78" numFmtId="0" xfId="0" applyAlignment="1" applyBorder="1" applyFont="1">
      <alignment horizontal="center" shrinkToFit="0" vertical="center" wrapText="1"/>
    </xf>
    <xf borderId="14" fillId="0" fontId="79" numFmtId="0" xfId="0" applyAlignment="1" applyBorder="1" applyFont="1">
      <alignment horizontal="center" readingOrder="0" shrinkToFit="0" vertical="center" wrapText="1"/>
    </xf>
    <xf borderId="14" fillId="6" fontId="20" numFmtId="0" xfId="0" applyAlignment="1" applyBorder="1" applyFont="1">
      <alignment horizontal="center"/>
    </xf>
    <xf borderId="14" fillId="0" fontId="80" numFmtId="0" xfId="0" applyAlignment="1" applyBorder="1" applyFont="1">
      <alignment horizontal="center" shrinkToFit="0" vertical="center" wrapText="1"/>
    </xf>
    <xf borderId="14" fillId="5" fontId="7" numFmtId="0" xfId="0" applyAlignment="1" applyBorder="1" applyFont="1">
      <alignment horizontal="center" readingOrder="0" shrinkToFit="0" vertical="center" wrapText="1"/>
    </xf>
    <xf borderId="14" fillId="5" fontId="81" numFmtId="0" xfId="0" applyAlignment="1" applyBorder="1" applyFont="1">
      <alignment horizontal="center" shrinkToFit="0" wrapText="1"/>
    </xf>
    <xf borderId="14" fillId="0" fontId="82" numFmtId="0" xfId="0" applyAlignment="1" applyBorder="1" applyFont="1">
      <alignment horizontal="center" shrinkToFit="0" vertical="center" wrapText="1"/>
    </xf>
    <xf borderId="0" fillId="0" fontId="61" numFmtId="0" xfId="0" applyAlignment="1" applyFont="1">
      <alignment horizontal="center" shrinkToFit="0" vertical="center" wrapText="1"/>
    </xf>
    <xf borderId="14" fillId="0" fontId="21" numFmtId="0" xfId="0" applyAlignment="1" applyBorder="1" applyFont="1">
      <alignment horizontal="center" shrinkToFit="0" vertical="center" wrapText="0"/>
    </xf>
    <xf borderId="14" fillId="0" fontId="7" numFmtId="0" xfId="0" applyAlignment="1" applyBorder="1" applyFont="1">
      <alignment horizontal="center" readingOrder="0" shrinkToFit="0" vertical="center" wrapText="1"/>
    </xf>
    <xf borderId="14" fillId="0" fontId="7" numFmtId="0" xfId="0" applyAlignment="1" applyBorder="1" applyFont="1">
      <alignment horizontal="center" shrinkToFit="0" vertical="center" wrapText="0"/>
    </xf>
    <xf borderId="14" fillId="2" fontId="7" numFmtId="0" xfId="0" applyAlignment="1" applyBorder="1" applyFont="1">
      <alignment horizontal="center" readingOrder="0" shrinkToFit="0" vertical="center" wrapText="1"/>
    </xf>
    <xf borderId="14" fillId="10" fontId="7" numFmtId="0" xfId="0" applyAlignment="1" applyBorder="1" applyFont="1">
      <alignment horizontal="center" readingOrder="0" shrinkToFit="0" vertical="center" wrapText="1"/>
    </xf>
    <xf borderId="0" fillId="0" fontId="83" numFmtId="0" xfId="0" applyAlignment="1" applyFont="1">
      <alignment shrinkToFit="0" vertical="center" wrapText="1"/>
    </xf>
    <xf borderId="14" fillId="0" fontId="7" numFmtId="0" xfId="0" applyAlignment="1" applyBorder="1" applyFont="1">
      <alignment horizontal="center" readingOrder="0" shrinkToFit="0" vertical="center" wrapText="1"/>
    </xf>
    <xf borderId="14" fillId="5" fontId="25" numFmtId="0" xfId="0" applyAlignment="1" applyBorder="1" applyFont="1">
      <alignment horizontal="center" readingOrder="0" shrinkToFit="0" vertical="center" wrapText="1"/>
    </xf>
    <xf borderId="14" fillId="0" fontId="7" numFmtId="0" xfId="0" applyAlignment="1" applyBorder="1" applyFont="1">
      <alignment horizontal="center" readingOrder="0" shrinkToFit="0" vertical="center" wrapText="0"/>
    </xf>
    <xf borderId="14" fillId="5" fontId="25" numFmtId="0" xfId="0" applyAlignment="1" applyBorder="1" applyFont="1">
      <alignment horizontal="center" readingOrder="0" vertical="center"/>
    </xf>
    <xf borderId="14" fillId="5" fontId="7" numFmtId="0" xfId="0" applyAlignment="1" applyBorder="1" applyFont="1">
      <alignment horizontal="center" readingOrder="0" shrinkToFit="0" vertical="center" wrapText="0"/>
    </xf>
    <xf borderId="14" fillId="5" fontId="8" numFmtId="0" xfId="0" applyAlignment="1" applyBorder="1" applyFont="1">
      <alignment horizontal="center" readingOrder="0" shrinkToFit="0" vertical="center" wrapText="0"/>
    </xf>
    <xf borderId="14" fillId="5" fontId="7" numFmtId="0" xfId="0" applyAlignment="1" applyBorder="1" applyFont="1">
      <alignment horizontal="center" readingOrder="0" shrinkToFit="0" vertical="center" wrapText="0"/>
    </xf>
    <xf borderId="14" fillId="5" fontId="84" numFmtId="0" xfId="0" applyAlignment="1" applyBorder="1" applyFont="1">
      <alignment horizontal="center" shrinkToFit="0" wrapText="0"/>
    </xf>
    <xf borderId="14" fillId="5" fontId="8" numFmtId="0" xfId="0" applyAlignment="1" applyBorder="1" applyFont="1">
      <alignment horizontal="center" readingOrder="0" shrinkToFit="0" vertical="center" wrapText="1"/>
    </xf>
    <xf borderId="14" fillId="0" fontId="20" numFmtId="0" xfId="0" applyAlignment="1" applyBorder="1" applyFont="1">
      <alignment horizontal="center" readingOrder="0" vertical="center"/>
    </xf>
    <xf borderId="14" fillId="0" fontId="21" numFmtId="0" xfId="0" applyAlignment="1" applyBorder="1" applyFont="1">
      <alignment horizontal="left" readingOrder="0" shrinkToFit="0" vertical="center" wrapText="1"/>
    </xf>
    <xf borderId="14" fillId="0" fontId="85" numFmtId="0" xfId="0" applyAlignment="1" applyBorder="1" applyFont="1">
      <alignment horizontal="center" readingOrder="0" shrinkToFit="0" vertical="center" wrapText="1"/>
    </xf>
    <xf borderId="14" fillId="5" fontId="86" numFmtId="0" xfId="0" applyAlignment="1" applyBorder="1" applyFont="1">
      <alignment horizontal="center" readingOrder="0" shrinkToFit="0" wrapText="1"/>
    </xf>
    <xf borderId="14" fillId="0" fontId="20" numFmtId="0" xfId="0" applyAlignment="1" applyBorder="1" applyFont="1">
      <alignment horizontal="left" readingOrder="0" shrinkToFit="0" vertical="center" wrapText="1"/>
    </xf>
    <xf borderId="14" fillId="10" fontId="87" numFmtId="0" xfId="0" applyAlignment="1" applyBorder="1" applyFont="1">
      <alignment horizontal="center" readingOrder="0" shrinkToFit="0" vertical="center" wrapText="1"/>
    </xf>
    <xf borderId="0" fillId="0" fontId="43" numFmtId="0" xfId="0" applyAlignment="1" applyFont="1">
      <alignment vertical="bottom"/>
    </xf>
    <xf borderId="14" fillId="2" fontId="88" numFmtId="0" xfId="0" applyAlignment="1" applyBorder="1" applyFont="1">
      <alignment horizontal="center" readingOrder="0" shrinkToFit="0" vertical="center" wrapText="1"/>
    </xf>
    <xf borderId="0" fillId="0" fontId="16" numFmtId="0" xfId="0" applyFont="1"/>
    <xf borderId="14" fillId="0" fontId="43" numFmtId="0" xfId="0" applyAlignment="1" applyBorder="1" applyFont="1">
      <alignment vertical="bottom"/>
    </xf>
    <xf borderId="0" fillId="0" fontId="11" numFmtId="0" xfId="0" applyAlignment="1" applyFont="1">
      <alignment readingOrder="0"/>
    </xf>
    <xf borderId="0" fillId="0" fontId="20" numFmtId="0" xfId="0" applyAlignment="1" applyFont="1">
      <alignment readingOrder="0" vertical="center"/>
    </xf>
    <xf borderId="0" fillId="7" fontId="20" numFmtId="0" xfId="0" applyAlignment="1" applyFont="1">
      <alignment readingOrder="0" vertical="center"/>
    </xf>
    <xf borderId="0" fillId="5" fontId="20" numFmtId="0" xfId="0" applyAlignment="1" applyFont="1">
      <alignment vertical="center"/>
    </xf>
    <xf borderId="0" fillId="5" fontId="20" numFmtId="10" xfId="0" applyAlignment="1" applyFont="1" applyNumberFormat="1">
      <alignment vertical="center"/>
    </xf>
    <xf borderId="0" fillId="0" fontId="20" numFmtId="0" xfId="0" applyAlignment="1" applyFont="1">
      <alignment vertical="center"/>
    </xf>
    <xf borderId="0" fillId="0" fontId="7" numFmtId="0" xfId="0" applyAlignment="1" applyFont="1">
      <alignment shrinkToFit="0" vertical="center" wrapText="1"/>
    </xf>
    <xf borderId="14" fillId="6" fontId="20" numFmtId="0" xfId="0" applyAlignment="1" applyBorder="1" applyFont="1">
      <alignment horizontal="center" shrinkToFit="0" vertical="center" wrapText="0"/>
    </xf>
    <xf borderId="14" fillId="6" fontId="20" numFmtId="0" xfId="0" applyAlignment="1" applyBorder="1" applyFont="1">
      <alignment horizontal="center" shrinkToFit="0" vertical="center" wrapText="1"/>
    </xf>
    <xf borderId="14" fillId="8" fontId="20" numFmtId="0" xfId="0" applyAlignment="1" applyBorder="1" applyFont="1">
      <alignment horizontal="center" vertical="center"/>
    </xf>
    <xf borderId="14" fillId="2" fontId="21" numFmtId="0" xfId="0" applyAlignment="1" applyBorder="1" applyFont="1">
      <alignment horizontal="left" shrinkToFit="0" vertical="center" wrapText="1"/>
    </xf>
    <xf borderId="14" fillId="0" fontId="89" numFmtId="0" xfId="0" applyAlignment="1" applyBorder="1" applyFont="1">
      <alignment horizontal="center" readingOrder="0" shrinkToFit="0" vertical="center" wrapText="1"/>
    </xf>
    <xf borderId="14" fillId="0" fontId="7" numFmtId="0" xfId="0" applyAlignment="1" applyBorder="1" applyFont="1">
      <alignment horizontal="center" readingOrder="0" shrinkToFit="0" vertical="center" wrapText="1"/>
    </xf>
    <xf borderId="14" fillId="0" fontId="90" numFmtId="0" xfId="0" applyAlignment="1" applyBorder="1" applyFont="1">
      <alignment readingOrder="0" shrinkToFit="0" vertical="center" wrapText="1"/>
    </xf>
    <xf borderId="14" fillId="9" fontId="7" numFmtId="0" xfId="0" applyAlignment="1" applyBorder="1" applyFont="1">
      <alignment vertical="center"/>
    </xf>
    <xf borderId="14" fillId="2" fontId="21" numFmtId="0" xfId="0" applyAlignment="1" applyBorder="1" applyFont="1">
      <alignment horizontal="left" vertical="center"/>
    </xf>
    <xf borderId="14" fillId="0" fontId="7" numFmtId="0" xfId="0" applyAlignment="1" applyBorder="1" applyFont="1">
      <alignment horizontal="center" shrinkToFit="0" vertical="center" wrapText="0"/>
    </xf>
    <xf borderId="14" fillId="2" fontId="91" numFmtId="0" xfId="0" applyAlignment="1" applyBorder="1" applyFont="1">
      <alignment horizontal="center" shrinkToFit="0" vertical="center" wrapText="1"/>
    </xf>
    <xf borderId="14" fillId="0" fontId="92" numFmtId="0" xfId="0" applyAlignment="1" applyBorder="1" applyFont="1">
      <alignment horizontal="left" readingOrder="0" shrinkToFit="0" vertical="center" wrapText="1"/>
    </xf>
    <xf borderId="14" fillId="5" fontId="93" numFmtId="0" xfId="0" applyAlignment="1" applyBorder="1" applyFont="1">
      <alignment horizontal="center" readingOrder="0" shrinkToFit="0" vertical="center" wrapText="1"/>
    </xf>
    <xf borderId="14" fillId="0" fontId="8" numFmtId="0" xfId="0" applyAlignment="1" applyBorder="1" applyFont="1">
      <alignment horizontal="left" readingOrder="0" shrinkToFit="0" vertical="center" wrapText="1"/>
    </xf>
    <xf borderId="14" fillId="2" fontId="20" numFmtId="0" xfId="0" applyAlignment="1" applyBorder="1" applyFont="1">
      <alignment horizontal="left" vertical="center"/>
    </xf>
    <xf borderId="14" fillId="0" fontId="94" numFmtId="0" xfId="0" applyAlignment="1" applyBorder="1" applyFont="1">
      <alignment horizontal="center" readingOrder="0" shrinkToFit="0" vertical="center" wrapText="1"/>
    </xf>
    <xf borderId="14" fillId="5" fontId="95" numFmtId="0" xfId="0" applyAlignment="1" applyBorder="1" applyFont="1">
      <alignment horizontal="center" readingOrder="0" shrinkToFit="0" vertical="center" wrapText="1"/>
    </xf>
    <xf borderId="14" fillId="2" fontId="21" numFmtId="0" xfId="0" applyAlignment="1" applyBorder="1" applyFont="1">
      <alignment horizontal="left" shrinkToFit="0" vertical="center" wrapText="1"/>
    </xf>
    <xf borderId="14" fillId="2" fontId="21" numFmtId="0" xfId="0" applyAlignment="1" applyBorder="1" applyFont="1">
      <alignment horizontal="left" readingOrder="0" shrinkToFit="0" vertical="center" wrapText="1"/>
    </xf>
    <xf borderId="14" fillId="2" fontId="20" numFmtId="0" xfId="0" applyAlignment="1" applyBorder="1" applyFont="1">
      <alignment horizontal="left" shrinkToFit="0" vertical="center" wrapText="1"/>
    </xf>
    <xf borderId="14" fillId="5" fontId="96" numFmtId="0" xfId="0" applyAlignment="1" applyBorder="1" applyFont="1">
      <alignment horizontal="center" readingOrder="0" shrinkToFit="0" vertical="center" wrapText="1"/>
    </xf>
    <xf borderId="14" fillId="2" fontId="20" numFmtId="0" xfId="0" applyAlignment="1" applyBorder="1" applyFont="1">
      <alignment horizontal="left" readingOrder="0" shrinkToFit="0" vertical="center" wrapText="1"/>
    </xf>
    <xf borderId="14" fillId="0" fontId="24" numFmtId="0" xfId="0" applyAlignment="1" applyBorder="1" applyFont="1">
      <alignment horizontal="center" shrinkToFit="0" vertical="center" wrapText="0"/>
    </xf>
    <xf borderId="14" fillId="0" fontId="21" numFmtId="0" xfId="0" applyAlignment="1" applyBorder="1" applyFont="1">
      <alignment readingOrder="0" shrinkToFit="0" vertical="center" wrapText="1"/>
    </xf>
    <xf borderId="14" fillId="0" fontId="21" numFmtId="0" xfId="0" applyAlignment="1" applyBorder="1" applyFont="1">
      <alignment vertical="center"/>
    </xf>
    <xf borderId="14" fillId="0" fontId="97" numFmtId="0" xfId="0" applyAlignment="1" applyBorder="1" applyFont="1">
      <alignment horizontal="left" shrinkToFit="0" vertical="center" wrapText="1"/>
    </xf>
    <xf borderId="14" fillId="0" fontId="43" numFmtId="0" xfId="0" applyAlignment="1" applyBorder="1" applyFont="1">
      <alignment horizontal="center" readingOrder="0" vertical="center"/>
    </xf>
    <xf borderId="0" fillId="7" fontId="20" numFmtId="0" xfId="0" applyAlignment="1" applyFont="1">
      <alignment vertical="center"/>
    </xf>
    <xf borderId="14" fillId="0" fontId="98" numFmtId="0" xfId="0" applyAlignment="1" applyBorder="1" applyFont="1">
      <alignment horizontal="center" shrinkToFit="0" vertical="center" wrapText="1"/>
    </xf>
    <xf borderId="14" fillId="0" fontId="8" numFmtId="0" xfId="0" applyAlignment="1" applyBorder="1" applyFont="1">
      <alignment readingOrder="0" shrinkToFit="0" wrapText="1"/>
    </xf>
    <xf borderId="14" fillId="0" fontId="7" numFmtId="0" xfId="0" applyAlignment="1" applyBorder="1" applyFont="1">
      <alignment horizontal="center" readingOrder="0" shrinkToFit="0" vertical="center" wrapText="1"/>
    </xf>
    <xf borderId="14" fillId="2" fontId="99" numFmtId="0" xfId="0" applyAlignment="1" applyBorder="1" applyFont="1">
      <alignment readingOrder="0" shrinkToFit="0" wrapText="1"/>
    </xf>
    <xf borderId="14" fillId="2" fontId="21" numFmtId="0" xfId="0" applyAlignment="1" applyBorder="1" applyFont="1">
      <alignment readingOrder="0" shrinkToFit="0" vertical="center" wrapText="1"/>
    </xf>
    <xf borderId="14" fillId="0" fontId="7" numFmtId="0" xfId="0" applyAlignment="1" applyBorder="1" applyFont="1">
      <alignment horizontal="center" readingOrder="0" shrinkToFit="0" vertical="center" wrapText="0"/>
    </xf>
    <xf borderId="14" fillId="2" fontId="100" numFmtId="0" xfId="0" applyAlignment="1" applyBorder="1" applyFont="1">
      <alignment horizontal="center" readingOrder="0" shrinkToFit="0" vertical="center" wrapText="1"/>
    </xf>
    <xf borderId="0" fillId="5" fontId="7" numFmtId="0" xfId="0" applyAlignment="1" applyFont="1">
      <alignment horizontal="center" readingOrder="0" shrinkToFit="0" vertical="center" wrapText="1"/>
    </xf>
    <xf borderId="14" fillId="5" fontId="101" numFmtId="0" xfId="0" applyAlignment="1" applyBorder="1" applyFont="1">
      <alignment horizontal="center" shrinkToFit="0" vertical="center" wrapText="1"/>
    </xf>
    <xf borderId="14" fillId="2" fontId="21" numFmtId="0" xfId="0" applyAlignment="1" applyBorder="1" applyFont="1">
      <alignment shrinkToFit="0" vertical="center" wrapText="1"/>
    </xf>
    <xf borderId="14" fillId="0" fontId="21" numFmtId="0" xfId="0" applyAlignment="1" applyBorder="1" applyFont="1">
      <alignment readingOrder="0" vertical="center"/>
    </xf>
    <xf borderId="14" fillId="0" fontId="8" numFmtId="0" xfId="0" applyAlignment="1" applyBorder="1" applyFont="1">
      <alignment horizontal="center" readingOrder="0" shrinkToFit="0" vertical="center" wrapText="1"/>
    </xf>
    <xf borderId="14" fillId="0" fontId="7" numFmtId="0" xfId="0" applyAlignment="1" applyBorder="1" applyFont="1">
      <alignment horizontal="center" readingOrder="0" shrinkToFit="0" vertical="center" wrapText="1"/>
    </xf>
    <xf borderId="14" fillId="0" fontId="102" numFmtId="0" xfId="0" applyAlignment="1" applyBorder="1" applyFont="1">
      <alignment horizontal="center" readingOrder="0" shrinkToFit="0" vertical="center" wrapText="1"/>
    </xf>
    <xf borderId="0" fillId="2" fontId="12" numFmtId="0" xfId="0" applyAlignment="1" applyFont="1">
      <alignment readingOrder="0" vertical="center"/>
    </xf>
    <xf borderId="0" fillId="0" fontId="13" numFmtId="0" xfId="0" applyAlignment="1" applyFont="1">
      <alignment readingOrder="0" shrinkToFit="0" vertical="center" wrapText="1"/>
    </xf>
    <xf borderId="14" fillId="6" fontId="20" numFmtId="0" xfId="0" applyAlignment="1" applyBorder="1" applyFont="1">
      <alignment horizontal="center" vertical="center"/>
    </xf>
    <xf borderId="14" fillId="6" fontId="20" numFmtId="0" xfId="0" applyAlignment="1" applyBorder="1" applyFont="1">
      <alignment horizontal="center" shrinkToFit="0" vertical="center" wrapText="0"/>
    </xf>
    <xf borderId="0" fillId="0" fontId="16" numFmtId="0" xfId="0" applyAlignment="1" applyFont="1">
      <alignment vertical="center"/>
    </xf>
    <xf borderId="14" fillId="0" fontId="20" numFmtId="0" xfId="0" applyAlignment="1" applyBorder="1" applyFont="1">
      <alignment readingOrder="0" vertical="center"/>
    </xf>
    <xf borderId="14" fillId="0" fontId="7" numFmtId="0" xfId="0" applyAlignment="1" applyBorder="1" applyFont="1">
      <alignment shrinkToFit="0" vertical="center" wrapText="0"/>
    </xf>
    <xf borderId="14" fillId="0" fontId="103" numFmtId="0" xfId="0" applyAlignment="1" applyBorder="1" applyFont="1">
      <alignment vertical="center"/>
    </xf>
    <xf borderId="14" fillId="5" fontId="16" numFmtId="0" xfId="0" applyAlignment="1" applyBorder="1" applyFont="1">
      <alignment vertical="center"/>
    </xf>
  </cellXfs>
  <cellStyles count="1">
    <cellStyle xfId="0" name="Normal" builtinId="0"/>
  </cellStyles>
  <dxfs count="5">
    <dxf>
      <font/>
      <fill>
        <patternFill patternType="none"/>
      </fill>
      <border/>
    </dxf>
    <dxf>
      <font/>
      <fill>
        <patternFill patternType="solid">
          <fgColor rgb="FFF6F8F9"/>
          <bgColor rgb="FFF6F8F9"/>
        </patternFill>
      </fill>
      <border/>
    </dxf>
    <dxf>
      <font/>
      <fill>
        <patternFill patternType="solid">
          <fgColor rgb="FFFFFFFF"/>
          <bgColor rgb="FFFFFFFF"/>
        </patternFill>
      </fill>
      <border/>
    </dxf>
    <dxf>
      <font/>
      <fill>
        <patternFill patternType="solid">
          <fgColor rgb="FFDBE5F1"/>
          <bgColor rgb="FFDBE5F1"/>
        </patternFill>
      </fill>
      <border/>
    </dxf>
    <dxf>
      <font/>
      <fill>
        <patternFill patternType="solid">
          <fgColor rgb="FFB8CCE4"/>
          <bgColor rgb="FFB8CCE4"/>
        </patternFill>
      </fill>
      <border/>
    </dxf>
  </dxfs>
  <tableStyles count="33">
    <tableStyle count="2" pivot="0" name="Prospects_m1-style">
      <tableStyleElement dxfId="1" type="firstRowStripe"/>
      <tableStyleElement dxfId="2" type="secondRowStripe"/>
    </tableStyle>
    <tableStyle count="2" pivot="0" name="Prospects_m1-style 2">
      <tableStyleElement dxfId="1" type="firstRowStripe"/>
      <tableStyleElement dxfId="2" type="secondRowStripe"/>
    </tableStyle>
    <tableStyle count="2" pivot="0" name="Prospects_m1-style 3">
      <tableStyleElement dxfId="2" type="firstRowStripe"/>
      <tableStyleElement dxfId="1" type="secondRowStripe"/>
    </tableStyle>
    <tableStyle count="2" pivot="0" name="Prospects_m2-style">
      <tableStyleElement dxfId="1" type="firstRowStripe"/>
      <tableStyleElement dxfId="2" type="secondRowStripe"/>
    </tableStyle>
    <tableStyle count="2" pivot="0" name="Prospects_m2-style 2">
      <tableStyleElement dxfId="3" type="firstRowStripe"/>
      <tableStyleElement dxfId="4" type="secondRowStripe"/>
    </tableStyle>
    <tableStyle count="2" pivot="0" name="Prospects_m2-style 3">
      <tableStyleElement dxfId="3" type="firstRowStripe"/>
      <tableStyleElement dxfId="4" type="secondRowStripe"/>
    </tableStyle>
    <tableStyle count="2" pivot="0" name="Prospects_m2-style 4">
      <tableStyleElement dxfId="3" type="firstRowStripe"/>
      <tableStyleElement dxfId="4" type="secondRowStripe"/>
    </tableStyle>
    <tableStyle count="2" pivot="0" name="Prospects_m2-style 5">
      <tableStyleElement dxfId="2" type="firstRowStripe"/>
      <tableStyleElement dxfId="1" type="secondRowStripe"/>
    </tableStyle>
    <tableStyle count="2" pivot="0" name="Prospects_m2-style 6">
      <tableStyleElement dxfId="1" type="firstRowStripe"/>
      <tableStyleElement dxfId="2" type="secondRowStripe"/>
    </tableStyle>
    <tableStyle count="2" pivot="0" name="Prospects_m2-style 7">
      <tableStyleElement dxfId="1" type="firstRowStripe"/>
      <tableStyleElement dxfId="2" type="secondRowStripe"/>
    </tableStyle>
    <tableStyle count="2" pivot="0" name="Prospects_m2-style 8">
      <tableStyleElement dxfId="2" type="firstRowStripe"/>
      <tableStyleElement dxfId="1" type="secondRowStripe"/>
    </tableStyle>
    <tableStyle count="2" pivot="0" name="Prospects_m3-style">
      <tableStyleElement dxfId="1" type="firstRowStripe"/>
      <tableStyleElement dxfId="2" type="secondRowStripe"/>
    </tableStyle>
    <tableStyle count="2" pivot="0" name="Prospects_m3-style 2">
      <tableStyleElement dxfId="4" type="firstRowStripe"/>
      <tableStyleElement dxfId="3" type="secondRowStripe"/>
    </tableStyle>
    <tableStyle count="2" pivot="0" name="Prospects_m3-style 3">
      <tableStyleElement dxfId="3" type="firstRowStripe"/>
      <tableStyleElement dxfId="4" type="secondRowStripe"/>
    </tableStyle>
    <tableStyle count="2" pivot="0" name="Prospects_m3-style 4">
      <tableStyleElement dxfId="4" type="firstRowStripe"/>
      <tableStyleElement dxfId="3" type="secondRowStripe"/>
    </tableStyle>
    <tableStyle count="2" pivot="0" name="Prospects_m3-style 5">
      <tableStyleElement dxfId="3" type="firstRowStripe"/>
      <tableStyleElement dxfId="4" type="secondRowStripe"/>
    </tableStyle>
    <tableStyle count="2" pivot="0" name="Prospects_m3-style 6">
      <tableStyleElement dxfId="3" type="firstRowStripe"/>
      <tableStyleElement dxfId="4" type="secondRowStripe"/>
    </tableStyle>
    <tableStyle count="2" pivot="0" name="Prospects_m3-style 7">
      <tableStyleElement dxfId="2" type="firstRowStripe"/>
      <tableStyleElement dxfId="1" type="secondRowStripe"/>
    </tableStyle>
    <tableStyle count="2" pivot="0" name="Prospects_m3-style 8">
      <tableStyleElement dxfId="4" type="firstRowStripe"/>
      <tableStyleElement dxfId="3" type="secondRowStripe"/>
    </tableStyle>
    <tableStyle count="2" pivot="0" name="Prospects_m3-style 9">
      <tableStyleElement dxfId="1" type="firstRowStripe"/>
      <tableStyleElement dxfId="2" type="secondRowStripe"/>
    </tableStyle>
    <tableStyle count="2" pivot="0" name="Prospects_m3-style 10">
      <tableStyleElement dxfId="3" type="firstRowStripe"/>
      <tableStyleElement dxfId="4" type="secondRowStripe"/>
    </tableStyle>
    <tableStyle count="2" pivot="0" name="Prospects_m3-style 11">
      <tableStyleElement dxfId="3" type="firstRowStripe"/>
      <tableStyleElement dxfId="4" type="secondRowStripe"/>
    </tableStyle>
    <tableStyle count="2" pivot="0" name="Prospects_m3-style 12">
      <tableStyleElement dxfId="3" type="firstRowStripe"/>
      <tableStyleElement dxfId="4" type="secondRowStripe"/>
    </tableStyle>
    <tableStyle count="2" pivot="0" name="Prospects_m3-style 13">
      <tableStyleElement dxfId="2" type="firstRowStripe"/>
      <tableStyleElement dxfId="1" type="secondRowStripe"/>
    </tableStyle>
    <tableStyle count="2" pivot="0" name="Prospects_m3-style 14">
      <tableStyleElement dxfId="1" type="firstRowStripe"/>
      <tableStyleElement dxfId="2" type="secondRowStripe"/>
    </tableStyle>
    <tableStyle count="2" pivot="0" name="Prospects_m3-style 15">
      <tableStyleElement dxfId="1" type="firstRowStripe"/>
      <tableStyleElement dxfId="2" type="secondRowStripe"/>
    </tableStyle>
    <tableStyle count="2" pivot="0" name="Prospects_m3-style 16">
      <tableStyleElement dxfId="2" type="firstRowStripe"/>
      <tableStyleElement dxfId="1" type="secondRowStripe"/>
    </tableStyle>
    <tableStyle count="2" pivot="0" name="m3 Blurbs-style">
      <tableStyleElement dxfId="1" type="firstRowStripe"/>
      <tableStyleElement dxfId="2" type="secondRowStripe"/>
    </tableStyle>
    <tableStyle count="2" pivot="0" name="Prospects_Hong Kong-style">
      <tableStyleElement dxfId="1" type="firstRowStripe"/>
      <tableStyleElement dxfId="2" type="secondRowStripe"/>
    </tableStyle>
    <tableStyle count="2" pivot="0" name="Prospects_Hong Kong-style 2">
      <tableStyleElement dxfId="3" type="firstRowStripe"/>
      <tableStyleElement dxfId="4" type="secondRowStripe"/>
    </tableStyle>
    <tableStyle count="2" pivot="0" name="Prospects_Hong Kong-style 3">
      <tableStyleElement dxfId="2" type="firstRowStripe"/>
      <tableStyleElement dxfId="1" type="secondRowStripe"/>
    </tableStyle>
    <tableStyle count="2" pivot="0" name="Prospects_London-style">
      <tableStyleElement dxfId="1" type="firstRowStripe"/>
      <tableStyleElement dxfId="2" type="secondRowStripe"/>
    </tableStyle>
    <tableStyle count="2" pivot="0" name="Prospects_London-style 2">
      <tableStyleElement dxfId="3" type="firstRowStripe"/>
      <tableStyleElement dxfId="4"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Aabhas Khanna" id="{a5a8dc1e-2698-4f8f-8549-87ff9f891637}" providerId="google-sheets"/>
</x18tc:personList>
</file>

<file path=xl/tables/table1.xml><?xml version="1.0" encoding="utf-8"?>
<table xmlns="http://schemas.openxmlformats.org/spreadsheetml/2006/main" headerRowCount="0" ref="D10:K110" displayName="Table_1" name="Table_1" id="1">
  <tableColumns count="8">
    <tableColumn name="Column1" id="1"/>
    <tableColumn name="Column2" id="2"/>
    <tableColumn name="Column3" id="3"/>
    <tableColumn name="Column4" id="4"/>
    <tableColumn name="Column5" id="5"/>
    <tableColumn name="Column6" id="6"/>
    <tableColumn name="Column7" id="7"/>
    <tableColumn name="Column8" id="8"/>
  </tableColumns>
  <tableStyleInfo name="Prospects_m1-style" showColumnStripes="0" showFirstColumn="1" showLastColumn="1" showRowStripes="1"/>
</table>
</file>

<file path=xl/tables/table2.xml><?xml version="1.0" encoding="utf-8"?>
<table xmlns="http://schemas.openxmlformats.org/spreadsheetml/2006/main" headerRowCount="0" ref="M96:R98" displayName="Table_2" name="Table_2" id="2">
  <tableColumns count="6">
    <tableColumn name="Column1" id="1"/>
    <tableColumn name="Column2" id="2"/>
    <tableColumn name="Column3" id="3"/>
    <tableColumn name="Column4" id="4"/>
    <tableColumn name="Column5" id="5"/>
    <tableColumn name="Column6" id="6"/>
  </tableColumns>
  <tableStyleInfo name="Prospects_m1-style 2" showColumnStripes="0" showFirstColumn="1" showLastColumn="1" showRowStripes="1"/>
</table>
</file>

<file path=xl/tables/table3.xml><?xml version="1.0" encoding="utf-8"?>
<table xmlns="http://schemas.openxmlformats.org/spreadsheetml/2006/main" headerRowCount="0" ref="M100:R107" displayName="Table_3" name="Table_3" id="3">
  <tableColumns count="6">
    <tableColumn name="Column1" id="1"/>
    <tableColumn name="Column2" id="2"/>
    <tableColumn name="Column3" id="3"/>
    <tableColumn name="Column4" id="4"/>
    <tableColumn name="Column5" id="5"/>
    <tableColumn name="Column6" id="6"/>
  </tableColumns>
  <tableStyleInfo name="Prospects_m1-style 3" showColumnStripes="0" showFirstColumn="1" showLastColumn="1" showRowStripes="1"/>
</table>
</file>

<file path=xl/tables/table4.xml><?xml version="1.0" encoding="utf-8"?>
<table xmlns="http://schemas.openxmlformats.org/spreadsheetml/2006/main" headerRowCount="0" ref="D10:K118" displayName="Table_4" name="Table_4" id="4">
  <tableColumns count="8">
    <tableColumn name="Column1" id="1"/>
    <tableColumn name="Column2" id="2"/>
    <tableColumn name="Column3" id="3"/>
    <tableColumn name="Column4" id="4"/>
    <tableColumn name="Column5" id="5"/>
    <tableColumn name="Column6" id="6"/>
    <tableColumn name="Column7" id="7"/>
    <tableColumn name="Column8" id="8"/>
  </tableColumns>
  <tableStyleInfo name="Prospects_m2-style" showColumnStripes="0" showFirstColumn="1" showLastColumn="1" showRowStripes="1"/>
</table>
</file>

<file path=xl/tables/table5.xml><?xml version="1.0" encoding="utf-8"?>
<table xmlns="http://schemas.openxmlformats.org/spreadsheetml/2006/main" headerRowCount="0" ref="Q61:R64" displayName="Table_5" name="Table_5" id="5">
  <tableColumns count="2">
    <tableColumn name="Column1" id="1"/>
    <tableColumn name="Column2" id="2"/>
  </tableColumns>
  <tableStyleInfo name="Prospects_m2-style 2" showColumnStripes="0" showFirstColumn="1" showLastColumn="1" showRowStripes="1"/>
</table>
</file>

<file path=xl/tables/table6.xml><?xml version="1.0" encoding="utf-8"?>
<table xmlns="http://schemas.openxmlformats.org/spreadsheetml/2006/main" headerRowCount="0" ref="Q67:R67" displayName="Table_6" name="Table_6" id="6">
  <tableColumns count="2">
    <tableColumn name="Column1" id="1"/>
    <tableColumn name="Column2" id="2"/>
  </tableColumns>
  <tableStyleInfo name="Prospects_m2-style 3" showColumnStripes="0" showFirstColumn="1" showLastColumn="1" showRowStripes="1"/>
</table>
</file>

<file path=xl/tables/table7.xml><?xml version="1.0" encoding="utf-8"?>
<table xmlns="http://schemas.openxmlformats.org/spreadsheetml/2006/main" headerRowCount="0" ref="Q69:R72" displayName="Table_7" name="Table_7" id="7">
  <tableColumns count="2">
    <tableColumn name="Column1" id="1"/>
    <tableColumn name="Column2" id="2"/>
  </tableColumns>
  <tableStyleInfo name="Prospects_m2-style 4" showColumnStripes="0" showFirstColumn="1" showLastColumn="1" showRowStripes="1"/>
</table>
</file>

<file path=xl/tables/table8.xml><?xml version="1.0" encoding="utf-8"?>
<table xmlns="http://schemas.openxmlformats.org/spreadsheetml/2006/main" headerRowCount="0" ref="M75:X85" displayName="Table_8" name="Table_8" id="8">
  <tableColumns count="1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s>
  <tableStyleInfo name="Prospects_m2-style 5" showColumnStripes="0" showFirstColumn="1" showLastColumn="1" showRowStripes="1"/>
</table>
</file>

<file path=xl/tables/table9.xml><?xml version="1.0" encoding="utf-8"?>
<table xmlns="http://schemas.openxmlformats.org/spreadsheetml/2006/main" headerRowCount="0" ref="M88:X93" displayName="Table_9" name="Table_9" id="9">
  <tableColumns count="1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s>
  <tableStyleInfo name="Prospects_m2-style 6" showColumnStripes="0" showFirstColumn="1" showLastColumn="1" showRowStripes="1"/>
</table>
</file>

<file path=xl/tables/table10.xml><?xml version="1.0" encoding="utf-8"?>
<table xmlns="http://schemas.openxmlformats.org/spreadsheetml/2006/main" headerRowCount="0" ref="M96:R99" displayName="Table_10" name="Table_10" id="10">
  <tableColumns count="6">
    <tableColumn name="Column1" id="1"/>
    <tableColumn name="Column2" id="2"/>
    <tableColumn name="Column3" id="3"/>
    <tableColumn name="Column4" id="4"/>
    <tableColumn name="Column5" id="5"/>
    <tableColumn name="Column6" id="6"/>
  </tableColumns>
  <tableStyleInfo name="Prospects_m2-style 7" showColumnStripes="0" showFirstColumn="1" showLastColumn="1" showRowStripes="1"/>
</table>
</file>

<file path=xl/tables/table11.xml><?xml version="1.0" encoding="utf-8"?>
<table xmlns="http://schemas.openxmlformats.org/spreadsheetml/2006/main" headerRowCount="0" ref="M100:R118" displayName="Table_11" name="Table_11" id="11">
  <tableColumns count="6">
    <tableColumn name="Column1" id="1"/>
    <tableColumn name="Column2" id="2"/>
    <tableColumn name="Column3" id="3"/>
    <tableColumn name="Column4" id="4"/>
    <tableColumn name="Column5" id="5"/>
    <tableColumn name="Column6" id="6"/>
  </tableColumns>
  <tableStyleInfo name="Prospects_m2-style 8" showColumnStripes="0" showFirstColumn="1" showLastColumn="1" showRowStripes="1"/>
</table>
</file>

<file path=xl/tables/table12.xml><?xml version="1.0" encoding="utf-8"?>
<table xmlns="http://schemas.openxmlformats.org/spreadsheetml/2006/main" headerRowCount="0" ref="D10:K142" displayName="Table_12" name="Table_12" id="12">
  <tableColumns count="8">
    <tableColumn name="Column1" id="1"/>
    <tableColumn name="Column2" id="2"/>
    <tableColumn name="Column3" id="3"/>
    <tableColumn name="Column4" id="4"/>
    <tableColumn name="Column5" id="5"/>
    <tableColumn name="Column6" id="6"/>
    <tableColumn name="Column7" id="7"/>
    <tableColumn name="Column8" id="8"/>
  </tableColumns>
  <tableStyleInfo name="Prospects_m3-style" showColumnStripes="0" showFirstColumn="1" showLastColumn="1" showRowStripes="1"/>
</table>
</file>

<file path=xl/tables/table13.xml><?xml version="1.0" encoding="utf-8"?>
<table xmlns="http://schemas.openxmlformats.org/spreadsheetml/2006/main" headerRowCount="0" ref="Q33:R34" displayName="Table_13" name="Table_13" id="13">
  <tableColumns count="2">
    <tableColumn name="Column1" id="1"/>
    <tableColumn name="Column2" id="2"/>
  </tableColumns>
  <tableStyleInfo name="Prospects_m3-style 2" showColumnStripes="0" showFirstColumn="1" showLastColumn="1" showRowStripes="1"/>
</table>
</file>

<file path=xl/tables/table14.xml><?xml version="1.0" encoding="utf-8"?>
<table xmlns="http://schemas.openxmlformats.org/spreadsheetml/2006/main" headerRowCount="0" ref="Q36:R39" displayName="Table_14" name="Table_14" id="14">
  <tableColumns count="2">
    <tableColumn name="Column1" id="1"/>
    <tableColumn name="Column2" id="2"/>
  </tableColumns>
  <tableStyleInfo name="Prospects_m3-style 3" showColumnStripes="0" showFirstColumn="1" showLastColumn="1" showRowStripes="1"/>
</table>
</file>

<file path=xl/tables/table15.xml><?xml version="1.0" encoding="utf-8"?>
<table xmlns="http://schemas.openxmlformats.org/spreadsheetml/2006/main" headerRowCount="0" ref="Q41:R41" displayName="Table_15" name="Table_15" id="15">
  <tableColumns count="2">
    <tableColumn name="Column1" id="1"/>
    <tableColumn name="Column2" id="2"/>
  </tableColumns>
  <tableStyleInfo name="Prospects_m3-style 4" showColumnStripes="0" showFirstColumn="1" showLastColumn="1" showRowStripes="1"/>
</table>
</file>

<file path=xl/tables/table16.xml><?xml version="1.0" encoding="utf-8"?>
<table xmlns="http://schemas.openxmlformats.org/spreadsheetml/2006/main" headerRowCount="0" ref="Q44:R44" displayName="Table_16" name="Table_16" id="16">
  <tableColumns count="2">
    <tableColumn name="Column1" id="1"/>
    <tableColumn name="Column2" id="2"/>
  </tableColumns>
  <tableStyleInfo name="Prospects_m3-style 5" showColumnStripes="0" showFirstColumn="1" showLastColumn="1" showRowStripes="1"/>
</table>
</file>

<file path=xl/tables/table17.xml><?xml version="1.0" encoding="utf-8"?>
<table xmlns="http://schemas.openxmlformats.org/spreadsheetml/2006/main" headerRowCount="0" ref="Q51:R52" displayName="Table_17" name="Table_17" id="17">
  <tableColumns count="2">
    <tableColumn name="Column1" id="1"/>
    <tableColumn name="Column2" id="2"/>
  </tableColumns>
  <tableStyleInfo name="Prospects_m3-style 6" showColumnStripes="0" showFirstColumn="1" showLastColumn="1" showRowStripes="1"/>
</table>
</file>

<file path=xl/tables/table18.xml><?xml version="1.0" encoding="utf-8"?>
<table xmlns="http://schemas.openxmlformats.org/spreadsheetml/2006/main" headerRowCount="0" ref="M54:N59" displayName="Table_18" name="Table_18" id="18">
  <tableColumns count="2">
    <tableColumn name="Column1" id="1"/>
    <tableColumn name="Column2" id="2"/>
  </tableColumns>
  <tableStyleInfo name="Prospects_m3-style 7" showColumnStripes="0" showFirstColumn="1" showLastColumn="1" showRowStripes="1"/>
</table>
</file>

<file path=xl/tables/table19.xml><?xml version="1.0" encoding="utf-8"?>
<table xmlns="http://schemas.openxmlformats.org/spreadsheetml/2006/main" headerRowCount="0" ref="Q54:R59" displayName="Table_19" name="Table_19" id="19">
  <tableColumns count="2">
    <tableColumn name="Column1" id="1"/>
    <tableColumn name="Column2" id="2"/>
  </tableColumns>
  <tableStyleInfo name="Prospects_m3-style 8" showColumnStripes="0" showFirstColumn="1" showLastColumn="1" showRowStripes="1"/>
</table>
</file>

<file path=xl/tables/table20.xml><?xml version="1.0" encoding="utf-8"?>
<table xmlns="http://schemas.openxmlformats.org/spreadsheetml/2006/main" headerRowCount="0" ref="M61:N62" displayName="Table_20" name="Table_20" id="20">
  <tableColumns count="2">
    <tableColumn name="Column1" id="1"/>
    <tableColumn name="Column2" id="2"/>
  </tableColumns>
  <tableStyleInfo name="Prospects_m3-style 9" showColumnStripes="0" showFirstColumn="1" showLastColumn="1" showRowStripes="1"/>
</table>
</file>

<file path=xl/tables/table21.xml><?xml version="1.0" encoding="utf-8"?>
<table xmlns="http://schemas.openxmlformats.org/spreadsheetml/2006/main" headerRowCount="0" ref="Q61:R65" displayName="Table_21" name="Table_21" id="21">
  <tableColumns count="2">
    <tableColumn name="Column1" id="1"/>
    <tableColumn name="Column2" id="2"/>
  </tableColumns>
  <tableStyleInfo name="Prospects_m3-style 10" showColumnStripes="0" showFirstColumn="1" showLastColumn="1" showRowStripes="1"/>
</table>
</file>

<file path=xl/tables/table22.xml><?xml version="1.0" encoding="utf-8"?>
<table xmlns="http://schemas.openxmlformats.org/spreadsheetml/2006/main" headerRowCount="0" ref="Q67:R67" displayName="Table_22" name="Table_22" id="22">
  <tableColumns count="2">
    <tableColumn name="Column1" id="1"/>
    <tableColumn name="Column2" id="2"/>
  </tableColumns>
  <tableStyleInfo name="Prospects_m3-style 11" showColumnStripes="0" showFirstColumn="1" showLastColumn="1" showRowStripes="1"/>
</table>
</file>

<file path=xl/tables/table23.xml><?xml version="1.0" encoding="utf-8"?>
<table xmlns="http://schemas.openxmlformats.org/spreadsheetml/2006/main" headerRowCount="0" ref="Q69:R74" displayName="Table_23" name="Table_23" id="23">
  <tableColumns count="2">
    <tableColumn name="Column1" id="1"/>
    <tableColumn name="Column2" id="2"/>
  </tableColumns>
  <tableStyleInfo name="Prospects_m3-style 12" showColumnStripes="0" showFirstColumn="1" showLastColumn="1" showRowStripes="1"/>
</table>
</file>

<file path=xl/tables/table24.xml><?xml version="1.0" encoding="utf-8"?>
<table xmlns="http://schemas.openxmlformats.org/spreadsheetml/2006/main" headerRowCount="0" ref="M75:X85" displayName="Table_24" name="Table_24" id="24">
  <tableColumns count="1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s>
  <tableStyleInfo name="Prospects_m3-style 13" showColumnStripes="0" showFirstColumn="1" showLastColumn="1" showRowStripes="1"/>
</table>
</file>

<file path=xl/tables/table25.xml><?xml version="1.0" encoding="utf-8"?>
<table xmlns="http://schemas.openxmlformats.org/spreadsheetml/2006/main" headerRowCount="0" ref="M88:X93" displayName="Table_25" name="Table_25" id="25">
  <tableColumns count="1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s>
  <tableStyleInfo name="Prospects_m3-style 14" showColumnStripes="0" showFirstColumn="1" showLastColumn="1" showRowStripes="1"/>
</table>
</file>

<file path=xl/tables/table26.xml><?xml version="1.0" encoding="utf-8"?>
<table xmlns="http://schemas.openxmlformats.org/spreadsheetml/2006/main" headerRowCount="0" ref="M96:R99" displayName="Table_26" name="Table_26" id="26">
  <tableColumns count="6">
    <tableColumn name="Column1" id="1"/>
    <tableColumn name="Column2" id="2"/>
    <tableColumn name="Column3" id="3"/>
    <tableColumn name="Column4" id="4"/>
    <tableColumn name="Column5" id="5"/>
    <tableColumn name="Column6" id="6"/>
  </tableColumns>
  <tableStyleInfo name="Prospects_m3-style 15" showColumnStripes="0" showFirstColumn="1" showLastColumn="1" showRowStripes="1"/>
</table>
</file>

<file path=xl/tables/table27.xml><?xml version="1.0" encoding="utf-8"?>
<table xmlns="http://schemas.openxmlformats.org/spreadsheetml/2006/main" headerRowCount="0" ref="M100:R142" displayName="Table_27" name="Table_27" id="27">
  <tableColumns count="6">
    <tableColumn name="Column1" id="1"/>
    <tableColumn name="Column2" id="2"/>
    <tableColumn name="Column3" id="3"/>
    <tableColumn name="Column4" id="4"/>
    <tableColumn name="Column5" id="5"/>
    <tableColumn name="Column6" id="6"/>
  </tableColumns>
  <tableStyleInfo name="Prospects_m3-style 16" showColumnStripes="0" showFirstColumn="1" showLastColumn="1" showRowStripes="1"/>
</table>
</file>

<file path=xl/tables/table28.xml><?xml version="1.0" encoding="utf-8"?>
<table xmlns="http://schemas.openxmlformats.org/spreadsheetml/2006/main" headerRowCount="0" ref="C2:K88" displayName="Table_28" name="Table_28" id="28">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m3 Blurbs-style" showColumnStripes="0" showFirstColumn="1" showLastColumn="1" showRowStripes="1"/>
</table>
</file>

<file path=xl/tables/table29.xml><?xml version="1.0" encoding="utf-8"?>
<table xmlns="http://schemas.openxmlformats.org/spreadsheetml/2006/main" headerRowCount="0" ref="D10:G19" displayName="Table_29" name="Table_29" id="29">
  <tableColumns count="4">
    <tableColumn name="Column1" id="1"/>
    <tableColumn name="Column2" id="2"/>
    <tableColumn name="Column3" id="3"/>
    <tableColumn name="Column4" id="4"/>
  </tableColumns>
  <tableStyleInfo name="Prospects_Hong Kong-style" showColumnStripes="0" showFirstColumn="1" showLastColumn="1" showRowStripes="1"/>
</table>
</file>

<file path=xl/tables/table30.xml><?xml version="1.0" encoding="utf-8"?>
<table xmlns="http://schemas.openxmlformats.org/spreadsheetml/2006/main" headerRowCount="0" ref="R10:S24" displayName="Table_30" name="Table_30" id="30">
  <tableColumns count="2">
    <tableColumn name="Column1" id="1"/>
    <tableColumn name="Column2" id="2"/>
  </tableColumns>
  <tableStyleInfo name="Prospects_Hong Kong-style 2" showColumnStripes="0" showFirstColumn="1" showLastColumn="1" showRowStripes="1"/>
</table>
</file>

<file path=xl/tables/table31.xml><?xml version="1.0" encoding="utf-8"?>
<table xmlns="http://schemas.openxmlformats.org/spreadsheetml/2006/main" headerRowCount="0" ref="D31:G32" displayName="Table_31" name="Table_31" id="31">
  <tableColumns count="4">
    <tableColumn name="Column1" id="1"/>
    <tableColumn name="Column2" id="2"/>
    <tableColumn name="Column3" id="3"/>
    <tableColumn name="Column4" id="4"/>
  </tableColumns>
  <tableStyleInfo name="Prospects_Hong Kong-style 3" showColumnStripes="0" showFirstColumn="1" showLastColumn="1" showRowStripes="1"/>
</table>
</file>

<file path=xl/tables/table32.xml><?xml version="1.0" encoding="utf-8"?>
<table xmlns="http://schemas.openxmlformats.org/spreadsheetml/2006/main" headerRowCount="0" ref="D10:J30" displayName="Table_32" name="Table_32" id="32">
  <tableColumns count="7">
    <tableColumn name="Column1" id="1"/>
    <tableColumn name="Column2" id="2"/>
    <tableColumn name="Column3" id="3"/>
    <tableColumn name="Column4" id="4"/>
    <tableColumn name="Column5" id="5"/>
    <tableColumn name="Column6" id="6"/>
    <tableColumn name="Column7" id="7"/>
  </tableColumns>
  <tableStyleInfo name="Prospects_London-style" showColumnStripes="0" showFirstColumn="1" showLastColumn="1" showRowStripes="1"/>
</table>
</file>

<file path=xl/tables/table33.xml><?xml version="1.0" encoding="utf-8"?>
<table xmlns="http://schemas.openxmlformats.org/spreadsheetml/2006/main" headerRowCount="0" ref="R10:S25" displayName="Table_33" name="Table_33" id="33">
  <tableColumns count="2">
    <tableColumn name="Column1" id="1"/>
    <tableColumn name="Column2" id="2"/>
  </tableColumns>
  <tableStyleInfo name="Prospects_London-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K47" dT="2026-02-03T15:39:57.00" personId="{a5a8dc1e-2698-4f8f-8549-87ff9f891637}" id="{6e7ea6ee-177f-470c-aeba-4cfee2bebe83}" done="0">
    <x18tc:text xml:space="preserve">blacklisted</x18tc:text>
  </x18tc:threadedComment>
  <x18tc:threadedComment ref="K12" dT="2026-02-03T15:37:14.00" personId="{a5a8dc1e-2698-4f8f-8549-87ff9f891637}" id="{72072b6a-8f4c-44e8-aaa0-a1b726a8af0a}" done="0">
    <x18tc:text xml:space="preserve">Rejected</x18tc:text>
  </x18tc:threadedComment>
  <x18tc:threadedComment ref="K70" dT="2026-02-03T15:40:33.00" personId="{a5a8dc1e-2698-4f8f-8549-87ff9f891637}" id="{77482d7e-b820-4c28-83eb-51a9d3adc39a}" done="0">
    <x18tc:text xml:space="preserve">Rejected. Replaced with new one</x18tc:text>
  </x18tc:threadedComment>
  <x18tc:threadedComment ref="K16" dT="2026-02-03T15:37:34.00" personId="{a5a8dc1e-2698-4f8f-8549-87ff9f891637}" id="{84ca6301-8ad5-4378-85a3-2b92673961eb}" done="0">
    <x18tc:text xml:space="preserve">Rejected</x18tc:text>
  </x18tc:threadedComment>
  <x18tc:threadedComment ref="K73" dT="2026-02-03T15:40:55.00" personId="{a5a8dc1e-2698-4f8f-8549-87ff9f891637}" id="{d7208ba3-bc8d-4305-b7e2-36653c0c63c6}" done="0">
    <x18tc:text xml:space="preserve">Rejected. asset manager is secondary preference</x18tc:text>
  </x18tc:threadedComment>
  <x18tc:threadedComment ref="K19" dT="2026-02-03T15:38:18.00" personId="{a5a8dc1e-2698-4f8f-8549-87ff9f891637}" id="{2f487813-e17c-4af7-bc04-fe26d34a37e6}" done="0">
    <x18tc:text xml:space="preserve">ok to proceed with this</x18tc:text>
  </x18tc:threadedComment>
  <x18tc:threadedComment ref="K82" dT="2026-02-03T15:41:06.00" personId="{a5a8dc1e-2698-4f8f-8549-87ff9f891637}" id="{5ea8abe3-cc59-42bb-a8c9-0584a3d012dc}" done="0">
    <x18tc:text xml:space="preserve">rejected</x18tc:text>
  </x18tc:threadedComment>
  <x18tc:threadedComment ref="K32" dT="2026-02-03T15:39:10.00" personId="{a5a8dc1e-2698-4f8f-8549-87ff9f891637}" id="{eca2a7d3-86a0-4f77-9c45-a9382ceaca3b}" done="0">
    <x18tc:text xml:space="preserve">Ok to proceed</x18tc:text>
  </x18tc:threadedComment>
  <x18tc:threadedComment ref="K22" dT="2026-02-03T15:38:27.00" personId="{a5a8dc1e-2698-4f8f-8549-87ff9f891637}" id="{6fedd793-5b74-46e6-9678-c3112fcec115}" done="0">
    <x18tc:text xml:space="preserve">Rejected</x18tc:text>
  </x18tc:threadedComment>
  <x18tc:threadedComment ref="K33" dT="2026-02-03T15:39:15.00" personId="{a5a8dc1e-2698-4f8f-8549-87ff9f891637}" id="{6cbbeab6-8cb6-4d2f-9b72-4872ec5967ef}" done="0">
    <x18tc:text xml:space="preserve">Rejected</x18tc:text>
  </x18tc:threadedComment>
  <x18tc:threadedComment ref="K25" dT="2026-02-03T15:38:38.00" personId="{a5a8dc1e-2698-4f8f-8549-87ff9f891637}" id="{bf88a1bb-56bf-41f5-afc0-e3256c8713d4}" done="0">
    <x18tc:text xml:space="preserve">Rejected</x18tc:text>
  </x18tc:threadedComment>
  <x18tc:threadedComment ref="K36" dT="2026-02-03T15:39:27.00" personId="{a5a8dc1e-2698-4f8f-8549-87ff9f891637}" id="{a452ac22-1008-4f80-8fed-71b437482c5d}" done="0">
    <x18tc:text xml:space="preserve">Rejected</x18tc:text>
  </x18tc:threadedComment>
  <x18tc:threadedComment ref="K29" dT="2026-02-03T15:38:51.00" personId="{a5a8dc1e-2698-4f8f-8549-87ff9f891637}" id="{04f12574-6c13-449b-9fda-fa35a0f3b912}" done="0">
    <x18tc:text xml:space="preserve">Rejected</x18tc:text>
  </x18tc:threadedComment>
  <x18tc:threadedComment ref="K39" dT="2026-02-03T15:39:39.00" personId="{a5a8dc1e-2698-4f8f-8549-87ff9f891637}" id="{5fe8b8bb-e1b7-4d51-b453-752c3b256ed9}" done="0">
    <x18tc:text xml:space="preserve">ok to proceed</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hyperlink" Target="https://www.papermark.com/view/cme1hmxcf000cl2040nqfzxjf"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40" Type="http://schemas.openxmlformats.org/officeDocument/2006/relationships/hyperlink" Target="https://www.linkedin.com/in/nan-shi-23b64964/" TargetMode="External"/><Relationship Id="rId190" Type="http://schemas.openxmlformats.org/officeDocument/2006/relationships/hyperlink" Target="http://www.teralyscapital.com/" TargetMode="External"/><Relationship Id="rId42" Type="http://schemas.openxmlformats.org/officeDocument/2006/relationships/hyperlink" Target="https://www.linkedin.com/in/mahaniok/?isSelfProfile=false" TargetMode="External"/><Relationship Id="rId41" Type="http://schemas.openxmlformats.org/officeDocument/2006/relationships/hyperlink" Target="https://www.linkedin.com/in/mahaniok/" TargetMode="External"/><Relationship Id="rId44" Type="http://schemas.openxmlformats.org/officeDocument/2006/relationships/hyperlink" Target="https://www.linkedin.com/in/mahaniok/" TargetMode="External"/><Relationship Id="rId194" Type="http://schemas.openxmlformats.org/officeDocument/2006/relationships/hyperlink" Target="https://sella.vc/" TargetMode="External"/><Relationship Id="rId43" Type="http://schemas.openxmlformats.org/officeDocument/2006/relationships/hyperlink" Target="https://www.linkedin.com/in/mahaniok/" TargetMode="External"/><Relationship Id="rId193" Type="http://schemas.openxmlformats.org/officeDocument/2006/relationships/hyperlink" Target="https://sella.vc/" TargetMode="External"/><Relationship Id="rId46" Type="http://schemas.openxmlformats.org/officeDocument/2006/relationships/hyperlink" Target="https://www.pictet.com/global/en/corporate-news/over-usd-1-1bn-raised-by-pictet-alternative-advisors" TargetMode="External"/><Relationship Id="rId192" Type="http://schemas.openxmlformats.org/officeDocument/2006/relationships/hyperlink" Target="https://www.linkedin.com/in/sebastien-vicente/" TargetMode="External"/><Relationship Id="rId45" Type="http://schemas.openxmlformats.org/officeDocument/2006/relationships/hyperlink" Target="https://www.pictet.com/mc/en" TargetMode="External"/><Relationship Id="rId191" Type="http://schemas.openxmlformats.org/officeDocument/2006/relationships/hyperlink" Target="https://www.teralyscapital.com/en/teralys-capital/" TargetMode="External"/><Relationship Id="rId48" Type="http://schemas.openxmlformats.org/officeDocument/2006/relationships/hyperlink" Target="https://www.cambridgeassociates.com/en-eu/venture-capital/" TargetMode="External"/><Relationship Id="rId187" Type="http://schemas.openxmlformats.org/officeDocument/2006/relationships/hyperlink" Target="https://therockcreekgroup.com/" TargetMode="External"/><Relationship Id="rId47" Type="http://schemas.openxmlformats.org/officeDocument/2006/relationships/hyperlink" Target="https://www.pictet.com/global/en/corporate-news/over-usd-1-1bn-raised-by-pictet-alternative-advisors" TargetMode="External"/><Relationship Id="rId186" Type="http://schemas.openxmlformats.org/officeDocument/2006/relationships/hyperlink" Target="http://www.linkedin.com/in/adrienne-rees-b799ba7" TargetMode="External"/><Relationship Id="rId185" Type="http://schemas.openxmlformats.org/officeDocument/2006/relationships/hyperlink" Target="https://equityalliance.fund/" TargetMode="External"/><Relationship Id="rId49" Type="http://schemas.openxmlformats.org/officeDocument/2006/relationships/hyperlink" Target="https://www.cambridgeassociates.com/venture-capital/" TargetMode="External"/><Relationship Id="rId184" Type="http://schemas.openxmlformats.org/officeDocument/2006/relationships/hyperlink" Target="https://equityalliance.fund/about/" TargetMode="External"/><Relationship Id="rId189" Type="http://schemas.openxmlformats.org/officeDocument/2006/relationships/hyperlink" Target="https://therockcreekgroup.com/focus-areas/multi-asset-class-solutions/" TargetMode="External"/><Relationship Id="rId188" Type="http://schemas.openxmlformats.org/officeDocument/2006/relationships/hyperlink" Target="https://therockcreekgroup.com/focus-areas/multi-asset-class-solutions/" TargetMode="External"/><Relationship Id="rId31" Type="http://schemas.openxmlformats.org/officeDocument/2006/relationships/hyperlink" Target="https://www.constellar.vc/" TargetMode="External"/><Relationship Id="rId30" Type="http://schemas.openxmlformats.org/officeDocument/2006/relationships/hyperlink" Target="https://www.constellar.vc/" TargetMode="External"/><Relationship Id="rId33" Type="http://schemas.openxmlformats.org/officeDocument/2006/relationships/hyperlink" Target="https://www.linkedin.com/in/minglin-onelin/" TargetMode="External"/><Relationship Id="rId183" Type="http://schemas.openxmlformats.org/officeDocument/2006/relationships/hyperlink" Target="http://www.linkedin.com/in/bjoernlippe" TargetMode="External"/><Relationship Id="rId32" Type="http://schemas.openxmlformats.org/officeDocument/2006/relationships/hyperlink" Target="https://www.linkedin.com/in/minglin-onelin/" TargetMode="External"/><Relationship Id="rId182" Type="http://schemas.openxmlformats.org/officeDocument/2006/relationships/hyperlink" Target="https://pitchbook.com/profiles/limited-partner/442524-97" TargetMode="External"/><Relationship Id="rId35" Type="http://schemas.openxmlformats.org/officeDocument/2006/relationships/hyperlink" Target="https://www.morgancreekcap.com/venture/" TargetMode="External"/><Relationship Id="rId181" Type="http://schemas.openxmlformats.org/officeDocument/2006/relationships/hyperlink" Target="https://www.dara5.com/" TargetMode="External"/><Relationship Id="rId34" Type="http://schemas.openxmlformats.org/officeDocument/2006/relationships/hyperlink" Target="https://www.morgancreekcap.com/opportunistic-equity/" TargetMode="External"/><Relationship Id="rId180" Type="http://schemas.openxmlformats.org/officeDocument/2006/relationships/hyperlink" Target="https://www.linkedin.com/in/aakarvachhani/" TargetMode="External"/><Relationship Id="rId37" Type="http://schemas.openxmlformats.org/officeDocument/2006/relationships/hyperlink" Target="https://www.shanda.com/" TargetMode="External"/><Relationship Id="rId176" Type="http://schemas.openxmlformats.org/officeDocument/2006/relationships/hyperlink" Target="https://www.generali-am.com/uk/en/institutional/" TargetMode="External"/><Relationship Id="rId297" Type="http://schemas.openxmlformats.org/officeDocument/2006/relationships/hyperlink" Target="https://www.linkedin.com/in/hellengarcia/" TargetMode="External"/><Relationship Id="rId36" Type="http://schemas.openxmlformats.org/officeDocument/2006/relationships/hyperlink" Target="https://www.morgancreekcap.com/morgan-creek-digital/" TargetMode="External"/><Relationship Id="rId175" Type="http://schemas.openxmlformats.org/officeDocument/2006/relationships/hyperlink" Target="https://www.linkedin.com/in/dariodewet/" TargetMode="External"/><Relationship Id="rId296" Type="http://schemas.openxmlformats.org/officeDocument/2006/relationships/hyperlink" Target="https://www.inovia.vc/emerging-managers/" TargetMode="External"/><Relationship Id="rId39" Type="http://schemas.openxmlformats.org/officeDocument/2006/relationships/hyperlink" Target="https://www.linkedin.com/in/nan-shi-23b64964/" TargetMode="External"/><Relationship Id="rId174" Type="http://schemas.openxmlformats.org/officeDocument/2006/relationships/hyperlink" Target="https://www.prnewswire.com/news-releases/ltv-capital-publishes-findings-from-over-800-global-emerging-fund-managers-across-the-venture-capital-ecosystem-302200503.html" TargetMode="External"/><Relationship Id="rId295" Type="http://schemas.openxmlformats.org/officeDocument/2006/relationships/hyperlink" Target="https://www.inovia.vc/" TargetMode="External"/><Relationship Id="rId38" Type="http://schemas.openxmlformats.org/officeDocument/2006/relationships/hyperlink" Target="https://www.shanda.com/shanda-venture-capital/" TargetMode="External"/><Relationship Id="rId173" Type="http://schemas.openxmlformats.org/officeDocument/2006/relationships/hyperlink" Target="https://www.ltvcapital.co/" TargetMode="External"/><Relationship Id="rId294" Type="http://schemas.openxmlformats.org/officeDocument/2006/relationships/hyperlink" Target="https://www.linkedin.com/in/srinivas-ananthan-a154364b/" TargetMode="External"/><Relationship Id="rId179" Type="http://schemas.openxmlformats.org/officeDocument/2006/relationships/hyperlink" Target="https://www.fairviewcapital.com/strategies/venture-capital" TargetMode="External"/><Relationship Id="rId178" Type="http://schemas.openxmlformats.org/officeDocument/2006/relationships/hyperlink" Target="https://www.fairviewcapital.com/strategies/venture-capital" TargetMode="External"/><Relationship Id="rId299" Type="http://schemas.openxmlformats.org/officeDocument/2006/relationships/hyperlink" Target="https://www.rhodium.co.il/" TargetMode="External"/><Relationship Id="rId177" Type="http://schemas.openxmlformats.org/officeDocument/2006/relationships/hyperlink" Target="https://www.generali.com/who-we-are/Strategic-Plan-Lifetime-Partner-24/Lead-innovation/innovation/Generali-Ventures" TargetMode="External"/><Relationship Id="rId298" Type="http://schemas.openxmlformats.org/officeDocument/2006/relationships/hyperlink" Target="https://www.rhodium.co.il/" TargetMode="External"/><Relationship Id="rId20" Type="http://schemas.openxmlformats.org/officeDocument/2006/relationships/hyperlink" Target="https://www.fftwealth.com/what-we-do/" TargetMode="External"/><Relationship Id="rId22" Type="http://schemas.openxmlformats.org/officeDocument/2006/relationships/hyperlink" Target="http://www.linkedin.com/in/john-s-tassone-caia-jd-5361b96" TargetMode="External"/><Relationship Id="rId21" Type="http://schemas.openxmlformats.org/officeDocument/2006/relationships/hyperlink" Target="http://www.linkedin.com/in/john-s-tassone-caia-jd-5361b96" TargetMode="External"/><Relationship Id="rId24" Type="http://schemas.openxmlformats.org/officeDocument/2006/relationships/hyperlink" Target="https://www.harbourvest.com/investment-strategies/primary-investments/" TargetMode="External"/><Relationship Id="rId23" Type="http://schemas.openxmlformats.org/officeDocument/2006/relationships/hyperlink" Target="https://www.harbourvest.com/" TargetMode="External"/><Relationship Id="rId26" Type="http://schemas.openxmlformats.org/officeDocument/2006/relationships/hyperlink" Target="http://www.h14.it/" TargetMode="External"/><Relationship Id="rId25" Type="http://schemas.openxmlformats.org/officeDocument/2006/relationships/hyperlink" Target="https://www.harbourvest.com/investment-strategies/primary-investments/" TargetMode="External"/><Relationship Id="rId28" Type="http://schemas.openxmlformats.org/officeDocument/2006/relationships/hyperlink" Target="https://www.linkedin.com/in/marco-giovanni-agostinelli-657785143/" TargetMode="External"/><Relationship Id="rId27" Type="http://schemas.openxmlformats.org/officeDocument/2006/relationships/hyperlink" Target="http://www.h14.it/" TargetMode="External"/><Relationship Id="rId29" Type="http://schemas.openxmlformats.org/officeDocument/2006/relationships/hyperlink" Target="https://www.linkedin.com/in/marco-giovanni-agostinelli-657785143/" TargetMode="External"/><Relationship Id="rId11" Type="http://schemas.openxmlformats.org/officeDocument/2006/relationships/hyperlink" Target="https://www.newchiccapital.com/" TargetMode="External"/><Relationship Id="rId10" Type="http://schemas.openxmlformats.org/officeDocument/2006/relationships/hyperlink" Target="https://www.newchiccapital.com/" TargetMode="External"/><Relationship Id="rId13" Type="http://schemas.openxmlformats.org/officeDocument/2006/relationships/hyperlink" Target="https://www.alberta-enterprise.ca/" TargetMode="External"/><Relationship Id="rId12" Type="http://schemas.openxmlformats.org/officeDocument/2006/relationships/hyperlink" Target="https://www.newchiccapital.com/" TargetMode="External"/><Relationship Id="rId15" Type="http://schemas.openxmlformats.org/officeDocument/2006/relationships/hyperlink" Target="https://vc4ventures.com/" TargetMode="External"/><Relationship Id="rId198" Type="http://schemas.openxmlformats.org/officeDocument/2006/relationships/hyperlink" Target="https://www.hamiltonlane.com/" TargetMode="External"/><Relationship Id="rId14" Type="http://schemas.openxmlformats.org/officeDocument/2006/relationships/hyperlink" Target="https://www.alberta-enterprise.ca/venture-capital-funds/our-investment-approach/" TargetMode="External"/><Relationship Id="rId197" Type="http://schemas.openxmlformats.org/officeDocument/2006/relationships/hyperlink" Target="https://www.newalpha.com/en/venture-capital/" TargetMode="External"/><Relationship Id="rId17" Type="http://schemas.openxmlformats.org/officeDocument/2006/relationships/hyperlink" Target="https://www.linkedin.com/in/bobby-aitkenhead-186a4217/?originalSubdomain=es" TargetMode="External"/><Relationship Id="rId196" Type="http://schemas.openxmlformats.org/officeDocument/2006/relationships/hyperlink" Target="https://www.newalpha.com/en/venture-capital/" TargetMode="External"/><Relationship Id="rId16" Type="http://schemas.openxmlformats.org/officeDocument/2006/relationships/hyperlink" Target="https://vc4ventures.com/" TargetMode="External"/><Relationship Id="rId195" Type="http://schemas.openxmlformats.org/officeDocument/2006/relationships/hyperlink" Target="http://www.linkedin.com/in/graziaborri" TargetMode="External"/><Relationship Id="rId19" Type="http://schemas.openxmlformats.org/officeDocument/2006/relationships/hyperlink" Target="https://www.fftwealth.com/" TargetMode="External"/><Relationship Id="rId18" Type="http://schemas.openxmlformats.org/officeDocument/2006/relationships/hyperlink" Target="https://www.linkedin.com/in/bobby-aitkenhead-186a4217/?originalSubdomain=es" TargetMode="External"/><Relationship Id="rId199" Type="http://schemas.openxmlformats.org/officeDocument/2006/relationships/hyperlink" Target="https://www.hamiltonlane.com/en-us/strategies/vc-growth-equity-investments" TargetMode="External"/><Relationship Id="rId84" Type="http://schemas.openxmlformats.org/officeDocument/2006/relationships/hyperlink" Target="https://willgrow.com/portfolio/" TargetMode="External"/><Relationship Id="rId83" Type="http://schemas.openxmlformats.org/officeDocument/2006/relationships/hyperlink" Target="https://willgrow.com/" TargetMode="External"/><Relationship Id="rId86" Type="http://schemas.openxmlformats.org/officeDocument/2006/relationships/hyperlink" Target="https://asi.ee/" TargetMode="External"/><Relationship Id="rId85" Type="http://schemas.openxmlformats.org/officeDocument/2006/relationships/hyperlink" Target="https://www.linkedin.com/in/tomas-krakauskas-9800858/" TargetMode="External"/><Relationship Id="rId88" Type="http://schemas.openxmlformats.org/officeDocument/2006/relationships/hyperlink" Target="https://www.linkedin.com/in/kaspar-daljajev-54b52547/" TargetMode="External"/><Relationship Id="rId150" Type="http://schemas.openxmlformats.org/officeDocument/2006/relationships/hyperlink" Target="https://www.bfp.vc/" TargetMode="External"/><Relationship Id="rId271" Type="http://schemas.openxmlformats.org/officeDocument/2006/relationships/hyperlink" Target="https://www.linkedin.com/in/benrifkin/" TargetMode="External"/><Relationship Id="rId87" Type="http://schemas.openxmlformats.org/officeDocument/2006/relationships/hyperlink" Target="https://asi.ee/asset/venture-capital" TargetMode="External"/><Relationship Id="rId270" Type="http://schemas.openxmlformats.org/officeDocument/2006/relationships/hyperlink" Target="https://teneighty.us/portfolio/" TargetMode="External"/><Relationship Id="rId89" Type="http://schemas.openxmlformats.org/officeDocument/2006/relationships/hyperlink" Target="https://www.laerdalinvest.com/" TargetMode="External"/><Relationship Id="rId80" Type="http://schemas.openxmlformats.org/officeDocument/2006/relationships/hyperlink" Target="https://www.alexandersquarepartners.co.uk/" TargetMode="External"/><Relationship Id="rId82" Type="http://schemas.openxmlformats.org/officeDocument/2006/relationships/hyperlink" Target="https://www.alexandersquarepartners.co.uk/investments/venture-funds/" TargetMode="External"/><Relationship Id="rId81" Type="http://schemas.openxmlformats.org/officeDocument/2006/relationships/hyperlink" Target="https://www.alexandersquarepartners.co.uk/investments/" TargetMode="Externa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149" Type="http://schemas.openxmlformats.org/officeDocument/2006/relationships/hyperlink" Target="https://decilegroup.com/" TargetMode="External"/><Relationship Id="rId4" Type="http://schemas.openxmlformats.org/officeDocument/2006/relationships/hyperlink" Target="https://presight.vc/" TargetMode="External"/><Relationship Id="rId148" Type="http://schemas.openxmlformats.org/officeDocument/2006/relationships/hyperlink" Target="https://decilegroup.com/" TargetMode="External"/><Relationship Id="rId269" Type="http://schemas.openxmlformats.org/officeDocument/2006/relationships/hyperlink" Target="https://teneighty.us/" TargetMode="External"/><Relationship Id="rId9" Type="http://schemas.openxmlformats.org/officeDocument/2006/relationships/hyperlink" Target="https://www.linkedin.com/in/alexandre-azoulay-48a87/" TargetMode="External"/><Relationship Id="rId143" Type="http://schemas.openxmlformats.org/officeDocument/2006/relationships/hyperlink" Target="https://www.sofinagroup.com/investments/our-three-investment-styles/" TargetMode="External"/><Relationship Id="rId264" Type="http://schemas.openxmlformats.org/officeDocument/2006/relationships/hyperlink" Target="https://malexenterprises.com/" TargetMode="External"/><Relationship Id="rId142" Type="http://schemas.openxmlformats.org/officeDocument/2006/relationships/hyperlink" Target="https://www.sofinagroup.com/" TargetMode="External"/><Relationship Id="rId263" Type="http://schemas.openxmlformats.org/officeDocument/2006/relationships/hyperlink" Target="https://malexenterprises.com/" TargetMode="External"/><Relationship Id="rId141" Type="http://schemas.openxmlformats.org/officeDocument/2006/relationships/hyperlink" Target="https://www.linkedin.com/in/yulydjaparidze/" TargetMode="External"/><Relationship Id="rId262" Type="http://schemas.openxmlformats.org/officeDocument/2006/relationships/hyperlink" Target="https://www.linkedin.com/in/jacob-berring-2036b91/" TargetMode="External"/><Relationship Id="rId140" Type="http://schemas.openxmlformats.org/officeDocument/2006/relationships/hyperlink" Target="https://www.linkedin.com/company/azurocapital/about/" TargetMode="External"/><Relationship Id="rId261" Type="http://schemas.openxmlformats.org/officeDocument/2006/relationships/hyperlink" Target="https://www.nefo.com/wp-content/uploads/2022/04/Tax-policy-of-April-27-2022.pdf" TargetMode="External"/><Relationship Id="rId5" Type="http://schemas.openxmlformats.org/officeDocument/2006/relationships/hyperlink" Target="https://presight.vc/about" TargetMode="External"/><Relationship Id="rId147" Type="http://schemas.openxmlformats.org/officeDocument/2006/relationships/hyperlink" Target="https://www.linkedin.com/in/johnelvesjo/" TargetMode="External"/><Relationship Id="rId268" Type="http://schemas.openxmlformats.org/officeDocument/2006/relationships/hyperlink" Target="https://www.linkedin.com/in/readegriffith/?originalSubdomain=uk" TargetMode="External"/><Relationship Id="rId6" Type="http://schemas.openxmlformats.org/officeDocument/2006/relationships/hyperlink" Target="https://www.sghcapital.com/" TargetMode="External"/><Relationship Id="rId146" Type="http://schemas.openxmlformats.org/officeDocument/2006/relationships/hyperlink" Target="https://theincrediblemachine.com/" TargetMode="External"/><Relationship Id="rId267" Type="http://schemas.openxmlformats.org/officeDocument/2006/relationships/hyperlink" Target="https://www.tetragoninv.com/portfolio" TargetMode="External"/><Relationship Id="rId7" Type="http://schemas.openxmlformats.org/officeDocument/2006/relationships/hyperlink" Target="https://www.sghcapital.com/" TargetMode="External"/><Relationship Id="rId145" Type="http://schemas.openxmlformats.org/officeDocument/2006/relationships/hyperlink" Target="https://theincrediblemachine.com/" TargetMode="External"/><Relationship Id="rId266" Type="http://schemas.openxmlformats.org/officeDocument/2006/relationships/hyperlink" Target="https://www.tetragoninv.com/" TargetMode="External"/><Relationship Id="rId8" Type="http://schemas.openxmlformats.org/officeDocument/2006/relationships/hyperlink" Target="https://www.sghcapital.com/portfolio" TargetMode="External"/><Relationship Id="rId144" Type="http://schemas.openxmlformats.org/officeDocument/2006/relationships/hyperlink" Target="https://www.linkedin.com/in/david-r-j-birget-2b069754/" TargetMode="External"/><Relationship Id="rId265" Type="http://schemas.openxmlformats.org/officeDocument/2006/relationships/hyperlink" Target="https://www.linkedin.com/in/mmilitello/" TargetMode="External"/><Relationship Id="rId73" Type="http://schemas.openxmlformats.org/officeDocument/2006/relationships/hyperlink" Target="https://www.linkedin.com/in/joe-patrick-36223b65/" TargetMode="External"/><Relationship Id="rId72" Type="http://schemas.openxmlformats.org/officeDocument/2006/relationships/hyperlink" Target="https://www.as1growthpartners.com/portfolio/fund-of-funds" TargetMode="External"/><Relationship Id="rId75" Type="http://schemas.openxmlformats.org/officeDocument/2006/relationships/hyperlink" Target="https://ar-capital.ch/portfolio" TargetMode="External"/><Relationship Id="rId74" Type="http://schemas.openxmlformats.org/officeDocument/2006/relationships/hyperlink" Target="https://ar-capital.ch/portfolio" TargetMode="External"/><Relationship Id="rId77" Type="http://schemas.openxmlformats.org/officeDocument/2006/relationships/hyperlink" Target="https://august.lu/" TargetMode="External"/><Relationship Id="rId260" Type="http://schemas.openxmlformats.org/officeDocument/2006/relationships/hyperlink" Target="https://www.nefo.com/" TargetMode="External"/><Relationship Id="rId76" Type="http://schemas.openxmlformats.org/officeDocument/2006/relationships/hyperlink" Target="https://www.linkedin.com/in/benjamin-nuchowicz-3312b0126/" TargetMode="External"/><Relationship Id="rId79" Type="http://schemas.openxmlformats.org/officeDocument/2006/relationships/hyperlink" Target="https://august.lu/" TargetMode="External"/><Relationship Id="rId78" Type="http://schemas.openxmlformats.org/officeDocument/2006/relationships/hyperlink" Target="https://august.lu/" TargetMode="External"/><Relationship Id="rId71" Type="http://schemas.openxmlformats.org/officeDocument/2006/relationships/hyperlink" Target="https://www.as1growthpartners.com/" TargetMode="External"/><Relationship Id="rId70" Type="http://schemas.openxmlformats.org/officeDocument/2006/relationships/hyperlink" Target="https://www.ruttenberggordon.com/operating-businesses" TargetMode="External"/><Relationship Id="rId139" Type="http://schemas.openxmlformats.org/officeDocument/2006/relationships/hyperlink" Target="https://azurocapital.com/" TargetMode="External"/><Relationship Id="rId138" Type="http://schemas.openxmlformats.org/officeDocument/2006/relationships/hyperlink" Target="https://www.linkedin.com/in/semin-valani-8115b8a/" TargetMode="External"/><Relationship Id="rId259" Type="http://schemas.openxmlformats.org/officeDocument/2006/relationships/hyperlink" Target="https://www.linkedin.com/in/peter-kellner-05677/" TargetMode="External"/><Relationship Id="rId137" Type="http://schemas.openxmlformats.org/officeDocument/2006/relationships/hyperlink" Target="https://www.mdsv.vc/portfolio" TargetMode="External"/><Relationship Id="rId258" Type="http://schemas.openxmlformats.org/officeDocument/2006/relationships/hyperlink" Target="https://rglobal.com/strategy" TargetMode="External"/><Relationship Id="rId132" Type="http://schemas.openxmlformats.org/officeDocument/2006/relationships/hyperlink" Target="https://www.linkedin.com/in/martin-schindler-cfa-35a563b3/" TargetMode="External"/><Relationship Id="rId253" Type="http://schemas.openxmlformats.org/officeDocument/2006/relationships/hyperlink" Target="https://www.linkedin.com/in/bouteiller-matthieu-a671a53/" TargetMode="External"/><Relationship Id="rId131" Type="http://schemas.openxmlformats.org/officeDocument/2006/relationships/hyperlink" Target="https://s-fo.at/about-2/" TargetMode="External"/><Relationship Id="rId252" Type="http://schemas.openxmlformats.org/officeDocument/2006/relationships/hyperlink" Target="https://www.unigestion.com/insights/unigestion-achieves-first-liquidity-event-for-emerging-manager-ii-fund-following-final-close/" TargetMode="External"/><Relationship Id="rId130" Type="http://schemas.openxmlformats.org/officeDocument/2006/relationships/hyperlink" Target="https://s-fo.at/" TargetMode="External"/><Relationship Id="rId251" Type="http://schemas.openxmlformats.org/officeDocument/2006/relationships/hyperlink" Target="https://www.unigestion.com/home/private-equity/" TargetMode="External"/><Relationship Id="rId250" Type="http://schemas.openxmlformats.org/officeDocument/2006/relationships/hyperlink" Target="https://www.linkedin.com/in/hamdan-al-ketbi/" TargetMode="External"/><Relationship Id="rId136" Type="http://schemas.openxmlformats.org/officeDocument/2006/relationships/hyperlink" Target="https://www.mdsv.vc/" TargetMode="External"/><Relationship Id="rId257" Type="http://schemas.openxmlformats.org/officeDocument/2006/relationships/hyperlink" Target="https://rglobal.com/" TargetMode="External"/><Relationship Id="rId135" Type="http://schemas.openxmlformats.org/officeDocument/2006/relationships/hyperlink" Target="https://www.linkedin.com/in/verbitski/" TargetMode="External"/><Relationship Id="rId256" Type="http://schemas.openxmlformats.org/officeDocument/2006/relationships/hyperlink" Target="https://www.linkedin.com/in/jacobpoliskin/" TargetMode="External"/><Relationship Id="rId134" Type="http://schemas.openxmlformats.org/officeDocument/2006/relationships/hyperlink" Target="https://www.linkedin.com/company/server-partners/" TargetMode="External"/><Relationship Id="rId255" Type="http://schemas.openxmlformats.org/officeDocument/2006/relationships/hyperlink" Target="https://www.darcocapital.com/companies" TargetMode="External"/><Relationship Id="rId133" Type="http://schemas.openxmlformats.org/officeDocument/2006/relationships/hyperlink" Target="https://www.server.partners/portfolio" TargetMode="External"/><Relationship Id="rId254" Type="http://schemas.openxmlformats.org/officeDocument/2006/relationships/hyperlink" Target="https://www.darcocapital.com/" TargetMode="External"/><Relationship Id="rId62" Type="http://schemas.openxmlformats.org/officeDocument/2006/relationships/hyperlink" Target="https://www.linkedin.com/in/marinedefages/" TargetMode="External"/><Relationship Id="rId61" Type="http://schemas.openxmlformats.org/officeDocument/2006/relationships/hyperlink" Target="https://www.linkedin.com/in/marinedefages/" TargetMode="External"/><Relationship Id="rId64" Type="http://schemas.openxmlformats.org/officeDocument/2006/relationships/hyperlink" Target="https://baincapitalventures.com/insight/caroline-toch-docal-joins-bcv-to-lead-seed-fund-program/" TargetMode="External"/><Relationship Id="rId63" Type="http://schemas.openxmlformats.org/officeDocument/2006/relationships/hyperlink" Target="https://baincapitalventures.com/" TargetMode="External"/><Relationship Id="rId66" Type="http://schemas.openxmlformats.org/officeDocument/2006/relationships/hyperlink" Target="https://www.cardumencapital.com/fund/fund-of-funds" TargetMode="External"/><Relationship Id="rId172" Type="http://schemas.openxmlformats.org/officeDocument/2006/relationships/hyperlink" Target="https://www.linkedin.com/in/jeroenvandoornik/" TargetMode="External"/><Relationship Id="rId293" Type="http://schemas.openxmlformats.org/officeDocument/2006/relationships/hyperlink" Target="https://alturkiventures.com/en/category/investment-history" TargetMode="External"/><Relationship Id="rId65" Type="http://schemas.openxmlformats.org/officeDocument/2006/relationships/hyperlink" Target="https://www.cardumencapital.com/" TargetMode="External"/><Relationship Id="rId171" Type="http://schemas.openxmlformats.org/officeDocument/2006/relationships/hyperlink" Target="https://www.pacenotes.vc/" TargetMode="External"/><Relationship Id="rId292" Type="http://schemas.openxmlformats.org/officeDocument/2006/relationships/hyperlink" Target="https://alturkiventures.com/en/" TargetMode="External"/><Relationship Id="rId68" Type="http://schemas.openxmlformats.org/officeDocument/2006/relationships/hyperlink" Target="https://www.ruttenberggordon.com/operating-businesses" TargetMode="External"/><Relationship Id="rId170" Type="http://schemas.openxmlformats.org/officeDocument/2006/relationships/hyperlink" Target="https://www.pacenotes.vc/" TargetMode="External"/><Relationship Id="rId291" Type="http://schemas.openxmlformats.org/officeDocument/2006/relationships/hyperlink" Target="https://www.linkedin.com/in/andreapicchi-/" TargetMode="External"/><Relationship Id="rId67" Type="http://schemas.openxmlformats.org/officeDocument/2006/relationships/hyperlink" Target="https://www.linkedin.com/in/carla-calvi%C3%B1oromeo/" TargetMode="External"/><Relationship Id="rId290" Type="http://schemas.openxmlformats.org/officeDocument/2006/relationships/hyperlink" Target="https://lmdvcapital.it/" TargetMode="External"/><Relationship Id="rId60" Type="http://schemas.openxmlformats.org/officeDocument/2006/relationships/hyperlink" Target="https://www.axavp.com/fund-investing/" TargetMode="External"/><Relationship Id="rId165" Type="http://schemas.openxmlformats.org/officeDocument/2006/relationships/hyperlink" Target="https://www.clickventures.vc/" TargetMode="External"/><Relationship Id="rId286" Type="http://schemas.openxmlformats.org/officeDocument/2006/relationships/hyperlink" Target="https://octava-ssdberbe.konigle.net/" TargetMode="External"/><Relationship Id="rId69" Type="http://schemas.openxmlformats.org/officeDocument/2006/relationships/hyperlink" Target="https://www.ruttenberggordon.com/operating-businesses" TargetMode="External"/><Relationship Id="rId164" Type="http://schemas.openxmlformats.org/officeDocument/2006/relationships/hyperlink" Target="https://www.clickventures.vc/" TargetMode="External"/><Relationship Id="rId285" Type="http://schemas.openxmlformats.org/officeDocument/2006/relationships/hyperlink" Target="https://www.linkedin.com/in/bindusancheti/" TargetMode="External"/><Relationship Id="rId163" Type="http://schemas.openxmlformats.org/officeDocument/2006/relationships/hyperlink" Target="https://www.linkedin.com/in/kevin-m-wall-91291/" TargetMode="External"/><Relationship Id="rId284" Type="http://schemas.openxmlformats.org/officeDocument/2006/relationships/hyperlink" Target="https://www.crescententerprises.com/what-we-do/ce-ventures/" TargetMode="External"/><Relationship Id="rId162" Type="http://schemas.openxmlformats.org/officeDocument/2006/relationships/hyperlink" Target="https://www.ptkcapital.com/portfolio/" TargetMode="External"/><Relationship Id="rId283" Type="http://schemas.openxmlformats.org/officeDocument/2006/relationships/hyperlink" Target="https://www.crescententerprises.com/what-we-do/ce-ventures/" TargetMode="External"/><Relationship Id="rId169" Type="http://schemas.openxmlformats.org/officeDocument/2006/relationships/hyperlink" Target="https://www.linkedin.com/in/andrew-reid-6b1b9424/" TargetMode="External"/><Relationship Id="rId168" Type="http://schemas.openxmlformats.org/officeDocument/2006/relationships/hyperlink" Target="https://arc31.com/" TargetMode="External"/><Relationship Id="rId289" Type="http://schemas.openxmlformats.org/officeDocument/2006/relationships/hyperlink" Target="https://lmdvcapital.it/" TargetMode="External"/><Relationship Id="rId167" Type="http://schemas.openxmlformats.org/officeDocument/2006/relationships/hyperlink" Target="https://arc31.com/" TargetMode="External"/><Relationship Id="rId288" Type="http://schemas.openxmlformats.org/officeDocument/2006/relationships/hyperlink" Target="https://www.linkedin.com/in/gerard-yeo-287b2a61/" TargetMode="External"/><Relationship Id="rId166" Type="http://schemas.openxmlformats.org/officeDocument/2006/relationships/hyperlink" Target="https://www.linkedin.com/in/jennirisku/" TargetMode="External"/><Relationship Id="rId287" Type="http://schemas.openxmlformats.org/officeDocument/2006/relationships/hyperlink" Target="https://octava-ssdberbe.konigle.net/portfolio/funds" TargetMode="External"/><Relationship Id="rId51" Type="http://schemas.openxmlformats.org/officeDocument/2006/relationships/hyperlink" Target="http://www.linkedin.com/in/wendy-walker-cfa" TargetMode="External"/><Relationship Id="rId50" Type="http://schemas.openxmlformats.org/officeDocument/2006/relationships/hyperlink" Target="http://www.linkedin.com/in/wendy-walker-cfa" TargetMode="External"/><Relationship Id="rId53" Type="http://schemas.openxmlformats.org/officeDocument/2006/relationships/hyperlink" Target="https://www.equationcap.com/access/venture-capital/" TargetMode="External"/><Relationship Id="rId52" Type="http://schemas.openxmlformats.org/officeDocument/2006/relationships/hyperlink" Target="https://www.equationcap.com/" TargetMode="External"/><Relationship Id="rId55" Type="http://schemas.openxmlformats.org/officeDocument/2006/relationships/hyperlink" Target="https://www.linkedin.com/in/schmitzmark/" TargetMode="External"/><Relationship Id="rId161" Type="http://schemas.openxmlformats.org/officeDocument/2006/relationships/hyperlink" Target="https://www.ptkcapital.com/" TargetMode="External"/><Relationship Id="rId282" Type="http://schemas.openxmlformats.org/officeDocument/2006/relationships/hyperlink" Target="https://www.linkedin.com/in/heven/" TargetMode="External"/><Relationship Id="rId54" Type="http://schemas.openxmlformats.org/officeDocument/2006/relationships/hyperlink" Target="https://www.linkedin.com/in/schmitzmark/" TargetMode="External"/><Relationship Id="rId160" Type="http://schemas.openxmlformats.org/officeDocument/2006/relationships/hyperlink" Target="https://pitchbook.com/profiles/limited-partner/10849-06" TargetMode="External"/><Relationship Id="rId281" Type="http://schemas.openxmlformats.org/officeDocument/2006/relationships/hyperlink" Target="https://www.3ecapital.de/portfolio" TargetMode="External"/><Relationship Id="rId57" Type="http://schemas.openxmlformats.org/officeDocument/2006/relationships/hyperlink" Target="https://www.caterpillar.com/en/company/innovation/caterpillar-ventures.html" TargetMode="External"/><Relationship Id="rId280" Type="http://schemas.openxmlformats.org/officeDocument/2006/relationships/hyperlink" Target="https://www.3ecapital.de/privateequityinvestments" TargetMode="External"/><Relationship Id="rId56" Type="http://schemas.openxmlformats.org/officeDocument/2006/relationships/hyperlink" Target="https://www.caterpillar.com/en/company/innovation/caterpillar-ventures.html" TargetMode="External"/><Relationship Id="rId159" Type="http://schemas.openxmlformats.org/officeDocument/2006/relationships/hyperlink" Target="https://www.cppinvestments.com/" TargetMode="External"/><Relationship Id="rId59" Type="http://schemas.openxmlformats.org/officeDocument/2006/relationships/hyperlink" Target="https://www.axavp.com/fund-investing/" TargetMode="External"/><Relationship Id="rId154" Type="http://schemas.openxmlformats.org/officeDocument/2006/relationships/hyperlink" Target="https://www.aceanagroup.com/" TargetMode="External"/><Relationship Id="rId275" Type="http://schemas.openxmlformats.org/officeDocument/2006/relationships/hyperlink" Target="https://jonathanhung.com/services/venture-capital-funding/" TargetMode="External"/><Relationship Id="rId58" Type="http://schemas.openxmlformats.org/officeDocument/2006/relationships/hyperlink" Target="https://pitchbook.com/profiles/investor/121115-62" TargetMode="External"/><Relationship Id="rId153" Type="http://schemas.openxmlformats.org/officeDocument/2006/relationships/hyperlink" Target="https://www.aceanagroup.com/" TargetMode="External"/><Relationship Id="rId274" Type="http://schemas.openxmlformats.org/officeDocument/2006/relationships/hyperlink" Target="https://jheart.ventures/" TargetMode="External"/><Relationship Id="rId152" Type="http://schemas.openxmlformats.org/officeDocument/2006/relationships/hyperlink" Target="https://www.linkedin.com/in/gregorvdk/" TargetMode="External"/><Relationship Id="rId273" Type="http://schemas.openxmlformats.org/officeDocument/2006/relationships/hyperlink" Target="https://global.nomura-am.co.jp/media/pdf/20240219_6FC4B423.pdf" TargetMode="External"/><Relationship Id="rId151" Type="http://schemas.openxmlformats.org/officeDocument/2006/relationships/hyperlink" Target="https://www.bfp.vc/" TargetMode="External"/><Relationship Id="rId272" Type="http://schemas.openxmlformats.org/officeDocument/2006/relationships/hyperlink" Target="https://www.nomuraholdings.com/en/index.html" TargetMode="External"/><Relationship Id="rId158" Type="http://schemas.openxmlformats.org/officeDocument/2006/relationships/hyperlink" Target="https://www.linkedin.com/in/liamcheung/" TargetMode="External"/><Relationship Id="rId279" Type="http://schemas.openxmlformats.org/officeDocument/2006/relationships/hyperlink" Target="https://www.linkedin.com/in/mrtejkohli/" TargetMode="External"/><Relationship Id="rId157" Type="http://schemas.openxmlformats.org/officeDocument/2006/relationships/hyperlink" Target="https://kcpl.ca/kensington-capital-partners-announces-final-close-of-290-million-kensington-venture-fund-iii/" TargetMode="External"/><Relationship Id="rId278" Type="http://schemas.openxmlformats.org/officeDocument/2006/relationships/hyperlink" Target="https://kohliventures.com/about/" TargetMode="External"/><Relationship Id="rId156" Type="http://schemas.openxmlformats.org/officeDocument/2006/relationships/hyperlink" Target="https://kcpl.ca/" TargetMode="External"/><Relationship Id="rId277" Type="http://schemas.openxmlformats.org/officeDocument/2006/relationships/hyperlink" Target="https://kohliventures.com/" TargetMode="External"/><Relationship Id="rId155" Type="http://schemas.openxmlformats.org/officeDocument/2006/relationships/hyperlink" Target="https://www.linkedin.com/in/russell-deakin-434226/" TargetMode="External"/><Relationship Id="rId276" Type="http://schemas.openxmlformats.org/officeDocument/2006/relationships/hyperlink" Target="https://www.linkedin.com/in/jonathanhung/" TargetMode="External"/><Relationship Id="rId107" Type="http://schemas.openxmlformats.org/officeDocument/2006/relationships/hyperlink" Target="https://www.kroschke-familyoffice.de/" TargetMode="External"/><Relationship Id="rId228" Type="http://schemas.openxmlformats.org/officeDocument/2006/relationships/hyperlink" Target="https://apeiron-investments.com/" TargetMode="External"/><Relationship Id="rId106" Type="http://schemas.openxmlformats.org/officeDocument/2006/relationships/hyperlink" Target="https://www.kroschke-familyoffice.de/" TargetMode="External"/><Relationship Id="rId227" Type="http://schemas.openxmlformats.org/officeDocument/2006/relationships/hyperlink" Target="https://apeiron-investments.com/" TargetMode="External"/><Relationship Id="rId105" Type="http://schemas.openxmlformats.org/officeDocument/2006/relationships/hyperlink" Target="https://www.linkedin.com/in/darrin-woo/" TargetMode="External"/><Relationship Id="rId226" Type="http://schemas.openxmlformats.org/officeDocument/2006/relationships/hyperlink" Target="https://www.linkedin.com/in/chrisdouvos/" TargetMode="External"/><Relationship Id="rId104" Type="http://schemas.openxmlformats.org/officeDocument/2006/relationships/hyperlink" Target="https://www.whfgroup.com/portfolio" TargetMode="External"/><Relationship Id="rId225" Type="http://schemas.openxmlformats.org/officeDocument/2006/relationships/hyperlink" Target="https://www.ahoycap.com/" TargetMode="External"/><Relationship Id="rId109" Type="http://schemas.openxmlformats.org/officeDocument/2006/relationships/hyperlink" Target="https://pratithi.com/" TargetMode="External"/><Relationship Id="rId108" Type="http://schemas.openxmlformats.org/officeDocument/2006/relationships/hyperlink" Target="https://www.linkedin.com/in/jan-schleicher-211ab5217/" TargetMode="External"/><Relationship Id="rId229" Type="http://schemas.openxmlformats.org/officeDocument/2006/relationships/hyperlink" Target="https://www.linkedin.com/in/nicknigam/" TargetMode="External"/><Relationship Id="rId220" Type="http://schemas.openxmlformats.org/officeDocument/2006/relationships/hyperlink" Target="http://www.linkedin.com/in/patrick-cairns-1958345" TargetMode="External"/><Relationship Id="rId103" Type="http://schemas.openxmlformats.org/officeDocument/2006/relationships/hyperlink" Target="https://www.whfgroup.com/" TargetMode="External"/><Relationship Id="rId224" Type="http://schemas.openxmlformats.org/officeDocument/2006/relationships/hyperlink" Target="https://www.ahoycap.com/" TargetMode="External"/><Relationship Id="rId102" Type="http://schemas.openxmlformats.org/officeDocument/2006/relationships/hyperlink" Target="https://stratel.no/investments/" TargetMode="External"/><Relationship Id="rId223" Type="http://schemas.openxmlformats.org/officeDocument/2006/relationships/hyperlink" Target="https://www.4sbay.com/investments" TargetMode="External"/><Relationship Id="rId101" Type="http://schemas.openxmlformats.org/officeDocument/2006/relationships/hyperlink" Target="https://stratel.no/investments/" TargetMode="External"/><Relationship Id="rId222" Type="http://schemas.openxmlformats.org/officeDocument/2006/relationships/hyperlink" Target="https://www.4sbay.com/investments" TargetMode="External"/><Relationship Id="rId100" Type="http://schemas.openxmlformats.org/officeDocument/2006/relationships/hyperlink" Target="https://www.teakcapital.pt/investments/" TargetMode="External"/><Relationship Id="rId221" Type="http://schemas.openxmlformats.org/officeDocument/2006/relationships/hyperlink" Target="https://www.4sbay.com/" TargetMode="External"/><Relationship Id="rId217" Type="http://schemas.openxmlformats.org/officeDocument/2006/relationships/hyperlink" Target="https://www.linkedin.com/in/michaelyenca/" TargetMode="External"/><Relationship Id="rId216" Type="http://schemas.openxmlformats.org/officeDocument/2006/relationships/hyperlink" Target="https://truebridgecapital.com/strategies/" TargetMode="External"/><Relationship Id="rId215" Type="http://schemas.openxmlformats.org/officeDocument/2006/relationships/hyperlink" Target="http://www.truebridgecapital.com" TargetMode="External"/><Relationship Id="rId214" Type="http://schemas.openxmlformats.org/officeDocument/2006/relationships/hyperlink" Target="https://www.linkedin.com/in/andreasweiskam/" TargetMode="External"/><Relationship Id="rId219" Type="http://schemas.openxmlformats.org/officeDocument/2006/relationships/hyperlink" Target="https://www.ugvp.com/" TargetMode="External"/><Relationship Id="rId218" Type="http://schemas.openxmlformats.org/officeDocument/2006/relationships/hyperlink" Target="https://www.ugvp.com/" TargetMode="External"/><Relationship Id="rId213" Type="http://schemas.openxmlformats.org/officeDocument/2006/relationships/hyperlink" Target="https://sapphireventures.com/sapphire-partners/" TargetMode="External"/><Relationship Id="rId212" Type="http://schemas.openxmlformats.org/officeDocument/2006/relationships/hyperlink" Target="https://sapphireventures.com/" TargetMode="External"/><Relationship Id="rId211" Type="http://schemas.openxmlformats.org/officeDocument/2006/relationships/hyperlink" Target="https://www.svb.com/" TargetMode="External"/><Relationship Id="rId210" Type="http://schemas.openxmlformats.org/officeDocument/2006/relationships/hyperlink" Target="https://www.svb.com/" TargetMode="External"/><Relationship Id="rId129" Type="http://schemas.openxmlformats.org/officeDocument/2006/relationships/hyperlink" Target="https://www.linkedin.com/in/sagar-nishar/" TargetMode="External"/><Relationship Id="rId128" Type="http://schemas.openxmlformats.org/officeDocument/2006/relationships/hyperlink" Target="https://www.linkedin.com/company/aarii-ventures/" TargetMode="External"/><Relationship Id="rId249" Type="http://schemas.openxmlformats.org/officeDocument/2006/relationships/hyperlink" Target="https://www.alfalaj-investment.ae/our-portfolio/" TargetMode="External"/><Relationship Id="rId127" Type="http://schemas.openxmlformats.org/officeDocument/2006/relationships/hyperlink" Target="https://www.aariiventures.com/" TargetMode="External"/><Relationship Id="rId248" Type="http://schemas.openxmlformats.org/officeDocument/2006/relationships/hyperlink" Target="https://www.alfalaj-investment.ae/" TargetMode="External"/><Relationship Id="rId126" Type="http://schemas.openxmlformats.org/officeDocument/2006/relationships/hyperlink" Target="https://www.linkedin.com/in/fasttrackjudy/" TargetMode="External"/><Relationship Id="rId247" Type="http://schemas.openxmlformats.org/officeDocument/2006/relationships/hyperlink" Target="https://www.linkedin.com/in/anthony-franks-03593a22/" TargetMode="External"/><Relationship Id="rId121" Type="http://schemas.openxmlformats.org/officeDocument/2006/relationships/hyperlink" Target="https://bayshorecap.com/" TargetMode="External"/><Relationship Id="rId242" Type="http://schemas.openxmlformats.org/officeDocument/2006/relationships/hyperlink" Target="https://www.alfalaj-investment.ae/" TargetMode="External"/><Relationship Id="rId120" Type="http://schemas.openxmlformats.org/officeDocument/2006/relationships/hyperlink" Target="https://www.linkedin.com/in/natascha-hostlowsky-50181bbb/" TargetMode="External"/><Relationship Id="rId241" Type="http://schemas.openxmlformats.org/officeDocument/2006/relationships/hyperlink" Target="https://www.linkedin.com/in/anthony-franks-03593a22/" TargetMode="External"/><Relationship Id="rId240" Type="http://schemas.openxmlformats.org/officeDocument/2006/relationships/hyperlink" Target="https://steyngroup.com/investment-strategies/" TargetMode="External"/><Relationship Id="rId125" Type="http://schemas.openxmlformats.org/officeDocument/2006/relationships/hyperlink" Target="https://euphemia.com/about/" TargetMode="External"/><Relationship Id="rId246" Type="http://schemas.openxmlformats.org/officeDocument/2006/relationships/hyperlink" Target="https://steyngroup.com/investment-strategies/" TargetMode="External"/><Relationship Id="rId124" Type="http://schemas.openxmlformats.org/officeDocument/2006/relationships/hyperlink" Target="https://euphemia.com/" TargetMode="External"/><Relationship Id="rId245" Type="http://schemas.openxmlformats.org/officeDocument/2006/relationships/hyperlink" Target="https://www.steyngroup.com/" TargetMode="External"/><Relationship Id="rId123" Type="http://schemas.openxmlformats.org/officeDocument/2006/relationships/hyperlink" Target="https://pitchbook.com/profiles/company/222018-40" TargetMode="External"/><Relationship Id="rId244" Type="http://schemas.openxmlformats.org/officeDocument/2006/relationships/hyperlink" Target="https://www.linkedin.com/in/hamdan-al-ketbi/" TargetMode="External"/><Relationship Id="rId122" Type="http://schemas.openxmlformats.org/officeDocument/2006/relationships/hyperlink" Target="https://bayshorecap.com/portfolio/" TargetMode="External"/><Relationship Id="rId243" Type="http://schemas.openxmlformats.org/officeDocument/2006/relationships/hyperlink" Target="https://www.alfalaj-investment.ae/our-portfolio/" TargetMode="External"/><Relationship Id="rId95" Type="http://schemas.openxmlformats.org/officeDocument/2006/relationships/hyperlink" Target="https://amkinvestment.com/index.html" TargetMode="External"/><Relationship Id="rId94" Type="http://schemas.openxmlformats.org/officeDocument/2006/relationships/hyperlink" Target="https://www.linkedin.com/in/shailee-shah97/" TargetMode="External"/><Relationship Id="rId97" Type="http://schemas.openxmlformats.org/officeDocument/2006/relationships/hyperlink" Target="https://www.linkedin.com/in/loulwa-alkhawaja-2b38ab153/" TargetMode="External"/><Relationship Id="rId96" Type="http://schemas.openxmlformats.org/officeDocument/2006/relationships/hyperlink" Target="https://amkinvestment.com/Private_Equity_And_Venture_Capital.html" TargetMode="External"/><Relationship Id="rId99" Type="http://schemas.openxmlformats.org/officeDocument/2006/relationships/hyperlink" Target="https://www.teakcapital.pt/about-us/" TargetMode="External"/><Relationship Id="rId98" Type="http://schemas.openxmlformats.org/officeDocument/2006/relationships/hyperlink" Target="https://www.teakcapital.pt/" TargetMode="External"/><Relationship Id="rId91" Type="http://schemas.openxmlformats.org/officeDocument/2006/relationships/hyperlink" Target="https://www.laerdalinvest.com/strategic-investment-portfolio" TargetMode="External"/><Relationship Id="rId90" Type="http://schemas.openxmlformats.org/officeDocument/2006/relationships/hyperlink" Target="https://www.laerdalinvest.com/" TargetMode="External"/><Relationship Id="rId93" Type="http://schemas.openxmlformats.org/officeDocument/2006/relationships/hyperlink" Target="https://www.skywalker.net.in/" TargetMode="External"/><Relationship Id="rId92" Type="http://schemas.openxmlformats.org/officeDocument/2006/relationships/hyperlink" Target="https://www.skywalker.net.in/default.aspx" TargetMode="External"/><Relationship Id="rId118" Type="http://schemas.openxmlformats.org/officeDocument/2006/relationships/hyperlink" Target="https://www.blue-lion.de/en/" TargetMode="External"/><Relationship Id="rId239" Type="http://schemas.openxmlformats.org/officeDocument/2006/relationships/hyperlink" Target="https://www.steyngroup.com/" TargetMode="External"/><Relationship Id="rId117" Type="http://schemas.openxmlformats.org/officeDocument/2006/relationships/hyperlink" Target="https://www.linkedin.com/in/jc-penagos10/" TargetMode="External"/><Relationship Id="rId238" Type="http://schemas.openxmlformats.org/officeDocument/2006/relationships/hyperlink" Target="https://www.linkedin.com/in/annie-hamill-7662b5a6/" TargetMode="External"/><Relationship Id="rId116" Type="http://schemas.openxmlformats.org/officeDocument/2006/relationships/hyperlink" Target="https://www.akencapital.com/venture-capital" TargetMode="External"/><Relationship Id="rId237" Type="http://schemas.openxmlformats.org/officeDocument/2006/relationships/hyperlink" Target="https://www.adamsstreetpartners.com/news/adams-street-partners-raises-over-1-2-billion-for-venture-innovation-fund-iv-program/" TargetMode="External"/><Relationship Id="rId115" Type="http://schemas.openxmlformats.org/officeDocument/2006/relationships/hyperlink" Target="https://www.akencapital.com/" TargetMode="External"/><Relationship Id="rId236" Type="http://schemas.openxmlformats.org/officeDocument/2006/relationships/hyperlink" Target="https://www.adamsstreetpartners.com/" TargetMode="External"/><Relationship Id="rId119" Type="http://schemas.openxmlformats.org/officeDocument/2006/relationships/hyperlink" Target="https://www.blue-lion.de/en/about-us/" TargetMode="External"/><Relationship Id="rId110" Type="http://schemas.openxmlformats.org/officeDocument/2006/relationships/hyperlink" Target="https://pratithi.com/" TargetMode="External"/><Relationship Id="rId231" Type="http://schemas.openxmlformats.org/officeDocument/2006/relationships/hyperlink" Target="https://aaf.vc/funds/" TargetMode="External"/><Relationship Id="rId230" Type="http://schemas.openxmlformats.org/officeDocument/2006/relationships/hyperlink" Target="https://aaf.vc/" TargetMode="External"/><Relationship Id="rId114" Type="http://schemas.openxmlformats.org/officeDocument/2006/relationships/hyperlink" Target="https://www.linkedin.com/in/gabrielepulvermueller/" TargetMode="External"/><Relationship Id="rId235" Type="http://schemas.openxmlformats.org/officeDocument/2006/relationships/hyperlink" Target="https://www.linkedin.com/in/ludovicasaccavini/" TargetMode="External"/><Relationship Id="rId113" Type="http://schemas.openxmlformats.org/officeDocument/2006/relationships/hyperlink" Target="https://www.redsalt.capital/portfolio" TargetMode="External"/><Relationship Id="rId234" Type="http://schemas.openxmlformats.org/officeDocument/2006/relationships/hyperlink" Target="https://www.vinthera.com/funds" TargetMode="External"/><Relationship Id="rId112" Type="http://schemas.openxmlformats.org/officeDocument/2006/relationships/hyperlink" Target="https://www.redsalt.capital/" TargetMode="External"/><Relationship Id="rId233" Type="http://schemas.openxmlformats.org/officeDocument/2006/relationships/hyperlink" Target="https://www.vinthera.com/strategy" TargetMode="External"/><Relationship Id="rId111" Type="http://schemas.openxmlformats.org/officeDocument/2006/relationships/hyperlink" Target="https://www.linkedin.com/in/saumya-jain-pratithi/" TargetMode="External"/><Relationship Id="rId232" Type="http://schemas.openxmlformats.org/officeDocument/2006/relationships/hyperlink" Target="http://www.linkedin.com/in/omar-allabadi" TargetMode="External"/><Relationship Id="rId305" Type="http://schemas.openxmlformats.org/officeDocument/2006/relationships/hyperlink" Target="https://viralacapitalpartners.com/" TargetMode="External"/><Relationship Id="rId304" Type="http://schemas.openxmlformats.org/officeDocument/2006/relationships/hyperlink" Target="https://viralacapitalpartners.com/" TargetMode="External"/><Relationship Id="rId303" Type="http://schemas.openxmlformats.org/officeDocument/2006/relationships/hyperlink" Target="https://www.linkedin.com/in/anthonysawtell/?originalSubdomain=sg" TargetMode="External"/><Relationship Id="rId302" Type="http://schemas.openxmlformats.org/officeDocument/2006/relationships/hyperlink" Target="https://www.lionrock.com/portfolio" TargetMode="External"/><Relationship Id="rId308" Type="http://schemas.openxmlformats.org/officeDocument/2006/relationships/vmlDrawing" Target="../drawings/vmlDrawing1.vml"/><Relationship Id="rId307" Type="http://schemas.openxmlformats.org/officeDocument/2006/relationships/drawing" Target="../drawings/drawing4.xml"/><Relationship Id="rId306" Type="http://schemas.openxmlformats.org/officeDocument/2006/relationships/hyperlink" Target="https://www.linkedin.com/in/patrickcastren/" TargetMode="External"/><Relationship Id="rId301" Type="http://schemas.openxmlformats.org/officeDocument/2006/relationships/hyperlink" Target="https://www.lionrock.com/" TargetMode="External"/><Relationship Id="rId300" Type="http://schemas.openxmlformats.org/officeDocument/2006/relationships/hyperlink" Target="https://www.linkedin.com/in/danielrecanati/" TargetMode="External"/><Relationship Id="rId206" Type="http://schemas.openxmlformats.org/officeDocument/2006/relationships/hyperlink" Target="https://www.linkedin.com/in/samir-vig-b6245361/" TargetMode="External"/><Relationship Id="rId205" Type="http://schemas.openxmlformats.org/officeDocument/2006/relationships/hyperlink" Target="https://www.barevc.com/" TargetMode="External"/><Relationship Id="rId204" Type="http://schemas.openxmlformats.org/officeDocument/2006/relationships/hyperlink" Target="https://www.barevc.com/" TargetMode="External"/><Relationship Id="rId203" Type="http://schemas.openxmlformats.org/officeDocument/2006/relationships/hyperlink" Target="https://www.linkedin.com/in/jessiejiaguo/" TargetMode="External"/><Relationship Id="rId209" Type="http://schemas.openxmlformats.org/officeDocument/2006/relationships/hyperlink" Target="https://www.linkedin.com/in/eric-bentov-a93a40128/" TargetMode="External"/><Relationship Id="rId208" Type="http://schemas.openxmlformats.org/officeDocument/2006/relationships/hyperlink" Target="https://www.arieli-group.com/portfolio/" TargetMode="External"/><Relationship Id="rId207" Type="http://schemas.openxmlformats.org/officeDocument/2006/relationships/hyperlink" Target="https://www.arielicapital.com/" TargetMode="External"/><Relationship Id="rId202" Type="http://schemas.openxmlformats.org/officeDocument/2006/relationships/hyperlink" Target="https://www.nextlegacy.com/about" TargetMode="External"/><Relationship Id="rId201" Type="http://schemas.openxmlformats.org/officeDocument/2006/relationships/hyperlink" Target="https://www.nextlegacy.com/" TargetMode="External"/><Relationship Id="rId200" Type="http://schemas.openxmlformats.org/officeDocument/2006/relationships/hyperlink" Target="https://www.linkedin.com/in/laurenhennigan/" TargetMode="External"/><Relationship Id="rId314" Type="http://schemas.openxmlformats.org/officeDocument/2006/relationships/table" Target="../tables/table3.xml"/><Relationship Id="rId313" Type="http://schemas.openxmlformats.org/officeDocument/2006/relationships/table" Target="../tables/table2.xml"/><Relationship Id="rId312" Type="http://schemas.openxmlformats.org/officeDocument/2006/relationships/table" Target="../tables/table1.xml"/></Relationships>
</file>

<file path=xl/worksheets/_rels/sheet5.xml.rels><?xml version="1.0" encoding="UTF-8" standalone="yes"?><Relationships xmlns="http://schemas.openxmlformats.org/package/2006/relationships"><Relationship Id="rId40" Type="http://schemas.openxmlformats.org/officeDocument/2006/relationships/hyperlink" Target="https://www.linkedin.com/in/gregorywalfish/" TargetMode="External"/><Relationship Id="rId190" Type="http://schemas.openxmlformats.org/officeDocument/2006/relationships/hyperlink" Target="https://g4.sk/en/eng/" TargetMode="External"/><Relationship Id="rId42" Type="http://schemas.openxmlformats.org/officeDocument/2006/relationships/hyperlink" Target="https://jacobscapitalgroup.com/" TargetMode="External"/><Relationship Id="rId41" Type="http://schemas.openxmlformats.org/officeDocument/2006/relationships/hyperlink" Target="https://jacobscapitalgroup.com/" TargetMode="External"/><Relationship Id="rId44" Type="http://schemas.openxmlformats.org/officeDocument/2006/relationships/hyperlink" Target="https://www.linkedin.com/in/chenlujie/?originalSubdomain=sg" TargetMode="External"/><Relationship Id="rId194" Type="http://schemas.openxmlformats.org/officeDocument/2006/relationships/hyperlink" Target="https://www.linkedin.com/in/reinhard-meier-yzr/" TargetMode="External"/><Relationship Id="rId43" Type="http://schemas.openxmlformats.org/officeDocument/2006/relationships/hyperlink" Target="https://aglaiaim.com/" TargetMode="External"/><Relationship Id="rId193" Type="http://schemas.openxmlformats.org/officeDocument/2006/relationships/hyperlink" Target="https://www.m4capital.de/portfolio" TargetMode="External"/><Relationship Id="rId46" Type="http://schemas.openxmlformats.org/officeDocument/2006/relationships/hyperlink" Target="https://gi21capital.com/" TargetMode="External"/><Relationship Id="rId192" Type="http://schemas.openxmlformats.org/officeDocument/2006/relationships/hyperlink" Target="https://www.m4capital.de/" TargetMode="External"/><Relationship Id="rId45" Type="http://schemas.openxmlformats.org/officeDocument/2006/relationships/hyperlink" Target="https://www.linkedin.com/in/chenlujie/?originalSubdomain=sg" TargetMode="External"/><Relationship Id="rId191" Type="http://schemas.openxmlformats.org/officeDocument/2006/relationships/hyperlink" Target="https://www.linkedin.com/in/miroslav-suchy/" TargetMode="External"/><Relationship Id="rId48" Type="http://schemas.openxmlformats.org/officeDocument/2006/relationships/hyperlink" Target="https://wassonenterprise.com/" TargetMode="External"/><Relationship Id="rId187" Type="http://schemas.openxmlformats.org/officeDocument/2006/relationships/hyperlink" Target="https://invext.es/" TargetMode="External"/><Relationship Id="rId47" Type="http://schemas.openxmlformats.org/officeDocument/2006/relationships/hyperlink" Target="https://gi21capital.com/portfolio/" TargetMode="External"/><Relationship Id="rId186" Type="http://schemas.openxmlformats.org/officeDocument/2006/relationships/hyperlink" Target="https://invext.es/" TargetMode="External"/><Relationship Id="rId185" Type="http://schemas.openxmlformats.org/officeDocument/2006/relationships/hyperlink" Target="https://www.linkedin.com/in/anthonytalhami/" TargetMode="External"/><Relationship Id="rId49" Type="http://schemas.openxmlformats.org/officeDocument/2006/relationships/hyperlink" Target="https://wassonenterprise.com/we-invest/" TargetMode="External"/><Relationship Id="rId184" Type="http://schemas.openxmlformats.org/officeDocument/2006/relationships/hyperlink" Target="https://bch.co/portfolios/" TargetMode="External"/><Relationship Id="rId189" Type="http://schemas.openxmlformats.org/officeDocument/2006/relationships/hyperlink" Target="https://g4.sk/en/eng/" TargetMode="External"/><Relationship Id="rId188" Type="http://schemas.openxmlformats.org/officeDocument/2006/relationships/hyperlink" Target="https://www.linkedin.com/in/santiago-royo-l%C3%B3pez-a516b721/" TargetMode="External"/><Relationship Id="rId31" Type="http://schemas.openxmlformats.org/officeDocument/2006/relationships/hyperlink" Target="https://www.linkedin.com/in/mridul-ashok-266b1b12/" TargetMode="External"/><Relationship Id="rId30" Type="http://schemas.openxmlformats.org/officeDocument/2006/relationships/hyperlink" Target="https://lunate.com/en/investment-strategies" TargetMode="External"/><Relationship Id="rId33" Type="http://schemas.openxmlformats.org/officeDocument/2006/relationships/hyperlink" Target="https://alajlanfamilyoffice.com/" TargetMode="External"/><Relationship Id="rId183" Type="http://schemas.openxmlformats.org/officeDocument/2006/relationships/hyperlink" Target="https://bch.co/" TargetMode="External"/><Relationship Id="rId32" Type="http://schemas.openxmlformats.org/officeDocument/2006/relationships/hyperlink" Target="https://alajlanfamilyoffice.com/" TargetMode="External"/><Relationship Id="rId182" Type="http://schemas.openxmlformats.org/officeDocument/2006/relationships/hyperlink" Target="https://www.linkedin.com/in/philipp-h-seeck-caia/" TargetMode="External"/><Relationship Id="rId35" Type="http://schemas.openxmlformats.org/officeDocument/2006/relationships/hyperlink" Target="https://www.phvalues.org/" TargetMode="External"/><Relationship Id="rId181" Type="http://schemas.openxmlformats.org/officeDocument/2006/relationships/hyperlink" Target="https://genesis256.com/" TargetMode="External"/><Relationship Id="rId34" Type="http://schemas.openxmlformats.org/officeDocument/2006/relationships/hyperlink" Target="https://www.linkedin.com/in/alajlanza/" TargetMode="External"/><Relationship Id="rId180" Type="http://schemas.openxmlformats.org/officeDocument/2006/relationships/hyperlink" Target="https://genesis256.com/" TargetMode="External"/><Relationship Id="rId37" Type="http://schemas.openxmlformats.org/officeDocument/2006/relationships/hyperlink" Target="https://www.linkedin.com/in/amit-kumar-cfa-484593/" TargetMode="External"/><Relationship Id="rId176" Type="http://schemas.openxmlformats.org/officeDocument/2006/relationships/hyperlink" Target="https://www.linkedin.com/in/shannon-l-saccocia-cfa-63ab066/" TargetMode="External"/><Relationship Id="rId297" Type="http://schemas.openxmlformats.org/officeDocument/2006/relationships/hyperlink" Target="https://www.scaleinvest.de/" TargetMode="External"/><Relationship Id="rId36" Type="http://schemas.openxmlformats.org/officeDocument/2006/relationships/hyperlink" Target="https://www.phvalues.org/index.html" TargetMode="External"/><Relationship Id="rId175" Type="http://schemas.openxmlformats.org/officeDocument/2006/relationships/hyperlink" Target="https://www.nb.com/en/gb/products/investment-strategies/private-equity-co-investment-platform" TargetMode="External"/><Relationship Id="rId296" Type="http://schemas.openxmlformats.org/officeDocument/2006/relationships/hyperlink" Target="https://www.linkedin.com/in/philipp-langnickel/" TargetMode="External"/><Relationship Id="rId39" Type="http://schemas.openxmlformats.org/officeDocument/2006/relationships/hyperlink" Target="https://www.shrug.vc/portfolio" TargetMode="External"/><Relationship Id="rId174" Type="http://schemas.openxmlformats.org/officeDocument/2006/relationships/hyperlink" Target="https://www.nb.com/en/gb/institutional-investor" TargetMode="External"/><Relationship Id="rId295" Type="http://schemas.openxmlformats.org/officeDocument/2006/relationships/hyperlink" Target="https://www.linkedin.com/company/tkm-vc/" TargetMode="External"/><Relationship Id="rId38" Type="http://schemas.openxmlformats.org/officeDocument/2006/relationships/hyperlink" Target="https://www.lalotteventures.com/family-office" TargetMode="External"/><Relationship Id="rId173" Type="http://schemas.openxmlformats.org/officeDocument/2006/relationships/hyperlink" Target="https://www.linkedin.com/in/bryan-njuguna-73965b142/" TargetMode="External"/><Relationship Id="rId294" Type="http://schemas.openxmlformats.org/officeDocument/2006/relationships/hyperlink" Target="https://www.linkedin.com/company/tkm-vc/" TargetMode="External"/><Relationship Id="rId179" Type="http://schemas.openxmlformats.org/officeDocument/2006/relationships/hyperlink" Target="https://www.linkedin.com/in/mato-krahl-mkvc/" TargetMode="External"/><Relationship Id="rId178" Type="http://schemas.openxmlformats.org/officeDocument/2006/relationships/hyperlink" Target="https://mk-vc.com/" TargetMode="External"/><Relationship Id="rId299" Type="http://schemas.openxmlformats.org/officeDocument/2006/relationships/hyperlink" Target="https://www.linkedin.com/in/niels-fritze-2a97b3133/" TargetMode="External"/><Relationship Id="rId177" Type="http://schemas.openxmlformats.org/officeDocument/2006/relationships/hyperlink" Target="https://mk-vc.com/" TargetMode="External"/><Relationship Id="rId298" Type="http://schemas.openxmlformats.org/officeDocument/2006/relationships/hyperlink" Target="https://www.scaleinvest.de/investment?" TargetMode="External"/><Relationship Id="rId20" Type="http://schemas.openxmlformats.org/officeDocument/2006/relationships/hyperlink" Target="https://www.linkedin.com/in/joep-uijttewaal-0879a6a4/" TargetMode="External"/><Relationship Id="rId22" Type="http://schemas.openxmlformats.org/officeDocument/2006/relationships/hyperlink" Target="https://am.oddo-bhf.com/UK/en/professional_investor/ContentDetails/oddo_bhf_announces_the_launch_of_oddo_bhf_venture_capital_fund/27529" TargetMode="External"/><Relationship Id="rId21" Type="http://schemas.openxmlformats.org/officeDocument/2006/relationships/hyperlink" Target="https://am.oddo-bhf.com/uk/en/professional_investor/fundspage" TargetMode="External"/><Relationship Id="rId24" Type="http://schemas.openxmlformats.org/officeDocument/2006/relationships/hyperlink" Target="https://mikolajfirlej.com/venture-capital/" TargetMode="External"/><Relationship Id="rId23" Type="http://schemas.openxmlformats.org/officeDocument/2006/relationships/hyperlink" Target="https://firlejkastory.com/" TargetMode="External"/><Relationship Id="rId26" Type="http://schemas.openxmlformats.org/officeDocument/2006/relationships/hyperlink" Target="https://www.fifthera.com/" TargetMode="External"/><Relationship Id="rId25" Type="http://schemas.openxmlformats.org/officeDocument/2006/relationships/hyperlink" Target="https://pl.linkedin.com/in/stanislaw-kastory-b9458250?trk=org-employees" TargetMode="External"/><Relationship Id="rId28" Type="http://schemas.openxmlformats.org/officeDocument/2006/relationships/hyperlink" Target="https://www.linkedin.com/in/matthewlemerle/" TargetMode="External"/><Relationship Id="rId27" Type="http://schemas.openxmlformats.org/officeDocument/2006/relationships/hyperlink" Target="https://www.fifthera.com/" TargetMode="External"/><Relationship Id="rId29" Type="http://schemas.openxmlformats.org/officeDocument/2006/relationships/hyperlink" Target="https://lunate.com/" TargetMode="External"/><Relationship Id="rId11" Type="http://schemas.openxmlformats.org/officeDocument/2006/relationships/hyperlink" Target="https://www.firstlanecapital.com/" TargetMode="External"/><Relationship Id="rId10" Type="http://schemas.openxmlformats.org/officeDocument/2006/relationships/hyperlink" Target="https://www.firstlanecapital.com/" TargetMode="External"/><Relationship Id="rId13" Type="http://schemas.openxmlformats.org/officeDocument/2006/relationships/hyperlink" Target="https://millenniallp.com/" TargetMode="External"/><Relationship Id="rId12" Type="http://schemas.openxmlformats.org/officeDocument/2006/relationships/hyperlink" Target="https://millenniallp.com/" TargetMode="External"/><Relationship Id="rId15" Type="http://schemas.openxmlformats.org/officeDocument/2006/relationships/hyperlink" Target="https://www.edgewoodvp.com/" TargetMode="External"/><Relationship Id="rId198" Type="http://schemas.openxmlformats.org/officeDocument/2006/relationships/hyperlink" Target="https://www.frkinvestments.com/" TargetMode="External"/><Relationship Id="rId14" Type="http://schemas.openxmlformats.org/officeDocument/2006/relationships/hyperlink" Target="https://www.edgewoodvp.com/" TargetMode="External"/><Relationship Id="rId197" Type="http://schemas.openxmlformats.org/officeDocument/2006/relationships/hyperlink" Target="https://www.linkedin.com/in/stanislasemsens" TargetMode="External"/><Relationship Id="rId17" Type="http://schemas.openxmlformats.org/officeDocument/2006/relationships/hyperlink" Target="https://www.insightfamilyoffice.com/" TargetMode="External"/><Relationship Id="rId196" Type="http://schemas.openxmlformats.org/officeDocument/2006/relationships/hyperlink" Target="https://www.linkedin.com/company/stalusa-bv/about/" TargetMode="External"/><Relationship Id="rId16" Type="http://schemas.openxmlformats.org/officeDocument/2006/relationships/hyperlink" Target="https://www.insightfamilyoffice.com/" TargetMode="External"/><Relationship Id="rId195" Type="http://schemas.openxmlformats.org/officeDocument/2006/relationships/hyperlink" Target="https://www.stalusa.be/" TargetMode="External"/><Relationship Id="rId19" Type="http://schemas.openxmlformats.org/officeDocument/2006/relationships/hyperlink" Target="https://pooledcapital.com/" TargetMode="External"/><Relationship Id="rId18" Type="http://schemas.openxmlformats.org/officeDocument/2006/relationships/hyperlink" Target="https://pooledcapital.com/" TargetMode="External"/><Relationship Id="rId199" Type="http://schemas.openxmlformats.org/officeDocument/2006/relationships/hyperlink" Target="https://www.frkinvestments.com/" TargetMode="External"/><Relationship Id="rId84" Type="http://schemas.openxmlformats.org/officeDocument/2006/relationships/hyperlink" Target="https://www.bluehaveninitiative.com/portfolio/funds/" TargetMode="External"/><Relationship Id="rId83" Type="http://schemas.openxmlformats.org/officeDocument/2006/relationships/hyperlink" Target="http://www.linkedin.com/in/reinhard-panse-719766233" TargetMode="External"/><Relationship Id="rId86" Type="http://schemas.openxmlformats.org/officeDocument/2006/relationships/hyperlink" Target="https://www.linkedin.com/in/hari-joy/" TargetMode="External"/><Relationship Id="rId85" Type="http://schemas.openxmlformats.org/officeDocument/2006/relationships/hyperlink" Target="https://www.bluehaveninitiative.com/portfolio/funds/" TargetMode="External"/><Relationship Id="rId88" Type="http://schemas.openxmlformats.org/officeDocument/2006/relationships/hyperlink" Target="https://infinitas-capital.com/strategies" TargetMode="External"/><Relationship Id="rId150" Type="http://schemas.openxmlformats.org/officeDocument/2006/relationships/hyperlink" Target="https://www.snvglobal.com/" TargetMode="External"/><Relationship Id="rId271" Type="http://schemas.openxmlformats.org/officeDocument/2006/relationships/hyperlink" Target="https://www.linkedin.com/in/berndgross/" TargetMode="External"/><Relationship Id="rId87" Type="http://schemas.openxmlformats.org/officeDocument/2006/relationships/hyperlink" Target="https://infinitas-capital.com/strategies" TargetMode="External"/><Relationship Id="rId270" Type="http://schemas.openxmlformats.org/officeDocument/2006/relationships/hyperlink" Target="https://www.linkedin.com/in/berndgross/" TargetMode="External"/><Relationship Id="rId89" Type="http://schemas.openxmlformats.org/officeDocument/2006/relationships/hyperlink" Target="https://www.italmobiliare.it/en" TargetMode="External"/><Relationship Id="rId80" Type="http://schemas.openxmlformats.org/officeDocument/2006/relationships/hyperlink" Target="https://www.aberdeeninvestments.com/docs?editionid=3147ac77-577a-4e37-aeb8-8b72da96c2bf" TargetMode="External"/><Relationship Id="rId82" Type="http://schemas.openxmlformats.org/officeDocument/2006/relationships/hyperlink" Target="https://www.finvia.fo/leistungen/alternative-investments/venture-capital" TargetMode="External"/><Relationship Id="rId81" Type="http://schemas.openxmlformats.org/officeDocument/2006/relationships/hyperlink" Target="https://www.finvia.fo/en" TargetMode="External"/><Relationship Id="rId1" Type="http://schemas.openxmlformats.org/officeDocument/2006/relationships/hyperlink" Target="https://www.kluzventures.com/" TargetMode="External"/><Relationship Id="rId2" Type="http://schemas.openxmlformats.org/officeDocument/2006/relationships/hyperlink" Target="https://www.kluzventures.com/investments/" TargetMode="External"/><Relationship Id="rId3" Type="http://schemas.openxmlformats.org/officeDocument/2006/relationships/hyperlink" Target="https://www.linkedin.com/in/akluz/" TargetMode="External"/><Relationship Id="rId149" Type="http://schemas.openxmlformats.org/officeDocument/2006/relationships/hyperlink" Target="https://www.luxempart.lu/our-investments/investment-funds/" TargetMode="External"/><Relationship Id="rId4" Type="http://schemas.openxmlformats.org/officeDocument/2006/relationships/hyperlink" Target="https://www.lngmgmt.com/fund-investments/" TargetMode="External"/><Relationship Id="rId148" Type="http://schemas.openxmlformats.org/officeDocument/2006/relationships/hyperlink" Target="https://www.luxempart.lu/" TargetMode="External"/><Relationship Id="rId269" Type="http://schemas.openxmlformats.org/officeDocument/2006/relationships/hyperlink" Target="https://www.linkedin.com/in/berndgross/" TargetMode="External"/><Relationship Id="rId9" Type="http://schemas.openxmlformats.org/officeDocument/2006/relationships/hyperlink" Target="https://www.linkedin.com/in/ceyinboston/" TargetMode="External"/><Relationship Id="rId143" Type="http://schemas.openxmlformats.org/officeDocument/2006/relationships/hyperlink" Target="https://mgaventures.in/" TargetMode="External"/><Relationship Id="rId264" Type="http://schemas.openxmlformats.org/officeDocument/2006/relationships/hyperlink" Target="https://www.linkedin.com/in/cvermeulen/" TargetMode="External"/><Relationship Id="rId142" Type="http://schemas.openxmlformats.org/officeDocument/2006/relationships/hyperlink" Target="https://www.linkedin.com/in/juha-korhonen1/" TargetMode="External"/><Relationship Id="rId263" Type="http://schemas.openxmlformats.org/officeDocument/2006/relationships/hyperlink" Target="https://www.linkedin.com/in/cvermeulen/" TargetMode="External"/><Relationship Id="rId141" Type="http://schemas.openxmlformats.org/officeDocument/2006/relationships/hyperlink" Target="https://lagooncapital.fi/portfolio/" TargetMode="External"/><Relationship Id="rId262" Type="http://schemas.openxmlformats.org/officeDocument/2006/relationships/hyperlink" Target="https://www.linkedin.com/in/nikolacavic/" TargetMode="External"/><Relationship Id="rId140" Type="http://schemas.openxmlformats.org/officeDocument/2006/relationships/hyperlink" Target="https://lagooncapital.fi/investment-criteria/" TargetMode="External"/><Relationship Id="rId261" Type="http://schemas.openxmlformats.org/officeDocument/2006/relationships/hyperlink" Target="https://www.linkedin.com/in/nikolacavic/" TargetMode="External"/><Relationship Id="rId5" Type="http://schemas.openxmlformats.org/officeDocument/2006/relationships/hyperlink" Target="https://www.lngmgmt.com/fund-investments/" TargetMode="External"/><Relationship Id="rId147" Type="http://schemas.openxmlformats.org/officeDocument/2006/relationships/hyperlink" Target="https://www.praesidium.eu/" TargetMode="External"/><Relationship Id="rId268" Type="http://schemas.openxmlformats.org/officeDocument/2006/relationships/hyperlink" Target="https://www.linkedin.com/in/mike-zarin/" TargetMode="External"/><Relationship Id="rId6" Type="http://schemas.openxmlformats.org/officeDocument/2006/relationships/hyperlink" Target="https://www.linkedin.com/in/kenny-li-cfa-87658416/" TargetMode="External"/><Relationship Id="rId146" Type="http://schemas.openxmlformats.org/officeDocument/2006/relationships/hyperlink" Target="https://www.praesidium.eu/" TargetMode="External"/><Relationship Id="rId267" Type="http://schemas.openxmlformats.org/officeDocument/2006/relationships/hyperlink" Target="https://www.linkedin.com/in/mike-zarin/" TargetMode="External"/><Relationship Id="rId7" Type="http://schemas.openxmlformats.org/officeDocument/2006/relationships/hyperlink" Target="https://accomplice.co/" TargetMode="External"/><Relationship Id="rId145" Type="http://schemas.openxmlformats.org/officeDocument/2006/relationships/hyperlink" Target="https://www.linkedin.com/in/aaryamankagzi/" TargetMode="External"/><Relationship Id="rId266" Type="http://schemas.openxmlformats.org/officeDocument/2006/relationships/hyperlink" Target="https://www.linkedin.com/in/mike-zarin/" TargetMode="External"/><Relationship Id="rId8" Type="http://schemas.openxmlformats.org/officeDocument/2006/relationships/hyperlink" Target="https://accomplice.co/" TargetMode="External"/><Relationship Id="rId144" Type="http://schemas.openxmlformats.org/officeDocument/2006/relationships/hyperlink" Target="https://www.ynos.in/venture-capital/mga-ventures-ashra-family-office-002137" TargetMode="External"/><Relationship Id="rId265" Type="http://schemas.openxmlformats.org/officeDocument/2006/relationships/hyperlink" Target="https://www.linkedin.com/in/cvermeulen/" TargetMode="External"/><Relationship Id="rId73" Type="http://schemas.openxmlformats.org/officeDocument/2006/relationships/hyperlink" Target="https://www.schroderscapital.com/en/global/professional/insights/venturing-on-why-and-how-to-invest-in-global-innovation/" TargetMode="External"/><Relationship Id="rId72" Type="http://schemas.openxmlformats.org/officeDocument/2006/relationships/hyperlink" Target="https://www.schroderscapital.com/en/global/professional/" TargetMode="External"/><Relationship Id="rId75" Type="http://schemas.openxmlformats.org/officeDocument/2006/relationships/hyperlink" Target="https://fairway-asset.com/about/" TargetMode="External"/><Relationship Id="rId74" Type="http://schemas.openxmlformats.org/officeDocument/2006/relationships/hyperlink" Target="https://fairway-asset.com/about/" TargetMode="External"/><Relationship Id="rId77" Type="http://schemas.openxmlformats.org/officeDocument/2006/relationships/hyperlink" Target="https://www.mandg.com/investments/institutional/en-gb" TargetMode="External"/><Relationship Id="rId260" Type="http://schemas.openxmlformats.org/officeDocument/2006/relationships/hyperlink" Target="https://www.linkedin.com/in/nikolacavic/" TargetMode="External"/><Relationship Id="rId76" Type="http://schemas.openxmlformats.org/officeDocument/2006/relationships/hyperlink" Target="https://www.linkedin.com/in/nicholasverwilghen/" TargetMode="External"/><Relationship Id="rId79" Type="http://schemas.openxmlformats.org/officeDocument/2006/relationships/hyperlink" Target="https://www.aberdeeninvestments.com/en-us/investor" TargetMode="External"/><Relationship Id="rId78" Type="http://schemas.openxmlformats.org/officeDocument/2006/relationships/hyperlink" Target="https://www.mandg.com/investments/institutional/en-global/capabilities/private-markets/impact-and-private-equity" TargetMode="External"/><Relationship Id="rId71" Type="http://schemas.openxmlformats.org/officeDocument/2006/relationships/hyperlink" Target="https://www.ritcap.com/investment-approach/our-diversified-portfolio/private-investments/" TargetMode="External"/><Relationship Id="rId70" Type="http://schemas.openxmlformats.org/officeDocument/2006/relationships/hyperlink" Target="https://www.ritcap.com/" TargetMode="External"/><Relationship Id="rId139" Type="http://schemas.openxmlformats.org/officeDocument/2006/relationships/hyperlink" Target="http://www.linkedin.com/in/mauricebv" TargetMode="External"/><Relationship Id="rId138" Type="http://schemas.openxmlformats.org/officeDocument/2006/relationships/hyperlink" Target="https://www.crosspring.com/" TargetMode="External"/><Relationship Id="rId259" Type="http://schemas.openxmlformats.org/officeDocument/2006/relationships/hyperlink" Target="https://www.linkedin.com/in/dovzhikov/" TargetMode="External"/><Relationship Id="rId137" Type="http://schemas.openxmlformats.org/officeDocument/2006/relationships/hyperlink" Target="https://www.crosspring.com/" TargetMode="External"/><Relationship Id="rId258" Type="http://schemas.openxmlformats.org/officeDocument/2006/relationships/hyperlink" Target="https://www.linkedin.com/in/dovzhikov/" TargetMode="External"/><Relationship Id="rId132" Type="http://schemas.openxmlformats.org/officeDocument/2006/relationships/hyperlink" Target="https://winterberg.group/" TargetMode="External"/><Relationship Id="rId253" Type="http://schemas.openxmlformats.org/officeDocument/2006/relationships/hyperlink" Target="https://www.linkedin.com/in/sandrogianella/" TargetMode="External"/><Relationship Id="rId131" Type="http://schemas.openxmlformats.org/officeDocument/2006/relationships/hyperlink" Target="https://www.linkedin.com/in/franck-bruno-lopez-4998162/" TargetMode="External"/><Relationship Id="rId252" Type="http://schemas.openxmlformats.org/officeDocument/2006/relationships/hyperlink" Target="https://www.linkedin.com/in/sandrogianella/" TargetMode="External"/><Relationship Id="rId130" Type="http://schemas.openxmlformats.org/officeDocument/2006/relationships/hyperlink" Target="https://www.mbs.investments/our-portfolio" TargetMode="External"/><Relationship Id="rId251" Type="http://schemas.openxmlformats.org/officeDocument/2006/relationships/hyperlink" Target="https://www.linkedin.com/in/sandrogianella/" TargetMode="External"/><Relationship Id="rId250" Type="http://schemas.openxmlformats.org/officeDocument/2006/relationships/hyperlink" Target="https://www.linkedin.com/in/jfgonzalez/" TargetMode="External"/><Relationship Id="rId136" Type="http://schemas.openxmlformats.org/officeDocument/2006/relationships/hyperlink" Target="https://www.linkedin.com/in/ekaterina-zubtsova/" TargetMode="External"/><Relationship Id="rId257" Type="http://schemas.openxmlformats.org/officeDocument/2006/relationships/hyperlink" Target="https://www.linkedin.com/in/dovzhikov/" TargetMode="External"/><Relationship Id="rId135" Type="http://schemas.openxmlformats.org/officeDocument/2006/relationships/hyperlink" Target="https://www.quonota.com/industries/" TargetMode="External"/><Relationship Id="rId256" Type="http://schemas.openxmlformats.org/officeDocument/2006/relationships/hyperlink" Target="https://www.linkedin.com/in/lilyjoo/" TargetMode="External"/><Relationship Id="rId134" Type="http://schemas.openxmlformats.org/officeDocument/2006/relationships/hyperlink" Target="https://www.quonota.com/industries/" TargetMode="External"/><Relationship Id="rId255" Type="http://schemas.openxmlformats.org/officeDocument/2006/relationships/hyperlink" Target="https://www.linkedin.com/in/lilyjoo/" TargetMode="External"/><Relationship Id="rId133" Type="http://schemas.openxmlformats.org/officeDocument/2006/relationships/hyperlink" Target="https://winterberg.group/private-equity-in-munich/" TargetMode="External"/><Relationship Id="rId254" Type="http://schemas.openxmlformats.org/officeDocument/2006/relationships/hyperlink" Target="https://www.linkedin.com/in/lilyjoo/" TargetMode="External"/><Relationship Id="rId62" Type="http://schemas.openxmlformats.org/officeDocument/2006/relationships/hyperlink" Target="https://adequita.co.uk/about-us/" TargetMode="External"/><Relationship Id="rId61" Type="http://schemas.openxmlformats.org/officeDocument/2006/relationships/hyperlink" Target="https://www.bflexion.com/about" TargetMode="External"/><Relationship Id="rId64" Type="http://schemas.openxmlformats.org/officeDocument/2006/relationships/hyperlink" Target="http://www.linkedin.com/in/xavier-adser%c3%a0-55830766" TargetMode="External"/><Relationship Id="rId63" Type="http://schemas.openxmlformats.org/officeDocument/2006/relationships/hyperlink" Target="https://adequita.co.uk/portfolio/" TargetMode="External"/><Relationship Id="rId66" Type="http://schemas.openxmlformats.org/officeDocument/2006/relationships/hyperlink" Target="https://www.smedvig.com/private-funds/" TargetMode="External"/><Relationship Id="rId172" Type="http://schemas.openxmlformats.org/officeDocument/2006/relationships/hyperlink" Target="https://capria.vc/entire-portfolio/" TargetMode="External"/><Relationship Id="rId293" Type="http://schemas.openxmlformats.org/officeDocument/2006/relationships/hyperlink" Target="https://www.linkedin.com/in/akhil--paul/" TargetMode="External"/><Relationship Id="rId65" Type="http://schemas.openxmlformats.org/officeDocument/2006/relationships/hyperlink" Target="https://www.smedvig.com/" TargetMode="External"/><Relationship Id="rId171" Type="http://schemas.openxmlformats.org/officeDocument/2006/relationships/hyperlink" Target="https://capria.vc/" TargetMode="External"/><Relationship Id="rId292" Type="http://schemas.openxmlformats.org/officeDocument/2006/relationships/hyperlink" Target="https://www.linkedin.com/in/akhil--paul/" TargetMode="External"/><Relationship Id="rId68" Type="http://schemas.openxmlformats.org/officeDocument/2006/relationships/hyperlink" Target="https://www.lgtcp.com/who-we-are" TargetMode="External"/><Relationship Id="rId170" Type="http://schemas.openxmlformats.org/officeDocument/2006/relationships/hyperlink" Target="https://www.armada.com/" TargetMode="External"/><Relationship Id="rId291" Type="http://schemas.openxmlformats.org/officeDocument/2006/relationships/hyperlink" Target="https://www.linkedin.com/in/akhil--paul/" TargetMode="External"/><Relationship Id="rId67" Type="http://schemas.openxmlformats.org/officeDocument/2006/relationships/hyperlink" Target="https://www.linkedin.com/in/alistair-cairns-8a1422/" TargetMode="External"/><Relationship Id="rId290" Type="http://schemas.openxmlformats.org/officeDocument/2006/relationships/hyperlink" Target="https://www.linkedin.com/in/yuelinx/" TargetMode="External"/><Relationship Id="rId60" Type="http://schemas.openxmlformats.org/officeDocument/2006/relationships/hyperlink" Target="https://www.bflexion.com/" TargetMode="External"/><Relationship Id="rId165" Type="http://schemas.openxmlformats.org/officeDocument/2006/relationships/hyperlink" Target="https://issfjo.com/" TargetMode="External"/><Relationship Id="rId286" Type="http://schemas.openxmlformats.org/officeDocument/2006/relationships/hyperlink" Target="https://www.linkedin.com/in/rr-robertoricci/" TargetMode="External"/><Relationship Id="rId69" Type="http://schemas.openxmlformats.org/officeDocument/2006/relationships/hyperlink" Target="https://www.lgtcp.com/venture-capital" TargetMode="External"/><Relationship Id="rId164" Type="http://schemas.openxmlformats.org/officeDocument/2006/relationships/hyperlink" Target="https://issfjo.com/" TargetMode="External"/><Relationship Id="rId285" Type="http://schemas.openxmlformats.org/officeDocument/2006/relationships/hyperlink" Target="https://www.linkedin.com/in/rr-robertoricci/" TargetMode="External"/><Relationship Id="rId163" Type="http://schemas.openxmlformats.org/officeDocument/2006/relationships/hyperlink" Target="https://www.linkedin.com/in/bruno-febvret-79061558/" TargetMode="External"/><Relationship Id="rId284" Type="http://schemas.openxmlformats.org/officeDocument/2006/relationships/hyperlink" Target="https://www.linkedin.com/in/andrey-anishchenko-b6784613/" TargetMode="External"/><Relationship Id="rId162" Type="http://schemas.openxmlformats.org/officeDocument/2006/relationships/hyperlink" Target="https://www.aonia.vc/" TargetMode="External"/><Relationship Id="rId283" Type="http://schemas.openxmlformats.org/officeDocument/2006/relationships/hyperlink" Target="https://www.linkedin.com/in/andrey-anishchenko-b6784613/" TargetMode="External"/><Relationship Id="rId169" Type="http://schemas.openxmlformats.org/officeDocument/2006/relationships/hyperlink" Target="https://www.armada.com/" TargetMode="External"/><Relationship Id="rId168" Type="http://schemas.openxmlformats.org/officeDocument/2006/relationships/hyperlink" Target="https://www.kstreet.vc/" TargetMode="External"/><Relationship Id="rId289" Type="http://schemas.openxmlformats.org/officeDocument/2006/relationships/hyperlink" Target="https://www.linkedin.com/in/yuelinx/" TargetMode="External"/><Relationship Id="rId167" Type="http://schemas.openxmlformats.org/officeDocument/2006/relationships/hyperlink" Target="https://www.kstreet.vc/" TargetMode="External"/><Relationship Id="rId288" Type="http://schemas.openxmlformats.org/officeDocument/2006/relationships/hyperlink" Target="https://www.linkedin.com/in/yuelinx/" TargetMode="External"/><Relationship Id="rId166" Type="http://schemas.openxmlformats.org/officeDocument/2006/relationships/hyperlink" Target="https://www.linkedin.com/in/dinatoukan/" TargetMode="External"/><Relationship Id="rId287" Type="http://schemas.openxmlformats.org/officeDocument/2006/relationships/hyperlink" Target="https://www.linkedin.com/in/rr-robertoricci/" TargetMode="External"/><Relationship Id="rId51" Type="http://schemas.openxmlformats.org/officeDocument/2006/relationships/hyperlink" Target="https://avighnainvest.com/" TargetMode="External"/><Relationship Id="rId50" Type="http://schemas.openxmlformats.org/officeDocument/2006/relationships/hyperlink" Target="http://www.linkedin.com/in/trey-gill-839a56105" TargetMode="External"/><Relationship Id="rId53" Type="http://schemas.openxmlformats.org/officeDocument/2006/relationships/hyperlink" Target="https://www.linkedin.com/in/arpitca/" TargetMode="External"/><Relationship Id="rId52" Type="http://schemas.openxmlformats.org/officeDocument/2006/relationships/hyperlink" Target="https://avighnainvest.com/" TargetMode="External"/><Relationship Id="rId55" Type="http://schemas.openxmlformats.org/officeDocument/2006/relationships/hyperlink" Target="https://www.linkedin.com/company/avant-global-llc/about/" TargetMode="External"/><Relationship Id="rId161" Type="http://schemas.openxmlformats.org/officeDocument/2006/relationships/hyperlink" Target="https://www.aonia.vc/" TargetMode="External"/><Relationship Id="rId282" Type="http://schemas.openxmlformats.org/officeDocument/2006/relationships/hyperlink" Target="https://www.linkedin.com/in/andrey-anishchenko-b6784613/" TargetMode="External"/><Relationship Id="rId54" Type="http://schemas.openxmlformats.org/officeDocument/2006/relationships/hyperlink" Target="https://avantglobal.com" TargetMode="External"/><Relationship Id="rId160" Type="http://schemas.openxmlformats.org/officeDocument/2006/relationships/hyperlink" Target="https://www.linkedin.com/in/ecem-altiok-704b2029/?originalSubdomain=tr" TargetMode="External"/><Relationship Id="rId281" Type="http://schemas.openxmlformats.org/officeDocument/2006/relationships/hyperlink" Target="https://www.linkedin.com/in/jakko-bloemena/?originalSubdomain=nl" TargetMode="External"/><Relationship Id="rId57" Type="http://schemas.openxmlformats.org/officeDocument/2006/relationships/hyperlink" Target="https://www.blncapital.com/" TargetMode="External"/><Relationship Id="rId280" Type="http://schemas.openxmlformats.org/officeDocument/2006/relationships/hyperlink" Target="https://www.linkedin.com/in/jakko-bloemena/?originalSubdomain=nl" TargetMode="External"/><Relationship Id="rId56" Type="http://schemas.openxmlformats.org/officeDocument/2006/relationships/hyperlink" Target="http://www.linkedin.com/in/justinfiggins" TargetMode="External"/><Relationship Id="rId159" Type="http://schemas.openxmlformats.org/officeDocument/2006/relationships/hyperlink" Target="https://yildiz.ventures/en/about/" TargetMode="External"/><Relationship Id="rId59" Type="http://schemas.openxmlformats.org/officeDocument/2006/relationships/hyperlink" Target="https://www.linkedin.com/in/philipp-l%c3%b6ffler-16215517a/" TargetMode="External"/><Relationship Id="rId154" Type="http://schemas.openxmlformats.org/officeDocument/2006/relationships/hyperlink" Target="https://www.linkedin.com/company/saberwien/?originalSubdomain=at" TargetMode="External"/><Relationship Id="rId275" Type="http://schemas.openxmlformats.org/officeDocument/2006/relationships/hyperlink" Target="https://www.linkedin.com/in/mattportman/details/experience/" TargetMode="External"/><Relationship Id="rId58" Type="http://schemas.openxmlformats.org/officeDocument/2006/relationships/hyperlink" Target="https://www.blncapital.com/" TargetMode="External"/><Relationship Id="rId153" Type="http://schemas.openxmlformats.org/officeDocument/2006/relationships/hyperlink" Target="https://www.saberinvestments.at/" TargetMode="External"/><Relationship Id="rId274" Type="http://schemas.openxmlformats.org/officeDocument/2006/relationships/hyperlink" Target="https://www.linkedin.com/in/nataliasimonenko/" TargetMode="External"/><Relationship Id="rId152" Type="http://schemas.openxmlformats.org/officeDocument/2006/relationships/hyperlink" Target="https://www.linkedin.com/in/simon-o-connell-66117972/?originalSubdomain=nl" TargetMode="External"/><Relationship Id="rId273" Type="http://schemas.openxmlformats.org/officeDocument/2006/relationships/hyperlink" Target="https://www.linkedin.com/in/mattportman/" TargetMode="External"/><Relationship Id="rId151" Type="http://schemas.openxmlformats.org/officeDocument/2006/relationships/hyperlink" Target="https://www.snvglobal.com/" TargetMode="External"/><Relationship Id="rId272" Type="http://schemas.openxmlformats.org/officeDocument/2006/relationships/hyperlink" Target="https://www.linkedin.com/in/mattportman/" TargetMode="External"/><Relationship Id="rId158" Type="http://schemas.openxmlformats.org/officeDocument/2006/relationships/hyperlink" Target="https://yildiz.ventures/en/" TargetMode="External"/><Relationship Id="rId279" Type="http://schemas.openxmlformats.org/officeDocument/2006/relationships/hyperlink" Target="https://www.linkedin.com/in/jakko-bloemena/?originalSubdomain=nl" TargetMode="External"/><Relationship Id="rId157" Type="http://schemas.openxmlformats.org/officeDocument/2006/relationships/hyperlink" Target="https://www.linkedin.com/in/helen-zhu-63796/" TargetMode="External"/><Relationship Id="rId278" Type="http://schemas.openxmlformats.org/officeDocument/2006/relationships/hyperlink" Target="https://www.linkedin.com/in/nataliasimonenko/" TargetMode="External"/><Relationship Id="rId156" Type="http://schemas.openxmlformats.org/officeDocument/2006/relationships/hyperlink" Target="https://www.nftrinity.com/our-services/private-investment/" TargetMode="External"/><Relationship Id="rId277" Type="http://schemas.openxmlformats.org/officeDocument/2006/relationships/hyperlink" Target="https://www.linkedin.com/in/nataliasimonenko/" TargetMode="External"/><Relationship Id="rId155" Type="http://schemas.openxmlformats.org/officeDocument/2006/relationships/hyperlink" Target="https://www.nftrinity.com/" TargetMode="External"/><Relationship Id="rId276" Type="http://schemas.openxmlformats.org/officeDocument/2006/relationships/hyperlink" Target="https://www.linkedin.com/in/nataliasimonenko/" TargetMode="External"/><Relationship Id="rId107" Type="http://schemas.openxmlformats.org/officeDocument/2006/relationships/hyperlink" Target="https://regardefamilia.com/" TargetMode="External"/><Relationship Id="rId228" Type="http://schemas.openxmlformats.org/officeDocument/2006/relationships/hyperlink" Target="https://www.linkedin.com/in/pietaripaivanen/" TargetMode="External"/><Relationship Id="rId106" Type="http://schemas.openxmlformats.org/officeDocument/2006/relationships/hyperlink" Target="https://www.linkedin.com/in/zuri-michan/" TargetMode="External"/><Relationship Id="rId227" Type="http://schemas.openxmlformats.org/officeDocument/2006/relationships/hyperlink" Target="https://www.linkedin.com/in/pietaripaivanen/" TargetMode="External"/><Relationship Id="rId105" Type="http://schemas.openxmlformats.org/officeDocument/2006/relationships/hyperlink" Target="https://colibriequity.vc/wip-portfolio" TargetMode="External"/><Relationship Id="rId226" Type="http://schemas.openxmlformats.org/officeDocument/2006/relationships/hyperlink" Target="https://www.linkedin.com/in/luciantodea/" TargetMode="External"/><Relationship Id="rId104" Type="http://schemas.openxmlformats.org/officeDocument/2006/relationships/hyperlink" Target="https://colibriequity.vc/wip-portfolio" TargetMode="External"/><Relationship Id="rId225" Type="http://schemas.openxmlformats.org/officeDocument/2006/relationships/hyperlink" Target="https://www.linkedin.com/in/luciantodea/" TargetMode="External"/><Relationship Id="rId109" Type="http://schemas.openxmlformats.org/officeDocument/2006/relationships/hyperlink" Target="https://wamicapital.com/" TargetMode="External"/><Relationship Id="rId108" Type="http://schemas.openxmlformats.org/officeDocument/2006/relationships/hyperlink" Target="https://regardefamilia.com/index.php/wealth-preservation/" TargetMode="External"/><Relationship Id="rId229" Type="http://schemas.openxmlformats.org/officeDocument/2006/relationships/hyperlink" Target="https://www.linkedin.com/in/pietaripaivanen/" TargetMode="External"/><Relationship Id="rId220" Type="http://schemas.openxmlformats.org/officeDocument/2006/relationships/hyperlink" Target="https://www.linkedin.com/in/kevinsampletransactions/" TargetMode="External"/><Relationship Id="rId103" Type="http://schemas.openxmlformats.org/officeDocument/2006/relationships/hyperlink" Target="https://www.linkedin.com/in/curt-brockelman-aa48b25/" TargetMode="External"/><Relationship Id="rId224" Type="http://schemas.openxmlformats.org/officeDocument/2006/relationships/hyperlink" Target="https://www.linkedin.com/in/luciantodea/" TargetMode="External"/><Relationship Id="rId102" Type="http://schemas.openxmlformats.org/officeDocument/2006/relationships/hyperlink" Target="https://perchbaygroup.com/investments" TargetMode="External"/><Relationship Id="rId223" Type="http://schemas.openxmlformats.org/officeDocument/2006/relationships/hyperlink" Target="https://www.linkedin.com/in/jaysrithangam/" TargetMode="External"/><Relationship Id="rId101" Type="http://schemas.openxmlformats.org/officeDocument/2006/relationships/hyperlink" Target="https://perchbaygroup.com/" TargetMode="External"/><Relationship Id="rId222" Type="http://schemas.openxmlformats.org/officeDocument/2006/relationships/hyperlink" Target="https://www.adeline.co.uk/portfolio" TargetMode="External"/><Relationship Id="rId100" Type="http://schemas.openxmlformats.org/officeDocument/2006/relationships/hyperlink" Target="https://www.linkedin.com/in/allankaplan/" TargetMode="External"/><Relationship Id="rId221" Type="http://schemas.openxmlformats.org/officeDocument/2006/relationships/hyperlink" Target="https://www.adeline.co.uk/" TargetMode="External"/><Relationship Id="rId217" Type="http://schemas.openxmlformats.org/officeDocument/2006/relationships/hyperlink" Target="https://www.linkedin.com/in/ivailo/" TargetMode="External"/><Relationship Id="rId216" Type="http://schemas.openxmlformats.org/officeDocument/2006/relationships/hyperlink" Target="https://www.linkedin.com/in/ivailo/details/experience/" TargetMode="External"/><Relationship Id="rId215" Type="http://schemas.openxmlformats.org/officeDocument/2006/relationships/hyperlink" Target="https://www.linkedin.com/in/ivailo/" TargetMode="External"/><Relationship Id="rId214" Type="http://schemas.openxmlformats.org/officeDocument/2006/relationships/hyperlink" Target="https://www.linkedin.com/in/thomasfalk/" TargetMode="External"/><Relationship Id="rId219" Type="http://schemas.openxmlformats.org/officeDocument/2006/relationships/hyperlink" Target="https://www.jmcrpartners.com/home" TargetMode="External"/><Relationship Id="rId218" Type="http://schemas.openxmlformats.org/officeDocument/2006/relationships/hyperlink" Target="https://www.jmcrpartners.com/home" TargetMode="External"/><Relationship Id="rId213" Type="http://schemas.openxmlformats.org/officeDocument/2006/relationships/hyperlink" Target="https://www.evalue.de/" TargetMode="External"/><Relationship Id="rId212" Type="http://schemas.openxmlformats.org/officeDocument/2006/relationships/hyperlink" Target="https://www.evalue.de/" TargetMode="External"/><Relationship Id="rId211" Type="http://schemas.openxmlformats.org/officeDocument/2006/relationships/hyperlink" Target="https://www.linkedin.com/in/jasminjutila/" TargetMode="External"/><Relationship Id="rId210" Type="http://schemas.openxmlformats.org/officeDocument/2006/relationships/hyperlink" Target="https://illusian.org/compliance/" TargetMode="External"/><Relationship Id="rId129" Type="http://schemas.openxmlformats.org/officeDocument/2006/relationships/hyperlink" Target="https://www.mbs.investments/" TargetMode="External"/><Relationship Id="rId128" Type="http://schemas.openxmlformats.org/officeDocument/2006/relationships/hyperlink" Target="https://www.linkedin.com/in/gerald-toh/" TargetMode="External"/><Relationship Id="rId249" Type="http://schemas.openxmlformats.org/officeDocument/2006/relationships/hyperlink" Target="https://www.linkedin.com/in/jfgonzalez/" TargetMode="External"/><Relationship Id="rId127" Type="http://schemas.openxmlformats.org/officeDocument/2006/relationships/hyperlink" Target="https://www.paeonia.com.sg/funds" TargetMode="External"/><Relationship Id="rId248" Type="http://schemas.openxmlformats.org/officeDocument/2006/relationships/hyperlink" Target="https://www.linkedin.com/in/jfgonzalez/" TargetMode="External"/><Relationship Id="rId126" Type="http://schemas.openxmlformats.org/officeDocument/2006/relationships/hyperlink" Target="https://www.paeonia.com.sg/" TargetMode="External"/><Relationship Id="rId247" Type="http://schemas.openxmlformats.org/officeDocument/2006/relationships/hyperlink" Target="https://www.linkedin.com/in/philipp-zinsmayer-952936a3/" TargetMode="External"/><Relationship Id="rId121" Type="http://schemas.openxmlformats.org/officeDocument/2006/relationships/hyperlink" Target="https://www.volpiniventures.com/" TargetMode="External"/><Relationship Id="rId242" Type="http://schemas.openxmlformats.org/officeDocument/2006/relationships/hyperlink" Target="https://www.linkedin.com/in/andy-lenz-digital-future/?originalSubdomain=de" TargetMode="External"/><Relationship Id="rId120" Type="http://schemas.openxmlformats.org/officeDocument/2006/relationships/hyperlink" Target="https://www.volpiniventures.com/" TargetMode="External"/><Relationship Id="rId241" Type="http://schemas.openxmlformats.org/officeDocument/2006/relationships/hyperlink" Target="https://www.linkedin.com/in/vitorasseituno/" TargetMode="External"/><Relationship Id="rId240" Type="http://schemas.openxmlformats.org/officeDocument/2006/relationships/hyperlink" Target="https://www.linkedin.com/in/vitorasseituno/" TargetMode="External"/><Relationship Id="rId125" Type="http://schemas.openxmlformats.org/officeDocument/2006/relationships/hyperlink" Target="https://www.linkedin.com/in/anton-savin-balashov-382b7531/" TargetMode="External"/><Relationship Id="rId246" Type="http://schemas.openxmlformats.org/officeDocument/2006/relationships/hyperlink" Target="https://www.gjolekagroup.com/" TargetMode="External"/><Relationship Id="rId124" Type="http://schemas.openxmlformats.org/officeDocument/2006/relationships/hyperlink" Target="https://www.bilicap.com/investment" TargetMode="External"/><Relationship Id="rId245" Type="http://schemas.openxmlformats.org/officeDocument/2006/relationships/hyperlink" Target="https://www.gjolekagroup.com/" TargetMode="External"/><Relationship Id="rId123" Type="http://schemas.openxmlformats.org/officeDocument/2006/relationships/hyperlink" Target="https://www.bilicap.com/" TargetMode="External"/><Relationship Id="rId244" Type="http://schemas.openxmlformats.org/officeDocument/2006/relationships/hyperlink" Target="https://www.linkedin.com/in/andy-lenz-digital-future/?originalSubdomain=de" TargetMode="External"/><Relationship Id="rId122" Type="http://schemas.openxmlformats.org/officeDocument/2006/relationships/hyperlink" Target="https://www.linkedin.com/in/mateus-paiva-lambranho-192594b1/" TargetMode="External"/><Relationship Id="rId243" Type="http://schemas.openxmlformats.org/officeDocument/2006/relationships/hyperlink" Target="https://www.linkedin.com/in/andy-lenz-digital-future/details/experience/?profileUrn=urn%3Ali%3Afsd_profile%3AACoAAAJjpc4BZUb_3yMVuk0SSoTNO07o9-A7OMU" TargetMode="External"/><Relationship Id="rId95" Type="http://schemas.openxmlformats.org/officeDocument/2006/relationships/hyperlink" Target="https://www.hermes-investment.com/us/en/professional/investments/private-markets/private-equity/" TargetMode="External"/><Relationship Id="rId94" Type="http://schemas.openxmlformats.org/officeDocument/2006/relationships/hyperlink" Target="https://www.hermes-investment.com/uk/en/institutions/" TargetMode="External"/><Relationship Id="rId97" Type="http://schemas.openxmlformats.org/officeDocument/2006/relationships/hyperlink" Target="https://www.linkedin.com/company/technologies-capital/about/" TargetMode="External"/><Relationship Id="rId96" Type="http://schemas.openxmlformats.org/officeDocument/2006/relationships/hyperlink" Target="https://technologiescapital.com/about-us.html" TargetMode="External"/><Relationship Id="rId99" Type="http://schemas.openxmlformats.org/officeDocument/2006/relationships/hyperlink" Target="https://www.kginvest.net/" TargetMode="External"/><Relationship Id="rId98" Type="http://schemas.openxmlformats.org/officeDocument/2006/relationships/hyperlink" Target="https://www.kginvest.net/" TargetMode="External"/><Relationship Id="rId91" Type="http://schemas.openxmlformats.org/officeDocument/2006/relationships/hyperlink" Target="https://www.baksh.sg/" TargetMode="External"/><Relationship Id="rId90" Type="http://schemas.openxmlformats.org/officeDocument/2006/relationships/hyperlink" Target="https://www.italmobiliare.it/en/investments/private-equity" TargetMode="External"/><Relationship Id="rId93" Type="http://schemas.openxmlformats.org/officeDocument/2006/relationships/hyperlink" Target="https://www.linkedin.com/in/birbal-singh-bajaj-96839361/" TargetMode="External"/><Relationship Id="rId92" Type="http://schemas.openxmlformats.org/officeDocument/2006/relationships/hyperlink" Target="https://www.baksh.sg/" TargetMode="External"/><Relationship Id="rId118" Type="http://schemas.openxmlformats.org/officeDocument/2006/relationships/hyperlink" Target="https://www.bedroxcap.com/" TargetMode="External"/><Relationship Id="rId239" Type="http://schemas.openxmlformats.org/officeDocument/2006/relationships/hyperlink" Target="https://www.linkedin.com/in/vitorasseituno/" TargetMode="External"/><Relationship Id="rId117" Type="http://schemas.openxmlformats.org/officeDocument/2006/relationships/hyperlink" Target="https://www.linkedin.com/in/david-kobakhidze-307a2b165/" TargetMode="External"/><Relationship Id="rId238" Type="http://schemas.openxmlformats.org/officeDocument/2006/relationships/hyperlink" Target="https://www.linkedin.com/in/charmaine-carmichael-bb990/" TargetMode="External"/><Relationship Id="rId116" Type="http://schemas.openxmlformats.org/officeDocument/2006/relationships/hyperlink" Target="https://mosescapital.com/" TargetMode="External"/><Relationship Id="rId237" Type="http://schemas.openxmlformats.org/officeDocument/2006/relationships/hyperlink" Target="https://www.linkedin.com/in/charmaine-carmichael-bb990/" TargetMode="External"/><Relationship Id="rId115" Type="http://schemas.openxmlformats.org/officeDocument/2006/relationships/hyperlink" Target="https://mosescapital.com/" TargetMode="External"/><Relationship Id="rId236" Type="http://schemas.openxmlformats.org/officeDocument/2006/relationships/hyperlink" Target="https://www.linkedin.com/in/charmaine-carmichael-bb990/" TargetMode="External"/><Relationship Id="rId119" Type="http://schemas.openxmlformats.org/officeDocument/2006/relationships/hyperlink" Target="https://www.bedroxcap.com/" TargetMode="External"/><Relationship Id="rId110" Type="http://schemas.openxmlformats.org/officeDocument/2006/relationships/hyperlink" Target="https://wamicapital.com/" TargetMode="External"/><Relationship Id="rId231" Type="http://schemas.openxmlformats.org/officeDocument/2006/relationships/hyperlink" Target="https://www.linkedin.com/in/alymadhavji/" TargetMode="External"/><Relationship Id="rId230" Type="http://schemas.openxmlformats.org/officeDocument/2006/relationships/hyperlink" Target="https://www.linkedin.com/in/alymadhavji/" TargetMode="External"/><Relationship Id="rId114" Type="http://schemas.openxmlformats.org/officeDocument/2006/relationships/hyperlink" Target="https://www.linkedin.com/in/kevinsampletransactions/" TargetMode="External"/><Relationship Id="rId235" Type="http://schemas.openxmlformats.org/officeDocument/2006/relationships/hyperlink" Target="https://www.linkedin.com/in/raviv-sapir/" TargetMode="External"/><Relationship Id="rId113" Type="http://schemas.openxmlformats.org/officeDocument/2006/relationships/hyperlink" Target="https://ocphk.com/strategy" TargetMode="External"/><Relationship Id="rId234" Type="http://schemas.openxmlformats.org/officeDocument/2006/relationships/hyperlink" Target="https://www.linkedin.com/in/raviv-sapir/" TargetMode="External"/><Relationship Id="rId112" Type="http://schemas.openxmlformats.org/officeDocument/2006/relationships/hyperlink" Target="https://ocphk.com/strategy" TargetMode="External"/><Relationship Id="rId233" Type="http://schemas.openxmlformats.org/officeDocument/2006/relationships/hyperlink" Target="https://www.linkedin.com/in/raviv-sapir/" TargetMode="External"/><Relationship Id="rId111" Type="http://schemas.openxmlformats.org/officeDocument/2006/relationships/hyperlink" Target="https://www.linkedin.com/in/bajrang-singh-b7339417/" TargetMode="External"/><Relationship Id="rId232" Type="http://schemas.openxmlformats.org/officeDocument/2006/relationships/hyperlink" Target="https://www.linkedin.com/in/alymadhavji/" TargetMode="External"/><Relationship Id="rId303" Type="http://schemas.openxmlformats.org/officeDocument/2006/relationships/drawing" Target="../drawings/drawing5.xml"/><Relationship Id="rId302" Type="http://schemas.openxmlformats.org/officeDocument/2006/relationships/hyperlink" Target="https://www.linkedin.com/in/theronpl/?locale=fr_FR" TargetMode="External"/><Relationship Id="rId301" Type="http://schemas.openxmlformats.org/officeDocument/2006/relationships/hyperlink" Target="https://www.linkedin.com/in/theronpl/?locale=fr_FR" TargetMode="External"/><Relationship Id="rId300" Type="http://schemas.openxmlformats.org/officeDocument/2006/relationships/hyperlink" Target="https://www.linkedin.com/in/theronpl/?locale=fr_FR" TargetMode="External"/><Relationship Id="rId206" Type="http://schemas.openxmlformats.org/officeDocument/2006/relationships/hyperlink" Target="https://www.istcapital.com/about" TargetMode="External"/><Relationship Id="rId205" Type="http://schemas.openxmlformats.org/officeDocument/2006/relationships/hyperlink" Target="https://www.istcapital.com/about" TargetMode="External"/><Relationship Id="rId204" Type="http://schemas.openxmlformats.org/officeDocument/2006/relationships/hyperlink" Target="https://www.istcapital.com/" TargetMode="External"/><Relationship Id="rId203" Type="http://schemas.openxmlformats.org/officeDocument/2006/relationships/hyperlink" Target="https://www.linkedin.com/in/nicolejunkermann/" TargetMode="External"/><Relationship Id="rId209" Type="http://schemas.openxmlformats.org/officeDocument/2006/relationships/hyperlink" Target="https://illusian.org/" TargetMode="External"/><Relationship Id="rId208" Type="http://schemas.openxmlformats.org/officeDocument/2006/relationships/hyperlink" Target="https://ferd.no/en/external-managers/" TargetMode="External"/><Relationship Id="rId207" Type="http://schemas.openxmlformats.org/officeDocument/2006/relationships/hyperlink" Target="https://ferd.no/en/" TargetMode="External"/><Relationship Id="rId202" Type="http://schemas.openxmlformats.org/officeDocument/2006/relationships/hyperlink" Target="https://njfcapital.com/" TargetMode="External"/><Relationship Id="rId201" Type="http://schemas.openxmlformats.org/officeDocument/2006/relationships/hyperlink" Target="https://www.njfcapital.com/" TargetMode="External"/><Relationship Id="rId200" Type="http://schemas.openxmlformats.org/officeDocument/2006/relationships/hyperlink" Target="https://www.linkedin.com/in/jesus-f-ramos22/" TargetMode="External"/><Relationship Id="rId316" Type="http://schemas.openxmlformats.org/officeDocument/2006/relationships/table" Target="../tables/table8.xml"/><Relationship Id="rId315" Type="http://schemas.openxmlformats.org/officeDocument/2006/relationships/table" Target="../tables/table7.xml"/><Relationship Id="rId314" Type="http://schemas.openxmlformats.org/officeDocument/2006/relationships/table" Target="../tables/table6.xml"/><Relationship Id="rId313" Type="http://schemas.openxmlformats.org/officeDocument/2006/relationships/table" Target="../tables/table5.xml"/><Relationship Id="rId319" Type="http://schemas.openxmlformats.org/officeDocument/2006/relationships/table" Target="../tables/table11.xml"/><Relationship Id="rId318" Type="http://schemas.openxmlformats.org/officeDocument/2006/relationships/table" Target="../tables/table10.xml"/><Relationship Id="rId317" Type="http://schemas.openxmlformats.org/officeDocument/2006/relationships/table" Target="../tables/table9.xml"/><Relationship Id="rId312"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90" Type="http://schemas.openxmlformats.org/officeDocument/2006/relationships/hyperlink" Target="https://chencptl.com/" TargetMode="External"/><Relationship Id="rId194" Type="http://schemas.openxmlformats.org/officeDocument/2006/relationships/hyperlink" Target="https://jimco.com/en/funds/technology/" TargetMode="External"/><Relationship Id="rId193" Type="http://schemas.openxmlformats.org/officeDocument/2006/relationships/hyperlink" Target="https://jimco.com/en/funds/technology/" TargetMode="External"/><Relationship Id="rId192" Type="http://schemas.openxmlformats.org/officeDocument/2006/relationships/hyperlink" Target="https://www.linkedin.com/company/chencptl/about/" TargetMode="External"/><Relationship Id="rId191" Type="http://schemas.openxmlformats.org/officeDocument/2006/relationships/hyperlink" Target="https://www.linkedin.com/company/chencptl/about/" TargetMode="External"/><Relationship Id="rId187" Type="http://schemas.openxmlformats.org/officeDocument/2006/relationships/hyperlink" Target="https://www.linkedin.com/in/fawadtariq/" TargetMode="External"/><Relationship Id="rId186" Type="http://schemas.openxmlformats.org/officeDocument/2006/relationships/hyperlink" Target="https://www.exnite.com/" TargetMode="External"/><Relationship Id="rId185" Type="http://schemas.openxmlformats.org/officeDocument/2006/relationships/hyperlink" Target="https://www.exnite.com/" TargetMode="External"/><Relationship Id="rId184" Type="http://schemas.openxmlformats.org/officeDocument/2006/relationships/hyperlink" Target="https://www.linkedin.com/in/hatan-bin-khalfan-b02100200/" TargetMode="External"/><Relationship Id="rId189" Type="http://schemas.openxmlformats.org/officeDocument/2006/relationships/hyperlink" Target="https://www.linkedin.com/company/xsquared-family-office/" TargetMode="External"/><Relationship Id="rId188" Type="http://schemas.openxmlformats.org/officeDocument/2006/relationships/hyperlink" Target="https://www.linkedin.com/company/xsquared-family-office/" TargetMode="External"/><Relationship Id="rId183" Type="http://schemas.openxmlformats.org/officeDocument/2006/relationships/hyperlink" Target="https://amkm.ae/" TargetMode="External"/><Relationship Id="rId182" Type="http://schemas.openxmlformats.org/officeDocument/2006/relationships/hyperlink" Target="https://amkm.ae/" TargetMode="External"/><Relationship Id="rId181" Type="http://schemas.openxmlformats.org/officeDocument/2006/relationships/hyperlink" Target="https://www.cruxventure.com/" TargetMode="External"/><Relationship Id="rId180" Type="http://schemas.openxmlformats.org/officeDocument/2006/relationships/hyperlink" Target="https://www.cruxventure.com/" TargetMode="External"/><Relationship Id="rId176" Type="http://schemas.openxmlformats.org/officeDocument/2006/relationships/hyperlink" Target="https://daherinvestments.com/about" TargetMode="External"/><Relationship Id="rId297" Type="http://schemas.openxmlformats.org/officeDocument/2006/relationships/hyperlink" Target="https://www.atentocapital.com/" TargetMode="External"/><Relationship Id="rId175" Type="http://schemas.openxmlformats.org/officeDocument/2006/relationships/hyperlink" Target="https://www.linkedin.com/in/salwa-katkhuda-75b23513/" TargetMode="External"/><Relationship Id="rId296" Type="http://schemas.openxmlformats.org/officeDocument/2006/relationships/hyperlink" Target="https://www.linkedin.com/in/azizkabbaj/" TargetMode="External"/><Relationship Id="rId174" Type="http://schemas.openxmlformats.org/officeDocument/2006/relationships/hyperlink" Target="https://yurbicapital.com/" TargetMode="External"/><Relationship Id="rId295" Type="http://schemas.openxmlformats.org/officeDocument/2006/relationships/hyperlink" Target="https://techcrunch.com/2023/06/29/fund-of-funds-lps/" TargetMode="External"/><Relationship Id="rId173" Type="http://schemas.openxmlformats.org/officeDocument/2006/relationships/hyperlink" Target="https://yurbicapital.com/" TargetMode="External"/><Relationship Id="rId294" Type="http://schemas.openxmlformats.org/officeDocument/2006/relationships/hyperlink" Target="https://www.reshape.co/" TargetMode="External"/><Relationship Id="rId179" Type="http://schemas.openxmlformats.org/officeDocument/2006/relationships/hyperlink" Target="https://www.cruxventure.com/" TargetMode="External"/><Relationship Id="rId178" Type="http://schemas.openxmlformats.org/officeDocument/2006/relationships/hyperlink" Target="https://www.linkedin.com/in/markdaher/" TargetMode="External"/><Relationship Id="rId299" Type="http://schemas.openxmlformats.org/officeDocument/2006/relationships/hyperlink" Target="https://www.linkedin.com/in/marcos-bazzana-bbb610164/" TargetMode="External"/><Relationship Id="rId177" Type="http://schemas.openxmlformats.org/officeDocument/2006/relationships/hyperlink" Target="https://daherinvestments.com/about" TargetMode="External"/><Relationship Id="rId298" Type="http://schemas.openxmlformats.org/officeDocument/2006/relationships/hyperlink" Target="https://techcrunch.com/2023/06/29/fund-of-funds-lps/" TargetMode="External"/><Relationship Id="rId198" Type="http://schemas.openxmlformats.org/officeDocument/2006/relationships/hyperlink" Target="https://sanadad.ae/" TargetMode="External"/><Relationship Id="rId197" Type="http://schemas.openxmlformats.org/officeDocument/2006/relationships/hyperlink" Target="http://pensiveibis.com/" TargetMode="External"/><Relationship Id="rId196" Type="http://schemas.openxmlformats.org/officeDocument/2006/relationships/hyperlink" Target="http://pensiveibis.com/" TargetMode="External"/><Relationship Id="rId195" Type="http://schemas.openxmlformats.org/officeDocument/2006/relationships/hyperlink" Target="http://pensiveibis.com/" TargetMode="External"/><Relationship Id="rId199" Type="http://schemas.openxmlformats.org/officeDocument/2006/relationships/hyperlink" Target="https://sanadad.ae/portfolio/private-markets/" TargetMode="External"/><Relationship Id="rId150" Type="http://schemas.openxmlformats.org/officeDocument/2006/relationships/hyperlink" Target="https://www.weehur.com.sg/wp-content/uploads/2022/04/2022-04-14-Wee-Hur-FY2021-Annual-Report.pdf" TargetMode="External"/><Relationship Id="rId271" Type="http://schemas.openxmlformats.org/officeDocument/2006/relationships/hyperlink" Target="https://in.linkedin.com/in/kunalshah1" TargetMode="External"/><Relationship Id="rId392" Type="http://schemas.openxmlformats.org/officeDocument/2006/relationships/table" Target="../tables/table18.xml"/><Relationship Id="rId270" Type="http://schemas.openxmlformats.org/officeDocument/2006/relationships/hyperlink" Target="https://www.linkedin.com/in/anupammittal007/" TargetMode="External"/><Relationship Id="rId391" Type="http://schemas.openxmlformats.org/officeDocument/2006/relationships/table" Target="../tables/table17.xml"/><Relationship Id="rId390" Type="http://schemas.openxmlformats.org/officeDocument/2006/relationships/table" Target="../tables/table16.xml"/><Relationship Id="rId1" Type="http://schemas.openxmlformats.org/officeDocument/2006/relationships/hyperlink" Target="https://auruminvestments.sg/about/" TargetMode="External"/><Relationship Id="rId2" Type="http://schemas.openxmlformats.org/officeDocument/2006/relationships/hyperlink" Target="https://auruminvestments.sg/about/" TargetMode="External"/><Relationship Id="rId3" Type="http://schemas.openxmlformats.org/officeDocument/2006/relationships/hyperlink" Target="https://www.linkedin.com/in/austyn-yong-cfa-497675a9/" TargetMode="External"/><Relationship Id="rId149" Type="http://schemas.openxmlformats.org/officeDocument/2006/relationships/hyperlink" Target="https://weehur.com.sg/" TargetMode="External"/><Relationship Id="rId4" Type="http://schemas.openxmlformats.org/officeDocument/2006/relationships/hyperlink" Target="https://www.oakgrove.vc/" TargetMode="External"/><Relationship Id="rId148" Type="http://schemas.openxmlformats.org/officeDocument/2006/relationships/hyperlink" Target="https://www.linkedin.com/in/ossama-banaja-4a82b9b/" TargetMode="External"/><Relationship Id="rId269" Type="http://schemas.openxmlformats.org/officeDocument/2006/relationships/hyperlink" Target="https://in.linkedin.com/in/anupammittal007" TargetMode="External"/><Relationship Id="rId9" Type="http://schemas.openxmlformats.org/officeDocument/2006/relationships/hyperlink" Target="https://www.linkedin.com/in/kah-ken-kam-117b8915/" TargetMode="External"/><Relationship Id="rId143" Type="http://schemas.openxmlformats.org/officeDocument/2006/relationships/hyperlink" Target="https://www.shawriver.com/" TargetMode="External"/><Relationship Id="rId264" Type="http://schemas.openxmlformats.org/officeDocument/2006/relationships/hyperlink" Target="https://www.linkedin.com/in/deepkalra/" TargetMode="External"/><Relationship Id="rId142" Type="http://schemas.openxmlformats.org/officeDocument/2006/relationships/hyperlink" Target="https://www.peagle.com/portfolio/" TargetMode="External"/><Relationship Id="rId263" Type="http://schemas.openxmlformats.org/officeDocument/2006/relationships/hyperlink" Target="https://in.linkedin.com/in/deepkalra" TargetMode="External"/><Relationship Id="rId141" Type="http://schemas.openxmlformats.org/officeDocument/2006/relationships/hyperlink" Target="https://www.peagle.com/" TargetMode="External"/><Relationship Id="rId262" Type="http://schemas.openxmlformats.org/officeDocument/2006/relationships/hyperlink" Target="https://www.linkedin.com/in/mohandaspai/details/experience/" TargetMode="External"/><Relationship Id="rId140" Type="http://schemas.openxmlformats.org/officeDocument/2006/relationships/hyperlink" Target="https://www.linkedin.com/in/saad-alhumayyd-cfa-caia-5015b460/" TargetMode="External"/><Relationship Id="rId261" Type="http://schemas.openxmlformats.org/officeDocument/2006/relationships/hyperlink" Target="https://in.linkedin.com/in/mohandaspai" TargetMode="External"/><Relationship Id="rId5" Type="http://schemas.openxmlformats.org/officeDocument/2006/relationships/hyperlink" Target="https://www.oakgrove.vc/Portfolios1" TargetMode="External"/><Relationship Id="rId147" Type="http://schemas.openxmlformats.org/officeDocument/2006/relationships/hyperlink" Target="https://annualreview.sedco.com/investment_impact/corporate_investment.html" TargetMode="External"/><Relationship Id="rId268" Type="http://schemas.openxmlformats.org/officeDocument/2006/relationships/hyperlink" Target="https://www.linkedin.com/in/kunalbahl/details/experience/" TargetMode="External"/><Relationship Id="rId389" Type="http://schemas.openxmlformats.org/officeDocument/2006/relationships/table" Target="../tables/table15.xml"/><Relationship Id="rId6" Type="http://schemas.openxmlformats.org/officeDocument/2006/relationships/hyperlink" Target="https://www.oakgrove.vc/Portfolios2" TargetMode="External"/><Relationship Id="rId146" Type="http://schemas.openxmlformats.org/officeDocument/2006/relationships/hyperlink" Target="https://annualreview.sedco.com/who_we_are/who_we_are.html" TargetMode="External"/><Relationship Id="rId267" Type="http://schemas.openxmlformats.org/officeDocument/2006/relationships/hyperlink" Target="https://in.linkedin.com/in/kunalbahl" TargetMode="External"/><Relationship Id="rId388" Type="http://schemas.openxmlformats.org/officeDocument/2006/relationships/table" Target="../tables/table14.xml"/><Relationship Id="rId7" Type="http://schemas.openxmlformats.org/officeDocument/2006/relationships/hyperlink" Target="https://www.wellcocapital.com/" TargetMode="External"/><Relationship Id="rId145" Type="http://schemas.openxmlformats.org/officeDocument/2006/relationships/hyperlink" Target="https://www.linkedin.com/in/henry-c-5427422b1/?originalSubdomain=sg" TargetMode="External"/><Relationship Id="rId266" Type="http://schemas.openxmlformats.org/officeDocument/2006/relationships/hyperlink" Target="https://www.linkedin.com/in/vijayshekhar/" TargetMode="External"/><Relationship Id="rId387" Type="http://schemas.openxmlformats.org/officeDocument/2006/relationships/table" Target="../tables/table13.xml"/><Relationship Id="rId8" Type="http://schemas.openxmlformats.org/officeDocument/2006/relationships/hyperlink" Target="https://www.wellcocapital.com/" TargetMode="External"/><Relationship Id="rId144" Type="http://schemas.openxmlformats.org/officeDocument/2006/relationships/hyperlink" Target="https://www.shawriver.com/" TargetMode="External"/><Relationship Id="rId265" Type="http://schemas.openxmlformats.org/officeDocument/2006/relationships/hyperlink" Target="https://in.linkedin.com/in/vijayshekhar" TargetMode="External"/><Relationship Id="rId386" Type="http://schemas.openxmlformats.org/officeDocument/2006/relationships/table" Target="../tables/table12.xml"/><Relationship Id="rId260" Type="http://schemas.openxmlformats.org/officeDocument/2006/relationships/hyperlink" Target="https://sg.linkedin.com/in/binnybansal" TargetMode="External"/><Relationship Id="rId139" Type="http://schemas.openxmlformats.org/officeDocument/2006/relationships/hyperlink" Target="https://masic.com.sa/" TargetMode="External"/><Relationship Id="rId138" Type="http://schemas.openxmlformats.org/officeDocument/2006/relationships/hyperlink" Target="https://masic.com.sa/" TargetMode="External"/><Relationship Id="rId259" Type="http://schemas.openxmlformats.org/officeDocument/2006/relationships/hyperlink" Target="https://www.linkedin.com/in/binnybansal/" TargetMode="External"/><Relationship Id="rId137" Type="http://schemas.openxmlformats.org/officeDocument/2006/relationships/hyperlink" Target="https://www.linkedin.com/in/bader-almutlaq-b545891/" TargetMode="External"/><Relationship Id="rId258" Type="http://schemas.openxmlformats.org/officeDocument/2006/relationships/hyperlink" Target="https://sg.linkedin.com/in/binnybansal" TargetMode="External"/><Relationship Id="rId132" Type="http://schemas.openxmlformats.org/officeDocument/2006/relationships/hyperlink" Target="https://www.jlfo.com.sg/" TargetMode="External"/><Relationship Id="rId253" Type="http://schemas.openxmlformats.org/officeDocument/2006/relationships/hyperlink" Target="https://www.linkedin.com/in/naveentewari/" TargetMode="External"/><Relationship Id="rId131" Type="http://schemas.openxmlformats.org/officeDocument/2006/relationships/hyperlink" Target="https://www.linkedin.com/in/abdulsalam-alrajhi-7b8580113/" TargetMode="External"/><Relationship Id="rId252" Type="http://schemas.openxmlformats.org/officeDocument/2006/relationships/hyperlink" Target="https://in.linkedin.com/in/naveentewari" TargetMode="External"/><Relationship Id="rId130" Type="http://schemas.openxmlformats.org/officeDocument/2006/relationships/hyperlink" Target="https://www.alrajhiunited.com/about-us/" TargetMode="External"/><Relationship Id="rId251" Type="http://schemas.openxmlformats.org/officeDocument/2006/relationships/hyperlink" Target="https://sg.linkedin.com/in/tuck-meng-yee-712128" TargetMode="External"/><Relationship Id="rId250" Type="http://schemas.openxmlformats.org/officeDocument/2006/relationships/hyperlink" Target="https://www.privateequityinternational.com/institution-profiles/jrt-partners.html" TargetMode="External"/><Relationship Id="rId136" Type="http://schemas.openxmlformats.org/officeDocument/2006/relationships/hyperlink" Target="https://www.almutlaq.com/asset-classes/venture-capital/" TargetMode="External"/><Relationship Id="rId257" Type="http://schemas.openxmlformats.org/officeDocument/2006/relationships/hyperlink" Target="https://in.linkedin.com/in/sachinbansal" TargetMode="External"/><Relationship Id="rId135" Type="http://schemas.openxmlformats.org/officeDocument/2006/relationships/hyperlink" Target="https://www.almutlaq.com/" TargetMode="External"/><Relationship Id="rId256" Type="http://schemas.openxmlformats.org/officeDocument/2006/relationships/hyperlink" Target="https://www.linkedin.com/in/sachinbansal/" TargetMode="External"/><Relationship Id="rId134" Type="http://schemas.openxmlformats.org/officeDocument/2006/relationships/hyperlink" Target="https://www.linkedin.com/in/andylim2388/" TargetMode="External"/><Relationship Id="rId255" Type="http://schemas.openxmlformats.org/officeDocument/2006/relationships/hyperlink" Target="https://in.linkedin.com/in/sachinbansal" TargetMode="External"/><Relationship Id="rId133" Type="http://schemas.openxmlformats.org/officeDocument/2006/relationships/hyperlink" Target="https://www.jlfo.com.sg/divisions/" TargetMode="External"/><Relationship Id="rId254" Type="http://schemas.openxmlformats.org/officeDocument/2006/relationships/hyperlink" Target="https://in.linkedin.com/in/naveentewari" TargetMode="External"/><Relationship Id="rId172" Type="http://schemas.openxmlformats.org/officeDocument/2006/relationships/hyperlink" Target="https://www.linkedin.com/in/ken-chew-6ab75414/" TargetMode="External"/><Relationship Id="rId293" Type="http://schemas.openxmlformats.org/officeDocument/2006/relationships/hyperlink" Target="https://www.linkedin.com/in/ltoney" TargetMode="External"/><Relationship Id="rId171" Type="http://schemas.openxmlformats.org/officeDocument/2006/relationships/hyperlink" Target="https://www.xinfamily.vip/" TargetMode="External"/><Relationship Id="rId292" Type="http://schemas.openxmlformats.org/officeDocument/2006/relationships/hyperlink" Target="https://startupintros.com/orgs/plexo-capital" TargetMode="External"/><Relationship Id="rId170" Type="http://schemas.openxmlformats.org/officeDocument/2006/relationships/hyperlink" Target="https://www.xinfamily.vip/" TargetMode="External"/><Relationship Id="rId291" Type="http://schemas.openxmlformats.org/officeDocument/2006/relationships/hyperlink" Target="https://www.plexocap.com/" TargetMode="External"/><Relationship Id="rId290" Type="http://schemas.openxmlformats.org/officeDocument/2006/relationships/hyperlink" Target="https://www.linkedin.com/in/joelle-kayden-938a708/" TargetMode="External"/><Relationship Id="rId165" Type="http://schemas.openxmlformats.org/officeDocument/2006/relationships/hyperlink" Target="https://www.amkanventures.com/" TargetMode="External"/><Relationship Id="rId286" Type="http://schemas.openxmlformats.org/officeDocument/2006/relationships/hyperlink" Target="https://www.businesswire.com/news/home/20240702891885/en/Industry-Ventures-Raises-Oversubscribed-900-Million-Early-Stage-Hybrid-Fund" TargetMode="External"/><Relationship Id="rId164" Type="http://schemas.openxmlformats.org/officeDocument/2006/relationships/hyperlink" Target="https://www.linkedin.com/company/850m/about/" TargetMode="External"/><Relationship Id="rId285" Type="http://schemas.openxmlformats.org/officeDocument/2006/relationships/hyperlink" Target="https://www.industryventures.com/" TargetMode="External"/><Relationship Id="rId163" Type="http://schemas.openxmlformats.org/officeDocument/2006/relationships/hyperlink" Target="https://www.linkedin.com/company/850m/" TargetMode="External"/><Relationship Id="rId284" Type="http://schemas.openxmlformats.org/officeDocument/2006/relationships/hyperlink" Target="https://www.linkedin.com/in/david-york-2407295" TargetMode="External"/><Relationship Id="rId162" Type="http://schemas.openxmlformats.org/officeDocument/2006/relationships/hyperlink" Target="https://www.sakal.group/" TargetMode="External"/><Relationship Id="rId283" Type="http://schemas.openxmlformats.org/officeDocument/2006/relationships/hyperlink" Target="https://ttcp.com/" TargetMode="External"/><Relationship Id="rId169" Type="http://schemas.openxmlformats.org/officeDocument/2006/relationships/hyperlink" Target="https://aestuscapital.com/our-approach/" TargetMode="External"/><Relationship Id="rId168" Type="http://schemas.openxmlformats.org/officeDocument/2006/relationships/hyperlink" Target="https://aestuscapital.com/" TargetMode="External"/><Relationship Id="rId289" Type="http://schemas.openxmlformats.org/officeDocument/2006/relationships/hyperlink" Target="https://www.accoladepartners.com/aboutus" TargetMode="External"/><Relationship Id="rId167" Type="http://schemas.openxmlformats.org/officeDocument/2006/relationships/hyperlink" Target="https://www.linkedin.com/in/raidadaouk/" TargetMode="External"/><Relationship Id="rId288" Type="http://schemas.openxmlformats.org/officeDocument/2006/relationships/hyperlink" Target="https://www.accoladepartners.com/" TargetMode="External"/><Relationship Id="rId166" Type="http://schemas.openxmlformats.org/officeDocument/2006/relationships/hyperlink" Target="https://www.amkanventures.com/" TargetMode="External"/><Relationship Id="rId287" Type="http://schemas.openxmlformats.org/officeDocument/2006/relationships/hyperlink" Target="https://www.linkedin.com/in/hansswildens/" TargetMode="External"/><Relationship Id="rId161" Type="http://schemas.openxmlformats.org/officeDocument/2006/relationships/hyperlink" Target="https://www.sakal.group/" TargetMode="External"/><Relationship Id="rId282" Type="http://schemas.openxmlformats.org/officeDocument/2006/relationships/hyperlink" Target="https://ttcp.com/" TargetMode="External"/><Relationship Id="rId160" Type="http://schemas.openxmlformats.org/officeDocument/2006/relationships/hyperlink" Target="https://www.linkedin.com/in/jim-quismorio-4b130846/" TargetMode="External"/><Relationship Id="rId281" Type="http://schemas.openxmlformats.org/officeDocument/2006/relationships/hyperlink" Target="https://www.linkedin.com/in/courtneymccrea/" TargetMode="External"/><Relationship Id="rId280" Type="http://schemas.openxmlformats.org/officeDocument/2006/relationships/hyperlink" Target="https://techcrunch.com/2023/06/29/fund-of-funds-lps/" TargetMode="External"/><Relationship Id="rId159" Type="http://schemas.openxmlformats.org/officeDocument/2006/relationships/hyperlink" Target="https://www.analog-cap.com/ourplatform" TargetMode="External"/><Relationship Id="rId154" Type="http://schemas.openxmlformats.org/officeDocument/2006/relationships/hyperlink" Target="https://bugshaninvestment.com/global-investment/" TargetMode="External"/><Relationship Id="rId275" Type="http://schemas.openxmlformats.org/officeDocument/2006/relationships/hyperlink" Target="https://www.linkedin.com/in/michael-kim-cendana-capital/" TargetMode="External"/><Relationship Id="rId396" Type="http://schemas.openxmlformats.org/officeDocument/2006/relationships/table" Target="../tables/table22.xml"/><Relationship Id="rId153" Type="http://schemas.openxmlformats.org/officeDocument/2006/relationships/hyperlink" Target="https://bugshaninvestment.com/" TargetMode="External"/><Relationship Id="rId274" Type="http://schemas.openxmlformats.org/officeDocument/2006/relationships/hyperlink" Target="https://kristieneo.substack.com/p/interesting-reads-this-week-5" TargetMode="External"/><Relationship Id="rId395" Type="http://schemas.openxmlformats.org/officeDocument/2006/relationships/table" Target="../tables/table21.xml"/><Relationship Id="rId152" Type="http://schemas.openxmlformats.org/officeDocument/2006/relationships/hyperlink" Target="https://www.linkedin.com/company/act-holdings/about/" TargetMode="External"/><Relationship Id="rId273" Type="http://schemas.openxmlformats.org/officeDocument/2006/relationships/hyperlink" Target="https://www.cendanacapital.com/" TargetMode="External"/><Relationship Id="rId394" Type="http://schemas.openxmlformats.org/officeDocument/2006/relationships/table" Target="../tables/table20.xml"/><Relationship Id="rId151" Type="http://schemas.openxmlformats.org/officeDocument/2006/relationships/hyperlink" Target="https://act-holdings.com.sg/" TargetMode="External"/><Relationship Id="rId272" Type="http://schemas.openxmlformats.org/officeDocument/2006/relationships/hyperlink" Target="https://www.linkedin.com/in/kunalshah1/details/experience/" TargetMode="External"/><Relationship Id="rId393" Type="http://schemas.openxmlformats.org/officeDocument/2006/relationships/table" Target="../tables/table19.xml"/><Relationship Id="rId158" Type="http://schemas.openxmlformats.org/officeDocument/2006/relationships/hyperlink" Target="https://analog-cap.com/" TargetMode="External"/><Relationship Id="rId279" Type="http://schemas.openxmlformats.org/officeDocument/2006/relationships/hyperlink" Target="https://recastcapital.com/" TargetMode="External"/><Relationship Id="rId157" Type="http://schemas.openxmlformats.org/officeDocument/2006/relationships/hyperlink" Target="https://tawoos.com/business-domain/investments-and-family-office" TargetMode="External"/><Relationship Id="rId278" Type="http://schemas.openxmlformats.org/officeDocument/2006/relationships/hyperlink" Target="https://www.linkedin.com/in/31mml/" TargetMode="External"/><Relationship Id="rId399" Type="http://schemas.openxmlformats.org/officeDocument/2006/relationships/table" Target="../tables/table25.xml"/><Relationship Id="rId156" Type="http://schemas.openxmlformats.org/officeDocument/2006/relationships/hyperlink" Target="https://tawoos.com/" TargetMode="External"/><Relationship Id="rId277" Type="http://schemas.openxmlformats.org/officeDocument/2006/relationships/hyperlink" Target="https://www.screendoor.co/about" TargetMode="External"/><Relationship Id="rId398" Type="http://schemas.openxmlformats.org/officeDocument/2006/relationships/table" Target="../tables/table24.xml"/><Relationship Id="rId155" Type="http://schemas.openxmlformats.org/officeDocument/2006/relationships/hyperlink" Target="https://www.linkedin.com/in/faresbugshan/" TargetMode="External"/><Relationship Id="rId276" Type="http://schemas.openxmlformats.org/officeDocument/2006/relationships/hyperlink" Target="http://screendoor.co/" TargetMode="External"/><Relationship Id="rId397" Type="http://schemas.openxmlformats.org/officeDocument/2006/relationships/table" Target="../tables/table23.xml"/><Relationship Id="rId40" Type="http://schemas.openxmlformats.org/officeDocument/2006/relationships/hyperlink" Target="https://www.flexstonepartners.com/results-driven-strategies/" TargetMode="External"/><Relationship Id="rId42" Type="http://schemas.openxmlformats.org/officeDocument/2006/relationships/hyperlink" Target="https://bhansalisfo.com/" TargetMode="External"/><Relationship Id="rId41" Type="http://schemas.openxmlformats.org/officeDocument/2006/relationships/hyperlink" Target="https://bhansalisfo.com/" TargetMode="External"/><Relationship Id="rId44" Type="http://schemas.openxmlformats.org/officeDocument/2006/relationships/hyperlink" Target="https://76columbus.com/investment" TargetMode="External"/><Relationship Id="rId43" Type="http://schemas.openxmlformats.org/officeDocument/2006/relationships/hyperlink" Target="https://www.linkedin.com/in/rishikumar-bhansali-b7446927/" TargetMode="External"/><Relationship Id="rId46" Type="http://schemas.openxmlformats.org/officeDocument/2006/relationships/hyperlink" Target="https://www.linkedin.com/in/lixiazhu/" TargetMode="External"/><Relationship Id="rId45" Type="http://schemas.openxmlformats.org/officeDocument/2006/relationships/hyperlink" Target="https://76columbus.com/investment" TargetMode="External"/><Relationship Id="rId48" Type="http://schemas.openxmlformats.org/officeDocument/2006/relationships/hyperlink" Target="https://gsbglobal.com/gsbcapital/" TargetMode="External"/><Relationship Id="rId47" Type="http://schemas.openxmlformats.org/officeDocument/2006/relationships/hyperlink" Target="https://gsbglobal.com/" TargetMode="External"/><Relationship Id="rId49" Type="http://schemas.openxmlformats.org/officeDocument/2006/relationships/hyperlink" Target="https://www.eudaimoniacapital.com/" TargetMode="External"/><Relationship Id="rId31" Type="http://schemas.openxmlformats.org/officeDocument/2006/relationships/hyperlink" Target="https://www.linkedin.com/company/mojo-partners/?originalSubdomain=sg" TargetMode="External"/><Relationship Id="rId30" Type="http://schemas.openxmlformats.org/officeDocument/2006/relationships/hyperlink" Target="https://www.linkedin.com/company/mojo-partners/?originalSubdomain=sg" TargetMode="External"/><Relationship Id="rId33" Type="http://schemas.openxmlformats.org/officeDocument/2006/relationships/hyperlink" Target="https://www.highlandsfo.com/about-1" TargetMode="External"/><Relationship Id="rId32" Type="http://schemas.openxmlformats.org/officeDocument/2006/relationships/hyperlink" Target="https://www.linkedin.com/in/damien-lim-33a64112/?originalSubdomain=sg" TargetMode="External"/><Relationship Id="rId35" Type="http://schemas.openxmlformats.org/officeDocument/2006/relationships/hyperlink" Target="https://www.highlandsfo.com/about-1" TargetMode="External"/><Relationship Id="rId34" Type="http://schemas.openxmlformats.org/officeDocument/2006/relationships/hyperlink" Target="https://www.highlandsfo.com/about-1" TargetMode="External"/><Relationship Id="rId37" Type="http://schemas.openxmlformats.org/officeDocument/2006/relationships/hyperlink" Target="https://www.gkgoh.com/" TargetMode="External"/><Relationship Id="rId36" Type="http://schemas.openxmlformats.org/officeDocument/2006/relationships/hyperlink" Target="https://www.gkgoh.com/" TargetMode="External"/><Relationship Id="rId39" Type="http://schemas.openxmlformats.org/officeDocument/2006/relationships/hyperlink" Target="https://www.flexstonepartners.com/" TargetMode="External"/><Relationship Id="rId38" Type="http://schemas.openxmlformats.org/officeDocument/2006/relationships/hyperlink" Target="https://www.linkedin.com/in/choon-hiong-tan-61491320/?originalSubdomain=sg" TargetMode="External"/><Relationship Id="rId20" Type="http://schemas.openxmlformats.org/officeDocument/2006/relationships/hyperlink" Target="https://www.linkedin.com/in/abhishekko/" TargetMode="External"/><Relationship Id="rId22" Type="http://schemas.openxmlformats.org/officeDocument/2006/relationships/hyperlink" Target="https://www.linkedin.com/company/dm-partners-family-office/?originalSubdomain=sg" TargetMode="External"/><Relationship Id="rId21" Type="http://schemas.openxmlformats.org/officeDocument/2006/relationships/hyperlink" Target="https://www.dmpartners.net/family-office/" TargetMode="External"/><Relationship Id="rId24" Type="http://schemas.openxmlformats.org/officeDocument/2006/relationships/hyperlink" Target="https://leoniehillcapital.com/" TargetMode="External"/><Relationship Id="rId23" Type="http://schemas.openxmlformats.org/officeDocument/2006/relationships/hyperlink" Target="https://www.linkedin.com/company/dm-partners-family-office/about/" TargetMode="External"/><Relationship Id="rId401" Type="http://schemas.openxmlformats.org/officeDocument/2006/relationships/table" Target="../tables/table27.xml"/><Relationship Id="rId26" Type="http://schemas.openxmlformats.org/officeDocument/2006/relationships/hyperlink" Target="https://www.linkedin.com/in/arun-kant-11a1587/" TargetMode="External"/><Relationship Id="rId25" Type="http://schemas.openxmlformats.org/officeDocument/2006/relationships/hyperlink" Target="https://leoniehillcapital.com/" TargetMode="External"/><Relationship Id="rId28" Type="http://schemas.openxmlformats.org/officeDocument/2006/relationships/hyperlink" Target="https://www.cherrytree.vc/our-roots" TargetMode="External"/><Relationship Id="rId27" Type="http://schemas.openxmlformats.org/officeDocument/2006/relationships/hyperlink" Target="https://www.cherrytree.vc/" TargetMode="External"/><Relationship Id="rId400" Type="http://schemas.openxmlformats.org/officeDocument/2006/relationships/table" Target="../tables/table26.xml"/><Relationship Id="rId29" Type="http://schemas.openxmlformats.org/officeDocument/2006/relationships/hyperlink" Target="https://www.linkedin.com/in/cyrille-costes-8bb9093b/" TargetMode="External"/><Relationship Id="rId11" Type="http://schemas.openxmlformats.org/officeDocument/2006/relationships/hyperlink" Target="https://www.csdventure.com/" TargetMode="External"/><Relationship Id="rId10" Type="http://schemas.openxmlformats.org/officeDocument/2006/relationships/hyperlink" Target="https://www.csdventure.com/" TargetMode="External"/><Relationship Id="rId13" Type="http://schemas.openxmlformats.org/officeDocument/2006/relationships/hyperlink" Target="https://www.twofo.org/" TargetMode="External"/><Relationship Id="rId12" Type="http://schemas.openxmlformats.org/officeDocument/2006/relationships/hyperlink" Target="https://www.linkedin.com/in/sanjeychandran/" TargetMode="External"/><Relationship Id="rId15" Type="http://schemas.openxmlformats.org/officeDocument/2006/relationships/hyperlink" Target="https://rivainvest.sa/riva/" TargetMode="External"/><Relationship Id="rId14" Type="http://schemas.openxmlformats.org/officeDocument/2006/relationships/hyperlink" Target="https://www.twofo.org/" TargetMode="External"/><Relationship Id="rId17" Type="http://schemas.openxmlformats.org/officeDocument/2006/relationships/hyperlink" Target="https://rivainvest.sa/portfolio/" TargetMode="External"/><Relationship Id="rId16" Type="http://schemas.openxmlformats.org/officeDocument/2006/relationships/hyperlink" Target="https://rivainvest.sa/portfolio/" TargetMode="External"/><Relationship Id="rId19" Type="http://schemas.openxmlformats.org/officeDocument/2006/relationships/hyperlink" Target="https://www.deepblueventures.co/portfolio" TargetMode="External"/><Relationship Id="rId18" Type="http://schemas.openxmlformats.org/officeDocument/2006/relationships/hyperlink" Target="https://www.deepblueventures.co/" TargetMode="External"/><Relationship Id="rId84" Type="http://schemas.openxmlformats.org/officeDocument/2006/relationships/hyperlink" Target="https://ghobash.com/investment-sectors/investment/ghobash-trading-investment/" TargetMode="External"/><Relationship Id="rId83" Type="http://schemas.openxmlformats.org/officeDocument/2006/relationships/hyperlink" Target="https://ghobash.com/" TargetMode="External"/><Relationship Id="rId86" Type="http://schemas.openxmlformats.org/officeDocument/2006/relationships/hyperlink" Target="https://www.damacgroup.com/en-ae/investments/" TargetMode="External"/><Relationship Id="rId85" Type="http://schemas.openxmlformats.org/officeDocument/2006/relationships/hyperlink" Target="http://www.linkedin.com/in/davide-iebba-48728a29" TargetMode="External"/><Relationship Id="rId88" Type="http://schemas.openxmlformats.org/officeDocument/2006/relationships/hyperlink" Target="https://www.oberoiexpeditions.com/" TargetMode="External"/><Relationship Id="rId87" Type="http://schemas.openxmlformats.org/officeDocument/2006/relationships/hyperlink" Target="https://www.damacgroup.com/en-ae/investments/" TargetMode="External"/><Relationship Id="rId89" Type="http://schemas.openxmlformats.org/officeDocument/2006/relationships/hyperlink" Target="https://www.oberoiexpeditions.com/" TargetMode="External"/><Relationship Id="rId80" Type="http://schemas.openxmlformats.org/officeDocument/2006/relationships/hyperlink" Target="https://kafaa-invest.com/" TargetMode="External"/><Relationship Id="rId82" Type="http://schemas.openxmlformats.org/officeDocument/2006/relationships/hyperlink" Target="https://www.linkedin.com/in/mohammadalgassim/" TargetMode="External"/><Relationship Id="rId81" Type="http://schemas.openxmlformats.org/officeDocument/2006/relationships/hyperlink" Target="https://kafaa-invest.com/" TargetMode="External"/><Relationship Id="rId73" Type="http://schemas.openxmlformats.org/officeDocument/2006/relationships/hyperlink" Target="https://abfa-investments.com/index.html" TargetMode="External"/><Relationship Id="rId72" Type="http://schemas.openxmlformats.org/officeDocument/2006/relationships/hyperlink" Target="https://abfa-investments.com/index.html" TargetMode="External"/><Relationship Id="rId75" Type="http://schemas.openxmlformats.org/officeDocument/2006/relationships/hyperlink" Target="https://enablingfuture.com/" TargetMode="External"/><Relationship Id="rId74" Type="http://schemas.openxmlformats.org/officeDocument/2006/relationships/hyperlink" Target="https://enablingfuture.com/" TargetMode="External"/><Relationship Id="rId77" Type="http://schemas.openxmlformats.org/officeDocument/2006/relationships/hyperlink" Target="https://kaafinvestments.com/" TargetMode="External"/><Relationship Id="rId76" Type="http://schemas.openxmlformats.org/officeDocument/2006/relationships/hyperlink" Target="https://www.linkedin.com/in/saadumerani/" TargetMode="External"/><Relationship Id="rId79" Type="http://schemas.openxmlformats.org/officeDocument/2006/relationships/hyperlink" Target="https://www.linkedin.com/in/filmon-ghebrihiwet-b32a251/" TargetMode="External"/><Relationship Id="rId78" Type="http://schemas.openxmlformats.org/officeDocument/2006/relationships/hyperlink" Target="https://kaafinvestments.com/" TargetMode="External"/><Relationship Id="rId71" Type="http://schemas.openxmlformats.org/officeDocument/2006/relationships/hyperlink" Target="https://www.linkedin.com/in/alexei-kalinin-032aa856/" TargetMode="External"/><Relationship Id="rId70" Type="http://schemas.openxmlformats.org/officeDocument/2006/relationships/hyperlink" Target="https://malmor.com.cy/" TargetMode="External"/><Relationship Id="rId62" Type="http://schemas.openxmlformats.org/officeDocument/2006/relationships/hyperlink" Target="https://www.mubadala.com/annual-review-2017/en/operations/alternative-investments-infrastructure.html" TargetMode="External"/><Relationship Id="rId61" Type="http://schemas.openxmlformats.org/officeDocument/2006/relationships/hyperlink" Target="https://www.mubadalacapital.ae/en/private-equity" TargetMode="External"/><Relationship Id="rId64" Type="http://schemas.openxmlformats.org/officeDocument/2006/relationships/hyperlink" Target="https://veracapital.com/" TargetMode="External"/><Relationship Id="rId63" Type="http://schemas.openxmlformats.org/officeDocument/2006/relationships/hyperlink" Target="https://www.mubadala.com/annual-review-2017/en/index.html" TargetMode="External"/><Relationship Id="rId66" Type="http://schemas.openxmlformats.org/officeDocument/2006/relationships/hyperlink" Target="https://www.starlinggroup.com/" TargetMode="External"/><Relationship Id="rId65" Type="http://schemas.openxmlformats.org/officeDocument/2006/relationships/hyperlink" Target="https://veracapital.com/" TargetMode="External"/><Relationship Id="rId68" Type="http://schemas.openxmlformats.org/officeDocument/2006/relationships/hyperlink" Target="https://www.linkedin.com/in/jamaljawa/?originalSubdomain=ae" TargetMode="External"/><Relationship Id="rId67" Type="http://schemas.openxmlformats.org/officeDocument/2006/relationships/hyperlink" Target="https://www.starlinggroup.com/about-us/" TargetMode="External"/><Relationship Id="rId60" Type="http://schemas.openxmlformats.org/officeDocument/2006/relationships/hyperlink" Target="https://www.linkedin.com/in/nayazrojid/" TargetMode="External"/><Relationship Id="rId69" Type="http://schemas.openxmlformats.org/officeDocument/2006/relationships/hyperlink" Target="https://malmor.com.cy/" TargetMode="External"/><Relationship Id="rId51" Type="http://schemas.openxmlformats.org/officeDocument/2006/relationships/hyperlink" Target="https://www.linkedin.com/in/evdemon/" TargetMode="External"/><Relationship Id="rId50" Type="http://schemas.openxmlformats.org/officeDocument/2006/relationships/hyperlink" Target="https://www.eudaimoniacapital.com/portfolio" TargetMode="External"/><Relationship Id="rId53" Type="http://schemas.openxmlformats.org/officeDocument/2006/relationships/hyperlink" Target="https://www.linkedin.com/company/vdl-ventures/" TargetMode="External"/><Relationship Id="rId52" Type="http://schemas.openxmlformats.org/officeDocument/2006/relationships/hyperlink" Target="https://www.linkedin.com/company/vdl-ventures/" TargetMode="External"/><Relationship Id="rId55" Type="http://schemas.openxmlformats.org/officeDocument/2006/relationships/hyperlink" Target="https://www.ppr-ventures.com/" TargetMode="External"/><Relationship Id="rId54" Type="http://schemas.openxmlformats.org/officeDocument/2006/relationships/hyperlink" Target="https://www.linkedin.com/company/vdl-ventures/about/" TargetMode="External"/><Relationship Id="rId57" Type="http://schemas.openxmlformats.org/officeDocument/2006/relationships/hyperlink" Target="https://www.linkedin.com/in/alexander-peters-7819a2a9/" TargetMode="External"/><Relationship Id="rId56" Type="http://schemas.openxmlformats.org/officeDocument/2006/relationships/hyperlink" Target="https://www.ppr-ventures.com/" TargetMode="External"/><Relationship Id="rId59" Type="http://schemas.openxmlformats.org/officeDocument/2006/relationships/hyperlink" Target="https://adcg.ae/what-we-do-detail/1" TargetMode="External"/><Relationship Id="rId58" Type="http://schemas.openxmlformats.org/officeDocument/2006/relationships/hyperlink" Target="https://adcg.ae/what-we-do-detail/1" TargetMode="External"/><Relationship Id="rId107" Type="http://schemas.openxmlformats.org/officeDocument/2006/relationships/hyperlink" Target="https://bluehorizonadvisors.com/en/Investment-Strategy" TargetMode="External"/><Relationship Id="rId228" Type="http://schemas.openxmlformats.org/officeDocument/2006/relationships/hyperlink" Target="https://www.linkedin.com/company/ag-ventureslimited/about/" TargetMode="External"/><Relationship Id="rId349" Type="http://schemas.openxmlformats.org/officeDocument/2006/relationships/hyperlink" Target="https://www.marketsgroup.org/news/saudi-family-office-bets-on-vc-ai-and-growth-equity" TargetMode="External"/><Relationship Id="rId106" Type="http://schemas.openxmlformats.org/officeDocument/2006/relationships/hyperlink" Target="https://bluehorizonadvisors.com/en/Investment-Strategy" TargetMode="External"/><Relationship Id="rId227" Type="http://schemas.openxmlformats.org/officeDocument/2006/relationships/hyperlink" Target="https://agventures.co.in/" TargetMode="External"/><Relationship Id="rId348" Type="http://schemas.openxmlformats.org/officeDocument/2006/relationships/hyperlink" Target="https://kbw-ventures.com/" TargetMode="External"/><Relationship Id="rId105" Type="http://schemas.openxmlformats.org/officeDocument/2006/relationships/hyperlink" Target="https://www.adgm.com/media/announcements/iliad-partners-announces-launch-of-mena-vc-fund/" TargetMode="External"/><Relationship Id="rId226" Type="http://schemas.openxmlformats.org/officeDocument/2006/relationships/hyperlink" Target="https://www.linkedin.com/in/kadvani/" TargetMode="External"/><Relationship Id="rId347" Type="http://schemas.openxmlformats.org/officeDocument/2006/relationships/hyperlink" Target="https://www.linkedin.com/in/lylaamir/" TargetMode="External"/><Relationship Id="rId104" Type="http://schemas.openxmlformats.org/officeDocument/2006/relationships/hyperlink" Target="https://olayan.com/our-business/private-equity/" TargetMode="External"/><Relationship Id="rId225" Type="http://schemas.openxmlformats.org/officeDocument/2006/relationships/hyperlink" Target="https://www.linkedin.com/in/kadvani/" TargetMode="External"/><Relationship Id="rId346" Type="http://schemas.openxmlformats.org/officeDocument/2006/relationships/hyperlink" Target="https://tfoco.com/en/sa" TargetMode="External"/><Relationship Id="rId109" Type="http://schemas.openxmlformats.org/officeDocument/2006/relationships/hyperlink" Target="https://www.goldenvisioncapital.com.sg/" TargetMode="External"/><Relationship Id="rId108" Type="http://schemas.openxmlformats.org/officeDocument/2006/relationships/hyperlink" Target="https://bluehorizonadvisors.com/en/Home" TargetMode="External"/><Relationship Id="rId229" Type="http://schemas.openxmlformats.org/officeDocument/2006/relationships/hyperlink" Target="https://www.linkedin.com/in/akshat-goenka-91223b16b/" TargetMode="External"/><Relationship Id="rId220" Type="http://schemas.openxmlformats.org/officeDocument/2006/relationships/hyperlink" Target="https://www.juliusbaer.com/international/en/" TargetMode="External"/><Relationship Id="rId341" Type="http://schemas.openxmlformats.org/officeDocument/2006/relationships/hyperlink" Target="https://www.linkedin.com/in/rawan-aljermawi/" TargetMode="External"/><Relationship Id="rId340" Type="http://schemas.openxmlformats.org/officeDocument/2006/relationships/hyperlink" Target="https://www.jada.com.sa/" TargetMode="External"/><Relationship Id="rId103" Type="http://schemas.openxmlformats.org/officeDocument/2006/relationships/hyperlink" Target="https://olayan.com/" TargetMode="External"/><Relationship Id="rId224" Type="http://schemas.openxmlformats.org/officeDocument/2006/relationships/hyperlink" Target="https://www.linkedin.com/in/kadvani/" TargetMode="External"/><Relationship Id="rId345" Type="http://schemas.openxmlformats.org/officeDocument/2006/relationships/hyperlink" Target="https://tfoco.com/" TargetMode="External"/><Relationship Id="rId102" Type="http://schemas.openxmlformats.org/officeDocument/2006/relationships/hyperlink" Target="https://www.alxza.com/strategy" TargetMode="External"/><Relationship Id="rId223" Type="http://schemas.openxmlformats.org/officeDocument/2006/relationships/hyperlink" Target="https://venturecapitalcareers.com/companies/corecam-capital-partners" TargetMode="External"/><Relationship Id="rId344" Type="http://schemas.openxmlformats.org/officeDocument/2006/relationships/hyperlink" Target="https://www.linkedin.com/in/ahmedzakadan/" TargetMode="External"/><Relationship Id="rId101" Type="http://schemas.openxmlformats.org/officeDocument/2006/relationships/hyperlink" Target="https://www.alxza.com/strategy" TargetMode="External"/><Relationship Id="rId222" Type="http://schemas.openxmlformats.org/officeDocument/2006/relationships/hyperlink" Target="https://corecam.com/" TargetMode="External"/><Relationship Id="rId343" Type="http://schemas.openxmlformats.org/officeDocument/2006/relationships/hyperlink" Target="https://www.sanabil.com/en/home" TargetMode="External"/><Relationship Id="rId100" Type="http://schemas.openxmlformats.org/officeDocument/2006/relationships/hyperlink" Target="https://www.alxza.com/strategy" TargetMode="External"/><Relationship Id="rId221" Type="http://schemas.openxmlformats.org/officeDocument/2006/relationships/hyperlink" Target="https://www.juliusbaer.com/en/insights/wealth-insights/how-to-invest/private-equity-strategies/" TargetMode="External"/><Relationship Id="rId342" Type="http://schemas.openxmlformats.org/officeDocument/2006/relationships/hyperlink" Target="https://www.sanabil.com/en/" TargetMode="External"/><Relationship Id="rId217" Type="http://schemas.openxmlformats.org/officeDocument/2006/relationships/hyperlink" Target="https://www.mirasinvest.com/" TargetMode="External"/><Relationship Id="rId338" Type="http://schemas.openxmlformats.org/officeDocument/2006/relationships/hyperlink" Target="https://www.linkedin.com/in/nkoshak/" TargetMode="External"/><Relationship Id="rId216" Type="http://schemas.openxmlformats.org/officeDocument/2006/relationships/hyperlink" Target="https://www.linkedin.com/in/yeoleemeng/" TargetMode="External"/><Relationship Id="rId337" Type="http://schemas.openxmlformats.org/officeDocument/2006/relationships/hyperlink" Target="https://svc.com.sa/en/" TargetMode="External"/><Relationship Id="rId215" Type="http://schemas.openxmlformats.org/officeDocument/2006/relationships/hyperlink" Target="https://enspire.vc/" TargetMode="External"/><Relationship Id="rId336" Type="http://schemas.openxmlformats.org/officeDocument/2006/relationships/hyperlink" Target="https://svc.com.sa/en/" TargetMode="External"/><Relationship Id="rId214" Type="http://schemas.openxmlformats.org/officeDocument/2006/relationships/hyperlink" Target="https://enspire.vc/" TargetMode="External"/><Relationship Id="rId335" Type="http://schemas.openxmlformats.org/officeDocument/2006/relationships/hyperlink" Target="https://www.linkedin.com/in/derek-bunting-cfa-2b087050/" TargetMode="External"/><Relationship Id="rId219" Type="http://schemas.openxmlformats.org/officeDocument/2006/relationships/hyperlink" Target="https://www.linkedin.com/in/elizabeth-hewitt-0531406/" TargetMode="External"/><Relationship Id="rId218" Type="http://schemas.openxmlformats.org/officeDocument/2006/relationships/hyperlink" Target="https://www.mirasinvest.com/" TargetMode="External"/><Relationship Id="rId339" Type="http://schemas.openxmlformats.org/officeDocument/2006/relationships/hyperlink" Target="https://www.jada.com.sa/" TargetMode="External"/><Relationship Id="rId330" Type="http://schemas.openxmlformats.org/officeDocument/2006/relationships/hyperlink" Target="https://www.weathergagecapital.com/" TargetMode="External"/><Relationship Id="rId213" Type="http://schemas.openxmlformats.org/officeDocument/2006/relationships/hyperlink" Target="https://www.tsao.com/" TargetMode="External"/><Relationship Id="rId334" Type="http://schemas.openxmlformats.org/officeDocument/2006/relationships/hyperlink" Target="https://www.vestbee.com/insights/articles/active-fund-of-funds-in-vc-who-s-investing-now-in-europe" TargetMode="External"/><Relationship Id="rId212" Type="http://schemas.openxmlformats.org/officeDocument/2006/relationships/hyperlink" Target="https://www.tsao.com/" TargetMode="External"/><Relationship Id="rId333" Type="http://schemas.openxmlformats.org/officeDocument/2006/relationships/hyperlink" Target="https://www.arcanopartners.com/" TargetMode="External"/><Relationship Id="rId211" Type="http://schemas.openxmlformats.org/officeDocument/2006/relationships/hyperlink" Target="https://mxb.sa/investments" TargetMode="External"/><Relationship Id="rId332" Type="http://schemas.openxmlformats.org/officeDocument/2006/relationships/hyperlink" Target="https://www.linkedin.com/in/sandyguitar/" TargetMode="External"/><Relationship Id="rId210" Type="http://schemas.openxmlformats.org/officeDocument/2006/relationships/hyperlink" Target="https://mxb.sa/about" TargetMode="External"/><Relationship Id="rId331" Type="http://schemas.openxmlformats.org/officeDocument/2006/relationships/hyperlink" Target="https://www.weathergagecapital.com/about/who-we-are" TargetMode="External"/><Relationship Id="rId129" Type="http://schemas.openxmlformats.org/officeDocument/2006/relationships/hyperlink" Target="https://www.alrajhiunited.com/" TargetMode="External"/><Relationship Id="rId128" Type="http://schemas.openxmlformats.org/officeDocument/2006/relationships/hyperlink" Target="https://www.linkedin.com/in/caankitjaiswal/" TargetMode="External"/><Relationship Id="rId249" Type="http://schemas.openxmlformats.org/officeDocument/2006/relationships/hyperlink" Target="https://www.jrtpartners.com/" TargetMode="External"/><Relationship Id="rId127" Type="http://schemas.openxmlformats.org/officeDocument/2006/relationships/hyperlink" Target="https://murbiha.com/" TargetMode="External"/><Relationship Id="rId248" Type="http://schemas.openxmlformats.org/officeDocument/2006/relationships/hyperlink" Target="https://hk.linkedin.com/in/hamptontao" TargetMode="External"/><Relationship Id="rId369" Type="http://schemas.openxmlformats.org/officeDocument/2006/relationships/drawing" Target="../drawings/drawing6.xml"/><Relationship Id="rId126" Type="http://schemas.openxmlformats.org/officeDocument/2006/relationships/hyperlink" Target="https://murbiha.com/" TargetMode="External"/><Relationship Id="rId247" Type="http://schemas.openxmlformats.org/officeDocument/2006/relationships/hyperlink" Target="https://www.privateequityinternational.com/institution-profiles/new-heritage-group.html" TargetMode="External"/><Relationship Id="rId368" Type="http://schemas.openxmlformats.org/officeDocument/2006/relationships/hyperlink" Target="https://www.linkedin.com/in/ruba-saliba-a0a437a7/" TargetMode="External"/><Relationship Id="rId121" Type="http://schemas.openxmlformats.org/officeDocument/2006/relationships/hyperlink" Target="https://www.gtccwealth.com/about-us" TargetMode="External"/><Relationship Id="rId242" Type="http://schemas.openxmlformats.org/officeDocument/2006/relationships/hyperlink" Target="https://www.linkedin.com/in/phoebe-kwan-cfa-8993508/" TargetMode="External"/><Relationship Id="rId363" Type="http://schemas.openxmlformats.org/officeDocument/2006/relationships/hyperlink" Target="https://kingdom.com.sa/homepage" TargetMode="External"/><Relationship Id="rId120" Type="http://schemas.openxmlformats.org/officeDocument/2006/relationships/hyperlink" Target="https://www.linkedin.com/in/hatem-altariqi-b1776591/" TargetMode="External"/><Relationship Id="rId241" Type="http://schemas.openxmlformats.org/officeDocument/2006/relationships/hyperlink" Target="https://www.linkedin.com/company/fro-management-limited/about/" TargetMode="External"/><Relationship Id="rId362" Type="http://schemas.openxmlformats.org/officeDocument/2006/relationships/hyperlink" Target="https://www.linkedin.com/in/ali-abussaud-9117bb9/" TargetMode="External"/><Relationship Id="rId240" Type="http://schemas.openxmlformats.org/officeDocument/2006/relationships/hyperlink" Target="https://www.linkedin.com/company/fro-management-limited/about/" TargetMode="External"/><Relationship Id="rId361" Type="http://schemas.openxmlformats.org/officeDocument/2006/relationships/hyperlink" Target="https://incubatorlist.com/top-vcs-in-saudi-arabia" TargetMode="External"/><Relationship Id="rId360" Type="http://schemas.openxmlformats.org/officeDocument/2006/relationships/hyperlink" Target="https://f-horizon.com/" TargetMode="External"/><Relationship Id="rId125" Type="http://schemas.openxmlformats.org/officeDocument/2006/relationships/hyperlink" Target="https://www.linkedin.com/in/alnakib/" TargetMode="External"/><Relationship Id="rId246" Type="http://schemas.openxmlformats.org/officeDocument/2006/relationships/hyperlink" Target="http://www.nh-holdings.com/" TargetMode="External"/><Relationship Id="rId367" Type="http://schemas.openxmlformats.org/officeDocument/2006/relationships/hyperlink" Target="https://shizune.co/investors/vc-funds-kuwait" TargetMode="External"/><Relationship Id="rId124" Type="http://schemas.openxmlformats.org/officeDocument/2006/relationships/hyperlink" Target="https://noorholding.co/pages/leadership" TargetMode="External"/><Relationship Id="rId245" Type="http://schemas.openxmlformats.org/officeDocument/2006/relationships/hyperlink" Target="https://www.linkedin.com/in/robert-dawson-44a9661/?originalSubdomain=za" TargetMode="External"/><Relationship Id="rId366" Type="http://schemas.openxmlformats.org/officeDocument/2006/relationships/hyperlink" Target="https://www.atyabalmarshoud.com/" TargetMode="External"/><Relationship Id="rId123" Type="http://schemas.openxmlformats.org/officeDocument/2006/relationships/hyperlink" Target="https://noorholding.co/pages/investment" TargetMode="External"/><Relationship Id="rId244" Type="http://schemas.openxmlformats.org/officeDocument/2006/relationships/hyperlink" Target="https://www.8t8capital.com/index.htm" TargetMode="External"/><Relationship Id="rId365" Type="http://schemas.openxmlformats.org/officeDocument/2006/relationships/hyperlink" Target="https://www.linkedin.com/in/khalidkreidie/" TargetMode="External"/><Relationship Id="rId122" Type="http://schemas.openxmlformats.org/officeDocument/2006/relationships/hyperlink" Target="https://www.gtccwealth.com/portfolio" TargetMode="External"/><Relationship Id="rId243" Type="http://schemas.openxmlformats.org/officeDocument/2006/relationships/hyperlink" Target="https://www.8t8capital.com/index.htm" TargetMode="External"/><Relationship Id="rId364" Type="http://schemas.openxmlformats.org/officeDocument/2006/relationships/hyperlink" Target="https://www.dubaibeat.com/investors/saudi_family_offices/" TargetMode="External"/><Relationship Id="rId95" Type="http://schemas.openxmlformats.org/officeDocument/2006/relationships/hyperlink" Target="https://www.egrpartners.com/" TargetMode="External"/><Relationship Id="rId94" Type="http://schemas.openxmlformats.org/officeDocument/2006/relationships/hyperlink" Target="https://www.quilvestcapital.com/our-strategies/primaries-co-investments-and-secondaries/" TargetMode="External"/><Relationship Id="rId97" Type="http://schemas.openxmlformats.org/officeDocument/2006/relationships/hyperlink" Target="https://www.linkedin.com/in/philippe-zanetti/" TargetMode="External"/><Relationship Id="rId96" Type="http://schemas.openxmlformats.org/officeDocument/2006/relationships/hyperlink" Target="https://www.egrpartners.com/" TargetMode="External"/><Relationship Id="rId99" Type="http://schemas.openxmlformats.org/officeDocument/2006/relationships/hyperlink" Target="https://tpninvestments.ae/" TargetMode="External"/><Relationship Id="rId98" Type="http://schemas.openxmlformats.org/officeDocument/2006/relationships/hyperlink" Target="https://tpninvestments.ae/" TargetMode="External"/><Relationship Id="rId91" Type="http://schemas.openxmlformats.org/officeDocument/2006/relationships/hyperlink" Target="https://www.kanoo.com/business/global-investments-overview/" TargetMode="External"/><Relationship Id="rId90" Type="http://schemas.openxmlformats.org/officeDocument/2006/relationships/hyperlink" Target="https://www.linkedin.com/in/ankitoberoi/" TargetMode="External"/><Relationship Id="rId93" Type="http://schemas.openxmlformats.org/officeDocument/2006/relationships/hyperlink" Target="https://www.quilvestcapital.com/" TargetMode="External"/><Relationship Id="rId92" Type="http://schemas.openxmlformats.org/officeDocument/2006/relationships/hyperlink" Target="https://www.kanoo.com/about-us/" TargetMode="External"/><Relationship Id="rId118" Type="http://schemas.openxmlformats.org/officeDocument/2006/relationships/hyperlink" Target="https://www.gsiventures.com/" TargetMode="External"/><Relationship Id="rId239" Type="http://schemas.openxmlformats.org/officeDocument/2006/relationships/hyperlink" Target="https://www.sharrpventures.com/about" TargetMode="External"/><Relationship Id="rId117" Type="http://schemas.openxmlformats.org/officeDocument/2006/relationships/hyperlink" Target="https://www.linkedin.com/in/faisal-mikou-a152a039/" TargetMode="External"/><Relationship Id="rId238" Type="http://schemas.openxmlformats.org/officeDocument/2006/relationships/hyperlink" Target="https://www.sharrpventures.com/about" TargetMode="External"/><Relationship Id="rId359" Type="http://schemas.openxmlformats.org/officeDocument/2006/relationships/hyperlink" Target="https://www.linkedin.com/in/ali-alqaraawi/" TargetMode="External"/><Relationship Id="rId116" Type="http://schemas.openxmlformats.org/officeDocument/2006/relationships/hyperlink" Target="https://www.globalmarkets.partners/" TargetMode="External"/><Relationship Id="rId237" Type="http://schemas.openxmlformats.org/officeDocument/2006/relationships/hyperlink" Target="https://www.linkedin.com/in/apurvashah85/" TargetMode="External"/><Relationship Id="rId358" Type="http://schemas.openxmlformats.org/officeDocument/2006/relationships/hyperlink" Target="https://www.dubaibeat.com/investors/saudi_family_offices/" TargetMode="External"/><Relationship Id="rId115" Type="http://schemas.openxmlformats.org/officeDocument/2006/relationships/hyperlink" Target="https://www.globalmarkets.partners/" TargetMode="External"/><Relationship Id="rId236" Type="http://schemas.openxmlformats.org/officeDocument/2006/relationships/hyperlink" Target="https://b2vventures.com/" TargetMode="External"/><Relationship Id="rId357" Type="http://schemas.openxmlformats.org/officeDocument/2006/relationships/hyperlink" Target="https://www.aljaziracapital.com.sa/en/" TargetMode="External"/><Relationship Id="rId119" Type="http://schemas.openxmlformats.org/officeDocument/2006/relationships/hyperlink" Target="https://www.gsiventures.com/" TargetMode="External"/><Relationship Id="rId110" Type="http://schemas.openxmlformats.org/officeDocument/2006/relationships/hyperlink" Target="https://www.goldenvisioncapital.com.sg/" TargetMode="External"/><Relationship Id="rId231" Type="http://schemas.openxmlformats.org/officeDocument/2006/relationships/hyperlink" Target="https://pitchbook.com/profiles/investor/462677-68" TargetMode="External"/><Relationship Id="rId352" Type="http://schemas.openxmlformats.org/officeDocument/2006/relationships/hyperlink" Target="https://www.dakota.com/resources/blog/top-family-offices-in-uae-2025-guide" TargetMode="External"/><Relationship Id="rId230" Type="http://schemas.openxmlformats.org/officeDocument/2006/relationships/hyperlink" Target="https://www.doublepeak.io/" TargetMode="External"/><Relationship Id="rId351" Type="http://schemas.openxmlformats.org/officeDocument/2006/relationships/hyperlink" Target="https://2pointzero.com/" TargetMode="External"/><Relationship Id="rId350" Type="http://schemas.openxmlformats.org/officeDocument/2006/relationships/hyperlink" Target="https://www.linkedin.com/in/ekta-tolani/" TargetMode="External"/><Relationship Id="rId114" Type="http://schemas.openxmlformats.org/officeDocument/2006/relationships/hyperlink" Target="https://www.wah-hin.com/" TargetMode="External"/><Relationship Id="rId235" Type="http://schemas.openxmlformats.org/officeDocument/2006/relationships/hyperlink" Target="https://b2vventures.com/" TargetMode="External"/><Relationship Id="rId356" Type="http://schemas.openxmlformats.org/officeDocument/2006/relationships/hyperlink" Target="https://www.linkedin.com/in/afif-alnsouli/" TargetMode="External"/><Relationship Id="rId113" Type="http://schemas.openxmlformats.org/officeDocument/2006/relationships/hyperlink" Target="https://www.wah-hin.com/" TargetMode="External"/><Relationship Id="rId234" Type="http://schemas.openxmlformats.org/officeDocument/2006/relationships/hyperlink" Target="https://www.linkedin.com/in/karanpal-singh-5707645a/" TargetMode="External"/><Relationship Id="rId355" Type="http://schemas.openxmlformats.org/officeDocument/2006/relationships/hyperlink" Target="https://incubatorlist.com/top-vcs-in-saudi-arabia" TargetMode="External"/><Relationship Id="rId112" Type="http://schemas.openxmlformats.org/officeDocument/2006/relationships/hyperlink" Target="https://www.wah-hin.com/" TargetMode="External"/><Relationship Id="rId233" Type="http://schemas.openxmlformats.org/officeDocument/2006/relationships/hyperlink" Target="https://pitchbook.com/profiles/investor/166133-44" TargetMode="External"/><Relationship Id="rId354" Type="http://schemas.openxmlformats.org/officeDocument/2006/relationships/hyperlink" Target="https://altouq.com/" TargetMode="External"/><Relationship Id="rId111" Type="http://schemas.openxmlformats.org/officeDocument/2006/relationships/hyperlink" Target="https://www.linkedin.com/in/seanlow/" TargetMode="External"/><Relationship Id="rId232" Type="http://schemas.openxmlformats.org/officeDocument/2006/relationships/hyperlink" Target="https://hunchventures.com/" TargetMode="External"/><Relationship Id="rId353" Type="http://schemas.openxmlformats.org/officeDocument/2006/relationships/hyperlink" Target="https://www.linkedin.com/in/krishnadas-mani-cfa-a01a6b11/" TargetMode="External"/><Relationship Id="rId305" Type="http://schemas.openxmlformats.org/officeDocument/2006/relationships/hyperlink" Target="https://www.linkedin.com/in/liewpatrick/" TargetMode="External"/><Relationship Id="rId304" Type="http://schemas.openxmlformats.org/officeDocument/2006/relationships/hyperlink" Target="https://www.vcnetworks.gex.vc/p/family-offices-are-reshaping-venture" TargetMode="External"/><Relationship Id="rId303" Type="http://schemas.openxmlformats.org/officeDocument/2006/relationships/hyperlink" Target="https://www.gex.vc/" TargetMode="External"/><Relationship Id="rId302" Type="http://schemas.openxmlformats.org/officeDocument/2006/relationships/hyperlink" Target="https://www.linkedin.com/in/scott-sherman-87b7926/" TargetMode="External"/><Relationship Id="rId309" Type="http://schemas.openxmlformats.org/officeDocument/2006/relationships/hyperlink" Target="https://isomercapital.com/" TargetMode="External"/><Relationship Id="rId308" Type="http://schemas.openxmlformats.org/officeDocument/2006/relationships/hyperlink" Target="https://www.linkedin.com/in/stevenrkim/" TargetMode="External"/><Relationship Id="rId307" Type="http://schemas.openxmlformats.org/officeDocument/2006/relationships/hyperlink" Target="https://pitchcalls.com/vc" TargetMode="External"/><Relationship Id="rId306" Type="http://schemas.openxmlformats.org/officeDocument/2006/relationships/hyperlink" Target="https://www.verdisinvestment.com/" TargetMode="External"/><Relationship Id="rId301" Type="http://schemas.openxmlformats.org/officeDocument/2006/relationships/hyperlink" Target="https://pitchcalls.com/vc" TargetMode="External"/><Relationship Id="rId300" Type="http://schemas.openxmlformats.org/officeDocument/2006/relationships/hyperlink" Target="https://www.mesalanecapital.com/" TargetMode="External"/><Relationship Id="rId206" Type="http://schemas.openxmlformats.org/officeDocument/2006/relationships/hyperlink" Target="https://twinandbull.com/investment-office/" TargetMode="External"/><Relationship Id="rId327" Type="http://schemas.openxmlformats.org/officeDocument/2006/relationships/hyperlink" Target="http://www.firstclosepartners.com/" TargetMode="External"/><Relationship Id="rId205" Type="http://schemas.openxmlformats.org/officeDocument/2006/relationships/hyperlink" Target="https://twinandbull.com/investment-office/" TargetMode="External"/><Relationship Id="rId326" Type="http://schemas.openxmlformats.org/officeDocument/2006/relationships/hyperlink" Target="https://www.linkedin.com/in/amanda-clegg-2b86889a/" TargetMode="External"/><Relationship Id="rId204" Type="http://schemas.openxmlformats.org/officeDocument/2006/relationships/hyperlink" Target="https://twinandbull.com/" TargetMode="External"/><Relationship Id="rId325" Type="http://schemas.openxmlformats.org/officeDocument/2006/relationships/hyperlink" Target="https://www.invesco.com/il/en/capabilities/alternatives/invesco-private-capital.html" TargetMode="External"/><Relationship Id="rId203" Type="http://schemas.openxmlformats.org/officeDocument/2006/relationships/hyperlink" Target="https://www.linkedin.com/in/stuart-connolly-44027b26/" TargetMode="External"/><Relationship Id="rId324" Type="http://schemas.openxmlformats.org/officeDocument/2006/relationships/hyperlink" Target="https://www.invesco.com/corporate/en/home.html" TargetMode="External"/><Relationship Id="rId209" Type="http://schemas.openxmlformats.org/officeDocument/2006/relationships/hyperlink" Target="https://www.linkedin.com/in/latifa-mbm-015b22104/" TargetMode="External"/><Relationship Id="rId208" Type="http://schemas.openxmlformats.org/officeDocument/2006/relationships/hyperlink" Target="https://afaq.ae/" TargetMode="External"/><Relationship Id="rId329" Type="http://schemas.openxmlformats.org/officeDocument/2006/relationships/hyperlink" Target="https://www.linkedin.com/in/anthonypergola/" TargetMode="External"/><Relationship Id="rId207" Type="http://schemas.openxmlformats.org/officeDocument/2006/relationships/hyperlink" Target="https://afaq.ae/" TargetMode="External"/><Relationship Id="rId328" Type="http://schemas.openxmlformats.org/officeDocument/2006/relationships/hyperlink" Target="https://pitchbook.com/profiles/investor/458201-53" TargetMode="External"/><Relationship Id="rId202" Type="http://schemas.openxmlformats.org/officeDocument/2006/relationships/hyperlink" Target="https://deusx.capital/" TargetMode="External"/><Relationship Id="rId323" Type="http://schemas.openxmlformats.org/officeDocument/2006/relationships/hyperlink" Target="https://www.linkedin.com/in/gadamopoulos/" TargetMode="External"/><Relationship Id="rId201" Type="http://schemas.openxmlformats.org/officeDocument/2006/relationships/hyperlink" Target="https://deusx.capital/" TargetMode="External"/><Relationship Id="rId322" Type="http://schemas.openxmlformats.org/officeDocument/2006/relationships/hyperlink" Target="https://www.50southcapital.com/private-equity/capabilities" TargetMode="External"/><Relationship Id="rId200" Type="http://schemas.openxmlformats.org/officeDocument/2006/relationships/hyperlink" Target="https://www.linkedin.com/in/shweta-maheshwary-98a346159/" TargetMode="External"/><Relationship Id="rId321" Type="http://schemas.openxmlformats.org/officeDocument/2006/relationships/hyperlink" Target="https://www.50southcapital.com/" TargetMode="External"/><Relationship Id="rId320" Type="http://schemas.openxmlformats.org/officeDocument/2006/relationships/hyperlink" Target="https://www.linkedin.com/in/ivandelastours/" TargetMode="External"/><Relationship Id="rId316" Type="http://schemas.openxmlformats.org/officeDocument/2006/relationships/hyperlink" Target="https://seedblink.com/blog/ready-to-invest-european-vcs-with-fresh-funds-raised-in-h2-2025" TargetMode="External"/><Relationship Id="rId315" Type="http://schemas.openxmlformats.org/officeDocument/2006/relationships/hyperlink" Target="http://eif.org/" TargetMode="External"/><Relationship Id="rId314" Type="http://schemas.openxmlformats.org/officeDocument/2006/relationships/hyperlink" Target="https://www.linkedin.com/in/sebastian-wandtke-4a801b12b/" TargetMode="External"/><Relationship Id="rId313" Type="http://schemas.openxmlformats.org/officeDocument/2006/relationships/hyperlink" Target="https://www.kfw-capital.de/Investment-focus/Portfolio/" TargetMode="External"/><Relationship Id="rId319" Type="http://schemas.openxmlformats.org/officeDocument/2006/relationships/hyperlink" Target="https://sifted.eu/articles/bpifrance-vc-results-2013-2023" TargetMode="External"/><Relationship Id="rId318" Type="http://schemas.openxmlformats.org/officeDocument/2006/relationships/hyperlink" Target="https://www.bpifrance.com/" TargetMode="External"/><Relationship Id="rId317" Type="http://schemas.openxmlformats.org/officeDocument/2006/relationships/hyperlink" Target="https://www.linkedin.com/in/ren%C3%A9-andres-663457aa/" TargetMode="External"/><Relationship Id="rId312" Type="http://schemas.openxmlformats.org/officeDocument/2006/relationships/hyperlink" Target="https://www.kfw-capital.de/" TargetMode="External"/><Relationship Id="rId311" Type="http://schemas.openxmlformats.org/officeDocument/2006/relationships/hyperlink" Target="https://www.linkedin.com/in/joe-schorge-isomer/" TargetMode="External"/><Relationship Id="rId310" Type="http://schemas.openxmlformats.org/officeDocument/2006/relationships/hyperlink" Target="https://www.vestbee.com/insights/articles/isomer-capital-market-trends-interview" TargetMode="External"/></Relationships>
</file>

<file path=xl/worksheets/_rels/sheet7.xml.rels><?xml version="1.0" encoding="UTF-8" standalone="yes"?><Relationships xmlns="http://schemas.openxmlformats.org/package/2006/relationships"><Relationship Id="rId175" Type="http://schemas.openxmlformats.org/officeDocument/2006/relationships/drawing" Target="../drawings/drawing7.xml"/><Relationship Id="rId174" Type="http://schemas.openxmlformats.org/officeDocument/2006/relationships/hyperlink" Target="https://www.linkedin.com/in/ruba-saliba-a0a437a7/" TargetMode="External"/><Relationship Id="rId173" Type="http://schemas.openxmlformats.org/officeDocument/2006/relationships/hyperlink" Target="https://www.atyabalmarshoud.com/" TargetMode="External"/><Relationship Id="rId177" Type="http://schemas.openxmlformats.org/officeDocument/2006/relationships/table" Target="../tables/table28.xml"/><Relationship Id="rId150" Type="http://schemas.openxmlformats.org/officeDocument/2006/relationships/hyperlink" Target="https://www.linkedin.com/in/sandyguitar/" TargetMode="External"/><Relationship Id="rId1" Type="http://schemas.openxmlformats.org/officeDocument/2006/relationships/hyperlink" Target="https://auruminvestments.sg/about/" TargetMode="External"/><Relationship Id="rId2" Type="http://schemas.openxmlformats.org/officeDocument/2006/relationships/hyperlink" Target="https://www.linkedin.com/in/austyn-yong-cfa-497675a9/" TargetMode="External"/><Relationship Id="rId3" Type="http://schemas.openxmlformats.org/officeDocument/2006/relationships/hyperlink" Target="https://www.wellcocapital.com/" TargetMode="External"/><Relationship Id="rId149" Type="http://schemas.openxmlformats.org/officeDocument/2006/relationships/hyperlink" Target="https://www.weathergagecapital.com/" TargetMode="External"/><Relationship Id="rId4" Type="http://schemas.openxmlformats.org/officeDocument/2006/relationships/hyperlink" Target="https://www.linkedin.com/in/kah-ken-kam-117b8915/" TargetMode="External"/><Relationship Id="rId148" Type="http://schemas.openxmlformats.org/officeDocument/2006/relationships/hyperlink" Target="https://www.linkedin.com/in/anthonypergola/" TargetMode="External"/><Relationship Id="rId9" Type="http://schemas.openxmlformats.org/officeDocument/2006/relationships/hyperlink" Target="https://leoniehillcapital.com/" TargetMode="External"/><Relationship Id="rId143" Type="http://schemas.openxmlformats.org/officeDocument/2006/relationships/hyperlink" Target="https://www.50southcapital.com/" TargetMode="External"/><Relationship Id="rId142" Type="http://schemas.openxmlformats.org/officeDocument/2006/relationships/hyperlink" Target="https://www.linkedin.com/in/ivandelastours/" TargetMode="External"/><Relationship Id="rId141" Type="http://schemas.openxmlformats.org/officeDocument/2006/relationships/hyperlink" Target="https://www.bpifrance.com/" TargetMode="External"/><Relationship Id="rId140" Type="http://schemas.openxmlformats.org/officeDocument/2006/relationships/hyperlink" Target="https://www.linkedin.com/in/ren%C3%A9-andres-663457aa/" TargetMode="External"/><Relationship Id="rId5" Type="http://schemas.openxmlformats.org/officeDocument/2006/relationships/hyperlink" Target="https://www.csdventure.com/" TargetMode="External"/><Relationship Id="rId147" Type="http://schemas.openxmlformats.org/officeDocument/2006/relationships/hyperlink" Target="http://www.firstclosepartners.com/" TargetMode="External"/><Relationship Id="rId6" Type="http://schemas.openxmlformats.org/officeDocument/2006/relationships/hyperlink" Target="https://www.linkedin.com/in/sanjeychandran/" TargetMode="External"/><Relationship Id="rId146" Type="http://schemas.openxmlformats.org/officeDocument/2006/relationships/hyperlink" Target="https://www.linkedin.com/in/amanda-clegg-2b86889a/" TargetMode="External"/><Relationship Id="rId7" Type="http://schemas.openxmlformats.org/officeDocument/2006/relationships/hyperlink" Target="https://www.deepblueventures.co/" TargetMode="External"/><Relationship Id="rId145" Type="http://schemas.openxmlformats.org/officeDocument/2006/relationships/hyperlink" Target="https://www.invesco.com/corporate/en/home.html" TargetMode="External"/><Relationship Id="rId8" Type="http://schemas.openxmlformats.org/officeDocument/2006/relationships/hyperlink" Target="https://www.linkedin.com/in/abhishekko/" TargetMode="External"/><Relationship Id="rId144" Type="http://schemas.openxmlformats.org/officeDocument/2006/relationships/hyperlink" Target="https://www.linkedin.com/in/gadamopoulos/" TargetMode="External"/><Relationship Id="rId139" Type="http://schemas.openxmlformats.org/officeDocument/2006/relationships/hyperlink" Target="http://eif.org/" TargetMode="External"/><Relationship Id="rId138" Type="http://schemas.openxmlformats.org/officeDocument/2006/relationships/hyperlink" Target="https://www.linkedin.com/in/sebastian-wandtke-4a801b12b/" TargetMode="External"/><Relationship Id="rId137" Type="http://schemas.openxmlformats.org/officeDocument/2006/relationships/hyperlink" Target="https://www.kfw-capital.de/" TargetMode="External"/><Relationship Id="rId132" Type="http://schemas.openxmlformats.org/officeDocument/2006/relationships/hyperlink" Target="https://www.linkedin.com/in/liewpatrick/" TargetMode="External"/><Relationship Id="rId131" Type="http://schemas.openxmlformats.org/officeDocument/2006/relationships/hyperlink" Target="https://www.gex.vc/" TargetMode="External"/><Relationship Id="rId130" Type="http://schemas.openxmlformats.org/officeDocument/2006/relationships/hyperlink" Target="https://www.linkedin.com/in/scott-sherman-87b7926/" TargetMode="External"/><Relationship Id="rId136" Type="http://schemas.openxmlformats.org/officeDocument/2006/relationships/hyperlink" Target="https://www.linkedin.com/in/joe-schorge-isomer/" TargetMode="External"/><Relationship Id="rId135" Type="http://schemas.openxmlformats.org/officeDocument/2006/relationships/hyperlink" Target="https://isomercapital.com/" TargetMode="External"/><Relationship Id="rId134" Type="http://schemas.openxmlformats.org/officeDocument/2006/relationships/hyperlink" Target="https://www.linkedin.com/in/stevenrkim/" TargetMode="External"/><Relationship Id="rId133" Type="http://schemas.openxmlformats.org/officeDocument/2006/relationships/hyperlink" Target="https://www.verdisinvestment.com/" TargetMode="External"/><Relationship Id="rId172" Type="http://schemas.openxmlformats.org/officeDocument/2006/relationships/hyperlink" Target="https://www.linkedin.com/in/khalidkreidie/" TargetMode="External"/><Relationship Id="rId171" Type="http://schemas.openxmlformats.org/officeDocument/2006/relationships/hyperlink" Target="https://kingdom.com.sa/homepage" TargetMode="External"/><Relationship Id="rId170" Type="http://schemas.openxmlformats.org/officeDocument/2006/relationships/hyperlink" Target="https://www.linkedin.com/in/ali-abussaud-9117bb9/" TargetMode="External"/><Relationship Id="rId165" Type="http://schemas.openxmlformats.org/officeDocument/2006/relationships/hyperlink" Target="https://altouq.com/" TargetMode="External"/><Relationship Id="rId164" Type="http://schemas.openxmlformats.org/officeDocument/2006/relationships/hyperlink" Target="https://www.linkedin.com/in/krishnadas-mani-cfa-a01a6b11/" TargetMode="External"/><Relationship Id="rId163" Type="http://schemas.openxmlformats.org/officeDocument/2006/relationships/hyperlink" Target="https://2pointzero.com/" TargetMode="External"/><Relationship Id="rId162" Type="http://schemas.openxmlformats.org/officeDocument/2006/relationships/hyperlink" Target="https://www.linkedin.com/in/ekta-tolani/" TargetMode="External"/><Relationship Id="rId169" Type="http://schemas.openxmlformats.org/officeDocument/2006/relationships/hyperlink" Target="https://f-horizon.com/" TargetMode="External"/><Relationship Id="rId168" Type="http://schemas.openxmlformats.org/officeDocument/2006/relationships/hyperlink" Target="https://www.linkedin.com/in/ali-alqaraawi/" TargetMode="External"/><Relationship Id="rId167" Type="http://schemas.openxmlformats.org/officeDocument/2006/relationships/hyperlink" Target="https://www.aljaziracapital.com.sa/en/" TargetMode="External"/><Relationship Id="rId166" Type="http://schemas.openxmlformats.org/officeDocument/2006/relationships/hyperlink" Target="https://www.linkedin.com/in/afif-alnsouli/" TargetMode="External"/><Relationship Id="rId161" Type="http://schemas.openxmlformats.org/officeDocument/2006/relationships/hyperlink" Target="https://kbw-ventures.com/" TargetMode="External"/><Relationship Id="rId160" Type="http://schemas.openxmlformats.org/officeDocument/2006/relationships/hyperlink" Target="https://www.linkedin.com/in/lylaamir/" TargetMode="External"/><Relationship Id="rId159" Type="http://schemas.openxmlformats.org/officeDocument/2006/relationships/hyperlink" Target="https://tfoco.com/" TargetMode="External"/><Relationship Id="rId154" Type="http://schemas.openxmlformats.org/officeDocument/2006/relationships/hyperlink" Target="https://www.linkedin.com/in/nkoshak/" TargetMode="External"/><Relationship Id="rId153" Type="http://schemas.openxmlformats.org/officeDocument/2006/relationships/hyperlink" Target="https://svc.com.sa/en/" TargetMode="External"/><Relationship Id="rId152" Type="http://schemas.openxmlformats.org/officeDocument/2006/relationships/hyperlink" Target="https://www.linkedin.com/in/derek-bunting-cfa-2b087050/" TargetMode="External"/><Relationship Id="rId151" Type="http://schemas.openxmlformats.org/officeDocument/2006/relationships/hyperlink" Target="https://www.arcanopartners.com/" TargetMode="External"/><Relationship Id="rId158" Type="http://schemas.openxmlformats.org/officeDocument/2006/relationships/hyperlink" Target="https://www.linkedin.com/in/ahmedzakadan/" TargetMode="External"/><Relationship Id="rId157" Type="http://schemas.openxmlformats.org/officeDocument/2006/relationships/hyperlink" Target="https://www.sanabil.com/en/" TargetMode="External"/><Relationship Id="rId156" Type="http://schemas.openxmlformats.org/officeDocument/2006/relationships/hyperlink" Target="https://www.linkedin.com/in/rawan-aljermawi/" TargetMode="External"/><Relationship Id="rId155" Type="http://schemas.openxmlformats.org/officeDocument/2006/relationships/hyperlink" Target="https://www.jada.com.sa/" TargetMode="External"/><Relationship Id="rId40" Type="http://schemas.openxmlformats.org/officeDocument/2006/relationships/hyperlink" Target="https://www.linkedin.com/in/ankitoberoi/" TargetMode="External"/><Relationship Id="rId42" Type="http://schemas.openxmlformats.org/officeDocument/2006/relationships/hyperlink" Target="https://www.linkedin.com/in/philippe-zanetti/" TargetMode="External"/><Relationship Id="rId41" Type="http://schemas.openxmlformats.org/officeDocument/2006/relationships/hyperlink" Target="https://www.egrpartners.com/" TargetMode="External"/><Relationship Id="rId44" Type="http://schemas.openxmlformats.org/officeDocument/2006/relationships/hyperlink" Target="https://www.linkedin.com/in/seanlow/" TargetMode="External"/><Relationship Id="rId43" Type="http://schemas.openxmlformats.org/officeDocument/2006/relationships/hyperlink" Target="https://www.goldenvisioncapital.com.sg/" TargetMode="External"/><Relationship Id="rId46" Type="http://schemas.openxmlformats.org/officeDocument/2006/relationships/hyperlink" Target="https://www.linkedin.com/in/faisal-mikou-a152a039/" TargetMode="External"/><Relationship Id="rId45" Type="http://schemas.openxmlformats.org/officeDocument/2006/relationships/hyperlink" Target="https://www.globalmarkets.partners/" TargetMode="External"/><Relationship Id="rId48" Type="http://schemas.openxmlformats.org/officeDocument/2006/relationships/hyperlink" Target="https://www.linkedin.com/in/hatem-altariqi-b1776591/" TargetMode="External"/><Relationship Id="rId47" Type="http://schemas.openxmlformats.org/officeDocument/2006/relationships/hyperlink" Target="https://www.gsiventures.com/" TargetMode="External"/><Relationship Id="rId49" Type="http://schemas.openxmlformats.org/officeDocument/2006/relationships/hyperlink" Target="https://noorholding.co/pages/investment" TargetMode="External"/><Relationship Id="rId31" Type="http://schemas.openxmlformats.org/officeDocument/2006/relationships/hyperlink" Target="https://enablingfuture.com/" TargetMode="External"/><Relationship Id="rId30" Type="http://schemas.openxmlformats.org/officeDocument/2006/relationships/hyperlink" Target="https://www.linkedin.com/in/alexei-kalinin-032aa856/" TargetMode="External"/><Relationship Id="rId33" Type="http://schemas.openxmlformats.org/officeDocument/2006/relationships/hyperlink" Target="https://kaafinvestments.com/" TargetMode="External"/><Relationship Id="rId32" Type="http://schemas.openxmlformats.org/officeDocument/2006/relationships/hyperlink" Target="https://www.linkedin.com/in/saadumerani/" TargetMode="External"/><Relationship Id="rId35" Type="http://schemas.openxmlformats.org/officeDocument/2006/relationships/hyperlink" Target="https://kafaa-invest.com/" TargetMode="External"/><Relationship Id="rId34" Type="http://schemas.openxmlformats.org/officeDocument/2006/relationships/hyperlink" Target="https://www.linkedin.com/in/filmon-ghebrihiwet-b32a251/" TargetMode="External"/><Relationship Id="rId37" Type="http://schemas.openxmlformats.org/officeDocument/2006/relationships/hyperlink" Target="https://ghobash.com/" TargetMode="External"/><Relationship Id="rId36" Type="http://schemas.openxmlformats.org/officeDocument/2006/relationships/hyperlink" Target="https://www.linkedin.com/in/mohammadalgassim/" TargetMode="External"/><Relationship Id="rId39" Type="http://schemas.openxmlformats.org/officeDocument/2006/relationships/hyperlink" Target="https://www.oberoiexpeditions.com/" TargetMode="External"/><Relationship Id="rId38" Type="http://schemas.openxmlformats.org/officeDocument/2006/relationships/hyperlink" Target="http://www.linkedin.com/in/davide-iebba-48728a29" TargetMode="External"/><Relationship Id="rId20" Type="http://schemas.openxmlformats.org/officeDocument/2006/relationships/hyperlink" Target="https://www.linkedin.com/in/lixiazhu/" TargetMode="External"/><Relationship Id="rId22" Type="http://schemas.openxmlformats.org/officeDocument/2006/relationships/hyperlink" Target="https://www.linkedin.com/in/evdemon/" TargetMode="External"/><Relationship Id="rId21" Type="http://schemas.openxmlformats.org/officeDocument/2006/relationships/hyperlink" Target="https://www.eudaimoniacapital.com/" TargetMode="External"/><Relationship Id="rId24" Type="http://schemas.openxmlformats.org/officeDocument/2006/relationships/hyperlink" Target="https://www.linkedin.com/in/alexander-peters-7819a2a9/" TargetMode="External"/><Relationship Id="rId23" Type="http://schemas.openxmlformats.org/officeDocument/2006/relationships/hyperlink" Target="https://www.ppr-ventures.com/" TargetMode="External"/><Relationship Id="rId26" Type="http://schemas.openxmlformats.org/officeDocument/2006/relationships/hyperlink" Target="https://www.linkedin.com/in/nayazrojid/" TargetMode="External"/><Relationship Id="rId25" Type="http://schemas.openxmlformats.org/officeDocument/2006/relationships/hyperlink" Target="https://adcg.ae/what-we-do-detail/1" TargetMode="External"/><Relationship Id="rId28" Type="http://schemas.openxmlformats.org/officeDocument/2006/relationships/hyperlink" Target="https://www.linkedin.com/in/jamaljawa/?originalSubdomain=ae" TargetMode="External"/><Relationship Id="rId27" Type="http://schemas.openxmlformats.org/officeDocument/2006/relationships/hyperlink" Target="https://www.starlinggroup.com/" TargetMode="External"/><Relationship Id="rId29" Type="http://schemas.openxmlformats.org/officeDocument/2006/relationships/hyperlink" Target="https://malmor.com.cy/" TargetMode="External"/><Relationship Id="rId11" Type="http://schemas.openxmlformats.org/officeDocument/2006/relationships/hyperlink" Target="https://www.cherrytree.vc/" TargetMode="External"/><Relationship Id="rId10" Type="http://schemas.openxmlformats.org/officeDocument/2006/relationships/hyperlink" Target="https://www.linkedin.com/in/arun-kant-11a1587/" TargetMode="External"/><Relationship Id="rId13" Type="http://schemas.openxmlformats.org/officeDocument/2006/relationships/hyperlink" Target="https://www.linkedin.com/company/mojo-partners/?originalSubdomain=sg" TargetMode="External"/><Relationship Id="rId12" Type="http://schemas.openxmlformats.org/officeDocument/2006/relationships/hyperlink" Target="https://www.linkedin.com/in/cyrille-costes-8bb9093b/" TargetMode="External"/><Relationship Id="rId15" Type="http://schemas.openxmlformats.org/officeDocument/2006/relationships/hyperlink" Target="https://www.gkgoh.com/" TargetMode="External"/><Relationship Id="rId14" Type="http://schemas.openxmlformats.org/officeDocument/2006/relationships/hyperlink" Target="https://www.linkedin.com/in/damien-lim-33a64112/?originalSubdomain=sg" TargetMode="External"/><Relationship Id="rId17" Type="http://schemas.openxmlformats.org/officeDocument/2006/relationships/hyperlink" Target="https://bhansalisfo.com/" TargetMode="External"/><Relationship Id="rId16" Type="http://schemas.openxmlformats.org/officeDocument/2006/relationships/hyperlink" Target="https://www.linkedin.com/in/choon-hiong-tan-61491320/?originalSubdomain=sg" TargetMode="External"/><Relationship Id="rId19" Type="http://schemas.openxmlformats.org/officeDocument/2006/relationships/hyperlink" Target="https://76columbus.com/investment" TargetMode="External"/><Relationship Id="rId18" Type="http://schemas.openxmlformats.org/officeDocument/2006/relationships/hyperlink" Target="https://www.linkedin.com/in/rishikumar-bhansali-b7446927/" TargetMode="External"/><Relationship Id="rId84" Type="http://schemas.openxmlformats.org/officeDocument/2006/relationships/hyperlink" Target="https://www.linkedin.com/in/stuart-connolly-44027b26/" TargetMode="External"/><Relationship Id="rId83" Type="http://schemas.openxmlformats.org/officeDocument/2006/relationships/hyperlink" Target="https://deusx.capital/" TargetMode="External"/><Relationship Id="rId86" Type="http://schemas.openxmlformats.org/officeDocument/2006/relationships/hyperlink" Target="https://www.linkedin.com/in/latifa-mbm-015b22104/" TargetMode="External"/><Relationship Id="rId85" Type="http://schemas.openxmlformats.org/officeDocument/2006/relationships/hyperlink" Target="https://afaq.ae/" TargetMode="External"/><Relationship Id="rId88" Type="http://schemas.openxmlformats.org/officeDocument/2006/relationships/hyperlink" Target="https://www.linkedin.com/in/yeoleemeng/" TargetMode="External"/><Relationship Id="rId87" Type="http://schemas.openxmlformats.org/officeDocument/2006/relationships/hyperlink" Target="https://enspire.vc/" TargetMode="External"/><Relationship Id="rId89" Type="http://schemas.openxmlformats.org/officeDocument/2006/relationships/hyperlink" Target="https://www.mirasinvest.com/" TargetMode="External"/><Relationship Id="rId80" Type="http://schemas.openxmlformats.org/officeDocument/2006/relationships/hyperlink" Target="https://www.linkedin.com/in/fawadtariq/" TargetMode="External"/><Relationship Id="rId82" Type="http://schemas.openxmlformats.org/officeDocument/2006/relationships/hyperlink" Target="https://www.linkedin.com/in/shweta-maheshwary-98a346159/" TargetMode="External"/><Relationship Id="rId81" Type="http://schemas.openxmlformats.org/officeDocument/2006/relationships/hyperlink" Target="https://sanadad.ae/" TargetMode="External"/><Relationship Id="rId73" Type="http://schemas.openxmlformats.org/officeDocument/2006/relationships/hyperlink" Target="https://yurbicapital.com/" TargetMode="External"/><Relationship Id="rId72" Type="http://schemas.openxmlformats.org/officeDocument/2006/relationships/hyperlink" Target="https://www.linkedin.com/in/ken-chew-6ab75414/" TargetMode="External"/><Relationship Id="rId75" Type="http://schemas.openxmlformats.org/officeDocument/2006/relationships/hyperlink" Target="https://daherinvestments.com/about" TargetMode="External"/><Relationship Id="rId74" Type="http://schemas.openxmlformats.org/officeDocument/2006/relationships/hyperlink" Target="https://www.linkedin.com/in/salwa-katkhuda-75b23513/" TargetMode="External"/><Relationship Id="rId77" Type="http://schemas.openxmlformats.org/officeDocument/2006/relationships/hyperlink" Target="https://amkm.ae/" TargetMode="External"/><Relationship Id="rId76" Type="http://schemas.openxmlformats.org/officeDocument/2006/relationships/hyperlink" Target="https://www.linkedin.com/in/markdaher/" TargetMode="External"/><Relationship Id="rId79" Type="http://schemas.openxmlformats.org/officeDocument/2006/relationships/hyperlink" Target="https://www.exnite.com/" TargetMode="External"/><Relationship Id="rId78" Type="http://schemas.openxmlformats.org/officeDocument/2006/relationships/hyperlink" Target="https://www.linkedin.com/in/hatan-bin-khalfan-b02100200/" TargetMode="External"/><Relationship Id="rId71" Type="http://schemas.openxmlformats.org/officeDocument/2006/relationships/hyperlink" Target="https://www.xinfamily.vip/" TargetMode="External"/><Relationship Id="rId70" Type="http://schemas.openxmlformats.org/officeDocument/2006/relationships/hyperlink" Target="https://www.linkedin.com/in/raidadaouk/" TargetMode="External"/><Relationship Id="rId62" Type="http://schemas.openxmlformats.org/officeDocument/2006/relationships/hyperlink" Target="https://www.linkedin.com/in/henry-c-5427422b1/?originalSubdomain=sg" TargetMode="External"/><Relationship Id="rId61" Type="http://schemas.openxmlformats.org/officeDocument/2006/relationships/hyperlink" Target="https://www.shawriver.com/" TargetMode="External"/><Relationship Id="rId64" Type="http://schemas.openxmlformats.org/officeDocument/2006/relationships/hyperlink" Target="https://www.linkedin.com/in/ossama-banaja-4a82b9b/" TargetMode="External"/><Relationship Id="rId63" Type="http://schemas.openxmlformats.org/officeDocument/2006/relationships/hyperlink" Target="https://annualreview.sedco.com/who_we_are/who_we_are.html" TargetMode="External"/><Relationship Id="rId66" Type="http://schemas.openxmlformats.org/officeDocument/2006/relationships/hyperlink" Target="https://www.linkedin.com/in/faresbugshan/" TargetMode="External"/><Relationship Id="rId65" Type="http://schemas.openxmlformats.org/officeDocument/2006/relationships/hyperlink" Target="https://bugshaninvestment.com/" TargetMode="External"/><Relationship Id="rId68" Type="http://schemas.openxmlformats.org/officeDocument/2006/relationships/hyperlink" Target="https://www.linkedin.com/in/jim-quismorio-4b130846/" TargetMode="External"/><Relationship Id="rId67" Type="http://schemas.openxmlformats.org/officeDocument/2006/relationships/hyperlink" Target="https://analog-cap.com/" TargetMode="External"/><Relationship Id="rId60" Type="http://schemas.openxmlformats.org/officeDocument/2006/relationships/hyperlink" Target="https://www.linkedin.com/in/saad-alhumayyd-cfa-caia-5015b460/" TargetMode="External"/><Relationship Id="rId69" Type="http://schemas.openxmlformats.org/officeDocument/2006/relationships/hyperlink" Target="https://www.amkanventures.com/" TargetMode="External"/><Relationship Id="rId51" Type="http://schemas.openxmlformats.org/officeDocument/2006/relationships/hyperlink" Target="https://murbiha.com/" TargetMode="External"/><Relationship Id="rId50" Type="http://schemas.openxmlformats.org/officeDocument/2006/relationships/hyperlink" Target="https://www.linkedin.com/in/alnakib/" TargetMode="External"/><Relationship Id="rId53" Type="http://schemas.openxmlformats.org/officeDocument/2006/relationships/hyperlink" Target="https://www.alrajhiunited.com/" TargetMode="External"/><Relationship Id="rId52" Type="http://schemas.openxmlformats.org/officeDocument/2006/relationships/hyperlink" Target="https://www.linkedin.com/in/caankitjaiswal/" TargetMode="External"/><Relationship Id="rId55" Type="http://schemas.openxmlformats.org/officeDocument/2006/relationships/hyperlink" Target="https://www.jlfo.com.sg/" TargetMode="External"/><Relationship Id="rId54" Type="http://schemas.openxmlformats.org/officeDocument/2006/relationships/hyperlink" Target="https://www.linkedin.com/in/abdulsalam-alrajhi-7b8580113/" TargetMode="External"/><Relationship Id="rId57" Type="http://schemas.openxmlformats.org/officeDocument/2006/relationships/hyperlink" Target="https://www.almutlaq.com/" TargetMode="External"/><Relationship Id="rId56" Type="http://schemas.openxmlformats.org/officeDocument/2006/relationships/hyperlink" Target="https://www.linkedin.com/in/andylim2388/" TargetMode="External"/><Relationship Id="rId59" Type="http://schemas.openxmlformats.org/officeDocument/2006/relationships/hyperlink" Target="https://masic.com.sa/" TargetMode="External"/><Relationship Id="rId58" Type="http://schemas.openxmlformats.org/officeDocument/2006/relationships/hyperlink" Target="https://www.linkedin.com/in/bader-almutlaq-b545891/" TargetMode="External"/><Relationship Id="rId107" Type="http://schemas.openxmlformats.org/officeDocument/2006/relationships/hyperlink" Target="https://in.linkedin.com/in/naveentewari" TargetMode="External"/><Relationship Id="rId106" Type="http://schemas.openxmlformats.org/officeDocument/2006/relationships/hyperlink" Target="https://sg.linkedin.com/in/tuck-meng-yee-712128" TargetMode="External"/><Relationship Id="rId105" Type="http://schemas.openxmlformats.org/officeDocument/2006/relationships/hyperlink" Target="https://www.jrtpartners.com/" TargetMode="External"/><Relationship Id="rId104" Type="http://schemas.openxmlformats.org/officeDocument/2006/relationships/hyperlink" Target="https://hk.linkedin.com/in/hamptontao" TargetMode="External"/><Relationship Id="rId109" Type="http://schemas.openxmlformats.org/officeDocument/2006/relationships/hyperlink" Target="https://in.linkedin.com/in/sachinbansal" TargetMode="External"/><Relationship Id="rId108" Type="http://schemas.openxmlformats.org/officeDocument/2006/relationships/hyperlink" Target="https://in.linkedin.com/in/naveentewari" TargetMode="External"/><Relationship Id="rId103" Type="http://schemas.openxmlformats.org/officeDocument/2006/relationships/hyperlink" Target="http://www.nh-holdings.com/" TargetMode="External"/><Relationship Id="rId102" Type="http://schemas.openxmlformats.org/officeDocument/2006/relationships/hyperlink" Target="https://www.linkedin.com/in/robert-dawson-44a9661/?originalSubdomain=za" TargetMode="External"/><Relationship Id="rId101" Type="http://schemas.openxmlformats.org/officeDocument/2006/relationships/hyperlink" Target="https://www.8t8capital.com/index.htm" TargetMode="External"/><Relationship Id="rId100" Type="http://schemas.openxmlformats.org/officeDocument/2006/relationships/hyperlink" Target="https://www.linkedin.com/in/phoebe-kwan-cfa-8993508/" TargetMode="External"/><Relationship Id="rId129" Type="http://schemas.openxmlformats.org/officeDocument/2006/relationships/hyperlink" Target="https://www.mesalanecapital.com/" TargetMode="External"/><Relationship Id="rId128" Type="http://schemas.openxmlformats.org/officeDocument/2006/relationships/hyperlink" Target="https://www.linkedin.com/in/marcos-bazzana-bbb610164/" TargetMode="External"/><Relationship Id="rId127" Type="http://schemas.openxmlformats.org/officeDocument/2006/relationships/hyperlink" Target="https://www.atentocapital.com/" TargetMode="External"/><Relationship Id="rId126" Type="http://schemas.openxmlformats.org/officeDocument/2006/relationships/hyperlink" Target="https://www.linkedin.com/in/azizkabbaj/" TargetMode="External"/><Relationship Id="rId121" Type="http://schemas.openxmlformats.org/officeDocument/2006/relationships/hyperlink" Target="https://www.accoladepartners.com/" TargetMode="External"/><Relationship Id="rId120" Type="http://schemas.openxmlformats.org/officeDocument/2006/relationships/hyperlink" Target="https://www.linkedin.com/in/hansswildens/" TargetMode="External"/><Relationship Id="rId125" Type="http://schemas.openxmlformats.org/officeDocument/2006/relationships/hyperlink" Target="https://www.reshape.co/" TargetMode="External"/><Relationship Id="rId124" Type="http://schemas.openxmlformats.org/officeDocument/2006/relationships/hyperlink" Target="https://www.linkedin.com/in/ltoney" TargetMode="External"/><Relationship Id="rId123" Type="http://schemas.openxmlformats.org/officeDocument/2006/relationships/hyperlink" Target="https://www.plexocap.com/" TargetMode="External"/><Relationship Id="rId122" Type="http://schemas.openxmlformats.org/officeDocument/2006/relationships/hyperlink" Target="https://www.linkedin.com/in/joelle-kayden-938a708/" TargetMode="External"/><Relationship Id="rId95" Type="http://schemas.openxmlformats.org/officeDocument/2006/relationships/hyperlink" Target="https://hunchventures.com/" TargetMode="External"/><Relationship Id="rId94" Type="http://schemas.openxmlformats.org/officeDocument/2006/relationships/hyperlink" Target="https://www.linkedin.com/in/akshat-goenka-91223b16b/" TargetMode="External"/><Relationship Id="rId97" Type="http://schemas.openxmlformats.org/officeDocument/2006/relationships/hyperlink" Target="https://b2vventures.com/" TargetMode="External"/><Relationship Id="rId96" Type="http://schemas.openxmlformats.org/officeDocument/2006/relationships/hyperlink" Target="https://www.linkedin.com/in/karanpal-singh-5707645a/" TargetMode="External"/><Relationship Id="rId99" Type="http://schemas.openxmlformats.org/officeDocument/2006/relationships/hyperlink" Target="https://www.linkedin.com/company/fro-management-limited/about/" TargetMode="External"/><Relationship Id="rId98" Type="http://schemas.openxmlformats.org/officeDocument/2006/relationships/hyperlink" Target="https://www.linkedin.com/in/apurvashah85/" TargetMode="External"/><Relationship Id="rId91" Type="http://schemas.openxmlformats.org/officeDocument/2006/relationships/hyperlink" Target="https://www.linkedin.com/in/kadvani/" TargetMode="External"/><Relationship Id="rId90" Type="http://schemas.openxmlformats.org/officeDocument/2006/relationships/hyperlink" Target="https://www.linkedin.com/in/elizabeth-hewitt-0531406/" TargetMode="External"/><Relationship Id="rId93" Type="http://schemas.openxmlformats.org/officeDocument/2006/relationships/hyperlink" Target="https://agventures.co.in/" TargetMode="External"/><Relationship Id="rId92" Type="http://schemas.openxmlformats.org/officeDocument/2006/relationships/hyperlink" Target="https://www.linkedin.com/in/kadvani/" TargetMode="External"/><Relationship Id="rId118" Type="http://schemas.openxmlformats.org/officeDocument/2006/relationships/hyperlink" Target="https://www.linkedin.com/in/david-york-2407295" TargetMode="External"/><Relationship Id="rId117" Type="http://schemas.openxmlformats.org/officeDocument/2006/relationships/hyperlink" Target="https://ttcp.com/" TargetMode="External"/><Relationship Id="rId116" Type="http://schemas.openxmlformats.org/officeDocument/2006/relationships/hyperlink" Target="https://www.linkedin.com/in/31mml/" TargetMode="External"/><Relationship Id="rId115" Type="http://schemas.openxmlformats.org/officeDocument/2006/relationships/hyperlink" Target="http://screendoor.co" TargetMode="External"/><Relationship Id="rId119" Type="http://schemas.openxmlformats.org/officeDocument/2006/relationships/hyperlink" Target="https://www.industryventures.com/" TargetMode="External"/><Relationship Id="rId110" Type="http://schemas.openxmlformats.org/officeDocument/2006/relationships/hyperlink" Target="https://in.linkedin.com/in/sachinbansal" TargetMode="External"/><Relationship Id="rId114" Type="http://schemas.openxmlformats.org/officeDocument/2006/relationships/hyperlink" Target="https://www.linkedin.com/in/michael-kim-cendana-capital/" TargetMode="External"/><Relationship Id="rId113" Type="http://schemas.openxmlformats.org/officeDocument/2006/relationships/hyperlink" Target="https://www.cendanacapital.com/" TargetMode="External"/><Relationship Id="rId112" Type="http://schemas.openxmlformats.org/officeDocument/2006/relationships/hyperlink" Target="https://sg.linkedin.com/in/binnybansal" TargetMode="External"/><Relationship Id="rId111" Type="http://schemas.openxmlformats.org/officeDocument/2006/relationships/hyperlink" Target="https://sg.linkedin.com/in/binnybansal"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www.nftrinity.com/" TargetMode="External"/><Relationship Id="rId2" Type="http://schemas.openxmlformats.org/officeDocument/2006/relationships/hyperlink" Target="https://www.nftrinity.com/our-services/private-investment/" TargetMode="External"/><Relationship Id="rId3" Type="http://schemas.openxmlformats.org/officeDocument/2006/relationships/hyperlink" Target="https://www.linkedin.com/in/helen-zhu-63796/" TargetMode="External"/><Relationship Id="rId4" Type="http://schemas.openxmlformats.org/officeDocument/2006/relationships/hyperlink" Target="https://www.newchiccapital.com/" TargetMode="External"/><Relationship Id="rId9" Type="http://schemas.openxmlformats.org/officeDocument/2006/relationships/hyperlink" Target="https://www.linkedin.com/in/darrin-woo/" TargetMode="External"/><Relationship Id="rId5" Type="http://schemas.openxmlformats.org/officeDocument/2006/relationships/hyperlink" Target="https://www.newchiccapital.com/" TargetMode="External"/><Relationship Id="rId6" Type="http://schemas.openxmlformats.org/officeDocument/2006/relationships/hyperlink" Target="https://www.linkedin.com/in/JenniferCheng/" TargetMode="External"/><Relationship Id="rId7" Type="http://schemas.openxmlformats.org/officeDocument/2006/relationships/hyperlink" Target="https://www.whfgroup.com/" TargetMode="External"/><Relationship Id="rId8" Type="http://schemas.openxmlformats.org/officeDocument/2006/relationships/hyperlink" Target="https://www.whfgroup.com/portfolio" TargetMode="External"/><Relationship Id="rId40" Type="http://schemas.openxmlformats.org/officeDocument/2006/relationships/hyperlink" Target="https://www.temasek.com.sg/en/index" TargetMode="External"/><Relationship Id="rId42" Type="http://schemas.openxmlformats.org/officeDocument/2006/relationships/hyperlink" Target="https://www.linkedin.com/in/albertguyu/" TargetMode="External"/><Relationship Id="rId41" Type="http://schemas.openxmlformats.org/officeDocument/2006/relationships/hyperlink" Target="https://www.temasek.com.sg/en/our-investments/investment-approach" TargetMode="External"/><Relationship Id="rId44" Type="http://schemas.openxmlformats.org/officeDocument/2006/relationships/hyperlink" Target="https://www.sigulerguff.com/investment-strategies/emerging-markets/" TargetMode="External"/><Relationship Id="rId43" Type="http://schemas.openxmlformats.org/officeDocument/2006/relationships/hyperlink" Target="https://www.sigulerguff.com/" TargetMode="External"/><Relationship Id="rId46" Type="http://schemas.openxmlformats.org/officeDocument/2006/relationships/hyperlink" Target="https://www.linkedin.com/in/rayyip/?isSelfProfile=false" TargetMode="External"/><Relationship Id="rId45" Type="http://schemas.openxmlformats.org/officeDocument/2006/relationships/hyperlink" Target="https://www.linkedin.com/in/gee-lee-8630942b/" TargetMode="External"/><Relationship Id="rId48" Type="http://schemas.openxmlformats.org/officeDocument/2006/relationships/hyperlink" Target="https://www.linkedin.com/in/rayyip/?isSelfProfile=false" TargetMode="External"/><Relationship Id="rId47" Type="http://schemas.openxmlformats.org/officeDocument/2006/relationships/hyperlink" Target="https://www.linkedin.com/in/rayyip/?isSelfProfile=false" TargetMode="External"/><Relationship Id="rId49" Type="http://schemas.openxmlformats.org/officeDocument/2006/relationships/hyperlink" Target="https://www.linkedin.com/in/mrwillau/" TargetMode="External"/><Relationship Id="rId31" Type="http://schemas.openxmlformats.org/officeDocument/2006/relationships/hyperlink" Target="https://www.tikehaucapital.com/en" TargetMode="External"/><Relationship Id="rId30" Type="http://schemas.openxmlformats.org/officeDocument/2006/relationships/hyperlink" Target="https://www.linkedin.com/in/jason-guo-a794341a/" TargetMode="External"/><Relationship Id="rId33" Type="http://schemas.openxmlformats.org/officeDocument/2006/relationships/hyperlink" Target="https://www.linkedin.com/in/young-joon-moon-7672b634/" TargetMode="External"/><Relationship Id="rId32" Type="http://schemas.openxmlformats.org/officeDocument/2006/relationships/hyperlink" Target="https://www.tikehaucapital.com/~/media/Files/T/Tikehau-Capital-V2/documents/media/en/pr-2018-en/2018-01-18-cp-tikehau-capital-ring-eng.pdf" TargetMode="External"/><Relationship Id="rId35" Type="http://schemas.openxmlformats.org/officeDocument/2006/relationships/hyperlink" Target="https://www.junsoncapital.com/" TargetMode="External"/><Relationship Id="rId34" Type="http://schemas.openxmlformats.org/officeDocument/2006/relationships/hyperlink" Target="https://www.junsoncapital.com/" TargetMode="External"/><Relationship Id="rId37" Type="http://schemas.openxmlformats.org/officeDocument/2006/relationships/hyperlink" Target="https://www.morganstanley.com/im/en-gb/institutional-investor.html" TargetMode="External"/><Relationship Id="rId36" Type="http://schemas.openxmlformats.org/officeDocument/2006/relationships/hyperlink" Target="https://www.linkedin.com/in/daisy-ce-shi-406408b4/" TargetMode="External"/><Relationship Id="rId39" Type="http://schemas.openxmlformats.org/officeDocument/2006/relationships/hyperlink" Target="https://www.linkedin.com/in/michael-vollmerich-5171918/" TargetMode="External"/><Relationship Id="rId38" Type="http://schemas.openxmlformats.org/officeDocument/2006/relationships/hyperlink" Target="https://www.venturecapitaljournal.com/what-morgan-stanley-looks-for-in-early-stage-vc-funds/" TargetMode="External"/><Relationship Id="rId20" Type="http://schemas.openxmlformats.org/officeDocument/2006/relationships/hyperlink" Target="https://www.clickventures.vc/" TargetMode="External"/><Relationship Id="rId22" Type="http://schemas.openxmlformats.org/officeDocument/2006/relationships/hyperlink" Target="https://www.ferrettocap.com/" TargetMode="External"/><Relationship Id="rId21" Type="http://schemas.openxmlformats.org/officeDocument/2006/relationships/hyperlink" Target="https://www.linkedin.com/in/carmanchan/" TargetMode="External"/><Relationship Id="rId24" Type="http://schemas.openxmlformats.org/officeDocument/2006/relationships/hyperlink" Target="https://www.linkedin.com/in/nydia-zhang-34161084/" TargetMode="External"/><Relationship Id="rId23" Type="http://schemas.openxmlformats.org/officeDocument/2006/relationships/hyperlink" Target="https://www.ferrettocap.com/" TargetMode="External"/><Relationship Id="rId26" Type="http://schemas.openxmlformats.org/officeDocument/2006/relationships/hyperlink" Target="https://www.linkedin.com/company/gurryshark/" TargetMode="External"/><Relationship Id="rId25" Type="http://schemas.openxmlformats.org/officeDocument/2006/relationships/hyperlink" Target="https://www.gurryshark.com/" TargetMode="External"/><Relationship Id="rId28" Type="http://schemas.openxmlformats.org/officeDocument/2006/relationships/hyperlink" Target="https://www.linkedin.com/company/andon-hong-kong/" TargetMode="External"/><Relationship Id="rId27" Type="http://schemas.openxmlformats.org/officeDocument/2006/relationships/hyperlink" Target="https://www.linkedin.com/in/fei-chen-4b750b2b/" TargetMode="External"/><Relationship Id="rId29" Type="http://schemas.openxmlformats.org/officeDocument/2006/relationships/hyperlink" Target="https://www.linkedin.com/company/andon-hong-kong/" TargetMode="External"/><Relationship Id="rId11" Type="http://schemas.openxmlformats.org/officeDocument/2006/relationships/hyperlink" Target="https://vmsam.com/strategic-partnerships/" TargetMode="External"/><Relationship Id="rId10" Type="http://schemas.openxmlformats.org/officeDocument/2006/relationships/hyperlink" Target="https://vmsam.com/" TargetMode="External"/><Relationship Id="rId13" Type="http://schemas.openxmlformats.org/officeDocument/2006/relationships/hyperlink" Target="https://www.decentcapital.com/en/home" TargetMode="External"/><Relationship Id="rId12" Type="http://schemas.openxmlformats.org/officeDocument/2006/relationships/hyperlink" Target="https://www.linkedin.com/in/valeriekma/" TargetMode="External"/><Relationship Id="rId15" Type="http://schemas.openxmlformats.org/officeDocument/2006/relationships/hyperlink" Target="https://www.linkedin.com/in/caozhengchen/" TargetMode="External"/><Relationship Id="rId14" Type="http://schemas.openxmlformats.org/officeDocument/2006/relationships/hyperlink" Target="https://www.decentcapital.com/en/home" TargetMode="External"/><Relationship Id="rId17" Type="http://schemas.openxmlformats.org/officeDocument/2006/relationships/hyperlink" Target="https://www.alxza.com/strategy" TargetMode="External"/><Relationship Id="rId16" Type="http://schemas.openxmlformats.org/officeDocument/2006/relationships/hyperlink" Target="https://www.alxza.com/" TargetMode="External"/><Relationship Id="rId19" Type="http://schemas.openxmlformats.org/officeDocument/2006/relationships/hyperlink" Target="https://www.clickventures.vc/" TargetMode="External"/><Relationship Id="rId18" Type="http://schemas.openxmlformats.org/officeDocument/2006/relationships/hyperlink" Target="https://www.linkedin.com/in/helen-chau830/" TargetMode="External"/><Relationship Id="rId70" Type="http://schemas.openxmlformats.org/officeDocument/2006/relationships/table" Target="../tables/table31.xml"/><Relationship Id="rId62" Type="http://schemas.openxmlformats.org/officeDocument/2006/relationships/hyperlink" Target="https://www.ardian.com/" TargetMode="External"/><Relationship Id="rId61" Type="http://schemas.openxmlformats.org/officeDocument/2006/relationships/hyperlink" Target="https://www.evg.co/investment" TargetMode="External"/><Relationship Id="rId64" Type="http://schemas.openxmlformats.org/officeDocument/2006/relationships/drawing" Target="../drawings/drawing9.xml"/><Relationship Id="rId63" Type="http://schemas.openxmlformats.org/officeDocument/2006/relationships/hyperlink" Target="https://www.ardian.com/expertise/private-equity/secondaries-primaries" TargetMode="External"/><Relationship Id="rId68" Type="http://schemas.openxmlformats.org/officeDocument/2006/relationships/table" Target="../tables/table29.xml"/><Relationship Id="rId60" Type="http://schemas.openxmlformats.org/officeDocument/2006/relationships/hyperlink" Target="https://www.evg.co/" TargetMode="External"/><Relationship Id="rId69" Type="http://schemas.openxmlformats.org/officeDocument/2006/relationships/table" Target="../tables/table30.xml"/><Relationship Id="rId51" Type="http://schemas.openxmlformats.org/officeDocument/2006/relationships/hyperlink" Target="https://www.linkedin.com/in/mrwillau/" TargetMode="External"/><Relationship Id="rId50" Type="http://schemas.openxmlformats.org/officeDocument/2006/relationships/hyperlink" Target="https://www.linkedin.com/in/mrwillau/" TargetMode="External"/><Relationship Id="rId53" Type="http://schemas.openxmlformats.org/officeDocument/2006/relationships/hyperlink" Target="https://www.nexusbaycap.com/" TargetMode="External"/><Relationship Id="rId52" Type="http://schemas.openxmlformats.org/officeDocument/2006/relationships/hyperlink" Target="https://www.nexusbaycap.com/" TargetMode="External"/><Relationship Id="rId55" Type="http://schemas.openxmlformats.org/officeDocument/2006/relationships/hyperlink" Target="https://www.linkedin.com/in/andy-ann/details/experience/" TargetMode="External"/><Relationship Id="rId54" Type="http://schemas.openxmlformats.org/officeDocument/2006/relationships/hyperlink" Target="https://www.linkedin.com/in/andy-ann/" TargetMode="External"/><Relationship Id="rId57" Type="http://schemas.openxmlformats.org/officeDocument/2006/relationships/hyperlink" Target="https://www.linkedin.com/in/chihowong/" TargetMode="External"/><Relationship Id="rId56" Type="http://schemas.openxmlformats.org/officeDocument/2006/relationships/hyperlink" Target="https://www.linkedin.com/in/chihowong/" TargetMode="External"/><Relationship Id="rId59" Type="http://schemas.openxmlformats.org/officeDocument/2006/relationships/hyperlink" Target="https://www.linkedin.com/in/menka-p-8501613/details/experience/" TargetMode="External"/><Relationship Id="rId58" Type="http://schemas.openxmlformats.org/officeDocument/2006/relationships/hyperlink" Target="https://www.linkedin.com/in/menka-p-8501613/"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www.linkedin.com/in/enadalin/" TargetMode="External"/><Relationship Id="rId2" Type="http://schemas.openxmlformats.org/officeDocument/2006/relationships/hyperlink" Target="https://www.linkedin.com/in/enadalin/" TargetMode="External"/><Relationship Id="rId3" Type="http://schemas.openxmlformats.org/officeDocument/2006/relationships/hyperlink" Target="https://www.linkedin.com/in/enadalin/" TargetMode="External"/><Relationship Id="rId4" Type="http://schemas.openxmlformats.org/officeDocument/2006/relationships/hyperlink" Target="https://www.linkedin.com/in/parvinmammadov/" TargetMode="External"/><Relationship Id="rId9" Type="http://schemas.openxmlformats.org/officeDocument/2006/relationships/hyperlink" Target="https://www.linkedin.com/in/robertswerling/" TargetMode="External"/><Relationship Id="rId5" Type="http://schemas.openxmlformats.org/officeDocument/2006/relationships/hyperlink" Target="https://www.linkedin.com/in/parvinmammadov/" TargetMode="External"/><Relationship Id="rId6" Type="http://schemas.openxmlformats.org/officeDocument/2006/relationships/hyperlink" Target="https://www.linkedin.com/in/parvinmammadov/" TargetMode="External"/><Relationship Id="rId7" Type="http://schemas.openxmlformats.org/officeDocument/2006/relationships/hyperlink" Target="https://www.linkedin.com/in/robertswerling/" TargetMode="External"/><Relationship Id="rId8" Type="http://schemas.openxmlformats.org/officeDocument/2006/relationships/hyperlink" Target="https://www.linkedin.com/in/robertswerling/details/experience/" TargetMode="External"/><Relationship Id="rId40" Type="http://schemas.openxmlformats.org/officeDocument/2006/relationships/hyperlink" Target="https://www.linkedin.com/in/karanchouhan/" TargetMode="External"/><Relationship Id="rId42" Type="http://schemas.openxmlformats.org/officeDocument/2006/relationships/hyperlink" Target="https://www.linkedin.com/in/karanchouhan/" TargetMode="External"/><Relationship Id="rId41" Type="http://schemas.openxmlformats.org/officeDocument/2006/relationships/hyperlink" Target="https://www.linkedin.com/in/karanchouhan/" TargetMode="External"/><Relationship Id="rId44" Type="http://schemas.openxmlformats.org/officeDocument/2006/relationships/hyperlink" Target="https://www.linkedin.com/in/alexfmac/" TargetMode="External"/><Relationship Id="rId43" Type="http://schemas.openxmlformats.org/officeDocument/2006/relationships/hyperlink" Target="https://www.linkedin.com/in/alexfmac/" TargetMode="External"/><Relationship Id="rId46" Type="http://schemas.openxmlformats.org/officeDocument/2006/relationships/hyperlink" Target="https://www.linkedin.com/in/nataliasimonenko/" TargetMode="External"/><Relationship Id="rId45" Type="http://schemas.openxmlformats.org/officeDocument/2006/relationships/hyperlink" Target="http://linkedin.com/in/alexfmac/" TargetMode="External"/><Relationship Id="rId48" Type="http://schemas.openxmlformats.org/officeDocument/2006/relationships/hyperlink" Target="https://www.linkedin.com/in/nataliasimonenko/" TargetMode="External"/><Relationship Id="rId47" Type="http://schemas.openxmlformats.org/officeDocument/2006/relationships/hyperlink" Target="https://www.linkedin.com/in/nataliasimonenko/" TargetMode="External"/><Relationship Id="rId49" Type="http://schemas.openxmlformats.org/officeDocument/2006/relationships/drawing" Target="../drawings/drawing10.xml"/><Relationship Id="rId31" Type="http://schemas.openxmlformats.org/officeDocument/2006/relationships/hyperlink" Target="https://www.linkedin.com/in/rr-robertoricci/" TargetMode="External"/><Relationship Id="rId30" Type="http://schemas.openxmlformats.org/officeDocument/2006/relationships/hyperlink" Target="https://www.linkedin.com/in/farid-moeinifar/" TargetMode="External"/><Relationship Id="rId33" Type="http://schemas.openxmlformats.org/officeDocument/2006/relationships/hyperlink" Target="https://www.linkedin.com/in/rr-robertoricci/" TargetMode="External"/><Relationship Id="rId32" Type="http://schemas.openxmlformats.org/officeDocument/2006/relationships/hyperlink" Target="https://www.linkedin.com/in/rr-robertoricci/" TargetMode="External"/><Relationship Id="rId35" Type="http://schemas.openxmlformats.org/officeDocument/2006/relationships/hyperlink" Target="https://www.linkedin.com/in/ferdinand-reynolds/" TargetMode="External"/><Relationship Id="rId34" Type="http://schemas.openxmlformats.org/officeDocument/2006/relationships/hyperlink" Target="https://www.linkedin.com/in/ferdinand-reynolds/" TargetMode="External"/><Relationship Id="rId37" Type="http://schemas.openxmlformats.org/officeDocument/2006/relationships/hyperlink" Target="https://www.linkedin.com/in/andrey-anishchenko-b6784613/" TargetMode="External"/><Relationship Id="rId36" Type="http://schemas.openxmlformats.org/officeDocument/2006/relationships/hyperlink" Target="https://www.linkedin.com/in/ferdinand-reynolds/" TargetMode="External"/><Relationship Id="rId39" Type="http://schemas.openxmlformats.org/officeDocument/2006/relationships/hyperlink" Target="https://www.linkedin.com/in/andrey-anishchenko-b6784613/" TargetMode="External"/><Relationship Id="rId38" Type="http://schemas.openxmlformats.org/officeDocument/2006/relationships/hyperlink" Target="https://www.linkedin.com/in/andrey-anishchenko-b6784613/" TargetMode="External"/><Relationship Id="rId20" Type="http://schemas.openxmlformats.org/officeDocument/2006/relationships/hyperlink" Target="https://www.linkedin.com/in/tariqaris/" TargetMode="External"/><Relationship Id="rId22" Type="http://schemas.openxmlformats.org/officeDocument/2006/relationships/hyperlink" Target="https://www.linkedin.com/in/benwrightconsulting/" TargetMode="External"/><Relationship Id="rId21" Type="http://schemas.openxmlformats.org/officeDocument/2006/relationships/hyperlink" Target="https://www.linkedin.com/in/tariqaris/" TargetMode="External"/><Relationship Id="rId24" Type="http://schemas.openxmlformats.org/officeDocument/2006/relationships/hyperlink" Target="https://www.linkedin.com/in/benwrightconsulting/" TargetMode="External"/><Relationship Id="rId23" Type="http://schemas.openxmlformats.org/officeDocument/2006/relationships/hyperlink" Target="https://www.linkedin.com/in/benwrightconsulting/" TargetMode="External"/><Relationship Id="rId26" Type="http://schemas.openxmlformats.org/officeDocument/2006/relationships/hyperlink" Target="https://www.linkedin.com/in/willn/" TargetMode="External"/><Relationship Id="rId25" Type="http://schemas.openxmlformats.org/officeDocument/2006/relationships/hyperlink" Target="https://www.linkedin.com/in/willn/" TargetMode="External"/><Relationship Id="rId28" Type="http://schemas.openxmlformats.org/officeDocument/2006/relationships/hyperlink" Target="https://www.cooperfamilyoffice.com/" TargetMode="External"/><Relationship Id="rId27" Type="http://schemas.openxmlformats.org/officeDocument/2006/relationships/hyperlink" Target="https://www.linkedin.com/in/willn/" TargetMode="External"/><Relationship Id="rId29" Type="http://schemas.openxmlformats.org/officeDocument/2006/relationships/hyperlink" Target="https://www.cooperfamilyoffice.com/venture-capital" TargetMode="External"/><Relationship Id="rId11" Type="http://schemas.openxmlformats.org/officeDocument/2006/relationships/hyperlink" Target="https://www.linkedin.com/in/leechris1/details/experience/" TargetMode="External"/><Relationship Id="rId10" Type="http://schemas.openxmlformats.org/officeDocument/2006/relationships/hyperlink" Target="https://www.linkedin.com/in/leechris1/" TargetMode="External"/><Relationship Id="rId13" Type="http://schemas.openxmlformats.org/officeDocument/2006/relationships/hyperlink" Target="https://www.linkedin.com/in/gabbicahane/" TargetMode="External"/><Relationship Id="rId12" Type="http://schemas.openxmlformats.org/officeDocument/2006/relationships/hyperlink" Target="https://www.linkedin.com/in/leechris1" TargetMode="External"/><Relationship Id="rId15" Type="http://schemas.openxmlformats.org/officeDocument/2006/relationships/hyperlink" Target="https://www.linkedin.com/in/gabbicahane/" TargetMode="External"/><Relationship Id="rId14" Type="http://schemas.openxmlformats.org/officeDocument/2006/relationships/hyperlink" Target="https://www.linkedin.com/in/gabbicahane/" TargetMode="External"/><Relationship Id="rId17" Type="http://schemas.openxmlformats.org/officeDocument/2006/relationships/hyperlink" Target="https://www.linkedin.com/in/morten-schlosser-9a6127/" TargetMode="External"/><Relationship Id="rId16" Type="http://schemas.openxmlformats.org/officeDocument/2006/relationships/hyperlink" Target="https://www.linkedin.com/in/morten-schlosser-9a6127/" TargetMode="External"/><Relationship Id="rId19" Type="http://schemas.openxmlformats.org/officeDocument/2006/relationships/hyperlink" Target="https://www.linkedin.com/in/tariqaris/" TargetMode="External"/><Relationship Id="rId18" Type="http://schemas.openxmlformats.org/officeDocument/2006/relationships/hyperlink" Target="https://www.linkedin.com/in/morten-schlosser-9a6127/" TargetMode="External"/><Relationship Id="rId53" Type="http://schemas.openxmlformats.org/officeDocument/2006/relationships/table" Target="../tables/table33.xml"/><Relationship Id="rId52" Type="http://schemas.openxmlformats.org/officeDocument/2006/relationships/table" Target="../tables/table32.xml"/></Relationships>
</file>

<file path=xl/worksheets/_rels/sheet11.xml.rels><?xml version="1.0" encoding="UTF-8" standalone="yes"?><Relationships xmlns="http://schemas.openxmlformats.org/package/2006/relationships"><Relationship Id="rId1" Type="http://schemas.openxmlformats.org/officeDocument/2006/relationships/hyperlink" Target="https://willgrow.com/portfolio/" TargetMode="External"/><Relationship Id="rId2" Type="http://schemas.openxmlformats.org/officeDocument/2006/relationships/hyperlink" Target="http://amkinvestment.com" TargetMode="External"/><Relationship Id="rId3" Type="http://schemas.openxmlformats.org/officeDocument/2006/relationships/hyperlink" Target="http://www.h14.it/" TargetMode="External"/><Relationship Id="rId4" Type="http://schemas.openxmlformats.org/officeDocument/2006/relationships/hyperlink" Target="https://www.mrm-family.com/" TargetMode="External"/><Relationship Id="rId5" Type="http://schemas.openxmlformats.org/officeDocument/2006/relationships/hyperlink" Target="https://www.linkedin.com/company/n-capital-holding/" TargetMode="External"/><Relationship Id="rId6"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75"/>
    <col customWidth="1" min="2" max="2" width="66.13"/>
    <col customWidth="1" min="3" max="3" width="70.38"/>
  </cols>
  <sheetData>
    <row r="1">
      <c r="A1" s="1" t="s">
        <v>0</v>
      </c>
      <c r="B1" s="2"/>
      <c r="C1" s="3"/>
      <c r="D1" s="4"/>
      <c r="E1" s="4"/>
      <c r="F1" s="4"/>
      <c r="G1" s="4"/>
      <c r="H1" s="4"/>
      <c r="I1" s="4"/>
      <c r="J1" s="4"/>
      <c r="K1" s="4"/>
      <c r="L1" s="4"/>
      <c r="M1" s="4"/>
      <c r="N1" s="4"/>
      <c r="O1" s="4"/>
      <c r="P1" s="4"/>
      <c r="Q1" s="4"/>
      <c r="R1" s="4"/>
      <c r="S1" s="4"/>
      <c r="T1" s="4"/>
      <c r="U1" s="4"/>
      <c r="V1" s="4"/>
      <c r="W1" s="4"/>
      <c r="X1" s="4"/>
    </row>
    <row r="2">
      <c r="A2" s="5" t="s">
        <v>1</v>
      </c>
      <c r="B2" s="2"/>
      <c r="C2" s="3"/>
      <c r="D2" s="4"/>
      <c r="E2" s="4"/>
      <c r="F2" s="4"/>
      <c r="G2" s="4"/>
      <c r="H2" s="4"/>
      <c r="I2" s="4"/>
      <c r="J2" s="4"/>
      <c r="K2" s="4"/>
      <c r="L2" s="4"/>
      <c r="M2" s="4"/>
      <c r="N2" s="4"/>
      <c r="O2" s="4"/>
      <c r="P2" s="4"/>
      <c r="Q2" s="4"/>
      <c r="R2" s="4"/>
      <c r="S2" s="4"/>
      <c r="T2" s="4"/>
      <c r="U2" s="4"/>
      <c r="V2" s="4"/>
      <c r="W2" s="4"/>
      <c r="X2" s="4"/>
    </row>
    <row r="3">
      <c r="A3" s="1"/>
      <c r="B3" s="2"/>
      <c r="C3" s="3"/>
      <c r="D3" s="4"/>
      <c r="E3" s="4"/>
      <c r="F3" s="4"/>
      <c r="G3" s="4"/>
      <c r="H3" s="4"/>
      <c r="I3" s="4"/>
      <c r="J3" s="4"/>
      <c r="K3" s="4"/>
      <c r="L3" s="4"/>
      <c r="M3" s="4"/>
      <c r="N3" s="4"/>
      <c r="O3" s="4"/>
      <c r="P3" s="4"/>
      <c r="Q3" s="4"/>
      <c r="R3" s="4"/>
      <c r="S3" s="4"/>
      <c r="T3" s="4"/>
      <c r="U3" s="4"/>
      <c r="V3" s="4"/>
      <c r="W3" s="4"/>
      <c r="X3" s="4"/>
    </row>
    <row r="4">
      <c r="A4" s="6" t="s">
        <v>2</v>
      </c>
      <c r="B4" s="2"/>
      <c r="C4" s="3"/>
      <c r="D4" s="4"/>
      <c r="E4" s="4"/>
      <c r="F4" s="4"/>
      <c r="G4" s="4"/>
      <c r="H4" s="4"/>
      <c r="I4" s="4"/>
      <c r="J4" s="4"/>
      <c r="K4" s="4"/>
      <c r="L4" s="4"/>
      <c r="M4" s="4"/>
      <c r="N4" s="4"/>
      <c r="O4" s="4"/>
      <c r="P4" s="4"/>
      <c r="Q4" s="4"/>
      <c r="R4" s="4"/>
      <c r="S4" s="4"/>
      <c r="T4" s="4"/>
      <c r="U4" s="4"/>
      <c r="V4" s="4"/>
      <c r="W4" s="4"/>
      <c r="X4" s="4"/>
    </row>
    <row r="5">
      <c r="A5" s="7" t="s">
        <v>3</v>
      </c>
      <c r="B5" s="2"/>
      <c r="C5" s="3"/>
      <c r="D5" s="4"/>
      <c r="E5" s="4"/>
      <c r="F5" s="4"/>
      <c r="G5" s="4"/>
      <c r="H5" s="4"/>
      <c r="I5" s="4"/>
      <c r="J5" s="4"/>
      <c r="K5" s="4"/>
      <c r="L5" s="4"/>
      <c r="M5" s="4"/>
      <c r="N5" s="4"/>
      <c r="O5" s="4"/>
      <c r="P5" s="4"/>
      <c r="Q5" s="4"/>
      <c r="R5" s="4"/>
      <c r="S5" s="4"/>
      <c r="T5" s="4"/>
      <c r="U5" s="4"/>
      <c r="V5" s="4"/>
      <c r="W5" s="4"/>
      <c r="X5" s="4"/>
    </row>
    <row r="6">
      <c r="A6" s="7" t="s">
        <v>4</v>
      </c>
      <c r="B6" s="2"/>
      <c r="C6" s="3"/>
      <c r="D6" s="8"/>
      <c r="E6" s="8"/>
      <c r="F6" s="8"/>
      <c r="G6" s="8"/>
      <c r="H6" s="8"/>
      <c r="I6" s="8"/>
      <c r="J6" s="8"/>
      <c r="K6" s="8"/>
      <c r="L6" s="8"/>
      <c r="M6" s="8"/>
      <c r="N6" s="8"/>
      <c r="O6" s="8"/>
      <c r="P6" s="8"/>
      <c r="Q6" s="8"/>
      <c r="R6" s="8"/>
      <c r="S6" s="8"/>
      <c r="T6" s="8"/>
      <c r="U6" s="8"/>
      <c r="V6" s="8"/>
      <c r="W6" s="8"/>
      <c r="X6" s="8"/>
    </row>
    <row r="7">
      <c r="A7" s="7" t="s">
        <v>5</v>
      </c>
      <c r="B7" s="2"/>
      <c r="C7" s="3"/>
      <c r="D7" s="8"/>
      <c r="E7" s="8"/>
      <c r="F7" s="8"/>
      <c r="G7" s="8"/>
      <c r="H7" s="8"/>
      <c r="I7" s="8"/>
      <c r="J7" s="8"/>
      <c r="K7" s="8"/>
      <c r="L7" s="8"/>
      <c r="M7" s="8"/>
      <c r="N7" s="8"/>
      <c r="O7" s="8"/>
      <c r="P7" s="8"/>
      <c r="Q7" s="8"/>
      <c r="R7" s="8"/>
      <c r="S7" s="8"/>
      <c r="T7" s="8"/>
      <c r="U7" s="8"/>
      <c r="V7" s="8"/>
      <c r="W7" s="8"/>
      <c r="X7" s="8"/>
    </row>
    <row r="8">
      <c r="A8" s="9" t="s">
        <v>6</v>
      </c>
      <c r="B8" s="10"/>
      <c r="C8" s="11"/>
      <c r="D8" s="4"/>
      <c r="E8" s="4"/>
      <c r="F8" s="4"/>
      <c r="G8" s="4"/>
      <c r="H8" s="4"/>
      <c r="I8" s="4"/>
      <c r="J8" s="4"/>
      <c r="K8" s="4"/>
      <c r="L8" s="4"/>
      <c r="M8" s="4"/>
      <c r="N8" s="4"/>
      <c r="O8" s="4"/>
      <c r="P8" s="4"/>
      <c r="Q8" s="4"/>
      <c r="R8" s="4"/>
      <c r="S8" s="4"/>
      <c r="T8" s="4"/>
      <c r="U8" s="4"/>
      <c r="V8" s="4"/>
      <c r="W8" s="4"/>
      <c r="X8" s="4"/>
    </row>
    <row r="9">
      <c r="A9" s="12" t="s">
        <v>7</v>
      </c>
      <c r="B9" s="10"/>
      <c r="C9" s="11"/>
      <c r="D9" s="4"/>
      <c r="E9" s="4"/>
      <c r="F9" s="4"/>
      <c r="G9" s="4"/>
      <c r="H9" s="4"/>
      <c r="I9" s="4"/>
      <c r="J9" s="4"/>
      <c r="K9" s="4"/>
      <c r="L9" s="4"/>
      <c r="M9" s="4"/>
      <c r="N9" s="4"/>
      <c r="O9" s="4"/>
      <c r="P9" s="4"/>
      <c r="Q9" s="4"/>
      <c r="R9" s="4"/>
      <c r="S9" s="4"/>
      <c r="T9" s="4"/>
      <c r="U9" s="4"/>
      <c r="V9" s="4"/>
      <c r="W9" s="4"/>
      <c r="X9" s="4"/>
    </row>
    <row r="10">
      <c r="A10" s="12" t="s">
        <v>8</v>
      </c>
      <c r="B10" s="10"/>
      <c r="C10" s="11"/>
      <c r="D10" s="4"/>
      <c r="E10" s="4"/>
      <c r="F10" s="4"/>
      <c r="G10" s="4"/>
      <c r="H10" s="4"/>
      <c r="I10" s="4"/>
      <c r="J10" s="4"/>
      <c r="K10" s="4"/>
      <c r="L10" s="4"/>
      <c r="M10" s="4"/>
      <c r="N10" s="4"/>
      <c r="O10" s="4"/>
      <c r="P10" s="4"/>
      <c r="Q10" s="4"/>
      <c r="R10" s="4"/>
      <c r="S10" s="4"/>
      <c r="T10" s="4"/>
      <c r="U10" s="4"/>
      <c r="V10" s="4"/>
      <c r="W10" s="4"/>
      <c r="X10" s="4"/>
    </row>
    <row r="11">
      <c r="A11" s="12" t="s">
        <v>9</v>
      </c>
      <c r="B11" s="10"/>
      <c r="C11" s="11"/>
      <c r="D11" s="4"/>
      <c r="E11" s="4"/>
      <c r="F11" s="4"/>
      <c r="G11" s="4"/>
      <c r="H11" s="4"/>
      <c r="I11" s="4"/>
      <c r="J11" s="4"/>
      <c r="K11" s="4"/>
      <c r="L11" s="4"/>
      <c r="M11" s="4"/>
      <c r="N11" s="4"/>
      <c r="O11" s="4"/>
      <c r="P11" s="4"/>
      <c r="Q11" s="4"/>
      <c r="R11" s="4"/>
      <c r="S11" s="4"/>
      <c r="T11" s="4"/>
      <c r="U11" s="4"/>
      <c r="V11" s="4"/>
      <c r="W11" s="4"/>
      <c r="X11" s="4"/>
    </row>
    <row r="12">
      <c r="A12" s="1"/>
      <c r="B12" s="2"/>
      <c r="C12" s="3"/>
      <c r="D12" s="4"/>
      <c r="E12" s="4"/>
      <c r="F12" s="4"/>
      <c r="G12" s="4"/>
      <c r="H12" s="4"/>
      <c r="I12" s="4"/>
      <c r="J12" s="4"/>
      <c r="K12" s="4"/>
      <c r="L12" s="4"/>
      <c r="M12" s="4"/>
      <c r="N12" s="4"/>
      <c r="O12" s="4"/>
      <c r="P12" s="4"/>
      <c r="Q12" s="4"/>
      <c r="R12" s="4"/>
      <c r="S12" s="4"/>
      <c r="T12" s="4"/>
      <c r="U12" s="4"/>
      <c r="V12" s="4"/>
      <c r="W12" s="4"/>
      <c r="X12" s="4"/>
    </row>
    <row r="13">
      <c r="A13" s="13" t="s">
        <v>10</v>
      </c>
      <c r="B13" s="14" t="s">
        <v>11</v>
      </c>
      <c r="C13" s="13" t="s">
        <v>12</v>
      </c>
      <c r="D13" s="15"/>
      <c r="E13" s="4"/>
      <c r="F13" s="4"/>
      <c r="G13" s="4"/>
      <c r="H13" s="4"/>
      <c r="I13" s="4"/>
      <c r="J13" s="4"/>
      <c r="K13" s="4"/>
      <c r="L13" s="4"/>
      <c r="M13" s="4"/>
      <c r="N13" s="4"/>
      <c r="O13" s="4"/>
      <c r="P13" s="4"/>
      <c r="Q13" s="4"/>
      <c r="R13" s="4"/>
      <c r="S13" s="4"/>
      <c r="T13" s="4"/>
      <c r="U13" s="4"/>
      <c r="V13" s="4"/>
      <c r="W13" s="4"/>
      <c r="X13" s="4"/>
    </row>
    <row r="14">
      <c r="A14" s="16" t="s">
        <v>13</v>
      </c>
      <c r="B14" s="17" t="s">
        <v>14</v>
      </c>
      <c r="C14" s="18" t="s">
        <v>15</v>
      </c>
      <c r="D14" s="15"/>
      <c r="E14" s="19"/>
      <c r="F14" s="4"/>
      <c r="G14" s="4"/>
      <c r="H14" s="4"/>
      <c r="I14" s="4"/>
      <c r="J14" s="4"/>
      <c r="K14" s="4"/>
      <c r="L14" s="4"/>
      <c r="M14" s="4"/>
      <c r="N14" s="4"/>
      <c r="O14" s="4"/>
      <c r="P14" s="4"/>
      <c r="Q14" s="4"/>
      <c r="R14" s="4"/>
      <c r="S14" s="4"/>
      <c r="T14" s="4"/>
      <c r="U14" s="4"/>
      <c r="V14" s="4"/>
      <c r="W14" s="4"/>
      <c r="X14" s="4"/>
    </row>
    <row r="15">
      <c r="A15" s="16" t="s">
        <v>16</v>
      </c>
      <c r="B15" s="17" t="s">
        <v>17</v>
      </c>
      <c r="C15" s="20" t="s">
        <v>18</v>
      </c>
      <c r="D15" s="15"/>
      <c r="E15" s="21"/>
      <c r="F15" s="4"/>
      <c r="G15" s="4"/>
      <c r="H15" s="4"/>
      <c r="I15" s="4"/>
      <c r="J15" s="4"/>
      <c r="K15" s="4"/>
      <c r="L15" s="4"/>
      <c r="M15" s="4"/>
      <c r="N15" s="4"/>
      <c r="O15" s="4"/>
      <c r="P15" s="4"/>
      <c r="Q15" s="4"/>
      <c r="R15" s="4"/>
      <c r="S15" s="4"/>
      <c r="T15" s="4"/>
      <c r="U15" s="4"/>
      <c r="V15" s="4"/>
      <c r="W15" s="4"/>
      <c r="X15" s="4"/>
    </row>
    <row r="16">
      <c r="A16" s="16" t="s">
        <v>19</v>
      </c>
      <c r="B16" s="17" t="s">
        <v>20</v>
      </c>
      <c r="C16" s="20" t="s">
        <v>21</v>
      </c>
      <c r="D16" s="15"/>
      <c r="E16" s="4"/>
      <c r="F16" s="4"/>
      <c r="G16" s="4"/>
      <c r="H16" s="4"/>
      <c r="I16" s="4"/>
      <c r="J16" s="4"/>
      <c r="K16" s="4"/>
      <c r="L16" s="4"/>
      <c r="M16" s="4"/>
      <c r="N16" s="4"/>
      <c r="O16" s="4"/>
      <c r="P16" s="4"/>
      <c r="Q16" s="4"/>
      <c r="R16" s="4"/>
      <c r="S16" s="4"/>
      <c r="T16" s="4"/>
      <c r="U16" s="4"/>
      <c r="V16" s="4"/>
      <c r="W16" s="4"/>
      <c r="X16" s="4"/>
    </row>
    <row r="17">
      <c r="A17" s="1"/>
      <c r="B17" s="2"/>
      <c r="C17" s="3"/>
      <c r="D17" s="22"/>
      <c r="E17" s="22"/>
      <c r="F17" s="22"/>
      <c r="G17" s="22"/>
      <c r="H17" s="22"/>
      <c r="I17" s="22"/>
      <c r="J17" s="22"/>
      <c r="K17" s="22"/>
      <c r="L17" s="22"/>
      <c r="M17" s="22"/>
      <c r="N17" s="22"/>
      <c r="O17" s="22"/>
      <c r="P17" s="22"/>
      <c r="Q17" s="22"/>
      <c r="R17" s="22"/>
      <c r="S17" s="22"/>
      <c r="T17" s="22"/>
      <c r="U17" s="22"/>
      <c r="V17" s="22"/>
      <c r="W17" s="22"/>
      <c r="X17" s="22"/>
    </row>
    <row r="18">
      <c r="A18" s="13" t="s">
        <v>22</v>
      </c>
      <c r="B18" s="14" t="s">
        <v>11</v>
      </c>
      <c r="C18" s="13" t="s">
        <v>12</v>
      </c>
      <c r="D18" s="15"/>
      <c r="E18" s="4"/>
      <c r="F18" s="4"/>
      <c r="G18" s="4"/>
      <c r="H18" s="4"/>
      <c r="I18" s="4"/>
      <c r="J18" s="4"/>
      <c r="K18" s="4"/>
      <c r="L18" s="4"/>
      <c r="M18" s="4"/>
      <c r="N18" s="4"/>
      <c r="O18" s="4"/>
      <c r="P18" s="4"/>
      <c r="Q18" s="4"/>
      <c r="R18" s="4"/>
      <c r="S18" s="4"/>
      <c r="T18" s="4"/>
      <c r="U18" s="4"/>
      <c r="V18" s="4"/>
      <c r="W18" s="4"/>
      <c r="X18" s="4"/>
    </row>
    <row r="19">
      <c r="A19" s="23" t="s">
        <v>23</v>
      </c>
      <c r="B19" s="24"/>
      <c r="C19" s="25"/>
      <c r="D19" s="15"/>
      <c r="E19" s="4"/>
      <c r="F19" s="4"/>
      <c r="G19" s="4"/>
      <c r="H19" s="4"/>
      <c r="I19" s="4"/>
      <c r="J19" s="4"/>
      <c r="K19" s="4"/>
      <c r="L19" s="4"/>
      <c r="M19" s="4"/>
      <c r="N19" s="4"/>
      <c r="O19" s="4"/>
      <c r="P19" s="4"/>
      <c r="Q19" s="4"/>
      <c r="R19" s="4"/>
      <c r="S19" s="4"/>
      <c r="T19" s="4"/>
      <c r="U19" s="4"/>
      <c r="V19" s="4"/>
      <c r="W19" s="4"/>
      <c r="X19" s="4"/>
    </row>
    <row r="20">
      <c r="A20" s="16" t="s">
        <v>24</v>
      </c>
      <c r="B20" s="17" t="s">
        <v>25</v>
      </c>
      <c r="C20" s="26" t="s">
        <v>26</v>
      </c>
      <c r="D20" s="15"/>
      <c r="E20" s="4"/>
      <c r="F20" s="4"/>
      <c r="G20" s="4"/>
      <c r="H20" s="4"/>
      <c r="I20" s="4"/>
      <c r="J20" s="4"/>
      <c r="K20" s="4"/>
      <c r="L20" s="4"/>
      <c r="M20" s="4"/>
      <c r="N20" s="4"/>
      <c r="O20" s="4"/>
      <c r="P20" s="4"/>
      <c r="Q20" s="4"/>
      <c r="R20" s="4"/>
      <c r="S20" s="4"/>
      <c r="T20" s="4"/>
      <c r="U20" s="4"/>
      <c r="V20" s="4"/>
      <c r="W20" s="4"/>
      <c r="X20" s="4"/>
    </row>
    <row r="21">
      <c r="A21" s="16" t="s">
        <v>27</v>
      </c>
      <c r="B21" s="17" t="s">
        <v>28</v>
      </c>
      <c r="C21" s="27" t="s">
        <v>29</v>
      </c>
      <c r="D21" s="15"/>
      <c r="E21" s="4"/>
      <c r="F21" s="4"/>
      <c r="G21" s="4"/>
      <c r="H21" s="4"/>
      <c r="I21" s="4"/>
      <c r="J21" s="4"/>
      <c r="K21" s="4"/>
      <c r="L21" s="4"/>
      <c r="M21" s="4"/>
      <c r="N21" s="4"/>
      <c r="O21" s="4"/>
      <c r="P21" s="4"/>
      <c r="Q21" s="4"/>
      <c r="R21" s="4"/>
      <c r="S21" s="4"/>
      <c r="T21" s="4"/>
      <c r="U21" s="4"/>
      <c r="V21" s="4"/>
      <c r="W21" s="4"/>
      <c r="X21" s="4"/>
    </row>
    <row r="22">
      <c r="A22" s="16" t="s">
        <v>30</v>
      </c>
      <c r="B22" s="17" t="s">
        <v>31</v>
      </c>
      <c r="C22" s="20" t="s">
        <v>32</v>
      </c>
      <c r="D22" s="15"/>
      <c r="E22" s="4"/>
      <c r="F22" s="4"/>
      <c r="G22" s="4"/>
      <c r="H22" s="4"/>
      <c r="I22" s="4"/>
      <c r="J22" s="4"/>
      <c r="K22" s="4"/>
      <c r="L22" s="4"/>
      <c r="M22" s="4"/>
      <c r="N22" s="4"/>
      <c r="O22" s="4"/>
      <c r="P22" s="4"/>
      <c r="Q22" s="4"/>
      <c r="R22" s="4"/>
      <c r="S22" s="4"/>
      <c r="T22" s="4"/>
      <c r="U22" s="4"/>
      <c r="V22" s="4"/>
      <c r="W22" s="4"/>
      <c r="X22" s="4"/>
    </row>
    <row r="23">
      <c r="A23" s="16" t="s">
        <v>33</v>
      </c>
      <c r="B23" s="17" t="s">
        <v>34</v>
      </c>
      <c r="C23" s="20" t="s">
        <v>35</v>
      </c>
      <c r="D23" s="15"/>
      <c r="E23" s="4"/>
      <c r="F23" s="4"/>
      <c r="G23" s="4"/>
      <c r="H23" s="4"/>
      <c r="I23" s="4"/>
      <c r="J23" s="4"/>
      <c r="K23" s="4"/>
      <c r="L23" s="4"/>
      <c r="M23" s="4"/>
      <c r="N23" s="4"/>
      <c r="O23" s="4"/>
      <c r="P23" s="4"/>
      <c r="Q23" s="4"/>
      <c r="R23" s="4"/>
      <c r="S23" s="4"/>
      <c r="T23" s="4"/>
      <c r="U23" s="4"/>
      <c r="V23" s="4"/>
      <c r="W23" s="4"/>
      <c r="X23" s="4"/>
    </row>
    <row r="24">
      <c r="A24" s="16" t="s">
        <v>36</v>
      </c>
      <c r="B24" s="28" t="s">
        <v>37</v>
      </c>
      <c r="C24" s="20" t="s">
        <v>38</v>
      </c>
      <c r="D24" s="15"/>
      <c r="E24" s="4"/>
      <c r="F24" s="4"/>
      <c r="G24" s="4"/>
      <c r="H24" s="4"/>
      <c r="I24" s="4"/>
      <c r="J24" s="4"/>
      <c r="K24" s="4"/>
      <c r="L24" s="4"/>
      <c r="M24" s="4"/>
      <c r="N24" s="4"/>
      <c r="O24" s="4"/>
      <c r="P24" s="4"/>
      <c r="Q24" s="4"/>
      <c r="R24" s="4"/>
      <c r="S24" s="4"/>
      <c r="T24" s="4"/>
      <c r="U24" s="4"/>
      <c r="V24" s="4"/>
      <c r="W24" s="4"/>
      <c r="X24" s="4"/>
    </row>
    <row r="25">
      <c r="A25" s="16" t="s">
        <v>39</v>
      </c>
      <c r="B25" s="28" t="s">
        <v>40</v>
      </c>
      <c r="C25" s="20" t="s">
        <v>41</v>
      </c>
      <c r="D25" s="15"/>
      <c r="E25" s="4"/>
      <c r="F25" s="4"/>
      <c r="G25" s="4"/>
      <c r="H25" s="4"/>
      <c r="I25" s="4"/>
      <c r="J25" s="4"/>
      <c r="K25" s="4"/>
      <c r="L25" s="4"/>
      <c r="M25" s="4"/>
      <c r="N25" s="4"/>
      <c r="O25" s="4"/>
      <c r="P25" s="4"/>
      <c r="Q25" s="4"/>
      <c r="R25" s="4"/>
      <c r="S25" s="4"/>
      <c r="T25" s="4"/>
      <c r="U25" s="4"/>
      <c r="V25" s="4"/>
      <c r="W25" s="4"/>
      <c r="X25" s="4"/>
    </row>
    <row r="26">
      <c r="A26" s="16" t="s">
        <v>42</v>
      </c>
      <c r="B26" s="28" t="s">
        <v>40</v>
      </c>
      <c r="C26" s="20" t="s">
        <v>43</v>
      </c>
      <c r="D26" s="15"/>
      <c r="E26" s="4"/>
      <c r="F26" s="4"/>
      <c r="G26" s="4"/>
      <c r="H26" s="4"/>
      <c r="I26" s="4"/>
      <c r="J26" s="4"/>
      <c r="K26" s="4"/>
      <c r="L26" s="4"/>
      <c r="M26" s="4"/>
      <c r="N26" s="4"/>
      <c r="O26" s="4"/>
      <c r="P26" s="4"/>
      <c r="Q26" s="4"/>
      <c r="R26" s="4"/>
      <c r="S26" s="4"/>
      <c r="T26" s="4"/>
      <c r="U26" s="4"/>
      <c r="V26" s="4"/>
      <c r="W26" s="4"/>
      <c r="X26" s="4"/>
    </row>
    <row r="27">
      <c r="A27" s="16" t="s">
        <v>44</v>
      </c>
      <c r="B27" s="17" t="s">
        <v>45</v>
      </c>
      <c r="C27" s="20" t="s">
        <v>46</v>
      </c>
      <c r="D27" s="15"/>
      <c r="E27" s="4"/>
      <c r="F27" s="4"/>
      <c r="G27" s="4"/>
      <c r="H27" s="4"/>
      <c r="I27" s="4"/>
      <c r="J27" s="4"/>
      <c r="K27" s="4"/>
      <c r="L27" s="4"/>
      <c r="M27" s="4"/>
      <c r="N27" s="4"/>
      <c r="O27" s="4"/>
      <c r="P27" s="4"/>
      <c r="Q27" s="4"/>
      <c r="R27" s="4"/>
      <c r="S27" s="4"/>
      <c r="T27" s="4"/>
      <c r="U27" s="4"/>
      <c r="V27" s="4"/>
      <c r="W27" s="4"/>
      <c r="X27" s="4"/>
    </row>
    <row r="28" ht="21.0" customHeight="1">
      <c r="A28" s="29"/>
      <c r="B28" s="30"/>
      <c r="C28" s="31"/>
      <c r="D28" s="4"/>
      <c r="E28" s="4"/>
      <c r="F28" s="4"/>
      <c r="G28" s="4"/>
      <c r="H28" s="4"/>
      <c r="I28" s="4"/>
      <c r="J28" s="4"/>
      <c r="K28" s="4"/>
      <c r="L28" s="4"/>
      <c r="M28" s="4"/>
      <c r="N28" s="4"/>
      <c r="O28" s="4"/>
      <c r="P28" s="4"/>
      <c r="Q28" s="4"/>
      <c r="R28" s="4"/>
      <c r="S28" s="4"/>
      <c r="T28" s="4"/>
      <c r="U28" s="4"/>
      <c r="V28" s="4"/>
      <c r="W28" s="4"/>
      <c r="X28" s="4"/>
    </row>
    <row r="29">
      <c r="A29" s="32"/>
      <c r="B29" s="33" t="s">
        <v>47</v>
      </c>
      <c r="C29" s="34" t="s">
        <v>48</v>
      </c>
      <c r="D29" s="15"/>
      <c r="E29" s="4"/>
      <c r="F29" s="4"/>
      <c r="G29" s="4"/>
      <c r="H29" s="4"/>
      <c r="I29" s="4"/>
      <c r="J29" s="4"/>
      <c r="K29" s="4"/>
      <c r="L29" s="4"/>
      <c r="M29" s="4"/>
      <c r="N29" s="4"/>
      <c r="O29" s="4"/>
      <c r="P29" s="4"/>
      <c r="Q29" s="4"/>
      <c r="R29" s="4"/>
      <c r="S29" s="4"/>
      <c r="T29" s="4"/>
      <c r="U29" s="4"/>
      <c r="V29" s="4"/>
      <c r="W29" s="4"/>
      <c r="X29" s="4"/>
    </row>
    <row r="30">
      <c r="A30" s="32"/>
      <c r="B30" s="33" t="s">
        <v>49</v>
      </c>
      <c r="C30" s="35" t="s">
        <v>50</v>
      </c>
      <c r="D30" s="15"/>
      <c r="E30" s="4"/>
      <c r="F30" s="4"/>
      <c r="G30" s="4"/>
      <c r="H30" s="4"/>
      <c r="I30" s="4"/>
      <c r="J30" s="4"/>
      <c r="K30" s="4"/>
      <c r="L30" s="4"/>
      <c r="M30" s="4"/>
      <c r="N30" s="4"/>
      <c r="O30" s="4"/>
      <c r="P30" s="4"/>
      <c r="Q30" s="4"/>
      <c r="R30" s="4"/>
      <c r="S30" s="4"/>
      <c r="T30" s="4"/>
      <c r="U30" s="4"/>
      <c r="V30" s="4"/>
      <c r="W30" s="4"/>
      <c r="X30" s="4"/>
    </row>
    <row r="31">
      <c r="A31" s="36"/>
      <c r="B31" s="37" t="s">
        <v>51</v>
      </c>
      <c r="C31" s="34" t="s">
        <v>52</v>
      </c>
      <c r="D31" s="15"/>
      <c r="E31" s="4"/>
      <c r="F31" s="4"/>
      <c r="G31" s="4"/>
      <c r="H31" s="4"/>
      <c r="I31" s="4"/>
      <c r="J31" s="4"/>
      <c r="K31" s="4"/>
      <c r="L31" s="4"/>
      <c r="M31" s="4"/>
      <c r="N31" s="4"/>
      <c r="O31" s="4"/>
      <c r="P31" s="4"/>
      <c r="Q31" s="4"/>
      <c r="R31" s="4"/>
      <c r="S31" s="4"/>
      <c r="T31" s="4"/>
      <c r="U31" s="4"/>
      <c r="V31" s="4"/>
      <c r="W31" s="4"/>
      <c r="X31" s="4"/>
    </row>
    <row r="32">
      <c r="A32" s="36"/>
      <c r="B32" s="37" t="s">
        <v>53</v>
      </c>
      <c r="C32" s="34" t="s">
        <v>52</v>
      </c>
      <c r="D32" s="15"/>
      <c r="E32" s="4"/>
      <c r="F32" s="4"/>
      <c r="G32" s="4"/>
      <c r="H32" s="4"/>
      <c r="I32" s="4"/>
      <c r="J32" s="4"/>
      <c r="K32" s="4"/>
      <c r="L32" s="4"/>
      <c r="M32" s="4"/>
      <c r="N32" s="4"/>
      <c r="O32" s="4"/>
      <c r="P32" s="4"/>
      <c r="Q32" s="4"/>
      <c r="R32" s="4"/>
      <c r="S32" s="4"/>
      <c r="T32" s="4"/>
      <c r="U32" s="4"/>
      <c r="V32" s="4"/>
      <c r="W32" s="4"/>
      <c r="X32" s="4"/>
    </row>
    <row r="33">
      <c r="A33" s="36"/>
      <c r="B33" s="37" t="s">
        <v>54</v>
      </c>
      <c r="C33" s="34" t="s">
        <v>52</v>
      </c>
      <c r="D33" s="15"/>
      <c r="E33" s="4"/>
      <c r="F33" s="4"/>
      <c r="G33" s="4"/>
      <c r="H33" s="4"/>
      <c r="I33" s="4"/>
      <c r="J33" s="4"/>
      <c r="K33" s="4"/>
      <c r="L33" s="4"/>
      <c r="M33" s="4"/>
      <c r="N33" s="4"/>
      <c r="O33" s="4"/>
      <c r="P33" s="4"/>
      <c r="Q33" s="4"/>
      <c r="R33" s="4"/>
      <c r="S33" s="4"/>
      <c r="T33" s="4"/>
      <c r="U33" s="4"/>
      <c r="V33" s="4"/>
      <c r="W33" s="4"/>
      <c r="X33" s="4"/>
    </row>
    <row r="34">
      <c r="A34" s="38"/>
      <c r="B34" s="39"/>
      <c r="C34" s="40"/>
      <c r="D34" s="4"/>
      <c r="E34" s="4"/>
      <c r="F34" s="4"/>
      <c r="G34" s="4"/>
      <c r="H34" s="4"/>
      <c r="I34" s="4"/>
      <c r="J34" s="4"/>
      <c r="K34" s="4"/>
      <c r="L34" s="4"/>
      <c r="M34" s="4"/>
      <c r="N34" s="4"/>
      <c r="O34" s="4"/>
      <c r="P34" s="4"/>
      <c r="Q34" s="4"/>
      <c r="R34" s="4"/>
      <c r="S34" s="4"/>
      <c r="T34" s="4"/>
      <c r="U34" s="4"/>
      <c r="V34" s="4"/>
      <c r="W34" s="4"/>
      <c r="X34" s="4"/>
    </row>
    <row r="35">
      <c r="A35" s="41"/>
      <c r="B35" s="42"/>
      <c r="C35" s="43"/>
      <c r="D35" s="43"/>
      <c r="E35" s="43"/>
      <c r="F35" s="43"/>
      <c r="G35" s="43"/>
      <c r="H35" s="43"/>
      <c r="I35" s="43"/>
      <c r="J35" s="43"/>
      <c r="K35" s="43"/>
      <c r="L35" s="43"/>
      <c r="M35" s="43"/>
      <c r="N35" s="43"/>
      <c r="O35" s="43"/>
      <c r="P35" s="43"/>
      <c r="Q35" s="43"/>
      <c r="R35" s="43"/>
      <c r="S35" s="43"/>
      <c r="T35" s="43"/>
      <c r="U35" s="43"/>
      <c r="V35" s="43"/>
      <c r="W35" s="43"/>
      <c r="X35" s="43"/>
    </row>
    <row r="36">
      <c r="A36" s="19"/>
      <c r="B36" s="44"/>
      <c r="C36" s="4"/>
      <c r="D36" s="4"/>
      <c r="E36" s="4"/>
      <c r="F36" s="4"/>
      <c r="G36" s="4"/>
      <c r="H36" s="4"/>
      <c r="I36" s="4"/>
      <c r="J36" s="4"/>
      <c r="K36" s="4"/>
      <c r="L36" s="4"/>
      <c r="M36" s="4"/>
      <c r="N36" s="4"/>
      <c r="O36" s="4"/>
      <c r="P36" s="4"/>
      <c r="Q36" s="4"/>
      <c r="R36" s="4"/>
      <c r="S36" s="4"/>
      <c r="T36" s="4"/>
      <c r="U36" s="4"/>
      <c r="V36" s="4"/>
      <c r="W36" s="4"/>
      <c r="X36" s="4"/>
    </row>
    <row r="37">
      <c r="A37" s="21"/>
      <c r="B37" s="44"/>
      <c r="C37" s="4"/>
      <c r="D37" s="4"/>
      <c r="E37" s="4"/>
      <c r="F37" s="4"/>
      <c r="G37" s="4"/>
      <c r="H37" s="4"/>
      <c r="I37" s="4"/>
      <c r="J37" s="4"/>
      <c r="K37" s="4"/>
      <c r="L37" s="4"/>
      <c r="M37" s="4"/>
      <c r="N37" s="4"/>
      <c r="O37" s="4"/>
      <c r="P37" s="4"/>
      <c r="Q37" s="4"/>
      <c r="R37" s="4"/>
      <c r="S37" s="4"/>
      <c r="T37" s="4"/>
      <c r="U37" s="4"/>
      <c r="V37" s="4"/>
      <c r="W37" s="4"/>
      <c r="X37" s="4"/>
    </row>
    <row r="38">
      <c r="A38" s="4"/>
      <c r="B38" s="44"/>
      <c r="C38" s="4"/>
      <c r="D38" s="4"/>
      <c r="E38" s="4"/>
      <c r="F38" s="4"/>
      <c r="G38" s="4"/>
      <c r="H38" s="4"/>
      <c r="I38" s="4"/>
      <c r="J38" s="4"/>
      <c r="K38" s="4"/>
      <c r="L38" s="4"/>
      <c r="M38" s="4"/>
      <c r="N38" s="4"/>
      <c r="O38" s="4"/>
      <c r="P38" s="4"/>
      <c r="Q38" s="4"/>
      <c r="R38" s="4"/>
      <c r="S38" s="4"/>
      <c r="T38" s="4"/>
      <c r="U38" s="4"/>
      <c r="V38" s="4"/>
      <c r="W38" s="4"/>
      <c r="X38" s="4"/>
    </row>
    <row r="39">
      <c r="A39" s="4"/>
      <c r="B39" s="44"/>
      <c r="C39" s="4"/>
      <c r="D39" s="4"/>
      <c r="E39" s="4"/>
      <c r="F39" s="4"/>
      <c r="G39" s="4"/>
      <c r="H39" s="4"/>
      <c r="I39" s="4"/>
      <c r="J39" s="4"/>
      <c r="K39" s="4"/>
      <c r="L39" s="4"/>
      <c r="M39" s="4"/>
      <c r="N39" s="4"/>
      <c r="O39" s="4"/>
      <c r="P39" s="4"/>
      <c r="Q39" s="4"/>
      <c r="R39" s="4"/>
      <c r="S39" s="4"/>
      <c r="T39" s="4"/>
      <c r="U39" s="4"/>
      <c r="V39" s="4"/>
      <c r="W39" s="4"/>
      <c r="X39" s="4"/>
    </row>
    <row r="40">
      <c r="A40" s="4"/>
      <c r="B40" s="45"/>
      <c r="C40" s="4"/>
      <c r="D40" s="4"/>
      <c r="E40" s="4"/>
      <c r="F40" s="4"/>
      <c r="G40" s="4"/>
      <c r="H40" s="4"/>
      <c r="I40" s="4"/>
      <c r="J40" s="4"/>
      <c r="K40" s="4"/>
      <c r="L40" s="4"/>
      <c r="M40" s="4"/>
      <c r="N40" s="4"/>
      <c r="O40" s="4"/>
      <c r="P40" s="4"/>
      <c r="Q40" s="4"/>
      <c r="R40" s="4"/>
      <c r="S40" s="4"/>
      <c r="T40" s="4"/>
      <c r="U40" s="4"/>
      <c r="V40" s="4"/>
      <c r="W40" s="4"/>
      <c r="X40" s="4"/>
    </row>
    <row r="41">
      <c r="A41" s="4"/>
      <c r="B41" s="44"/>
      <c r="C41" s="4"/>
      <c r="D41" s="4"/>
      <c r="E41" s="4"/>
      <c r="F41" s="4"/>
      <c r="G41" s="4"/>
      <c r="H41" s="4"/>
      <c r="I41" s="4"/>
      <c r="J41" s="4"/>
      <c r="K41" s="4"/>
      <c r="L41" s="4"/>
      <c r="M41" s="4"/>
      <c r="N41" s="4"/>
      <c r="O41" s="4"/>
      <c r="P41" s="4"/>
      <c r="Q41" s="4"/>
      <c r="R41" s="4"/>
      <c r="S41" s="4"/>
      <c r="T41" s="4"/>
      <c r="U41" s="4"/>
      <c r="V41" s="4"/>
      <c r="W41" s="4"/>
      <c r="X41" s="4"/>
    </row>
    <row r="42">
      <c r="A42" s="46"/>
      <c r="B42" s="19"/>
      <c r="C42" s="4"/>
      <c r="D42" s="4"/>
      <c r="E42" s="4"/>
      <c r="F42" s="4"/>
      <c r="G42" s="4"/>
      <c r="H42" s="4"/>
      <c r="I42" s="4"/>
      <c r="J42" s="4"/>
      <c r="K42" s="4"/>
      <c r="L42" s="4"/>
      <c r="M42" s="4"/>
      <c r="N42" s="4"/>
      <c r="O42" s="4"/>
      <c r="P42" s="4"/>
      <c r="Q42" s="4"/>
      <c r="R42" s="4"/>
      <c r="S42" s="4"/>
      <c r="T42" s="4"/>
      <c r="U42" s="4"/>
      <c r="V42" s="4"/>
      <c r="W42" s="4"/>
      <c r="X42" s="47"/>
    </row>
    <row r="43">
      <c r="A43" s="4"/>
      <c r="B43" s="46"/>
      <c r="C43" s="4"/>
      <c r="D43" s="4"/>
      <c r="E43" s="4"/>
      <c r="F43" s="4"/>
      <c r="G43" s="4"/>
      <c r="H43" s="4"/>
      <c r="I43" s="4"/>
      <c r="J43" s="4"/>
      <c r="K43" s="4"/>
      <c r="L43" s="4"/>
      <c r="M43" s="4"/>
      <c r="N43" s="4"/>
      <c r="O43" s="4"/>
      <c r="P43" s="4"/>
      <c r="Q43" s="4"/>
      <c r="R43" s="4"/>
      <c r="S43" s="4"/>
      <c r="T43" s="4"/>
      <c r="U43" s="4"/>
      <c r="V43" s="4"/>
      <c r="W43" s="4"/>
      <c r="X43" s="4"/>
    </row>
    <row r="44">
      <c r="A44" s="4"/>
      <c r="B44" s="46"/>
      <c r="C44" s="4"/>
      <c r="D44" s="4"/>
      <c r="E44" s="4"/>
      <c r="F44" s="4"/>
      <c r="G44" s="4"/>
      <c r="H44" s="4"/>
      <c r="I44" s="4"/>
      <c r="J44" s="4"/>
      <c r="K44" s="4"/>
      <c r="L44" s="4"/>
      <c r="M44" s="4"/>
      <c r="N44" s="4"/>
      <c r="O44" s="4"/>
      <c r="P44" s="4"/>
      <c r="Q44" s="4"/>
      <c r="R44" s="4"/>
      <c r="S44" s="4"/>
      <c r="T44" s="4"/>
      <c r="U44" s="4"/>
      <c r="V44" s="4"/>
      <c r="W44" s="4"/>
      <c r="X44" s="4"/>
    </row>
    <row r="45">
      <c r="A45" s="4"/>
      <c r="B45" s="46"/>
      <c r="C45" s="4"/>
      <c r="D45" s="4"/>
      <c r="E45" s="4"/>
      <c r="F45" s="4"/>
      <c r="G45" s="4"/>
      <c r="H45" s="4"/>
      <c r="I45" s="4"/>
      <c r="J45" s="4"/>
      <c r="K45" s="4"/>
      <c r="L45" s="4"/>
      <c r="M45" s="4"/>
      <c r="N45" s="4"/>
      <c r="O45" s="4"/>
      <c r="P45" s="4"/>
      <c r="Q45" s="4"/>
      <c r="R45" s="4"/>
      <c r="S45" s="4"/>
      <c r="T45" s="4"/>
      <c r="U45" s="4"/>
      <c r="V45" s="4"/>
      <c r="W45" s="4"/>
      <c r="X45" s="4"/>
    </row>
    <row r="46">
      <c r="A46" s="4"/>
      <c r="B46" s="46"/>
      <c r="C46" s="4"/>
      <c r="D46" s="4"/>
      <c r="E46" s="4"/>
      <c r="F46" s="4"/>
      <c r="G46" s="4"/>
      <c r="H46" s="4"/>
      <c r="I46" s="4"/>
      <c r="J46" s="4"/>
      <c r="K46" s="4"/>
      <c r="L46" s="4"/>
      <c r="M46" s="4"/>
      <c r="N46" s="4"/>
      <c r="O46" s="4"/>
      <c r="P46" s="4"/>
      <c r="Q46" s="4"/>
      <c r="R46" s="4"/>
      <c r="S46" s="4"/>
      <c r="T46" s="4"/>
      <c r="U46" s="4"/>
      <c r="V46" s="4"/>
      <c r="W46" s="4"/>
      <c r="X46" s="4"/>
    </row>
    <row r="47">
      <c r="A47" s="4"/>
      <c r="B47" s="46"/>
      <c r="C47" s="4"/>
      <c r="D47" s="4"/>
      <c r="E47" s="4"/>
      <c r="F47" s="4"/>
      <c r="G47" s="4"/>
      <c r="H47" s="4"/>
      <c r="I47" s="4"/>
      <c r="J47" s="4"/>
      <c r="K47" s="4"/>
      <c r="L47" s="4"/>
      <c r="M47" s="4"/>
      <c r="N47" s="4"/>
      <c r="O47" s="4"/>
      <c r="P47" s="4"/>
      <c r="Q47" s="4"/>
      <c r="R47" s="4"/>
      <c r="S47" s="4"/>
      <c r="T47" s="4"/>
      <c r="U47" s="4"/>
      <c r="V47" s="4"/>
      <c r="W47" s="4"/>
      <c r="X47" s="4"/>
    </row>
    <row r="48">
      <c r="A48" s="4"/>
      <c r="B48" s="46"/>
      <c r="C48" s="4"/>
      <c r="D48" s="4"/>
      <c r="E48" s="4"/>
      <c r="F48" s="4"/>
      <c r="G48" s="4"/>
      <c r="H48" s="4"/>
      <c r="I48" s="4"/>
      <c r="J48" s="4"/>
      <c r="K48" s="4"/>
      <c r="L48" s="4"/>
      <c r="M48" s="4"/>
      <c r="N48" s="4"/>
      <c r="O48" s="4"/>
      <c r="P48" s="4"/>
      <c r="Q48" s="4"/>
      <c r="R48" s="4"/>
      <c r="S48" s="4"/>
      <c r="T48" s="4"/>
      <c r="U48" s="4"/>
      <c r="V48" s="4"/>
      <c r="W48" s="4"/>
      <c r="X48" s="4"/>
    </row>
    <row r="49">
      <c r="A49" s="4"/>
      <c r="B49" s="46"/>
      <c r="C49" s="4"/>
      <c r="D49" s="4"/>
      <c r="E49" s="4"/>
      <c r="F49" s="4"/>
      <c r="G49" s="4"/>
      <c r="H49" s="4"/>
      <c r="I49" s="4"/>
      <c r="J49" s="4"/>
      <c r="K49" s="4"/>
      <c r="L49" s="4"/>
      <c r="M49" s="4"/>
      <c r="N49" s="4"/>
      <c r="O49" s="4"/>
      <c r="P49" s="4"/>
      <c r="Q49" s="4"/>
      <c r="R49" s="4"/>
      <c r="S49" s="4"/>
      <c r="T49" s="4"/>
      <c r="U49" s="4"/>
      <c r="V49" s="4"/>
      <c r="W49" s="4"/>
      <c r="X49" s="4"/>
    </row>
    <row r="50">
      <c r="A50" s="4"/>
      <c r="B50" s="46"/>
      <c r="C50" s="4"/>
      <c r="D50" s="4"/>
      <c r="E50" s="4"/>
      <c r="F50" s="4"/>
      <c r="G50" s="4"/>
      <c r="H50" s="4"/>
      <c r="I50" s="4"/>
      <c r="J50" s="4"/>
      <c r="K50" s="4"/>
      <c r="L50" s="4"/>
      <c r="M50" s="4"/>
      <c r="N50" s="4"/>
      <c r="O50" s="4"/>
      <c r="P50" s="4"/>
      <c r="Q50" s="4"/>
      <c r="R50" s="4"/>
      <c r="S50" s="4"/>
      <c r="T50" s="4"/>
      <c r="U50" s="4"/>
      <c r="V50" s="4"/>
      <c r="W50" s="4"/>
      <c r="X50" s="4"/>
    </row>
    <row r="51">
      <c r="A51" s="4"/>
      <c r="B51" s="46"/>
      <c r="C51" s="4"/>
      <c r="D51" s="4"/>
      <c r="E51" s="4"/>
      <c r="F51" s="4"/>
      <c r="G51" s="4"/>
      <c r="H51" s="4"/>
      <c r="I51" s="4"/>
      <c r="J51" s="4"/>
      <c r="K51" s="4"/>
      <c r="L51" s="4"/>
      <c r="M51" s="4"/>
      <c r="N51" s="4"/>
      <c r="O51" s="4"/>
      <c r="P51" s="4"/>
      <c r="Q51" s="4"/>
      <c r="R51" s="4"/>
      <c r="S51" s="4"/>
      <c r="T51" s="4"/>
      <c r="U51" s="4"/>
      <c r="V51" s="4"/>
      <c r="W51" s="4"/>
      <c r="X51" s="4"/>
    </row>
    <row r="52">
      <c r="A52" s="4"/>
      <c r="B52" s="46"/>
      <c r="C52" s="4"/>
      <c r="D52" s="4"/>
      <c r="E52" s="4"/>
      <c r="F52" s="4"/>
      <c r="G52" s="4"/>
      <c r="H52" s="4"/>
      <c r="I52" s="4"/>
      <c r="J52" s="4"/>
      <c r="K52" s="4"/>
      <c r="L52" s="4"/>
      <c r="M52" s="4"/>
      <c r="N52" s="4"/>
      <c r="O52" s="4"/>
      <c r="P52" s="4"/>
      <c r="Q52" s="4"/>
      <c r="R52" s="4"/>
      <c r="S52" s="4"/>
      <c r="T52" s="4"/>
      <c r="U52" s="4"/>
      <c r="V52" s="4"/>
      <c r="W52" s="4"/>
      <c r="X52" s="4"/>
    </row>
    <row r="53">
      <c r="A53" s="4"/>
      <c r="B53" s="46"/>
      <c r="C53" s="4"/>
      <c r="D53" s="4"/>
      <c r="E53" s="4"/>
      <c r="F53" s="4"/>
      <c r="G53" s="4"/>
      <c r="H53" s="4"/>
      <c r="I53" s="4"/>
      <c r="J53" s="4"/>
      <c r="K53" s="4"/>
      <c r="L53" s="4"/>
      <c r="M53" s="4"/>
      <c r="N53" s="4"/>
      <c r="O53" s="4"/>
      <c r="P53" s="4"/>
      <c r="Q53" s="4"/>
      <c r="R53" s="4"/>
      <c r="S53" s="4"/>
      <c r="T53" s="4"/>
      <c r="U53" s="4"/>
      <c r="V53" s="4"/>
      <c r="W53" s="4"/>
      <c r="X53" s="4"/>
    </row>
    <row r="54">
      <c r="A54" s="4"/>
      <c r="B54" s="46"/>
      <c r="C54" s="4"/>
      <c r="D54" s="4"/>
      <c r="E54" s="4"/>
      <c r="F54" s="4"/>
      <c r="G54" s="4"/>
      <c r="H54" s="4"/>
      <c r="I54" s="4"/>
      <c r="J54" s="4"/>
      <c r="K54" s="4"/>
      <c r="L54" s="4"/>
      <c r="M54" s="4"/>
      <c r="N54" s="4"/>
      <c r="O54" s="4"/>
      <c r="P54" s="4"/>
      <c r="Q54" s="4"/>
      <c r="R54" s="4"/>
      <c r="S54" s="4"/>
      <c r="T54" s="4"/>
      <c r="U54" s="4"/>
      <c r="V54" s="4"/>
      <c r="W54" s="4"/>
      <c r="X54" s="4"/>
    </row>
    <row r="55">
      <c r="A55" s="4"/>
      <c r="B55" s="46"/>
      <c r="C55" s="4"/>
      <c r="D55" s="4"/>
      <c r="E55" s="4"/>
      <c r="F55" s="4"/>
      <c r="G55" s="4"/>
      <c r="H55" s="4"/>
      <c r="I55" s="4"/>
      <c r="J55" s="4"/>
      <c r="K55" s="4"/>
      <c r="L55" s="4"/>
      <c r="M55" s="4"/>
      <c r="N55" s="4"/>
      <c r="O55" s="4"/>
      <c r="P55" s="4"/>
      <c r="Q55" s="4"/>
      <c r="R55" s="4"/>
      <c r="S55" s="4"/>
      <c r="T55" s="4"/>
      <c r="U55" s="4"/>
      <c r="V55" s="4"/>
      <c r="W55" s="4"/>
      <c r="X55" s="4"/>
    </row>
    <row r="56">
      <c r="A56" s="4"/>
      <c r="B56" s="46"/>
      <c r="C56" s="4"/>
      <c r="D56" s="4"/>
      <c r="E56" s="4"/>
      <c r="F56" s="4"/>
      <c r="G56" s="4"/>
      <c r="H56" s="4"/>
      <c r="I56" s="4"/>
      <c r="J56" s="4"/>
      <c r="K56" s="4"/>
      <c r="L56" s="4"/>
      <c r="M56" s="4"/>
      <c r="N56" s="4"/>
      <c r="O56" s="4"/>
      <c r="P56" s="4"/>
      <c r="Q56" s="4"/>
      <c r="R56" s="4"/>
      <c r="S56" s="4"/>
      <c r="T56" s="4"/>
      <c r="U56" s="4"/>
      <c r="V56" s="4"/>
      <c r="W56" s="4"/>
      <c r="X56" s="4"/>
    </row>
    <row r="57">
      <c r="A57" s="4"/>
      <c r="B57" s="46"/>
      <c r="C57" s="4"/>
      <c r="D57" s="4"/>
      <c r="E57" s="4"/>
      <c r="F57" s="4"/>
      <c r="G57" s="4"/>
      <c r="H57" s="4"/>
      <c r="I57" s="4"/>
      <c r="J57" s="4"/>
      <c r="K57" s="4"/>
      <c r="L57" s="4"/>
      <c r="M57" s="4"/>
      <c r="N57" s="4"/>
      <c r="O57" s="4"/>
      <c r="P57" s="4"/>
      <c r="Q57" s="4"/>
      <c r="R57" s="4"/>
      <c r="S57" s="4"/>
      <c r="T57" s="4"/>
      <c r="U57" s="4"/>
      <c r="V57" s="4"/>
      <c r="W57" s="4"/>
      <c r="X57" s="4"/>
    </row>
    <row r="58">
      <c r="A58" s="4"/>
      <c r="B58" s="46"/>
      <c r="C58" s="4"/>
      <c r="D58" s="4"/>
      <c r="E58" s="4"/>
      <c r="F58" s="4"/>
      <c r="G58" s="4"/>
      <c r="H58" s="4"/>
      <c r="I58" s="4"/>
      <c r="J58" s="4"/>
      <c r="K58" s="4"/>
      <c r="L58" s="4"/>
      <c r="M58" s="4"/>
      <c r="N58" s="4"/>
      <c r="O58" s="4"/>
      <c r="P58" s="4"/>
      <c r="Q58" s="4"/>
      <c r="R58" s="4"/>
      <c r="S58" s="4"/>
      <c r="T58" s="4"/>
      <c r="U58" s="4"/>
      <c r="V58" s="4"/>
      <c r="W58" s="4"/>
      <c r="X58" s="4"/>
    </row>
    <row r="59">
      <c r="A59" s="4"/>
      <c r="B59" s="46"/>
      <c r="C59" s="4"/>
      <c r="D59" s="4"/>
      <c r="E59" s="4"/>
      <c r="F59" s="4"/>
      <c r="G59" s="4"/>
      <c r="H59" s="4"/>
      <c r="I59" s="4"/>
      <c r="J59" s="4"/>
      <c r="K59" s="4"/>
      <c r="L59" s="4"/>
      <c r="M59" s="4"/>
      <c r="N59" s="4"/>
      <c r="O59" s="4"/>
      <c r="P59" s="4"/>
      <c r="Q59" s="4"/>
      <c r="R59" s="4"/>
      <c r="S59" s="4"/>
      <c r="T59" s="4"/>
      <c r="U59" s="4"/>
      <c r="V59" s="4"/>
      <c r="W59" s="4"/>
      <c r="X59" s="4"/>
    </row>
    <row r="60">
      <c r="A60" s="4"/>
      <c r="B60" s="46"/>
      <c r="C60" s="4"/>
      <c r="D60" s="4"/>
      <c r="E60" s="4"/>
      <c r="F60" s="4"/>
      <c r="G60" s="4"/>
      <c r="H60" s="4"/>
      <c r="I60" s="4"/>
      <c r="J60" s="4"/>
      <c r="K60" s="4"/>
      <c r="L60" s="4"/>
      <c r="M60" s="4"/>
      <c r="N60" s="4"/>
      <c r="O60" s="4"/>
      <c r="P60" s="4"/>
      <c r="Q60" s="4"/>
      <c r="R60" s="4"/>
      <c r="S60" s="4"/>
      <c r="T60" s="4"/>
      <c r="U60" s="4"/>
      <c r="V60" s="4"/>
      <c r="W60" s="4"/>
      <c r="X60" s="4"/>
    </row>
    <row r="61">
      <c r="A61" s="4"/>
      <c r="B61" s="46"/>
      <c r="C61" s="4"/>
      <c r="D61" s="4"/>
      <c r="E61" s="4"/>
      <c r="F61" s="4"/>
      <c r="G61" s="4"/>
      <c r="H61" s="4"/>
      <c r="I61" s="4"/>
      <c r="J61" s="4"/>
      <c r="K61" s="4"/>
      <c r="L61" s="4"/>
      <c r="M61" s="4"/>
      <c r="N61" s="4"/>
      <c r="O61" s="4"/>
      <c r="P61" s="4"/>
      <c r="Q61" s="4"/>
      <c r="R61" s="4"/>
      <c r="S61" s="4"/>
      <c r="T61" s="4"/>
      <c r="U61" s="4"/>
      <c r="V61" s="4"/>
      <c r="W61" s="4"/>
      <c r="X61" s="4"/>
    </row>
    <row r="62">
      <c r="A62" s="4"/>
      <c r="B62" s="46"/>
      <c r="C62" s="4"/>
      <c r="D62" s="4"/>
      <c r="E62" s="4"/>
      <c r="F62" s="4"/>
      <c r="G62" s="4"/>
      <c r="H62" s="4"/>
      <c r="I62" s="4"/>
      <c r="J62" s="4"/>
      <c r="K62" s="4"/>
      <c r="L62" s="4"/>
      <c r="M62" s="4"/>
      <c r="N62" s="4"/>
      <c r="O62" s="4"/>
      <c r="P62" s="4"/>
      <c r="Q62" s="4"/>
      <c r="R62" s="4"/>
      <c r="S62" s="4"/>
      <c r="T62" s="4"/>
      <c r="U62" s="4"/>
      <c r="V62" s="4"/>
      <c r="W62" s="4"/>
      <c r="X62" s="4"/>
    </row>
    <row r="63">
      <c r="A63" s="4"/>
      <c r="B63" s="46"/>
      <c r="C63" s="4"/>
      <c r="D63" s="4"/>
      <c r="E63" s="4"/>
      <c r="F63" s="4"/>
      <c r="G63" s="4"/>
      <c r="H63" s="4"/>
      <c r="I63" s="4"/>
      <c r="J63" s="4"/>
      <c r="K63" s="4"/>
      <c r="L63" s="4"/>
      <c r="M63" s="4"/>
      <c r="N63" s="4"/>
      <c r="O63" s="4"/>
      <c r="P63" s="4"/>
      <c r="Q63" s="4"/>
      <c r="R63" s="4"/>
      <c r="S63" s="4"/>
      <c r="T63" s="4"/>
      <c r="U63" s="4"/>
      <c r="V63" s="4"/>
      <c r="W63" s="4"/>
      <c r="X63" s="4"/>
    </row>
    <row r="64">
      <c r="A64" s="4"/>
      <c r="B64" s="46"/>
      <c r="C64" s="4"/>
      <c r="D64" s="4"/>
      <c r="E64" s="4"/>
      <c r="F64" s="4"/>
      <c r="G64" s="4"/>
      <c r="H64" s="4"/>
      <c r="I64" s="4"/>
      <c r="J64" s="4"/>
      <c r="K64" s="4"/>
      <c r="L64" s="4"/>
      <c r="M64" s="4"/>
      <c r="N64" s="4"/>
      <c r="O64" s="4"/>
      <c r="P64" s="4"/>
      <c r="Q64" s="4"/>
      <c r="R64" s="4"/>
      <c r="S64" s="4"/>
      <c r="T64" s="4"/>
      <c r="U64" s="4"/>
      <c r="V64" s="4"/>
      <c r="W64" s="4"/>
      <c r="X64" s="4"/>
    </row>
    <row r="65">
      <c r="A65" s="4"/>
      <c r="B65" s="46"/>
      <c r="C65" s="4"/>
      <c r="D65" s="4"/>
      <c r="E65" s="4"/>
      <c r="F65" s="4"/>
      <c r="G65" s="4"/>
      <c r="H65" s="4"/>
      <c r="I65" s="4"/>
      <c r="J65" s="4"/>
      <c r="K65" s="4"/>
      <c r="L65" s="4"/>
      <c r="M65" s="4"/>
      <c r="N65" s="4"/>
      <c r="O65" s="4"/>
      <c r="P65" s="4"/>
      <c r="Q65" s="4"/>
      <c r="R65" s="4"/>
      <c r="S65" s="4"/>
      <c r="T65" s="4"/>
      <c r="U65" s="4"/>
      <c r="V65" s="4"/>
      <c r="W65" s="4"/>
      <c r="X65" s="4"/>
    </row>
    <row r="66">
      <c r="A66" s="4"/>
      <c r="B66" s="46"/>
      <c r="C66" s="4"/>
      <c r="D66" s="4"/>
      <c r="E66" s="4"/>
      <c r="F66" s="4"/>
      <c r="G66" s="4"/>
      <c r="H66" s="4"/>
      <c r="I66" s="4"/>
      <c r="J66" s="4"/>
      <c r="K66" s="4"/>
      <c r="L66" s="4"/>
      <c r="M66" s="4"/>
      <c r="N66" s="4"/>
      <c r="O66" s="4"/>
      <c r="P66" s="4"/>
      <c r="Q66" s="4"/>
      <c r="R66" s="4"/>
      <c r="S66" s="4"/>
      <c r="T66" s="4"/>
      <c r="U66" s="4"/>
      <c r="V66" s="4"/>
      <c r="W66" s="4"/>
      <c r="X66" s="4"/>
    </row>
    <row r="67">
      <c r="A67" s="4"/>
      <c r="B67" s="46"/>
      <c r="C67" s="4"/>
      <c r="D67" s="4"/>
      <c r="E67" s="4"/>
      <c r="F67" s="4"/>
      <c r="G67" s="4"/>
      <c r="H67" s="4"/>
      <c r="I67" s="4"/>
      <c r="J67" s="4"/>
      <c r="K67" s="4"/>
      <c r="L67" s="4"/>
      <c r="M67" s="4"/>
      <c r="N67" s="4"/>
      <c r="O67" s="4"/>
      <c r="P67" s="4"/>
      <c r="Q67" s="4"/>
      <c r="R67" s="4"/>
      <c r="S67" s="4"/>
      <c r="T67" s="4"/>
      <c r="U67" s="4"/>
      <c r="V67" s="4"/>
      <c r="W67" s="4"/>
      <c r="X67" s="4"/>
    </row>
    <row r="68">
      <c r="A68" s="4"/>
      <c r="B68" s="46"/>
      <c r="C68" s="4"/>
      <c r="D68" s="4"/>
      <c r="E68" s="4"/>
      <c r="F68" s="4"/>
      <c r="G68" s="4"/>
      <c r="H68" s="4"/>
      <c r="I68" s="4"/>
      <c r="J68" s="4"/>
      <c r="K68" s="4"/>
      <c r="L68" s="4"/>
      <c r="M68" s="4"/>
      <c r="N68" s="4"/>
      <c r="O68" s="4"/>
      <c r="P68" s="4"/>
      <c r="Q68" s="4"/>
      <c r="R68" s="4"/>
      <c r="S68" s="4"/>
      <c r="T68" s="4"/>
      <c r="U68" s="4"/>
      <c r="V68" s="4"/>
      <c r="W68" s="4"/>
      <c r="X68" s="4"/>
    </row>
    <row r="69">
      <c r="A69" s="4"/>
      <c r="B69" s="46"/>
      <c r="C69" s="4"/>
      <c r="D69" s="4"/>
      <c r="E69" s="4"/>
      <c r="F69" s="4"/>
      <c r="G69" s="4"/>
      <c r="H69" s="4"/>
      <c r="I69" s="4"/>
      <c r="J69" s="4"/>
      <c r="K69" s="4"/>
      <c r="L69" s="4"/>
      <c r="M69" s="4"/>
      <c r="N69" s="4"/>
      <c r="O69" s="4"/>
      <c r="P69" s="4"/>
      <c r="Q69" s="4"/>
      <c r="R69" s="4"/>
      <c r="S69" s="4"/>
      <c r="T69" s="4"/>
      <c r="U69" s="4"/>
      <c r="V69" s="4"/>
      <c r="W69" s="4"/>
      <c r="X69" s="4"/>
    </row>
    <row r="70">
      <c r="A70" s="4"/>
      <c r="B70" s="46"/>
      <c r="C70" s="4"/>
      <c r="D70" s="4"/>
      <c r="E70" s="4"/>
      <c r="F70" s="4"/>
      <c r="G70" s="4"/>
      <c r="H70" s="4"/>
      <c r="I70" s="4"/>
      <c r="J70" s="4"/>
      <c r="K70" s="4"/>
      <c r="L70" s="4"/>
      <c r="M70" s="4"/>
      <c r="N70" s="4"/>
      <c r="O70" s="4"/>
      <c r="P70" s="4"/>
      <c r="Q70" s="4"/>
      <c r="R70" s="4"/>
      <c r="S70" s="4"/>
      <c r="T70" s="4"/>
      <c r="U70" s="4"/>
      <c r="V70" s="4"/>
      <c r="W70" s="4"/>
      <c r="X70" s="4"/>
    </row>
    <row r="71">
      <c r="A71" s="4"/>
      <c r="B71" s="46"/>
      <c r="C71" s="4"/>
      <c r="D71" s="4"/>
      <c r="E71" s="4"/>
      <c r="F71" s="4"/>
      <c r="G71" s="4"/>
      <c r="H71" s="4"/>
      <c r="I71" s="4"/>
      <c r="J71" s="4"/>
      <c r="K71" s="4"/>
      <c r="L71" s="4"/>
      <c r="M71" s="4"/>
      <c r="N71" s="4"/>
      <c r="O71" s="4"/>
      <c r="P71" s="4"/>
      <c r="Q71" s="4"/>
      <c r="R71" s="4"/>
      <c r="S71" s="4"/>
      <c r="T71" s="4"/>
      <c r="U71" s="4"/>
      <c r="V71" s="4"/>
      <c r="W71" s="4"/>
      <c r="X71" s="4"/>
    </row>
    <row r="72">
      <c r="A72" s="4"/>
      <c r="B72" s="46"/>
      <c r="C72" s="4"/>
      <c r="D72" s="4"/>
      <c r="E72" s="4"/>
      <c r="F72" s="4"/>
      <c r="G72" s="4"/>
      <c r="H72" s="4"/>
      <c r="I72" s="4"/>
      <c r="J72" s="4"/>
      <c r="K72" s="4"/>
      <c r="L72" s="4"/>
      <c r="M72" s="4"/>
      <c r="N72" s="4"/>
      <c r="O72" s="4"/>
      <c r="P72" s="4"/>
      <c r="Q72" s="4"/>
      <c r="R72" s="4"/>
      <c r="S72" s="4"/>
      <c r="T72" s="4"/>
      <c r="U72" s="4"/>
      <c r="V72" s="4"/>
      <c r="W72" s="4"/>
      <c r="X72" s="4"/>
    </row>
    <row r="73">
      <c r="A73" s="4"/>
      <c r="B73" s="46"/>
      <c r="C73" s="4"/>
      <c r="D73" s="4"/>
      <c r="E73" s="4"/>
      <c r="F73" s="4"/>
      <c r="G73" s="4"/>
      <c r="H73" s="4"/>
      <c r="I73" s="4"/>
      <c r="J73" s="4"/>
      <c r="K73" s="4"/>
      <c r="L73" s="4"/>
      <c r="M73" s="4"/>
      <c r="N73" s="4"/>
      <c r="O73" s="4"/>
      <c r="P73" s="4"/>
      <c r="Q73" s="4"/>
      <c r="R73" s="4"/>
      <c r="S73" s="4"/>
      <c r="T73" s="4"/>
      <c r="U73" s="4"/>
      <c r="V73" s="4"/>
      <c r="W73" s="4"/>
      <c r="X73" s="4"/>
    </row>
    <row r="74">
      <c r="A74" s="4"/>
      <c r="B74" s="46"/>
      <c r="C74" s="4"/>
      <c r="D74" s="4"/>
      <c r="E74" s="4"/>
      <c r="F74" s="4"/>
      <c r="G74" s="4"/>
      <c r="H74" s="4"/>
      <c r="I74" s="4"/>
      <c r="J74" s="4"/>
      <c r="K74" s="4"/>
      <c r="L74" s="4"/>
      <c r="M74" s="4"/>
      <c r="N74" s="4"/>
      <c r="O74" s="4"/>
      <c r="P74" s="4"/>
      <c r="Q74" s="4"/>
      <c r="R74" s="4"/>
      <c r="S74" s="4"/>
      <c r="T74" s="4"/>
      <c r="U74" s="4"/>
      <c r="V74" s="4"/>
      <c r="W74" s="4"/>
      <c r="X74" s="4"/>
    </row>
    <row r="75">
      <c r="A75" s="4"/>
      <c r="B75" s="46"/>
      <c r="C75" s="4"/>
      <c r="D75" s="4"/>
      <c r="E75" s="4"/>
      <c r="F75" s="4"/>
      <c r="G75" s="4"/>
      <c r="H75" s="4"/>
      <c r="I75" s="4"/>
      <c r="J75" s="4"/>
      <c r="K75" s="4"/>
      <c r="L75" s="4"/>
      <c r="M75" s="4"/>
      <c r="N75" s="4"/>
      <c r="O75" s="4"/>
      <c r="P75" s="4"/>
      <c r="Q75" s="4"/>
      <c r="R75" s="4"/>
      <c r="S75" s="4"/>
      <c r="T75" s="4"/>
      <c r="U75" s="4"/>
      <c r="V75" s="4"/>
      <c r="W75" s="4"/>
      <c r="X75" s="4"/>
    </row>
    <row r="76">
      <c r="A76" s="4"/>
      <c r="B76" s="46"/>
      <c r="C76" s="4"/>
      <c r="D76" s="4"/>
      <c r="E76" s="4"/>
      <c r="F76" s="4"/>
      <c r="G76" s="4"/>
      <c r="H76" s="4"/>
      <c r="I76" s="4"/>
      <c r="J76" s="4"/>
      <c r="K76" s="4"/>
      <c r="L76" s="4"/>
      <c r="M76" s="4"/>
      <c r="N76" s="4"/>
      <c r="O76" s="4"/>
      <c r="P76" s="4"/>
      <c r="Q76" s="4"/>
      <c r="R76" s="4"/>
      <c r="S76" s="4"/>
      <c r="T76" s="4"/>
      <c r="U76" s="4"/>
      <c r="V76" s="4"/>
      <c r="W76" s="4"/>
      <c r="X76" s="4"/>
    </row>
    <row r="77">
      <c r="A77" s="4"/>
      <c r="B77" s="46"/>
      <c r="C77" s="4"/>
      <c r="D77" s="4"/>
      <c r="E77" s="4"/>
      <c r="F77" s="4"/>
      <c r="G77" s="4"/>
      <c r="H77" s="4"/>
      <c r="I77" s="4"/>
      <c r="J77" s="4"/>
      <c r="K77" s="4"/>
      <c r="L77" s="4"/>
      <c r="M77" s="4"/>
      <c r="N77" s="4"/>
      <c r="O77" s="4"/>
      <c r="P77" s="4"/>
      <c r="Q77" s="4"/>
      <c r="R77" s="4"/>
      <c r="S77" s="4"/>
      <c r="T77" s="4"/>
      <c r="U77" s="4"/>
      <c r="V77" s="4"/>
      <c r="W77" s="4"/>
      <c r="X77" s="4"/>
    </row>
    <row r="78">
      <c r="A78" s="4"/>
      <c r="B78" s="46"/>
      <c r="C78" s="4"/>
      <c r="D78" s="4"/>
      <c r="E78" s="4"/>
      <c r="F78" s="4"/>
      <c r="G78" s="4"/>
      <c r="H78" s="4"/>
      <c r="I78" s="4"/>
      <c r="J78" s="4"/>
      <c r="K78" s="4"/>
      <c r="L78" s="4"/>
      <c r="M78" s="4"/>
      <c r="N78" s="4"/>
      <c r="O78" s="4"/>
      <c r="P78" s="4"/>
      <c r="Q78" s="4"/>
      <c r="R78" s="4"/>
      <c r="S78" s="4"/>
      <c r="T78" s="4"/>
      <c r="U78" s="4"/>
      <c r="V78" s="4"/>
      <c r="W78" s="4"/>
      <c r="X78" s="4"/>
    </row>
    <row r="79">
      <c r="A79" s="4"/>
      <c r="B79" s="46"/>
      <c r="C79" s="4"/>
      <c r="D79" s="4"/>
      <c r="E79" s="4"/>
      <c r="F79" s="4"/>
      <c r="G79" s="4"/>
      <c r="H79" s="4"/>
      <c r="I79" s="4"/>
      <c r="J79" s="4"/>
      <c r="K79" s="4"/>
      <c r="L79" s="4"/>
      <c r="M79" s="4"/>
      <c r="N79" s="4"/>
      <c r="O79" s="4"/>
      <c r="P79" s="4"/>
      <c r="Q79" s="4"/>
      <c r="R79" s="4"/>
      <c r="S79" s="4"/>
      <c r="T79" s="4"/>
      <c r="U79" s="4"/>
      <c r="V79" s="4"/>
      <c r="W79" s="4"/>
      <c r="X79" s="4"/>
    </row>
    <row r="80">
      <c r="A80" s="4"/>
      <c r="B80" s="46"/>
      <c r="C80" s="4"/>
      <c r="D80" s="4"/>
      <c r="E80" s="4"/>
      <c r="F80" s="4"/>
      <c r="G80" s="4"/>
      <c r="H80" s="4"/>
      <c r="I80" s="4"/>
      <c r="J80" s="4"/>
      <c r="K80" s="4"/>
      <c r="L80" s="4"/>
      <c r="M80" s="4"/>
      <c r="N80" s="4"/>
      <c r="O80" s="4"/>
      <c r="P80" s="4"/>
      <c r="Q80" s="4"/>
      <c r="R80" s="4"/>
      <c r="S80" s="4"/>
      <c r="T80" s="4"/>
      <c r="U80" s="4"/>
      <c r="V80" s="4"/>
      <c r="W80" s="4"/>
      <c r="X80" s="4"/>
    </row>
    <row r="81">
      <c r="A81" s="4"/>
      <c r="B81" s="46"/>
      <c r="C81" s="4"/>
      <c r="D81" s="4"/>
      <c r="E81" s="4"/>
      <c r="F81" s="4"/>
      <c r="G81" s="4"/>
      <c r="H81" s="4"/>
      <c r="I81" s="4"/>
      <c r="J81" s="4"/>
      <c r="K81" s="4"/>
      <c r="L81" s="4"/>
      <c r="M81" s="4"/>
      <c r="N81" s="4"/>
      <c r="O81" s="4"/>
      <c r="P81" s="4"/>
      <c r="Q81" s="4"/>
      <c r="R81" s="4"/>
      <c r="S81" s="4"/>
      <c r="T81" s="4"/>
      <c r="U81" s="4"/>
      <c r="V81" s="4"/>
      <c r="W81" s="4"/>
      <c r="X81" s="4"/>
    </row>
    <row r="82">
      <c r="A82" s="4"/>
      <c r="B82" s="46"/>
      <c r="C82" s="4"/>
      <c r="D82" s="4"/>
      <c r="E82" s="4"/>
      <c r="F82" s="4"/>
      <c r="G82" s="4"/>
      <c r="H82" s="4"/>
      <c r="I82" s="4"/>
      <c r="J82" s="4"/>
      <c r="K82" s="4"/>
      <c r="L82" s="4"/>
      <c r="M82" s="4"/>
      <c r="N82" s="4"/>
      <c r="O82" s="4"/>
      <c r="P82" s="4"/>
      <c r="Q82" s="4"/>
      <c r="R82" s="4"/>
      <c r="S82" s="4"/>
      <c r="T82" s="4"/>
      <c r="U82" s="4"/>
      <c r="V82" s="4"/>
      <c r="W82" s="4"/>
      <c r="X82" s="4"/>
    </row>
    <row r="83">
      <c r="A83" s="4"/>
      <c r="B83" s="46"/>
      <c r="C83" s="4"/>
      <c r="D83" s="4"/>
      <c r="E83" s="4"/>
      <c r="F83" s="4"/>
      <c r="G83" s="4"/>
      <c r="H83" s="4"/>
      <c r="I83" s="4"/>
      <c r="J83" s="4"/>
      <c r="K83" s="4"/>
      <c r="L83" s="4"/>
      <c r="M83" s="4"/>
      <c r="N83" s="4"/>
      <c r="O83" s="4"/>
      <c r="P83" s="4"/>
      <c r="Q83" s="4"/>
      <c r="R83" s="4"/>
      <c r="S83" s="4"/>
      <c r="T83" s="4"/>
      <c r="U83" s="4"/>
      <c r="V83" s="4"/>
      <c r="W83" s="4"/>
      <c r="X83" s="4"/>
    </row>
    <row r="84">
      <c r="A84" s="4"/>
      <c r="B84" s="46"/>
      <c r="C84" s="4"/>
      <c r="D84" s="4"/>
      <c r="E84" s="4"/>
      <c r="F84" s="4"/>
      <c r="G84" s="4"/>
      <c r="H84" s="4"/>
      <c r="I84" s="4"/>
      <c r="J84" s="4"/>
      <c r="K84" s="4"/>
      <c r="L84" s="4"/>
      <c r="M84" s="4"/>
      <c r="N84" s="4"/>
      <c r="O84" s="4"/>
      <c r="P84" s="4"/>
      <c r="Q84" s="4"/>
      <c r="R84" s="4"/>
      <c r="S84" s="4"/>
      <c r="T84" s="4"/>
      <c r="U84" s="4"/>
      <c r="V84" s="4"/>
      <c r="W84" s="4"/>
      <c r="X84" s="4"/>
    </row>
    <row r="85">
      <c r="A85" s="4"/>
      <c r="B85" s="46"/>
      <c r="C85" s="4"/>
      <c r="D85" s="4"/>
      <c r="E85" s="4"/>
      <c r="F85" s="4"/>
      <c r="G85" s="4"/>
      <c r="H85" s="4"/>
      <c r="I85" s="4"/>
      <c r="J85" s="4"/>
      <c r="K85" s="4"/>
      <c r="L85" s="4"/>
      <c r="M85" s="4"/>
      <c r="N85" s="4"/>
      <c r="O85" s="4"/>
      <c r="P85" s="4"/>
      <c r="Q85" s="4"/>
      <c r="R85" s="4"/>
      <c r="S85" s="4"/>
      <c r="T85" s="4"/>
      <c r="U85" s="4"/>
      <c r="V85" s="4"/>
      <c r="W85" s="4"/>
      <c r="X85" s="4"/>
    </row>
    <row r="86">
      <c r="A86" s="4"/>
      <c r="B86" s="46"/>
      <c r="C86" s="4"/>
      <c r="D86" s="4"/>
      <c r="E86" s="4"/>
      <c r="F86" s="4"/>
      <c r="G86" s="4"/>
      <c r="H86" s="4"/>
      <c r="I86" s="4"/>
      <c r="J86" s="4"/>
      <c r="K86" s="4"/>
      <c r="L86" s="4"/>
      <c r="M86" s="4"/>
      <c r="N86" s="4"/>
      <c r="O86" s="4"/>
      <c r="P86" s="4"/>
      <c r="Q86" s="4"/>
      <c r="R86" s="4"/>
      <c r="S86" s="4"/>
      <c r="T86" s="4"/>
      <c r="U86" s="4"/>
      <c r="V86" s="4"/>
      <c r="W86" s="4"/>
      <c r="X86" s="4"/>
    </row>
    <row r="87">
      <c r="A87" s="4"/>
      <c r="B87" s="46"/>
      <c r="C87" s="4"/>
      <c r="D87" s="4"/>
      <c r="E87" s="4"/>
      <c r="F87" s="4"/>
      <c r="G87" s="4"/>
      <c r="H87" s="4"/>
      <c r="I87" s="4"/>
      <c r="J87" s="4"/>
      <c r="K87" s="4"/>
      <c r="L87" s="4"/>
      <c r="M87" s="4"/>
      <c r="N87" s="4"/>
      <c r="O87" s="4"/>
      <c r="P87" s="4"/>
      <c r="Q87" s="4"/>
      <c r="R87" s="4"/>
      <c r="S87" s="4"/>
      <c r="T87" s="4"/>
      <c r="U87" s="4"/>
      <c r="V87" s="4"/>
      <c r="W87" s="4"/>
      <c r="X87" s="4"/>
    </row>
    <row r="88">
      <c r="A88" s="4"/>
      <c r="B88" s="46"/>
      <c r="C88" s="4"/>
      <c r="D88" s="4"/>
      <c r="E88" s="4"/>
      <c r="F88" s="4"/>
      <c r="G88" s="4"/>
      <c r="H88" s="4"/>
      <c r="I88" s="4"/>
      <c r="J88" s="4"/>
      <c r="K88" s="4"/>
      <c r="L88" s="4"/>
      <c r="M88" s="4"/>
      <c r="N88" s="4"/>
      <c r="O88" s="4"/>
      <c r="P88" s="4"/>
      <c r="Q88" s="4"/>
      <c r="R88" s="4"/>
      <c r="S88" s="4"/>
      <c r="T88" s="4"/>
      <c r="U88" s="4"/>
      <c r="V88" s="4"/>
      <c r="W88" s="4"/>
      <c r="X88" s="4"/>
    </row>
    <row r="89">
      <c r="A89" s="4"/>
      <c r="B89" s="46"/>
      <c r="C89" s="4"/>
      <c r="D89" s="4"/>
      <c r="E89" s="4"/>
      <c r="F89" s="4"/>
      <c r="G89" s="4"/>
      <c r="H89" s="4"/>
      <c r="I89" s="4"/>
      <c r="J89" s="4"/>
      <c r="K89" s="4"/>
      <c r="L89" s="4"/>
      <c r="M89" s="4"/>
      <c r="N89" s="4"/>
      <c r="O89" s="4"/>
      <c r="P89" s="4"/>
      <c r="Q89" s="4"/>
      <c r="R89" s="4"/>
      <c r="S89" s="4"/>
      <c r="T89" s="4"/>
      <c r="U89" s="4"/>
      <c r="V89" s="4"/>
      <c r="W89" s="4"/>
      <c r="X89" s="4"/>
    </row>
    <row r="90">
      <c r="A90" s="4"/>
      <c r="B90" s="46"/>
      <c r="C90" s="4"/>
      <c r="D90" s="4"/>
      <c r="E90" s="4"/>
      <c r="F90" s="4"/>
      <c r="G90" s="4"/>
      <c r="H90" s="4"/>
      <c r="I90" s="4"/>
      <c r="J90" s="4"/>
      <c r="K90" s="4"/>
      <c r="L90" s="4"/>
      <c r="M90" s="4"/>
      <c r="N90" s="4"/>
      <c r="O90" s="4"/>
      <c r="P90" s="4"/>
      <c r="Q90" s="4"/>
      <c r="R90" s="4"/>
      <c r="S90" s="4"/>
      <c r="T90" s="4"/>
      <c r="U90" s="4"/>
      <c r="V90" s="4"/>
      <c r="W90" s="4"/>
      <c r="X90" s="4"/>
    </row>
    <row r="91">
      <c r="A91" s="4"/>
      <c r="B91" s="46"/>
      <c r="C91" s="4"/>
      <c r="D91" s="4"/>
      <c r="E91" s="4"/>
      <c r="F91" s="4"/>
      <c r="G91" s="4"/>
      <c r="H91" s="4"/>
      <c r="I91" s="4"/>
      <c r="J91" s="4"/>
      <c r="K91" s="4"/>
      <c r="L91" s="4"/>
      <c r="M91" s="4"/>
      <c r="N91" s="4"/>
      <c r="O91" s="4"/>
      <c r="P91" s="4"/>
      <c r="Q91" s="4"/>
      <c r="R91" s="4"/>
      <c r="S91" s="4"/>
      <c r="T91" s="4"/>
      <c r="U91" s="4"/>
      <c r="V91" s="4"/>
      <c r="W91" s="4"/>
      <c r="X91" s="4"/>
    </row>
    <row r="92">
      <c r="A92" s="4"/>
      <c r="B92" s="46"/>
      <c r="C92" s="4"/>
      <c r="D92" s="4"/>
      <c r="E92" s="4"/>
      <c r="F92" s="4"/>
      <c r="G92" s="4"/>
      <c r="H92" s="4"/>
      <c r="I92" s="4"/>
      <c r="J92" s="4"/>
      <c r="K92" s="4"/>
      <c r="L92" s="4"/>
      <c r="M92" s="4"/>
      <c r="N92" s="4"/>
      <c r="O92" s="4"/>
      <c r="P92" s="4"/>
      <c r="Q92" s="4"/>
      <c r="R92" s="4"/>
      <c r="S92" s="4"/>
      <c r="T92" s="4"/>
      <c r="U92" s="4"/>
      <c r="V92" s="4"/>
      <c r="W92" s="4"/>
      <c r="X92" s="4"/>
    </row>
    <row r="93">
      <c r="A93" s="4"/>
      <c r="B93" s="46"/>
      <c r="C93" s="4"/>
      <c r="D93" s="4"/>
      <c r="E93" s="4"/>
      <c r="F93" s="4"/>
      <c r="G93" s="4"/>
      <c r="H93" s="4"/>
      <c r="I93" s="4"/>
      <c r="J93" s="4"/>
      <c r="K93" s="4"/>
      <c r="L93" s="4"/>
      <c r="M93" s="4"/>
      <c r="N93" s="4"/>
      <c r="O93" s="4"/>
      <c r="P93" s="4"/>
      <c r="Q93" s="4"/>
      <c r="R93" s="4"/>
      <c r="S93" s="4"/>
      <c r="T93" s="4"/>
      <c r="U93" s="4"/>
      <c r="V93" s="4"/>
      <c r="W93" s="4"/>
      <c r="X93" s="4"/>
    </row>
    <row r="94">
      <c r="A94" s="4"/>
      <c r="B94" s="46"/>
      <c r="C94" s="4"/>
      <c r="D94" s="4"/>
      <c r="E94" s="4"/>
      <c r="F94" s="4"/>
      <c r="G94" s="4"/>
      <c r="H94" s="4"/>
      <c r="I94" s="4"/>
      <c r="J94" s="4"/>
      <c r="K94" s="4"/>
      <c r="L94" s="4"/>
      <c r="M94" s="4"/>
      <c r="N94" s="4"/>
      <c r="O94" s="4"/>
      <c r="P94" s="4"/>
      <c r="Q94" s="4"/>
      <c r="R94" s="4"/>
      <c r="S94" s="4"/>
      <c r="T94" s="4"/>
      <c r="U94" s="4"/>
      <c r="V94" s="4"/>
      <c r="W94" s="4"/>
      <c r="X94" s="4"/>
    </row>
    <row r="95">
      <c r="A95" s="4"/>
      <c r="B95" s="46"/>
      <c r="C95" s="4"/>
      <c r="D95" s="4"/>
      <c r="E95" s="4"/>
      <c r="F95" s="4"/>
      <c r="G95" s="4"/>
      <c r="H95" s="4"/>
      <c r="I95" s="4"/>
      <c r="J95" s="4"/>
      <c r="K95" s="4"/>
      <c r="L95" s="4"/>
      <c r="M95" s="4"/>
      <c r="N95" s="4"/>
      <c r="O95" s="4"/>
      <c r="P95" s="4"/>
      <c r="Q95" s="4"/>
      <c r="R95" s="4"/>
      <c r="S95" s="4"/>
      <c r="T95" s="4"/>
      <c r="U95" s="4"/>
      <c r="V95" s="4"/>
      <c r="W95" s="4"/>
      <c r="X95" s="4"/>
    </row>
    <row r="96">
      <c r="A96" s="4"/>
      <c r="B96" s="46"/>
      <c r="C96" s="4"/>
      <c r="D96" s="4"/>
      <c r="E96" s="4"/>
      <c r="F96" s="4"/>
      <c r="G96" s="4"/>
      <c r="H96" s="4"/>
      <c r="I96" s="4"/>
      <c r="J96" s="4"/>
      <c r="K96" s="4"/>
      <c r="L96" s="4"/>
      <c r="M96" s="4"/>
      <c r="N96" s="4"/>
      <c r="O96" s="4"/>
      <c r="P96" s="4"/>
      <c r="Q96" s="4"/>
      <c r="R96" s="4"/>
      <c r="S96" s="4"/>
      <c r="T96" s="4"/>
      <c r="U96" s="4"/>
      <c r="V96" s="4"/>
      <c r="W96" s="4"/>
      <c r="X96" s="4"/>
    </row>
    <row r="97">
      <c r="A97" s="4"/>
      <c r="B97" s="46"/>
      <c r="C97" s="4"/>
      <c r="D97" s="4"/>
      <c r="E97" s="4"/>
      <c r="F97" s="4"/>
      <c r="G97" s="4"/>
      <c r="H97" s="4"/>
      <c r="I97" s="4"/>
      <c r="J97" s="4"/>
      <c r="K97" s="4"/>
      <c r="L97" s="4"/>
      <c r="M97" s="4"/>
      <c r="N97" s="4"/>
      <c r="O97" s="4"/>
      <c r="P97" s="4"/>
      <c r="Q97" s="4"/>
      <c r="R97" s="4"/>
      <c r="S97" s="4"/>
      <c r="T97" s="4"/>
      <c r="U97" s="4"/>
      <c r="V97" s="4"/>
      <c r="W97" s="4"/>
      <c r="X97" s="4"/>
    </row>
    <row r="98">
      <c r="A98" s="4"/>
      <c r="B98" s="46"/>
      <c r="C98" s="4"/>
      <c r="D98" s="4"/>
      <c r="E98" s="4"/>
      <c r="F98" s="4"/>
      <c r="G98" s="4"/>
      <c r="H98" s="4"/>
      <c r="I98" s="4"/>
      <c r="J98" s="4"/>
      <c r="K98" s="4"/>
      <c r="L98" s="4"/>
      <c r="M98" s="4"/>
      <c r="N98" s="4"/>
      <c r="O98" s="4"/>
      <c r="P98" s="4"/>
      <c r="Q98" s="4"/>
      <c r="R98" s="4"/>
      <c r="S98" s="4"/>
      <c r="T98" s="4"/>
      <c r="U98" s="4"/>
      <c r="V98" s="4"/>
      <c r="W98" s="4"/>
      <c r="X98" s="4"/>
    </row>
    <row r="99">
      <c r="A99" s="4"/>
      <c r="B99" s="46"/>
      <c r="C99" s="4"/>
      <c r="D99" s="4"/>
      <c r="E99" s="4"/>
      <c r="F99" s="4"/>
      <c r="G99" s="4"/>
      <c r="H99" s="4"/>
      <c r="I99" s="4"/>
      <c r="J99" s="4"/>
      <c r="K99" s="4"/>
      <c r="L99" s="4"/>
      <c r="M99" s="4"/>
      <c r="N99" s="4"/>
      <c r="O99" s="4"/>
      <c r="P99" s="4"/>
      <c r="Q99" s="4"/>
      <c r="R99" s="4"/>
      <c r="S99" s="4"/>
      <c r="T99" s="4"/>
      <c r="U99" s="4"/>
      <c r="V99" s="4"/>
      <c r="W99" s="4"/>
      <c r="X99" s="4"/>
    </row>
    <row r="100">
      <c r="A100" s="4"/>
      <c r="B100" s="46"/>
      <c r="C100" s="4"/>
      <c r="D100" s="4"/>
      <c r="E100" s="4"/>
      <c r="F100" s="4"/>
      <c r="G100" s="4"/>
      <c r="H100" s="4"/>
      <c r="I100" s="4"/>
      <c r="J100" s="4"/>
      <c r="K100" s="4"/>
      <c r="L100" s="4"/>
      <c r="M100" s="4"/>
      <c r="N100" s="4"/>
      <c r="O100" s="4"/>
      <c r="P100" s="4"/>
      <c r="Q100" s="4"/>
      <c r="R100" s="4"/>
      <c r="S100" s="4"/>
      <c r="T100" s="4"/>
      <c r="U100" s="4"/>
      <c r="V100" s="4"/>
      <c r="W100" s="4"/>
      <c r="X100" s="4"/>
    </row>
    <row r="101">
      <c r="A101" s="4"/>
      <c r="B101" s="46"/>
      <c r="C101" s="4"/>
      <c r="D101" s="4"/>
      <c r="E101" s="4"/>
      <c r="F101" s="4"/>
      <c r="G101" s="4"/>
      <c r="H101" s="4"/>
      <c r="I101" s="4"/>
      <c r="J101" s="4"/>
      <c r="K101" s="4"/>
      <c r="L101" s="4"/>
      <c r="M101" s="4"/>
      <c r="N101" s="4"/>
      <c r="O101" s="4"/>
      <c r="P101" s="4"/>
      <c r="Q101" s="4"/>
      <c r="R101" s="4"/>
      <c r="S101" s="4"/>
      <c r="T101" s="4"/>
      <c r="U101" s="4"/>
      <c r="V101" s="4"/>
      <c r="W101" s="4"/>
      <c r="X101" s="4"/>
    </row>
    <row r="102">
      <c r="A102" s="4"/>
      <c r="B102" s="46"/>
      <c r="C102" s="4"/>
      <c r="D102" s="4"/>
      <c r="E102" s="4"/>
      <c r="F102" s="4"/>
      <c r="G102" s="4"/>
      <c r="H102" s="4"/>
      <c r="I102" s="4"/>
      <c r="J102" s="4"/>
      <c r="K102" s="4"/>
      <c r="L102" s="4"/>
      <c r="M102" s="4"/>
      <c r="N102" s="4"/>
      <c r="O102" s="4"/>
      <c r="P102" s="4"/>
      <c r="Q102" s="4"/>
      <c r="R102" s="4"/>
      <c r="S102" s="4"/>
      <c r="T102" s="4"/>
      <c r="U102" s="4"/>
      <c r="V102" s="4"/>
      <c r="W102" s="4"/>
      <c r="X102" s="4"/>
    </row>
    <row r="103">
      <c r="A103" s="4"/>
      <c r="B103" s="46"/>
      <c r="C103" s="4"/>
      <c r="D103" s="4"/>
      <c r="E103" s="4"/>
      <c r="F103" s="4"/>
      <c r="G103" s="4"/>
      <c r="H103" s="4"/>
      <c r="I103" s="4"/>
      <c r="J103" s="4"/>
      <c r="K103" s="4"/>
      <c r="L103" s="4"/>
      <c r="M103" s="4"/>
      <c r="N103" s="4"/>
      <c r="O103" s="4"/>
      <c r="P103" s="4"/>
      <c r="Q103" s="4"/>
      <c r="R103" s="4"/>
      <c r="S103" s="4"/>
      <c r="T103" s="4"/>
      <c r="U103" s="4"/>
      <c r="V103" s="4"/>
      <c r="W103" s="4"/>
      <c r="X103" s="4"/>
    </row>
    <row r="104">
      <c r="A104" s="4"/>
      <c r="B104" s="46"/>
      <c r="C104" s="4"/>
      <c r="D104" s="4"/>
      <c r="E104" s="4"/>
      <c r="F104" s="4"/>
      <c r="G104" s="4"/>
      <c r="H104" s="4"/>
      <c r="I104" s="4"/>
      <c r="J104" s="4"/>
      <c r="K104" s="4"/>
      <c r="L104" s="4"/>
      <c r="M104" s="4"/>
      <c r="N104" s="4"/>
      <c r="O104" s="4"/>
      <c r="P104" s="4"/>
      <c r="Q104" s="4"/>
      <c r="R104" s="4"/>
      <c r="S104" s="4"/>
      <c r="T104" s="4"/>
      <c r="U104" s="4"/>
      <c r="V104" s="4"/>
      <c r="W104" s="4"/>
      <c r="X104" s="4"/>
    </row>
    <row r="105">
      <c r="A105" s="4"/>
      <c r="B105" s="46"/>
      <c r="C105" s="4"/>
      <c r="D105" s="4"/>
      <c r="E105" s="4"/>
      <c r="F105" s="4"/>
      <c r="G105" s="4"/>
      <c r="H105" s="4"/>
      <c r="I105" s="4"/>
      <c r="J105" s="4"/>
      <c r="K105" s="4"/>
      <c r="L105" s="4"/>
      <c r="M105" s="4"/>
      <c r="N105" s="4"/>
      <c r="O105" s="4"/>
      <c r="P105" s="4"/>
      <c r="Q105" s="4"/>
      <c r="R105" s="4"/>
      <c r="S105" s="4"/>
      <c r="T105" s="4"/>
      <c r="U105" s="4"/>
      <c r="V105" s="4"/>
      <c r="W105" s="4"/>
      <c r="X105" s="4"/>
    </row>
    <row r="106">
      <c r="A106" s="4"/>
      <c r="B106" s="46"/>
      <c r="C106" s="4"/>
      <c r="D106" s="4"/>
      <c r="E106" s="4"/>
      <c r="F106" s="4"/>
      <c r="G106" s="4"/>
      <c r="H106" s="4"/>
      <c r="I106" s="4"/>
      <c r="J106" s="4"/>
      <c r="K106" s="4"/>
      <c r="L106" s="4"/>
      <c r="M106" s="4"/>
      <c r="N106" s="4"/>
      <c r="O106" s="4"/>
      <c r="P106" s="4"/>
      <c r="Q106" s="4"/>
      <c r="R106" s="4"/>
      <c r="S106" s="4"/>
      <c r="T106" s="4"/>
      <c r="U106" s="4"/>
      <c r="V106" s="4"/>
      <c r="W106" s="4"/>
      <c r="X106" s="4"/>
    </row>
    <row r="107">
      <c r="A107" s="4"/>
      <c r="B107" s="46"/>
      <c r="C107" s="4"/>
      <c r="D107" s="4"/>
      <c r="E107" s="4"/>
      <c r="F107" s="4"/>
      <c r="G107" s="4"/>
      <c r="H107" s="4"/>
      <c r="I107" s="4"/>
      <c r="J107" s="4"/>
      <c r="K107" s="4"/>
      <c r="L107" s="4"/>
      <c r="M107" s="4"/>
      <c r="N107" s="4"/>
      <c r="O107" s="4"/>
      <c r="P107" s="4"/>
      <c r="Q107" s="4"/>
      <c r="R107" s="4"/>
      <c r="S107" s="4"/>
      <c r="T107" s="4"/>
      <c r="U107" s="4"/>
      <c r="V107" s="4"/>
      <c r="W107" s="4"/>
      <c r="X107" s="4"/>
    </row>
    <row r="108">
      <c r="A108" s="4"/>
      <c r="B108" s="46"/>
      <c r="C108" s="4"/>
      <c r="D108" s="4"/>
      <c r="E108" s="4"/>
      <c r="F108" s="4"/>
      <c r="G108" s="4"/>
      <c r="H108" s="4"/>
      <c r="I108" s="4"/>
      <c r="J108" s="4"/>
      <c r="K108" s="4"/>
      <c r="L108" s="4"/>
      <c r="M108" s="4"/>
      <c r="N108" s="4"/>
      <c r="O108" s="4"/>
      <c r="P108" s="4"/>
      <c r="Q108" s="4"/>
      <c r="R108" s="4"/>
      <c r="S108" s="4"/>
      <c r="T108" s="4"/>
      <c r="U108" s="4"/>
      <c r="V108" s="4"/>
      <c r="W108" s="4"/>
      <c r="X108" s="4"/>
    </row>
    <row r="109">
      <c r="A109" s="4"/>
      <c r="B109" s="46"/>
      <c r="C109" s="4"/>
      <c r="D109" s="4"/>
      <c r="E109" s="4"/>
      <c r="F109" s="4"/>
      <c r="G109" s="4"/>
      <c r="H109" s="4"/>
      <c r="I109" s="4"/>
      <c r="J109" s="4"/>
      <c r="K109" s="4"/>
      <c r="L109" s="4"/>
      <c r="M109" s="4"/>
      <c r="N109" s="4"/>
      <c r="O109" s="4"/>
      <c r="P109" s="4"/>
      <c r="Q109" s="4"/>
      <c r="R109" s="4"/>
      <c r="S109" s="4"/>
      <c r="T109" s="4"/>
      <c r="U109" s="4"/>
      <c r="V109" s="4"/>
      <c r="W109" s="4"/>
      <c r="X109" s="4"/>
    </row>
    <row r="110">
      <c r="A110" s="4"/>
      <c r="B110" s="46"/>
      <c r="C110" s="4"/>
      <c r="D110" s="4"/>
      <c r="E110" s="4"/>
      <c r="F110" s="4"/>
      <c r="G110" s="4"/>
      <c r="H110" s="4"/>
      <c r="I110" s="4"/>
      <c r="J110" s="4"/>
      <c r="K110" s="4"/>
      <c r="L110" s="4"/>
      <c r="M110" s="4"/>
      <c r="N110" s="4"/>
      <c r="O110" s="4"/>
      <c r="P110" s="4"/>
      <c r="Q110" s="4"/>
      <c r="R110" s="4"/>
      <c r="S110" s="4"/>
      <c r="T110" s="4"/>
      <c r="U110" s="4"/>
      <c r="V110" s="4"/>
      <c r="W110" s="4"/>
      <c r="X110" s="4"/>
    </row>
    <row r="111">
      <c r="A111" s="4"/>
      <c r="B111" s="46"/>
      <c r="C111" s="4"/>
      <c r="D111" s="4"/>
      <c r="E111" s="4"/>
      <c r="F111" s="4"/>
      <c r="G111" s="4"/>
      <c r="H111" s="4"/>
      <c r="I111" s="4"/>
      <c r="J111" s="4"/>
      <c r="K111" s="4"/>
      <c r="L111" s="4"/>
      <c r="M111" s="4"/>
      <c r="N111" s="4"/>
      <c r="O111" s="4"/>
      <c r="P111" s="4"/>
      <c r="Q111" s="4"/>
      <c r="R111" s="4"/>
      <c r="S111" s="4"/>
      <c r="T111" s="4"/>
      <c r="U111" s="4"/>
      <c r="V111" s="4"/>
      <c r="W111" s="4"/>
      <c r="X111" s="4"/>
    </row>
    <row r="112">
      <c r="A112" s="4"/>
      <c r="B112" s="46"/>
      <c r="C112" s="4"/>
      <c r="D112" s="4"/>
      <c r="E112" s="4"/>
      <c r="F112" s="4"/>
      <c r="G112" s="4"/>
      <c r="H112" s="4"/>
      <c r="I112" s="4"/>
      <c r="J112" s="4"/>
      <c r="K112" s="4"/>
      <c r="L112" s="4"/>
      <c r="M112" s="4"/>
      <c r="N112" s="4"/>
      <c r="O112" s="4"/>
      <c r="P112" s="4"/>
      <c r="Q112" s="4"/>
      <c r="R112" s="4"/>
      <c r="S112" s="4"/>
      <c r="T112" s="4"/>
      <c r="U112" s="4"/>
      <c r="V112" s="4"/>
      <c r="W112" s="4"/>
      <c r="X112" s="4"/>
    </row>
    <row r="113">
      <c r="A113" s="4"/>
      <c r="B113" s="46"/>
      <c r="C113" s="4"/>
      <c r="D113" s="4"/>
      <c r="E113" s="4"/>
      <c r="F113" s="4"/>
      <c r="G113" s="4"/>
      <c r="H113" s="4"/>
      <c r="I113" s="4"/>
      <c r="J113" s="4"/>
      <c r="K113" s="4"/>
      <c r="L113" s="4"/>
      <c r="M113" s="4"/>
      <c r="N113" s="4"/>
      <c r="O113" s="4"/>
      <c r="P113" s="4"/>
      <c r="Q113" s="4"/>
      <c r="R113" s="4"/>
      <c r="S113" s="4"/>
      <c r="T113" s="4"/>
      <c r="U113" s="4"/>
      <c r="V113" s="4"/>
      <c r="W113" s="4"/>
      <c r="X113" s="4"/>
    </row>
    <row r="114">
      <c r="A114" s="4"/>
      <c r="B114" s="46"/>
      <c r="C114" s="4"/>
      <c r="D114" s="4"/>
      <c r="E114" s="4"/>
      <c r="F114" s="4"/>
      <c r="G114" s="4"/>
      <c r="H114" s="4"/>
      <c r="I114" s="4"/>
      <c r="J114" s="4"/>
      <c r="K114" s="4"/>
      <c r="L114" s="4"/>
      <c r="M114" s="4"/>
      <c r="N114" s="4"/>
      <c r="O114" s="4"/>
      <c r="P114" s="4"/>
      <c r="Q114" s="4"/>
      <c r="R114" s="4"/>
      <c r="S114" s="4"/>
      <c r="T114" s="4"/>
      <c r="U114" s="4"/>
      <c r="V114" s="4"/>
      <c r="W114" s="4"/>
      <c r="X114" s="4"/>
    </row>
    <row r="115">
      <c r="A115" s="4"/>
      <c r="B115" s="46"/>
      <c r="C115" s="4"/>
      <c r="D115" s="4"/>
      <c r="E115" s="4"/>
      <c r="F115" s="4"/>
      <c r="G115" s="4"/>
      <c r="H115" s="4"/>
      <c r="I115" s="4"/>
      <c r="J115" s="4"/>
      <c r="K115" s="4"/>
      <c r="L115" s="4"/>
      <c r="M115" s="4"/>
      <c r="N115" s="4"/>
      <c r="O115" s="4"/>
      <c r="P115" s="4"/>
      <c r="Q115" s="4"/>
      <c r="R115" s="4"/>
      <c r="S115" s="4"/>
      <c r="T115" s="4"/>
      <c r="U115" s="4"/>
      <c r="V115" s="4"/>
      <c r="W115" s="4"/>
      <c r="X115" s="4"/>
    </row>
    <row r="116">
      <c r="A116" s="4"/>
      <c r="B116" s="46"/>
      <c r="C116" s="4"/>
      <c r="D116" s="4"/>
      <c r="E116" s="4"/>
      <c r="F116" s="4"/>
      <c r="G116" s="4"/>
      <c r="H116" s="4"/>
      <c r="I116" s="4"/>
      <c r="J116" s="4"/>
      <c r="K116" s="4"/>
      <c r="L116" s="4"/>
      <c r="M116" s="4"/>
      <c r="N116" s="4"/>
      <c r="O116" s="4"/>
      <c r="P116" s="4"/>
      <c r="Q116" s="4"/>
      <c r="R116" s="4"/>
      <c r="S116" s="4"/>
      <c r="T116" s="4"/>
      <c r="U116" s="4"/>
      <c r="V116" s="4"/>
      <c r="W116" s="4"/>
      <c r="X116" s="4"/>
    </row>
    <row r="117">
      <c r="A117" s="4"/>
      <c r="B117" s="46"/>
      <c r="C117" s="4"/>
      <c r="D117" s="4"/>
      <c r="E117" s="4"/>
      <c r="F117" s="4"/>
      <c r="G117" s="4"/>
      <c r="H117" s="4"/>
      <c r="I117" s="4"/>
      <c r="J117" s="4"/>
      <c r="K117" s="4"/>
      <c r="L117" s="4"/>
      <c r="M117" s="4"/>
      <c r="N117" s="4"/>
      <c r="O117" s="4"/>
      <c r="P117" s="4"/>
      <c r="Q117" s="4"/>
      <c r="R117" s="4"/>
      <c r="S117" s="4"/>
      <c r="T117" s="4"/>
      <c r="U117" s="4"/>
      <c r="V117" s="4"/>
      <c r="W117" s="4"/>
      <c r="X117" s="4"/>
    </row>
    <row r="118">
      <c r="A118" s="4"/>
      <c r="B118" s="46"/>
      <c r="C118" s="4"/>
      <c r="D118" s="4"/>
      <c r="E118" s="4"/>
      <c r="F118" s="4"/>
      <c r="G118" s="4"/>
      <c r="H118" s="4"/>
      <c r="I118" s="4"/>
      <c r="J118" s="4"/>
      <c r="K118" s="4"/>
      <c r="L118" s="4"/>
      <c r="M118" s="4"/>
      <c r="N118" s="4"/>
      <c r="O118" s="4"/>
      <c r="P118" s="4"/>
      <c r="Q118" s="4"/>
      <c r="R118" s="4"/>
      <c r="S118" s="4"/>
      <c r="T118" s="4"/>
      <c r="U118" s="4"/>
      <c r="V118" s="4"/>
      <c r="W118" s="4"/>
      <c r="X118" s="4"/>
    </row>
    <row r="119">
      <c r="A119" s="4"/>
      <c r="B119" s="46"/>
      <c r="C119" s="4"/>
      <c r="D119" s="4"/>
      <c r="E119" s="4"/>
      <c r="F119" s="4"/>
      <c r="G119" s="4"/>
      <c r="H119" s="4"/>
      <c r="I119" s="4"/>
      <c r="J119" s="4"/>
      <c r="K119" s="4"/>
      <c r="L119" s="4"/>
      <c r="M119" s="4"/>
      <c r="N119" s="4"/>
      <c r="O119" s="4"/>
      <c r="P119" s="4"/>
      <c r="Q119" s="4"/>
      <c r="R119" s="4"/>
      <c r="S119" s="4"/>
      <c r="T119" s="4"/>
      <c r="U119" s="4"/>
      <c r="V119" s="4"/>
      <c r="W119" s="4"/>
      <c r="X119" s="4"/>
    </row>
    <row r="120">
      <c r="A120" s="4"/>
      <c r="B120" s="46"/>
      <c r="C120" s="4"/>
      <c r="D120" s="4"/>
      <c r="E120" s="4"/>
      <c r="F120" s="4"/>
      <c r="G120" s="4"/>
      <c r="H120" s="4"/>
      <c r="I120" s="4"/>
      <c r="J120" s="4"/>
      <c r="K120" s="4"/>
      <c r="L120" s="4"/>
      <c r="M120" s="4"/>
      <c r="N120" s="4"/>
      <c r="O120" s="4"/>
      <c r="P120" s="4"/>
      <c r="Q120" s="4"/>
      <c r="R120" s="4"/>
      <c r="S120" s="4"/>
      <c r="T120" s="4"/>
      <c r="U120" s="4"/>
      <c r="V120" s="4"/>
      <c r="W120" s="4"/>
      <c r="X120" s="4"/>
    </row>
    <row r="121">
      <c r="A121" s="4"/>
      <c r="B121" s="46"/>
      <c r="C121" s="4"/>
      <c r="D121" s="4"/>
      <c r="E121" s="4"/>
      <c r="F121" s="4"/>
      <c r="G121" s="4"/>
      <c r="H121" s="4"/>
      <c r="I121" s="4"/>
      <c r="J121" s="4"/>
      <c r="K121" s="4"/>
      <c r="L121" s="4"/>
      <c r="M121" s="4"/>
      <c r="N121" s="4"/>
      <c r="O121" s="4"/>
      <c r="P121" s="4"/>
      <c r="Q121" s="4"/>
      <c r="R121" s="4"/>
      <c r="S121" s="4"/>
      <c r="T121" s="4"/>
      <c r="U121" s="4"/>
      <c r="V121" s="4"/>
      <c r="W121" s="4"/>
      <c r="X121" s="4"/>
    </row>
    <row r="122">
      <c r="A122" s="4"/>
      <c r="B122" s="46"/>
      <c r="C122" s="4"/>
      <c r="D122" s="4"/>
      <c r="E122" s="4"/>
      <c r="F122" s="4"/>
      <c r="G122" s="4"/>
      <c r="H122" s="4"/>
      <c r="I122" s="4"/>
      <c r="J122" s="4"/>
      <c r="K122" s="4"/>
      <c r="L122" s="4"/>
      <c r="M122" s="4"/>
      <c r="N122" s="4"/>
      <c r="O122" s="4"/>
      <c r="P122" s="4"/>
      <c r="Q122" s="4"/>
      <c r="R122" s="4"/>
      <c r="S122" s="4"/>
      <c r="T122" s="4"/>
      <c r="U122" s="4"/>
      <c r="V122" s="4"/>
      <c r="W122" s="4"/>
      <c r="X122" s="4"/>
    </row>
    <row r="123">
      <c r="A123" s="4"/>
      <c r="B123" s="46"/>
      <c r="C123" s="4"/>
      <c r="D123" s="4"/>
      <c r="E123" s="4"/>
      <c r="F123" s="4"/>
      <c r="G123" s="4"/>
      <c r="H123" s="4"/>
      <c r="I123" s="4"/>
      <c r="J123" s="4"/>
      <c r="K123" s="4"/>
      <c r="L123" s="4"/>
      <c r="M123" s="4"/>
      <c r="N123" s="4"/>
      <c r="O123" s="4"/>
      <c r="P123" s="4"/>
      <c r="Q123" s="4"/>
      <c r="R123" s="4"/>
      <c r="S123" s="4"/>
      <c r="T123" s="4"/>
      <c r="U123" s="4"/>
      <c r="V123" s="4"/>
      <c r="W123" s="4"/>
      <c r="X123" s="4"/>
    </row>
    <row r="124">
      <c r="A124" s="4"/>
      <c r="B124" s="46"/>
      <c r="C124" s="4"/>
      <c r="D124" s="4"/>
      <c r="E124" s="4"/>
      <c r="F124" s="4"/>
      <c r="G124" s="4"/>
      <c r="H124" s="4"/>
      <c r="I124" s="4"/>
      <c r="J124" s="4"/>
      <c r="K124" s="4"/>
      <c r="L124" s="4"/>
      <c r="M124" s="4"/>
      <c r="N124" s="4"/>
      <c r="O124" s="4"/>
      <c r="P124" s="4"/>
      <c r="Q124" s="4"/>
      <c r="R124" s="4"/>
      <c r="S124" s="4"/>
      <c r="T124" s="4"/>
      <c r="U124" s="4"/>
      <c r="V124" s="4"/>
      <c r="W124" s="4"/>
      <c r="X124" s="4"/>
    </row>
    <row r="125">
      <c r="A125" s="4"/>
      <c r="B125" s="46"/>
      <c r="C125" s="4"/>
      <c r="D125" s="4"/>
      <c r="E125" s="4"/>
      <c r="F125" s="4"/>
      <c r="G125" s="4"/>
      <c r="H125" s="4"/>
      <c r="I125" s="4"/>
      <c r="J125" s="4"/>
      <c r="K125" s="4"/>
      <c r="L125" s="4"/>
      <c r="M125" s="4"/>
      <c r="N125" s="4"/>
      <c r="O125" s="4"/>
      <c r="P125" s="4"/>
      <c r="Q125" s="4"/>
      <c r="R125" s="4"/>
      <c r="S125" s="4"/>
      <c r="T125" s="4"/>
      <c r="U125" s="4"/>
      <c r="V125" s="4"/>
      <c r="W125" s="4"/>
      <c r="X125" s="4"/>
    </row>
    <row r="126">
      <c r="A126" s="4"/>
      <c r="B126" s="46"/>
      <c r="C126" s="4"/>
      <c r="D126" s="4"/>
      <c r="E126" s="4"/>
      <c r="F126" s="4"/>
      <c r="G126" s="4"/>
      <c r="H126" s="4"/>
      <c r="I126" s="4"/>
      <c r="J126" s="4"/>
      <c r="K126" s="4"/>
      <c r="L126" s="4"/>
      <c r="M126" s="4"/>
      <c r="N126" s="4"/>
      <c r="O126" s="4"/>
      <c r="P126" s="4"/>
      <c r="Q126" s="4"/>
      <c r="R126" s="4"/>
      <c r="S126" s="4"/>
      <c r="T126" s="4"/>
      <c r="U126" s="4"/>
      <c r="V126" s="4"/>
      <c r="W126" s="4"/>
      <c r="X126" s="4"/>
    </row>
    <row r="127">
      <c r="A127" s="4"/>
      <c r="B127" s="46"/>
      <c r="C127" s="4"/>
      <c r="D127" s="4"/>
      <c r="E127" s="4"/>
      <c r="F127" s="4"/>
      <c r="G127" s="4"/>
      <c r="H127" s="4"/>
      <c r="I127" s="4"/>
      <c r="J127" s="4"/>
      <c r="K127" s="4"/>
      <c r="L127" s="4"/>
      <c r="M127" s="4"/>
      <c r="N127" s="4"/>
      <c r="O127" s="4"/>
      <c r="P127" s="4"/>
      <c r="Q127" s="4"/>
      <c r="R127" s="4"/>
      <c r="S127" s="4"/>
      <c r="T127" s="4"/>
      <c r="U127" s="4"/>
      <c r="V127" s="4"/>
      <c r="W127" s="4"/>
      <c r="X127" s="4"/>
    </row>
    <row r="128">
      <c r="A128" s="4"/>
      <c r="B128" s="46"/>
      <c r="C128" s="4"/>
      <c r="D128" s="4"/>
      <c r="E128" s="4"/>
      <c r="F128" s="4"/>
      <c r="G128" s="4"/>
      <c r="H128" s="4"/>
      <c r="I128" s="4"/>
      <c r="J128" s="4"/>
      <c r="K128" s="4"/>
      <c r="L128" s="4"/>
      <c r="M128" s="4"/>
      <c r="N128" s="4"/>
      <c r="O128" s="4"/>
      <c r="P128" s="4"/>
      <c r="Q128" s="4"/>
      <c r="R128" s="4"/>
      <c r="S128" s="4"/>
      <c r="T128" s="4"/>
      <c r="U128" s="4"/>
      <c r="V128" s="4"/>
      <c r="W128" s="4"/>
      <c r="X128" s="4"/>
    </row>
    <row r="129">
      <c r="A129" s="4"/>
      <c r="B129" s="46"/>
      <c r="C129" s="4"/>
      <c r="D129" s="4"/>
      <c r="E129" s="4"/>
      <c r="F129" s="4"/>
      <c r="G129" s="4"/>
      <c r="H129" s="4"/>
      <c r="I129" s="4"/>
      <c r="J129" s="4"/>
      <c r="K129" s="4"/>
      <c r="L129" s="4"/>
      <c r="M129" s="4"/>
      <c r="N129" s="4"/>
      <c r="O129" s="4"/>
      <c r="P129" s="4"/>
      <c r="Q129" s="4"/>
      <c r="R129" s="4"/>
      <c r="S129" s="4"/>
      <c r="T129" s="4"/>
      <c r="U129" s="4"/>
      <c r="V129" s="4"/>
      <c r="W129" s="4"/>
      <c r="X129" s="4"/>
    </row>
    <row r="130">
      <c r="A130" s="4"/>
      <c r="B130" s="46"/>
      <c r="C130" s="4"/>
      <c r="D130" s="4"/>
      <c r="E130" s="4"/>
      <c r="F130" s="4"/>
      <c r="G130" s="4"/>
      <c r="H130" s="4"/>
      <c r="I130" s="4"/>
      <c r="J130" s="4"/>
      <c r="K130" s="4"/>
      <c r="L130" s="4"/>
      <c r="M130" s="4"/>
      <c r="N130" s="4"/>
      <c r="O130" s="4"/>
      <c r="P130" s="4"/>
      <c r="Q130" s="4"/>
      <c r="R130" s="4"/>
      <c r="S130" s="4"/>
      <c r="T130" s="4"/>
      <c r="U130" s="4"/>
      <c r="V130" s="4"/>
      <c r="W130" s="4"/>
      <c r="X130" s="4"/>
    </row>
    <row r="131">
      <c r="A131" s="4"/>
      <c r="B131" s="46"/>
      <c r="C131" s="4"/>
      <c r="D131" s="4"/>
      <c r="E131" s="4"/>
      <c r="F131" s="4"/>
      <c r="G131" s="4"/>
      <c r="H131" s="4"/>
      <c r="I131" s="4"/>
      <c r="J131" s="4"/>
      <c r="K131" s="4"/>
      <c r="L131" s="4"/>
      <c r="M131" s="4"/>
      <c r="N131" s="4"/>
      <c r="O131" s="4"/>
      <c r="P131" s="4"/>
      <c r="Q131" s="4"/>
      <c r="R131" s="4"/>
      <c r="S131" s="4"/>
      <c r="T131" s="4"/>
      <c r="U131" s="4"/>
      <c r="V131" s="4"/>
      <c r="W131" s="4"/>
      <c r="X131" s="4"/>
    </row>
    <row r="132">
      <c r="A132" s="4"/>
      <c r="B132" s="46"/>
      <c r="C132" s="4"/>
      <c r="D132" s="4"/>
      <c r="E132" s="4"/>
      <c r="F132" s="4"/>
      <c r="G132" s="4"/>
      <c r="H132" s="4"/>
      <c r="I132" s="4"/>
      <c r="J132" s="4"/>
      <c r="K132" s="4"/>
      <c r="L132" s="4"/>
      <c r="M132" s="4"/>
      <c r="N132" s="4"/>
      <c r="O132" s="4"/>
      <c r="P132" s="4"/>
      <c r="Q132" s="4"/>
      <c r="R132" s="4"/>
      <c r="S132" s="4"/>
      <c r="T132" s="4"/>
      <c r="U132" s="4"/>
      <c r="V132" s="4"/>
      <c r="W132" s="4"/>
      <c r="X132" s="4"/>
    </row>
    <row r="133">
      <c r="A133" s="4"/>
      <c r="B133" s="46"/>
      <c r="C133" s="4"/>
      <c r="D133" s="4"/>
      <c r="E133" s="4"/>
      <c r="F133" s="4"/>
      <c r="G133" s="4"/>
      <c r="H133" s="4"/>
      <c r="I133" s="4"/>
      <c r="J133" s="4"/>
      <c r="K133" s="4"/>
      <c r="L133" s="4"/>
      <c r="M133" s="4"/>
      <c r="N133" s="4"/>
      <c r="O133" s="4"/>
      <c r="P133" s="4"/>
      <c r="Q133" s="4"/>
      <c r="R133" s="4"/>
      <c r="S133" s="4"/>
      <c r="T133" s="4"/>
      <c r="U133" s="4"/>
      <c r="V133" s="4"/>
      <c r="W133" s="4"/>
      <c r="X133" s="4"/>
    </row>
    <row r="134">
      <c r="A134" s="4"/>
      <c r="B134" s="46"/>
      <c r="C134" s="4"/>
      <c r="D134" s="4"/>
      <c r="E134" s="4"/>
      <c r="F134" s="4"/>
      <c r="G134" s="4"/>
      <c r="H134" s="4"/>
      <c r="I134" s="4"/>
      <c r="J134" s="4"/>
      <c r="K134" s="4"/>
      <c r="L134" s="4"/>
      <c r="M134" s="4"/>
      <c r="N134" s="4"/>
      <c r="O134" s="4"/>
      <c r="P134" s="4"/>
      <c r="Q134" s="4"/>
      <c r="R134" s="4"/>
      <c r="S134" s="4"/>
      <c r="T134" s="4"/>
      <c r="U134" s="4"/>
      <c r="V134" s="4"/>
      <c r="W134" s="4"/>
      <c r="X134" s="4"/>
    </row>
    <row r="135">
      <c r="A135" s="4"/>
      <c r="B135" s="46"/>
      <c r="C135" s="4"/>
      <c r="D135" s="4"/>
      <c r="E135" s="4"/>
      <c r="F135" s="4"/>
      <c r="G135" s="4"/>
      <c r="H135" s="4"/>
      <c r="I135" s="4"/>
      <c r="J135" s="4"/>
      <c r="K135" s="4"/>
      <c r="L135" s="4"/>
      <c r="M135" s="4"/>
      <c r="N135" s="4"/>
      <c r="O135" s="4"/>
      <c r="P135" s="4"/>
      <c r="Q135" s="4"/>
      <c r="R135" s="4"/>
      <c r="S135" s="4"/>
      <c r="T135" s="4"/>
      <c r="U135" s="4"/>
      <c r="V135" s="4"/>
      <c r="W135" s="4"/>
      <c r="X135" s="4"/>
    </row>
    <row r="136">
      <c r="A136" s="4"/>
      <c r="B136" s="46"/>
      <c r="C136" s="4"/>
      <c r="D136" s="4"/>
      <c r="E136" s="4"/>
      <c r="F136" s="4"/>
      <c r="G136" s="4"/>
      <c r="H136" s="4"/>
      <c r="I136" s="4"/>
      <c r="J136" s="4"/>
      <c r="K136" s="4"/>
      <c r="L136" s="4"/>
      <c r="M136" s="4"/>
      <c r="N136" s="4"/>
      <c r="O136" s="4"/>
      <c r="P136" s="4"/>
      <c r="Q136" s="4"/>
      <c r="R136" s="4"/>
      <c r="S136" s="4"/>
      <c r="T136" s="4"/>
      <c r="U136" s="4"/>
      <c r="V136" s="4"/>
      <c r="W136" s="4"/>
      <c r="X136" s="4"/>
    </row>
    <row r="137">
      <c r="A137" s="4"/>
      <c r="B137" s="46"/>
      <c r="C137" s="4"/>
      <c r="D137" s="4"/>
      <c r="E137" s="4"/>
      <c r="F137" s="4"/>
      <c r="G137" s="4"/>
      <c r="H137" s="4"/>
      <c r="I137" s="4"/>
      <c r="J137" s="4"/>
      <c r="K137" s="4"/>
      <c r="L137" s="4"/>
      <c r="M137" s="4"/>
      <c r="N137" s="4"/>
      <c r="O137" s="4"/>
      <c r="P137" s="4"/>
      <c r="Q137" s="4"/>
      <c r="R137" s="4"/>
      <c r="S137" s="4"/>
      <c r="T137" s="4"/>
      <c r="U137" s="4"/>
      <c r="V137" s="4"/>
      <c r="W137" s="4"/>
      <c r="X137" s="4"/>
    </row>
    <row r="138">
      <c r="A138" s="4"/>
      <c r="B138" s="46"/>
      <c r="C138" s="4"/>
      <c r="D138" s="4"/>
      <c r="E138" s="4"/>
      <c r="F138" s="4"/>
      <c r="G138" s="4"/>
      <c r="H138" s="4"/>
      <c r="I138" s="4"/>
      <c r="J138" s="4"/>
      <c r="K138" s="4"/>
      <c r="L138" s="4"/>
      <c r="M138" s="4"/>
      <c r="N138" s="4"/>
      <c r="O138" s="4"/>
      <c r="P138" s="4"/>
      <c r="Q138" s="4"/>
      <c r="R138" s="4"/>
      <c r="S138" s="4"/>
      <c r="T138" s="4"/>
      <c r="U138" s="4"/>
      <c r="V138" s="4"/>
      <c r="W138" s="4"/>
      <c r="X138" s="4"/>
    </row>
    <row r="139">
      <c r="A139" s="4"/>
      <c r="B139" s="46"/>
      <c r="C139" s="4"/>
      <c r="D139" s="4"/>
      <c r="E139" s="4"/>
      <c r="F139" s="4"/>
      <c r="G139" s="4"/>
      <c r="H139" s="4"/>
      <c r="I139" s="4"/>
      <c r="J139" s="4"/>
      <c r="K139" s="4"/>
      <c r="L139" s="4"/>
      <c r="M139" s="4"/>
      <c r="N139" s="4"/>
      <c r="O139" s="4"/>
      <c r="P139" s="4"/>
      <c r="Q139" s="4"/>
      <c r="R139" s="4"/>
      <c r="S139" s="4"/>
      <c r="T139" s="4"/>
      <c r="U139" s="4"/>
      <c r="V139" s="4"/>
      <c r="W139" s="4"/>
      <c r="X139" s="4"/>
    </row>
    <row r="140">
      <c r="A140" s="4"/>
      <c r="B140" s="46"/>
      <c r="C140" s="4"/>
      <c r="D140" s="4"/>
      <c r="E140" s="4"/>
      <c r="F140" s="4"/>
      <c r="G140" s="4"/>
      <c r="H140" s="4"/>
      <c r="I140" s="4"/>
      <c r="J140" s="4"/>
      <c r="K140" s="4"/>
      <c r="L140" s="4"/>
      <c r="M140" s="4"/>
      <c r="N140" s="4"/>
      <c r="O140" s="4"/>
      <c r="P140" s="4"/>
      <c r="Q140" s="4"/>
      <c r="R140" s="4"/>
      <c r="S140" s="4"/>
      <c r="T140" s="4"/>
      <c r="U140" s="4"/>
      <c r="V140" s="4"/>
      <c r="W140" s="4"/>
      <c r="X140" s="4"/>
    </row>
    <row r="141">
      <c r="A141" s="4"/>
      <c r="B141" s="46"/>
      <c r="C141" s="4"/>
      <c r="D141" s="4"/>
      <c r="E141" s="4"/>
      <c r="F141" s="4"/>
      <c r="G141" s="4"/>
      <c r="H141" s="4"/>
      <c r="I141" s="4"/>
      <c r="J141" s="4"/>
      <c r="K141" s="4"/>
      <c r="L141" s="4"/>
      <c r="M141" s="4"/>
      <c r="N141" s="4"/>
      <c r="O141" s="4"/>
      <c r="P141" s="4"/>
      <c r="Q141" s="4"/>
      <c r="R141" s="4"/>
      <c r="S141" s="4"/>
      <c r="T141" s="4"/>
      <c r="U141" s="4"/>
      <c r="V141" s="4"/>
      <c r="W141" s="4"/>
      <c r="X141" s="4"/>
    </row>
    <row r="142">
      <c r="A142" s="4"/>
      <c r="B142" s="46"/>
      <c r="C142" s="4"/>
      <c r="D142" s="4"/>
      <c r="E142" s="4"/>
      <c r="F142" s="4"/>
      <c r="G142" s="4"/>
      <c r="H142" s="4"/>
      <c r="I142" s="4"/>
      <c r="J142" s="4"/>
      <c r="K142" s="4"/>
      <c r="L142" s="4"/>
      <c r="M142" s="4"/>
      <c r="N142" s="4"/>
      <c r="O142" s="4"/>
      <c r="P142" s="4"/>
      <c r="Q142" s="4"/>
      <c r="R142" s="4"/>
      <c r="S142" s="4"/>
      <c r="T142" s="4"/>
      <c r="U142" s="4"/>
      <c r="V142" s="4"/>
      <c r="W142" s="4"/>
      <c r="X142" s="4"/>
    </row>
    <row r="143">
      <c r="A143" s="4"/>
      <c r="B143" s="46"/>
      <c r="C143" s="4"/>
      <c r="D143" s="4"/>
      <c r="E143" s="4"/>
      <c r="F143" s="4"/>
      <c r="G143" s="4"/>
      <c r="H143" s="4"/>
      <c r="I143" s="4"/>
      <c r="J143" s="4"/>
      <c r="K143" s="4"/>
      <c r="L143" s="4"/>
      <c r="M143" s="4"/>
      <c r="N143" s="4"/>
      <c r="O143" s="4"/>
      <c r="P143" s="4"/>
      <c r="Q143" s="4"/>
      <c r="R143" s="4"/>
      <c r="S143" s="4"/>
      <c r="T143" s="4"/>
      <c r="U143" s="4"/>
      <c r="V143" s="4"/>
      <c r="W143" s="4"/>
      <c r="X143" s="4"/>
    </row>
    <row r="144">
      <c r="A144" s="4"/>
      <c r="B144" s="46"/>
      <c r="C144" s="4"/>
      <c r="D144" s="4"/>
      <c r="E144" s="4"/>
      <c r="F144" s="4"/>
      <c r="G144" s="4"/>
      <c r="H144" s="4"/>
      <c r="I144" s="4"/>
      <c r="J144" s="4"/>
      <c r="K144" s="4"/>
      <c r="L144" s="4"/>
      <c r="M144" s="4"/>
      <c r="N144" s="4"/>
      <c r="O144" s="4"/>
      <c r="P144" s="4"/>
      <c r="Q144" s="4"/>
      <c r="R144" s="4"/>
      <c r="S144" s="4"/>
      <c r="T144" s="4"/>
      <c r="U144" s="4"/>
      <c r="V144" s="4"/>
      <c r="W144" s="4"/>
      <c r="X144" s="4"/>
    </row>
    <row r="145">
      <c r="A145" s="4"/>
      <c r="B145" s="46"/>
      <c r="C145" s="4"/>
      <c r="D145" s="4"/>
      <c r="E145" s="4"/>
      <c r="F145" s="4"/>
      <c r="G145" s="4"/>
      <c r="H145" s="4"/>
      <c r="I145" s="4"/>
      <c r="J145" s="4"/>
      <c r="K145" s="4"/>
      <c r="L145" s="4"/>
      <c r="M145" s="4"/>
      <c r="N145" s="4"/>
      <c r="O145" s="4"/>
      <c r="P145" s="4"/>
      <c r="Q145" s="4"/>
      <c r="R145" s="4"/>
      <c r="S145" s="4"/>
      <c r="T145" s="4"/>
      <c r="U145" s="4"/>
      <c r="V145" s="4"/>
      <c r="W145" s="4"/>
      <c r="X145" s="4"/>
    </row>
    <row r="146">
      <c r="A146" s="4"/>
      <c r="B146" s="46"/>
      <c r="C146" s="4"/>
      <c r="D146" s="4"/>
      <c r="E146" s="4"/>
      <c r="F146" s="4"/>
      <c r="G146" s="4"/>
      <c r="H146" s="4"/>
      <c r="I146" s="4"/>
      <c r="J146" s="4"/>
      <c r="K146" s="4"/>
      <c r="L146" s="4"/>
      <c r="M146" s="4"/>
      <c r="N146" s="4"/>
      <c r="O146" s="4"/>
      <c r="P146" s="4"/>
      <c r="Q146" s="4"/>
      <c r="R146" s="4"/>
      <c r="S146" s="4"/>
      <c r="T146" s="4"/>
      <c r="U146" s="4"/>
      <c r="V146" s="4"/>
      <c r="W146" s="4"/>
      <c r="X146" s="4"/>
    </row>
    <row r="147">
      <c r="A147" s="4"/>
      <c r="B147" s="46"/>
      <c r="C147" s="4"/>
      <c r="D147" s="4"/>
      <c r="E147" s="4"/>
      <c r="F147" s="4"/>
      <c r="G147" s="4"/>
      <c r="H147" s="4"/>
      <c r="I147" s="4"/>
      <c r="J147" s="4"/>
      <c r="K147" s="4"/>
      <c r="L147" s="4"/>
      <c r="M147" s="4"/>
      <c r="N147" s="4"/>
      <c r="O147" s="4"/>
      <c r="P147" s="4"/>
      <c r="Q147" s="4"/>
      <c r="R147" s="4"/>
      <c r="S147" s="4"/>
      <c r="T147" s="4"/>
      <c r="U147" s="4"/>
      <c r="V147" s="4"/>
      <c r="W147" s="4"/>
      <c r="X147" s="4"/>
    </row>
    <row r="148">
      <c r="A148" s="4"/>
      <c r="B148" s="46"/>
      <c r="C148" s="4"/>
      <c r="D148" s="4"/>
      <c r="E148" s="4"/>
      <c r="F148" s="4"/>
      <c r="G148" s="4"/>
      <c r="H148" s="4"/>
      <c r="I148" s="4"/>
      <c r="J148" s="4"/>
      <c r="K148" s="4"/>
      <c r="L148" s="4"/>
      <c r="M148" s="4"/>
      <c r="N148" s="4"/>
      <c r="O148" s="4"/>
      <c r="P148" s="4"/>
      <c r="Q148" s="4"/>
      <c r="R148" s="4"/>
      <c r="S148" s="4"/>
      <c r="T148" s="4"/>
      <c r="U148" s="4"/>
      <c r="V148" s="4"/>
      <c r="W148" s="4"/>
      <c r="X148" s="4"/>
    </row>
    <row r="149">
      <c r="A149" s="4"/>
      <c r="B149" s="46"/>
      <c r="C149" s="4"/>
      <c r="D149" s="4"/>
      <c r="E149" s="4"/>
      <c r="F149" s="4"/>
      <c r="G149" s="4"/>
      <c r="H149" s="4"/>
      <c r="I149" s="4"/>
      <c r="J149" s="4"/>
      <c r="K149" s="4"/>
      <c r="L149" s="4"/>
      <c r="M149" s="4"/>
      <c r="N149" s="4"/>
      <c r="O149" s="4"/>
      <c r="P149" s="4"/>
      <c r="Q149" s="4"/>
      <c r="R149" s="4"/>
      <c r="S149" s="4"/>
      <c r="T149" s="4"/>
      <c r="U149" s="4"/>
      <c r="V149" s="4"/>
      <c r="W149" s="4"/>
      <c r="X149" s="4"/>
    </row>
    <row r="150">
      <c r="A150" s="4"/>
      <c r="B150" s="46"/>
      <c r="C150" s="4"/>
      <c r="D150" s="4"/>
      <c r="E150" s="4"/>
      <c r="F150" s="4"/>
      <c r="G150" s="4"/>
      <c r="H150" s="4"/>
      <c r="I150" s="4"/>
      <c r="J150" s="4"/>
      <c r="K150" s="4"/>
      <c r="L150" s="4"/>
      <c r="M150" s="4"/>
      <c r="N150" s="4"/>
      <c r="O150" s="4"/>
      <c r="P150" s="4"/>
      <c r="Q150" s="4"/>
      <c r="R150" s="4"/>
      <c r="S150" s="4"/>
      <c r="T150" s="4"/>
      <c r="U150" s="4"/>
      <c r="V150" s="4"/>
      <c r="W150" s="4"/>
      <c r="X150" s="4"/>
    </row>
    <row r="151">
      <c r="A151" s="4"/>
      <c r="B151" s="46"/>
      <c r="C151" s="4"/>
      <c r="D151" s="4"/>
      <c r="E151" s="4"/>
      <c r="F151" s="4"/>
      <c r="G151" s="4"/>
      <c r="H151" s="4"/>
      <c r="I151" s="4"/>
      <c r="J151" s="4"/>
      <c r="K151" s="4"/>
      <c r="L151" s="4"/>
      <c r="M151" s="4"/>
      <c r="N151" s="4"/>
      <c r="O151" s="4"/>
      <c r="P151" s="4"/>
      <c r="Q151" s="4"/>
      <c r="R151" s="4"/>
      <c r="S151" s="4"/>
      <c r="T151" s="4"/>
      <c r="U151" s="4"/>
      <c r="V151" s="4"/>
      <c r="W151" s="4"/>
      <c r="X151" s="4"/>
    </row>
    <row r="152">
      <c r="A152" s="4"/>
      <c r="B152" s="46"/>
      <c r="C152" s="4"/>
      <c r="D152" s="4"/>
      <c r="E152" s="4"/>
      <c r="F152" s="4"/>
      <c r="G152" s="4"/>
      <c r="H152" s="4"/>
      <c r="I152" s="4"/>
      <c r="J152" s="4"/>
      <c r="K152" s="4"/>
      <c r="L152" s="4"/>
      <c r="M152" s="4"/>
      <c r="N152" s="4"/>
      <c r="O152" s="4"/>
      <c r="P152" s="4"/>
      <c r="Q152" s="4"/>
      <c r="R152" s="4"/>
      <c r="S152" s="4"/>
      <c r="T152" s="4"/>
      <c r="U152" s="4"/>
      <c r="V152" s="4"/>
      <c r="W152" s="4"/>
      <c r="X152" s="4"/>
    </row>
    <row r="153">
      <c r="A153" s="4"/>
      <c r="B153" s="46"/>
      <c r="C153" s="4"/>
      <c r="D153" s="4"/>
      <c r="E153" s="4"/>
      <c r="F153" s="4"/>
      <c r="G153" s="4"/>
      <c r="H153" s="4"/>
      <c r="I153" s="4"/>
      <c r="J153" s="4"/>
      <c r="K153" s="4"/>
      <c r="L153" s="4"/>
      <c r="M153" s="4"/>
      <c r="N153" s="4"/>
      <c r="O153" s="4"/>
      <c r="P153" s="4"/>
      <c r="Q153" s="4"/>
      <c r="R153" s="4"/>
      <c r="S153" s="4"/>
      <c r="T153" s="4"/>
      <c r="U153" s="4"/>
      <c r="V153" s="4"/>
      <c r="W153" s="4"/>
      <c r="X153" s="4"/>
    </row>
    <row r="154">
      <c r="A154" s="4"/>
      <c r="B154" s="46"/>
      <c r="C154" s="4"/>
      <c r="D154" s="4"/>
      <c r="E154" s="4"/>
      <c r="F154" s="4"/>
      <c r="G154" s="4"/>
      <c r="H154" s="4"/>
      <c r="I154" s="4"/>
      <c r="J154" s="4"/>
      <c r="K154" s="4"/>
      <c r="L154" s="4"/>
      <c r="M154" s="4"/>
      <c r="N154" s="4"/>
      <c r="O154" s="4"/>
      <c r="P154" s="4"/>
      <c r="Q154" s="4"/>
      <c r="R154" s="4"/>
      <c r="S154" s="4"/>
      <c r="T154" s="4"/>
      <c r="U154" s="4"/>
      <c r="V154" s="4"/>
      <c r="W154" s="4"/>
      <c r="X154" s="4"/>
    </row>
    <row r="155">
      <c r="A155" s="4"/>
      <c r="B155" s="46"/>
      <c r="C155" s="4"/>
      <c r="D155" s="4"/>
      <c r="E155" s="4"/>
      <c r="F155" s="4"/>
      <c r="G155" s="4"/>
      <c r="H155" s="4"/>
      <c r="I155" s="4"/>
      <c r="J155" s="4"/>
      <c r="K155" s="4"/>
      <c r="L155" s="4"/>
      <c r="M155" s="4"/>
      <c r="N155" s="4"/>
      <c r="O155" s="4"/>
      <c r="P155" s="4"/>
      <c r="Q155" s="4"/>
      <c r="R155" s="4"/>
      <c r="S155" s="4"/>
      <c r="T155" s="4"/>
      <c r="U155" s="4"/>
      <c r="V155" s="4"/>
      <c r="W155" s="4"/>
      <c r="X155" s="4"/>
    </row>
    <row r="156">
      <c r="A156" s="4"/>
      <c r="B156" s="46"/>
      <c r="C156" s="4"/>
      <c r="D156" s="4"/>
      <c r="E156" s="4"/>
      <c r="F156" s="4"/>
      <c r="G156" s="4"/>
      <c r="H156" s="4"/>
      <c r="I156" s="4"/>
      <c r="J156" s="4"/>
      <c r="K156" s="4"/>
      <c r="L156" s="4"/>
      <c r="M156" s="4"/>
      <c r="N156" s="4"/>
      <c r="O156" s="4"/>
      <c r="P156" s="4"/>
      <c r="Q156" s="4"/>
      <c r="R156" s="4"/>
      <c r="S156" s="4"/>
      <c r="T156" s="4"/>
      <c r="U156" s="4"/>
      <c r="V156" s="4"/>
      <c r="W156" s="4"/>
      <c r="X156" s="4"/>
    </row>
    <row r="157">
      <c r="A157" s="4"/>
      <c r="B157" s="46"/>
      <c r="C157" s="4"/>
      <c r="D157" s="4"/>
      <c r="E157" s="4"/>
      <c r="F157" s="4"/>
      <c r="G157" s="4"/>
      <c r="H157" s="4"/>
      <c r="I157" s="4"/>
      <c r="J157" s="4"/>
      <c r="K157" s="4"/>
      <c r="L157" s="4"/>
      <c r="M157" s="4"/>
      <c r="N157" s="4"/>
      <c r="O157" s="4"/>
      <c r="P157" s="4"/>
      <c r="Q157" s="4"/>
      <c r="R157" s="4"/>
      <c r="S157" s="4"/>
      <c r="T157" s="4"/>
      <c r="U157" s="4"/>
      <c r="V157" s="4"/>
      <c r="W157" s="4"/>
      <c r="X157" s="4"/>
    </row>
    <row r="158">
      <c r="A158" s="4"/>
      <c r="B158" s="46"/>
      <c r="C158" s="4"/>
      <c r="D158" s="4"/>
      <c r="E158" s="4"/>
      <c r="F158" s="4"/>
      <c r="G158" s="4"/>
      <c r="H158" s="4"/>
      <c r="I158" s="4"/>
      <c r="J158" s="4"/>
      <c r="K158" s="4"/>
      <c r="L158" s="4"/>
      <c r="M158" s="4"/>
      <c r="N158" s="4"/>
      <c r="O158" s="4"/>
      <c r="P158" s="4"/>
      <c r="Q158" s="4"/>
      <c r="R158" s="4"/>
      <c r="S158" s="4"/>
      <c r="T158" s="4"/>
      <c r="U158" s="4"/>
      <c r="V158" s="4"/>
      <c r="W158" s="4"/>
      <c r="X158" s="4"/>
    </row>
    <row r="159">
      <c r="A159" s="4"/>
      <c r="B159" s="46"/>
      <c r="C159" s="4"/>
      <c r="D159" s="4"/>
      <c r="E159" s="4"/>
      <c r="F159" s="4"/>
      <c r="G159" s="4"/>
      <c r="H159" s="4"/>
      <c r="I159" s="4"/>
      <c r="J159" s="4"/>
      <c r="K159" s="4"/>
      <c r="L159" s="4"/>
      <c r="M159" s="4"/>
      <c r="N159" s="4"/>
      <c r="O159" s="4"/>
      <c r="P159" s="4"/>
      <c r="Q159" s="4"/>
      <c r="R159" s="4"/>
      <c r="S159" s="4"/>
      <c r="T159" s="4"/>
      <c r="U159" s="4"/>
      <c r="V159" s="4"/>
      <c r="W159" s="4"/>
      <c r="X159" s="4"/>
    </row>
    <row r="160">
      <c r="A160" s="4"/>
      <c r="B160" s="46"/>
      <c r="C160" s="4"/>
      <c r="D160" s="4"/>
      <c r="E160" s="4"/>
      <c r="F160" s="4"/>
      <c r="G160" s="4"/>
      <c r="H160" s="4"/>
      <c r="I160" s="4"/>
      <c r="J160" s="4"/>
      <c r="K160" s="4"/>
      <c r="L160" s="4"/>
      <c r="M160" s="4"/>
      <c r="N160" s="4"/>
      <c r="O160" s="4"/>
      <c r="P160" s="4"/>
      <c r="Q160" s="4"/>
      <c r="R160" s="4"/>
      <c r="S160" s="4"/>
      <c r="T160" s="4"/>
      <c r="U160" s="4"/>
      <c r="V160" s="4"/>
      <c r="W160" s="4"/>
      <c r="X160" s="4"/>
    </row>
    <row r="161">
      <c r="A161" s="4"/>
      <c r="B161" s="46"/>
      <c r="C161" s="4"/>
      <c r="D161" s="4"/>
      <c r="E161" s="4"/>
      <c r="F161" s="4"/>
      <c r="G161" s="4"/>
      <c r="H161" s="4"/>
      <c r="I161" s="4"/>
      <c r="J161" s="4"/>
      <c r="K161" s="4"/>
      <c r="L161" s="4"/>
      <c r="M161" s="4"/>
      <c r="N161" s="4"/>
      <c r="O161" s="4"/>
      <c r="P161" s="4"/>
      <c r="Q161" s="4"/>
      <c r="R161" s="4"/>
      <c r="S161" s="4"/>
      <c r="T161" s="4"/>
      <c r="U161" s="4"/>
      <c r="V161" s="4"/>
      <c r="W161" s="4"/>
      <c r="X161" s="4"/>
    </row>
    <row r="162">
      <c r="A162" s="4"/>
      <c r="B162" s="46"/>
      <c r="C162" s="4"/>
      <c r="D162" s="4"/>
      <c r="E162" s="4"/>
      <c r="F162" s="4"/>
      <c r="G162" s="4"/>
      <c r="H162" s="4"/>
      <c r="I162" s="4"/>
      <c r="J162" s="4"/>
      <c r="K162" s="4"/>
      <c r="L162" s="4"/>
      <c r="M162" s="4"/>
      <c r="N162" s="4"/>
      <c r="O162" s="4"/>
      <c r="P162" s="4"/>
      <c r="Q162" s="4"/>
      <c r="R162" s="4"/>
      <c r="S162" s="4"/>
      <c r="T162" s="4"/>
      <c r="U162" s="4"/>
      <c r="V162" s="4"/>
      <c r="W162" s="4"/>
      <c r="X162" s="4"/>
    </row>
    <row r="163">
      <c r="A163" s="4"/>
      <c r="B163" s="46"/>
      <c r="C163" s="4"/>
      <c r="D163" s="4"/>
      <c r="E163" s="4"/>
      <c r="F163" s="4"/>
      <c r="G163" s="4"/>
      <c r="H163" s="4"/>
      <c r="I163" s="4"/>
      <c r="J163" s="4"/>
      <c r="K163" s="4"/>
      <c r="L163" s="4"/>
      <c r="M163" s="4"/>
      <c r="N163" s="4"/>
      <c r="O163" s="4"/>
      <c r="P163" s="4"/>
      <c r="Q163" s="4"/>
      <c r="R163" s="4"/>
      <c r="S163" s="4"/>
      <c r="T163" s="4"/>
      <c r="U163" s="4"/>
      <c r="V163" s="4"/>
      <c r="W163" s="4"/>
      <c r="X163" s="4"/>
    </row>
    <row r="164">
      <c r="A164" s="4"/>
      <c r="B164" s="46"/>
      <c r="C164" s="4"/>
      <c r="D164" s="4"/>
      <c r="E164" s="4"/>
      <c r="F164" s="4"/>
      <c r="G164" s="4"/>
      <c r="H164" s="4"/>
      <c r="I164" s="4"/>
      <c r="J164" s="4"/>
      <c r="K164" s="4"/>
      <c r="L164" s="4"/>
      <c r="M164" s="4"/>
      <c r="N164" s="4"/>
      <c r="O164" s="4"/>
      <c r="P164" s="4"/>
      <c r="Q164" s="4"/>
      <c r="R164" s="4"/>
      <c r="S164" s="4"/>
      <c r="T164" s="4"/>
      <c r="U164" s="4"/>
      <c r="V164" s="4"/>
      <c r="W164" s="4"/>
      <c r="X164" s="4"/>
    </row>
    <row r="165">
      <c r="A165" s="4"/>
      <c r="B165" s="46"/>
      <c r="C165" s="4"/>
      <c r="D165" s="4"/>
      <c r="E165" s="4"/>
      <c r="F165" s="4"/>
      <c r="G165" s="4"/>
      <c r="H165" s="4"/>
      <c r="I165" s="4"/>
      <c r="J165" s="4"/>
      <c r="K165" s="4"/>
      <c r="L165" s="4"/>
      <c r="M165" s="4"/>
      <c r="N165" s="4"/>
      <c r="O165" s="4"/>
      <c r="P165" s="4"/>
      <c r="Q165" s="4"/>
      <c r="R165" s="4"/>
      <c r="S165" s="4"/>
      <c r="T165" s="4"/>
      <c r="U165" s="4"/>
      <c r="V165" s="4"/>
      <c r="W165" s="4"/>
      <c r="X165" s="4"/>
    </row>
    <row r="166">
      <c r="A166" s="4"/>
      <c r="B166" s="46"/>
      <c r="C166" s="4"/>
      <c r="D166" s="4"/>
      <c r="E166" s="4"/>
      <c r="F166" s="4"/>
      <c r="G166" s="4"/>
      <c r="H166" s="4"/>
      <c r="I166" s="4"/>
      <c r="J166" s="4"/>
      <c r="K166" s="4"/>
      <c r="L166" s="4"/>
      <c r="M166" s="4"/>
      <c r="N166" s="4"/>
      <c r="O166" s="4"/>
      <c r="P166" s="4"/>
      <c r="Q166" s="4"/>
      <c r="R166" s="4"/>
      <c r="S166" s="4"/>
      <c r="T166" s="4"/>
      <c r="U166" s="4"/>
      <c r="V166" s="4"/>
      <c r="W166" s="4"/>
      <c r="X166" s="4"/>
    </row>
    <row r="167">
      <c r="A167" s="4"/>
      <c r="B167" s="46"/>
      <c r="C167" s="4"/>
      <c r="D167" s="4"/>
      <c r="E167" s="4"/>
      <c r="F167" s="4"/>
      <c r="G167" s="4"/>
      <c r="H167" s="4"/>
      <c r="I167" s="4"/>
      <c r="J167" s="4"/>
      <c r="K167" s="4"/>
      <c r="L167" s="4"/>
      <c r="M167" s="4"/>
      <c r="N167" s="4"/>
      <c r="O167" s="4"/>
      <c r="P167" s="4"/>
      <c r="Q167" s="4"/>
      <c r="R167" s="4"/>
      <c r="S167" s="4"/>
      <c r="T167" s="4"/>
      <c r="U167" s="4"/>
      <c r="V167" s="4"/>
      <c r="W167" s="4"/>
      <c r="X167" s="4"/>
    </row>
    <row r="168">
      <c r="A168" s="4"/>
      <c r="B168" s="46"/>
      <c r="C168" s="4"/>
      <c r="D168" s="4"/>
      <c r="E168" s="4"/>
      <c r="F168" s="4"/>
      <c r="G168" s="4"/>
      <c r="H168" s="4"/>
      <c r="I168" s="4"/>
      <c r="J168" s="4"/>
      <c r="K168" s="4"/>
      <c r="L168" s="4"/>
      <c r="M168" s="4"/>
      <c r="N168" s="4"/>
      <c r="O168" s="4"/>
      <c r="P168" s="4"/>
      <c r="Q168" s="4"/>
      <c r="R168" s="4"/>
      <c r="S168" s="4"/>
      <c r="T168" s="4"/>
      <c r="U168" s="4"/>
      <c r="V168" s="4"/>
      <c r="W168" s="4"/>
      <c r="X168" s="4"/>
    </row>
    <row r="169">
      <c r="A169" s="4"/>
      <c r="B169" s="46"/>
      <c r="C169" s="4"/>
      <c r="D169" s="4"/>
      <c r="E169" s="4"/>
      <c r="F169" s="4"/>
      <c r="G169" s="4"/>
      <c r="H169" s="4"/>
      <c r="I169" s="4"/>
      <c r="J169" s="4"/>
      <c r="K169" s="4"/>
      <c r="L169" s="4"/>
      <c r="M169" s="4"/>
      <c r="N169" s="4"/>
      <c r="O169" s="4"/>
      <c r="P169" s="4"/>
      <c r="Q169" s="4"/>
      <c r="R169" s="4"/>
      <c r="S169" s="4"/>
      <c r="T169" s="4"/>
      <c r="U169" s="4"/>
      <c r="V169" s="4"/>
      <c r="W169" s="4"/>
      <c r="X169" s="4"/>
    </row>
    <row r="170">
      <c r="A170" s="4"/>
      <c r="B170" s="46"/>
      <c r="C170" s="4"/>
      <c r="D170" s="4"/>
      <c r="E170" s="4"/>
      <c r="F170" s="4"/>
      <c r="G170" s="4"/>
      <c r="H170" s="4"/>
      <c r="I170" s="4"/>
      <c r="J170" s="4"/>
      <c r="K170" s="4"/>
      <c r="L170" s="4"/>
      <c r="M170" s="4"/>
      <c r="N170" s="4"/>
      <c r="O170" s="4"/>
      <c r="P170" s="4"/>
      <c r="Q170" s="4"/>
      <c r="R170" s="4"/>
      <c r="S170" s="4"/>
      <c r="T170" s="4"/>
      <c r="U170" s="4"/>
      <c r="V170" s="4"/>
      <c r="W170" s="4"/>
      <c r="X170" s="4"/>
    </row>
    <row r="171">
      <c r="A171" s="4"/>
      <c r="B171" s="46"/>
      <c r="C171" s="4"/>
      <c r="D171" s="4"/>
      <c r="E171" s="4"/>
      <c r="F171" s="4"/>
      <c r="G171" s="4"/>
      <c r="H171" s="4"/>
      <c r="I171" s="4"/>
      <c r="J171" s="4"/>
      <c r="K171" s="4"/>
      <c r="L171" s="4"/>
      <c r="M171" s="4"/>
      <c r="N171" s="4"/>
      <c r="O171" s="4"/>
      <c r="P171" s="4"/>
      <c r="Q171" s="4"/>
      <c r="R171" s="4"/>
      <c r="S171" s="4"/>
      <c r="T171" s="4"/>
      <c r="U171" s="4"/>
      <c r="V171" s="4"/>
      <c r="W171" s="4"/>
      <c r="X171" s="4"/>
    </row>
    <row r="172">
      <c r="A172" s="4"/>
      <c r="B172" s="46"/>
      <c r="C172" s="4"/>
      <c r="D172" s="4"/>
      <c r="E172" s="4"/>
      <c r="F172" s="4"/>
      <c r="G172" s="4"/>
      <c r="H172" s="4"/>
      <c r="I172" s="4"/>
      <c r="J172" s="4"/>
      <c r="K172" s="4"/>
      <c r="L172" s="4"/>
      <c r="M172" s="4"/>
      <c r="N172" s="4"/>
      <c r="O172" s="4"/>
      <c r="P172" s="4"/>
      <c r="Q172" s="4"/>
      <c r="R172" s="4"/>
      <c r="S172" s="4"/>
      <c r="T172" s="4"/>
      <c r="U172" s="4"/>
      <c r="V172" s="4"/>
      <c r="W172" s="4"/>
      <c r="X172" s="4"/>
    </row>
    <row r="173">
      <c r="A173" s="4"/>
      <c r="B173" s="46"/>
      <c r="C173" s="4"/>
      <c r="D173" s="4"/>
      <c r="E173" s="4"/>
      <c r="F173" s="4"/>
      <c r="G173" s="4"/>
      <c r="H173" s="4"/>
      <c r="I173" s="4"/>
      <c r="J173" s="4"/>
      <c r="K173" s="4"/>
      <c r="L173" s="4"/>
      <c r="M173" s="4"/>
      <c r="N173" s="4"/>
      <c r="O173" s="4"/>
      <c r="P173" s="4"/>
      <c r="Q173" s="4"/>
      <c r="R173" s="4"/>
      <c r="S173" s="4"/>
      <c r="T173" s="4"/>
      <c r="U173" s="4"/>
      <c r="V173" s="4"/>
      <c r="W173" s="4"/>
      <c r="X173" s="4"/>
    </row>
    <row r="174">
      <c r="A174" s="4"/>
      <c r="B174" s="46"/>
      <c r="C174" s="4"/>
      <c r="D174" s="4"/>
      <c r="E174" s="4"/>
      <c r="F174" s="4"/>
      <c r="G174" s="4"/>
      <c r="H174" s="4"/>
      <c r="I174" s="4"/>
      <c r="J174" s="4"/>
      <c r="K174" s="4"/>
      <c r="L174" s="4"/>
      <c r="M174" s="4"/>
      <c r="N174" s="4"/>
      <c r="O174" s="4"/>
      <c r="P174" s="4"/>
      <c r="Q174" s="4"/>
      <c r="R174" s="4"/>
      <c r="S174" s="4"/>
      <c r="T174" s="4"/>
      <c r="U174" s="4"/>
      <c r="V174" s="4"/>
      <c r="W174" s="4"/>
      <c r="X174" s="4"/>
    </row>
    <row r="175">
      <c r="A175" s="4"/>
      <c r="B175" s="46"/>
      <c r="C175" s="4"/>
      <c r="D175" s="4"/>
      <c r="E175" s="4"/>
      <c r="F175" s="4"/>
      <c r="G175" s="4"/>
      <c r="H175" s="4"/>
      <c r="I175" s="4"/>
      <c r="J175" s="4"/>
      <c r="K175" s="4"/>
      <c r="L175" s="4"/>
      <c r="M175" s="4"/>
      <c r="N175" s="4"/>
      <c r="O175" s="4"/>
      <c r="P175" s="4"/>
      <c r="Q175" s="4"/>
      <c r="R175" s="4"/>
      <c r="S175" s="4"/>
      <c r="T175" s="4"/>
      <c r="U175" s="4"/>
      <c r="V175" s="4"/>
      <c r="W175" s="4"/>
      <c r="X175" s="4"/>
    </row>
    <row r="176">
      <c r="A176" s="4"/>
      <c r="B176" s="46"/>
      <c r="C176" s="4"/>
      <c r="D176" s="4"/>
      <c r="E176" s="4"/>
      <c r="F176" s="4"/>
      <c r="G176" s="4"/>
      <c r="H176" s="4"/>
      <c r="I176" s="4"/>
      <c r="J176" s="4"/>
      <c r="K176" s="4"/>
      <c r="L176" s="4"/>
      <c r="M176" s="4"/>
      <c r="N176" s="4"/>
      <c r="O176" s="4"/>
      <c r="P176" s="4"/>
      <c r="Q176" s="4"/>
      <c r="R176" s="4"/>
      <c r="S176" s="4"/>
      <c r="T176" s="4"/>
      <c r="U176" s="4"/>
      <c r="V176" s="4"/>
      <c r="W176" s="4"/>
      <c r="X176" s="4"/>
    </row>
    <row r="177">
      <c r="A177" s="4"/>
      <c r="B177" s="46"/>
      <c r="C177" s="4"/>
      <c r="D177" s="4"/>
      <c r="E177" s="4"/>
      <c r="F177" s="4"/>
      <c r="G177" s="4"/>
      <c r="H177" s="4"/>
      <c r="I177" s="4"/>
      <c r="J177" s="4"/>
      <c r="K177" s="4"/>
      <c r="L177" s="4"/>
      <c r="M177" s="4"/>
      <c r="N177" s="4"/>
      <c r="O177" s="4"/>
      <c r="P177" s="4"/>
      <c r="Q177" s="4"/>
      <c r="R177" s="4"/>
      <c r="S177" s="4"/>
      <c r="T177" s="4"/>
      <c r="U177" s="4"/>
      <c r="V177" s="4"/>
      <c r="W177" s="4"/>
      <c r="X177" s="4"/>
    </row>
    <row r="178">
      <c r="A178" s="4"/>
      <c r="B178" s="46"/>
      <c r="C178" s="4"/>
      <c r="D178" s="4"/>
      <c r="E178" s="4"/>
      <c r="F178" s="4"/>
      <c r="G178" s="4"/>
      <c r="H178" s="4"/>
      <c r="I178" s="4"/>
      <c r="J178" s="4"/>
      <c r="K178" s="4"/>
      <c r="L178" s="4"/>
      <c r="M178" s="4"/>
      <c r="N178" s="4"/>
      <c r="O178" s="4"/>
      <c r="P178" s="4"/>
      <c r="Q178" s="4"/>
      <c r="R178" s="4"/>
      <c r="S178" s="4"/>
      <c r="T178" s="4"/>
      <c r="U178" s="4"/>
      <c r="V178" s="4"/>
      <c r="W178" s="4"/>
      <c r="X178" s="4"/>
    </row>
    <row r="179">
      <c r="A179" s="4"/>
      <c r="B179" s="46"/>
      <c r="C179" s="4"/>
      <c r="D179" s="4"/>
      <c r="E179" s="4"/>
      <c r="F179" s="4"/>
      <c r="G179" s="4"/>
      <c r="H179" s="4"/>
      <c r="I179" s="4"/>
      <c r="J179" s="4"/>
      <c r="K179" s="4"/>
      <c r="L179" s="4"/>
      <c r="M179" s="4"/>
      <c r="N179" s="4"/>
      <c r="O179" s="4"/>
      <c r="P179" s="4"/>
      <c r="Q179" s="4"/>
      <c r="R179" s="4"/>
      <c r="S179" s="4"/>
      <c r="T179" s="4"/>
      <c r="U179" s="4"/>
      <c r="V179" s="4"/>
      <c r="W179" s="4"/>
      <c r="X179" s="4"/>
    </row>
    <row r="180">
      <c r="A180" s="4"/>
      <c r="B180" s="46"/>
      <c r="C180" s="4"/>
      <c r="D180" s="4"/>
      <c r="E180" s="4"/>
      <c r="F180" s="4"/>
      <c r="G180" s="4"/>
      <c r="H180" s="4"/>
      <c r="I180" s="4"/>
      <c r="J180" s="4"/>
      <c r="K180" s="4"/>
      <c r="L180" s="4"/>
      <c r="M180" s="4"/>
      <c r="N180" s="4"/>
      <c r="O180" s="4"/>
      <c r="P180" s="4"/>
      <c r="Q180" s="4"/>
      <c r="R180" s="4"/>
      <c r="S180" s="4"/>
      <c r="T180" s="4"/>
      <c r="U180" s="4"/>
      <c r="V180" s="4"/>
      <c r="W180" s="4"/>
      <c r="X180" s="4"/>
    </row>
    <row r="181">
      <c r="A181" s="4"/>
      <c r="B181" s="46"/>
      <c r="C181" s="4"/>
      <c r="D181" s="4"/>
      <c r="E181" s="4"/>
      <c r="F181" s="4"/>
      <c r="G181" s="4"/>
      <c r="H181" s="4"/>
      <c r="I181" s="4"/>
      <c r="J181" s="4"/>
      <c r="K181" s="4"/>
      <c r="L181" s="4"/>
      <c r="M181" s="4"/>
      <c r="N181" s="4"/>
      <c r="O181" s="4"/>
      <c r="P181" s="4"/>
      <c r="Q181" s="4"/>
      <c r="R181" s="4"/>
      <c r="S181" s="4"/>
      <c r="T181" s="4"/>
      <c r="U181" s="4"/>
      <c r="V181" s="4"/>
      <c r="W181" s="4"/>
      <c r="X181" s="4"/>
    </row>
    <row r="182">
      <c r="A182" s="4"/>
      <c r="B182" s="46"/>
      <c r="C182" s="4"/>
      <c r="D182" s="4"/>
      <c r="E182" s="4"/>
      <c r="F182" s="4"/>
      <c r="G182" s="4"/>
      <c r="H182" s="4"/>
      <c r="I182" s="4"/>
      <c r="J182" s="4"/>
      <c r="K182" s="4"/>
      <c r="L182" s="4"/>
      <c r="M182" s="4"/>
      <c r="N182" s="4"/>
      <c r="O182" s="4"/>
      <c r="P182" s="4"/>
      <c r="Q182" s="4"/>
      <c r="R182" s="4"/>
      <c r="S182" s="4"/>
      <c r="T182" s="4"/>
      <c r="U182" s="4"/>
      <c r="V182" s="4"/>
      <c r="W182" s="4"/>
      <c r="X182" s="4"/>
    </row>
    <row r="183">
      <c r="A183" s="4"/>
      <c r="B183" s="46"/>
      <c r="C183" s="4"/>
      <c r="D183" s="4"/>
      <c r="E183" s="4"/>
      <c r="F183" s="4"/>
      <c r="G183" s="4"/>
      <c r="H183" s="4"/>
      <c r="I183" s="4"/>
      <c r="J183" s="4"/>
      <c r="K183" s="4"/>
      <c r="L183" s="4"/>
      <c r="M183" s="4"/>
      <c r="N183" s="4"/>
      <c r="O183" s="4"/>
      <c r="P183" s="4"/>
      <c r="Q183" s="4"/>
      <c r="R183" s="4"/>
      <c r="S183" s="4"/>
      <c r="T183" s="4"/>
      <c r="U183" s="4"/>
      <c r="V183" s="4"/>
      <c r="W183" s="4"/>
      <c r="X183" s="4"/>
    </row>
    <row r="184">
      <c r="A184" s="4"/>
      <c r="B184" s="46"/>
      <c r="C184" s="4"/>
      <c r="D184" s="4"/>
      <c r="E184" s="4"/>
      <c r="F184" s="4"/>
      <c r="G184" s="4"/>
      <c r="H184" s="4"/>
      <c r="I184" s="4"/>
      <c r="J184" s="4"/>
      <c r="K184" s="4"/>
      <c r="L184" s="4"/>
      <c r="M184" s="4"/>
      <c r="N184" s="4"/>
      <c r="O184" s="4"/>
      <c r="P184" s="4"/>
      <c r="Q184" s="4"/>
      <c r="R184" s="4"/>
      <c r="S184" s="4"/>
      <c r="T184" s="4"/>
      <c r="U184" s="4"/>
      <c r="V184" s="4"/>
      <c r="W184" s="4"/>
      <c r="X184" s="4"/>
    </row>
    <row r="185">
      <c r="A185" s="4"/>
      <c r="B185" s="46"/>
      <c r="C185" s="4"/>
      <c r="D185" s="4"/>
      <c r="E185" s="4"/>
      <c r="F185" s="4"/>
      <c r="G185" s="4"/>
      <c r="H185" s="4"/>
      <c r="I185" s="4"/>
      <c r="J185" s="4"/>
      <c r="K185" s="4"/>
      <c r="L185" s="4"/>
      <c r="M185" s="4"/>
      <c r="N185" s="4"/>
      <c r="O185" s="4"/>
      <c r="P185" s="4"/>
      <c r="Q185" s="4"/>
      <c r="R185" s="4"/>
      <c r="S185" s="4"/>
      <c r="T185" s="4"/>
      <c r="U185" s="4"/>
      <c r="V185" s="4"/>
      <c r="W185" s="4"/>
      <c r="X185" s="4"/>
    </row>
    <row r="186">
      <c r="A186" s="4"/>
      <c r="B186" s="46"/>
      <c r="C186" s="4"/>
      <c r="D186" s="4"/>
      <c r="E186" s="4"/>
      <c r="F186" s="4"/>
      <c r="G186" s="4"/>
      <c r="H186" s="4"/>
      <c r="I186" s="4"/>
      <c r="J186" s="4"/>
      <c r="K186" s="4"/>
      <c r="L186" s="4"/>
      <c r="M186" s="4"/>
      <c r="N186" s="4"/>
      <c r="O186" s="4"/>
      <c r="P186" s="4"/>
      <c r="Q186" s="4"/>
      <c r="R186" s="4"/>
      <c r="S186" s="4"/>
      <c r="T186" s="4"/>
      <c r="U186" s="4"/>
      <c r="V186" s="4"/>
      <c r="W186" s="4"/>
      <c r="X186" s="4"/>
    </row>
    <row r="187">
      <c r="A187" s="4"/>
      <c r="B187" s="46"/>
      <c r="C187" s="4"/>
      <c r="D187" s="4"/>
      <c r="E187" s="4"/>
      <c r="F187" s="4"/>
      <c r="G187" s="4"/>
      <c r="H187" s="4"/>
      <c r="I187" s="4"/>
      <c r="J187" s="4"/>
      <c r="K187" s="4"/>
      <c r="L187" s="4"/>
      <c r="M187" s="4"/>
      <c r="N187" s="4"/>
      <c r="O187" s="4"/>
      <c r="P187" s="4"/>
      <c r="Q187" s="4"/>
      <c r="R187" s="4"/>
      <c r="S187" s="4"/>
      <c r="T187" s="4"/>
      <c r="U187" s="4"/>
      <c r="V187" s="4"/>
      <c r="W187" s="4"/>
      <c r="X187" s="4"/>
    </row>
    <row r="188">
      <c r="A188" s="4"/>
      <c r="B188" s="46"/>
      <c r="C188" s="4"/>
      <c r="D188" s="4"/>
      <c r="E188" s="4"/>
      <c r="F188" s="4"/>
      <c r="G188" s="4"/>
      <c r="H188" s="4"/>
      <c r="I188" s="4"/>
      <c r="J188" s="4"/>
      <c r="K188" s="4"/>
      <c r="L188" s="4"/>
      <c r="M188" s="4"/>
      <c r="N188" s="4"/>
      <c r="O188" s="4"/>
      <c r="P188" s="4"/>
      <c r="Q188" s="4"/>
      <c r="R188" s="4"/>
      <c r="S188" s="4"/>
      <c r="T188" s="4"/>
      <c r="U188" s="4"/>
      <c r="V188" s="4"/>
      <c r="W188" s="4"/>
      <c r="X188" s="4"/>
    </row>
    <row r="189">
      <c r="A189" s="4"/>
      <c r="B189" s="46"/>
      <c r="C189" s="4"/>
      <c r="D189" s="4"/>
      <c r="E189" s="4"/>
      <c r="F189" s="4"/>
      <c r="G189" s="4"/>
      <c r="H189" s="4"/>
      <c r="I189" s="4"/>
      <c r="J189" s="4"/>
      <c r="K189" s="4"/>
      <c r="L189" s="4"/>
      <c r="M189" s="4"/>
      <c r="N189" s="4"/>
      <c r="O189" s="4"/>
      <c r="P189" s="4"/>
      <c r="Q189" s="4"/>
      <c r="R189" s="4"/>
      <c r="S189" s="4"/>
      <c r="T189" s="4"/>
      <c r="U189" s="4"/>
      <c r="V189" s="4"/>
      <c r="W189" s="4"/>
      <c r="X189" s="4"/>
    </row>
    <row r="190">
      <c r="A190" s="4"/>
      <c r="B190" s="46"/>
      <c r="C190" s="4"/>
      <c r="D190" s="4"/>
      <c r="E190" s="4"/>
      <c r="F190" s="4"/>
      <c r="G190" s="4"/>
      <c r="H190" s="4"/>
      <c r="I190" s="4"/>
      <c r="J190" s="4"/>
      <c r="K190" s="4"/>
      <c r="L190" s="4"/>
      <c r="M190" s="4"/>
      <c r="N190" s="4"/>
      <c r="O190" s="4"/>
      <c r="P190" s="4"/>
      <c r="Q190" s="4"/>
      <c r="R190" s="4"/>
      <c r="S190" s="4"/>
      <c r="T190" s="4"/>
      <c r="U190" s="4"/>
      <c r="V190" s="4"/>
      <c r="W190" s="4"/>
      <c r="X190" s="4"/>
    </row>
    <row r="191">
      <c r="A191" s="4"/>
      <c r="B191" s="46"/>
      <c r="C191" s="4"/>
      <c r="D191" s="4"/>
      <c r="E191" s="4"/>
      <c r="F191" s="4"/>
      <c r="G191" s="4"/>
      <c r="H191" s="4"/>
      <c r="I191" s="4"/>
      <c r="J191" s="4"/>
      <c r="K191" s="4"/>
      <c r="L191" s="4"/>
      <c r="M191" s="4"/>
      <c r="N191" s="4"/>
      <c r="O191" s="4"/>
      <c r="P191" s="4"/>
      <c r="Q191" s="4"/>
      <c r="R191" s="4"/>
      <c r="S191" s="4"/>
      <c r="T191" s="4"/>
      <c r="U191" s="4"/>
      <c r="V191" s="4"/>
      <c r="W191" s="4"/>
      <c r="X191" s="4"/>
    </row>
    <row r="192">
      <c r="A192" s="4"/>
      <c r="B192" s="46"/>
      <c r="C192" s="4"/>
      <c r="D192" s="4"/>
      <c r="E192" s="4"/>
      <c r="F192" s="4"/>
      <c r="G192" s="4"/>
      <c r="H192" s="4"/>
      <c r="I192" s="4"/>
      <c r="J192" s="4"/>
      <c r="K192" s="4"/>
      <c r="L192" s="4"/>
      <c r="M192" s="4"/>
      <c r="N192" s="4"/>
      <c r="O192" s="4"/>
      <c r="P192" s="4"/>
      <c r="Q192" s="4"/>
      <c r="R192" s="4"/>
      <c r="S192" s="4"/>
      <c r="T192" s="4"/>
      <c r="U192" s="4"/>
      <c r="V192" s="4"/>
      <c r="W192" s="4"/>
      <c r="X192" s="4"/>
    </row>
    <row r="193">
      <c r="A193" s="4"/>
      <c r="B193" s="46"/>
      <c r="C193" s="4"/>
      <c r="D193" s="4"/>
      <c r="E193" s="4"/>
      <c r="F193" s="4"/>
      <c r="G193" s="4"/>
      <c r="H193" s="4"/>
      <c r="I193" s="4"/>
      <c r="J193" s="4"/>
      <c r="K193" s="4"/>
      <c r="L193" s="4"/>
      <c r="M193" s="4"/>
      <c r="N193" s="4"/>
      <c r="O193" s="4"/>
      <c r="P193" s="4"/>
      <c r="Q193" s="4"/>
      <c r="R193" s="4"/>
      <c r="S193" s="4"/>
      <c r="T193" s="4"/>
      <c r="U193" s="4"/>
      <c r="V193" s="4"/>
      <c r="W193" s="4"/>
      <c r="X193" s="4"/>
    </row>
    <row r="194">
      <c r="A194" s="4"/>
      <c r="B194" s="46"/>
      <c r="C194" s="4"/>
      <c r="D194" s="4"/>
      <c r="E194" s="4"/>
      <c r="F194" s="4"/>
      <c r="G194" s="4"/>
      <c r="H194" s="4"/>
      <c r="I194" s="4"/>
      <c r="J194" s="4"/>
      <c r="K194" s="4"/>
      <c r="L194" s="4"/>
      <c r="M194" s="4"/>
      <c r="N194" s="4"/>
      <c r="O194" s="4"/>
      <c r="P194" s="4"/>
      <c r="Q194" s="4"/>
      <c r="R194" s="4"/>
      <c r="S194" s="4"/>
      <c r="T194" s="4"/>
      <c r="U194" s="4"/>
      <c r="V194" s="4"/>
      <c r="W194" s="4"/>
      <c r="X194" s="4"/>
    </row>
    <row r="195">
      <c r="A195" s="4"/>
      <c r="B195" s="46"/>
      <c r="C195" s="4"/>
      <c r="D195" s="4"/>
      <c r="E195" s="4"/>
      <c r="F195" s="4"/>
      <c r="G195" s="4"/>
      <c r="H195" s="4"/>
      <c r="I195" s="4"/>
      <c r="J195" s="4"/>
      <c r="K195" s="4"/>
      <c r="L195" s="4"/>
      <c r="M195" s="4"/>
      <c r="N195" s="4"/>
      <c r="O195" s="4"/>
      <c r="P195" s="4"/>
      <c r="Q195" s="4"/>
      <c r="R195" s="4"/>
      <c r="S195" s="4"/>
      <c r="T195" s="4"/>
      <c r="U195" s="4"/>
      <c r="V195" s="4"/>
      <c r="W195" s="4"/>
      <c r="X195" s="4"/>
    </row>
    <row r="196">
      <c r="A196" s="4"/>
      <c r="B196" s="46"/>
      <c r="C196" s="4"/>
      <c r="D196" s="4"/>
      <c r="E196" s="4"/>
      <c r="F196" s="4"/>
      <c r="G196" s="4"/>
      <c r="H196" s="4"/>
      <c r="I196" s="4"/>
      <c r="J196" s="4"/>
      <c r="K196" s="4"/>
      <c r="L196" s="4"/>
      <c r="M196" s="4"/>
      <c r="N196" s="4"/>
      <c r="O196" s="4"/>
      <c r="P196" s="4"/>
      <c r="Q196" s="4"/>
      <c r="R196" s="4"/>
      <c r="S196" s="4"/>
      <c r="T196" s="4"/>
      <c r="U196" s="4"/>
      <c r="V196" s="4"/>
      <c r="W196" s="4"/>
      <c r="X196" s="4"/>
    </row>
    <row r="197">
      <c r="A197" s="4"/>
      <c r="B197" s="46"/>
      <c r="C197" s="4"/>
      <c r="D197" s="4"/>
      <c r="E197" s="4"/>
      <c r="F197" s="4"/>
      <c r="G197" s="4"/>
      <c r="H197" s="4"/>
      <c r="I197" s="4"/>
      <c r="J197" s="4"/>
      <c r="K197" s="4"/>
      <c r="L197" s="4"/>
      <c r="M197" s="4"/>
      <c r="N197" s="4"/>
      <c r="O197" s="4"/>
      <c r="P197" s="4"/>
      <c r="Q197" s="4"/>
      <c r="R197" s="4"/>
      <c r="S197" s="4"/>
      <c r="T197" s="4"/>
      <c r="U197" s="4"/>
      <c r="V197" s="4"/>
      <c r="W197" s="4"/>
      <c r="X197" s="4"/>
    </row>
    <row r="198">
      <c r="A198" s="4"/>
      <c r="B198" s="46"/>
      <c r="C198" s="4"/>
      <c r="D198" s="4"/>
      <c r="E198" s="4"/>
      <c r="F198" s="4"/>
      <c r="G198" s="4"/>
      <c r="H198" s="4"/>
      <c r="I198" s="4"/>
      <c r="J198" s="4"/>
      <c r="K198" s="4"/>
      <c r="L198" s="4"/>
      <c r="M198" s="4"/>
      <c r="N198" s="4"/>
      <c r="O198" s="4"/>
      <c r="P198" s="4"/>
      <c r="Q198" s="4"/>
      <c r="R198" s="4"/>
      <c r="S198" s="4"/>
      <c r="T198" s="4"/>
      <c r="U198" s="4"/>
      <c r="V198" s="4"/>
      <c r="W198" s="4"/>
      <c r="X198" s="4"/>
    </row>
    <row r="199">
      <c r="A199" s="4"/>
      <c r="B199" s="46"/>
      <c r="C199" s="4"/>
      <c r="D199" s="4"/>
      <c r="E199" s="4"/>
      <c r="F199" s="4"/>
      <c r="G199" s="4"/>
      <c r="H199" s="4"/>
      <c r="I199" s="4"/>
      <c r="J199" s="4"/>
      <c r="K199" s="4"/>
      <c r="L199" s="4"/>
      <c r="M199" s="4"/>
      <c r="N199" s="4"/>
      <c r="O199" s="4"/>
      <c r="P199" s="4"/>
      <c r="Q199" s="4"/>
      <c r="R199" s="4"/>
      <c r="S199" s="4"/>
      <c r="T199" s="4"/>
      <c r="U199" s="4"/>
      <c r="V199" s="4"/>
      <c r="W199" s="4"/>
      <c r="X199" s="4"/>
    </row>
    <row r="200">
      <c r="A200" s="4"/>
      <c r="B200" s="46"/>
      <c r="C200" s="4"/>
      <c r="D200" s="4"/>
      <c r="E200" s="4"/>
      <c r="F200" s="4"/>
      <c r="G200" s="4"/>
      <c r="H200" s="4"/>
      <c r="I200" s="4"/>
      <c r="J200" s="4"/>
      <c r="K200" s="4"/>
      <c r="L200" s="4"/>
      <c r="M200" s="4"/>
      <c r="N200" s="4"/>
      <c r="O200" s="4"/>
      <c r="P200" s="4"/>
      <c r="Q200" s="4"/>
      <c r="R200" s="4"/>
      <c r="S200" s="4"/>
      <c r="T200" s="4"/>
      <c r="U200" s="4"/>
      <c r="V200" s="4"/>
      <c r="W200" s="4"/>
      <c r="X200" s="4"/>
    </row>
    <row r="201">
      <c r="A201" s="4"/>
      <c r="B201" s="46"/>
      <c r="C201" s="4"/>
      <c r="D201" s="4"/>
      <c r="E201" s="4"/>
      <c r="F201" s="4"/>
      <c r="G201" s="4"/>
      <c r="H201" s="4"/>
      <c r="I201" s="4"/>
      <c r="J201" s="4"/>
      <c r="K201" s="4"/>
      <c r="L201" s="4"/>
      <c r="M201" s="4"/>
      <c r="N201" s="4"/>
      <c r="O201" s="4"/>
      <c r="P201" s="4"/>
      <c r="Q201" s="4"/>
      <c r="R201" s="4"/>
      <c r="S201" s="4"/>
      <c r="T201" s="4"/>
      <c r="U201" s="4"/>
      <c r="V201" s="4"/>
      <c r="W201" s="4"/>
      <c r="X201" s="4"/>
    </row>
    <row r="202">
      <c r="A202" s="4"/>
      <c r="B202" s="46"/>
      <c r="C202" s="4"/>
      <c r="D202" s="4"/>
      <c r="E202" s="4"/>
      <c r="F202" s="4"/>
      <c r="G202" s="4"/>
      <c r="H202" s="4"/>
      <c r="I202" s="4"/>
      <c r="J202" s="4"/>
      <c r="K202" s="4"/>
      <c r="L202" s="4"/>
      <c r="M202" s="4"/>
      <c r="N202" s="4"/>
      <c r="O202" s="4"/>
      <c r="P202" s="4"/>
      <c r="Q202" s="4"/>
      <c r="R202" s="4"/>
      <c r="S202" s="4"/>
      <c r="T202" s="4"/>
      <c r="U202" s="4"/>
      <c r="V202" s="4"/>
      <c r="W202" s="4"/>
      <c r="X202" s="4"/>
    </row>
    <row r="203">
      <c r="A203" s="4"/>
      <c r="B203" s="46"/>
      <c r="C203" s="4"/>
      <c r="D203" s="4"/>
      <c r="E203" s="4"/>
      <c r="F203" s="4"/>
      <c r="G203" s="4"/>
      <c r="H203" s="4"/>
      <c r="I203" s="4"/>
      <c r="J203" s="4"/>
      <c r="K203" s="4"/>
      <c r="L203" s="4"/>
      <c r="M203" s="4"/>
      <c r="N203" s="4"/>
      <c r="O203" s="4"/>
      <c r="P203" s="4"/>
      <c r="Q203" s="4"/>
      <c r="R203" s="4"/>
      <c r="S203" s="4"/>
      <c r="T203" s="4"/>
      <c r="U203" s="4"/>
      <c r="V203" s="4"/>
      <c r="W203" s="4"/>
      <c r="X203" s="4"/>
    </row>
    <row r="204">
      <c r="A204" s="4"/>
      <c r="B204" s="46"/>
      <c r="C204" s="4"/>
      <c r="D204" s="4"/>
      <c r="E204" s="4"/>
      <c r="F204" s="4"/>
      <c r="G204" s="4"/>
      <c r="H204" s="4"/>
      <c r="I204" s="4"/>
      <c r="J204" s="4"/>
      <c r="K204" s="4"/>
      <c r="L204" s="4"/>
      <c r="M204" s="4"/>
      <c r="N204" s="4"/>
      <c r="O204" s="4"/>
      <c r="P204" s="4"/>
      <c r="Q204" s="4"/>
      <c r="R204" s="4"/>
      <c r="S204" s="4"/>
      <c r="T204" s="4"/>
      <c r="U204" s="4"/>
      <c r="V204" s="4"/>
      <c r="W204" s="4"/>
      <c r="X204" s="4"/>
    </row>
    <row r="205">
      <c r="A205" s="4"/>
      <c r="B205" s="46"/>
      <c r="C205" s="4"/>
      <c r="D205" s="4"/>
      <c r="E205" s="4"/>
      <c r="F205" s="4"/>
      <c r="G205" s="4"/>
      <c r="H205" s="4"/>
      <c r="I205" s="4"/>
      <c r="J205" s="4"/>
      <c r="K205" s="4"/>
      <c r="L205" s="4"/>
      <c r="M205" s="4"/>
      <c r="N205" s="4"/>
      <c r="O205" s="4"/>
      <c r="P205" s="4"/>
      <c r="Q205" s="4"/>
      <c r="R205" s="4"/>
      <c r="S205" s="4"/>
      <c r="T205" s="4"/>
      <c r="U205" s="4"/>
      <c r="V205" s="4"/>
      <c r="W205" s="4"/>
      <c r="X205" s="4"/>
    </row>
    <row r="206">
      <c r="A206" s="4"/>
      <c r="B206" s="46"/>
      <c r="C206" s="4"/>
      <c r="D206" s="4"/>
      <c r="E206" s="4"/>
      <c r="F206" s="4"/>
      <c r="G206" s="4"/>
      <c r="H206" s="4"/>
      <c r="I206" s="4"/>
      <c r="J206" s="4"/>
      <c r="K206" s="4"/>
      <c r="L206" s="4"/>
      <c r="M206" s="4"/>
      <c r="N206" s="4"/>
      <c r="O206" s="4"/>
      <c r="P206" s="4"/>
      <c r="Q206" s="4"/>
      <c r="R206" s="4"/>
      <c r="S206" s="4"/>
      <c r="T206" s="4"/>
      <c r="U206" s="4"/>
      <c r="V206" s="4"/>
      <c r="W206" s="4"/>
      <c r="X206" s="4"/>
    </row>
    <row r="207">
      <c r="A207" s="4"/>
      <c r="B207" s="46"/>
      <c r="C207" s="4"/>
      <c r="D207" s="4"/>
      <c r="E207" s="4"/>
      <c r="F207" s="4"/>
      <c r="G207" s="4"/>
      <c r="H207" s="4"/>
      <c r="I207" s="4"/>
      <c r="J207" s="4"/>
      <c r="K207" s="4"/>
      <c r="L207" s="4"/>
      <c r="M207" s="4"/>
      <c r="N207" s="4"/>
      <c r="O207" s="4"/>
      <c r="P207" s="4"/>
      <c r="Q207" s="4"/>
      <c r="R207" s="4"/>
      <c r="S207" s="4"/>
      <c r="T207" s="4"/>
      <c r="U207" s="4"/>
      <c r="V207" s="4"/>
      <c r="W207" s="4"/>
      <c r="X207" s="4"/>
    </row>
    <row r="208">
      <c r="A208" s="4"/>
      <c r="B208" s="46"/>
      <c r="C208" s="4"/>
      <c r="D208" s="4"/>
      <c r="E208" s="4"/>
      <c r="F208" s="4"/>
      <c r="G208" s="4"/>
      <c r="H208" s="4"/>
      <c r="I208" s="4"/>
      <c r="J208" s="4"/>
      <c r="K208" s="4"/>
      <c r="L208" s="4"/>
      <c r="M208" s="4"/>
      <c r="N208" s="4"/>
      <c r="O208" s="4"/>
      <c r="P208" s="4"/>
      <c r="Q208" s="4"/>
      <c r="R208" s="4"/>
      <c r="S208" s="4"/>
      <c r="T208" s="4"/>
      <c r="U208" s="4"/>
      <c r="V208" s="4"/>
      <c r="W208" s="4"/>
      <c r="X208" s="4"/>
    </row>
    <row r="209">
      <c r="A209" s="4"/>
      <c r="B209" s="46"/>
      <c r="C209" s="4"/>
      <c r="D209" s="4"/>
      <c r="E209" s="4"/>
      <c r="F209" s="4"/>
      <c r="G209" s="4"/>
      <c r="H209" s="4"/>
      <c r="I209" s="4"/>
      <c r="J209" s="4"/>
      <c r="K209" s="4"/>
      <c r="L209" s="4"/>
      <c r="M209" s="4"/>
      <c r="N209" s="4"/>
      <c r="O209" s="4"/>
      <c r="P209" s="4"/>
      <c r="Q209" s="4"/>
      <c r="R209" s="4"/>
      <c r="S209" s="4"/>
      <c r="T209" s="4"/>
      <c r="U209" s="4"/>
      <c r="V209" s="4"/>
      <c r="W209" s="4"/>
      <c r="X209" s="4"/>
    </row>
    <row r="210">
      <c r="A210" s="4"/>
      <c r="B210" s="46"/>
      <c r="C210" s="4"/>
      <c r="D210" s="4"/>
      <c r="E210" s="4"/>
      <c r="F210" s="4"/>
      <c r="G210" s="4"/>
      <c r="H210" s="4"/>
      <c r="I210" s="4"/>
      <c r="J210" s="4"/>
      <c r="K210" s="4"/>
      <c r="L210" s="4"/>
      <c r="M210" s="4"/>
      <c r="N210" s="4"/>
      <c r="O210" s="4"/>
      <c r="P210" s="4"/>
      <c r="Q210" s="4"/>
      <c r="R210" s="4"/>
      <c r="S210" s="4"/>
      <c r="T210" s="4"/>
      <c r="U210" s="4"/>
      <c r="V210" s="4"/>
      <c r="W210" s="4"/>
      <c r="X210" s="4"/>
    </row>
    <row r="211">
      <c r="A211" s="4"/>
      <c r="B211" s="46"/>
      <c r="C211" s="4"/>
      <c r="D211" s="4"/>
      <c r="E211" s="4"/>
      <c r="F211" s="4"/>
      <c r="G211" s="4"/>
      <c r="H211" s="4"/>
      <c r="I211" s="4"/>
      <c r="J211" s="4"/>
      <c r="K211" s="4"/>
      <c r="L211" s="4"/>
      <c r="M211" s="4"/>
      <c r="N211" s="4"/>
      <c r="O211" s="4"/>
      <c r="P211" s="4"/>
      <c r="Q211" s="4"/>
      <c r="R211" s="4"/>
      <c r="S211" s="4"/>
      <c r="T211" s="4"/>
      <c r="U211" s="4"/>
      <c r="V211" s="4"/>
      <c r="W211" s="4"/>
      <c r="X211" s="4"/>
    </row>
    <row r="212">
      <c r="A212" s="4"/>
      <c r="B212" s="46"/>
      <c r="C212" s="4"/>
      <c r="D212" s="4"/>
      <c r="E212" s="4"/>
      <c r="F212" s="4"/>
      <c r="G212" s="4"/>
      <c r="H212" s="4"/>
      <c r="I212" s="4"/>
      <c r="J212" s="4"/>
      <c r="K212" s="4"/>
      <c r="L212" s="4"/>
      <c r="M212" s="4"/>
      <c r="N212" s="4"/>
      <c r="O212" s="4"/>
      <c r="P212" s="4"/>
      <c r="Q212" s="4"/>
      <c r="R212" s="4"/>
      <c r="S212" s="4"/>
      <c r="T212" s="4"/>
      <c r="U212" s="4"/>
      <c r="V212" s="4"/>
      <c r="W212" s="4"/>
      <c r="X212" s="4"/>
    </row>
    <row r="213">
      <c r="A213" s="4"/>
      <c r="B213" s="46"/>
      <c r="C213" s="4"/>
      <c r="D213" s="4"/>
      <c r="E213" s="4"/>
      <c r="F213" s="4"/>
      <c r="G213" s="4"/>
      <c r="H213" s="4"/>
      <c r="I213" s="4"/>
      <c r="J213" s="4"/>
      <c r="K213" s="4"/>
      <c r="L213" s="4"/>
      <c r="M213" s="4"/>
      <c r="N213" s="4"/>
      <c r="O213" s="4"/>
      <c r="P213" s="4"/>
      <c r="Q213" s="4"/>
      <c r="R213" s="4"/>
      <c r="S213" s="4"/>
      <c r="T213" s="4"/>
      <c r="U213" s="4"/>
      <c r="V213" s="4"/>
      <c r="W213" s="4"/>
      <c r="X213" s="4"/>
    </row>
    <row r="214">
      <c r="A214" s="4"/>
      <c r="B214" s="46"/>
      <c r="C214" s="4"/>
      <c r="D214" s="4"/>
      <c r="E214" s="4"/>
      <c r="F214" s="4"/>
      <c r="G214" s="4"/>
      <c r="H214" s="4"/>
      <c r="I214" s="4"/>
      <c r="J214" s="4"/>
      <c r="K214" s="4"/>
      <c r="L214" s="4"/>
      <c r="M214" s="4"/>
      <c r="N214" s="4"/>
      <c r="O214" s="4"/>
      <c r="P214" s="4"/>
      <c r="Q214" s="4"/>
      <c r="R214" s="4"/>
      <c r="S214" s="4"/>
      <c r="T214" s="4"/>
      <c r="U214" s="4"/>
      <c r="V214" s="4"/>
      <c r="W214" s="4"/>
      <c r="X214" s="4"/>
    </row>
    <row r="215">
      <c r="A215" s="4"/>
      <c r="B215" s="46"/>
      <c r="C215" s="4"/>
      <c r="D215" s="4"/>
      <c r="E215" s="4"/>
      <c r="F215" s="4"/>
      <c r="G215" s="4"/>
      <c r="H215" s="4"/>
      <c r="I215" s="4"/>
      <c r="J215" s="4"/>
      <c r="K215" s="4"/>
      <c r="L215" s="4"/>
      <c r="M215" s="4"/>
      <c r="N215" s="4"/>
      <c r="O215" s="4"/>
      <c r="P215" s="4"/>
      <c r="Q215" s="4"/>
      <c r="R215" s="4"/>
      <c r="S215" s="4"/>
      <c r="T215" s="4"/>
      <c r="U215" s="4"/>
      <c r="V215" s="4"/>
      <c r="W215" s="4"/>
      <c r="X215" s="4"/>
    </row>
    <row r="216">
      <c r="A216" s="4"/>
      <c r="B216" s="46"/>
      <c r="C216" s="4"/>
      <c r="D216" s="4"/>
      <c r="E216" s="4"/>
      <c r="F216" s="4"/>
      <c r="G216" s="4"/>
      <c r="H216" s="4"/>
      <c r="I216" s="4"/>
      <c r="J216" s="4"/>
      <c r="K216" s="4"/>
      <c r="L216" s="4"/>
      <c r="M216" s="4"/>
      <c r="N216" s="4"/>
      <c r="O216" s="4"/>
      <c r="P216" s="4"/>
      <c r="Q216" s="4"/>
      <c r="R216" s="4"/>
      <c r="S216" s="4"/>
      <c r="T216" s="4"/>
      <c r="U216" s="4"/>
      <c r="V216" s="4"/>
      <c r="W216" s="4"/>
      <c r="X216" s="4"/>
    </row>
    <row r="217">
      <c r="A217" s="4"/>
      <c r="B217" s="46"/>
      <c r="C217" s="4"/>
      <c r="D217" s="4"/>
      <c r="E217" s="4"/>
      <c r="F217" s="4"/>
      <c r="G217" s="4"/>
      <c r="H217" s="4"/>
      <c r="I217" s="4"/>
      <c r="J217" s="4"/>
      <c r="K217" s="4"/>
      <c r="L217" s="4"/>
      <c r="M217" s="4"/>
      <c r="N217" s="4"/>
      <c r="O217" s="4"/>
      <c r="P217" s="4"/>
      <c r="Q217" s="4"/>
      <c r="R217" s="4"/>
      <c r="S217" s="4"/>
      <c r="T217" s="4"/>
      <c r="U217" s="4"/>
      <c r="V217" s="4"/>
      <c r="W217" s="4"/>
      <c r="X217" s="4"/>
    </row>
    <row r="218">
      <c r="A218" s="4"/>
      <c r="B218" s="46"/>
      <c r="C218" s="4"/>
      <c r="D218" s="4"/>
      <c r="E218" s="4"/>
      <c r="F218" s="4"/>
      <c r="G218" s="4"/>
      <c r="H218" s="4"/>
      <c r="I218" s="4"/>
      <c r="J218" s="4"/>
      <c r="K218" s="4"/>
      <c r="L218" s="4"/>
      <c r="M218" s="4"/>
      <c r="N218" s="4"/>
      <c r="O218" s="4"/>
      <c r="P218" s="4"/>
      <c r="Q218" s="4"/>
      <c r="R218" s="4"/>
      <c r="S218" s="4"/>
      <c r="T218" s="4"/>
      <c r="U218" s="4"/>
      <c r="V218" s="4"/>
      <c r="W218" s="4"/>
      <c r="X218" s="4"/>
    </row>
    <row r="219">
      <c r="A219" s="4"/>
      <c r="B219" s="46"/>
      <c r="C219" s="4"/>
      <c r="D219" s="4"/>
      <c r="E219" s="4"/>
      <c r="F219" s="4"/>
      <c r="G219" s="4"/>
      <c r="H219" s="4"/>
      <c r="I219" s="4"/>
      <c r="J219" s="4"/>
      <c r="K219" s="4"/>
      <c r="L219" s="4"/>
      <c r="M219" s="4"/>
      <c r="N219" s="4"/>
      <c r="O219" s="4"/>
      <c r="P219" s="4"/>
      <c r="Q219" s="4"/>
      <c r="R219" s="4"/>
      <c r="S219" s="4"/>
      <c r="T219" s="4"/>
      <c r="U219" s="4"/>
      <c r="V219" s="4"/>
      <c r="W219" s="4"/>
      <c r="X219" s="4"/>
    </row>
    <row r="220">
      <c r="A220" s="4"/>
      <c r="B220" s="46"/>
      <c r="C220" s="4"/>
      <c r="D220" s="4"/>
      <c r="E220" s="4"/>
      <c r="F220" s="4"/>
      <c r="G220" s="4"/>
      <c r="H220" s="4"/>
      <c r="I220" s="4"/>
      <c r="J220" s="4"/>
      <c r="K220" s="4"/>
      <c r="L220" s="4"/>
      <c r="M220" s="4"/>
      <c r="N220" s="4"/>
      <c r="O220" s="4"/>
      <c r="P220" s="4"/>
      <c r="Q220" s="4"/>
      <c r="R220" s="4"/>
      <c r="S220" s="4"/>
      <c r="T220" s="4"/>
      <c r="U220" s="4"/>
      <c r="V220" s="4"/>
      <c r="W220" s="4"/>
      <c r="X220" s="4"/>
    </row>
    <row r="221">
      <c r="A221" s="4"/>
      <c r="B221" s="46"/>
      <c r="C221" s="4"/>
      <c r="D221" s="4"/>
      <c r="E221" s="4"/>
      <c r="F221" s="4"/>
      <c r="G221" s="4"/>
      <c r="H221" s="4"/>
      <c r="I221" s="4"/>
      <c r="J221" s="4"/>
      <c r="K221" s="4"/>
      <c r="L221" s="4"/>
      <c r="M221" s="4"/>
      <c r="N221" s="4"/>
      <c r="O221" s="4"/>
      <c r="P221" s="4"/>
      <c r="Q221" s="4"/>
      <c r="R221" s="4"/>
      <c r="S221" s="4"/>
      <c r="T221" s="4"/>
      <c r="U221" s="4"/>
      <c r="V221" s="4"/>
      <c r="W221" s="4"/>
      <c r="X221" s="4"/>
    </row>
    <row r="222">
      <c r="A222" s="4"/>
      <c r="B222" s="46"/>
      <c r="C222" s="4"/>
      <c r="D222" s="4"/>
      <c r="E222" s="4"/>
      <c r="F222" s="4"/>
      <c r="G222" s="4"/>
      <c r="H222" s="4"/>
      <c r="I222" s="4"/>
      <c r="J222" s="4"/>
      <c r="K222" s="4"/>
      <c r="L222" s="4"/>
      <c r="M222" s="4"/>
      <c r="N222" s="4"/>
      <c r="O222" s="4"/>
      <c r="P222" s="4"/>
      <c r="Q222" s="4"/>
      <c r="R222" s="4"/>
      <c r="S222" s="4"/>
      <c r="T222" s="4"/>
      <c r="U222" s="4"/>
      <c r="V222" s="4"/>
      <c r="W222" s="4"/>
      <c r="X222" s="4"/>
    </row>
    <row r="223">
      <c r="A223" s="4"/>
      <c r="B223" s="46"/>
      <c r="C223" s="4"/>
      <c r="D223" s="4"/>
      <c r="E223" s="4"/>
      <c r="F223" s="4"/>
      <c r="G223" s="4"/>
      <c r="H223" s="4"/>
      <c r="I223" s="4"/>
      <c r="J223" s="4"/>
      <c r="K223" s="4"/>
      <c r="L223" s="4"/>
      <c r="M223" s="4"/>
      <c r="N223" s="4"/>
      <c r="O223" s="4"/>
      <c r="P223" s="4"/>
      <c r="Q223" s="4"/>
      <c r="R223" s="4"/>
      <c r="S223" s="4"/>
      <c r="T223" s="4"/>
      <c r="U223" s="4"/>
      <c r="V223" s="4"/>
      <c r="W223" s="4"/>
      <c r="X223" s="4"/>
    </row>
    <row r="224">
      <c r="A224" s="4"/>
      <c r="B224" s="46"/>
      <c r="C224" s="4"/>
      <c r="D224" s="4"/>
      <c r="E224" s="4"/>
      <c r="F224" s="4"/>
      <c r="G224" s="4"/>
      <c r="H224" s="4"/>
      <c r="I224" s="4"/>
      <c r="J224" s="4"/>
      <c r="K224" s="4"/>
      <c r="L224" s="4"/>
      <c r="M224" s="4"/>
      <c r="N224" s="4"/>
      <c r="O224" s="4"/>
      <c r="P224" s="4"/>
      <c r="Q224" s="4"/>
      <c r="R224" s="4"/>
      <c r="S224" s="4"/>
      <c r="T224" s="4"/>
      <c r="U224" s="4"/>
      <c r="V224" s="4"/>
      <c r="W224" s="4"/>
      <c r="X224" s="4"/>
    </row>
    <row r="225">
      <c r="A225" s="4"/>
      <c r="B225" s="46"/>
      <c r="C225" s="4"/>
      <c r="D225" s="4"/>
      <c r="E225" s="4"/>
      <c r="F225" s="4"/>
      <c r="G225" s="4"/>
      <c r="H225" s="4"/>
      <c r="I225" s="4"/>
      <c r="J225" s="4"/>
      <c r="K225" s="4"/>
      <c r="L225" s="4"/>
      <c r="M225" s="4"/>
      <c r="N225" s="4"/>
      <c r="O225" s="4"/>
      <c r="P225" s="4"/>
      <c r="Q225" s="4"/>
      <c r="R225" s="4"/>
      <c r="S225" s="4"/>
      <c r="T225" s="4"/>
      <c r="U225" s="4"/>
      <c r="V225" s="4"/>
      <c r="W225" s="4"/>
      <c r="X225" s="4"/>
    </row>
    <row r="226">
      <c r="A226" s="4"/>
      <c r="B226" s="46"/>
      <c r="C226" s="4"/>
      <c r="D226" s="4"/>
      <c r="E226" s="4"/>
      <c r="F226" s="4"/>
      <c r="G226" s="4"/>
      <c r="H226" s="4"/>
      <c r="I226" s="4"/>
      <c r="J226" s="4"/>
      <c r="K226" s="4"/>
      <c r="L226" s="4"/>
      <c r="M226" s="4"/>
      <c r="N226" s="4"/>
      <c r="O226" s="4"/>
      <c r="P226" s="4"/>
      <c r="Q226" s="4"/>
      <c r="R226" s="4"/>
      <c r="S226" s="4"/>
      <c r="T226" s="4"/>
      <c r="U226" s="4"/>
      <c r="V226" s="4"/>
      <c r="W226" s="4"/>
      <c r="X226" s="4"/>
    </row>
    <row r="227">
      <c r="A227" s="4"/>
      <c r="B227" s="46"/>
      <c r="C227" s="4"/>
      <c r="D227" s="4"/>
      <c r="E227" s="4"/>
      <c r="F227" s="4"/>
      <c r="G227" s="4"/>
      <c r="H227" s="4"/>
      <c r="I227" s="4"/>
      <c r="J227" s="4"/>
      <c r="K227" s="4"/>
      <c r="L227" s="4"/>
      <c r="M227" s="4"/>
      <c r="N227" s="4"/>
      <c r="O227" s="4"/>
      <c r="P227" s="4"/>
      <c r="Q227" s="4"/>
      <c r="R227" s="4"/>
      <c r="S227" s="4"/>
      <c r="T227" s="4"/>
      <c r="U227" s="4"/>
      <c r="V227" s="4"/>
      <c r="W227" s="4"/>
      <c r="X227" s="4"/>
    </row>
    <row r="228">
      <c r="A228" s="4"/>
      <c r="B228" s="46"/>
      <c r="C228" s="4"/>
      <c r="D228" s="4"/>
      <c r="E228" s="4"/>
      <c r="F228" s="4"/>
      <c r="G228" s="4"/>
      <c r="H228" s="4"/>
      <c r="I228" s="4"/>
      <c r="J228" s="4"/>
      <c r="K228" s="4"/>
      <c r="L228" s="4"/>
      <c r="M228" s="4"/>
      <c r="N228" s="4"/>
      <c r="O228" s="4"/>
      <c r="P228" s="4"/>
      <c r="Q228" s="4"/>
      <c r="R228" s="4"/>
      <c r="S228" s="4"/>
      <c r="T228" s="4"/>
      <c r="U228" s="4"/>
      <c r="V228" s="4"/>
      <c r="W228" s="4"/>
      <c r="X228" s="4"/>
    </row>
    <row r="229">
      <c r="A229" s="4"/>
      <c r="B229" s="46"/>
      <c r="C229" s="4"/>
      <c r="D229" s="4"/>
      <c r="E229" s="4"/>
      <c r="F229" s="4"/>
      <c r="G229" s="4"/>
      <c r="H229" s="4"/>
      <c r="I229" s="4"/>
      <c r="J229" s="4"/>
      <c r="K229" s="4"/>
      <c r="L229" s="4"/>
      <c r="M229" s="4"/>
      <c r="N229" s="4"/>
      <c r="O229" s="4"/>
      <c r="P229" s="4"/>
      <c r="Q229" s="4"/>
      <c r="R229" s="4"/>
      <c r="S229" s="4"/>
      <c r="T229" s="4"/>
      <c r="U229" s="4"/>
      <c r="V229" s="4"/>
      <c r="W229" s="4"/>
      <c r="X229" s="4"/>
    </row>
    <row r="230">
      <c r="A230" s="4"/>
      <c r="B230" s="46"/>
      <c r="C230" s="4"/>
      <c r="D230" s="4"/>
      <c r="E230" s="4"/>
      <c r="F230" s="4"/>
      <c r="G230" s="4"/>
      <c r="H230" s="4"/>
      <c r="I230" s="4"/>
      <c r="J230" s="4"/>
      <c r="K230" s="4"/>
      <c r="L230" s="4"/>
      <c r="M230" s="4"/>
      <c r="N230" s="4"/>
      <c r="O230" s="4"/>
      <c r="P230" s="4"/>
      <c r="Q230" s="4"/>
      <c r="R230" s="4"/>
      <c r="S230" s="4"/>
      <c r="T230" s="4"/>
      <c r="U230" s="4"/>
      <c r="V230" s="4"/>
      <c r="W230" s="4"/>
      <c r="X230" s="4"/>
    </row>
    <row r="231">
      <c r="A231" s="4"/>
      <c r="B231" s="46"/>
      <c r="C231" s="4"/>
      <c r="D231" s="4"/>
      <c r="E231" s="4"/>
      <c r="F231" s="4"/>
      <c r="G231" s="4"/>
      <c r="H231" s="4"/>
      <c r="I231" s="4"/>
      <c r="J231" s="4"/>
      <c r="K231" s="4"/>
      <c r="L231" s="4"/>
      <c r="M231" s="4"/>
      <c r="N231" s="4"/>
      <c r="O231" s="4"/>
      <c r="P231" s="4"/>
      <c r="Q231" s="4"/>
      <c r="R231" s="4"/>
      <c r="S231" s="4"/>
      <c r="T231" s="4"/>
      <c r="U231" s="4"/>
      <c r="V231" s="4"/>
      <c r="W231" s="4"/>
      <c r="X231" s="4"/>
    </row>
    <row r="232">
      <c r="A232" s="4"/>
      <c r="B232" s="46"/>
      <c r="C232" s="4"/>
      <c r="D232" s="4"/>
      <c r="E232" s="4"/>
      <c r="F232" s="4"/>
      <c r="G232" s="4"/>
      <c r="H232" s="4"/>
      <c r="I232" s="4"/>
      <c r="J232" s="4"/>
      <c r="K232" s="4"/>
      <c r="L232" s="4"/>
      <c r="M232" s="4"/>
      <c r="N232" s="4"/>
      <c r="O232" s="4"/>
      <c r="P232" s="4"/>
      <c r="Q232" s="4"/>
      <c r="R232" s="4"/>
      <c r="S232" s="4"/>
      <c r="T232" s="4"/>
      <c r="U232" s="4"/>
      <c r="V232" s="4"/>
      <c r="W232" s="4"/>
      <c r="X232" s="4"/>
    </row>
    <row r="233">
      <c r="A233" s="4"/>
      <c r="B233" s="46"/>
      <c r="C233" s="4"/>
      <c r="D233" s="4"/>
      <c r="E233" s="4"/>
      <c r="F233" s="4"/>
      <c r="G233" s="4"/>
      <c r="H233" s="4"/>
      <c r="I233" s="4"/>
      <c r="J233" s="4"/>
      <c r="K233" s="4"/>
      <c r="L233" s="4"/>
      <c r="M233" s="4"/>
      <c r="N233" s="4"/>
      <c r="O233" s="4"/>
      <c r="P233" s="4"/>
      <c r="Q233" s="4"/>
      <c r="R233" s="4"/>
      <c r="S233" s="4"/>
      <c r="T233" s="4"/>
      <c r="U233" s="4"/>
      <c r="V233" s="4"/>
      <c r="W233" s="4"/>
      <c r="X233" s="4"/>
    </row>
    <row r="234">
      <c r="A234" s="4"/>
      <c r="B234" s="46"/>
      <c r="C234" s="4"/>
      <c r="D234" s="4"/>
      <c r="E234" s="4"/>
      <c r="F234" s="4"/>
      <c r="G234" s="4"/>
      <c r="H234" s="4"/>
      <c r="I234" s="4"/>
      <c r="J234" s="4"/>
      <c r="K234" s="4"/>
      <c r="L234" s="4"/>
      <c r="M234" s="4"/>
      <c r="N234" s="4"/>
      <c r="O234" s="4"/>
      <c r="P234" s="4"/>
      <c r="Q234" s="4"/>
      <c r="R234" s="4"/>
      <c r="S234" s="4"/>
      <c r="T234" s="4"/>
      <c r="U234" s="4"/>
      <c r="V234" s="4"/>
      <c r="W234" s="4"/>
      <c r="X234" s="4"/>
    </row>
    <row r="235">
      <c r="A235" s="4"/>
      <c r="B235" s="46"/>
      <c r="C235" s="4"/>
      <c r="D235" s="4"/>
      <c r="E235" s="4"/>
      <c r="F235" s="4"/>
      <c r="G235" s="4"/>
      <c r="H235" s="4"/>
      <c r="I235" s="4"/>
      <c r="J235" s="4"/>
      <c r="K235" s="4"/>
      <c r="L235" s="4"/>
      <c r="M235" s="4"/>
      <c r="N235" s="4"/>
      <c r="O235" s="4"/>
      <c r="P235" s="4"/>
      <c r="Q235" s="4"/>
      <c r="R235" s="4"/>
      <c r="S235" s="4"/>
      <c r="T235" s="4"/>
      <c r="U235" s="4"/>
      <c r="V235" s="4"/>
      <c r="W235" s="4"/>
      <c r="X235" s="4"/>
    </row>
    <row r="236">
      <c r="A236" s="4"/>
      <c r="B236" s="46"/>
      <c r="C236" s="4"/>
      <c r="D236" s="4"/>
      <c r="E236" s="4"/>
      <c r="F236" s="4"/>
      <c r="G236" s="4"/>
      <c r="H236" s="4"/>
      <c r="I236" s="4"/>
      <c r="J236" s="4"/>
      <c r="K236" s="4"/>
      <c r="L236" s="4"/>
      <c r="M236" s="4"/>
      <c r="N236" s="4"/>
      <c r="O236" s="4"/>
      <c r="P236" s="4"/>
      <c r="Q236" s="4"/>
      <c r="R236" s="4"/>
      <c r="S236" s="4"/>
      <c r="T236" s="4"/>
      <c r="U236" s="4"/>
      <c r="V236" s="4"/>
      <c r="W236" s="4"/>
      <c r="X236" s="4"/>
    </row>
    <row r="237">
      <c r="A237" s="4"/>
      <c r="B237" s="46"/>
      <c r="C237" s="4"/>
      <c r="D237" s="4"/>
      <c r="E237" s="4"/>
      <c r="F237" s="4"/>
      <c r="G237" s="4"/>
      <c r="H237" s="4"/>
      <c r="I237" s="4"/>
      <c r="J237" s="4"/>
      <c r="K237" s="4"/>
      <c r="L237" s="4"/>
      <c r="M237" s="4"/>
      <c r="N237" s="4"/>
      <c r="O237" s="4"/>
      <c r="P237" s="4"/>
      <c r="Q237" s="4"/>
      <c r="R237" s="4"/>
      <c r="S237" s="4"/>
      <c r="T237" s="4"/>
      <c r="U237" s="4"/>
      <c r="V237" s="4"/>
      <c r="W237" s="4"/>
      <c r="X237" s="4"/>
    </row>
    <row r="238">
      <c r="A238" s="4"/>
      <c r="B238" s="46"/>
      <c r="C238" s="4"/>
      <c r="D238" s="4"/>
      <c r="E238" s="4"/>
      <c r="F238" s="4"/>
      <c r="G238" s="4"/>
      <c r="H238" s="4"/>
      <c r="I238" s="4"/>
      <c r="J238" s="4"/>
      <c r="K238" s="4"/>
      <c r="L238" s="4"/>
      <c r="M238" s="4"/>
      <c r="N238" s="4"/>
      <c r="O238" s="4"/>
      <c r="P238" s="4"/>
      <c r="Q238" s="4"/>
      <c r="R238" s="4"/>
      <c r="S238" s="4"/>
      <c r="T238" s="4"/>
      <c r="U238" s="4"/>
      <c r="V238" s="4"/>
      <c r="W238" s="4"/>
      <c r="X238" s="4"/>
    </row>
    <row r="239">
      <c r="A239" s="4"/>
      <c r="B239" s="46"/>
      <c r="C239" s="4"/>
      <c r="D239" s="4"/>
      <c r="E239" s="4"/>
      <c r="F239" s="4"/>
      <c r="G239" s="4"/>
      <c r="H239" s="4"/>
      <c r="I239" s="4"/>
      <c r="J239" s="4"/>
      <c r="K239" s="4"/>
      <c r="L239" s="4"/>
      <c r="M239" s="4"/>
      <c r="N239" s="4"/>
      <c r="O239" s="4"/>
      <c r="P239" s="4"/>
      <c r="Q239" s="4"/>
      <c r="R239" s="4"/>
      <c r="S239" s="4"/>
      <c r="T239" s="4"/>
      <c r="U239" s="4"/>
      <c r="V239" s="4"/>
      <c r="W239" s="4"/>
      <c r="X239" s="4"/>
    </row>
    <row r="240">
      <c r="A240" s="4"/>
      <c r="B240" s="46"/>
      <c r="C240" s="4"/>
      <c r="D240" s="4"/>
      <c r="E240" s="4"/>
      <c r="F240" s="4"/>
      <c r="G240" s="4"/>
      <c r="H240" s="4"/>
      <c r="I240" s="4"/>
      <c r="J240" s="4"/>
      <c r="K240" s="4"/>
      <c r="L240" s="4"/>
      <c r="M240" s="4"/>
      <c r="N240" s="4"/>
      <c r="O240" s="4"/>
      <c r="P240" s="4"/>
      <c r="Q240" s="4"/>
      <c r="R240" s="4"/>
      <c r="S240" s="4"/>
      <c r="T240" s="4"/>
      <c r="U240" s="4"/>
      <c r="V240" s="4"/>
      <c r="W240" s="4"/>
      <c r="X240" s="4"/>
    </row>
    <row r="241">
      <c r="A241" s="4"/>
      <c r="B241" s="46"/>
      <c r="C241" s="4"/>
      <c r="D241" s="4"/>
      <c r="E241" s="4"/>
      <c r="F241" s="4"/>
      <c r="G241" s="4"/>
      <c r="H241" s="4"/>
      <c r="I241" s="4"/>
      <c r="J241" s="4"/>
      <c r="K241" s="4"/>
      <c r="L241" s="4"/>
      <c r="M241" s="4"/>
      <c r="N241" s="4"/>
      <c r="O241" s="4"/>
      <c r="P241" s="4"/>
      <c r="Q241" s="4"/>
      <c r="R241" s="4"/>
      <c r="S241" s="4"/>
      <c r="T241" s="4"/>
      <c r="U241" s="4"/>
      <c r="V241" s="4"/>
      <c r="W241" s="4"/>
      <c r="X241" s="4"/>
    </row>
    <row r="242">
      <c r="A242" s="4"/>
      <c r="B242" s="46"/>
      <c r="C242" s="4"/>
      <c r="D242" s="4"/>
      <c r="E242" s="4"/>
      <c r="F242" s="4"/>
      <c r="G242" s="4"/>
      <c r="H242" s="4"/>
      <c r="I242" s="4"/>
      <c r="J242" s="4"/>
      <c r="K242" s="4"/>
      <c r="L242" s="4"/>
      <c r="M242" s="4"/>
      <c r="N242" s="4"/>
      <c r="O242" s="4"/>
      <c r="P242" s="4"/>
      <c r="Q242" s="4"/>
      <c r="R242" s="4"/>
      <c r="S242" s="4"/>
      <c r="T242" s="4"/>
      <c r="U242" s="4"/>
      <c r="V242" s="4"/>
      <c r="W242" s="4"/>
      <c r="X242" s="4"/>
    </row>
    <row r="243">
      <c r="A243" s="4"/>
      <c r="B243" s="46"/>
      <c r="C243" s="4"/>
      <c r="D243" s="4"/>
      <c r="E243" s="4"/>
      <c r="F243" s="4"/>
      <c r="G243" s="4"/>
      <c r="H243" s="4"/>
      <c r="I243" s="4"/>
      <c r="J243" s="4"/>
      <c r="K243" s="4"/>
      <c r="L243" s="4"/>
      <c r="M243" s="4"/>
      <c r="N243" s="4"/>
      <c r="O243" s="4"/>
      <c r="P243" s="4"/>
      <c r="Q243" s="4"/>
      <c r="R243" s="4"/>
      <c r="S243" s="4"/>
      <c r="T243" s="4"/>
      <c r="U243" s="4"/>
      <c r="V243" s="4"/>
      <c r="W243" s="4"/>
      <c r="X243" s="4"/>
    </row>
    <row r="244">
      <c r="A244" s="4"/>
      <c r="B244" s="46"/>
      <c r="C244" s="4"/>
      <c r="D244" s="4"/>
      <c r="E244" s="4"/>
      <c r="F244" s="4"/>
      <c r="G244" s="4"/>
      <c r="H244" s="4"/>
      <c r="I244" s="4"/>
      <c r="J244" s="4"/>
      <c r="K244" s="4"/>
      <c r="L244" s="4"/>
      <c r="M244" s="4"/>
      <c r="N244" s="4"/>
      <c r="O244" s="4"/>
      <c r="P244" s="4"/>
      <c r="Q244" s="4"/>
      <c r="R244" s="4"/>
      <c r="S244" s="4"/>
      <c r="T244" s="4"/>
      <c r="U244" s="4"/>
      <c r="V244" s="4"/>
      <c r="W244" s="4"/>
      <c r="X244" s="4"/>
    </row>
    <row r="245">
      <c r="A245" s="4"/>
      <c r="B245" s="46"/>
      <c r="C245" s="4"/>
      <c r="D245" s="4"/>
      <c r="E245" s="4"/>
      <c r="F245" s="4"/>
      <c r="G245" s="4"/>
      <c r="H245" s="4"/>
      <c r="I245" s="4"/>
      <c r="J245" s="4"/>
      <c r="K245" s="4"/>
      <c r="L245" s="4"/>
      <c r="M245" s="4"/>
      <c r="N245" s="4"/>
      <c r="O245" s="4"/>
      <c r="P245" s="4"/>
      <c r="Q245" s="4"/>
      <c r="R245" s="4"/>
      <c r="S245" s="4"/>
      <c r="T245" s="4"/>
      <c r="U245" s="4"/>
      <c r="V245" s="4"/>
      <c r="W245" s="4"/>
      <c r="X245" s="4"/>
    </row>
    <row r="246">
      <c r="A246" s="4"/>
      <c r="B246" s="46"/>
      <c r="C246" s="4"/>
      <c r="D246" s="4"/>
      <c r="E246" s="4"/>
      <c r="F246" s="4"/>
      <c r="G246" s="4"/>
      <c r="H246" s="4"/>
      <c r="I246" s="4"/>
      <c r="J246" s="4"/>
      <c r="K246" s="4"/>
      <c r="L246" s="4"/>
      <c r="M246" s="4"/>
      <c r="N246" s="4"/>
      <c r="O246" s="4"/>
      <c r="P246" s="4"/>
      <c r="Q246" s="4"/>
      <c r="R246" s="4"/>
      <c r="S246" s="4"/>
      <c r="T246" s="4"/>
      <c r="U246" s="4"/>
      <c r="V246" s="4"/>
      <c r="W246" s="4"/>
      <c r="X246" s="4"/>
    </row>
    <row r="247">
      <c r="A247" s="4"/>
      <c r="B247" s="46"/>
      <c r="C247" s="4"/>
      <c r="D247" s="4"/>
      <c r="E247" s="4"/>
      <c r="F247" s="4"/>
      <c r="G247" s="4"/>
      <c r="H247" s="4"/>
      <c r="I247" s="4"/>
      <c r="J247" s="4"/>
      <c r="K247" s="4"/>
      <c r="L247" s="4"/>
      <c r="M247" s="4"/>
      <c r="N247" s="4"/>
      <c r="O247" s="4"/>
      <c r="P247" s="4"/>
      <c r="Q247" s="4"/>
      <c r="R247" s="4"/>
      <c r="S247" s="4"/>
      <c r="T247" s="4"/>
      <c r="U247" s="4"/>
      <c r="V247" s="4"/>
      <c r="W247" s="4"/>
      <c r="X247" s="4"/>
    </row>
    <row r="248">
      <c r="A248" s="4"/>
      <c r="B248" s="46"/>
      <c r="C248" s="4"/>
      <c r="D248" s="4"/>
      <c r="E248" s="4"/>
      <c r="F248" s="4"/>
      <c r="G248" s="4"/>
      <c r="H248" s="4"/>
      <c r="I248" s="4"/>
      <c r="J248" s="4"/>
      <c r="K248" s="4"/>
      <c r="L248" s="4"/>
      <c r="M248" s="4"/>
      <c r="N248" s="4"/>
      <c r="O248" s="4"/>
      <c r="P248" s="4"/>
      <c r="Q248" s="4"/>
      <c r="R248" s="4"/>
      <c r="S248" s="4"/>
      <c r="T248" s="4"/>
      <c r="U248" s="4"/>
      <c r="V248" s="4"/>
      <c r="W248" s="4"/>
      <c r="X248" s="4"/>
    </row>
    <row r="249">
      <c r="A249" s="4"/>
      <c r="B249" s="46"/>
      <c r="C249" s="4"/>
      <c r="D249" s="4"/>
      <c r="E249" s="4"/>
      <c r="F249" s="4"/>
      <c r="G249" s="4"/>
      <c r="H249" s="4"/>
      <c r="I249" s="4"/>
      <c r="J249" s="4"/>
      <c r="K249" s="4"/>
      <c r="L249" s="4"/>
      <c r="M249" s="4"/>
      <c r="N249" s="4"/>
      <c r="O249" s="4"/>
      <c r="P249" s="4"/>
      <c r="Q249" s="4"/>
      <c r="R249" s="4"/>
      <c r="S249" s="4"/>
      <c r="T249" s="4"/>
      <c r="U249" s="4"/>
      <c r="V249" s="4"/>
      <c r="W249" s="4"/>
      <c r="X249" s="4"/>
    </row>
    <row r="250">
      <c r="A250" s="4"/>
      <c r="B250" s="46"/>
      <c r="C250" s="4"/>
      <c r="D250" s="4"/>
      <c r="E250" s="4"/>
      <c r="F250" s="4"/>
      <c r="G250" s="4"/>
      <c r="H250" s="4"/>
      <c r="I250" s="4"/>
      <c r="J250" s="4"/>
      <c r="K250" s="4"/>
      <c r="L250" s="4"/>
      <c r="M250" s="4"/>
      <c r="N250" s="4"/>
      <c r="O250" s="4"/>
      <c r="P250" s="4"/>
      <c r="Q250" s="4"/>
      <c r="R250" s="4"/>
      <c r="S250" s="4"/>
      <c r="T250" s="4"/>
      <c r="U250" s="4"/>
      <c r="V250" s="4"/>
      <c r="W250" s="4"/>
      <c r="X250" s="4"/>
    </row>
    <row r="251">
      <c r="A251" s="4"/>
      <c r="B251" s="46"/>
      <c r="C251" s="4"/>
      <c r="D251" s="4"/>
      <c r="E251" s="4"/>
      <c r="F251" s="4"/>
      <c r="G251" s="4"/>
      <c r="H251" s="4"/>
      <c r="I251" s="4"/>
      <c r="J251" s="4"/>
      <c r="K251" s="4"/>
      <c r="L251" s="4"/>
      <c r="M251" s="4"/>
      <c r="N251" s="4"/>
      <c r="O251" s="4"/>
      <c r="P251" s="4"/>
      <c r="Q251" s="4"/>
      <c r="R251" s="4"/>
      <c r="S251" s="4"/>
      <c r="T251" s="4"/>
      <c r="U251" s="4"/>
      <c r="V251" s="4"/>
      <c r="W251" s="4"/>
      <c r="X251" s="4"/>
    </row>
    <row r="252">
      <c r="A252" s="4"/>
      <c r="B252" s="46"/>
      <c r="C252" s="4"/>
      <c r="D252" s="4"/>
      <c r="E252" s="4"/>
      <c r="F252" s="4"/>
      <c r="G252" s="4"/>
      <c r="H252" s="4"/>
      <c r="I252" s="4"/>
      <c r="J252" s="4"/>
      <c r="K252" s="4"/>
      <c r="L252" s="4"/>
      <c r="M252" s="4"/>
      <c r="N252" s="4"/>
      <c r="O252" s="4"/>
      <c r="P252" s="4"/>
      <c r="Q252" s="4"/>
      <c r="R252" s="4"/>
      <c r="S252" s="4"/>
      <c r="T252" s="4"/>
      <c r="U252" s="4"/>
      <c r="V252" s="4"/>
      <c r="W252" s="4"/>
      <c r="X252" s="4"/>
    </row>
    <row r="253">
      <c r="A253" s="4"/>
      <c r="B253" s="46"/>
      <c r="C253" s="4"/>
      <c r="D253" s="4"/>
      <c r="E253" s="4"/>
      <c r="F253" s="4"/>
      <c r="G253" s="4"/>
      <c r="H253" s="4"/>
      <c r="I253" s="4"/>
      <c r="J253" s="4"/>
      <c r="K253" s="4"/>
      <c r="L253" s="4"/>
      <c r="M253" s="4"/>
      <c r="N253" s="4"/>
      <c r="O253" s="4"/>
      <c r="P253" s="4"/>
      <c r="Q253" s="4"/>
      <c r="R253" s="4"/>
      <c r="S253" s="4"/>
      <c r="T253" s="4"/>
      <c r="U253" s="4"/>
      <c r="V253" s="4"/>
      <c r="W253" s="4"/>
      <c r="X253" s="4"/>
    </row>
    <row r="254">
      <c r="A254" s="4"/>
      <c r="B254" s="46"/>
      <c r="C254" s="4"/>
      <c r="D254" s="4"/>
      <c r="E254" s="4"/>
      <c r="F254" s="4"/>
      <c r="G254" s="4"/>
      <c r="H254" s="4"/>
      <c r="I254" s="4"/>
      <c r="J254" s="4"/>
      <c r="K254" s="4"/>
      <c r="L254" s="4"/>
      <c r="M254" s="4"/>
      <c r="N254" s="4"/>
      <c r="O254" s="4"/>
      <c r="P254" s="4"/>
      <c r="Q254" s="4"/>
      <c r="R254" s="4"/>
      <c r="S254" s="4"/>
      <c r="T254" s="4"/>
      <c r="U254" s="4"/>
      <c r="V254" s="4"/>
      <c r="W254" s="4"/>
      <c r="X254" s="4"/>
    </row>
    <row r="255">
      <c r="A255" s="4"/>
      <c r="B255" s="46"/>
      <c r="C255" s="4"/>
      <c r="D255" s="4"/>
      <c r="E255" s="4"/>
      <c r="F255" s="4"/>
      <c r="G255" s="4"/>
      <c r="H255" s="4"/>
      <c r="I255" s="4"/>
      <c r="J255" s="4"/>
      <c r="K255" s="4"/>
      <c r="L255" s="4"/>
      <c r="M255" s="4"/>
      <c r="N255" s="4"/>
      <c r="O255" s="4"/>
      <c r="P255" s="4"/>
      <c r="Q255" s="4"/>
      <c r="R255" s="4"/>
      <c r="S255" s="4"/>
      <c r="T255" s="4"/>
      <c r="U255" s="4"/>
      <c r="V255" s="4"/>
      <c r="W255" s="4"/>
      <c r="X255" s="4"/>
    </row>
    <row r="256">
      <c r="A256" s="4"/>
      <c r="B256" s="46"/>
      <c r="C256" s="4"/>
      <c r="D256" s="4"/>
      <c r="E256" s="4"/>
      <c r="F256" s="4"/>
      <c r="G256" s="4"/>
      <c r="H256" s="4"/>
      <c r="I256" s="4"/>
      <c r="J256" s="4"/>
      <c r="K256" s="4"/>
      <c r="L256" s="4"/>
      <c r="M256" s="4"/>
      <c r="N256" s="4"/>
      <c r="O256" s="4"/>
      <c r="P256" s="4"/>
      <c r="Q256" s="4"/>
      <c r="R256" s="4"/>
      <c r="S256" s="4"/>
      <c r="T256" s="4"/>
      <c r="U256" s="4"/>
      <c r="V256" s="4"/>
      <c r="W256" s="4"/>
      <c r="X256" s="4"/>
    </row>
    <row r="257">
      <c r="A257" s="4"/>
      <c r="B257" s="46"/>
      <c r="C257" s="4"/>
      <c r="D257" s="4"/>
      <c r="E257" s="4"/>
      <c r="F257" s="4"/>
      <c r="G257" s="4"/>
      <c r="H257" s="4"/>
      <c r="I257" s="4"/>
      <c r="J257" s="4"/>
      <c r="K257" s="4"/>
      <c r="L257" s="4"/>
      <c r="M257" s="4"/>
      <c r="N257" s="4"/>
      <c r="O257" s="4"/>
      <c r="P257" s="4"/>
      <c r="Q257" s="4"/>
      <c r="R257" s="4"/>
      <c r="S257" s="4"/>
      <c r="T257" s="4"/>
      <c r="U257" s="4"/>
      <c r="V257" s="4"/>
      <c r="W257" s="4"/>
      <c r="X257" s="4"/>
    </row>
    <row r="258">
      <c r="A258" s="4"/>
      <c r="B258" s="46"/>
      <c r="C258" s="4"/>
      <c r="D258" s="4"/>
      <c r="E258" s="4"/>
      <c r="F258" s="4"/>
      <c r="G258" s="4"/>
      <c r="H258" s="4"/>
      <c r="I258" s="4"/>
      <c r="J258" s="4"/>
      <c r="K258" s="4"/>
      <c r="L258" s="4"/>
      <c r="M258" s="4"/>
      <c r="N258" s="4"/>
      <c r="O258" s="4"/>
      <c r="P258" s="4"/>
      <c r="Q258" s="4"/>
      <c r="R258" s="4"/>
      <c r="S258" s="4"/>
      <c r="T258" s="4"/>
      <c r="U258" s="4"/>
      <c r="V258" s="4"/>
      <c r="W258" s="4"/>
      <c r="X258" s="4"/>
    </row>
    <row r="259">
      <c r="A259" s="4"/>
      <c r="B259" s="46"/>
      <c r="C259" s="4"/>
      <c r="D259" s="4"/>
      <c r="E259" s="4"/>
      <c r="F259" s="4"/>
      <c r="G259" s="4"/>
      <c r="H259" s="4"/>
      <c r="I259" s="4"/>
      <c r="J259" s="4"/>
      <c r="K259" s="4"/>
      <c r="L259" s="4"/>
      <c r="M259" s="4"/>
      <c r="N259" s="4"/>
      <c r="O259" s="4"/>
      <c r="P259" s="4"/>
      <c r="Q259" s="4"/>
      <c r="R259" s="4"/>
      <c r="S259" s="4"/>
      <c r="T259" s="4"/>
      <c r="U259" s="4"/>
      <c r="V259" s="4"/>
      <c r="W259" s="4"/>
      <c r="X259" s="4"/>
    </row>
    <row r="260">
      <c r="A260" s="4"/>
      <c r="B260" s="46"/>
      <c r="C260" s="4"/>
      <c r="D260" s="4"/>
      <c r="E260" s="4"/>
      <c r="F260" s="4"/>
      <c r="G260" s="4"/>
      <c r="H260" s="4"/>
      <c r="I260" s="4"/>
      <c r="J260" s="4"/>
      <c r="K260" s="4"/>
      <c r="L260" s="4"/>
      <c r="M260" s="4"/>
      <c r="N260" s="4"/>
      <c r="O260" s="4"/>
      <c r="P260" s="4"/>
      <c r="Q260" s="4"/>
      <c r="R260" s="4"/>
      <c r="S260" s="4"/>
      <c r="T260" s="4"/>
      <c r="U260" s="4"/>
      <c r="V260" s="4"/>
      <c r="W260" s="4"/>
      <c r="X260" s="4"/>
    </row>
    <row r="261">
      <c r="A261" s="4"/>
      <c r="B261" s="46"/>
      <c r="C261" s="4"/>
      <c r="D261" s="4"/>
      <c r="E261" s="4"/>
      <c r="F261" s="4"/>
      <c r="G261" s="4"/>
      <c r="H261" s="4"/>
      <c r="I261" s="4"/>
      <c r="J261" s="4"/>
      <c r="K261" s="4"/>
      <c r="L261" s="4"/>
      <c r="M261" s="4"/>
      <c r="N261" s="4"/>
      <c r="O261" s="4"/>
      <c r="P261" s="4"/>
      <c r="Q261" s="4"/>
      <c r="R261" s="4"/>
      <c r="S261" s="4"/>
      <c r="T261" s="4"/>
      <c r="U261" s="4"/>
      <c r="V261" s="4"/>
      <c r="W261" s="4"/>
      <c r="X261" s="4"/>
    </row>
    <row r="262">
      <c r="A262" s="4"/>
      <c r="B262" s="46"/>
      <c r="C262" s="4"/>
      <c r="D262" s="4"/>
      <c r="E262" s="4"/>
      <c r="F262" s="4"/>
      <c r="G262" s="4"/>
      <c r="H262" s="4"/>
      <c r="I262" s="4"/>
      <c r="J262" s="4"/>
      <c r="K262" s="4"/>
      <c r="L262" s="4"/>
      <c r="M262" s="4"/>
      <c r="N262" s="4"/>
      <c r="O262" s="4"/>
      <c r="P262" s="4"/>
      <c r="Q262" s="4"/>
      <c r="R262" s="4"/>
      <c r="S262" s="4"/>
      <c r="T262" s="4"/>
      <c r="U262" s="4"/>
      <c r="V262" s="4"/>
      <c r="W262" s="4"/>
      <c r="X262" s="4"/>
    </row>
    <row r="263">
      <c r="A263" s="4"/>
      <c r="B263" s="46"/>
      <c r="C263" s="4"/>
      <c r="D263" s="4"/>
      <c r="E263" s="4"/>
      <c r="F263" s="4"/>
      <c r="G263" s="4"/>
      <c r="H263" s="4"/>
      <c r="I263" s="4"/>
      <c r="J263" s="4"/>
      <c r="K263" s="4"/>
      <c r="L263" s="4"/>
      <c r="M263" s="4"/>
      <c r="N263" s="4"/>
      <c r="O263" s="4"/>
      <c r="P263" s="4"/>
      <c r="Q263" s="4"/>
      <c r="R263" s="4"/>
      <c r="S263" s="4"/>
      <c r="T263" s="4"/>
      <c r="U263" s="4"/>
      <c r="V263" s="4"/>
      <c r="W263" s="4"/>
      <c r="X263" s="4"/>
    </row>
    <row r="264">
      <c r="A264" s="4"/>
      <c r="B264" s="46"/>
      <c r="C264" s="4"/>
      <c r="D264" s="4"/>
      <c r="E264" s="4"/>
      <c r="F264" s="4"/>
      <c r="G264" s="4"/>
      <c r="H264" s="4"/>
      <c r="I264" s="4"/>
      <c r="J264" s="4"/>
      <c r="K264" s="4"/>
      <c r="L264" s="4"/>
      <c r="M264" s="4"/>
      <c r="N264" s="4"/>
      <c r="O264" s="4"/>
      <c r="P264" s="4"/>
      <c r="Q264" s="4"/>
      <c r="R264" s="4"/>
      <c r="S264" s="4"/>
      <c r="T264" s="4"/>
      <c r="U264" s="4"/>
      <c r="V264" s="4"/>
      <c r="W264" s="4"/>
      <c r="X264" s="4"/>
    </row>
    <row r="265">
      <c r="A265" s="4"/>
      <c r="B265" s="46"/>
      <c r="C265" s="4"/>
      <c r="D265" s="4"/>
      <c r="E265" s="4"/>
      <c r="F265" s="4"/>
      <c r="G265" s="4"/>
      <c r="H265" s="4"/>
      <c r="I265" s="4"/>
      <c r="J265" s="4"/>
      <c r="K265" s="4"/>
      <c r="L265" s="4"/>
      <c r="M265" s="4"/>
      <c r="N265" s="4"/>
      <c r="O265" s="4"/>
      <c r="P265" s="4"/>
      <c r="Q265" s="4"/>
      <c r="R265" s="4"/>
      <c r="S265" s="4"/>
      <c r="T265" s="4"/>
      <c r="U265" s="4"/>
      <c r="V265" s="4"/>
      <c r="W265" s="4"/>
      <c r="X265" s="4"/>
    </row>
    <row r="266">
      <c r="A266" s="4"/>
      <c r="B266" s="46"/>
      <c r="C266" s="4"/>
      <c r="D266" s="4"/>
      <c r="E266" s="4"/>
      <c r="F266" s="4"/>
      <c r="G266" s="4"/>
      <c r="H266" s="4"/>
      <c r="I266" s="4"/>
      <c r="J266" s="4"/>
      <c r="K266" s="4"/>
      <c r="L266" s="4"/>
      <c r="M266" s="4"/>
      <c r="N266" s="4"/>
      <c r="O266" s="4"/>
      <c r="P266" s="4"/>
      <c r="Q266" s="4"/>
      <c r="R266" s="4"/>
      <c r="S266" s="4"/>
      <c r="T266" s="4"/>
      <c r="U266" s="4"/>
      <c r="V266" s="4"/>
      <c r="W266" s="4"/>
      <c r="X266" s="4"/>
    </row>
    <row r="267">
      <c r="A267" s="4"/>
      <c r="B267" s="46"/>
      <c r="C267" s="4"/>
      <c r="D267" s="4"/>
      <c r="E267" s="4"/>
      <c r="F267" s="4"/>
      <c r="G267" s="4"/>
      <c r="H267" s="4"/>
      <c r="I267" s="4"/>
      <c r="J267" s="4"/>
      <c r="K267" s="4"/>
      <c r="L267" s="4"/>
      <c r="M267" s="4"/>
      <c r="N267" s="4"/>
      <c r="O267" s="4"/>
      <c r="P267" s="4"/>
      <c r="Q267" s="4"/>
      <c r="R267" s="4"/>
      <c r="S267" s="4"/>
      <c r="T267" s="4"/>
      <c r="U267" s="4"/>
      <c r="V267" s="4"/>
      <c r="W267" s="4"/>
      <c r="X267" s="4"/>
    </row>
    <row r="268">
      <c r="A268" s="4"/>
      <c r="B268" s="46"/>
      <c r="C268" s="4"/>
      <c r="D268" s="4"/>
      <c r="E268" s="4"/>
      <c r="F268" s="4"/>
      <c r="G268" s="4"/>
      <c r="H268" s="4"/>
      <c r="I268" s="4"/>
      <c r="J268" s="4"/>
      <c r="K268" s="4"/>
      <c r="L268" s="4"/>
      <c r="M268" s="4"/>
      <c r="N268" s="4"/>
      <c r="O268" s="4"/>
      <c r="P268" s="4"/>
      <c r="Q268" s="4"/>
      <c r="R268" s="4"/>
      <c r="S268" s="4"/>
      <c r="T268" s="4"/>
      <c r="U268" s="4"/>
      <c r="V268" s="4"/>
      <c r="W268" s="4"/>
      <c r="X268" s="4"/>
    </row>
    <row r="269">
      <c r="A269" s="4"/>
      <c r="B269" s="46"/>
      <c r="C269" s="4"/>
      <c r="D269" s="4"/>
      <c r="E269" s="4"/>
      <c r="F269" s="4"/>
      <c r="G269" s="4"/>
      <c r="H269" s="4"/>
      <c r="I269" s="4"/>
      <c r="J269" s="4"/>
      <c r="K269" s="4"/>
      <c r="L269" s="4"/>
      <c r="M269" s="4"/>
      <c r="N269" s="4"/>
      <c r="O269" s="4"/>
      <c r="P269" s="4"/>
      <c r="Q269" s="4"/>
      <c r="R269" s="4"/>
      <c r="S269" s="4"/>
      <c r="T269" s="4"/>
      <c r="U269" s="4"/>
      <c r="V269" s="4"/>
      <c r="W269" s="4"/>
      <c r="X269" s="4"/>
    </row>
    <row r="270">
      <c r="A270" s="4"/>
      <c r="B270" s="46"/>
      <c r="C270" s="4"/>
      <c r="D270" s="4"/>
      <c r="E270" s="4"/>
      <c r="F270" s="4"/>
      <c r="G270" s="4"/>
      <c r="H270" s="4"/>
      <c r="I270" s="4"/>
      <c r="J270" s="4"/>
      <c r="K270" s="4"/>
      <c r="L270" s="4"/>
      <c r="M270" s="4"/>
      <c r="N270" s="4"/>
      <c r="O270" s="4"/>
      <c r="P270" s="4"/>
      <c r="Q270" s="4"/>
      <c r="R270" s="4"/>
      <c r="S270" s="4"/>
      <c r="T270" s="4"/>
      <c r="U270" s="4"/>
      <c r="V270" s="4"/>
      <c r="W270" s="4"/>
      <c r="X270" s="4"/>
    </row>
    <row r="271">
      <c r="A271" s="4"/>
      <c r="B271" s="46"/>
      <c r="C271" s="4"/>
      <c r="D271" s="4"/>
      <c r="E271" s="4"/>
      <c r="F271" s="4"/>
      <c r="G271" s="4"/>
      <c r="H271" s="4"/>
      <c r="I271" s="4"/>
      <c r="J271" s="4"/>
      <c r="K271" s="4"/>
      <c r="L271" s="4"/>
      <c r="M271" s="4"/>
      <c r="N271" s="4"/>
      <c r="O271" s="4"/>
      <c r="P271" s="4"/>
      <c r="Q271" s="4"/>
      <c r="R271" s="4"/>
      <c r="S271" s="4"/>
      <c r="T271" s="4"/>
      <c r="U271" s="4"/>
      <c r="V271" s="4"/>
      <c r="W271" s="4"/>
      <c r="X271" s="4"/>
    </row>
    <row r="272">
      <c r="A272" s="4"/>
      <c r="B272" s="46"/>
      <c r="C272" s="4"/>
      <c r="D272" s="4"/>
      <c r="E272" s="4"/>
      <c r="F272" s="4"/>
      <c r="G272" s="4"/>
      <c r="H272" s="4"/>
      <c r="I272" s="4"/>
      <c r="J272" s="4"/>
      <c r="K272" s="4"/>
      <c r="L272" s="4"/>
      <c r="M272" s="4"/>
      <c r="N272" s="4"/>
      <c r="O272" s="4"/>
      <c r="P272" s="4"/>
      <c r="Q272" s="4"/>
      <c r="R272" s="4"/>
      <c r="S272" s="4"/>
      <c r="T272" s="4"/>
      <c r="U272" s="4"/>
      <c r="V272" s="4"/>
      <c r="W272" s="4"/>
      <c r="X272" s="4"/>
    </row>
    <row r="273">
      <c r="A273" s="4"/>
      <c r="B273" s="46"/>
      <c r="C273" s="4"/>
      <c r="D273" s="4"/>
      <c r="E273" s="4"/>
      <c r="F273" s="4"/>
      <c r="G273" s="4"/>
      <c r="H273" s="4"/>
      <c r="I273" s="4"/>
      <c r="J273" s="4"/>
      <c r="K273" s="4"/>
      <c r="L273" s="4"/>
      <c r="M273" s="4"/>
      <c r="N273" s="4"/>
      <c r="O273" s="4"/>
      <c r="P273" s="4"/>
      <c r="Q273" s="4"/>
      <c r="R273" s="4"/>
      <c r="S273" s="4"/>
      <c r="T273" s="4"/>
      <c r="U273" s="4"/>
      <c r="V273" s="4"/>
      <c r="W273" s="4"/>
      <c r="X273" s="4"/>
    </row>
    <row r="274">
      <c r="A274" s="4"/>
      <c r="B274" s="46"/>
      <c r="C274" s="4"/>
      <c r="D274" s="4"/>
      <c r="E274" s="4"/>
      <c r="F274" s="4"/>
      <c r="G274" s="4"/>
      <c r="H274" s="4"/>
      <c r="I274" s="4"/>
      <c r="J274" s="4"/>
      <c r="K274" s="4"/>
      <c r="L274" s="4"/>
      <c r="M274" s="4"/>
      <c r="N274" s="4"/>
      <c r="O274" s="4"/>
      <c r="P274" s="4"/>
      <c r="Q274" s="4"/>
      <c r="R274" s="4"/>
      <c r="S274" s="4"/>
      <c r="T274" s="4"/>
      <c r="U274" s="4"/>
      <c r="V274" s="4"/>
      <c r="W274" s="4"/>
      <c r="X274" s="4"/>
    </row>
    <row r="275">
      <c r="A275" s="4"/>
      <c r="B275" s="46"/>
      <c r="C275" s="4"/>
      <c r="D275" s="4"/>
      <c r="E275" s="4"/>
      <c r="F275" s="4"/>
      <c r="G275" s="4"/>
      <c r="H275" s="4"/>
      <c r="I275" s="4"/>
      <c r="J275" s="4"/>
      <c r="K275" s="4"/>
      <c r="L275" s="4"/>
      <c r="M275" s="4"/>
      <c r="N275" s="4"/>
      <c r="O275" s="4"/>
      <c r="P275" s="4"/>
      <c r="Q275" s="4"/>
      <c r="R275" s="4"/>
      <c r="S275" s="4"/>
      <c r="T275" s="4"/>
      <c r="U275" s="4"/>
      <c r="V275" s="4"/>
      <c r="W275" s="4"/>
      <c r="X275" s="4"/>
    </row>
    <row r="276">
      <c r="A276" s="4"/>
      <c r="B276" s="46"/>
      <c r="C276" s="4"/>
      <c r="D276" s="4"/>
      <c r="E276" s="4"/>
      <c r="F276" s="4"/>
      <c r="G276" s="4"/>
      <c r="H276" s="4"/>
      <c r="I276" s="4"/>
      <c r="J276" s="4"/>
      <c r="K276" s="4"/>
      <c r="L276" s="4"/>
      <c r="M276" s="4"/>
      <c r="N276" s="4"/>
      <c r="O276" s="4"/>
      <c r="P276" s="4"/>
      <c r="Q276" s="4"/>
      <c r="R276" s="4"/>
      <c r="S276" s="4"/>
      <c r="T276" s="4"/>
      <c r="U276" s="4"/>
      <c r="V276" s="4"/>
      <c r="W276" s="4"/>
      <c r="X276" s="4"/>
    </row>
    <row r="277">
      <c r="A277" s="4"/>
      <c r="B277" s="46"/>
      <c r="C277" s="4"/>
      <c r="D277" s="4"/>
      <c r="E277" s="4"/>
      <c r="F277" s="4"/>
      <c r="G277" s="4"/>
      <c r="H277" s="4"/>
      <c r="I277" s="4"/>
      <c r="J277" s="4"/>
      <c r="K277" s="4"/>
      <c r="L277" s="4"/>
      <c r="M277" s="4"/>
      <c r="N277" s="4"/>
      <c r="O277" s="4"/>
      <c r="P277" s="4"/>
      <c r="Q277" s="4"/>
      <c r="R277" s="4"/>
      <c r="S277" s="4"/>
      <c r="T277" s="4"/>
      <c r="U277" s="4"/>
      <c r="V277" s="4"/>
      <c r="W277" s="4"/>
      <c r="X277" s="4"/>
    </row>
    <row r="278">
      <c r="A278" s="4"/>
      <c r="B278" s="46"/>
      <c r="C278" s="4"/>
      <c r="D278" s="4"/>
      <c r="E278" s="4"/>
      <c r="F278" s="4"/>
      <c r="G278" s="4"/>
      <c r="H278" s="4"/>
      <c r="I278" s="4"/>
      <c r="J278" s="4"/>
      <c r="K278" s="4"/>
      <c r="L278" s="4"/>
      <c r="M278" s="4"/>
      <c r="N278" s="4"/>
      <c r="O278" s="4"/>
      <c r="P278" s="4"/>
      <c r="Q278" s="4"/>
      <c r="R278" s="4"/>
      <c r="S278" s="4"/>
      <c r="T278" s="4"/>
      <c r="U278" s="4"/>
      <c r="V278" s="4"/>
      <c r="W278" s="4"/>
      <c r="X278" s="4"/>
    </row>
    <row r="279">
      <c r="A279" s="4"/>
      <c r="B279" s="46"/>
      <c r="C279" s="4"/>
      <c r="D279" s="4"/>
      <c r="E279" s="4"/>
      <c r="F279" s="4"/>
      <c r="G279" s="4"/>
      <c r="H279" s="4"/>
      <c r="I279" s="4"/>
      <c r="J279" s="4"/>
      <c r="K279" s="4"/>
      <c r="L279" s="4"/>
      <c r="M279" s="4"/>
      <c r="N279" s="4"/>
      <c r="O279" s="4"/>
      <c r="P279" s="4"/>
      <c r="Q279" s="4"/>
      <c r="R279" s="4"/>
      <c r="S279" s="4"/>
      <c r="T279" s="4"/>
      <c r="U279" s="4"/>
      <c r="V279" s="4"/>
      <c r="W279" s="4"/>
      <c r="X279" s="4"/>
    </row>
    <row r="280">
      <c r="A280" s="4"/>
      <c r="B280" s="46"/>
      <c r="C280" s="4"/>
      <c r="D280" s="4"/>
      <c r="E280" s="4"/>
      <c r="F280" s="4"/>
      <c r="G280" s="4"/>
      <c r="H280" s="4"/>
      <c r="I280" s="4"/>
      <c r="J280" s="4"/>
      <c r="K280" s="4"/>
      <c r="L280" s="4"/>
      <c r="M280" s="4"/>
      <c r="N280" s="4"/>
      <c r="O280" s="4"/>
      <c r="P280" s="4"/>
      <c r="Q280" s="4"/>
      <c r="R280" s="4"/>
      <c r="S280" s="4"/>
      <c r="T280" s="4"/>
      <c r="U280" s="4"/>
      <c r="V280" s="4"/>
      <c r="W280" s="4"/>
      <c r="X280" s="4"/>
    </row>
    <row r="281">
      <c r="A281" s="4"/>
      <c r="B281" s="46"/>
      <c r="C281" s="4"/>
      <c r="D281" s="4"/>
      <c r="E281" s="4"/>
      <c r="F281" s="4"/>
      <c r="G281" s="4"/>
      <c r="H281" s="4"/>
      <c r="I281" s="4"/>
      <c r="J281" s="4"/>
      <c r="K281" s="4"/>
      <c r="L281" s="4"/>
      <c r="M281" s="4"/>
      <c r="N281" s="4"/>
      <c r="O281" s="4"/>
      <c r="P281" s="4"/>
      <c r="Q281" s="4"/>
      <c r="R281" s="4"/>
      <c r="S281" s="4"/>
      <c r="T281" s="4"/>
      <c r="U281" s="4"/>
      <c r="V281" s="4"/>
      <c r="W281" s="4"/>
      <c r="X281" s="4"/>
    </row>
    <row r="282">
      <c r="A282" s="4"/>
      <c r="B282" s="46"/>
      <c r="C282" s="4"/>
      <c r="D282" s="4"/>
      <c r="E282" s="4"/>
      <c r="F282" s="4"/>
      <c r="G282" s="4"/>
      <c r="H282" s="4"/>
      <c r="I282" s="4"/>
      <c r="J282" s="4"/>
      <c r="K282" s="4"/>
      <c r="L282" s="4"/>
      <c r="M282" s="4"/>
      <c r="N282" s="4"/>
      <c r="O282" s="4"/>
      <c r="P282" s="4"/>
      <c r="Q282" s="4"/>
      <c r="R282" s="4"/>
      <c r="S282" s="4"/>
      <c r="T282" s="4"/>
      <c r="U282" s="4"/>
      <c r="V282" s="4"/>
      <c r="W282" s="4"/>
      <c r="X282" s="4"/>
    </row>
    <row r="283">
      <c r="A283" s="4"/>
      <c r="B283" s="46"/>
      <c r="C283" s="4"/>
      <c r="D283" s="4"/>
      <c r="E283" s="4"/>
      <c r="F283" s="4"/>
      <c r="G283" s="4"/>
      <c r="H283" s="4"/>
      <c r="I283" s="4"/>
      <c r="J283" s="4"/>
      <c r="K283" s="4"/>
      <c r="L283" s="4"/>
      <c r="M283" s="4"/>
      <c r="N283" s="4"/>
      <c r="O283" s="4"/>
      <c r="P283" s="4"/>
      <c r="Q283" s="4"/>
      <c r="R283" s="4"/>
      <c r="S283" s="4"/>
      <c r="T283" s="4"/>
      <c r="U283" s="4"/>
      <c r="V283" s="4"/>
      <c r="W283" s="4"/>
      <c r="X283" s="4"/>
    </row>
    <row r="284">
      <c r="A284" s="4"/>
      <c r="B284" s="46"/>
      <c r="C284" s="4"/>
      <c r="D284" s="4"/>
      <c r="E284" s="4"/>
      <c r="F284" s="4"/>
      <c r="G284" s="4"/>
      <c r="H284" s="4"/>
      <c r="I284" s="4"/>
      <c r="J284" s="4"/>
      <c r="K284" s="4"/>
      <c r="L284" s="4"/>
      <c r="M284" s="4"/>
      <c r="N284" s="4"/>
      <c r="O284" s="4"/>
      <c r="P284" s="4"/>
      <c r="Q284" s="4"/>
      <c r="R284" s="4"/>
      <c r="S284" s="4"/>
      <c r="T284" s="4"/>
      <c r="U284" s="4"/>
      <c r="V284" s="4"/>
      <c r="W284" s="4"/>
      <c r="X284" s="4"/>
    </row>
    <row r="285">
      <c r="A285" s="4"/>
      <c r="B285" s="46"/>
      <c r="C285" s="4"/>
      <c r="D285" s="4"/>
      <c r="E285" s="4"/>
      <c r="F285" s="4"/>
      <c r="G285" s="4"/>
      <c r="H285" s="4"/>
      <c r="I285" s="4"/>
      <c r="J285" s="4"/>
      <c r="K285" s="4"/>
      <c r="L285" s="4"/>
      <c r="M285" s="4"/>
      <c r="N285" s="4"/>
      <c r="O285" s="4"/>
      <c r="P285" s="4"/>
      <c r="Q285" s="4"/>
      <c r="R285" s="4"/>
      <c r="S285" s="4"/>
      <c r="T285" s="4"/>
      <c r="U285" s="4"/>
      <c r="V285" s="4"/>
      <c r="W285" s="4"/>
      <c r="X285" s="4"/>
    </row>
    <row r="286">
      <c r="A286" s="4"/>
      <c r="B286" s="46"/>
      <c r="C286" s="4"/>
      <c r="D286" s="4"/>
      <c r="E286" s="4"/>
      <c r="F286" s="4"/>
      <c r="G286" s="4"/>
      <c r="H286" s="4"/>
      <c r="I286" s="4"/>
      <c r="J286" s="4"/>
      <c r="K286" s="4"/>
      <c r="L286" s="4"/>
      <c r="M286" s="4"/>
      <c r="N286" s="4"/>
      <c r="O286" s="4"/>
      <c r="P286" s="4"/>
      <c r="Q286" s="4"/>
      <c r="R286" s="4"/>
      <c r="S286" s="4"/>
      <c r="T286" s="4"/>
      <c r="U286" s="4"/>
      <c r="V286" s="4"/>
      <c r="W286" s="4"/>
      <c r="X286" s="4"/>
    </row>
    <row r="287">
      <c r="A287" s="4"/>
      <c r="B287" s="46"/>
      <c r="C287" s="4"/>
      <c r="D287" s="4"/>
      <c r="E287" s="4"/>
      <c r="F287" s="4"/>
      <c r="G287" s="4"/>
      <c r="H287" s="4"/>
      <c r="I287" s="4"/>
      <c r="J287" s="4"/>
      <c r="K287" s="4"/>
      <c r="L287" s="4"/>
      <c r="M287" s="4"/>
      <c r="N287" s="4"/>
      <c r="O287" s="4"/>
      <c r="P287" s="4"/>
      <c r="Q287" s="4"/>
      <c r="R287" s="4"/>
      <c r="S287" s="4"/>
      <c r="T287" s="4"/>
      <c r="U287" s="4"/>
      <c r="V287" s="4"/>
      <c r="W287" s="4"/>
      <c r="X287" s="4"/>
    </row>
    <row r="288">
      <c r="A288" s="4"/>
      <c r="B288" s="46"/>
      <c r="C288" s="4"/>
      <c r="D288" s="4"/>
      <c r="E288" s="4"/>
      <c r="F288" s="4"/>
      <c r="G288" s="4"/>
      <c r="H288" s="4"/>
      <c r="I288" s="4"/>
      <c r="J288" s="4"/>
      <c r="K288" s="4"/>
      <c r="L288" s="4"/>
      <c r="M288" s="4"/>
      <c r="N288" s="4"/>
      <c r="O288" s="4"/>
      <c r="P288" s="4"/>
      <c r="Q288" s="4"/>
      <c r="R288" s="4"/>
      <c r="S288" s="4"/>
      <c r="T288" s="4"/>
      <c r="U288" s="4"/>
      <c r="V288" s="4"/>
      <c r="W288" s="4"/>
      <c r="X288" s="4"/>
    </row>
    <row r="289">
      <c r="A289" s="4"/>
      <c r="B289" s="46"/>
      <c r="C289" s="4"/>
      <c r="D289" s="4"/>
      <c r="E289" s="4"/>
      <c r="F289" s="4"/>
      <c r="G289" s="4"/>
      <c r="H289" s="4"/>
      <c r="I289" s="4"/>
      <c r="J289" s="4"/>
      <c r="K289" s="4"/>
      <c r="L289" s="4"/>
      <c r="M289" s="4"/>
      <c r="N289" s="4"/>
      <c r="O289" s="4"/>
      <c r="P289" s="4"/>
      <c r="Q289" s="4"/>
      <c r="R289" s="4"/>
      <c r="S289" s="4"/>
      <c r="T289" s="4"/>
      <c r="U289" s="4"/>
      <c r="V289" s="4"/>
      <c r="W289" s="4"/>
      <c r="X289" s="4"/>
    </row>
    <row r="290">
      <c r="A290" s="4"/>
      <c r="B290" s="46"/>
      <c r="C290" s="4"/>
      <c r="D290" s="4"/>
      <c r="E290" s="4"/>
      <c r="F290" s="4"/>
      <c r="G290" s="4"/>
      <c r="H290" s="4"/>
      <c r="I290" s="4"/>
      <c r="J290" s="4"/>
      <c r="K290" s="4"/>
      <c r="L290" s="4"/>
      <c r="M290" s="4"/>
      <c r="N290" s="4"/>
      <c r="O290" s="4"/>
      <c r="P290" s="4"/>
      <c r="Q290" s="4"/>
      <c r="R290" s="4"/>
      <c r="S290" s="4"/>
      <c r="T290" s="4"/>
      <c r="U290" s="4"/>
      <c r="V290" s="4"/>
      <c r="W290" s="4"/>
      <c r="X290" s="4"/>
    </row>
    <row r="291">
      <c r="A291" s="4"/>
      <c r="B291" s="46"/>
      <c r="C291" s="4"/>
      <c r="D291" s="4"/>
      <c r="E291" s="4"/>
      <c r="F291" s="4"/>
      <c r="G291" s="4"/>
      <c r="H291" s="4"/>
      <c r="I291" s="4"/>
      <c r="J291" s="4"/>
      <c r="K291" s="4"/>
      <c r="L291" s="4"/>
      <c r="M291" s="4"/>
      <c r="N291" s="4"/>
      <c r="O291" s="4"/>
      <c r="P291" s="4"/>
      <c r="Q291" s="4"/>
      <c r="R291" s="4"/>
      <c r="S291" s="4"/>
      <c r="T291" s="4"/>
      <c r="U291" s="4"/>
      <c r="V291" s="4"/>
      <c r="W291" s="4"/>
      <c r="X291" s="4"/>
    </row>
    <row r="292">
      <c r="A292" s="4"/>
      <c r="B292" s="46"/>
      <c r="C292" s="4"/>
      <c r="D292" s="4"/>
      <c r="E292" s="4"/>
      <c r="F292" s="4"/>
      <c r="G292" s="4"/>
      <c r="H292" s="4"/>
      <c r="I292" s="4"/>
      <c r="J292" s="4"/>
      <c r="K292" s="4"/>
      <c r="L292" s="4"/>
      <c r="M292" s="4"/>
      <c r="N292" s="4"/>
      <c r="O292" s="4"/>
      <c r="P292" s="4"/>
      <c r="Q292" s="4"/>
      <c r="R292" s="4"/>
      <c r="S292" s="4"/>
      <c r="T292" s="4"/>
      <c r="U292" s="4"/>
      <c r="V292" s="4"/>
      <c r="W292" s="4"/>
      <c r="X292" s="4"/>
    </row>
    <row r="293">
      <c r="A293" s="4"/>
      <c r="B293" s="46"/>
      <c r="C293" s="4"/>
      <c r="D293" s="4"/>
      <c r="E293" s="4"/>
      <c r="F293" s="4"/>
      <c r="G293" s="4"/>
      <c r="H293" s="4"/>
      <c r="I293" s="4"/>
      <c r="J293" s="4"/>
      <c r="K293" s="4"/>
      <c r="L293" s="4"/>
      <c r="M293" s="4"/>
      <c r="N293" s="4"/>
      <c r="O293" s="4"/>
      <c r="P293" s="4"/>
      <c r="Q293" s="4"/>
      <c r="R293" s="4"/>
      <c r="S293" s="4"/>
      <c r="T293" s="4"/>
      <c r="U293" s="4"/>
      <c r="V293" s="4"/>
      <c r="W293" s="4"/>
      <c r="X293" s="4"/>
    </row>
    <row r="294">
      <c r="A294" s="4"/>
      <c r="B294" s="46"/>
      <c r="C294" s="4"/>
      <c r="D294" s="4"/>
      <c r="E294" s="4"/>
      <c r="F294" s="4"/>
      <c r="G294" s="4"/>
      <c r="H294" s="4"/>
      <c r="I294" s="4"/>
      <c r="J294" s="4"/>
      <c r="K294" s="4"/>
      <c r="L294" s="4"/>
      <c r="M294" s="4"/>
      <c r="N294" s="4"/>
      <c r="O294" s="4"/>
      <c r="P294" s="4"/>
      <c r="Q294" s="4"/>
      <c r="R294" s="4"/>
      <c r="S294" s="4"/>
      <c r="T294" s="4"/>
      <c r="U294" s="4"/>
      <c r="V294" s="4"/>
      <c r="W294" s="4"/>
      <c r="X294" s="4"/>
    </row>
    <row r="295">
      <c r="A295" s="4"/>
      <c r="B295" s="46"/>
      <c r="C295" s="4"/>
      <c r="D295" s="4"/>
      <c r="E295" s="4"/>
      <c r="F295" s="4"/>
      <c r="G295" s="4"/>
      <c r="H295" s="4"/>
      <c r="I295" s="4"/>
      <c r="J295" s="4"/>
      <c r="K295" s="4"/>
      <c r="L295" s="4"/>
      <c r="M295" s="4"/>
      <c r="N295" s="4"/>
      <c r="O295" s="4"/>
      <c r="P295" s="4"/>
      <c r="Q295" s="4"/>
      <c r="R295" s="4"/>
      <c r="S295" s="4"/>
      <c r="T295" s="4"/>
      <c r="U295" s="4"/>
      <c r="V295" s="4"/>
      <c r="W295" s="4"/>
      <c r="X295" s="4"/>
    </row>
    <row r="296">
      <c r="A296" s="4"/>
      <c r="B296" s="46"/>
      <c r="C296" s="4"/>
      <c r="D296" s="4"/>
      <c r="E296" s="4"/>
      <c r="F296" s="4"/>
      <c r="G296" s="4"/>
      <c r="H296" s="4"/>
      <c r="I296" s="4"/>
      <c r="J296" s="4"/>
      <c r="K296" s="4"/>
      <c r="L296" s="4"/>
      <c r="M296" s="4"/>
      <c r="N296" s="4"/>
      <c r="O296" s="4"/>
      <c r="P296" s="4"/>
      <c r="Q296" s="4"/>
      <c r="R296" s="4"/>
      <c r="S296" s="4"/>
      <c r="T296" s="4"/>
      <c r="U296" s="4"/>
      <c r="V296" s="4"/>
      <c r="W296" s="4"/>
      <c r="X296" s="4"/>
    </row>
    <row r="297">
      <c r="A297" s="4"/>
      <c r="B297" s="46"/>
      <c r="C297" s="4"/>
      <c r="D297" s="4"/>
      <c r="E297" s="4"/>
      <c r="F297" s="4"/>
      <c r="G297" s="4"/>
      <c r="H297" s="4"/>
      <c r="I297" s="4"/>
      <c r="J297" s="4"/>
      <c r="K297" s="4"/>
      <c r="L297" s="4"/>
      <c r="M297" s="4"/>
      <c r="N297" s="4"/>
      <c r="O297" s="4"/>
      <c r="P297" s="4"/>
      <c r="Q297" s="4"/>
      <c r="R297" s="4"/>
      <c r="S297" s="4"/>
      <c r="T297" s="4"/>
      <c r="U297" s="4"/>
      <c r="V297" s="4"/>
      <c r="W297" s="4"/>
      <c r="X297" s="4"/>
    </row>
    <row r="298">
      <c r="A298" s="4"/>
      <c r="B298" s="46"/>
      <c r="C298" s="4"/>
      <c r="D298" s="4"/>
      <c r="E298" s="4"/>
      <c r="F298" s="4"/>
      <c r="G298" s="4"/>
      <c r="H298" s="4"/>
      <c r="I298" s="4"/>
      <c r="J298" s="4"/>
      <c r="K298" s="4"/>
      <c r="L298" s="4"/>
      <c r="M298" s="4"/>
      <c r="N298" s="4"/>
      <c r="O298" s="4"/>
      <c r="P298" s="4"/>
      <c r="Q298" s="4"/>
      <c r="R298" s="4"/>
      <c r="S298" s="4"/>
      <c r="T298" s="4"/>
      <c r="U298" s="4"/>
      <c r="V298" s="4"/>
      <c r="W298" s="4"/>
      <c r="X298" s="4"/>
    </row>
    <row r="299">
      <c r="A299" s="4"/>
      <c r="B299" s="46"/>
      <c r="C299" s="4"/>
      <c r="D299" s="4"/>
      <c r="E299" s="4"/>
      <c r="F299" s="4"/>
      <c r="G299" s="4"/>
      <c r="H299" s="4"/>
      <c r="I299" s="4"/>
      <c r="J299" s="4"/>
      <c r="K299" s="4"/>
      <c r="L299" s="4"/>
      <c r="M299" s="4"/>
      <c r="N299" s="4"/>
      <c r="O299" s="4"/>
      <c r="P299" s="4"/>
      <c r="Q299" s="4"/>
      <c r="R299" s="4"/>
      <c r="S299" s="4"/>
      <c r="T299" s="4"/>
      <c r="U299" s="4"/>
      <c r="V299" s="4"/>
      <c r="W299" s="4"/>
      <c r="X299" s="4"/>
    </row>
    <row r="300">
      <c r="A300" s="4"/>
      <c r="B300" s="46"/>
      <c r="C300" s="4"/>
      <c r="D300" s="4"/>
      <c r="E300" s="4"/>
      <c r="F300" s="4"/>
      <c r="G300" s="4"/>
      <c r="H300" s="4"/>
      <c r="I300" s="4"/>
      <c r="J300" s="4"/>
      <c r="K300" s="4"/>
      <c r="L300" s="4"/>
      <c r="M300" s="4"/>
      <c r="N300" s="4"/>
      <c r="O300" s="4"/>
      <c r="P300" s="4"/>
      <c r="Q300" s="4"/>
      <c r="R300" s="4"/>
      <c r="S300" s="4"/>
      <c r="T300" s="4"/>
      <c r="U300" s="4"/>
      <c r="V300" s="4"/>
      <c r="W300" s="4"/>
      <c r="X300" s="4"/>
    </row>
    <row r="301">
      <c r="A301" s="4"/>
      <c r="B301" s="46"/>
      <c r="C301" s="4"/>
      <c r="D301" s="4"/>
      <c r="E301" s="4"/>
      <c r="F301" s="4"/>
      <c r="G301" s="4"/>
      <c r="H301" s="4"/>
      <c r="I301" s="4"/>
      <c r="J301" s="4"/>
      <c r="K301" s="4"/>
      <c r="L301" s="4"/>
      <c r="M301" s="4"/>
      <c r="N301" s="4"/>
      <c r="O301" s="4"/>
      <c r="P301" s="4"/>
      <c r="Q301" s="4"/>
      <c r="R301" s="4"/>
      <c r="S301" s="4"/>
      <c r="T301" s="4"/>
      <c r="U301" s="4"/>
      <c r="V301" s="4"/>
      <c r="W301" s="4"/>
      <c r="X301" s="4"/>
    </row>
    <row r="302">
      <c r="A302" s="4"/>
      <c r="B302" s="46"/>
      <c r="C302" s="4"/>
      <c r="D302" s="4"/>
      <c r="E302" s="4"/>
      <c r="F302" s="4"/>
      <c r="G302" s="4"/>
      <c r="H302" s="4"/>
      <c r="I302" s="4"/>
      <c r="J302" s="4"/>
      <c r="K302" s="4"/>
      <c r="L302" s="4"/>
      <c r="M302" s="4"/>
      <c r="N302" s="4"/>
      <c r="O302" s="4"/>
      <c r="P302" s="4"/>
      <c r="Q302" s="4"/>
      <c r="R302" s="4"/>
      <c r="S302" s="4"/>
      <c r="T302" s="4"/>
      <c r="U302" s="4"/>
      <c r="V302" s="4"/>
      <c r="W302" s="4"/>
      <c r="X302" s="4"/>
    </row>
    <row r="303">
      <c r="A303" s="4"/>
      <c r="B303" s="46"/>
      <c r="C303" s="4"/>
      <c r="D303" s="4"/>
      <c r="E303" s="4"/>
      <c r="F303" s="4"/>
      <c r="G303" s="4"/>
      <c r="H303" s="4"/>
      <c r="I303" s="4"/>
      <c r="J303" s="4"/>
      <c r="K303" s="4"/>
      <c r="L303" s="4"/>
      <c r="M303" s="4"/>
      <c r="N303" s="4"/>
      <c r="O303" s="4"/>
      <c r="P303" s="4"/>
      <c r="Q303" s="4"/>
      <c r="R303" s="4"/>
      <c r="S303" s="4"/>
      <c r="T303" s="4"/>
      <c r="U303" s="4"/>
      <c r="V303" s="4"/>
      <c r="W303" s="4"/>
      <c r="X303" s="4"/>
    </row>
    <row r="304">
      <c r="A304" s="4"/>
      <c r="B304" s="46"/>
      <c r="C304" s="4"/>
      <c r="D304" s="4"/>
      <c r="E304" s="4"/>
      <c r="F304" s="4"/>
      <c r="G304" s="4"/>
      <c r="H304" s="4"/>
      <c r="I304" s="4"/>
      <c r="J304" s="4"/>
      <c r="K304" s="4"/>
      <c r="L304" s="4"/>
      <c r="M304" s="4"/>
      <c r="N304" s="4"/>
      <c r="O304" s="4"/>
      <c r="P304" s="4"/>
      <c r="Q304" s="4"/>
      <c r="R304" s="4"/>
      <c r="S304" s="4"/>
      <c r="T304" s="4"/>
      <c r="U304" s="4"/>
      <c r="V304" s="4"/>
      <c r="W304" s="4"/>
      <c r="X304" s="4"/>
    </row>
    <row r="305">
      <c r="A305" s="4"/>
      <c r="B305" s="46"/>
      <c r="C305" s="4"/>
      <c r="D305" s="4"/>
      <c r="E305" s="4"/>
      <c r="F305" s="4"/>
      <c r="G305" s="4"/>
      <c r="H305" s="4"/>
      <c r="I305" s="4"/>
      <c r="J305" s="4"/>
      <c r="K305" s="4"/>
      <c r="L305" s="4"/>
      <c r="M305" s="4"/>
      <c r="N305" s="4"/>
      <c r="O305" s="4"/>
      <c r="P305" s="4"/>
      <c r="Q305" s="4"/>
      <c r="R305" s="4"/>
      <c r="S305" s="4"/>
      <c r="T305" s="4"/>
      <c r="U305" s="4"/>
      <c r="V305" s="4"/>
      <c r="W305" s="4"/>
      <c r="X305" s="4"/>
    </row>
    <row r="306">
      <c r="A306" s="4"/>
      <c r="B306" s="46"/>
      <c r="C306" s="4"/>
      <c r="D306" s="4"/>
      <c r="E306" s="4"/>
      <c r="F306" s="4"/>
      <c r="G306" s="4"/>
      <c r="H306" s="4"/>
      <c r="I306" s="4"/>
      <c r="J306" s="4"/>
      <c r="K306" s="4"/>
      <c r="L306" s="4"/>
      <c r="M306" s="4"/>
      <c r="N306" s="4"/>
      <c r="O306" s="4"/>
      <c r="P306" s="4"/>
      <c r="Q306" s="4"/>
      <c r="R306" s="4"/>
      <c r="S306" s="4"/>
      <c r="T306" s="4"/>
      <c r="U306" s="4"/>
      <c r="V306" s="4"/>
      <c r="W306" s="4"/>
      <c r="X306" s="4"/>
    </row>
    <row r="307">
      <c r="A307" s="4"/>
      <c r="B307" s="46"/>
      <c r="C307" s="4"/>
      <c r="D307" s="4"/>
      <c r="E307" s="4"/>
      <c r="F307" s="4"/>
      <c r="G307" s="4"/>
      <c r="H307" s="4"/>
      <c r="I307" s="4"/>
      <c r="J307" s="4"/>
      <c r="K307" s="4"/>
      <c r="L307" s="4"/>
      <c r="M307" s="4"/>
      <c r="N307" s="4"/>
      <c r="O307" s="4"/>
      <c r="P307" s="4"/>
      <c r="Q307" s="4"/>
      <c r="R307" s="4"/>
      <c r="S307" s="4"/>
      <c r="T307" s="4"/>
      <c r="U307" s="4"/>
      <c r="V307" s="4"/>
      <c r="W307" s="4"/>
      <c r="X307" s="4"/>
    </row>
    <row r="308">
      <c r="A308" s="4"/>
      <c r="B308" s="46"/>
      <c r="C308" s="4"/>
      <c r="D308" s="4"/>
      <c r="E308" s="4"/>
      <c r="F308" s="4"/>
      <c r="G308" s="4"/>
      <c r="H308" s="4"/>
      <c r="I308" s="4"/>
      <c r="J308" s="4"/>
      <c r="K308" s="4"/>
      <c r="L308" s="4"/>
      <c r="M308" s="4"/>
      <c r="N308" s="4"/>
      <c r="O308" s="4"/>
      <c r="P308" s="4"/>
      <c r="Q308" s="4"/>
      <c r="R308" s="4"/>
      <c r="S308" s="4"/>
      <c r="T308" s="4"/>
      <c r="U308" s="4"/>
      <c r="V308" s="4"/>
      <c r="W308" s="4"/>
      <c r="X308" s="4"/>
    </row>
    <row r="309">
      <c r="A309" s="4"/>
      <c r="B309" s="46"/>
      <c r="C309" s="4"/>
      <c r="D309" s="4"/>
      <c r="E309" s="4"/>
      <c r="F309" s="4"/>
      <c r="G309" s="4"/>
      <c r="H309" s="4"/>
      <c r="I309" s="4"/>
      <c r="J309" s="4"/>
      <c r="K309" s="4"/>
      <c r="L309" s="4"/>
      <c r="M309" s="4"/>
      <c r="N309" s="4"/>
      <c r="O309" s="4"/>
      <c r="P309" s="4"/>
      <c r="Q309" s="4"/>
      <c r="R309" s="4"/>
      <c r="S309" s="4"/>
      <c r="T309" s="4"/>
      <c r="U309" s="4"/>
      <c r="V309" s="4"/>
      <c r="W309" s="4"/>
      <c r="X309" s="4"/>
    </row>
    <row r="310">
      <c r="A310" s="4"/>
      <c r="B310" s="46"/>
      <c r="C310" s="4"/>
      <c r="D310" s="4"/>
      <c r="E310" s="4"/>
      <c r="F310" s="4"/>
      <c r="G310" s="4"/>
      <c r="H310" s="4"/>
      <c r="I310" s="4"/>
      <c r="J310" s="4"/>
      <c r="K310" s="4"/>
      <c r="L310" s="4"/>
      <c r="M310" s="4"/>
      <c r="N310" s="4"/>
      <c r="O310" s="4"/>
      <c r="P310" s="4"/>
      <c r="Q310" s="4"/>
      <c r="R310" s="4"/>
      <c r="S310" s="4"/>
      <c r="T310" s="4"/>
      <c r="U310" s="4"/>
      <c r="V310" s="4"/>
      <c r="W310" s="4"/>
      <c r="X310" s="4"/>
    </row>
    <row r="311">
      <c r="A311" s="4"/>
      <c r="B311" s="46"/>
      <c r="C311" s="4"/>
      <c r="D311" s="4"/>
      <c r="E311" s="4"/>
      <c r="F311" s="4"/>
      <c r="G311" s="4"/>
      <c r="H311" s="4"/>
      <c r="I311" s="4"/>
      <c r="J311" s="4"/>
      <c r="K311" s="4"/>
      <c r="L311" s="4"/>
      <c r="M311" s="4"/>
      <c r="N311" s="4"/>
      <c r="O311" s="4"/>
      <c r="P311" s="4"/>
      <c r="Q311" s="4"/>
      <c r="R311" s="4"/>
      <c r="S311" s="4"/>
      <c r="T311" s="4"/>
      <c r="U311" s="4"/>
      <c r="V311" s="4"/>
      <c r="W311" s="4"/>
      <c r="X311" s="4"/>
    </row>
    <row r="312">
      <c r="A312" s="4"/>
      <c r="B312" s="46"/>
      <c r="C312" s="4"/>
      <c r="D312" s="4"/>
      <c r="E312" s="4"/>
      <c r="F312" s="4"/>
      <c r="G312" s="4"/>
      <c r="H312" s="4"/>
      <c r="I312" s="4"/>
      <c r="J312" s="4"/>
      <c r="K312" s="4"/>
      <c r="L312" s="4"/>
      <c r="M312" s="4"/>
      <c r="N312" s="4"/>
      <c r="O312" s="4"/>
      <c r="P312" s="4"/>
      <c r="Q312" s="4"/>
      <c r="R312" s="4"/>
      <c r="S312" s="4"/>
      <c r="T312" s="4"/>
      <c r="U312" s="4"/>
      <c r="V312" s="4"/>
      <c r="W312" s="4"/>
      <c r="X312" s="4"/>
    </row>
    <row r="313">
      <c r="A313" s="4"/>
      <c r="B313" s="46"/>
      <c r="C313" s="4"/>
      <c r="D313" s="4"/>
      <c r="E313" s="4"/>
      <c r="F313" s="4"/>
      <c r="G313" s="4"/>
      <c r="H313" s="4"/>
      <c r="I313" s="4"/>
      <c r="J313" s="4"/>
      <c r="K313" s="4"/>
      <c r="L313" s="4"/>
      <c r="M313" s="4"/>
      <c r="N313" s="4"/>
      <c r="O313" s="4"/>
      <c r="P313" s="4"/>
      <c r="Q313" s="4"/>
      <c r="R313" s="4"/>
      <c r="S313" s="4"/>
      <c r="T313" s="4"/>
      <c r="U313" s="4"/>
      <c r="V313" s="4"/>
      <c r="W313" s="4"/>
      <c r="X313" s="4"/>
    </row>
    <row r="314">
      <c r="A314" s="4"/>
      <c r="B314" s="46"/>
      <c r="C314" s="4"/>
      <c r="D314" s="4"/>
      <c r="E314" s="4"/>
      <c r="F314" s="4"/>
      <c r="G314" s="4"/>
      <c r="H314" s="4"/>
      <c r="I314" s="4"/>
      <c r="J314" s="4"/>
      <c r="K314" s="4"/>
      <c r="L314" s="4"/>
      <c r="M314" s="4"/>
      <c r="N314" s="4"/>
      <c r="O314" s="4"/>
      <c r="P314" s="4"/>
      <c r="Q314" s="4"/>
      <c r="R314" s="4"/>
      <c r="S314" s="4"/>
      <c r="T314" s="4"/>
      <c r="U314" s="4"/>
      <c r="V314" s="4"/>
      <c r="W314" s="4"/>
      <c r="X314" s="4"/>
    </row>
    <row r="315">
      <c r="A315" s="4"/>
      <c r="B315" s="46"/>
      <c r="C315" s="4"/>
      <c r="D315" s="4"/>
      <c r="E315" s="4"/>
      <c r="F315" s="4"/>
      <c r="G315" s="4"/>
      <c r="H315" s="4"/>
      <c r="I315" s="4"/>
      <c r="J315" s="4"/>
      <c r="K315" s="4"/>
      <c r="L315" s="4"/>
      <c r="M315" s="4"/>
      <c r="N315" s="4"/>
      <c r="O315" s="4"/>
      <c r="P315" s="4"/>
      <c r="Q315" s="4"/>
      <c r="R315" s="4"/>
      <c r="S315" s="4"/>
      <c r="T315" s="4"/>
      <c r="U315" s="4"/>
      <c r="V315" s="4"/>
      <c r="W315" s="4"/>
      <c r="X315" s="4"/>
    </row>
    <row r="316">
      <c r="A316" s="4"/>
      <c r="B316" s="46"/>
      <c r="C316" s="4"/>
      <c r="D316" s="4"/>
      <c r="E316" s="4"/>
      <c r="F316" s="4"/>
      <c r="G316" s="4"/>
      <c r="H316" s="4"/>
      <c r="I316" s="4"/>
      <c r="J316" s="4"/>
      <c r="K316" s="4"/>
      <c r="L316" s="4"/>
      <c r="M316" s="4"/>
      <c r="N316" s="4"/>
      <c r="O316" s="4"/>
      <c r="P316" s="4"/>
      <c r="Q316" s="4"/>
      <c r="R316" s="4"/>
      <c r="S316" s="4"/>
      <c r="T316" s="4"/>
      <c r="U316" s="4"/>
      <c r="V316" s="4"/>
      <c r="W316" s="4"/>
      <c r="X316" s="4"/>
    </row>
    <row r="317">
      <c r="A317" s="4"/>
      <c r="B317" s="46"/>
      <c r="C317" s="4"/>
      <c r="D317" s="4"/>
      <c r="E317" s="4"/>
      <c r="F317" s="4"/>
      <c r="G317" s="4"/>
      <c r="H317" s="4"/>
      <c r="I317" s="4"/>
      <c r="J317" s="4"/>
      <c r="K317" s="4"/>
      <c r="L317" s="4"/>
      <c r="M317" s="4"/>
      <c r="N317" s="4"/>
      <c r="O317" s="4"/>
      <c r="P317" s="4"/>
      <c r="Q317" s="4"/>
      <c r="R317" s="4"/>
      <c r="S317" s="4"/>
      <c r="T317" s="4"/>
      <c r="U317" s="4"/>
      <c r="V317" s="4"/>
      <c r="W317" s="4"/>
      <c r="X317" s="4"/>
    </row>
    <row r="318">
      <c r="A318" s="4"/>
      <c r="B318" s="46"/>
      <c r="C318" s="4"/>
      <c r="D318" s="4"/>
      <c r="E318" s="4"/>
      <c r="F318" s="4"/>
      <c r="G318" s="4"/>
      <c r="H318" s="4"/>
      <c r="I318" s="4"/>
      <c r="J318" s="4"/>
      <c r="K318" s="4"/>
      <c r="L318" s="4"/>
      <c r="M318" s="4"/>
      <c r="N318" s="4"/>
      <c r="O318" s="4"/>
      <c r="P318" s="4"/>
      <c r="Q318" s="4"/>
      <c r="R318" s="4"/>
      <c r="S318" s="4"/>
      <c r="T318" s="4"/>
      <c r="U318" s="4"/>
      <c r="V318" s="4"/>
      <c r="W318" s="4"/>
      <c r="X318" s="4"/>
    </row>
    <row r="319">
      <c r="A319" s="4"/>
      <c r="B319" s="46"/>
      <c r="C319" s="4"/>
      <c r="D319" s="4"/>
      <c r="E319" s="4"/>
      <c r="F319" s="4"/>
      <c r="G319" s="4"/>
      <c r="H319" s="4"/>
      <c r="I319" s="4"/>
      <c r="J319" s="4"/>
      <c r="K319" s="4"/>
      <c r="L319" s="4"/>
      <c r="M319" s="4"/>
      <c r="N319" s="4"/>
      <c r="O319" s="4"/>
      <c r="P319" s="4"/>
      <c r="Q319" s="4"/>
      <c r="R319" s="4"/>
      <c r="S319" s="4"/>
      <c r="T319" s="4"/>
      <c r="U319" s="4"/>
      <c r="V319" s="4"/>
      <c r="W319" s="4"/>
      <c r="X319" s="4"/>
    </row>
    <row r="320">
      <c r="A320" s="4"/>
      <c r="B320" s="46"/>
      <c r="C320" s="4"/>
      <c r="D320" s="4"/>
      <c r="E320" s="4"/>
      <c r="F320" s="4"/>
      <c r="G320" s="4"/>
      <c r="H320" s="4"/>
      <c r="I320" s="4"/>
      <c r="J320" s="4"/>
      <c r="K320" s="4"/>
      <c r="L320" s="4"/>
      <c r="M320" s="4"/>
      <c r="N320" s="4"/>
      <c r="O320" s="4"/>
      <c r="P320" s="4"/>
      <c r="Q320" s="4"/>
      <c r="R320" s="4"/>
      <c r="S320" s="4"/>
      <c r="T320" s="4"/>
      <c r="U320" s="4"/>
      <c r="V320" s="4"/>
      <c r="W320" s="4"/>
      <c r="X320" s="4"/>
    </row>
    <row r="321">
      <c r="A321" s="4"/>
      <c r="B321" s="46"/>
      <c r="C321" s="4"/>
      <c r="D321" s="4"/>
      <c r="E321" s="4"/>
      <c r="F321" s="4"/>
      <c r="G321" s="4"/>
      <c r="H321" s="4"/>
      <c r="I321" s="4"/>
      <c r="J321" s="4"/>
      <c r="K321" s="4"/>
      <c r="L321" s="4"/>
      <c r="M321" s="4"/>
      <c r="N321" s="4"/>
      <c r="O321" s="4"/>
      <c r="P321" s="4"/>
      <c r="Q321" s="4"/>
      <c r="R321" s="4"/>
      <c r="S321" s="4"/>
      <c r="T321" s="4"/>
      <c r="U321" s="4"/>
      <c r="V321" s="4"/>
      <c r="W321" s="4"/>
      <c r="X321" s="4"/>
    </row>
    <row r="322">
      <c r="A322" s="4"/>
      <c r="B322" s="46"/>
      <c r="C322" s="4"/>
      <c r="D322" s="4"/>
      <c r="E322" s="4"/>
      <c r="F322" s="4"/>
      <c r="G322" s="4"/>
      <c r="H322" s="4"/>
      <c r="I322" s="4"/>
      <c r="J322" s="4"/>
      <c r="K322" s="4"/>
      <c r="L322" s="4"/>
      <c r="M322" s="4"/>
      <c r="N322" s="4"/>
      <c r="O322" s="4"/>
      <c r="P322" s="4"/>
      <c r="Q322" s="4"/>
      <c r="R322" s="4"/>
      <c r="S322" s="4"/>
      <c r="T322" s="4"/>
      <c r="U322" s="4"/>
      <c r="V322" s="4"/>
      <c r="W322" s="4"/>
      <c r="X322" s="4"/>
    </row>
    <row r="323">
      <c r="A323" s="4"/>
      <c r="B323" s="46"/>
      <c r="C323" s="4"/>
      <c r="D323" s="4"/>
      <c r="E323" s="4"/>
      <c r="F323" s="4"/>
      <c r="G323" s="4"/>
      <c r="H323" s="4"/>
      <c r="I323" s="4"/>
      <c r="J323" s="4"/>
      <c r="K323" s="4"/>
      <c r="L323" s="4"/>
      <c r="M323" s="4"/>
      <c r="N323" s="4"/>
      <c r="O323" s="4"/>
      <c r="P323" s="4"/>
      <c r="Q323" s="4"/>
      <c r="R323" s="4"/>
      <c r="S323" s="4"/>
      <c r="T323" s="4"/>
      <c r="U323" s="4"/>
      <c r="V323" s="4"/>
      <c r="W323" s="4"/>
      <c r="X323" s="4"/>
    </row>
    <row r="324">
      <c r="A324" s="4"/>
      <c r="B324" s="46"/>
      <c r="C324" s="4"/>
      <c r="D324" s="4"/>
      <c r="E324" s="4"/>
      <c r="F324" s="4"/>
      <c r="G324" s="4"/>
      <c r="H324" s="4"/>
      <c r="I324" s="4"/>
      <c r="J324" s="4"/>
      <c r="K324" s="4"/>
      <c r="L324" s="4"/>
      <c r="M324" s="4"/>
      <c r="N324" s="4"/>
      <c r="O324" s="4"/>
      <c r="P324" s="4"/>
      <c r="Q324" s="4"/>
      <c r="R324" s="4"/>
      <c r="S324" s="4"/>
      <c r="T324" s="4"/>
      <c r="U324" s="4"/>
      <c r="V324" s="4"/>
      <c r="W324" s="4"/>
      <c r="X324" s="4"/>
    </row>
    <row r="325">
      <c r="A325" s="4"/>
      <c r="B325" s="46"/>
      <c r="C325" s="4"/>
      <c r="D325" s="4"/>
      <c r="E325" s="4"/>
      <c r="F325" s="4"/>
      <c r="G325" s="4"/>
      <c r="H325" s="4"/>
      <c r="I325" s="4"/>
      <c r="J325" s="4"/>
      <c r="K325" s="4"/>
      <c r="L325" s="4"/>
      <c r="M325" s="4"/>
      <c r="N325" s="4"/>
      <c r="O325" s="4"/>
      <c r="P325" s="4"/>
      <c r="Q325" s="4"/>
      <c r="R325" s="4"/>
      <c r="S325" s="4"/>
      <c r="T325" s="4"/>
      <c r="U325" s="4"/>
      <c r="V325" s="4"/>
      <c r="W325" s="4"/>
      <c r="X325" s="4"/>
    </row>
    <row r="326">
      <c r="A326" s="4"/>
      <c r="B326" s="46"/>
      <c r="C326" s="4"/>
      <c r="D326" s="4"/>
      <c r="E326" s="4"/>
      <c r="F326" s="4"/>
      <c r="G326" s="4"/>
      <c r="H326" s="4"/>
      <c r="I326" s="4"/>
      <c r="J326" s="4"/>
      <c r="K326" s="4"/>
      <c r="L326" s="4"/>
      <c r="M326" s="4"/>
      <c r="N326" s="4"/>
      <c r="O326" s="4"/>
      <c r="P326" s="4"/>
      <c r="Q326" s="4"/>
      <c r="R326" s="4"/>
      <c r="S326" s="4"/>
      <c r="T326" s="4"/>
      <c r="U326" s="4"/>
      <c r="V326" s="4"/>
      <c r="W326" s="4"/>
      <c r="X326" s="4"/>
    </row>
    <row r="327">
      <c r="A327" s="4"/>
      <c r="B327" s="46"/>
      <c r="C327" s="4"/>
      <c r="D327" s="4"/>
      <c r="E327" s="4"/>
      <c r="F327" s="4"/>
      <c r="G327" s="4"/>
      <c r="H327" s="4"/>
      <c r="I327" s="4"/>
      <c r="J327" s="4"/>
      <c r="K327" s="4"/>
      <c r="L327" s="4"/>
      <c r="M327" s="4"/>
      <c r="N327" s="4"/>
      <c r="O327" s="4"/>
      <c r="P327" s="4"/>
      <c r="Q327" s="4"/>
      <c r="R327" s="4"/>
      <c r="S327" s="4"/>
      <c r="T327" s="4"/>
      <c r="U327" s="4"/>
      <c r="V327" s="4"/>
      <c r="W327" s="4"/>
      <c r="X327" s="4"/>
    </row>
    <row r="328">
      <c r="A328" s="4"/>
      <c r="B328" s="46"/>
      <c r="C328" s="4"/>
      <c r="D328" s="4"/>
      <c r="E328" s="4"/>
      <c r="F328" s="4"/>
      <c r="G328" s="4"/>
      <c r="H328" s="4"/>
      <c r="I328" s="4"/>
      <c r="J328" s="4"/>
      <c r="K328" s="4"/>
      <c r="L328" s="4"/>
      <c r="M328" s="4"/>
      <c r="N328" s="4"/>
      <c r="O328" s="4"/>
      <c r="P328" s="4"/>
      <c r="Q328" s="4"/>
      <c r="R328" s="4"/>
      <c r="S328" s="4"/>
      <c r="T328" s="4"/>
      <c r="U328" s="4"/>
      <c r="V328" s="4"/>
      <c r="W328" s="4"/>
      <c r="X328" s="4"/>
    </row>
    <row r="329">
      <c r="A329" s="4"/>
      <c r="B329" s="46"/>
      <c r="C329" s="4"/>
      <c r="D329" s="4"/>
      <c r="E329" s="4"/>
      <c r="F329" s="4"/>
      <c r="G329" s="4"/>
      <c r="H329" s="4"/>
      <c r="I329" s="4"/>
      <c r="J329" s="4"/>
      <c r="K329" s="4"/>
      <c r="L329" s="4"/>
      <c r="M329" s="4"/>
      <c r="N329" s="4"/>
      <c r="O329" s="4"/>
      <c r="P329" s="4"/>
      <c r="Q329" s="4"/>
      <c r="R329" s="4"/>
      <c r="S329" s="4"/>
      <c r="T329" s="4"/>
      <c r="U329" s="4"/>
      <c r="V329" s="4"/>
      <c r="W329" s="4"/>
      <c r="X329" s="4"/>
    </row>
    <row r="330">
      <c r="A330" s="4"/>
      <c r="B330" s="46"/>
      <c r="C330" s="4"/>
      <c r="D330" s="4"/>
      <c r="E330" s="4"/>
      <c r="F330" s="4"/>
      <c r="G330" s="4"/>
      <c r="H330" s="4"/>
      <c r="I330" s="4"/>
      <c r="J330" s="4"/>
      <c r="K330" s="4"/>
      <c r="L330" s="4"/>
      <c r="M330" s="4"/>
      <c r="N330" s="4"/>
      <c r="O330" s="4"/>
      <c r="P330" s="4"/>
      <c r="Q330" s="4"/>
      <c r="R330" s="4"/>
      <c r="S330" s="4"/>
      <c r="T330" s="4"/>
      <c r="U330" s="4"/>
      <c r="V330" s="4"/>
      <c r="W330" s="4"/>
      <c r="X330" s="4"/>
    </row>
    <row r="331">
      <c r="A331" s="4"/>
      <c r="B331" s="46"/>
      <c r="C331" s="4"/>
      <c r="D331" s="4"/>
      <c r="E331" s="4"/>
      <c r="F331" s="4"/>
      <c r="G331" s="4"/>
      <c r="H331" s="4"/>
      <c r="I331" s="4"/>
      <c r="J331" s="4"/>
      <c r="K331" s="4"/>
      <c r="L331" s="4"/>
      <c r="M331" s="4"/>
      <c r="N331" s="4"/>
      <c r="O331" s="4"/>
      <c r="P331" s="4"/>
      <c r="Q331" s="4"/>
      <c r="R331" s="4"/>
      <c r="S331" s="4"/>
      <c r="T331" s="4"/>
      <c r="U331" s="4"/>
      <c r="V331" s="4"/>
      <c r="W331" s="4"/>
      <c r="X331" s="4"/>
    </row>
    <row r="332">
      <c r="A332" s="4"/>
      <c r="B332" s="46"/>
      <c r="C332" s="4"/>
      <c r="D332" s="4"/>
      <c r="E332" s="4"/>
      <c r="F332" s="4"/>
      <c r="G332" s="4"/>
      <c r="H332" s="4"/>
      <c r="I332" s="4"/>
      <c r="J332" s="4"/>
      <c r="K332" s="4"/>
      <c r="L332" s="4"/>
      <c r="M332" s="4"/>
      <c r="N332" s="4"/>
      <c r="O332" s="4"/>
      <c r="P332" s="4"/>
      <c r="Q332" s="4"/>
      <c r="R332" s="4"/>
      <c r="S332" s="4"/>
      <c r="T332" s="4"/>
      <c r="U332" s="4"/>
      <c r="V332" s="4"/>
      <c r="W332" s="4"/>
      <c r="X332" s="4"/>
    </row>
    <row r="333">
      <c r="A333" s="4"/>
      <c r="B333" s="46"/>
      <c r="C333" s="4"/>
      <c r="D333" s="4"/>
      <c r="E333" s="4"/>
      <c r="F333" s="4"/>
      <c r="G333" s="4"/>
      <c r="H333" s="4"/>
      <c r="I333" s="4"/>
      <c r="J333" s="4"/>
      <c r="K333" s="4"/>
      <c r="L333" s="4"/>
      <c r="M333" s="4"/>
      <c r="N333" s="4"/>
      <c r="O333" s="4"/>
      <c r="P333" s="4"/>
      <c r="Q333" s="4"/>
      <c r="R333" s="4"/>
      <c r="S333" s="4"/>
      <c r="T333" s="4"/>
      <c r="U333" s="4"/>
      <c r="V333" s="4"/>
      <c r="W333" s="4"/>
      <c r="X333" s="4"/>
    </row>
    <row r="334">
      <c r="A334" s="4"/>
      <c r="B334" s="46"/>
      <c r="C334" s="4"/>
      <c r="D334" s="4"/>
      <c r="E334" s="4"/>
      <c r="F334" s="4"/>
      <c r="G334" s="4"/>
      <c r="H334" s="4"/>
      <c r="I334" s="4"/>
      <c r="J334" s="4"/>
      <c r="K334" s="4"/>
      <c r="L334" s="4"/>
      <c r="M334" s="4"/>
      <c r="N334" s="4"/>
      <c r="O334" s="4"/>
      <c r="P334" s="4"/>
      <c r="Q334" s="4"/>
      <c r="R334" s="4"/>
      <c r="S334" s="4"/>
      <c r="T334" s="4"/>
      <c r="U334" s="4"/>
      <c r="V334" s="4"/>
      <c r="W334" s="4"/>
      <c r="X334" s="4"/>
    </row>
    <row r="335">
      <c r="A335" s="4"/>
      <c r="B335" s="46"/>
      <c r="C335" s="4"/>
      <c r="D335" s="4"/>
      <c r="E335" s="4"/>
      <c r="F335" s="4"/>
      <c r="G335" s="4"/>
      <c r="H335" s="4"/>
      <c r="I335" s="4"/>
      <c r="J335" s="4"/>
      <c r="K335" s="4"/>
      <c r="L335" s="4"/>
      <c r="M335" s="4"/>
      <c r="N335" s="4"/>
      <c r="O335" s="4"/>
      <c r="P335" s="4"/>
      <c r="Q335" s="4"/>
      <c r="R335" s="4"/>
      <c r="S335" s="4"/>
      <c r="T335" s="4"/>
      <c r="U335" s="4"/>
      <c r="V335" s="4"/>
      <c r="W335" s="4"/>
      <c r="X335" s="4"/>
    </row>
    <row r="336">
      <c r="A336" s="4"/>
      <c r="B336" s="46"/>
      <c r="C336" s="4"/>
      <c r="D336" s="4"/>
      <c r="E336" s="4"/>
      <c r="F336" s="4"/>
      <c r="G336" s="4"/>
      <c r="H336" s="4"/>
      <c r="I336" s="4"/>
      <c r="J336" s="4"/>
      <c r="K336" s="4"/>
      <c r="L336" s="4"/>
      <c r="M336" s="4"/>
      <c r="N336" s="4"/>
      <c r="O336" s="4"/>
      <c r="P336" s="4"/>
      <c r="Q336" s="4"/>
      <c r="R336" s="4"/>
      <c r="S336" s="4"/>
      <c r="T336" s="4"/>
      <c r="U336" s="4"/>
      <c r="V336" s="4"/>
      <c r="W336" s="4"/>
      <c r="X336" s="4"/>
    </row>
    <row r="337">
      <c r="A337" s="4"/>
      <c r="B337" s="46"/>
      <c r="C337" s="4"/>
      <c r="D337" s="4"/>
      <c r="E337" s="4"/>
      <c r="F337" s="4"/>
      <c r="G337" s="4"/>
      <c r="H337" s="4"/>
      <c r="I337" s="4"/>
      <c r="J337" s="4"/>
      <c r="K337" s="4"/>
      <c r="L337" s="4"/>
      <c r="M337" s="4"/>
      <c r="N337" s="4"/>
      <c r="O337" s="4"/>
      <c r="P337" s="4"/>
      <c r="Q337" s="4"/>
      <c r="R337" s="4"/>
      <c r="S337" s="4"/>
      <c r="T337" s="4"/>
      <c r="U337" s="4"/>
      <c r="V337" s="4"/>
      <c r="W337" s="4"/>
      <c r="X337" s="4"/>
    </row>
    <row r="338">
      <c r="A338" s="4"/>
      <c r="B338" s="46"/>
      <c r="C338" s="4"/>
      <c r="D338" s="4"/>
      <c r="E338" s="4"/>
      <c r="F338" s="4"/>
      <c r="G338" s="4"/>
      <c r="H338" s="4"/>
      <c r="I338" s="4"/>
      <c r="J338" s="4"/>
      <c r="K338" s="4"/>
      <c r="L338" s="4"/>
      <c r="M338" s="4"/>
      <c r="N338" s="4"/>
      <c r="O338" s="4"/>
      <c r="P338" s="4"/>
      <c r="Q338" s="4"/>
      <c r="R338" s="4"/>
      <c r="S338" s="4"/>
      <c r="T338" s="4"/>
      <c r="U338" s="4"/>
      <c r="V338" s="4"/>
      <c r="W338" s="4"/>
      <c r="X338" s="4"/>
    </row>
    <row r="339">
      <c r="A339" s="4"/>
      <c r="B339" s="46"/>
      <c r="C339" s="4"/>
      <c r="D339" s="4"/>
      <c r="E339" s="4"/>
      <c r="F339" s="4"/>
      <c r="G339" s="4"/>
      <c r="H339" s="4"/>
      <c r="I339" s="4"/>
      <c r="J339" s="4"/>
      <c r="K339" s="4"/>
      <c r="L339" s="4"/>
      <c r="M339" s="4"/>
      <c r="N339" s="4"/>
      <c r="O339" s="4"/>
      <c r="P339" s="4"/>
      <c r="Q339" s="4"/>
      <c r="R339" s="4"/>
      <c r="S339" s="4"/>
      <c r="T339" s="4"/>
      <c r="U339" s="4"/>
      <c r="V339" s="4"/>
      <c r="W339" s="4"/>
      <c r="X339" s="4"/>
    </row>
    <row r="340">
      <c r="A340" s="4"/>
      <c r="B340" s="46"/>
      <c r="C340" s="4"/>
      <c r="D340" s="4"/>
      <c r="E340" s="4"/>
      <c r="F340" s="4"/>
      <c r="G340" s="4"/>
      <c r="H340" s="4"/>
      <c r="I340" s="4"/>
      <c r="J340" s="4"/>
      <c r="K340" s="4"/>
      <c r="L340" s="4"/>
      <c r="M340" s="4"/>
      <c r="N340" s="4"/>
      <c r="O340" s="4"/>
      <c r="P340" s="4"/>
      <c r="Q340" s="4"/>
      <c r="R340" s="4"/>
      <c r="S340" s="4"/>
      <c r="T340" s="4"/>
      <c r="U340" s="4"/>
      <c r="V340" s="4"/>
      <c r="W340" s="4"/>
      <c r="X340" s="4"/>
    </row>
    <row r="341">
      <c r="A341" s="4"/>
      <c r="B341" s="46"/>
      <c r="C341" s="4"/>
      <c r="D341" s="4"/>
      <c r="E341" s="4"/>
      <c r="F341" s="4"/>
      <c r="G341" s="4"/>
      <c r="H341" s="4"/>
      <c r="I341" s="4"/>
      <c r="J341" s="4"/>
      <c r="K341" s="4"/>
      <c r="L341" s="4"/>
      <c r="M341" s="4"/>
      <c r="N341" s="4"/>
      <c r="O341" s="4"/>
      <c r="P341" s="4"/>
      <c r="Q341" s="4"/>
      <c r="R341" s="4"/>
      <c r="S341" s="4"/>
      <c r="T341" s="4"/>
      <c r="U341" s="4"/>
      <c r="V341" s="4"/>
      <c r="W341" s="4"/>
      <c r="X341" s="4"/>
    </row>
    <row r="342">
      <c r="A342" s="4"/>
      <c r="B342" s="46"/>
      <c r="C342" s="4"/>
      <c r="D342" s="4"/>
      <c r="E342" s="4"/>
      <c r="F342" s="4"/>
      <c r="G342" s="4"/>
      <c r="H342" s="4"/>
      <c r="I342" s="4"/>
      <c r="J342" s="4"/>
      <c r="K342" s="4"/>
      <c r="L342" s="4"/>
      <c r="M342" s="4"/>
      <c r="N342" s="4"/>
      <c r="O342" s="4"/>
      <c r="P342" s="4"/>
      <c r="Q342" s="4"/>
      <c r="R342" s="4"/>
      <c r="S342" s="4"/>
      <c r="T342" s="4"/>
      <c r="U342" s="4"/>
      <c r="V342" s="4"/>
      <c r="W342" s="4"/>
      <c r="X342" s="4"/>
    </row>
    <row r="343">
      <c r="A343" s="4"/>
      <c r="B343" s="46"/>
      <c r="C343" s="4"/>
      <c r="D343" s="4"/>
      <c r="E343" s="4"/>
      <c r="F343" s="4"/>
      <c r="G343" s="4"/>
      <c r="H343" s="4"/>
      <c r="I343" s="4"/>
      <c r="J343" s="4"/>
      <c r="K343" s="4"/>
      <c r="L343" s="4"/>
      <c r="M343" s="4"/>
      <c r="N343" s="4"/>
      <c r="O343" s="4"/>
      <c r="P343" s="4"/>
      <c r="Q343" s="4"/>
      <c r="R343" s="4"/>
      <c r="S343" s="4"/>
      <c r="T343" s="4"/>
      <c r="U343" s="4"/>
      <c r="V343" s="4"/>
      <c r="W343" s="4"/>
      <c r="X343" s="4"/>
    </row>
    <row r="344">
      <c r="A344" s="4"/>
      <c r="B344" s="46"/>
      <c r="C344" s="4"/>
      <c r="D344" s="4"/>
      <c r="E344" s="4"/>
      <c r="F344" s="4"/>
      <c r="G344" s="4"/>
      <c r="H344" s="4"/>
      <c r="I344" s="4"/>
      <c r="J344" s="4"/>
      <c r="K344" s="4"/>
      <c r="L344" s="4"/>
      <c r="M344" s="4"/>
      <c r="N344" s="4"/>
      <c r="O344" s="4"/>
      <c r="P344" s="4"/>
      <c r="Q344" s="4"/>
      <c r="R344" s="4"/>
      <c r="S344" s="4"/>
      <c r="T344" s="4"/>
      <c r="U344" s="4"/>
      <c r="V344" s="4"/>
      <c r="W344" s="4"/>
      <c r="X344" s="4"/>
    </row>
    <row r="345">
      <c r="A345" s="4"/>
      <c r="B345" s="46"/>
      <c r="C345" s="4"/>
      <c r="D345" s="4"/>
      <c r="E345" s="4"/>
      <c r="F345" s="4"/>
      <c r="G345" s="4"/>
      <c r="H345" s="4"/>
      <c r="I345" s="4"/>
      <c r="J345" s="4"/>
      <c r="K345" s="4"/>
      <c r="L345" s="4"/>
      <c r="M345" s="4"/>
      <c r="N345" s="4"/>
      <c r="O345" s="4"/>
      <c r="P345" s="4"/>
      <c r="Q345" s="4"/>
      <c r="R345" s="4"/>
      <c r="S345" s="4"/>
      <c r="T345" s="4"/>
      <c r="U345" s="4"/>
      <c r="V345" s="4"/>
      <c r="W345" s="4"/>
      <c r="X345" s="4"/>
    </row>
    <row r="346">
      <c r="A346" s="4"/>
      <c r="B346" s="46"/>
      <c r="C346" s="4"/>
      <c r="D346" s="4"/>
      <c r="E346" s="4"/>
      <c r="F346" s="4"/>
      <c r="G346" s="4"/>
      <c r="H346" s="4"/>
      <c r="I346" s="4"/>
      <c r="J346" s="4"/>
      <c r="K346" s="4"/>
      <c r="L346" s="4"/>
      <c r="M346" s="4"/>
      <c r="N346" s="4"/>
      <c r="O346" s="4"/>
      <c r="P346" s="4"/>
      <c r="Q346" s="4"/>
      <c r="R346" s="4"/>
      <c r="S346" s="4"/>
      <c r="T346" s="4"/>
      <c r="U346" s="4"/>
      <c r="V346" s="4"/>
      <c r="W346" s="4"/>
      <c r="X346" s="4"/>
    </row>
    <row r="347">
      <c r="A347" s="4"/>
      <c r="B347" s="46"/>
      <c r="C347" s="4"/>
      <c r="D347" s="4"/>
      <c r="E347" s="4"/>
      <c r="F347" s="4"/>
      <c r="G347" s="4"/>
      <c r="H347" s="4"/>
      <c r="I347" s="4"/>
      <c r="J347" s="4"/>
      <c r="K347" s="4"/>
      <c r="L347" s="4"/>
      <c r="M347" s="4"/>
      <c r="N347" s="4"/>
      <c r="O347" s="4"/>
      <c r="P347" s="4"/>
      <c r="Q347" s="4"/>
      <c r="R347" s="4"/>
      <c r="S347" s="4"/>
      <c r="T347" s="4"/>
      <c r="U347" s="4"/>
      <c r="V347" s="4"/>
      <c r="W347" s="4"/>
      <c r="X347" s="4"/>
    </row>
    <row r="348">
      <c r="A348" s="4"/>
      <c r="B348" s="46"/>
      <c r="C348" s="4"/>
      <c r="D348" s="4"/>
      <c r="E348" s="4"/>
      <c r="F348" s="4"/>
      <c r="G348" s="4"/>
      <c r="H348" s="4"/>
      <c r="I348" s="4"/>
      <c r="J348" s="4"/>
      <c r="K348" s="4"/>
      <c r="L348" s="4"/>
      <c r="M348" s="4"/>
      <c r="N348" s="4"/>
      <c r="O348" s="4"/>
      <c r="P348" s="4"/>
      <c r="Q348" s="4"/>
      <c r="R348" s="4"/>
      <c r="S348" s="4"/>
      <c r="T348" s="4"/>
      <c r="U348" s="4"/>
      <c r="V348" s="4"/>
      <c r="W348" s="4"/>
      <c r="X348" s="4"/>
    </row>
    <row r="349">
      <c r="A349" s="4"/>
      <c r="B349" s="46"/>
      <c r="C349" s="4"/>
      <c r="D349" s="4"/>
      <c r="E349" s="4"/>
      <c r="F349" s="4"/>
      <c r="G349" s="4"/>
      <c r="H349" s="4"/>
      <c r="I349" s="4"/>
      <c r="J349" s="4"/>
      <c r="K349" s="4"/>
      <c r="L349" s="4"/>
      <c r="M349" s="4"/>
      <c r="N349" s="4"/>
      <c r="O349" s="4"/>
      <c r="P349" s="4"/>
      <c r="Q349" s="4"/>
      <c r="R349" s="4"/>
      <c r="S349" s="4"/>
      <c r="T349" s="4"/>
      <c r="U349" s="4"/>
      <c r="V349" s="4"/>
      <c r="W349" s="4"/>
      <c r="X349" s="4"/>
    </row>
    <row r="350">
      <c r="A350" s="4"/>
      <c r="B350" s="46"/>
      <c r="C350" s="4"/>
      <c r="D350" s="4"/>
      <c r="E350" s="4"/>
      <c r="F350" s="4"/>
      <c r="G350" s="4"/>
      <c r="H350" s="4"/>
      <c r="I350" s="4"/>
      <c r="J350" s="4"/>
      <c r="K350" s="4"/>
      <c r="L350" s="4"/>
      <c r="M350" s="4"/>
      <c r="N350" s="4"/>
      <c r="O350" s="4"/>
      <c r="P350" s="4"/>
      <c r="Q350" s="4"/>
      <c r="R350" s="4"/>
      <c r="S350" s="4"/>
      <c r="T350" s="4"/>
      <c r="U350" s="4"/>
      <c r="V350" s="4"/>
      <c r="W350" s="4"/>
      <c r="X350" s="4"/>
    </row>
    <row r="351">
      <c r="A351" s="4"/>
      <c r="B351" s="46"/>
      <c r="C351" s="4"/>
      <c r="D351" s="4"/>
      <c r="E351" s="4"/>
      <c r="F351" s="4"/>
      <c r="G351" s="4"/>
      <c r="H351" s="4"/>
      <c r="I351" s="4"/>
      <c r="J351" s="4"/>
      <c r="K351" s="4"/>
      <c r="L351" s="4"/>
      <c r="M351" s="4"/>
      <c r="N351" s="4"/>
      <c r="O351" s="4"/>
      <c r="P351" s="4"/>
      <c r="Q351" s="4"/>
      <c r="R351" s="4"/>
      <c r="S351" s="4"/>
      <c r="T351" s="4"/>
      <c r="U351" s="4"/>
      <c r="V351" s="4"/>
      <c r="W351" s="4"/>
      <c r="X351" s="4"/>
    </row>
    <row r="352">
      <c r="A352" s="4"/>
      <c r="B352" s="46"/>
      <c r="C352" s="4"/>
      <c r="D352" s="4"/>
      <c r="E352" s="4"/>
      <c r="F352" s="4"/>
      <c r="G352" s="4"/>
      <c r="H352" s="4"/>
      <c r="I352" s="4"/>
      <c r="J352" s="4"/>
      <c r="K352" s="4"/>
      <c r="L352" s="4"/>
      <c r="M352" s="4"/>
      <c r="N352" s="4"/>
      <c r="O352" s="4"/>
      <c r="P352" s="4"/>
      <c r="Q352" s="4"/>
      <c r="R352" s="4"/>
      <c r="S352" s="4"/>
      <c r="T352" s="4"/>
      <c r="U352" s="4"/>
      <c r="V352" s="4"/>
      <c r="W352" s="4"/>
      <c r="X352" s="4"/>
    </row>
    <row r="353">
      <c r="A353" s="4"/>
      <c r="B353" s="46"/>
      <c r="C353" s="4"/>
      <c r="D353" s="4"/>
      <c r="E353" s="4"/>
      <c r="F353" s="4"/>
      <c r="G353" s="4"/>
      <c r="H353" s="4"/>
      <c r="I353" s="4"/>
      <c r="J353" s="4"/>
      <c r="K353" s="4"/>
      <c r="L353" s="4"/>
      <c r="M353" s="4"/>
      <c r="N353" s="4"/>
      <c r="O353" s="4"/>
      <c r="P353" s="4"/>
      <c r="Q353" s="4"/>
      <c r="R353" s="4"/>
      <c r="S353" s="4"/>
      <c r="T353" s="4"/>
      <c r="U353" s="4"/>
      <c r="V353" s="4"/>
      <c r="W353" s="4"/>
      <c r="X353" s="4"/>
    </row>
    <row r="354">
      <c r="A354" s="4"/>
      <c r="B354" s="46"/>
      <c r="C354" s="4"/>
      <c r="D354" s="4"/>
      <c r="E354" s="4"/>
      <c r="F354" s="4"/>
      <c r="G354" s="4"/>
      <c r="H354" s="4"/>
      <c r="I354" s="4"/>
      <c r="J354" s="4"/>
      <c r="K354" s="4"/>
      <c r="L354" s="4"/>
      <c r="M354" s="4"/>
      <c r="N354" s="4"/>
      <c r="O354" s="4"/>
      <c r="P354" s="4"/>
      <c r="Q354" s="4"/>
      <c r="R354" s="4"/>
      <c r="S354" s="4"/>
      <c r="T354" s="4"/>
      <c r="U354" s="4"/>
      <c r="V354" s="4"/>
      <c r="W354" s="4"/>
      <c r="X354" s="4"/>
    </row>
    <row r="355">
      <c r="A355" s="4"/>
      <c r="B355" s="46"/>
      <c r="C355" s="4"/>
      <c r="D355" s="4"/>
      <c r="E355" s="4"/>
      <c r="F355" s="4"/>
      <c r="G355" s="4"/>
      <c r="H355" s="4"/>
      <c r="I355" s="4"/>
      <c r="J355" s="4"/>
      <c r="K355" s="4"/>
      <c r="L355" s="4"/>
      <c r="M355" s="4"/>
      <c r="N355" s="4"/>
      <c r="O355" s="4"/>
      <c r="P355" s="4"/>
      <c r="Q355" s="4"/>
      <c r="R355" s="4"/>
      <c r="S355" s="4"/>
      <c r="T355" s="4"/>
      <c r="U355" s="4"/>
      <c r="V355" s="4"/>
      <c r="W355" s="4"/>
      <c r="X355" s="4"/>
    </row>
    <row r="356">
      <c r="A356" s="4"/>
      <c r="B356" s="46"/>
      <c r="C356" s="4"/>
      <c r="D356" s="4"/>
      <c r="E356" s="4"/>
      <c r="F356" s="4"/>
      <c r="G356" s="4"/>
      <c r="H356" s="4"/>
      <c r="I356" s="4"/>
      <c r="J356" s="4"/>
      <c r="K356" s="4"/>
      <c r="L356" s="4"/>
      <c r="M356" s="4"/>
      <c r="N356" s="4"/>
      <c r="O356" s="4"/>
      <c r="P356" s="4"/>
      <c r="Q356" s="4"/>
      <c r="R356" s="4"/>
      <c r="S356" s="4"/>
      <c r="T356" s="4"/>
      <c r="U356" s="4"/>
      <c r="V356" s="4"/>
      <c r="W356" s="4"/>
      <c r="X356" s="4"/>
    </row>
    <row r="357">
      <c r="A357" s="4"/>
      <c r="B357" s="46"/>
      <c r="C357" s="4"/>
      <c r="D357" s="4"/>
      <c r="E357" s="4"/>
      <c r="F357" s="4"/>
      <c r="G357" s="4"/>
      <c r="H357" s="4"/>
      <c r="I357" s="4"/>
      <c r="J357" s="4"/>
      <c r="K357" s="4"/>
      <c r="L357" s="4"/>
      <c r="M357" s="4"/>
      <c r="N357" s="4"/>
      <c r="O357" s="4"/>
      <c r="P357" s="4"/>
      <c r="Q357" s="4"/>
      <c r="R357" s="4"/>
      <c r="S357" s="4"/>
      <c r="T357" s="4"/>
      <c r="U357" s="4"/>
      <c r="V357" s="4"/>
      <c r="W357" s="4"/>
      <c r="X357" s="4"/>
    </row>
    <row r="358">
      <c r="A358" s="4"/>
      <c r="B358" s="46"/>
      <c r="C358" s="4"/>
      <c r="D358" s="4"/>
      <c r="E358" s="4"/>
      <c r="F358" s="4"/>
      <c r="G358" s="4"/>
      <c r="H358" s="4"/>
      <c r="I358" s="4"/>
      <c r="J358" s="4"/>
      <c r="K358" s="4"/>
      <c r="L358" s="4"/>
      <c r="M358" s="4"/>
      <c r="N358" s="4"/>
      <c r="O358" s="4"/>
      <c r="P358" s="4"/>
      <c r="Q358" s="4"/>
      <c r="R358" s="4"/>
      <c r="S358" s="4"/>
      <c r="T358" s="4"/>
      <c r="U358" s="4"/>
      <c r="V358" s="4"/>
      <c r="W358" s="4"/>
      <c r="X358" s="4"/>
    </row>
    <row r="359">
      <c r="A359" s="4"/>
      <c r="B359" s="46"/>
      <c r="C359" s="4"/>
      <c r="D359" s="4"/>
      <c r="E359" s="4"/>
      <c r="F359" s="4"/>
      <c r="G359" s="4"/>
      <c r="H359" s="4"/>
      <c r="I359" s="4"/>
      <c r="J359" s="4"/>
      <c r="K359" s="4"/>
      <c r="L359" s="4"/>
      <c r="M359" s="4"/>
      <c r="N359" s="4"/>
      <c r="O359" s="4"/>
      <c r="P359" s="4"/>
      <c r="Q359" s="4"/>
      <c r="R359" s="4"/>
      <c r="S359" s="4"/>
      <c r="T359" s="4"/>
      <c r="U359" s="4"/>
      <c r="V359" s="4"/>
      <c r="W359" s="4"/>
      <c r="X359" s="4"/>
    </row>
    <row r="360">
      <c r="A360" s="4"/>
      <c r="B360" s="46"/>
      <c r="C360" s="4"/>
      <c r="D360" s="4"/>
      <c r="E360" s="4"/>
      <c r="F360" s="4"/>
      <c r="G360" s="4"/>
      <c r="H360" s="4"/>
      <c r="I360" s="4"/>
      <c r="J360" s="4"/>
      <c r="K360" s="4"/>
      <c r="L360" s="4"/>
      <c r="M360" s="4"/>
      <c r="N360" s="4"/>
      <c r="O360" s="4"/>
      <c r="P360" s="4"/>
      <c r="Q360" s="4"/>
      <c r="R360" s="4"/>
      <c r="S360" s="4"/>
      <c r="T360" s="4"/>
      <c r="U360" s="4"/>
      <c r="V360" s="4"/>
      <c r="W360" s="4"/>
      <c r="X360" s="4"/>
    </row>
    <row r="361">
      <c r="A361" s="4"/>
      <c r="B361" s="46"/>
      <c r="C361" s="4"/>
      <c r="D361" s="4"/>
      <c r="E361" s="4"/>
      <c r="F361" s="4"/>
      <c r="G361" s="4"/>
      <c r="H361" s="4"/>
      <c r="I361" s="4"/>
      <c r="J361" s="4"/>
      <c r="K361" s="4"/>
      <c r="L361" s="4"/>
      <c r="M361" s="4"/>
      <c r="N361" s="4"/>
      <c r="O361" s="4"/>
      <c r="P361" s="4"/>
      <c r="Q361" s="4"/>
      <c r="R361" s="4"/>
      <c r="S361" s="4"/>
      <c r="T361" s="4"/>
      <c r="U361" s="4"/>
      <c r="V361" s="4"/>
      <c r="W361" s="4"/>
      <c r="X361" s="4"/>
    </row>
    <row r="362">
      <c r="A362" s="4"/>
      <c r="B362" s="46"/>
      <c r="C362" s="4"/>
      <c r="D362" s="4"/>
      <c r="E362" s="4"/>
      <c r="F362" s="4"/>
      <c r="G362" s="4"/>
      <c r="H362" s="4"/>
      <c r="I362" s="4"/>
      <c r="J362" s="4"/>
      <c r="K362" s="4"/>
      <c r="L362" s="4"/>
      <c r="M362" s="4"/>
      <c r="N362" s="4"/>
      <c r="O362" s="4"/>
      <c r="P362" s="4"/>
      <c r="Q362" s="4"/>
      <c r="R362" s="4"/>
      <c r="S362" s="4"/>
      <c r="T362" s="4"/>
      <c r="U362" s="4"/>
      <c r="V362" s="4"/>
      <c r="W362" s="4"/>
      <c r="X362" s="4"/>
    </row>
    <row r="363">
      <c r="A363" s="4"/>
      <c r="B363" s="46"/>
      <c r="C363" s="4"/>
      <c r="D363" s="4"/>
      <c r="E363" s="4"/>
      <c r="F363" s="4"/>
      <c r="G363" s="4"/>
      <c r="H363" s="4"/>
      <c r="I363" s="4"/>
      <c r="J363" s="4"/>
      <c r="K363" s="4"/>
      <c r="L363" s="4"/>
      <c r="M363" s="4"/>
      <c r="N363" s="4"/>
      <c r="O363" s="4"/>
      <c r="P363" s="4"/>
      <c r="Q363" s="4"/>
      <c r="R363" s="4"/>
      <c r="S363" s="4"/>
      <c r="T363" s="4"/>
      <c r="U363" s="4"/>
      <c r="V363" s="4"/>
      <c r="W363" s="4"/>
      <c r="X363" s="4"/>
    </row>
    <row r="364">
      <c r="A364" s="4"/>
      <c r="B364" s="46"/>
      <c r="C364" s="4"/>
      <c r="D364" s="4"/>
      <c r="E364" s="4"/>
      <c r="F364" s="4"/>
      <c r="G364" s="4"/>
      <c r="H364" s="4"/>
      <c r="I364" s="4"/>
      <c r="J364" s="4"/>
      <c r="K364" s="4"/>
      <c r="L364" s="4"/>
      <c r="M364" s="4"/>
      <c r="N364" s="4"/>
      <c r="O364" s="4"/>
      <c r="P364" s="4"/>
      <c r="Q364" s="4"/>
      <c r="R364" s="4"/>
      <c r="S364" s="4"/>
      <c r="T364" s="4"/>
      <c r="U364" s="4"/>
      <c r="V364" s="4"/>
      <c r="W364" s="4"/>
      <c r="X364" s="4"/>
    </row>
    <row r="365">
      <c r="A365" s="4"/>
      <c r="B365" s="46"/>
      <c r="C365" s="4"/>
      <c r="D365" s="4"/>
      <c r="E365" s="4"/>
      <c r="F365" s="4"/>
      <c r="G365" s="4"/>
      <c r="H365" s="4"/>
      <c r="I365" s="4"/>
      <c r="J365" s="4"/>
      <c r="K365" s="4"/>
      <c r="L365" s="4"/>
      <c r="M365" s="4"/>
      <c r="N365" s="4"/>
      <c r="O365" s="4"/>
      <c r="P365" s="4"/>
      <c r="Q365" s="4"/>
      <c r="R365" s="4"/>
      <c r="S365" s="4"/>
      <c r="T365" s="4"/>
      <c r="U365" s="4"/>
      <c r="V365" s="4"/>
      <c r="W365" s="4"/>
      <c r="X365" s="4"/>
    </row>
    <row r="366">
      <c r="A366" s="4"/>
      <c r="B366" s="46"/>
      <c r="C366" s="4"/>
      <c r="D366" s="4"/>
      <c r="E366" s="4"/>
      <c r="F366" s="4"/>
      <c r="G366" s="4"/>
      <c r="H366" s="4"/>
      <c r="I366" s="4"/>
      <c r="J366" s="4"/>
      <c r="K366" s="4"/>
      <c r="L366" s="4"/>
      <c r="M366" s="4"/>
      <c r="N366" s="4"/>
      <c r="O366" s="4"/>
      <c r="P366" s="4"/>
      <c r="Q366" s="4"/>
      <c r="R366" s="4"/>
      <c r="S366" s="4"/>
      <c r="T366" s="4"/>
      <c r="U366" s="4"/>
      <c r="V366" s="4"/>
      <c r="W366" s="4"/>
      <c r="X366" s="4"/>
    </row>
    <row r="367">
      <c r="A367" s="4"/>
      <c r="B367" s="46"/>
      <c r="C367" s="4"/>
      <c r="D367" s="4"/>
      <c r="E367" s="4"/>
      <c r="F367" s="4"/>
      <c r="G367" s="4"/>
      <c r="H367" s="4"/>
      <c r="I367" s="4"/>
      <c r="J367" s="4"/>
      <c r="K367" s="4"/>
      <c r="L367" s="4"/>
      <c r="M367" s="4"/>
      <c r="N367" s="4"/>
      <c r="O367" s="4"/>
      <c r="P367" s="4"/>
      <c r="Q367" s="4"/>
      <c r="R367" s="4"/>
      <c r="S367" s="4"/>
      <c r="T367" s="4"/>
      <c r="U367" s="4"/>
      <c r="V367" s="4"/>
      <c r="W367" s="4"/>
      <c r="X367" s="4"/>
    </row>
    <row r="368">
      <c r="A368" s="4"/>
      <c r="B368" s="46"/>
      <c r="C368" s="4"/>
      <c r="D368" s="4"/>
      <c r="E368" s="4"/>
      <c r="F368" s="4"/>
      <c r="G368" s="4"/>
      <c r="H368" s="4"/>
      <c r="I368" s="4"/>
      <c r="J368" s="4"/>
      <c r="K368" s="4"/>
      <c r="L368" s="4"/>
      <c r="M368" s="4"/>
      <c r="N368" s="4"/>
      <c r="O368" s="4"/>
      <c r="P368" s="4"/>
      <c r="Q368" s="4"/>
      <c r="R368" s="4"/>
      <c r="S368" s="4"/>
      <c r="T368" s="4"/>
      <c r="U368" s="4"/>
      <c r="V368" s="4"/>
      <c r="W368" s="4"/>
      <c r="X368" s="4"/>
    </row>
    <row r="369">
      <c r="A369" s="4"/>
      <c r="B369" s="46"/>
      <c r="C369" s="4"/>
      <c r="D369" s="4"/>
      <c r="E369" s="4"/>
      <c r="F369" s="4"/>
      <c r="G369" s="4"/>
      <c r="H369" s="4"/>
      <c r="I369" s="4"/>
      <c r="J369" s="4"/>
      <c r="K369" s="4"/>
      <c r="L369" s="4"/>
      <c r="M369" s="4"/>
      <c r="N369" s="4"/>
      <c r="O369" s="4"/>
      <c r="P369" s="4"/>
      <c r="Q369" s="4"/>
      <c r="R369" s="4"/>
      <c r="S369" s="4"/>
      <c r="T369" s="4"/>
      <c r="U369" s="4"/>
      <c r="V369" s="4"/>
      <c r="W369" s="4"/>
      <c r="X369" s="4"/>
    </row>
    <row r="370">
      <c r="A370" s="4"/>
      <c r="B370" s="46"/>
      <c r="C370" s="4"/>
      <c r="D370" s="4"/>
      <c r="E370" s="4"/>
      <c r="F370" s="4"/>
      <c r="G370" s="4"/>
      <c r="H370" s="4"/>
      <c r="I370" s="4"/>
      <c r="J370" s="4"/>
      <c r="K370" s="4"/>
      <c r="L370" s="4"/>
      <c r="M370" s="4"/>
      <c r="N370" s="4"/>
      <c r="O370" s="4"/>
      <c r="P370" s="4"/>
      <c r="Q370" s="4"/>
      <c r="R370" s="4"/>
      <c r="S370" s="4"/>
      <c r="T370" s="4"/>
      <c r="U370" s="4"/>
      <c r="V370" s="4"/>
      <c r="W370" s="4"/>
      <c r="X370" s="4"/>
    </row>
    <row r="371">
      <c r="A371" s="4"/>
      <c r="B371" s="46"/>
      <c r="C371" s="4"/>
      <c r="D371" s="4"/>
      <c r="E371" s="4"/>
      <c r="F371" s="4"/>
      <c r="G371" s="4"/>
      <c r="H371" s="4"/>
      <c r="I371" s="4"/>
      <c r="J371" s="4"/>
      <c r="K371" s="4"/>
      <c r="L371" s="4"/>
      <c r="M371" s="4"/>
      <c r="N371" s="4"/>
      <c r="O371" s="4"/>
      <c r="P371" s="4"/>
      <c r="Q371" s="4"/>
      <c r="R371" s="4"/>
      <c r="S371" s="4"/>
      <c r="T371" s="4"/>
      <c r="U371" s="4"/>
      <c r="V371" s="4"/>
      <c r="W371" s="4"/>
      <c r="X371" s="4"/>
    </row>
    <row r="372">
      <c r="A372" s="4"/>
      <c r="B372" s="46"/>
      <c r="C372" s="4"/>
      <c r="D372" s="4"/>
      <c r="E372" s="4"/>
      <c r="F372" s="4"/>
      <c r="G372" s="4"/>
      <c r="H372" s="4"/>
      <c r="I372" s="4"/>
      <c r="J372" s="4"/>
      <c r="K372" s="4"/>
      <c r="L372" s="4"/>
      <c r="M372" s="4"/>
      <c r="N372" s="4"/>
      <c r="O372" s="4"/>
      <c r="P372" s="4"/>
      <c r="Q372" s="4"/>
      <c r="R372" s="4"/>
      <c r="S372" s="4"/>
      <c r="T372" s="4"/>
      <c r="U372" s="4"/>
      <c r="V372" s="4"/>
      <c r="W372" s="4"/>
      <c r="X372" s="4"/>
    </row>
    <row r="373">
      <c r="A373" s="4"/>
      <c r="B373" s="46"/>
      <c r="C373" s="4"/>
      <c r="D373" s="4"/>
      <c r="E373" s="4"/>
      <c r="F373" s="4"/>
      <c r="G373" s="4"/>
      <c r="H373" s="4"/>
      <c r="I373" s="4"/>
      <c r="J373" s="4"/>
      <c r="K373" s="4"/>
      <c r="L373" s="4"/>
      <c r="M373" s="4"/>
      <c r="N373" s="4"/>
      <c r="O373" s="4"/>
      <c r="P373" s="4"/>
      <c r="Q373" s="4"/>
      <c r="R373" s="4"/>
      <c r="S373" s="4"/>
      <c r="T373" s="4"/>
      <c r="U373" s="4"/>
      <c r="V373" s="4"/>
      <c r="W373" s="4"/>
      <c r="X373" s="4"/>
    </row>
    <row r="374">
      <c r="A374" s="4"/>
      <c r="B374" s="46"/>
      <c r="C374" s="4"/>
      <c r="D374" s="4"/>
      <c r="E374" s="4"/>
      <c r="F374" s="4"/>
      <c r="G374" s="4"/>
      <c r="H374" s="4"/>
      <c r="I374" s="4"/>
      <c r="J374" s="4"/>
      <c r="K374" s="4"/>
      <c r="L374" s="4"/>
      <c r="M374" s="4"/>
      <c r="N374" s="4"/>
      <c r="O374" s="4"/>
      <c r="P374" s="4"/>
      <c r="Q374" s="4"/>
      <c r="R374" s="4"/>
      <c r="S374" s="4"/>
      <c r="T374" s="4"/>
      <c r="U374" s="4"/>
      <c r="V374" s="4"/>
      <c r="W374" s="4"/>
      <c r="X374" s="4"/>
    </row>
    <row r="375">
      <c r="A375" s="4"/>
      <c r="B375" s="46"/>
      <c r="C375" s="4"/>
      <c r="D375" s="4"/>
      <c r="E375" s="4"/>
      <c r="F375" s="4"/>
      <c r="G375" s="4"/>
      <c r="H375" s="4"/>
      <c r="I375" s="4"/>
      <c r="J375" s="4"/>
      <c r="K375" s="4"/>
      <c r="L375" s="4"/>
      <c r="M375" s="4"/>
      <c r="N375" s="4"/>
      <c r="O375" s="4"/>
      <c r="P375" s="4"/>
      <c r="Q375" s="4"/>
      <c r="R375" s="4"/>
      <c r="S375" s="4"/>
      <c r="T375" s="4"/>
      <c r="U375" s="4"/>
      <c r="V375" s="4"/>
      <c r="W375" s="4"/>
      <c r="X375" s="4"/>
    </row>
    <row r="376">
      <c r="A376" s="4"/>
      <c r="B376" s="46"/>
      <c r="C376" s="4"/>
      <c r="D376" s="4"/>
      <c r="E376" s="4"/>
      <c r="F376" s="4"/>
      <c r="G376" s="4"/>
      <c r="H376" s="4"/>
      <c r="I376" s="4"/>
      <c r="J376" s="4"/>
      <c r="K376" s="4"/>
      <c r="L376" s="4"/>
      <c r="M376" s="4"/>
      <c r="N376" s="4"/>
      <c r="O376" s="4"/>
      <c r="P376" s="4"/>
      <c r="Q376" s="4"/>
      <c r="R376" s="4"/>
      <c r="S376" s="4"/>
      <c r="T376" s="4"/>
      <c r="U376" s="4"/>
      <c r="V376" s="4"/>
      <c r="W376" s="4"/>
      <c r="X376" s="4"/>
    </row>
    <row r="377">
      <c r="A377" s="4"/>
      <c r="B377" s="46"/>
      <c r="C377" s="4"/>
      <c r="D377" s="4"/>
      <c r="E377" s="4"/>
      <c r="F377" s="4"/>
      <c r="G377" s="4"/>
      <c r="H377" s="4"/>
      <c r="I377" s="4"/>
      <c r="J377" s="4"/>
      <c r="K377" s="4"/>
      <c r="L377" s="4"/>
      <c r="M377" s="4"/>
      <c r="N377" s="4"/>
      <c r="O377" s="4"/>
      <c r="P377" s="4"/>
      <c r="Q377" s="4"/>
      <c r="R377" s="4"/>
      <c r="S377" s="4"/>
      <c r="T377" s="4"/>
      <c r="U377" s="4"/>
      <c r="V377" s="4"/>
      <c r="W377" s="4"/>
      <c r="X377" s="4"/>
    </row>
    <row r="378">
      <c r="A378" s="4"/>
      <c r="B378" s="46"/>
      <c r="C378" s="4"/>
      <c r="D378" s="4"/>
      <c r="E378" s="4"/>
      <c r="F378" s="4"/>
      <c r="G378" s="4"/>
      <c r="H378" s="4"/>
      <c r="I378" s="4"/>
      <c r="J378" s="4"/>
      <c r="K378" s="4"/>
      <c r="L378" s="4"/>
      <c r="M378" s="4"/>
      <c r="N378" s="4"/>
      <c r="O378" s="4"/>
      <c r="P378" s="4"/>
      <c r="Q378" s="4"/>
      <c r="R378" s="4"/>
      <c r="S378" s="4"/>
      <c r="T378" s="4"/>
      <c r="U378" s="4"/>
      <c r="V378" s="4"/>
      <c r="W378" s="4"/>
      <c r="X378" s="4"/>
    </row>
    <row r="379">
      <c r="A379" s="4"/>
      <c r="B379" s="46"/>
      <c r="C379" s="4"/>
      <c r="D379" s="4"/>
      <c r="E379" s="4"/>
      <c r="F379" s="4"/>
      <c r="G379" s="4"/>
      <c r="H379" s="4"/>
      <c r="I379" s="4"/>
      <c r="J379" s="4"/>
      <c r="K379" s="4"/>
      <c r="L379" s="4"/>
      <c r="M379" s="4"/>
      <c r="N379" s="4"/>
      <c r="O379" s="4"/>
      <c r="P379" s="4"/>
      <c r="Q379" s="4"/>
      <c r="R379" s="4"/>
      <c r="S379" s="4"/>
      <c r="T379" s="4"/>
      <c r="U379" s="4"/>
      <c r="V379" s="4"/>
      <c r="W379" s="4"/>
      <c r="X379" s="4"/>
    </row>
    <row r="380">
      <c r="A380" s="4"/>
      <c r="B380" s="46"/>
      <c r="C380" s="4"/>
      <c r="D380" s="4"/>
      <c r="E380" s="4"/>
      <c r="F380" s="4"/>
      <c r="G380" s="4"/>
      <c r="H380" s="4"/>
      <c r="I380" s="4"/>
      <c r="J380" s="4"/>
      <c r="K380" s="4"/>
      <c r="L380" s="4"/>
      <c r="M380" s="4"/>
      <c r="N380" s="4"/>
      <c r="O380" s="4"/>
      <c r="P380" s="4"/>
      <c r="Q380" s="4"/>
      <c r="R380" s="4"/>
      <c r="S380" s="4"/>
      <c r="T380" s="4"/>
      <c r="U380" s="4"/>
      <c r="V380" s="4"/>
      <c r="W380" s="4"/>
      <c r="X380" s="4"/>
    </row>
    <row r="381">
      <c r="A381" s="4"/>
      <c r="B381" s="46"/>
      <c r="C381" s="4"/>
      <c r="D381" s="4"/>
      <c r="E381" s="4"/>
      <c r="F381" s="4"/>
      <c r="G381" s="4"/>
      <c r="H381" s="4"/>
      <c r="I381" s="4"/>
      <c r="J381" s="4"/>
      <c r="K381" s="4"/>
      <c r="L381" s="4"/>
      <c r="M381" s="4"/>
      <c r="N381" s="4"/>
      <c r="O381" s="4"/>
      <c r="P381" s="4"/>
      <c r="Q381" s="4"/>
      <c r="R381" s="4"/>
      <c r="S381" s="4"/>
      <c r="T381" s="4"/>
      <c r="U381" s="4"/>
      <c r="V381" s="4"/>
      <c r="W381" s="4"/>
      <c r="X381" s="4"/>
    </row>
    <row r="382">
      <c r="A382" s="4"/>
      <c r="B382" s="46"/>
      <c r="C382" s="4"/>
      <c r="D382" s="4"/>
      <c r="E382" s="4"/>
      <c r="F382" s="4"/>
      <c r="G382" s="4"/>
      <c r="H382" s="4"/>
      <c r="I382" s="4"/>
      <c r="J382" s="4"/>
      <c r="K382" s="4"/>
      <c r="L382" s="4"/>
      <c r="M382" s="4"/>
      <c r="N382" s="4"/>
      <c r="O382" s="4"/>
      <c r="P382" s="4"/>
      <c r="Q382" s="4"/>
      <c r="R382" s="4"/>
      <c r="S382" s="4"/>
      <c r="T382" s="4"/>
      <c r="U382" s="4"/>
      <c r="V382" s="4"/>
      <c r="W382" s="4"/>
      <c r="X382" s="4"/>
    </row>
    <row r="383">
      <c r="A383" s="4"/>
      <c r="B383" s="46"/>
      <c r="C383" s="4"/>
      <c r="D383" s="4"/>
      <c r="E383" s="4"/>
      <c r="F383" s="4"/>
      <c r="G383" s="4"/>
      <c r="H383" s="4"/>
      <c r="I383" s="4"/>
      <c r="J383" s="4"/>
      <c r="K383" s="4"/>
      <c r="L383" s="4"/>
      <c r="M383" s="4"/>
      <c r="N383" s="4"/>
      <c r="O383" s="4"/>
      <c r="P383" s="4"/>
      <c r="Q383" s="4"/>
      <c r="R383" s="4"/>
      <c r="S383" s="4"/>
      <c r="T383" s="4"/>
      <c r="U383" s="4"/>
      <c r="V383" s="4"/>
      <c r="W383" s="4"/>
      <c r="X383" s="4"/>
    </row>
    <row r="384">
      <c r="A384" s="4"/>
      <c r="B384" s="46"/>
      <c r="C384" s="4"/>
      <c r="D384" s="4"/>
      <c r="E384" s="4"/>
      <c r="F384" s="4"/>
      <c r="G384" s="4"/>
      <c r="H384" s="4"/>
      <c r="I384" s="4"/>
      <c r="J384" s="4"/>
      <c r="K384" s="4"/>
      <c r="L384" s="4"/>
      <c r="M384" s="4"/>
      <c r="N384" s="4"/>
      <c r="O384" s="4"/>
      <c r="P384" s="4"/>
      <c r="Q384" s="4"/>
      <c r="R384" s="4"/>
      <c r="S384" s="4"/>
      <c r="T384" s="4"/>
      <c r="U384" s="4"/>
      <c r="V384" s="4"/>
      <c r="W384" s="4"/>
      <c r="X384" s="4"/>
    </row>
    <row r="385">
      <c r="A385" s="4"/>
      <c r="B385" s="46"/>
      <c r="C385" s="4"/>
      <c r="D385" s="4"/>
      <c r="E385" s="4"/>
      <c r="F385" s="4"/>
      <c r="G385" s="4"/>
      <c r="H385" s="4"/>
      <c r="I385" s="4"/>
      <c r="J385" s="4"/>
      <c r="K385" s="4"/>
      <c r="L385" s="4"/>
      <c r="M385" s="4"/>
      <c r="N385" s="4"/>
      <c r="O385" s="4"/>
      <c r="P385" s="4"/>
      <c r="Q385" s="4"/>
      <c r="R385" s="4"/>
      <c r="S385" s="4"/>
      <c r="T385" s="4"/>
      <c r="U385" s="4"/>
      <c r="V385" s="4"/>
      <c r="W385" s="4"/>
      <c r="X385" s="4"/>
    </row>
    <row r="386">
      <c r="A386" s="4"/>
      <c r="B386" s="46"/>
      <c r="C386" s="4"/>
      <c r="D386" s="4"/>
      <c r="E386" s="4"/>
      <c r="F386" s="4"/>
      <c r="G386" s="4"/>
      <c r="H386" s="4"/>
      <c r="I386" s="4"/>
      <c r="J386" s="4"/>
      <c r="K386" s="4"/>
      <c r="L386" s="4"/>
      <c r="M386" s="4"/>
      <c r="N386" s="4"/>
      <c r="O386" s="4"/>
      <c r="P386" s="4"/>
      <c r="Q386" s="4"/>
      <c r="R386" s="4"/>
      <c r="S386" s="4"/>
      <c r="T386" s="4"/>
      <c r="U386" s="4"/>
      <c r="V386" s="4"/>
      <c r="W386" s="4"/>
      <c r="X386" s="4"/>
    </row>
    <row r="387">
      <c r="A387" s="4"/>
      <c r="B387" s="46"/>
      <c r="C387" s="4"/>
      <c r="D387" s="4"/>
      <c r="E387" s="4"/>
      <c r="F387" s="4"/>
      <c r="G387" s="4"/>
      <c r="H387" s="4"/>
      <c r="I387" s="4"/>
      <c r="J387" s="4"/>
      <c r="K387" s="4"/>
      <c r="L387" s="4"/>
      <c r="M387" s="4"/>
      <c r="N387" s="4"/>
      <c r="O387" s="4"/>
      <c r="P387" s="4"/>
      <c r="Q387" s="4"/>
      <c r="R387" s="4"/>
      <c r="S387" s="4"/>
      <c r="T387" s="4"/>
      <c r="U387" s="4"/>
      <c r="V387" s="4"/>
      <c r="W387" s="4"/>
      <c r="X387" s="4"/>
    </row>
    <row r="388">
      <c r="A388" s="4"/>
      <c r="B388" s="46"/>
      <c r="C388" s="4"/>
      <c r="D388" s="4"/>
      <c r="E388" s="4"/>
      <c r="F388" s="4"/>
      <c r="G388" s="4"/>
      <c r="H388" s="4"/>
      <c r="I388" s="4"/>
      <c r="J388" s="4"/>
      <c r="K388" s="4"/>
      <c r="L388" s="4"/>
      <c r="M388" s="4"/>
      <c r="N388" s="4"/>
      <c r="O388" s="4"/>
      <c r="P388" s="4"/>
      <c r="Q388" s="4"/>
      <c r="R388" s="4"/>
      <c r="S388" s="4"/>
      <c r="T388" s="4"/>
      <c r="U388" s="4"/>
      <c r="V388" s="4"/>
      <c r="W388" s="4"/>
      <c r="X388" s="4"/>
    </row>
    <row r="389">
      <c r="A389" s="4"/>
      <c r="B389" s="46"/>
      <c r="C389" s="4"/>
      <c r="D389" s="4"/>
      <c r="E389" s="4"/>
      <c r="F389" s="4"/>
      <c r="G389" s="4"/>
      <c r="H389" s="4"/>
      <c r="I389" s="4"/>
      <c r="J389" s="4"/>
      <c r="K389" s="4"/>
      <c r="L389" s="4"/>
      <c r="M389" s="4"/>
      <c r="N389" s="4"/>
      <c r="O389" s="4"/>
      <c r="P389" s="4"/>
      <c r="Q389" s="4"/>
      <c r="R389" s="4"/>
      <c r="S389" s="4"/>
      <c r="T389" s="4"/>
      <c r="U389" s="4"/>
      <c r="V389" s="4"/>
      <c r="W389" s="4"/>
      <c r="X389" s="4"/>
    </row>
    <row r="390">
      <c r="A390" s="4"/>
      <c r="B390" s="46"/>
      <c r="C390" s="4"/>
      <c r="D390" s="4"/>
      <c r="E390" s="4"/>
      <c r="F390" s="4"/>
      <c r="G390" s="4"/>
      <c r="H390" s="4"/>
      <c r="I390" s="4"/>
      <c r="J390" s="4"/>
      <c r="K390" s="4"/>
      <c r="L390" s="4"/>
      <c r="M390" s="4"/>
      <c r="N390" s="4"/>
      <c r="O390" s="4"/>
      <c r="P390" s="4"/>
      <c r="Q390" s="4"/>
      <c r="R390" s="4"/>
      <c r="S390" s="4"/>
      <c r="T390" s="4"/>
      <c r="U390" s="4"/>
      <c r="V390" s="4"/>
      <c r="W390" s="4"/>
      <c r="X390" s="4"/>
    </row>
    <row r="391">
      <c r="A391" s="4"/>
      <c r="B391" s="46"/>
      <c r="C391" s="4"/>
      <c r="D391" s="4"/>
      <c r="E391" s="4"/>
      <c r="F391" s="4"/>
      <c r="G391" s="4"/>
      <c r="H391" s="4"/>
      <c r="I391" s="4"/>
      <c r="J391" s="4"/>
      <c r="K391" s="4"/>
      <c r="L391" s="4"/>
      <c r="M391" s="4"/>
      <c r="N391" s="4"/>
      <c r="O391" s="4"/>
      <c r="P391" s="4"/>
      <c r="Q391" s="4"/>
      <c r="R391" s="4"/>
      <c r="S391" s="4"/>
      <c r="T391" s="4"/>
      <c r="U391" s="4"/>
      <c r="V391" s="4"/>
      <c r="W391" s="4"/>
      <c r="X391" s="4"/>
    </row>
    <row r="392">
      <c r="A392" s="4"/>
      <c r="B392" s="46"/>
      <c r="C392" s="4"/>
      <c r="D392" s="4"/>
      <c r="E392" s="4"/>
      <c r="F392" s="4"/>
      <c r="G392" s="4"/>
      <c r="H392" s="4"/>
      <c r="I392" s="4"/>
      <c r="J392" s="4"/>
      <c r="K392" s="4"/>
      <c r="L392" s="4"/>
      <c r="M392" s="4"/>
      <c r="N392" s="4"/>
      <c r="O392" s="4"/>
      <c r="P392" s="4"/>
      <c r="Q392" s="4"/>
      <c r="R392" s="4"/>
      <c r="S392" s="4"/>
      <c r="T392" s="4"/>
      <c r="U392" s="4"/>
      <c r="V392" s="4"/>
      <c r="W392" s="4"/>
      <c r="X392" s="4"/>
    </row>
    <row r="393">
      <c r="A393" s="4"/>
      <c r="B393" s="46"/>
      <c r="C393" s="4"/>
      <c r="D393" s="4"/>
      <c r="E393" s="4"/>
      <c r="F393" s="4"/>
      <c r="G393" s="4"/>
      <c r="H393" s="4"/>
      <c r="I393" s="4"/>
      <c r="J393" s="4"/>
      <c r="K393" s="4"/>
      <c r="L393" s="4"/>
      <c r="M393" s="4"/>
      <c r="N393" s="4"/>
      <c r="O393" s="4"/>
      <c r="P393" s="4"/>
      <c r="Q393" s="4"/>
      <c r="R393" s="4"/>
      <c r="S393" s="4"/>
      <c r="T393" s="4"/>
      <c r="U393" s="4"/>
      <c r="V393" s="4"/>
      <c r="W393" s="4"/>
      <c r="X393" s="4"/>
    </row>
    <row r="394">
      <c r="A394" s="4"/>
      <c r="B394" s="46"/>
      <c r="C394" s="4"/>
      <c r="D394" s="4"/>
      <c r="E394" s="4"/>
      <c r="F394" s="4"/>
      <c r="G394" s="4"/>
      <c r="H394" s="4"/>
      <c r="I394" s="4"/>
      <c r="J394" s="4"/>
      <c r="K394" s="4"/>
      <c r="L394" s="4"/>
      <c r="M394" s="4"/>
      <c r="N394" s="4"/>
      <c r="O394" s="4"/>
      <c r="P394" s="4"/>
      <c r="Q394" s="4"/>
      <c r="R394" s="4"/>
      <c r="S394" s="4"/>
      <c r="T394" s="4"/>
      <c r="U394" s="4"/>
      <c r="V394" s="4"/>
      <c r="W394" s="4"/>
      <c r="X394" s="4"/>
    </row>
    <row r="395">
      <c r="A395" s="4"/>
      <c r="B395" s="46"/>
      <c r="C395" s="4"/>
      <c r="D395" s="4"/>
      <c r="E395" s="4"/>
      <c r="F395" s="4"/>
      <c r="G395" s="4"/>
      <c r="H395" s="4"/>
      <c r="I395" s="4"/>
      <c r="J395" s="4"/>
      <c r="K395" s="4"/>
      <c r="L395" s="4"/>
      <c r="M395" s="4"/>
      <c r="N395" s="4"/>
      <c r="O395" s="4"/>
      <c r="P395" s="4"/>
      <c r="Q395" s="4"/>
      <c r="R395" s="4"/>
      <c r="S395" s="4"/>
      <c r="T395" s="4"/>
      <c r="U395" s="4"/>
      <c r="V395" s="4"/>
      <c r="W395" s="4"/>
      <c r="X395" s="4"/>
    </row>
    <row r="396">
      <c r="A396" s="4"/>
      <c r="B396" s="46"/>
      <c r="C396" s="4"/>
      <c r="D396" s="4"/>
      <c r="E396" s="4"/>
      <c r="F396" s="4"/>
      <c r="G396" s="4"/>
      <c r="H396" s="4"/>
      <c r="I396" s="4"/>
      <c r="J396" s="4"/>
      <c r="K396" s="4"/>
      <c r="L396" s="4"/>
      <c r="M396" s="4"/>
      <c r="N396" s="4"/>
      <c r="O396" s="4"/>
      <c r="P396" s="4"/>
      <c r="Q396" s="4"/>
      <c r="R396" s="4"/>
      <c r="S396" s="4"/>
      <c r="T396" s="4"/>
      <c r="U396" s="4"/>
      <c r="V396" s="4"/>
      <c r="W396" s="4"/>
      <c r="X396" s="4"/>
    </row>
    <row r="397">
      <c r="A397" s="4"/>
      <c r="B397" s="46"/>
      <c r="C397" s="4"/>
      <c r="D397" s="4"/>
      <c r="E397" s="4"/>
      <c r="F397" s="4"/>
      <c r="G397" s="4"/>
      <c r="H397" s="4"/>
      <c r="I397" s="4"/>
      <c r="J397" s="4"/>
      <c r="K397" s="4"/>
      <c r="L397" s="4"/>
      <c r="M397" s="4"/>
      <c r="N397" s="4"/>
      <c r="O397" s="4"/>
      <c r="P397" s="4"/>
      <c r="Q397" s="4"/>
      <c r="R397" s="4"/>
      <c r="S397" s="4"/>
      <c r="T397" s="4"/>
      <c r="U397" s="4"/>
      <c r="V397" s="4"/>
      <c r="W397" s="4"/>
      <c r="X397" s="4"/>
    </row>
    <row r="398">
      <c r="A398" s="4"/>
      <c r="B398" s="46"/>
      <c r="C398" s="4"/>
      <c r="D398" s="4"/>
      <c r="E398" s="4"/>
      <c r="F398" s="4"/>
      <c r="G398" s="4"/>
      <c r="H398" s="4"/>
      <c r="I398" s="4"/>
      <c r="J398" s="4"/>
      <c r="K398" s="4"/>
      <c r="L398" s="4"/>
      <c r="M398" s="4"/>
      <c r="N398" s="4"/>
      <c r="O398" s="4"/>
      <c r="P398" s="4"/>
      <c r="Q398" s="4"/>
      <c r="R398" s="4"/>
      <c r="S398" s="4"/>
      <c r="T398" s="4"/>
      <c r="U398" s="4"/>
      <c r="V398" s="4"/>
      <c r="W398" s="4"/>
      <c r="X398" s="4"/>
    </row>
    <row r="399">
      <c r="A399" s="4"/>
      <c r="B399" s="46"/>
      <c r="C399" s="4"/>
      <c r="D399" s="4"/>
      <c r="E399" s="4"/>
      <c r="F399" s="4"/>
      <c r="G399" s="4"/>
      <c r="H399" s="4"/>
      <c r="I399" s="4"/>
      <c r="J399" s="4"/>
      <c r="K399" s="4"/>
      <c r="L399" s="4"/>
      <c r="M399" s="4"/>
      <c r="N399" s="4"/>
      <c r="O399" s="4"/>
      <c r="P399" s="4"/>
      <c r="Q399" s="4"/>
      <c r="R399" s="4"/>
      <c r="S399" s="4"/>
      <c r="T399" s="4"/>
      <c r="U399" s="4"/>
      <c r="V399" s="4"/>
      <c r="W399" s="4"/>
      <c r="X399" s="4"/>
    </row>
    <row r="400">
      <c r="A400" s="4"/>
      <c r="B400" s="46"/>
      <c r="C400" s="4"/>
      <c r="D400" s="4"/>
      <c r="E400" s="4"/>
      <c r="F400" s="4"/>
      <c r="G400" s="4"/>
      <c r="H400" s="4"/>
      <c r="I400" s="4"/>
      <c r="J400" s="4"/>
      <c r="K400" s="4"/>
      <c r="L400" s="4"/>
      <c r="M400" s="4"/>
      <c r="N400" s="4"/>
      <c r="O400" s="4"/>
      <c r="P400" s="4"/>
      <c r="Q400" s="4"/>
      <c r="R400" s="4"/>
      <c r="S400" s="4"/>
      <c r="T400" s="4"/>
      <c r="U400" s="4"/>
      <c r="V400" s="4"/>
      <c r="W400" s="4"/>
      <c r="X400" s="4"/>
    </row>
    <row r="401">
      <c r="A401" s="4"/>
      <c r="B401" s="46"/>
      <c r="C401" s="4"/>
      <c r="D401" s="4"/>
      <c r="E401" s="4"/>
      <c r="F401" s="4"/>
      <c r="G401" s="4"/>
      <c r="H401" s="4"/>
      <c r="I401" s="4"/>
      <c r="J401" s="4"/>
      <c r="K401" s="4"/>
      <c r="L401" s="4"/>
      <c r="M401" s="4"/>
      <c r="N401" s="4"/>
      <c r="O401" s="4"/>
      <c r="P401" s="4"/>
      <c r="Q401" s="4"/>
      <c r="R401" s="4"/>
      <c r="S401" s="4"/>
      <c r="T401" s="4"/>
      <c r="U401" s="4"/>
      <c r="V401" s="4"/>
      <c r="W401" s="4"/>
      <c r="X401" s="4"/>
    </row>
    <row r="402">
      <c r="A402" s="4"/>
      <c r="B402" s="46"/>
      <c r="C402" s="4"/>
      <c r="D402" s="4"/>
      <c r="E402" s="4"/>
      <c r="F402" s="4"/>
      <c r="G402" s="4"/>
      <c r="H402" s="4"/>
      <c r="I402" s="4"/>
      <c r="J402" s="4"/>
      <c r="K402" s="4"/>
      <c r="L402" s="4"/>
      <c r="M402" s="4"/>
      <c r="N402" s="4"/>
      <c r="O402" s="4"/>
      <c r="P402" s="4"/>
      <c r="Q402" s="4"/>
      <c r="R402" s="4"/>
      <c r="S402" s="4"/>
      <c r="T402" s="4"/>
      <c r="U402" s="4"/>
      <c r="V402" s="4"/>
      <c r="W402" s="4"/>
      <c r="X402" s="4"/>
    </row>
    <row r="403">
      <c r="A403" s="4"/>
      <c r="B403" s="46"/>
      <c r="C403" s="4"/>
      <c r="D403" s="4"/>
      <c r="E403" s="4"/>
      <c r="F403" s="4"/>
      <c r="G403" s="4"/>
      <c r="H403" s="4"/>
      <c r="I403" s="4"/>
      <c r="J403" s="4"/>
      <c r="K403" s="4"/>
      <c r="L403" s="4"/>
      <c r="M403" s="4"/>
      <c r="N403" s="4"/>
      <c r="O403" s="4"/>
      <c r="P403" s="4"/>
      <c r="Q403" s="4"/>
      <c r="R403" s="4"/>
      <c r="S403" s="4"/>
      <c r="T403" s="4"/>
      <c r="U403" s="4"/>
      <c r="V403" s="4"/>
      <c r="W403" s="4"/>
      <c r="X403" s="4"/>
    </row>
    <row r="404">
      <c r="A404" s="4"/>
      <c r="B404" s="46"/>
      <c r="C404" s="4"/>
      <c r="D404" s="4"/>
      <c r="E404" s="4"/>
      <c r="F404" s="4"/>
      <c r="G404" s="4"/>
      <c r="H404" s="4"/>
      <c r="I404" s="4"/>
      <c r="J404" s="4"/>
      <c r="K404" s="4"/>
      <c r="L404" s="4"/>
      <c r="M404" s="4"/>
      <c r="N404" s="4"/>
      <c r="O404" s="4"/>
      <c r="P404" s="4"/>
      <c r="Q404" s="4"/>
      <c r="R404" s="4"/>
      <c r="S404" s="4"/>
      <c r="T404" s="4"/>
      <c r="U404" s="4"/>
      <c r="V404" s="4"/>
      <c r="W404" s="4"/>
      <c r="X404" s="4"/>
    </row>
    <row r="405">
      <c r="A405" s="4"/>
      <c r="B405" s="46"/>
      <c r="C405" s="4"/>
      <c r="D405" s="4"/>
      <c r="E405" s="4"/>
      <c r="F405" s="4"/>
      <c r="G405" s="4"/>
      <c r="H405" s="4"/>
      <c r="I405" s="4"/>
      <c r="J405" s="4"/>
      <c r="K405" s="4"/>
      <c r="L405" s="4"/>
      <c r="M405" s="4"/>
      <c r="N405" s="4"/>
      <c r="O405" s="4"/>
      <c r="P405" s="4"/>
      <c r="Q405" s="4"/>
      <c r="R405" s="4"/>
      <c r="S405" s="4"/>
      <c r="T405" s="4"/>
      <c r="U405" s="4"/>
      <c r="V405" s="4"/>
      <c r="W405" s="4"/>
      <c r="X405" s="4"/>
    </row>
    <row r="406">
      <c r="A406" s="4"/>
      <c r="B406" s="46"/>
      <c r="C406" s="4"/>
      <c r="D406" s="4"/>
      <c r="E406" s="4"/>
      <c r="F406" s="4"/>
      <c r="G406" s="4"/>
      <c r="H406" s="4"/>
      <c r="I406" s="4"/>
      <c r="J406" s="4"/>
      <c r="K406" s="4"/>
      <c r="L406" s="4"/>
      <c r="M406" s="4"/>
      <c r="N406" s="4"/>
      <c r="O406" s="4"/>
      <c r="P406" s="4"/>
      <c r="Q406" s="4"/>
      <c r="R406" s="4"/>
      <c r="S406" s="4"/>
      <c r="T406" s="4"/>
      <c r="U406" s="4"/>
      <c r="V406" s="4"/>
      <c r="W406" s="4"/>
      <c r="X406" s="4"/>
    </row>
    <row r="407">
      <c r="A407" s="4"/>
      <c r="B407" s="46"/>
      <c r="C407" s="4"/>
      <c r="D407" s="4"/>
      <c r="E407" s="4"/>
      <c r="F407" s="4"/>
      <c r="G407" s="4"/>
      <c r="H407" s="4"/>
      <c r="I407" s="4"/>
      <c r="J407" s="4"/>
      <c r="K407" s="4"/>
      <c r="L407" s="4"/>
      <c r="M407" s="4"/>
      <c r="N407" s="4"/>
      <c r="O407" s="4"/>
      <c r="P407" s="4"/>
      <c r="Q407" s="4"/>
      <c r="R407" s="4"/>
      <c r="S407" s="4"/>
      <c r="T407" s="4"/>
      <c r="U407" s="4"/>
      <c r="V407" s="4"/>
      <c r="W407" s="4"/>
      <c r="X407" s="4"/>
    </row>
    <row r="408">
      <c r="A408" s="4"/>
      <c r="B408" s="46"/>
      <c r="C408" s="4"/>
      <c r="D408" s="4"/>
      <c r="E408" s="4"/>
      <c r="F408" s="4"/>
      <c r="G408" s="4"/>
      <c r="H408" s="4"/>
      <c r="I408" s="4"/>
      <c r="J408" s="4"/>
      <c r="K408" s="4"/>
      <c r="L408" s="4"/>
      <c r="M408" s="4"/>
      <c r="N408" s="4"/>
      <c r="O408" s="4"/>
      <c r="P408" s="4"/>
      <c r="Q408" s="4"/>
      <c r="R408" s="4"/>
      <c r="S408" s="4"/>
      <c r="T408" s="4"/>
      <c r="U408" s="4"/>
      <c r="V408" s="4"/>
      <c r="W408" s="4"/>
      <c r="X408" s="4"/>
    </row>
    <row r="409">
      <c r="A409" s="4"/>
      <c r="B409" s="46"/>
      <c r="C409" s="4"/>
      <c r="D409" s="4"/>
      <c r="E409" s="4"/>
      <c r="F409" s="4"/>
      <c r="G409" s="4"/>
      <c r="H409" s="4"/>
      <c r="I409" s="4"/>
      <c r="J409" s="4"/>
      <c r="K409" s="4"/>
      <c r="L409" s="4"/>
      <c r="M409" s="4"/>
      <c r="N409" s="4"/>
      <c r="O409" s="4"/>
      <c r="P409" s="4"/>
      <c r="Q409" s="4"/>
      <c r="R409" s="4"/>
      <c r="S409" s="4"/>
      <c r="T409" s="4"/>
      <c r="U409" s="4"/>
      <c r="V409" s="4"/>
      <c r="W409" s="4"/>
      <c r="X409" s="4"/>
    </row>
    <row r="410">
      <c r="A410" s="4"/>
      <c r="B410" s="46"/>
      <c r="C410" s="4"/>
      <c r="D410" s="4"/>
      <c r="E410" s="4"/>
      <c r="F410" s="4"/>
      <c r="G410" s="4"/>
      <c r="H410" s="4"/>
      <c r="I410" s="4"/>
      <c r="J410" s="4"/>
      <c r="K410" s="4"/>
      <c r="L410" s="4"/>
      <c r="M410" s="4"/>
      <c r="N410" s="4"/>
      <c r="O410" s="4"/>
      <c r="P410" s="4"/>
      <c r="Q410" s="4"/>
      <c r="R410" s="4"/>
      <c r="S410" s="4"/>
      <c r="T410" s="4"/>
      <c r="U410" s="4"/>
      <c r="V410" s="4"/>
      <c r="W410" s="4"/>
      <c r="X410" s="4"/>
    </row>
    <row r="411">
      <c r="A411" s="4"/>
      <c r="B411" s="46"/>
      <c r="C411" s="4"/>
      <c r="D411" s="4"/>
      <c r="E411" s="4"/>
      <c r="F411" s="4"/>
      <c r="G411" s="4"/>
      <c r="H411" s="4"/>
      <c r="I411" s="4"/>
      <c r="J411" s="4"/>
      <c r="K411" s="4"/>
      <c r="L411" s="4"/>
      <c r="M411" s="4"/>
      <c r="N411" s="4"/>
      <c r="O411" s="4"/>
      <c r="P411" s="4"/>
      <c r="Q411" s="4"/>
      <c r="R411" s="4"/>
      <c r="S411" s="4"/>
      <c r="T411" s="4"/>
      <c r="U411" s="4"/>
      <c r="V411" s="4"/>
      <c r="W411" s="4"/>
      <c r="X411" s="4"/>
    </row>
    <row r="412">
      <c r="A412" s="4"/>
      <c r="B412" s="46"/>
      <c r="C412" s="4"/>
      <c r="D412" s="4"/>
      <c r="E412" s="4"/>
      <c r="F412" s="4"/>
      <c r="G412" s="4"/>
      <c r="H412" s="4"/>
      <c r="I412" s="4"/>
      <c r="J412" s="4"/>
      <c r="K412" s="4"/>
      <c r="L412" s="4"/>
      <c r="M412" s="4"/>
      <c r="N412" s="4"/>
      <c r="O412" s="4"/>
      <c r="P412" s="4"/>
      <c r="Q412" s="4"/>
      <c r="R412" s="4"/>
      <c r="S412" s="4"/>
      <c r="T412" s="4"/>
      <c r="U412" s="4"/>
      <c r="V412" s="4"/>
      <c r="W412" s="4"/>
      <c r="X412" s="4"/>
    </row>
    <row r="413">
      <c r="A413" s="4"/>
      <c r="B413" s="46"/>
      <c r="C413" s="4"/>
      <c r="D413" s="4"/>
      <c r="E413" s="4"/>
      <c r="F413" s="4"/>
      <c r="G413" s="4"/>
      <c r="H413" s="4"/>
      <c r="I413" s="4"/>
      <c r="J413" s="4"/>
      <c r="K413" s="4"/>
      <c r="L413" s="4"/>
      <c r="M413" s="4"/>
      <c r="N413" s="4"/>
      <c r="O413" s="4"/>
      <c r="P413" s="4"/>
      <c r="Q413" s="4"/>
      <c r="R413" s="4"/>
      <c r="S413" s="4"/>
      <c r="T413" s="4"/>
      <c r="U413" s="4"/>
      <c r="V413" s="4"/>
      <c r="W413" s="4"/>
      <c r="X413" s="4"/>
    </row>
    <row r="414">
      <c r="A414" s="4"/>
      <c r="B414" s="46"/>
      <c r="C414" s="4"/>
      <c r="D414" s="4"/>
      <c r="E414" s="4"/>
      <c r="F414" s="4"/>
      <c r="G414" s="4"/>
      <c r="H414" s="4"/>
      <c r="I414" s="4"/>
      <c r="J414" s="4"/>
      <c r="K414" s="4"/>
      <c r="L414" s="4"/>
      <c r="M414" s="4"/>
      <c r="N414" s="4"/>
      <c r="O414" s="4"/>
      <c r="P414" s="4"/>
      <c r="Q414" s="4"/>
      <c r="R414" s="4"/>
      <c r="S414" s="4"/>
      <c r="T414" s="4"/>
      <c r="U414" s="4"/>
      <c r="V414" s="4"/>
      <c r="W414" s="4"/>
      <c r="X414" s="4"/>
    </row>
    <row r="415">
      <c r="A415" s="4"/>
      <c r="B415" s="46"/>
      <c r="C415" s="4"/>
      <c r="D415" s="4"/>
      <c r="E415" s="4"/>
      <c r="F415" s="4"/>
      <c r="G415" s="4"/>
      <c r="H415" s="4"/>
      <c r="I415" s="4"/>
      <c r="J415" s="4"/>
      <c r="K415" s="4"/>
      <c r="L415" s="4"/>
      <c r="M415" s="4"/>
      <c r="N415" s="4"/>
      <c r="O415" s="4"/>
      <c r="P415" s="4"/>
      <c r="Q415" s="4"/>
      <c r="R415" s="4"/>
      <c r="S415" s="4"/>
      <c r="T415" s="4"/>
      <c r="U415" s="4"/>
      <c r="V415" s="4"/>
      <c r="W415" s="4"/>
      <c r="X415" s="4"/>
    </row>
    <row r="416">
      <c r="A416" s="4"/>
      <c r="B416" s="46"/>
      <c r="C416" s="4"/>
      <c r="D416" s="4"/>
      <c r="E416" s="4"/>
      <c r="F416" s="4"/>
      <c r="G416" s="4"/>
      <c r="H416" s="4"/>
      <c r="I416" s="4"/>
      <c r="J416" s="4"/>
      <c r="K416" s="4"/>
      <c r="L416" s="4"/>
      <c r="M416" s="4"/>
      <c r="N416" s="4"/>
      <c r="O416" s="4"/>
      <c r="P416" s="4"/>
      <c r="Q416" s="4"/>
      <c r="R416" s="4"/>
      <c r="S416" s="4"/>
      <c r="T416" s="4"/>
      <c r="U416" s="4"/>
      <c r="V416" s="4"/>
      <c r="W416" s="4"/>
      <c r="X416" s="4"/>
    </row>
    <row r="417">
      <c r="A417" s="4"/>
      <c r="B417" s="46"/>
      <c r="C417" s="4"/>
      <c r="D417" s="4"/>
      <c r="E417" s="4"/>
      <c r="F417" s="4"/>
      <c r="G417" s="4"/>
      <c r="H417" s="4"/>
      <c r="I417" s="4"/>
      <c r="J417" s="4"/>
      <c r="K417" s="4"/>
      <c r="L417" s="4"/>
      <c r="M417" s="4"/>
      <c r="N417" s="4"/>
      <c r="O417" s="4"/>
      <c r="P417" s="4"/>
      <c r="Q417" s="4"/>
      <c r="R417" s="4"/>
      <c r="S417" s="4"/>
      <c r="T417" s="4"/>
      <c r="U417" s="4"/>
      <c r="V417" s="4"/>
      <c r="W417" s="4"/>
      <c r="X417" s="4"/>
    </row>
    <row r="418">
      <c r="A418" s="4"/>
      <c r="B418" s="46"/>
      <c r="C418" s="4"/>
      <c r="D418" s="4"/>
      <c r="E418" s="4"/>
      <c r="F418" s="4"/>
      <c r="G418" s="4"/>
      <c r="H418" s="4"/>
      <c r="I418" s="4"/>
      <c r="J418" s="4"/>
      <c r="K418" s="4"/>
      <c r="L418" s="4"/>
      <c r="M418" s="4"/>
      <c r="N418" s="4"/>
      <c r="O418" s="4"/>
      <c r="P418" s="4"/>
      <c r="Q418" s="4"/>
      <c r="R418" s="4"/>
      <c r="S418" s="4"/>
      <c r="T418" s="4"/>
      <c r="U418" s="4"/>
      <c r="V418" s="4"/>
      <c r="W418" s="4"/>
      <c r="X418" s="4"/>
    </row>
    <row r="419">
      <c r="A419" s="4"/>
      <c r="B419" s="46"/>
      <c r="C419" s="4"/>
      <c r="D419" s="4"/>
      <c r="E419" s="4"/>
      <c r="F419" s="4"/>
      <c r="G419" s="4"/>
      <c r="H419" s="4"/>
      <c r="I419" s="4"/>
      <c r="J419" s="4"/>
      <c r="K419" s="4"/>
      <c r="L419" s="4"/>
      <c r="M419" s="4"/>
      <c r="N419" s="4"/>
      <c r="O419" s="4"/>
      <c r="P419" s="4"/>
      <c r="Q419" s="4"/>
      <c r="R419" s="4"/>
      <c r="S419" s="4"/>
      <c r="T419" s="4"/>
      <c r="U419" s="4"/>
      <c r="V419" s="4"/>
      <c r="W419" s="4"/>
      <c r="X419" s="4"/>
    </row>
    <row r="420">
      <c r="A420" s="4"/>
      <c r="B420" s="46"/>
      <c r="C420" s="4"/>
      <c r="D420" s="4"/>
      <c r="E420" s="4"/>
      <c r="F420" s="4"/>
      <c r="G420" s="4"/>
      <c r="H420" s="4"/>
      <c r="I420" s="4"/>
      <c r="J420" s="4"/>
      <c r="K420" s="4"/>
      <c r="L420" s="4"/>
      <c r="M420" s="4"/>
      <c r="N420" s="4"/>
      <c r="O420" s="4"/>
      <c r="P420" s="4"/>
      <c r="Q420" s="4"/>
      <c r="R420" s="4"/>
      <c r="S420" s="4"/>
      <c r="T420" s="4"/>
      <c r="U420" s="4"/>
      <c r="V420" s="4"/>
      <c r="W420" s="4"/>
      <c r="X420" s="4"/>
    </row>
    <row r="421">
      <c r="A421" s="4"/>
      <c r="B421" s="46"/>
      <c r="C421" s="4"/>
      <c r="D421" s="4"/>
      <c r="E421" s="4"/>
      <c r="F421" s="4"/>
      <c r="G421" s="4"/>
      <c r="H421" s="4"/>
      <c r="I421" s="4"/>
      <c r="J421" s="4"/>
      <c r="K421" s="4"/>
      <c r="L421" s="4"/>
      <c r="M421" s="4"/>
      <c r="N421" s="4"/>
      <c r="O421" s="4"/>
      <c r="P421" s="4"/>
      <c r="Q421" s="4"/>
      <c r="R421" s="4"/>
      <c r="S421" s="4"/>
      <c r="T421" s="4"/>
      <c r="U421" s="4"/>
      <c r="V421" s="4"/>
      <c r="W421" s="4"/>
      <c r="X421" s="4"/>
    </row>
    <row r="422">
      <c r="A422" s="4"/>
      <c r="B422" s="46"/>
      <c r="C422" s="4"/>
      <c r="D422" s="4"/>
      <c r="E422" s="4"/>
      <c r="F422" s="4"/>
      <c r="G422" s="4"/>
      <c r="H422" s="4"/>
      <c r="I422" s="4"/>
      <c r="J422" s="4"/>
      <c r="K422" s="4"/>
      <c r="L422" s="4"/>
      <c r="M422" s="4"/>
      <c r="N422" s="4"/>
      <c r="O422" s="4"/>
      <c r="P422" s="4"/>
      <c r="Q422" s="4"/>
      <c r="R422" s="4"/>
      <c r="S422" s="4"/>
      <c r="T422" s="4"/>
      <c r="U422" s="4"/>
      <c r="V422" s="4"/>
      <c r="W422" s="4"/>
      <c r="X422" s="4"/>
    </row>
    <row r="423">
      <c r="A423" s="4"/>
      <c r="B423" s="46"/>
      <c r="C423" s="4"/>
      <c r="D423" s="4"/>
      <c r="E423" s="4"/>
      <c r="F423" s="4"/>
      <c r="G423" s="4"/>
      <c r="H423" s="4"/>
      <c r="I423" s="4"/>
      <c r="J423" s="4"/>
      <c r="K423" s="4"/>
      <c r="L423" s="4"/>
      <c r="M423" s="4"/>
      <c r="N423" s="4"/>
      <c r="O423" s="4"/>
      <c r="P423" s="4"/>
      <c r="Q423" s="4"/>
      <c r="R423" s="4"/>
      <c r="S423" s="4"/>
      <c r="T423" s="4"/>
      <c r="U423" s="4"/>
      <c r="V423" s="4"/>
      <c r="W423" s="4"/>
      <c r="X423" s="4"/>
    </row>
    <row r="424">
      <c r="A424" s="4"/>
      <c r="B424" s="46"/>
      <c r="C424" s="4"/>
      <c r="D424" s="4"/>
      <c r="E424" s="4"/>
      <c r="F424" s="4"/>
      <c r="G424" s="4"/>
      <c r="H424" s="4"/>
      <c r="I424" s="4"/>
      <c r="J424" s="4"/>
      <c r="K424" s="4"/>
      <c r="L424" s="4"/>
      <c r="M424" s="4"/>
      <c r="N424" s="4"/>
      <c r="O424" s="4"/>
      <c r="P424" s="4"/>
      <c r="Q424" s="4"/>
      <c r="R424" s="4"/>
      <c r="S424" s="4"/>
      <c r="T424" s="4"/>
      <c r="U424" s="4"/>
      <c r="V424" s="4"/>
      <c r="W424" s="4"/>
      <c r="X424" s="4"/>
    </row>
    <row r="425">
      <c r="A425" s="4"/>
      <c r="B425" s="46"/>
      <c r="C425" s="4"/>
      <c r="D425" s="4"/>
      <c r="E425" s="4"/>
      <c r="F425" s="4"/>
      <c r="G425" s="4"/>
      <c r="H425" s="4"/>
      <c r="I425" s="4"/>
      <c r="J425" s="4"/>
      <c r="K425" s="4"/>
      <c r="L425" s="4"/>
      <c r="M425" s="4"/>
      <c r="N425" s="4"/>
      <c r="O425" s="4"/>
      <c r="P425" s="4"/>
      <c r="Q425" s="4"/>
      <c r="R425" s="4"/>
      <c r="S425" s="4"/>
      <c r="T425" s="4"/>
      <c r="U425" s="4"/>
      <c r="V425" s="4"/>
      <c r="W425" s="4"/>
      <c r="X425" s="4"/>
    </row>
    <row r="426">
      <c r="A426" s="4"/>
      <c r="B426" s="46"/>
      <c r="C426" s="4"/>
      <c r="D426" s="4"/>
      <c r="E426" s="4"/>
      <c r="F426" s="4"/>
      <c r="G426" s="4"/>
      <c r="H426" s="4"/>
      <c r="I426" s="4"/>
      <c r="J426" s="4"/>
      <c r="K426" s="4"/>
      <c r="L426" s="4"/>
      <c r="M426" s="4"/>
      <c r="N426" s="4"/>
      <c r="O426" s="4"/>
      <c r="P426" s="4"/>
      <c r="Q426" s="4"/>
      <c r="R426" s="4"/>
      <c r="S426" s="4"/>
      <c r="T426" s="4"/>
      <c r="U426" s="4"/>
      <c r="V426" s="4"/>
      <c r="W426" s="4"/>
      <c r="X426" s="4"/>
    </row>
    <row r="427">
      <c r="A427" s="4"/>
      <c r="B427" s="46"/>
      <c r="C427" s="4"/>
      <c r="D427" s="4"/>
      <c r="E427" s="4"/>
      <c r="F427" s="4"/>
      <c r="G427" s="4"/>
      <c r="H427" s="4"/>
      <c r="I427" s="4"/>
      <c r="J427" s="4"/>
      <c r="K427" s="4"/>
      <c r="L427" s="4"/>
      <c r="M427" s="4"/>
      <c r="N427" s="4"/>
      <c r="O427" s="4"/>
      <c r="P427" s="4"/>
      <c r="Q427" s="4"/>
      <c r="R427" s="4"/>
      <c r="S427" s="4"/>
      <c r="T427" s="4"/>
      <c r="U427" s="4"/>
      <c r="V427" s="4"/>
      <c r="W427" s="4"/>
      <c r="X427" s="4"/>
    </row>
    <row r="428">
      <c r="A428" s="4"/>
      <c r="B428" s="46"/>
      <c r="C428" s="4"/>
      <c r="D428" s="4"/>
      <c r="E428" s="4"/>
      <c r="F428" s="4"/>
      <c r="G428" s="4"/>
      <c r="H428" s="4"/>
      <c r="I428" s="4"/>
      <c r="J428" s="4"/>
      <c r="K428" s="4"/>
      <c r="L428" s="4"/>
      <c r="M428" s="4"/>
      <c r="N428" s="4"/>
      <c r="O428" s="4"/>
      <c r="P428" s="4"/>
      <c r="Q428" s="4"/>
      <c r="R428" s="4"/>
      <c r="S428" s="4"/>
      <c r="T428" s="4"/>
      <c r="U428" s="4"/>
      <c r="V428" s="4"/>
      <c r="W428" s="4"/>
      <c r="X428" s="4"/>
    </row>
    <row r="429">
      <c r="A429" s="4"/>
      <c r="B429" s="46"/>
      <c r="C429" s="4"/>
      <c r="D429" s="4"/>
      <c r="E429" s="4"/>
      <c r="F429" s="4"/>
      <c r="G429" s="4"/>
      <c r="H429" s="4"/>
      <c r="I429" s="4"/>
      <c r="J429" s="4"/>
      <c r="K429" s="4"/>
      <c r="L429" s="4"/>
      <c r="M429" s="4"/>
      <c r="N429" s="4"/>
      <c r="O429" s="4"/>
      <c r="P429" s="4"/>
      <c r="Q429" s="4"/>
      <c r="R429" s="4"/>
      <c r="S429" s="4"/>
      <c r="T429" s="4"/>
      <c r="U429" s="4"/>
      <c r="V429" s="4"/>
      <c r="W429" s="4"/>
      <c r="X429" s="4"/>
    </row>
    <row r="430">
      <c r="A430" s="4"/>
      <c r="B430" s="46"/>
      <c r="C430" s="4"/>
      <c r="D430" s="4"/>
      <c r="E430" s="4"/>
      <c r="F430" s="4"/>
      <c r="G430" s="4"/>
      <c r="H430" s="4"/>
      <c r="I430" s="4"/>
      <c r="J430" s="4"/>
      <c r="K430" s="4"/>
      <c r="L430" s="4"/>
      <c r="M430" s="4"/>
      <c r="N430" s="4"/>
      <c r="O430" s="4"/>
      <c r="P430" s="4"/>
      <c r="Q430" s="4"/>
      <c r="R430" s="4"/>
      <c r="S430" s="4"/>
      <c r="T430" s="4"/>
      <c r="U430" s="4"/>
      <c r="V430" s="4"/>
      <c r="W430" s="4"/>
      <c r="X430" s="4"/>
    </row>
    <row r="431">
      <c r="A431" s="4"/>
      <c r="B431" s="46"/>
      <c r="C431" s="4"/>
      <c r="D431" s="4"/>
      <c r="E431" s="4"/>
      <c r="F431" s="4"/>
      <c r="G431" s="4"/>
      <c r="H431" s="4"/>
      <c r="I431" s="4"/>
      <c r="J431" s="4"/>
      <c r="K431" s="4"/>
      <c r="L431" s="4"/>
      <c r="M431" s="4"/>
      <c r="N431" s="4"/>
      <c r="O431" s="4"/>
      <c r="P431" s="4"/>
      <c r="Q431" s="4"/>
      <c r="R431" s="4"/>
      <c r="S431" s="4"/>
      <c r="T431" s="4"/>
      <c r="U431" s="4"/>
      <c r="V431" s="4"/>
      <c r="W431" s="4"/>
      <c r="X431" s="4"/>
    </row>
    <row r="432">
      <c r="A432" s="4"/>
      <c r="B432" s="46"/>
      <c r="C432" s="4"/>
      <c r="D432" s="4"/>
      <c r="E432" s="4"/>
      <c r="F432" s="4"/>
      <c r="G432" s="4"/>
      <c r="H432" s="4"/>
      <c r="I432" s="4"/>
      <c r="J432" s="4"/>
      <c r="K432" s="4"/>
      <c r="L432" s="4"/>
      <c r="M432" s="4"/>
      <c r="N432" s="4"/>
      <c r="O432" s="4"/>
      <c r="P432" s="4"/>
      <c r="Q432" s="4"/>
      <c r="R432" s="4"/>
      <c r="S432" s="4"/>
      <c r="T432" s="4"/>
      <c r="U432" s="4"/>
      <c r="V432" s="4"/>
      <c r="W432" s="4"/>
      <c r="X432" s="4"/>
    </row>
    <row r="433">
      <c r="A433" s="4"/>
      <c r="B433" s="46"/>
      <c r="C433" s="4"/>
      <c r="D433" s="4"/>
      <c r="E433" s="4"/>
      <c r="F433" s="4"/>
      <c r="G433" s="4"/>
      <c r="H433" s="4"/>
      <c r="I433" s="4"/>
      <c r="J433" s="4"/>
      <c r="K433" s="4"/>
      <c r="L433" s="4"/>
      <c r="M433" s="4"/>
      <c r="N433" s="4"/>
      <c r="O433" s="4"/>
      <c r="P433" s="4"/>
      <c r="Q433" s="4"/>
      <c r="R433" s="4"/>
      <c r="S433" s="4"/>
      <c r="T433" s="4"/>
      <c r="U433" s="4"/>
      <c r="V433" s="4"/>
      <c r="W433" s="4"/>
      <c r="X433" s="4"/>
    </row>
    <row r="434">
      <c r="A434" s="4"/>
      <c r="B434" s="46"/>
      <c r="C434" s="4"/>
      <c r="D434" s="4"/>
      <c r="E434" s="4"/>
      <c r="F434" s="4"/>
      <c r="G434" s="4"/>
      <c r="H434" s="4"/>
      <c r="I434" s="4"/>
      <c r="J434" s="4"/>
      <c r="K434" s="4"/>
      <c r="L434" s="4"/>
      <c r="M434" s="4"/>
      <c r="N434" s="4"/>
      <c r="O434" s="4"/>
      <c r="P434" s="4"/>
      <c r="Q434" s="4"/>
      <c r="R434" s="4"/>
      <c r="S434" s="4"/>
      <c r="T434" s="4"/>
      <c r="U434" s="4"/>
      <c r="V434" s="4"/>
      <c r="W434" s="4"/>
      <c r="X434" s="4"/>
    </row>
    <row r="435">
      <c r="A435" s="4"/>
      <c r="B435" s="46"/>
      <c r="C435" s="4"/>
      <c r="D435" s="4"/>
      <c r="E435" s="4"/>
      <c r="F435" s="4"/>
      <c r="G435" s="4"/>
      <c r="H435" s="4"/>
      <c r="I435" s="4"/>
      <c r="J435" s="4"/>
      <c r="K435" s="4"/>
      <c r="L435" s="4"/>
      <c r="M435" s="4"/>
      <c r="N435" s="4"/>
      <c r="O435" s="4"/>
      <c r="P435" s="4"/>
      <c r="Q435" s="4"/>
      <c r="R435" s="4"/>
      <c r="S435" s="4"/>
      <c r="T435" s="4"/>
      <c r="U435" s="4"/>
      <c r="V435" s="4"/>
      <c r="W435" s="4"/>
      <c r="X435" s="4"/>
    </row>
    <row r="436">
      <c r="A436" s="4"/>
      <c r="B436" s="46"/>
      <c r="C436" s="4"/>
      <c r="D436" s="4"/>
      <c r="E436" s="4"/>
      <c r="F436" s="4"/>
      <c r="G436" s="4"/>
      <c r="H436" s="4"/>
      <c r="I436" s="4"/>
      <c r="J436" s="4"/>
      <c r="K436" s="4"/>
      <c r="L436" s="4"/>
      <c r="M436" s="4"/>
      <c r="N436" s="4"/>
      <c r="O436" s="4"/>
      <c r="P436" s="4"/>
      <c r="Q436" s="4"/>
      <c r="R436" s="4"/>
      <c r="S436" s="4"/>
      <c r="T436" s="4"/>
      <c r="U436" s="4"/>
      <c r="V436" s="4"/>
      <c r="W436" s="4"/>
      <c r="X436" s="4"/>
    </row>
    <row r="437">
      <c r="A437" s="4"/>
      <c r="B437" s="46"/>
      <c r="C437" s="4"/>
      <c r="D437" s="4"/>
      <c r="E437" s="4"/>
      <c r="F437" s="4"/>
      <c r="G437" s="4"/>
      <c r="H437" s="4"/>
      <c r="I437" s="4"/>
      <c r="J437" s="4"/>
      <c r="K437" s="4"/>
      <c r="L437" s="4"/>
      <c r="M437" s="4"/>
      <c r="N437" s="4"/>
      <c r="O437" s="4"/>
      <c r="P437" s="4"/>
      <c r="Q437" s="4"/>
      <c r="R437" s="4"/>
      <c r="S437" s="4"/>
      <c r="T437" s="4"/>
      <c r="U437" s="4"/>
      <c r="V437" s="4"/>
      <c r="W437" s="4"/>
      <c r="X437" s="4"/>
    </row>
    <row r="438">
      <c r="A438" s="4"/>
      <c r="B438" s="46"/>
      <c r="C438" s="4"/>
      <c r="D438" s="4"/>
      <c r="E438" s="4"/>
      <c r="F438" s="4"/>
      <c r="G438" s="4"/>
      <c r="H438" s="4"/>
      <c r="I438" s="4"/>
      <c r="J438" s="4"/>
      <c r="K438" s="4"/>
      <c r="L438" s="4"/>
      <c r="M438" s="4"/>
      <c r="N438" s="4"/>
      <c r="O438" s="4"/>
      <c r="P438" s="4"/>
      <c r="Q438" s="4"/>
      <c r="R438" s="4"/>
      <c r="S438" s="4"/>
      <c r="T438" s="4"/>
      <c r="U438" s="4"/>
      <c r="V438" s="4"/>
      <c r="W438" s="4"/>
      <c r="X438" s="4"/>
    </row>
    <row r="439">
      <c r="A439" s="4"/>
      <c r="B439" s="46"/>
      <c r="C439" s="4"/>
      <c r="D439" s="4"/>
      <c r="E439" s="4"/>
      <c r="F439" s="4"/>
      <c r="G439" s="4"/>
      <c r="H439" s="4"/>
      <c r="I439" s="4"/>
      <c r="J439" s="4"/>
      <c r="K439" s="4"/>
      <c r="L439" s="4"/>
      <c r="M439" s="4"/>
      <c r="N439" s="4"/>
      <c r="O439" s="4"/>
      <c r="P439" s="4"/>
      <c r="Q439" s="4"/>
      <c r="R439" s="4"/>
      <c r="S439" s="4"/>
      <c r="T439" s="4"/>
      <c r="U439" s="4"/>
      <c r="V439" s="4"/>
      <c r="W439" s="4"/>
      <c r="X439" s="4"/>
    </row>
    <row r="440">
      <c r="A440" s="4"/>
      <c r="B440" s="46"/>
      <c r="C440" s="4"/>
      <c r="D440" s="4"/>
      <c r="E440" s="4"/>
      <c r="F440" s="4"/>
      <c r="G440" s="4"/>
      <c r="H440" s="4"/>
      <c r="I440" s="4"/>
      <c r="J440" s="4"/>
      <c r="K440" s="4"/>
      <c r="L440" s="4"/>
      <c r="M440" s="4"/>
      <c r="N440" s="4"/>
      <c r="O440" s="4"/>
      <c r="P440" s="4"/>
      <c r="Q440" s="4"/>
      <c r="R440" s="4"/>
      <c r="S440" s="4"/>
      <c r="T440" s="4"/>
      <c r="U440" s="4"/>
      <c r="V440" s="4"/>
      <c r="W440" s="4"/>
      <c r="X440" s="4"/>
    </row>
    <row r="441">
      <c r="A441" s="4"/>
      <c r="B441" s="46"/>
      <c r="C441" s="4"/>
      <c r="D441" s="4"/>
      <c r="E441" s="4"/>
      <c r="F441" s="4"/>
      <c r="G441" s="4"/>
      <c r="H441" s="4"/>
      <c r="I441" s="4"/>
      <c r="J441" s="4"/>
      <c r="K441" s="4"/>
      <c r="L441" s="4"/>
      <c r="M441" s="4"/>
      <c r="N441" s="4"/>
      <c r="O441" s="4"/>
      <c r="P441" s="4"/>
      <c r="Q441" s="4"/>
      <c r="R441" s="4"/>
      <c r="S441" s="4"/>
      <c r="T441" s="4"/>
      <c r="U441" s="4"/>
      <c r="V441" s="4"/>
      <c r="W441" s="4"/>
      <c r="X441" s="4"/>
    </row>
    <row r="442">
      <c r="A442" s="4"/>
      <c r="B442" s="46"/>
      <c r="C442" s="4"/>
      <c r="D442" s="4"/>
      <c r="E442" s="4"/>
      <c r="F442" s="4"/>
      <c r="G442" s="4"/>
      <c r="H442" s="4"/>
      <c r="I442" s="4"/>
      <c r="J442" s="4"/>
      <c r="K442" s="4"/>
      <c r="L442" s="4"/>
      <c r="M442" s="4"/>
      <c r="N442" s="4"/>
      <c r="O442" s="4"/>
      <c r="P442" s="4"/>
      <c r="Q442" s="4"/>
      <c r="R442" s="4"/>
      <c r="S442" s="4"/>
      <c r="T442" s="4"/>
      <c r="U442" s="4"/>
      <c r="V442" s="4"/>
      <c r="W442" s="4"/>
      <c r="X442" s="4"/>
    </row>
    <row r="443">
      <c r="A443" s="4"/>
      <c r="B443" s="46"/>
      <c r="C443" s="4"/>
      <c r="D443" s="4"/>
      <c r="E443" s="4"/>
      <c r="F443" s="4"/>
      <c r="G443" s="4"/>
      <c r="H443" s="4"/>
      <c r="I443" s="4"/>
      <c r="J443" s="4"/>
      <c r="K443" s="4"/>
      <c r="L443" s="4"/>
      <c r="M443" s="4"/>
      <c r="N443" s="4"/>
      <c r="O443" s="4"/>
      <c r="P443" s="4"/>
      <c r="Q443" s="4"/>
      <c r="R443" s="4"/>
      <c r="S443" s="4"/>
      <c r="T443" s="4"/>
      <c r="U443" s="4"/>
      <c r="V443" s="4"/>
      <c r="W443" s="4"/>
      <c r="X443" s="4"/>
    </row>
    <row r="444">
      <c r="A444" s="4"/>
      <c r="B444" s="46"/>
      <c r="C444" s="4"/>
      <c r="D444" s="4"/>
      <c r="E444" s="4"/>
      <c r="F444" s="4"/>
      <c r="G444" s="4"/>
      <c r="H444" s="4"/>
      <c r="I444" s="4"/>
      <c r="J444" s="4"/>
      <c r="K444" s="4"/>
      <c r="L444" s="4"/>
      <c r="M444" s="4"/>
      <c r="N444" s="4"/>
      <c r="O444" s="4"/>
      <c r="P444" s="4"/>
      <c r="Q444" s="4"/>
      <c r="R444" s="4"/>
      <c r="S444" s="4"/>
      <c r="T444" s="4"/>
      <c r="U444" s="4"/>
      <c r="V444" s="4"/>
      <c r="W444" s="4"/>
      <c r="X444" s="4"/>
    </row>
    <row r="445">
      <c r="A445" s="4"/>
      <c r="B445" s="46"/>
      <c r="C445" s="4"/>
      <c r="D445" s="4"/>
      <c r="E445" s="4"/>
      <c r="F445" s="4"/>
      <c r="G445" s="4"/>
      <c r="H445" s="4"/>
      <c r="I445" s="4"/>
      <c r="J445" s="4"/>
      <c r="K445" s="4"/>
      <c r="L445" s="4"/>
      <c r="M445" s="4"/>
      <c r="N445" s="4"/>
      <c r="O445" s="4"/>
      <c r="P445" s="4"/>
      <c r="Q445" s="4"/>
      <c r="R445" s="4"/>
      <c r="S445" s="4"/>
      <c r="T445" s="4"/>
      <c r="U445" s="4"/>
      <c r="V445" s="4"/>
      <c r="W445" s="4"/>
      <c r="X445" s="4"/>
    </row>
    <row r="446">
      <c r="A446" s="4"/>
      <c r="B446" s="46"/>
      <c r="C446" s="4"/>
      <c r="D446" s="4"/>
      <c r="E446" s="4"/>
      <c r="F446" s="4"/>
      <c r="G446" s="4"/>
      <c r="H446" s="4"/>
      <c r="I446" s="4"/>
      <c r="J446" s="4"/>
      <c r="K446" s="4"/>
      <c r="L446" s="4"/>
      <c r="M446" s="4"/>
      <c r="N446" s="4"/>
      <c r="O446" s="4"/>
      <c r="P446" s="4"/>
      <c r="Q446" s="4"/>
      <c r="R446" s="4"/>
      <c r="S446" s="4"/>
      <c r="T446" s="4"/>
      <c r="U446" s="4"/>
      <c r="V446" s="4"/>
      <c r="W446" s="4"/>
      <c r="X446" s="4"/>
    </row>
    <row r="447">
      <c r="A447" s="4"/>
      <c r="B447" s="46"/>
      <c r="C447" s="4"/>
      <c r="D447" s="4"/>
      <c r="E447" s="4"/>
      <c r="F447" s="4"/>
      <c r="G447" s="4"/>
      <c r="H447" s="4"/>
      <c r="I447" s="4"/>
      <c r="J447" s="4"/>
      <c r="K447" s="4"/>
      <c r="L447" s="4"/>
      <c r="M447" s="4"/>
      <c r="N447" s="4"/>
      <c r="O447" s="4"/>
      <c r="P447" s="4"/>
      <c r="Q447" s="4"/>
      <c r="R447" s="4"/>
      <c r="S447" s="4"/>
      <c r="T447" s="4"/>
      <c r="U447" s="4"/>
      <c r="V447" s="4"/>
      <c r="W447" s="4"/>
      <c r="X447" s="4"/>
    </row>
    <row r="448">
      <c r="A448" s="4"/>
      <c r="B448" s="46"/>
      <c r="C448" s="4"/>
      <c r="D448" s="4"/>
      <c r="E448" s="4"/>
      <c r="F448" s="4"/>
      <c r="G448" s="4"/>
      <c r="H448" s="4"/>
      <c r="I448" s="4"/>
      <c r="J448" s="4"/>
      <c r="K448" s="4"/>
      <c r="L448" s="4"/>
      <c r="M448" s="4"/>
      <c r="N448" s="4"/>
      <c r="O448" s="4"/>
      <c r="P448" s="4"/>
      <c r="Q448" s="4"/>
      <c r="R448" s="4"/>
      <c r="S448" s="4"/>
      <c r="T448" s="4"/>
      <c r="U448" s="4"/>
      <c r="V448" s="4"/>
      <c r="W448" s="4"/>
      <c r="X448" s="4"/>
    </row>
    <row r="449">
      <c r="A449" s="4"/>
      <c r="B449" s="46"/>
      <c r="C449" s="4"/>
      <c r="D449" s="4"/>
      <c r="E449" s="4"/>
      <c r="F449" s="4"/>
      <c r="G449" s="4"/>
      <c r="H449" s="4"/>
      <c r="I449" s="4"/>
      <c r="J449" s="4"/>
      <c r="K449" s="4"/>
      <c r="L449" s="4"/>
      <c r="M449" s="4"/>
      <c r="N449" s="4"/>
      <c r="O449" s="4"/>
      <c r="P449" s="4"/>
      <c r="Q449" s="4"/>
      <c r="R449" s="4"/>
      <c r="S449" s="4"/>
      <c r="T449" s="4"/>
      <c r="U449" s="4"/>
      <c r="V449" s="4"/>
      <c r="W449" s="4"/>
      <c r="X449" s="4"/>
    </row>
    <row r="450">
      <c r="A450" s="4"/>
      <c r="B450" s="46"/>
      <c r="C450" s="4"/>
      <c r="D450" s="4"/>
      <c r="E450" s="4"/>
      <c r="F450" s="4"/>
      <c r="G450" s="4"/>
      <c r="H450" s="4"/>
      <c r="I450" s="4"/>
      <c r="J450" s="4"/>
      <c r="K450" s="4"/>
      <c r="L450" s="4"/>
      <c r="M450" s="4"/>
      <c r="N450" s="4"/>
      <c r="O450" s="4"/>
      <c r="P450" s="4"/>
      <c r="Q450" s="4"/>
      <c r="R450" s="4"/>
      <c r="S450" s="4"/>
      <c r="T450" s="4"/>
      <c r="U450" s="4"/>
      <c r="V450" s="4"/>
      <c r="W450" s="4"/>
      <c r="X450" s="4"/>
    </row>
    <row r="451">
      <c r="A451" s="4"/>
      <c r="B451" s="46"/>
      <c r="C451" s="4"/>
      <c r="D451" s="4"/>
      <c r="E451" s="4"/>
      <c r="F451" s="4"/>
      <c r="G451" s="4"/>
      <c r="H451" s="4"/>
      <c r="I451" s="4"/>
      <c r="J451" s="4"/>
      <c r="K451" s="4"/>
      <c r="L451" s="4"/>
      <c r="M451" s="4"/>
      <c r="N451" s="4"/>
      <c r="O451" s="4"/>
      <c r="P451" s="4"/>
      <c r="Q451" s="4"/>
      <c r="R451" s="4"/>
      <c r="S451" s="4"/>
      <c r="T451" s="4"/>
      <c r="U451" s="4"/>
      <c r="V451" s="4"/>
      <c r="W451" s="4"/>
      <c r="X451" s="4"/>
    </row>
    <row r="452">
      <c r="A452" s="4"/>
      <c r="B452" s="46"/>
      <c r="C452" s="4"/>
      <c r="D452" s="4"/>
      <c r="E452" s="4"/>
      <c r="F452" s="4"/>
      <c r="G452" s="4"/>
      <c r="H452" s="4"/>
      <c r="I452" s="4"/>
      <c r="J452" s="4"/>
      <c r="K452" s="4"/>
      <c r="L452" s="4"/>
      <c r="M452" s="4"/>
      <c r="N452" s="4"/>
      <c r="O452" s="4"/>
      <c r="P452" s="4"/>
      <c r="Q452" s="4"/>
      <c r="R452" s="4"/>
      <c r="S452" s="4"/>
      <c r="T452" s="4"/>
      <c r="U452" s="4"/>
      <c r="V452" s="4"/>
      <c r="W452" s="4"/>
      <c r="X452" s="4"/>
    </row>
    <row r="453">
      <c r="A453" s="4"/>
      <c r="B453" s="46"/>
      <c r="C453" s="4"/>
      <c r="D453" s="4"/>
      <c r="E453" s="4"/>
      <c r="F453" s="4"/>
      <c r="G453" s="4"/>
      <c r="H453" s="4"/>
      <c r="I453" s="4"/>
      <c r="J453" s="4"/>
      <c r="K453" s="4"/>
      <c r="L453" s="4"/>
      <c r="M453" s="4"/>
      <c r="N453" s="4"/>
      <c r="O453" s="4"/>
      <c r="P453" s="4"/>
      <c r="Q453" s="4"/>
      <c r="R453" s="4"/>
      <c r="S453" s="4"/>
      <c r="T453" s="4"/>
      <c r="U453" s="4"/>
      <c r="V453" s="4"/>
      <c r="W453" s="4"/>
      <c r="X453" s="4"/>
    </row>
    <row r="454">
      <c r="A454" s="4"/>
      <c r="B454" s="46"/>
      <c r="C454" s="4"/>
      <c r="D454" s="4"/>
      <c r="E454" s="4"/>
      <c r="F454" s="4"/>
      <c r="G454" s="4"/>
      <c r="H454" s="4"/>
      <c r="I454" s="4"/>
      <c r="J454" s="4"/>
      <c r="K454" s="4"/>
      <c r="L454" s="4"/>
      <c r="M454" s="4"/>
      <c r="N454" s="4"/>
      <c r="O454" s="4"/>
      <c r="P454" s="4"/>
      <c r="Q454" s="4"/>
      <c r="R454" s="4"/>
      <c r="S454" s="4"/>
      <c r="T454" s="4"/>
      <c r="U454" s="4"/>
      <c r="V454" s="4"/>
      <c r="W454" s="4"/>
      <c r="X454" s="4"/>
    </row>
    <row r="455">
      <c r="A455" s="4"/>
      <c r="B455" s="46"/>
      <c r="C455" s="4"/>
      <c r="D455" s="4"/>
      <c r="E455" s="4"/>
      <c r="F455" s="4"/>
      <c r="G455" s="4"/>
      <c r="H455" s="4"/>
      <c r="I455" s="4"/>
      <c r="J455" s="4"/>
      <c r="K455" s="4"/>
      <c r="L455" s="4"/>
      <c r="M455" s="4"/>
      <c r="N455" s="4"/>
      <c r="O455" s="4"/>
      <c r="P455" s="4"/>
      <c r="Q455" s="4"/>
      <c r="R455" s="4"/>
      <c r="S455" s="4"/>
      <c r="T455" s="4"/>
      <c r="U455" s="4"/>
      <c r="V455" s="4"/>
      <c r="W455" s="4"/>
      <c r="X455" s="4"/>
    </row>
    <row r="456">
      <c r="A456" s="4"/>
      <c r="B456" s="46"/>
      <c r="C456" s="4"/>
      <c r="D456" s="4"/>
      <c r="E456" s="4"/>
      <c r="F456" s="4"/>
      <c r="G456" s="4"/>
      <c r="H456" s="4"/>
      <c r="I456" s="4"/>
      <c r="J456" s="4"/>
      <c r="K456" s="4"/>
      <c r="L456" s="4"/>
      <c r="M456" s="4"/>
      <c r="N456" s="4"/>
      <c r="O456" s="4"/>
      <c r="P456" s="4"/>
      <c r="Q456" s="4"/>
      <c r="R456" s="4"/>
      <c r="S456" s="4"/>
      <c r="T456" s="4"/>
      <c r="U456" s="4"/>
      <c r="V456" s="4"/>
      <c r="W456" s="4"/>
      <c r="X456" s="4"/>
    </row>
    <row r="457">
      <c r="A457" s="4"/>
      <c r="B457" s="46"/>
      <c r="C457" s="4"/>
      <c r="D457" s="4"/>
      <c r="E457" s="4"/>
      <c r="F457" s="4"/>
      <c r="G457" s="4"/>
      <c r="H457" s="4"/>
      <c r="I457" s="4"/>
      <c r="J457" s="4"/>
      <c r="K457" s="4"/>
      <c r="L457" s="4"/>
      <c r="M457" s="4"/>
      <c r="N457" s="4"/>
      <c r="O457" s="4"/>
      <c r="P457" s="4"/>
      <c r="Q457" s="4"/>
      <c r="R457" s="4"/>
      <c r="S457" s="4"/>
      <c r="T457" s="4"/>
      <c r="U457" s="4"/>
      <c r="V457" s="4"/>
      <c r="W457" s="4"/>
      <c r="X457" s="4"/>
    </row>
    <row r="458">
      <c r="A458" s="4"/>
      <c r="B458" s="46"/>
      <c r="C458" s="4"/>
      <c r="D458" s="4"/>
      <c r="E458" s="4"/>
      <c r="F458" s="4"/>
      <c r="G458" s="4"/>
      <c r="H458" s="4"/>
      <c r="I458" s="4"/>
      <c r="J458" s="4"/>
      <c r="K458" s="4"/>
      <c r="L458" s="4"/>
      <c r="M458" s="4"/>
      <c r="N458" s="4"/>
      <c r="O458" s="4"/>
      <c r="P458" s="4"/>
      <c r="Q458" s="4"/>
      <c r="R458" s="4"/>
      <c r="S458" s="4"/>
      <c r="T458" s="4"/>
      <c r="U458" s="4"/>
      <c r="V458" s="4"/>
      <c r="W458" s="4"/>
      <c r="X458" s="4"/>
    </row>
    <row r="459">
      <c r="A459" s="4"/>
      <c r="B459" s="46"/>
      <c r="C459" s="4"/>
      <c r="D459" s="4"/>
      <c r="E459" s="4"/>
      <c r="F459" s="4"/>
      <c r="G459" s="4"/>
      <c r="H459" s="4"/>
      <c r="I459" s="4"/>
      <c r="J459" s="4"/>
      <c r="K459" s="4"/>
      <c r="L459" s="4"/>
      <c r="M459" s="4"/>
      <c r="N459" s="4"/>
      <c r="O459" s="4"/>
      <c r="P459" s="4"/>
      <c r="Q459" s="4"/>
      <c r="R459" s="4"/>
      <c r="S459" s="4"/>
      <c r="T459" s="4"/>
      <c r="U459" s="4"/>
      <c r="V459" s="4"/>
      <c r="W459" s="4"/>
      <c r="X459" s="4"/>
    </row>
    <row r="460">
      <c r="A460" s="4"/>
      <c r="B460" s="46"/>
      <c r="C460" s="4"/>
      <c r="D460" s="4"/>
      <c r="E460" s="4"/>
      <c r="F460" s="4"/>
      <c r="G460" s="4"/>
      <c r="H460" s="4"/>
      <c r="I460" s="4"/>
      <c r="J460" s="4"/>
      <c r="K460" s="4"/>
      <c r="L460" s="4"/>
      <c r="M460" s="4"/>
      <c r="N460" s="4"/>
      <c r="O460" s="4"/>
      <c r="P460" s="4"/>
      <c r="Q460" s="4"/>
      <c r="R460" s="4"/>
      <c r="S460" s="4"/>
      <c r="T460" s="4"/>
      <c r="U460" s="4"/>
      <c r="V460" s="4"/>
      <c r="W460" s="4"/>
      <c r="X460" s="4"/>
    </row>
    <row r="461">
      <c r="A461" s="4"/>
      <c r="B461" s="46"/>
      <c r="C461" s="4"/>
      <c r="D461" s="4"/>
      <c r="E461" s="4"/>
      <c r="F461" s="4"/>
      <c r="G461" s="4"/>
      <c r="H461" s="4"/>
      <c r="I461" s="4"/>
      <c r="J461" s="4"/>
      <c r="K461" s="4"/>
      <c r="L461" s="4"/>
      <c r="M461" s="4"/>
      <c r="N461" s="4"/>
      <c r="O461" s="4"/>
      <c r="P461" s="4"/>
      <c r="Q461" s="4"/>
      <c r="R461" s="4"/>
      <c r="S461" s="4"/>
      <c r="T461" s="4"/>
      <c r="U461" s="4"/>
      <c r="V461" s="4"/>
      <c r="W461" s="4"/>
      <c r="X461" s="4"/>
    </row>
    <row r="462">
      <c r="A462" s="4"/>
      <c r="B462" s="46"/>
      <c r="C462" s="4"/>
      <c r="D462" s="4"/>
      <c r="E462" s="4"/>
      <c r="F462" s="4"/>
      <c r="G462" s="4"/>
      <c r="H462" s="4"/>
      <c r="I462" s="4"/>
      <c r="J462" s="4"/>
      <c r="K462" s="4"/>
      <c r="L462" s="4"/>
      <c r="M462" s="4"/>
      <c r="N462" s="4"/>
      <c r="O462" s="4"/>
      <c r="P462" s="4"/>
      <c r="Q462" s="4"/>
      <c r="R462" s="4"/>
      <c r="S462" s="4"/>
      <c r="T462" s="4"/>
      <c r="U462" s="4"/>
      <c r="V462" s="4"/>
      <c r="W462" s="4"/>
      <c r="X462" s="4"/>
    </row>
    <row r="463">
      <c r="A463" s="4"/>
      <c r="B463" s="46"/>
      <c r="C463" s="4"/>
      <c r="D463" s="4"/>
      <c r="E463" s="4"/>
      <c r="F463" s="4"/>
      <c r="G463" s="4"/>
      <c r="H463" s="4"/>
      <c r="I463" s="4"/>
      <c r="J463" s="4"/>
      <c r="K463" s="4"/>
      <c r="L463" s="4"/>
      <c r="M463" s="4"/>
      <c r="N463" s="4"/>
      <c r="O463" s="4"/>
      <c r="P463" s="4"/>
      <c r="Q463" s="4"/>
      <c r="R463" s="4"/>
      <c r="S463" s="4"/>
      <c r="T463" s="4"/>
      <c r="U463" s="4"/>
      <c r="V463" s="4"/>
      <c r="W463" s="4"/>
      <c r="X463" s="4"/>
    </row>
    <row r="464">
      <c r="A464" s="4"/>
      <c r="B464" s="46"/>
      <c r="C464" s="4"/>
      <c r="D464" s="4"/>
      <c r="E464" s="4"/>
      <c r="F464" s="4"/>
      <c r="G464" s="4"/>
      <c r="H464" s="4"/>
      <c r="I464" s="4"/>
      <c r="J464" s="4"/>
      <c r="K464" s="4"/>
      <c r="L464" s="4"/>
      <c r="M464" s="4"/>
      <c r="N464" s="4"/>
      <c r="O464" s="4"/>
      <c r="P464" s="4"/>
      <c r="Q464" s="4"/>
      <c r="R464" s="4"/>
      <c r="S464" s="4"/>
      <c r="T464" s="4"/>
      <c r="U464" s="4"/>
      <c r="V464" s="4"/>
      <c r="W464" s="4"/>
      <c r="X464" s="4"/>
    </row>
    <row r="465">
      <c r="A465" s="4"/>
      <c r="B465" s="46"/>
      <c r="C465" s="4"/>
      <c r="D465" s="4"/>
      <c r="E465" s="4"/>
      <c r="F465" s="4"/>
      <c r="G465" s="4"/>
      <c r="H465" s="4"/>
      <c r="I465" s="4"/>
      <c r="J465" s="4"/>
      <c r="K465" s="4"/>
      <c r="L465" s="4"/>
      <c r="M465" s="4"/>
      <c r="N465" s="4"/>
      <c r="O465" s="4"/>
      <c r="P465" s="4"/>
      <c r="Q465" s="4"/>
      <c r="R465" s="4"/>
      <c r="S465" s="4"/>
      <c r="T465" s="4"/>
      <c r="U465" s="4"/>
      <c r="V465" s="4"/>
      <c r="W465" s="4"/>
      <c r="X465" s="4"/>
    </row>
    <row r="466">
      <c r="A466" s="4"/>
      <c r="B466" s="46"/>
      <c r="C466" s="4"/>
      <c r="D466" s="4"/>
      <c r="E466" s="4"/>
      <c r="F466" s="4"/>
      <c r="G466" s="4"/>
      <c r="H466" s="4"/>
      <c r="I466" s="4"/>
      <c r="J466" s="4"/>
      <c r="K466" s="4"/>
      <c r="L466" s="4"/>
      <c r="M466" s="4"/>
      <c r="N466" s="4"/>
      <c r="O466" s="4"/>
      <c r="P466" s="4"/>
      <c r="Q466" s="4"/>
      <c r="R466" s="4"/>
      <c r="S466" s="4"/>
      <c r="T466" s="4"/>
      <c r="U466" s="4"/>
      <c r="V466" s="4"/>
      <c r="W466" s="4"/>
      <c r="X466" s="4"/>
    </row>
    <row r="467">
      <c r="A467" s="4"/>
      <c r="B467" s="46"/>
      <c r="C467" s="4"/>
      <c r="D467" s="4"/>
      <c r="E467" s="4"/>
      <c r="F467" s="4"/>
      <c r="G467" s="4"/>
      <c r="H467" s="4"/>
      <c r="I467" s="4"/>
      <c r="J467" s="4"/>
      <c r="K467" s="4"/>
      <c r="L467" s="4"/>
      <c r="M467" s="4"/>
      <c r="N467" s="4"/>
      <c r="O467" s="4"/>
      <c r="P467" s="4"/>
      <c r="Q467" s="4"/>
      <c r="R467" s="4"/>
      <c r="S467" s="4"/>
      <c r="T467" s="4"/>
      <c r="U467" s="4"/>
      <c r="V467" s="4"/>
      <c r="W467" s="4"/>
      <c r="X467" s="4"/>
    </row>
    <row r="468">
      <c r="A468" s="4"/>
      <c r="B468" s="46"/>
      <c r="C468" s="4"/>
      <c r="D468" s="4"/>
      <c r="E468" s="4"/>
      <c r="F468" s="4"/>
      <c r="G468" s="4"/>
      <c r="H468" s="4"/>
      <c r="I468" s="4"/>
      <c r="J468" s="4"/>
      <c r="K468" s="4"/>
      <c r="L468" s="4"/>
      <c r="M468" s="4"/>
      <c r="N468" s="4"/>
      <c r="O468" s="4"/>
      <c r="P468" s="4"/>
      <c r="Q468" s="4"/>
      <c r="R468" s="4"/>
      <c r="S468" s="4"/>
      <c r="T468" s="4"/>
      <c r="U468" s="4"/>
      <c r="V468" s="4"/>
      <c r="W468" s="4"/>
      <c r="X468" s="4"/>
    </row>
    <row r="469">
      <c r="A469" s="4"/>
      <c r="B469" s="46"/>
      <c r="C469" s="4"/>
      <c r="D469" s="4"/>
      <c r="E469" s="4"/>
      <c r="F469" s="4"/>
      <c r="G469" s="4"/>
      <c r="H469" s="4"/>
      <c r="I469" s="4"/>
      <c r="J469" s="4"/>
      <c r="K469" s="4"/>
      <c r="L469" s="4"/>
      <c r="M469" s="4"/>
      <c r="N469" s="4"/>
      <c r="O469" s="4"/>
      <c r="P469" s="4"/>
      <c r="Q469" s="4"/>
      <c r="R469" s="4"/>
      <c r="S469" s="4"/>
      <c r="T469" s="4"/>
      <c r="U469" s="4"/>
      <c r="V469" s="4"/>
      <c r="W469" s="4"/>
      <c r="X469" s="4"/>
    </row>
    <row r="470">
      <c r="A470" s="4"/>
      <c r="B470" s="46"/>
      <c r="C470" s="4"/>
      <c r="D470" s="4"/>
      <c r="E470" s="4"/>
      <c r="F470" s="4"/>
      <c r="G470" s="4"/>
      <c r="H470" s="4"/>
      <c r="I470" s="4"/>
      <c r="J470" s="4"/>
      <c r="K470" s="4"/>
      <c r="L470" s="4"/>
      <c r="M470" s="4"/>
      <c r="N470" s="4"/>
      <c r="O470" s="4"/>
      <c r="P470" s="4"/>
      <c r="Q470" s="4"/>
      <c r="R470" s="4"/>
      <c r="S470" s="4"/>
      <c r="T470" s="4"/>
      <c r="U470" s="4"/>
      <c r="V470" s="4"/>
      <c r="W470" s="4"/>
      <c r="X470" s="4"/>
    </row>
    <row r="471">
      <c r="A471" s="4"/>
      <c r="B471" s="46"/>
      <c r="C471" s="4"/>
      <c r="D471" s="4"/>
      <c r="E471" s="4"/>
      <c r="F471" s="4"/>
      <c r="G471" s="4"/>
      <c r="H471" s="4"/>
      <c r="I471" s="4"/>
      <c r="J471" s="4"/>
      <c r="K471" s="4"/>
      <c r="L471" s="4"/>
      <c r="M471" s="4"/>
      <c r="N471" s="4"/>
      <c r="O471" s="4"/>
      <c r="P471" s="4"/>
      <c r="Q471" s="4"/>
      <c r="R471" s="4"/>
      <c r="S471" s="4"/>
      <c r="T471" s="4"/>
      <c r="U471" s="4"/>
      <c r="V471" s="4"/>
      <c r="W471" s="4"/>
      <c r="X471" s="4"/>
    </row>
    <row r="472">
      <c r="A472" s="4"/>
      <c r="B472" s="46"/>
      <c r="C472" s="4"/>
      <c r="D472" s="4"/>
      <c r="E472" s="4"/>
      <c r="F472" s="4"/>
      <c r="G472" s="4"/>
      <c r="H472" s="4"/>
      <c r="I472" s="4"/>
      <c r="J472" s="4"/>
      <c r="K472" s="4"/>
      <c r="L472" s="4"/>
      <c r="M472" s="4"/>
      <c r="N472" s="4"/>
      <c r="O472" s="4"/>
      <c r="P472" s="4"/>
      <c r="Q472" s="4"/>
      <c r="R472" s="4"/>
      <c r="S472" s="4"/>
      <c r="T472" s="4"/>
      <c r="U472" s="4"/>
      <c r="V472" s="4"/>
      <c r="W472" s="4"/>
      <c r="X472" s="4"/>
    </row>
    <row r="473">
      <c r="A473" s="4"/>
      <c r="B473" s="46"/>
      <c r="C473" s="4"/>
      <c r="D473" s="4"/>
      <c r="E473" s="4"/>
      <c r="F473" s="4"/>
      <c r="G473" s="4"/>
      <c r="H473" s="4"/>
      <c r="I473" s="4"/>
      <c r="J473" s="4"/>
      <c r="K473" s="4"/>
      <c r="L473" s="4"/>
      <c r="M473" s="4"/>
      <c r="N473" s="4"/>
      <c r="O473" s="4"/>
      <c r="P473" s="4"/>
      <c r="Q473" s="4"/>
      <c r="R473" s="4"/>
      <c r="S473" s="4"/>
      <c r="T473" s="4"/>
      <c r="U473" s="4"/>
      <c r="V473" s="4"/>
      <c r="W473" s="4"/>
      <c r="X473" s="4"/>
    </row>
    <row r="474">
      <c r="A474" s="4"/>
      <c r="B474" s="46"/>
      <c r="C474" s="4"/>
      <c r="D474" s="4"/>
      <c r="E474" s="4"/>
      <c r="F474" s="4"/>
      <c r="G474" s="4"/>
      <c r="H474" s="4"/>
      <c r="I474" s="4"/>
      <c r="J474" s="4"/>
      <c r="K474" s="4"/>
      <c r="L474" s="4"/>
      <c r="M474" s="4"/>
      <c r="N474" s="4"/>
      <c r="O474" s="4"/>
      <c r="P474" s="4"/>
      <c r="Q474" s="4"/>
      <c r="R474" s="4"/>
      <c r="S474" s="4"/>
      <c r="T474" s="4"/>
      <c r="U474" s="4"/>
      <c r="V474" s="4"/>
      <c r="W474" s="4"/>
      <c r="X474" s="4"/>
    </row>
    <row r="475">
      <c r="A475" s="4"/>
      <c r="B475" s="46"/>
      <c r="C475" s="4"/>
      <c r="D475" s="4"/>
      <c r="E475" s="4"/>
      <c r="F475" s="4"/>
      <c r="G475" s="4"/>
      <c r="H475" s="4"/>
      <c r="I475" s="4"/>
      <c r="J475" s="4"/>
      <c r="K475" s="4"/>
      <c r="L475" s="4"/>
      <c r="M475" s="4"/>
      <c r="N475" s="4"/>
      <c r="O475" s="4"/>
      <c r="P475" s="4"/>
      <c r="Q475" s="4"/>
      <c r="R475" s="4"/>
      <c r="S475" s="4"/>
      <c r="T475" s="4"/>
      <c r="U475" s="4"/>
      <c r="V475" s="4"/>
      <c r="W475" s="4"/>
      <c r="X475" s="4"/>
    </row>
    <row r="476">
      <c r="A476" s="4"/>
      <c r="B476" s="46"/>
      <c r="C476" s="4"/>
      <c r="D476" s="4"/>
      <c r="E476" s="4"/>
      <c r="F476" s="4"/>
      <c r="G476" s="4"/>
      <c r="H476" s="4"/>
      <c r="I476" s="4"/>
      <c r="J476" s="4"/>
      <c r="K476" s="4"/>
      <c r="L476" s="4"/>
      <c r="M476" s="4"/>
      <c r="N476" s="4"/>
      <c r="O476" s="4"/>
      <c r="P476" s="4"/>
      <c r="Q476" s="4"/>
      <c r="R476" s="4"/>
      <c r="S476" s="4"/>
      <c r="T476" s="4"/>
      <c r="U476" s="4"/>
      <c r="V476" s="4"/>
      <c r="W476" s="4"/>
      <c r="X476" s="4"/>
    </row>
    <row r="477">
      <c r="A477" s="4"/>
      <c r="B477" s="46"/>
      <c r="C477" s="4"/>
      <c r="D477" s="4"/>
      <c r="E477" s="4"/>
      <c r="F477" s="4"/>
      <c r="G477" s="4"/>
      <c r="H477" s="4"/>
      <c r="I477" s="4"/>
      <c r="J477" s="4"/>
      <c r="K477" s="4"/>
      <c r="L477" s="4"/>
      <c r="M477" s="4"/>
      <c r="N477" s="4"/>
      <c r="O477" s="4"/>
      <c r="P477" s="4"/>
      <c r="Q477" s="4"/>
      <c r="R477" s="4"/>
      <c r="S477" s="4"/>
      <c r="T477" s="4"/>
      <c r="U477" s="4"/>
      <c r="V477" s="4"/>
      <c r="W477" s="4"/>
      <c r="X477" s="4"/>
    </row>
    <row r="478">
      <c r="A478" s="4"/>
      <c r="B478" s="46"/>
      <c r="C478" s="4"/>
      <c r="D478" s="4"/>
      <c r="E478" s="4"/>
      <c r="F478" s="4"/>
      <c r="G478" s="4"/>
      <c r="H478" s="4"/>
      <c r="I478" s="4"/>
      <c r="J478" s="4"/>
      <c r="K478" s="4"/>
      <c r="L478" s="4"/>
      <c r="M478" s="4"/>
      <c r="N478" s="4"/>
      <c r="O478" s="4"/>
      <c r="P478" s="4"/>
      <c r="Q478" s="4"/>
      <c r="R478" s="4"/>
      <c r="S478" s="4"/>
      <c r="T478" s="4"/>
      <c r="U478" s="4"/>
      <c r="V478" s="4"/>
      <c r="W478" s="4"/>
      <c r="X478" s="4"/>
    </row>
    <row r="479">
      <c r="A479" s="4"/>
      <c r="B479" s="46"/>
      <c r="C479" s="4"/>
      <c r="D479" s="4"/>
      <c r="E479" s="4"/>
      <c r="F479" s="4"/>
      <c r="G479" s="4"/>
      <c r="H479" s="4"/>
      <c r="I479" s="4"/>
      <c r="J479" s="4"/>
      <c r="K479" s="4"/>
      <c r="L479" s="4"/>
      <c r="M479" s="4"/>
      <c r="N479" s="4"/>
      <c r="O479" s="4"/>
      <c r="P479" s="4"/>
      <c r="Q479" s="4"/>
      <c r="R479" s="4"/>
      <c r="S479" s="4"/>
      <c r="T479" s="4"/>
      <c r="U479" s="4"/>
      <c r="V479" s="4"/>
      <c r="W479" s="4"/>
      <c r="X479" s="4"/>
    </row>
    <row r="480">
      <c r="A480" s="4"/>
      <c r="B480" s="46"/>
      <c r="C480" s="4"/>
      <c r="D480" s="4"/>
      <c r="E480" s="4"/>
      <c r="F480" s="4"/>
      <c r="G480" s="4"/>
      <c r="H480" s="4"/>
      <c r="I480" s="4"/>
      <c r="J480" s="4"/>
      <c r="K480" s="4"/>
      <c r="L480" s="4"/>
      <c r="M480" s="4"/>
      <c r="N480" s="4"/>
      <c r="O480" s="4"/>
      <c r="P480" s="4"/>
      <c r="Q480" s="4"/>
      <c r="R480" s="4"/>
      <c r="S480" s="4"/>
      <c r="T480" s="4"/>
      <c r="U480" s="4"/>
      <c r="V480" s="4"/>
      <c r="W480" s="4"/>
      <c r="X480" s="4"/>
    </row>
    <row r="481">
      <c r="A481" s="4"/>
      <c r="B481" s="46"/>
      <c r="C481" s="4"/>
      <c r="D481" s="4"/>
      <c r="E481" s="4"/>
      <c r="F481" s="4"/>
      <c r="G481" s="4"/>
      <c r="H481" s="4"/>
      <c r="I481" s="4"/>
      <c r="J481" s="4"/>
      <c r="K481" s="4"/>
      <c r="L481" s="4"/>
      <c r="M481" s="4"/>
      <c r="N481" s="4"/>
      <c r="O481" s="4"/>
      <c r="P481" s="4"/>
      <c r="Q481" s="4"/>
      <c r="R481" s="4"/>
      <c r="S481" s="4"/>
      <c r="T481" s="4"/>
      <c r="U481" s="4"/>
      <c r="V481" s="4"/>
      <c r="W481" s="4"/>
      <c r="X481" s="4"/>
    </row>
    <row r="482">
      <c r="A482" s="4"/>
      <c r="B482" s="46"/>
      <c r="C482" s="4"/>
      <c r="D482" s="4"/>
      <c r="E482" s="4"/>
      <c r="F482" s="4"/>
      <c r="G482" s="4"/>
      <c r="H482" s="4"/>
      <c r="I482" s="4"/>
      <c r="J482" s="4"/>
      <c r="K482" s="4"/>
      <c r="L482" s="4"/>
      <c r="M482" s="4"/>
      <c r="N482" s="4"/>
      <c r="O482" s="4"/>
      <c r="P482" s="4"/>
      <c r="Q482" s="4"/>
      <c r="R482" s="4"/>
      <c r="S482" s="4"/>
      <c r="T482" s="4"/>
      <c r="U482" s="4"/>
      <c r="V482" s="4"/>
      <c r="W482" s="4"/>
      <c r="X482" s="4"/>
    </row>
    <row r="483">
      <c r="A483" s="4"/>
      <c r="B483" s="46"/>
      <c r="C483" s="4"/>
      <c r="D483" s="4"/>
      <c r="E483" s="4"/>
      <c r="F483" s="4"/>
      <c r="G483" s="4"/>
      <c r="H483" s="4"/>
      <c r="I483" s="4"/>
      <c r="J483" s="4"/>
      <c r="K483" s="4"/>
      <c r="L483" s="4"/>
      <c r="M483" s="4"/>
      <c r="N483" s="4"/>
      <c r="O483" s="4"/>
      <c r="P483" s="4"/>
      <c r="Q483" s="4"/>
      <c r="R483" s="4"/>
      <c r="S483" s="4"/>
      <c r="T483" s="4"/>
      <c r="U483" s="4"/>
      <c r="V483" s="4"/>
      <c r="W483" s="4"/>
      <c r="X483" s="4"/>
    </row>
    <row r="484">
      <c r="A484" s="4"/>
      <c r="B484" s="46"/>
      <c r="C484" s="4"/>
      <c r="D484" s="4"/>
      <c r="E484" s="4"/>
      <c r="F484" s="4"/>
      <c r="G484" s="4"/>
      <c r="H484" s="4"/>
      <c r="I484" s="4"/>
      <c r="J484" s="4"/>
      <c r="K484" s="4"/>
      <c r="L484" s="4"/>
      <c r="M484" s="4"/>
      <c r="N484" s="4"/>
      <c r="O484" s="4"/>
      <c r="P484" s="4"/>
      <c r="Q484" s="4"/>
      <c r="R484" s="4"/>
      <c r="S484" s="4"/>
      <c r="T484" s="4"/>
      <c r="U484" s="4"/>
      <c r="V484" s="4"/>
      <c r="W484" s="4"/>
      <c r="X484" s="4"/>
    </row>
    <row r="485">
      <c r="A485" s="4"/>
      <c r="B485" s="46"/>
      <c r="C485" s="4"/>
      <c r="D485" s="4"/>
      <c r="E485" s="4"/>
      <c r="F485" s="4"/>
      <c r="G485" s="4"/>
      <c r="H485" s="4"/>
      <c r="I485" s="4"/>
      <c r="J485" s="4"/>
      <c r="K485" s="4"/>
      <c r="L485" s="4"/>
      <c r="M485" s="4"/>
      <c r="N485" s="4"/>
      <c r="O485" s="4"/>
      <c r="P485" s="4"/>
      <c r="Q485" s="4"/>
      <c r="R485" s="4"/>
      <c r="S485" s="4"/>
      <c r="T485" s="4"/>
      <c r="U485" s="4"/>
      <c r="V485" s="4"/>
      <c r="W485" s="4"/>
      <c r="X485" s="4"/>
    </row>
    <row r="486">
      <c r="A486" s="4"/>
      <c r="B486" s="46"/>
      <c r="C486" s="4"/>
      <c r="D486" s="4"/>
      <c r="E486" s="4"/>
      <c r="F486" s="4"/>
      <c r="G486" s="4"/>
      <c r="H486" s="4"/>
      <c r="I486" s="4"/>
      <c r="J486" s="4"/>
      <c r="K486" s="4"/>
      <c r="L486" s="4"/>
      <c r="M486" s="4"/>
      <c r="N486" s="4"/>
      <c r="O486" s="4"/>
      <c r="P486" s="4"/>
      <c r="Q486" s="4"/>
      <c r="R486" s="4"/>
      <c r="S486" s="4"/>
      <c r="T486" s="4"/>
      <c r="U486" s="4"/>
      <c r="V486" s="4"/>
      <c r="W486" s="4"/>
      <c r="X486" s="4"/>
    </row>
    <row r="487">
      <c r="A487" s="4"/>
      <c r="B487" s="46"/>
      <c r="C487" s="4"/>
      <c r="D487" s="4"/>
      <c r="E487" s="4"/>
      <c r="F487" s="4"/>
      <c r="G487" s="4"/>
      <c r="H487" s="4"/>
      <c r="I487" s="4"/>
      <c r="J487" s="4"/>
      <c r="K487" s="4"/>
      <c r="L487" s="4"/>
      <c r="M487" s="4"/>
      <c r="N487" s="4"/>
      <c r="O487" s="4"/>
      <c r="P487" s="4"/>
      <c r="Q487" s="4"/>
      <c r="R487" s="4"/>
      <c r="S487" s="4"/>
      <c r="T487" s="4"/>
      <c r="U487" s="4"/>
      <c r="V487" s="4"/>
      <c r="W487" s="4"/>
      <c r="X487" s="4"/>
    </row>
    <row r="488">
      <c r="A488" s="4"/>
      <c r="B488" s="46"/>
      <c r="C488" s="4"/>
      <c r="D488" s="4"/>
      <c r="E488" s="4"/>
      <c r="F488" s="4"/>
      <c r="G488" s="4"/>
      <c r="H488" s="4"/>
      <c r="I488" s="4"/>
      <c r="J488" s="4"/>
      <c r="K488" s="4"/>
      <c r="L488" s="4"/>
      <c r="M488" s="4"/>
      <c r="N488" s="4"/>
      <c r="O488" s="4"/>
      <c r="P488" s="4"/>
      <c r="Q488" s="4"/>
      <c r="R488" s="4"/>
      <c r="S488" s="4"/>
      <c r="T488" s="4"/>
      <c r="U488" s="4"/>
      <c r="V488" s="4"/>
      <c r="W488" s="4"/>
      <c r="X488" s="4"/>
    </row>
    <row r="489">
      <c r="A489" s="4"/>
      <c r="B489" s="46"/>
      <c r="C489" s="4"/>
      <c r="D489" s="4"/>
      <c r="E489" s="4"/>
      <c r="F489" s="4"/>
      <c r="G489" s="4"/>
      <c r="H489" s="4"/>
      <c r="I489" s="4"/>
      <c r="J489" s="4"/>
      <c r="K489" s="4"/>
      <c r="L489" s="4"/>
      <c r="M489" s="4"/>
      <c r="N489" s="4"/>
      <c r="O489" s="4"/>
      <c r="P489" s="4"/>
      <c r="Q489" s="4"/>
      <c r="R489" s="4"/>
      <c r="S489" s="4"/>
      <c r="T489" s="4"/>
      <c r="U489" s="4"/>
      <c r="V489" s="4"/>
      <c r="W489" s="4"/>
      <c r="X489" s="4"/>
    </row>
    <row r="490">
      <c r="A490" s="4"/>
      <c r="B490" s="46"/>
      <c r="C490" s="4"/>
      <c r="D490" s="4"/>
      <c r="E490" s="4"/>
      <c r="F490" s="4"/>
      <c r="G490" s="4"/>
      <c r="H490" s="4"/>
      <c r="I490" s="4"/>
      <c r="J490" s="4"/>
      <c r="K490" s="4"/>
      <c r="L490" s="4"/>
      <c r="M490" s="4"/>
      <c r="N490" s="4"/>
      <c r="O490" s="4"/>
      <c r="P490" s="4"/>
      <c r="Q490" s="4"/>
      <c r="R490" s="4"/>
      <c r="S490" s="4"/>
      <c r="T490" s="4"/>
      <c r="U490" s="4"/>
      <c r="V490" s="4"/>
      <c r="W490" s="4"/>
      <c r="X490" s="4"/>
    </row>
    <row r="491">
      <c r="A491" s="4"/>
      <c r="B491" s="46"/>
      <c r="C491" s="4"/>
      <c r="D491" s="4"/>
      <c r="E491" s="4"/>
      <c r="F491" s="4"/>
      <c r="G491" s="4"/>
      <c r="H491" s="4"/>
      <c r="I491" s="4"/>
      <c r="J491" s="4"/>
      <c r="K491" s="4"/>
      <c r="L491" s="4"/>
      <c r="M491" s="4"/>
      <c r="N491" s="4"/>
      <c r="O491" s="4"/>
      <c r="P491" s="4"/>
      <c r="Q491" s="4"/>
      <c r="R491" s="4"/>
      <c r="S491" s="4"/>
      <c r="T491" s="4"/>
      <c r="U491" s="4"/>
      <c r="V491" s="4"/>
      <c r="W491" s="4"/>
      <c r="X491" s="4"/>
    </row>
    <row r="492">
      <c r="A492" s="4"/>
      <c r="B492" s="46"/>
      <c r="C492" s="4"/>
      <c r="D492" s="4"/>
      <c r="E492" s="4"/>
      <c r="F492" s="4"/>
      <c r="G492" s="4"/>
      <c r="H492" s="4"/>
      <c r="I492" s="4"/>
      <c r="J492" s="4"/>
      <c r="K492" s="4"/>
      <c r="L492" s="4"/>
      <c r="M492" s="4"/>
      <c r="N492" s="4"/>
      <c r="O492" s="4"/>
      <c r="P492" s="4"/>
      <c r="Q492" s="4"/>
      <c r="R492" s="4"/>
      <c r="S492" s="4"/>
      <c r="T492" s="4"/>
      <c r="U492" s="4"/>
      <c r="V492" s="4"/>
      <c r="W492" s="4"/>
      <c r="X492" s="4"/>
    </row>
    <row r="493">
      <c r="A493" s="4"/>
      <c r="B493" s="46"/>
      <c r="C493" s="4"/>
      <c r="D493" s="4"/>
      <c r="E493" s="4"/>
      <c r="F493" s="4"/>
      <c r="G493" s="4"/>
      <c r="H493" s="4"/>
      <c r="I493" s="4"/>
      <c r="J493" s="4"/>
      <c r="K493" s="4"/>
      <c r="L493" s="4"/>
      <c r="M493" s="4"/>
      <c r="N493" s="4"/>
      <c r="O493" s="4"/>
      <c r="P493" s="4"/>
      <c r="Q493" s="4"/>
      <c r="R493" s="4"/>
      <c r="S493" s="4"/>
      <c r="T493" s="4"/>
      <c r="U493" s="4"/>
      <c r="V493" s="4"/>
      <c r="W493" s="4"/>
      <c r="X493" s="4"/>
    </row>
    <row r="494">
      <c r="A494" s="4"/>
      <c r="B494" s="46"/>
      <c r="C494" s="4"/>
      <c r="D494" s="4"/>
      <c r="E494" s="4"/>
      <c r="F494" s="4"/>
      <c r="G494" s="4"/>
      <c r="H494" s="4"/>
      <c r="I494" s="4"/>
      <c r="J494" s="4"/>
      <c r="K494" s="4"/>
      <c r="L494" s="4"/>
      <c r="M494" s="4"/>
      <c r="N494" s="4"/>
      <c r="O494" s="4"/>
      <c r="P494" s="4"/>
      <c r="Q494" s="4"/>
      <c r="R494" s="4"/>
      <c r="S494" s="4"/>
      <c r="T494" s="4"/>
      <c r="U494" s="4"/>
      <c r="V494" s="4"/>
      <c r="W494" s="4"/>
      <c r="X494" s="4"/>
    </row>
    <row r="495">
      <c r="A495" s="4"/>
      <c r="B495" s="46"/>
      <c r="C495" s="4"/>
      <c r="D495" s="4"/>
      <c r="E495" s="4"/>
      <c r="F495" s="4"/>
      <c r="G495" s="4"/>
      <c r="H495" s="4"/>
      <c r="I495" s="4"/>
      <c r="J495" s="4"/>
      <c r="K495" s="4"/>
      <c r="L495" s="4"/>
      <c r="M495" s="4"/>
      <c r="N495" s="4"/>
      <c r="O495" s="4"/>
      <c r="P495" s="4"/>
      <c r="Q495" s="4"/>
      <c r="R495" s="4"/>
      <c r="S495" s="4"/>
      <c r="T495" s="4"/>
      <c r="U495" s="4"/>
      <c r="V495" s="4"/>
      <c r="W495" s="4"/>
      <c r="X495" s="4"/>
    </row>
    <row r="496">
      <c r="A496" s="4"/>
      <c r="B496" s="46"/>
      <c r="C496" s="4"/>
      <c r="D496" s="4"/>
      <c r="E496" s="4"/>
      <c r="F496" s="4"/>
      <c r="G496" s="4"/>
      <c r="H496" s="4"/>
      <c r="I496" s="4"/>
      <c r="J496" s="4"/>
      <c r="K496" s="4"/>
      <c r="L496" s="4"/>
      <c r="M496" s="4"/>
      <c r="N496" s="4"/>
      <c r="O496" s="4"/>
      <c r="P496" s="4"/>
      <c r="Q496" s="4"/>
      <c r="R496" s="4"/>
      <c r="S496" s="4"/>
      <c r="T496" s="4"/>
      <c r="U496" s="4"/>
      <c r="V496" s="4"/>
      <c r="W496" s="4"/>
      <c r="X496" s="4"/>
    </row>
    <row r="497">
      <c r="A497" s="4"/>
      <c r="B497" s="46"/>
      <c r="C497" s="4"/>
      <c r="D497" s="4"/>
      <c r="E497" s="4"/>
      <c r="F497" s="4"/>
      <c r="G497" s="4"/>
      <c r="H497" s="4"/>
      <c r="I497" s="4"/>
      <c r="J497" s="4"/>
      <c r="K497" s="4"/>
      <c r="L497" s="4"/>
      <c r="M497" s="4"/>
      <c r="N497" s="4"/>
      <c r="O497" s="4"/>
      <c r="P497" s="4"/>
      <c r="Q497" s="4"/>
      <c r="R497" s="4"/>
      <c r="S497" s="4"/>
      <c r="T497" s="4"/>
      <c r="U497" s="4"/>
      <c r="V497" s="4"/>
      <c r="W497" s="4"/>
      <c r="X497" s="4"/>
    </row>
    <row r="498">
      <c r="A498" s="4"/>
      <c r="B498" s="46"/>
      <c r="C498" s="4"/>
      <c r="D498" s="4"/>
      <c r="E498" s="4"/>
      <c r="F498" s="4"/>
      <c r="G498" s="4"/>
      <c r="H498" s="4"/>
      <c r="I498" s="4"/>
      <c r="J498" s="4"/>
      <c r="K498" s="4"/>
      <c r="L498" s="4"/>
      <c r="M498" s="4"/>
      <c r="N498" s="4"/>
      <c r="O498" s="4"/>
      <c r="P498" s="4"/>
      <c r="Q498" s="4"/>
      <c r="R498" s="4"/>
      <c r="S498" s="4"/>
      <c r="T498" s="4"/>
      <c r="U498" s="4"/>
      <c r="V498" s="4"/>
      <c r="W498" s="4"/>
      <c r="X498" s="4"/>
    </row>
    <row r="499">
      <c r="A499" s="4"/>
      <c r="B499" s="46"/>
      <c r="C499" s="4"/>
      <c r="D499" s="4"/>
      <c r="E499" s="4"/>
      <c r="F499" s="4"/>
      <c r="G499" s="4"/>
      <c r="H499" s="4"/>
      <c r="I499" s="4"/>
      <c r="J499" s="4"/>
      <c r="K499" s="4"/>
      <c r="L499" s="4"/>
      <c r="M499" s="4"/>
      <c r="N499" s="4"/>
      <c r="O499" s="4"/>
      <c r="P499" s="4"/>
      <c r="Q499" s="4"/>
      <c r="R499" s="4"/>
      <c r="S499" s="4"/>
      <c r="T499" s="4"/>
      <c r="U499" s="4"/>
      <c r="V499" s="4"/>
      <c r="W499" s="4"/>
      <c r="X499" s="4"/>
    </row>
    <row r="500">
      <c r="A500" s="4"/>
      <c r="B500" s="46"/>
      <c r="C500" s="4"/>
      <c r="D500" s="4"/>
      <c r="E500" s="4"/>
      <c r="F500" s="4"/>
      <c r="G500" s="4"/>
      <c r="H500" s="4"/>
      <c r="I500" s="4"/>
      <c r="J500" s="4"/>
      <c r="K500" s="4"/>
      <c r="L500" s="4"/>
      <c r="M500" s="4"/>
      <c r="N500" s="4"/>
      <c r="O500" s="4"/>
      <c r="P500" s="4"/>
      <c r="Q500" s="4"/>
      <c r="R500" s="4"/>
      <c r="S500" s="4"/>
      <c r="T500" s="4"/>
      <c r="U500" s="4"/>
      <c r="V500" s="4"/>
      <c r="W500" s="4"/>
      <c r="X500" s="4"/>
    </row>
    <row r="501">
      <c r="A501" s="4"/>
      <c r="B501" s="46"/>
      <c r="C501" s="4"/>
      <c r="D501" s="4"/>
      <c r="E501" s="4"/>
      <c r="F501" s="4"/>
      <c r="G501" s="4"/>
      <c r="H501" s="4"/>
      <c r="I501" s="4"/>
      <c r="J501" s="4"/>
      <c r="K501" s="4"/>
      <c r="L501" s="4"/>
      <c r="M501" s="4"/>
      <c r="N501" s="4"/>
      <c r="O501" s="4"/>
      <c r="P501" s="4"/>
      <c r="Q501" s="4"/>
      <c r="R501" s="4"/>
      <c r="S501" s="4"/>
      <c r="T501" s="4"/>
      <c r="U501" s="4"/>
      <c r="V501" s="4"/>
      <c r="W501" s="4"/>
      <c r="X501" s="4"/>
    </row>
    <row r="502">
      <c r="A502" s="4"/>
      <c r="B502" s="46"/>
      <c r="C502" s="4"/>
      <c r="D502" s="4"/>
      <c r="E502" s="4"/>
      <c r="F502" s="4"/>
      <c r="G502" s="4"/>
      <c r="H502" s="4"/>
      <c r="I502" s="4"/>
      <c r="J502" s="4"/>
      <c r="K502" s="4"/>
      <c r="L502" s="4"/>
      <c r="M502" s="4"/>
      <c r="N502" s="4"/>
      <c r="O502" s="4"/>
      <c r="P502" s="4"/>
      <c r="Q502" s="4"/>
      <c r="R502" s="4"/>
      <c r="S502" s="4"/>
      <c r="T502" s="4"/>
      <c r="U502" s="4"/>
      <c r="V502" s="4"/>
      <c r="W502" s="4"/>
      <c r="X502" s="4"/>
    </row>
    <row r="503">
      <c r="A503" s="4"/>
      <c r="B503" s="46"/>
      <c r="C503" s="4"/>
      <c r="D503" s="4"/>
      <c r="E503" s="4"/>
      <c r="F503" s="4"/>
      <c r="G503" s="4"/>
      <c r="H503" s="4"/>
      <c r="I503" s="4"/>
      <c r="J503" s="4"/>
      <c r="K503" s="4"/>
      <c r="L503" s="4"/>
      <c r="M503" s="4"/>
      <c r="N503" s="4"/>
      <c r="O503" s="4"/>
      <c r="P503" s="4"/>
      <c r="Q503" s="4"/>
      <c r="R503" s="4"/>
      <c r="S503" s="4"/>
      <c r="T503" s="4"/>
      <c r="U503" s="4"/>
      <c r="V503" s="4"/>
      <c r="W503" s="4"/>
      <c r="X503" s="4"/>
    </row>
    <row r="504">
      <c r="A504" s="4"/>
      <c r="B504" s="46"/>
      <c r="C504" s="4"/>
      <c r="D504" s="4"/>
      <c r="E504" s="4"/>
      <c r="F504" s="4"/>
      <c r="G504" s="4"/>
      <c r="H504" s="4"/>
      <c r="I504" s="4"/>
      <c r="J504" s="4"/>
      <c r="K504" s="4"/>
      <c r="L504" s="4"/>
      <c r="M504" s="4"/>
      <c r="N504" s="4"/>
      <c r="O504" s="4"/>
      <c r="P504" s="4"/>
      <c r="Q504" s="4"/>
      <c r="R504" s="4"/>
      <c r="S504" s="4"/>
      <c r="T504" s="4"/>
      <c r="U504" s="4"/>
      <c r="V504" s="4"/>
      <c r="W504" s="4"/>
      <c r="X504" s="4"/>
    </row>
    <row r="505">
      <c r="A505" s="4"/>
      <c r="B505" s="46"/>
      <c r="C505" s="4"/>
      <c r="D505" s="4"/>
      <c r="E505" s="4"/>
      <c r="F505" s="4"/>
      <c r="G505" s="4"/>
      <c r="H505" s="4"/>
      <c r="I505" s="4"/>
      <c r="J505" s="4"/>
      <c r="K505" s="4"/>
      <c r="L505" s="4"/>
      <c r="M505" s="4"/>
      <c r="N505" s="4"/>
      <c r="O505" s="4"/>
      <c r="P505" s="4"/>
      <c r="Q505" s="4"/>
      <c r="R505" s="4"/>
      <c r="S505" s="4"/>
      <c r="T505" s="4"/>
      <c r="U505" s="4"/>
      <c r="V505" s="4"/>
      <c r="W505" s="4"/>
      <c r="X505" s="4"/>
    </row>
    <row r="506">
      <c r="A506" s="4"/>
      <c r="B506" s="46"/>
      <c r="C506" s="4"/>
      <c r="D506" s="4"/>
      <c r="E506" s="4"/>
      <c r="F506" s="4"/>
      <c r="G506" s="4"/>
      <c r="H506" s="4"/>
      <c r="I506" s="4"/>
      <c r="J506" s="4"/>
      <c r="K506" s="4"/>
      <c r="L506" s="4"/>
      <c r="M506" s="4"/>
      <c r="N506" s="4"/>
      <c r="O506" s="4"/>
      <c r="P506" s="4"/>
      <c r="Q506" s="4"/>
      <c r="R506" s="4"/>
      <c r="S506" s="4"/>
      <c r="T506" s="4"/>
      <c r="U506" s="4"/>
      <c r="V506" s="4"/>
      <c r="W506" s="4"/>
      <c r="X506" s="4"/>
    </row>
    <row r="507">
      <c r="A507" s="4"/>
      <c r="B507" s="46"/>
      <c r="C507" s="4"/>
      <c r="D507" s="4"/>
      <c r="E507" s="4"/>
      <c r="F507" s="4"/>
      <c r="G507" s="4"/>
      <c r="H507" s="4"/>
      <c r="I507" s="4"/>
      <c r="J507" s="4"/>
      <c r="K507" s="4"/>
      <c r="L507" s="4"/>
      <c r="M507" s="4"/>
      <c r="N507" s="4"/>
      <c r="O507" s="4"/>
      <c r="P507" s="4"/>
      <c r="Q507" s="4"/>
      <c r="R507" s="4"/>
      <c r="S507" s="4"/>
      <c r="T507" s="4"/>
      <c r="U507" s="4"/>
      <c r="V507" s="4"/>
      <c r="W507" s="4"/>
      <c r="X507" s="4"/>
    </row>
    <row r="508">
      <c r="A508" s="4"/>
      <c r="B508" s="46"/>
      <c r="C508" s="4"/>
      <c r="D508" s="4"/>
      <c r="E508" s="4"/>
      <c r="F508" s="4"/>
      <c r="G508" s="4"/>
      <c r="H508" s="4"/>
      <c r="I508" s="4"/>
      <c r="J508" s="4"/>
      <c r="K508" s="4"/>
      <c r="L508" s="4"/>
      <c r="M508" s="4"/>
      <c r="N508" s="4"/>
      <c r="O508" s="4"/>
      <c r="P508" s="4"/>
      <c r="Q508" s="4"/>
      <c r="R508" s="4"/>
      <c r="S508" s="4"/>
      <c r="T508" s="4"/>
      <c r="U508" s="4"/>
      <c r="V508" s="4"/>
      <c r="W508" s="4"/>
      <c r="X508" s="4"/>
    </row>
    <row r="509">
      <c r="A509" s="4"/>
      <c r="B509" s="46"/>
      <c r="C509" s="4"/>
      <c r="D509" s="4"/>
      <c r="E509" s="4"/>
      <c r="F509" s="4"/>
      <c r="G509" s="4"/>
      <c r="H509" s="4"/>
      <c r="I509" s="4"/>
      <c r="J509" s="4"/>
      <c r="K509" s="4"/>
      <c r="L509" s="4"/>
      <c r="M509" s="4"/>
      <c r="N509" s="4"/>
      <c r="O509" s="4"/>
      <c r="P509" s="4"/>
      <c r="Q509" s="4"/>
      <c r="R509" s="4"/>
      <c r="S509" s="4"/>
      <c r="T509" s="4"/>
      <c r="U509" s="4"/>
      <c r="V509" s="4"/>
      <c r="W509" s="4"/>
      <c r="X509" s="4"/>
    </row>
    <row r="510">
      <c r="A510" s="4"/>
      <c r="B510" s="46"/>
      <c r="C510" s="4"/>
      <c r="D510" s="4"/>
      <c r="E510" s="4"/>
      <c r="F510" s="4"/>
      <c r="G510" s="4"/>
      <c r="H510" s="4"/>
      <c r="I510" s="4"/>
      <c r="J510" s="4"/>
      <c r="K510" s="4"/>
      <c r="L510" s="4"/>
      <c r="M510" s="4"/>
      <c r="N510" s="4"/>
      <c r="O510" s="4"/>
      <c r="P510" s="4"/>
      <c r="Q510" s="4"/>
      <c r="R510" s="4"/>
      <c r="S510" s="4"/>
      <c r="T510" s="4"/>
      <c r="U510" s="4"/>
      <c r="V510" s="4"/>
      <c r="W510" s="4"/>
      <c r="X510" s="4"/>
    </row>
    <row r="511">
      <c r="A511" s="4"/>
      <c r="B511" s="46"/>
      <c r="C511" s="4"/>
      <c r="D511" s="4"/>
      <c r="E511" s="4"/>
      <c r="F511" s="4"/>
      <c r="G511" s="4"/>
      <c r="H511" s="4"/>
      <c r="I511" s="4"/>
      <c r="J511" s="4"/>
      <c r="K511" s="4"/>
      <c r="L511" s="4"/>
      <c r="M511" s="4"/>
      <c r="N511" s="4"/>
      <c r="O511" s="4"/>
      <c r="P511" s="4"/>
      <c r="Q511" s="4"/>
      <c r="R511" s="4"/>
      <c r="S511" s="4"/>
      <c r="T511" s="4"/>
      <c r="U511" s="4"/>
      <c r="V511" s="4"/>
      <c r="W511" s="4"/>
      <c r="X511" s="4"/>
    </row>
    <row r="512">
      <c r="A512" s="4"/>
      <c r="B512" s="46"/>
      <c r="C512" s="4"/>
      <c r="D512" s="4"/>
      <c r="E512" s="4"/>
      <c r="F512" s="4"/>
      <c r="G512" s="4"/>
      <c r="H512" s="4"/>
      <c r="I512" s="4"/>
      <c r="J512" s="4"/>
      <c r="K512" s="4"/>
      <c r="L512" s="4"/>
      <c r="M512" s="4"/>
      <c r="N512" s="4"/>
      <c r="O512" s="4"/>
      <c r="P512" s="4"/>
      <c r="Q512" s="4"/>
      <c r="R512" s="4"/>
      <c r="S512" s="4"/>
      <c r="T512" s="4"/>
      <c r="U512" s="4"/>
      <c r="V512" s="4"/>
      <c r="W512" s="4"/>
      <c r="X512" s="4"/>
    </row>
    <row r="513">
      <c r="A513" s="4"/>
      <c r="B513" s="46"/>
      <c r="C513" s="4"/>
      <c r="D513" s="4"/>
      <c r="E513" s="4"/>
      <c r="F513" s="4"/>
      <c r="G513" s="4"/>
      <c r="H513" s="4"/>
      <c r="I513" s="4"/>
      <c r="J513" s="4"/>
      <c r="K513" s="4"/>
      <c r="L513" s="4"/>
      <c r="M513" s="4"/>
      <c r="N513" s="4"/>
      <c r="O513" s="4"/>
      <c r="P513" s="4"/>
      <c r="Q513" s="4"/>
      <c r="R513" s="4"/>
      <c r="S513" s="4"/>
      <c r="T513" s="4"/>
      <c r="U513" s="4"/>
      <c r="V513" s="4"/>
      <c r="W513" s="4"/>
      <c r="X513" s="4"/>
    </row>
    <row r="514">
      <c r="A514" s="4"/>
      <c r="B514" s="46"/>
      <c r="C514" s="4"/>
      <c r="D514" s="4"/>
      <c r="E514" s="4"/>
      <c r="F514" s="4"/>
      <c r="G514" s="4"/>
      <c r="H514" s="4"/>
      <c r="I514" s="4"/>
      <c r="J514" s="4"/>
      <c r="K514" s="4"/>
      <c r="L514" s="4"/>
      <c r="M514" s="4"/>
      <c r="N514" s="4"/>
      <c r="O514" s="4"/>
      <c r="P514" s="4"/>
      <c r="Q514" s="4"/>
      <c r="R514" s="4"/>
      <c r="S514" s="4"/>
      <c r="T514" s="4"/>
      <c r="U514" s="4"/>
      <c r="V514" s="4"/>
      <c r="W514" s="4"/>
      <c r="X514" s="4"/>
    </row>
    <row r="515">
      <c r="A515" s="4"/>
      <c r="B515" s="46"/>
      <c r="C515" s="4"/>
      <c r="D515" s="4"/>
      <c r="E515" s="4"/>
      <c r="F515" s="4"/>
      <c r="G515" s="4"/>
      <c r="H515" s="4"/>
      <c r="I515" s="4"/>
      <c r="J515" s="4"/>
      <c r="K515" s="4"/>
      <c r="L515" s="4"/>
      <c r="M515" s="4"/>
      <c r="N515" s="4"/>
      <c r="O515" s="4"/>
      <c r="P515" s="4"/>
      <c r="Q515" s="4"/>
      <c r="R515" s="4"/>
      <c r="S515" s="4"/>
      <c r="T515" s="4"/>
      <c r="U515" s="4"/>
      <c r="V515" s="4"/>
      <c r="W515" s="4"/>
      <c r="X515" s="4"/>
    </row>
    <row r="516">
      <c r="A516" s="4"/>
      <c r="B516" s="46"/>
      <c r="C516" s="4"/>
      <c r="D516" s="4"/>
      <c r="E516" s="4"/>
      <c r="F516" s="4"/>
      <c r="G516" s="4"/>
      <c r="H516" s="4"/>
      <c r="I516" s="4"/>
      <c r="J516" s="4"/>
      <c r="K516" s="4"/>
      <c r="L516" s="4"/>
      <c r="M516" s="4"/>
      <c r="N516" s="4"/>
      <c r="O516" s="4"/>
      <c r="P516" s="4"/>
      <c r="Q516" s="4"/>
      <c r="R516" s="4"/>
      <c r="S516" s="4"/>
      <c r="T516" s="4"/>
      <c r="U516" s="4"/>
      <c r="V516" s="4"/>
      <c r="W516" s="4"/>
      <c r="X516" s="4"/>
    </row>
    <row r="517">
      <c r="A517" s="4"/>
      <c r="B517" s="46"/>
      <c r="C517" s="4"/>
      <c r="D517" s="4"/>
      <c r="E517" s="4"/>
      <c r="F517" s="4"/>
      <c r="G517" s="4"/>
      <c r="H517" s="4"/>
      <c r="I517" s="4"/>
      <c r="J517" s="4"/>
      <c r="K517" s="4"/>
      <c r="L517" s="4"/>
      <c r="M517" s="4"/>
      <c r="N517" s="4"/>
      <c r="O517" s="4"/>
      <c r="P517" s="4"/>
      <c r="Q517" s="4"/>
      <c r="R517" s="4"/>
      <c r="S517" s="4"/>
      <c r="T517" s="4"/>
      <c r="U517" s="4"/>
      <c r="V517" s="4"/>
      <c r="W517" s="4"/>
      <c r="X517" s="4"/>
    </row>
    <row r="518">
      <c r="A518" s="4"/>
      <c r="B518" s="46"/>
      <c r="C518" s="4"/>
      <c r="D518" s="4"/>
      <c r="E518" s="4"/>
      <c r="F518" s="4"/>
      <c r="G518" s="4"/>
      <c r="H518" s="4"/>
      <c r="I518" s="4"/>
      <c r="J518" s="4"/>
      <c r="K518" s="4"/>
      <c r="L518" s="4"/>
      <c r="M518" s="4"/>
      <c r="N518" s="4"/>
      <c r="O518" s="4"/>
      <c r="P518" s="4"/>
      <c r="Q518" s="4"/>
      <c r="R518" s="4"/>
      <c r="S518" s="4"/>
      <c r="T518" s="4"/>
      <c r="U518" s="4"/>
      <c r="V518" s="4"/>
      <c r="W518" s="4"/>
      <c r="X518" s="4"/>
    </row>
    <row r="519">
      <c r="A519" s="4"/>
      <c r="B519" s="46"/>
      <c r="C519" s="4"/>
      <c r="D519" s="4"/>
      <c r="E519" s="4"/>
      <c r="F519" s="4"/>
      <c r="G519" s="4"/>
      <c r="H519" s="4"/>
      <c r="I519" s="4"/>
      <c r="J519" s="4"/>
      <c r="K519" s="4"/>
      <c r="L519" s="4"/>
      <c r="M519" s="4"/>
      <c r="N519" s="4"/>
      <c r="O519" s="4"/>
      <c r="P519" s="4"/>
      <c r="Q519" s="4"/>
      <c r="R519" s="4"/>
      <c r="S519" s="4"/>
      <c r="T519" s="4"/>
      <c r="U519" s="4"/>
      <c r="V519" s="4"/>
      <c r="W519" s="4"/>
      <c r="X519" s="4"/>
    </row>
    <row r="520">
      <c r="A520" s="4"/>
      <c r="B520" s="46"/>
      <c r="C520" s="4"/>
      <c r="D520" s="4"/>
      <c r="E520" s="4"/>
      <c r="F520" s="4"/>
      <c r="G520" s="4"/>
      <c r="H520" s="4"/>
      <c r="I520" s="4"/>
      <c r="J520" s="4"/>
      <c r="K520" s="4"/>
      <c r="L520" s="4"/>
      <c r="M520" s="4"/>
      <c r="N520" s="4"/>
      <c r="O520" s="4"/>
      <c r="P520" s="4"/>
      <c r="Q520" s="4"/>
      <c r="R520" s="4"/>
      <c r="S520" s="4"/>
      <c r="T520" s="4"/>
      <c r="U520" s="4"/>
      <c r="V520" s="4"/>
      <c r="W520" s="4"/>
      <c r="X520" s="4"/>
    </row>
    <row r="521">
      <c r="A521" s="4"/>
      <c r="B521" s="46"/>
      <c r="C521" s="4"/>
      <c r="D521" s="4"/>
      <c r="E521" s="4"/>
      <c r="F521" s="4"/>
      <c r="G521" s="4"/>
      <c r="H521" s="4"/>
      <c r="I521" s="4"/>
      <c r="J521" s="4"/>
      <c r="K521" s="4"/>
      <c r="L521" s="4"/>
      <c r="M521" s="4"/>
      <c r="N521" s="4"/>
      <c r="O521" s="4"/>
      <c r="P521" s="4"/>
      <c r="Q521" s="4"/>
      <c r="R521" s="4"/>
      <c r="S521" s="4"/>
      <c r="T521" s="4"/>
      <c r="U521" s="4"/>
      <c r="V521" s="4"/>
      <c r="W521" s="4"/>
      <c r="X521" s="4"/>
    </row>
    <row r="522">
      <c r="A522" s="4"/>
      <c r="B522" s="46"/>
      <c r="C522" s="4"/>
      <c r="D522" s="4"/>
      <c r="E522" s="4"/>
      <c r="F522" s="4"/>
      <c r="G522" s="4"/>
      <c r="H522" s="4"/>
      <c r="I522" s="4"/>
      <c r="J522" s="4"/>
      <c r="K522" s="4"/>
      <c r="L522" s="4"/>
      <c r="M522" s="4"/>
      <c r="N522" s="4"/>
      <c r="O522" s="4"/>
      <c r="P522" s="4"/>
      <c r="Q522" s="4"/>
      <c r="R522" s="4"/>
      <c r="S522" s="4"/>
      <c r="T522" s="4"/>
      <c r="U522" s="4"/>
      <c r="V522" s="4"/>
      <c r="W522" s="4"/>
      <c r="X522" s="4"/>
    </row>
    <row r="523">
      <c r="A523" s="4"/>
      <c r="B523" s="46"/>
      <c r="C523" s="4"/>
      <c r="D523" s="4"/>
      <c r="E523" s="4"/>
      <c r="F523" s="4"/>
      <c r="G523" s="4"/>
      <c r="H523" s="4"/>
      <c r="I523" s="4"/>
      <c r="J523" s="4"/>
      <c r="K523" s="4"/>
      <c r="L523" s="4"/>
      <c r="M523" s="4"/>
      <c r="N523" s="4"/>
      <c r="O523" s="4"/>
      <c r="P523" s="4"/>
      <c r="Q523" s="4"/>
      <c r="R523" s="4"/>
      <c r="S523" s="4"/>
      <c r="T523" s="4"/>
      <c r="U523" s="4"/>
      <c r="V523" s="4"/>
      <c r="W523" s="4"/>
      <c r="X523" s="4"/>
    </row>
    <row r="524">
      <c r="A524" s="4"/>
      <c r="B524" s="46"/>
      <c r="C524" s="4"/>
      <c r="D524" s="4"/>
      <c r="E524" s="4"/>
      <c r="F524" s="4"/>
      <c r="G524" s="4"/>
      <c r="H524" s="4"/>
      <c r="I524" s="4"/>
      <c r="J524" s="4"/>
      <c r="K524" s="4"/>
      <c r="L524" s="4"/>
      <c r="M524" s="4"/>
      <c r="N524" s="4"/>
      <c r="O524" s="4"/>
      <c r="P524" s="4"/>
      <c r="Q524" s="4"/>
      <c r="R524" s="4"/>
      <c r="S524" s="4"/>
      <c r="T524" s="4"/>
      <c r="U524" s="4"/>
      <c r="V524" s="4"/>
      <c r="W524" s="4"/>
      <c r="X524" s="4"/>
    </row>
    <row r="525">
      <c r="A525" s="4"/>
      <c r="B525" s="46"/>
      <c r="C525" s="4"/>
      <c r="D525" s="4"/>
      <c r="E525" s="4"/>
      <c r="F525" s="4"/>
      <c r="G525" s="4"/>
      <c r="H525" s="4"/>
      <c r="I525" s="4"/>
      <c r="J525" s="4"/>
      <c r="K525" s="4"/>
      <c r="L525" s="4"/>
      <c r="M525" s="4"/>
      <c r="N525" s="4"/>
      <c r="O525" s="4"/>
      <c r="P525" s="4"/>
      <c r="Q525" s="4"/>
      <c r="R525" s="4"/>
      <c r="S525" s="4"/>
      <c r="T525" s="4"/>
      <c r="U525" s="4"/>
      <c r="V525" s="4"/>
      <c r="W525" s="4"/>
      <c r="X525" s="4"/>
    </row>
    <row r="526">
      <c r="A526" s="4"/>
      <c r="B526" s="46"/>
      <c r="C526" s="4"/>
      <c r="D526" s="4"/>
      <c r="E526" s="4"/>
      <c r="F526" s="4"/>
      <c r="G526" s="4"/>
      <c r="H526" s="4"/>
      <c r="I526" s="4"/>
      <c r="J526" s="4"/>
      <c r="K526" s="4"/>
      <c r="L526" s="4"/>
      <c r="M526" s="4"/>
      <c r="N526" s="4"/>
      <c r="O526" s="4"/>
      <c r="P526" s="4"/>
      <c r="Q526" s="4"/>
      <c r="R526" s="4"/>
      <c r="S526" s="4"/>
      <c r="T526" s="4"/>
      <c r="U526" s="4"/>
      <c r="V526" s="4"/>
      <c r="W526" s="4"/>
      <c r="X526" s="4"/>
    </row>
    <row r="527">
      <c r="A527" s="4"/>
      <c r="B527" s="46"/>
      <c r="C527" s="4"/>
      <c r="D527" s="4"/>
      <c r="E527" s="4"/>
      <c r="F527" s="4"/>
      <c r="G527" s="4"/>
      <c r="H527" s="4"/>
      <c r="I527" s="4"/>
      <c r="J527" s="4"/>
      <c r="K527" s="4"/>
      <c r="L527" s="4"/>
      <c r="M527" s="4"/>
      <c r="N527" s="4"/>
      <c r="O527" s="4"/>
      <c r="P527" s="4"/>
      <c r="Q527" s="4"/>
      <c r="R527" s="4"/>
      <c r="S527" s="4"/>
      <c r="T527" s="4"/>
      <c r="U527" s="4"/>
      <c r="V527" s="4"/>
      <c r="W527" s="4"/>
      <c r="X527" s="4"/>
    </row>
    <row r="528">
      <c r="A528" s="4"/>
      <c r="B528" s="46"/>
      <c r="C528" s="4"/>
      <c r="D528" s="4"/>
      <c r="E528" s="4"/>
      <c r="F528" s="4"/>
      <c r="G528" s="4"/>
      <c r="H528" s="4"/>
      <c r="I528" s="4"/>
      <c r="J528" s="4"/>
      <c r="K528" s="4"/>
      <c r="L528" s="4"/>
      <c r="M528" s="4"/>
      <c r="N528" s="4"/>
      <c r="O528" s="4"/>
      <c r="P528" s="4"/>
      <c r="Q528" s="4"/>
      <c r="R528" s="4"/>
      <c r="S528" s="4"/>
      <c r="T528" s="4"/>
      <c r="U528" s="4"/>
      <c r="V528" s="4"/>
      <c r="W528" s="4"/>
      <c r="X528" s="4"/>
    </row>
    <row r="529">
      <c r="A529" s="4"/>
      <c r="B529" s="46"/>
      <c r="C529" s="4"/>
      <c r="D529" s="4"/>
      <c r="E529" s="4"/>
      <c r="F529" s="4"/>
      <c r="G529" s="4"/>
      <c r="H529" s="4"/>
      <c r="I529" s="4"/>
      <c r="J529" s="4"/>
      <c r="K529" s="4"/>
      <c r="L529" s="4"/>
      <c r="M529" s="4"/>
      <c r="N529" s="4"/>
      <c r="O529" s="4"/>
      <c r="P529" s="4"/>
      <c r="Q529" s="4"/>
      <c r="R529" s="4"/>
      <c r="S529" s="4"/>
      <c r="T529" s="4"/>
      <c r="U529" s="4"/>
      <c r="V529" s="4"/>
      <c r="W529" s="4"/>
      <c r="X529" s="4"/>
    </row>
    <row r="530">
      <c r="A530" s="4"/>
      <c r="B530" s="46"/>
      <c r="C530" s="4"/>
      <c r="D530" s="4"/>
      <c r="E530" s="4"/>
      <c r="F530" s="4"/>
      <c r="G530" s="4"/>
      <c r="H530" s="4"/>
      <c r="I530" s="4"/>
      <c r="J530" s="4"/>
      <c r="K530" s="4"/>
      <c r="L530" s="4"/>
      <c r="M530" s="4"/>
      <c r="N530" s="4"/>
      <c r="O530" s="4"/>
      <c r="P530" s="4"/>
      <c r="Q530" s="4"/>
      <c r="R530" s="4"/>
      <c r="S530" s="4"/>
      <c r="T530" s="4"/>
      <c r="U530" s="4"/>
      <c r="V530" s="4"/>
      <c r="W530" s="4"/>
      <c r="X530" s="4"/>
    </row>
    <row r="531">
      <c r="A531" s="4"/>
      <c r="B531" s="46"/>
      <c r="C531" s="4"/>
      <c r="D531" s="4"/>
      <c r="E531" s="4"/>
      <c r="F531" s="4"/>
      <c r="G531" s="4"/>
      <c r="H531" s="4"/>
      <c r="I531" s="4"/>
      <c r="J531" s="4"/>
      <c r="K531" s="4"/>
      <c r="L531" s="4"/>
      <c r="M531" s="4"/>
      <c r="N531" s="4"/>
      <c r="O531" s="4"/>
      <c r="P531" s="4"/>
      <c r="Q531" s="4"/>
      <c r="R531" s="4"/>
      <c r="S531" s="4"/>
      <c r="T531" s="4"/>
      <c r="U531" s="4"/>
      <c r="V531" s="4"/>
      <c r="W531" s="4"/>
      <c r="X531" s="4"/>
    </row>
    <row r="532">
      <c r="A532" s="4"/>
      <c r="B532" s="46"/>
      <c r="C532" s="4"/>
      <c r="D532" s="4"/>
      <c r="E532" s="4"/>
      <c r="F532" s="4"/>
      <c r="G532" s="4"/>
      <c r="H532" s="4"/>
      <c r="I532" s="4"/>
      <c r="J532" s="4"/>
      <c r="K532" s="4"/>
      <c r="L532" s="4"/>
      <c r="M532" s="4"/>
      <c r="N532" s="4"/>
      <c r="O532" s="4"/>
      <c r="P532" s="4"/>
      <c r="Q532" s="4"/>
      <c r="R532" s="4"/>
      <c r="S532" s="4"/>
      <c r="T532" s="4"/>
      <c r="U532" s="4"/>
      <c r="V532" s="4"/>
      <c r="W532" s="4"/>
      <c r="X532" s="4"/>
    </row>
    <row r="533">
      <c r="A533" s="4"/>
      <c r="B533" s="46"/>
      <c r="C533" s="4"/>
      <c r="D533" s="4"/>
      <c r="E533" s="4"/>
      <c r="F533" s="4"/>
      <c r="G533" s="4"/>
      <c r="H533" s="4"/>
      <c r="I533" s="4"/>
      <c r="J533" s="4"/>
      <c r="K533" s="4"/>
      <c r="L533" s="4"/>
      <c r="M533" s="4"/>
      <c r="N533" s="4"/>
      <c r="O533" s="4"/>
      <c r="P533" s="4"/>
      <c r="Q533" s="4"/>
      <c r="R533" s="4"/>
      <c r="S533" s="4"/>
      <c r="T533" s="4"/>
      <c r="U533" s="4"/>
      <c r="V533" s="4"/>
      <c r="W533" s="4"/>
      <c r="X533" s="4"/>
    </row>
    <row r="534">
      <c r="A534" s="4"/>
      <c r="B534" s="46"/>
      <c r="C534" s="4"/>
      <c r="D534" s="4"/>
      <c r="E534" s="4"/>
      <c r="F534" s="4"/>
      <c r="G534" s="4"/>
      <c r="H534" s="4"/>
      <c r="I534" s="4"/>
      <c r="J534" s="4"/>
      <c r="K534" s="4"/>
      <c r="L534" s="4"/>
      <c r="M534" s="4"/>
      <c r="N534" s="4"/>
      <c r="O534" s="4"/>
      <c r="P534" s="4"/>
      <c r="Q534" s="4"/>
      <c r="R534" s="4"/>
      <c r="S534" s="4"/>
      <c r="T534" s="4"/>
      <c r="U534" s="4"/>
      <c r="V534" s="4"/>
      <c r="W534" s="4"/>
      <c r="X534" s="4"/>
    </row>
    <row r="535">
      <c r="A535" s="4"/>
      <c r="B535" s="46"/>
      <c r="C535" s="4"/>
      <c r="D535" s="4"/>
      <c r="E535" s="4"/>
      <c r="F535" s="4"/>
      <c r="G535" s="4"/>
      <c r="H535" s="4"/>
      <c r="I535" s="4"/>
      <c r="J535" s="4"/>
      <c r="K535" s="4"/>
      <c r="L535" s="4"/>
      <c r="M535" s="4"/>
      <c r="N535" s="4"/>
      <c r="O535" s="4"/>
      <c r="P535" s="4"/>
      <c r="Q535" s="4"/>
      <c r="R535" s="4"/>
      <c r="S535" s="4"/>
      <c r="T535" s="4"/>
      <c r="U535" s="4"/>
      <c r="V535" s="4"/>
      <c r="W535" s="4"/>
      <c r="X535" s="4"/>
    </row>
    <row r="536">
      <c r="A536" s="4"/>
      <c r="B536" s="46"/>
      <c r="C536" s="4"/>
      <c r="D536" s="4"/>
      <c r="E536" s="4"/>
      <c r="F536" s="4"/>
      <c r="G536" s="4"/>
      <c r="H536" s="4"/>
      <c r="I536" s="4"/>
      <c r="J536" s="4"/>
      <c r="K536" s="4"/>
      <c r="L536" s="4"/>
      <c r="M536" s="4"/>
      <c r="N536" s="4"/>
      <c r="O536" s="4"/>
      <c r="P536" s="4"/>
      <c r="Q536" s="4"/>
      <c r="R536" s="4"/>
      <c r="S536" s="4"/>
      <c r="T536" s="4"/>
      <c r="U536" s="4"/>
      <c r="V536" s="4"/>
      <c r="W536" s="4"/>
      <c r="X536" s="4"/>
    </row>
    <row r="537">
      <c r="A537" s="4"/>
      <c r="B537" s="46"/>
      <c r="C537" s="4"/>
      <c r="D537" s="4"/>
      <c r="E537" s="4"/>
      <c r="F537" s="4"/>
      <c r="G537" s="4"/>
      <c r="H537" s="4"/>
      <c r="I537" s="4"/>
      <c r="J537" s="4"/>
      <c r="K537" s="4"/>
      <c r="L537" s="4"/>
      <c r="M537" s="4"/>
      <c r="N537" s="4"/>
      <c r="O537" s="4"/>
      <c r="P537" s="4"/>
      <c r="Q537" s="4"/>
      <c r="R537" s="4"/>
      <c r="S537" s="4"/>
      <c r="T537" s="4"/>
      <c r="U537" s="4"/>
      <c r="V537" s="4"/>
      <c r="W537" s="4"/>
      <c r="X537" s="4"/>
    </row>
    <row r="538">
      <c r="A538" s="4"/>
      <c r="B538" s="46"/>
      <c r="C538" s="4"/>
      <c r="D538" s="4"/>
      <c r="E538" s="4"/>
      <c r="F538" s="4"/>
      <c r="G538" s="4"/>
      <c r="H538" s="4"/>
      <c r="I538" s="4"/>
      <c r="J538" s="4"/>
      <c r="K538" s="4"/>
      <c r="L538" s="4"/>
      <c r="M538" s="4"/>
      <c r="N538" s="4"/>
      <c r="O538" s="4"/>
      <c r="P538" s="4"/>
      <c r="Q538" s="4"/>
      <c r="R538" s="4"/>
      <c r="S538" s="4"/>
      <c r="T538" s="4"/>
      <c r="U538" s="4"/>
      <c r="V538" s="4"/>
      <c r="W538" s="4"/>
      <c r="X538" s="4"/>
    </row>
    <row r="539">
      <c r="A539" s="4"/>
      <c r="B539" s="46"/>
      <c r="C539" s="4"/>
      <c r="D539" s="4"/>
      <c r="E539" s="4"/>
      <c r="F539" s="4"/>
      <c r="G539" s="4"/>
      <c r="H539" s="4"/>
      <c r="I539" s="4"/>
      <c r="J539" s="4"/>
      <c r="K539" s="4"/>
      <c r="L539" s="4"/>
      <c r="M539" s="4"/>
      <c r="N539" s="4"/>
      <c r="O539" s="4"/>
      <c r="P539" s="4"/>
      <c r="Q539" s="4"/>
      <c r="R539" s="4"/>
      <c r="S539" s="4"/>
      <c r="T539" s="4"/>
      <c r="U539" s="4"/>
      <c r="V539" s="4"/>
      <c r="W539" s="4"/>
      <c r="X539" s="4"/>
    </row>
    <row r="540">
      <c r="A540" s="4"/>
      <c r="B540" s="46"/>
      <c r="C540" s="4"/>
      <c r="D540" s="4"/>
      <c r="E540" s="4"/>
      <c r="F540" s="4"/>
      <c r="G540" s="4"/>
      <c r="H540" s="4"/>
      <c r="I540" s="4"/>
      <c r="J540" s="4"/>
      <c r="K540" s="4"/>
      <c r="L540" s="4"/>
      <c r="M540" s="4"/>
      <c r="N540" s="4"/>
      <c r="O540" s="4"/>
      <c r="P540" s="4"/>
      <c r="Q540" s="4"/>
      <c r="R540" s="4"/>
      <c r="S540" s="4"/>
      <c r="T540" s="4"/>
      <c r="U540" s="4"/>
      <c r="V540" s="4"/>
      <c r="W540" s="4"/>
      <c r="X540" s="4"/>
    </row>
    <row r="541">
      <c r="A541" s="4"/>
      <c r="B541" s="46"/>
      <c r="C541" s="4"/>
      <c r="D541" s="4"/>
      <c r="E541" s="4"/>
      <c r="F541" s="4"/>
      <c r="G541" s="4"/>
      <c r="H541" s="4"/>
      <c r="I541" s="4"/>
      <c r="J541" s="4"/>
      <c r="K541" s="4"/>
      <c r="L541" s="4"/>
      <c r="M541" s="4"/>
      <c r="N541" s="4"/>
      <c r="O541" s="4"/>
      <c r="P541" s="4"/>
      <c r="Q541" s="4"/>
      <c r="R541" s="4"/>
      <c r="S541" s="4"/>
      <c r="T541" s="4"/>
      <c r="U541" s="4"/>
      <c r="V541" s="4"/>
      <c r="W541" s="4"/>
      <c r="X541" s="4"/>
    </row>
    <row r="542">
      <c r="A542" s="4"/>
      <c r="B542" s="46"/>
      <c r="C542" s="4"/>
      <c r="D542" s="4"/>
      <c r="E542" s="4"/>
      <c r="F542" s="4"/>
      <c r="G542" s="4"/>
      <c r="H542" s="4"/>
      <c r="I542" s="4"/>
      <c r="J542" s="4"/>
      <c r="K542" s="4"/>
      <c r="L542" s="4"/>
      <c r="M542" s="4"/>
      <c r="N542" s="4"/>
      <c r="O542" s="4"/>
      <c r="P542" s="4"/>
      <c r="Q542" s="4"/>
      <c r="R542" s="4"/>
      <c r="S542" s="4"/>
      <c r="T542" s="4"/>
      <c r="U542" s="4"/>
      <c r="V542" s="4"/>
      <c r="W542" s="4"/>
      <c r="X542" s="4"/>
    </row>
    <row r="543">
      <c r="A543" s="4"/>
      <c r="B543" s="46"/>
      <c r="C543" s="4"/>
      <c r="D543" s="4"/>
      <c r="E543" s="4"/>
      <c r="F543" s="4"/>
      <c r="G543" s="4"/>
      <c r="H543" s="4"/>
      <c r="I543" s="4"/>
      <c r="J543" s="4"/>
      <c r="K543" s="4"/>
      <c r="L543" s="4"/>
      <c r="M543" s="4"/>
      <c r="N543" s="4"/>
      <c r="O543" s="4"/>
      <c r="P543" s="4"/>
      <c r="Q543" s="4"/>
      <c r="R543" s="4"/>
      <c r="S543" s="4"/>
      <c r="T543" s="4"/>
      <c r="U543" s="4"/>
      <c r="V543" s="4"/>
      <c r="W543" s="4"/>
      <c r="X543" s="4"/>
    </row>
    <row r="544">
      <c r="A544" s="4"/>
      <c r="B544" s="46"/>
      <c r="C544" s="4"/>
      <c r="D544" s="4"/>
      <c r="E544" s="4"/>
      <c r="F544" s="4"/>
      <c r="G544" s="4"/>
      <c r="H544" s="4"/>
      <c r="I544" s="4"/>
      <c r="J544" s="4"/>
      <c r="K544" s="4"/>
      <c r="L544" s="4"/>
      <c r="M544" s="4"/>
      <c r="N544" s="4"/>
      <c r="O544" s="4"/>
      <c r="P544" s="4"/>
      <c r="Q544" s="4"/>
      <c r="R544" s="4"/>
      <c r="S544" s="4"/>
      <c r="T544" s="4"/>
      <c r="U544" s="4"/>
      <c r="V544" s="4"/>
      <c r="W544" s="4"/>
      <c r="X544" s="4"/>
    </row>
    <row r="545">
      <c r="A545" s="4"/>
      <c r="B545" s="46"/>
      <c r="C545" s="4"/>
      <c r="D545" s="4"/>
      <c r="E545" s="4"/>
      <c r="F545" s="4"/>
      <c r="G545" s="4"/>
      <c r="H545" s="4"/>
      <c r="I545" s="4"/>
      <c r="J545" s="4"/>
      <c r="K545" s="4"/>
      <c r="L545" s="4"/>
      <c r="M545" s="4"/>
      <c r="N545" s="4"/>
      <c r="O545" s="4"/>
      <c r="P545" s="4"/>
      <c r="Q545" s="4"/>
      <c r="R545" s="4"/>
      <c r="S545" s="4"/>
      <c r="T545" s="4"/>
      <c r="U545" s="4"/>
      <c r="V545" s="4"/>
      <c r="W545" s="4"/>
      <c r="X545" s="4"/>
    </row>
    <row r="546">
      <c r="A546" s="4"/>
      <c r="B546" s="46"/>
      <c r="C546" s="4"/>
      <c r="D546" s="4"/>
      <c r="E546" s="4"/>
      <c r="F546" s="4"/>
      <c r="G546" s="4"/>
      <c r="H546" s="4"/>
      <c r="I546" s="4"/>
      <c r="J546" s="4"/>
      <c r="K546" s="4"/>
      <c r="L546" s="4"/>
      <c r="M546" s="4"/>
      <c r="N546" s="4"/>
      <c r="O546" s="4"/>
      <c r="P546" s="4"/>
      <c r="Q546" s="4"/>
      <c r="R546" s="4"/>
      <c r="S546" s="4"/>
      <c r="T546" s="4"/>
      <c r="U546" s="4"/>
      <c r="V546" s="4"/>
      <c r="W546" s="4"/>
      <c r="X546" s="4"/>
    </row>
    <row r="547">
      <c r="A547" s="4"/>
      <c r="B547" s="46"/>
      <c r="C547" s="4"/>
      <c r="D547" s="4"/>
      <c r="E547" s="4"/>
      <c r="F547" s="4"/>
      <c r="G547" s="4"/>
      <c r="H547" s="4"/>
      <c r="I547" s="4"/>
      <c r="J547" s="4"/>
      <c r="K547" s="4"/>
      <c r="L547" s="4"/>
      <c r="M547" s="4"/>
      <c r="N547" s="4"/>
      <c r="O547" s="4"/>
      <c r="P547" s="4"/>
      <c r="Q547" s="4"/>
      <c r="R547" s="4"/>
      <c r="S547" s="4"/>
      <c r="T547" s="4"/>
      <c r="U547" s="4"/>
      <c r="V547" s="4"/>
      <c r="W547" s="4"/>
      <c r="X547" s="4"/>
    </row>
    <row r="548">
      <c r="A548" s="4"/>
      <c r="B548" s="46"/>
      <c r="C548" s="4"/>
      <c r="D548" s="4"/>
      <c r="E548" s="4"/>
      <c r="F548" s="4"/>
      <c r="G548" s="4"/>
      <c r="H548" s="4"/>
      <c r="I548" s="4"/>
      <c r="J548" s="4"/>
      <c r="K548" s="4"/>
      <c r="L548" s="4"/>
      <c r="M548" s="4"/>
      <c r="N548" s="4"/>
      <c r="O548" s="4"/>
      <c r="P548" s="4"/>
      <c r="Q548" s="4"/>
      <c r="R548" s="4"/>
      <c r="S548" s="4"/>
      <c r="T548" s="4"/>
      <c r="U548" s="4"/>
      <c r="V548" s="4"/>
      <c r="W548" s="4"/>
      <c r="X548" s="4"/>
    </row>
    <row r="549">
      <c r="A549" s="4"/>
      <c r="B549" s="46"/>
      <c r="C549" s="4"/>
      <c r="D549" s="4"/>
      <c r="E549" s="4"/>
      <c r="F549" s="4"/>
      <c r="G549" s="4"/>
      <c r="H549" s="4"/>
      <c r="I549" s="4"/>
      <c r="J549" s="4"/>
      <c r="K549" s="4"/>
      <c r="L549" s="4"/>
      <c r="M549" s="4"/>
      <c r="N549" s="4"/>
      <c r="O549" s="4"/>
      <c r="P549" s="4"/>
      <c r="Q549" s="4"/>
      <c r="R549" s="4"/>
      <c r="S549" s="4"/>
      <c r="T549" s="4"/>
      <c r="U549" s="4"/>
      <c r="V549" s="4"/>
      <c r="W549" s="4"/>
      <c r="X549" s="4"/>
    </row>
    <row r="550">
      <c r="A550" s="4"/>
      <c r="B550" s="46"/>
      <c r="C550" s="4"/>
      <c r="D550" s="4"/>
      <c r="E550" s="4"/>
      <c r="F550" s="4"/>
      <c r="G550" s="4"/>
      <c r="H550" s="4"/>
      <c r="I550" s="4"/>
      <c r="J550" s="4"/>
      <c r="K550" s="4"/>
      <c r="L550" s="4"/>
      <c r="M550" s="4"/>
      <c r="N550" s="4"/>
      <c r="O550" s="4"/>
      <c r="P550" s="4"/>
      <c r="Q550" s="4"/>
      <c r="R550" s="4"/>
      <c r="S550" s="4"/>
      <c r="T550" s="4"/>
      <c r="U550" s="4"/>
      <c r="V550" s="4"/>
      <c r="W550" s="4"/>
      <c r="X550" s="4"/>
    </row>
    <row r="551">
      <c r="A551" s="4"/>
      <c r="B551" s="46"/>
      <c r="C551" s="4"/>
      <c r="D551" s="4"/>
      <c r="E551" s="4"/>
      <c r="F551" s="4"/>
      <c r="G551" s="4"/>
      <c r="H551" s="4"/>
      <c r="I551" s="4"/>
      <c r="J551" s="4"/>
      <c r="K551" s="4"/>
      <c r="L551" s="4"/>
      <c r="M551" s="4"/>
      <c r="N551" s="4"/>
      <c r="O551" s="4"/>
      <c r="P551" s="4"/>
      <c r="Q551" s="4"/>
      <c r="R551" s="4"/>
      <c r="S551" s="4"/>
      <c r="T551" s="4"/>
      <c r="U551" s="4"/>
      <c r="V551" s="4"/>
      <c r="W551" s="4"/>
      <c r="X551" s="4"/>
    </row>
    <row r="552">
      <c r="A552" s="4"/>
      <c r="B552" s="46"/>
      <c r="C552" s="4"/>
      <c r="D552" s="4"/>
      <c r="E552" s="4"/>
      <c r="F552" s="4"/>
      <c r="G552" s="4"/>
      <c r="H552" s="4"/>
      <c r="I552" s="4"/>
      <c r="J552" s="4"/>
      <c r="K552" s="4"/>
      <c r="L552" s="4"/>
      <c r="M552" s="4"/>
      <c r="N552" s="4"/>
      <c r="O552" s="4"/>
      <c r="P552" s="4"/>
      <c r="Q552" s="4"/>
      <c r="R552" s="4"/>
      <c r="S552" s="4"/>
      <c r="T552" s="4"/>
      <c r="U552" s="4"/>
      <c r="V552" s="4"/>
      <c r="W552" s="4"/>
      <c r="X552" s="4"/>
    </row>
    <row r="553">
      <c r="A553" s="4"/>
      <c r="B553" s="46"/>
      <c r="C553" s="4"/>
      <c r="D553" s="4"/>
      <c r="E553" s="4"/>
      <c r="F553" s="4"/>
      <c r="G553" s="4"/>
      <c r="H553" s="4"/>
      <c r="I553" s="4"/>
      <c r="J553" s="4"/>
      <c r="K553" s="4"/>
      <c r="L553" s="4"/>
      <c r="M553" s="4"/>
      <c r="N553" s="4"/>
      <c r="O553" s="4"/>
      <c r="P553" s="4"/>
      <c r="Q553" s="4"/>
      <c r="R553" s="4"/>
      <c r="S553" s="4"/>
      <c r="T553" s="4"/>
      <c r="U553" s="4"/>
      <c r="V553" s="4"/>
      <c r="W553" s="4"/>
      <c r="X553" s="4"/>
    </row>
    <row r="554">
      <c r="A554" s="4"/>
      <c r="B554" s="46"/>
      <c r="C554" s="4"/>
      <c r="D554" s="4"/>
      <c r="E554" s="4"/>
      <c r="F554" s="4"/>
      <c r="G554" s="4"/>
      <c r="H554" s="4"/>
      <c r="I554" s="4"/>
      <c r="J554" s="4"/>
      <c r="K554" s="4"/>
      <c r="L554" s="4"/>
      <c r="M554" s="4"/>
      <c r="N554" s="4"/>
      <c r="O554" s="4"/>
      <c r="P554" s="4"/>
      <c r="Q554" s="4"/>
      <c r="R554" s="4"/>
      <c r="S554" s="4"/>
      <c r="T554" s="4"/>
      <c r="U554" s="4"/>
      <c r="V554" s="4"/>
      <c r="W554" s="4"/>
      <c r="X554" s="4"/>
    </row>
    <row r="555">
      <c r="A555" s="4"/>
      <c r="B555" s="46"/>
      <c r="C555" s="4"/>
      <c r="D555" s="4"/>
      <c r="E555" s="4"/>
      <c r="F555" s="4"/>
      <c r="G555" s="4"/>
      <c r="H555" s="4"/>
      <c r="I555" s="4"/>
      <c r="J555" s="4"/>
      <c r="K555" s="4"/>
      <c r="L555" s="4"/>
      <c r="M555" s="4"/>
      <c r="N555" s="4"/>
      <c r="O555" s="4"/>
      <c r="P555" s="4"/>
      <c r="Q555" s="4"/>
      <c r="R555" s="4"/>
      <c r="S555" s="4"/>
      <c r="T555" s="4"/>
      <c r="U555" s="4"/>
      <c r="V555" s="4"/>
      <c r="W555" s="4"/>
      <c r="X555" s="4"/>
    </row>
    <row r="556">
      <c r="A556" s="4"/>
      <c r="B556" s="46"/>
      <c r="C556" s="4"/>
      <c r="D556" s="4"/>
      <c r="E556" s="4"/>
      <c r="F556" s="4"/>
      <c r="G556" s="4"/>
      <c r="H556" s="4"/>
      <c r="I556" s="4"/>
      <c r="J556" s="4"/>
      <c r="K556" s="4"/>
      <c r="L556" s="4"/>
      <c r="M556" s="4"/>
      <c r="N556" s="4"/>
      <c r="O556" s="4"/>
      <c r="P556" s="4"/>
      <c r="Q556" s="4"/>
      <c r="R556" s="4"/>
      <c r="S556" s="4"/>
      <c r="T556" s="4"/>
      <c r="U556" s="4"/>
      <c r="V556" s="4"/>
      <c r="W556" s="4"/>
      <c r="X556" s="4"/>
    </row>
    <row r="557">
      <c r="A557" s="4"/>
      <c r="B557" s="46"/>
      <c r="C557" s="4"/>
      <c r="D557" s="4"/>
      <c r="E557" s="4"/>
      <c r="F557" s="4"/>
      <c r="G557" s="4"/>
      <c r="H557" s="4"/>
      <c r="I557" s="4"/>
      <c r="J557" s="4"/>
      <c r="K557" s="4"/>
      <c r="L557" s="4"/>
      <c r="M557" s="4"/>
      <c r="N557" s="4"/>
      <c r="O557" s="4"/>
      <c r="P557" s="4"/>
      <c r="Q557" s="4"/>
      <c r="R557" s="4"/>
      <c r="S557" s="4"/>
      <c r="T557" s="4"/>
      <c r="U557" s="4"/>
      <c r="V557" s="4"/>
      <c r="W557" s="4"/>
      <c r="X557" s="4"/>
    </row>
    <row r="558">
      <c r="A558" s="4"/>
      <c r="B558" s="46"/>
      <c r="C558" s="4"/>
      <c r="D558" s="4"/>
      <c r="E558" s="4"/>
      <c r="F558" s="4"/>
      <c r="G558" s="4"/>
      <c r="H558" s="4"/>
      <c r="I558" s="4"/>
      <c r="J558" s="4"/>
      <c r="K558" s="4"/>
      <c r="L558" s="4"/>
      <c r="M558" s="4"/>
      <c r="N558" s="4"/>
      <c r="O558" s="4"/>
      <c r="P558" s="4"/>
      <c r="Q558" s="4"/>
      <c r="R558" s="4"/>
      <c r="S558" s="4"/>
      <c r="T558" s="4"/>
      <c r="U558" s="4"/>
      <c r="V558" s="4"/>
      <c r="W558" s="4"/>
      <c r="X558" s="4"/>
    </row>
    <row r="559">
      <c r="A559" s="4"/>
      <c r="B559" s="46"/>
      <c r="C559" s="4"/>
      <c r="D559" s="4"/>
      <c r="E559" s="4"/>
      <c r="F559" s="4"/>
      <c r="G559" s="4"/>
      <c r="H559" s="4"/>
      <c r="I559" s="4"/>
      <c r="J559" s="4"/>
      <c r="K559" s="4"/>
      <c r="L559" s="4"/>
      <c r="M559" s="4"/>
      <c r="N559" s="4"/>
      <c r="O559" s="4"/>
      <c r="P559" s="4"/>
      <c r="Q559" s="4"/>
      <c r="R559" s="4"/>
      <c r="S559" s="4"/>
      <c r="T559" s="4"/>
      <c r="U559" s="4"/>
      <c r="V559" s="4"/>
      <c r="W559" s="4"/>
      <c r="X559" s="4"/>
    </row>
    <row r="560">
      <c r="A560" s="4"/>
      <c r="B560" s="46"/>
      <c r="C560" s="4"/>
      <c r="D560" s="4"/>
      <c r="E560" s="4"/>
      <c r="F560" s="4"/>
      <c r="G560" s="4"/>
      <c r="H560" s="4"/>
      <c r="I560" s="4"/>
      <c r="J560" s="4"/>
      <c r="K560" s="4"/>
      <c r="L560" s="4"/>
      <c r="M560" s="4"/>
      <c r="N560" s="4"/>
      <c r="O560" s="4"/>
      <c r="P560" s="4"/>
      <c r="Q560" s="4"/>
      <c r="R560" s="4"/>
      <c r="S560" s="4"/>
      <c r="T560" s="4"/>
      <c r="U560" s="4"/>
      <c r="V560" s="4"/>
      <c r="W560" s="4"/>
      <c r="X560" s="4"/>
    </row>
    <row r="561">
      <c r="A561" s="4"/>
      <c r="B561" s="46"/>
      <c r="C561" s="4"/>
      <c r="D561" s="4"/>
      <c r="E561" s="4"/>
      <c r="F561" s="4"/>
      <c r="G561" s="4"/>
      <c r="H561" s="4"/>
      <c r="I561" s="4"/>
      <c r="J561" s="4"/>
      <c r="K561" s="4"/>
      <c r="L561" s="4"/>
      <c r="M561" s="4"/>
      <c r="N561" s="4"/>
      <c r="O561" s="4"/>
      <c r="P561" s="4"/>
      <c r="Q561" s="4"/>
      <c r="R561" s="4"/>
      <c r="S561" s="4"/>
      <c r="T561" s="4"/>
      <c r="U561" s="4"/>
      <c r="V561" s="4"/>
      <c r="W561" s="4"/>
      <c r="X561" s="4"/>
    </row>
    <row r="562">
      <c r="A562" s="4"/>
      <c r="B562" s="46"/>
      <c r="C562" s="4"/>
      <c r="D562" s="4"/>
      <c r="E562" s="4"/>
      <c r="F562" s="4"/>
      <c r="G562" s="4"/>
      <c r="H562" s="4"/>
      <c r="I562" s="4"/>
      <c r="J562" s="4"/>
      <c r="K562" s="4"/>
      <c r="L562" s="4"/>
      <c r="M562" s="4"/>
      <c r="N562" s="4"/>
      <c r="O562" s="4"/>
      <c r="P562" s="4"/>
      <c r="Q562" s="4"/>
      <c r="R562" s="4"/>
      <c r="S562" s="4"/>
      <c r="T562" s="4"/>
      <c r="U562" s="4"/>
      <c r="V562" s="4"/>
      <c r="W562" s="4"/>
      <c r="X562" s="4"/>
    </row>
    <row r="563">
      <c r="A563" s="4"/>
      <c r="B563" s="46"/>
      <c r="C563" s="4"/>
      <c r="D563" s="4"/>
      <c r="E563" s="4"/>
      <c r="F563" s="4"/>
      <c r="G563" s="4"/>
      <c r="H563" s="4"/>
      <c r="I563" s="4"/>
      <c r="J563" s="4"/>
      <c r="K563" s="4"/>
      <c r="L563" s="4"/>
      <c r="M563" s="4"/>
      <c r="N563" s="4"/>
      <c r="O563" s="4"/>
      <c r="P563" s="4"/>
      <c r="Q563" s="4"/>
      <c r="R563" s="4"/>
      <c r="S563" s="4"/>
      <c r="T563" s="4"/>
      <c r="U563" s="4"/>
      <c r="V563" s="4"/>
      <c r="W563" s="4"/>
      <c r="X563" s="4"/>
    </row>
    <row r="564">
      <c r="A564" s="4"/>
      <c r="B564" s="46"/>
      <c r="C564" s="4"/>
      <c r="D564" s="4"/>
      <c r="E564" s="4"/>
      <c r="F564" s="4"/>
      <c r="G564" s="4"/>
      <c r="H564" s="4"/>
      <c r="I564" s="4"/>
      <c r="J564" s="4"/>
      <c r="K564" s="4"/>
      <c r="L564" s="4"/>
      <c r="M564" s="4"/>
      <c r="N564" s="4"/>
      <c r="O564" s="4"/>
      <c r="P564" s="4"/>
      <c r="Q564" s="4"/>
      <c r="R564" s="4"/>
      <c r="S564" s="4"/>
      <c r="T564" s="4"/>
      <c r="U564" s="4"/>
      <c r="V564" s="4"/>
      <c r="W564" s="4"/>
      <c r="X564" s="4"/>
    </row>
    <row r="565">
      <c r="A565" s="4"/>
      <c r="B565" s="46"/>
      <c r="C565" s="4"/>
      <c r="D565" s="4"/>
      <c r="E565" s="4"/>
      <c r="F565" s="4"/>
      <c r="G565" s="4"/>
      <c r="H565" s="4"/>
      <c r="I565" s="4"/>
      <c r="J565" s="4"/>
      <c r="K565" s="4"/>
      <c r="L565" s="4"/>
      <c r="M565" s="4"/>
      <c r="N565" s="4"/>
      <c r="O565" s="4"/>
      <c r="P565" s="4"/>
      <c r="Q565" s="4"/>
      <c r="R565" s="4"/>
      <c r="S565" s="4"/>
      <c r="T565" s="4"/>
      <c r="U565" s="4"/>
      <c r="V565" s="4"/>
      <c r="W565" s="4"/>
      <c r="X565" s="4"/>
    </row>
    <row r="566">
      <c r="A566" s="4"/>
      <c r="B566" s="46"/>
      <c r="C566" s="4"/>
      <c r="D566" s="4"/>
      <c r="E566" s="4"/>
      <c r="F566" s="4"/>
      <c r="G566" s="4"/>
      <c r="H566" s="4"/>
      <c r="I566" s="4"/>
      <c r="J566" s="4"/>
      <c r="K566" s="4"/>
      <c r="L566" s="4"/>
      <c r="M566" s="4"/>
      <c r="N566" s="4"/>
      <c r="O566" s="4"/>
      <c r="P566" s="4"/>
      <c r="Q566" s="4"/>
      <c r="R566" s="4"/>
      <c r="S566" s="4"/>
      <c r="T566" s="4"/>
      <c r="U566" s="4"/>
      <c r="V566" s="4"/>
      <c r="W566" s="4"/>
      <c r="X566" s="4"/>
    </row>
    <row r="567">
      <c r="A567" s="4"/>
      <c r="B567" s="46"/>
      <c r="C567" s="4"/>
      <c r="D567" s="4"/>
      <c r="E567" s="4"/>
      <c r="F567" s="4"/>
      <c r="G567" s="4"/>
      <c r="H567" s="4"/>
      <c r="I567" s="4"/>
      <c r="J567" s="4"/>
      <c r="K567" s="4"/>
      <c r="L567" s="4"/>
      <c r="M567" s="4"/>
      <c r="N567" s="4"/>
      <c r="O567" s="4"/>
      <c r="P567" s="4"/>
      <c r="Q567" s="4"/>
      <c r="R567" s="4"/>
      <c r="S567" s="4"/>
      <c r="T567" s="4"/>
      <c r="U567" s="4"/>
      <c r="V567" s="4"/>
      <c r="W567" s="4"/>
      <c r="X567" s="4"/>
    </row>
    <row r="568">
      <c r="A568" s="4"/>
      <c r="B568" s="46"/>
      <c r="C568" s="4"/>
      <c r="D568" s="4"/>
      <c r="E568" s="4"/>
      <c r="F568" s="4"/>
      <c r="G568" s="4"/>
      <c r="H568" s="4"/>
      <c r="I568" s="4"/>
      <c r="J568" s="4"/>
      <c r="K568" s="4"/>
      <c r="L568" s="4"/>
      <c r="M568" s="4"/>
      <c r="N568" s="4"/>
      <c r="O568" s="4"/>
      <c r="P568" s="4"/>
      <c r="Q568" s="4"/>
      <c r="R568" s="4"/>
      <c r="S568" s="4"/>
      <c r="T568" s="4"/>
      <c r="U568" s="4"/>
      <c r="V568" s="4"/>
      <c r="W568" s="4"/>
      <c r="X568" s="4"/>
    </row>
    <row r="569">
      <c r="A569" s="4"/>
      <c r="B569" s="46"/>
      <c r="C569" s="4"/>
      <c r="D569" s="4"/>
      <c r="E569" s="4"/>
      <c r="F569" s="4"/>
      <c r="G569" s="4"/>
      <c r="H569" s="4"/>
      <c r="I569" s="4"/>
      <c r="J569" s="4"/>
      <c r="K569" s="4"/>
      <c r="L569" s="4"/>
      <c r="M569" s="4"/>
      <c r="N569" s="4"/>
      <c r="O569" s="4"/>
      <c r="P569" s="4"/>
      <c r="Q569" s="4"/>
      <c r="R569" s="4"/>
      <c r="S569" s="4"/>
      <c r="T569" s="4"/>
      <c r="U569" s="4"/>
      <c r="V569" s="4"/>
      <c r="W569" s="4"/>
      <c r="X569" s="4"/>
    </row>
    <row r="570">
      <c r="A570" s="4"/>
      <c r="B570" s="46"/>
      <c r="C570" s="4"/>
      <c r="D570" s="4"/>
      <c r="E570" s="4"/>
      <c r="F570" s="4"/>
      <c r="G570" s="4"/>
      <c r="H570" s="4"/>
      <c r="I570" s="4"/>
      <c r="J570" s="4"/>
      <c r="K570" s="4"/>
      <c r="L570" s="4"/>
      <c r="M570" s="4"/>
      <c r="N570" s="4"/>
      <c r="O570" s="4"/>
      <c r="P570" s="4"/>
      <c r="Q570" s="4"/>
      <c r="R570" s="4"/>
      <c r="S570" s="4"/>
      <c r="T570" s="4"/>
      <c r="U570" s="4"/>
      <c r="V570" s="4"/>
      <c r="W570" s="4"/>
      <c r="X570" s="4"/>
    </row>
    <row r="571">
      <c r="A571" s="4"/>
      <c r="B571" s="46"/>
      <c r="C571" s="4"/>
      <c r="D571" s="4"/>
      <c r="E571" s="4"/>
      <c r="F571" s="4"/>
      <c r="G571" s="4"/>
      <c r="H571" s="4"/>
      <c r="I571" s="4"/>
      <c r="J571" s="4"/>
      <c r="K571" s="4"/>
      <c r="L571" s="4"/>
      <c r="M571" s="4"/>
      <c r="N571" s="4"/>
      <c r="O571" s="4"/>
      <c r="P571" s="4"/>
      <c r="Q571" s="4"/>
      <c r="R571" s="4"/>
      <c r="S571" s="4"/>
      <c r="T571" s="4"/>
      <c r="U571" s="4"/>
      <c r="V571" s="4"/>
      <c r="W571" s="4"/>
      <c r="X571" s="4"/>
    </row>
    <row r="572">
      <c r="A572" s="4"/>
      <c r="B572" s="46"/>
      <c r="C572" s="4"/>
      <c r="D572" s="4"/>
      <c r="E572" s="4"/>
      <c r="F572" s="4"/>
      <c r="G572" s="4"/>
      <c r="H572" s="4"/>
      <c r="I572" s="4"/>
      <c r="J572" s="4"/>
      <c r="K572" s="4"/>
      <c r="L572" s="4"/>
      <c r="M572" s="4"/>
      <c r="N572" s="4"/>
      <c r="O572" s="4"/>
      <c r="P572" s="4"/>
      <c r="Q572" s="4"/>
      <c r="R572" s="4"/>
      <c r="S572" s="4"/>
      <c r="T572" s="4"/>
      <c r="U572" s="4"/>
      <c r="V572" s="4"/>
      <c r="W572" s="4"/>
      <c r="X572" s="4"/>
    </row>
    <row r="573">
      <c r="A573" s="4"/>
      <c r="B573" s="46"/>
      <c r="C573" s="4"/>
      <c r="D573" s="4"/>
      <c r="E573" s="4"/>
      <c r="F573" s="4"/>
      <c r="G573" s="4"/>
      <c r="H573" s="4"/>
      <c r="I573" s="4"/>
      <c r="J573" s="4"/>
      <c r="K573" s="4"/>
      <c r="L573" s="4"/>
      <c r="M573" s="4"/>
      <c r="N573" s="4"/>
      <c r="O573" s="4"/>
      <c r="P573" s="4"/>
      <c r="Q573" s="4"/>
      <c r="R573" s="4"/>
      <c r="S573" s="4"/>
      <c r="T573" s="4"/>
      <c r="U573" s="4"/>
      <c r="V573" s="4"/>
      <c r="W573" s="4"/>
      <c r="X573" s="4"/>
    </row>
    <row r="574">
      <c r="A574" s="4"/>
      <c r="B574" s="46"/>
      <c r="C574" s="4"/>
      <c r="D574" s="4"/>
      <c r="E574" s="4"/>
      <c r="F574" s="4"/>
      <c r="G574" s="4"/>
      <c r="H574" s="4"/>
      <c r="I574" s="4"/>
      <c r="J574" s="4"/>
      <c r="K574" s="4"/>
      <c r="L574" s="4"/>
      <c r="M574" s="4"/>
      <c r="N574" s="4"/>
      <c r="O574" s="4"/>
      <c r="P574" s="4"/>
      <c r="Q574" s="4"/>
      <c r="R574" s="4"/>
      <c r="S574" s="4"/>
      <c r="T574" s="4"/>
      <c r="U574" s="4"/>
      <c r="V574" s="4"/>
      <c r="W574" s="4"/>
      <c r="X574" s="4"/>
    </row>
    <row r="575">
      <c r="A575" s="4"/>
      <c r="B575" s="46"/>
      <c r="C575" s="4"/>
      <c r="D575" s="4"/>
      <c r="E575" s="4"/>
      <c r="F575" s="4"/>
      <c r="G575" s="4"/>
      <c r="H575" s="4"/>
      <c r="I575" s="4"/>
      <c r="J575" s="4"/>
      <c r="K575" s="4"/>
      <c r="L575" s="4"/>
      <c r="M575" s="4"/>
      <c r="N575" s="4"/>
      <c r="O575" s="4"/>
      <c r="P575" s="4"/>
      <c r="Q575" s="4"/>
      <c r="R575" s="4"/>
      <c r="S575" s="4"/>
      <c r="T575" s="4"/>
      <c r="U575" s="4"/>
      <c r="V575" s="4"/>
      <c r="W575" s="4"/>
      <c r="X575" s="4"/>
    </row>
    <row r="576">
      <c r="A576" s="4"/>
      <c r="B576" s="46"/>
      <c r="C576" s="4"/>
      <c r="D576" s="4"/>
      <c r="E576" s="4"/>
      <c r="F576" s="4"/>
      <c r="G576" s="4"/>
      <c r="H576" s="4"/>
      <c r="I576" s="4"/>
      <c r="J576" s="4"/>
      <c r="K576" s="4"/>
      <c r="L576" s="4"/>
      <c r="M576" s="4"/>
      <c r="N576" s="4"/>
      <c r="O576" s="4"/>
      <c r="P576" s="4"/>
      <c r="Q576" s="4"/>
      <c r="R576" s="4"/>
      <c r="S576" s="4"/>
      <c r="T576" s="4"/>
      <c r="U576" s="4"/>
      <c r="V576" s="4"/>
      <c r="W576" s="4"/>
      <c r="X576" s="4"/>
    </row>
    <row r="577">
      <c r="A577" s="4"/>
      <c r="B577" s="46"/>
      <c r="C577" s="4"/>
      <c r="D577" s="4"/>
      <c r="E577" s="4"/>
      <c r="F577" s="4"/>
      <c r="G577" s="4"/>
      <c r="H577" s="4"/>
      <c r="I577" s="4"/>
      <c r="J577" s="4"/>
      <c r="K577" s="4"/>
      <c r="L577" s="4"/>
      <c r="M577" s="4"/>
      <c r="N577" s="4"/>
      <c r="O577" s="4"/>
      <c r="P577" s="4"/>
      <c r="Q577" s="4"/>
      <c r="R577" s="4"/>
      <c r="S577" s="4"/>
      <c r="T577" s="4"/>
      <c r="U577" s="4"/>
      <c r="V577" s="4"/>
      <c r="W577" s="4"/>
      <c r="X577" s="4"/>
    </row>
    <row r="578">
      <c r="A578" s="4"/>
      <c r="B578" s="46"/>
      <c r="C578" s="4"/>
      <c r="D578" s="4"/>
      <c r="E578" s="4"/>
      <c r="F578" s="4"/>
      <c r="G578" s="4"/>
      <c r="H578" s="4"/>
      <c r="I578" s="4"/>
      <c r="J578" s="4"/>
      <c r="K578" s="4"/>
      <c r="L578" s="4"/>
      <c r="M578" s="4"/>
      <c r="N578" s="4"/>
      <c r="O578" s="4"/>
      <c r="P578" s="4"/>
      <c r="Q578" s="4"/>
      <c r="R578" s="4"/>
      <c r="S578" s="4"/>
      <c r="T578" s="4"/>
      <c r="U578" s="4"/>
      <c r="V578" s="4"/>
      <c r="W578" s="4"/>
      <c r="X578" s="4"/>
    </row>
    <row r="579">
      <c r="A579" s="4"/>
      <c r="B579" s="46"/>
      <c r="C579" s="4"/>
      <c r="D579" s="4"/>
      <c r="E579" s="4"/>
      <c r="F579" s="4"/>
      <c r="G579" s="4"/>
      <c r="H579" s="4"/>
      <c r="I579" s="4"/>
      <c r="J579" s="4"/>
      <c r="K579" s="4"/>
      <c r="L579" s="4"/>
      <c r="M579" s="4"/>
      <c r="N579" s="4"/>
      <c r="O579" s="4"/>
      <c r="P579" s="4"/>
      <c r="Q579" s="4"/>
      <c r="R579" s="4"/>
      <c r="S579" s="4"/>
      <c r="T579" s="4"/>
      <c r="U579" s="4"/>
      <c r="V579" s="4"/>
      <c r="W579" s="4"/>
      <c r="X579" s="4"/>
    </row>
    <row r="580">
      <c r="A580" s="4"/>
      <c r="B580" s="46"/>
      <c r="C580" s="4"/>
      <c r="D580" s="4"/>
      <c r="E580" s="4"/>
      <c r="F580" s="4"/>
      <c r="G580" s="4"/>
      <c r="H580" s="4"/>
      <c r="I580" s="4"/>
      <c r="J580" s="4"/>
      <c r="K580" s="4"/>
      <c r="L580" s="4"/>
      <c r="M580" s="4"/>
      <c r="N580" s="4"/>
      <c r="O580" s="4"/>
      <c r="P580" s="4"/>
      <c r="Q580" s="4"/>
      <c r="R580" s="4"/>
      <c r="S580" s="4"/>
      <c r="T580" s="4"/>
      <c r="U580" s="4"/>
      <c r="V580" s="4"/>
      <c r="W580" s="4"/>
      <c r="X580" s="4"/>
    </row>
    <row r="581">
      <c r="A581" s="4"/>
      <c r="B581" s="46"/>
      <c r="C581" s="4"/>
      <c r="D581" s="4"/>
      <c r="E581" s="4"/>
      <c r="F581" s="4"/>
      <c r="G581" s="4"/>
      <c r="H581" s="4"/>
      <c r="I581" s="4"/>
      <c r="J581" s="4"/>
      <c r="K581" s="4"/>
      <c r="L581" s="4"/>
      <c r="M581" s="4"/>
      <c r="N581" s="4"/>
      <c r="O581" s="4"/>
      <c r="P581" s="4"/>
      <c r="Q581" s="4"/>
      <c r="R581" s="4"/>
      <c r="S581" s="4"/>
      <c r="T581" s="4"/>
      <c r="U581" s="4"/>
      <c r="V581" s="4"/>
      <c r="W581" s="4"/>
      <c r="X581" s="4"/>
    </row>
    <row r="582">
      <c r="A582" s="4"/>
      <c r="B582" s="46"/>
      <c r="C582" s="4"/>
      <c r="D582" s="4"/>
      <c r="E582" s="4"/>
      <c r="F582" s="4"/>
      <c r="G582" s="4"/>
      <c r="H582" s="4"/>
      <c r="I582" s="4"/>
      <c r="J582" s="4"/>
      <c r="K582" s="4"/>
      <c r="L582" s="4"/>
      <c r="M582" s="4"/>
      <c r="N582" s="4"/>
      <c r="O582" s="4"/>
      <c r="P582" s="4"/>
      <c r="Q582" s="4"/>
      <c r="R582" s="4"/>
      <c r="S582" s="4"/>
      <c r="T582" s="4"/>
      <c r="U582" s="4"/>
      <c r="V582" s="4"/>
      <c r="W582" s="4"/>
      <c r="X582" s="4"/>
    </row>
    <row r="583">
      <c r="A583" s="4"/>
      <c r="B583" s="46"/>
      <c r="C583" s="4"/>
      <c r="D583" s="4"/>
      <c r="E583" s="4"/>
      <c r="F583" s="4"/>
      <c r="G583" s="4"/>
      <c r="H583" s="4"/>
      <c r="I583" s="4"/>
      <c r="J583" s="4"/>
      <c r="K583" s="4"/>
      <c r="L583" s="4"/>
      <c r="M583" s="4"/>
      <c r="N583" s="4"/>
      <c r="O583" s="4"/>
      <c r="P583" s="4"/>
      <c r="Q583" s="4"/>
      <c r="R583" s="4"/>
      <c r="S583" s="4"/>
      <c r="T583" s="4"/>
      <c r="U583" s="4"/>
      <c r="V583" s="4"/>
      <c r="W583" s="4"/>
      <c r="X583" s="4"/>
    </row>
    <row r="584">
      <c r="A584" s="4"/>
      <c r="B584" s="46"/>
      <c r="C584" s="4"/>
      <c r="D584" s="4"/>
      <c r="E584" s="4"/>
      <c r="F584" s="4"/>
      <c r="G584" s="4"/>
      <c r="H584" s="4"/>
      <c r="I584" s="4"/>
      <c r="J584" s="4"/>
      <c r="K584" s="4"/>
      <c r="L584" s="4"/>
      <c r="M584" s="4"/>
      <c r="N584" s="4"/>
      <c r="O584" s="4"/>
      <c r="P584" s="4"/>
      <c r="Q584" s="4"/>
      <c r="R584" s="4"/>
      <c r="S584" s="4"/>
      <c r="T584" s="4"/>
      <c r="U584" s="4"/>
      <c r="V584" s="4"/>
      <c r="W584" s="4"/>
      <c r="X584" s="4"/>
    </row>
    <row r="585">
      <c r="A585" s="4"/>
      <c r="B585" s="46"/>
      <c r="C585" s="4"/>
      <c r="D585" s="4"/>
      <c r="E585" s="4"/>
      <c r="F585" s="4"/>
      <c r="G585" s="4"/>
      <c r="H585" s="4"/>
      <c r="I585" s="4"/>
      <c r="J585" s="4"/>
      <c r="K585" s="4"/>
      <c r="L585" s="4"/>
      <c r="M585" s="4"/>
      <c r="N585" s="4"/>
      <c r="O585" s="4"/>
      <c r="P585" s="4"/>
      <c r="Q585" s="4"/>
      <c r="R585" s="4"/>
      <c r="S585" s="4"/>
      <c r="T585" s="4"/>
      <c r="U585" s="4"/>
      <c r="V585" s="4"/>
      <c r="W585" s="4"/>
      <c r="X585" s="4"/>
    </row>
    <row r="586">
      <c r="A586" s="4"/>
      <c r="B586" s="46"/>
      <c r="C586" s="4"/>
      <c r="D586" s="4"/>
      <c r="E586" s="4"/>
      <c r="F586" s="4"/>
      <c r="G586" s="4"/>
      <c r="H586" s="4"/>
      <c r="I586" s="4"/>
      <c r="J586" s="4"/>
      <c r="K586" s="4"/>
      <c r="L586" s="4"/>
      <c r="M586" s="4"/>
      <c r="N586" s="4"/>
      <c r="O586" s="4"/>
      <c r="P586" s="4"/>
      <c r="Q586" s="4"/>
      <c r="R586" s="4"/>
      <c r="S586" s="4"/>
      <c r="T586" s="4"/>
      <c r="U586" s="4"/>
      <c r="V586" s="4"/>
      <c r="W586" s="4"/>
      <c r="X586" s="4"/>
    </row>
    <row r="587">
      <c r="A587" s="4"/>
      <c r="B587" s="46"/>
      <c r="C587" s="4"/>
      <c r="D587" s="4"/>
      <c r="E587" s="4"/>
      <c r="F587" s="4"/>
      <c r="G587" s="4"/>
      <c r="H587" s="4"/>
      <c r="I587" s="4"/>
      <c r="J587" s="4"/>
      <c r="K587" s="4"/>
      <c r="L587" s="4"/>
      <c r="M587" s="4"/>
      <c r="N587" s="4"/>
      <c r="O587" s="4"/>
      <c r="P587" s="4"/>
      <c r="Q587" s="4"/>
      <c r="R587" s="4"/>
      <c r="S587" s="4"/>
      <c r="T587" s="4"/>
      <c r="U587" s="4"/>
      <c r="V587" s="4"/>
      <c r="W587" s="4"/>
      <c r="X587" s="4"/>
    </row>
    <row r="588">
      <c r="A588" s="4"/>
      <c r="B588" s="46"/>
      <c r="C588" s="4"/>
      <c r="D588" s="4"/>
      <c r="E588" s="4"/>
      <c r="F588" s="4"/>
      <c r="G588" s="4"/>
      <c r="H588" s="4"/>
      <c r="I588" s="4"/>
      <c r="J588" s="4"/>
      <c r="K588" s="4"/>
      <c r="L588" s="4"/>
      <c r="M588" s="4"/>
      <c r="N588" s="4"/>
      <c r="O588" s="4"/>
      <c r="P588" s="4"/>
      <c r="Q588" s="4"/>
      <c r="R588" s="4"/>
      <c r="S588" s="4"/>
      <c r="T588" s="4"/>
      <c r="U588" s="4"/>
      <c r="V588" s="4"/>
      <c r="W588" s="4"/>
      <c r="X588" s="4"/>
    </row>
    <row r="589">
      <c r="A589" s="4"/>
      <c r="B589" s="46"/>
      <c r="C589" s="4"/>
      <c r="D589" s="4"/>
      <c r="E589" s="4"/>
      <c r="F589" s="4"/>
      <c r="G589" s="4"/>
      <c r="H589" s="4"/>
      <c r="I589" s="4"/>
      <c r="J589" s="4"/>
      <c r="K589" s="4"/>
      <c r="L589" s="4"/>
      <c r="M589" s="4"/>
      <c r="N589" s="4"/>
      <c r="O589" s="4"/>
      <c r="P589" s="4"/>
      <c r="Q589" s="4"/>
      <c r="R589" s="4"/>
      <c r="S589" s="4"/>
      <c r="T589" s="4"/>
      <c r="U589" s="4"/>
      <c r="V589" s="4"/>
      <c r="W589" s="4"/>
      <c r="X589" s="4"/>
    </row>
    <row r="590">
      <c r="A590" s="4"/>
      <c r="B590" s="46"/>
      <c r="C590" s="4"/>
      <c r="D590" s="4"/>
      <c r="E590" s="4"/>
      <c r="F590" s="4"/>
      <c r="G590" s="4"/>
      <c r="H590" s="4"/>
      <c r="I590" s="4"/>
      <c r="J590" s="4"/>
      <c r="K590" s="4"/>
      <c r="L590" s="4"/>
      <c r="M590" s="4"/>
      <c r="N590" s="4"/>
      <c r="O590" s="4"/>
      <c r="P590" s="4"/>
      <c r="Q590" s="4"/>
      <c r="R590" s="4"/>
      <c r="S590" s="4"/>
      <c r="T590" s="4"/>
      <c r="U590" s="4"/>
      <c r="V590" s="4"/>
      <c r="W590" s="4"/>
      <c r="X590" s="4"/>
    </row>
    <row r="591">
      <c r="A591" s="4"/>
      <c r="B591" s="46"/>
      <c r="C591" s="4"/>
      <c r="D591" s="4"/>
      <c r="E591" s="4"/>
      <c r="F591" s="4"/>
      <c r="G591" s="4"/>
      <c r="H591" s="4"/>
      <c r="I591" s="4"/>
      <c r="J591" s="4"/>
      <c r="K591" s="4"/>
      <c r="L591" s="4"/>
      <c r="M591" s="4"/>
      <c r="N591" s="4"/>
      <c r="O591" s="4"/>
      <c r="P591" s="4"/>
      <c r="Q591" s="4"/>
      <c r="R591" s="4"/>
      <c r="S591" s="4"/>
      <c r="T591" s="4"/>
      <c r="U591" s="4"/>
      <c r="V591" s="4"/>
      <c r="W591" s="4"/>
      <c r="X591" s="4"/>
    </row>
    <row r="592">
      <c r="A592" s="4"/>
      <c r="B592" s="46"/>
      <c r="C592" s="4"/>
      <c r="D592" s="4"/>
      <c r="E592" s="4"/>
      <c r="F592" s="4"/>
      <c r="G592" s="4"/>
      <c r="H592" s="4"/>
      <c r="I592" s="4"/>
      <c r="J592" s="4"/>
      <c r="K592" s="4"/>
      <c r="L592" s="4"/>
      <c r="M592" s="4"/>
      <c r="N592" s="4"/>
      <c r="O592" s="4"/>
      <c r="P592" s="4"/>
      <c r="Q592" s="4"/>
      <c r="R592" s="4"/>
      <c r="S592" s="4"/>
      <c r="T592" s="4"/>
      <c r="U592" s="4"/>
      <c r="V592" s="4"/>
      <c r="W592" s="4"/>
      <c r="X592" s="4"/>
    </row>
    <row r="593">
      <c r="A593" s="4"/>
      <c r="B593" s="46"/>
      <c r="C593" s="4"/>
      <c r="D593" s="4"/>
      <c r="E593" s="4"/>
      <c r="F593" s="4"/>
      <c r="G593" s="4"/>
      <c r="H593" s="4"/>
      <c r="I593" s="4"/>
      <c r="J593" s="4"/>
      <c r="K593" s="4"/>
      <c r="L593" s="4"/>
      <c r="M593" s="4"/>
      <c r="N593" s="4"/>
      <c r="O593" s="4"/>
      <c r="P593" s="4"/>
      <c r="Q593" s="4"/>
      <c r="R593" s="4"/>
      <c r="S593" s="4"/>
      <c r="T593" s="4"/>
      <c r="U593" s="4"/>
      <c r="V593" s="4"/>
      <c r="W593" s="4"/>
      <c r="X593" s="4"/>
    </row>
    <row r="594">
      <c r="A594" s="4"/>
      <c r="B594" s="46"/>
      <c r="C594" s="4"/>
      <c r="D594" s="4"/>
      <c r="E594" s="4"/>
      <c r="F594" s="4"/>
      <c r="G594" s="4"/>
      <c r="H594" s="4"/>
      <c r="I594" s="4"/>
      <c r="J594" s="4"/>
      <c r="K594" s="4"/>
      <c r="L594" s="4"/>
      <c r="M594" s="4"/>
      <c r="N594" s="4"/>
      <c r="O594" s="4"/>
      <c r="P594" s="4"/>
      <c r="Q594" s="4"/>
      <c r="R594" s="4"/>
      <c r="S594" s="4"/>
      <c r="T594" s="4"/>
      <c r="U594" s="4"/>
      <c r="V594" s="4"/>
      <c r="W594" s="4"/>
      <c r="X594" s="4"/>
    </row>
    <row r="595">
      <c r="A595" s="4"/>
      <c r="B595" s="46"/>
      <c r="C595" s="4"/>
      <c r="D595" s="4"/>
      <c r="E595" s="4"/>
      <c r="F595" s="4"/>
      <c r="G595" s="4"/>
      <c r="H595" s="4"/>
      <c r="I595" s="4"/>
      <c r="J595" s="4"/>
      <c r="K595" s="4"/>
      <c r="L595" s="4"/>
      <c r="M595" s="4"/>
      <c r="N595" s="4"/>
      <c r="O595" s="4"/>
      <c r="P595" s="4"/>
      <c r="Q595" s="4"/>
      <c r="R595" s="4"/>
      <c r="S595" s="4"/>
      <c r="T595" s="4"/>
      <c r="U595" s="4"/>
      <c r="V595" s="4"/>
      <c r="W595" s="4"/>
      <c r="X595" s="4"/>
    </row>
    <row r="596">
      <c r="A596" s="4"/>
      <c r="B596" s="46"/>
      <c r="C596" s="4"/>
      <c r="D596" s="4"/>
      <c r="E596" s="4"/>
      <c r="F596" s="4"/>
      <c r="G596" s="4"/>
      <c r="H596" s="4"/>
      <c r="I596" s="4"/>
      <c r="J596" s="4"/>
      <c r="K596" s="4"/>
      <c r="L596" s="4"/>
      <c r="M596" s="4"/>
      <c r="N596" s="4"/>
      <c r="O596" s="4"/>
      <c r="P596" s="4"/>
      <c r="Q596" s="4"/>
      <c r="R596" s="4"/>
      <c r="S596" s="4"/>
      <c r="T596" s="4"/>
      <c r="U596" s="4"/>
      <c r="V596" s="4"/>
      <c r="W596" s="4"/>
      <c r="X596" s="4"/>
    </row>
    <row r="597">
      <c r="A597" s="4"/>
      <c r="B597" s="46"/>
      <c r="C597" s="4"/>
      <c r="D597" s="4"/>
      <c r="E597" s="4"/>
      <c r="F597" s="4"/>
      <c r="G597" s="4"/>
      <c r="H597" s="4"/>
      <c r="I597" s="4"/>
      <c r="J597" s="4"/>
      <c r="K597" s="4"/>
      <c r="L597" s="4"/>
      <c r="M597" s="4"/>
      <c r="N597" s="4"/>
      <c r="O597" s="4"/>
      <c r="P597" s="4"/>
      <c r="Q597" s="4"/>
      <c r="R597" s="4"/>
      <c r="S597" s="4"/>
      <c r="T597" s="4"/>
      <c r="U597" s="4"/>
      <c r="V597" s="4"/>
      <c r="W597" s="4"/>
      <c r="X597" s="4"/>
    </row>
    <row r="598">
      <c r="A598" s="4"/>
      <c r="B598" s="46"/>
      <c r="C598" s="4"/>
      <c r="D598" s="4"/>
      <c r="E598" s="4"/>
      <c r="F598" s="4"/>
      <c r="G598" s="4"/>
      <c r="H598" s="4"/>
      <c r="I598" s="4"/>
      <c r="J598" s="4"/>
      <c r="K598" s="4"/>
      <c r="L598" s="4"/>
      <c r="M598" s="4"/>
      <c r="N598" s="4"/>
      <c r="O598" s="4"/>
      <c r="P598" s="4"/>
      <c r="Q598" s="4"/>
      <c r="R598" s="4"/>
      <c r="S598" s="4"/>
      <c r="T598" s="4"/>
      <c r="U598" s="4"/>
      <c r="V598" s="4"/>
      <c r="W598" s="4"/>
      <c r="X598" s="4"/>
    </row>
    <row r="599">
      <c r="A599" s="4"/>
      <c r="B599" s="46"/>
      <c r="C599" s="4"/>
      <c r="D599" s="4"/>
      <c r="E599" s="4"/>
      <c r="F599" s="4"/>
      <c r="G599" s="4"/>
      <c r="H599" s="4"/>
      <c r="I599" s="4"/>
      <c r="J599" s="4"/>
      <c r="K599" s="4"/>
      <c r="L599" s="4"/>
      <c r="M599" s="4"/>
      <c r="N599" s="4"/>
      <c r="O599" s="4"/>
      <c r="P599" s="4"/>
      <c r="Q599" s="4"/>
      <c r="R599" s="4"/>
      <c r="S599" s="4"/>
      <c r="T599" s="4"/>
      <c r="U599" s="4"/>
      <c r="V599" s="4"/>
      <c r="W599" s="4"/>
      <c r="X599" s="4"/>
    </row>
    <row r="600">
      <c r="A600" s="4"/>
      <c r="B600" s="46"/>
      <c r="C600" s="4"/>
      <c r="D600" s="4"/>
      <c r="E600" s="4"/>
      <c r="F600" s="4"/>
      <c r="G600" s="4"/>
      <c r="H600" s="4"/>
      <c r="I600" s="4"/>
      <c r="J600" s="4"/>
      <c r="K600" s="4"/>
      <c r="L600" s="4"/>
      <c r="M600" s="4"/>
      <c r="N600" s="4"/>
      <c r="O600" s="4"/>
      <c r="P600" s="4"/>
      <c r="Q600" s="4"/>
      <c r="R600" s="4"/>
      <c r="S600" s="4"/>
      <c r="T600" s="4"/>
      <c r="U600" s="4"/>
      <c r="V600" s="4"/>
      <c r="W600" s="4"/>
      <c r="X600" s="4"/>
    </row>
    <row r="601">
      <c r="A601" s="4"/>
      <c r="B601" s="46"/>
      <c r="C601" s="4"/>
      <c r="D601" s="4"/>
      <c r="E601" s="4"/>
      <c r="F601" s="4"/>
      <c r="G601" s="4"/>
      <c r="H601" s="4"/>
      <c r="I601" s="4"/>
      <c r="J601" s="4"/>
      <c r="K601" s="4"/>
      <c r="L601" s="4"/>
      <c r="M601" s="4"/>
      <c r="N601" s="4"/>
      <c r="O601" s="4"/>
      <c r="P601" s="4"/>
      <c r="Q601" s="4"/>
      <c r="R601" s="4"/>
      <c r="S601" s="4"/>
      <c r="T601" s="4"/>
      <c r="U601" s="4"/>
      <c r="V601" s="4"/>
      <c r="W601" s="4"/>
      <c r="X601" s="4"/>
    </row>
    <row r="602">
      <c r="A602" s="4"/>
      <c r="B602" s="46"/>
      <c r="C602" s="4"/>
      <c r="D602" s="4"/>
      <c r="E602" s="4"/>
      <c r="F602" s="4"/>
      <c r="G602" s="4"/>
      <c r="H602" s="4"/>
      <c r="I602" s="4"/>
      <c r="J602" s="4"/>
      <c r="K602" s="4"/>
      <c r="L602" s="4"/>
      <c r="M602" s="4"/>
      <c r="N602" s="4"/>
      <c r="O602" s="4"/>
      <c r="P602" s="4"/>
      <c r="Q602" s="4"/>
      <c r="R602" s="4"/>
      <c r="S602" s="4"/>
      <c r="T602" s="4"/>
      <c r="U602" s="4"/>
      <c r="V602" s="4"/>
      <c r="W602" s="4"/>
      <c r="X602" s="4"/>
    </row>
    <row r="603">
      <c r="A603" s="4"/>
      <c r="B603" s="46"/>
      <c r="C603" s="4"/>
      <c r="D603" s="4"/>
      <c r="E603" s="4"/>
      <c r="F603" s="4"/>
      <c r="G603" s="4"/>
      <c r="H603" s="4"/>
      <c r="I603" s="4"/>
      <c r="J603" s="4"/>
      <c r="K603" s="4"/>
      <c r="L603" s="4"/>
      <c r="M603" s="4"/>
      <c r="N603" s="4"/>
      <c r="O603" s="4"/>
      <c r="P603" s="4"/>
      <c r="Q603" s="4"/>
      <c r="R603" s="4"/>
      <c r="S603" s="4"/>
      <c r="T603" s="4"/>
      <c r="U603" s="4"/>
      <c r="V603" s="4"/>
      <c r="W603" s="4"/>
      <c r="X603" s="4"/>
    </row>
    <row r="604">
      <c r="A604" s="4"/>
      <c r="B604" s="46"/>
      <c r="C604" s="4"/>
      <c r="D604" s="4"/>
      <c r="E604" s="4"/>
      <c r="F604" s="4"/>
      <c r="G604" s="4"/>
      <c r="H604" s="4"/>
      <c r="I604" s="4"/>
      <c r="J604" s="4"/>
      <c r="K604" s="4"/>
      <c r="L604" s="4"/>
      <c r="M604" s="4"/>
      <c r="N604" s="4"/>
      <c r="O604" s="4"/>
      <c r="P604" s="4"/>
      <c r="Q604" s="4"/>
      <c r="R604" s="4"/>
      <c r="S604" s="4"/>
      <c r="T604" s="4"/>
      <c r="U604" s="4"/>
      <c r="V604" s="4"/>
      <c r="W604" s="4"/>
      <c r="X604" s="4"/>
    </row>
    <row r="605">
      <c r="A605" s="4"/>
      <c r="B605" s="46"/>
      <c r="C605" s="4"/>
      <c r="D605" s="4"/>
      <c r="E605" s="4"/>
      <c r="F605" s="4"/>
      <c r="G605" s="4"/>
      <c r="H605" s="4"/>
      <c r="I605" s="4"/>
      <c r="J605" s="4"/>
      <c r="K605" s="4"/>
      <c r="L605" s="4"/>
      <c r="M605" s="4"/>
      <c r="N605" s="4"/>
      <c r="O605" s="4"/>
      <c r="P605" s="4"/>
      <c r="Q605" s="4"/>
      <c r="R605" s="4"/>
      <c r="S605" s="4"/>
      <c r="T605" s="4"/>
      <c r="U605" s="4"/>
      <c r="V605" s="4"/>
      <c r="W605" s="4"/>
      <c r="X605" s="4"/>
    </row>
    <row r="606">
      <c r="A606" s="4"/>
      <c r="B606" s="46"/>
      <c r="C606" s="4"/>
      <c r="D606" s="4"/>
      <c r="E606" s="4"/>
      <c r="F606" s="4"/>
      <c r="G606" s="4"/>
      <c r="H606" s="4"/>
      <c r="I606" s="4"/>
      <c r="J606" s="4"/>
      <c r="K606" s="4"/>
      <c r="L606" s="4"/>
      <c r="M606" s="4"/>
      <c r="N606" s="4"/>
      <c r="O606" s="4"/>
      <c r="P606" s="4"/>
      <c r="Q606" s="4"/>
      <c r="R606" s="4"/>
      <c r="S606" s="4"/>
      <c r="T606" s="4"/>
      <c r="U606" s="4"/>
      <c r="V606" s="4"/>
      <c r="W606" s="4"/>
      <c r="X606" s="4"/>
    </row>
    <row r="607">
      <c r="A607" s="4"/>
      <c r="B607" s="46"/>
      <c r="C607" s="4"/>
      <c r="D607" s="4"/>
      <c r="E607" s="4"/>
      <c r="F607" s="4"/>
      <c r="G607" s="4"/>
      <c r="H607" s="4"/>
      <c r="I607" s="4"/>
      <c r="J607" s="4"/>
      <c r="K607" s="4"/>
      <c r="L607" s="4"/>
      <c r="M607" s="4"/>
      <c r="N607" s="4"/>
      <c r="O607" s="4"/>
      <c r="P607" s="4"/>
      <c r="Q607" s="4"/>
      <c r="R607" s="4"/>
      <c r="S607" s="4"/>
      <c r="T607" s="4"/>
      <c r="U607" s="4"/>
      <c r="V607" s="4"/>
      <c r="W607" s="4"/>
      <c r="X607" s="4"/>
    </row>
    <row r="608">
      <c r="A608" s="4"/>
      <c r="B608" s="46"/>
      <c r="C608" s="4"/>
      <c r="D608" s="4"/>
      <c r="E608" s="4"/>
      <c r="F608" s="4"/>
      <c r="G608" s="4"/>
      <c r="H608" s="4"/>
      <c r="I608" s="4"/>
      <c r="J608" s="4"/>
      <c r="K608" s="4"/>
      <c r="L608" s="4"/>
      <c r="M608" s="4"/>
      <c r="N608" s="4"/>
      <c r="O608" s="4"/>
      <c r="P608" s="4"/>
      <c r="Q608" s="4"/>
      <c r="R608" s="4"/>
      <c r="S608" s="4"/>
      <c r="T608" s="4"/>
      <c r="U608" s="4"/>
      <c r="V608" s="4"/>
      <c r="W608" s="4"/>
      <c r="X608" s="4"/>
    </row>
    <row r="609">
      <c r="A609" s="4"/>
      <c r="B609" s="46"/>
      <c r="C609" s="4"/>
      <c r="D609" s="4"/>
      <c r="E609" s="4"/>
      <c r="F609" s="4"/>
      <c r="G609" s="4"/>
      <c r="H609" s="4"/>
      <c r="I609" s="4"/>
      <c r="J609" s="4"/>
      <c r="K609" s="4"/>
      <c r="L609" s="4"/>
      <c r="M609" s="4"/>
      <c r="N609" s="4"/>
      <c r="O609" s="4"/>
      <c r="P609" s="4"/>
      <c r="Q609" s="4"/>
      <c r="R609" s="4"/>
      <c r="S609" s="4"/>
      <c r="T609" s="4"/>
      <c r="U609" s="4"/>
      <c r="V609" s="4"/>
      <c r="W609" s="4"/>
      <c r="X609" s="4"/>
    </row>
    <row r="610">
      <c r="A610" s="4"/>
      <c r="B610" s="46"/>
      <c r="C610" s="4"/>
      <c r="D610" s="4"/>
      <c r="E610" s="4"/>
      <c r="F610" s="4"/>
      <c r="G610" s="4"/>
      <c r="H610" s="4"/>
      <c r="I610" s="4"/>
      <c r="J610" s="4"/>
      <c r="K610" s="4"/>
      <c r="L610" s="4"/>
      <c r="M610" s="4"/>
      <c r="N610" s="4"/>
      <c r="O610" s="4"/>
      <c r="P610" s="4"/>
      <c r="Q610" s="4"/>
      <c r="R610" s="4"/>
      <c r="S610" s="4"/>
      <c r="T610" s="4"/>
      <c r="U610" s="4"/>
      <c r="V610" s="4"/>
      <c r="W610" s="4"/>
      <c r="X610" s="4"/>
    </row>
    <row r="611">
      <c r="A611" s="4"/>
      <c r="B611" s="46"/>
      <c r="C611" s="4"/>
      <c r="D611" s="4"/>
      <c r="E611" s="4"/>
      <c r="F611" s="4"/>
      <c r="G611" s="4"/>
      <c r="H611" s="4"/>
      <c r="I611" s="4"/>
      <c r="J611" s="4"/>
      <c r="K611" s="4"/>
      <c r="L611" s="4"/>
      <c r="M611" s="4"/>
      <c r="N611" s="4"/>
      <c r="O611" s="4"/>
      <c r="P611" s="4"/>
      <c r="Q611" s="4"/>
      <c r="R611" s="4"/>
      <c r="S611" s="4"/>
      <c r="T611" s="4"/>
      <c r="U611" s="4"/>
      <c r="V611" s="4"/>
      <c r="W611" s="4"/>
      <c r="X611" s="4"/>
    </row>
    <row r="612">
      <c r="A612" s="4"/>
      <c r="B612" s="46"/>
      <c r="C612" s="4"/>
      <c r="D612" s="4"/>
      <c r="E612" s="4"/>
      <c r="F612" s="4"/>
      <c r="G612" s="4"/>
      <c r="H612" s="4"/>
      <c r="I612" s="4"/>
      <c r="J612" s="4"/>
      <c r="K612" s="4"/>
      <c r="L612" s="4"/>
      <c r="M612" s="4"/>
      <c r="N612" s="4"/>
      <c r="O612" s="4"/>
      <c r="P612" s="4"/>
      <c r="Q612" s="4"/>
      <c r="R612" s="4"/>
      <c r="S612" s="4"/>
      <c r="T612" s="4"/>
      <c r="U612" s="4"/>
      <c r="V612" s="4"/>
      <c r="W612" s="4"/>
      <c r="X612" s="4"/>
    </row>
    <row r="613">
      <c r="A613" s="4"/>
      <c r="B613" s="46"/>
      <c r="C613" s="4"/>
      <c r="D613" s="4"/>
      <c r="E613" s="4"/>
      <c r="F613" s="4"/>
      <c r="G613" s="4"/>
      <c r="H613" s="4"/>
      <c r="I613" s="4"/>
      <c r="J613" s="4"/>
      <c r="K613" s="4"/>
      <c r="L613" s="4"/>
      <c r="M613" s="4"/>
      <c r="N613" s="4"/>
      <c r="O613" s="4"/>
      <c r="P613" s="4"/>
      <c r="Q613" s="4"/>
      <c r="R613" s="4"/>
      <c r="S613" s="4"/>
      <c r="T613" s="4"/>
      <c r="U613" s="4"/>
      <c r="V613" s="4"/>
      <c r="W613" s="4"/>
      <c r="X613" s="4"/>
    </row>
    <row r="614">
      <c r="A614" s="4"/>
      <c r="B614" s="46"/>
      <c r="C614" s="4"/>
      <c r="D614" s="4"/>
      <c r="E614" s="4"/>
      <c r="F614" s="4"/>
      <c r="G614" s="4"/>
      <c r="H614" s="4"/>
      <c r="I614" s="4"/>
      <c r="J614" s="4"/>
      <c r="K614" s="4"/>
      <c r="L614" s="4"/>
      <c r="M614" s="4"/>
      <c r="N614" s="4"/>
      <c r="O614" s="4"/>
      <c r="P614" s="4"/>
      <c r="Q614" s="4"/>
      <c r="R614" s="4"/>
      <c r="S614" s="4"/>
      <c r="T614" s="4"/>
      <c r="U614" s="4"/>
      <c r="V614" s="4"/>
      <c r="W614" s="4"/>
      <c r="X614" s="4"/>
    </row>
    <row r="615">
      <c r="A615" s="4"/>
      <c r="B615" s="46"/>
      <c r="C615" s="4"/>
      <c r="D615" s="4"/>
      <c r="E615" s="4"/>
      <c r="F615" s="4"/>
      <c r="G615" s="4"/>
      <c r="H615" s="4"/>
      <c r="I615" s="4"/>
      <c r="J615" s="4"/>
      <c r="K615" s="4"/>
      <c r="L615" s="4"/>
      <c r="M615" s="4"/>
      <c r="N615" s="4"/>
      <c r="O615" s="4"/>
      <c r="P615" s="4"/>
      <c r="Q615" s="4"/>
      <c r="R615" s="4"/>
      <c r="S615" s="4"/>
      <c r="T615" s="4"/>
      <c r="U615" s="4"/>
      <c r="V615" s="4"/>
      <c r="W615" s="4"/>
      <c r="X615" s="4"/>
    </row>
    <row r="616">
      <c r="A616" s="4"/>
      <c r="B616" s="46"/>
      <c r="C616" s="4"/>
      <c r="D616" s="4"/>
      <c r="E616" s="4"/>
      <c r="F616" s="4"/>
      <c r="G616" s="4"/>
      <c r="H616" s="4"/>
      <c r="I616" s="4"/>
      <c r="J616" s="4"/>
      <c r="K616" s="4"/>
      <c r="L616" s="4"/>
      <c r="M616" s="4"/>
      <c r="N616" s="4"/>
      <c r="O616" s="4"/>
      <c r="P616" s="4"/>
      <c r="Q616" s="4"/>
      <c r="R616" s="4"/>
      <c r="S616" s="4"/>
      <c r="T616" s="4"/>
      <c r="U616" s="4"/>
      <c r="V616" s="4"/>
      <c r="W616" s="4"/>
      <c r="X616" s="4"/>
    </row>
    <row r="617">
      <c r="A617" s="4"/>
      <c r="B617" s="46"/>
      <c r="C617" s="4"/>
      <c r="D617" s="4"/>
      <c r="E617" s="4"/>
      <c r="F617" s="4"/>
      <c r="G617" s="4"/>
      <c r="H617" s="4"/>
      <c r="I617" s="4"/>
      <c r="J617" s="4"/>
      <c r="K617" s="4"/>
      <c r="L617" s="4"/>
      <c r="M617" s="4"/>
      <c r="N617" s="4"/>
      <c r="O617" s="4"/>
      <c r="P617" s="4"/>
      <c r="Q617" s="4"/>
      <c r="R617" s="4"/>
      <c r="S617" s="4"/>
      <c r="T617" s="4"/>
      <c r="U617" s="4"/>
      <c r="V617" s="4"/>
      <c r="W617" s="4"/>
      <c r="X617" s="4"/>
    </row>
    <row r="618">
      <c r="A618" s="4"/>
      <c r="B618" s="46"/>
      <c r="C618" s="4"/>
      <c r="D618" s="4"/>
      <c r="E618" s="4"/>
      <c r="F618" s="4"/>
      <c r="G618" s="4"/>
      <c r="H618" s="4"/>
      <c r="I618" s="4"/>
      <c r="J618" s="4"/>
      <c r="K618" s="4"/>
      <c r="L618" s="4"/>
      <c r="M618" s="4"/>
      <c r="N618" s="4"/>
      <c r="O618" s="4"/>
      <c r="P618" s="4"/>
      <c r="Q618" s="4"/>
      <c r="R618" s="4"/>
      <c r="S618" s="4"/>
      <c r="T618" s="4"/>
      <c r="U618" s="4"/>
      <c r="V618" s="4"/>
      <c r="W618" s="4"/>
      <c r="X618" s="4"/>
    </row>
    <row r="619">
      <c r="A619" s="4"/>
      <c r="B619" s="46"/>
      <c r="C619" s="4"/>
      <c r="D619" s="4"/>
      <c r="E619" s="4"/>
      <c r="F619" s="4"/>
      <c r="G619" s="4"/>
      <c r="H619" s="4"/>
      <c r="I619" s="4"/>
      <c r="J619" s="4"/>
      <c r="K619" s="4"/>
      <c r="L619" s="4"/>
      <c r="M619" s="4"/>
      <c r="N619" s="4"/>
      <c r="O619" s="4"/>
      <c r="P619" s="4"/>
      <c r="Q619" s="4"/>
      <c r="R619" s="4"/>
      <c r="S619" s="4"/>
      <c r="T619" s="4"/>
      <c r="U619" s="4"/>
      <c r="V619" s="4"/>
      <c r="W619" s="4"/>
      <c r="X619" s="4"/>
    </row>
    <row r="620">
      <c r="A620" s="4"/>
      <c r="B620" s="46"/>
      <c r="C620" s="4"/>
      <c r="D620" s="4"/>
      <c r="E620" s="4"/>
      <c r="F620" s="4"/>
      <c r="G620" s="4"/>
      <c r="H620" s="4"/>
      <c r="I620" s="4"/>
      <c r="J620" s="4"/>
      <c r="K620" s="4"/>
      <c r="L620" s="4"/>
      <c r="M620" s="4"/>
      <c r="N620" s="4"/>
      <c r="O620" s="4"/>
      <c r="P620" s="4"/>
      <c r="Q620" s="4"/>
      <c r="R620" s="4"/>
      <c r="S620" s="4"/>
      <c r="T620" s="4"/>
      <c r="U620" s="4"/>
      <c r="V620" s="4"/>
      <c r="W620" s="4"/>
      <c r="X620" s="4"/>
    </row>
    <row r="621">
      <c r="A621" s="4"/>
      <c r="B621" s="46"/>
      <c r="C621" s="4"/>
      <c r="D621" s="4"/>
      <c r="E621" s="4"/>
      <c r="F621" s="4"/>
      <c r="G621" s="4"/>
      <c r="H621" s="4"/>
      <c r="I621" s="4"/>
      <c r="J621" s="4"/>
      <c r="K621" s="4"/>
      <c r="L621" s="4"/>
      <c r="M621" s="4"/>
      <c r="N621" s="4"/>
      <c r="O621" s="4"/>
      <c r="P621" s="4"/>
      <c r="Q621" s="4"/>
      <c r="R621" s="4"/>
      <c r="S621" s="4"/>
      <c r="T621" s="4"/>
      <c r="U621" s="4"/>
      <c r="V621" s="4"/>
      <c r="W621" s="4"/>
      <c r="X621" s="4"/>
    </row>
    <row r="622">
      <c r="A622" s="4"/>
      <c r="B622" s="46"/>
      <c r="C622" s="4"/>
      <c r="D622" s="4"/>
      <c r="E622" s="4"/>
      <c r="F622" s="4"/>
      <c r="G622" s="4"/>
      <c r="H622" s="4"/>
      <c r="I622" s="4"/>
      <c r="J622" s="4"/>
      <c r="K622" s="4"/>
      <c r="L622" s="4"/>
      <c r="M622" s="4"/>
      <c r="N622" s="4"/>
      <c r="O622" s="4"/>
      <c r="P622" s="4"/>
      <c r="Q622" s="4"/>
      <c r="R622" s="4"/>
      <c r="S622" s="4"/>
      <c r="T622" s="4"/>
      <c r="U622" s="4"/>
      <c r="V622" s="4"/>
      <c r="W622" s="4"/>
      <c r="X622" s="4"/>
    </row>
    <row r="623">
      <c r="A623" s="4"/>
      <c r="B623" s="46"/>
      <c r="C623" s="4"/>
      <c r="D623" s="4"/>
      <c r="E623" s="4"/>
      <c r="F623" s="4"/>
      <c r="G623" s="4"/>
      <c r="H623" s="4"/>
      <c r="I623" s="4"/>
      <c r="J623" s="4"/>
      <c r="K623" s="4"/>
      <c r="L623" s="4"/>
      <c r="M623" s="4"/>
      <c r="N623" s="4"/>
      <c r="O623" s="4"/>
      <c r="P623" s="4"/>
      <c r="Q623" s="4"/>
      <c r="R623" s="4"/>
      <c r="S623" s="4"/>
      <c r="T623" s="4"/>
      <c r="U623" s="4"/>
      <c r="V623" s="4"/>
      <c r="W623" s="4"/>
      <c r="X623" s="4"/>
    </row>
    <row r="624">
      <c r="A624" s="4"/>
      <c r="B624" s="46"/>
      <c r="C624" s="4"/>
      <c r="D624" s="4"/>
      <c r="E624" s="4"/>
      <c r="F624" s="4"/>
      <c r="G624" s="4"/>
      <c r="H624" s="4"/>
      <c r="I624" s="4"/>
      <c r="J624" s="4"/>
      <c r="K624" s="4"/>
      <c r="L624" s="4"/>
      <c r="M624" s="4"/>
      <c r="N624" s="4"/>
      <c r="O624" s="4"/>
      <c r="P624" s="4"/>
      <c r="Q624" s="4"/>
      <c r="R624" s="4"/>
      <c r="S624" s="4"/>
      <c r="T624" s="4"/>
      <c r="U624" s="4"/>
      <c r="V624" s="4"/>
      <c r="W624" s="4"/>
      <c r="X624" s="4"/>
    </row>
    <row r="625">
      <c r="A625" s="4"/>
      <c r="B625" s="46"/>
      <c r="C625" s="4"/>
      <c r="D625" s="4"/>
      <c r="E625" s="4"/>
      <c r="F625" s="4"/>
      <c r="G625" s="4"/>
      <c r="H625" s="4"/>
      <c r="I625" s="4"/>
      <c r="J625" s="4"/>
      <c r="K625" s="4"/>
      <c r="L625" s="4"/>
      <c r="M625" s="4"/>
      <c r="N625" s="4"/>
      <c r="O625" s="4"/>
      <c r="P625" s="4"/>
      <c r="Q625" s="4"/>
      <c r="R625" s="4"/>
      <c r="S625" s="4"/>
      <c r="T625" s="4"/>
      <c r="U625" s="4"/>
      <c r="V625" s="4"/>
      <c r="W625" s="4"/>
      <c r="X625" s="4"/>
    </row>
    <row r="626">
      <c r="A626" s="4"/>
      <c r="B626" s="46"/>
      <c r="C626" s="4"/>
      <c r="D626" s="4"/>
      <c r="E626" s="4"/>
      <c r="F626" s="4"/>
      <c r="G626" s="4"/>
      <c r="H626" s="4"/>
      <c r="I626" s="4"/>
      <c r="J626" s="4"/>
      <c r="K626" s="4"/>
      <c r="L626" s="4"/>
      <c r="M626" s="4"/>
      <c r="N626" s="4"/>
      <c r="O626" s="4"/>
      <c r="P626" s="4"/>
      <c r="Q626" s="4"/>
      <c r="R626" s="4"/>
      <c r="S626" s="4"/>
      <c r="T626" s="4"/>
      <c r="U626" s="4"/>
      <c r="V626" s="4"/>
      <c r="W626" s="4"/>
      <c r="X626" s="4"/>
    </row>
    <row r="627">
      <c r="A627" s="4"/>
      <c r="B627" s="46"/>
      <c r="C627" s="4"/>
      <c r="D627" s="4"/>
      <c r="E627" s="4"/>
      <c r="F627" s="4"/>
      <c r="G627" s="4"/>
      <c r="H627" s="4"/>
      <c r="I627" s="4"/>
      <c r="J627" s="4"/>
      <c r="K627" s="4"/>
      <c r="L627" s="4"/>
      <c r="M627" s="4"/>
      <c r="N627" s="4"/>
      <c r="O627" s="4"/>
      <c r="P627" s="4"/>
      <c r="Q627" s="4"/>
      <c r="R627" s="4"/>
      <c r="S627" s="4"/>
      <c r="T627" s="4"/>
      <c r="U627" s="4"/>
      <c r="V627" s="4"/>
      <c r="W627" s="4"/>
      <c r="X627" s="4"/>
    </row>
    <row r="628">
      <c r="A628" s="4"/>
      <c r="B628" s="46"/>
      <c r="C628" s="4"/>
      <c r="D628" s="4"/>
      <c r="E628" s="4"/>
      <c r="F628" s="4"/>
      <c r="G628" s="4"/>
      <c r="H628" s="4"/>
      <c r="I628" s="4"/>
      <c r="J628" s="4"/>
      <c r="K628" s="4"/>
      <c r="L628" s="4"/>
      <c r="M628" s="4"/>
      <c r="N628" s="4"/>
      <c r="O628" s="4"/>
      <c r="P628" s="4"/>
      <c r="Q628" s="4"/>
      <c r="R628" s="4"/>
      <c r="S628" s="4"/>
      <c r="T628" s="4"/>
      <c r="U628" s="4"/>
      <c r="V628" s="4"/>
      <c r="W628" s="4"/>
      <c r="X628" s="4"/>
    </row>
    <row r="629">
      <c r="A629" s="4"/>
      <c r="B629" s="46"/>
      <c r="C629" s="4"/>
      <c r="D629" s="4"/>
      <c r="E629" s="4"/>
      <c r="F629" s="4"/>
      <c r="G629" s="4"/>
      <c r="H629" s="4"/>
      <c r="I629" s="4"/>
      <c r="J629" s="4"/>
      <c r="K629" s="4"/>
      <c r="L629" s="4"/>
      <c r="M629" s="4"/>
      <c r="N629" s="4"/>
      <c r="O629" s="4"/>
      <c r="P629" s="4"/>
      <c r="Q629" s="4"/>
      <c r="R629" s="4"/>
      <c r="S629" s="4"/>
      <c r="T629" s="4"/>
      <c r="U629" s="4"/>
      <c r="V629" s="4"/>
      <c r="W629" s="4"/>
      <c r="X629" s="4"/>
    </row>
    <row r="630">
      <c r="A630" s="4"/>
      <c r="B630" s="46"/>
      <c r="C630" s="4"/>
      <c r="D630" s="4"/>
      <c r="E630" s="4"/>
      <c r="F630" s="4"/>
      <c r="G630" s="4"/>
      <c r="H630" s="4"/>
      <c r="I630" s="4"/>
      <c r="J630" s="4"/>
      <c r="K630" s="4"/>
      <c r="L630" s="4"/>
      <c r="M630" s="4"/>
      <c r="N630" s="4"/>
      <c r="O630" s="4"/>
      <c r="P630" s="4"/>
      <c r="Q630" s="4"/>
      <c r="R630" s="4"/>
      <c r="S630" s="4"/>
      <c r="T630" s="4"/>
      <c r="U630" s="4"/>
      <c r="V630" s="4"/>
      <c r="W630" s="4"/>
      <c r="X630" s="4"/>
    </row>
    <row r="631">
      <c r="A631" s="4"/>
      <c r="B631" s="46"/>
      <c r="C631" s="4"/>
      <c r="D631" s="4"/>
      <c r="E631" s="4"/>
      <c r="F631" s="4"/>
      <c r="G631" s="4"/>
      <c r="H631" s="4"/>
      <c r="I631" s="4"/>
      <c r="J631" s="4"/>
      <c r="K631" s="4"/>
      <c r="L631" s="4"/>
      <c r="M631" s="4"/>
      <c r="N631" s="4"/>
      <c r="O631" s="4"/>
      <c r="P631" s="4"/>
      <c r="Q631" s="4"/>
      <c r="R631" s="4"/>
      <c r="S631" s="4"/>
      <c r="T631" s="4"/>
      <c r="U631" s="4"/>
      <c r="V631" s="4"/>
      <c r="W631" s="4"/>
      <c r="X631" s="4"/>
    </row>
    <row r="632">
      <c r="A632" s="4"/>
      <c r="B632" s="46"/>
      <c r="C632" s="4"/>
      <c r="D632" s="4"/>
      <c r="E632" s="4"/>
      <c r="F632" s="4"/>
      <c r="G632" s="4"/>
      <c r="H632" s="4"/>
      <c r="I632" s="4"/>
      <c r="J632" s="4"/>
      <c r="K632" s="4"/>
      <c r="L632" s="4"/>
      <c r="M632" s="4"/>
      <c r="N632" s="4"/>
      <c r="O632" s="4"/>
      <c r="P632" s="4"/>
      <c r="Q632" s="4"/>
      <c r="R632" s="4"/>
      <c r="S632" s="4"/>
      <c r="T632" s="4"/>
      <c r="U632" s="4"/>
      <c r="V632" s="4"/>
      <c r="W632" s="4"/>
      <c r="X632" s="4"/>
    </row>
    <row r="633">
      <c r="A633" s="4"/>
      <c r="B633" s="46"/>
      <c r="C633" s="4"/>
      <c r="D633" s="4"/>
      <c r="E633" s="4"/>
      <c r="F633" s="4"/>
      <c r="G633" s="4"/>
      <c r="H633" s="4"/>
      <c r="I633" s="4"/>
      <c r="J633" s="4"/>
      <c r="K633" s="4"/>
      <c r="L633" s="4"/>
      <c r="M633" s="4"/>
      <c r="N633" s="4"/>
      <c r="O633" s="4"/>
      <c r="P633" s="4"/>
      <c r="Q633" s="4"/>
      <c r="R633" s="4"/>
      <c r="S633" s="4"/>
      <c r="T633" s="4"/>
      <c r="U633" s="4"/>
      <c r="V633" s="4"/>
      <c r="W633" s="4"/>
      <c r="X633" s="4"/>
    </row>
    <row r="634">
      <c r="A634" s="4"/>
      <c r="B634" s="46"/>
      <c r="C634" s="4"/>
      <c r="D634" s="4"/>
      <c r="E634" s="4"/>
      <c r="F634" s="4"/>
      <c r="G634" s="4"/>
      <c r="H634" s="4"/>
      <c r="I634" s="4"/>
      <c r="J634" s="4"/>
      <c r="K634" s="4"/>
      <c r="L634" s="4"/>
      <c r="M634" s="4"/>
      <c r="N634" s="4"/>
      <c r="O634" s="4"/>
      <c r="P634" s="4"/>
      <c r="Q634" s="4"/>
      <c r="R634" s="4"/>
      <c r="S634" s="4"/>
      <c r="T634" s="4"/>
      <c r="U634" s="4"/>
      <c r="V634" s="4"/>
      <c r="W634" s="4"/>
      <c r="X634" s="4"/>
    </row>
    <row r="635">
      <c r="A635" s="4"/>
      <c r="B635" s="46"/>
      <c r="C635" s="4"/>
      <c r="D635" s="4"/>
      <c r="E635" s="4"/>
      <c r="F635" s="4"/>
      <c r="G635" s="4"/>
      <c r="H635" s="4"/>
      <c r="I635" s="4"/>
      <c r="J635" s="4"/>
      <c r="K635" s="4"/>
      <c r="L635" s="4"/>
      <c r="M635" s="4"/>
      <c r="N635" s="4"/>
      <c r="O635" s="4"/>
      <c r="P635" s="4"/>
      <c r="Q635" s="4"/>
      <c r="R635" s="4"/>
      <c r="S635" s="4"/>
      <c r="T635" s="4"/>
      <c r="U635" s="4"/>
      <c r="V635" s="4"/>
      <c r="W635" s="4"/>
      <c r="X635" s="4"/>
    </row>
    <row r="636">
      <c r="A636" s="4"/>
      <c r="B636" s="46"/>
      <c r="C636" s="4"/>
      <c r="D636" s="4"/>
      <c r="E636" s="4"/>
      <c r="F636" s="4"/>
      <c r="G636" s="4"/>
      <c r="H636" s="4"/>
      <c r="I636" s="4"/>
      <c r="J636" s="4"/>
      <c r="K636" s="4"/>
      <c r="L636" s="4"/>
      <c r="M636" s="4"/>
      <c r="N636" s="4"/>
      <c r="O636" s="4"/>
      <c r="P636" s="4"/>
      <c r="Q636" s="4"/>
      <c r="R636" s="4"/>
      <c r="S636" s="4"/>
      <c r="T636" s="4"/>
      <c r="U636" s="4"/>
      <c r="V636" s="4"/>
      <c r="W636" s="4"/>
      <c r="X636" s="4"/>
    </row>
    <row r="637">
      <c r="A637" s="4"/>
      <c r="B637" s="46"/>
      <c r="C637" s="4"/>
      <c r="D637" s="4"/>
      <c r="E637" s="4"/>
      <c r="F637" s="4"/>
      <c r="G637" s="4"/>
      <c r="H637" s="4"/>
      <c r="I637" s="4"/>
      <c r="J637" s="4"/>
      <c r="K637" s="4"/>
      <c r="L637" s="4"/>
      <c r="M637" s="4"/>
      <c r="N637" s="4"/>
      <c r="O637" s="4"/>
      <c r="P637" s="4"/>
      <c r="Q637" s="4"/>
      <c r="R637" s="4"/>
      <c r="S637" s="4"/>
      <c r="T637" s="4"/>
      <c r="U637" s="4"/>
      <c r="V637" s="4"/>
      <c r="W637" s="4"/>
      <c r="X637" s="4"/>
    </row>
    <row r="638">
      <c r="A638" s="4"/>
      <c r="B638" s="46"/>
      <c r="C638" s="4"/>
      <c r="D638" s="4"/>
      <c r="E638" s="4"/>
      <c r="F638" s="4"/>
      <c r="G638" s="4"/>
      <c r="H638" s="4"/>
      <c r="I638" s="4"/>
      <c r="J638" s="4"/>
      <c r="K638" s="4"/>
      <c r="L638" s="4"/>
      <c r="M638" s="4"/>
      <c r="N638" s="4"/>
      <c r="O638" s="4"/>
      <c r="P638" s="4"/>
      <c r="Q638" s="4"/>
      <c r="R638" s="4"/>
      <c r="S638" s="4"/>
      <c r="T638" s="4"/>
      <c r="U638" s="4"/>
      <c r="V638" s="4"/>
      <c r="W638" s="4"/>
      <c r="X638" s="4"/>
    </row>
    <row r="639">
      <c r="A639" s="4"/>
      <c r="B639" s="46"/>
      <c r="C639" s="4"/>
      <c r="D639" s="4"/>
      <c r="E639" s="4"/>
      <c r="F639" s="4"/>
      <c r="G639" s="4"/>
      <c r="H639" s="4"/>
      <c r="I639" s="4"/>
      <c r="J639" s="4"/>
      <c r="K639" s="4"/>
      <c r="L639" s="4"/>
      <c r="M639" s="4"/>
      <c r="N639" s="4"/>
      <c r="O639" s="4"/>
      <c r="P639" s="4"/>
      <c r="Q639" s="4"/>
      <c r="R639" s="4"/>
      <c r="S639" s="4"/>
      <c r="T639" s="4"/>
      <c r="U639" s="4"/>
      <c r="V639" s="4"/>
      <c r="W639" s="4"/>
      <c r="X639" s="4"/>
    </row>
    <row r="640">
      <c r="A640" s="4"/>
      <c r="B640" s="46"/>
      <c r="C640" s="4"/>
      <c r="D640" s="4"/>
      <c r="E640" s="4"/>
      <c r="F640" s="4"/>
      <c r="G640" s="4"/>
      <c r="H640" s="4"/>
      <c r="I640" s="4"/>
      <c r="J640" s="4"/>
      <c r="K640" s="4"/>
      <c r="L640" s="4"/>
      <c r="M640" s="4"/>
      <c r="N640" s="4"/>
      <c r="O640" s="4"/>
      <c r="P640" s="4"/>
      <c r="Q640" s="4"/>
      <c r="R640" s="4"/>
      <c r="S640" s="4"/>
      <c r="T640" s="4"/>
      <c r="U640" s="4"/>
      <c r="V640" s="4"/>
      <c r="W640" s="4"/>
      <c r="X640" s="4"/>
    </row>
    <row r="641">
      <c r="A641" s="4"/>
      <c r="B641" s="46"/>
      <c r="C641" s="4"/>
      <c r="D641" s="4"/>
      <c r="E641" s="4"/>
      <c r="F641" s="4"/>
      <c r="G641" s="4"/>
      <c r="H641" s="4"/>
      <c r="I641" s="4"/>
      <c r="J641" s="4"/>
      <c r="K641" s="4"/>
      <c r="L641" s="4"/>
      <c r="M641" s="4"/>
      <c r="N641" s="4"/>
      <c r="O641" s="4"/>
      <c r="P641" s="4"/>
      <c r="Q641" s="4"/>
      <c r="R641" s="4"/>
      <c r="S641" s="4"/>
      <c r="T641" s="4"/>
      <c r="U641" s="4"/>
      <c r="V641" s="4"/>
      <c r="W641" s="4"/>
      <c r="X641" s="4"/>
    </row>
    <row r="642">
      <c r="A642" s="4"/>
      <c r="B642" s="46"/>
      <c r="C642" s="4"/>
      <c r="D642" s="4"/>
      <c r="E642" s="4"/>
      <c r="F642" s="4"/>
      <c r="G642" s="4"/>
      <c r="H642" s="4"/>
      <c r="I642" s="4"/>
      <c r="J642" s="4"/>
      <c r="K642" s="4"/>
      <c r="L642" s="4"/>
      <c r="M642" s="4"/>
      <c r="N642" s="4"/>
      <c r="O642" s="4"/>
      <c r="P642" s="4"/>
      <c r="Q642" s="4"/>
      <c r="R642" s="4"/>
      <c r="S642" s="4"/>
      <c r="T642" s="4"/>
      <c r="U642" s="4"/>
      <c r="V642" s="4"/>
      <c r="W642" s="4"/>
      <c r="X642" s="4"/>
    </row>
    <row r="643">
      <c r="A643" s="4"/>
      <c r="B643" s="46"/>
      <c r="C643" s="4"/>
      <c r="D643" s="4"/>
      <c r="E643" s="4"/>
      <c r="F643" s="4"/>
      <c r="G643" s="4"/>
      <c r="H643" s="4"/>
      <c r="I643" s="4"/>
      <c r="J643" s="4"/>
      <c r="K643" s="4"/>
      <c r="L643" s="4"/>
      <c r="M643" s="4"/>
      <c r="N643" s="4"/>
      <c r="O643" s="4"/>
      <c r="P643" s="4"/>
      <c r="Q643" s="4"/>
      <c r="R643" s="4"/>
      <c r="S643" s="4"/>
      <c r="T643" s="4"/>
      <c r="U643" s="4"/>
      <c r="V643" s="4"/>
      <c r="W643" s="4"/>
      <c r="X643" s="4"/>
    </row>
    <row r="644">
      <c r="A644" s="4"/>
      <c r="B644" s="46"/>
      <c r="C644" s="4"/>
      <c r="D644" s="4"/>
      <c r="E644" s="4"/>
      <c r="F644" s="4"/>
      <c r="G644" s="4"/>
      <c r="H644" s="4"/>
      <c r="I644" s="4"/>
      <c r="J644" s="4"/>
      <c r="K644" s="4"/>
      <c r="L644" s="4"/>
      <c r="M644" s="4"/>
      <c r="N644" s="4"/>
      <c r="O644" s="4"/>
      <c r="P644" s="4"/>
      <c r="Q644" s="4"/>
      <c r="R644" s="4"/>
      <c r="S644" s="4"/>
      <c r="T644" s="4"/>
      <c r="U644" s="4"/>
      <c r="V644" s="4"/>
      <c r="W644" s="4"/>
      <c r="X644" s="4"/>
    </row>
    <row r="645">
      <c r="A645" s="4"/>
      <c r="B645" s="46"/>
      <c r="C645" s="4"/>
      <c r="D645" s="4"/>
      <c r="E645" s="4"/>
      <c r="F645" s="4"/>
      <c r="G645" s="4"/>
      <c r="H645" s="4"/>
      <c r="I645" s="4"/>
      <c r="J645" s="4"/>
      <c r="K645" s="4"/>
      <c r="L645" s="4"/>
      <c r="M645" s="4"/>
      <c r="N645" s="4"/>
      <c r="O645" s="4"/>
      <c r="P645" s="4"/>
      <c r="Q645" s="4"/>
      <c r="R645" s="4"/>
      <c r="S645" s="4"/>
      <c r="T645" s="4"/>
      <c r="U645" s="4"/>
      <c r="V645" s="4"/>
      <c r="W645" s="4"/>
      <c r="X645" s="4"/>
    </row>
    <row r="646">
      <c r="A646" s="4"/>
      <c r="B646" s="46"/>
      <c r="C646" s="4"/>
      <c r="D646" s="4"/>
      <c r="E646" s="4"/>
      <c r="F646" s="4"/>
      <c r="G646" s="4"/>
      <c r="H646" s="4"/>
      <c r="I646" s="4"/>
      <c r="J646" s="4"/>
      <c r="K646" s="4"/>
      <c r="L646" s="4"/>
      <c r="M646" s="4"/>
      <c r="N646" s="4"/>
      <c r="O646" s="4"/>
      <c r="P646" s="4"/>
      <c r="Q646" s="4"/>
      <c r="R646" s="4"/>
      <c r="S646" s="4"/>
      <c r="T646" s="4"/>
      <c r="U646" s="4"/>
      <c r="V646" s="4"/>
      <c r="W646" s="4"/>
      <c r="X646" s="4"/>
    </row>
    <row r="647">
      <c r="A647" s="4"/>
      <c r="B647" s="46"/>
      <c r="C647" s="4"/>
      <c r="D647" s="4"/>
      <c r="E647" s="4"/>
      <c r="F647" s="4"/>
      <c r="G647" s="4"/>
      <c r="H647" s="4"/>
      <c r="I647" s="4"/>
      <c r="J647" s="4"/>
      <c r="K647" s="4"/>
      <c r="L647" s="4"/>
      <c r="M647" s="4"/>
      <c r="N647" s="4"/>
      <c r="O647" s="4"/>
      <c r="P647" s="4"/>
      <c r="Q647" s="4"/>
      <c r="R647" s="4"/>
      <c r="S647" s="4"/>
      <c r="T647" s="4"/>
      <c r="U647" s="4"/>
      <c r="V647" s="4"/>
      <c r="W647" s="4"/>
      <c r="X647" s="4"/>
    </row>
    <row r="648">
      <c r="A648" s="4"/>
      <c r="B648" s="46"/>
      <c r="C648" s="4"/>
      <c r="D648" s="4"/>
      <c r="E648" s="4"/>
      <c r="F648" s="4"/>
      <c r="G648" s="4"/>
      <c r="H648" s="4"/>
      <c r="I648" s="4"/>
      <c r="J648" s="4"/>
      <c r="K648" s="4"/>
      <c r="L648" s="4"/>
      <c r="M648" s="4"/>
      <c r="N648" s="4"/>
      <c r="O648" s="4"/>
      <c r="P648" s="4"/>
      <c r="Q648" s="4"/>
      <c r="R648" s="4"/>
      <c r="S648" s="4"/>
      <c r="T648" s="4"/>
      <c r="U648" s="4"/>
      <c r="V648" s="4"/>
      <c r="W648" s="4"/>
      <c r="X648" s="4"/>
    </row>
    <row r="649">
      <c r="A649" s="4"/>
      <c r="B649" s="46"/>
      <c r="C649" s="4"/>
      <c r="D649" s="4"/>
      <c r="E649" s="4"/>
      <c r="F649" s="4"/>
      <c r="G649" s="4"/>
      <c r="H649" s="4"/>
      <c r="I649" s="4"/>
      <c r="J649" s="4"/>
      <c r="K649" s="4"/>
      <c r="L649" s="4"/>
      <c r="M649" s="4"/>
      <c r="N649" s="4"/>
      <c r="O649" s="4"/>
      <c r="P649" s="4"/>
      <c r="Q649" s="4"/>
      <c r="R649" s="4"/>
      <c r="S649" s="4"/>
      <c r="T649" s="4"/>
      <c r="U649" s="4"/>
      <c r="V649" s="4"/>
      <c r="W649" s="4"/>
      <c r="X649" s="4"/>
    </row>
    <row r="650">
      <c r="A650" s="4"/>
      <c r="B650" s="46"/>
      <c r="C650" s="4"/>
      <c r="D650" s="4"/>
      <c r="E650" s="4"/>
      <c r="F650" s="4"/>
      <c r="G650" s="4"/>
      <c r="H650" s="4"/>
      <c r="I650" s="4"/>
      <c r="J650" s="4"/>
      <c r="K650" s="4"/>
      <c r="L650" s="4"/>
      <c r="M650" s="4"/>
      <c r="N650" s="4"/>
      <c r="O650" s="4"/>
      <c r="P650" s="4"/>
      <c r="Q650" s="4"/>
      <c r="R650" s="4"/>
      <c r="S650" s="4"/>
      <c r="T650" s="4"/>
      <c r="U650" s="4"/>
      <c r="V650" s="4"/>
      <c r="W650" s="4"/>
      <c r="X650" s="4"/>
    </row>
    <row r="651">
      <c r="A651" s="4"/>
      <c r="B651" s="46"/>
      <c r="C651" s="4"/>
      <c r="D651" s="4"/>
      <c r="E651" s="4"/>
      <c r="F651" s="4"/>
      <c r="G651" s="4"/>
      <c r="H651" s="4"/>
      <c r="I651" s="4"/>
      <c r="J651" s="4"/>
      <c r="K651" s="4"/>
      <c r="L651" s="4"/>
      <c r="M651" s="4"/>
      <c r="N651" s="4"/>
      <c r="O651" s="4"/>
      <c r="P651" s="4"/>
      <c r="Q651" s="4"/>
      <c r="R651" s="4"/>
      <c r="S651" s="4"/>
      <c r="T651" s="4"/>
      <c r="U651" s="4"/>
      <c r="V651" s="4"/>
      <c r="W651" s="4"/>
      <c r="X651" s="4"/>
    </row>
    <row r="652">
      <c r="A652" s="4"/>
      <c r="B652" s="46"/>
      <c r="C652" s="4"/>
      <c r="D652" s="4"/>
      <c r="E652" s="4"/>
      <c r="F652" s="4"/>
      <c r="G652" s="4"/>
      <c r="H652" s="4"/>
      <c r="I652" s="4"/>
      <c r="J652" s="4"/>
      <c r="K652" s="4"/>
      <c r="L652" s="4"/>
      <c r="M652" s="4"/>
      <c r="N652" s="4"/>
      <c r="O652" s="4"/>
      <c r="P652" s="4"/>
      <c r="Q652" s="4"/>
      <c r="R652" s="4"/>
      <c r="S652" s="4"/>
      <c r="T652" s="4"/>
      <c r="U652" s="4"/>
      <c r="V652" s="4"/>
      <c r="W652" s="4"/>
      <c r="X652" s="4"/>
    </row>
    <row r="653">
      <c r="A653" s="4"/>
      <c r="B653" s="46"/>
      <c r="C653" s="4"/>
      <c r="D653" s="4"/>
      <c r="E653" s="4"/>
      <c r="F653" s="4"/>
      <c r="G653" s="4"/>
      <c r="H653" s="4"/>
      <c r="I653" s="4"/>
      <c r="J653" s="4"/>
      <c r="K653" s="4"/>
      <c r="L653" s="4"/>
      <c r="M653" s="4"/>
      <c r="N653" s="4"/>
      <c r="O653" s="4"/>
      <c r="P653" s="4"/>
      <c r="Q653" s="4"/>
      <c r="R653" s="4"/>
      <c r="S653" s="4"/>
      <c r="T653" s="4"/>
      <c r="U653" s="4"/>
      <c r="V653" s="4"/>
      <c r="W653" s="4"/>
      <c r="X653" s="4"/>
    </row>
    <row r="654">
      <c r="A654" s="4"/>
      <c r="B654" s="46"/>
      <c r="C654" s="4"/>
      <c r="D654" s="4"/>
      <c r="E654" s="4"/>
      <c r="F654" s="4"/>
      <c r="G654" s="4"/>
      <c r="H654" s="4"/>
      <c r="I654" s="4"/>
      <c r="J654" s="4"/>
      <c r="K654" s="4"/>
      <c r="L654" s="4"/>
      <c r="M654" s="4"/>
      <c r="N654" s="4"/>
      <c r="O654" s="4"/>
      <c r="P654" s="4"/>
      <c r="Q654" s="4"/>
      <c r="R654" s="4"/>
      <c r="S654" s="4"/>
      <c r="T654" s="4"/>
      <c r="U654" s="4"/>
      <c r="V654" s="4"/>
      <c r="W654" s="4"/>
      <c r="X654" s="4"/>
    </row>
    <row r="655">
      <c r="A655" s="4"/>
      <c r="B655" s="46"/>
      <c r="C655" s="4"/>
      <c r="D655" s="4"/>
      <c r="E655" s="4"/>
      <c r="F655" s="4"/>
      <c r="G655" s="4"/>
      <c r="H655" s="4"/>
      <c r="I655" s="4"/>
      <c r="J655" s="4"/>
      <c r="K655" s="4"/>
      <c r="L655" s="4"/>
      <c r="M655" s="4"/>
      <c r="N655" s="4"/>
      <c r="O655" s="4"/>
      <c r="P655" s="4"/>
      <c r="Q655" s="4"/>
      <c r="R655" s="4"/>
      <c r="S655" s="4"/>
      <c r="T655" s="4"/>
      <c r="U655" s="4"/>
      <c r="V655" s="4"/>
      <c r="W655" s="4"/>
      <c r="X655" s="4"/>
    </row>
    <row r="656">
      <c r="A656" s="4"/>
      <c r="B656" s="46"/>
      <c r="C656" s="4"/>
      <c r="D656" s="4"/>
      <c r="E656" s="4"/>
      <c r="F656" s="4"/>
      <c r="G656" s="4"/>
      <c r="H656" s="4"/>
      <c r="I656" s="4"/>
      <c r="J656" s="4"/>
      <c r="K656" s="4"/>
      <c r="L656" s="4"/>
      <c r="M656" s="4"/>
      <c r="N656" s="4"/>
      <c r="O656" s="4"/>
      <c r="P656" s="4"/>
      <c r="Q656" s="4"/>
      <c r="R656" s="4"/>
      <c r="S656" s="4"/>
      <c r="T656" s="4"/>
      <c r="U656" s="4"/>
      <c r="V656" s="4"/>
      <c r="W656" s="4"/>
      <c r="X656" s="4"/>
    </row>
    <row r="657">
      <c r="A657" s="4"/>
      <c r="B657" s="46"/>
      <c r="C657" s="4"/>
      <c r="D657" s="4"/>
      <c r="E657" s="4"/>
      <c r="F657" s="4"/>
      <c r="G657" s="4"/>
      <c r="H657" s="4"/>
      <c r="I657" s="4"/>
      <c r="J657" s="4"/>
      <c r="K657" s="4"/>
      <c r="L657" s="4"/>
      <c r="M657" s="4"/>
      <c r="N657" s="4"/>
      <c r="O657" s="4"/>
      <c r="P657" s="4"/>
      <c r="Q657" s="4"/>
      <c r="R657" s="4"/>
      <c r="S657" s="4"/>
      <c r="T657" s="4"/>
      <c r="U657" s="4"/>
      <c r="V657" s="4"/>
      <c r="W657" s="4"/>
      <c r="X657" s="4"/>
    </row>
    <row r="658">
      <c r="A658" s="4"/>
      <c r="B658" s="46"/>
      <c r="C658" s="4"/>
      <c r="D658" s="4"/>
      <c r="E658" s="4"/>
      <c r="F658" s="4"/>
      <c r="G658" s="4"/>
      <c r="H658" s="4"/>
      <c r="I658" s="4"/>
      <c r="J658" s="4"/>
      <c r="K658" s="4"/>
      <c r="L658" s="4"/>
      <c r="M658" s="4"/>
      <c r="N658" s="4"/>
      <c r="O658" s="4"/>
      <c r="P658" s="4"/>
      <c r="Q658" s="4"/>
      <c r="R658" s="4"/>
      <c r="S658" s="4"/>
      <c r="T658" s="4"/>
      <c r="U658" s="4"/>
      <c r="V658" s="4"/>
      <c r="W658" s="4"/>
      <c r="X658" s="4"/>
    </row>
    <row r="659">
      <c r="A659" s="4"/>
      <c r="B659" s="46"/>
      <c r="C659" s="4"/>
      <c r="D659" s="4"/>
      <c r="E659" s="4"/>
      <c r="F659" s="4"/>
      <c r="G659" s="4"/>
      <c r="H659" s="4"/>
      <c r="I659" s="4"/>
      <c r="J659" s="4"/>
      <c r="K659" s="4"/>
      <c r="L659" s="4"/>
      <c r="M659" s="4"/>
      <c r="N659" s="4"/>
      <c r="O659" s="4"/>
      <c r="P659" s="4"/>
      <c r="Q659" s="4"/>
      <c r="R659" s="4"/>
      <c r="S659" s="4"/>
      <c r="T659" s="4"/>
      <c r="U659" s="4"/>
      <c r="V659" s="4"/>
      <c r="W659" s="4"/>
      <c r="X659" s="4"/>
    </row>
    <row r="660">
      <c r="A660" s="4"/>
      <c r="B660" s="46"/>
      <c r="C660" s="4"/>
      <c r="D660" s="4"/>
      <c r="E660" s="4"/>
      <c r="F660" s="4"/>
      <c r="G660" s="4"/>
      <c r="H660" s="4"/>
      <c r="I660" s="4"/>
      <c r="J660" s="4"/>
      <c r="K660" s="4"/>
      <c r="L660" s="4"/>
      <c r="M660" s="4"/>
      <c r="N660" s="4"/>
      <c r="O660" s="4"/>
      <c r="P660" s="4"/>
      <c r="Q660" s="4"/>
      <c r="R660" s="4"/>
      <c r="S660" s="4"/>
      <c r="T660" s="4"/>
      <c r="U660" s="4"/>
      <c r="V660" s="4"/>
      <c r="W660" s="4"/>
      <c r="X660" s="4"/>
    </row>
    <row r="661">
      <c r="A661" s="4"/>
      <c r="B661" s="46"/>
      <c r="C661" s="4"/>
      <c r="D661" s="4"/>
      <c r="E661" s="4"/>
      <c r="F661" s="4"/>
      <c r="G661" s="4"/>
      <c r="H661" s="4"/>
      <c r="I661" s="4"/>
      <c r="J661" s="4"/>
      <c r="K661" s="4"/>
      <c r="L661" s="4"/>
      <c r="M661" s="4"/>
      <c r="N661" s="4"/>
      <c r="O661" s="4"/>
      <c r="P661" s="4"/>
      <c r="Q661" s="4"/>
      <c r="R661" s="4"/>
      <c r="S661" s="4"/>
      <c r="T661" s="4"/>
      <c r="U661" s="4"/>
      <c r="V661" s="4"/>
      <c r="W661" s="4"/>
      <c r="X661" s="4"/>
    </row>
    <row r="662">
      <c r="A662" s="4"/>
      <c r="B662" s="46"/>
      <c r="C662" s="4"/>
      <c r="D662" s="4"/>
      <c r="E662" s="4"/>
      <c r="F662" s="4"/>
      <c r="G662" s="4"/>
      <c r="H662" s="4"/>
      <c r="I662" s="4"/>
      <c r="J662" s="4"/>
      <c r="K662" s="4"/>
      <c r="L662" s="4"/>
      <c r="M662" s="4"/>
      <c r="N662" s="4"/>
      <c r="O662" s="4"/>
      <c r="P662" s="4"/>
      <c r="Q662" s="4"/>
      <c r="R662" s="4"/>
      <c r="S662" s="4"/>
      <c r="T662" s="4"/>
      <c r="U662" s="4"/>
      <c r="V662" s="4"/>
      <c r="W662" s="4"/>
      <c r="X662" s="4"/>
    </row>
    <row r="663">
      <c r="A663" s="4"/>
      <c r="B663" s="46"/>
      <c r="C663" s="4"/>
      <c r="D663" s="4"/>
      <c r="E663" s="4"/>
      <c r="F663" s="4"/>
      <c r="G663" s="4"/>
      <c r="H663" s="4"/>
      <c r="I663" s="4"/>
      <c r="J663" s="4"/>
      <c r="K663" s="4"/>
      <c r="L663" s="4"/>
      <c r="M663" s="4"/>
      <c r="N663" s="4"/>
      <c r="O663" s="4"/>
      <c r="P663" s="4"/>
      <c r="Q663" s="4"/>
      <c r="R663" s="4"/>
      <c r="S663" s="4"/>
      <c r="T663" s="4"/>
      <c r="U663" s="4"/>
      <c r="V663" s="4"/>
      <c r="W663" s="4"/>
      <c r="X663" s="4"/>
    </row>
    <row r="664">
      <c r="A664" s="4"/>
      <c r="B664" s="46"/>
      <c r="C664" s="4"/>
      <c r="D664" s="4"/>
      <c r="E664" s="4"/>
      <c r="F664" s="4"/>
      <c r="G664" s="4"/>
      <c r="H664" s="4"/>
      <c r="I664" s="4"/>
      <c r="J664" s="4"/>
      <c r="K664" s="4"/>
      <c r="L664" s="4"/>
      <c r="M664" s="4"/>
      <c r="N664" s="4"/>
      <c r="O664" s="4"/>
      <c r="P664" s="4"/>
      <c r="Q664" s="4"/>
      <c r="R664" s="4"/>
      <c r="S664" s="4"/>
      <c r="T664" s="4"/>
      <c r="U664" s="4"/>
      <c r="V664" s="4"/>
      <c r="W664" s="4"/>
      <c r="X664" s="4"/>
    </row>
    <row r="665">
      <c r="A665" s="4"/>
      <c r="B665" s="46"/>
      <c r="C665" s="4"/>
      <c r="D665" s="4"/>
      <c r="E665" s="4"/>
      <c r="F665" s="4"/>
      <c r="G665" s="4"/>
      <c r="H665" s="4"/>
      <c r="I665" s="4"/>
      <c r="J665" s="4"/>
      <c r="K665" s="4"/>
      <c r="L665" s="4"/>
      <c r="M665" s="4"/>
      <c r="N665" s="4"/>
      <c r="O665" s="4"/>
      <c r="P665" s="4"/>
      <c r="Q665" s="4"/>
      <c r="R665" s="4"/>
      <c r="S665" s="4"/>
      <c r="T665" s="4"/>
      <c r="U665" s="4"/>
      <c r="V665" s="4"/>
      <c r="W665" s="4"/>
      <c r="X665" s="4"/>
    </row>
    <row r="666">
      <c r="A666" s="4"/>
      <c r="B666" s="46"/>
      <c r="C666" s="4"/>
      <c r="D666" s="4"/>
      <c r="E666" s="4"/>
      <c r="F666" s="4"/>
      <c r="G666" s="4"/>
      <c r="H666" s="4"/>
      <c r="I666" s="4"/>
      <c r="J666" s="4"/>
      <c r="K666" s="4"/>
      <c r="L666" s="4"/>
      <c r="M666" s="4"/>
      <c r="N666" s="4"/>
      <c r="O666" s="4"/>
      <c r="P666" s="4"/>
      <c r="Q666" s="4"/>
      <c r="R666" s="4"/>
      <c r="S666" s="4"/>
      <c r="T666" s="4"/>
      <c r="U666" s="4"/>
      <c r="V666" s="4"/>
      <c r="W666" s="4"/>
      <c r="X666" s="4"/>
    </row>
    <row r="667">
      <c r="A667" s="4"/>
      <c r="B667" s="46"/>
      <c r="C667" s="4"/>
      <c r="D667" s="4"/>
      <c r="E667" s="4"/>
      <c r="F667" s="4"/>
      <c r="G667" s="4"/>
      <c r="H667" s="4"/>
      <c r="I667" s="4"/>
      <c r="J667" s="4"/>
      <c r="K667" s="4"/>
      <c r="L667" s="4"/>
      <c r="M667" s="4"/>
      <c r="N667" s="4"/>
      <c r="O667" s="4"/>
      <c r="P667" s="4"/>
      <c r="Q667" s="4"/>
      <c r="R667" s="4"/>
      <c r="S667" s="4"/>
      <c r="T667" s="4"/>
      <c r="U667" s="4"/>
      <c r="V667" s="4"/>
      <c r="W667" s="4"/>
      <c r="X667" s="4"/>
    </row>
    <row r="668">
      <c r="A668" s="4"/>
      <c r="B668" s="46"/>
      <c r="C668" s="4"/>
      <c r="D668" s="4"/>
      <c r="E668" s="4"/>
      <c r="F668" s="4"/>
      <c r="G668" s="4"/>
      <c r="H668" s="4"/>
      <c r="I668" s="4"/>
      <c r="J668" s="4"/>
      <c r="K668" s="4"/>
      <c r="L668" s="4"/>
      <c r="M668" s="4"/>
      <c r="N668" s="4"/>
      <c r="O668" s="4"/>
      <c r="P668" s="4"/>
      <c r="Q668" s="4"/>
      <c r="R668" s="4"/>
      <c r="S668" s="4"/>
      <c r="T668" s="4"/>
      <c r="U668" s="4"/>
      <c r="V668" s="4"/>
      <c r="W668" s="4"/>
      <c r="X668" s="4"/>
    </row>
    <row r="669">
      <c r="A669" s="4"/>
      <c r="B669" s="46"/>
      <c r="C669" s="4"/>
      <c r="D669" s="4"/>
      <c r="E669" s="4"/>
      <c r="F669" s="4"/>
      <c r="G669" s="4"/>
      <c r="H669" s="4"/>
      <c r="I669" s="4"/>
      <c r="J669" s="4"/>
      <c r="K669" s="4"/>
      <c r="L669" s="4"/>
      <c r="M669" s="4"/>
      <c r="N669" s="4"/>
      <c r="O669" s="4"/>
      <c r="P669" s="4"/>
      <c r="Q669" s="4"/>
      <c r="R669" s="4"/>
      <c r="S669" s="4"/>
      <c r="T669" s="4"/>
      <c r="U669" s="4"/>
      <c r="V669" s="4"/>
      <c r="W669" s="4"/>
      <c r="X669" s="4"/>
    </row>
    <row r="670">
      <c r="A670" s="4"/>
      <c r="B670" s="46"/>
      <c r="C670" s="4"/>
      <c r="D670" s="4"/>
      <c r="E670" s="4"/>
      <c r="F670" s="4"/>
      <c r="G670" s="4"/>
      <c r="H670" s="4"/>
      <c r="I670" s="4"/>
      <c r="J670" s="4"/>
      <c r="K670" s="4"/>
      <c r="L670" s="4"/>
      <c r="M670" s="4"/>
      <c r="N670" s="4"/>
      <c r="O670" s="4"/>
      <c r="P670" s="4"/>
      <c r="Q670" s="4"/>
      <c r="R670" s="4"/>
      <c r="S670" s="4"/>
      <c r="T670" s="4"/>
      <c r="U670" s="4"/>
      <c r="V670" s="4"/>
      <c r="W670" s="4"/>
      <c r="X670" s="4"/>
    </row>
    <row r="671">
      <c r="A671" s="4"/>
      <c r="B671" s="46"/>
      <c r="C671" s="4"/>
      <c r="D671" s="4"/>
      <c r="E671" s="4"/>
      <c r="F671" s="4"/>
      <c r="G671" s="4"/>
      <c r="H671" s="4"/>
      <c r="I671" s="4"/>
      <c r="J671" s="4"/>
      <c r="K671" s="4"/>
      <c r="L671" s="4"/>
      <c r="M671" s="4"/>
      <c r="N671" s="4"/>
      <c r="O671" s="4"/>
      <c r="P671" s="4"/>
      <c r="Q671" s="4"/>
      <c r="R671" s="4"/>
      <c r="S671" s="4"/>
      <c r="T671" s="4"/>
      <c r="U671" s="4"/>
      <c r="V671" s="4"/>
      <c r="W671" s="4"/>
      <c r="X671" s="4"/>
    </row>
    <row r="672">
      <c r="A672" s="4"/>
      <c r="B672" s="46"/>
      <c r="C672" s="4"/>
      <c r="D672" s="4"/>
      <c r="E672" s="4"/>
      <c r="F672" s="4"/>
      <c r="G672" s="4"/>
      <c r="H672" s="4"/>
      <c r="I672" s="4"/>
      <c r="J672" s="4"/>
      <c r="K672" s="4"/>
      <c r="L672" s="4"/>
      <c r="M672" s="4"/>
      <c r="N672" s="4"/>
      <c r="O672" s="4"/>
      <c r="P672" s="4"/>
      <c r="Q672" s="4"/>
      <c r="R672" s="4"/>
      <c r="S672" s="4"/>
      <c r="T672" s="4"/>
      <c r="U672" s="4"/>
      <c r="V672" s="4"/>
      <c r="W672" s="4"/>
      <c r="X672" s="4"/>
    </row>
    <row r="673">
      <c r="A673" s="4"/>
      <c r="B673" s="46"/>
      <c r="C673" s="4"/>
      <c r="D673" s="4"/>
      <c r="E673" s="4"/>
      <c r="F673" s="4"/>
      <c r="G673" s="4"/>
      <c r="H673" s="4"/>
      <c r="I673" s="4"/>
      <c r="J673" s="4"/>
      <c r="K673" s="4"/>
      <c r="L673" s="4"/>
      <c r="M673" s="4"/>
      <c r="N673" s="4"/>
      <c r="O673" s="4"/>
      <c r="P673" s="4"/>
      <c r="Q673" s="4"/>
      <c r="R673" s="4"/>
      <c r="S673" s="4"/>
      <c r="T673" s="4"/>
      <c r="U673" s="4"/>
      <c r="V673" s="4"/>
      <c r="W673" s="4"/>
      <c r="X673" s="4"/>
    </row>
    <row r="674">
      <c r="A674" s="4"/>
      <c r="B674" s="46"/>
      <c r="C674" s="4"/>
      <c r="D674" s="4"/>
      <c r="E674" s="4"/>
      <c r="F674" s="4"/>
      <c r="G674" s="4"/>
      <c r="H674" s="4"/>
      <c r="I674" s="4"/>
      <c r="J674" s="4"/>
      <c r="K674" s="4"/>
      <c r="L674" s="4"/>
      <c r="M674" s="4"/>
      <c r="N674" s="4"/>
      <c r="O674" s="4"/>
      <c r="P674" s="4"/>
      <c r="Q674" s="4"/>
      <c r="R674" s="4"/>
      <c r="S674" s="4"/>
      <c r="T674" s="4"/>
      <c r="U674" s="4"/>
      <c r="V674" s="4"/>
      <c r="W674" s="4"/>
      <c r="X674" s="4"/>
    </row>
    <row r="675">
      <c r="A675" s="4"/>
      <c r="B675" s="46"/>
      <c r="C675" s="4"/>
      <c r="D675" s="4"/>
      <c r="E675" s="4"/>
      <c r="F675" s="4"/>
      <c r="G675" s="4"/>
      <c r="H675" s="4"/>
      <c r="I675" s="4"/>
      <c r="J675" s="4"/>
      <c r="K675" s="4"/>
      <c r="L675" s="4"/>
      <c r="M675" s="4"/>
      <c r="N675" s="4"/>
      <c r="O675" s="4"/>
      <c r="P675" s="4"/>
      <c r="Q675" s="4"/>
      <c r="R675" s="4"/>
      <c r="S675" s="4"/>
      <c r="T675" s="4"/>
      <c r="U675" s="4"/>
      <c r="V675" s="4"/>
      <c r="W675" s="4"/>
      <c r="X675" s="4"/>
    </row>
    <row r="676">
      <c r="A676" s="4"/>
      <c r="B676" s="46"/>
      <c r="C676" s="4"/>
      <c r="D676" s="4"/>
      <c r="E676" s="4"/>
      <c r="F676" s="4"/>
      <c r="G676" s="4"/>
      <c r="H676" s="4"/>
      <c r="I676" s="4"/>
      <c r="J676" s="4"/>
      <c r="K676" s="4"/>
      <c r="L676" s="4"/>
      <c r="M676" s="4"/>
      <c r="N676" s="4"/>
      <c r="O676" s="4"/>
      <c r="P676" s="4"/>
      <c r="Q676" s="4"/>
      <c r="R676" s="4"/>
      <c r="S676" s="4"/>
      <c r="T676" s="4"/>
      <c r="U676" s="4"/>
      <c r="V676" s="4"/>
      <c r="W676" s="4"/>
      <c r="X676" s="4"/>
    </row>
    <row r="677">
      <c r="A677" s="4"/>
      <c r="B677" s="46"/>
      <c r="C677" s="4"/>
      <c r="D677" s="4"/>
      <c r="E677" s="4"/>
      <c r="F677" s="4"/>
      <c r="G677" s="4"/>
      <c r="H677" s="4"/>
      <c r="I677" s="4"/>
      <c r="J677" s="4"/>
      <c r="K677" s="4"/>
      <c r="L677" s="4"/>
      <c r="M677" s="4"/>
      <c r="N677" s="4"/>
      <c r="O677" s="4"/>
      <c r="P677" s="4"/>
      <c r="Q677" s="4"/>
      <c r="R677" s="4"/>
      <c r="S677" s="4"/>
      <c r="T677" s="4"/>
      <c r="U677" s="4"/>
      <c r="V677" s="4"/>
      <c r="W677" s="4"/>
      <c r="X677" s="4"/>
    </row>
    <row r="678">
      <c r="A678" s="4"/>
      <c r="B678" s="46"/>
      <c r="C678" s="4"/>
      <c r="D678" s="4"/>
      <c r="E678" s="4"/>
      <c r="F678" s="4"/>
      <c r="G678" s="4"/>
      <c r="H678" s="4"/>
      <c r="I678" s="4"/>
      <c r="J678" s="4"/>
      <c r="K678" s="4"/>
      <c r="L678" s="4"/>
      <c r="M678" s="4"/>
      <c r="N678" s="4"/>
      <c r="O678" s="4"/>
      <c r="P678" s="4"/>
      <c r="Q678" s="4"/>
      <c r="R678" s="4"/>
      <c r="S678" s="4"/>
      <c r="T678" s="4"/>
      <c r="U678" s="4"/>
      <c r="V678" s="4"/>
      <c r="W678" s="4"/>
      <c r="X678" s="4"/>
    </row>
    <row r="679">
      <c r="A679" s="4"/>
      <c r="B679" s="46"/>
      <c r="C679" s="4"/>
      <c r="D679" s="4"/>
      <c r="E679" s="4"/>
      <c r="F679" s="4"/>
      <c r="G679" s="4"/>
      <c r="H679" s="4"/>
      <c r="I679" s="4"/>
      <c r="J679" s="4"/>
      <c r="K679" s="4"/>
      <c r="L679" s="4"/>
      <c r="M679" s="4"/>
      <c r="N679" s="4"/>
      <c r="O679" s="4"/>
      <c r="P679" s="4"/>
      <c r="Q679" s="4"/>
      <c r="R679" s="4"/>
      <c r="S679" s="4"/>
      <c r="T679" s="4"/>
      <c r="U679" s="4"/>
      <c r="V679" s="4"/>
      <c r="W679" s="4"/>
      <c r="X679" s="4"/>
    </row>
    <row r="680">
      <c r="A680" s="4"/>
      <c r="B680" s="46"/>
      <c r="C680" s="4"/>
      <c r="D680" s="4"/>
      <c r="E680" s="4"/>
      <c r="F680" s="4"/>
      <c r="G680" s="4"/>
      <c r="H680" s="4"/>
      <c r="I680" s="4"/>
      <c r="J680" s="4"/>
      <c r="K680" s="4"/>
      <c r="L680" s="4"/>
      <c r="M680" s="4"/>
      <c r="N680" s="4"/>
      <c r="O680" s="4"/>
      <c r="P680" s="4"/>
      <c r="Q680" s="4"/>
      <c r="R680" s="4"/>
      <c r="S680" s="4"/>
      <c r="T680" s="4"/>
      <c r="U680" s="4"/>
      <c r="V680" s="4"/>
      <c r="W680" s="4"/>
      <c r="X680" s="4"/>
    </row>
    <row r="681">
      <c r="A681" s="4"/>
      <c r="B681" s="46"/>
      <c r="C681" s="4"/>
      <c r="D681" s="4"/>
      <c r="E681" s="4"/>
      <c r="F681" s="4"/>
      <c r="G681" s="4"/>
      <c r="H681" s="4"/>
      <c r="I681" s="4"/>
      <c r="J681" s="4"/>
      <c r="K681" s="4"/>
      <c r="L681" s="4"/>
      <c r="M681" s="4"/>
      <c r="N681" s="4"/>
      <c r="O681" s="4"/>
      <c r="P681" s="4"/>
      <c r="Q681" s="4"/>
      <c r="R681" s="4"/>
      <c r="S681" s="4"/>
      <c r="T681" s="4"/>
      <c r="U681" s="4"/>
      <c r="V681" s="4"/>
      <c r="W681" s="4"/>
      <c r="X681" s="4"/>
    </row>
    <row r="682">
      <c r="A682" s="4"/>
      <c r="B682" s="46"/>
      <c r="C682" s="4"/>
      <c r="D682" s="4"/>
      <c r="E682" s="4"/>
      <c r="F682" s="4"/>
      <c r="G682" s="4"/>
      <c r="H682" s="4"/>
      <c r="I682" s="4"/>
      <c r="J682" s="4"/>
      <c r="K682" s="4"/>
      <c r="L682" s="4"/>
      <c r="M682" s="4"/>
      <c r="N682" s="4"/>
      <c r="O682" s="4"/>
      <c r="P682" s="4"/>
      <c r="Q682" s="4"/>
      <c r="R682" s="4"/>
      <c r="S682" s="4"/>
      <c r="T682" s="4"/>
      <c r="U682" s="4"/>
      <c r="V682" s="4"/>
      <c r="W682" s="4"/>
      <c r="X682" s="4"/>
    </row>
    <row r="683">
      <c r="A683" s="4"/>
      <c r="B683" s="46"/>
      <c r="C683" s="4"/>
      <c r="D683" s="4"/>
      <c r="E683" s="4"/>
      <c r="F683" s="4"/>
      <c r="G683" s="4"/>
      <c r="H683" s="4"/>
      <c r="I683" s="4"/>
      <c r="J683" s="4"/>
      <c r="K683" s="4"/>
      <c r="L683" s="4"/>
      <c r="M683" s="4"/>
      <c r="N683" s="4"/>
      <c r="O683" s="4"/>
      <c r="P683" s="4"/>
      <c r="Q683" s="4"/>
      <c r="R683" s="4"/>
      <c r="S683" s="4"/>
      <c r="T683" s="4"/>
      <c r="U683" s="4"/>
      <c r="V683" s="4"/>
      <c r="W683" s="4"/>
      <c r="X683" s="4"/>
    </row>
    <row r="684">
      <c r="A684" s="4"/>
      <c r="B684" s="46"/>
      <c r="C684" s="4"/>
      <c r="D684" s="4"/>
      <c r="E684" s="4"/>
      <c r="F684" s="4"/>
      <c r="G684" s="4"/>
      <c r="H684" s="4"/>
      <c r="I684" s="4"/>
      <c r="J684" s="4"/>
      <c r="K684" s="4"/>
      <c r="L684" s="4"/>
      <c r="M684" s="4"/>
      <c r="N684" s="4"/>
      <c r="O684" s="4"/>
      <c r="P684" s="4"/>
      <c r="Q684" s="4"/>
      <c r="R684" s="4"/>
      <c r="S684" s="4"/>
      <c r="T684" s="4"/>
      <c r="U684" s="4"/>
      <c r="V684" s="4"/>
      <c r="W684" s="4"/>
      <c r="X684" s="4"/>
    </row>
    <row r="685">
      <c r="A685" s="4"/>
      <c r="B685" s="46"/>
      <c r="C685" s="4"/>
      <c r="D685" s="4"/>
      <c r="E685" s="4"/>
      <c r="F685" s="4"/>
      <c r="G685" s="4"/>
      <c r="H685" s="4"/>
      <c r="I685" s="4"/>
      <c r="J685" s="4"/>
      <c r="K685" s="4"/>
      <c r="L685" s="4"/>
      <c r="M685" s="4"/>
      <c r="N685" s="4"/>
      <c r="O685" s="4"/>
      <c r="P685" s="4"/>
      <c r="Q685" s="4"/>
      <c r="R685" s="4"/>
      <c r="S685" s="4"/>
      <c r="T685" s="4"/>
      <c r="U685" s="4"/>
      <c r="V685" s="4"/>
      <c r="W685" s="4"/>
      <c r="X685" s="4"/>
    </row>
    <row r="686">
      <c r="A686" s="4"/>
      <c r="B686" s="46"/>
      <c r="C686" s="4"/>
      <c r="D686" s="4"/>
      <c r="E686" s="4"/>
      <c r="F686" s="4"/>
      <c r="G686" s="4"/>
      <c r="H686" s="4"/>
      <c r="I686" s="4"/>
      <c r="J686" s="4"/>
      <c r="K686" s="4"/>
      <c r="L686" s="4"/>
      <c r="M686" s="4"/>
      <c r="N686" s="4"/>
      <c r="O686" s="4"/>
      <c r="P686" s="4"/>
      <c r="Q686" s="4"/>
      <c r="R686" s="4"/>
      <c r="S686" s="4"/>
      <c r="T686" s="4"/>
      <c r="U686" s="4"/>
      <c r="V686" s="4"/>
      <c r="W686" s="4"/>
      <c r="X686" s="4"/>
    </row>
    <row r="687">
      <c r="A687" s="4"/>
      <c r="B687" s="46"/>
      <c r="C687" s="4"/>
      <c r="D687" s="4"/>
      <c r="E687" s="4"/>
      <c r="F687" s="4"/>
      <c r="G687" s="4"/>
      <c r="H687" s="4"/>
      <c r="I687" s="4"/>
      <c r="J687" s="4"/>
      <c r="K687" s="4"/>
      <c r="L687" s="4"/>
      <c r="M687" s="4"/>
      <c r="N687" s="4"/>
      <c r="O687" s="4"/>
      <c r="P687" s="4"/>
      <c r="Q687" s="4"/>
      <c r="R687" s="4"/>
      <c r="S687" s="4"/>
      <c r="T687" s="4"/>
      <c r="U687" s="4"/>
      <c r="V687" s="4"/>
      <c r="W687" s="4"/>
      <c r="X687" s="4"/>
    </row>
    <row r="688">
      <c r="A688" s="4"/>
      <c r="B688" s="46"/>
      <c r="C688" s="4"/>
      <c r="D688" s="4"/>
      <c r="E688" s="4"/>
      <c r="F688" s="4"/>
      <c r="G688" s="4"/>
      <c r="H688" s="4"/>
      <c r="I688" s="4"/>
      <c r="J688" s="4"/>
      <c r="K688" s="4"/>
      <c r="L688" s="4"/>
      <c r="M688" s="4"/>
      <c r="N688" s="4"/>
      <c r="O688" s="4"/>
      <c r="P688" s="4"/>
      <c r="Q688" s="4"/>
      <c r="R688" s="4"/>
      <c r="S688" s="4"/>
      <c r="T688" s="4"/>
      <c r="U688" s="4"/>
      <c r="V688" s="4"/>
      <c r="W688" s="4"/>
      <c r="X688" s="4"/>
    </row>
    <row r="689">
      <c r="A689" s="4"/>
      <c r="B689" s="46"/>
      <c r="C689" s="4"/>
      <c r="D689" s="4"/>
      <c r="E689" s="4"/>
      <c r="F689" s="4"/>
      <c r="G689" s="4"/>
      <c r="H689" s="4"/>
      <c r="I689" s="4"/>
      <c r="J689" s="4"/>
      <c r="K689" s="4"/>
      <c r="L689" s="4"/>
      <c r="M689" s="4"/>
      <c r="N689" s="4"/>
      <c r="O689" s="4"/>
      <c r="P689" s="4"/>
      <c r="Q689" s="4"/>
      <c r="R689" s="4"/>
      <c r="S689" s="4"/>
      <c r="T689" s="4"/>
      <c r="U689" s="4"/>
      <c r="V689" s="4"/>
      <c r="W689" s="4"/>
      <c r="X689" s="4"/>
    </row>
    <row r="690">
      <c r="A690" s="4"/>
      <c r="B690" s="46"/>
      <c r="C690" s="4"/>
      <c r="D690" s="4"/>
      <c r="E690" s="4"/>
      <c r="F690" s="4"/>
      <c r="G690" s="4"/>
      <c r="H690" s="4"/>
      <c r="I690" s="4"/>
      <c r="J690" s="4"/>
      <c r="K690" s="4"/>
      <c r="L690" s="4"/>
      <c r="M690" s="4"/>
      <c r="N690" s="4"/>
      <c r="O690" s="4"/>
      <c r="P690" s="4"/>
      <c r="Q690" s="4"/>
      <c r="R690" s="4"/>
      <c r="S690" s="4"/>
      <c r="T690" s="4"/>
      <c r="U690" s="4"/>
      <c r="V690" s="4"/>
      <c r="W690" s="4"/>
      <c r="X690" s="4"/>
    </row>
    <row r="691">
      <c r="A691" s="4"/>
      <c r="B691" s="46"/>
      <c r="C691" s="4"/>
      <c r="D691" s="4"/>
      <c r="E691" s="4"/>
      <c r="F691" s="4"/>
      <c r="G691" s="4"/>
      <c r="H691" s="4"/>
      <c r="I691" s="4"/>
      <c r="J691" s="4"/>
      <c r="K691" s="4"/>
      <c r="L691" s="4"/>
      <c r="M691" s="4"/>
      <c r="N691" s="4"/>
      <c r="O691" s="4"/>
      <c r="P691" s="4"/>
      <c r="Q691" s="4"/>
      <c r="R691" s="4"/>
      <c r="S691" s="4"/>
      <c r="T691" s="4"/>
      <c r="U691" s="4"/>
      <c r="V691" s="4"/>
      <c r="W691" s="4"/>
      <c r="X691" s="4"/>
    </row>
    <row r="692">
      <c r="A692" s="4"/>
      <c r="B692" s="46"/>
      <c r="C692" s="4"/>
      <c r="D692" s="4"/>
      <c r="E692" s="4"/>
      <c r="F692" s="4"/>
      <c r="G692" s="4"/>
      <c r="H692" s="4"/>
      <c r="I692" s="4"/>
      <c r="J692" s="4"/>
      <c r="K692" s="4"/>
      <c r="L692" s="4"/>
      <c r="M692" s="4"/>
      <c r="N692" s="4"/>
      <c r="O692" s="4"/>
      <c r="P692" s="4"/>
      <c r="Q692" s="4"/>
      <c r="R692" s="4"/>
      <c r="S692" s="4"/>
      <c r="T692" s="4"/>
      <c r="U692" s="4"/>
      <c r="V692" s="4"/>
      <c r="W692" s="4"/>
      <c r="X692" s="4"/>
    </row>
    <row r="693">
      <c r="A693" s="4"/>
      <c r="B693" s="46"/>
      <c r="C693" s="4"/>
      <c r="D693" s="4"/>
      <c r="E693" s="4"/>
      <c r="F693" s="4"/>
      <c r="G693" s="4"/>
      <c r="H693" s="4"/>
      <c r="I693" s="4"/>
      <c r="J693" s="4"/>
      <c r="K693" s="4"/>
      <c r="L693" s="4"/>
      <c r="M693" s="4"/>
      <c r="N693" s="4"/>
      <c r="O693" s="4"/>
      <c r="P693" s="4"/>
      <c r="Q693" s="4"/>
      <c r="R693" s="4"/>
      <c r="S693" s="4"/>
      <c r="T693" s="4"/>
      <c r="U693" s="4"/>
      <c r="V693" s="4"/>
      <c r="W693" s="4"/>
      <c r="X693" s="4"/>
    </row>
    <row r="694">
      <c r="A694" s="4"/>
      <c r="B694" s="46"/>
      <c r="C694" s="4"/>
      <c r="D694" s="4"/>
      <c r="E694" s="4"/>
      <c r="F694" s="4"/>
      <c r="G694" s="4"/>
      <c r="H694" s="4"/>
      <c r="I694" s="4"/>
      <c r="J694" s="4"/>
      <c r="K694" s="4"/>
      <c r="L694" s="4"/>
      <c r="M694" s="4"/>
      <c r="N694" s="4"/>
      <c r="O694" s="4"/>
      <c r="P694" s="4"/>
      <c r="Q694" s="4"/>
      <c r="R694" s="4"/>
      <c r="S694" s="4"/>
      <c r="T694" s="4"/>
      <c r="U694" s="4"/>
      <c r="V694" s="4"/>
      <c r="W694" s="4"/>
      <c r="X694" s="4"/>
    </row>
    <row r="695">
      <c r="A695" s="4"/>
      <c r="B695" s="46"/>
      <c r="C695" s="4"/>
      <c r="D695" s="4"/>
      <c r="E695" s="4"/>
      <c r="F695" s="4"/>
      <c r="G695" s="4"/>
      <c r="H695" s="4"/>
      <c r="I695" s="4"/>
      <c r="J695" s="4"/>
      <c r="K695" s="4"/>
      <c r="L695" s="4"/>
      <c r="M695" s="4"/>
      <c r="N695" s="4"/>
      <c r="O695" s="4"/>
      <c r="P695" s="4"/>
      <c r="Q695" s="4"/>
      <c r="R695" s="4"/>
      <c r="S695" s="4"/>
      <c r="T695" s="4"/>
      <c r="U695" s="4"/>
      <c r="V695" s="4"/>
      <c r="W695" s="4"/>
      <c r="X695" s="4"/>
    </row>
    <row r="696">
      <c r="A696" s="4"/>
      <c r="B696" s="46"/>
      <c r="C696" s="4"/>
      <c r="D696" s="4"/>
      <c r="E696" s="4"/>
      <c r="F696" s="4"/>
      <c r="G696" s="4"/>
      <c r="H696" s="4"/>
      <c r="I696" s="4"/>
      <c r="J696" s="4"/>
      <c r="K696" s="4"/>
      <c r="L696" s="4"/>
      <c r="M696" s="4"/>
      <c r="N696" s="4"/>
      <c r="O696" s="4"/>
      <c r="P696" s="4"/>
      <c r="Q696" s="4"/>
      <c r="R696" s="4"/>
      <c r="S696" s="4"/>
      <c r="T696" s="4"/>
      <c r="U696" s="4"/>
      <c r="V696" s="4"/>
      <c r="W696" s="4"/>
      <c r="X696" s="4"/>
    </row>
    <row r="697">
      <c r="A697" s="4"/>
      <c r="B697" s="46"/>
      <c r="C697" s="4"/>
      <c r="D697" s="4"/>
      <c r="E697" s="4"/>
      <c r="F697" s="4"/>
      <c r="G697" s="4"/>
      <c r="H697" s="4"/>
      <c r="I697" s="4"/>
      <c r="J697" s="4"/>
      <c r="K697" s="4"/>
      <c r="L697" s="4"/>
      <c r="M697" s="4"/>
      <c r="N697" s="4"/>
      <c r="O697" s="4"/>
      <c r="P697" s="4"/>
      <c r="Q697" s="4"/>
      <c r="R697" s="4"/>
      <c r="S697" s="4"/>
      <c r="T697" s="4"/>
      <c r="U697" s="4"/>
      <c r="V697" s="4"/>
      <c r="W697" s="4"/>
      <c r="X697" s="4"/>
    </row>
    <row r="698">
      <c r="A698" s="4"/>
      <c r="B698" s="46"/>
      <c r="C698" s="4"/>
      <c r="D698" s="4"/>
      <c r="E698" s="4"/>
      <c r="F698" s="4"/>
      <c r="G698" s="4"/>
      <c r="H698" s="4"/>
      <c r="I698" s="4"/>
      <c r="J698" s="4"/>
      <c r="K698" s="4"/>
      <c r="L698" s="4"/>
      <c r="M698" s="4"/>
      <c r="N698" s="4"/>
      <c r="O698" s="4"/>
      <c r="P698" s="4"/>
      <c r="Q698" s="4"/>
      <c r="R698" s="4"/>
      <c r="S698" s="4"/>
      <c r="T698" s="4"/>
      <c r="U698" s="4"/>
      <c r="V698" s="4"/>
      <c r="W698" s="4"/>
      <c r="X698" s="4"/>
    </row>
    <row r="699">
      <c r="A699" s="4"/>
      <c r="B699" s="46"/>
      <c r="C699" s="4"/>
      <c r="D699" s="4"/>
      <c r="E699" s="4"/>
      <c r="F699" s="4"/>
      <c r="G699" s="4"/>
      <c r="H699" s="4"/>
      <c r="I699" s="4"/>
      <c r="J699" s="4"/>
      <c r="K699" s="4"/>
      <c r="L699" s="4"/>
      <c r="M699" s="4"/>
      <c r="N699" s="4"/>
      <c r="O699" s="4"/>
      <c r="P699" s="4"/>
      <c r="Q699" s="4"/>
      <c r="R699" s="4"/>
      <c r="S699" s="4"/>
      <c r="T699" s="4"/>
      <c r="U699" s="4"/>
      <c r="V699" s="4"/>
      <c r="W699" s="4"/>
      <c r="X699" s="4"/>
    </row>
    <row r="700">
      <c r="A700" s="4"/>
      <c r="B700" s="46"/>
      <c r="C700" s="4"/>
      <c r="D700" s="4"/>
      <c r="E700" s="4"/>
      <c r="F700" s="4"/>
      <c r="G700" s="4"/>
      <c r="H700" s="4"/>
      <c r="I700" s="4"/>
      <c r="J700" s="4"/>
      <c r="K700" s="4"/>
      <c r="L700" s="4"/>
      <c r="M700" s="4"/>
      <c r="N700" s="4"/>
      <c r="O700" s="4"/>
      <c r="P700" s="4"/>
      <c r="Q700" s="4"/>
      <c r="R700" s="4"/>
      <c r="S700" s="4"/>
      <c r="T700" s="4"/>
      <c r="U700" s="4"/>
      <c r="V700" s="4"/>
      <c r="W700" s="4"/>
      <c r="X700" s="4"/>
    </row>
    <row r="701">
      <c r="A701" s="4"/>
      <c r="B701" s="46"/>
      <c r="C701" s="4"/>
      <c r="D701" s="4"/>
      <c r="E701" s="4"/>
      <c r="F701" s="4"/>
      <c r="G701" s="4"/>
      <c r="H701" s="4"/>
      <c r="I701" s="4"/>
      <c r="J701" s="4"/>
      <c r="K701" s="4"/>
      <c r="L701" s="4"/>
      <c r="M701" s="4"/>
      <c r="N701" s="4"/>
      <c r="O701" s="4"/>
      <c r="P701" s="4"/>
      <c r="Q701" s="4"/>
      <c r="R701" s="4"/>
      <c r="S701" s="4"/>
      <c r="T701" s="4"/>
      <c r="U701" s="4"/>
      <c r="V701" s="4"/>
      <c r="W701" s="4"/>
      <c r="X701" s="4"/>
    </row>
    <row r="702">
      <c r="A702" s="4"/>
      <c r="B702" s="46"/>
      <c r="C702" s="4"/>
      <c r="D702" s="4"/>
      <c r="E702" s="4"/>
      <c r="F702" s="4"/>
      <c r="G702" s="4"/>
      <c r="H702" s="4"/>
      <c r="I702" s="4"/>
      <c r="J702" s="4"/>
      <c r="K702" s="4"/>
      <c r="L702" s="4"/>
      <c r="M702" s="4"/>
      <c r="N702" s="4"/>
      <c r="O702" s="4"/>
      <c r="P702" s="4"/>
      <c r="Q702" s="4"/>
      <c r="R702" s="4"/>
      <c r="S702" s="4"/>
      <c r="T702" s="4"/>
      <c r="U702" s="4"/>
      <c r="V702" s="4"/>
      <c r="W702" s="4"/>
      <c r="X702" s="4"/>
    </row>
    <row r="703">
      <c r="A703" s="4"/>
      <c r="B703" s="46"/>
      <c r="C703" s="4"/>
      <c r="D703" s="4"/>
      <c r="E703" s="4"/>
      <c r="F703" s="4"/>
      <c r="G703" s="4"/>
      <c r="H703" s="4"/>
      <c r="I703" s="4"/>
      <c r="J703" s="4"/>
      <c r="K703" s="4"/>
      <c r="L703" s="4"/>
      <c r="M703" s="4"/>
      <c r="N703" s="4"/>
      <c r="O703" s="4"/>
      <c r="P703" s="4"/>
      <c r="Q703" s="4"/>
      <c r="R703" s="4"/>
      <c r="S703" s="4"/>
      <c r="T703" s="4"/>
      <c r="U703" s="4"/>
      <c r="V703" s="4"/>
      <c r="W703" s="4"/>
      <c r="X703" s="4"/>
    </row>
    <row r="704">
      <c r="A704" s="4"/>
      <c r="B704" s="46"/>
      <c r="C704" s="4"/>
      <c r="D704" s="4"/>
      <c r="E704" s="4"/>
      <c r="F704" s="4"/>
      <c r="G704" s="4"/>
      <c r="H704" s="4"/>
      <c r="I704" s="4"/>
      <c r="J704" s="4"/>
      <c r="K704" s="4"/>
      <c r="L704" s="4"/>
      <c r="M704" s="4"/>
      <c r="N704" s="4"/>
      <c r="O704" s="4"/>
      <c r="P704" s="4"/>
      <c r="Q704" s="4"/>
      <c r="R704" s="4"/>
      <c r="S704" s="4"/>
      <c r="T704" s="4"/>
      <c r="U704" s="4"/>
      <c r="V704" s="4"/>
      <c r="W704" s="4"/>
      <c r="X704" s="4"/>
    </row>
    <row r="705">
      <c r="A705" s="4"/>
      <c r="B705" s="46"/>
      <c r="C705" s="4"/>
      <c r="D705" s="4"/>
      <c r="E705" s="4"/>
      <c r="F705" s="4"/>
      <c r="G705" s="4"/>
      <c r="H705" s="4"/>
      <c r="I705" s="4"/>
      <c r="J705" s="4"/>
      <c r="K705" s="4"/>
      <c r="L705" s="4"/>
      <c r="M705" s="4"/>
      <c r="N705" s="4"/>
      <c r="O705" s="4"/>
      <c r="P705" s="4"/>
      <c r="Q705" s="4"/>
      <c r="R705" s="4"/>
      <c r="S705" s="4"/>
      <c r="T705" s="4"/>
      <c r="U705" s="4"/>
      <c r="V705" s="4"/>
      <c r="W705" s="4"/>
      <c r="X705" s="4"/>
    </row>
    <row r="706">
      <c r="A706" s="4"/>
      <c r="B706" s="46"/>
      <c r="C706" s="4"/>
      <c r="D706" s="4"/>
      <c r="E706" s="4"/>
      <c r="F706" s="4"/>
      <c r="G706" s="4"/>
      <c r="H706" s="4"/>
      <c r="I706" s="4"/>
      <c r="J706" s="4"/>
      <c r="K706" s="4"/>
      <c r="L706" s="4"/>
      <c r="M706" s="4"/>
      <c r="N706" s="4"/>
      <c r="O706" s="4"/>
      <c r="P706" s="4"/>
      <c r="Q706" s="4"/>
      <c r="R706" s="4"/>
      <c r="S706" s="4"/>
      <c r="T706" s="4"/>
      <c r="U706" s="4"/>
      <c r="V706" s="4"/>
      <c r="W706" s="4"/>
      <c r="X706" s="4"/>
    </row>
    <row r="707">
      <c r="A707" s="4"/>
      <c r="B707" s="46"/>
      <c r="C707" s="4"/>
      <c r="D707" s="4"/>
      <c r="E707" s="4"/>
      <c r="F707" s="4"/>
      <c r="G707" s="4"/>
      <c r="H707" s="4"/>
      <c r="I707" s="4"/>
      <c r="J707" s="4"/>
      <c r="K707" s="4"/>
      <c r="L707" s="4"/>
      <c r="M707" s="4"/>
      <c r="N707" s="4"/>
      <c r="O707" s="4"/>
      <c r="P707" s="4"/>
      <c r="Q707" s="4"/>
      <c r="R707" s="4"/>
      <c r="S707" s="4"/>
      <c r="T707" s="4"/>
      <c r="U707" s="4"/>
      <c r="V707" s="4"/>
      <c r="W707" s="4"/>
      <c r="X707" s="4"/>
    </row>
    <row r="708">
      <c r="A708" s="4"/>
      <c r="B708" s="46"/>
      <c r="C708" s="4"/>
      <c r="D708" s="4"/>
      <c r="E708" s="4"/>
      <c r="F708" s="4"/>
      <c r="G708" s="4"/>
      <c r="H708" s="4"/>
      <c r="I708" s="4"/>
      <c r="J708" s="4"/>
      <c r="K708" s="4"/>
      <c r="L708" s="4"/>
      <c r="M708" s="4"/>
      <c r="N708" s="4"/>
      <c r="O708" s="4"/>
      <c r="P708" s="4"/>
      <c r="Q708" s="4"/>
      <c r="R708" s="4"/>
      <c r="S708" s="4"/>
      <c r="T708" s="4"/>
      <c r="U708" s="4"/>
      <c r="V708" s="4"/>
      <c r="W708" s="4"/>
      <c r="X708" s="4"/>
    </row>
    <row r="709">
      <c r="A709" s="4"/>
      <c r="B709" s="46"/>
      <c r="C709" s="4"/>
      <c r="D709" s="4"/>
      <c r="E709" s="4"/>
      <c r="F709" s="4"/>
      <c r="G709" s="4"/>
      <c r="H709" s="4"/>
      <c r="I709" s="4"/>
      <c r="J709" s="4"/>
      <c r="K709" s="4"/>
      <c r="L709" s="4"/>
      <c r="M709" s="4"/>
      <c r="N709" s="4"/>
      <c r="O709" s="4"/>
      <c r="P709" s="4"/>
      <c r="Q709" s="4"/>
      <c r="R709" s="4"/>
      <c r="S709" s="4"/>
      <c r="T709" s="4"/>
      <c r="U709" s="4"/>
      <c r="V709" s="4"/>
      <c r="W709" s="4"/>
      <c r="X709" s="4"/>
    </row>
    <row r="710">
      <c r="A710" s="4"/>
      <c r="B710" s="46"/>
      <c r="C710" s="4"/>
      <c r="D710" s="4"/>
      <c r="E710" s="4"/>
      <c r="F710" s="4"/>
      <c r="G710" s="4"/>
      <c r="H710" s="4"/>
      <c r="I710" s="4"/>
      <c r="J710" s="4"/>
      <c r="K710" s="4"/>
      <c r="L710" s="4"/>
      <c r="M710" s="4"/>
      <c r="N710" s="4"/>
      <c r="O710" s="4"/>
      <c r="P710" s="4"/>
      <c r="Q710" s="4"/>
      <c r="R710" s="4"/>
      <c r="S710" s="4"/>
      <c r="T710" s="4"/>
      <c r="U710" s="4"/>
      <c r="V710" s="4"/>
      <c r="W710" s="4"/>
      <c r="X710" s="4"/>
    </row>
    <row r="711">
      <c r="A711" s="4"/>
      <c r="B711" s="46"/>
      <c r="C711" s="4"/>
      <c r="D711" s="4"/>
      <c r="E711" s="4"/>
      <c r="F711" s="4"/>
      <c r="G711" s="4"/>
      <c r="H711" s="4"/>
      <c r="I711" s="4"/>
      <c r="J711" s="4"/>
      <c r="K711" s="4"/>
      <c r="L711" s="4"/>
      <c r="M711" s="4"/>
      <c r="N711" s="4"/>
      <c r="O711" s="4"/>
      <c r="P711" s="4"/>
      <c r="Q711" s="4"/>
      <c r="R711" s="4"/>
      <c r="S711" s="4"/>
      <c r="T711" s="4"/>
      <c r="U711" s="4"/>
      <c r="V711" s="4"/>
      <c r="W711" s="4"/>
      <c r="X711" s="4"/>
    </row>
    <row r="712">
      <c r="A712" s="4"/>
      <c r="B712" s="46"/>
      <c r="C712" s="4"/>
      <c r="D712" s="4"/>
      <c r="E712" s="4"/>
      <c r="F712" s="4"/>
      <c r="G712" s="4"/>
      <c r="H712" s="4"/>
      <c r="I712" s="4"/>
      <c r="J712" s="4"/>
      <c r="K712" s="4"/>
      <c r="L712" s="4"/>
      <c r="M712" s="4"/>
      <c r="N712" s="4"/>
      <c r="O712" s="4"/>
      <c r="P712" s="4"/>
      <c r="Q712" s="4"/>
      <c r="R712" s="4"/>
      <c r="S712" s="4"/>
      <c r="T712" s="4"/>
      <c r="U712" s="4"/>
      <c r="V712" s="4"/>
      <c r="W712" s="4"/>
      <c r="X712" s="4"/>
    </row>
    <row r="713">
      <c r="A713" s="4"/>
      <c r="B713" s="46"/>
      <c r="C713" s="4"/>
      <c r="D713" s="4"/>
      <c r="E713" s="4"/>
      <c r="F713" s="4"/>
      <c r="G713" s="4"/>
      <c r="H713" s="4"/>
      <c r="I713" s="4"/>
      <c r="J713" s="4"/>
      <c r="K713" s="4"/>
      <c r="L713" s="4"/>
      <c r="M713" s="4"/>
      <c r="N713" s="4"/>
      <c r="O713" s="4"/>
      <c r="P713" s="4"/>
      <c r="Q713" s="4"/>
      <c r="R713" s="4"/>
      <c r="S713" s="4"/>
      <c r="T713" s="4"/>
      <c r="U713" s="4"/>
      <c r="V713" s="4"/>
      <c r="W713" s="4"/>
      <c r="X713" s="4"/>
    </row>
    <row r="714">
      <c r="A714" s="4"/>
      <c r="B714" s="46"/>
      <c r="C714" s="4"/>
      <c r="D714" s="4"/>
      <c r="E714" s="4"/>
      <c r="F714" s="4"/>
      <c r="G714" s="4"/>
      <c r="H714" s="4"/>
      <c r="I714" s="4"/>
      <c r="J714" s="4"/>
      <c r="K714" s="4"/>
      <c r="L714" s="4"/>
      <c r="M714" s="4"/>
      <c r="N714" s="4"/>
      <c r="O714" s="4"/>
      <c r="P714" s="4"/>
      <c r="Q714" s="4"/>
      <c r="R714" s="4"/>
      <c r="S714" s="4"/>
      <c r="T714" s="4"/>
      <c r="U714" s="4"/>
      <c r="V714" s="4"/>
      <c r="W714" s="4"/>
      <c r="X714" s="4"/>
    </row>
    <row r="715">
      <c r="A715" s="4"/>
      <c r="B715" s="46"/>
      <c r="C715" s="4"/>
      <c r="D715" s="4"/>
      <c r="E715" s="4"/>
      <c r="F715" s="4"/>
      <c r="G715" s="4"/>
      <c r="H715" s="4"/>
      <c r="I715" s="4"/>
      <c r="J715" s="4"/>
      <c r="K715" s="4"/>
      <c r="L715" s="4"/>
      <c r="M715" s="4"/>
      <c r="N715" s="4"/>
      <c r="O715" s="4"/>
      <c r="P715" s="4"/>
      <c r="Q715" s="4"/>
      <c r="R715" s="4"/>
      <c r="S715" s="4"/>
      <c r="T715" s="4"/>
      <c r="U715" s="4"/>
      <c r="V715" s="4"/>
      <c r="W715" s="4"/>
      <c r="X715" s="4"/>
    </row>
    <row r="716">
      <c r="A716" s="4"/>
      <c r="B716" s="46"/>
      <c r="C716" s="4"/>
      <c r="D716" s="4"/>
      <c r="E716" s="4"/>
      <c r="F716" s="4"/>
      <c r="G716" s="4"/>
      <c r="H716" s="4"/>
      <c r="I716" s="4"/>
      <c r="J716" s="4"/>
      <c r="K716" s="4"/>
      <c r="L716" s="4"/>
      <c r="M716" s="4"/>
      <c r="N716" s="4"/>
      <c r="O716" s="4"/>
      <c r="P716" s="4"/>
      <c r="Q716" s="4"/>
      <c r="R716" s="4"/>
      <c r="S716" s="4"/>
      <c r="T716" s="4"/>
      <c r="U716" s="4"/>
      <c r="V716" s="4"/>
      <c r="W716" s="4"/>
      <c r="X716" s="4"/>
    </row>
    <row r="717">
      <c r="A717" s="4"/>
      <c r="B717" s="46"/>
      <c r="C717" s="4"/>
      <c r="D717" s="4"/>
      <c r="E717" s="4"/>
      <c r="F717" s="4"/>
      <c r="G717" s="4"/>
      <c r="H717" s="4"/>
      <c r="I717" s="4"/>
      <c r="J717" s="4"/>
      <c r="K717" s="4"/>
      <c r="L717" s="4"/>
      <c r="M717" s="4"/>
      <c r="N717" s="4"/>
      <c r="O717" s="4"/>
      <c r="P717" s="4"/>
      <c r="Q717" s="4"/>
      <c r="R717" s="4"/>
      <c r="S717" s="4"/>
      <c r="T717" s="4"/>
      <c r="U717" s="4"/>
      <c r="V717" s="4"/>
      <c r="W717" s="4"/>
      <c r="X717" s="4"/>
    </row>
    <row r="718">
      <c r="A718" s="4"/>
      <c r="B718" s="46"/>
      <c r="C718" s="4"/>
      <c r="D718" s="4"/>
      <c r="E718" s="4"/>
      <c r="F718" s="4"/>
      <c r="G718" s="4"/>
      <c r="H718" s="4"/>
      <c r="I718" s="4"/>
      <c r="J718" s="4"/>
      <c r="K718" s="4"/>
      <c r="L718" s="4"/>
      <c r="M718" s="4"/>
      <c r="N718" s="4"/>
      <c r="O718" s="4"/>
      <c r="P718" s="4"/>
      <c r="Q718" s="4"/>
      <c r="R718" s="4"/>
      <c r="S718" s="4"/>
      <c r="T718" s="4"/>
      <c r="U718" s="4"/>
      <c r="V718" s="4"/>
      <c r="W718" s="4"/>
      <c r="X718" s="4"/>
    </row>
    <row r="719">
      <c r="A719" s="4"/>
      <c r="B719" s="46"/>
      <c r="C719" s="4"/>
      <c r="D719" s="4"/>
      <c r="E719" s="4"/>
      <c r="F719" s="4"/>
      <c r="G719" s="4"/>
      <c r="H719" s="4"/>
      <c r="I719" s="4"/>
      <c r="J719" s="4"/>
      <c r="K719" s="4"/>
      <c r="L719" s="4"/>
      <c r="M719" s="4"/>
      <c r="N719" s="4"/>
      <c r="O719" s="4"/>
      <c r="P719" s="4"/>
      <c r="Q719" s="4"/>
      <c r="R719" s="4"/>
      <c r="S719" s="4"/>
      <c r="T719" s="4"/>
      <c r="U719" s="4"/>
      <c r="V719" s="4"/>
      <c r="W719" s="4"/>
      <c r="X719" s="4"/>
    </row>
    <row r="720">
      <c r="A720" s="4"/>
      <c r="B720" s="46"/>
      <c r="C720" s="4"/>
      <c r="D720" s="4"/>
      <c r="E720" s="4"/>
      <c r="F720" s="4"/>
      <c r="G720" s="4"/>
      <c r="H720" s="4"/>
      <c r="I720" s="4"/>
      <c r="J720" s="4"/>
      <c r="K720" s="4"/>
      <c r="L720" s="4"/>
      <c r="M720" s="4"/>
      <c r="N720" s="4"/>
      <c r="O720" s="4"/>
      <c r="P720" s="4"/>
      <c r="Q720" s="4"/>
      <c r="R720" s="4"/>
      <c r="S720" s="4"/>
      <c r="T720" s="4"/>
      <c r="U720" s="4"/>
      <c r="V720" s="4"/>
      <c r="W720" s="4"/>
      <c r="X720" s="4"/>
    </row>
    <row r="721">
      <c r="A721" s="4"/>
      <c r="B721" s="46"/>
      <c r="C721" s="4"/>
      <c r="D721" s="4"/>
      <c r="E721" s="4"/>
      <c r="F721" s="4"/>
      <c r="G721" s="4"/>
      <c r="H721" s="4"/>
      <c r="I721" s="4"/>
      <c r="J721" s="4"/>
      <c r="K721" s="4"/>
      <c r="L721" s="4"/>
      <c r="M721" s="4"/>
      <c r="N721" s="4"/>
      <c r="O721" s="4"/>
      <c r="P721" s="4"/>
      <c r="Q721" s="4"/>
      <c r="R721" s="4"/>
      <c r="S721" s="4"/>
      <c r="T721" s="4"/>
      <c r="U721" s="4"/>
      <c r="V721" s="4"/>
      <c r="W721" s="4"/>
      <c r="X721" s="4"/>
    </row>
    <row r="722">
      <c r="A722" s="4"/>
      <c r="B722" s="46"/>
      <c r="C722" s="4"/>
      <c r="D722" s="4"/>
      <c r="E722" s="4"/>
      <c r="F722" s="4"/>
      <c r="G722" s="4"/>
      <c r="H722" s="4"/>
      <c r="I722" s="4"/>
      <c r="J722" s="4"/>
      <c r="K722" s="4"/>
      <c r="L722" s="4"/>
      <c r="M722" s="4"/>
      <c r="N722" s="4"/>
      <c r="O722" s="4"/>
      <c r="P722" s="4"/>
      <c r="Q722" s="4"/>
      <c r="R722" s="4"/>
      <c r="S722" s="4"/>
      <c r="T722" s="4"/>
      <c r="U722" s="4"/>
      <c r="V722" s="4"/>
      <c r="W722" s="4"/>
      <c r="X722" s="4"/>
    </row>
    <row r="723">
      <c r="A723" s="4"/>
      <c r="B723" s="46"/>
      <c r="C723" s="4"/>
      <c r="D723" s="4"/>
      <c r="E723" s="4"/>
      <c r="F723" s="4"/>
      <c r="G723" s="4"/>
      <c r="H723" s="4"/>
      <c r="I723" s="4"/>
      <c r="J723" s="4"/>
      <c r="K723" s="4"/>
      <c r="L723" s="4"/>
      <c r="M723" s="4"/>
      <c r="N723" s="4"/>
      <c r="O723" s="4"/>
      <c r="P723" s="4"/>
      <c r="Q723" s="4"/>
      <c r="R723" s="4"/>
      <c r="S723" s="4"/>
      <c r="T723" s="4"/>
      <c r="U723" s="4"/>
      <c r="V723" s="4"/>
      <c r="W723" s="4"/>
      <c r="X723" s="4"/>
    </row>
    <row r="724">
      <c r="A724" s="4"/>
      <c r="B724" s="46"/>
      <c r="C724" s="4"/>
      <c r="D724" s="4"/>
      <c r="E724" s="4"/>
      <c r="F724" s="4"/>
      <c r="G724" s="4"/>
      <c r="H724" s="4"/>
      <c r="I724" s="4"/>
      <c r="J724" s="4"/>
      <c r="K724" s="4"/>
      <c r="L724" s="4"/>
      <c r="M724" s="4"/>
      <c r="N724" s="4"/>
      <c r="O724" s="4"/>
      <c r="P724" s="4"/>
      <c r="Q724" s="4"/>
      <c r="R724" s="4"/>
      <c r="S724" s="4"/>
      <c r="T724" s="4"/>
      <c r="U724" s="4"/>
      <c r="V724" s="4"/>
      <c r="W724" s="4"/>
      <c r="X724" s="4"/>
    </row>
    <row r="725">
      <c r="A725" s="4"/>
      <c r="B725" s="46"/>
      <c r="C725" s="4"/>
      <c r="D725" s="4"/>
      <c r="E725" s="4"/>
      <c r="F725" s="4"/>
      <c r="G725" s="4"/>
      <c r="H725" s="4"/>
      <c r="I725" s="4"/>
      <c r="J725" s="4"/>
      <c r="K725" s="4"/>
      <c r="L725" s="4"/>
      <c r="M725" s="4"/>
      <c r="N725" s="4"/>
      <c r="O725" s="4"/>
      <c r="P725" s="4"/>
      <c r="Q725" s="4"/>
      <c r="R725" s="4"/>
      <c r="S725" s="4"/>
      <c r="T725" s="4"/>
      <c r="U725" s="4"/>
      <c r="V725" s="4"/>
      <c r="W725" s="4"/>
      <c r="X725" s="4"/>
    </row>
    <row r="726">
      <c r="A726" s="4"/>
      <c r="B726" s="46"/>
      <c r="C726" s="4"/>
      <c r="D726" s="4"/>
      <c r="E726" s="4"/>
      <c r="F726" s="4"/>
      <c r="G726" s="4"/>
      <c r="H726" s="4"/>
      <c r="I726" s="4"/>
      <c r="J726" s="4"/>
      <c r="K726" s="4"/>
      <c r="L726" s="4"/>
      <c r="M726" s="4"/>
      <c r="N726" s="4"/>
      <c r="O726" s="4"/>
      <c r="P726" s="4"/>
      <c r="Q726" s="4"/>
      <c r="R726" s="4"/>
      <c r="S726" s="4"/>
      <c r="T726" s="4"/>
      <c r="U726" s="4"/>
      <c r="V726" s="4"/>
      <c r="W726" s="4"/>
      <c r="X726" s="4"/>
    </row>
    <row r="727">
      <c r="A727" s="4"/>
      <c r="B727" s="46"/>
      <c r="C727" s="4"/>
      <c r="D727" s="4"/>
      <c r="E727" s="4"/>
      <c r="F727" s="4"/>
      <c r="G727" s="4"/>
      <c r="H727" s="4"/>
      <c r="I727" s="4"/>
      <c r="J727" s="4"/>
      <c r="K727" s="4"/>
      <c r="L727" s="4"/>
      <c r="M727" s="4"/>
      <c r="N727" s="4"/>
      <c r="O727" s="4"/>
      <c r="P727" s="4"/>
      <c r="Q727" s="4"/>
      <c r="R727" s="4"/>
      <c r="S727" s="4"/>
      <c r="T727" s="4"/>
      <c r="U727" s="4"/>
      <c r="V727" s="4"/>
      <c r="W727" s="4"/>
      <c r="X727" s="4"/>
    </row>
    <row r="728">
      <c r="A728" s="4"/>
      <c r="B728" s="46"/>
      <c r="C728" s="4"/>
      <c r="D728" s="4"/>
      <c r="E728" s="4"/>
      <c r="F728" s="4"/>
      <c r="G728" s="4"/>
      <c r="H728" s="4"/>
      <c r="I728" s="4"/>
      <c r="J728" s="4"/>
      <c r="K728" s="4"/>
      <c r="L728" s="4"/>
      <c r="M728" s="4"/>
      <c r="N728" s="4"/>
      <c r="O728" s="4"/>
      <c r="P728" s="4"/>
      <c r="Q728" s="4"/>
      <c r="R728" s="4"/>
      <c r="S728" s="4"/>
      <c r="T728" s="4"/>
      <c r="U728" s="4"/>
      <c r="V728" s="4"/>
      <c r="W728" s="4"/>
      <c r="X728" s="4"/>
    </row>
    <row r="729">
      <c r="A729" s="4"/>
      <c r="B729" s="46"/>
      <c r="C729" s="4"/>
      <c r="D729" s="4"/>
      <c r="E729" s="4"/>
      <c r="F729" s="4"/>
      <c r="G729" s="4"/>
      <c r="H729" s="4"/>
      <c r="I729" s="4"/>
      <c r="J729" s="4"/>
      <c r="K729" s="4"/>
      <c r="L729" s="4"/>
      <c r="M729" s="4"/>
      <c r="N729" s="4"/>
      <c r="O729" s="4"/>
      <c r="P729" s="4"/>
      <c r="Q729" s="4"/>
      <c r="R729" s="4"/>
      <c r="S729" s="4"/>
      <c r="T729" s="4"/>
      <c r="U729" s="4"/>
      <c r="V729" s="4"/>
      <c r="W729" s="4"/>
      <c r="X729" s="4"/>
    </row>
    <row r="730">
      <c r="A730" s="4"/>
      <c r="B730" s="46"/>
      <c r="C730" s="4"/>
      <c r="D730" s="4"/>
      <c r="E730" s="4"/>
      <c r="F730" s="4"/>
      <c r="G730" s="4"/>
      <c r="H730" s="4"/>
      <c r="I730" s="4"/>
      <c r="J730" s="4"/>
      <c r="K730" s="4"/>
      <c r="L730" s="4"/>
      <c r="M730" s="4"/>
      <c r="N730" s="4"/>
      <c r="O730" s="4"/>
      <c r="P730" s="4"/>
      <c r="Q730" s="4"/>
      <c r="R730" s="4"/>
      <c r="S730" s="4"/>
      <c r="T730" s="4"/>
      <c r="U730" s="4"/>
      <c r="V730" s="4"/>
      <c r="W730" s="4"/>
      <c r="X730" s="4"/>
    </row>
    <row r="731">
      <c r="A731" s="4"/>
      <c r="B731" s="46"/>
      <c r="C731" s="4"/>
      <c r="D731" s="4"/>
      <c r="E731" s="4"/>
      <c r="F731" s="4"/>
      <c r="G731" s="4"/>
      <c r="H731" s="4"/>
      <c r="I731" s="4"/>
      <c r="J731" s="4"/>
      <c r="K731" s="4"/>
      <c r="L731" s="4"/>
      <c r="M731" s="4"/>
      <c r="N731" s="4"/>
      <c r="O731" s="4"/>
      <c r="P731" s="4"/>
      <c r="Q731" s="4"/>
      <c r="R731" s="4"/>
      <c r="S731" s="4"/>
      <c r="T731" s="4"/>
      <c r="U731" s="4"/>
      <c r="V731" s="4"/>
      <c r="W731" s="4"/>
      <c r="X731" s="4"/>
    </row>
    <row r="732">
      <c r="A732" s="4"/>
      <c r="B732" s="46"/>
      <c r="C732" s="4"/>
      <c r="D732" s="4"/>
      <c r="E732" s="4"/>
      <c r="F732" s="4"/>
      <c r="G732" s="4"/>
      <c r="H732" s="4"/>
      <c r="I732" s="4"/>
      <c r="J732" s="4"/>
      <c r="K732" s="4"/>
      <c r="L732" s="4"/>
      <c r="M732" s="4"/>
      <c r="N732" s="4"/>
      <c r="O732" s="4"/>
      <c r="P732" s="4"/>
      <c r="Q732" s="4"/>
      <c r="R732" s="4"/>
      <c r="S732" s="4"/>
      <c r="T732" s="4"/>
      <c r="U732" s="4"/>
      <c r="V732" s="4"/>
      <c r="W732" s="4"/>
      <c r="X732" s="4"/>
    </row>
    <row r="733">
      <c r="A733" s="4"/>
      <c r="B733" s="46"/>
      <c r="C733" s="4"/>
      <c r="D733" s="4"/>
      <c r="E733" s="4"/>
      <c r="F733" s="4"/>
      <c r="G733" s="4"/>
      <c r="H733" s="4"/>
      <c r="I733" s="4"/>
      <c r="J733" s="4"/>
      <c r="K733" s="4"/>
      <c r="L733" s="4"/>
      <c r="M733" s="4"/>
      <c r="N733" s="4"/>
      <c r="O733" s="4"/>
      <c r="P733" s="4"/>
      <c r="Q733" s="4"/>
      <c r="R733" s="4"/>
      <c r="S733" s="4"/>
      <c r="T733" s="4"/>
      <c r="U733" s="4"/>
      <c r="V733" s="4"/>
      <c r="W733" s="4"/>
      <c r="X733" s="4"/>
    </row>
    <row r="734">
      <c r="A734" s="4"/>
      <c r="B734" s="46"/>
      <c r="C734" s="4"/>
      <c r="D734" s="4"/>
      <c r="E734" s="4"/>
      <c r="F734" s="4"/>
      <c r="G734" s="4"/>
      <c r="H734" s="4"/>
      <c r="I734" s="4"/>
      <c r="J734" s="4"/>
      <c r="K734" s="4"/>
      <c r="L734" s="4"/>
      <c r="M734" s="4"/>
      <c r="N734" s="4"/>
      <c r="O734" s="4"/>
      <c r="P734" s="4"/>
      <c r="Q734" s="4"/>
      <c r="R734" s="4"/>
      <c r="S734" s="4"/>
      <c r="T734" s="4"/>
      <c r="U734" s="4"/>
      <c r="V734" s="4"/>
      <c r="W734" s="4"/>
      <c r="X734" s="4"/>
    </row>
    <row r="735">
      <c r="A735" s="4"/>
      <c r="B735" s="46"/>
      <c r="C735" s="4"/>
      <c r="D735" s="4"/>
      <c r="E735" s="4"/>
      <c r="F735" s="4"/>
      <c r="G735" s="4"/>
      <c r="H735" s="4"/>
      <c r="I735" s="4"/>
      <c r="J735" s="4"/>
      <c r="K735" s="4"/>
      <c r="L735" s="4"/>
      <c r="M735" s="4"/>
      <c r="N735" s="4"/>
      <c r="O735" s="4"/>
      <c r="P735" s="4"/>
      <c r="Q735" s="4"/>
      <c r="R735" s="4"/>
      <c r="S735" s="4"/>
      <c r="T735" s="4"/>
      <c r="U735" s="4"/>
      <c r="V735" s="4"/>
      <c r="W735" s="4"/>
      <c r="X735" s="4"/>
    </row>
    <row r="736">
      <c r="A736" s="4"/>
      <c r="B736" s="46"/>
      <c r="C736" s="4"/>
      <c r="D736" s="4"/>
      <c r="E736" s="4"/>
      <c r="F736" s="4"/>
      <c r="G736" s="4"/>
      <c r="H736" s="4"/>
      <c r="I736" s="4"/>
      <c r="J736" s="4"/>
      <c r="K736" s="4"/>
      <c r="L736" s="4"/>
      <c r="M736" s="4"/>
      <c r="N736" s="4"/>
      <c r="O736" s="4"/>
      <c r="P736" s="4"/>
      <c r="Q736" s="4"/>
      <c r="R736" s="4"/>
      <c r="S736" s="4"/>
      <c r="T736" s="4"/>
      <c r="U736" s="4"/>
      <c r="V736" s="4"/>
      <c r="W736" s="4"/>
      <c r="X736" s="4"/>
    </row>
    <row r="737">
      <c r="A737" s="4"/>
      <c r="B737" s="46"/>
      <c r="C737" s="4"/>
      <c r="D737" s="4"/>
      <c r="E737" s="4"/>
      <c r="F737" s="4"/>
      <c r="G737" s="4"/>
      <c r="H737" s="4"/>
      <c r="I737" s="4"/>
      <c r="J737" s="4"/>
      <c r="K737" s="4"/>
      <c r="L737" s="4"/>
      <c r="M737" s="4"/>
      <c r="N737" s="4"/>
      <c r="O737" s="4"/>
      <c r="P737" s="4"/>
      <c r="Q737" s="4"/>
      <c r="R737" s="4"/>
      <c r="S737" s="4"/>
      <c r="T737" s="4"/>
      <c r="U737" s="4"/>
      <c r="V737" s="4"/>
      <c r="W737" s="4"/>
      <c r="X737" s="4"/>
    </row>
    <row r="738">
      <c r="A738" s="4"/>
      <c r="B738" s="46"/>
      <c r="C738" s="4"/>
      <c r="D738" s="4"/>
      <c r="E738" s="4"/>
      <c r="F738" s="4"/>
      <c r="G738" s="4"/>
      <c r="H738" s="4"/>
      <c r="I738" s="4"/>
      <c r="J738" s="4"/>
      <c r="K738" s="4"/>
      <c r="L738" s="4"/>
      <c r="M738" s="4"/>
      <c r="N738" s="4"/>
      <c r="O738" s="4"/>
      <c r="P738" s="4"/>
      <c r="Q738" s="4"/>
      <c r="R738" s="4"/>
      <c r="S738" s="4"/>
      <c r="T738" s="4"/>
      <c r="U738" s="4"/>
      <c r="V738" s="4"/>
      <c r="W738" s="4"/>
      <c r="X738" s="4"/>
    </row>
    <row r="739">
      <c r="A739" s="4"/>
      <c r="B739" s="46"/>
      <c r="C739" s="4"/>
      <c r="D739" s="4"/>
      <c r="E739" s="4"/>
      <c r="F739" s="4"/>
      <c r="G739" s="4"/>
      <c r="H739" s="4"/>
      <c r="I739" s="4"/>
      <c r="J739" s="4"/>
      <c r="K739" s="4"/>
      <c r="L739" s="4"/>
      <c r="M739" s="4"/>
      <c r="N739" s="4"/>
      <c r="O739" s="4"/>
      <c r="P739" s="4"/>
      <c r="Q739" s="4"/>
      <c r="R739" s="4"/>
      <c r="S739" s="4"/>
      <c r="T739" s="4"/>
      <c r="U739" s="4"/>
      <c r="V739" s="4"/>
      <c r="W739" s="4"/>
      <c r="X739" s="4"/>
    </row>
    <row r="740">
      <c r="A740" s="4"/>
      <c r="B740" s="46"/>
      <c r="C740" s="4"/>
      <c r="D740" s="4"/>
      <c r="E740" s="4"/>
      <c r="F740" s="4"/>
      <c r="G740" s="4"/>
      <c r="H740" s="4"/>
      <c r="I740" s="4"/>
      <c r="J740" s="4"/>
      <c r="K740" s="4"/>
      <c r="L740" s="4"/>
      <c r="M740" s="4"/>
      <c r="N740" s="4"/>
      <c r="O740" s="4"/>
      <c r="P740" s="4"/>
      <c r="Q740" s="4"/>
      <c r="R740" s="4"/>
      <c r="S740" s="4"/>
      <c r="T740" s="4"/>
      <c r="U740" s="4"/>
      <c r="V740" s="4"/>
      <c r="W740" s="4"/>
      <c r="X740" s="4"/>
    </row>
    <row r="741">
      <c r="A741" s="4"/>
      <c r="B741" s="46"/>
      <c r="C741" s="4"/>
      <c r="D741" s="4"/>
      <c r="E741" s="4"/>
      <c r="F741" s="4"/>
      <c r="G741" s="4"/>
      <c r="H741" s="4"/>
      <c r="I741" s="4"/>
      <c r="J741" s="4"/>
      <c r="K741" s="4"/>
      <c r="L741" s="4"/>
      <c r="M741" s="4"/>
      <c r="N741" s="4"/>
      <c r="O741" s="4"/>
      <c r="P741" s="4"/>
      <c r="Q741" s="4"/>
      <c r="R741" s="4"/>
      <c r="S741" s="4"/>
      <c r="T741" s="4"/>
      <c r="U741" s="4"/>
      <c r="V741" s="4"/>
      <c r="W741" s="4"/>
      <c r="X741" s="4"/>
    </row>
    <row r="742">
      <c r="A742" s="4"/>
      <c r="B742" s="46"/>
      <c r="C742" s="4"/>
      <c r="D742" s="4"/>
      <c r="E742" s="4"/>
      <c r="F742" s="4"/>
      <c r="G742" s="4"/>
      <c r="H742" s="4"/>
      <c r="I742" s="4"/>
      <c r="J742" s="4"/>
      <c r="K742" s="4"/>
      <c r="L742" s="4"/>
      <c r="M742" s="4"/>
      <c r="N742" s="4"/>
      <c r="O742" s="4"/>
      <c r="P742" s="4"/>
      <c r="Q742" s="4"/>
      <c r="R742" s="4"/>
      <c r="S742" s="4"/>
      <c r="T742" s="4"/>
      <c r="U742" s="4"/>
      <c r="V742" s="4"/>
      <c r="W742" s="4"/>
      <c r="X742" s="4"/>
    </row>
    <row r="743">
      <c r="A743" s="4"/>
      <c r="B743" s="46"/>
      <c r="C743" s="4"/>
      <c r="D743" s="4"/>
      <c r="E743" s="4"/>
      <c r="F743" s="4"/>
      <c r="G743" s="4"/>
      <c r="H743" s="4"/>
      <c r="I743" s="4"/>
      <c r="J743" s="4"/>
      <c r="K743" s="4"/>
      <c r="L743" s="4"/>
      <c r="M743" s="4"/>
      <c r="N743" s="4"/>
      <c r="O743" s="4"/>
      <c r="P743" s="4"/>
      <c r="Q743" s="4"/>
      <c r="R743" s="4"/>
      <c r="S743" s="4"/>
      <c r="T743" s="4"/>
      <c r="U743" s="4"/>
      <c r="V743" s="4"/>
      <c r="W743" s="4"/>
      <c r="X743" s="4"/>
    </row>
    <row r="744">
      <c r="A744" s="4"/>
      <c r="B744" s="46"/>
      <c r="C744" s="4"/>
      <c r="D744" s="4"/>
      <c r="E744" s="4"/>
      <c r="F744" s="4"/>
      <c r="G744" s="4"/>
      <c r="H744" s="4"/>
      <c r="I744" s="4"/>
      <c r="J744" s="4"/>
      <c r="K744" s="4"/>
      <c r="L744" s="4"/>
      <c r="M744" s="4"/>
      <c r="N744" s="4"/>
      <c r="O744" s="4"/>
      <c r="P744" s="4"/>
      <c r="Q744" s="4"/>
      <c r="R744" s="4"/>
      <c r="S744" s="4"/>
      <c r="T744" s="4"/>
      <c r="U744" s="4"/>
      <c r="V744" s="4"/>
      <c r="W744" s="4"/>
      <c r="X744" s="4"/>
    </row>
    <row r="745">
      <c r="A745" s="4"/>
      <c r="B745" s="46"/>
      <c r="C745" s="4"/>
      <c r="D745" s="4"/>
      <c r="E745" s="4"/>
      <c r="F745" s="4"/>
      <c r="G745" s="4"/>
      <c r="H745" s="4"/>
      <c r="I745" s="4"/>
      <c r="J745" s="4"/>
      <c r="K745" s="4"/>
      <c r="L745" s="4"/>
      <c r="M745" s="4"/>
      <c r="N745" s="4"/>
      <c r="O745" s="4"/>
      <c r="P745" s="4"/>
      <c r="Q745" s="4"/>
      <c r="R745" s="4"/>
      <c r="S745" s="4"/>
      <c r="T745" s="4"/>
      <c r="U745" s="4"/>
      <c r="V745" s="4"/>
      <c r="W745" s="4"/>
      <c r="X745" s="4"/>
    </row>
    <row r="746">
      <c r="A746" s="4"/>
      <c r="B746" s="46"/>
      <c r="C746" s="4"/>
      <c r="D746" s="4"/>
      <c r="E746" s="4"/>
      <c r="F746" s="4"/>
      <c r="G746" s="4"/>
      <c r="H746" s="4"/>
      <c r="I746" s="4"/>
      <c r="J746" s="4"/>
      <c r="K746" s="4"/>
      <c r="L746" s="4"/>
      <c r="M746" s="4"/>
      <c r="N746" s="4"/>
      <c r="O746" s="4"/>
      <c r="P746" s="4"/>
      <c r="Q746" s="4"/>
      <c r="R746" s="4"/>
      <c r="S746" s="4"/>
      <c r="T746" s="4"/>
      <c r="U746" s="4"/>
      <c r="V746" s="4"/>
      <c r="W746" s="4"/>
      <c r="X746" s="4"/>
    </row>
    <row r="747">
      <c r="A747" s="4"/>
      <c r="B747" s="46"/>
      <c r="C747" s="4"/>
      <c r="D747" s="4"/>
      <c r="E747" s="4"/>
      <c r="F747" s="4"/>
      <c r="G747" s="4"/>
      <c r="H747" s="4"/>
      <c r="I747" s="4"/>
      <c r="J747" s="4"/>
      <c r="K747" s="4"/>
      <c r="L747" s="4"/>
      <c r="M747" s="4"/>
      <c r="N747" s="4"/>
      <c r="O747" s="4"/>
      <c r="P747" s="4"/>
      <c r="Q747" s="4"/>
      <c r="R747" s="4"/>
      <c r="S747" s="4"/>
      <c r="T747" s="4"/>
      <c r="U747" s="4"/>
      <c r="V747" s="4"/>
      <c r="W747" s="4"/>
      <c r="X747" s="4"/>
    </row>
    <row r="748">
      <c r="A748" s="4"/>
      <c r="B748" s="46"/>
      <c r="C748" s="4"/>
      <c r="D748" s="4"/>
      <c r="E748" s="4"/>
      <c r="F748" s="4"/>
      <c r="G748" s="4"/>
      <c r="H748" s="4"/>
      <c r="I748" s="4"/>
      <c r="J748" s="4"/>
      <c r="K748" s="4"/>
      <c r="L748" s="4"/>
      <c r="M748" s="4"/>
      <c r="N748" s="4"/>
      <c r="O748" s="4"/>
      <c r="P748" s="4"/>
      <c r="Q748" s="4"/>
      <c r="R748" s="4"/>
      <c r="S748" s="4"/>
      <c r="T748" s="4"/>
      <c r="U748" s="4"/>
      <c r="V748" s="4"/>
      <c r="W748" s="4"/>
      <c r="X748" s="4"/>
    </row>
    <row r="749">
      <c r="A749" s="4"/>
      <c r="B749" s="46"/>
      <c r="C749" s="4"/>
      <c r="D749" s="4"/>
      <c r="E749" s="4"/>
      <c r="F749" s="4"/>
      <c r="G749" s="4"/>
      <c r="H749" s="4"/>
      <c r="I749" s="4"/>
      <c r="J749" s="4"/>
      <c r="K749" s="4"/>
      <c r="L749" s="4"/>
      <c r="M749" s="4"/>
      <c r="N749" s="4"/>
      <c r="O749" s="4"/>
      <c r="P749" s="4"/>
      <c r="Q749" s="4"/>
      <c r="R749" s="4"/>
      <c r="S749" s="4"/>
      <c r="T749" s="4"/>
      <c r="U749" s="4"/>
      <c r="V749" s="4"/>
      <c r="W749" s="4"/>
      <c r="X749" s="4"/>
    </row>
    <row r="750">
      <c r="A750" s="4"/>
      <c r="B750" s="46"/>
      <c r="C750" s="4"/>
      <c r="D750" s="4"/>
      <c r="E750" s="4"/>
      <c r="F750" s="4"/>
      <c r="G750" s="4"/>
      <c r="H750" s="4"/>
      <c r="I750" s="4"/>
      <c r="J750" s="4"/>
      <c r="K750" s="4"/>
      <c r="L750" s="4"/>
      <c r="M750" s="4"/>
      <c r="N750" s="4"/>
      <c r="O750" s="4"/>
      <c r="P750" s="4"/>
      <c r="Q750" s="4"/>
      <c r="R750" s="4"/>
      <c r="S750" s="4"/>
      <c r="T750" s="4"/>
      <c r="U750" s="4"/>
      <c r="V750" s="4"/>
      <c r="W750" s="4"/>
      <c r="X750" s="4"/>
    </row>
    <row r="751">
      <c r="A751" s="4"/>
      <c r="B751" s="46"/>
      <c r="C751" s="4"/>
      <c r="D751" s="4"/>
      <c r="E751" s="4"/>
      <c r="F751" s="4"/>
      <c r="G751" s="4"/>
      <c r="H751" s="4"/>
      <c r="I751" s="4"/>
      <c r="J751" s="4"/>
      <c r="K751" s="4"/>
      <c r="L751" s="4"/>
      <c r="M751" s="4"/>
      <c r="N751" s="4"/>
      <c r="O751" s="4"/>
      <c r="P751" s="4"/>
      <c r="Q751" s="4"/>
      <c r="R751" s="4"/>
      <c r="S751" s="4"/>
      <c r="T751" s="4"/>
      <c r="U751" s="4"/>
      <c r="V751" s="4"/>
      <c r="W751" s="4"/>
      <c r="X751" s="4"/>
    </row>
    <row r="752">
      <c r="A752" s="4"/>
      <c r="B752" s="46"/>
      <c r="C752" s="4"/>
      <c r="D752" s="4"/>
      <c r="E752" s="4"/>
      <c r="F752" s="4"/>
      <c r="G752" s="4"/>
      <c r="H752" s="4"/>
      <c r="I752" s="4"/>
      <c r="J752" s="4"/>
      <c r="K752" s="4"/>
      <c r="L752" s="4"/>
      <c r="M752" s="4"/>
      <c r="N752" s="4"/>
      <c r="O752" s="4"/>
      <c r="P752" s="4"/>
      <c r="Q752" s="4"/>
      <c r="R752" s="4"/>
      <c r="S752" s="4"/>
      <c r="T752" s="4"/>
      <c r="U752" s="4"/>
      <c r="V752" s="4"/>
      <c r="W752" s="4"/>
      <c r="X752" s="4"/>
    </row>
    <row r="753">
      <c r="A753" s="4"/>
      <c r="B753" s="46"/>
      <c r="C753" s="4"/>
      <c r="D753" s="4"/>
      <c r="E753" s="4"/>
      <c r="F753" s="4"/>
      <c r="G753" s="4"/>
      <c r="H753" s="4"/>
      <c r="I753" s="4"/>
      <c r="J753" s="4"/>
      <c r="K753" s="4"/>
      <c r="L753" s="4"/>
      <c r="M753" s="4"/>
      <c r="N753" s="4"/>
      <c r="O753" s="4"/>
      <c r="P753" s="4"/>
      <c r="Q753" s="4"/>
      <c r="R753" s="4"/>
      <c r="S753" s="4"/>
      <c r="T753" s="4"/>
      <c r="U753" s="4"/>
      <c r="V753" s="4"/>
      <c r="W753" s="4"/>
      <c r="X753" s="4"/>
    </row>
    <row r="754">
      <c r="A754" s="4"/>
      <c r="B754" s="46"/>
      <c r="C754" s="4"/>
      <c r="D754" s="4"/>
      <c r="E754" s="4"/>
      <c r="F754" s="4"/>
      <c r="G754" s="4"/>
      <c r="H754" s="4"/>
      <c r="I754" s="4"/>
      <c r="J754" s="4"/>
      <c r="K754" s="4"/>
      <c r="L754" s="4"/>
      <c r="M754" s="4"/>
      <c r="N754" s="4"/>
      <c r="O754" s="4"/>
      <c r="P754" s="4"/>
      <c r="Q754" s="4"/>
      <c r="R754" s="4"/>
      <c r="S754" s="4"/>
      <c r="T754" s="4"/>
      <c r="U754" s="4"/>
      <c r="V754" s="4"/>
      <c r="W754" s="4"/>
      <c r="X754" s="4"/>
    </row>
    <row r="755">
      <c r="A755" s="4"/>
      <c r="B755" s="46"/>
      <c r="C755" s="4"/>
      <c r="D755" s="4"/>
      <c r="E755" s="4"/>
      <c r="F755" s="4"/>
      <c r="G755" s="4"/>
      <c r="H755" s="4"/>
      <c r="I755" s="4"/>
      <c r="J755" s="4"/>
      <c r="K755" s="4"/>
      <c r="L755" s="4"/>
      <c r="M755" s="4"/>
      <c r="N755" s="4"/>
      <c r="O755" s="4"/>
      <c r="P755" s="4"/>
      <c r="Q755" s="4"/>
      <c r="R755" s="4"/>
      <c r="S755" s="4"/>
      <c r="T755" s="4"/>
      <c r="U755" s="4"/>
      <c r="V755" s="4"/>
      <c r="W755" s="4"/>
      <c r="X755" s="4"/>
    </row>
    <row r="756">
      <c r="A756" s="4"/>
      <c r="B756" s="46"/>
      <c r="C756" s="4"/>
      <c r="D756" s="4"/>
      <c r="E756" s="4"/>
      <c r="F756" s="4"/>
      <c r="G756" s="4"/>
      <c r="H756" s="4"/>
      <c r="I756" s="4"/>
      <c r="J756" s="4"/>
      <c r="K756" s="4"/>
      <c r="L756" s="4"/>
      <c r="M756" s="4"/>
      <c r="N756" s="4"/>
      <c r="O756" s="4"/>
      <c r="P756" s="4"/>
      <c r="Q756" s="4"/>
      <c r="R756" s="4"/>
      <c r="S756" s="4"/>
      <c r="T756" s="4"/>
      <c r="U756" s="4"/>
      <c r="V756" s="4"/>
      <c r="W756" s="4"/>
      <c r="X756" s="4"/>
    </row>
    <row r="757">
      <c r="A757" s="4"/>
      <c r="B757" s="46"/>
      <c r="C757" s="4"/>
      <c r="D757" s="4"/>
      <c r="E757" s="4"/>
      <c r="F757" s="4"/>
      <c r="G757" s="4"/>
      <c r="H757" s="4"/>
      <c r="I757" s="4"/>
      <c r="J757" s="4"/>
      <c r="K757" s="4"/>
      <c r="L757" s="4"/>
      <c r="M757" s="4"/>
      <c r="N757" s="4"/>
      <c r="O757" s="4"/>
      <c r="P757" s="4"/>
      <c r="Q757" s="4"/>
      <c r="R757" s="4"/>
      <c r="S757" s="4"/>
      <c r="T757" s="4"/>
      <c r="U757" s="4"/>
      <c r="V757" s="4"/>
      <c r="W757" s="4"/>
      <c r="X757" s="4"/>
    </row>
    <row r="758">
      <c r="A758" s="4"/>
      <c r="B758" s="46"/>
      <c r="C758" s="4"/>
      <c r="D758" s="4"/>
      <c r="E758" s="4"/>
      <c r="F758" s="4"/>
      <c r="G758" s="4"/>
      <c r="H758" s="4"/>
      <c r="I758" s="4"/>
      <c r="J758" s="4"/>
      <c r="K758" s="4"/>
      <c r="L758" s="4"/>
      <c r="M758" s="4"/>
      <c r="N758" s="4"/>
      <c r="O758" s="4"/>
      <c r="P758" s="4"/>
      <c r="Q758" s="4"/>
      <c r="R758" s="4"/>
      <c r="S758" s="4"/>
      <c r="T758" s="4"/>
      <c r="U758" s="4"/>
      <c r="V758" s="4"/>
      <c r="W758" s="4"/>
      <c r="X758" s="4"/>
    </row>
    <row r="759">
      <c r="A759" s="4"/>
      <c r="B759" s="46"/>
      <c r="C759" s="4"/>
      <c r="D759" s="4"/>
      <c r="E759" s="4"/>
      <c r="F759" s="4"/>
      <c r="G759" s="4"/>
      <c r="H759" s="4"/>
      <c r="I759" s="4"/>
      <c r="J759" s="4"/>
      <c r="K759" s="4"/>
      <c r="L759" s="4"/>
      <c r="M759" s="4"/>
      <c r="N759" s="4"/>
      <c r="O759" s="4"/>
      <c r="P759" s="4"/>
      <c r="Q759" s="4"/>
      <c r="R759" s="4"/>
      <c r="S759" s="4"/>
      <c r="T759" s="4"/>
      <c r="U759" s="4"/>
      <c r="V759" s="4"/>
      <c r="W759" s="4"/>
      <c r="X759" s="4"/>
    </row>
    <row r="760">
      <c r="A760" s="4"/>
      <c r="B760" s="46"/>
      <c r="C760" s="4"/>
      <c r="D760" s="4"/>
      <c r="E760" s="4"/>
      <c r="F760" s="4"/>
      <c r="G760" s="4"/>
      <c r="H760" s="4"/>
      <c r="I760" s="4"/>
      <c r="J760" s="4"/>
      <c r="K760" s="4"/>
      <c r="L760" s="4"/>
      <c r="M760" s="4"/>
      <c r="N760" s="4"/>
      <c r="O760" s="4"/>
      <c r="P760" s="4"/>
      <c r="Q760" s="4"/>
      <c r="R760" s="4"/>
      <c r="S760" s="4"/>
      <c r="T760" s="4"/>
      <c r="U760" s="4"/>
      <c r="V760" s="4"/>
      <c r="W760" s="4"/>
      <c r="X760" s="4"/>
    </row>
    <row r="761">
      <c r="A761" s="4"/>
      <c r="B761" s="46"/>
      <c r="C761" s="4"/>
      <c r="D761" s="4"/>
      <c r="E761" s="4"/>
      <c r="F761" s="4"/>
      <c r="G761" s="4"/>
      <c r="H761" s="4"/>
      <c r="I761" s="4"/>
      <c r="J761" s="4"/>
      <c r="K761" s="4"/>
      <c r="L761" s="4"/>
      <c r="M761" s="4"/>
      <c r="N761" s="4"/>
      <c r="O761" s="4"/>
      <c r="P761" s="4"/>
      <c r="Q761" s="4"/>
      <c r="R761" s="4"/>
      <c r="S761" s="4"/>
      <c r="T761" s="4"/>
      <c r="U761" s="4"/>
      <c r="V761" s="4"/>
      <c r="W761" s="4"/>
      <c r="X761" s="4"/>
    </row>
    <row r="762">
      <c r="A762" s="4"/>
      <c r="B762" s="46"/>
      <c r="C762" s="4"/>
      <c r="D762" s="4"/>
      <c r="E762" s="4"/>
      <c r="F762" s="4"/>
      <c r="G762" s="4"/>
      <c r="H762" s="4"/>
      <c r="I762" s="4"/>
      <c r="J762" s="4"/>
      <c r="K762" s="4"/>
      <c r="L762" s="4"/>
      <c r="M762" s="4"/>
      <c r="N762" s="4"/>
      <c r="O762" s="4"/>
      <c r="P762" s="4"/>
      <c r="Q762" s="4"/>
      <c r="R762" s="4"/>
      <c r="S762" s="4"/>
      <c r="T762" s="4"/>
      <c r="U762" s="4"/>
      <c r="V762" s="4"/>
      <c r="W762" s="4"/>
      <c r="X762" s="4"/>
    </row>
    <row r="763">
      <c r="A763" s="4"/>
      <c r="B763" s="46"/>
      <c r="C763" s="4"/>
      <c r="D763" s="4"/>
      <c r="E763" s="4"/>
      <c r="F763" s="4"/>
      <c r="G763" s="4"/>
      <c r="H763" s="4"/>
      <c r="I763" s="4"/>
      <c r="J763" s="4"/>
      <c r="K763" s="4"/>
      <c r="L763" s="4"/>
      <c r="M763" s="4"/>
      <c r="N763" s="4"/>
      <c r="O763" s="4"/>
      <c r="P763" s="4"/>
      <c r="Q763" s="4"/>
      <c r="R763" s="4"/>
      <c r="S763" s="4"/>
      <c r="T763" s="4"/>
      <c r="U763" s="4"/>
      <c r="V763" s="4"/>
      <c r="W763" s="4"/>
      <c r="X763" s="4"/>
    </row>
    <row r="764">
      <c r="A764" s="4"/>
      <c r="B764" s="46"/>
      <c r="C764" s="4"/>
      <c r="D764" s="4"/>
      <c r="E764" s="4"/>
      <c r="F764" s="4"/>
      <c r="G764" s="4"/>
      <c r="H764" s="4"/>
      <c r="I764" s="4"/>
      <c r="J764" s="4"/>
      <c r="K764" s="4"/>
      <c r="L764" s="4"/>
      <c r="M764" s="4"/>
      <c r="N764" s="4"/>
      <c r="O764" s="4"/>
      <c r="P764" s="4"/>
      <c r="Q764" s="4"/>
      <c r="R764" s="4"/>
      <c r="S764" s="4"/>
      <c r="T764" s="4"/>
      <c r="U764" s="4"/>
      <c r="V764" s="4"/>
      <c r="W764" s="4"/>
      <c r="X764" s="4"/>
    </row>
    <row r="765">
      <c r="A765" s="4"/>
      <c r="B765" s="46"/>
      <c r="C765" s="4"/>
      <c r="D765" s="4"/>
      <c r="E765" s="4"/>
      <c r="F765" s="4"/>
      <c r="G765" s="4"/>
      <c r="H765" s="4"/>
      <c r="I765" s="4"/>
      <c r="J765" s="4"/>
      <c r="K765" s="4"/>
      <c r="L765" s="4"/>
      <c r="M765" s="4"/>
      <c r="N765" s="4"/>
      <c r="O765" s="4"/>
      <c r="P765" s="4"/>
      <c r="Q765" s="4"/>
      <c r="R765" s="4"/>
      <c r="S765" s="4"/>
      <c r="T765" s="4"/>
      <c r="U765" s="4"/>
      <c r="V765" s="4"/>
      <c r="W765" s="4"/>
      <c r="X765" s="4"/>
    </row>
    <row r="766">
      <c r="A766" s="4"/>
      <c r="B766" s="46"/>
      <c r="C766" s="4"/>
      <c r="D766" s="4"/>
      <c r="E766" s="4"/>
      <c r="F766" s="4"/>
      <c r="G766" s="4"/>
      <c r="H766" s="4"/>
      <c r="I766" s="4"/>
      <c r="J766" s="4"/>
      <c r="K766" s="4"/>
      <c r="L766" s="4"/>
      <c r="M766" s="4"/>
      <c r="N766" s="4"/>
      <c r="O766" s="4"/>
      <c r="P766" s="4"/>
      <c r="Q766" s="4"/>
      <c r="R766" s="4"/>
      <c r="S766" s="4"/>
      <c r="T766" s="4"/>
      <c r="U766" s="4"/>
      <c r="V766" s="4"/>
      <c r="W766" s="4"/>
      <c r="X766" s="4"/>
    </row>
    <row r="767">
      <c r="A767" s="4"/>
      <c r="B767" s="46"/>
      <c r="C767" s="4"/>
      <c r="D767" s="4"/>
      <c r="E767" s="4"/>
      <c r="F767" s="4"/>
      <c r="G767" s="4"/>
      <c r="H767" s="4"/>
      <c r="I767" s="4"/>
      <c r="J767" s="4"/>
      <c r="K767" s="4"/>
      <c r="L767" s="4"/>
      <c r="M767" s="4"/>
      <c r="N767" s="4"/>
      <c r="O767" s="4"/>
      <c r="P767" s="4"/>
      <c r="Q767" s="4"/>
      <c r="R767" s="4"/>
      <c r="S767" s="4"/>
      <c r="T767" s="4"/>
      <c r="U767" s="4"/>
      <c r="V767" s="4"/>
      <c r="W767" s="4"/>
      <c r="X767" s="4"/>
    </row>
    <row r="768">
      <c r="A768" s="4"/>
      <c r="B768" s="46"/>
      <c r="C768" s="4"/>
      <c r="D768" s="4"/>
      <c r="E768" s="4"/>
      <c r="F768" s="4"/>
      <c r="G768" s="4"/>
      <c r="H768" s="4"/>
      <c r="I768" s="4"/>
      <c r="J768" s="4"/>
      <c r="K768" s="4"/>
      <c r="L768" s="4"/>
      <c r="M768" s="4"/>
      <c r="N768" s="4"/>
      <c r="O768" s="4"/>
      <c r="P768" s="4"/>
      <c r="Q768" s="4"/>
      <c r="R768" s="4"/>
      <c r="S768" s="4"/>
      <c r="T768" s="4"/>
      <c r="U768" s="4"/>
      <c r="V768" s="4"/>
      <c r="W768" s="4"/>
      <c r="X768" s="4"/>
    </row>
    <row r="769">
      <c r="A769" s="4"/>
      <c r="B769" s="46"/>
      <c r="C769" s="4"/>
      <c r="D769" s="4"/>
      <c r="E769" s="4"/>
      <c r="F769" s="4"/>
      <c r="G769" s="4"/>
      <c r="H769" s="4"/>
      <c r="I769" s="4"/>
      <c r="J769" s="4"/>
      <c r="K769" s="4"/>
      <c r="L769" s="4"/>
      <c r="M769" s="4"/>
      <c r="N769" s="4"/>
      <c r="O769" s="4"/>
      <c r="P769" s="4"/>
      <c r="Q769" s="4"/>
      <c r="R769" s="4"/>
      <c r="S769" s="4"/>
      <c r="T769" s="4"/>
      <c r="U769" s="4"/>
      <c r="V769" s="4"/>
      <c r="W769" s="4"/>
      <c r="X769" s="4"/>
    </row>
    <row r="770">
      <c r="A770" s="4"/>
      <c r="B770" s="46"/>
      <c r="C770" s="4"/>
      <c r="D770" s="4"/>
      <c r="E770" s="4"/>
      <c r="F770" s="4"/>
      <c r="G770" s="4"/>
      <c r="H770" s="4"/>
      <c r="I770" s="4"/>
      <c r="J770" s="4"/>
      <c r="K770" s="4"/>
      <c r="L770" s="4"/>
      <c r="M770" s="4"/>
      <c r="N770" s="4"/>
      <c r="O770" s="4"/>
      <c r="P770" s="4"/>
      <c r="Q770" s="4"/>
      <c r="R770" s="4"/>
      <c r="S770" s="4"/>
      <c r="T770" s="4"/>
      <c r="U770" s="4"/>
      <c r="V770" s="4"/>
      <c r="W770" s="4"/>
      <c r="X770" s="4"/>
    </row>
    <row r="771">
      <c r="A771" s="4"/>
      <c r="B771" s="46"/>
      <c r="C771" s="4"/>
      <c r="D771" s="4"/>
      <c r="E771" s="4"/>
      <c r="F771" s="4"/>
      <c r="G771" s="4"/>
      <c r="H771" s="4"/>
      <c r="I771" s="4"/>
      <c r="J771" s="4"/>
      <c r="K771" s="4"/>
      <c r="L771" s="4"/>
      <c r="M771" s="4"/>
      <c r="N771" s="4"/>
      <c r="O771" s="4"/>
      <c r="P771" s="4"/>
      <c r="Q771" s="4"/>
      <c r="R771" s="4"/>
      <c r="S771" s="4"/>
      <c r="T771" s="4"/>
      <c r="U771" s="4"/>
      <c r="V771" s="4"/>
      <c r="W771" s="4"/>
      <c r="X771" s="4"/>
    </row>
    <row r="772">
      <c r="A772" s="4"/>
      <c r="B772" s="46"/>
      <c r="C772" s="4"/>
      <c r="D772" s="4"/>
      <c r="E772" s="4"/>
      <c r="F772" s="4"/>
      <c r="G772" s="4"/>
      <c r="H772" s="4"/>
      <c r="I772" s="4"/>
      <c r="J772" s="4"/>
      <c r="K772" s="4"/>
      <c r="L772" s="4"/>
      <c r="M772" s="4"/>
      <c r="N772" s="4"/>
      <c r="O772" s="4"/>
      <c r="P772" s="4"/>
      <c r="Q772" s="4"/>
      <c r="R772" s="4"/>
      <c r="S772" s="4"/>
      <c r="T772" s="4"/>
      <c r="U772" s="4"/>
      <c r="V772" s="4"/>
      <c r="W772" s="4"/>
      <c r="X772" s="4"/>
    </row>
    <row r="773">
      <c r="A773" s="4"/>
      <c r="B773" s="46"/>
      <c r="C773" s="4"/>
      <c r="D773" s="4"/>
      <c r="E773" s="4"/>
      <c r="F773" s="4"/>
      <c r="G773" s="4"/>
      <c r="H773" s="4"/>
      <c r="I773" s="4"/>
      <c r="J773" s="4"/>
      <c r="K773" s="4"/>
      <c r="L773" s="4"/>
      <c r="M773" s="4"/>
      <c r="N773" s="4"/>
      <c r="O773" s="4"/>
      <c r="P773" s="4"/>
      <c r="Q773" s="4"/>
      <c r="R773" s="4"/>
      <c r="S773" s="4"/>
      <c r="T773" s="4"/>
      <c r="U773" s="4"/>
      <c r="V773" s="4"/>
      <c r="W773" s="4"/>
      <c r="X773" s="4"/>
    </row>
    <row r="774">
      <c r="A774" s="4"/>
      <c r="B774" s="46"/>
      <c r="C774" s="4"/>
      <c r="D774" s="4"/>
      <c r="E774" s="4"/>
      <c r="F774" s="4"/>
      <c r="G774" s="4"/>
      <c r="H774" s="4"/>
      <c r="I774" s="4"/>
      <c r="J774" s="4"/>
      <c r="K774" s="4"/>
      <c r="L774" s="4"/>
      <c r="M774" s="4"/>
      <c r="N774" s="4"/>
      <c r="O774" s="4"/>
      <c r="P774" s="4"/>
      <c r="Q774" s="4"/>
      <c r="R774" s="4"/>
      <c r="S774" s="4"/>
      <c r="T774" s="4"/>
      <c r="U774" s="4"/>
      <c r="V774" s="4"/>
      <c r="W774" s="4"/>
      <c r="X774" s="4"/>
    </row>
    <row r="775">
      <c r="A775" s="4"/>
      <c r="B775" s="46"/>
      <c r="C775" s="4"/>
      <c r="D775" s="4"/>
      <c r="E775" s="4"/>
      <c r="F775" s="4"/>
      <c r="G775" s="4"/>
      <c r="H775" s="4"/>
      <c r="I775" s="4"/>
      <c r="J775" s="4"/>
      <c r="K775" s="4"/>
      <c r="L775" s="4"/>
      <c r="M775" s="4"/>
      <c r="N775" s="4"/>
      <c r="O775" s="4"/>
      <c r="P775" s="4"/>
      <c r="Q775" s="4"/>
      <c r="R775" s="4"/>
      <c r="S775" s="4"/>
      <c r="T775" s="4"/>
      <c r="U775" s="4"/>
      <c r="V775" s="4"/>
      <c r="W775" s="4"/>
      <c r="X775" s="4"/>
    </row>
    <row r="776">
      <c r="A776" s="4"/>
      <c r="B776" s="46"/>
      <c r="C776" s="4"/>
      <c r="D776" s="4"/>
      <c r="E776" s="4"/>
      <c r="F776" s="4"/>
      <c r="G776" s="4"/>
      <c r="H776" s="4"/>
      <c r="I776" s="4"/>
      <c r="J776" s="4"/>
      <c r="K776" s="4"/>
      <c r="L776" s="4"/>
      <c r="M776" s="4"/>
      <c r="N776" s="4"/>
      <c r="O776" s="4"/>
      <c r="P776" s="4"/>
      <c r="Q776" s="4"/>
      <c r="R776" s="4"/>
      <c r="S776" s="4"/>
      <c r="T776" s="4"/>
      <c r="U776" s="4"/>
      <c r="V776" s="4"/>
      <c r="W776" s="4"/>
      <c r="X776" s="4"/>
    </row>
    <row r="777">
      <c r="A777" s="4"/>
      <c r="B777" s="46"/>
      <c r="C777" s="4"/>
      <c r="D777" s="4"/>
      <c r="E777" s="4"/>
      <c r="F777" s="4"/>
      <c r="G777" s="4"/>
      <c r="H777" s="4"/>
      <c r="I777" s="4"/>
      <c r="J777" s="4"/>
      <c r="K777" s="4"/>
      <c r="L777" s="4"/>
      <c r="M777" s="4"/>
      <c r="N777" s="4"/>
      <c r="O777" s="4"/>
      <c r="P777" s="4"/>
      <c r="Q777" s="4"/>
      <c r="R777" s="4"/>
      <c r="S777" s="4"/>
      <c r="T777" s="4"/>
      <c r="U777" s="4"/>
      <c r="V777" s="4"/>
      <c r="W777" s="4"/>
      <c r="X777" s="4"/>
    </row>
    <row r="778">
      <c r="A778" s="4"/>
      <c r="B778" s="46"/>
      <c r="C778" s="4"/>
      <c r="D778" s="4"/>
      <c r="E778" s="4"/>
      <c r="F778" s="4"/>
      <c r="G778" s="4"/>
      <c r="H778" s="4"/>
      <c r="I778" s="4"/>
      <c r="J778" s="4"/>
      <c r="K778" s="4"/>
      <c r="L778" s="4"/>
      <c r="M778" s="4"/>
      <c r="N778" s="4"/>
      <c r="O778" s="4"/>
      <c r="P778" s="4"/>
      <c r="Q778" s="4"/>
      <c r="R778" s="4"/>
      <c r="S778" s="4"/>
      <c r="T778" s="4"/>
      <c r="U778" s="4"/>
      <c r="V778" s="4"/>
      <c r="W778" s="4"/>
      <c r="X778" s="4"/>
    </row>
    <row r="779">
      <c r="A779" s="4"/>
      <c r="B779" s="46"/>
      <c r="C779" s="4"/>
      <c r="D779" s="4"/>
      <c r="E779" s="4"/>
      <c r="F779" s="4"/>
      <c r="G779" s="4"/>
      <c r="H779" s="4"/>
      <c r="I779" s="4"/>
      <c r="J779" s="4"/>
      <c r="K779" s="4"/>
      <c r="L779" s="4"/>
      <c r="M779" s="4"/>
      <c r="N779" s="4"/>
      <c r="O779" s="4"/>
      <c r="P779" s="4"/>
      <c r="Q779" s="4"/>
      <c r="R779" s="4"/>
      <c r="S779" s="4"/>
      <c r="T779" s="4"/>
      <c r="U779" s="4"/>
      <c r="V779" s="4"/>
      <c r="W779" s="4"/>
      <c r="X779" s="4"/>
    </row>
    <row r="780">
      <c r="A780" s="4"/>
      <c r="B780" s="46"/>
      <c r="C780" s="4"/>
      <c r="D780" s="4"/>
      <c r="E780" s="4"/>
      <c r="F780" s="4"/>
      <c r="G780" s="4"/>
      <c r="H780" s="4"/>
      <c r="I780" s="4"/>
      <c r="J780" s="4"/>
      <c r="K780" s="4"/>
      <c r="L780" s="4"/>
      <c r="M780" s="4"/>
      <c r="N780" s="4"/>
      <c r="O780" s="4"/>
      <c r="P780" s="4"/>
      <c r="Q780" s="4"/>
      <c r="R780" s="4"/>
      <c r="S780" s="4"/>
      <c r="T780" s="4"/>
      <c r="U780" s="4"/>
      <c r="V780" s="4"/>
      <c r="W780" s="4"/>
      <c r="X780" s="4"/>
    </row>
    <row r="781">
      <c r="A781" s="4"/>
      <c r="B781" s="46"/>
      <c r="C781" s="4"/>
      <c r="D781" s="4"/>
      <c r="E781" s="4"/>
      <c r="F781" s="4"/>
      <c r="G781" s="4"/>
      <c r="H781" s="4"/>
      <c r="I781" s="4"/>
      <c r="J781" s="4"/>
      <c r="K781" s="4"/>
      <c r="L781" s="4"/>
      <c r="M781" s="4"/>
      <c r="N781" s="4"/>
      <c r="O781" s="4"/>
      <c r="P781" s="4"/>
      <c r="Q781" s="4"/>
      <c r="R781" s="4"/>
      <c r="S781" s="4"/>
      <c r="T781" s="4"/>
      <c r="U781" s="4"/>
      <c r="V781" s="4"/>
      <c r="W781" s="4"/>
      <c r="X781" s="4"/>
    </row>
    <row r="782">
      <c r="A782" s="4"/>
      <c r="B782" s="46"/>
      <c r="C782" s="4"/>
      <c r="D782" s="4"/>
      <c r="E782" s="4"/>
      <c r="F782" s="4"/>
      <c r="G782" s="4"/>
      <c r="H782" s="4"/>
      <c r="I782" s="4"/>
      <c r="J782" s="4"/>
      <c r="K782" s="4"/>
      <c r="L782" s="4"/>
      <c r="M782" s="4"/>
      <c r="N782" s="4"/>
      <c r="O782" s="4"/>
      <c r="P782" s="4"/>
      <c r="Q782" s="4"/>
      <c r="R782" s="4"/>
      <c r="S782" s="4"/>
      <c r="T782" s="4"/>
      <c r="U782" s="4"/>
      <c r="V782" s="4"/>
      <c r="W782" s="4"/>
      <c r="X782" s="4"/>
    </row>
    <row r="783">
      <c r="A783" s="4"/>
      <c r="B783" s="46"/>
      <c r="C783" s="4"/>
      <c r="D783" s="4"/>
      <c r="E783" s="4"/>
      <c r="F783" s="4"/>
      <c r="G783" s="4"/>
      <c r="H783" s="4"/>
      <c r="I783" s="4"/>
      <c r="J783" s="4"/>
      <c r="K783" s="4"/>
      <c r="L783" s="4"/>
      <c r="M783" s="4"/>
      <c r="N783" s="4"/>
      <c r="O783" s="4"/>
      <c r="P783" s="4"/>
      <c r="Q783" s="4"/>
      <c r="R783" s="4"/>
      <c r="S783" s="4"/>
      <c r="T783" s="4"/>
      <c r="U783" s="4"/>
      <c r="V783" s="4"/>
      <c r="W783" s="4"/>
      <c r="X783" s="4"/>
    </row>
    <row r="784">
      <c r="A784" s="4"/>
      <c r="B784" s="46"/>
      <c r="C784" s="4"/>
      <c r="D784" s="4"/>
      <c r="E784" s="4"/>
      <c r="F784" s="4"/>
      <c r="G784" s="4"/>
      <c r="H784" s="4"/>
      <c r="I784" s="4"/>
      <c r="J784" s="4"/>
      <c r="K784" s="4"/>
      <c r="L784" s="4"/>
      <c r="M784" s="4"/>
      <c r="N784" s="4"/>
      <c r="O784" s="4"/>
      <c r="P784" s="4"/>
      <c r="Q784" s="4"/>
      <c r="R784" s="4"/>
      <c r="S784" s="4"/>
      <c r="T784" s="4"/>
      <c r="U784" s="4"/>
      <c r="V784" s="4"/>
      <c r="W784" s="4"/>
      <c r="X784" s="4"/>
    </row>
    <row r="785">
      <c r="A785" s="4"/>
      <c r="B785" s="46"/>
      <c r="C785" s="4"/>
      <c r="D785" s="4"/>
      <c r="E785" s="4"/>
      <c r="F785" s="4"/>
      <c r="G785" s="4"/>
      <c r="H785" s="4"/>
      <c r="I785" s="4"/>
      <c r="J785" s="4"/>
      <c r="K785" s="4"/>
      <c r="L785" s="4"/>
      <c r="M785" s="4"/>
      <c r="N785" s="4"/>
      <c r="O785" s="4"/>
      <c r="P785" s="4"/>
      <c r="Q785" s="4"/>
      <c r="R785" s="4"/>
      <c r="S785" s="4"/>
      <c r="T785" s="4"/>
      <c r="U785" s="4"/>
      <c r="V785" s="4"/>
      <c r="W785" s="4"/>
      <c r="X785" s="4"/>
    </row>
    <row r="786">
      <c r="A786" s="4"/>
      <c r="B786" s="46"/>
      <c r="C786" s="4"/>
      <c r="D786" s="4"/>
      <c r="E786" s="4"/>
      <c r="F786" s="4"/>
      <c r="G786" s="4"/>
      <c r="H786" s="4"/>
      <c r="I786" s="4"/>
      <c r="J786" s="4"/>
      <c r="K786" s="4"/>
      <c r="L786" s="4"/>
      <c r="M786" s="4"/>
      <c r="N786" s="4"/>
      <c r="O786" s="4"/>
      <c r="P786" s="4"/>
      <c r="Q786" s="4"/>
      <c r="R786" s="4"/>
      <c r="S786" s="4"/>
      <c r="T786" s="4"/>
      <c r="U786" s="4"/>
      <c r="V786" s="4"/>
      <c r="W786" s="4"/>
      <c r="X786" s="4"/>
    </row>
    <row r="787">
      <c r="A787" s="4"/>
      <c r="B787" s="46"/>
      <c r="C787" s="4"/>
      <c r="D787" s="4"/>
      <c r="E787" s="4"/>
      <c r="F787" s="4"/>
      <c r="G787" s="4"/>
      <c r="H787" s="4"/>
      <c r="I787" s="4"/>
      <c r="J787" s="4"/>
      <c r="K787" s="4"/>
      <c r="L787" s="4"/>
      <c r="M787" s="4"/>
      <c r="N787" s="4"/>
      <c r="O787" s="4"/>
      <c r="P787" s="4"/>
      <c r="Q787" s="4"/>
      <c r="R787" s="4"/>
      <c r="S787" s="4"/>
      <c r="T787" s="4"/>
      <c r="U787" s="4"/>
      <c r="V787" s="4"/>
      <c r="W787" s="4"/>
      <c r="X787" s="4"/>
    </row>
    <row r="788">
      <c r="A788" s="4"/>
      <c r="B788" s="46"/>
      <c r="C788" s="4"/>
      <c r="D788" s="4"/>
      <c r="E788" s="4"/>
      <c r="F788" s="4"/>
      <c r="G788" s="4"/>
      <c r="H788" s="4"/>
      <c r="I788" s="4"/>
      <c r="J788" s="4"/>
      <c r="K788" s="4"/>
      <c r="L788" s="4"/>
      <c r="M788" s="4"/>
      <c r="N788" s="4"/>
      <c r="O788" s="4"/>
      <c r="P788" s="4"/>
      <c r="Q788" s="4"/>
      <c r="R788" s="4"/>
      <c r="S788" s="4"/>
      <c r="T788" s="4"/>
      <c r="U788" s="4"/>
      <c r="V788" s="4"/>
      <c r="W788" s="4"/>
      <c r="X788" s="4"/>
    </row>
    <row r="789">
      <c r="A789" s="4"/>
      <c r="B789" s="46"/>
      <c r="C789" s="4"/>
      <c r="D789" s="4"/>
      <c r="E789" s="4"/>
      <c r="F789" s="4"/>
      <c r="G789" s="4"/>
      <c r="H789" s="4"/>
      <c r="I789" s="4"/>
      <c r="J789" s="4"/>
      <c r="K789" s="4"/>
      <c r="L789" s="4"/>
      <c r="M789" s="4"/>
      <c r="N789" s="4"/>
      <c r="O789" s="4"/>
      <c r="P789" s="4"/>
      <c r="Q789" s="4"/>
      <c r="R789" s="4"/>
      <c r="S789" s="4"/>
      <c r="T789" s="4"/>
      <c r="U789" s="4"/>
      <c r="V789" s="4"/>
      <c r="W789" s="4"/>
      <c r="X789" s="4"/>
    </row>
    <row r="790">
      <c r="A790" s="4"/>
      <c r="B790" s="46"/>
      <c r="C790" s="4"/>
      <c r="D790" s="4"/>
      <c r="E790" s="4"/>
      <c r="F790" s="4"/>
      <c r="G790" s="4"/>
      <c r="H790" s="4"/>
      <c r="I790" s="4"/>
      <c r="J790" s="4"/>
      <c r="K790" s="4"/>
      <c r="L790" s="4"/>
      <c r="M790" s="4"/>
      <c r="N790" s="4"/>
      <c r="O790" s="4"/>
      <c r="P790" s="4"/>
      <c r="Q790" s="4"/>
      <c r="R790" s="4"/>
      <c r="S790" s="4"/>
      <c r="T790" s="4"/>
      <c r="U790" s="4"/>
      <c r="V790" s="4"/>
      <c r="W790" s="4"/>
      <c r="X790" s="4"/>
    </row>
    <row r="791">
      <c r="A791" s="4"/>
      <c r="B791" s="46"/>
      <c r="C791" s="4"/>
      <c r="D791" s="4"/>
      <c r="E791" s="4"/>
      <c r="F791" s="4"/>
      <c r="G791" s="4"/>
      <c r="H791" s="4"/>
      <c r="I791" s="4"/>
      <c r="J791" s="4"/>
      <c r="K791" s="4"/>
      <c r="L791" s="4"/>
      <c r="M791" s="4"/>
      <c r="N791" s="4"/>
      <c r="O791" s="4"/>
      <c r="P791" s="4"/>
      <c r="Q791" s="4"/>
      <c r="R791" s="4"/>
      <c r="S791" s="4"/>
      <c r="T791" s="4"/>
      <c r="U791" s="4"/>
      <c r="V791" s="4"/>
      <c r="W791" s="4"/>
      <c r="X791" s="4"/>
    </row>
    <row r="792">
      <c r="A792" s="4"/>
      <c r="B792" s="46"/>
      <c r="C792" s="4"/>
      <c r="D792" s="4"/>
      <c r="E792" s="4"/>
      <c r="F792" s="4"/>
      <c r="G792" s="4"/>
      <c r="H792" s="4"/>
      <c r="I792" s="4"/>
      <c r="J792" s="4"/>
      <c r="K792" s="4"/>
      <c r="L792" s="4"/>
      <c r="M792" s="4"/>
      <c r="N792" s="4"/>
      <c r="O792" s="4"/>
      <c r="P792" s="4"/>
      <c r="Q792" s="4"/>
      <c r="R792" s="4"/>
      <c r="S792" s="4"/>
      <c r="T792" s="4"/>
      <c r="U792" s="4"/>
      <c r="V792" s="4"/>
      <c r="W792" s="4"/>
      <c r="X792" s="4"/>
    </row>
    <row r="793">
      <c r="A793" s="4"/>
      <c r="B793" s="46"/>
      <c r="C793" s="4"/>
      <c r="D793" s="4"/>
      <c r="E793" s="4"/>
      <c r="F793" s="4"/>
      <c r="G793" s="4"/>
      <c r="H793" s="4"/>
      <c r="I793" s="4"/>
      <c r="J793" s="4"/>
      <c r="K793" s="4"/>
      <c r="L793" s="4"/>
      <c r="M793" s="4"/>
      <c r="N793" s="4"/>
      <c r="O793" s="4"/>
      <c r="P793" s="4"/>
      <c r="Q793" s="4"/>
      <c r="R793" s="4"/>
      <c r="S793" s="4"/>
      <c r="T793" s="4"/>
      <c r="U793" s="4"/>
      <c r="V793" s="4"/>
      <c r="W793" s="4"/>
      <c r="X793" s="4"/>
    </row>
    <row r="794">
      <c r="A794" s="4"/>
      <c r="B794" s="46"/>
      <c r="C794" s="4"/>
      <c r="D794" s="4"/>
      <c r="E794" s="4"/>
      <c r="F794" s="4"/>
      <c r="G794" s="4"/>
      <c r="H794" s="4"/>
      <c r="I794" s="4"/>
      <c r="J794" s="4"/>
      <c r="K794" s="4"/>
      <c r="L794" s="4"/>
      <c r="M794" s="4"/>
      <c r="N794" s="4"/>
      <c r="O794" s="4"/>
      <c r="P794" s="4"/>
      <c r="Q794" s="4"/>
      <c r="R794" s="4"/>
      <c r="S794" s="4"/>
      <c r="T794" s="4"/>
      <c r="U794" s="4"/>
      <c r="V794" s="4"/>
      <c r="W794" s="4"/>
      <c r="X794" s="4"/>
    </row>
    <row r="795">
      <c r="A795" s="4"/>
      <c r="B795" s="46"/>
      <c r="C795" s="4"/>
      <c r="D795" s="4"/>
      <c r="E795" s="4"/>
      <c r="F795" s="4"/>
      <c r="G795" s="4"/>
      <c r="H795" s="4"/>
      <c r="I795" s="4"/>
      <c r="J795" s="4"/>
      <c r="K795" s="4"/>
      <c r="L795" s="4"/>
      <c r="M795" s="4"/>
      <c r="N795" s="4"/>
      <c r="O795" s="4"/>
      <c r="P795" s="4"/>
      <c r="Q795" s="4"/>
      <c r="R795" s="4"/>
      <c r="S795" s="4"/>
      <c r="T795" s="4"/>
      <c r="U795" s="4"/>
      <c r="V795" s="4"/>
      <c r="W795" s="4"/>
      <c r="X795" s="4"/>
    </row>
    <row r="796">
      <c r="A796" s="4"/>
      <c r="B796" s="46"/>
      <c r="C796" s="4"/>
      <c r="D796" s="4"/>
      <c r="E796" s="4"/>
      <c r="F796" s="4"/>
      <c r="G796" s="4"/>
      <c r="H796" s="4"/>
      <c r="I796" s="4"/>
      <c r="J796" s="4"/>
      <c r="K796" s="4"/>
      <c r="L796" s="4"/>
      <c r="M796" s="4"/>
      <c r="N796" s="4"/>
      <c r="O796" s="4"/>
      <c r="P796" s="4"/>
      <c r="Q796" s="4"/>
      <c r="R796" s="4"/>
      <c r="S796" s="4"/>
      <c r="T796" s="4"/>
      <c r="U796" s="4"/>
      <c r="V796" s="4"/>
      <c r="W796" s="4"/>
      <c r="X796" s="4"/>
    </row>
    <row r="797">
      <c r="A797" s="4"/>
      <c r="B797" s="46"/>
      <c r="C797" s="4"/>
      <c r="D797" s="4"/>
      <c r="E797" s="4"/>
      <c r="F797" s="4"/>
      <c r="G797" s="4"/>
      <c r="H797" s="4"/>
      <c r="I797" s="4"/>
      <c r="J797" s="4"/>
      <c r="K797" s="4"/>
      <c r="L797" s="4"/>
      <c r="M797" s="4"/>
      <c r="N797" s="4"/>
      <c r="O797" s="4"/>
      <c r="P797" s="4"/>
      <c r="Q797" s="4"/>
      <c r="R797" s="4"/>
      <c r="S797" s="4"/>
      <c r="T797" s="4"/>
      <c r="U797" s="4"/>
      <c r="V797" s="4"/>
      <c r="W797" s="4"/>
      <c r="X797" s="4"/>
    </row>
    <row r="798">
      <c r="A798" s="4"/>
      <c r="B798" s="46"/>
      <c r="C798" s="4"/>
      <c r="D798" s="4"/>
      <c r="E798" s="4"/>
      <c r="F798" s="4"/>
      <c r="G798" s="4"/>
      <c r="H798" s="4"/>
      <c r="I798" s="4"/>
      <c r="J798" s="4"/>
      <c r="K798" s="4"/>
      <c r="L798" s="4"/>
      <c r="M798" s="4"/>
      <c r="N798" s="4"/>
      <c r="O798" s="4"/>
      <c r="P798" s="4"/>
      <c r="Q798" s="4"/>
      <c r="R798" s="4"/>
      <c r="S798" s="4"/>
      <c r="T798" s="4"/>
      <c r="U798" s="4"/>
      <c r="V798" s="4"/>
      <c r="W798" s="4"/>
      <c r="X798" s="4"/>
    </row>
    <row r="799">
      <c r="A799" s="4"/>
      <c r="B799" s="46"/>
      <c r="C799" s="4"/>
      <c r="D799" s="4"/>
      <c r="E799" s="4"/>
      <c r="F799" s="4"/>
      <c r="G799" s="4"/>
      <c r="H799" s="4"/>
      <c r="I799" s="4"/>
      <c r="J799" s="4"/>
      <c r="K799" s="4"/>
      <c r="L799" s="4"/>
      <c r="M799" s="4"/>
      <c r="N799" s="4"/>
      <c r="O799" s="4"/>
      <c r="P799" s="4"/>
      <c r="Q799" s="4"/>
      <c r="R799" s="4"/>
      <c r="S799" s="4"/>
      <c r="T799" s="4"/>
      <c r="U799" s="4"/>
      <c r="V799" s="4"/>
      <c r="W799" s="4"/>
      <c r="X799" s="4"/>
    </row>
    <row r="800">
      <c r="A800" s="4"/>
      <c r="B800" s="46"/>
      <c r="C800" s="4"/>
      <c r="D800" s="4"/>
      <c r="E800" s="4"/>
      <c r="F800" s="4"/>
      <c r="G800" s="4"/>
      <c r="H800" s="4"/>
      <c r="I800" s="4"/>
      <c r="J800" s="4"/>
      <c r="K800" s="4"/>
      <c r="L800" s="4"/>
      <c r="M800" s="4"/>
      <c r="N800" s="4"/>
      <c r="O800" s="4"/>
      <c r="P800" s="4"/>
      <c r="Q800" s="4"/>
      <c r="R800" s="4"/>
      <c r="S800" s="4"/>
      <c r="T800" s="4"/>
      <c r="U800" s="4"/>
      <c r="V800" s="4"/>
      <c r="W800" s="4"/>
      <c r="X800" s="4"/>
    </row>
    <row r="801">
      <c r="A801" s="4"/>
      <c r="B801" s="46"/>
      <c r="C801" s="4"/>
      <c r="D801" s="4"/>
      <c r="E801" s="4"/>
      <c r="F801" s="4"/>
      <c r="G801" s="4"/>
      <c r="H801" s="4"/>
      <c r="I801" s="4"/>
      <c r="J801" s="4"/>
      <c r="K801" s="4"/>
      <c r="L801" s="4"/>
      <c r="M801" s="4"/>
      <c r="N801" s="4"/>
      <c r="O801" s="4"/>
      <c r="P801" s="4"/>
      <c r="Q801" s="4"/>
      <c r="R801" s="4"/>
      <c r="S801" s="4"/>
      <c r="T801" s="4"/>
      <c r="U801" s="4"/>
      <c r="V801" s="4"/>
      <c r="W801" s="4"/>
      <c r="X801" s="4"/>
    </row>
    <row r="802">
      <c r="A802" s="4"/>
      <c r="B802" s="46"/>
      <c r="C802" s="4"/>
      <c r="D802" s="4"/>
      <c r="E802" s="4"/>
      <c r="F802" s="4"/>
      <c r="G802" s="4"/>
      <c r="H802" s="4"/>
      <c r="I802" s="4"/>
      <c r="J802" s="4"/>
      <c r="K802" s="4"/>
      <c r="L802" s="4"/>
      <c r="M802" s="4"/>
      <c r="N802" s="4"/>
      <c r="O802" s="4"/>
      <c r="P802" s="4"/>
      <c r="Q802" s="4"/>
      <c r="R802" s="4"/>
      <c r="S802" s="4"/>
      <c r="T802" s="4"/>
      <c r="U802" s="4"/>
      <c r="V802" s="4"/>
      <c r="W802" s="4"/>
      <c r="X802" s="4"/>
    </row>
    <row r="803">
      <c r="A803" s="4"/>
      <c r="B803" s="46"/>
      <c r="C803" s="4"/>
      <c r="D803" s="4"/>
      <c r="E803" s="4"/>
      <c r="F803" s="4"/>
      <c r="G803" s="4"/>
      <c r="H803" s="4"/>
      <c r="I803" s="4"/>
      <c r="J803" s="4"/>
      <c r="K803" s="4"/>
      <c r="L803" s="4"/>
      <c r="M803" s="4"/>
      <c r="N803" s="4"/>
      <c r="O803" s="4"/>
      <c r="P803" s="4"/>
      <c r="Q803" s="4"/>
      <c r="R803" s="4"/>
      <c r="S803" s="4"/>
      <c r="T803" s="4"/>
      <c r="U803" s="4"/>
      <c r="V803" s="4"/>
      <c r="W803" s="4"/>
      <c r="X803" s="4"/>
    </row>
    <row r="804">
      <c r="A804" s="4"/>
      <c r="B804" s="46"/>
      <c r="C804" s="4"/>
      <c r="D804" s="4"/>
      <c r="E804" s="4"/>
      <c r="F804" s="4"/>
      <c r="G804" s="4"/>
      <c r="H804" s="4"/>
      <c r="I804" s="4"/>
      <c r="J804" s="4"/>
      <c r="K804" s="4"/>
      <c r="L804" s="4"/>
      <c r="M804" s="4"/>
      <c r="N804" s="4"/>
      <c r="O804" s="4"/>
      <c r="P804" s="4"/>
      <c r="Q804" s="4"/>
      <c r="R804" s="4"/>
      <c r="S804" s="4"/>
      <c r="T804" s="4"/>
      <c r="U804" s="4"/>
      <c r="V804" s="4"/>
      <c r="W804" s="4"/>
      <c r="X804" s="4"/>
    </row>
    <row r="805">
      <c r="A805" s="4"/>
      <c r="B805" s="46"/>
      <c r="C805" s="4"/>
      <c r="D805" s="4"/>
      <c r="E805" s="4"/>
      <c r="F805" s="4"/>
      <c r="G805" s="4"/>
      <c r="H805" s="4"/>
      <c r="I805" s="4"/>
      <c r="J805" s="4"/>
      <c r="K805" s="4"/>
      <c r="L805" s="4"/>
      <c r="M805" s="4"/>
      <c r="N805" s="4"/>
      <c r="O805" s="4"/>
      <c r="P805" s="4"/>
      <c r="Q805" s="4"/>
      <c r="R805" s="4"/>
      <c r="S805" s="4"/>
      <c r="T805" s="4"/>
      <c r="U805" s="4"/>
      <c r="V805" s="4"/>
      <c r="W805" s="4"/>
      <c r="X805" s="4"/>
    </row>
    <row r="806">
      <c r="A806" s="4"/>
      <c r="B806" s="46"/>
      <c r="C806" s="4"/>
      <c r="D806" s="4"/>
      <c r="E806" s="4"/>
      <c r="F806" s="4"/>
      <c r="G806" s="4"/>
      <c r="H806" s="4"/>
      <c r="I806" s="4"/>
      <c r="J806" s="4"/>
      <c r="K806" s="4"/>
      <c r="L806" s="4"/>
      <c r="M806" s="4"/>
      <c r="N806" s="4"/>
      <c r="O806" s="4"/>
      <c r="P806" s="4"/>
      <c r="Q806" s="4"/>
      <c r="R806" s="4"/>
      <c r="S806" s="4"/>
      <c r="T806" s="4"/>
      <c r="U806" s="4"/>
      <c r="V806" s="4"/>
      <c r="W806" s="4"/>
      <c r="X806" s="4"/>
    </row>
    <row r="807">
      <c r="A807" s="4"/>
      <c r="B807" s="46"/>
      <c r="C807" s="4"/>
      <c r="D807" s="4"/>
      <c r="E807" s="4"/>
      <c r="F807" s="4"/>
      <c r="G807" s="4"/>
      <c r="H807" s="4"/>
      <c r="I807" s="4"/>
      <c r="J807" s="4"/>
      <c r="K807" s="4"/>
      <c r="L807" s="4"/>
      <c r="M807" s="4"/>
      <c r="N807" s="4"/>
      <c r="O807" s="4"/>
      <c r="P807" s="4"/>
      <c r="Q807" s="4"/>
      <c r="R807" s="4"/>
      <c r="S807" s="4"/>
      <c r="T807" s="4"/>
      <c r="U807" s="4"/>
      <c r="V807" s="4"/>
      <c r="W807" s="4"/>
      <c r="X807" s="4"/>
    </row>
    <row r="808">
      <c r="A808" s="4"/>
      <c r="B808" s="46"/>
      <c r="C808" s="4"/>
      <c r="D808" s="4"/>
      <c r="E808" s="4"/>
      <c r="F808" s="4"/>
      <c r="G808" s="4"/>
      <c r="H808" s="4"/>
      <c r="I808" s="4"/>
      <c r="J808" s="4"/>
      <c r="K808" s="4"/>
      <c r="L808" s="4"/>
      <c r="M808" s="4"/>
      <c r="N808" s="4"/>
      <c r="O808" s="4"/>
      <c r="P808" s="4"/>
      <c r="Q808" s="4"/>
      <c r="R808" s="4"/>
      <c r="S808" s="4"/>
      <c r="T808" s="4"/>
      <c r="U808" s="4"/>
      <c r="V808" s="4"/>
      <c r="W808" s="4"/>
      <c r="X808" s="4"/>
    </row>
    <row r="809">
      <c r="A809" s="4"/>
      <c r="B809" s="46"/>
      <c r="C809" s="4"/>
      <c r="D809" s="4"/>
      <c r="E809" s="4"/>
      <c r="F809" s="4"/>
      <c r="G809" s="4"/>
      <c r="H809" s="4"/>
      <c r="I809" s="4"/>
      <c r="J809" s="4"/>
      <c r="K809" s="4"/>
      <c r="L809" s="4"/>
      <c r="M809" s="4"/>
      <c r="N809" s="4"/>
      <c r="O809" s="4"/>
      <c r="P809" s="4"/>
      <c r="Q809" s="4"/>
      <c r="R809" s="4"/>
      <c r="S809" s="4"/>
      <c r="T809" s="4"/>
      <c r="U809" s="4"/>
      <c r="V809" s="4"/>
      <c r="W809" s="4"/>
      <c r="X809" s="4"/>
    </row>
    <row r="810">
      <c r="A810" s="4"/>
      <c r="B810" s="46"/>
      <c r="C810" s="4"/>
      <c r="D810" s="4"/>
      <c r="E810" s="4"/>
      <c r="F810" s="4"/>
      <c r="G810" s="4"/>
      <c r="H810" s="4"/>
      <c r="I810" s="4"/>
      <c r="J810" s="4"/>
      <c r="K810" s="4"/>
      <c r="L810" s="4"/>
      <c r="M810" s="4"/>
      <c r="N810" s="4"/>
      <c r="O810" s="4"/>
      <c r="P810" s="4"/>
      <c r="Q810" s="4"/>
      <c r="R810" s="4"/>
      <c r="S810" s="4"/>
      <c r="T810" s="4"/>
      <c r="U810" s="4"/>
      <c r="V810" s="4"/>
      <c r="W810" s="4"/>
      <c r="X810" s="4"/>
    </row>
    <row r="811">
      <c r="A811" s="4"/>
      <c r="B811" s="46"/>
      <c r="C811" s="4"/>
      <c r="D811" s="4"/>
      <c r="E811" s="4"/>
      <c r="F811" s="4"/>
      <c r="G811" s="4"/>
      <c r="H811" s="4"/>
      <c r="I811" s="4"/>
      <c r="J811" s="4"/>
      <c r="K811" s="4"/>
      <c r="L811" s="4"/>
      <c r="M811" s="4"/>
      <c r="N811" s="4"/>
      <c r="O811" s="4"/>
      <c r="P811" s="4"/>
      <c r="Q811" s="4"/>
      <c r="R811" s="4"/>
      <c r="S811" s="4"/>
      <c r="T811" s="4"/>
      <c r="U811" s="4"/>
      <c r="V811" s="4"/>
      <c r="W811" s="4"/>
      <c r="X811" s="4"/>
    </row>
    <row r="812">
      <c r="A812" s="4"/>
      <c r="B812" s="46"/>
      <c r="C812" s="4"/>
      <c r="D812" s="4"/>
      <c r="E812" s="4"/>
      <c r="F812" s="4"/>
      <c r="G812" s="4"/>
      <c r="H812" s="4"/>
      <c r="I812" s="4"/>
      <c r="J812" s="4"/>
      <c r="K812" s="4"/>
      <c r="L812" s="4"/>
      <c r="M812" s="4"/>
      <c r="N812" s="4"/>
      <c r="O812" s="4"/>
      <c r="P812" s="4"/>
      <c r="Q812" s="4"/>
      <c r="R812" s="4"/>
      <c r="S812" s="4"/>
      <c r="T812" s="4"/>
      <c r="U812" s="4"/>
      <c r="V812" s="4"/>
      <c r="W812" s="4"/>
      <c r="X812" s="4"/>
    </row>
    <row r="813">
      <c r="A813" s="4"/>
      <c r="B813" s="46"/>
      <c r="C813" s="4"/>
      <c r="D813" s="4"/>
      <c r="E813" s="4"/>
      <c r="F813" s="4"/>
      <c r="G813" s="4"/>
      <c r="H813" s="4"/>
      <c r="I813" s="4"/>
      <c r="J813" s="4"/>
      <c r="K813" s="4"/>
      <c r="L813" s="4"/>
      <c r="M813" s="4"/>
      <c r="N813" s="4"/>
      <c r="O813" s="4"/>
      <c r="P813" s="4"/>
      <c r="Q813" s="4"/>
      <c r="R813" s="4"/>
      <c r="S813" s="4"/>
      <c r="T813" s="4"/>
      <c r="U813" s="4"/>
      <c r="V813" s="4"/>
      <c r="W813" s="4"/>
      <c r="X813" s="4"/>
    </row>
    <row r="814">
      <c r="A814" s="4"/>
      <c r="B814" s="46"/>
      <c r="C814" s="4"/>
      <c r="D814" s="4"/>
      <c r="E814" s="4"/>
      <c r="F814" s="4"/>
      <c r="G814" s="4"/>
      <c r="H814" s="4"/>
      <c r="I814" s="4"/>
      <c r="J814" s="4"/>
      <c r="K814" s="4"/>
      <c r="L814" s="4"/>
      <c r="M814" s="4"/>
      <c r="N814" s="4"/>
      <c r="O814" s="4"/>
      <c r="P814" s="4"/>
      <c r="Q814" s="4"/>
      <c r="R814" s="4"/>
      <c r="S814" s="4"/>
      <c r="T814" s="4"/>
      <c r="U814" s="4"/>
      <c r="V814" s="4"/>
      <c r="W814" s="4"/>
      <c r="X814" s="4"/>
    </row>
    <row r="815">
      <c r="A815" s="4"/>
      <c r="B815" s="46"/>
      <c r="C815" s="4"/>
      <c r="D815" s="4"/>
      <c r="E815" s="4"/>
      <c r="F815" s="4"/>
      <c r="G815" s="4"/>
      <c r="H815" s="4"/>
      <c r="I815" s="4"/>
      <c r="J815" s="4"/>
      <c r="K815" s="4"/>
      <c r="L815" s="4"/>
      <c r="M815" s="4"/>
      <c r="N815" s="4"/>
      <c r="O815" s="4"/>
      <c r="P815" s="4"/>
      <c r="Q815" s="4"/>
      <c r="R815" s="4"/>
      <c r="S815" s="4"/>
      <c r="T815" s="4"/>
      <c r="U815" s="4"/>
      <c r="V815" s="4"/>
      <c r="W815" s="4"/>
      <c r="X815" s="4"/>
    </row>
    <row r="816">
      <c r="A816" s="4"/>
      <c r="B816" s="46"/>
      <c r="C816" s="4"/>
      <c r="D816" s="4"/>
      <c r="E816" s="4"/>
      <c r="F816" s="4"/>
      <c r="G816" s="4"/>
      <c r="H816" s="4"/>
      <c r="I816" s="4"/>
      <c r="J816" s="4"/>
      <c r="K816" s="4"/>
      <c r="L816" s="4"/>
      <c r="M816" s="4"/>
      <c r="N816" s="4"/>
      <c r="O816" s="4"/>
      <c r="P816" s="4"/>
      <c r="Q816" s="4"/>
      <c r="R816" s="4"/>
      <c r="S816" s="4"/>
      <c r="T816" s="4"/>
      <c r="U816" s="4"/>
      <c r="V816" s="4"/>
      <c r="W816" s="4"/>
      <c r="X816" s="4"/>
    </row>
    <row r="817">
      <c r="A817" s="4"/>
      <c r="B817" s="46"/>
      <c r="C817" s="4"/>
      <c r="D817" s="4"/>
      <c r="E817" s="4"/>
      <c r="F817" s="4"/>
      <c r="G817" s="4"/>
      <c r="H817" s="4"/>
      <c r="I817" s="4"/>
      <c r="J817" s="4"/>
      <c r="K817" s="4"/>
      <c r="L817" s="4"/>
      <c r="M817" s="4"/>
      <c r="N817" s="4"/>
      <c r="O817" s="4"/>
      <c r="P817" s="4"/>
      <c r="Q817" s="4"/>
      <c r="R817" s="4"/>
      <c r="S817" s="4"/>
      <c r="T817" s="4"/>
      <c r="U817" s="4"/>
      <c r="V817" s="4"/>
      <c r="W817" s="4"/>
      <c r="X817" s="4"/>
    </row>
    <row r="818">
      <c r="A818" s="4"/>
      <c r="B818" s="46"/>
      <c r="C818" s="4"/>
      <c r="D818" s="4"/>
      <c r="E818" s="4"/>
      <c r="F818" s="4"/>
      <c r="G818" s="4"/>
      <c r="H818" s="4"/>
      <c r="I818" s="4"/>
      <c r="J818" s="4"/>
      <c r="K818" s="4"/>
      <c r="L818" s="4"/>
      <c r="M818" s="4"/>
      <c r="N818" s="4"/>
      <c r="O818" s="4"/>
      <c r="P818" s="4"/>
      <c r="Q818" s="4"/>
      <c r="R818" s="4"/>
      <c r="S818" s="4"/>
      <c r="T818" s="4"/>
      <c r="U818" s="4"/>
      <c r="V818" s="4"/>
      <c r="W818" s="4"/>
      <c r="X818" s="4"/>
    </row>
    <row r="819">
      <c r="A819" s="4"/>
      <c r="B819" s="46"/>
      <c r="C819" s="4"/>
      <c r="D819" s="4"/>
      <c r="E819" s="4"/>
      <c r="F819" s="4"/>
      <c r="G819" s="4"/>
      <c r="H819" s="4"/>
      <c r="I819" s="4"/>
      <c r="J819" s="4"/>
      <c r="K819" s="4"/>
      <c r="L819" s="4"/>
      <c r="M819" s="4"/>
      <c r="N819" s="4"/>
      <c r="O819" s="4"/>
      <c r="P819" s="4"/>
      <c r="Q819" s="4"/>
      <c r="R819" s="4"/>
      <c r="S819" s="4"/>
      <c r="T819" s="4"/>
      <c r="U819" s="4"/>
      <c r="V819" s="4"/>
      <c r="W819" s="4"/>
      <c r="X819" s="4"/>
    </row>
    <row r="820">
      <c r="A820" s="4"/>
      <c r="B820" s="46"/>
      <c r="C820" s="4"/>
      <c r="D820" s="4"/>
      <c r="E820" s="4"/>
      <c r="F820" s="4"/>
      <c r="G820" s="4"/>
      <c r="H820" s="4"/>
      <c r="I820" s="4"/>
      <c r="J820" s="4"/>
      <c r="K820" s="4"/>
      <c r="L820" s="4"/>
      <c r="M820" s="4"/>
      <c r="N820" s="4"/>
      <c r="O820" s="4"/>
      <c r="P820" s="4"/>
      <c r="Q820" s="4"/>
      <c r="R820" s="4"/>
      <c r="S820" s="4"/>
      <c r="T820" s="4"/>
      <c r="U820" s="4"/>
      <c r="V820" s="4"/>
      <c r="W820" s="4"/>
      <c r="X820" s="4"/>
    </row>
    <row r="821">
      <c r="A821" s="4"/>
      <c r="B821" s="46"/>
      <c r="C821" s="4"/>
      <c r="D821" s="4"/>
      <c r="E821" s="4"/>
      <c r="F821" s="4"/>
      <c r="G821" s="4"/>
      <c r="H821" s="4"/>
      <c r="I821" s="4"/>
      <c r="J821" s="4"/>
      <c r="K821" s="4"/>
      <c r="L821" s="4"/>
      <c r="M821" s="4"/>
      <c r="N821" s="4"/>
      <c r="O821" s="4"/>
      <c r="P821" s="4"/>
      <c r="Q821" s="4"/>
      <c r="R821" s="4"/>
      <c r="S821" s="4"/>
      <c r="T821" s="4"/>
      <c r="U821" s="4"/>
      <c r="V821" s="4"/>
      <c r="W821" s="4"/>
      <c r="X821" s="4"/>
    </row>
    <row r="822">
      <c r="A822" s="4"/>
      <c r="B822" s="46"/>
      <c r="C822" s="4"/>
      <c r="D822" s="4"/>
      <c r="E822" s="4"/>
      <c r="F822" s="4"/>
      <c r="G822" s="4"/>
      <c r="H822" s="4"/>
      <c r="I822" s="4"/>
      <c r="J822" s="4"/>
      <c r="K822" s="4"/>
      <c r="L822" s="4"/>
      <c r="M822" s="4"/>
      <c r="N822" s="4"/>
      <c r="O822" s="4"/>
      <c r="P822" s="4"/>
      <c r="Q822" s="4"/>
      <c r="R822" s="4"/>
      <c r="S822" s="4"/>
      <c r="T822" s="4"/>
      <c r="U822" s="4"/>
      <c r="V822" s="4"/>
      <c r="W822" s="4"/>
      <c r="X822" s="4"/>
    </row>
    <row r="823">
      <c r="A823" s="4"/>
      <c r="B823" s="46"/>
      <c r="C823" s="4"/>
      <c r="D823" s="4"/>
      <c r="E823" s="4"/>
      <c r="F823" s="4"/>
      <c r="G823" s="4"/>
      <c r="H823" s="4"/>
      <c r="I823" s="4"/>
      <c r="J823" s="4"/>
      <c r="K823" s="4"/>
      <c r="L823" s="4"/>
      <c r="M823" s="4"/>
      <c r="N823" s="4"/>
      <c r="O823" s="4"/>
      <c r="P823" s="4"/>
      <c r="Q823" s="4"/>
      <c r="R823" s="4"/>
      <c r="S823" s="4"/>
      <c r="T823" s="4"/>
      <c r="U823" s="4"/>
      <c r="V823" s="4"/>
      <c r="W823" s="4"/>
      <c r="X823" s="4"/>
    </row>
    <row r="824">
      <c r="A824" s="4"/>
      <c r="B824" s="46"/>
      <c r="C824" s="4"/>
      <c r="D824" s="4"/>
      <c r="E824" s="4"/>
      <c r="F824" s="4"/>
      <c r="G824" s="4"/>
      <c r="H824" s="4"/>
      <c r="I824" s="4"/>
      <c r="J824" s="4"/>
      <c r="K824" s="4"/>
      <c r="L824" s="4"/>
      <c r="M824" s="4"/>
      <c r="N824" s="4"/>
      <c r="O824" s="4"/>
      <c r="P824" s="4"/>
      <c r="Q824" s="4"/>
      <c r="R824" s="4"/>
      <c r="S824" s="4"/>
      <c r="T824" s="4"/>
      <c r="U824" s="4"/>
      <c r="V824" s="4"/>
      <c r="W824" s="4"/>
      <c r="X824" s="4"/>
    </row>
    <row r="825">
      <c r="A825" s="4"/>
      <c r="B825" s="46"/>
      <c r="C825" s="4"/>
      <c r="D825" s="4"/>
      <c r="E825" s="4"/>
      <c r="F825" s="4"/>
      <c r="G825" s="4"/>
      <c r="H825" s="4"/>
      <c r="I825" s="4"/>
      <c r="J825" s="4"/>
      <c r="K825" s="4"/>
      <c r="L825" s="4"/>
      <c r="M825" s="4"/>
      <c r="N825" s="4"/>
      <c r="O825" s="4"/>
      <c r="P825" s="4"/>
      <c r="Q825" s="4"/>
      <c r="R825" s="4"/>
      <c r="S825" s="4"/>
      <c r="T825" s="4"/>
      <c r="U825" s="4"/>
      <c r="V825" s="4"/>
      <c r="W825" s="4"/>
      <c r="X825" s="4"/>
    </row>
    <row r="826">
      <c r="A826" s="4"/>
      <c r="B826" s="46"/>
      <c r="C826" s="4"/>
      <c r="D826" s="4"/>
      <c r="E826" s="4"/>
      <c r="F826" s="4"/>
      <c r="G826" s="4"/>
      <c r="H826" s="4"/>
      <c r="I826" s="4"/>
      <c r="J826" s="4"/>
      <c r="K826" s="4"/>
      <c r="L826" s="4"/>
      <c r="M826" s="4"/>
      <c r="N826" s="4"/>
      <c r="O826" s="4"/>
      <c r="P826" s="4"/>
      <c r="Q826" s="4"/>
      <c r="R826" s="4"/>
      <c r="S826" s="4"/>
      <c r="T826" s="4"/>
      <c r="U826" s="4"/>
      <c r="V826" s="4"/>
      <c r="W826" s="4"/>
      <c r="X826" s="4"/>
    </row>
    <row r="827">
      <c r="A827" s="4"/>
      <c r="B827" s="46"/>
      <c r="C827" s="4"/>
      <c r="D827" s="4"/>
      <c r="E827" s="4"/>
      <c r="F827" s="4"/>
      <c r="G827" s="4"/>
      <c r="H827" s="4"/>
      <c r="I827" s="4"/>
      <c r="J827" s="4"/>
      <c r="K827" s="4"/>
      <c r="L827" s="4"/>
      <c r="M827" s="4"/>
      <c r="N827" s="4"/>
      <c r="O827" s="4"/>
      <c r="P827" s="4"/>
      <c r="Q827" s="4"/>
      <c r="R827" s="4"/>
      <c r="S827" s="4"/>
      <c r="T827" s="4"/>
      <c r="U827" s="4"/>
      <c r="V827" s="4"/>
      <c r="W827" s="4"/>
      <c r="X827" s="4"/>
    </row>
    <row r="828">
      <c r="A828" s="4"/>
      <c r="B828" s="46"/>
      <c r="C828" s="4"/>
      <c r="D828" s="4"/>
      <c r="E828" s="4"/>
      <c r="F828" s="4"/>
      <c r="G828" s="4"/>
      <c r="H828" s="4"/>
      <c r="I828" s="4"/>
      <c r="J828" s="4"/>
      <c r="K828" s="4"/>
      <c r="L828" s="4"/>
      <c r="M828" s="4"/>
      <c r="N828" s="4"/>
      <c r="O828" s="4"/>
      <c r="P828" s="4"/>
      <c r="Q828" s="4"/>
      <c r="R828" s="4"/>
      <c r="S828" s="4"/>
      <c r="T828" s="4"/>
      <c r="U828" s="4"/>
      <c r="V828" s="4"/>
      <c r="W828" s="4"/>
      <c r="X828" s="4"/>
    </row>
    <row r="829">
      <c r="A829" s="4"/>
      <c r="B829" s="46"/>
      <c r="C829" s="4"/>
      <c r="D829" s="4"/>
      <c r="E829" s="4"/>
      <c r="F829" s="4"/>
      <c r="G829" s="4"/>
      <c r="H829" s="4"/>
      <c r="I829" s="4"/>
      <c r="J829" s="4"/>
      <c r="K829" s="4"/>
      <c r="L829" s="4"/>
      <c r="M829" s="4"/>
      <c r="N829" s="4"/>
      <c r="O829" s="4"/>
      <c r="P829" s="4"/>
      <c r="Q829" s="4"/>
      <c r="R829" s="4"/>
      <c r="S829" s="4"/>
      <c r="T829" s="4"/>
      <c r="U829" s="4"/>
      <c r="V829" s="4"/>
      <c r="W829" s="4"/>
      <c r="X829" s="4"/>
    </row>
    <row r="830">
      <c r="A830" s="4"/>
      <c r="B830" s="46"/>
      <c r="C830" s="4"/>
      <c r="D830" s="4"/>
      <c r="E830" s="4"/>
      <c r="F830" s="4"/>
      <c r="G830" s="4"/>
      <c r="H830" s="4"/>
      <c r="I830" s="4"/>
      <c r="J830" s="4"/>
      <c r="K830" s="4"/>
      <c r="L830" s="4"/>
      <c r="M830" s="4"/>
      <c r="N830" s="4"/>
      <c r="O830" s="4"/>
      <c r="P830" s="4"/>
      <c r="Q830" s="4"/>
      <c r="R830" s="4"/>
      <c r="S830" s="4"/>
      <c r="T830" s="4"/>
      <c r="U830" s="4"/>
      <c r="V830" s="4"/>
      <c r="W830" s="4"/>
      <c r="X830" s="4"/>
    </row>
    <row r="831">
      <c r="A831" s="4"/>
      <c r="B831" s="46"/>
      <c r="C831" s="4"/>
      <c r="D831" s="4"/>
      <c r="E831" s="4"/>
      <c r="F831" s="4"/>
      <c r="G831" s="4"/>
      <c r="H831" s="4"/>
      <c r="I831" s="4"/>
      <c r="J831" s="4"/>
      <c r="K831" s="4"/>
      <c r="L831" s="4"/>
      <c r="M831" s="4"/>
      <c r="N831" s="4"/>
      <c r="O831" s="4"/>
      <c r="P831" s="4"/>
      <c r="Q831" s="4"/>
      <c r="R831" s="4"/>
      <c r="S831" s="4"/>
      <c r="T831" s="4"/>
      <c r="U831" s="4"/>
      <c r="V831" s="4"/>
      <c r="W831" s="4"/>
      <c r="X831" s="4"/>
    </row>
    <row r="832">
      <c r="A832" s="4"/>
      <c r="B832" s="46"/>
      <c r="C832" s="4"/>
      <c r="D832" s="4"/>
      <c r="E832" s="4"/>
      <c r="F832" s="4"/>
      <c r="G832" s="4"/>
      <c r="H832" s="4"/>
      <c r="I832" s="4"/>
      <c r="J832" s="4"/>
      <c r="K832" s="4"/>
      <c r="L832" s="4"/>
      <c r="M832" s="4"/>
      <c r="N832" s="4"/>
      <c r="O832" s="4"/>
      <c r="P832" s="4"/>
      <c r="Q832" s="4"/>
      <c r="R832" s="4"/>
      <c r="S832" s="4"/>
      <c r="T832" s="4"/>
      <c r="U832" s="4"/>
      <c r="V832" s="4"/>
      <c r="W832" s="4"/>
      <c r="X832" s="4"/>
    </row>
    <row r="833">
      <c r="A833" s="4"/>
      <c r="B833" s="46"/>
      <c r="C833" s="4"/>
      <c r="D833" s="4"/>
      <c r="E833" s="4"/>
      <c r="F833" s="4"/>
      <c r="G833" s="4"/>
      <c r="H833" s="4"/>
      <c r="I833" s="4"/>
      <c r="J833" s="4"/>
      <c r="K833" s="4"/>
      <c r="L833" s="4"/>
      <c r="M833" s="4"/>
      <c r="N833" s="4"/>
      <c r="O833" s="4"/>
      <c r="P833" s="4"/>
      <c r="Q833" s="4"/>
      <c r="R833" s="4"/>
      <c r="S833" s="4"/>
      <c r="T833" s="4"/>
      <c r="U833" s="4"/>
      <c r="V833" s="4"/>
      <c r="W833" s="4"/>
      <c r="X833" s="4"/>
    </row>
    <row r="834">
      <c r="A834" s="4"/>
      <c r="B834" s="46"/>
      <c r="C834" s="4"/>
      <c r="D834" s="4"/>
      <c r="E834" s="4"/>
      <c r="F834" s="4"/>
      <c r="G834" s="4"/>
      <c r="H834" s="4"/>
      <c r="I834" s="4"/>
      <c r="J834" s="4"/>
      <c r="K834" s="4"/>
      <c r="L834" s="4"/>
      <c r="M834" s="4"/>
      <c r="N834" s="4"/>
      <c r="O834" s="4"/>
      <c r="P834" s="4"/>
      <c r="Q834" s="4"/>
      <c r="R834" s="4"/>
      <c r="S834" s="4"/>
      <c r="T834" s="4"/>
      <c r="U834" s="4"/>
      <c r="V834" s="4"/>
      <c r="W834" s="4"/>
      <c r="X834" s="4"/>
    </row>
    <row r="835">
      <c r="A835" s="4"/>
      <c r="B835" s="46"/>
      <c r="C835" s="4"/>
      <c r="D835" s="4"/>
      <c r="E835" s="4"/>
      <c r="F835" s="4"/>
      <c r="G835" s="4"/>
      <c r="H835" s="4"/>
      <c r="I835" s="4"/>
      <c r="J835" s="4"/>
      <c r="K835" s="4"/>
      <c r="L835" s="4"/>
      <c r="M835" s="4"/>
      <c r="N835" s="4"/>
      <c r="O835" s="4"/>
      <c r="P835" s="4"/>
      <c r="Q835" s="4"/>
      <c r="R835" s="4"/>
      <c r="S835" s="4"/>
      <c r="T835" s="4"/>
      <c r="U835" s="4"/>
      <c r="V835" s="4"/>
      <c r="W835" s="4"/>
      <c r="X835" s="4"/>
    </row>
    <row r="836">
      <c r="A836" s="4"/>
      <c r="B836" s="46"/>
      <c r="C836" s="4"/>
      <c r="D836" s="4"/>
      <c r="E836" s="4"/>
      <c r="F836" s="4"/>
      <c r="G836" s="4"/>
      <c r="H836" s="4"/>
      <c r="I836" s="4"/>
      <c r="J836" s="4"/>
      <c r="K836" s="4"/>
      <c r="L836" s="4"/>
      <c r="M836" s="4"/>
      <c r="N836" s="4"/>
      <c r="O836" s="4"/>
      <c r="P836" s="4"/>
      <c r="Q836" s="4"/>
      <c r="R836" s="4"/>
      <c r="S836" s="4"/>
      <c r="T836" s="4"/>
      <c r="U836" s="4"/>
      <c r="V836" s="4"/>
      <c r="W836" s="4"/>
      <c r="X836" s="4"/>
    </row>
    <row r="837">
      <c r="A837" s="4"/>
      <c r="B837" s="46"/>
      <c r="C837" s="4"/>
      <c r="D837" s="4"/>
      <c r="E837" s="4"/>
      <c r="F837" s="4"/>
      <c r="G837" s="4"/>
      <c r="H837" s="4"/>
      <c r="I837" s="4"/>
      <c r="J837" s="4"/>
      <c r="K837" s="4"/>
      <c r="L837" s="4"/>
      <c r="M837" s="4"/>
      <c r="N837" s="4"/>
      <c r="O837" s="4"/>
      <c r="P837" s="4"/>
      <c r="Q837" s="4"/>
      <c r="R837" s="4"/>
      <c r="S837" s="4"/>
      <c r="T837" s="4"/>
      <c r="U837" s="4"/>
      <c r="V837" s="4"/>
      <c r="W837" s="4"/>
      <c r="X837" s="4"/>
    </row>
    <row r="838">
      <c r="A838" s="4"/>
      <c r="B838" s="46"/>
      <c r="C838" s="4"/>
      <c r="D838" s="4"/>
      <c r="E838" s="4"/>
      <c r="F838" s="4"/>
      <c r="G838" s="4"/>
      <c r="H838" s="4"/>
      <c r="I838" s="4"/>
      <c r="J838" s="4"/>
      <c r="K838" s="4"/>
      <c r="L838" s="4"/>
      <c r="M838" s="4"/>
      <c r="N838" s="4"/>
      <c r="O838" s="4"/>
      <c r="P838" s="4"/>
      <c r="Q838" s="4"/>
      <c r="R838" s="4"/>
      <c r="S838" s="4"/>
      <c r="T838" s="4"/>
      <c r="U838" s="4"/>
      <c r="V838" s="4"/>
      <c r="W838" s="4"/>
      <c r="X838" s="4"/>
    </row>
    <row r="839">
      <c r="A839" s="4"/>
      <c r="B839" s="46"/>
      <c r="C839" s="4"/>
      <c r="D839" s="4"/>
      <c r="E839" s="4"/>
      <c r="F839" s="4"/>
      <c r="G839" s="4"/>
      <c r="H839" s="4"/>
      <c r="I839" s="4"/>
      <c r="J839" s="4"/>
      <c r="K839" s="4"/>
      <c r="L839" s="4"/>
      <c r="M839" s="4"/>
      <c r="N839" s="4"/>
      <c r="O839" s="4"/>
      <c r="P839" s="4"/>
      <c r="Q839" s="4"/>
      <c r="R839" s="4"/>
      <c r="S839" s="4"/>
      <c r="T839" s="4"/>
      <c r="U839" s="4"/>
      <c r="V839" s="4"/>
      <c r="W839" s="4"/>
      <c r="X839" s="4"/>
    </row>
    <row r="840">
      <c r="A840" s="4"/>
      <c r="B840" s="46"/>
      <c r="C840" s="4"/>
      <c r="D840" s="4"/>
      <c r="E840" s="4"/>
      <c r="F840" s="4"/>
      <c r="G840" s="4"/>
      <c r="H840" s="4"/>
      <c r="I840" s="4"/>
      <c r="J840" s="4"/>
      <c r="K840" s="4"/>
      <c r="L840" s="4"/>
      <c r="M840" s="4"/>
      <c r="N840" s="4"/>
      <c r="O840" s="4"/>
      <c r="P840" s="4"/>
      <c r="Q840" s="4"/>
      <c r="R840" s="4"/>
      <c r="S840" s="4"/>
      <c r="T840" s="4"/>
      <c r="U840" s="4"/>
      <c r="V840" s="4"/>
      <c r="W840" s="4"/>
      <c r="X840" s="4"/>
    </row>
    <row r="841">
      <c r="A841" s="4"/>
      <c r="B841" s="46"/>
      <c r="C841" s="4"/>
      <c r="D841" s="4"/>
      <c r="E841" s="4"/>
      <c r="F841" s="4"/>
      <c r="G841" s="4"/>
      <c r="H841" s="4"/>
      <c r="I841" s="4"/>
      <c r="J841" s="4"/>
      <c r="K841" s="4"/>
      <c r="L841" s="4"/>
      <c r="M841" s="4"/>
      <c r="N841" s="4"/>
      <c r="O841" s="4"/>
      <c r="P841" s="4"/>
      <c r="Q841" s="4"/>
      <c r="R841" s="4"/>
      <c r="S841" s="4"/>
      <c r="T841" s="4"/>
      <c r="U841" s="4"/>
      <c r="V841" s="4"/>
      <c r="W841" s="4"/>
      <c r="X841" s="4"/>
    </row>
    <row r="842">
      <c r="A842" s="4"/>
      <c r="B842" s="46"/>
      <c r="C842" s="4"/>
      <c r="D842" s="4"/>
      <c r="E842" s="4"/>
      <c r="F842" s="4"/>
      <c r="G842" s="4"/>
      <c r="H842" s="4"/>
      <c r="I842" s="4"/>
      <c r="J842" s="4"/>
      <c r="K842" s="4"/>
      <c r="L842" s="4"/>
      <c r="M842" s="4"/>
      <c r="N842" s="4"/>
      <c r="O842" s="4"/>
      <c r="P842" s="4"/>
      <c r="Q842" s="4"/>
      <c r="R842" s="4"/>
      <c r="S842" s="4"/>
      <c r="T842" s="4"/>
      <c r="U842" s="4"/>
      <c r="V842" s="4"/>
      <c r="W842" s="4"/>
      <c r="X842" s="4"/>
    </row>
    <row r="843">
      <c r="A843" s="4"/>
      <c r="B843" s="46"/>
      <c r="C843" s="4"/>
      <c r="D843" s="4"/>
      <c r="E843" s="4"/>
      <c r="F843" s="4"/>
      <c r="G843" s="4"/>
      <c r="H843" s="4"/>
      <c r="I843" s="4"/>
      <c r="J843" s="4"/>
      <c r="K843" s="4"/>
      <c r="L843" s="4"/>
      <c r="M843" s="4"/>
      <c r="N843" s="4"/>
      <c r="O843" s="4"/>
      <c r="P843" s="4"/>
      <c r="Q843" s="4"/>
      <c r="R843" s="4"/>
      <c r="S843" s="4"/>
      <c r="T843" s="4"/>
      <c r="U843" s="4"/>
      <c r="V843" s="4"/>
      <c r="W843" s="4"/>
      <c r="X843" s="4"/>
    </row>
    <row r="844">
      <c r="A844" s="4"/>
      <c r="B844" s="46"/>
      <c r="C844" s="4"/>
      <c r="D844" s="4"/>
      <c r="E844" s="4"/>
      <c r="F844" s="4"/>
      <c r="G844" s="4"/>
      <c r="H844" s="4"/>
      <c r="I844" s="4"/>
      <c r="J844" s="4"/>
      <c r="K844" s="4"/>
      <c r="L844" s="4"/>
      <c r="M844" s="4"/>
      <c r="N844" s="4"/>
      <c r="O844" s="4"/>
      <c r="P844" s="4"/>
      <c r="Q844" s="4"/>
      <c r="R844" s="4"/>
      <c r="S844" s="4"/>
      <c r="T844" s="4"/>
      <c r="U844" s="4"/>
      <c r="V844" s="4"/>
      <c r="W844" s="4"/>
      <c r="X844" s="4"/>
    </row>
    <row r="845">
      <c r="A845" s="4"/>
      <c r="B845" s="46"/>
      <c r="C845" s="4"/>
      <c r="D845" s="4"/>
      <c r="E845" s="4"/>
      <c r="F845" s="4"/>
      <c r="G845" s="4"/>
      <c r="H845" s="4"/>
      <c r="I845" s="4"/>
      <c r="J845" s="4"/>
      <c r="K845" s="4"/>
      <c r="L845" s="4"/>
      <c r="M845" s="4"/>
      <c r="N845" s="4"/>
      <c r="O845" s="4"/>
      <c r="P845" s="4"/>
      <c r="Q845" s="4"/>
      <c r="R845" s="4"/>
      <c r="S845" s="4"/>
      <c r="T845" s="4"/>
      <c r="U845" s="4"/>
      <c r="V845" s="4"/>
      <c r="W845" s="4"/>
      <c r="X845" s="4"/>
    </row>
    <row r="846">
      <c r="A846" s="4"/>
      <c r="B846" s="46"/>
      <c r="C846" s="4"/>
      <c r="D846" s="4"/>
      <c r="E846" s="4"/>
      <c r="F846" s="4"/>
      <c r="G846" s="4"/>
      <c r="H846" s="4"/>
      <c r="I846" s="4"/>
      <c r="J846" s="4"/>
      <c r="K846" s="4"/>
      <c r="L846" s="4"/>
      <c r="M846" s="4"/>
      <c r="N846" s="4"/>
      <c r="O846" s="4"/>
      <c r="P846" s="4"/>
      <c r="Q846" s="4"/>
      <c r="R846" s="4"/>
      <c r="S846" s="4"/>
      <c r="T846" s="4"/>
      <c r="U846" s="4"/>
      <c r="V846" s="4"/>
      <c r="W846" s="4"/>
      <c r="X846" s="4"/>
    </row>
    <row r="847">
      <c r="A847" s="4"/>
      <c r="B847" s="46"/>
      <c r="C847" s="4"/>
      <c r="D847" s="4"/>
      <c r="E847" s="4"/>
      <c r="F847" s="4"/>
      <c r="G847" s="4"/>
      <c r="H847" s="4"/>
      <c r="I847" s="4"/>
      <c r="J847" s="4"/>
      <c r="K847" s="4"/>
      <c r="L847" s="4"/>
      <c r="M847" s="4"/>
      <c r="N847" s="4"/>
      <c r="O847" s="4"/>
      <c r="P847" s="4"/>
      <c r="Q847" s="4"/>
      <c r="R847" s="4"/>
      <c r="S847" s="4"/>
      <c r="T847" s="4"/>
      <c r="U847" s="4"/>
      <c r="V847" s="4"/>
      <c r="W847" s="4"/>
      <c r="X847" s="4"/>
    </row>
    <row r="848">
      <c r="A848" s="4"/>
      <c r="B848" s="46"/>
      <c r="C848" s="4"/>
      <c r="D848" s="4"/>
      <c r="E848" s="4"/>
      <c r="F848" s="4"/>
      <c r="G848" s="4"/>
      <c r="H848" s="4"/>
      <c r="I848" s="4"/>
      <c r="J848" s="4"/>
      <c r="K848" s="4"/>
      <c r="L848" s="4"/>
      <c r="M848" s="4"/>
      <c r="N848" s="4"/>
      <c r="O848" s="4"/>
      <c r="P848" s="4"/>
      <c r="Q848" s="4"/>
      <c r="R848" s="4"/>
      <c r="S848" s="4"/>
      <c r="T848" s="4"/>
      <c r="U848" s="4"/>
      <c r="V848" s="4"/>
      <c r="W848" s="4"/>
      <c r="X848" s="4"/>
    </row>
    <row r="849">
      <c r="A849" s="4"/>
      <c r="B849" s="46"/>
      <c r="C849" s="4"/>
      <c r="D849" s="4"/>
      <c r="E849" s="4"/>
      <c r="F849" s="4"/>
      <c r="G849" s="4"/>
      <c r="H849" s="4"/>
      <c r="I849" s="4"/>
      <c r="J849" s="4"/>
      <c r="K849" s="4"/>
      <c r="L849" s="4"/>
      <c r="M849" s="4"/>
      <c r="N849" s="4"/>
      <c r="O849" s="4"/>
      <c r="P849" s="4"/>
      <c r="Q849" s="4"/>
      <c r="R849" s="4"/>
      <c r="S849" s="4"/>
      <c r="T849" s="4"/>
      <c r="U849" s="4"/>
      <c r="V849" s="4"/>
      <c r="W849" s="4"/>
      <c r="X849" s="4"/>
    </row>
    <row r="850">
      <c r="A850" s="4"/>
      <c r="B850" s="46"/>
      <c r="C850" s="4"/>
      <c r="D850" s="4"/>
      <c r="E850" s="4"/>
      <c r="F850" s="4"/>
      <c r="G850" s="4"/>
      <c r="H850" s="4"/>
      <c r="I850" s="4"/>
      <c r="J850" s="4"/>
      <c r="K850" s="4"/>
      <c r="L850" s="4"/>
      <c r="M850" s="4"/>
      <c r="N850" s="4"/>
      <c r="O850" s="4"/>
      <c r="P850" s="4"/>
      <c r="Q850" s="4"/>
      <c r="R850" s="4"/>
      <c r="S850" s="4"/>
      <c r="T850" s="4"/>
      <c r="U850" s="4"/>
      <c r="V850" s="4"/>
      <c r="W850" s="4"/>
      <c r="X850" s="4"/>
    </row>
    <row r="851">
      <c r="A851" s="4"/>
      <c r="B851" s="46"/>
      <c r="C851" s="4"/>
      <c r="D851" s="4"/>
      <c r="E851" s="4"/>
      <c r="F851" s="4"/>
      <c r="G851" s="4"/>
      <c r="H851" s="4"/>
      <c r="I851" s="4"/>
      <c r="J851" s="4"/>
      <c r="K851" s="4"/>
      <c r="L851" s="4"/>
      <c r="M851" s="4"/>
      <c r="N851" s="4"/>
      <c r="O851" s="4"/>
      <c r="P851" s="4"/>
      <c r="Q851" s="4"/>
      <c r="R851" s="4"/>
      <c r="S851" s="4"/>
      <c r="T851" s="4"/>
      <c r="U851" s="4"/>
      <c r="V851" s="4"/>
      <c r="W851" s="4"/>
      <c r="X851" s="4"/>
    </row>
    <row r="852">
      <c r="A852" s="4"/>
      <c r="B852" s="46"/>
      <c r="C852" s="4"/>
      <c r="D852" s="4"/>
      <c r="E852" s="4"/>
      <c r="F852" s="4"/>
      <c r="G852" s="4"/>
      <c r="H852" s="4"/>
      <c r="I852" s="4"/>
      <c r="J852" s="4"/>
      <c r="K852" s="4"/>
      <c r="L852" s="4"/>
      <c r="M852" s="4"/>
      <c r="N852" s="4"/>
      <c r="O852" s="4"/>
      <c r="P852" s="4"/>
      <c r="Q852" s="4"/>
      <c r="R852" s="4"/>
      <c r="S852" s="4"/>
      <c r="T852" s="4"/>
      <c r="U852" s="4"/>
      <c r="V852" s="4"/>
      <c r="W852" s="4"/>
      <c r="X852" s="4"/>
    </row>
    <row r="853">
      <c r="A853" s="4"/>
      <c r="B853" s="46"/>
      <c r="C853" s="4"/>
      <c r="D853" s="4"/>
      <c r="E853" s="4"/>
      <c r="F853" s="4"/>
      <c r="G853" s="4"/>
      <c r="H853" s="4"/>
      <c r="I853" s="4"/>
      <c r="J853" s="4"/>
      <c r="K853" s="4"/>
      <c r="L853" s="4"/>
      <c r="M853" s="4"/>
      <c r="N853" s="4"/>
      <c r="O853" s="4"/>
      <c r="P853" s="4"/>
      <c r="Q853" s="4"/>
      <c r="R853" s="4"/>
      <c r="S853" s="4"/>
      <c r="T853" s="4"/>
      <c r="U853" s="4"/>
      <c r="V853" s="4"/>
      <c r="W853" s="4"/>
      <c r="X853" s="4"/>
    </row>
    <row r="854">
      <c r="A854" s="4"/>
      <c r="B854" s="46"/>
      <c r="C854" s="4"/>
      <c r="D854" s="4"/>
      <c r="E854" s="4"/>
      <c r="F854" s="4"/>
      <c r="G854" s="4"/>
      <c r="H854" s="4"/>
      <c r="I854" s="4"/>
      <c r="J854" s="4"/>
      <c r="K854" s="4"/>
      <c r="L854" s="4"/>
      <c r="M854" s="4"/>
      <c r="N854" s="4"/>
      <c r="O854" s="4"/>
      <c r="P854" s="4"/>
      <c r="Q854" s="4"/>
      <c r="R854" s="4"/>
      <c r="S854" s="4"/>
      <c r="T854" s="4"/>
      <c r="U854" s="4"/>
      <c r="V854" s="4"/>
      <c r="W854" s="4"/>
      <c r="X854" s="4"/>
    </row>
    <row r="855">
      <c r="A855" s="4"/>
      <c r="B855" s="46"/>
      <c r="C855" s="4"/>
      <c r="D855" s="4"/>
      <c r="E855" s="4"/>
      <c r="F855" s="4"/>
      <c r="G855" s="4"/>
      <c r="H855" s="4"/>
      <c r="I855" s="4"/>
      <c r="J855" s="4"/>
      <c r="K855" s="4"/>
      <c r="L855" s="4"/>
      <c r="M855" s="4"/>
      <c r="N855" s="4"/>
      <c r="O855" s="4"/>
      <c r="P855" s="4"/>
      <c r="Q855" s="4"/>
      <c r="R855" s="4"/>
      <c r="S855" s="4"/>
      <c r="T855" s="4"/>
      <c r="U855" s="4"/>
      <c r="V855" s="4"/>
      <c r="W855" s="4"/>
      <c r="X855" s="4"/>
    </row>
    <row r="856">
      <c r="A856" s="4"/>
      <c r="B856" s="46"/>
      <c r="C856" s="4"/>
      <c r="D856" s="4"/>
      <c r="E856" s="4"/>
      <c r="F856" s="4"/>
      <c r="G856" s="4"/>
      <c r="H856" s="4"/>
      <c r="I856" s="4"/>
      <c r="J856" s="4"/>
      <c r="K856" s="4"/>
      <c r="L856" s="4"/>
      <c r="M856" s="4"/>
      <c r="N856" s="4"/>
      <c r="O856" s="4"/>
      <c r="P856" s="4"/>
      <c r="Q856" s="4"/>
      <c r="R856" s="4"/>
      <c r="S856" s="4"/>
      <c r="T856" s="4"/>
      <c r="U856" s="4"/>
      <c r="V856" s="4"/>
      <c r="W856" s="4"/>
      <c r="X856" s="4"/>
    </row>
    <row r="857">
      <c r="A857" s="4"/>
      <c r="B857" s="46"/>
      <c r="C857" s="4"/>
      <c r="D857" s="4"/>
      <c r="E857" s="4"/>
      <c r="F857" s="4"/>
      <c r="G857" s="4"/>
      <c r="H857" s="4"/>
      <c r="I857" s="4"/>
      <c r="J857" s="4"/>
      <c r="K857" s="4"/>
      <c r="L857" s="4"/>
      <c r="M857" s="4"/>
      <c r="N857" s="4"/>
      <c r="O857" s="4"/>
      <c r="P857" s="4"/>
      <c r="Q857" s="4"/>
      <c r="R857" s="4"/>
      <c r="S857" s="4"/>
      <c r="T857" s="4"/>
      <c r="U857" s="4"/>
      <c r="V857" s="4"/>
      <c r="W857" s="4"/>
      <c r="X857" s="4"/>
    </row>
    <row r="858">
      <c r="A858" s="4"/>
      <c r="B858" s="46"/>
      <c r="C858" s="4"/>
      <c r="D858" s="4"/>
      <c r="E858" s="4"/>
      <c r="F858" s="4"/>
      <c r="G858" s="4"/>
      <c r="H858" s="4"/>
      <c r="I858" s="4"/>
      <c r="J858" s="4"/>
      <c r="K858" s="4"/>
      <c r="L858" s="4"/>
      <c r="M858" s="4"/>
      <c r="N858" s="4"/>
      <c r="O858" s="4"/>
      <c r="P858" s="4"/>
      <c r="Q858" s="4"/>
      <c r="R858" s="4"/>
      <c r="S858" s="4"/>
      <c r="T858" s="4"/>
      <c r="U858" s="4"/>
      <c r="V858" s="4"/>
      <c r="W858" s="4"/>
      <c r="X858" s="4"/>
    </row>
    <row r="859">
      <c r="A859" s="4"/>
      <c r="B859" s="46"/>
      <c r="C859" s="4"/>
      <c r="D859" s="4"/>
      <c r="E859" s="4"/>
      <c r="F859" s="4"/>
      <c r="G859" s="4"/>
      <c r="H859" s="4"/>
      <c r="I859" s="4"/>
      <c r="J859" s="4"/>
      <c r="K859" s="4"/>
      <c r="L859" s="4"/>
      <c r="M859" s="4"/>
      <c r="N859" s="4"/>
      <c r="O859" s="4"/>
      <c r="P859" s="4"/>
      <c r="Q859" s="4"/>
      <c r="R859" s="4"/>
      <c r="S859" s="4"/>
      <c r="T859" s="4"/>
      <c r="U859" s="4"/>
      <c r="V859" s="4"/>
      <c r="W859" s="4"/>
      <c r="X859" s="4"/>
    </row>
    <row r="860">
      <c r="A860" s="4"/>
      <c r="B860" s="46"/>
      <c r="C860" s="4"/>
      <c r="D860" s="4"/>
      <c r="E860" s="4"/>
      <c r="F860" s="4"/>
      <c r="G860" s="4"/>
      <c r="H860" s="4"/>
      <c r="I860" s="4"/>
      <c r="J860" s="4"/>
      <c r="K860" s="4"/>
      <c r="L860" s="4"/>
      <c r="M860" s="4"/>
      <c r="N860" s="4"/>
      <c r="O860" s="4"/>
      <c r="P860" s="4"/>
      <c r="Q860" s="4"/>
      <c r="R860" s="4"/>
      <c r="S860" s="4"/>
      <c r="T860" s="4"/>
      <c r="U860" s="4"/>
      <c r="V860" s="4"/>
      <c r="W860" s="4"/>
      <c r="X860" s="4"/>
    </row>
    <row r="861">
      <c r="A861" s="4"/>
      <c r="B861" s="46"/>
      <c r="C861" s="4"/>
      <c r="D861" s="4"/>
      <c r="E861" s="4"/>
      <c r="F861" s="4"/>
      <c r="G861" s="4"/>
      <c r="H861" s="4"/>
      <c r="I861" s="4"/>
      <c r="J861" s="4"/>
      <c r="K861" s="4"/>
      <c r="L861" s="4"/>
      <c r="M861" s="4"/>
      <c r="N861" s="4"/>
      <c r="O861" s="4"/>
      <c r="P861" s="4"/>
      <c r="Q861" s="4"/>
      <c r="R861" s="4"/>
      <c r="S861" s="4"/>
      <c r="T861" s="4"/>
      <c r="U861" s="4"/>
      <c r="V861" s="4"/>
      <c r="W861" s="4"/>
      <c r="X861" s="4"/>
    </row>
    <row r="862">
      <c r="A862" s="4"/>
      <c r="B862" s="46"/>
      <c r="C862" s="4"/>
      <c r="D862" s="4"/>
      <c r="E862" s="4"/>
      <c r="F862" s="4"/>
      <c r="G862" s="4"/>
      <c r="H862" s="4"/>
      <c r="I862" s="4"/>
      <c r="J862" s="4"/>
      <c r="K862" s="4"/>
      <c r="L862" s="4"/>
      <c r="M862" s="4"/>
      <c r="N862" s="4"/>
      <c r="O862" s="4"/>
      <c r="P862" s="4"/>
      <c r="Q862" s="4"/>
      <c r="R862" s="4"/>
      <c r="S862" s="4"/>
      <c r="T862" s="4"/>
      <c r="U862" s="4"/>
      <c r="V862" s="4"/>
      <c r="W862" s="4"/>
      <c r="X862" s="4"/>
    </row>
    <row r="863">
      <c r="A863" s="4"/>
      <c r="B863" s="46"/>
      <c r="C863" s="4"/>
      <c r="D863" s="4"/>
      <c r="E863" s="4"/>
      <c r="F863" s="4"/>
      <c r="G863" s="4"/>
      <c r="H863" s="4"/>
      <c r="I863" s="4"/>
      <c r="J863" s="4"/>
      <c r="K863" s="4"/>
      <c r="L863" s="4"/>
      <c r="M863" s="4"/>
      <c r="N863" s="4"/>
      <c r="O863" s="4"/>
      <c r="P863" s="4"/>
      <c r="Q863" s="4"/>
      <c r="R863" s="4"/>
      <c r="S863" s="4"/>
      <c r="T863" s="4"/>
      <c r="U863" s="4"/>
      <c r="V863" s="4"/>
      <c r="W863" s="4"/>
      <c r="X863" s="4"/>
    </row>
    <row r="864">
      <c r="A864" s="4"/>
      <c r="B864" s="46"/>
      <c r="C864" s="4"/>
      <c r="D864" s="4"/>
      <c r="E864" s="4"/>
      <c r="F864" s="4"/>
      <c r="G864" s="4"/>
      <c r="H864" s="4"/>
      <c r="I864" s="4"/>
      <c r="J864" s="4"/>
      <c r="K864" s="4"/>
      <c r="L864" s="4"/>
      <c r="M864" s="4"/>
      <c r="N864" s="4"/>
      <c r="O864" s="4"/>
      <c r="P864" s="4"/>
      <c r="Q864" s="4"/>
      <c r="R864" s="4"/>
      <c r="S864" s="4"/>
      <c r="T864" s="4"/>
      <c r="U864" s="4"/>
      <c r="V864" s="4"/>
      <c r="W864" s="4"/>
      <c r="X864" s="4"/>
    </row>
    <row r="865">
      <c r="A865" s="4"/>
      <c r="B865" s="46"/>
      <c r="C865" s="4"/>
      <c r="D865" s="4"/>
      <c r="E865" s="4"/>
      <c r="F865" s="4"/>
      <c r="G865" s="4"/>
      <c r="H865" s="4"/>
      <c r="I865" s="4"/>
      <c r="J865" s="4"/>
      <c r="K865" s="4"/>
      <c r="L865" s="4"/>
      <c r="M865" s="4"/>
      <c r="N865" s="4"/>
      <c r="O865" s="4"/>
      <c r="P865" s="4"/>
      <c r="Q865" s="4"/>
      <c r="R865" s="4"/>
      <c r="S865" s="4"/>
      <c r="T865" s="4"/>
      <c r="U865" s="4"/>
      <c r="V865" s="4"/>
      <c r="W865" s="4"/>
      <c r="X865" s="4"/>
    </row>
    <row r="866">
      <c r="A866" s="4"/>
      <c r="B866" s="46"/>
      <c r="C866" s="4"/>
      <c r="D866" s="4"/>
      <c r="E866" s="4"/>
      <c r="F866" s="4"/>
      <c r="G866" s="4"/>
      <c r="H866" s="4"/>
      <c r="I866" s="4"/>
      <c r="J866" s="4"/>
      <c r="K866" s="4"/>
      <c r="L866" s="4"/>
      <c r="M866" s="4"/>
      <c r="N866" s="4"/>
      <c r="O866" s="4"/>
      <c r="P866" s="4"/>
      <c r="Q866" s="4"/>
      <c r="R866" s="4"/>
      <c r="S866" s="4"/>
      <c r="T866" s="4"/>
      <c r="U866" s="4"/>
      <c r="V866" s="4"/>
      <c r="W866" s="4"/>
      <c r="X866" s="4"/>
    </row>
    <row r="867">
      <c r="A867" s="4"/>
      <c r="B867" s="46"/>
      <c r="C867" s="4"/>
      <c r="D867" s="4"/>
      <c r="E867" s="4"/>
      <c r="F867" s="4"/>
      <c r="G867" s="4"/>
      <c r="H867" s="4"/>
      <c r="I867" s="4"/>
      <c r="J867" s="4"/>
      <c r="K867" s="4"/>
      <c r="L867" s="4"/>
      <c r="M867" s="4"/>
      <c r="N867" s="4"/>
      <c r="O867" s="4"/>
      <c r="P867" s="4"/>
      <c r="Q867" s="4"/>
      <c r="R867" s="4"/>
      <c r="S867" s="4"/>
      <c r="T867" s="4"/>
      <c r="U867" s="4"/>
      <c r="V867" s="4"/>
      <c r="W867" s="4"/>
      <c r="X867" s="4"/>
    </row>
    <row r="868">
      <c r="A868" s="4"/>
      <c r="B868" s="46"/>
      <c r="C868" s="4"/>
      <c r="D868" s="4"/>
      <c r="E868" s="4"/>
      <c r="F868" s="4"/>
      <c r="G868" s="4"/>
      <c r="H868" s="4"/>
      <c r="I868" s="4"/>
      <c r="J868" s="4"/>
      <c r="K868" s="4"/>
      <c r="L868" s="4"/>
      <c r="M868" s="4"/>
      <c r="N868" s="4"/>
      <c r="O868" s="4"/>
      <c r="P868" s="4"/>
      <c r="Q868" s="4"/>
      <c r="R868" s="4"/>
      <c r="S868" s="4"/>
      <c r="T868" s="4"/>
      <c r="U868" s="4"/>
      <c r="V868" s="4"/>
      <c r="W868" s="4"/>
      <c r="X868" s="4"/>
    </row>
    <row r="869">
      <c r="A869" s="4"/>
      <c r="B869" s="46"/>
      <c r="C869" s="4"/>
      <c r="D869" s="4"/>
      <c r="E869" s="4"/>
      <c r="F869" s="4"/>
      <c r="G869" s="4"/>
      <c r="H869" s="4"/>
      <c r="I869" s="4"/>
      <c r="J869" s="4"/>
      <c r="K869" s="4"/>
      <c r="L869" s="4"/>
      <c r="M869" s="4"/>
      <c r="N869" s="4"/>
      <c r="O869" s="4"/>
      <c r="P869" s="4"/>
      <c r="Q869" s="4"/>
      <c r="R869" s="4"/>
      <c r="S869" s="4"/>
      <c r="T869" s="4"/>
      <c r="U869" s="4"/>
      <c r="V869" s="4"/>
      <c r="W869" s="4"/>
      <c r="X869" s="4"/>
    </row>
    <row r="870">
      <c r="A870" s="4"/>
      <c r="B870" s="46"/>
      <c r="C870" s="4"/>
      <c r="D870" s="4"/>
      <c r="E870" s="4"/>
      <c r="F870" s="4"/>
      <c r="G870" s="4"/>
      <c r="H870" s="4"/>
      <c r="I870" s="4"/>
      <c r="J870" s="4"/>
      <c r="K870" s="4"/>
      <c r="L870" s="4"/>
      <c r="M870" s="4"/>
      <c r="N870" s="4"/>
      <c r="O870" s="4"/>
      <c r="P870" s="4"/>
      <c r="Q870" s="4"/>
      <c r="R870" s="4"/>
      <c r="S870" s="4"/>
      <c r="T870" s="4"/>
      <c r="U870" s="4"/>
      <c r="V870" s="4"/>
      <c r="W870" s="4"/>
      <c r="X870" s="4"/>
    </row>
    <row r="871">
      <c r="A871" s="4"/>
      <c r="B871" s="46"/>
      <c r="C871" s="4"/>
      <c r="D871" s="4"/>
      <c r="E871" s="4"/>
      <c r="F871" s="4"/>
      <c r="G871" s="4"/>
      <c r="H871" s="4"/>
      <c r="I871" s="4"/>
      <c r="J871" s="4"/>
      <c r="K871" s="4"/>
      <c r="L871" s="4"/>
      <c r="M871" s="4"/>
      <c r="N871" s="4"/>
      <c r="O871" s="4"/>
      <c r="P871" s="4"/>
      <c r="Q871" s="4"/>
      <c r="R871" s="4"/>
      <c r="S871" s="4"/>
      <c r="T871" s="4"/>
      <c r="U871" s="4"/>
      <c r="V871" s="4"/>
      <c r="W871" s="4"/>
      <c r="X871" s="4"/>
    </row>
    <row r="872">
      <c r="A872" s="4"/>
      <c r="B872" s="46"/>
      <c r="C872" s="4"/>
      <c r="D872" s="4"/>
      <c r="E872" s="4"/>
      <c r="F872" s="4"/>
      <c r="G872" s="4"/>
      <c r="H872" s="4"/>
      <c r="I872" s="4"/>
      <c r="J872" s="4"/>
      <c r="K872" s="4"/>
      <c r="L872" s="4"/>
      <c r="M872" s="4"/>
      <c r="N872" s="4"/>
      <c r="O872" s="4"/>
      <c r="P872" s="4"/>
      <c r="Q872" s="4"/>
      <c r="R872" s="4"/>
      <c r="S872" s="4"/>
      <c r="T872" s="4"/>
      <c r="U872" s="4"/>
      <c r="V872" s="4"/>
      <c r="W872" s="4"/>
      <c r="X872" s="4"/>
    </row>
    <row r="873">
      <c r="A873" s="4"/>
      <c r="B873" s="46"/>
      <c r="C873" s="4"/>
      <c r="D873" s="4"/>
      <c r="E873" s="4"/>
      <c r="F873" s="4"/>
      <c r="G873" s="4"/>
      <c r="H873" s="4"/>
      <c r="I873" s="4"/>
      <c r="J873" s="4"/>
      <c r="K873" s="4"/>
      <c r="L873" s="4"/>
      <c r="M873" s="4"/>
      <c r="N873" s="4"/>
      <c r="O873" s="4"/>
      <c r="P873" s="4"/>
      <c r="Q873" s="4"/>
      <c r="R873" s="4"/>
      <c r="S873" s="4"/>
      <c r="T873" s="4"/>
      <c r="U873" s="4"/>
      <c r="V873" s="4"/>
      <c r="W873" s="4"/>
      <c r="X873" s="4"/>
    </row>
    <row r="874">
      <c r="A874" s="4"/>
      <c r="B874" s="46"/>
      <c r="C874" s="4"/>
      <c r="D874" s="4"/>
      <c r="E874" s="4"/>
      <c r="F874" s="4"/>
      <c r="G874" s="4"/>
      <c r="H874" s="4"/>
      <c r="I874" s="4"/>
      <c r="J874" s="4"/>
      <c r="K874" s="4"/>
      <c r="L874" s="4"/>
      <c r="M874" s="4"/>
      <c r="N874" s="4"/>
      <c r="O874" s="4"/>
      <c r="P874" s="4"/>
      <c r="Q874" s="4"/>
      <c r="R874" s="4"/>
      <c r="S874" s="4"/>
      <c r="T874" s="4"/>
      <c r="U874" s="4"/>
      <c r="V874" s="4"/>
      <c r="W874" s="4"/>
      <c r="X874" s="4"/>
    </row>
    <row r="875">
      <c r="A875" s="4"/>
      <c r="B875" s="46"/>
      <c r="C875" s="4"/>
      <c r="D875" s="4"/>
      <c r="E875" s="4"/>
      <c r="F875" s="4"/>
      <c r="G875" s="4"/>
      <c r="H875" s="4"/>
      <c r="I875" s="4"/>
      <c r="J875" s="4"/>
      <c r="K875" s="4"/>
      <c r="L875" s="4"/>
      <c r="M875" s="4"/>
      <c r="N875" s="4"/>
      <c r="O875" s="4"/>
      <c r="P875" s="4"/>
      <c r="Q875" s="4"/>
      <c r="R875" s="4"/>
      <c r="S875" s="4"/>
      <c r="T875" s="4"/>
      <c r="U875" s="4"/>
      <c r="V875" s="4"/>
      <c r="W875" s="4"/>
      <c r="X875" s="4"/>
    </row>
    <row r="876">
      <c r="A876" s="4"/>
      <c r="B876" s="46"/>
      <c r="C876" s="4"/>
      <c r="D876" s="4"/>
      <c r="E876" s="4"/>
      <c r="F876" s="4"/>
      <c r="G876" s="4"/>
      <c r="H876" s="4"/>
      <c r="I876" s="4"/>
      <c r="J876" s="4"/>
      <c r="K876" s="4"/>
      <c r="L876" s="4"/>
      <c r="M876" s="4"/>
      <c r="N876" s="4"/>
      <c r="O876" s="4"/>
      <c r="P876" s="4"/>
      <c r="Q876" s="4"/>
      <c r="R876" s="4"/>
      <c r="S876" s="4"/>
      <c r="T876" s="4"/>
      <c r="U876" s="4"/>
      <c r="V876" s="4"/>
      <c r="W876" s="4"/>
      <c r="X876" s="4"/>
    </row>
    <row r="877">
      <c r="A877" s="4"/>
      <c r="B877" s="46"/>
      <c r="C877" s="4"/>
      <c r="D877" s="4"/>
      <c r="E877" s="4"/>
      <c r="F877" s="4"/>
      <c r="G877" s="4"/>
      <c r="H877" s="4"/>
      <c r="I877" s="4"/>
      <c r="J877" s="4"/>
      <c r="K877" s="4"/>
      <c r="L877" s="4"/>
      <c r="M877" s="4"/>
      <c r="N877" s="4"/>
      <c r="O877" s="4"/>
      <c r="P877" s="4"/>
      <c r="Q877" s="4"/>
      <c r="R877" s="4"/>
      <c r="S877" s="4"/>
      <c r="T877" s="4"/>
      <c r="U877" s="4"/>
      <c r="V877" s="4"/>
      <c r="W877" s="4"/>
      <c r="X877" s="4"/>
    </row>
    <row r="878">
      <c r="A878" s="4"/>
      <c r="B878" s="46"/>
      <c r="C878" s="4"/>
      <c r="D878" s="4"/>
      <c r="E878" s="4"/>
      <c r="F878" s="4"/>
      <c r="G878" s="4"/>
      <c r="H878" s="4"/>
      <c r="I878" s="4"/>
      <c r="J878" s="4"/>
      <c r="K878" s="4"/>
      <c r="L878" s="4"/>
      <c r="M878" s="4"/>
      <c r="N878" s="4"/>
      <c r="O878" s="4"/>
      <c r="P878" s="4"/>
      <c r="Q878" s="4"/>
      <c r="R878" s="4"/>
      <c r="S878" s="4"/>
      <c r="T878" s="4"/>
      <c r="U878" s="4"/>
      <c r="V878" s="4"/>
      <c r="W878" s="4"/>
      <c r="X878" s="4"/>
    </row>
    <row r="879">
      <c r="A879" s="4"/>
      <c r="B879" s="46"/>
      <c r="C879" s="4"/>
      <c r="D879" s="4"/>
      <c r="E879" s="4"/>
      <c r="F879" s="4"/>
      <c r="G879" s="4"/>
      <c r="H879" s="4"/>
      <c r="I879" s="4"/>
      <c r="J879" s="4"/>
      <c r="K879" s="4"/>
      <c r="L879" s="4"/>
      <c r="M879" s="4"/>
      <c r="N879" s="4"/>
      <c r="O879" s="4"/>
      <c r="P879" s="4"/>
      <c r="Q879" s="4"/>
      <c r="R879" s="4"/>
      <c r="S879" s="4"/>
      <c r="T879" s="4"/>
      <c r="U879" s="4"/>
      <c r="V879" s="4"/>
      <c r="W879" s="4"/>
      <c r="X879" s="4"/>
    </row>
    <row r="880">
      <c r="A880" s="4"/>
      <c r="B880" s="46"/>
      <c r="C880" s="4"/>
      <c r="D880" s="4"/>
      <c r="E880" s="4"/>
      <c r="F880" s="4"/>
      <c r="G880" s="4"/>
      <c r="H880" s="4"/>
      <c r="I880" s="4"/>
      <c r="J880" s="4"/>
      <c r="K880" s="4"/>
      <c r="L880" s="4"/>
      <c r="M880" s="4"/>
      <c r="N880" s="4"/>
      <c r="O880" s="4"/>
      <c r="P880" s="4"/>
      <c r="Q880" s="4"/>
      <c r="R880" s="4"/>
      <c r="S880" s="4"/>
      <c r="T880" s="4"/>
      <c r="U880" s="4"/>
      <c r="V880" s="4"/>
      <c r="W880" s="4"/>
      <c r="X880" s="4"/>
    </row>
    <row r="881">
      <c r="A881" s="4"/>
      <c r="B881" s="46"/>
      <c r="C881" s="4"/>
      <c r="D881" s="4"/>
      <c r="E881" s="4"/>
      <c r="F881" s="4"/>
      <c r="G881" s="4"/>
      <c r="H881" s="4"/>
      <c r="I881" s="4"/>
      <c r="J881" s="4"/>
      <c r="K881" s="4"/>
      <c r="L881" s="4"/>
      <c r="M881" s="4"/>
      <c r="N881" s="4"/>
      <c r="O881" s="4"/>
      <c r="P881" s="4"/>
      <c r="Q881" s="4"/>
      <c r="R881" s="4"/>
      <c r="S881" s="4"/>
      <c r="T881" s="4"/>
      <c r="U881" s="4"/>
      <c r="V881" s="4"/>
      <c r="W881" s="4"/>
      <c r="X881" s="4"/>
    </row>
    <row r="882">
      <c r="A882" s="4"/>
      <c r="B882" s="46"/>
      <c r="C882" s="4"/>
      <c r="D882" s="4"/>
      <c r="E882" s="4"/>
      <c r="F882" s="4"/>
      <c r="G882" s="4"/>
      <c r="H882" s="4"/>
      <c r="I882" s="4"/>
      <c r="J882" s="4"/>
      <c r="K882" s="4"/>
      <c r="L882" s="4"/>
      <c r="M882" s="4"/>
      <c r="N882" s="4"/>
      <c r="O882" s="4"/>
      <c r="P882" s="4"/>
      <c r="Q882" s="4"/>
      <c r="R882" s="4"/>
      <c r="S882" s="4"/>
      <c r="T882" s="4"/>
      <c r="U882" s="4"/>
      <c r="V882" s="4"/>
      <c r="W882" s="4"/>
      <c r="X882" s="4"/>
    </row>
    <row r="883">
      <c r="A883" s="4"/>
      <c r="B883" s="46"/>
      <c r="C883" s="4"/>
      <c r="D883" s="4"/>
      <c r="E883" s="4"/>
      <c r="F883" s="4"/>
      <c r="G883" s="4"/>
      <c r="H883" s="4"/>
      <c r="I883" s="4"/>
      <c r="J883" s="4"/>
      <c r="K883" s="4"/>
      <c r="L883" s="4"/>
      <c r="M883" s="4"/>
      <c r="N883" s="4"/>
      <c r="O883" s="4"/>
      <c r="P883" s="4"/>
      <c r="Q883" s="4"/>
      <c r="R883" s="4"/>
      <c r="S883" s="4"/>
      <c r="T883" s="4"/>
      <c r="U883" s="4"/>
      <c r="V883" s="4"/>
      <c r="W883" s="4"/>
      <c r="X883" s="4"/>
    </row>
    <row r="884">
      <c r="A884" s="4"/>
      <c r="B884" s="46"/>
      <c r="C884" s="4"/>
      <c r="D884" s="4"/>
      <c r="E884" s="4"/>
      <c r="F884" s="4"/>
      <c r="G884" s="4"/>
      <c r="H884" s="4"/>
      <c r="I884" s="4"/>
      <c r="J884" s="4"/>
      <c r="K884" s="4"/>
      <c r="L884" s="4"/>
      <c r="M884" s="4"/>
      <c r="N884" s="4"/>
      <c r="O884" s="4"/>
      <c r="P884" s="4"/>
      <c r="Q884" s="4"/>
      <c r="R884" s="4"/>
      <c r="S884" s="4"/>
      <c r="T884" s="4"/>
      <c r="U884" s="4"/>
      <c r="V884" s="4"/>
      <c r="W884" s="4"/>
      <c r="X884" s="4"/>
    </row>
    <row r="885">
      <c r="A885" s="4"/>
      <c r="B885" s="46"/>
      <c r="C885" s="4"/>
      <c r="D885" s="4"/>
      <c r="E885" s="4"/>
      <c r="F885" s="4"/>
      <c r="G885" s="4"/>
      <c r="H885" s="4"/>
      <c r="I885" s="4"/>
      <c r="J885" s="4"/>
      <c r="K885" s="4"/>
      <c r="L885" s="4"/>
      <c r="M885" s="4"/>
      <c r="N885" s="4"/>
      <c r="O885" s="4"/>
      <c r="P885" s="4"/>
      <c r="Q885" s="4"/>
      <c r="R885" s="4"/>
      <c r="S885" s="4"/>
      <c r="T885" s="4"/>
      <c r="U885" s="4"/>
      <c r="V885" s="4"/>
      <c r="W885" s="4"/>
      <c r="X885" s="4"/>
    </row>
    <row r="886">
      <c r="A886" s="4"/>
      <c r="B886" s="46"/>
      <c r="C886" s="4"/>
      <c r="D886" s="4"/>
      <c r="E886" s="4"/>
      <c r="F886" s="4"/>
      <c r="G886" s="4"/>
      <c r="H886" s="4"/>
      <c r="I886" s="4"/>
      <c r="J886" s="4"/>
      <c r="K886" s="4"/>
      <c r="L886" s="4"/>
      <c r="M886" s="4"/>
      <c r="N886" s="4"/>
      <c r="O886" s="4"/>
      <c r="P886" s="4"/>
      <c r="Q886" s="4"/>
      <c r="R886" s="4"/>
      <c r="S886" s="4"/>
      <c r="T886" s="4"/>
      <c r="U886" s="4"/>
      <c r="V886" s="4"/>
      <c r="W886" s="4"/>
      <c r="X886" s="4"/>
    </row>
    <row r="887">
      <c r="A887" s="4"/>
      <c r="B887" s="46"/>
      <c r="C887" s="4"/>
      <c r="D887" s="4"/>
      <c r="E887" s="4"/>
      <c r="F887" s="4"/>
      <c r="G887" s="4"/>
      <c r="H887" s="4"/>
      <c r="I887" s="4"/>
      <c r="J887" s="4"/>
      <c r="K887" s="4"/>
      <c r="L887" s="4"/>
      <c r="M887" s="4"/>
      <c r="N887" s="4"/>
      <c r="O887" s="4"/>
      <c r="P887" s="4"/>
      <c r="Q887" s="4"/>
      <c r="R887" s="4"/>
      <c r="S887" s="4"/>
      <c r="T887" s="4"/>
      <c r="U887" s="4"/>
      <c r="V887" s="4"/>
      <c r="W887" s="4"/>
      <c r="X887" s="4"/>
    </row>
    <row r="888">
      <c r="A888" s="4"/>
      <c r="B888" s="46"/>
      <c r="C888" s="4"/>
      <c r="D888" s="4"/>
      <c r="E888" s="4"/>
      <c r="F888" s="4"/>
      <c r="G888" s="4"/>
      <c r="H888" s="4"/>
      <c r="I888" s="4"/>
      <c r="J888" s="4"/>
      <c r="K888" s="4"/>
      <c r="L888" s="4"/>
      <c r="M888" s="4"/>
      <c r="N888" s="4"/>
      <c r="O888" s="4"/>
      <c r="P888" s="4"/>
      <c r="Q888" s="4"/>
      <c r="R888" s="4"/>
      <c r="S888" s="4"/>
      <c r="T888" s="4"/>
      <c r="U888" s="4"/>
      <c r="V888" s="4"/>
      <c r="W888" s="4"/>
      <c r="X888" s="4"/>
    </row>
    <row r="889">
      <c r="A889" s="4"/>
      <c r="B889" s="46"/>
      <c r="C889" s="4"/>
      <c r="D889" s="4"/>
      <c r="E889" s="4"/>
      <c r="F889" s="4"/>
      <c r="G889" s="4"/>
      <c r="H889" s="4"/>
      <c r="I889" s="4"/>
      <c r="J889" s="4"/>
      <c r="K889" s="4"/>
      <c r="L889" s="4"/>
      <c r="M889" s="4"/>
      <c r="N889" s="4"/>
      <c r="O889" s="4"/>
      <c r="P889" s="4"/>
      <c r="Q889" s="4"/>
      <c r="R889" s="4"/>
      <c r="S889" s="4"/>
      <c r="T889" s="4"/>
      <c r="U889" s="4"/>
      <c r="V889" s="4"/>
      <c r="W889" s="4"/>
      <c r="X889" s="4"/>
    </row>
    <row r="890">
      <c r="A890" s="4"/>
      <c r="B890" s="46"/>
      <c r="C890" s="4"/>
      <c r="D890" s="4"/>
      <c r="E890" s="4"/>
      <c r="F890" s="4"/>
      <c r="G890" s="4"/>
      <c r="H890" s="4"/>
      <c r="I890" s="4"/>
      <c r="J890" s="4"/>
      <c r="K890" s="4"/>
      <c r="L890" s="4"/>
      <c r="M890" s="4"/>
      <c r="N890" s="4"/>
      <c r="O890" s="4"/>
      <c r="P890" s="4"/>
      <c r="Q890" s="4"/>
      <c r="R890" s="4"/>
      <c r="S890" s="4"/>
      <c r="T890" s="4"/>
      <c r="U890" s="4"/>
      <c r="V890" s="4"/>
      <c r="W890" s="4"/>
      <c r="X890" s="4"/>
    </row>
    <row r="891">
      <c r="A891" s="4"/>
      <c r="B891" s="46"/>
      <c r="C891" s="4"/>
      <c r="D891" s="4"/>
      <c r="E891" s="4"/>
      <c r="F891" s="4"/>
      <c r="G891" s="4"/>
      <c r="H891" s="4"/>
      <c r="I891" s="4"/>
      <c r="J891" s="4"/>
      <c r="K891" s="4"/>
      <c r="L891" s="4"/>
      <c r="M891" s="4"/>
      <c r="N891" s="4"/>
      <c r="O891" s="4"/>
      <c r="P891" s="4"/>
      <c r="Q891" s="4"/>
      <c r="R891" s="4"/>
      <c r="S891" s="4"/>
      <c r="T891" s="4"/>
      <c r="U891" s="4"/>
      <c r="V891" s="4"/>
      <c r="W891" s="4"/>
      <c r="X891" s="4"/>
    </row>
    <row r="892">
      <c r="A892" s="4"/>
      <c r="B892" s="46"/>
      <c r="C892" s="4"/>
      <c r="D892" s="4"/>
      <c r="E892" s="4"/>
      <c r="F892" s="4"/>
      <c r="G892" s="4"/>
      <c r="H892" s="4"/>
      <c r="I892" s="4"/>
      <c r="J892" s="4"/>
      <c r="K892" s="4"/>
      <c r="L892" s="4"/>
      <c r="M892" s="4"/>
      <c r="N892" s="4"/>
      <c r="O892" s="4"/>
      <c r="P892" s="4"/>
      <c r="Q892" s="4"/>
      <c r="R892" s="4"/>
      <c r="S892" s="4"/>
      <c r="T892" s="4"/>
      <c r="U892" s="4"/>
      <c r="V892" s="4"/>
      <c r="W892" s="4"/>
      <c r="X892" s="4"/>
    </row>
    <row r="893">
      <c r="A893" s="4"/>
      <c r="B893" s="46"/>
      <c r="C893" s="4"/>
      <c r="D893" s="4"/>
      <c r="E893" s="4"/>
      <c r="F893" s="4"/>
      <c r="G893" s="4"/>
      <c r="H893" s="4"/>
      <c r="I893" s="4"/>
      <c r="J893" s="4"/>
      <c r="K893" s="4"/>
      <c r="L893" s="4"/>
      <c r="M893" s="4"/>
      <c r="N893" s="4"/>
      <c r="O893" s="4"/>
      <c r="P893" s="4"/>
      <c r="Q893" s="4"/>
      <c r="R893" s="4"/>
      <c r="S893" s="4"/>
      <c r="T893" s="4"/>
      <c r="U893" s="4"/>
      <c r="V893" s="4"/>
      <c r="W893" s="4"/>
      <c r="X893" s="4"/>
    </row>
    <row r="894">
      <c r="A894" s="4"/>
      <c r="B894" s="46"/>
      <c r="C894" s="4"/>
      <c r="D894" s="4"/>
      <c r="E894" s="4"/>
      <c r="F894" s="4"/>
      <c r="G894" s="4"/>
      <c r="H894" s="4"/>
      <c r="I894" s="4"/>
      <c r="J894" s="4"/>
      <c r="K894" s="4"/>
      <c r="L894" s="4"/>
      <c r="M894" s="4"/>
      <c r="N894" s="4"/>
      <c r="O894" s="4"/>
      <c r="P894" s="4"/>
      <c r="Q894" s="4"/>
      <c r="R894" s="4"/>
      <c r="S894" s="4"/>
      <c r="T894" s="4"/>
      <c r="U894" s="4"/>
      <c r="V894" s="4"/>
      <c r="W894" s="4"/>
      <c r="X894" s="4"/>
    </row>
    <row r="895">
      <c r="A895" s="4"/>
      <c r="B895" s="46"/>
      <c r="C895" s="4"/>
      <c r="D895" s="4"/>
      <c r="E895" s="4"/>
      <c r="F895" s="4"/>
      <c r="G895" s="4"/>
      <c r="H895" s="4"/>
      <c r="I895" s="4"/>
      <c r="J895" s="4"/>
      <c r="K895" s="4"/>
      <c r="L895" s="4"/>
      <c r="M895" s="4"/>
      <c r="N895" s="4"/>
      <c r="O895" s="4"/>
      <c r="P895" s="4"/>
      <c r="Q895" s="4"/>
      <c r="R895" s="4"/>
      <c r="S895" s="4"/>
      <c r="T895" s="4"/>
      <c r="U895" s="4"/>
      <c r="V895" s="4"/>
      <c r="W895" s="4"/>
      <c r="X895" s="4"/>
    </row>
    <row r="896">
      <c r="A896" s="4"/>
      <c r="B896" s="46"/>
      <c r="C896" s="4"/>
      <c r="D896" s="4"/>
      <c r="E896" s="4"/>
      <c r="F896" s="4"/>
      <c r="G896" s="4"/>
      <c r="H896" s="4"/>
      <c r="I896" s="4"/>
      <c r="J896" s="4"/>
      <c r="K896" s="4"/>
      <c r="L896" s="4"/>
      <c r="M896" s="4"/>
      <c r="N896" s="4"/>
      <c r="O896" s="4"/>
      <c r="P896" s="4"/>
      <c r="Q896" s="4"/>
      <c r="R896" s="4"/>
      <c r="S896" s="4"/>
      <c r="T896" s="4"/>
      <c r="U896" s="4"/>
      <c r="V896" s="4"/>
      <c r="W896" s="4"/>
      <c r="X896" s="4"/>
    </row>
    <row r="897">
      <c r="A897" s="4"/>
      <c r="B897" s="46"/>
      <c r="C897" s="4"/>
      <c r="D897" s="4"/>
      <c r="E897" s="4"/>
      <c r="F897" s="4"/>
      <c r="G897" s="4"/>
      <c r="H897" s="4"/>
      <c r="I897" s="4"/>
      <c r="J897" s="4"/>
      <c r="K897" s="4"/>
      <c r="L897" s="4"/>
      <c r="M897" s="4"/>
      <c r="N897" s="4"/>
      <c r="O897" s="4"/>
      <c r="P897" s="4"/>
      <c r="Q897" s="4"/>
      <c r="R897" s="4"/>
      <c r="S897" s="4"/>
      <c r="T897" s="4"/>
      <c r="U897" s="4"/>
      <c r="V897" s="4"/>
      <c r="W897" s="4"/>
      <c r="X897" s="4"/>
    </row>
    <row r="898">
      <c r="A898" s="4"/>
      <c r="B898" s="46"/>
      <c r="C898" s="4"/>
      <c r="D898" s="4"/>
      <c r="E898" s="4"/>
      <c r="F898" s="4"/>
      <c r="G898" s="4"/>
      <c r="H898" s="4"/>
      <c r="I898" s="4"/>
      <c r="J898" s="4"/>
      <c r="K898" s="4"/>
      <c r="L898" s="4"/>
      <c r="M898" s="4"/>
      <c r="N898" s="4"/>
      <c r="O898" s="4"/>
      <c r="P898" s="4"/>
      <c r="Q898" s="4"/>
      <c r="R898" s="4"/>
      <c r="S898" s="4"/>
      <c r="T898" s="4"/>
      <c r="U898" s="4"/>
      <c r="V898" s="4"/>
      <c r="W898" s="4"/>
      <c r="X898" s="4"/>
    </row>
    <row r="899">
      <c r="A899" s="4"/>
      <c r="B899" s="46"/>
      <c r="C899" s="4"/>
      <c r="D899" s="4"/>
      <c r="E899" s="4"/>
      <c r="F899" s="4"/>
      <c r="G899" s="4"/>
      <c r="H899" s="4"/>
      <c r="I899" s="4"/>
      <c r="J899" s="4"/>
      <c r="K899" s="4"/>
      <c r="L899" s="4"/>
      <c r="M899" s="4"/>
      <c r="N899" s="4"/>
      <c r="O899" s="4"/>
      <c r="P899" s="4"/>
      <c r="Q899" s="4"/>
      <c r="R899" s="4"/>
      <c r="S899" s="4"/>
      <c r="T899" s="4"/>
      <c r="U899" s="4"/>
      <c r="V899" s="4"/>
      <c r="W899" s="4"/>
      <c r="X899" s="4"/>
    </row>
    <row r="900">
      <c r="A900" s="4"/>
      <c r="B900" s="46"/>
      <c r="C900" s="4"/>
      <c r="D900" s="4"/>
      <c r="E900" s="4"/>
      <c r="F900" s="4"/>
      <c r="G900" s="4"/>
      <c r="H900" s="4"/>
      <c r="I900" s="4"/>
      <c r="J900" s="4"/>
      <c r="K900" s="4"/>
      <c r="L900" s="4"/>
      <c r="M900" s="4"/>
      <c r="N900" s="4"/>
      <c r="O900" s="4"/>
      <c r="P900" s="4"/>
      <c r="Q900" s="4"/>
      <c r="R900" s="4"/>
      <c r="S900" s="4"/>
      <c r="T900" s="4"/>
      <c r="U900" s="4"/>
      <c r="V900" s="4"/>
      <c r="W900" s="4"/>
      <c r="X900" s="4"/>
    </row>
    <row r="901">
      <c r="A901" s="4"/>
      <c r="B901" s="46"/>
      <c r="C901" s="4"/>
      <c r="D901" s="4"/>
      <c r="E901" s="4"/>
      <c r="F901" s="4"/>
      <c r="G901" s="4"/>
      <c r="H901" s="4"/>
      <c r="I901" s="4"/>
      <c r="J901" s="4"/>
      <c r="K901" s="4"/>
      <c r="L901" s="4"/>
      <c r="M901" s="4"/>
      <c r="N901" s="4"/>
      <c r="O901" s="4"/>
      <c r="P901" s="4"/>
      <c r="Q901" s="4"/>
      <c r="R901" s="4"/>
      <c r="S901" s="4"/>
      <c r="T901" s="4"/>
      <c r="U901" s="4"/>
      <c r="V901" s="4"/>
      <c r="W901" s="4"/>
      <c r="X901" s="4"/>
    </row>
    <row r="902">
      <c r="A902" s="4"/>
      <c r="B902" s="46"/>
      <c r="C902" s="4"/>
      <c r="D902" s="4"/>
      <c r="E902" s="4"/>
      <c r="F902" s="4"/>
      <c r="G902" s="4"/>
      <c r="H902" s="4"/>
      <c r="I902" s="4"/>
      <c r="J902" s="4"/>
      <c r="K902" s="4"/>
      <c r="L902" s="4"/>
      <c r="M902" s="4"/>
      <c r="N902" s="4"/>
      <c r="O902" s="4"/>
      <c r="P902" s="4"/>
      <c r="Q902" s="4"/>
      <c r="R902" s="4"/>
      <c r="S902" s="4"/>
      <c r="T902" s="4"/>
      <c r="U902" s="4"/>
      <c r="V902" s="4"/>
      <c r="W902" s="4"/>
      <c r="X902" s="4"/>
    </row>
    <row r="903">
      <c r="A903" s="4"/>
      <c r="B903" s="46"/>
      <c r="C903" s="4"/>
      <c r="D903" s="4"/>
      <c r="E903" s="4"/>
      <c r="F903" s="4"/>
      <c r="G903" s="4"/>
      <c r="H903" s="4"/>
      <c r="I903" s="4"/>
      <c r="J903" s="4"/>
      <c r="K903" s="4"/>
      <c r="L903" s="4"/>
      <c r="M903" s="4"/>
      <c r="N903" s="4"/>
      <c r="O903" s="4"/>
      <c r="P903" s="4"/>
      <c r="Q903" s="4"/>
      <c r="R903" s="4"/>
      <c r="S903" s="4"/>
      <c r="T903" s="4"/>
      <c r="U903" s="4"/>
      <c r="V903" s="4"/>
      <c r="W903" s="4"/>
      <c r="X903" s="4"/>
    </row>
    <row r="904">
      <c r="A904" s="4"/>
      <c r="B904" s="46"/>
      <c r="C904" s="4"/>
      <c r="D904" s="4"/>
      <c r="E904" s="4"/>
      <c r="F904" s="4"/>
      <c r="G904" s="4"/>
      <c r="H904" s="4"/>
      <c r="I904" s="4"/>
      <c r="J904" s="4"/>
      <c r="K904" s="4"/>
      <c r="L904" s="4"/>
      <c r="M904" s="4"/>
      <c r="N904" s="4"/>
      <c r="O904" s="4"/>
      <c r="P904" s="4"/>
      <c r="Q904" s="4"/>
      <c r="R904" s="4"/>
      <c r="S904" s="4"/>
      <c r="T904" s="4"/>
      <c r="U904" s="4"/>
      <c r="V904" s="4"/>
      <c r="W904" s="4"/>
      <c r="X904" s="4"/>
    </row>
    <row r="905">
      <c r="A905" s="4"/>
      <c r="B905" s="46"/>
      <c r="C905" s="4"/>
      <c r="D905" s="4"/>
      <c r="E905" s="4"/>
      <c r="F905" s="4"/>
      <c r="G905" s="4"/>
      <c r="H905" s="4"/>
      <c r="I905" s="4"/>
      <c r="J905" s="4"/>
      <c r="K905" s="4"/>
      <c r="L905" s="4"/>
      <c r="M905" s="4"/>
      <c r="N905" s="4"/>
      <c r="O905" s="4"/>
      <c r="P905" s="4"/>
      <c r="Q905" s="4"/>
      <c r="R905" s="4"/>
      <c r="S905" s="4"/>
      <c r="T905" s="4"/>
      <c r="U905" s="4"/>
      <c r="V905" s="4"/>
      <c r="W905" s="4"/>
      <c r="X905" s="4"/>
    </row>
    <row r="906">
      <c r="A906" s="4"/>
      <c r="B906" s="46"/>
      <c r="C906" s="4"/>
      <c r="D906" s="4"/>
      <c r="E906" s="4"/>
      <c r="F906" s="4"/>
      <c r="G906" s="4"/>
      <c r="H906" s="4"/>
      <c r="I906" s="4"/>
      <c r="J906" s="4"/>
      <c r="K906" s="4"/>
      <c r="L906" s="4"/>
      <c r="M906" s="4"/>
      <c r="N906" s="4"/>
      <c r="O906" s="4"/>
      <c r="P906" s="4"/>
      <c r="Q906" s="4"/>
      <c r="R906" s="4"/>
      <c r="S906" s="4"/>
      <c r="T906" s="4"/>
      <c r="U906" s="4"/>
      <c r="V906" s="4"/>
      <c r="W906" s="4"/>
      <c r="X906" s="4"/>
    </row>
    <row r="907">
      <c r="A907" s="4"/>
      <c r="B907" s="46"/>
      <c r="C907" s="4"/>
      <c r="D907" s="4"/>
      <c r="E907" s="4"/>
      <c r="F907" s="4"/>
      <c r="G907" s="4"/>
      <c r="H907" s="4"/>
      <c r="I907" s="4"/>
      <c r="J907" s="4"/>
      <c r="K907" s="4"/>
      <c r="L907" s="4"/>
      <c r="M907" s="4"/>
      <c r="N907" s="4"/>
      <c r="O907" s="4"/>
      <c r="P907" s="4"/>
      <c r="Q907" s="4"/>
      <c r="R907" s="4"/>
      <c r="S907" s="4"/>
      <c r="T907" s="4"/>
      <c r="U907" s="4"/>
      <c r="V907" s="4"/>
      <c r="W907" s="4"/>
      <c r="X907" s="4"/>
    </row>
    <row r="908">
      <c r="A908" s="4"/>
      <c r="B908" s="46"/>
      <c r="C908" s="4"/>
      <c r="D908" s="4"/>
      <c r="E908" s="4"/>
      <c r="F908" s="4"/>
      <c r="G908" s="4"/>
      <c r="H908" s="4"/>
      <c r="I908" s="4"/>
      <c r="J908" s="4"/>
      <c r="K908" s="4"/>
      <c r="L908" s="4"/>
      <c r="M908" s="4"/>
      <c r="N908" s="4"/>
      <c r="O908" s="4"/>
      <c r="P908" s="4"/>
      <c r="Q908" s="4"/>
      <c r="R908" s="4"/>
      <c r="S908" s="4"/>
      <c r="T908" s="4"/>
      <c r="U908" s="4"/>
      <c r="V908" s="4"/>
      <c r="W908" s="4"/>
      <c r="X908" s="4"/>
    </row>
    <row r="909">
      <c r="A909" s="4"/>
      <c r="B909" s="46"/>
      <c r="C909" s="4"/>
      <c r="D909" s="4"/>
      <c r="E909" s="4"/>
      <c r="F909" s="4"/>
      <c r="G909" s="4"/>
      <c r="H909" s="4"/>
      <c r="I909" s="4"/>
      <c r="J909" s="4"/>
      <c r="K909" s="4"/>
      <c r="L909" s="4"/>
      <c r="M909" s="4"/>
      <c r="N909" s="4"/>
      <c r="O909" s="4"/>
      <c r="P909" s="4"/>
      <c r="Q909" s="4"/>
      <c r="R909" s="4"/>
      <c r="S909" s="4"/>
      <c r="T909" s="4"/>
      <c r="U909" s="4"/>
      <c r="V909" s="4"/>
      <c r="W909" s="4"/>
      <c r="X909" s="4"/>
    </row>
    <row r="910">
      <c r="A910" s="4"/>
      <c r="B910" s="46"/>
      <c r="C910" s="4"/>
      <c r="D910" s="4"/>
      <c r="E910" s="4"/>
      <c r="F910" s="4"/>
      <c r="G910" s="4"/>
      <c r="H910" s="4"/>
      <c r="I910" s="4"/>
      <c r="J910" s="4"/>
      <c r="K910" s="4"/>
      <c r="L910" s="4"/>
      <c r="M910" s="4"/>
      <c r="N910" s="4"/>
      <c r="O910" s="4"/>
      <c r="P910" s="4"/>
      <c r="Q910" s="4"/>
      <c r="R910" s="4"/>
      <c r="S910" s="4"/>
      <c r="T910" s="4"/>
      <c r="U910" s="4"/>
      <c r="V910" s="4"/>
      <c r="W910" s="4"/>
      <c r="X910" s="4"/>
    </row>
    <row r="911">
      <c r="A911" s="4"/>
      <c r="B911" s="46"/>
      <c r="C911" s="4"/>
      <c r="D911" s="4"/>
      <c r="E911" s="4"/>
      <c r="F911" s="4"/>
      <c r="G911" s="4"/>
      <c r="H911" s="4"/>
      <c r="I911" s="4"/>
      <c r="J911" s="4"/>
      <c r="K911" s="4"/>
      <c r="L911" s="4"/>
      <c r="M911" s="4"/>
      <c r="N911" s="4"/>
      <c r="O911" s="4"/>
      <c r="P911" s="4"/>
      <c r="Q911" s="4"/>
      <c r="R911" s="4"/>
      <c r="S911" s="4"/>
      <c r="T911" s="4"/>
      <c r="U911" s="4"/>
      <c r="V911" s="4"/>
      <c r="W911" s="4"/>
      <c r="X911" s="4"/>
    </row>
    <row r="912">
      <c r="A912" s="4"/>
      <c r="B912" s="46"/>
      <c r="C912" s="4"/>
      <c r="D912" s="4"/>
      <c r="E912" s="4"/>
      <c r="F912" s="4"/>
      <c r="G912" s="4"/>
      <c r="H912" s="4"/>
      <c r="I912" s="4"/>
      <c r="J912" s="4"/>
      <c r="K912" s="4"/>
      <c r="L912" s="4"/>
      <c r="M912" s="4"/>
      <c r="N912" s="4"/>
      <c r="O912" s="4"/>
      <c r="P912" s="4"/>
      <c r="Q912" s="4"/>
      <c r="R912" s="4"/>
      <c r="S912" s="4"/>
      <c r="T912" s="4"/>
      <c r="U912" s="4"/>
      <c r="V912" s="4"/>
      <c r="W912" s="4"/>
      <c r="X912" s="4"/>
    </row>
    <row r="913">
      <c r="A913" s="4"/>
      <c r="B913" s="46"/>
      <c r="C913" s="4"/>
      <c r="D913" s="4"/>
      <c r="E913" s="4"/>
      <c r="F913" s="4"/>
      <c r="G913" s="4"/>
      <c r="H913" s="4"/>
      <c r="I913" s="4"/>
      <c r="J913" s="4"/>
      <c r="K913" s="4"/>
      <c r="L913" s="4"/>
      <c r="M913" s="4"/>
      <c r="N913" s="4"/>
      <c r="O913" s="4"/>
      <c r="P913" s="4"/>
      <c r="Q913" s="4"/>
      <c r="R913" s="4"/>
      <c r="S913" s="4"/>
      <c r="T913" s="4"/>
      <c r="U913" s="4"/>
      <c r="V913" s="4"/>
      <c r="W913" s="4"/>
      <c r="X913" s="4"/>
    </row>
    <row r="914">
      <c r="A914" s="4"/>
      <c r="B914" s="46"/>
      <c r="C914" s="4"/>
      <c r="D914" s="4"/>
      <c r="E914" s="4"/>
      <c r="F914" s="4"/>
      <c r="G914" s="4"/>
      <c r="H914" s="4"/>
      <c r="I914" s="4"/>
      <c r="J914" s="4"/>
      <c r="K914" s="4"/>
      <c r="L914" s="4"/>
      <c r="M914" s="4"/>
      <c r="N914" s="4"/>
      <c r="O914" s="4"/>
      <c r="P914" s="4"/>
      <c r="Q914" s="4"/>
      <c r="R914" s="4"/>
      <c r="S914" s="4"/>
      <c r="T914" s="4"/>
      <c r="U914" s="4"/>
      <c r="V914" s="4"/>
      <c r="W914" s="4"/>
      <c r="X914" s="4"/>
    </row>
    <row r="915">
      <c r="A915" s="4"/>
      <c r="B915" s="46"/>
      <c r="C915" s="4"/>
      <c r="D915" s="4"/>
      <c r="E915" s="4"/>
      <c r="F915" s="4"/>
      <c r="G915" s="4"/>
      <c r="H915" s="4"/>
      <c r="I915" s="4"/>
      <c r="J915" s="4"/>
      <c r="K915" s="4"/>
      <c r="L915" s="4"/>
      <c r="M915" s="4"/>
      <c r="N915" s="4"/>
      <c r="O915" s="4"/>
      <c r="P915" s="4"/>
      <c r="Q915" s="4"/>
      <c r="R915" s="4"/>
      <c r="S915" s="4"/>
      <c r="T915" s="4"/>
      <c r="U915" s="4"/>
      <c r="V915" s="4"/>
      <c r="W915" s="4"/>
      <c r="X915" s="4"/>
    </row>
    <row r="916">
      <c r="A916" s="4"/>
      <c r="B916" s="46"/>
      <c r="C916" s="4"/>
      <c r="D916" s="4"/>
      <c r="E916" s="4"/>
      <c r="F916" s="4"/>
      <c r="G916" s="4"/>
      <c r="H916" s="4"/>
      <c r="I916" s="4"/>
      <c r="J916" s="4"/>
      <c r="K916" s="4"/>
      <c r="L916" s="4"/>
      <c r="M916" s="4"/>
      <c r="N916" s="4"/>
      <c r="O916" s="4"/>
      <c r="P916" s="4"/>
      <c r="Q916" s="4"/>
      <c r="R916" s="4"/>
      <c r="S916" s="4"/>
      <c r="T916" s="4"/>
      <c r="U916" s="4"/>
      <c r="V916" s="4"/>
      <c r="W916" s="4"/>
      <c r="X916" s="4"/>
    </row>
    <row r="917">
      <c r="A917" s="4"/>
      <c r="B917" s="46"/>
      <c r="C917" s="4"/>
      <c r="D917" s="4"/>
      <c r="E917" s="4"/>
      <c r="F917" s="4"/>
      <c r="G917" s="4"/>
      <c r="H917" s="4"/>
      <c r="I917" s="4"/>
      <c r="J917" s="4"/>
      <c r="K917" s="4"/>
      <c r="L917" s="4"/>
      <c r="M917" s="4"/>
      <c r="N917" s="4"/>
      <c r="O917" s="4"/>
      <c r="P917" s="4"/>
      <c r="Q917" s="4"/>
      <c r="R917" s="4"/>
      <c r="S917" s="4"/>
      <c r="T917" s="4"/>
      <c r="U917" s="4"/>
      <c r="V917" s="4"/>
      <c r="W917" s="4"/>
      <c r="X917" s="4"/>
    </row>
    <row r="918">
      <c r="A918" s="4"/>
      <c r="B918" s="46"/>
      <c r="C918" s="4"/>
      <c r="D918" s="4"/>
      <c r="E918" s="4"/>
      <c r="F918" s="4"/>
      <c r="G918" s="4"/>
      <c r="H918" s="4"/>
      <c r="I918" s="4"/>
      <c r="J918" s="4"/>
      <c r="K918" s="4"/>
      <c r="L918" s="4"/>
      <c r="M918" s="4"/>
      <c r="N918" s="4"/>
      <c r="O918" s="4"/>
      <c r="P918" s="4"/>
      <c r="Q918" s="4"/>
      <c r="R918" s="4"/>
      <c r="S918" s="4"/>
      <c r="T918" s="4"/>
      <c r="U918" s="4"/>
      <c r="V918" s="4"/>
      <c r="W918" s="4"/>
      <c r="X918" s="4"/>
    </row>
    <row r="919">
      <c r="A919" s="4"/>
      <c r="B919" s="46"/>
      <c r="C919" s="4"/>
      <c r="D919" s="4"/>
      <c r="E919" s="4"/>
      <c r="F919" s="4"/>
      <c r="G919" s="4"/>
      <c r="H919" s="4"/>
      <c r="I919" s="4"/>
      <c r="J919" s="4"/>
      <c r="K919" s="4"/>
      <c r="L919" s="4"/>
      <c r="M919" s="4"/>
      <c r="N919" s="4"/>
      <c r="O919" s="4"/>
      <c r="P919" s="4"/>
      <c r="Q919" s="4"/>
      <c r="R919" s="4"/>
      <c r="S919" s="4"/>
      <c r="T919" s="4"/>
      <c r="U919" s="4"/>
      <c r="V919" s="4"/>
      <c r="W919" s="4"/>
      <c r="X919" s="4"/>
    </row>
    <row r="920">
      <c r="A920" s="4"/>
      <c r="B920" s="46"/>
      <c r="C920" s="4"/>
      <c r="D920" s="4"/>
      <c r="E920" s="4"/>
      <c r="F920" s="4"/>
      <c r="G920" s="4"/>
      <c r="H920" s="4"/>
      <c r="I920" s="4"/>
      <c r="J920" s="4"/>
      <c r="K920" s="4"/>
      <c r="L920" s="4"/>
      <c r="M920" s="4"/>
      <c r="N920" s="4"/>
      <c r="O920" s="4"/>
      <c r="P920" s="4"/>
      <c r="Q920" s="4"/>
      <c r="R920" s="4"/>
      <c r="S920" s="4"/>
      <c r="T920" s="4"/>
      <c r="U920" s="4"/>
      <c r="V920" s="4"/>
      <c r="W920" s="4"/>
      <c r="X920" s="4"/>
    </row>
    <row r="921">
      <c r="A921" s="4"/>
      <c r="B921" s="46"/>
      <c r="C921" s="4"/>
      <c r="D921" s="4"/>
      <c r="E921" s="4"/>
      <c r="F921" s="4"/>
      <c r="G921" s="4"/>
      <c r="H921" s="4"/>
      <c r="I921" s="4"/>
      <c r="J921" s="4"/>
      <c r="K921" s="4"/>
      <c r="L921" s="4"/>
      <c r="M921" s="4"/>
      <c r="N921" s="4"/>
      <c r="O921" s="4"/>
      <c r="P921" s="4"/>
      <c r="Q921" s="4"/>
      <c r="R921" s="4"/>
      <c r="S921" s="4"/>
      <c r="T921" s="4"/>
      <c r="U921" s="4"/>
      <c r="V921" s="4"/>
      <c r="W921" s="4"/>
      <c r="X921" s="4"/>
    </row>
    <row r="922">
      <c r="A922" s="4"/>
      <c r="B922" s="46"/>
      <c r="C922" s="4"/>
      <c r="D922" s="4"/>
      <c r="E922" s="4"/>
      <c r="F922" s="4"/>
      <c r="G922" s="4"/>
      <c r="H922" s="4"/>
      <c r="I922" s="4"/>
      <c r="J922" s="4"/>
      <c r="K922" s="4"/>
      <c r="L922" s="4"/>
      <c r="M922" s="4"/>
      <c r="N922" s="4"/>
      <c r="O922" s="4"/>
      <c r="P922" s="4"/>
      <c r="Q922" s="4"/>
      <c r="R922" s="4"/>
      <c r="S922" s="4"/>
      <c r="T922" s="4"/>
      <c r="U922" s="4"/>
      <c r="V922" s="4"/>
      <c r="W922" s="4"/>
      <c r="X922" s="4"/>
    </row>
    <row r="923">
      <c r="A923" s="4"/>
      <c r="B923" s="46"/>
      <c r="C923" s="4"/>
      <c r="D923" s="4"/>
      <c r="E923" s="4"/>
      <c r="F923" s="4"/>
      <c r="G923" s="4"/>
      <c r="H923" s="4"/>
      <c r="I923" s="4"/>
      <c r="J923" s="4"/>
      <c r="K923" s="4"/>
      <c r="L923" s="4"/>
      <c r="M923" s="4"/>
      <c r="N923" s="4"/>
      <c r="O923" s="4"/>
      <c r="P923" s="4"/>
      <c r="Q923" s="4"/>
      <c r="R923" s="4"/>
      <c r="S923" s="4"/>
      <c r="T923" s="4"/>
      <c r="U923" s="4"/>
      <c r="V923" s="4"/>
      <c r="W923" s="4"/>
      <c r="X923" s="4"/>
    </row>
    <row r="924">
      <c r="A924" s="4"/>
      <c r="B924" s="46"/>
      <c r="C924" s="4"/>
      <c r="D924" s="4"/>
      <c r="E924" s="4"/>
      <c r="F924" s="4"/>
      <c r="G924" s="4"/>
      <c r="H924" s="4"/>
      <c r="I924" s="4"/>
      <c r="J924" s="4"/>
      <c r="K924" s="4"/>
      <c r="L924" s="4"/>
      <c r="M924" s="4"/>
      <c r="N924" s="4"/>
      <c r="O924" s="4"/>
      <c r="P924" s="4"/>
      <c r="Q924" s="4"/>
      <c r="R924" s="4"/>
      <c r="S924" s="4"/>
      <c r="T924" s="4"/>
      <c r="U924" s="4"/>
      <c r="V924" s="4"/>
      <c r="W924" s="4"/>
      <c r="X924" s="4"/>
    </row>
    <row r="925">
      <c r="A925" s="4"/>
      <c r="B925" s="46"/>
      <c r="C925" s="4"/>
      <c r="D925" s="4"/>
      <c r="E925" s="4"/>
      <c r="F925" s="4"/>
      <c r="G925" s="4"/>
      <c r="H925" s="4"/>
      <c r="I925" s="4"/>
      <c r="J925" s="4"/>
      <c r="K925" s="4"/>
      <c r="L925" s="4"/>
      <c r="M925" s="4"/>
      <c r="N925" s="4"/>
      <c r="O925" s="4"/>
      <c r="P925" s="4"/>
      <c r="Q925" s="4"/>
      <c r="R925" s="4"/>
      <c r="S925" s="4"/>
      <c r="T925" s="4"/>
      <c r="U925" s="4"/>
      <c r="V925" s="4"/>
      <c r="W925" s="4"/>
      <c r="X925" s="4"/>
    </row>
    <row r="926">
      <c r="A926" s="4"/>
      <c r="B926" s="46"/>
      <c r="C926" s="4"/>
      <c r="D926" s="4"/>
      <c r="E926" s="4"/>
      <c r="F926" s="4"/>
      <c r="G926" s="4"/>
      <c r="H926" s="4"/>
      <c r="I926" s="4"/>
      <c r="J926" s="4"/>
      <c r="K926" s="4"/>
      <c r="L926" s="4"/>
      <c r="M926" s="4"/>
      <c r="N926" s="4"/>
      <c r="O926" s="4"/>
      <c r="P926" s="4"/>
      <c r="Q926" s="4"/>
      <c r="R926" s="4"/>
      <c r="S926" s="4"/>
      <c r="T926" s="4"/>
      <c r="U926" s="4"/>
      <c r="V926" s="4"/>
      <c r="W926" s="4"/>
      <c r="X926" s="4"/>
    </row>
    <row r="927">
      <c r="A927" s="4"/>
      <c r="B927" s="46"/>
      <c r="C927" s="4"/>
      <c r="D927" s="4"/>
      <c r="E927" s="4"/>
      <c r="F927" s="4"/>
      <c r="G927" s="4"/>
      <c r="H927" s="4"/>
      <c r="I927" s="4"/>
      <c r="J927" s="4"/>
      <c r="K927" s="4"/>
      <c r="L927" s="4"/>
      <c r="M927" s="4"/>
      <c r="N927" s="4"/>
      <c r="O927" s="4"/>
      <c r="P927" s="4"/>
      <c r="Q927" s="4"/>
      <c r="R927" s="4"/>
      <c r="S927" s="4"/>
      <c r="T927" s="4"/>
      <c r="U927" s="4"/>
      <c r="V927" s="4"/>
      <c r="W927" s="4"/>
      <c r="X927" s="4"/>
    </row>
    <row r="928">
      <c r="A928" s="4"/>
      <c r="B928" s="46"/>
      <c r="C928" s="4"/>
      <c r="D928" s="4"/>
      <c r="E928" s="4"/>
      <c r="F928" s="4"/>
      <c r="G928" s="4"/>
      <c r="H928" s="4"/>
      <c r="I928" s="4"/>
      <c r="J928" s="4"/>
      <c r="K928" s="4"/>
      <c r="L928" s="4"/>
      <c r="M928" s="4"/>
      <c r="N928" s="4"/>
      <c r="O928" s="4"/>
      <c r="P928" s="4"/>
      <c r="Q928" s="4"/>
      <c r="R928" s="4"/>
      <c r="S928" s="4"/>
      <c r="T928" s="4"/>
      <c r="U928" s="4"/>
      <c r="V928" s="4"/>
      <c r="W928" s="4"/>
      <c r="X928" s="4"/>
    </row>
    <row r="929">
      <c r="A929" s="4"/>
      <c r="B929" s="46"/>
      <c r="C929" s="4"/>
      <c r="D929" s="4"/>
      <c r="E929" s="4"/>
      <c r="F929" s="4"/>
      <c r="G929" s="4"/>
      <c r="H929" s="4"/>
      <c r="I929" s="4"/>
      <c r="J929" s="4"/>
      <c r="K929" s="4"/>
      <c r="L929" s="4"/>
      <c r="M929" s="4"/>
      <c r="N929" s="4"/>
      <c r="O929" s="4"/>
      <c r="P929" s="4"/>
      <c r="Q929" s="4"/>
      <c r="R929" s="4"/>
      <c r="S929" s="4"/>
      <c r="T929" s="4"/>
      <c r="U929" s="4"/>
      <c r="V929" s="4"/>
      <c r="W929" s="4"/>
      <c r="X929" s="4"/>
    </row>
    <row r="930">
      <c r="A930" s="4"/>
      <c r="B930" s="46"/>
      <c r="C930" s="4"/>
      <c r="D930" s="4"/>
      <c r="E930" s="4"/>
      <c r="F930" s="4"/>
      <c r="G930" s="4"/>
      <c r="H930" s="4"/>
      <c r="I930" s="4"/>
      <c r="J930" s="4"/>
      <c r="K930" s="4"/>
      <c r="L930" s="4"/>
      <c r="M930" s="4"/>
      <c r="N930" s="4"/>
      <c r="O930" s="4"/>
      <c r="P930" s="4"/>
      <c r="Q930" s="4"/>
      <c r="R930" s="4"/>
      <c r="S930" s="4"/>
      <c r="T930" s="4"/>
      <c r="U930" s="4"/>
      <c r="V930" s="4"/>
      <c r="W930" s="4"/>
      <c r="X930" s="4"/>
    </row>
    <row r="931">
      <c r="A931" s="4"/>
      <c r="B931" s="46"/>
      <c r="C931" s="4"/>
      <c r="D931" s="4"/>
      <c r="E931" s="4"/>
      <c r="F931" s="4"/>
      <c r="G931" s="4"/>
      <c r="H931" s="4"/>
      <c r="I931" s="4"/>
      <c r="J931" s="4"/>
      <c r="K931" s="4"/>
      <c r="L931" s="4"/>
      <c r="M931" s="4"/>
      <c r="N931" s="4"/>
      <c r="O931" s="4"/>
      <c r="P931" s="4"/>
      <c r="Q931" s="4"/>
      <c r="R931" s="4"/>
      <c r="S931" s="4"/>
      <c r="T931" s="4"/>
      <c r="U931" s="4"/>
      <c r="V931" s="4"/>
      <c r="W931" s="4"/>
      <c r="X931" s="4"/>
    </row>
    <row r="932">
      <c r="A932" s="4"/>
      <c r="B932" s="46"/>
      <c r="C932" s="4"/>
      <c r="D932" s="4"/>
      <c r="E932" s="4"/>
      <c r="F932" s="4"/>
      <c r="G932" s="4"/>
      <c r="H932" s="4"/>
      <c r="I932" s="4"/>
      <c r="J932" s="4"/>
      <c r="K932" s="4"/>
      <c r="L932" s="4"/>
      <c r="M932" s="4"/>
      <c r="N932" s="4"/>
      <c r="O932" s="4"/>
      <c r="P932" s="4"/>
      <c r="Q932" s="4"/>
      <c r="R932" s="4"/>
      <c r="S932" s="4"/>
      <c r="T932" s="4"/>
      <c r="U932" s="4"/>
      <c r="V932" s="4"/>
      <c r="W932" s="4"/>
      <c r="X932" s="4"/>
    </row>
    <row r="933">
      <c r="A933" s="4"/>
      <c r="B933" s="46"/>
      <c r="C933" s="4"/>
      <c r="D933" s="4"/>
      <c r="E933" s="4"/>
      <c r="F933" s="4"/>
      <c r="G933" s="4"/>
      <c r="H933" s="4"/>
      <c r="I933" s="4"/>
      <c r="J933" s="4"/>
      <c r="K933" s="4"/>
      <c r="L933" s="4"/>
      <c r="M933" s="4"/>
      <c r="N933" s="4"/>
      <c r="O933" s="4"/>
      <c r="P933" s="4"/>
      <c r="Q933" s="4"/>
      <c r="R933" s="4"/>
      <c r="S933" s="4"/>
      <c r="T933" s="4"/>
      <c r="U933" s="4"/>
      <c r="V933" s="4"/>
      <c r="W933" s="4"/>
      <c r="X933" s="4"/>
    </row>
    <row r="934">
      <c r="A934" s="4"/>
      <c r="B934" s="46"/>
      <c r="C934" s="4"/>
      <c r="D934" s="4"/>
      <c r="E934" s="4"/>
      <c r="F934" s="4"/>
      <c r="G934" s="4"/>
      <c r="H934" s="4"/>
      <c r="I934" s="4"/>
      <c r="J934" s="4"/>
      <c r="K934" s="4"/>
      <c r="L934" s="4"/>
      <c r="M934" s="4"/>
      <c r="N934" s="4"/>
      <c r="O934" s="4"/>
      <c r="P934" s="4"/>
      <c r="Q934" s="4"/>
      <c r="R934" s="4"/>
      <c r="S934" s="4"/>
      <c r="T934" s="4"/>
      <c r="U934" s="4"/>
      <c r="V934" s="4"/>
      <c r="W934" s="4"/>
      <c r="X934" s="4"/>
    </row>
    <row r="935">
      <c r="A935" s="4"/>
      <c r="B935" s="46"/>
      <c r="C935" s="4"/>
      <c r="D935" s="4"/>
      <c r="E935" s="4"/>
      <c r="F935" s="4"/>
      <c r="G935" s="4"/>
      <c r="H935" s="4"/>
      <c r="I935" s="4"/>
      <c r="J935" s="4"/>
      <c r="K935" s="4"/>
      <c r="L935" s="4"/>
      <c r="M935" s="4"/>
      <c r="N935" s="4"/>
      <c r="O935" s="4"/>
      <c r="P935" s="4"/>
      <c r="Q935" s="4"/>
      <c r="R935" s="4"/>
      <c r="S935" s="4"/>
      <c r="T935" s="4"/>
      <c r="U935" s="4"/>
      <c r="V935" s="4"/>
      <c r="W935" s="4"/>
      <c r="X935" s="4"/>
    </row>
    <row r="936">
      <c r="A936" s="4"/>
      <c r="B936" s="46"/>
      <c r="C936" s="4"/>
      <c r="D936" s="4"/>
      <c r="E936" s="4"/>
      <c r="F936" s="4"/>
      <c r="G936" s="4"/>
      <c r="H936" s="4"/>
      <c r="I936" s="4"/>
      <c r="J936" s="4"/>
      <c r="K936" s="4"/>
      <c r="L936" s="4"/>
      <c r="M936" s="4"/>
      <c r="N936" s="4"/>
      <c r="O936" s="4"/>
      <c r="P936" s="4"/>
      <c r="Q936" s="4"/>
      <c r="R936" s="4"/>
      <c r="S936" s="4"/>
      <c r="T936" s="4"/>
      <c r="U936" s="4"/>
      <c r="V936" s="4"/>
      <c r="W936" s="4"/>
      <c r="X936" s="4"/>
    </row>
    <row r="937">
      <c r="A937" s="4"/>
      <c r="B937" s="46"/>
      <c r="C937" s="4"/>
      <c r="D937" s="4"/>
      <c r="E937" s="4"/>
      <c r="F937" s="4"/>
      <c r="G937" s="4"/>
      <c r="H937" s="4"/>
      <c r="I937" s="4"/>
      <c r="J937" s="4"/>
      <c r="K937" s="4"/>
      <c r="L937" s="4"/>
      <c r="M937" s="4"/>
      <c r="N937" s="4"/>
      <c r="O937" s="4"/>
      <c r="P937" s="4"/>
      <c r="Q937" s="4"/>
      <c r="R937" s="4"/>
      <c r="S937" s="4"/>
      <c r="T937" s="4"/>
      <c r="U937" s="4"/>
      <c r="V937" s="4"/>
      <c r="W937" s="4"/>
      <c r="X937" s="4"/>
    </row>
    <row r="938">
      <c r="A938" s="4"/>
      <c r="B938" s="46"/>
      <c r="C938" s="4"/>
      <c r="D938" s="4"/>
      <c r="E938" s="4"/>
      <c r="F938" s="4"/>
      <c r="G938" s="4"/>
      <c r="H938" s="4"/>
      <c r="I938" s="4"/>
      <c r="J938" s="4"/>
      <c r="K938" s="4"/>
      <c r="L938" s="4"/>
      <c r="M938" s="4"/>
      <c r="N938" s="4"/>
      <c r="O938" s="4"/>
      <c r="P938" s="4"/>
      <c r="Q938" s="4"/>
      <c r="R938" s="4"/>
      <c r="S938" s="4"/>
      <c r="T938" s="4"/>
      <c r="U938" s="4"/>
      <c r="V938" s="4"/>
      <c r="W938" s="4"/>
      <c r="X938" s="4"/>
    </row>
    <row r="939">
      <c r="A939" s="4"/>
      <c r="B939" s="46"/>
      <c r="C939" s="4"/>
      <c r="D939" s="4"/>
      <c r="E939" s="4"/>
      <c r="F939" s="4"/>
      <c r="G939" s="4"/>
      <c r="H939" s="4"/>
      <c r="I939" s="4"/>
      <c r="J939" s="4"/>
      <c r="K939" s="4"/>
      <c r="L939" s="4"/>
      <c r="M939" s="4"/>
      <c r="N939" s="4"/>
      <c r="O939" s="4"/>
      <c r="P939" s="4"/>
      <c r="Q939" s="4"/>
      <c r="R939" s="4"/>
      <c r="S939" s="4"/>
      <c r="T939" s="4"/>
      <c r="U939" s="4"/>
      <c r="V939" s="4"/>
      <c r="W939" s="4"/>
      <c r="X939" s="4"/>
    </row>
    <row r="940">
      <c r="A940" s="4"/>
      <c r="B940" s="46"/>
      <c r="C940" s="4"/>
      <c r="D940" s="4"/>
      <c r="E940" s="4"/>
      <c r="F940" s="4"/>
      <c r="G940" s="4"/>
      <c r="H940" s="4"/>
      <c r="I940" s="4"/>
      <c r="J940" s="4"/>
      <c r="K940" s="4"/>
      <c r="L940" s="4"/>
      <c r="M940" s="4"/>
      <c r="N940" s="4"/>
      <c r="O940" s="4"/>
      <c r="P940" s="4"/>
      <c r="Q940" s="4"/>
      <c r="R940" s="4"/>
      <c r="S940" s="4"/>
      <c r="T940" s="4"/>
      <c r="U940" s="4"/>
      <c r="V940" s="4"/>
      <c r="W940" s="4"/>
      <c r="X940" s="4"/>
    </row>
    <row r="941">
      <c r="A941" s="4"/>
      <c r="B941" s="46"/>
      <c r="C941" s="4"/>
      <c r="D941" s="4"/>
      <c r="E941" s="4"/>
      <c r="F941" s="4"/>
      <c r="G941" s="4"/>
      <c r="H941" s="4"/>
      <c r="I941" s="4"/>
      <c r="J941" s="4"/>
      <c r="K941" s="4"/>
      <c r="L941" s="4"/>
      <c r="M941" s="4"/>
      <c r="N941" s="4"/>
      <c r="O941" s="4"/>
      <c r="P941" s="4"/>
      <c r="Q941" s="4"/>
      <c r="R941" s="4"/>
      <c r="S941" s="4"/>
      <c r="T941" s="4"/>
      <c r="U941" s="4"/>
      <c r="V941" s="4"/>
      <c r="W941" s="4"/>
      <c r="X941" s="4"/>
    </row>
    <row r="942">
      <c r="A942" s="4"/>
      <c r="B942" s="46"/>
      <c r="C942" s="4"/>
      <c r="D942" s="4"/>
      <c r="E942" s="4"/>
      <c r="F942" s="4"/>
      <c r="G942" s="4"/>
      <c r="H942" s="4"/>
      <c r="I942" s="4"/>
      <c r="J942" s="4"/>
      <c r="K942" s="4"/>
      <c r="L942" s="4"/>
      <c r="M942" s="4"/>
      <c r="N942" s="4"/>
      <c r="O942" s="4"/>
      <c r="P942" s="4"/>
      <c r="Q942" s="4"/>
      <c r="R942" s="4"/>
      <c r="S942" s="4"/>
      <c r="T942" s="4"/>
      <c r="U942" s="4"/>
      <c r="V942" s="4"/>
      <c r="W942" s="4"/>
      <c r="X942" s="4"/>
    </row>
    <row r="943">
      <c r="A943" s="4"/>
      <c r="B943" s="46"/>
      <c r="C943" s="4"/>
      <c r="D943" s="4"/>
      <c r="E943" s="4"/>
      <c r="F943" s="4"/>
      <c r="G943" s="4"/>
      <c r="H943" s="4"/>
      <c r="I943" s="4"/>
      <c r="J943" s="4"/>
      <c r="K943" s="4"/>
      <c r="L943" s="4"/>
      <c r="M943" s="4"/>
      <c r="N943" s="4"/>
      <c r="O943" s="4"/>
      <c r="P943" s="4"/>
      <c r="Q943" s="4"/>
      <c r="R943" s="4"/>
      <c r="S943" s="4"/>
      <c r="T943" s="4"/>
      <c r="U943" s="4"/>
      <c r="V943" s="4"/>
      <c r="W943" s="4"/>
      <c r="X943" s="4"/>
    </row>
    <row r="944">
      <c r="A944" s="4"/>
      <c r="B944" s="46"/>
      <c r="C944" s="4"/>
      <c r="D944" s="4"/>
      <c r="E944" s="4"/>
      <c r="F944" s="4"/>
      <c r="G944" s="4"/>
      <c r="H944" s="4"/>
      <c r="I944" s="4"/>
      <c r="J944" s="4"/>
      <c r="K944" s="4"/>
      <c r="L944" s="4"/>
      <c r="M944" s="4"/>
      <c r="N944" s="4"/>
      <c r="O944" s="4"/>
      <c r="P944" s="4"/>
      <c r="Q944" s="4"/>
      <c r="R944" s="4"/>
      <c r="S944" s="4"/>
      <c r="T944" s="4"/>
      <c r="U944" s="4"/>
      <c r="V944" s="4"/>
      <c r="W944" s="4"/>
      <c r="X944" s="4"/>
    </row>
    <row r="945">
      <c r="A945" s="4"/>
      <c r="B945" s="46"/>
      <c r="C945" s="4"/>
      <c r="D945" s="4"/>
      <c r="E945" s="4"/>
      <c r="F945" s="4"/>
      <c r="G945" s="4"/>
      <c r="H945" s="4"/>
      <c r="I945" s="4"/>
      <c r="J945" s="4"/>
      <c r="K945" s="4"/>
      <c r="L945" s="4"/>
      <c r="M945" s="4"/>
      <c r="N945" s="4"/>
      <c r="O945" s="4"/>
      <c r="P945" s="4"/>
      <c r="Q945" s="4"/>
      <c r="R945" s="4"/>
      <c r="S945" s="4"/>
      <c r="T945" s="4"/>
      <c r="U945" s="4"/>
      <c r="V945" s="4"/>
      <c r="W945" s="4"/>
      <c r="X945" s="4"/>
    </row>
    <row r="946">
      <c r="A946" s="4"/>
      <c r="B946" s="46"/>
      <c r="C946" s="4"/>
      <c r="D946" s="4"/>
      <c r="E946" s="4"/>
      <c r="F946" s="4"/>
      <c r="G946" s="4"/>
      <c r="H946" s="4"/>
      <c r="I946" s="4"/>
      <c r="J946" s="4"/>
      <c r="K946" s="4"/>
      <c r="L946" s="4"/>
      <c r="M946" s="4"/>
      <c r="N946" s="4"/>
      <c r="O946" s="4"/>
      <c r="P946" s="4"/>
      <c r="Q946" s="4"/>
      <c r="R946" s="4"/>
      <c r="S946" s="4"/>
      <c r="T946" s="4"/>
      <c r="U946" s="4"/>
      <c r="V946" s="4"/>
      <c r="W946" s="4"/>
      <c r="X946" s="4"/>
    </row>
    <row r="947">
      <c r="A947" s="4"/>
      <c r="B947" s="46"/>
      <c r="C947" s="4"/>
      <c r="D947" s="4"/>
      <c r="E947" s="4"/>
      <c r="F947" s="4"/>
      <c r="G947" s="4"/>
      <c r="H947" s="4"/>
      <c r="I947" s="4"/>
      <c r="J947" s="4"/>
      <c r="K947" s="4"/>
      <c r="L947" s="4"/>
      <c r="M947" s="4"/>
      <c r="N947" s="4"/>
      <c r="O947" s="4"/>
      <c r="P947" s="4"/>
      <c r="Q947" s="4"/>
      <c r="R947" s="4"/>
      <c r="S947" s="4"/>
      <c r="T947" s="4"/>
      <c r="U947" s="4"/>
      <c r="V947" s="4"/>
      <c r="W947" s="4"/>
      <c r="X947" s="4"/>
    </row>
    <row r="948">
      <c r="A948" s="4"/>
      <c r="B948" s="46"/>
      <c r="C948" s="4"/>
      <c r="D948" s="4"/>
      <c r="E948" s="4"/>
      <c r="F948" s="4"/>
      <c r="G948" s="4"/>
      <c r="H948" s="4"/>
      <c r="I948" s="4"/>
      <c r="J948" s="4"/>
      <c r="K948" s="4"/>
      <c r="L948" s="4"/>
      <c r="M948" s="4"/>
      <c r="N948" s="4"/>
      <c r="O948" s="4"/>
      <c r="P948" s="4"/>
      <c r="Q948" s="4"/>
      <c r="R948" s="4"/>
      <c r="S948" s="4"/>
      <c r="T948" s="4"/>
      <c r="U948" s="4"/>
      <c r="V948" s="4"/>
      <c r="W948" s="4"/>
      <c r="X948" s="4"/>
    </row>
    <row r="949">
      <c r="A949" s="4"/>
      <c r="B949" s="46"/>
      <c r="C949" s="4"/>
      <c r="D949" s="4"/>
      <c r="E949" s="4"/>
      <c r="F949" s="4"/>
      <c r="G949" s="4"/>
      <c r="H949" s="4"/>
      <c r="I949" s="4"/>
      <c r="J949" s="4"/>
      <c r="K949" s="4"/>
      <c r="L949" s="4"/>
      <c r="M949" s="4"/>
      <c r="N949" s="4"/>
      <c r="O949" s="4"/>
      <c r="P949" s="4"/>
      <c r="Q949" s="4"/>
      <c r="R949" s="4"/>
      <c r="S949" s="4"/>
      <c r="T949" s="4"/>
      <c r="U949" s="4"/>
      <c r="V949" s="4"/>
      <c r="W949" s="4"/>
      <c r="X949" s="4"/>
    </row>
    <row r="950">
      <c r="A950" s="4"/>
      <c r="B950" s="46"/>
      <c r="C950" s="4"/>
      <c r="D950" s="4"/>
      <c r="E950" s="4"/>
      <c r="F950" s="4"/>
      <c r="G950" s="4"/>
      <c r="H950" s="4"/>
      <c r="I950" s="4"/>
      <c r="J950" s="4"/>
      <c r="K950" s="4"/>
      <c r="L950" s="4"/>
      <c r="M950" s="4"/>
      <c r="N950" s="4"/>
      <c r="O950" s="4"/>
      <c r="P950" s="4"/>
      <c r="Q950" s="4"/>
      <c r="R950" s="4"/>
      <c r="S950" s="4"/>
      <c r="T950" s="4"/>
      <c r="U950" s="4"/>
      <c r="V950" s="4"/>
      <c r="W950" s="4"/>
      <c r="X950" s="4"/>
    </row>
    <row r="951">
      <c r="A951" s="4"/>
      <c r="B951" s="46"/>
      <c r="C951" s="4"/>
      <c r="D951" s="4"/>
      <c r="E951" s="4"/>
      <c r="F951" s="4"/>
      <c r="G951" s="4"/>
      <c r="H951" s="4"/>
      <c r="I951" s="4"/>
      <c r="J951" s="4"/>
      <c r="K951" s="4"/>
      <c r="L951" s="4"/>
      <c r="M951" s="4"/>
      <c r="N951" s="4"/>
      <c r="O951" s="4"/>
      <c r="P951" s="4"/>
      <c r="Q951" s="4"/>
      <c r="R951" s="4"/>
      <c r="S951" s="4"/>
      <c r="T951" s="4"/>
      <c r="U951" s="4"/>
      <c r="V951" s="4"/>
      <c r="W951" s="4"/>
      <c r="X951" s="4"/>
    </row>
    <row r="952">
      <c r="A952" s="4"/>
      <c r="B952" s="46"/>
      <c r="C952" s="4"/>
      <c r="D952" s="4"/>
      <c r="E952" s="4"/>
      <c r="F952" s="4"/>
      <c r="G952" s="4"/>
      <c r="H952" s="4"/>
      <c r="I952" s="4"/>
      <c r="J952" s="4"/>
      <c r="K952" s="4"/>
      <c r="L952" s="4"/>
      <c r="M952" s="4"/>
      <c r="N952" s="4"/>
      <c r="O952" s="4"/>
      <c r="P952" s="4"/>
      <c r="Q952" s="4"/>
      <c r="R952" s="4"/>
      <c r="S952" s="4"/>
      <c r="T952" s="4"/>
      <c r="U952" s="4"/>
      <c r="V952" s="4"/>
      <c r="W952" s="4"/>
      <c r="X952" s="4"/>
    </row>
    <row r="953">
      <c r="A953" s="4"/>
      <c r="B953" s="46"/>
      <c r="C953" s="4"/>
      <c r="D953" s="4"/>
      <c r="E953" s="4"/>
      <c r="F953" s="4"/>
      <c r="G953" s="4"/>
      <c r="H953" s="4"/>
      <c r="I953" s="4"/>
      <c r="J953" s="4"/>
      <c r="K953" s="4"/>
      <c r="L953" s="4"/>
      <c r="M953" s="4"/>
      <c r="N953" s="4"/>
      <c r="O953" s="4"/>
      <c r="P953" s="4"/>
      <c r="Q953" s="4"/>
      <c r="R953" s="4"/>
      <c r="S953" s="4"/>
      <c r="T953" s="4"/>
      <c r="U953" s="4"/>
      <c r="V953" s="4"/>
      <c r="W953" s="4"/>
      <c r="X953" s="4"/>
    </row>
    <row r="954">
      <c r="A954" s="4"/>
      <c r="B954" s="46"/>
      <c r="C954" s="4"/>
      <c r="D954" s="4"/>
      <c r="E954" s="4"/>
      <c r="F954" s="4"/>
      <c r="G954" s="4"/>
      <c r="H954" s="4"/>
      <c r="I954" s="4"/>
      <c r="J954" s="4"/>
      <c r="K954" s="4"/>
      <c r="L954" s="4"/>
      <c r="M954" s="4"/>
      <c r="N954" s="4"/>
      <c r="O954" s="4"/>
      <c r="P954" s="4"/>
      <c r="Q954" s="4"/>
      <c r="R954" s="4"/>
      <c r="S954" s="4"/>
      <c r="T954" s="4"/>
      <c r="U954" s="4"/>
      <c r="V954" s="4"/>
      <c r="W954" s="4"/>
      <c r="X954" s="4"/>
    </row>
    <row r="955">
      <c r="A955" s="4"/>
      <c r="B955" s="46"/>
      <c r="C955" s="4"/>
      <c r="D955" s="4"/>
      <c r="E955" s="4"/>
      <c r="F955" s="4"/>
      <c r="G955" s="4"/>
      <c r="H955" s="4"/>
      <c r="I955" s="4"/>
      <c r="J955" s="4"/>
      <c r="K955" s="4"/>
      <c r="L955" s="4"/>
      <c r="M955" s="4"/>
      <c r="N955" s="4"/>
      <c r="O955" s="4"/>
      <c r="P955" s="4"/>
      <c r="Q955" s="4"/>
      <c r="R955" s="4"/>
      <c r="S955" s="4"/>
      <c r="T955" s="4"/>
      <c r="U955" s="4"/>
      <c r="V955" s="4"/>
      <c r="W955" s="4"/>
      <c r="X955" s="4"/>
    </row>
    <row r="956">
      <c r="A956" s="4"/>
      <c r="B956" s="46"/>
      <c r="C956" s="4"/>
      <c r="D956" s="4"/>
      <c r="E956" s="4"/>
      <c r="F956" s="4"/>
      <c r="G956" s="4"/>
      <c r="H956" s="4"/>
      <c r="I956" s="4"/>
      <c r="J956" s="4"/>
      <c r="K956" s="4"/>
      <c r="L956" s="4"/>
      <c r="M956" s="4"/>
      <c r="N956" s="4"/>
      <c r="O956" s="4"/>
      <c r="P956" s="4"/>
      <c r="Q956" s="4"/>
      <c r="R956" s="4"/>
      <c r="S956" s="4"/>
      <c r="T956" s="4"/>
      <c r="U956" s="4"/>
      <c r="V956" s="4"/>
      <c r="W956" s="4"/>
      <c r="X956" s="4"/>
    </row>
    <row r="957">
      <c r="A957" s="4"/>
      <c r="B957" s="46"/>
      <c r="C957" s="4"/>
      <c r="D957" s="4"/>
      <c r="E957" s="4"/>
      <c r="F957" s="4"/>
      <c r="G957" s="4"/>
      <c r="H957" s="4"/>
      <c r="I957" s="4"/>
      <c r="J957" s="4"/>
      <c r="K957" s="4"/>
      <c r="L957" s="4"/>
      <c r="M957" s="4"/>
      <c r="N957" s="4"/>
      <c r="O957" s="4"/>
      <c r="P957" s="4"/>
      <c r="Q957" s="4"/>
      <c r="R957" s="4"/>
      <c r="S957" s="4"/>
      <c r="T957" s="4"/>
      <c r="U957" s="4"/>
      <c r="V957" s="4"/>
      <c r="W957" s="4"/>
      <c r="X957" s="4"/>
    </row>
    <row r="958">
      <c r="A958" s="4"/>
      <c r="B958" s="46"/>
      <c r="C958" s="4"/>
      <c r="D958" s="4"/>
      <c r="E958" s="4"/>
      <c r="F958" s="4"/>
      <c r="G958" s="4"/>
      <c r="H958" s="4"/>
      <c r="I958" s="4"/>
      <c r="J958" s="4"/>
      <c r="K958" s="4"/>
      <c r="L958" s="4"/>
      <c r="M958" s="4"/>
      <c r="N958" s="4"/>
      <c r="O958" s="4"/>
      <c r="P958" s="4"/>
      <c r="Q958" s="4"/>
      <c r="R958" s="4"/>
      <c r="S958" s="4"/>
      <c r="T958" s="4"/>
      <c r="U958" s="4"/>
      <c r="V958" s="4"/>
      <c r="W958" s="4"/>
      <c r="X958" s="4"/>
    </row>
    <row r="959">
      <c r="A959" s="4"/>
      <c r="B959" s="46"/>
      <c r="C959" s="4"/>
      <c r="D959" s="4"/>
      <c r="E959" s="4"/>
      <c r="F959" s="4"/>
      <c r="G959" s="4"/>
      <c r="H959" s="4"/>
      <c r="I959" s="4"/>
      <c r="J959" s="4"/>
      <c r="K959" s="4"/>
      <c r="L959" s="4"/>
      <c r="M959" s="4"/>
      <c r="N959" s="4"/>
      <c r="O959" s="4"/>
      <c r="P959" s="4"/>
      <c r="Q959" s="4"/>
      <c r="R959" s="4"/>
      <c r="S959" s="4"/>
      <c r="T959" s="4"/>
      <c r="U959" s="4"/>
      <c r="V959" s="4"/>
      <c r="W959" s="4"/>
      <c r="X959" s="4"/>
    </row>
    <row r="960">
      <c r="A960" s="4"/>
      <c r="B960" s="46"/>
      <c r="C960" s="4"/>
      <c r="D960" s="4"/>
      <c r="E960" s="4"/>
      <c r="F960" s="4"/>
      <c r="G960" s="4"/>
      <c r="H960" s="4"/>
      <c r="I960" s="4"/>
      <c r="J960" s="4"/>
      <c r="K960" s="4"/>
      <c r="L960" s="4"/>
      <c r="M960" s="4"/>
      <c r="N960" s="4"/>
      <c r="O960" s="4"/>
      <c r="P960" s="4"/>
      <c r="Q960" s="4"/>
      <c r="R960" s="4"/>
      <c r="S960" s="4"/>
      <c r="T960" s="4"/>
      <c r="U960" s="4"/>
      <c r="V960" s="4"/>
      <c r="W960" s="4"/>
      <c r="X960" s="4"/>
    </row>
    <row r="961">
      <c r="A961" s="4"/>
      <c r="B961" s="46"/>
      <c r="C961" s="4"/>
      <c r="D961" s="4"/>
      <c r="E961" s="4"/>
      <c r="F961" s="4"/>
      <c r="G961" s="4"/>
      <c r="H961" s="4"/>
      <c r="I961" s="4"/>
      <c r="J961" s="4"/>
      <c r="K961" s="4"/>
      <c r="L961" s="4"/>
      <c r="M961" s="4"/>
      <c r="N961" s="4"/>
      <c r="O961" s="4"/>
      <c r="P961" s="4"/>
      <c r="Q961" s="4"/>
      <c r="R961" s="4"/>
      <c r="S961" s="4"/>
      <c r="T961" s="4"/>
      <c r="U961" s="4"/>
      <c r="V961" s="4"/>
      <c r="W961" s="4"/>
      <c r="X961" s="4"/>
    </row>
    <row r="962">
      <c r="A962" s="4"/>
      <c r="B962" s="46"/>
      <c r="C962" s="4"/>
      <c r="D962" s="4"/>
      <c r="E962" s="4"/>
      <c r="F962" s="4"/>
      <c r="G962" s="4"/>
      <c r="H962" s="4"/>
      <c r="I962" s="4"/>
      <c r="J962" s="4"/>
      <c r="K962" s="4"/>
      <c r="L962" s="4"/>
      <c r="M962" s="4"/>
      <c r="N962" s="4"/>
      <c r="O962" s="4"/>
      <c r="P962" s="4"/>
      <c r="Q962" s="4"/>
      <c r="R962" s="4"/>
      <c r="S962" s="4"/>
      <c r="T962" s="4"/>
      <c r="U962" s="4"/>
      <c r="V962" s="4"/>
      <c r="W962" s="4"/>
      <c r="X962" s="4"/>
    </row>
    <row r="963">
      <c r="A963" s="4"/>
      <c r="B963" s="46"/>
      <c r="C963" s="4"/>
      <c r="D963" s="4"/>
      <c r="E963" s="4"/>
      <c r="F963" s="4"/>
      <c r="G963" s="4"/>
      <c r="H963" s="4"/>
      <c r="I963" s="4"/>
      <c r="J963" s="4"/>
      <c r="K963" s="4"/>
      <c r="L963" s="4"/>
      <c r="M963" s="4"/>
      <c r="N963" s="4"/>
      <c r="O963" s="4"/>
      <c r="P963" s="4"/>
      <c r="Q963" s="4"/>
      <c r="R963" s="4"/>
      <c r="S963" s="4"/>
      <c r="T963" s="4"/>
      <c r="U963" s="4"/>
      <c r="V963" s="4"/>
      <c r="W963" s="4"/>
      <c r="X963" s="4"/>
    </row>
    <row r="964">
      <c r="A964" s="4"/>
      <c r="B964" s="46"/>
      <c r="C964" s="4"/>
      <c r="D964" s="4"/>
      <c r="E964" s="4"/>
      <c r="F964" s="4"/>
      <c r="G964" s="4"/>
      <c r="H964" s="4"/>
      <c r="I964" s="4"/>
      <c r="J964" s="4"/>
      <c r="K964" s="4"/>
      <c r="L964" s="4"/>
      <c r="M964" s="4"/>
      <c r="N964" s="4"/>
      <c r="O964" s="4"/>
      <c r="P964" s="4"/>
      <c r="Q964" s="4"/>
      <c r="R964" s="4"/>
      <c r="S964" s="4"/>
      <c r="T964" s="4"/>
      <c r="U964" s="4"/>
      <c r="V964" s="4"/>
      <c r="W964" s="4"/>
      <c r="X964" s="4"/>
    </row>
    <row r="965">
      <c r="A965" s="4"/>
      <c r="B965" s="46"/>
      <c r="C965" s="4"/>
      <c r="D965" s="4"/>
      <c r="E965" s="4"/>
      <c r="F965" s="4"/>
      <c r="G965" s="4"/>
      <c r="H965" s="4"/>
      <c r="I965" s="4"/>
      <c r="J965" s="4"/>
      <c r="K965" s="4"/>
      <c r="L965" s="4"/>
      <c r="M965" s="4"/>
      <c r="N965" s="4"/>
      <c r="O965" s="4"/>
      <c r="P965" s="4"/>
      <c r="Q965" s="4"/>
      <c r="R965" s="4"/>
      <c r="S965" s="4"/>
      <c r="T965" s="4"/>
      <c r="U965" s="4"/>
      <c r="V965" s="4"/>
      <c r="W965" s="4"/>
      <c r="X965" s="4"/>
    </row>
    <row r="966">
      <c r="A966" s="4"/>
      <c r="B966" s="46"/>
      <c r="C966" s="4"/>
      <c r="D966" s="4"/>
      <c r="E966" s="4"/>
      <c r="F966" s="4"/>
      <c r="G966" s="4"/>
      <c r="H966" s="4"/>
      <c r="I966" s="4"/>
      <c r="J966" s="4"/>
      <c r="K966" s="4"/>
      <c r="L966" s="4"/>
      <c r="M966" s="4"/>
      <c r="N966" s="4"/>
      <c r="O966" s="4"/>
      <c r="P966" s="4"/>
      <c r="Q966" s="4"/>
      <c r="R966" s="4"/>
      <c r="S966" s="4"/>
      <c r="T966" s="4"/>
      <c r="U966" s="4"/>
      <c r="V966" s="4"/>
      <c r="W966" s="4"/>
      <c r="X966" s="4"/>
    </row>
    <row r="967">
      <c r="A967" s="4"/>
      <c r="B967" s="46"/>
      <c r="C967" s="4"/>
      <c r="D967" s="4"/>
      <c r="E967" s="4"/>
      <c r="F967" s="4"/>
      <c r="G967" s="4"/>
      <c r="H967" s="4"/>
      <c r="I967" s="4"/>
      <c r="J967" s="4"/>
      <c r="K967" s="4"/>
      <c r="L967" s="4"/>
      <c r="M967" s="4"/>
      <c r="N967" s="4"/>
      <c r="O967" s="4"/>
      <c r="P967" s="4"/>
      <c r="Q967" s="4"/>
      <c r="R967" s="4"/>
      <c r="S967" s="4"/>
      <c r="T967" s="4"/>
      <c r="U967" s="4"/>
      <c r="V967" s="4"/>
      <c r="W967" s="4"/>
      <c r="X967" s="4"/>
    </row>
    <row r="968">
      <c r="A968" s="4"/>
      <c r="B968" s="46"/>
      <c r="C968" s="4"/>
      <c r="D968" s="4"/>
      <c r="E968" s="4"/>
      <c r="F968" s="4"/>
      <c r="G968" s="4"/>
      <c r="H968" s="4"/>
      <c r="I968" s="4"/>
      <c r="J968" s="4"/>
      <c r="K968" s="4"/>
      <c r="L968" s="4"/>
      <c r="M968" s="4"/>
      <c r="N968" s="4"/>
      <c r="O968" s="4"/>
      <c r="P968" s="4"/>
      <c r="Q968" s="4"/>
      <c r="R968" s="4"/>
      <c r="S968" s="4"/>
      <c r="T968" s="4"/>
      <c r="U968" s="4"/>
      <c r="V968" s="4"/>
      <c r="W968" s="4"/>
      <c r="X968" s="4"/>
    </row>
    <row r="969">
      <c r="A969" s="4"/>
      <c r="B969" s="46"/>
      <c r="C969" s="4"/>
      <c r="D969" s="4"/>
      <c r="E969" s="4"/>
      <c r="F969" s="4"/>
      <c r="G969" s="4"/>
      <c r="H969" s="4"/>
      <c r="I969" s="4"/>
      <c r="J969" s="4"/>
      <c r="K969" s="4"/>
      <c r="L969" s="4"/>
      <c r="M969" s="4"/>
      <c r="N969" s="4"/>
      <c r="O969" s="4"/>
      <c r="P969" s="4"/>
      <c r="Q969" s="4"/>
      <c r="R969" s="4"/>
      <c r="S969" s="4"/>
      <c r="T969" s="4"/>
      <c r="U969" s="4"/>
      <c r="V969" s="4"/>
      <c r="W969" s="4"/>
      <c r="X969" s="4"/>
    </row>
    <row r="970">
      <c r="A970" s="4"/>
      <c r="B970" s="46"/>
      <c r="C970" s="4"/>
      <c r="D970" s="4"/>
      <c r="E970" s="4"/>
      <c r="F970" s="4"/>
      <c r="G970" s="4"/>
      <c r="H970" s="4"/>
      <c r="I970" s="4"/>
      <c r="J970" s="4"/>
      <c r="K970" s="4"/>
      <c r="L970" s="4"/>
      <c r="M970" s="4"/>
      <c r="N970" s="4"/>
      <c r="O970" s="4"/>
      <c r="P970" s="4"/>
      <c r="Q970" s="4"/>
      <c r="R970" s="4"/>
      <c r="S970" s="4"/>
      <c r="T970" s="4"/>
      <c r="U970" s="4"/>
      <c r="V970" s="4"/>
      <c r="W970" s="4"/>
      <c r="X970" s="4"/>
    </row>
    <row r="971">
      <c r="A971" s="4"/>
      <c r="B971" s="46"/>
      <c r="C971" s="4"/>
      <c r="D971" s="4"/>
      <c r="E971" s="4"/>
      <c r="F971" s="4"/>
      <c r="G971" s="4"/>
      <c r="H971" s="4"/>
      <c r="I971" s="4"/>
      <c r="J971" s="4"/>
      <c r="K971" s="4"/>
      <c r="L971" s="4"/>
      <c r="M971" s="4"/>
      <c r="N971" s="4"/>
      <c r="O971" s="4"/>
      <c r="P971" s="4"/>
      <c r="Q971" s="4"/>
      <c r="R971" s="4"/>
      <c r="S971" s="4"/>
      <c r="T971" s="4"/>
      <c r="U971" s="4"/>
      <c r="V971" s="4"/>
      <c r="W971" s="4"/>
      <c r="X971" s="4"/>
    </row>
    <row r="972">
      <c r="A972" s="4"/>
      <c r="B972" s="46"/>
      <c r="C972" s="4"/>
      <c r="D972" s="4"/>
      <c r="E972" s="4"/>
      <c r="F972" s="4"/>
      <c r="G972" s="4"/>
      <c r="H972" s="4"/>
      <c r="I972" s="4"/>
      <c r="J972" s="4"/>
      <c r="K972" s="4"/>
      <c r="L972" s="4"/>
      <c r="M972" s="4"/>
      <c r="N972" s="4"/>
      <c r="O972" s="4"/>
      <c r="P972" s="4"/>
      <c r="Q972" s="4"/>
      <c r="R972" s="4"/>
      <c r="S972" s="4"/>
      <c r="T972" s="4"/>
      <c r="U972" s="4"/>
      <c r="V972" s="4"/>
      <c r="W972" s="4"/>
      <c r="X972" s="4"/>
    </row>
    <row r="973">
      <c r="A973" s="4"/>
      <c r="B973" s="46"/>
      <c r="C973" s="4"/>
      <c r="D973" s="4"/>
      <c r="E973" s="4"/>
      <c r="F973" s="4"/>
      <c r="G973" s="4"/>
      <c r="H973" s="4"/>
      <c r="I973" s="4"/>
      <c r="J973" s="4"/>
      <c r="K973" s="4"/>
      <c r="L973" s="4"/>
      <c r="M973" s="4"/>
      <c r="N973" s="4"/>
      <c r="O973" s="4"/>
      <c r="P973" s="4"/>
      <c r="Q973" s="4"/>
      <c r="R973" s="4"/>
      <c r="S973" s="4"/>
      <c r="T973" s="4"/>
      <c r="U973" s="4"/>
      <c r="V973" s="4"/>
      <c r="W973" s="4"/>
      <c r="X973" s="4"/>
    </row>
    <row r="974">
      <c r="A974" s="4"/>
      <c r="B974" s="46"/>
      <c r="C974" s="4"/>
      <c r="D974" s="4"/>
      <c r="E974" s="4"/>
      <c r="F974" s="4"/>
      <c r="G974" s="4"/>
      <c r="H974" s="4"/>
      <c r="I974" s="4"/>
      <c r="J974" s="4"/>
      <c r="K974" s="4"/>
      <c r="L974" s="4"/>
      <c r="M974" s="4"/>
      <c r="N974" s="4"/>
      <c r="O974" s="4"/>
      <c r="P974" s="4"/>
      <c r="Q974" s="4"/>
      <c r="R974" s="4"/>
      <c r="S974" s="4"/>
      <c r="T974" s="4"/>
      <c r="U974" s="4"/>
      <c r="V974" s="4"/>
      <c r="W974" s="4"/>
      <c r="X974" s="4"/>
    </row>
    <row r="975">
      <c r="A975" s="4"/>
      <c r="B975" s="46"/>
      <c r="C975" s="4"/>
      <c r="D975" s="4"/>
      <c r="E975" s="4"/>
      <c r="F975" s="4"/>
      <c r="G975" s="4"/>
      <c r="H975" s="4"/>
      <c r="I975" s="4"/>
      <c r="J975" s="4"/>
      <c r="K975" s="4"/>
      <c r="L975" s="4"/>
      <c r="M975" s="4"/>
      <c r="N975" s="4"/>
      <c r="O975" s="4"/>
      <c r="P975" s="4"/>
      <c r="Q975" s="4"/>
      <c r="R975" s="4"/>
      <c r="S975" s="4"/>
      <c r="T975" s="4"/>
      <c r="U975" s="4"/>
      <c r="V975" s="4"/>
      <c r="W975" s="4"/>
      <c r="X975" s="4"/>
    </row>
    <row r="976">
      <c r="A976" s="4"/>
      <c r="B976" s="46"/>
      <c r="C976" s="4"/>
      <c r="D976" s="4"/>
      <c r="E976" s="4"/>
      <c r="F976" s="4"/>
      <c r="G976" s="4"/>
      <c r="H976" s="4"/>
      <c r="I976" s="4"/>
      <c r="J976" s="4"/>
      <c r="K976" s="4"/>
      <c r="L976" s="4"/>
      <c r="M976" s="4"/>
      <c r="N976" s="4"/>
      <c r="O976" s="4"/>
      <c r="P976" s="4"/>
      <c r="Q976" s="4"/>
      <c r="R976" s="4"/>
      <c r="S976" s="4"/>
      <c r="T976" s="4"/>
      <c r="U976" s="4"/>
      <c r="V976" s="4"/>
      <c r="W976" s="4"/>
      <c r="X976" s="4"/>
    </row>
    <row r="977">
      <c r="A977" s="4"/>
      <c r="B977" s="46"/>
      <c r="C977" s="4"/>
      <c r="D977" s="4"/>
      <c r="E977" s="4"/>
      <c r="F977" s="4"/>
      <c r="G977" s="4"/>
      <c r="H977" s="4"/>
      <c r="I977" s="4"/>
      <c r="J977" s="4"/>
      <c r="K977" s="4"/>
      <c r="L977" s="4"/>
      <c r="M977" s="4"/>
      <c r="N977" s="4"/>
      <c r="O977" s="4"/>
      <c r="P977" s="4"/>
      <c r="Q977" s="4"/>
      <c r="R977" s="4"/>
      <c r="S977" s="4"/>
      <c r="T977" s="4"/>
      <c r="U977" s="4"/>
      <c r="V977" s="4"/>
      <c r="W977" s="4"/>
      <c r="X977" s="4"/>
    </row>
    <row r="978">
      <c r="A978" s="4"/>
      <c r="B978" s="46"/>
      <c r="C978" s="4"/>
      <c r="D978" s="4"/>
      <c r="E978" s="4"/>
      <c r="F978" s="4"/>
      <c r="G978" s="4"/>
      <c r="H978" s="4"/>
      <c r="I978" s="4"/>
      <c r="J978" s="4"/>
      <c r="K978" s="4"/>
      <c r="L978" s="4"/>
      <c r="M978" s="4"/>
      <c r="N978" s="4"/>
      <c r="O978" s="4"/>
      <c r="P978" s="4"/>
      <c r="Q978" s="4"/>
      <c r="R978" s="4"/>
      <c r="S978" s="4"/>
      <c r="T978" s="4"/>
      <c r="U978" s="4"/>
      <c r="V978" s="4"/>
      <c r="W978" s="4"/>
      <c r="X978" s="4"/>
    </row>
    <row r="979">
      <c r="A979" s="4"/>
      <c r="B979" s="46"/>
      <c r="C979" s="4"/>
      <c r="D979" s="4"/>
      <c r="E979" s="4"/>
      <c r="F979" s="4"/>
      <c r="G979" s="4"/>
      <c r="H979" s="4"/>
      <c r="I979" s="4"/>
      <c r="J979" s="4"/>
      <c r="K979" s="4"/>
      <c r="L979" s="4"/>
      <c r="M979" s="4"/>
      <c r="N979" s="4"/>
      <c r="O979" s="4"/>
      <c r="P979" s="4"/>
      <c r="Q979" s="4"/>
      <c r="R979" s="4"/>
      <c r="S979" s="4"/>
      <c r="T979" s="4"/>
      <c r="U979" s="4"/>
      <c r="V979" s="4"/>
      <c r="W979" s="4"/>
      <c r="X979" s="4"/>
    </row>
    <row r="980">
      <c r="A980" s="4"/>
      <c r="B980" s="46"/>
      <c r="C980" s="4"/>
      <c r="D980" s="4"/>
      <c r="E980" s="4"/>
      <c r="F980" s="4"/>
      <c r="G980" s="4"/>
      <c r="H980" s="4"/>
      <c r="I980" s="4"/>
      <c r="J980" s="4"/>
      <c r="K980" s="4"/>
      <c r="L980" s="4"/>
      <c r="M980" s="4"/>
      <c r="N980" s="4"/>
      <c r="O980" s="4"/>
      <c r="P980" s="4"/>
      <c r="Q980" s="4"/>
      <c r="R980" s="4"/>
      <c r="S980" s="4"/>
      <c r="T980" s="4"/>
      <c r="U980" s="4"/>
      <c r="V980" s="4"/>
      <c r="W980" s="4"/>
      <c r="X980" s="4"/>
    </row>
    <row r="981">
      <c r="A981" s="4"/>
      <c r="B981" s="46"/>
      <c r="C981" s="4"/>
      <c r="D981" s="4"/>
      <c r="E981" s="4"/>
      <c r="F981" s="4"/>
      <c r="G981" s="4"/>
      <c r="H981" s="4"/>
      <c r="I981" s="4"/>
      <c r="J981" s="4"/>
      <c r="K981" s="4"/>
      <c r="L981" s="4"/>
      <c r="M981" s="4"/>
      <c r="N981" s="4"/>
      <c r="O981" s="4"/>
      <c r="P981" s="4"/>
      <c r="Q981" s="4"/>
      <c r="R981" s="4"/>
      <c r="S981" s="4"/>
      <c r="T981" s="4"/>
      <c r="U981" s="4"/>
      <c r="V981" s="4"/>
      <c r="W981" s="4"/>
      <c r="X981" s="4"/>
    </row>
    <row r="982">
      <c r="A982" s="4"/>
      <c r="B982" s="46"/>
      <c r="C982" s="4"/>
      <c r="D982" s="4"/>
      <c r="E982" s="4"/>
      <c r="F982" s="4"/>
      <c r="G982" s="4"/>
      <c r="H982" s="4"/>
      <c r="I982" s="4"/>
      <c r="J982" s="4"/>
      <c r="K982" s="4"/>
      <c r="L982" s="4"/>
      <c r="M982" s="4"/>
      <c r="N982" s="4"/>
      <c r="O982" s="4"/>
      <c r="P982" s="4"/>
      <c r="Q982" s="4"/>
      <c r="R982" s="4"/>
      <c r="S982" s="4"/>
      <c r="T982" s="4"/>
      <c r="U982" s="4"/>
      <c r="V982" s="4"/>
      <c r="W982" s="4"/>
      <c r="X982" s="4"/>
    </row>
    <row r="983">
      <c r="A983" s="4"/>
      <c r="B983" s="46"/>
      <c r="C983" s="4"/>
      <c r="D983" s="4"/>
      <c r="E983" s="4"/>
      <c r="F983" s="4"/>
      <c r="G983" s="4"/>
      <c r="H983" s="4"/>
      <c r="I983" s="4"/>
      <c r="J983" s="4"/>
      <c r="K983" s="4"/>
      <c r="L983" s="4"/>
      <c r="M983" s="4"/>
      <c r="N983" s="4"/>
      <c r="O983" s="4"/>
      <c r="P983" s="4"/>
      <c r="Q983" s="4"/>
      <c r="R983" s="4"/>
      <c r="S983" s="4"/>
      <c r="T983" s="4"/>
      <c r="U983" s="4"/>
      <c r="V983" s="4"/>
      <c r="W983" s="4"/>
      <c r="X983" s="4"/>
    </row>
    <row r="984">
      <c r="A984" s="4"/>
      <c r="B984" s="46"/>
      <c r="C984" s="4"/>
      <c r="D984" s="4"/>
      <c r="E984" s="4"/>
      <c r="F984" s="4"/>
      <c r="G984" s="4"/>
      <c r="H984" s="4"/>
      <c r="I984" s="4"/>
      <c r="J984" s="4"/>
      <c r="K984" s="4"/>
      <c r="L984" s="4"/>
      <c r="M984" s="4"/>
      <c r="N984" s="4"/>
      <c r="O984" s="4"/>
      <c r="P984" s="4"/>
      <c r="Q984" s="4"/>
      <c r="R984" s="4"/>
      <c r="S984" s="4"/>
      <c r="T984" s="4"/>
      <c r="U984" s="4"/>
      <c r="V984" s="4"/>
      <c r="W984" s="4"/>
      <c r="X984" s="4"/>
    </row>
    <row r="985">
      <c r="A985" s="4"/>
      <c r="B985" s="46"/>
      <c r="C985" s="4"/>
      <c r="D985" s="4"/>
      <c r="E985" s="4"/>
      <c r="F985" s="4"/>
      <c r="G985" s="4"/>
      <c r="H985" s="4"/>
      <c r="I985" s="4"/>
      <c r="J985" s="4"/>
      <c r="K985" s="4"/>
      <c r="L985" s="4"/>
      <c r="M985" s="4"/>
      <c r="N985" s="4"/>
      <c r="O985" s="4"/>
      <c r="P985" s="4"/>
      <c r="Q985" s="4"/>
      <c r="R985" s="4"/>
      <c r="S985" s="4"/>
      <c r="T985" s="4"/>
      <c r="U985" s="4"/>
      <c r="V985" s="4"/>
      <c r="W985" s="4"/>
      <c r="X985" s="4"/>
    </row>
    <row r="986">
      <c r="A986" s="4"/>
      <c r="B986" s="46"/>
      <c r="C986" s="4"/>
      <c r="D986" s="4"/>
      <c r="E986" s="4"/>
      <c r="F986" s="4"/>
      <c r="G986" s="4"/>
      <c r="H986" s="4"/>
      <c r="I986" s="4"/>
      <c r="J986" s="4"/>
      <c r="K986" s="4"/>
      <c r="L986" s="4"/>
      <c r="M986" s="4"/>
      <c r="N986" s="4"/>
      <c r="O986" s="4"/>
      <c r="P986" s="4"/>
      <c r="Q986" s="4"/>
      <c r="R986" s="4"/>
      <c r="S986" s="4"/>
      <c r="T986" s="4"/>
      <c r="U986" s="4"/>
      <c r="V986" s="4"/>
      <c r="W986" s="4"/>
      <c r="X986" s="4"/>
    </row>
    <row r="987">
      <c r="A987" s="4"/>
      <c r="B987" s="46"/>
      <c r="C987" s="4"/>
      <c r="D987" s="4"/>
      <c r="E987" s="4"/>
      <c r="F987" s="4"/>
      <c r="G987" s="4"/>
      <c r="H987" s="4"/>
      <c r="I987" s="4"/>
      <c r="J987" s="4"/>
      <c r="K987" s="4"/>
      <c r="L987" s="4"/>
      <c r="M987" s="4"/>
      <c r="N987" s="4"/>
      <c r="O987" s="4"/>
      <c r="P987" s="4"/>
      <c r="Q987" s="4"/>
      <c r="R987" s="4"/>
      <c r="S987" s="4"/>
      <c r="T987" s="4"/>
      <c r="U987" s="4"/>
      <c r="V987" s="4"/>
      <c r="W987" s="4"/>
      <c r="X987" s="4"/>
    </row>
    <row r="988">
      <c r="A988" s="4"/>
      <c r="B988" s="46"/>
      <c r="C988" s="4"/>
      <c r="D988" s="4"/>
      <c r="E988" s="4"/>
      <c r="F988" s="4"/>
      <c r="G988" s="4"/>
      <c r="H988" s="4"/>
      <c r="I988" s="4"/>
      <c r="J988" s="4"/>
      <c r="K988" s="4"/>
      <c r="L988" s="4"/>
      <c r="M988" s="4"/>
      <c r="N988" s="4"/>
      <c r="O988" s="4"/>
      <c r="P988" s="4"/>
      <c r="Q988" s="4"/>
      <c r="R988" s="4"/>
      <c r="S988" s="4"/>
      <c r="T988" s="4"/>
      <c r="U988" s="4"/>
      <c r="V988" s="4"/>
      <c r="W988" s="4"/>
      <c r="X988" s="4"/>
    </row>
    <row r="989">
      <c r="A989" s="4"/>
      <c r="B989" s="46"/>
      <c r="C989" s="4"/>
      <c r="D989" s="4"/>
      <c r="E989" s="4"/>
      <c r="F989" s="4"/>
      <c r="G989" s="4"/>
      <c r="H989" s="4"/>
      <c r="I989" s="4"/>
      <c r="J989" s="4"/>
      <c r="K989" s="4"/>
      <c r="L989" s="4"/>
      <c r="M989" s="4"/>
      <c r="N989" s="4"/>
      <c r="O989" s="4"/>
      <c r="P989" s="4"/>
      <c r="Q989" s="4"/>
      <c r="R989" s="4"/>
      <c r="S989" s="4"/>
      <c r="T989" s="4"/>
      <c r="U989" s="4"/>
      <c r="V989" s="4"/>
      <c r="W989" s="4"/>
      <c r="X989" s="4"/>
    </row>
    <row r="990">
      <c r="A990" s="4"/>
      <c r="B990" s="46"/>
      <c r="C990" s="4"/>
      <c r="D990" s="4"/>
      <c r="E990" s="4"/>
      <c r="F990" s="4"/>
      <c r="G990" s="4"/>
      <c r="H990" s="4"/>
      <c r="I990" s="4"/>
      <c r="J990" s="4"/>
      <c r="K990" s="4"/>
      <c r="L990" s="4"/>
      <c r="M990" s="4"/>
      <c r="N990" s="4"/>
      <c r="O990" s="4"/>
      <c r="P990" s="4"/>
      <c r="Q990" s="4"/>
      <c r="R990" s="4"/>
      <c r="S990" s="4"/>
      <c r="T990" s="4"/>
      <c r="U990" s="4"/>
      <c r="V990" s="4"/>
      <c r="W990" s="4"/>
      <c r="X990" s="4"/>
    </row>
    <row r="991">
      <c r="A991" s="4"/>
      <c r="B991" s="46"/>
      <c r="C991" s="4"/>
      <c r="D991" s="4"/>
      <c r="E991" s="4"/>
      <c r="F991" s="4"/>
      <c r="G991" s="4"/>
      <c r="H991" s="4"/>
      <c r="I991" s="4"/>
      <c r="J991" s="4"/>
      <c r="K991" s="4"/>
      <c r="L991" s="4"/>
      <c r="M991" s="4"/>
      <c r="N991" s="4"/>
      <c r="O991" s="4"/>
      <c r="P991" s="4"/>
      <c r="Q991" s="4"/>
      <c r="R991" s="4"/>
      <c r="S991" s="4"/>
      <c r="T991" s="4"/>
      <c r="U991" s="4"/>
      <c r="V991" s="4"/>
      <c r="W991" s="4"/>
      <c r="X991" s="4"/>
    </row>
    <row r="992">
      <c r="A992" s="4"/>
      <c r="B992" s="46"/>
      <c r="C992" s="4"/>
      <c r="D992" s="4"/>
      <c r="E992" s="4"/>
      <c r="F992" s="4"/>
      <c r="G992" s="4"/>
      <c r="H992" s="4"/>
      <c r="I992" s="4"/>
      <c r="J992" s="4"/>
      <c r="K992" s="4"/>
      <c r="L992" s="4"/>
      <c r="M992" s="4"/>
      <c r="N992" s="4"/>
      <c r="O992" s="4"/>
      <c r="P992" s="4"/>
      <c r="Q992" s="4"/>
      <c r="R992" s="4"/>
      <c r="S992" s="4"/>
      <c r="T992" s="4"/>
      <c r="U992" s="4"/>
      <c r="V992" s="4"/>
      <c r="W992" s="4"/>
      <c r="X992" s="4"/>
    </row>
    <row r="993">
      <c r="A993" s="4"/>
      <c r="B993" s="46"/>
      <c r="C993" s="4"/>
      <c r="D993" s="4"/>
      <c r="E993" s="4"/>
      <c r="F993" s="4"/>
      <c r="G993" s="4"/>
      <c r="H993" s="4"/>
      <c r="I993" s="4"/>
      <c r="J993" s="4"/>
      <c r="K993" s="4"/>
      <c r="L993" s="4"/>
      <c r="M993" s="4"/>
      <c r="N993" s="4"/>
      <c r="O993" s="4"/>
      <c r="P993" s="4"/>
      <c r="Q993" s="4"/>
      <c r="R993" s="4"/>
      <c r="S993" s="4"/>
      <c r="T993" s="4"/>
      <c r="U993" s="4"/>
      <c r="V993" s="4"/>
      <c r="W993" s="4"/>
      <c r="X993" s="4"/>
    </row>
    <row r="994">
      <c r="A994" s="4"/>
      <c r="B994" s="46"/>
      <c r="C994" s="4"/>
      <c r="D994" s="4"/>
      <c r="E994" s="4"/>
      <c r="F994" s="4"/>
      <c r="G994" s="4"/>
      <c r="H994" s="4"/>
      <c r="I994" s="4"/>
      <c r="J994" s="4"/>
      <c r="K994" s="4"/>
      <c r="L994" s="4"/>
      <c r="M994" s="4"/>
      <c r="N994" s="4"/>
      <c r="O994" s="4"/>
      <c r="P994" s="4"/>
      <c r="Q994" s="4"/>
      <c r="R994" s="4"/>
      <c r="S994" s="4"/>
      <c r="T994" s="4"/>
      <c r="U994" s="4"/>
      <c r="V994" s="4"/>
      <c r="W994" s="4"/>
      <c r="X994" s="4"/>
    </row>
    <row r="995">
      <c r="A995" s="4"/>
      <c r="B995" s="46"/>
      <c r="C995" s="4"/>
      <c r="D995" s="4"/>
      <c r="E995" s="4"/>
      <c r="F995" s="4"/>
      <c r="G995" s="4"/>
      <c r="H995" s="4"/>
      <c r="I995" s="4"/>
      <c r="J995" s="4"/>
      <c r="K995" s="4"/>
      <c r="L995" s="4"/>
      <c r="M995" s="4"/>
      <c r="N995" s="4"/>
      <c r="O995" s="4"/>
      <c r="P995" s="4"/>
      <c r="Q995" s="4"/>
      <c r="R995" s="4"/>
      <c r="S995" s="4"/>
      <c r="T995" s="4"/>
      <c r="U995" s="4"/>
      <c r="V995" s="4"/>
      <c r="W995" s="4"/>
      <c r="X995" s="4"/>
    </row>
    <row r="996">
      <c r="A996" s="4"/>
      <c r="B996" s="46"/>
      <c r="C996" s="4"/>
      <c r="D996" s="4"/>
      <c r="E996" s="4"/>
      <c r="F996" s="4"/>
      <c r="G996" s="4"/>
      <c r="H996" s="4"/>
      <c r="I996" s="4"/>
      <c r="J996" s="4"/>
      <c r="K996" s="4"/>
      <c r="L996" s="4"/>
      <c r="M996" s="4"/>
      <c r="N996" s="4"/>
      <c r="O996" s="4"/>
      <c r="P996" s="4"/>
      <c r="Q996" s="4"/>
      <c r="R996" s="4"/>
      <c r="S996" s="4"/>
      <c r="T996" s="4"/>
      <c r="U996" s="4"/>
      <c r="V996" s="4"/>
      <c r="W996" s="4"/>
      <c r="X996" s="4"/>
    </row>
    <row r="997">
      <c r="A997" s="4"/>
      <c r="B997" s="46"/>
      <c r="C997" s="4"/>
      <c r="D997" s="4"/>
      <c r="E997" s="4"/>
      <c r="F997" s="4"/>
      <c r="G997" s="4"/>
      <c r="H997" s="4"/>
      <c r="I997" s="4"/>
      <c r="J997" s="4"/>
      <c r="K997" s="4"/>
      <c r="L997" s="4"/>
      <c r="M997" s="4"/>
      <c r="N997" s="4"/>
      <c r="O997" s="4"/>
      <c r="P997" s="4"/>
      <c r="Q997" s="4"/>
      <c r="R997" s="4"/>
      <c r="S997" s="4"/>
      <c r="T997" s="4"/>
      <c r="U997" s="4"/>
      <c r="V997" s="4"/>
      <c r="W997" s="4"/>
      <c r="X997" s="4"/>
    </row>
    <row r="998">
      <c r="A998" s="4"/>
      <c r="B998" s="46"/>
      <c r="C998" s="4"/>
      <c r="D998" s="4"/>
      <c r="E998" s="4"/>
      <c r="F998" s="4"/>
      <c r="G998" s="4"/>
      <c r="H998" s="4"/>
      <c r="I998" s="4"/>
      <c r="J998" s="4"/>
      <c r="K998" s="4"/>
      <c r="L998" s="4"/>
      <c r="M998" s="4"/>
      <c r="N998" s="4"/>
      <c r="O998" s="4"/>
      <c r="P998" s="4"/>
      <c r="Q998" s="4"/>
      <c r="R998" s="4"/>
      <c r="S998" s="4"/>
      <c r="T998" s="4"/>
      <c r="U998" s="4"/>
      <c r="V998" s="4"/>
      <c r="W998" s="4"/>
      <c r="X998" s="4"/>
    </row>
    <row r="999">
      <c r="A999" s="4"/>
      <c r="B999" s="46"/>
      <c r="C999" s="4"/>
      <c r="D999" s="4"/>
      <c r="E999" s="4"/>
      <c r="F999" s="4"/>
      <c r="G999" s="4"/>
      <c r="H999" s="4"/>
      <c r="I999" s="4"/>
      <c r="J999" s="4"/>
      <c r="K999" s="4"/>
      <c r="L999" s="4"/>
      <c r="M999" s="4"/>
      <c r="N999" s="4"/>
      <c r="O999" s="4"/>
      <c r="P999" s="4"/>
      <c r="Q999" s="4"/>
      <c r="R999" s="4"/>
      <c r="S999" s="4"/>
      <c r="T999" s="4"/>
      <c r="U999" s="4"/>
      <c r="V999" s="4"/>
      <c r="W999" s="4"/>
      <c r="X999" s="4"/>
    </row>
    <row r="1000">
      <c r="A1000" s="4"/>
      <c r="B1000" s="46"/>
      <c r="C1000" s="4"/>
      <c r="D1000" s="4"/>
      <c r="E1000" s="4"/>
      <c r="F1000" s="4"/>
      <c r="G1000" s="4"/>
      <c r="H1000" s="4"/>
      <c r="I1000" s="4"/>
      <c r="J1000" s="4"/>
      <c r="K1000" s="4"/>
      <c r="L1000" s="4"/>
      <c r="M1000" s="4"/>
      <c r="N1000" s="4"/>
      <c r="O1000" s="4"/>
      <c r="P1000" s="4"/>
      <c r="Q1000" s="4"/>
      <c r="R1000" s="4"/>
      <c r="S1000" s="4"/>
      <c r="T1000" s="4"/>
      <c r="U1000" s="4"/>
      <c r="V1000" s="4"/>
      <c r="W1000" s="4"/>
      <c r="X1000" s="4"/>
    </row>
    <row r="1001">
      <c r="A1001" s="4"/>
      <c r="B1001" s="46"/>
      <c r="C1001" s="4"/>
      <c r="D1001" s="4"/>
      <c r="E1001" s="4"/>
      <c r="F1001" s="4"/>
      <c r="G1001" s="4"/>
      <c r="H1001" s="4"/>
      <c r="I1001" s="4"/>
      <c r="J1001" s="4"/>
      <c r="K1001" s="4"/>
      <c r="L1001" s="4"/>
      <c r="M1001" s="4"/>
      <c r="N1001" s="4"/>
      <c r="O1001" s="4"/>
      <c r="P1001" s="4"/>
      <c r="Q1001" s="4"/>
      <c r="R1001" s="4"/>
      <c r="S1001" s="4"/>
      <c r="T1001" s="4"/>
      <c r="U1001" s="4"/>
      <c r="V1001" s="4"/>
      <c r="W1001" s="4"/>
      <c r="X1001" s="4"/>
    </row>
    <row r="1002">
      <c r="A1002" s="4"/>
      <c r="B1002" s="46"/>
      <c r="C1002" s="4"/>
      <c r="D1002" s="4"/>
      <c r="E1002" s="4"/>
      <c r="F1002" s="4"/>
      <c r="G1002" s="4"/>
      <c r="H1002" s="4"/>
      <c r="I1002" s="4"/>
      <c r="J1002" s="4"/>
      <c r="K1002" s="4"/>
      <c r="L1002" s="4"/>
      <c r="M1002" s="4"/>
      <c r="N1002" s="4"/>
      <c r="O1002" s="4"/>
      <c r="P1002" s="4"/>
      <c r="Q1002" s="4"/>
      <c r="R1002" s="4"/>
      <c r="S1002" s="4"/>
      <c r="T1002" s="4"/>
      <c r="U1002" s="4"/>
      <c r="V1002" s="4"/>
      <c r="W1002" s="4"/>
      <c r="X1002" s="4"/>
    </row>
    <row r="1003">
      <c r="A1003" s="4"/>
      <c r="B1003" s="46"/>
      <c r="C1003" s="4"/>
      <c r="D1003" s="4"/>
      <c r="E1003" s="4"/>
      <c r="F1003" s="4"/>
      <c r="G1003" s="4"/>
      <c r="H1003" s="4"/>
      <c r="I1003" s="4"/>
      <c r="J1003" s="4"/>
      <c r="K1003" s="4"/>
      <c r="L1003" s="4"/>
      <c r="M1003" s="4"/>
      <c r="N1003" s="4"/>
      <c r="O1003" s="4"/>
      <c r="P1003" s="4"/>
      <c r="Q1003" s="4"/>
      <c r="R1003" s="4"/>
      <c r="S1003" s="4"/>
      <c r="T1003" s="4"/>
      <c r="U1003" s="4"/>
      <c r="V1003" s="4"/>
      <c r="W1003" s="4"/>
      <c r="X1003" s="4"/>
    </row>
    <row r="1004">
      <c r="A1004" s="4"/>
      <c r="B1004" s="46"/>
      <c r="C1004" s="4"/>
      <c r="D1004" s="4"/>
      <c r="E1004" s="4"/>
      <c r="F1004" s="4"/>
      <c r="G1004" s="4"/>
      <c r="H1004" s="4"/>
      <c r="I1004" s="4"/>
      <c r="J1004" s="4"/>
      <c r="K1004" s="4"/>
      <c r="L1004" s="4"/>
      <c r="M1004" s="4"/>
      <c r="N1004" s="4"/>
      <c r="O1004" s="4"/>
      <c r="P1004" s="4"/>
      <c r="Q1004" s="4"/>
      <c r="R1004" s="4"/>
      <c r="S1004" s="4"/>
      <c r="T1004" s="4"/>
      <c r="U1004" s="4"/>
      <c r="V1004" s="4"/>
      <c r="W1004" s="4"/>
      <c r="X1004" s="4"/>
    </row>
    <row r="1005">
      <c r="A1005" s="4"/>
      <c r="B1005" s="46"/>
      <c r="C1005" s="4"/>
      <c r="D1005" s="4"/>
      <c r="E1005" s="4"/>
      <c r="F1005" s="4"/>
      <c r="G1005" s="4"/>
      <c r="H1005" s="4"/>
      <c r="I1005" s="4"/>
      <c r="J1005" s="4"/>
      <c r="K1005" s="4"/>
      <c r="L1005" s="4"/>
      <c r="M1005" s="4"/>
      <c r="N1005" s="4"/>
      <c r="O1005" s="4"/>
      <c r="P1005" s="4"/>
      <c r="Q1005" s="4"/>
      <c r="R1005" s="4"/>
      <c r="S1005" s="4"/>
      <c r="T1005" s="4"/>
      <c r="U1005" s="4"/>
      <c r="V1005" s="4"/>
      <c r="W1005" s="4"/>
      <c r="X1005" s="4"/>
    </row>
    <row r="1006">
      <c r="A1006" s="4"/>
      <c r="B1006" s="46"/>
      <c r="C1006" s="4"/>
      <c r="D1006" s="4"/>
      <c r="E1006" s="4"/>
      <c r="F1006" s="4"/>
      <c r="G1006" s="4"/>
      <c r="H1006" s="4"/>
      <c r="I1006" s="4"/>
      <c r="J1006" s="4"/>
      <c r="K1006" s="4"/>
      <c r="L1006" s="4"/>
      <c r="M1006" s="4"/>
      <c r="N1006" s="4"/>
      <c r="O1006" s="4"/>
      <c r="P1006" s="4"/>
      <c r="Q1006" s="4"/>
      <c r="R1006" s="4"/>
      <c r="S1006" s="4"/>
      <c r="T1006" s="4"/>
      <c r="U1006" s="4"/>
      <c r="V1006" s="4"/>
      <c r="W1006" s="4"/>
      <c r="X1006" s="4"/>
    </row>
    <row r="1007">
      <c r="A1007" s="4"/>
      <c r="B1007" s="46"/>
      <c r="C1007" s="4"/>
      <c r="D1007" s="4"/>
      <c r="E1007" s="4"/>
      <c r="F1007" s="4"/>
      <c r="G1007" s="4"/>
      <c r="H1007" s="4"/>
      <c r="I1007" s="4"/>
      <c r="J1007" s="4"/>
      <c r="K1007" s="4"/>
      <c r="L1007" s="4"/>
      <c r="M1007" s="4"/>
      <c r="N1007" s="4"/>
      <c r="O1007" s="4"/>
      <c r="P1007" s="4"/>
      <c r="Q1007" s="4"/>
      <c r="R1007" s="4"/>
      <c r="S1007" s="4"/>
      <c r="T1007" s="4"/>
      <c r="U1007" s="4"/>
      <c r="V1007" s="4"/>
      <c r="W1007" s="4"/>
      <c r="X1007" s="4"/>
    </row>
    <row r="1008">
      <c r="A1008" s="4"/>
      <c r="B1008" s="46"/>
      <c r="C1008" s="4"/>
      <c r="D1008" s="4"/>
      <c r="E1008" s="4"/>
      <c r="F1008" s="4"/>
      <c r="G1008" s="4"/>
      <c r="H1008" s="4"/>
      <c r="I1008" s="4"/>
      <c r="J1008" s="4"/>
      <c r="K1008" s="4"/>
      <c r="L1008" s="4"/>
      <c r="M1008" s="4"/>
      <c r="N1008" s="4"/>
      <c r="O1008" s="4"/>
      <c r="P1008" s="4"/>
      <c r="Q1008" s="4"/>
      <c r="R1008" s="4"/>
      <c r="S1008" s="4"/>
      <c r="T1008" s="4"/>
      <c r="U1008" s="4"/>
      <c r="V1008" s="4"/>
      <c r="W1008" s="4"/>
      <c r="X1008" s="4"/>
    </row>
    <row r="1009">
      <c r="A1009" s="4"/>
      <c r="B1009" s="46"/>
      <c r="C1009" s="4"/>
      <c r="D1009" s="4"/>
      <c r="E1009" s="4"/>
      <c r="F1009" s="4"/>
      <c r="G1009" s="4"/>
      <c r="H1009" s="4"/>
      <c r="I1009" s="4"/>
      <c r="J1009" s="4"/>
      <c r="K1009" s="4"/>
      <c r="L1009" s="4"/>
      <c r="M1009" s="4"/>
      <c r="N1009" s="4"/>
      <c r="O1009" s="4"/>
      <c r="P1009" s="4"/>
      <c r="Q1009" s="4"/>
      <c r="R1009" s="4"/>
      <c r="S1009" s="4"/>
      <c r="T1009" s="4"/>
      <c r="U1009" s="4"/>
      <c r="V1009" s="4"/>
      <c r="W1009" s="4"/>
      <c r="X1009" s="4"/>
    </row>
    <row r="1010">
      <c r="A1010" s="4"/>
      <c r="B1010" s="46"/>
      <c r="C1010" s="4"/>
      <c r="D1010" s="4"/>
      <c r="E1010" s="4"/>
      <c r="F1010" s="4"/>
      <c r="G1010" s="4"/>
      <c r="H1010" s="4"/>
      <c r="I1010" s="4"/>
      <c r="J1010" s="4"/>
      <c r="K1010" s="4"/>
      <c r="L1010" s="4"/>
      <c r="M1010" s="4"/>
      <c r="N1010" s="4"/>
      <c r="O1010" s="4"/>
      <c r="P1010" s="4"/>
      <c r="Q1010" s="4"/>
      <c r="R1010" s="4"/>
      <c r="S1010" s="4"/>
      <c r="T1010" s="4"/>
      <c r="U1010" s="4"/>
      <c r="V1010" s="4"/>
      <c r="W1010" s="4"/>
      <c r="X1010" s="4"/>
    </row>
    <row r="1011">
      <c r="A1011" s="4"/>
      <c r="B1011" s="46"/>
      <c r="C1011" s="4"/>
      <c r="D1011" s="4"/>
      <c r="E1011" s="4"/>
      <c r="F1011" s="4"/>
      <c r="G1011" s="4"/>
      <c r="H1011" s="4"/>
      <c r="I1011" s="4"/>
      <c r="J1011" s="4"/>
      <c r="K1011" s="4"/>
      <c r="L1011" s="4"/>
      <c r="M1011" s="4"/>
      <c r="N1011" s="4"/>
      <c r="O1011" s="4"/>
      <c r="P1011" s="4"/>
      <c r="Q1011" s="4"/>
      <c r="R1011" s="4"/>
      <c r="S1011" s="4"/>
      <c r="T1011" s="4"/>
      <c r="U1011" s="4"/>
      <c r="V1011" s="4"/>
      <c r="W1011" s="4"/>
      <c r="X1011" s="4"/>
    </row>
    <row r="1012">
      <c r="A1012" s="4"/>
      <c r="B1012" s="46"/>
      <c r="C1012" s="4"/>
      <c r="D1012" s="4"/>
      <c r="E1012" s="4"/>
      <c r="F1012" s="4"/>
      <c r="G1012" s="4"/>
      <c r="H1012" s="4"/>
      <c r="I1012" s="4"/>
      <c r="J1012" s="4"/>
      <c r="K1012" s="4"/>
      <c r="L1012" s="4"/>
      <c r="M1012" s="4"/>
      <c r="N1012" s="4"/>
      <c r="O1012" s="4"/>
      <c r="P1012" s="4"/>
      <c r="Q1012" s="4"/>
      <c r="R1012" s="4"/>
      <c r="S1012" s="4"/>
      <c r="T1012" s="4"/>
      <c r="U1012" s="4"/>
      <c r="V1012" s="4"/>
      <c r="W1012" s="4"/>
      <c r="X1012" s="4"/>
    </row>
    <row r="1013">
      <c r="A1013" s="4"/>
      <c r="B1013" s="46"/>
      <c r="C1013" s="4"/>
      <c r="D1013" s="4"/>
      <c r="E1013" s="4"/>
      <c r="F1013" s="4"/>
      <c r="G1013" s="4"/>
      <c r="H1013" s="4"/>
      <c r="I1013" s="4"/>
      <c r="J1013" s="4"/>
      <c r="K1013" s="4"/>
      <c r="L1013" s="4"/>
      <c r="M1013" s="4"/>
      <c r="N1013" s="4"/>
      <c r="O1013" s="4"/>
      <c r="P1013" s="4"/>
      <c r="Q1013" s="4"/>
      <c r="R1013" s="4"/>
      <c r="S1013" s="4"/>
      <c r="T1013" s="4"/>
      <c r="U1013" s="4"/>
      <c r="V1013" s="4"/>
      <c r="W1013" s="4"/>
      <c r="X1013" s="4"/>
    </row>
    <row r="1014">
      <c r="A1014" s="4"/>
      <c r="B1014" s="46"/>
      <c r="C1014" s="4"/>
      <c r="D1014" s="4"/>
      <c r="E1014" s="4"/>
      <c r="F1014" s="4"/>
      <c r="G1014" s="4"/>
      <c r="H1014" s="4"/>
      <c r="I1014" s="4"/>
      <c r="J1014" s="4"/>
      <c r="K1014" s="4"/>
      <c r="L1014" s="4"/>
      <c r="M1014" s="4"/>
      <c r="N1014" s="4"/>
      <c r="O1014" s="4"/>
      <c r="P1014" s="4"/>
      <c r="Q1014" s="4"/>
      <c r="R1014" s="4"/>
      <c r="S1014" s="4"/>
      <c r="T1014" s="4"/>
      <c r="U1014" s="4"/>
      <c r="V1014" s="4"/>
      <c r="W1014" s="4"/>
      <c r="X1014" s="4"/>
    </row>
  </sheetData>
  <mergeCells count="14">
    <mergeCell ref="A8:C8"/>
    <mergeCell ref="A9:C9"/>
    <mergeCell ref="A10:C10"/>
    <mergeCell ref="A11:C11"/>
    <mergeCell ref="A12:C12"/>
    <mergeCell ref="A17:C17"/>
    <mergeCell ref="A19:C19"/>
    <mergeCell ref="A1:C1"/>
    <mergeCell ref="A2:C2"/>
    <mergeCell ref="A3:C3"/>
    <mergeCell ref="A4:C4"/>
    <mergeCell ref="A5:C5"/>
    <mergeCell ref="A6:C6"/>
    <mergeCell ref="A7:C7"/>
  </mergeCells>
  <dataValidations>
    <dataValidation type="list" allowBlank="1" showErrorMessage="1" sqref="B14">
      <formula1>"Fund of Funds - General,Fund of Funds - VC,Fund of Funds - PE,Funds - PE,Funds - VC,Funds - General,Direct - VC,Direct - PE,Direct - Restructuring ,Direct - Distressed,Debt - Special Situations,Debt - General,Hedge Fund,Infrastructure,Mezzanine,Other,Real"&amp;" Estate,Real Estate Debt,Agriculture,Buyout,Public Stocks,Fixed Income,Crypto,Art and Antiques,IP Rights"</formula1>
    </dataValidation>
    <dataValidation type="list" allowBlank="1" showErrorMessage="1" sqref="C29">
      <formula1>"Healthy,Narrow,Too narrow"</formula1>
    </dataValidation>
    <dataValidation type="list" allowBlank="1" showErrorMessage="1" sqref="B20">
      <formula1>"Family Office,Fund of Funds,Multi-family Office,Government,Pension Fund,Insurance,Bank,Other,Charitable Organization,Endowment,Utility Provider,Technology,Religious,Asset Manager,Union,Property Investment,Corporate,Angel,Incubator,HNWI,All"</formula1>
    </dataValidation>
    <dataValidation type="list" allowBlank="1" showErrorMessage="1" sqref="B23">
      <formula1>"PreSeed,Seed,Series A,Series B,Series C,Series C+"</formula1>
    </dataValidation>
    <dataValidation type="list" allowBlank="1" showErrorMessage="1" sqref="B15">
      <formula1>"AgTech,AR &amp; VR,Life Sciences,Blockchain &amp; Web3,Climate Tech,Consumer Tech,Cybersecurity,Deep Tech,Defence Tech,Digital Health,Retail,EdTech,Energy Tech,Software as a Service (SaaS),Gaming,FinTech,Food Tech,Health Tech,HR Tech,Industrial Tech,InsureTech,Le"&amp;"gal Tech,Manufacturing,Marketplaces,Mobility Tech,Open Source Software,PropTech,Space Tech,Artificial Intelligence,Logistics Tech,All,BioTech,Dual-Use Tech"</formula1>
    </dataValidation>
    <dataValidation type="list" allowBlank="1" showErrorMessage="1" sqref="B22">
      <formula1>"Emerging,Developing,Established,All"</formula1>
    </dataValidation>
    <dataValidation type="list" allowBlank="1" showErrorMessage="1" sqref="B16 B21">
      <formula1>"Asia,Africa,Europe,Oceania,Caribbean,South America,North America,Middle East,Eastern Europe,Europe/Asia,All"</formula1>
    </dataValidation>
  </dataValidations>
  <hyperlinks>
    <hyperlink r:id="rId1" ref="C30"/>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3.75"/>
    <col customWidth="1" min="2" max="2" width="21.63"/>
    <col customWidth="1" min="3" max="3" width="22.0"/>
    <col customWidth="1" min="4" max="4" width="18.63"/>
  </cols>
  <sheetData>
    <row r="1">
      <c r="A1" s="48" t="s">
        <v>55</v>
      </c>
      <c r="B1" s="49"/>
      <c r="C1" s="49"/>
      <c r="D1" s="49"/>
      <c r="E1" s="50"/>
      <c r="F1" s="50"/>
      <c r="G1" s="51"/>
      <c r="H1" s="50"/>
      <c r="I1" s="51"/>
      <c r="J1" s="50"/>
      <c r="K1" s="49"/>
      <c r="L1" s="50"/>
      <c r="M1" s="50"/>
      <c r="N1" s="50"/>
      <c r="O1" s="50"/>
      <c r="P1" s="50"/>
      <c r="Q1" s="50"/>
      <c r="R1" s="50"/>
      <c r="S1" s="50"/>
      <c r="T1" s="49"/>
      <c r="U1" s="50"/>
      <c r="V1" s="50"/>
      <c r="W1" s="50"/>
      <c r="X1" s="50"/>
      <c r="Y1" s="50"/>
      <c r="Z1" s="50"/>
      <c r="AA1" s="50"/>
      <c r="AB1" s="50"/>
      <c r="AC1" s="50"/>
      <c r="AD1" s="50"/>
    </row>
    <row r="2">
      <c r="A2" s="52" t="s">
        <v>56</v>
      </c>
      <c r="E2" s="50"/>
      <c r="F2" s="50"/>
      <c r="G2" s="51"/>
      <c r="H2" s="50"/>
      <c r="I2" s="51"/>
      <c r="J2" s="50"/>
      <c r="K2" s="49"/>
      <c r="L2" s="50"/>
      <c r="M2" s="50"/>
      <c r="N2" s="50"/>
      <c r="O2" s="50"/>
      <c r="P2" s="50"/>
      <c r="Q2" s="50"/>
      <c r="R2" s="50"/>
      <c r="S2" s="50"/>
      <c r="T2" s="49"/>
      <c r="U2" s="50"/>
      <c r="V2" s="50"/>
      <c r="W2" s="50"/>
      <c r="X2" s="50"/>
      <c r="Y2" s="50"/>
      <c r="Z2" s="50"/>
      <c r="AA2" s="50"/>
      <c r="AB2" s="50"/>
      <c r="AC2" s="50"/>
      <c r="AD2" s="50"/>
    </row>
    <row r="3">
      <c r="A3" s="53" t="s">
        <v>57</v>
      </c>
      <c r="B3" s="53" t="s">
        <v>58</v>
      </c>
      <c r="C3" s="54" t="s">
        <v>59</v>
      </c>
      <c r="D3" s="53" t="s">
        <v>60</v>
      </c>
      <c r="E3" s="50"/>
      <c r="F3" s="50"/>
      <c r="G3" s="50"/>
      <c r="H3" s="50"/>
      <c r="I3" s="50"/>
      <c r="J3" s="50"/>
      <c r="K3" s="50"/>
      <c r="L3" s="50"/>
      <c r="M3" s="50"/>
      <c r="N3" s="50"/>
      <c r="O3" s="50"/>
      <c r="P3" s="50"/>
      <c r="Q3" s="50"/>
      <c r="R3" s="50"/>
      <c r="S3" s="50"/>
      <c r="T3" s="50"/>
      <c r="U3" s="50"/>
      <c r="V3" s="50"/>
      <c r="W3" s="50"/>
      <c r="X3" s="50"/>
      <c r="Y3" s="50"/>
      <c r="Z3" s="50"/>
      <c r="AA3" s="50"/>
      <c r="AB3" s="50"/>
      <c r="AC3" s="50"/>
      <c r="AD3" s="50"/>
    </row>
    <row r="4">
      <c r="A4" s="55" t="s">
        <v>61</v>
      </c>
      <c r="B4" s="56" t="s">
        <v>62</v>
      </c>
      <c r="C4" s="57" t="s">
        <v>63</v>
      </c>
      <c r="D4" s="58" t="s">
        <v>64</v>
      </c>
      <c r="E4" s="59" t="s">
        <v>65</v>
      </c>
      <c r="F4" s="50"/>
      <c r="G4" s="50"/>
      <c r="H4" s="50"/>
      <c r="I4" s="50"/>
      <c r="J4" s="50"/>
      <c r="K4" s="50"/>
      <c r="L4" s="50"/>
      <c r="M4" s="50"/>
      <c r="N4" s="50"/>
      <c r="O4" s="50"/>
      <c r="P4" s="50"/>
      <c r="Q4" s="50"/>
      <c r="R4" s="50"/>
      <c r="S4" s="50"/>
      <c r="T4" s="50"/>
      <c r="U4" s="50"/>
      <c r="V4" s="50"/>
      <c r="W4" s="50"/>
      <c r="X4" s="50"/>
      <c r="Y4" s="50"/>
      <c r="Z4" s="50"/>
      <c r="AA4" s="50"/>
      <c r="AB4" s="50"/>
      <c r="AC4" s="50"/>
      <c r="AD4" s="50"/>
    </row>
    <row r="5">
      <c r="A5" s="55" t="s">
        <v>66</v>
      </c>
      <c r="B5" s="56" t="s">
        <v>62</v>
      </c>
      <c r="C5" s="57" t="s">
        <v>67</v>
      </c>
      <c r="D5" s="60" t="s">
        <v>64</v>
      </c>
      <c r="E5" s="59" t="s">
        <v>68</v>
      </c>
      <c r="F5" s="50"/>
      <c r="G5" s="50"/>
      <c r="H5" s="50"/>
      <c r="I5" s="50"/>
      <c r="J5" s="50"/>
      <c r="K5" s="50"/>
      <c r="L5" s="50"/>
      <c r="M5" s="50"/>
      <c r="N5" s="50"/>
      <c r="O5" s="50"/>
      <c r="P5" s="50"/>
      <c r="Q5" s="50"/>
      <c r="R5" s="50"/>
      <c r="S5" s="50"/>
      <c r="T5" s="50"/>
      <c r="U5" s="50"/>
      <c r="V5" s="50"/>
      <c r="W5" s="50"/>
      <c r="X5" s="50"/>
      <c r="Y5" s="50"/>
      <c r="Z5" s="50"/>
      <c r="AA5" s="50"/>
      <c r="AB5" s="50"/>
      <c r="AC5" s="50"/>
      <c r="AD5" s="50"/>
    </row>
    <row r="6">
      <c r="A6" s="55" t="s">
        <v>69</v>
      </c>
      <c r="B6" s="56" t="s">
        <v>62</v>
      </c>
      <c r="C6" s="57" t="s">
        <v>63</v>
      </c>
      <c r="D6" s="60" t="s">
        <v>64</v>
      </c>
      <c r="E6" s="59" t="s">
        <v>70</v>
      </c>
      <c r="F6" s="50"/>
      <c r="G6" s="50"/>
      <c r="H6" s="50"/>
      <c r="I6" s="50"/>
      <c r="J6" s="50"/>
      <c r="K6" s="50"/>
      <c r="L6" s="50"/>
      <c r="M6" s="50"/>
      <c r="N6" s="50"/>
      <c r="O6" s="50"/>
      <c r="P6" s="50"/>
      <c r="Q6" s="50"/>
      <c r="R6" s="50"/>
      <c r="S6" s="50"/>
      <c r="T6" s="50"/>
      <c r="U6" s="50"/>
      <c r="V6" s="50"/>
      <c r="W6" s="50"/>
      <c r="X6" s="50"/>
      <c r="Y6" s="50"/>
      <c r="Z6" s="50"/>
      <c r="AA6" s="50"/>
      <c r="AB6" s="50"/>
      <c r="AC6" s="50"/>
      <c r="AD6" s="50"/>
    </row>
    <row r="7">
      <c r="A7" s="55" t="s">
        <v>71</v>
      </c>
      <c r="B7" s="56" t="s">
        <v>62</v>
      </c>
      <c r="C7" s="57" t="s">
        <v>72</v>
      </c>
      <c r="D7" s="58" t="s">
        <v>73</v>
      </c>
      <c r="E7" s="59" t="s">
        <v>74</v>
      </c>
      <c r="F7" s="50"/>
      <c r="G7" s="50"/>
      <c r="H7" s="50"/>
      <c r="I7" s="50"/>
      <c r="J7" s="50"/>
      <c r="K7" s="50"/>
      <c r="L7" s="50"/>
      <c r="M7" s="50"/>
      <c r="N7" s="50"/>
      <c r="O7" s="50"/>
      <c r="P7" s="50"/>
      <c r="Q7" s="50"/>
      <c r="R7" s="50"/>
      <c r="S7" s="50"/>
      <c r="T7" s="50"/>
      <c r="U7" s="50"/>
      <c r="V7" s="50"/>
      <c r="W7" s="50"/>
      <c r="X7" s="50"/>
      <c r="Y7" s="50"/>
      <c r="Z7" s="50"/>
      <c r="AA7" s="50"/>
      <c r="AB7" s="50"/>
      <c r="AC7" s="50"/>
      <c r="AD7" s="50"/>
    </row>
    <row r="8">
      <c r="A8" s="60" t="s">
        <v>75</v>
      </c>
      <c r="B8" s="49"/>
      <c r="C8" s="57" t="s">
        <v>76</v>
      </c>
      <c r="D8" s="58" t="s">
        <v>73</v>
      </c>
      <c r="E8" s="59" t="s">
        <v>74</v>
      </c>
      <c r="F8" s="50"/>
      <c r="G8" s="50"/>
      <c r="H8" s="50"/>
      <c r="I8" s="50"/>
      <c r="J8" s="50"/>
      <c r="K8" s="50"/>
      <c r="L8" s="50"/>
      <c r="M8" s="50"/>
      <c r="N8" s="50"/>
      <c r="O8" s="50"/>
      <c r="P8" s="50"/>
      <c r="Q8" s="50"/>
      <c r="R8" s="50"/>
      <c r="S8" s="50"/>
      <c r="T8" s="50"/>
      <c r="U8" s="50"/>
      <c r="V8" s="50"/>
      <c r="W8" s="50"/>
      <c r="X8" s="50"/>
      <c r="Y8" s="50"/>
      <c r="Z8" s="50"/>
      <c r="AA8" s="50"/>
      <c r="AB8" s="50"/>
      <c r="AC8" s="50"/>
      <c r="AD8" s="50"/>
    </row>
    <row r="9">
      <c r="A9" s="60" t="s">
        <v>77</v>
      </c>
      <c r="B9" s="49"/>
      <c r="C9" s="57" t="s">
        <v>78</v>
      </c>
      <c r="D9" s="58" t="s">
        <v>73</v>
      </c>
      <c r="E9" s="59" t="s">
        <v>79</v>
      </c>
      <c r="F9" s="50"/>
      <c r="G9" s="50"/>
      <c r="H9" s="50"/>
      <c r="I9" s="50"/>
      <c r="J9" s="50"/>
      <c r="K9" s="50"/>
      <c r="L9" s="50"/>
      <c r="M9" s="50"/>
      <c r="N9" s="50"/>
      <c r="O9" s="50"/>
      <c r="P9" s="50"/>
      <c r="Q9" s="50"/>
      <c r="R9" s="50"/>
      <c r="S9" s="50"/>
      <c r="T9" s="50"/>
      <c r="U9" s="50"/>
      <c r="V9" s="50"/>
      <c r="W9" s="50"/>
      <c r="X9" s="50"/>
      <c r="Y9" s="50"/>
      <c r="Z9" s="50"/>
      <c r="AA9" s="50"/>
      <c r="AB9" s="50"/>
      <c r="AC9" s="50"/>
      <c r="AD9" s="50"/>
    </row>
    <row r="10">
      <c r="A10" s="60" t="s">
        <v>80</v>
      </c>
      <c r="B10" s="49"/>
      <c r="C10" s="57" t="s">
        <v>81</v>
      </c>
      <c r="D10" s="58" t="s">
        <v>73</v>
      </c>
      <c r="E10" s="59" t="s">
        <v>82</v>
      </c>
      <c r="F10" s="50"/>
      <c r="G10" s="50"/>
      <c r="H10" s="50"/>
      <c r="I10" s="50"/>
      <c r="J10" s="50"/>
      <c r="K10" s="50"/>
      <c r="L10" s="50"/>
      <c r="M10" s="50"/>
      <c r="N10" s="50"/>
      <c r="O10" s="50"/>
      <c r="P10" s="50"/>
      <c r="Q10" s="50"/>
      <c r="R10" s="50"/>
      <c r="S10" s="50"/>
      <c r="T10" s="50"/>
      <c r="U10" s="50"/>
      <c r="V10" s="50"/>
      <c r="W10" s="50"/>
      <c r="X10" s="50"/>
      <c r="Y10" s="50"/>
      <c r="Z10" s="50"/>
      <c r="AA10" s="50"/>
      <c r="AB10" s="50"/>
      <c r="AC10" s="50"/>
      <c r="AD10" s="50"/>
    </row>
    <row r="11">
      <c r="A11" s="60" t="s">
        <v>83</v>
      </c>
      <c r="B11" s="49"/>
      <c r="C11" s="57" t="s">
        <v>76</v>
      </c>
      <c r="D11" s="58" t="s">
        <v>73</v>
      </c>
      <c r="E11" s="59" t="s">
        <v>74</v>
      </c>
      <c r="F11" s="50"/>
      <c r="G11" s="50"/>
      <c r="H11" s="50"/>
      <c r="I11" s="50"/>
      <c r="J11" s="50"/>
      <c r="K11" s="50"/>
      <c r="L11" s="50"/>
      <c r="M11" s="50"/>
      <c r="N11" s="50"/>
      <c r="O11" s="50"/>
      <c r="P11" s="50"/>
      <c r="Q11" s="50"/>
      <c r="R11" s="50"/>
      <c r="S11" s="50"/>
      <c r="T11" s="50"/>
      <c r="U11" s="50"/>
      <c r="V11" s="50"/>
      <c r="W11" s="50"/>
      <c r="X11" s="50"/>
      <c r="Y11" s="50"/>
      <c r="Z11" s="50"/>
      <c r="AA11" s="50"/>
      <c r="AB11" s="50"/>
      <c r="AC11" s="50"/>
      <c r="AD11" s="50"/>
    </row>
    <row r="12">
      <c r="A12" s="49"/>
      <c r="B12" s="49"/>
      <c r="C12" s="49"/>
      <c r="D12" s="49"/>
      <c r="E12" s="50"/>
      <c r="F12" s="50"/>
      <c r="G12" s="50"/>
      <c r="H12" s="50"/>
      <c r="I12" s="50"/>
      <c r="J12" s="50"/>
      <c r="K12" s="50"/>
      <c r="L12" s="50"/>
      <c r="M12" s="50"/>
      <c r="N12" s="50"/>
      <c r="O12" s="50"/>
      <c r="P12" s="50"/>
      <c r="Q12" s="50"/>
      <c r="R12" s="50"/>
      <c r="S12" s="50"/>
      <c r="T12" s="50"/>
      <c r="U12" s="50"/>
      <c r="V12" s="50"/>
      <c r="W12" s="50"/>
      <c r="X12" s="50"/>
      <c r="Y12" s="50"/>
      <c r="Z12" s="50"/>
      <c r="AA12" s="50"/>
      <c r="AB12" s="50"/>
      <c r="AC12" s="50"/>
      <c r="AD12" s="50"/>
    </row>
    <row r="13">
      <c r="A13" s="49"/>
      <c r="B13" s="49"/>
      <c r="C13" s="49"/>
      <c r="D13" s="49"/>
      <c r="E13" s="50"/>
      <c r="F13" s="50"/>
      <c r="G13" s="50"/>
      <c r="H13" s="50"/>
      <c r="I13" s="50"/>
      <c r="J13" s="50"/>
      <c r="K13" s="50"/>
      <c r="L13" s="50"/>
      <c r="M13" s="50"/>
      <c r="N13" s="50"/>
      <c r="O13" s="50"/>
      <c r="P13" s="50"/>
      <c r="Q13" s="50"/>
      <c r="R13" s="50"/>
      <c r="S13" s="50"/>
      <c r="T13" s="50"/>
      <c r="U13" s="50"/>
      <c r="V13" s="50"/>
      <c r="W13" s="50"/>
      <c r="X13" s="50"/>
      <c r="Y13" s="50"/>
      <c r="Z13" s="50"/>
      <c r="AA13" s="50"/>
      <c r="AB13" s="50"/>
      <c r="AC13" s="50"/>
      <c r="AD13" s="50"/>
    </row>
    <row r="14">
      <c r="A14" s="49"/>
      <c r="B14" s="49"/>
      <c r="C14" s="49"/>
      <c r="D14" s="49"/>
      <c r="E14" s="50"/>
      <c r="F14" s="50"/>
      <c r="G14" s="50"/>
      <c r="H14" s="50"/>
      <c r="I14" s="50"/>
      <c r="J14" s="50"/>
      <c r="K14" s="50"/>
      <c r="L14" s="50"/>
      <c r="M14" s="50"/>
      <c r="N14" s="50"/>
      <c r="O14" s="50"/>
      <c r="P14" s="50"/>
      <c r="Q14" s="50"/>
      <c r="R14" s="50"/>
      <c r="S14" s="50"/>
      <c r="T14" s="50"/>
      <c r="U14" s="50"/>
      <c r="V14" s="50"/>
      <c r="W14" s="50"/>
      <c r="X14" s="50"/>
      <c r="Y14" s="50"/>
      <c r="Z14" s="50"/>
      <c r="AA14" s="50"/>
      <c r="AB14" s="50"/>
      <c r="AC14" s="50"/>
      <c r="AD14" s="50"/>
    </row>
    <row r="15">
      <c r="A15" s="49"/>
      <c r="B15" s="49"/>
      <c r="C15" s="49"/>
      <c r="D15" s="49"/>
      <c r="E15" s="50"/>
      <c r="F15" s="50"/>
      <c r="G15" s="50"/>
      <c r="H15" s="50"/>
      <c r="I15" s="50"/>
      <c r="J15" s="50"/>
      <c r="K15" s="50"/>
      <c r="L15" s="50"/>
      <c r="M15" s="50"/>
      <c r="N15" s="50"/>
      <c r="O15" s="50"/>
      <c r="P15" s="50"/>
      <c r="Q15" s="50"/>
      <c r="R15" s="50"/>
      <c r="S15" s="50"/>
      <c r="T15" s="50"/>
      <c r="U15" s="50"/>
      <c r="V15" s="50"/>
      <c r="W15" s="50"/>
      <c r="X15" s="50"/>
      <c r="Y15" s="50"/>
      <c r="Z15" s="50"/>
      <c r="AA15" s="50"/>
      <c r="AB15" s="50"/>
      <c r="AC15" s="50"/>
      <c r="AD15" s="50"/>
    </row>
    <row r="16">
      <c r="A16" s="49"/>
      <c r="B16" s="49"/>
      <c r="C16" s="49"/>
      <c r="D16" s="49"/>
      <c r="E16" s="50"/>
      <c r="F16" s="50"/>
      <c r="G16" s="50"/>
      <c r="H16" s="50"/>
      <c r="I16" s="50"/>
      <c r="J16" s="50"/>
      <c r="K16" s="50"/>
      <c r="L16" s="50"/>
      <c r="M16" s="50"/>
      <c r="N16" s="50"/>
      <c r="O16" s="50"/>
      <c r="P16" s="50"/>
      <c r="Q16" s="50"/>
      <c r="R16" s="50"/>
      <c r="S16" s="50"/>
      <c r="T16" s="50"/>
      <c r="U16" s="50"/>
      <c r="V16" s="50"/>
      <c r="W16" s="50"/>
      <c r="X16" s="50"/>
      <c r="Y16" s="50"/>
      <c r="Z16" s="50"/>
      <c r="AA16" s="50"/>
      <c r="AB16" s="50"/>
      <c r="AC16" s="50"/>
      <c r="AD16" s="50"/>
    </row>
    <row r="17">
      <c r="A17" s="49"/>
      <c r="B17" s="49"/>
      <c r="C17" s="49"/>
      <c r="D17" s="49"/>
      <c r="E17" s="50"/>
      <c r="F17" s="50"/>
      <c r="G17" s="50"/>
      <c r="H17" s="50"/>
      <c r="I17" s="50"/>
      <c r="J17" s="50"/>
      <c r="K17" s="50"/>
      <c r="L17" s="50"/>
      <c r="M17" s="50"/>
      <c r="N17" s="50"/>
      <c r="O17" s="50"/>
      <c r="P17" s="50"/>
      <c r="Q17" s="50"/>
      <c r="R17" s="50"/>
      <c r="S17" s="50"/>
      <c r="T17" s="50"/>
      <c r="U17" s="50"/>
      <c r="V17" s="50"/>
      <c r="W17" s="50"/>
      <c r="X17" s="50"/>
      <c r="Y17" s="50"/>
      <c r="Z17" s="50"/>
      <c r="AA17" s="50"/>
      <c r="AB17" s="50"/>
      <c r="AC17" s="50"/>
      <c r="AD17" s="50"/>
    </row>
    <row r="18">
      <c r="A18" s="49"/>
      <c r="B18" s="49"/>
      <c r="C18" s="49"/>
      <c r="D18" s="49"/>
      <c r="E18" s="50"/>
      <c r="F18" s="50"/>
      <c r="G18" s="50"/>
      <c r="H18" s="50"/>
      <c r="I18" s="50"/>
      <c r="J18" s="50"/>
      <c r="K18" s="50"/>
      <c r="L18" s="50"/>
      <c r="M18" s="50"/>
      <c r="N18" s="50"/>
      <c r="O18" s="50"/>
      <c r="P18" s="50"/>
      <c r="Q18" s="50"/>
      <c r="R18" s="50"/>
      <c r="S18" s="50"/>
      <c r="T18" s="50"/>
      <c r="U18" s="50"/>
      <c r="V18" s="50"/>
      <c r="W18" s="50"/>
      <c r="X18" s="50"/>
      <c r="Y18" s="50"/>
      <c r="Z18" s="50"/>
      <c r="AA18" s="50"/>
      <c r="AB18" s="50"/>
      <c r="AC18" s="50"/>
      <c r="AD18" s="50"/>
    </row>
    <row r="19">
      <c r="A19" s="49"/>
      <c r="B19" s="49"/>
      <c r="C19" s="49"/>
      <c r="D19" s="49"/>
      <c r="E19" s="50"/>
      <c r="F19" s="50"/>
      <c r="G19" s="50"/>
      <c r="H19" s="50"/>
      <c r="I19" s="50"/>
      <c r="J19" s="50"/>
      <c r="K19" s="50"/>
      <c r="L19" s="50"/>
      <c r="M19" s="50"/>
      <c r="N19" s="50"/>
      <c r="O19" s="50"/>
      <c r="P19" s="50"/>
      <c r="Q19" s="50"/>
      <c r="R19" s="50"/>
      <c r="S19" s="50"/>
      <c r="T19" s="50"/>
      <c r="U19" s="50"/>
      <c r="V19" s="50"/>
      <c r="W19" s="50"/>
      <c r="X19" s="50"/>
      <c r="Y19" s="50"/>
      <c r="Z19" s="50"/>
      <c r="AA19" s="50"/>
      <c r="AB19" s="50"/>
      <c r="AC19" s="50"/>
      <c r="AD19" s="50"/>
    </row>
    <row r="20">
      <c r="A20" s="49"/>
      <c r="B20" s="49"/>
      <c r="C20" s="49"/>
      <c r="D20" s="49"/>
      <c r="E20" s="50"/>
      <c r="F20" s="50"/>
      <c r="G20" s="50"/>
      <c r="H20" s="50"/>
      <c r="I20" s="50"/>
      <c r="J20" s="50"/>
      <c r="K20" s="50"/>
      <c r="L20" s="50"/>
      <c r="M20" s="50"/>
      <c r="N20" s="50"/>
      <c r="O20" s="50"/>
      <c r="P20" s="50"/>
      <c r="Q20" s="50"/>
      <c r="R20" s="50"/>
      <c r="S20" s="50"/>
      <c r="T20" s="50"/>
      <c r="U20" s="50"/>
      <c r="V20" s="50"/>
      <c r="W20" s="50"/>
      <c r="X20" s="50"/>
      <c r="Y20" s="50"/>
      <c r="Z20" s="50"/>
      <c r="AA20" s="50"/>
      <c r="AB20" s="50"/>
      <c r="AC20" s="50"/>
      <c r="AD20" s="50"/>
    </row>
    <row r="21">
      <c r="A21" s="49"/>
      <c r="B21" s="49"/>
      <c r="C21" s="49"/>
      <c r="D21" s="49"/>
      <c r="E21" s="50"/>
      <c r="F21" s="50"/>
      <c r="G21" s="50"/>
      <c r="H21" s="50"/>
      <c r="I21" s="50"/>
      <c r="J21" s="50"/>
      <c r="K21" s="50"/>
      <c r="L21" s="50"/>
      <c r="M21" s="50"/>
      <c r="N21" s="50"/>
      <c r="O21" s="50"/>
      <c r="P21" s="50"/>
      <c r="Q21" s="50"/>
      <c r="R21" s="50"/>
      <c r="S21" s="50"/>
      <c r="T21" s="50"/>
      <c r="U21" s="50"/>
      <c r="V21" s="50"/>
      <c r="W21" s="50"/>
      <c r="X21" s="50"/>
      <c r="Y21" s="50"/>
      <c r="Z21" s="50"/>
      <c r="AA21" s="50"/>
      <c r="AB21" s="50"/>
      <c r="AC21" s="50"/>
      <c r="AD21" s="50"/>
    </row>
    <row r="22">
      <c r="A22" s="49"/>
      <c r="B22" s="49"/>
      <c r="C22" s="49"/>
      <c r="D22" s="49"/>
      <c r="E22" s="50"/>
      <c r="F22" s="50"/>
      <c r="G22" s="50"/>
      <c r="H22" s="50"/>
      <c r="I22" s="50"/>
      <c r="J22" s="50"/>
      <c r="K22" s="50"/>
      <c r="L22" s="50"/>
      <c r="M22" s="50"/>
      <c r="N22" s="50"/>
      <c r="O22" s="50"/>
      <c r="P22" s="50"/>
      <c r="Q22" s="50"/>
      <c r="R22" s="50"/>
      <c r="S22" s="50"/>
      <c r="T22" s="50"/>
      <c r="U22" s="50"/>
      <c r="V22" s="50"/>
      <c r="W22" s="50"/>
      <c r="X22" s="50"/>
      <c r="Y22" s="50"/>
      <c r="Z22" s="50"/>
      <c r="AA22" s="50"/>
      <c r="AB22" s="50"/>
      <c r="AC22" s="50"/>
      <c r="AD22" s="50"/>
    </row>
    <row r="23">
      <c r="A23" s="49"/>
      <c r="B23" s="49"/>
      <c r="C23" s="49"/>
      <c r="D23" s="49"/>
      <c r="E23" s="50"/>
      <c r="F23" s="50"/>
      <c r="G23" s="50"/>
      <c r="H23" s="50"/>
      <c r="I23" s="50"/>
      <c r="J23" s="50"/>
      <c r="K23" s="50"/>
      <c r="L23" s="50"/>
      <c r="M23" s="50"/>
      <c r="N23" s="50"/>
      <c r="O23" s="50"/>
      <c r="P23" s="50"/>
      <c r="Q23" s="50"/>
      <c r="R23" s="50"/>
      <c r="S23" s="50"/>
      <c r="T23" s="50"/>
      <c r="U23" s="50"/>
      <c r="V23" s="50"/>
      <c r="W23" s="50"/>
      <c r="X23" s="50"/>
      <c r="Y23" s="50"/>
      <c r="Z23" s="50"/>
      <c r="AA23" s="50"/>
      <c r="AB23" s="50"/>
      <c r="AC23" s="50"/>
      <c r="AD23" s="50"/>
    </row>
    <row r="24">
      <c r="A24" s="49"/>
      <c r="B24" s="49"/>
      <c r="C24" s="49"/>
      <c r="D24" s="49"/>
      <c r="E24" s="50"/>
      <c r="F24" s="50"/>
      <c r="G24" s="50"/>
      <c r="H24" s="50"/>
      <c r="I24" s="50"/>
      <c r="J24" s="50"/>
      <c r="K24" s="50"/>
      <c r="L24" s="50"/>
      <c r="M24" s="50"/>
      <c r="N24" s="50"/>
      <c r="O24" s="50"/>
      <c r="P24" s="50"/>
      <c r="Q24" s="50"/>
      <c r="R24" s="50"/>
      <c r="S24" s="50"/>
      <c r="T24" s="50"/>
      <c r="U24" s="50"/>
      <c r="V24" s="50"/>
      <c r="W24" s="50"/>
      <c r="X24" s="50"/>
      <c r="Y24" s="50"/>
      <c r="Z24" s="50"/>
      <c r="AA24" s="50"/>
      <c r="AB24" s="50"/>
      <c r="AC24" s="50"/>
      <c r="AD24" s="50"/>
    </row>
    <row r="25">
      <c r="A25" s="49"/>
      <c r="B25" s="49"/>
      <c r="C25" s="49"/>
      <c r="D25" s="49"/>
      <c r="E25" s="50"/>
      <c r="F25" s="50"/>
      <c r="G25" s="50"/>
      <c r="H25" s="50"/>
      <c r="I25" s="50"/>
      <c r="J25" s="50"/>
      <c r="K25" s="50"/>
      <c r="L25" s="50"/>
      <c r="M25" s="50"/>
      <c r="N25" s="50"/>
      <c r="O25" s="50"/>
      <c r="P25" s="50"/>
      <c r="Q25" s="50"/>
      <c r="R25" s="50"/>
      <c r="S25" s="50"/>
      <c r="T25" s="50"/>
      <c r="U25" s="50"/>
      <c r="V25" s="50"/>
      <c r="W25" s="50"/>
      <c r="X25" s="50"/>
      <c r="Y25" s="50"/>
      <c r="Z25" s="50"/>
      <c r="AA25" s="50"/>
      <c r="AB25" s="50"/>
      <c r="AC25" s="50"/>
      <c r="AD25" s="50"/>
    </row>
    <row r="26">
      <c r="A26" s="49"/>
      <c r="B26" s="49"/>
      <c r="C26" s="49"/>
      <c r="D26" s="49"/>
      <c r="E26" s="50"/>
      <c r="F26" s="50"/>
      <c r="G26" s="50"/>
      <c r="H26" s="50"/>
      <c r="I26" s="50"/>
      <c r="J26" s="50"/>
      <c r="K26" s="50"/>
      <c r="L26" s="50"/>
      <c r="M26" s="50"/>
      <c r="N26" s="50"/>
      <c r="O26" s="50"/>
      <c r="P26" s="50"/>
      <c r="Q26" s="50"/>
      <c r="R26" s="50"/>
      <c r="S26" s="50"/>
      <c r="T26" s="50"/>
      <c r="U26" s="50"/>
      <c r="V26" s="50"/>
      <c r="W26" s="50"/>
      <c r="X26" s="50"/>
      <c r="Y26" s="50"/>
      <c r="Z26" s="50"/>
      <c r="AA26" s="50"/>
      <c r="AB26" s="50"/>
      <c r="AC26" s="50"/>
      <c r="AD26" s="50"/>
    </row>
    <row r="27">
      <c r="A27" s="49"/>
      <c r="B27" s="49"/>
      <c r="C27" s="49"/>
      <c r="D27" s="49"/>
      <c r="E27" s="50"/>
      <c r="F27" s="50"/>
      <c r="G27" s="50"/>
      <c r="H27" s="50"/>
      <c r="I27" s="50"/>
      <c r="J27" s="50"/>
      <c r="K27" s="50"/>
      <c r="L27" s="50"/>
      <c r="M27" s="50"/>
      <c r="N27" s="50"/>
      <c r="O27" s="50"/>
      <c r="P27" s="50"/>
      <c r="Q27" s="50"/>
      <c r="R27" s="50"/>
      <c r="S27" s="50"/>
      <c r="T27" s="50"/>
      <c r="U27" s="50"/>
      <c r="V27" s="50"/>
      <c r="W27" s="50"/>
      <c r="X27" s="50"/>
      <c r="Y27" s="50"/>
      <c r="Z27" s="50"/>
      <c r="AA27" s="50"/>
      <c r="AB27" s="50"/>
      <c r="AC27" s="50"/>
      <c r="AD27" s="50"/>
    </row>
    <row r="28">
      <c r="A28" s="49"/>
      <c r="B28" s="49"/>
      <c r="C28" s="49"/>
      <c r="D28" s="49"/>
      <c r="E28" s="50"/>
      <c r="F28" s="50"/>
      <c r="G28" s="50"/>
      <c r="H28" s="50"/>
      <c r="I28" s="50"/>
      <c r="J28" s="50"/>
      <c r="K28" s="50"/>
      <c r="L28" s="50"/>
      <c r="M28" s="50"/>
      <c r="N28" s="50"/>
      <c r="O28" s="50"/>
      <c r="P28" s="50"/>
      <c r="Q28" s="50"/>
      <c r="R28" s="50"/>
      <c r="S28" s="50"/>
      <c r="T28" s="50"/>
      <c r="U28" s="50"/>
      <c r="V28" s="50"/>
      <c r="W28" s="50"/>
      <c r="X28" s="50"/>
      <c r="Y28" s="50"/>
      <c r="Z28" s="50"/>
      <c r="AA28" s="50"/>
      <c r="AB28" s="50"/>
      <c r="AC28" s="50"/>
      <c r="AD28" s="50"/>
    </row>
    <row r="29">
      <c r="A29" s="49"/>
      <c r="B29" s="49"/>
      <c r="C29" s="49"/>
      <c r="D29" s="49"/>
      <c r="E29" s="50"/>
      <c r="F29" s="50"/>
      <c r="G29" s="50"/>
      <c r="H29" s="50"/>
      <c r="I29" s="50"/>
      <c r="J29" s="50"/>
      <c r="K29" s="50"/>
      <c r="L29" s="50"/>
      <c r="M29" s="50"/>
      <c r="N29" s="50"/>
      <c r="O29" s="50"/>
      <c r="P29" s="50"/>
      <c r="Q29" s="50"/>
      <c r="R29" s="50"/>
      <c r="S29" s="50"/>
      <c r="T29" s="50"/>
      <c r="U29" s="50"/>
      <c r="V29" s="50"/>
      <c r="W29" s="50"/>
      <c r="X29" s="50"/>
      <c r="Y29" s="50"/>
      <c r="Z29" s="50"/>
      <c r="AA29" s="50"/>
      <c r="AB29" s="50"/>
      <c r="AC29" s="50"/>
      <c r="AD29" s="50"/>
    </row>
    <row r="30">
      <c r="A30" s="49"/>
      <c r="B30" s="49"/>
      <c r="C30" s="49"/>
      <c r="D30" s="49"/>
      <c r="E30" s="50"/>
      <c r="F30" s="50"/>
      <c r="G30" s="50"/>
      <c r="H30" s="50"/>
      <c r="I30" s="50"/>
      <c r="J30" s="50"/>
      <c r="K30" s="50"/>
      <c r="L30" s="50"/>
      <c r="M30" s="50"/>
      <c r="N30" s="50"/>
      <c r="O30" s="50"/>
      <c r="P30" s="50"/>
      <c r="Q30" s="50"/>
      <c r="R30" s="50"/>
      <c r="S30" s="50"/>
      <c r="T30" s="50"/>
      <c r="U30" s="50"/>
      <c r="V30" s="50"/>
      <c r="W30" s="50"/>
      <c r="X30" s="50"/>
      <c r="Y30" s="50"/>
      <c r="Z30" s="50"/>
      <c r="AA30" s="50"/>
      <c r="AB30" s="50"/>
      <c r="AC30" s="50"/>
      <c r="AD30" s="50"/>
    </row>
    <row r="31">
      <c r="A31" s="49"/>
      <c r="B31" s="49"/>
      <c r="C31" s="49"/>
      <c r="D31" s="49"/>
      <c r="E31" s="50"/>
      <c r="F31" s="50"/>
      <c r="G31" s="50"/>
      <c r="H31" s="50"/>
      <c r="I31" s="50"/>
      <c r="J31" s="50"/>
      <c r="K31" s="50"/>
      <c r="L31" s="50"/>
      <c r="M31" s="50"/>
      <c r="N31" s="50"/>
      <c r="O31" s="50"/>
      <c r="P31" s="50"/>
      <c r="Q31" s="50"/>
      <c r="R31" s="50"/>
      <c r="S31" s="50"/>
      <c r="T31" s="50"/>
      <c r="U31" s="50"/>
      <c r="V31" s="50"/>
      <c r="W31" s="50"/>
      <c r="X31" s="50"/>
      <c r="Y31" s="50"/>
      <c r="Z31" s="50"/>
      <c r="AA31" s="50"/>
      <c r="AB31" s="50"/>
      <c r="AC31" s="50"/>
      <c r="AD31" s="50"/>
    </row>
    <row r="32">
      <c r="A32" s="49"/>
      <c r="B32" s="49"/>
      <c r="C32" s="49"/>
      <c r="D32" s="49"/>
      <c r="E32" s="50"/>
      <c r="F32" s="50"/>
      <c r="G32" s="50"/>
      <c r="H32" s="50"/>
      <c r="I32" s="50"/>
      <c r="J32" s="50"/>
      <c r="K32" s="50"/>
      <c r="L32" s="50"/>
      <c r="M32" s="50"/>
      <c r="N32" s="50"/>
      <c r="O32" s="50"/>
      <c r="P32" s="50"/>
      <c r="Q32" s="50"/>
      <c r="R32" s="50"/>
      <c r="S32" s="50"/>
      <c r="T32" s="50"/>
      <c r="U32" s="50"/>
      <c r="V32" s="50"/>
      <c r="W32" s="50"/>
      <c r="X32" s="50"/>
      <c r="Y32" s="50"/>
      <c r="Z32" s="50"/>
      <c r="AA32" s="50"/>
      <c r="AB32" s="50"/>
      <c r="AC32" s="50"/>
      <c r="AD32" s="50"/>
    </row>
    <row r="33">
      <c r="A33" s="49"/>
      <c r="B33" s="49"/>
      <c r="C33" s="49"/>
      <c r="D33" s="49"/>
      <c r="E33" s="50"/>
      <c r="F33" s="50"/>
      <c r="G33" s="50"/>
      <c r="H33" s="50"/>
      <c r="I33" s="50"/>
      <c r="J33" s="50"/>
      <c r="K33" s="50"/>
      <c r="L33" s="50"/>
      <c r="M33" s="50"/>
      <c r="N33" s="50"/>
      <c r="O33" s="50"/>
      <c r="P33" s="50"/>
      <c r="Q33" s="50"/>
      <c r="R33" s="50"/>
      <c r="S33" s="50"/>
      <c r="T33" s="50"/>
      <c r="U33" s="50"/>
      <c r="V33" s="50"/>
      <c r="W33" s="50"/>
      <c r="X33" s="50"/>
      <c r="Y33" s="50"/>
      <c r="Z33" s="50"/>
      <c r="AA33" s="50"/>
      <c r="AB33" s="50"/>
      <c r="AC33" s="50"/>
      <c r="AD33" s="50"/>
    </row>
    <row r="34">
      <c r="A34" s="49"/>
      <c r="B34" s="49"/>
      <c r="C34" s="49"/>
      <c r="D34" s="49"/>
      <c r="E34" s="50"/>
      <c r="F34" s="50"/>
      <c r="G34" s="50"/>
      <c r="H34" s="50"/>
      <c r="I34" s="50"/>
      <c r="J34" s="50"/>
      <c r="K34" s="50"/>
      <c r="L34" s="50"/>
      <c r="M34" s="50"/>
      <c r="N34" s="50"/>
      <c r="O34" s="50"/>
      <c r="P34" s="50"/>
      <c r="Q34" s="50"/>
      <c r="R34" s="50"/>
      <c r="S34" s="50"/>
      <c r="T34" s="50"/>
      <c r="U34" s="50"/>
      <c r="V34" s="50"/>
      <c r="W34" s="50"/>
      <c r="X34" s="50"/>
      <c r="Y34" s="50"/>
      <c r="Z34" s="50"/>
      <c r="AA34" s="50"/>
      <c r="AB34" s="50"/>
      <c r="AC34" s="50"/>
      <c r="AD34" s="50"/>
    </row>
    <row r="35">
      <c r="A35" s="49"/>
      <c r="B35" s="49"/>
      <c r="C35" s="49"/>
      <c r="D35" s="49"/>
      <c r="E35" s="50"/>
      <c r="F35" s="50"/>
      <c r="G35" s="50"/>
      <c r="H35" s="50"/>
      <c r="I35" s="50"/>
      <c r="J35" s="50"/>
      <c r="K35" s="50"/>
      <c r="L35" s="50"/>
      <c r="M35" s="50"/>
      <c r="N35" s="50"/>
      <c r="O35" s="50"/>
      <c r="P35" s="50"/>
      <c r="Q35" s="50"/>
      <c r="R35" s="50"/>
      <c r="S35" s="50"/>
      <c r="T35" s="50"/>
      <c r="U35" s="50"/>
      <c r="V35" s="50"/>
      <c r="W35" s="50"/>
      <c r="X35" s="50"/>
      <c r="Y35" s="50"/>
      <c r="Z35" s="50"/>
      <c r="AA35" s="50"/>
      <c r="AB35" s="50"/>
      <c r="AC35" s="50"/>
      <c r="AD35" s="50"/>
    </row>
    <row r="36">
      <c r="A36" s="49"/>
      <c r="B36" s="49"/>
      <c r="C36" s="49"/>
      <c r="D36" s="49"/>
      <c r="E36" s="50"/>
      <c r="F36" s="50"/>
      <c r="G36" s="50"/>
      <c r="H36" s="50"/>
      <c r="I36" s="50"/>
      <c r="J36" s="50"/>
      <c r="K36" s="50"/>
      <c r="L36" s="50"/>
      <c r="M36" s="50"/>
      <c r="N36" s="50"/>
      <c r="O36" s="50"/>
      <c r="P36" s="50"/>
      <c r="Q36" s="50"/>
      <c r="R36" s="50"/>
      <c r="S36" s="50"/>
      <c r="T36" s="50"/>
      <c r="U36" s="50"/>
      <c r="V36" s="50"/>
      <c r="W36" s="50"/>
      <c r="X36" s="50"/>
      <c r="Y36" s="50"/>
      <c r="Z36" s="50"/>
      <c r="AA36" s="50"/>
      <c r="AB36" s="50"/>
      <c r="AC36" s="50"/>
      <c r="AD36" s="50"/>
    </row>
    <row r="37">
      <c r="A37" s="49"/>
      <c r="B37" s="49"/>
      <c r="C37" s="49"/>
      <c r="D37" s="49"/>
      <c r="E37" s="50"/>
      <c r="F37" s="50"/>
      <c r="G37" s="50"/>
      <c r="H37" s="50"/>
      <c r="I37" s="50"/>
      <c r="J37" s="50"/>
      <c r="K37" s="50"/>
      <c r="L37" s="50"/>
      <c r="M37" s="50"/>
      <c r="N37" s="50"/>
      <c r="O37" s="50"/>
      <c r="P37" s="50"/>
      <c r="Q37" s="50"/>
      <c r="R37" s="50"/>
      <c r="S37" s="50"/>
      <c r="T37" s="50"/>
      <c r="U37" s="50"/>
      <c r="V37" s="50"/>
      <c r="W37" s="50"/>
      <c r="X37" s="50"/>
      <c r="Y37" s="50"/>
      <c r="Z37" s="50"/>
      <c r="AA37" s="50"/>
      <c r="AB37" s="50"/>
      <c r="AC37" s="50"/>
      <c r="AD37" s="50"/>
    </row>
    <row r="38">
      <c r="A38" s="49"/>
      <c r="B38" s="49"/>
      <c r="C38" s="49"/>
      <c r="D38" s="49"/>
      <c r="E38" s="50"/>
      <c r="F38" s="50"/>
      <c r="G38" s="50"/>
      <c r="H38" s="50"/>
      <c r="I38" s="50"/>
      <c r="J38" s="50"/>
      <c r="K38" s="50"/>
      <c r="L38" s="50"/>
      <c r="M38" s="50"/>
      <c r="N38" s="50"/>
      <c r="O38" s="50"/>
      <c r="P38" s="50"/>
      <c r="Q38" s="50"/>
      <c r="R38" s="50"/>
      <c r="S38" s="50"/>
      <c r="T38" s="50"/>
      <c r="U38" s="50"/>
      <c r="V38" s="50"/>
      <c r="W38" s="50"/>
      <c r="X38" s="50"/>
      <c r="Y38" s="50"/>
      <c r="Z38" s="50"/>
      <c r="AA38" s="50"/>
      <c r="AB38" s="50"/>
      <c r="AC38" s="50"/>
      <c r="AD38" s="50"/>
    </row>
    <row r="39">
      <c r="A39" s="49"/>
      <c r="B39" s="49"/>
      <c r="C39" s="49"/>
      <c r="D39" s="49"/>
      <c r="E39" s="50"/>
      <c r="F39" s="50"/>
      <c r="G39" s="50"/>
      <c r="H39" s="50"/>
      <c r="I39" s="50"/>
      <c r="J39" s="50"/>
      <c r="K39" s="50"/>
      <c r="L39" s="50"/>
      <c r="M39" s="50"/>
      <c r="N39" s="50"/>
      <c r="O39" s="50"/>
      <c r="P39" s="50"/>
      <c r="Q39" s="50"/>
      <c r="R39" s="50"/>
      <c r="S39" s="50"/>
      <c r="T39" s="50"/>
      <c r="U39" s="50"/>
      <c r="V39" s="50"/>
      <c r="W39" s="50"/>
      <c r="X39" s="50"/>
      <c r="Y39" s="50"/>
      <c r="Z39" s="50"/>
      <c r="AA39" s="50"/>
      <c r="AB39" s="50"/>
      <c r="AC39" s="50"/>
      <c r="AD39" s="50"/>
    </row>
    <row r="40">
      <c r="A40" s="49"/>
      <c r="B40" s="49"/>
      <c r="C40" s="49"/>
      <c r="D40" s="49"/>
      <c r="E40" s="50"/>
      <c r="F40" s="50"/>
      <c r="G40" s="50"/>
      <c r="H40" s="50"/>
      <c r="I40" s="50"/>
      <c r="J40" s="50"/>
      <c r="K40" s="50"/>
      <c r="L40" s="50"/>
      <c r="M40" s="50"/>
      <c r="N40" s="50"/>
      <c r="O40" s="50"/>
      <c r="P40" s="50"/>
      <c r="Q40" s="50"/>
      <c r="R40" s="50"/>
      <c r="S40" s="50"/>
      <c r="T40" s="50"/>
      <c r="U40" s="50"/>
      <c r="V40" s="50"/>
      <c r="W40" s="50"/>
      <c r="X40" s="50"/>
      <c r="Y40" s="50"/>
      <c r="Z40" s="50"/>
      <c r="AA40" s="50"/>
      <c r="AB40" s="50"/>
      <c r="AC40" s="50"/>
      <c r="AD40" s="50"/>
    </row>
    <row r="41">
      <c r="A41" s="49"/>
      <c r="B41" s="49"/>
      <c r="C41" s="49"/>
      <c r="D41" s="49"/>
      <c r="E41" s="50"/>
      <c r="F41" s="50"/>
      <c r="G41" s="50"/>
      <c r="H41" s="50"/>
      <c r="I41" s="50"/>
      <c r="J41" s="50"/>
      <c r="K41" s="50"/>
      <c r="L41" s="50"/>
      <c r="M41" s="50"/>
      <c r="N41" s="50"/>
      <c r="O41" s="50"/>
      <c r="P41" s="50"/>
      <c r="Q41" s="50"/>
      <c r="R41" s="50"/>
      <c r="S41" s="50"/>
      <c r="T41" s="50"/>
      <c r="U41" s="50"/>
      <c r="V41" s="50"/>
      <c r="W41" s="50"/>
      <c r="X41" s="50"/>
      <c r="Y41" s="50"/>
      <c r="Z41" s="50"/>
      <c r="AA41" s="50"/>
      <c r="AB41" s="50"/>
      <c r="AC41" s="50"/>
      <c r="AD41" s="50"/>
    </row>
    <row r="42">
      <c r="A42" s="49"/>
      <c r="B42" s="49"/>
      <c r="C42" s="49"/>
      <c r="D42" s="49"/>
      <c r="E42" s="50"/>
      <c r="F42" s="50"/>
      <c r="G42" s="50"/>
      <c r="H42" s="50"/>
      <c r="I42" s="50"/>
      <c r="J42" s="50"/>
      <c r="K42" s="50"/>
      <c r="L42" s="50"/>
      <c r="M42" s="50"/>
      <c r="N42" s="50"/>
      <c r="O42" s="50"/>
      <c r="P42" s="50"/>
      <c r="Q42" s="50"/>
      <c r="R42" s="50"/>
      <c r="S42" s="50"/>
      <c r="T42" s="50"/>
      <c r="U42" s="50"/>
      <c r="V42" s="50"/>
      <c r="W42" s="50"/>
      <c r="X42" s="50"/>
      <c r="Y42" s="50"/>
      <c r="Z42" s="50"/>
      <c r="AA42" s="50"/>
      <c r="AB42" s="50"/>
      <c r="AC42" s="50"/>
      <c r="AD42" s="50"/>
    </row>
    <row r="43">
      <c r="A43" s="49"/>
      <c r="B43" s="49"/>
      <c r="C43" s="49"/>
      <c r="D43" s="49"/>
      <c r="E43" s="50"/>
      <c r="F43" s="50"/>
      <c r="G43" s="50"/>
      <c r="H43" s="50"/>
      <c r="I43" s="50"/>
      <c r="J43" s="50"/>
      <c r="K43" s="50"/>
      <c r="L43" s="50"/>
      <c r="M43" s="50"/>
      <c r="N43" s="50"/>
      <c r="O43" s="50"/>
      <c r="P43" s="50"/>
      <c r="Q43" s="50"/>
      <c r="R43" s="50"/>
      <c r="S43" s="50"/>
      <c r="T43" s="50"/>
      <c r="U43" s="50"/>
      <c r="V43" s="50"/>
      <c r="W43" s="50"/>
      <c r="X43" s="50"/>
      <c r="Y43" s="50"/>
      <c r="Z43" s="50"/>
      <c r="AA43" s="50"/>
      <c r="AB43" s="50"/>
      <c r="AC43" s="50"/>
      <c r="AD43" s="50"/>
    </row>
    <row r="44">
      <c r="A44" s="49"/>
      <c r="B44" s="49"/>
      <c r="C44" s="49"/>
      <c r="D44" s="49"/>
      <c r="E44" s="50"/>
      <c r="F44" s="50"/>
      <c r="G44" s="50"/>
      <c r="H44" s="50"/>
      <c r="I44" s="50"/>
      <c r="J44" s="50"/>
      <c r="K44" s="50"/>
      <c r="L44" s="50"/>
      <c r="M44" s="50"/>
      <c r="N44" s="50"/>
      <c r="O44" s="50"/>
      <c r="P44" s="50"/>
      <c r="Q44" s="50"/>
      <c r="R44" s="50"/>
      <c r="S44" s="50"/>
      <c r="T44" s="50"/>
      <c r="U44" s="50"/>
      <c r="V44" s="50"/>
      <c r="W44" s="50"/>
      <c r="X44" s="50"/>
      <c r="Y44" s="50"/>
      <c r="Z44" s="50"/>
      <c r="AA44" s="50"/>
      <c r="AB44" s="50"/>
      <c r="AC44" s="50"/>
      <c r="AD44" s="50"/>
    </row>
    <row r="45">
      <c r="A45" s="49"/>
      <c r="B45" s="49"/>
      <c r="C45" s="49"/>
      <c r="D45" s="49"/>
      <c r="E45" s="50"/>
      <c r="F45" s="50"/>
      <c r="G45" s="50"/>
      <c r="H45" s="50"/>
      <c r="I45" s="50"/>
      <c r="J45" s="50"/>
      <c r="K45" s="50"/>
      <c r="L45" s="50"/>
      <c r="M45" s="50"/>
      <c r="N45" s="50"/>
      <c r="O45" s="50"/>
      <c r="P45" s="50"/>
      <c r="Q45" s="50"/>
      <c r="R45" s="50"/>
      <c r="S45" s="50"/>
      <c r="T45" s="50"/>
      <c r="U45" s="50"/>
      <c r="V45" s="50"/>
      <c r="W45" s="50"/>
      <c r="X45" s="50"/>
      <c r="Y45" s="50"/>
      <c r="Z45" s="50"/>
      <c r="AA45" s="50"/>
      <c r="AB45" s="50"/>
      <c r="AC45" s="50"/>
      <c r="AD45" s="50"/>
    </row>
    <row r="46">
      <c r="A46" s="49"/>
      <c r="B46" s="49"/>
      <c r="C46" s="49"/>
      <c r="D46" s="49"/>
      <c r="E46" s="50"/>
      <c r="F46" s="50"/>
      <c r="G46" s="50"/>
      <c r="H46" s="50"/>
      <c r="I46" s="50"/>
      <c r="J46" s="50"/>
      <c r="K46" s="50"/>
      <c r="L46" s="50"/>
      <c r="M46" s="50"/>
      <c r="N46" s="50"/>
      <c r="O46" s="50"/>
      <c r="P46" s="50"/>
      <c r="Q46" s="50"/>
      <c r="R46" s="50"/>
      <c r="S46" s="50"/>
      <c r="T46" s="50"/>
      <c r="U46" s="50"/>
      <c r="V46" s="50"/>
      <c r="W46" s="50"/>
      <c r="X46" s="50"/>
      <c r="Y46" s="50"/>
      <c r="Z46" s="50"/>
      <c r="AA46" s="50"/>
      <c r="AB46" s="50"/>
      <c r="AC46" s="50"/>
      <c r="AD46" s="50"/>
    </row>
    <row r="47">
      <c r="A47" s="49"/>
      <c r="B47" s="49"/>
      <c r="C47" s="49"/>
      <c r="D47" s="49"/>
      <c r="E47" s="50"/>
      <c r="F47" s="50"/>
      <c r="G47" s="50"/>
      <c r="H47" s="50"/>
      <c r="I47" s="50"/>
      <c r="J47" s="50"/>
      <c r="K47" s="50"/>
      <c r="L47" s="50"/>
      <c r="M47" s="50"/>
      <c r="N47" s="50"/>
      <c r="O47" s="50"/>
      <c r="P47" s="50"/>
      <c r="Q47" s="50"/>
      <c r="R47" s="50"/>
      <c r="S47" s="50"/>
      <c r="T47" s="50"/>
      <c r="U47" s="50"/>
      <c r="V47" s="50"/>
      <c r="W47" s="50"/>
      <c r="X47" s="50"/>
      <c r="Y47" s="50"/>
      <c r="Z47" s="50"/>
      <c r="AA47" s="50"/>
      <c r="AB47" s="50"/>
      <c r="AC47" s="50"/>
      <c r="AD47" s="50"/>
    </row>
    <row r="48">
      <c r="A48" s="49"/>
      <c r="B48" s="49"/>
      <c r="C48" s="49"/>
      <c r="D48" s="49"/>
      <c r="E48" s="50"/>
      <c r="F48" s="50"/>
      <c r="G48" s="50"/>
      <c r="H48" s="50"/>
      <c r="I48" s="50"/>
      <c r="J48" s="50"/>
      <c r="K48" s="50"/>
      <c r="L48" s="50"/>
      <c r="M48" s="50"/>
      <c r="N48" s="50"/>
      <c r="O48" s="50"/>
      <c r="P48" s="50"/>
      <c r="Q48" s="50"/>
      <c r="R48" s="50"/>
      <c r="S48" s="50"/>
      <c r="T48" s="50"/>
      <c r="U48" s="50"/>
      <c r="V48" s="50"/>
      <c r="W48" s="50"/>
      <c r="X48" s="50"/>
      <c r="Y48" s="50"/>
      <c r="Z48" s="50"/>
      <c r="AA48" s="50"/>
      <c r="AB48" s="50"/>
      <c r="AC48" s="50"/>
      <c r="AD48" s="50"/>
    </row>
    <row r="49">
      <c r="A49" s="49"/>
      <c r="B49" s="49"/>
      <c r="C49" s="49"/>
      <c r="D49" s="49"/>
      <c r="E49" s="50"/>
      <c r="F49" s="50"/>
      <c r="G49" s="50"/>
      <c r="H49" s="50"/>
      <c r="I49" s="50"/>
      <c r="J49" s="50"/>
      <c r="K49" s="50"/>
      <c r="L49" s="50"/>
      <c r="M49" s="50"/>
      <c r="N49" s="50"/>
      <c r="O49" s="50"/>
      <c r="P49" s="50"/>
      <c r="Q49" s="50"/>
      <c r="R49" s="50"/>
      <c r="S49" s="50"/>
      <c r="T49" s="50"/>
      <c r="U49" s="50"/>
      <c r="V49" s="50"/>
      <c r="W49" s="50"/>
      <c r="X49" s="50"/>
      <c r="Y49" s="50"/>
      <c r="Z49" s="50"/>
      <c r="AA49" s="50"/>
      <c r="AB49" s="50"/>
      <c r="AC49" s="50"/>
      <c r="AD49" s="50"/>
    </row>
    <row r="50">
      <c r="A50" s="49"/>
      <c r="B50" s="49"/>
      <c r="C50" s="49"/>
      <c r="D50" s="49"/>
      <c r="E50" s="50"/>
      <c r="F50" s="50"/>
      <c r="G50" s="50"/>
      <c r="H50" s="50"/>
      <c r="I50" s="50"/>
      <c r="J50" s="50"/>
      <c r="K50" s="50"/>
      <c r="L50" s="50"/>
      <c r="M50" s="50"/>
      <c r="N50" s="50"/>
      <c r="O50" s="50"/>
      <c r="P50" s="50"/>
      <c r="Q50" s="50"/>
      <c r="R50" s="50"/>
      <c r="S50" s="50"/>
      <c r="T50" s="50"/>
      <c r="U50" s="50"/>
      <c r="V50" s="50"/>
      <c r="W50" s="50"/>
      <c r="X50" s="50"/>
      <c r="Y50" s="50"/>
      <c r="Z50" s="50"/>
      <c r="AA50" s="50"/>
      <c r="AB50" s="50"/>
      <c r="AC50" s="50"/>
      <c r="AD50" s="50"/>
    </row>
    <row r="51">
      <c r="A51" s="49"/>
      <c r="B51" s="49"/>
      <c r="C51" s="49"/>
      <c r="D51" s="49"/>
      <c r="E51" s="50"/>
      <c r="F51" s="50"/>
      <c r="G51" s="50"/>
      <c r="H51" s="50"/>
      <c r="I51" s="50"/>
      <c r="J51" s="50"/>
      <c r="K51" s="50"/>
      <c r="L51" s="50"/>
      <c r="M51" s="50"/>
      <c r="N51" s="50"/>
      <c r="O51" s="50"/>
      <c r="P51" s="50"/>
      <c r="Q51" s="50"/>
      <c r="R51" s="50"/>
      <c r="S51" s="50"/>
      <c r="T51" s="50"/>
      <c r="U51" s="50"/>
      <c r="V51" s="50"/>
      <c r="W51" s="50"/>
      <c r="X51" s="50"/>
      <c r="Y51" s="50"/>
      <c r="Z51" s="50"/>
      <c r="AA51" s="50"/>
      <c r="AB51" s="50"/>
      <c r="AC51" s="50"/>
      <c r="AD51" s="50"/>
    </row>
    <row r="52">
      <c r="A52" s="49"/>
      <c r="B52" s="49"/>
      <c r="C52" s="49"/>
      <c r="D52" s="49"/>
      <c r="E52" s="50"/>
      <c r="F52" s="50"/>
      <c r="G52" s="50"/>
      <c r="H52" s="50"/>
      <c r="I52" s="50"/>
      <c r="J52" s="50"/>
      <c r="K52" s="50"/>
      <c r="L52" s="50"/>
      <c r="M52" s="50"/>
      <c r="N52" s="50"/>
      <c r="O52" s="50"/>
      <c r="P52" s="50"/>
      <c r="Q52" s="50"/>
      <c r="R52" s="50"/>
      <c r="S52" s="50"/>
      <c r="T52" s="50"/>
      <c r="U52" s="50"/>
      <c r="V52" s="50"/>
      <c r="W52" s="50"/>
      <c r="X52" s="50"/>
      <c r="Y52" s="50"/>
      <c r="Z52" s="50"/>
      <c r="AA52" s="50"/>
      <c r="AB52" s="50"/>
      <c r="AC52" s="50"/>
      <c r="AD52" s="50"/>
    </row>
    <row r="53">
      <c r="A53" s="49"/>
      <c r="B53" s="49"/>
      <c r="C53" s="49"/>
      <c r="D53" s="49"/>
      <c r="E53" s="50"/>
      <c r="F53" s="50"/>
      <c r="G53" s="50"/>
      <c r="H53" s="50"/>
      <c r="I53" s="50"/>
      <c r="J53" s="50"/>
      <c r="K53" s="50"/>
      <c r="L53" s="50"/>
      <c r="M53" s="50"/>
      <c r="N53" s="50"/>
      <c r="O53" s="50"/>
      <c r="P53" s="50"/>
      <c r="Q53" s="50"/>
      <c r="R53" s="50"/>
      <c r="S53" s="50"/>
      <c r="T53" s="50"/>
      <c r="U53" s="50"/>
      <c r="V53" s="50"/>
      <c r="W53" s="50"/>
      <c r="X53" s="50"/>
      <c r="Y53" s="50"/>
      <c r="Z53" s="50"/>
      <c r="AA53" s="50"/>
      <c r="AB53" s="50"/>
      <c r="AC53" s="50"/>
      <c r="AD53" s="50"/>
    </row>
    <row r="54">
      <c r="A54" s="49"/>
      <c r="B54" s="49"/>
      <c r="C54" s="49"/>
      <c r="D54" s="49"/>
      <c r="E54" s="50"/>
      <c r="F54" s="50"/>
      <c r="G54" s="50"/>
      <c r="H54" s="50"/>
      <c r="I54" s="50"/>
      <c r="J54" s="50"/>
      <c r="K54" s="50"/>
      <c r="L54" s="50"/>
      <c r="M54" s="50"/>
      <c r="N54" s="50"/>
      <c r="O54" s="50"/>
      <c r="P54" s="50"/>
      <c r="Q54" s="50"/>
      <c r="R54" s="50"/>
      <c r="S54" s="50"/>
      <c r="T54" s="50"/>
      <c r="U54" s="50"/>
      <c r="V54" s="50"/>
      <c r="W54" s="50"/>
      <c r="X54" s="50"/>
      <c r="Y54" s="50"/>
      <c r="Z54" s="50"/>
      <c r="AA54" s="50"/>
      <c r="AB54" s="50"/>
      <c r="AC54" s="50"/>
      <c r="AD54" s="50"/>
    </row>
    <row r="55">
      <c r="A55" s="49"/>
      <c r="B55" s="49"/>
      <c r="C55" s="49"/>
      <c r="D55" s="49"/>
      <c r="E55" s="50"/>
      <c r="F55" s="50"/>
      <c r="G55" s="50"/>
      <c r="H55" s="50"/>
      <c r="I55" s="50"/>
      <c r="J55" s="50"/>
      <c r="K55" s="50"/>
      <c r="L55" s="50"/>
      <c r="M55" s="50"/>
      <c r="N55" s="50"/>
      <c r="O55" s="50"/>
      <c r="P55" s="50"/>
      <c r="Q55" s="50"/>
      <c r="R55" s="50"/>
      <c r="S55" s="50"/>
      <c r="T55" s="50"/>
      <c r="U55" s="50"/>
      <c r="V55" s="50"/>
      <c r="W55" s="50"/>
      <c r="X55" s="50"/>
      <c r="Y55" s="50"/>
      <c r="Z55" s="50"/>
      <c r="AA55" s="50"/>
      <c r="AB55" s="50"/>
      <c r="AC55" s="50"/>
      <c r="AD55" s="50"/>
    </row>
    <row r="56">
      <c r="A56" s="49"/>
      <c r="B56" s="49"/>
      <c r="C56" s="49"/>
      <c r="D56" s="49"/>
      <c r="E56" s="50"/>
      <c r="F56" s="50"/>
      <c r="G56" s="50"/>
      <c r="H56" s="50"/>
      <c r="I56" s="50"/>
      <c r="J56" s="50"/>
      <c r="K56" s="50"/>
      <c r="L56" s="50"/>
      <c r="M56" s="50"/>
      <c r="N56" s="50"/>
      <c r="O56" s="50"/>
      <c r="P56" s="50"/>
      <c r="Q56" s="50"/>
      <c r="R56" s="50"/>
      <c r="S56" s="50"/>
      <c r="T56" s="50"/>
      <c r="U56" s="50"/>
      <c r="V56" s="50"/>
      <c r="W56" s="50"/>
      <c r="X56" s="50"/>
      <c r="Y56" s="50"/>
      <c r="Z56" s="50"/>
      <c r="AA56" s="50"/>
      <c r="AB56" s="50"/>
      <c r="AC56" s="50"/>
      <c r="AD56" s="50"/>
    </row>
    <row r="57">
      <c r="A57" s="49"/>
      <c r="B57" s="49"/>
      <c r="C57" s="49"/>
      <c r="D57" s="49"/>
      <c r="E57" s="50"/>
      <c r="F57" s="50"/>
      <c r="G57" s="50"/>
      <c r="H57" s="50"/>
      <c r="I57" s="50"/>
      <c r="J57" s="50"/>
      <c r="K57" s="50"/>
      <c r="L57" s="50"/>
      <c r="M57" s="50"/>
      <c r="N57" s="50"/>
      <c r="O57" s="50"/>
      <c r="P57" s="50"/>
      <c r="Q57" s="50"/>
      <c r="R57" s="50"/>
      <c r="S57" s="50"/>
      <c r="T57" s="50"/>
      <c r="U57" s="50"/>
      <c r="V57" s="50"/>
      <c r="W57" s="50"/>
      <c r="X57" s="50"/>
      <c r="Y57" s="50"/>
      <c r="Z57" s="50"/>
      <c r="AA57" s="50"/>
      <c r="AB57" s="50"/>
      <c r="AC57" s="50"/>
      <c r="AD57" s="50"/>
    </row>
    <row r="58">
      <c r="A58" s="49"/>
      <c r="B58" s="49"/>
      <c r="C58" s="49"/>
      <c r="D58" s="49"/>
      <c r="E58" s="50"/>
      <c r="F58" s="50"/>
      <c r="G58" s="50"/>
      <c r="H58" s="50"/>
      <c r="I58" s="50"/>
      <c r="J58" s="50"/>
      <c r="K58" s="50"/>
      <c r="L58" s="50"/>
      <c r="M58" s="50"/>
      <c r="N58" s="50"/>
      <c r="O58" s="50"/>
      <c r="P58" s="50"/>
      <c r="Q58" s="50"/>
      <c r="R58" s="50"/>
      <c r="S58" s="50"/>
      <c r="T58" s="50"/>
      <c r="U58" s="50"/>
      <c r="V58" s="50"/>
      <c r="W58" s="50"/>
      <c r="X58" s="50"/>
      <c r="Y58" s="50"/>
      <c r="Z58" s="50"/>
      <c r="AA58" s="50"/>
      <c r="AB58" s="50"/>
      <c r="AC58" s="50"/>
      <c r="AD58" s="50"/>
    </row>
    <row r="59">
      <c r="A59" s="49"/>
      <c r="B59" s="49"/>
      <c r="C59" s="49"/>
      <c r="D59" s="49"/>
      <c r="E59" s="50"/>
      <c r="F59" s="50"/>
      <c r="G59" s="50"/>
      <c r="H59" s="50"/>
      <c r="I59" s="50"/>
      <c r="J59" s="50"/>
      <c r="K59" s="50"/>
      <c r="L59" s="50"/>
      <c r="M59" s="50"/>
      <c r="N59" s="50"/>
      <c r="O59" s="50"/>
      <c r="P59" s="50"/>
      <c r="Q59" s="50"/>
      <c r="R59" s="50"/>
      <c r="S59" s="50"/>
      <c r="T59" s="50"/>
      <c r="U59" s="50"/>
      <c r="V59" s="50"/>
      <c r="W59" s="50"/>
      <c r="X59" s="50"/>
      <c r="Y59" s="50"/>
      <c r="Z59" s="50"/>
      <c r="AA59" s="50"/>
      <c r="AB59" s="50"/>
      <c r="AC59" s="50"/>
      <c r="AD59" s="50"/>
    </row>
    <row r="60">
      <c r="A60" s="49"/>
      <c r="B60" s="49"/>
      <c r="C60" s="49"/>
      <c r="D60" s="49"/>
      <c r="E60" s="50"/>
      <c r="F60" s="50"/>
      <c r="G60" s="50"/>
      <c r="H60" s="50"/>
      <c r="I60" s="50"/>
      <c r="J60" s="50"/>
      <c r="K60" s="50"/>
      <c r="L60" s="50"/>
      <c r="M60" s="50"/>
      <c r="N60" s="50"/>
      <c r="O60" s="50"/>
      <c r="P60" s="50"/>
      <c r="Q60" s="50"/>
      <c r="R60" s="50"/>
      <c r="S60" s="50"/>
      <c r="T60" s="50"/>
      <c r="U60" s="50"/>
      <c r="V60" s="50"/>
      <c r="W60" s="50"/>
      <c r="X60" s="50"/>
      <c r="Y60" s="50"/>
      <c r="Z60" s="50"/>
      <c r="AA60" s="50"/>
      <c r="AB60" s="50"/>
      <c r="AC60" s="50"/>
      <c r="AD60" s="50"/>
    </row>
    <row r="61">
      <c r="A61" s="49"/>
      <c r="B61" s="49"/>
      <c r="C61" s="49"/>
      <c r="D61" s="49"/>
      <c r="E61" s="50"/>
      <c r="F61" s="50"/>
      <c r="G61" s="50"/>
      <c r="H61" s="50"/>
      <c r="I61" s="50"/>
      <c r="J61" s="50"/>
      <c r="K61" s="50"/>
      <c r="L61" s="50"/>
      <c r="M61" s="50"/>
      <c r="N61" s="50"/>
      <c r="O61" s="50"/>
      <c r="P61" s="50"/>
      <c r="Q61" s="50"/>
      <c r="R61" s="50"/>
      <c r="S61" s="50"/>
      <c r="T61" s="50"/>
      <c r="U61" s="50"/>
      <c r="V61" s="50"/>
      <c r="W61" s="50"/>
      <c r="X61" s="50"/>
      <c r="Y61" s="50"/>
      <c r="Z61" s="50"/>
      <c r="AA61" s="50"/>
      <c r="AB61" s="50"/>
      <c r="AC61" s="50"/>
      <c r="AD61" s="50"/>
    </row>
    <row r="62">
      <c r="A62" s="49"/>
      <c r="B62" s="49"/>
      <c r="C62" s="49"/>
      <c r="D62" s="49"/>
      <c r="E62" s="50"/>
      <c r="F62" s="50"/>
      <c r="G62" s="50"/>
      <c r="H62" s="50"/>
      <c r="I62" s="50"/>
      <c r="J62" s="50"/>
      <c r="K62" s="50"/>
      <c r="L62" s="50"/>
      <c r="M62" s="50"/>
      <c r="N62" s="50"/>
      <c r="O62" s="50"/>
      <c r="P62" s="50"/>
      <c r="Q62" s="50"/>
      <c r="R62" s="50"/>
      <c r="S62" s="50"/>
      <c r="T62" s="50"/>
      <c r="U62" s="50"/>
      <c r="V62" s="50"/>
      <c r="W62" s="50"/>
      <c r="X62" s="50"/>
      <c r="Y62" s="50"/>
      <c r="Z62" s="50"/>
      <c r="AA62" s="50"/>
      <c r="AB62" s="50"/>
      <c r="AC62" s="50"/>
      <c r="AD62" s="50"/>
    </row>
    <row r="63">
      <c r="A63" s="49"/>
      <c r="B63" s="49"/>
      <c r="C63" s="49"/>
      <c r="D63" s="49"/>
      <c r="E63" s="50"/>
      <c r="F63" s="50"/>
      <c r="G63" s="50"/>
      <c r="H63" s="50"/>
      <c r="I63" s="50"/>
      <c r="J63" s="50"/>
      <c r="K63" s="50"/>
      <c r="L63" s="50"/>
      <c r="M63" s="50"/>
      <c r="N63" s="50"/>
      <c r="O63" s="50"/>
      <c r="P63" s="50"/>
      <c r="Q63" s="50"/>
      <c r="R63" s="50"/>
      <c r="S63" s="50"/>
      <c r="T63" s="50"/>
      <c r="U63" s="50"/>
      <c r="V63" s="50"/>
      <c r="W63" s="50"/>
      <c r="X63" s="50"/>
      <c r="Y63" s="50"/>
      <c r="Z63" s="50"/>
      <c r="AA63" s="50"/>
      <c r="AB63" s="50"/>
      <c r="AC63" s="50"/>
      <c r="AD63" s="50"/>
    </row>
    <row r="64">
      <c r="A64" s="49"/>
      <c r="B64" s="49"/>
      <c r="C64" s="49"/>
      <c r="D64" s="49"/>
      <c r="E64" s="50"/>
      <c r="F64" s="50"/>
      <c r="G64" s="50"/>
      <c r="H64" s="50"/>
      <c r="I64" s="50"/>
      <c r="J64" s="50"/>
      <c r="K64" s="50"/>
      <c r="L64" s="50"/>
      <c r="M64" s="50"/>
      <c r="N64" s="50"/>
      <c r="O64" s="50"/>
      <c r="P64" s="50"/>
      <c r="Q64" s="50"/>
      <c r="R64" s="50"/>
      <c r="S64" s="50"/>
      <c r="T64" s="50"/>
      <c r="U64" s="50"/>
      <c r="V64" s="50"/>
      <c r="W64" s="50"/>
      <c r="X64" s="50"/>
      <c r="Y64" s="50"/>
      <c r="Z64" s="50"/>
      <c r="AA64" s="50"/>
      <c r="AB64" s="50"/>
      <c r="AC64" s="50"/>
      <c r="AD64" s="50"/>
    </row>
    <row r="65">
      <c r="A65" s="49"/>
      <c r="B65" s="49"/>
      <c r="C65" s="49"/>
      <c r="D65" s="49"/>
      <c r="E65" s="50"/>
      <c r="F65" s="50"/>
      <c r="G65" s="50"/>
      <c r="H65" s="50"/>
      <c r="I65" s="50"/>
      <c r="J65" s="50"/>
      <c r="K65" s="50"/>
      <c r="L65" s="50"/>
      <c r="M65" s="50"/>
      <c r="N65" s="50"/>
      <c r="O65" s="50"/>
      <c r="P65" s="50"/>
      <c r="Q65" s="50"/>
      <c r="R65" s="50"/>
      <c r="S65" s="50"/>
      <c r="T65" s="50"/>
      <c r="U65" s="50"/>
      <c r="V65" s="50"/>
      <c r="W65" s="50"/>
      <c r="X65" s="50"/>
      <c r="Y65" s="50"/>
      <c r="Z65" s="50"/>
      <c r="AA65" s="50"/>
      <c r="AB65" s="50"/>
      <c r="AC65" s="50"/>
      <c r="AD65" s="50"/>
    </row>
    <row r="66">
      <c r="A66" s="49"/>
      <c r="B66" s="49"/>
      <c r="C66" s="49"/>
      <c r="D66" s="49"/>
      <c r="E66" s="50"/>
      <c r="F66" s="50"/>
      <c r="G66" s="50"/>
      <c r="H66" s="50"/>
      <c r="I66" s="50"/>
      <c r="J66" s="50"/>
      <c r="K66" s="50"/>
      <c r="L66" s="50"/>
      <c r="M66" s="50"/>
      <c r="N66" s="50"/>
      <c r="O66" s="50"/>
      <c r="P66" s="50"/>
      <c r="Q66" s="50"/>
      <c r="R66" s="50"/>
      <c r="S66" s="50"/>
      <c r="T66" s="50"/>
      <c r="U66" s="50"/>
      <c r="V66" s="50"/>
      <c r="W66" s="50"/>
      <c r="X66" s="50"/>
      <c r="Y66" s="50"/>
      <c r="Z66" s="50"/>
      <c r="AA66" s="50"/>
      <c r="AB66" s="50"/>
      <c r="AC66" s="50"/>
      <c r="AD66" s="50"/>
    </row>
    <row r="67">
      <c r="A67" s="49"/>
      <c r="B67" s="49"/>
      <c r="C67" s="49"/>
      <c r="D67" s="49"/>
      <c r="E67" s="50"/>
      <c r="F67" s="50"/>
      <c r="G67" s="50"/>
      <c r="H67" s="50"/>
      <c r="I67" s="50"/>
      <c r="J67" s="50"/>
      <c r="K67" s="50"/>
      <c r="L67" s="50"/>
      <c r="M67" s="50"/>
      <c r="N67" s="50"/>
      <c r="O67" s="50"/>
      <c r="P67" s="50"/>
      <c r="Q67" s="50"/>
      <c r="R67" s="50"/>
      <c r="S67" s="50"/>
      <c r="T67" s="50"/>
      <c r="U67" s="50"/>
      <c r="V67" s="50"/>
      <c r="W67" s="50"/>
      <c r="X67" s="50"/>
      <c r="Y67" s="50"/>
      <c r="Z67" s="50"/>
      <c r="AA67" s="50"/>
      <c r="AB67" s="50"/>
      <c r="AC67" s="50"/>
      <c r="AD67" s="50"/>
    </row>
    <row r="68">
      <c r="A68" s="49"/>
      <c r="B68" s="49"/>
      <c r="C68" s="49"/>
      <c r="D68" s="49"/>
      <c r="E68" s="50"/>
      <c r="F68" s="50"/>
      <c r="G68" s="50"/>
      <c r="H68" s="50"/>
      <c r="I68" s="50"/>
      <c r="J68" s="50"/>
      <c r="K68" s="50"/>
      <c r="L68" s="50"/>
      <c r="M68" s="50"/>
      <c r="N68" s="50"/>
      <c r="O68" s="50"/>
      <c r="P68" s="50"/>
      <c r="Q68" s="50"/>
      <c r="R68" s="50"/>
      <c r="S68" s="50"/>
      <c r="T68" s="50"/>
      <c r="U68" s="50"/>
      <c r="V68" s="50"/>
      <c r="W68" s="50"/>
      <c r="X68" s="50"/>
      <c r="Y68" s="50"/>
      <c r="Z68" s="50"/>
      <c r="AA68" s="50"/>
      <c r="AB68" s="50"/>
      <c r="AC68" s="50"/>
      <c r="AD68" s="50"/>
    </row>
    <row r="69">
      <c r="A69" s="49"/>
      <c r="B69" s="49"/>
      <c r="C69" s="49"/>
      <c r="D69" s="49"/>
      <c r="E69" s="50"/>
      <c r="F69" s="50"/>
      <c r="G69" s="50"/>
      <c r="H69" s="50"/>
      <c r="I69" s="50"/>
      <c r="J69" s="50"/>
      <c r="K69" s="50"/>
      <c r="L69" s="50"/>
      <c r="M69" s="50"/>
      <c r="N69" s="50"/>
      <c r="O69" s="50"/>
      <c r="P69" s="50"/>
      <c r="Q69" s="50"/>
      <c r="R69" s="50"/>
      <c r="S69" s="50"/>
      <c r="T69" s="50"/>
      <c r="U69" s="50"/>
      <c r="V69" s="50"/>
      <c r="W69" s="50"/>
      <c r="X69" s="50"/>
      <c r="Y69" s="50"/>
      <c r="Z69" s="50"/>
      <c r="AA69" s="50"/>
      <c r="AB69" s="50"/>
      <c r="AC69" s="50"/>
      <c r="AD69" s="50"/>
    </row>
    <row r="70">
      <c r="A70" s="49"/>
      <c r="B70" s="49"/>
      <c r="C70" s="49"/>
      <c r="D70" s="49"/>
      <c r="E70" s="50"/>
      <c r="F70" s="50"/>
      <c r="G70" s="50"/>
      <c r="H70" s="50"/>
      <c r="I70" s="50"/>
      <c r="J70" s="50"/>
      <c r="K70" s="50"/>
      <c r="L70" s="50"/>
      <c r="M70" s="50"/>
      <c r="N70" s="50"/>
      <c r="O70" s="50"/>
      <c r="P70" s="50"/>
      <c r="Q70" s="50"/>
      <c r="R70" s="50"/>
      <c r="S70" s="50"/>
      <c r="T70" s="50"/>
      <c r="U70" s="50"/>
      <c r="V70" s="50"/>
      <c r="W70" s="50"/>
      <c r="X70" s="50"/>
      <c r="Y70" s="50"/>
      <c r="Z70" s="50"/>
      <c r="AA70" s="50"/>
      <c r="AB70" s="50"/>
      <c r="AC70" s="50"/>
      <c r="AD70" s="50"/>
    </row>
    <row r="71">
      <c r="A71" s="49"/>
      <c r="B71" s="49"/>
      <c r="C71" s="49"/>
      <c r="D71" s="49"/>
      <c r="E71" s="50"/>
      <c r="F71" s="50"/>
      <c r="G71" s="50"/>
      <c r="H71" s="50"/>
      <c r="I71" s="50"/>
      <c r="J71" s="50"/>
      <c r="K71" s="50"/>
      <c r="L71" s="50"/>
      <c r="M71" s="50"/>
      <c r="N71" s="50"/>
      <c r="O71" s="50"/>
      <c r="P71" s="50"/>
      <c r="Q71" s="50"/>
      <c r="R71" s="50"/>
      <c r="S71" s="50"/>
      <c r="T71" s="50"/>
      <c r="U71" s="50"/>
      <c r="V71" s="50"/>
      <c r="W71" s="50"/>
      <c r="X71" s="50"/>
      <c r="Y71" s="50"/>
      <c r="Z71" s="50"/>
      <c r="AA71" s="50"/>
      <c r="AB71" s="50"/>
      <c r="AC71" s="50"/>
      <c r="AD71" s="50"/>
    </row>
    <row r="72">
      <c r="A72" s="49"/>
      <c r="B72" s="49"/>
      <c r="C72" s="49"/>
      <c r="D72" s="49"/>
      <c r="E72" s="50"/>
      <c r="F72" s="50"/>
      <c r="G72" s="50"/>
      <c r="H72" s="50"/>
      <c r="I72" s="50"/>
      <c r="J72" s="50"/>
      <c r="K72" s="50"/>
      <c r="L72" s="50"/>
      <c r="M72" s="50"/>
      <c r="N72" s="50"/>
      <c r="O72" s="50"/>
      <c r="P72" s="50"/>
      <c r="Q72" s="50"/>
      <c r="R72" s="50"/>
      <c r="S72" s="50"/>
      <c r="T72" s="50"/>
      <c r="U72" s="50"/>
      <c r="V72" s="50"/>
      <c r="W72" s="50"/>
      <c r="X72" s="50"/>
      <c r="Y72" s="50"/>
      <c r="Z72" s="50"/>
      <c r="AA72" s="50"/>
      <c r="AB72" s="50"/>
      <c r="AC72" s="50"/>
      <c r="AD72" s="50"/>
    </row>
    <row r="73">
      <c r="A73" s="49"/>
      <c r="B73" s="49"/>
      <c r="C73" s="49"/>
      <c r="D73" s="49"/>
      <c r="E73" s="50"/>
      <c r="F73" s="50"/>
      <c r="G73" s="50"/>
      <c r="H73" s="50"/>
      <c r="I73" s="50"/>
      <c r="J73" s="50"/>
      <c r="K73" s="50"/>
      <c r="L73" s="50"/>
      <c r="M73" s="50"/>
      <c r="N73" s="50"/>
      <c r="O73" s="50"/>
      <c r="P73" s="50"/>
      <c r="Q73" s="50"/>
      <c r="R73" s="50"/>
      <c r="S73" s="50"/>
      <c r="T73" s="50"/>
      <c r="U73" s="50"/>
      <c r="V73" s="50"/>
      <c r="W73" s="50"/>
      <c r="X73" s="50"/>
      <c r="Y73" s="50"/>
      <c r="Z73" s="50"/>
      <c r="AA73" s="50"/>
      <c r="AB73" s="50"/>
      <c r="AC73" s="50"/>
      <c r="AD73" s="50"/>
    </row>
    <row r="74">
      <c r="A74" s="49"/>
      <c r="B74" s="49"/>
      <c r="C74" s="49"/>
      <c r="D74" s="49"/>
      <c r="E74" s="50"/>
      <c r="F74" s="50"/>
      <c r="G74" s="50"/>
      <c r="H74" s="50"/>
      <c r="I74" s="50"/>
      <c r="J74" s="50"/>
      <c r="K74" s="50"/>
      <c r="L74" s="50"/>
      <c r="M74" s="50"/>
      <c r="N74" s="50"/>
      <c r="O74" s="50"/>
      <c r="P74" s="50"/>
      <c r="Q74" s="50"/>
      <c r="R74" s="50"/>
      <c r="S74" s="50"/>
      <c r="T74" s="50"/>
      <c r="U74" s="50"/>
      <c r="V74" s="50"/>
      <c r="W74" s="50"/>
      <c r="X74" s="50"/>
      <c r="Y74" s="50"/>
      <c r="Z74" s="50"/>
      <c r="AA74" s="50"/>
      <c r="AB74" s="50"/>
      <c r="AC74" s="50"/>
      <c r="AD74" s="50"/>
    </row>
    <row r="75">
      <c r="A75" s="49"/>
      <c r="B75" s="49"/>
      <c r="C75" s="49"/>
      <c r="D75" s="49"/>
      <c r="E75" s="50"/>
      <c r="F75" s="50"/>
      <c r="G75" s="50"/>
      <c r="H75" s="50"/>
      <c r="I75" s="50"/>
      <c r="J75" s="50"/>
      <c r="K75" s="50"/>
      <c r="L75" s="50"/>
      <c r="M75" s="50"/>
      <c r="N75" s="50"/>
      <c r="O75" s="50"/>
      <c r="P75" s="50"/>
      <c r="Q75" s="50"/>
      <c r="R75" s="50"/>
      <c r="S75" s="50"/>
      <c r="T75" s="50"/>
      <c r="U75" s="50"/>
      <c r="V75" s="50"/>
      <c r="W75" s="50"/>
      <c r="X75" s="50"/>
      <c r="Y75" s="50"/>
      <c r="Z75" s="50"/>
      <c r="AA75" s="50"/>
      <c r="AB75" s="50"/>
      <c r="AC75" s="50"/>
      <c r="AD75" s="50"/>
    </row>
    <row r="76">
      <c r="A76" s="49"/>
      <c r="B76" s="49"/>
      <c r="C76" s="49"/>
      <c r="D76" s="49"/>
      <c r="E76" s="50"/>
      <c r="F76" s="50"/>
      <c r="G76" s="50"/>
      <c r="H76" s="50"/>
      <c r="I76" s="50"/>
      <c r="J76" s="50"/>
      <c r="K76" s="50"/>
      <c r="L76" s="50"/>
      <c r="M76" s="50"/>
      <c r="N76" s="50"/>
      <c r="O76" s="50"/>
      <c r="P76" s="50"/>
      <c r="Q76" s="50"/>
      <c r="R76" s="50"/>
      <c r="S76" s="50"/>
      <c r="T76" s="50"/>
      <c r="U76" s="50"/>
      <c r="V76" s="50"/>
      <c r="W76" s="50"/>
      <c r="X76" s="50"/>
      <c r="Y76" s="50"/>
      <c r="Z76" s="50"/>
      <c r="AA76" s="50"/>
      <c r="AB76" s="50"/>
      <c r="AC76" s="50"/>
      <c r="AD76" s="50"/>
    </row>
    <row r="77">
      <c r="A77" s="49"/>
      <c r="B77" s="49"/>
      <c r="C77" s="49"/>
      <c r="D77" s="49"/>
      <c r="E77" s="50"/>
      <c r="F77" s="50"/>
      <c r="G77" s="50"/>
      <c r="H77" s="50"/>
      <c r="I77" s="50"/>
      <c r="J77" s="50"/>
      <c r="K77" s="50"/>
      <c r="L77" s="50"/>
      <c r="M77" s="50"/>
      <c r="N77" s="50"/>
      <c r="O77" s="50"/>
      <c r="P77" s="50"/>
      <c r="Q77" s="50"/>
      <c r="R77" s="50"/>
      <c r="S77" s="50"/>
      <c r="T77" s="50"/>
      <c r="U77" s="50"/>
      <c r="V77" s="50"/>
      <c r="W77" s="50"/>
      <c r="X77" s="50"/>
      <c r="Y77" s="50"/>
      <c r="Z77" s="50"/>
      <c r="AA77" s="50"/>
      <c r="AB77" s="50"/>
      <c r="AC77" s="50"/>
      <c r="AD77" s="50"/>
    </row>
    <row r="78">
      <c r="A78" s="49"/>
      <c r="B78" s="49"/>
      <c r="C78" s="49"/>
      <c r="D78" s="49"/>
      <c r="E78" s="50"/>
      <c r="F78" s="50"/>
      <c r="G78" s="50"/>
      <c r="H78" s="50"/>
      <c r="I78" s="50"/>
      <c r="J78" s="50"/>
      <c r="K78" s="50"/>
      <c r="L78" s="50"/>
      <c r="M78" s="50"/>
      <c r="N78" s="50"/>
      <c r="O78" s="50"/>
      <c r="P78" s="50"/>
      <c r="Q78" s="50"/>
      <c r="R78" s="50"/>
      <c r="S78" s="50"/>
      <c r="T78" s="50"/>
      <c r="U78" s="50"/>
      <c r="V78" s="50"/>
      <c r="W78" s="50"/>
      <c r="X78" s="50"/>
      <c r="Y78" s="50"/>
      <c r="Z78" s="50"/>
      <c r="AA78" s="50"/>
      <c r="AB78" s="50"/>
      <c r="AC78" s="50"/>
      <c r="AD78" s="50"/>
    </row>
    <row r="79">
      <c r="A79" s="49"/>
      <c r="B79" s="49"/>
      <c r="C79" s="49"/>
      <c r="D79" s="49"/>
      <c r="E79" s="50"/>
      <c r="F79" s="50"/>
      <c r="G79" s="50"/>
      <c r="H79" s="50"/>
      <c r="I79" s="50"/>
      <c r="J79" s="50"/>
      <c r="K79" s="50"/>
      <c r="L79" s="50"/>
      <c r="M79" s="50"/>
      <c r="N79" s="50"/>
      <c r="O79" s="50"/>
      <c r="P79" s="50"/>
      <c r="Q79" s="50"/>
      <c r="R79" s="50"/>
      <c r="S79" s="50"/>
      <c r="T79" s="50"/>
      <c r="U79" s="50"/>
      <c r="V79" s="50"/>
      <c r="W79" s="50"/>
      <c r="X79" s="50"/>
      <c r="Y79" s="50"/>
      <c r="Z79" s="50"/>
      <c r="AA79" s="50"/>
      <c r="AB79" s="50"/>
      <c r="AC79" s="50"/>
      <c r="AD79" s="50"/>
    </row>
    <row r="80">
      <c r="A80" s="49"/>
      <c r="B80" s="49"/>
      <c r="C80" s="49"/>
      <c r="D80" s="49"/>
      <c r="E80" s="50"/>
      <c r="F80" s="50"/>
      <c r="G80" s="50"/>
      <c r="H80" s="50"/>
      <c r="I80" s="50"/>
      <c r="J80" s="50"/>
      <c r="K80" s="50"/>
      <c r="L80" s="50"/>
      <c r="M80" s="50"/>
      <c r="N80" s="50"/>
      <c r="O80" s="50"/>
      <c r="P80" s="50"/>
      <c r="Q80" s="50"/>
      <c r="R80" s="50"/>
      <c r="S80" s="50"/>
      <c r="T80" s="50"/>
      <c r="U80" s="50"/>
      <c r="V80" s="50"/>
      <c r="W80" s="50"/>
      <c r="X80" s="50"/>
      <c r="Y80" s="50"/>
      <c r="Z80" s="50"/>
      <c r="AA80" s="50"/>
      <c r="AB80" s="50"/>
      <c r="AC80" s="50"/>
      <c r="AD80" s="50"/>
    </row>
    <row r="81">
      <c r="A81" s="49"/>
      <c r="B81" s="49"/>
      <c r="C81" s="49"/>
      <c r="D81" s="49"/>
      <c r="E81" s="50"/>
      <c r="F81" s="50"/>
      <c r="G81" s="50"/>
      <c r="H81" s="50"/>
      <c r="I81" s="50"/>
      <c r="J81" s="50"/>
      <c r="K81" s="50"/>
      <c r="L81" s="50"/>
      <c r="M81" s="50"/>
      <c r="N81" s="50"/>
      <c r="O81" s="50"/>
      <c r="P81" s="50"/>
      <c r="Q81" s="50"/>
      <c r="R81" s="50"/>
      <c r="S81" s="50"/>
      <c r="T81" s="50"/>
      <c r="U81" s="50"/>
      <c r="V81" s="50"/>
      <c r="W81" s="50"/>
      <c r="X81" s="50"/>
      <c r="Y81" s="50"/>
      <c r="Z81" s="50"/>
      <c r="AA81" s="50"/>
      <c r="AB81" s="50"/>
      <c r="AC81" s="50"/>
      <c r="AD81" s="50"/>
    </row>
    <row r="82">
      <c r="A82" s="49"/>
      <c r="B82" s="49"/>
      <c r="C82" s="49"/>
      <c r="D82" s="49"/>
      <c r="E82" s="50"/>
      <c r="F82" s="50"/>
      <c r="G82" s="50"/>
      <c r="H82" s="50"/>
      <c r="I82" s="50"/>
      <c r="J82" s="50"/>
      <c r="K82" s="50"/>
      <c r="L82" s="50"/>
      <c r="M82" s="50"/>
      <c r="N82" s="50"/>
      <c r="O82" s="50"/>
      <c r="P82" s="50"/>
      <c r="Q82" s="50"/>
      <c r="R82" s="50"/>
      <c r="S82" s="50"/>
      <c r="T82" s="50"/>
      <c r="U82" s="50"/>
      <c r="V82" s="50"/>
      <c r="W82" s="50"/>
      <c r="X82" s="50"/>
      <c r="Y82" s="50"/>
      <c r="Z82" s="50"/>
      <c r="AA82" s="50"/>
      <c r="AB82" s="50"/>
      <c r="AC82" s="50"/>
      <c r="AD82" s="50"/>
    </row>
    <row r="83">
      <c r="A83" s="49"/>
      <c r="B83" s="49"/>
      <c r="C83" s="49"/>
      <c r="D83" s="49"/>
      <c r="E83" s="50"/>
      <c r="F83" s="50"/>
      <c r="G83" s="50"/>
      <c r="H83" s="50"/>
      <c r="I83" s="50"/>
      <c r="J83" s="50"/>
      <c r="K83" s="50"/>
      <c r="L83" s="50"/>
      <c r="M83" s="50"/>
      <c r="N83" s="50"/>
      <c r="O83" s="50"/>
      <c r="P83" s="50"/>
      <c r="Q83" s="50"/>
      <c r="R83" s="50"/>
      <c r="S83" s="50"/>
      <c r="T83" s="50"/>
      <c r="U83" s="50"/>
      <c r="V83" s="50"/>
      <c r="W83" s="50"/>
      <c r="X83" s="50"/>
      <c r="Y83" s="50"/>
      <c r="Z83" s="50"/>
      <c r="AA83" s="50"/>
      <c r="AB83" s="50"/>
      <c r="AC83" s="50"/>
      <c r="AD83" s="50"/>
    </row>
    <row r="84">
      <c r="A84" s="49"/>
      <c r="B84" s="49"/>
      <c r="C84" s="49"/>
      <c r="D84" s="49"/>
      <c r="E84" s="50"/>
      <c r="F84" s="50"/>
      <c r="G84" s="50"/>
      <c r="H84" s="50"/>
      <c r="I84" s="50"/>
      <c r="J84" s="50"/>
      <c r="K84" s="50"/>
      <c r="L84" s="50"/>
      <c r="M84" s="50"/>
      <c r="N84" s="50"/>
      <c r="O84" s="50"/>
      <c r="P84" s="50"/>
      <c r="Q84" s="50"/>
      <c r="R84" s="50"/>
      <c r="S84" s="50"/>
      <c r="T84" s="50"/>
      <c r="U84" s="50"/>
      <c r="V84" s="50"/>
      <c r="W84" s="50"/>
      <c r="X84" s="50"/>
      <c r="Y84" s="50"/>
      <c r="Z84" s="50"/>
      <c r="AA84" s="50"/>
      <c r="AB84" s="50"/>
      <c r="AC84" s="50"/>
      <c r="AD84" s="50"/>
    </row>
    <row r="85">
      <c r="A85" s="49"/>
      <c r="B85" s="49"/>
      <c r="C85" s="49"/>
      <c r="D85" s="49"/>
      <c r="E85" s="50"/>
      <c r="F85" s="50"/>
      <c r="G85" s="50"/>
      <c r="H85" s="50"/>
      <c r="I85" s="50"/>
      <c r="J85" s="50"/>
      <c r="K85" s="50"/>
      <c r="L85" s="50"/>
      <c r="M85" s="50"/>
      <c r="N85" s="50"/>
      <c r="O85" s="50"/>
      <c r="P85" s="50"/>
      <c r="Q85" s="50"/>
      <c r="R85" s="50"/>
      <c r="S85" s="50"/>
      <c r="T85" s="50"/>
      <c r="U85" s="50"/>
      <c r="V85" s="50"/>
      <c r="W85" s="50"/>
      <c r="X85" s="50"/>
      <c r="Y85" s="50"/>
      <c r="Z85" s="50"/>
      <c r="AA85" s="50"/>
      <c r="AB85" s="50"/>
      <c r="AC85" s="50"/>
      <c r="AD85" s="50"/>
    </row>
    <row r="86">
      <c r="A86" s="49"/>
      <c r="B86" s="49"/>
      <c r="C86" s="49"/>
      <c r="D86" s="49"/>
      <c r="E86" s="50"/>
      <c r="F86" s="50"/>
      <c r="G86" s="50"/>
      <c r="H86" s="50"/>
      <c r="I86" s="50"/>
      <c r="J86" s="50"/>
      <c r="K86" s="50"/>
      <c r="L86" s="50"/>
      <c r="M86" s="50"/>
      <c r="N86" s="50"/>
      <c r="O86" s="50"/>
      <c r="P86" s="50"/>
      <c r="Q86" s="50"/>
      <c r="R86" s="50"/>
      <c r="S86" s="50"/>
      <c r="T86" s="50"/>
      <c r="U86" s="50"/>
      <c r="V86" s="50"/>
      <c r="W86" s="50"/>
      <c r="X86" s="50"/>
      <c r="Y86" s="50"/>
      <c r="Z86" s="50"/>
      <c r="AA86" s="50"/>
      <c r="AB86" s="50"/>
      <c r="AC86" s="50"/>
      <c r="AD86" s="50"/>
    </row>
    <row r="87">
      <c r="A87" s="49"/>
      <c r="B87" s="49"/>
      <c r="C87" s="49"/>
      <c r="D87" s="49"/>
      <c r="E87" s="50"/>
      <c r="F87" s="50"/>
      <c r="G87" s="50"/>
      <c r="H87" s="50"/>
      <c r="I87" s="50"/>
      <c r="J87" s="50"/>
      <c r="K87" s="50"/>
      <c r="L87" s="50"/>
      <c r="M87" s="50"/>
      <c r="N87" s="50"/>
      <c r="O87" s="50"/>
      <c r="P87" s="50"/>
      <c r="Q87" s="50"/>
      <c r="R87" s="50"/>
      <c r="S87" s="50"/>
      <c r="T87" s="50"/>
      <c r="U87" s="50"/>
      <c r="V87" s="50"/>
      <c r="W87" s="50"/>
      <c r="X87" s="50"/>
      <c r="Y87" s="50"/>
      <c r="Z87" s="50"/>
      <c r="AA87" s="50"/>
      <c r="AB87" s="50"/>
      <c r="AC87" s="50"/>
      <c r="AD87" s="50"/>
    </row>
    <row r="88">
      <c r="A88" s="49"/>
      <c r="B88" s="49"/>
      <c r="C88" s="49"/>
      <c r="D88" s="49"/>
      <c r="E88" s="50"/>
      <c r="F88" s="50"/>
      <c r="G88" s="50"/>
      <c r="H88" s="50"/>
      <c r="I88" s="50"/>
      <c r="J88" s="50"/>
      <c r="K88" s="50"/>
      <c r="L88" s="50"/>
      <c r="M88" s="50"/>
      <c r="N88" s="50"/>
      <c r="O88" s="50"/>
      <c r="P88" s="50"/>
      <c r="Q88" s="50"/>
      <c r="R88" s="50"/>
      <c r="S88" s="50"/>
      <c r="T88" s="50"/>
      <c r="U88" s="50"/>
      <c r="V88" s="50"/>
      <c r="W88" s="50"/>
      <c r="X88" s="50"/>
      <c r="Y88" s="50"/>
      <c r="Z88" s="50"/>
      <c r="AA88" s="50"/>
      <c r="AB88" s="50"/>
      <c r="AC88" s="50"/>
      <c r="AD88" s="50"/>
    </row>
    <row r="89">
      <c r="A89" s="49"/>
      <c r="B89" s="49"/>
      <c r="C89" s="49"/>
      <c r="D89" s="49"/>
      <c r="E89" s="50"/>
      <c r="F89" s="50"/>
      <c r="G89" s="50"/>
      <c r="H89" s="50"/>
      <c r="I89" s="50"/>
      <c r="J89" s="50"/>
      <c r="K89" s="50"/>
      <c r="L89" s="50"/>
      <c r="M89" s="50"/>
      <c r="N89" s="50"/>
      <c r="O89" s="50"/>
      <c r="P89" s="50"/>
      <c r="Q89" s="50"/>
      <c r="R89" s="50"/>
      <c r="S89" s="50"/>
      <c r="T89" s="50"/>
      <c r="U89" s="50"/>
      <c r="V89" s="50"/>
      <c r="W89" s="50"/>
      <c r="X89" s="50"/>
      <c r="Y89" s="50"/>
      <c r="Z89" s="50"/>
      <c r="AA89" s="50"/>
      <c r="AB89" s="50"/>
      <c r="AC89" s="50"/>
      <c r="AD89" s="50"/>
    </row>
    <row r="90">
      <c r="A90" s="49"/>
      <c r="B90" s="49"/>
      <c r="C90" s="49"/>
      <c r="D90" s="49"/>
      <c r="E90" s="50"/>
      <c r="F90" s="50"/>
      <c r="G90" s="50"/>
      <c r="H90" s="50"/>
      <c r="I90" s="50"/>
      <c r="J90" s="50"/>
      <c r="K90" s="50"/>
      <c r="L90" s="50"/>
      <c r="M90" s="50"/>
      <c r="N90" s="50"/>
      <c r="O90" s="50"/>
      <c r="P90" s="50"/>
      <c r="Q90" s="50"/>
      <c r="R90" s="50"/>
      <c r="S90" s="50"/>
      <c r="T90" s="50"/>
      <c r="U90" s="50"/>
      <c r="V90" s="50"/>
      <c r="W90" s="50"/>
      <c r="X90" s="50"/>
      <c r="Y90" s="50"/>
      <c r="Z90" s="50"/>
      <c r="AA90" s="50"/>
      <c r="AB90" s="50"/>
      <c r="AC90" s="50"/>
      <c r="AD90" s="50"/>
    </row>
    <row r="91">
      <c r="A91" s="49"/>
      <c r="B91" s="49"/>
      <c r="C91" s="49"/>
      <c r="D91" s="49"/>
      <c r="E91" s="50"/>
      <c r="F91" s="50"/>
      <c r="G91" s="50"/>
      <c r="H91" s="50"/>
      <c r="I91" s="50"/>
      <c r="J91" s="50"/>
      <c r="K91" s="50"/>
      <c r="L91" s="50"/>
      <c r="M91" s="50"/>
      <c r="N91" s="50"/>
      <c r="O91" s="50"/>
      <c r="P91" s="50"/>
      <c r="Q91" s="50"/>
      <c r="R91" s="50"/>
      <c r="S91" s="50"/>
      <c r="T91" s="50"/>
      <c r="U91" s="50"/>
      <c r="V91" s="50"/>
      <c r="W91" s="50"/>
      <c r="X91" s="50"/>
      <c r="Y91" s="50"/>
      <c r="Z91" s="50"/>
      <c r="AA91" s="50"/>
      <c r="AB91" s="50"/>
      <c r="AC91" s="50"/>
      <c r="AD91" s="50"/>
    </row>
    <row r="92">
      <c r="A92" s="49"/>
      <c r="B92" s="49"/>
      <c r="C92" s="49"/>
      <c r="D92" s="49"/>
      <c r="E92" s="50"/>
      <c r="F92" s="50"/>
      <c r="G92" s="50"/>
      <c r="H92" s="50"/>
      <c r="I92" s="50"/>
      <c r="J92" s="50"/>
      <c r="K92" s="50"/>
      <c r="L92" s="50"/>
      <c r="M92" s="50"/>
      <c r="N92" s="50"/>
      <c r="O92" s="50"/>
      <c r="P92" s="50"/>
      <c r="Q92" s="50"/>
      <c r="R92" s="50"/>
      <c r="S92" s="50"/>
      <c r="T92" s="50"/>
      <c r="U92" s="50"/>
      <c r="V92" s="50"/>
      <c r="W92" s="50"/>
      <c r="X92" s="50"/>
      <c r="Y92" s="50"/>
      <c r="Z92" s="50"/>
      <c r="AA92" s="50"/>
      <c r="AB92" s="50"/>
      <c r="AC92" s="50"/>
      <c r="AD92" s="50"/>
    </row>
    <row r="93">
      <c r="A93" s="49"/>
      <c r="B93" s="49"/>
      <c r="C93" s="49"/>
      <c r="D93" s="49"/>
      <c r="E93" s="50"/>
      <c r="F93" s="50"/>
      <c r="G93" s="50"/>
      <c r="H93" s="50"/>
      <c r="I93" s="50"/>
      <c r="J93" s="50"/>
      <c r="K93" s="50"/>
      <c r="L93" s="50"/>
      <c r="M93" s="50"/>
      <c r="N93" s="50"/>
      <c r="O93" s="50"/>
      <c r="P93" s="50"/>
      <c r="Q93" s="50"/>
      <c r="R93" s="50"/>
      <c r="S93" s="50"/>
      <c r="T93" s="50"/>
      <c r="U93" s="50"/>
      <c r="V93" s="50"/>
      <c r="W93" s="50"/>
      <c r="X93" s="50"/>
      <c r="Y93" s="50"/>
      <c r="Z93" s="50"/>
      <c r="AA93" s="50"/>
      <c r="AB93" s="50"/>
      <c r="AC93" s="50"/>
      <c r="AD93" s="50"/>
    </row>
    <row r="94">
      <c r="A94" s="49"/>
      <c r="B94" s="49"/>
      <c r="C94" s="49"/>
      <c r="D94" s="49"/>
      <c r="E94" s="50"/>
      <c r="F94" s="50"/>
      <c r="G94" s="50"/>
      <c r="H94" s="50"/>
      <c r="I94" s="50"/>
      <c r="J94" s="50"/>
      <c r="K94" s="50"/>
      <c r="L94" s="50"/>
      <c r="M94" s="50"/>
      <c r="N94" s="50"/>
      <c r="O94" s="50"/>
      <c r="P94" s="50"/>
      <c r="Q94" s="50"/>
      <c r="R94" s="50"/>
      <c r="S94" s="50"/>
      <c r="T94" s="50"/>
      <c r="U94" s="50"/>
      <c r="V94" s="50"/>
      <c r="W94" s="50"/>
      <c r="X94" s="50"/>
      <c r="Y94" s="50"/>
      <c r="Z94" s="50"/>
      <c r="AA94" s="50"/>
      <c r="AB94" s="50"/>
      <c r="AC94" s="50"/>
      <c r="AD94" s="50"/>
    </row>
    <row r="95">
      <c r="A95" s="49"/>
      <c r="B95" s="49"/>
      <c r="C95" s="49"/>
      <c r="D95" s="49"/>
      <c r="E95" s="50"/>
      <c r="F95" s="50"/>
      <c r="G95" s="50"/>
      <c r="H95" s="50"/>
      <c r="I95" s="50"/>
      <c r="J95" s="50"/>
      <c r="K95" s="50"/>
      <c r="L95" s="50"/>
      <c r="M95" s="50"/>
      <c r="N95" s="50"/>
      <c r="O95" s="50"/>
      <c r="P95" s="50"/>
      <c r="Q95" s="50"/>
      <c r="R95" s="50"/>
      <c r="S95" s="50"/>
      <c r="T95" s="50"/>
      <c r="U95" s="50"/>
      <c r="V95" s="50"/>
      <c r="W95" s="50"/>
      <c r="X95" s="50"/>
      <c r="Y95" s="50"/>
      <c r="Z95" s="50"/>
      <c r="AA95" s="50"/>
      <c r="AB95" s="50"/>
      <c r="AC95" s="50"/>
      <c r="AD95" s="50"/>
    </row>
    <row r="96">
      <c r="A96" s="49"/>
      <c r="B96" s="49"/>
      <c r="C96" s="49"/>
      <c r="D96" s="49"/>
      <c r="E96" s="50"/>
      <c r="F96" s="50"/>
      <c r="G96" s="50"/>
      <c r="H96" s="50"/>
      <c r="I96" s="50"/>
      <c r="J96" s="50"/>
      <c r="K96" s="50"/>
      <c r="L96" s="50"/>
      <c r="M96" s="50"/>
      <c r="N96" s="50"/>
      <c r="O96" s="50"/>
      <c r="P96" s="50"/>
      <c r="Q96" s="50"/>
      <c r="R96" s="50"/>
      <c r="S96" s="50"/>
      <c r="T96" s="50"/>
      <c r="U96" s="50"/>
      <c r="V96" s="50"/>
      <c r="W96" s="50"/>
      <c r="X96" s="50"/>
      <c r="Y96" s="50"/>
      <c r="Z96" s="50"/>
      <c r="AA96" s="50"/>
      <c r="AB96" s="50"/>
      <c r="AC96" s="50"/>
      <c r="AD96" s="50"/>
    </row>
    <row r="97">
      <c r="A97" s="49"/>
      <c r="B97" s="49"/>
      <c r="C97" s="49"/>
      <c r="D97" s="49"/>
      <c r="E97" s="50"/>
      <c r="F97" s="50"/>
      <c r="G97" s="50"/>
      <c r="H97" s="50"/>
      <c r="I97" s="50"/>
      <c r="J97" s="50"/>
      <c r="K97" s="50"/>
      <c r="L97" s="50"/>
      <c r="M97" s="50"/>
      <c r="N97" s="50"/>
      <c r="O97" s="50"/>
      <c r="P97" s="50"/>
      <c r="Q97" s="50"/>
      <c r="R97" s="50"/>
      <c r="S97" s="50"/>
      <c r="T97" s="50"/>
      <c r="U97" s="50"/>
      <c r="V97" s="50"/>
      <c r="W97" s="50"/>
      <c r="X97" s="50"/>
      <c r="Y97" s="50"/>
      <c r="Z97" s="50"/>
      <c r="AA97" s="50"/>
      <c r="AB97" s="50"/>
      <c r="AC97" s="50"/>
      <c r="AD97" s="50"/>
    </row>
    <row r="98">
      <c r="A98" s="49"/>
      <c r="B98" s="49"/>
      <c r="C98" s="49"/>
      <c r="D98" s="49"/>
      <c r="E98" s="50"/>
      <c r="F98" s="50"/>
      <c r="G98" s="50"/>
      <c r="H98" s="50"/>
      <c r="I98" s="50"/>
      <c r="J98" s="50"/>
      <c r="K98" s="50"/>
      <c r="L98" s="50"/>
      <c r="M98" s="50"/>
      <c r="N98" s="50"/>
      <c r="O98" s="50"/>
      <c r="P98" s="50"/>
      <c r="Q98" s="50"/>
      <c r="R98" s="50"/>
      <c r="S98" s="50"/>
      <c r="T98" s="50"/>
      <c r="U98" s="50"/>
      <c r="V98" s="50"/>
      <c r="W98" s="50"/>
      <c r="X98" s="50"/>
      <c r="Y98" s="50"/>
      <c r="Z98" s="50"/>
      <c r="AA98" s="50"/>
      <c r="AB98" s="50"/>
      <c r="AC98" s="50"/>
      <c r="AD98" s="50"/>
    </row>
    <row r="99">
      <c r="A99" s="49"/>
      <c r="B99" s="49"/>
      <c r="C99" s="49"/>
      <c r="D99" s="49"/>
      <c r="E99" s="50"/>
      <c r="F99" s="50"/>
      <c r="G99" s="50"/>
      <c r="H99" s="50"/>
      <c r="I99" s="50"/>
      <c r="J99" s="50"/>
      <c r="K99" s="50"/>
      <c r="L99" s="50"/>
      <c r="M99" s="50"/>
      <c r="N99" s="50"/>
      <c r="O99" s="50"/>
      <c r="P99" s="50"/>
      <c r="Q99" s="50"/>
      <c r="R99" s="50"/>
      <c r="S99" s="50"/>
      <c r="T99" s="50"/>
      <c r="U99" s="50"/>
      <c r="V99" s="50"/>
      <c r="W99" s="50"/>
      <c r="X99" s="50"/>
      <c r="Y99" s="50"/>
      <c r="Z99" s="50"/>
      <c r="AA99" s="50"/>
      <c r="AB99" s="50"/>
      <c r="AC99" s="50"/>
      <c r="AD99" s="50"/>
    </row>
    <row r="100">
      <c r="A100" s="49"/>
      <c r="B100" s="49"/>
      <c r="C100" s="49"/>
      <c r="D100" s="49"/>
      <c r="E100" s="50"/>
      <c r="F100" s="50"/>
      <c r="G100" s="50"/>
      <c r="H100" s="50"/>
      <c r="I100" s="50"/>
      <c r="J100" s="50"/>
      <c r="K100" s="50"/>
      <c r="L100" s="50"/>
      <c r="M100" s="50"/>
      <c r="N100" s="50"/>
      <c r="O100" s="50"/>
      <c r="P100" s="50"/>
      <c r="Q100" s="50"/>
      <c r="R100" s="50"/>
      <c r="S100" s="50"/>
      <c r="T100" s="50"/>
      <c r="U100" s="50"/>
      <c r="V100" s="50"/>
      <c r="W100" s="50"/>
      <c r="X100" s="50"/>
      <c r="Y100" s="50"/>
      <c r="Z100" s="50"/>
      <c r="AA100" s="50"/>
      <c r="AB100" s="50"/>
      <c r="AC100" s="50"/>
      <c r="AD100" s="50"/>
    </row>
    <row r="101">
      <c r="A101" s="49"/>
      <c r="B101" s="49"/>
      <c r="C101" s="49"/>
      <c r="D101" s="49"/>
      <c r="E101" s="50"/>
      <c r="F101" s="50"/>
      <c r="G101" s="50"/>
      <c r="H101" s="50"/>
      <c r="I101" s="50"/>
      <c r="J101" s="50"/>
      <c r="K101" s="50"/>
      <c r="L101" s="50"/>
      <c r="M101" s="50"/>
      <c r="N101" s="50"/>
      <c r="O101" s="50"/>
      <c r="P101" s="50"/>
      <c r="Q101" s="50"/>
      <c r="R101" s="50"/>
      <c r="S101" s="50"/>
      <c r="T101" s="50"/>
      <c r="U101" s="50"/>
      <c r="V101" s="50"/>
      <c r="W101" s="50"/>
      <c r="X101" s="50"/>
      <c r="Y101" s="50"/>
      <c r="Z101" s="50"/>
      <c r="AA101" s="50"/>
      <c r="AB101" s="50"/>
      <c r="AC101" s="50"/>
      <c r="AD101" s="50"/>
    </row>
    <row r="102">
      <c r="A102" s="49"/>
      <c r="B102" s="49"/>
      <c r="C102" s="49"/>
      <c r="D102" s="49"/>
      <c r="E102" s="50"/>
      <c r="F102" s="50"/>
      <c r="G102" s="50"/>
      <c r="H102" s="50"/>
      <c r="I102" s="50"/>
      <c r="J102" s="50"/>
      <c r="K102" s="50"/>
      <c r="L102" s="50"/>
      <c r="M102" s="50"/>
      <c r="N102" s="50"/>
      <c r="O102" s="50"/>
      <c r="P102" s="50"/>
      <c r="Q102" s="50"/>
      <c r="R102" s="50"/>
      <c r="S102" s="50"/>
      <c r="T102" s="50"/>
      <c r="U102" s="50"/>
      <c r="V102" s="50"/>
      <c r="W102" s="50"/>
      <c r="X102" s="50"/>
      <c r="Y102" s="50"/>
      <c r="Z102" s="50"/>
      <c r="AA102" s="50"/>
      <c r="AB102" s="50"/>
      <c r="AC102" s="50"/>
      <c r="AD102" s="50"/>
    </row>
    <row r="103">
      <c r="A103" s="49"/>
      <c r="B103" s="49"/>
      <c r="C103" s="49"/>
      <c r="D103" s="49"/>
      <c r="E103" s="50"/>
      <c r="F103" s="50"/>
      <c r="G103" s="50"/>
      <c r="H103" s="50"/>
      <c r="I103" s="50"/>
      <c r="J103" s="50"/>
      <c r="K103" s="50"/>
      <c r="L103" s="50"/>
      <c r="M103" s="50"/>
      <c r="N103" s="50"/>
      <c r="O103" s="50"/>
      <c r="P103" s="50"/>
      <c r="Q103" s="50"/>
      <c r="R103" s="50"/>
      <c r="S103" s="50"/>
      <c r="T103" s="50"/>
      <c r="U103" s="50"/>
      <c r="V103" s="50"/>
      <c r="W103" s="50"/>
      <c r="X103" s="50"/>
      <c r="Y103" s="50"/>
      <c r="Z103" s="50"/>
      <c r="AA103" s="50"/>
      <c r="AB103" s="50"/>
      <c r="AC103" s="50"/>
      <c r="AD103" s="50"/>
    </row>
    <row r="104">
      <c r="A104" s="49"/>
      <c r="B104" s="49"/>
      <c r="C104" s="49"/>
      <c r="D104" s="49"/>
      <c r="E104" s="50"/>
      <c r="F104" s="50"/>
      <c r="G104" s="50"/>
      <c r="H104" s="50"/>
      <c r="I104" s="50"/>
      <c r="J104" s="50"/>
      <c r="K104" s="50"/>
      <c r="L104" s="50"/>
      <c r="M104" s="50"/>
      <c r="N104" s="50"/>
      <c r="O104" s="50"/>
      <c r="P104" s="50"/>
      <c r="Q104" s="50"/>
      <c r="R104" s="50"/>
      <c r="S104" s="50"/>
      <c r="T104" s="50"/>
      <c r="U104" s="50"/>
      <c r="V104" s="50"/>
      <c r="W104" s="50"/>
      <c r="X104" s="50"/>
      <c r="Y104" s="50"/>
      <c r="Z104" s="50"/>
      <c r="AA104" s="50"/>
      <c r="AB104" s="50"/>
      <c r="AC104" s="50"/>
      <c r="AD104" s="50"/>
    </row>
    <row r="105">
      <c r="A105" s="49"/>
      <c r="B105" s="49"/>
      <c r="C105" s="49"/>
      <c r="D105" s="49"/>
      <c r="E105" s="50"/>
      <c r="F105" s="50"/>
      <c r="G105" s="50"/>
      <c r="H105" s="50"/>
      <c r="I105" s="50"/>
      <c r="J105" s="50"/>
      <c r="K105" s="50"/>
      <c r="L105" s="50"/>
      <c r="M105" s="50"/>
      <c r="N105" s="50"/>
      <c r="O105" s="50"/>
      <c r="P105" s="50"/>
      <c r="Q105" s="50"/>
      <c r="R105" s="50"/>
      <c r="S105" s="50"/>
      <c r="T105" s="50"/>
      <c r="U105" s="50"/>
      <c r="V105" s="50"/>
      <c r="W105" s="50"/>
      <c r="X105" s="50"/>
      <c r="Y105" s="50"/>
      <c r="Z105" s="50"/>
      <c r="AA105" s="50"/>
      <c r="AB105" s="50"/>
      <c r="AC105" s="50"/>
      <c r="AD105" s="50"/>
    </row>
    <row r="106">
      <c r="A106" s="49"/>
      <c r="B106" s="49"/>
      <c r="C106" s="49"/>
      <c r="D106" s="49"/>
      <c r="E106" s="50"/>
      <c r="F106" s="50"/>
      <c r="G106" s="50"/>
      <c r="H106" s="50"/>
      <c r="I106" s="50"/>
      <c r="J106" s="50"/>
      <c r="K106" s="50"/>
      <c r="L106" s="50"/>
      <c r="M106" s="50"/>
      <c r="N106" s="50"/>
      <c r="O106" s="50"/>
      <c r="P106" s="50"/>
      <c r="Q106" s="50"/>
      <c r="R106" s="50"/>
      <c r="S106" s="50"/>
      <c r="T106" s="50"/>
      <c r="U106" s="50"/>
      <c r="V106" s="50"/>
      <c r="W106" s="50"/>
      <c r="X106" s="50"/>
      <c r="Y106" s="50"/>
      <c r="Z106" s="50"/>
      <c r="AA106" s="50"/>
      <c r="AB106" s="50"/>
      <c r="AC106" s="50"/>
      <c r="AD106" s="50"/>
    </row>
    <row r="107">
      <c r="A107" s="49"/>
      <c r="B107" s="49"/>
      <c r="C107" s="49"/>
      <c r="D107" s="49"/>
      <c r="E107" s="50"/>
      <c r="F107" s="50"/>
      <c r="G107" s="50"/>
      <c r="H107" s="50"/>
      <c r="I107" s="50"/>
      <c r="J107" s="50"/>
      <c r="K107" s="50"/>
      <c r="L107" s="50"/>
      <c r="M107" s="50"/>
      <c r="N107" s="50"/>
      <c r="O107" s="50"/>
      <c r="P107" s="50"/>
      <c r="Q107" s="50"/>
      <c r="R107" s="50"/>
      <c r="S107" s="50"/>
      <c r="T107" s="50"/>
      <c r="U107" s="50"/>
      <c r="V107" s="50"/>
      <c r="W107" s="50"/>
      <c r="X107" s="50"/>
      <c r="Y107" s="50"/>
      <c r="Z107" s="50"/>
      <c r="AA107" s="50"/>
      <c r="AB107" s="50"/>
      <c r="AC107" s="50"/>
      <c r="AD107" s="50"/>
    </row>
    <row r="108">
      <c r="A108" s="49"/>
      <c r="B108" s="49"/>
      <c r="C108" s="49"/>
      <c r="D108" s="49"/>
      <c r="E108" s="50"/>
      <c r="F108" s="50"/>
      <c r="G108" s="50"/>
      <c r="H108" s="50"/>
      <c r="I108" s="50"/>
      <c r="J108" s="50"/>
      <c r="K108" s="50"/>
      <c r="L108" s="50"/>
      <c r="M108" s="50"/>
      <c r="N108" s="50"/>
      <c r="O108" s="50"/>
      <c r="P108" s="50"/>
      <c r="Q108" s="50"/>
      <c r="R108" s="50"/>
      <c r="S108" s="50"/>
      <c r="T108" s="50"/>
      <c r="U108" s="50"/>
      <c r="V108" s="50"/>
      <c r="W108" s="50"/>
      <c r="X108" s="50"/>
      <c r="Y108" s="50"/>
      <c r="Z108" s="50"/>
      <c r="AA108" s="50"/>
      <c r="AB108" s="50"/>
      <c r="AC108" s="50"/>
      <c r="AD108" s="50"/>
    </row>
    <row r="109">
      <c r="A109" s="49"/>
      <c r="B109" s="49"/>
      <c r="C109" s="49"/>
      <c r="D109" s="49"/>
      <c r="E109" s="50"/>
      <c r="F109" s="50"/>
      <c r="G109" s="50"/>
      <c r="H109" s="50"/>
      <c r="I109" s="50"/>
      <c r="J109" s="50"/>
      <c r="K109" s="50"/>
      <c r="L109" s="50"/>
      <c r="M109" s="50"/>
      <c r="N109" s="50"/>
      <c r="O109" s="50"/>
      <c r="P109" s="50"/>
      <c r="Q109" s="50"/>
      <c r="R109" s="50"/>
      <c r="S109" s="50"/>
      <c r="T109" s="50"/>
      <c r="U109" s="50"/>
      <c r="V109" s="50"/>
      <c r="W109" s="50"/>
      <c r="X109" s="50"/>
      <c r="Y109" s="50"/>
      <c r="Z109" s="50"/>
      <c r="AA109" s="50"/>
      <c r="AB109" s="50"/>
      <c r="AC109" s="50"/>
      <c r="AD109" s="50"/>
    </row>
    <row r="110">
      <c r="A110" s="49"/>
      <c r="B110" s="49"/>
      <c r="C110" s="49"/>
      <c r="D110" s="49"/>
      <c r="E110" s="50"/>
      <c r="F110" s="50"/>
      <c r="G110" s="50"/>
      <c r="H110" s="50"/>
      <c r="I110" s="50"/>
      <c r="J110" s="50"/>
      <c r="K110" s="50"/>
      <c r="L110" s="50"/>
      <c r="M110" s="50"/>
      <c r="N110" s="50"/>
      <c r="O110" s="50"/>
      <c r="P110" s="50"/>
      <c r="Q110" s="50"/>
      <c r="R110" s="50"/>
      <c r="S110" s="50"/>
      <c r="T110" s="50"/>
      <c r="U110" s="50"/>
      <c r="V110" s="50"/>
      <c r="W110" s="50"/>
      <c r="X110" s="50"/>
      <c r="Y110" s="50"/>
      <c r="Z110" s="50"/>
      <c r="AA110" s="50"/>
      <c r="AB110" s="50"/>
      <c r="AC110" s="50"/>
      <c r="AD110" s="50"/>
    </row>
    <row r="111">
      <c r="A111" s="49"/>
      <c r="B111" s="49"/>
      <c r="C111" s="49"/>
      <c r="D111" s="49"/>
      <c r="E111" s="50"/>
      <c r="F111" s="50"/>
      <c r="G111" s="50"/>
      <c r="H111" s="50"/>
      <c r="I111" s="50"/>
      <c r="J111" s="50"/>
      <c r="K111" s="50"/>
      <c r="L111" s="50"/>
      <c r="M111" s="50"/>
      <c r="N111" s="50"/>
      <c r="O111" s="50"/>
      <c r="P111" s="50"/>
      <c r="Q111" s="50"/>
      <c r="R111" s="50"/>
      <c r="S111" s="50"/>
      <c r="T111" s="50"/>
      <c r="U111" s="50"/>
      <c r="V111" s="50"/>
      <c r="W111" s="50"/>
      <c r="X111" s="50"/>
      <c r="Y111" s="50"/>
      <c r="Z111" s="50"/>
      <c r="AA111" s="50"/>
      <c r="AB111" s="50"/>
      <c r="AC111" s="50"/>
      <c r="AD111" s="50"/>
    </row>
    <row r="112">
      <c r="A112" s="49"/>
      <c r="B112" s="49"/>
      <c r="C112" s="49"/>
      <c r="D112" s="49"/>
      <c r="E112" s="50"/>
      <c r="F112" s="50"/>
      <c r="G112" s="50"/>
      <c r="H112" s="50"/>
      <c r="I112" s="50"/>
      <c r="J112" s="50"/>
      <c r="K112" s="50"/>
      <c r="L112" s="50"/>
      <c r="M112" s="50"/>
      <c r="N112" s="50"/>
      <c r="O112" s="50"/>
      <c r="P112" s="50"/>
      <c r="Q112" s="50"/>
      <c r="R112" s="50"/>
      <c r="S112" s="50"/>
      <c r="T112" s="50"/>
      <c r="U112" s="50"/>
      <c r="V112" s="50"/>
      <c r="W112" s="50"/>
      <c r="X112" s="50"/>
      <c r="Y112" s="50"/>
      <c r="Z112" s="50"/>
      <c r="AA112" s="50"/>
      <c r="AB112" s="50"/>
      <c r="AC112" s="50"/>
      <c r="AD112" s="50"/>
    </row>
    <row r="113">
      <c r="A113" s="49"/>
      <c r="B113" s="49"/>
      <c r="C113" s="49"/>
      <c r="D113" s="49"/>
      <c r="E113" s="50"/>
      <c r="F113" s="50"/>
      <c r="G113" s="50"/>
      <c r="H113" s="50"/>
      <c r="I113" s="50"/>
      <c r="J113" s="50"/>
      <c r="K113" s="50"/>
      <c r="L113" s="50"/>
      <c r="M113" s="50"/>
      <c r="N113" s="50"/>
      <c r="O113" s="50"/>
      <c r="P113" s="50"/>
      <c r="Q113" s="50"/>
      <c r="R113" s="50"/>
      <c r="S113" s="50"/>
      <c r="T113" s="50"/>
      <c r="U113" s="50"/>
      <c r="V113" s="50"/>
      <c r="W113" s="50"/>
      <c r="X113" s="50"/>
      <c r="Y113" s="50"/>
      <c r="Z113" s="50"/>
      <c r="AA113" s="50"/>
      <c r="AB113" s="50"/>
      <c r="AC113" s="50"/>
      <c r="AD113" s="50"/>
    </row>
    <row r="114">
      <c r="A114" s="49"/>
      <c r="B114" s="49"/>
      <c r="C114" s="49"/>
      <c r="D114" s="49"/>
      <c r="E114" s="50"/>
      <c r="F114" s="50"/>
      <c r="G114" s="50"/>
      <c r="H114" s="50"/>
      <c r="I114" s="50"/>
      <c r="J114" s="50"/>
      <c r="K114" s="50"/>
      <c r="L114" s="50"/>
      <c r="M114" s="50"/>
      <c r="N114" s="50"/>
      <c r="O114" s="50"/>
      <c r="P114" s="50"/>
      <c r="Q114" s="50"/>
      <c r="R114" s="50"/>
      <c r="S114" s="50"/>
      <c r="T114" s="50"/>
      <c r="U114" s="50"/>
      <c r="V114" s="50"/>
      <c r="W114" s="50"/>
      <c r="X114" s="50"/>
      <c r="Y114" s="50"/>
      <c r="Z114" s="50"/>
      <c r="AA114" s="50"/>
      <c r="AB114" s="50"/>
      <c r="AC114" s="50"/>
      <c r="AD114" s="50"/>
    </row>
    <row r="115">
      <c r="A115" s="49"/>
      <c r="B115" s="49"/>
      <c r="C115" s="49"/>
      <c r="D115" s="49"/>
      <c r="E115" s="50"/>
      <c r="F115" s="50"/>
      <c r="G115" s="50"/>
      <c r="H115" s="50"/>
      <c r="I115" s="50"/>
      <c r="J115" s="50"/>
      <c r="K115" s="50"/>
      <c r="L115" s="50"/>
      <c r="M115" s="50"/>
      <c r="N115" s="50"/>
      <c r="O115" s="50"/>
      <c r="P115" s="50"/>
      <c r="Q115" s="50"/>
      <c r="R115" s="50"/>
      <c r="S115" s="50"/>
      <c r="T115" s="50"/>
      <c r="U115" s="50"/>
      <c r="V115" s="50"/>
      <c r="W115" s="50"/>
      <c r="X115" s="50"/>
      <c r="Y115" s="50"/>
      <c r="Z115" s="50"/>
      <c r="AA115" s="50"/>
      <c r="AB115" s="50"/>
      <c r="AC115" s="50"/>
      <c r="AD115" s="50"/>
    </row>
    <row r="116">
      <c r="A116" s="49"/>
      <c r="B116" s="49"/>
      <c r="C116" s="49"/>
      <c r="D116" s="49"/>
      <c r="E116" s="50"/>
      <c r="F116" s="50"/>
      <c r="G116" s="50"/>
      <c r="H116" s="50"/>
      <c r="I116" s="50"/>
      <c r="J116" s="50"/>
      <c r="K116" s="50"/>
      <c r="L116" s="50"/>
      <c r="M116" s="50"/>
      <c r="N116" s="50"/>
      <c r="O116" s="50"/>
      <c r="P116" s="50"/>
      <c r="Q116" s="50"/>
      <c r="R116" s="50"/>
      <c r="S116" s="50"/>
      <c r="T116" s="50"/>
      <c r="U116" s="50"/>
      <c r="V116" s="50"/>
      <c r="W116" s="50"/>
      <c r="X116" s="50"/>
      <c r="Y116" s="50"/>
      <c r="Z116" s="50"/>
      <c r="AA116" s="50"/>
      <c r="AB116" s="50"/>
      <c r="AC116" s="50"/>
      <c r="AD116" s="50"/>
    </row>
    <row r="117">
      <c r="A117" s="49"/>
      <c r="B117" s="49"/>
      <c r="C117" s="49"/>
      <c r="D117" s="49"/>
      <c r="E117" s="50"/>
      <c r="F117" s="50"/>
      <c r="G117" s="50"/>
      <c r="H117" s="50"/>
      <c r="I117" s="50"/>
      <c r="J117" s="50"/>
      <c r="K117" s="50"/>
      <c r="L117" s="50"/>
      <c r="M117" s="50"/>
      <c r="N117" s="50"/>
      <c r="O117" s="50"/>
      <c r="P117" s="50"/>
      <c r="Q117" s="50"/>
      <c r="R117" s="50"/>
      <c r="S117" s="50"/>
      <c r="T117" s="50"/>
      <c r="U117" s="50"/>
      <c r="V117" s="50"/>
      <c r="W117" s="50"/>
      <c r="X117" s="50"/>
      <c r="Y117" s="50"/>
      <c r="Z117" s="50"/>
      <c r="AA117" s="50"/>
      <c r="AB117" s="50"/>
      <c r="AC117" s="50"/>
      <c r="AD117" s="50"/>
    </row>
    <row r="118">
      <c r="A118" s="49"/>
      <c r="B118" s="49"/>
      <c r="C118" s="49"/>
      <c r="D118" s="49"/>
      <c r="E118" s="50"/>
      <c r="F118" s="50"/>
      <c r="G118" s="50"/>
      <c r="H118" s="50"/>
      <c r="I118" s="50"/>
      <c r="J118" s="50"/>
      <c r="K118" s="50"/>
      <c r="L118" s="50"/>
      <c r="M118" s="50"/>
      <c r="N118" s="50"/>
      <c r="O118" s="50"/>
      <c r="P118" s="50"/>
      <c r="Q118" s="50"/>
      <c r="R118" s="50"/>
      <c r="S118" s="50"/>
      <c r="T118" s="50"/>
      <c r="U118" s="50"/>
      <c r="V118" s="50"/>
      <c r="W118" s="50"/>
      <c r="X118" s="50"/>
      <c r="Y118" s="50"/>
      <c r="Z118" s="50"/>
      <c r="AA118" s="50"/>
      <c r="AB118" s="50"/>
      <c r="AC118" s="50"/>
      <c r="AD118" s="50"/>
    </row>
    <row r="119">
      <c r="A119" s="49"/>
      <c r="B119" s="49"/>
      <c r="C119" s="49"/>
      <c r="D119" s="49"/>
      <c r="E119" s="50"/>
      <c r="F119" s="50"/>
      <c r="G119" s="50"/>
      <c r="H119" s="50"/>
      <c r="I119" s="50"/>
      <c r="J119" s="50"/>
      <c r="K119" s="50"/>
      <c r="L119" s="50"/>
      <c r="M119" s="50"/>
      <c r="N119" s="50"/>
      <c r="O119" s="50"/>
      <c r="P119" s="50"/>
      <c r="Q119" s="50"/>
      <c r="R119" s="50"/>
      <c r="S119" s="50"/>
      <c r="T119" s="50"/>
      <c r="U119" s="50"/>
      <c r="V119" s="50"/>
      <c r="W119" s="50"/>
      <c r="X119" s="50"/>
      <c r="Y119" s="50"/>
      <c r="Z119" s="50"/>
      <c r="AA119" s="50"/>
      <c r="AB119" s="50"/>
      <c r="AC119" s="50"/>
      <c r="AD119" s="50"/>
    </row>
    <row r="120">
      <c r="A120" s="49"/>
      <c r="B120" s="49"/>
      <c r="C120" s="49"/>
      <c r="D120" s="49"/>
      <c r="E120" s="50"/>
      <c r="F120" s="50"/>
      <c r="G120" s="50"/>
      <c r="H120" s="50"/>
      <c r="I120" s="50"/>
      <c r="J120" s="50"/>
      <c r="K120" s="50"/>
      <c r="L120" s="50"/>
      <c r="M120" s="50"/>
      <c r="N120" s="50"/>
      <c r="O120" s="50"/>
      <c r="P120" s="50"/>
      <c r="Q120" s="50"/>
      <c r="R120" s="50"/>
      <c r="S120" s="50"/>
      <c r="T120" s="50"/>
      <c r="U120" s="50"/>
      <c r="V120" s="50"/>
      <c r="W120" s="50"/>
      <c r="X120" s="50"/>
      <c r="Y120" s="50"/>
      <c r="Z120" s="50"/>
      <c r="AA120" s="50"/>
      <c r="AB120" s="50"/>
      <c r="AC120" s="50"/>
      <c r="AD120" s="50"/>
    </row>
    <row r="121">
      <c r="A121" s="49"/>
      <c r="B121" s="49"/>
      <c r="C121" s="49"/>
      <c r="D121" s="49"/>
      <c r="E121" s="50"/>
      <c r="F121" s="50"/>
      <c r="G121" s="50"/>
      <c r="H121" s="50"/>
      <c r="I121" s="50"/>
      <c r="J121" s="50"/>
      <c r="K121" s="50"/>
      <c r="L121" s="50"/>
      <c r="M121" s="50"/>
      <c r="N121" s="50"/>
      <c r="O121" s="50"/>
      <c r="P121" s="50"/>
      <c r="Q121" s="50"/>
      <c r="R121" s="50"/>
      <c r="S121" s="50"/>
      <c r="T121" s="50"/>
      <c r="U121" s="50"/>
      <c r="V121" s="50"/>
      <c r="W121" s="50"/>
      <c r="X121" s="50"/>
      <c r="Y121" s="50"/>
      <c r="Z121" s="50"/>
      <c r="AA121" s="50"/>
      <c r="AB121" s="50"/>
      <c r="AC121" s="50"/>
      <c r="AD121" s="50"/>
    </row>
    <row r="122">
      <c r="A122" s="49"/>
      <c r="B122" s="49"/>
      <c r="C122" s="49"/>
      <c r="D122" s="49"/>
      <c r="E122" s="50"/>
      <c r="F122" s="50"/>
      <c r="G122" s="50"/>
      <c r="H122" s="50"/>
      <c r="I122" s="50"/>
      <c r="J122" s="50"/>
      <c r="K122" s="50"/>
      <c r="L122" s="50"/>
      <c r="M122" s="50"/>
      <c r="N122" s="50"/>
      <c r="O122" s="50"/>
      <c r="P122" s="50"/>
      <c r="Q122" s="50"/>
      <c r="R122" s="50"/>
      <c r="S122" s="50"/>
      <c r="T122" s="50"/>
      <c r="U122" s="50"/>
      <c r="V122" s="50"/>
      <c r="W122" s="50"/>
      <c r="X122" s="50"/>
      <c r="Y122" s="50"/>
      <c r="Z122" s="50"/>
      <c r="AA122" s="50"/>
      <c r="AB122" s="50"/>
      <c r="AC122" s="50"/>
      <c r="AD122" s="50"/>
    </row>
    <row r="123">
      <c r="A123" s="49"/>
      <c r="B123" s="49"/>
      <c r="C123" s="49"/>
      <c r="D123" s="49"/>
      <c r="E123" s="50"/>
      <c r="F123" s="50"/>
      <c r="G123" s="50"/>
      <c r="H123" s="50"/>
      <c r="I123" s="50"/>
      <c r="J123" s="50"/>
      <c r="K123" s="50"/>
      <c r="L123" s="50"/>
      <c r="M123" s="50"/>
      <c r="N123" s="50"/>
      <c r="O123" s="50"/>
      <c r="P123" s="50"/>
      <c r="Q123" s="50"/>
      <c r="R123" s="50"/>
      <c r="S123" s="50"/>
      <c r="T123" s="50"/>
      <c r="U123" s="50"/>
      <c r="V123" s="50"/>
      <c r="W123" s="50"/>
      <c r="X123" s="50"/>
      <c r="Y123" s="50"/>
      <c r="Z123" s="50"/>
      <c r="AA123" s="50"/>
      <c r="AB123" s="50"/>
      <c r="AC123" s="50"/>
      <c r="AD123" s="50"/>
    </row>
    <row r="124">
      <c r="A124" s="49"/>
      <c r="B124" s="49"/>
      <c r="C124" s="49"/>
      <c r="D124" s="49"/>
      <c r="E124" s="50"/>
      <c r="F124" s="50"/>
      <c r="G124" s="50"/>
      <c r="H124" s="50"/>
      <c r="I124" s="50"/>
      <c r="J124" s="50"/>
      <c r="K124" s="50"/>
      <c r="L124" s="50"/>
      <c r="M124" s="50"/>
      <c r="N124" s="50"/>
      <c r="O124" s="50"/>
      <c r="P124" s="50"/>
      <c r="Q124" s="50"/>
      <c r="R124" s="50"/>
      <c r="S124" s="50"/>
      <c r="T124" s="50"/>
      <c r="U124" s="50"/>
      <c r="V124" s="50"/>
      <c r="W124" s="50"/>
      <c r="X124" s="50"/>
      <c r="Y124" s="50"/>
      <c r="Z124" s="50"/>
      <c r="AA124" s="50"/>
      <c r="AB124" s="50"/>
      <c r="AC124" s="50"/>
      <c r="AD124" s="50"/>
    </row>
    <row r="125">
      <c r="A125" s="49"/>
      <c r="B125" s="49"/>
      <c r="C125" s="49"/>
      <c r="D125" s="49"/>
      <c r="E125" s="50"/>
      <c r="F125" s="50"/>
      <c r="G125" s="50"/>
      <c r="H125" s="50"/>
      <c r="I125" s="50"/>
      <c r="J125" s="50"/>
      <c r="K125" s="50"/>
      <c r="L125" s="50"/>
      <c r="M125" s="50"/>
      <c r="N125" s="50"/>
      <c r="O125" s="50"/>
      <c r="P125" s="50"/>
      <c r="Q125" s="50"/>
      <c r="R125" s="50"/>
      <c r="S125" s="50"/>
      <c r="T125" s="50"/>
      <c r="U125" s="50"/>
      <c r="V125" s="50"/>
      <c r="W125" s="50"/>
      <c r="X125" s="50"/>
      <c r="Y125" s="50"/>
      <c r="Z125" s="50"/>
      <c r="AA125" s="50"/>
      <c r="AB125" s="50"/>
      <c r="AC125" s="50"/>
      <c r="AD125" s="50"/>
    </row>
    <row r="126">
      <c r="A126" s="49"/>
      <c r="B126" s="49"/>
      <c r="C126" s="49"/>
      <c r="D126" s="49"/>
      <c r="E126" s="50"/>
      <c r="F126" s="50"/>
      <c r="G126" s="50"/>
      <c r="H126" s="50"/>
      <c r="I126" s="50"/>
      <c r="J126" s="50"/>
      <c r="K126" s="50"/>
      <c r="L126" s="50"/>
      <c r="M126" s="50"/>
      <c r="N126" s="50"/>
      <c r="O126" s="50"/>
      <c r="P126" s="50"/>
      <c r="Q126" s="50"/>
      <c r="R126" s="50"/>
      <c r="S126" s="50"/>
      <c r="T126" s="50"/>
      <c r="U126" s="50"/>
      <c r="V126" s="50"/>
      <c r="W126" s="50"/>
      <c r="X126" s="50"/>
      <c r="Y126" s="50"/>
      <c r="Z126" s="50"/>
      <c r="AA126" s="50"/>
      <c r="AB126" s="50"/>
      <c r="AC126" s="50"/>
      <c r="AD126" s="50"/>
    </row>
    <row r="127">
      <c r="A127" s="49"/>
      <c r="B127" s="49"/>
      <c r="C127" s="49"/>
      <c r="D127" s="49"/>
      <c r="E127" s="50"/>
      <c r="F127" s="50"/>
      <c r="G127" s="50"/>
      <c r="H127" s="50"/>
      <c r="I127" s="50"/>
      <c r="J127" s="50"/>
      <c r="K127" s="50"/>
      <c r="L127" s="50"/>
      <c r="M127" s="50"/>
      <c r="N127" s="50"/>
      <c r="O127" s="50"/>
      <c r="P127" s="50"/>
      <c r="Q127" s="50"/>
      <c r="R127" s="50"/>
      <c r="S127" s="50"/>
      <c r="T127" s="50"/>
      <c r="U127" s="50"/>
      <c r="V127" s="50"/>
      <c r="W127" s="50"/>
      <c r="X127" s="50"/>
      <c r="Y127" s="50"/>
      <c r="Z127" s="50"/>
      <c r="AA127" s="50"/>
      <c r="AB127" s="50"/>
      <c r="AC127" s="50"/>
      <c r="AD127" s="50"/>
    </row>
    <row r="128">
      <c r="A128" s="49"/>
      <c r="B128" s="49"/>
      <c r="C128" s="49"/>
      <c r="D128" s="49"/>
      <c r="E128" s="50"/>
      <c r="F128" s="50"/>
      <c r="G128" s="50"/>
      <c r="H128" s="50"/>
      <c r="I128" s="50"/>
      <c r="J128" s="50"/>
      <c r="K128" s="50"/>
      <c r="L128" s="50"/>
      <c r="M128" s="50"/>
      <c r="N128" s="50"/>
      <c r="O128" s="50"/>
      <c r="P128" s="50"/>
      <c r="Q128" s="50"/>
      <c r="R128" s="50"/>
      <c r="S128" s="50"/>
      <c r="T128" s="50"/>
      <c r="U128" s="50"/>
      <c r="V128" s="50"/>
      <c r="W128" s="50"/>
      <c r="X128" s="50"/>
      <c r="Y128" s="50"/>
      <c r="Z128" s="50"/>
      <c r="AA128" s="50"/>
      <c r="AB128" s="50"/>
      <c r="AC128" s="50"/>
      <c r="AD128" s="50"/>
    </row>
    <row r="129">
      <c r="A129" s="49"/>
      <c r="B129" s="49"/>
      <c r="C129" s="49"/>
      <c r="D129" s="49"/>
      <c r="E129" s="50"/>
      <c r="F129" s="50"/>
      <c r="G129" s="50"/>
      <c r="H129" s="50"/>
      <c r="I129" s="50"/>
      <c r="J129" s="50"/>
      <c r="K129" s="50"/>
      <c r="L129" s="50"/>
      <c r="M129" s="50"/>
      <c r="N129" s="50"/>
      <c r="O129" s="50"/>
      <c r="P129" s="50"/>
      <c r="Q129" s="50"/>
      <c r="R129" s="50"/>
      <c r="S129" s="50"/>
      <c r="T129" s="50"/>
      <c r="U129" s="50"/>
      <c r="V129" s="50"/>
      <c r="W129" s="50"/>
      <c r="X129" s="50"/>
      <c r="Y129" s="50"/>
      <c r="Z129" s="50"/>
      <c r="AA129" s="50"/>
      <c r="AB129" s="50"/>
      <c r="AC129" s="50"/>
      <c r="AD129" s="50"/>
    </row>
    <row r="130">
      <c r="A130" s="49"/>
      <c r="B130" s="49"/>
      <c r="C130" s="49"/>
      <c r="D130" s="49"/>
      <c r="E130" s="50"/>
      <c r="F130" s="50"/>
      <c r="G130" s="50"/>
      <c r="H130" s="50"/>
      <c r="I130" s="50"/>
      <c r="J130" s="50"/>
      <c r="K130" s="50"/>
      <c r="L130" s="50"/>
      <c r="M130" s="50"/>
      <c r="N130" s="50"/>
      <c r="O130" s="50"/>
      <c r="P130" s="50"/>
      <c r="Q130" s="50"/>
      <c r="R130" s="50"/>
      <c r="S130" s="50"/>
      <c r="T130" s="50"/>
      <c r="U130" s="50"/>
      <c r="V130" s="50"/>
      <c r="W130" s="50"/>
      <c r="X130" s="50"/>
      <c r="Y130" s="50"/>
      <c r="Z130" s="50"/>
      <c r="AA130" s="50"/>
      <c r="AB130" s="50"/>
      <c r="AC130" s="50"/>
      <c r="AD130" s="50"/>
    </row>
    <row r="131">
      <c r="A131" s="49"/>
      <c r="B131" s="49"/>
      <c r="C131" s="49"/>
      <c r="D131" s="49"/>
      <c r="E131" s="50"/>
      <c r="F131" s="50"/>
      <c r="G131" s="50"/>
      <c r="H131" s="50"/>
      <c r="I131" s="50"/>
      <c r="J131" s="50"/>
      <c r="K131" s="50"/>
      <c r="L131" s="50"/>
      <c r="M131" s="50"/>
      <c r="N131" s="50"/>
      <c r="O131" s="50"/>
      <c r="P131" s="50"/>
      <c r="Q131" s="50"/>
      <c r="R131" s="50"/>
      <c r="S131" s="50"/>
      <c r="T131" s="50"/>
      <c r="U131" s="50"/>
      <c r="V131" s="50"/>
      <c r="W131" s="50"/>
      <c r="X131" s="50"/>
      <c r="Y131" s="50"/>
      <c r="Z131" s="50"/>
      <c r="AA131" s="50"/>
      <c r="AB131" s="50"/>
      <c r="AC131" s="50"/>
      <c r="AD131" s="50"/>
    </row>
    <row r="132">
      <c r="A132" s="49"/>
      <c r="B132" s="49"/>
      <c r="C132" s="49"/>
      <c r="D132" s="49"/>
      <c r="E132" s="50"/>
      <c r="F132" s="50"/>
      <c r="G132" s="50"/>
      <c r="H132" s="50"/>
      <c r="I132" s="50"/>
      <c r="J132" s="50"/>
      <c r="K132" s="50"/>
      <c r="L132" s="50"/>
      <c r="M132" s="50"/>
      <c r="N132" s="50"/>
      <c r="O132" s="50"/>
      <c r="P132" s="50"/>
      <c r="Q132" s="50"/>
      <c r="R132" s="50"/>
      <c r="S132" s="50"/>
      <c r="T132" s="50"/>
      <c r="U132" s="50"/>
      <c r="V132" s="50"/>
      <c r="W132" s="50"/>
      <c r="X132" s="50"/>
      <c r="Y132" s="50"/>
      <c r="Z132" s="50"/>
      <c r="AA132" s="50"/>
      <c r="AB132" s="50"/>
      <c r="AC132" s="50"/>
      <c r="AD132" s="50"/>
    </row>
    <row r="133">
      <c r="A133" s="49"/>
      <c r="B133" s="49"/>
      <c r="C133" s="49"/>
      <c r="D133" s="49"/>
      <c r="E133" s="50"/>
      <c r="F133" s="50"/>
      <c r="G133" s="50"/>
      <c r="H133" s="50"/>
      <c r="I133" s="50"/>
      <c r="J133" s="50"/>
      <c r="K133" s="50"/>
      <c r="L133" s="50"/>
      <c r="M133" s="50"/>
      <c r="N133" s="50"/>
      <c r="O133" s="50"/>
      <c r="P133" s="50"/>
      <c r="Q133" s="50"/>
      <c r="R133" s="50"/>
      <c r="S133" s="50"/>
      <c r="T133" s="50"/>
      <c r="U133" s="50"/>
      <c r="V133" s="50"/>
      <c r="W133" s="50"/>
      <c r="X133" s="50"/>
      <c r="Y133" s="50"/>
      <c r="Z133" s="50"/>
      <c r="AA133" s="50"/>
      <c r="AB133" s="50"/>
      <c r="AC133" s="50"/>
      <c r="AD133" s="50"/>
    </row>
    <row r="134">
      <c r="A134" s="49"/>
      <c r="B134" s="49"/>
      <c r="C134" s="49"/>
      <c r="D134" s="49"/>
      <c r="E134" s="50"/>
      <c r="F134" s="50"/>
      <c r="G134" s="50"/>
      <c r="H134" s="50"/>
      <c r="I134" s="50"/>
      <c r="J134" s="50"/>
      <c r="K134" s="50"/>
      <c r="L134" s="50"/>
      <c r="M134" s="50"/>
      <c r="N134" s="50"/>
      <c r="O134" s="50"/>
      <c r="P134" s="50"/>
      <c r="Q134" s="50"/>
      <c r="R134" s="50"/>
      <c r="S134" s="50"/>
      <c r="T134" s="50"/>
      <c r="U134" s="50"/>
      <c r="V134" s="50"/>
      <c r="W134" s="50"/>
      <c r="X134" s="50"/>
      <c r="Y134" s="50"/>
      <c r="Z134" s="50"/>
      <c r="AA134" s="50"/>
      <c r="AB134" s="50"/>
      <c r="AC134" s="50"/>
      <c r="AD134" s="50"/>
    </row>
    <row r="135">
      <c r="A135" s="49"/>
      <c r="B135" s="49"/>
      <c r="C135" s="49"/>
      <c r="D135" s="49"/>
      <c r="E135" s="50"/>
      <c r="F135" s="50"/>
      <c r="G135" s="50"/>
      <c r="H135" s="50"/>
      <c r="I135" s="50"/>
      <c r="J135" s="50"/>
      <c r="K135" s="50"/>
      <c r="L135" s="50"/>
      <c r="M135" s="50"/>
      <c r="N135" s="50"/>
      <c r="O135" s="50"/>
      <c r="P135" s="50"/>
      <c r="Q135" s="50"/>
      <c r="R135" s="50"/>
      <c r="S135" s="50"/>
      <c r="T135" s="50"/>
      <c r="U135" s="50"/>
      <c r="V135" s="50"/>
      <c r="W135" s="50"/>
      <c r="X135" s="50"/>
      <c r="Y135" s="50"/>
      <c r="Z135" s="50"/>
      <c r="AA135" s="50"/>
      <c r="AB135" s="50"/>
      <c r="AC135" s="50"/>
      <c r="AD135" s="50"/>
    </row>
    <row r="136">
      <c r="A136" s="49"/>
      <c r="B136" s="49"/>
      <c r="C136" s="49"/>
      <c r="D136" s="49"/>
      <c r="E136" s="50"/>
      <c r="F136" s="50"/>
      <c r="G136" s="50"/>
      <c r="H136" s="50"/>
      <c r="I136" s="50"/>
      <c r="J136" s="50"/>
      <c r="K136" s="50"/>
      <c r="L136" s="50"/>
      <c r="M136" s="50"/>
      <c r="N136" s="50"/>
      <c r="O136" s="50"/>
      <c r="P136" s="50"/>
      <c r="Q136" s="50"/>
      <c r="R136" s="50"/>
      <c r="S136" s="50"/>
      <c r="T136" s="50"/>
      <c r="U136" s="50"/>
      <c r="V136" s="50"/>
      <c r="W136" s="50"/>
      <c r="X136" s="50"/>
      <c r="Y136" s="50"/>
      <c r="Z136" s="50"/>
      <c r="AA136" s="50"/>
      <c r="AB136" s="50"/>
      <c r="AC136" s="50"/>
      <c r="AD136" s="50"/>
    </row>
    <row r="137">
      <c r="A137" s="49"/>
      <c r="B137" s="49"/>
      <c r="C137" s="49"/>
      <c r="D137" s="49"/>
      <c r="E137" s="50"/>
      <c r="F137" s="50"/>
      <c r="G137" s="50"/>
      <c r="H137" s="50"/>
      <c r="I137" s="50"/>
      <c r="J137" s="50"/>
      <c r="K137" s="50"/>
      <c r="L137" s="50"/>
      <c r="M137" s="50"/>
      <c r="N137" s="50"/>
      <c r="O137" s="50"/>
      <c r="P137" s="50"/>
      <c r="Q137" s="50"/>
      <c r="R137" s="50"/>
      <c r="S137" s="50"/>
      <c r="T137" s="50"/>
      <c r="U137" s="50"/>
      <c r="V137" s="50"/>
      <c r="W137" s="50"/>
      <c r="X137" s="50"/>
      <c r="Y137" s="50"/>
      <c r="Z137" s="50"/>
      <c r="AA137" s="50"/>
      <c r="AB137" s="50"/>
      <c r="AC137" s="50"/>
      <c r="AD137" s="50"/>
    </row>
    <row r="138">
      <c r="A138" s="49"/>
      <c r="B138" s="49"/>
      <c r="C138" s="49"/>
      <c r="D138" s="49"/>
      <c r="E138" s="50"/>
      <c r="F138" s="50"/>
      <c r="G138" s="50"/>
      <c r="H138" s="50"/>
      <c r="I138" s="50"/>
      <c r="J138" s="50"/>
      <c r="K138" s="50"/>
      <c r="L138" s="50"/>
      <c r="M138" s="50"/>
      <c r="N138" s="50"/>
      <c r="O138" s="50"/>
      <c r="P138" s="50"/>
      <c r="Q138" s="50"/>
      <c r="R138" s="50"/>
      <c r="S138" s="50"/>
      <c r="T138" s="50"/>
      <c r="U138" s="50"/>
      <c r="V138" s="50"/>
      <c r="W138" s="50"/>
      <c r="X138" s="50"/>
      <c r="Y138" s="50"/>
      <c r="Z138" s="50"/>
      <c r="AA138" s="50"/>
      <c r="AB138" s="50"/>
      <c r="AC138" s="50"/>
      <c r="AD138" s="50"/>
    </row>
    <row r="139">
      <c r="A139" s="49"/>
      <c r="B139" s="49"/>
      <c r="C139" s="49"/>
      <c r="D139" s="49"/>
      <c r="E139" s="50"/>
      <c r="F139" s="50"/>
      <c r="G139" s="50"/>
      <c r="H139" s="50"/>
      <c r="I139" s="50"/>
      <c r="J139" s="50"/>
      <c r="K139" s="50"/>
      <c r="L139" s="50"/>
      <c r="M139" s="50"/>
      <c r="N139" s="50"/>
      <c r="O139" s="50"/>
      <c r="P139" s="50"/>
      <c r="Q139" s="50"/>
      <c r="R139" s="50"/>
      <c r="S139" s="50"/>
      <c r="T139" s="50"/>
      <c r="U139" s="50"/>
      <c r="V139" s="50"/>
      <c r="W139" s="50"/>
      <c r="X139" s="50"/>
      <c r="Y139" s="50"/>
      <c r="Z139" s="50"/>
      <c r="AA139" s="50"/>
      <c r="AB139" s="50"/>
      <c r="AC139" s="50"/>
      <c r="AD139" s="50"/>
    </row>
    <row r="140">
      <c r="A140" s="49"/>
      <c r="B140" s="49"/>
      <c r="C140" s="49"/>
      <c r="D140" s="49"/>
      <c r="E140" s="50"/>
      <c r="F140" s="50"/>
      <c r="G140" s="50"/>
      <c r="H140" s="50"/>
      <c r="I140" s="50"/>
      <c r="J140" s="50"/>
      <c r="K140" s="50"/>
      <c r="L140" s="50"/>
      <c r="M140" s="50"/>
      <c r="N140" s="50"/>
      <c r="O140" s="50"/>
      <c r="P140" s="50"/>
      <c r="Q140" s="50"/>
      <c r="R140" s="50"/>
      <c r="S140" s="50"/>
      <c r="T140" s="50"/>
      <c r="U140" s="50"/>
      <c r="V140" s="50"/>
      <c r="W140" s="50"/>
      <c r="X140" s="50"/>
      <c r="Y140" s="50"/>
      <c r="Z140" s="50"/>
      <c r="AA140" s="50"/>
      <c r="AB140" s="50"/>
      <c r="AC140" s="50"/>
      <c r="AD140" s="50"/>
    </row>
    <row r="141">
      <c r="A141" s="49"/>
      <c r="B141" s="49"/>
      <c r="C141" s="49"/>
      <c r="D141" s="49"/>
      <c r="E141" s="50"/>
      <c r="F141" s="50"/>
      <c r="G141" s="50"/>
      <c r="H141" s="50"/>
      <c r="I141" s="50"/>
      <c r="J141" s="50"/>
      <c r="K141" s="50"/>
      <c r="L141" s="50"/>
      <c r="M141" s="50"/>
      <c r="N141" s="50"/>
      <c r="O141" s="50"/>
      <c r="P141" s="50"/>
      <c r="Q141" s="50"/>
      <c r="R141" s="50"/>
      <c r="S141" s="50"/>
      <c r="T141" s="50"/>
      <c r="U141" s="50"/>
      <c r="V141" s="50"/>
      <c r="W141" s="50"/>
      <c r="X141" s="50"/>
      <c r="Y141" s="50"/>
      <c r="Z141" s="50"/>
      <c r="AA141" s="50"/>
      <c r="AB141" s="50"/>
      <c r="AC141" s="50"/>
      <c r="AD141" s="50"/>
    </row>
    <row r="142">
      <c r="A142" s="49"/>
      <c r="B142" s="49"/>
      <c r="C142" s="49"/>
      <c r="D142" s="49"/>
      <c r="E142" s="50"/>
      <c r="F142" s="50"/>
      <c r="G142" s="50"/>
      <c r="H142" s="50"/>
      <c r="I142" s="50"/>
      <c r="J142" s="50"/>
      <c r="K142" s="50"/>
      <c r="L142" s="50"/>
      <c r="M142" s="50"/>
      <c r="N142" s="50"/>
      <c r="O142" s="50"/>
      <c r="P142" s="50"/>
      <c r="Q142" s="50"/>
      <c r="R142" s="50"/>
      <c r="S142" s="50"/>
      <c r="T142" s="50"/>
      <c r="U142" s="50"/>
      <c r="V142" s="50"/>
      <c r="W142" s="50"/>
      <c r="X142" s="50"/>
      <c r="Y142" s="50"/>
      <c r="Z142" s="50"/>
      <c r="AA142" s="50"/>
      <c r="AB142" s="50"/>
      <c r="AC142" s="50"/>
      <c r="AD142" s="50"/>
    </row>
    <row r="143">
      <c r="A143" s="49"/>
      <c r="B143" s="49"/>
      <c r="C143" s="49"/>
      <c r="D143" s="49"/>
      <c r="E143" s="50"/>
      <c r="F143" s="50"/>
      <c r="G143" s="50"/>
      <c r="H143" s="50"/>
      <c r="I143" s="50"/>
      <c r="J143" s="50"/>
      <c r="K143" s="50"/>
      <c r="L143" s="50"/>
      <c r="M143" s="50"/>
      <c r="N143" s="50"/>
      <c r="O143" s="50"/>
      <c r="P143" s="50"/>
      <c r="Q143" s="50"/>
      <c r="R143" s="50"/>
      <c r="S143" s="50"/>
      <c r="T143" s="50"/>
      <c r="U143" s="50"/>
      <c r="V143" s="50"/>
      <c r="W143" s="50"/>
      <c r="X143" s="50"/>
      <c r="Y143" s="50"/>
      <c r="Z143" s="50"/>
      <c r="AA143" s="50"/>
      <c r="AB143" s="50"/>
      <c r="AC143" s="50"/>
      <c r="AD143" s="50"/>
    </row>
    <row r="144">
      <c r="A144" s="49"/>
      <c r="B144" s="49"/>
      <c r="C144" s="49"/>
      <c r="D144" s="49"/>
      <c r="E144" s="50"/>
      <c r="F144" s="50"/>
      <c r="G144" s="50"/>
      <c r="H144" s="50"/>
      <c r="I144" s="50"/>
      <c r="J144" s="50"/>
      <c r="K144" s="50"/>
      <c r="L144" s="50"/>
      <c r="M144" s="50"/>
      <c r="N144" s="50"/>
      <c r="O144" s="50"/>
      <c r="P144" s="50"/>
      <c r="Q144" s="50"/>
      <c r="R144" s="50"/>
      <c r="S144" s="50"/>
      <c r="T144" s="50"/>
      <c r="U144" s="50"/>
      <c r="V144" s="50"/>
      <c r="W144" s="50"/>
      <c r="X144" s="50"/>
      <c r="Y144" s="50"/>
      <c r="Z144" s="50"/>
      <c r="AA144" s="50"/>
      <c r="AB144" s="50"/>
      <c r="AC144" s="50"/>
      <c r="AD144" s="50"/>
    </row>
    <row r="145">
      <c r="A145" s="49"/>
      <c r="B145" s="49"/>
      <c r="C145" s="49"/>
      <c r="D145" s="49"/>
      <c r="E145" s="50"/>
      <c r="F145" s="50"/>
      <c r="G145" s="50"/>
      <c r="H145" s="50"/>
      <c r="I145" s="50"/>
      <c r="J145" s="50"/>
      <c r="K145" s="50"/>
      <c r="L145" s="50"/>
      <c r="M145" s="50"/>
      <c r="N145" s="50"/>
      <c r="O145" s="50"/>
      <c r="P145" s="50"/>
      <c r="Q145" s="50"/>
      <c r="R145" s="50"/>
      <c r="S145" s="50"/>
      <c r="T145" s="50"/>
      <c r="U145" s="50"/>
      <c r="V145" s="50"/>
      <c r="W145" s="50"/>
      <c r="X145" s="50"/>
      <c r="Y145" s="50"/>
      <c r="Z145" s="50"/>
      <c r="AA145" s="50"/>
      <c r="AB145" s="50"/>
      <c r="AC145" s="50"/>
      <c r="AD145" s="50"/>
    </row>
    <row r="146">
      <c r="A146" s="49"/>
      <c r="B146" s="49"/>
      <c r="C146" s="49"/>
      <c r="D146" s="49"/>
      <c r="E146" s="50"/>
      <c r="F146" s="50"/>
      <c r="G146" s="50"/>
      <c r="H146" s="50"/>
      <c r="I146" s="50"/>
      <c r="J146" s="50"/>
      <c r="K146" s="50"/>
      <c r="L146" s="50"/>
      <c r="M146" s="50"/>
      <c r="N146" s="50"/>
      <c r="O146" s="50"/>
      <c r="P146" s="50"/>
      <c r="Q146" s="50"/>
      <c r="R146" s="50"/>
      <c r="S146" s="50"/>
      <c r="T146" s="50"/>
      <c r="U146" s="50"/>
      <c r="V146" s="50"/>
      <c r="W146" s="50"/>
      <c r="X146" s="50"/>
      <c r="Y146" s="50"/>
      <c r="Z146" s="50"/>
      <c r="AA146" s="50"/>
      <c r="AB146" s="50"/>
      <c r="AC146" s="50"/>
      <c r="AD146" s="50"/>
    </row>
    <row r="147">
      <c r="A147" s="49"/>
      <c r="B147" s="49"/>
      <c r="C147" s="49"/>
      <c r="D147" s="49"/>
      <c r="E147" s="50"/>
      <c r="F147" s="50"/>
      <c r="G147" s="50"/>
      <c r="H147" s="50"/>
      <c r="I147" s="50"/>
      <c r="J147" s="50"/>
      <c r="K147" s="50"/>
      <c r="L147" s="50"/>
      <c r="M147" s="50"/>
      <c r="N147" s="50"/>
      <c r="O147" s="50"/>
      <c r="P147" s="50"/>
      <c r="Q147" s="50"/>
      <c r="R147" s="50"/>
      <c r="S147" s="50"/>
      <c r="T147" s="50"/>
      <c r="U147" s="50"/>
      <c r="V147" s="50"/>
      <c r="W147" s="50"/>
      <c r="X147" s="50"/>
      <c r="Y147" s="50"/>
      <c r="Z147" s="50"/>
      <c r="AA147" s="50"/>
      <c r="AB147" s="50"/>
      <c r="AC147" s="50"/>
      <c r="AD147" s="50"/>
    </row>
    <row r="148">
      <c r="A148" s="49"/>
      <c r="B148" s="49"/>
      <c r="C148" s="49"/>
      <c r="D148" s="49"/>
      <c r="E148" s="50"/>
      <c r="F148" s="50"/>
      <c r="G148" s="50"/>
      <c r="H148" s="50"/>
      <c r="I148" s="50"/>
      <c r="J148" s="50"/>
      <c r="K148" s="50"/>
      <c r="L148" s="50"/>
      <c r="M148" s="50"/>
      <c r="N148" s="50"/>
      <c r="O148" s="50"/>
      <c r="P148" s="50"/>
      <c r="Q148" s="50"/>
      <c r="R148" s="50"/>
      <c r="S148" s="50"/>
      <c r="T148" s="50"/>
      <c r="U148" s="50"/>
      <c r="V148" s="50"/>
      <c r="W148" s="50"/>
      <c r="X148" s="50"/>
      <c r="Y148" s="50"/>
      <c r="Z148" s="50"/>
      <c r="AA148" s="50"/>
      <c r="AB148" s="50"/>
      <c r="AC148" s="50"/>
      <c r="AD148" s="50"/>
    </row>
    <row r="149">
      <c r="A149" s="49"/>
      <c r="B149" s="49"/>
      <c r="C149" s="49"/>
      <c r="D149" s="49"/>
      <c r="E149" s="50"/>
      <c r="F149" s="50"/>
      <c r="G149" s="50"/>
      <c r="H149" s="50"/>
      <c r="I149" s="50"/>
      <c r="J149" s="50"/>
      <c r="K149" s="50"/>
      <c r="L149" s="50"/>
      <c r="M149" s="50"/>
      <c r="N149" s="50"/>
      <c r="O149" s="50"/>
      <c r="P149" s="50"/>
      <c r="Q149" s="50"/>
      <c r="R149" s="50"/>
      <c r="S149" s="50"/>
      <c r="T149" s="50"/>
      <c r="U149" s="50"/>
      <c r="V149" s="50"/>
      <c r="W149" s="50"/>
      <c r="X149" s="50"/>
      <c r="Y149" s="50"/>
      <c r="Z149" s="50"/>
      <c r="AA149" s="50"/>
      <c r="AB149" s="50"/>
      <c r="AC149" s="50"/>
      <c r="AD149" s="50"/>
    </row>
    <row r="150">
      <c r="A150" s="49"/>
      <c r="B150" s="49"/>
      <c r="C150" s="49"/>
      <c r="D150" s="49"/>
      <c r="E150" s="50"/>
      <c r="F150" s="50"/>
      <c r="G150" s="50"/>
      <c r="H150" s="50"/>
      <c r="I150" s="50"/>
      <c r="J150" s="50"/>
      <c r="K150" s="50"/>
      <c r="L150" s="50"/>
      <c r="M150" s="50"/>
      <c r="N150" s="50"/>
      <c r="O150" s="50"/>
      <c r="P150" s="50"/>
      <c r="Q150" s="50"/>
      <c r="R150" s="50"/>
      <c r="S150" s="50"/>
      <c r="T150" s="50"/>
      <c r="U150" s="50"/>
      <c r="V150" s="50"/>
      <c r="W150" s="50"/>
      <c r="X150" s="50"/>
      <c r="Y150" s="50"/>
      <c r="Z150" s="50"/>
      <c r="AA150" s="50"/>
      <c r="AB150" s="50"/>
      <c r="AC150" s="50"/>
      <c r="AD150" s="50"/>
    </row>
    <row r="151">
      <c r="A151" s="49"/>
      <c r="B151" s="49"/>
      <c r="C151" s="49"/>
      <c r="D151" s="49"/>
      <c r="E151" s="50"/>
      <c r="F151" s="50"/>
      <c r="G151" s="50"/>
      <c r="H151" s="50"/>
      <c r="I151" s="50"/>
      <c r="J151" s="50"/>
      <c r="K151" s="50"/>
      <c r="L151" s="50"/>
      <c r="M151" s="50"/>
      <c r="N151" s="50"/>
      <c r="O151" s="50"/>
      <c r="P151" s="50"/>
      <c r="Q151" s="50"/>
      <c r="R151" s="50"/>
      <c r="S151" s="50"/>
      <c r="T151" s="50"/>
      <c r="U151" s="50"/>
      <c r="V151" s="50"/>
      <c r="W151" s="50"/>
      <c r="X151" s="50"/>
      <c r="Y151" s="50"/>
      <c r="Z151" s="50"/>
      <c r="AA151" s="50"/>
      <c r="AB151" s="50"/>
      <c r="AC151" s="50"/>
      <c r="AD151" s="50"/>
    </row>
    <row r="152">
      <c r="A152" s="49"/>
      <c r="B152" s="49"/>
      <c r="C152" s="49"/>
      <c r="D152" s="49"/>
      <c r="E152" s="50"/>
      <c r="F152" s="50"/>
      <c r="G152" s="50"/>
      <c r="H152" s="50"/>
      <c r="I152" s="50"/>
      <c r="J152" s="50"/>
      <c r="K152" s="50"/>
      <c r="L152" s="50"/>
      <c r="M152" s="50"/>
      <c r="N152" s="50"/>
      <c r="O152" s="50"/>
      <c r="P152" s="50"/>
      <c r="Q152" s="50"/>
      <c r="R152" s="50"/>
      <c r="S152" s="50"/>
      <c r="T152" s="50"/>
      <c r="U152" s="50"/>
      <c r="V152" s="50"/>
      <c r="W152" s="50"/>
      <c r="X152" s="50"/>
      <c r="Y152" s="50"/>
      <c r="Z152" s="50"/>
      <c r="AA152" s="50"/>
      <c r="AB152" s="50"/>
      <c r="AC152" s="50"/>
      <c r="AD152" s="50"/>
    </row>
    <row r="153">
      <c r="A153" s="49"/>
      <c r="B153" s="49"/>
      <c r="C153" s="49"/>
      <c r="D153" s="49"/>
      <c r="E153" s="50"/>
      <c r="F153" s="50"/>
      <c r="G153" s="50"/>
      <c r="H153" s="50"/>
      <c r="I153" s="50"/>
      <c r="J153" s="50"/>
      <c r="K153" s="50"/>
      <c r="L153" s="50"/>
      <c r="M153" s="50"/>
      <c r="N153" s="50"/>
      <c r="O153" s="50"/>
      <c r="P153" s="50"/>
      <c r="Q153" s="50"/>
      <c r="R153" s="50"/>
      <c r="S153" s="50"/>
      <c r="T153" s="50"/>
      <c r="U153" s="50"/>
      <c r="V153" s="50"/>
      <c r="W153" s="50"/>
      <c r="X153" s="50"/>
      <c r="Y153" s="50"/>
      <c r="Z153" s="50"/>
      <c r="AA153" s="50"/>
      <c r="AB153" s="50"/>
      <c r="AC153" s="50"/>
      <c r="AD153" s="50"/>
    </row>
    <row r="154">
      <c r="A154" s="49"/>
      <c r="B154" s="49"/>
      <c r="C154" s="49"/>
      <c r="D154" s="49"/>
      <c r="E154" s="50"/>
      <c r="F154" s="50"/>
      <c r="G154" s="50"/>
      <c r="H154" s="50"/>
      <c r="I154" s="50"/>
      <c r="J154" s="50"/>
      <c r="K154" s="50"/>
      <c r="L154" s="50"/>
      <c r="M154" s="50"/>
      <c r="N154" s="50"/>
      <c r="O154" s="50"/>
      <c r="P154" s="50"/>
      <c r="Q154" s="50"/>
      <c r="R154" s="50"/>
      <c r="S154" s="50"/>
      <c r="T154" s="50"/>
      <c r="U154" s="50"/>
      <c r="V154" s="50"/>
      <c r="W154" s="50"/>
      <c r="X154" s="50"/>
      <c r="Y154" s="50"/>
      <c r="Z154" s="50"/>
      <c r="AA154" s="50"/>
      <c r="AB154" s="50"/>
      <c r="AC154" s="50"/>
      <c r="AD154" s="50"/>
    </row>
    <row r="155">
      <c r="A155" s="49"/>
      <c r="B155" s="49"/>
      <c r="C155" s="49"/>
      <c r="D155" s="49"/>
      <c r="E155" s="50"/>
      <c r="F155" s="50"/>
      <c r="G155" s="50"/>
      <c r="H155" s="50"/>
      <c r="I155" s="50"/>
      <c r="J155" s="50"/>
      <c r="K155" s="50"/>
      <c r="L155" s="50"/>
      <c r="M155" s="50"/>
      <c r="N155" s="50"/>
      <c r="O155" s="50"/>
      <c r="P155" s="50"/>
      <c r="Q155" s="50"/>
      <c r="R155" s="50"/>
      <c r="S155" s="50"/>
      <c r="T155" s="50"/>
      <c r="U155" s="50"/>
      <c r="V155" s="50"/>
      <c r="W155" s="50"/>
      <c r="X155" s="50"/>
      <c r="Y155" s="50"/>
      <c r="Z155" s="50"/>
      <c r="AA155" s="50"/>
      <c r="AB155" s="50"/>
      <c r="AC155" s="50"/>
      <c r="AD155" s="50"/>
    </row>
    <row r="156">
      <c r="A156" s="49"/>
      <c r="B156" s="49"/>
      <c r="C156" s="49"/>
      <c r="D156" s="49"/>
      <c r="E156" s="50"/>
      <c r="F156" s="50"/>
      <c r="G156" s="50"/>
      <c r="H156" s="50"/>
      <c r="I156" s="50"/>
      <c r="J156" s="50"/>
      <c r="K156" s="50"/>
      <c r="L156" s="50"/>
      <c r="M156" s="50"/>
      <c r="N156" s="50"/>
      <c r="O156" s="50"/>
      <c r="P156" s="50"/>
      <c r="Q156" s="50"/>
      <c r="R156" s="50"/>
      <c r="S156" s="50"/>
      <c r="T156" s="50"/>
      <c r="U156" s="50"/>
      <c r="V156" s="50"/>
      <c r="W156" s="50"/>
      <c r="X156" s="50"/>
      <c r="Y156" s="50"/>
      <c r="Z156" s="50"/>
      <c r="AA156" s="50"/>
      <c r="AB156" s="50"/>
      <c r="AC156" s="50"/>
      <c r="AD156" s="50"/>
    </row>
    <row r="157">
      <c r="A157" s="49"/>
      <c r="B157" s="49"/>
      <c r="C157" s="49"/>
      <c r="D157" s="49"/>
      <c r="E157" s="50"/>
      <c r="F157" s="50"/>
      <c r="G157" s="50"/>
      <c r="H157" s="50"/>
      <c r="I157" s="50"/>
      <c r="J157" s="50"/>
      <c r="K157" s="50"/>
      <c r="L157" s="50"/>
      <c r="M157" s="50"/>
      <c r="N157" s="50"/>
      <c r="O157" s="50"/>
      <c r="P157" s="50"/>
      <c r="Q157" s="50"/>
      <c r="R157" s="50"/>
      <c r="S157" s="50"/>
      <c r="T157" s="50"/>
      <c r="U157" s="50"/>
      <c r="V157" s="50"/>
      <c r="W157" s="50"/>
      <c r="X157" s="50"/>
      <c r="Y157" s="50"/>
      <c r="Z157" s="50"/>
      <c r="AA157" s="50"/>
      <c r="AB157" s="50"/>
      <c r="AC157" s="50"/>
      <c r="AD157" s="50"/>
    </row>
    <row r="158">
      <c r="A158" s="49"/>
      <c r="B158" s="49"/>
      <c r="C158" s="49"/>
      <c r="D158" s="49"/>
      <c r="E158" s="50"/>
      <c r="F158" s="50"/>
      <c r="G158" s="50"/>
      <c r="H158" s="50"/>
      <c r="I158" s="50"/>
      <c r="J158" s="50"/>
      <c r="K158" s="50"/>
      <c r="L158" s="50"/>
      <c r="M158" s="50"/>
      <c r="N158" s="50"/>
      <c r="O158" s="50"/>
      <c r="P158" s="50"/>
      <c r="Q158" s="50"/>
      <c r="R158" s="50"/>
      <c r="S158" s="50"/>
      <c r="T158" s="50"/>
      <c r="U158" s="50"/>
      <c r="V158" s="50"/>
      <c r="W158" s="50"/>
      <c r="X158" s="50"/>
      <c r="Y158" s="50"/>
      <c r="Z158" s="50"/>
      <c r="AA158" s="50"/>
      <c r="AB158" s="50"/>
      <c r="AC158" s="50"/>
      <c r="AD158" s="50"/>
    </row>
    <row r="159">
      <c r="A159" s="49"/>
      <c r="B159" s="49"/>
      <c r="C159" s="49"/>
      <c r="D159" s="49"/>
      <c r="E159" s="50"/>
      <c r="F159" s="50"/>
      <c r="G159" s="50"/>
      <c r="H159" s="50"/>
      <c r="I159" s="50"/>
      <c r="J159" s="50"/>
      <c r="K159" s="50"/>
      <c r="L159" s="50"/>
      <c r="M159" s="50"/>
      <c r="N159" s="50"/>
      <c r="O159" s="50"/>
      <c r="P159" s="50"/>
      <c r="Q159" s="50"/>
      <c r="R159" s="50"/>
      <c r="S159" s="50"/>
      <c r="T159" s="50"/>
      <c r="U159" s="50"/>
      <c r="V159" s="50"/>
      <c r="W159" s="50"/>
      <c r="X159" s="50"/>
      <c r="Y159" s="50"/>
      <c r="Z159" s="50"/>
      <c r="AA159" s="50"/>
      <c r="AB159" s="50"/>
      <c r="AC159" s="50"/>
      <c r="AD159" s="50"/>
    </row>
    <row r="160">
      <c r="A160" s="49"/>
      <c r="B160" s="49"/>
      <c r="C160" s="49"/>
      <c r="D160" s="49"/>
      <c r="E160" s="50"/>
      <c r="F160" s="50"/>
      <c r="G160" s="50"/>
      <c r="H160" s="50"/>
      <c r="I160" s="50"/>
      <c r="J160" s="50"/>
      <c r="K160" s="50"/>
      <c r="L160" s="50"/>
      <c r="M160" s="50"/>
      <c r="N160" s="50"/>
      <c r="O160" s="50"/>
      <c r="P160" s="50"/>
      <c r="Q160" s="50"/>
      <c r="R160" s="50"/>
      <c r="S160" s="50"/>
      <c r="T160" s="50"/>
      <c r="U160" s="50"/>
      <c r="V160" s="50"/>
      <c r="W160" s="50"/>
      <c r="X160" s="50"/>
      <c r="Y160" s="50"/>
      <c r="Z160" s="50"/>
      <c r="AA160" s="50"/>
      <c r="AB160" s="50"/>
      <c r="AC160" s="50"/>
      <c r="AD160" s="50"/>
    </row>
    <row r="161">
      <c r="A161" s="49"/>
      <c r="B161" s="49"/>
      <c r="C161" s="49"/>
      <c r="D161" s="49"/>
      <c r="E161" s="50"/>
      <c r="F161" s="50"/>
      <c r="G161" s="50"/>
      <c r="H161" s="50"/>
      <c r="I161" s="50"/>
      <c r="J161" s="50"/>
      <c r="K161" s="50"/>
      <c r="L161" s="50"/>
      <c r="M161" s="50"/>
      <c r="N161" s="50"/>
      <c r="O161" s="50"/>
      <c r="P161" s="50"/>
      <c r="Q161" s="50"/>
      <c r="R161" s="50"/>
      <c r="S161" s="50"/>
      <c r="T161" s="50"/>
      <c r="U161" s="50"/>
      <c r="V161" s="50"/>
      <c r="W161" s="50"/>
      <c r="X161" s="50"/>
      <c r="Y161" s="50"/>
      <c r="Z161" s="50"/>
      <c r="AA161" s="50"/>
      <c r="AB161" s="50"/>
      <c r="AC161" s="50"/>
      <c r="AD161" s="50"/>
    </row>
    <row r="162">
      <c r="A162" s="49"/>
      <c r="B162" s="49"/>
      <c r="C162" s="49"/>
      <c r="D162" s="49"/>
      <c r="E162" s="50"/>
      <c r="F162" s="50"/>
      <c r="G162" s="50"/>
      <c r="H162" s="50"/>
      <c r="I162" s="50"/>
      <c r="J162" s="50"/>
      <c r="K162" s="50"/>
      <c r="L162" s="50"/>
      <c r="M162" s="50"/>
      <c r="N162" s="50"/>
      <c r="O162" s="50"/>
      <c r="P162" s="50"/>
      <c r="Q162" s="50"/>
      <c r="R162" s="50"/>
      <c r="S162" s="50"/>
      <c r="T162" s="50"/>
      <c r="U162" s="50"/>
      <c r="V162" s="50"/>
      <c r="W162" s="50"/>
      <c r="X162" s="50"/>
      <c r="Y162" s="50"/>
      <c r="Z162" s="50"/>
      <c r="AA162" s="50"/>
      <c r="AB162" s="50"/>
      <c r="AC162" s="50"/>
      <c r="AD162" s="50"/>
    </row>
    <row r="163">
      <c r="A163" s="49"/>
      <c r="B163" s="49"/>
      <c r="C163" s="49"/>
      <c r="D163" s="49"/>
      <c r="E163" s="50"/>
      <c r="F163" s="50"/>
      <c r="G163" s="50"/>
      <c r="H163" s="50"/>
      <c r="I163" s="50"/>
      <c r="J163" s="50"/>
      <c r="K163" s="50"/>
      <c r="L163" s="50"/>
      <c r="M163" s="50"/>
      <c r="N163" s="50"/>
      <c r="O163" s="50"/>
      <c r="P163" s="50"/>
      <c r="Q163" s="50"/>
      <c r="R163" s="50"/>
      <c r="S163" s="50"/>
      <c r="T163" s="50"/>
      <c r="U163" s="50"/>
      <c r="V163" s="50"/>
      <c r="W163" s="50"/>
      <c r="X163" s="50"/>
      <c r="Y163" s="50"/>
      <c r="Z163" s="50"/>
      <c r="AA163" s="50"/>
      <c r="AB163" s="50"/>
      <c r="AC163" s="50"/>
      <c r="AD163" s="50"/>
    </row>
    <row r="164">
      <c r="A164" s="49"/>
      <c r="B164" s="49"/>
      <c r="C164" s="49"/>
      <c r="D164" s="49"/>
      <c r="E164" s="50"/>
      <c r="F164" s="50"/>
      <c r="G164" s="50"/>
      <c r="H164" s="50"/>
      <c r="I164" s="50"/>
      <c r="J164" s="50"/>
      <c r="K164" s="50"/>
      <c r="L164" s="50"/>
      <c r="M164" s="50"/>
      <c r="N164" s="50"/>
      <c r="O164" s="50"/>
      <c r="P164" s="50"/>
      <c r="Q164" s="50"/>
      <c r="R164" s="50"/>
      <c r="S164" s="50"/>
      <c r="T164" s="50"/>
      <c r="U164" s="50"/>
      <c r="V164" s="50"/>
      <c r="W164" s="50"/>
      <c r="X164" s="50"/>
      <c r="Y164" s="50"/>
      <c r="Z164" s="50"/>
      <c r="AA164" s="50"/>
      <c r="AB164" s="50"/>
      <c r="AC164" s="50"/>
      <c r="AD164" s="50"/>
    </row>
    <row r="165">
      <c r="A165" s="49"/>
      <c r="B165" s="49"/>
      <c r="C165" s="49"/>
      <c r="D165" s="49"/>
      <c r="E165" s="50"/>
      <c r="F165" s="50"/>
      <c r="G165" s="50"/>
      <c r="H165" s="50"/>
      <c r="I165" s="50"/>
      <c r="J165" s="50"/>
      <c r="K165" s="50"/>
      <c r="L165" s="50"/>
      <c r="M165" s="50"/>
      <c r="N165" s="50"/>
      <c r="O165" s="50"/>
      <c r="P165" s="50"/>
      <c r="Q165" s="50"/>
      <c r="R165" s="50"/>
      <c r="S165" s="50"/>
      <c r="T165" s="50"/>
      <c r="U165" s="50"/>
      <c r="V165" s="50"/>
      <c r="W165" s="50"/>
      <c r="X165" s="50"/>
      <c r="Y165" s="50"/>
      <c r="Z165" s="50"/>
      <c r="AA165" s="50"/>
      <c r="AB165" s="50"/>
      <c r="AC165" s="50"/>
      <c r="AD165" s="50"/>
    </row>
    <row r="166">
      <c r="A166" s="49"/>
      <c r="B166" s="49"/>
      <c r="C166" s="49"/>
      <c r="D166" s="49"/>
      <c r="E166" s="50"/>
      <c r="F166" s="50"/>
      <c r="G166" s="50"/>
      <c r="H166" s="50"/>
      <c r="I166" s="50"/>
      <c r="J166" s="50"/>
      <c r="K166" s="50"/>
      <c r="L166" s="50"/>
      <c r="M166" s="50"/>
      <c r="N166" s="50"/>
      <c r="O166" s="50"/>
      <c r="P166" s="50"/>
      <c r="Q166" s="50"/>
      <c r="R166" s="50"/>
      <c r="S166" s="50"/>
      <c r="T166" s="50"/>
      <c r="U166" s="50"/>
      <c r="V166" s="50"/>
      <c r="W166" s="50"/>
      <c r="X166" s="50"/>
      <c r="Y166" s="50"/>
      <c r="Z166" s="50"/>
      <c r="AA166" s="50"/>
      <c r="AB166" s="50"/>
      <c r="AC166" s="50"/>
      <c r="AD166" s="50"/>
    </row>
    <row r="167">
      <c r="A167" s="49"/>
      <c r="B167" s="49"/>
      <c r="C167" s="49"/>
      <c r="D167" s="49"/>
      <c r="E167" s="50"/>
      <c r="F167" s="50"/>
      <c r="G167" s="50"/>
      <c r="H167" s="50"/>
      <c r="I167" s="50"/>
      <c r="J167" s="50"/>
      <c r="K167" s="50"/>
      <c r="L167" s="50"/>
      <c r="M167" s="50"/>
      <c r="N167" s="50"/>
      <c r="O167" s="50"/>
      <c r="P167" s="50"/>
      <c r="Q167" s="50"/>
      <c r="R167" s="50"/>
      <c r="S167" s="50"/>
      <c r="T167" s="50"/>
      <c r="U167" s="50"/>
      <c r="V167" s="50"/>
      <c r="W167" s="50"/>
      <c r="X167" s="50"/>
      <c r="Y167" s="50"/>
      <c r="Z167" s="50"/>
      <c r="AA167" s="50"/>
      <c r="AB167" s="50"/>
      <c r="AC167" s="50"/>
      <c r="AD167" s="50"/>
    </row>
    <row r="168">
      <c r="A168" s="49"/>
      <c r="B168" s="49"/>
      <c r="C168" s="49"/>
      <c r="D168" s="49"/>
      <c r="E168" s="50"/>
      <c r="F168" s="50"/>
      <c r="G168" s="50"/>
      <c r="H168" s="50"/>
      <c r="I168" s="50"/>
      <c r="J168" s="50"/>
      <c r="K168" s="50"/>
      <c r="L168" s="50"/>
      <c r="M168" s="50"/>
      <c r="N168" s="50"/>
      <c r="O168" s="50"/>
      <c r="P168" s="50"/>
      <c r="Q168" s="50"/>
      <c r="R168" s="50"/>
      <c r="S168" s="50"/>
      <c r="T168" s="50"/>
      <c r="U168" s="50"/>
      <c r="V168" s="50"/>
      <c r="W168" s="50"/>
      <c r="X168" s="50"/>
      <c r="Y168" s="50"/>
      <c r="Z168" s="50"/>
      <c r="AA168" s="50"/>
      <c r="AB168" s="50"/>
      <c r="AC168" s="50"/>
      <c r="AD168" s="50"/>
    </row>
    <row r="169">
      <c r="A169" s="49"/>
      <c r="B169" s="49"/>
      <c r="C169" s="49"/>
      <c r="D169" s="49"/>
      <c r="E169" s="50"/>
      <c r="F169" s="50"/>
      <c r="G169" s="50"/>
      <c r="H169" s="50"/>
      <c r="I169" s="50"/>
      <c r="J169" s="50"/>
      <c r="K169" s="50"/>
      <c r="L169" s="50"/>
      <c r="M169" s="50"/>
      <c r="N169" s="50"/>
      <c r="O169" s="50"/>
      <c r="P169" s="50"/>
      <c r="Q169" s="50"/>
      <c r="R169" s="50"/>
      <c r="S169" s="50"/>
      <c r="T169" s="50"/>
      <c r="U169" s="50"/>
      <c r="V169" s="50"/>
      <c r="W169" s="50"/>
      <c r="X169" s="50"/>
      <c r="Y169" s="50"/>
      <c r="Z169" s="50"/>
      <c r="AA169" s="50"/>
      <c r="AB169" s="50"/>
      <c r="AC169" s="50"/>
      <c r="AD169" s="50"/>
    </row>
    <row r="170">
      <c r="A170" s="49"/>
      <c r="B170" s="49"/>
      <c r="C170" s="49"/>
      <c r="D170" s="49"/>
      <c r="E170" s="50"/>
      <c r="F170" s="50"/>
      <c r="G170" s="50"/>
      <c r="H170" s="50"/>
      <c r="I170" s="50"/>
      <c r="J170" s="50"/>
      <c r="K170" s="50"/>
      <c r="L170" s="50"/>
      <c r="M170" s="50"/>
      <c r="N170" s="50"/>
      <c r="O170" s="50"/>
      <c r="P170" s="50"/>
      <c r="Q170" s="50"/>
      <c r="R170" s="50"/>
      <c r="S170" s="50"/>
      <c r="T170" s="50"/>
      <c r="U170" s="50"/>
      <c r="V170" s="50"/>
      <c r="W170" s="50"/>
      <c r="X170" s="50"/>
      <c r="Y170" s="50"/>
      <c r="Z170" s="50"/>
      <c r="AA170" s="50"/>
      <c r="AB170" s="50"/>
      <c r="AC170" s="50"/>
      <c r="AD170" s="50"/>
    </row>
    <row r="171">
      <c r="A171" s="49"/>
      <c r="B171" s="49"/>
      <c r="C171" s="49"/>
      <c r="D171" s="49"/>
      <c r="E171" s="50"/>
      <c r="F171" s="50"/>
      <c r="G171" s="50"/>
      <c r="H171" s="50"/>
      <c r="I171" s="50"/>
      <c r="J171" s="50"/>
      <c r="K171" s="50"/>
      <c r="L171" s="50"/>
      <c r="M171" s="50"/>
      <c r="N171" s="50"/>
      <c r="O171" s="50"/>
      <c r="P171" s="50"/>
      <c r="Q171" s="50"/>
      <c r="R171" s="50"/>
      <c r="S171" s="50"/>
      <c r="T171" s="50"/>
      <c r="U171" s="50"/>
      <c r="V171" s="50"/>
      <c r="W171" s="50"/>
      <c r="X171" s="50"/>
      <c r="Y171" s="50"/>
      <c r="Z171" s="50"/>
      <c r="AA171" s="50"/>
      <c r="AB171" s="50"/>
      <c r="AC171" s="50"/>
      <c r="AD171" s="50"/>
    </row>
    <row r="172">
      <c r="A172" s="49"/>
      <c r="B172" s="49"/>
      <c r="C172" s="49"/>
      <c r="D172" s="49"/>
      <c r="E172" s="50"/>
      <c r="F172" s="50"/>
      <c r="G172" s="50"/>
      <c r="H172" s="50"/>
      <c r="I172" s="50"/>
      <c r="J172" s="50"/>
      <c r="K172" s="50"/>
      <c r="L172" s="50"/>
      <c r="M172" s="50"/>
      <c r="N172" s="50"/>
      <c r="O172" s="50"/>
      <c r="P172" s="50"/>
      <c r="Q172" s="50"/>
      <c r="R172" s="50"/>
      <c r="S172" s="50"/>
      <c r="T172" s="50"/>
      <c r="U172" s="50"/>
      <c r="V172" s="50"/>
      <c r="W172" s="50"/>
      <c r="X172" s="50"/>
      <c r="Y172" s="50"/>
      <c r="Z172" s="50"/>
      <c r="AA172" s="50"/>
      <c r="AB172" s="50"/>
      <c r="AC172" s="50"/>
      <c r="AD172" s="50"/>
    </row>
    <row r="173">
      <c r="A173" s="49"/>
      <c r="B173" s="49"/>
      <c r="C173" s="49"/>
      <c r="D173" s="49"/>
      <c r="E173" s="50"/>
      <c r="F173" s="50"/>
      <c r="G173" s="50"/>
      <c r="H173" s="50"/>
      <c r="I173" s="50"/>
      <c r="J173" s="50"/>
      <c r="K173" s="50"/>
      <c r="L173" s="50"/>
      <c r="M173" s="50"/>
      <c r="N173" s="50"/>
      <c r="O173" s="50"/>
      <c r="P173" s="50"/>
      <c r="Q173" s="50"/>
      <c r="R173" s="50"/>
      <c r="S173" s="50"/>
      <c r="T173" s="50"/>
      <c r="U173" s="50"/>
      <c r="V173" s="50"/>
      <c r="W173" s="50"/>
      <c r="X173" s="50"/>
      <c r="Y173" s="50"/>
      <c r="Z173" s="50"/>
      <c r="AA173" s="50"/>
      <c r="AB173" s="50"/>
      <c r="AC173" s="50"/>
      <c r="AD173" s="50"/>
    </row>
    <row r="174">
      <c r="A174" s="49"/>
      <c r="B174" s="49"/>
      <c r="C174" s="49"/>
      <c r="D174" s="49"/>
      <c r="E174" s="50"/>
      <c r="F174" s="50"/>
      <c r="G174" s="50"/>
      <c r="H174" s="50"/>
      <c r="I174" s="50"/>
      <c r="J174" s="50"/>
      <c r="K174" s="50"/>
      <c r="L174" s="50"/>
      <c r="M174" s="50"/>
      <c r="N174" s="50"/>
      <c r="O174" s="50"/>
      <c r="P174" s="50"/>
      <c r="Q174" s="50"/>
      <c r="R174" s="50"/>
      <c r="S174" s="50"/>
      <c r="T174" s="50"/>
      <c r="U174" s="50"/>
      <c r="V174" s="50"/>
      <c r="W174" s="50"/>
      <c r="X174" s="50"/>
      <c r="Y174" s="50"/>
      <c r="Z174" s="50"/>
      <c r="AA174" s="50"/>
      <c r="AB174" s="50"/>
      <c r="AC174" s="50"/>
      <c r="AD174" s="50"/>
    </row>
    <row r="175">
      <c r="A175" s="49"/>
      <c r="B175" s="49"/>
      <c r="C175" s="49"/>
      <c r="D175" s="49"/>
      <c r="E175" s="50"/>
      <c r="F175" s="50"/>
      <c r="G175" s="50"/>
      <c r="H175" s="50"/>
      <c r="I175" s="50"/>
      <c r="J175" s="50"/>
      <c r="K175" s="50"/>
      <c r="L175" s="50"/>
      <c r="M175" s="50"/>
      <c r="N175" s="50"/>
      <c r="O175" s="50"/>
      <c r="P175" s="50"/>
      <c r="Q175" s="50"/>
      <c r="R175" s="50"/>
      <c r="S175" s="50"/>
      <c r="T175" s="50"/>
      <c r="U175" s="50"/>
      <c r="V175" s="50"/>
      <c r="W175" s="50"/>
      <c r="X175" s="50"/>
      <c r="Y175" s="50"/>
      <c r="Z175" s="50"/>
      <c r="AA175" s="50"/>
      <c r="AB175" s="50"/>
      <c r="AC175" s="50"/>
      <c r="AD175" s="50"/>
    </row>
    <row r="176">
      <c r="A176" s="49"/>
      <c r="B176" s="49"/>
      <c r="C176" s="49"/>
      <c r="D176" s="49"/>
      <c r="E176" s="50"/>
      <c r="F176" s="50"/>
      <c r="G176" s="50"/>
      <c r="H176" s="50"/>
      <c r="I176" s="50"/>
      <c r="J176" s="50"/>
      <c r="K176" s="50"/>
      <c r="L176" s="50"/>
      <c r="M176" s="50"/>
      <c r="N176" s="50"/>
      <c r="O176" s="50"/>
      <c r="P176" s="50"/>
      <c r="Q176" s="50"/>
      <c r="R176" s="50"/>
      <c r="S176" s="50"/>
      <c r="T176" s="50"/>
      <c r="U176" s="50"/>
      <c r="V176" s="50"/>
      <c r="W176" s="50"/>
      <c r="X176" s="50"/>
      <c r="Y176" s="50"/>
      <c r="Z176" s="50"/>
      <c r="AA176" s="50"/>
      <c r="AB176" s="50"/>
      <c r="AC176" s="50"/>
      <c r="AD176" s="50"/>
    </row>
    <row r="177">
      <c r="A177" s="49"/>
      <c r="B177" s="49"/>
      <c r="C177" s="49"/>
      <c r="D177" s="49"/>
      <c r="E177" s="50"/>
      <c r="F177" s="50"/>
      <c r="G177" s="50"/>
      <c r="H177" s="50"/>
      <c r="I177" s="50"/>
      <c r="J177" s="50"/>
      <c r="K177" s="50"/>
      <c r="L177" s="50"/>
      <c r="M177" s="50"/>
      <c r="N177" s="50"/>
      <c r="O177" s="50"/>
      <c r="P177" s="50"/>
      <c r="Q177" s="50"/>
      <c r="R177" s="50"/>
      <c r="S177" s="50"/>
      <c r="T177" s="50"/>
      <c r="U177" s="50"/>
      <c r="V177" s="50"/>
      <c r="W177" s="50"/>
      <c r="X177" s="50"/>
      <c r="Y177" s="50"/>
      <c r="Z177" s="50"/>
      <c r="AA177" s="50"/>
      <c r="AB177" s="50"/>
      <c r="AC177" s="50"/>
      <c r="AD177" s="50"/>
    </row>
    <row r="178">
      <c r="A178" s="49"/>
      <c r="B178" s="49"/>
      <c r="C178" s="49"/>
      <c r="D178" s="49"/>
      <c r="E178" s="50"/>
      <c r="F178" s="50"/>
      <c r="G178" s="50"/>
      <c r="H178" s="50"/>
      <c r="I178" s="50"/>
      <c r="J178" s="50"/>
      <c r="K178" s="50"/>
      <c r="L178" s="50"/>
      <c r="M178" s="50"/>
      <c r="N178" s="50"/>
      <c r="O178" s="50"/>
      <c r="P178" s="50"/>
      <c r="Q178" s="50"/>
      <c r="R178" s="50"/>
      <c r="S178" s="50"/>
      <c r="T178" s="50"/>
      <c r="U178" s="50"/>
      <c r="V178" s="50"/>
      <c r="W178" s="50"/>
      <c r="X178" s="50"/>
      <c r="Y178" s="50"/>
      <c r="Z178" s="50"/>
      <c r="AA178" s="50"/>
      <c r="AB178" s="50"/>
      <c r="AC178" s="50"/>
      <c r="AD178" s="50"/>
    </row>
    <row r="179">
      <c r="A179" s="49"/>
      <c r="B179" s="49"/>
      <c r="C179" s="49"/>
      <c r="D179" s="49"/>
      <c r="E179" s="50"/>
      <c r="F179" s="50"/>
      <c r="G179" s="50"/>
      <c r="H179" s="50"/>
      <c r="I179" s="50"/>
      <c r="J179" s="50"/>
      <c r="K179" s="50"/>
      <c r="L179" s="50"/>
      <c r="M179" s="50"/>
      <c r="N179" s="50"/>
      <c r="O179" s="50"/>
      <c r="P179" s="50"/>
      <c r="Q179" s="50"/>
      <c r="R179" s="50"/>
      <c r="S179" s="50"/>
      <c r="T179" s="50"/>
      <c r="U179" s="50"/>
      <c r="V179" s="50"/>
      <c r="W179" s="50"/>
      <c r="X179" s="50"/>
      <c r="Y179" s="50"/>
      <c r="Z179" s="50"/>
      <c r="AA179" s="50"/>
      <c r="AB179" s="50"/>
      <c r="AC179" s="50"/>
      <c r="AD179" s="50"/>
    </row>
    <row r="180">
      <c r="A180" s="49"/>
      <c r="B180" s="49"/>
      <c r="C180" s="49"/>
      <c r="D180" s="49"/>
      <c r="E180" s="50"/>
      <c r="F180" s="50"/>
      <c r="G180" s="50"/>
      <c r="H180" s="50"/>
      <c r="I180" s="50"/>
      <c r="J180" s="50"/>
      <c r="K180" s="50"/>
      <c r="L180" s="50"/>
      <c r="M180" s="50"/>
      <c r="N180" s="50"/>
      <c r="O180" s="50"/>
      <c r="P180" s="50"/>
      <c r="Q180" s="50"/>
      <c r="R180" s="50"/>
      <c r="S180" s="50"/>
      <c r="T180" s="50"/>
      <c r="U180" s="50"/>
      <c r="V180" s="50"/>
      <c r="W180" s="50"/>
      <c r="X180" s="50"/>
      <c r="Y180" s="50"/>
      <c r="Z180" s="50"/>
      <c r="AA180" s="50"/>
      <c r="AB180" s="50"/>
      <c r="AC180" s="50"/>
      <c r="AD180" s="50"/>
    </row>
    <row r="181">
      <c r="A181" s="49"/>
      <c r="B181" s="49"/>
      <c r="C181" s="49"/>
      <c r="D181" s="49"/>
      <c r="E181" s="50"/>
      <c r="F181" s="50"/>
      <c r="G181" s="50"/>
      <c r="H181" s="50"/>
      <c r="I181" s="50"/>
      <c r="J181" s="50"/>
      <c r="K181" s="50"/>
      <c r="L181" s="50"/>
      <c r="M181" s="50"/>
      <c r="N181" s="50"/>
      <c r="O181" s="50"/>
      <c r="P181" s="50"/>
      <c r="Q181" s="50"/>
      <c r="R181" s="50"/>
      <c r="S181" s="50"/>
      <c r="T181" s="50"/>
      <c r="U181" s="50"/>
      <c r="V181" s="50"/>
      <c r="W181" s="50"/>
      <c r="X181" s="50"/>
      <c r="Y181" s="50"/>
      <c r="Z181" s="50"/>
      <c r="AA181" s="50"/>
      <c r="AB181" s="50"/>
      <c r="AC181" s="50"/>
      <c r="AD181" s="50"/>
    </row>
    <row r="182">
      <c r="A182" s="49"/>
      <c r="B182" s="49"/>
      <c r="C182" s="49"/>
      <c r="D182" s="49"/>
      <c r="E182" s="50"/>
      <c r="F182" s="50"/>
      <c r="G182" s="50"/>
      <c r="H182" s="50"/>
      <c r="I182" s="50"/>
      <c r="J182" s="50"/>
      <c r="K182" s="50"/>
      <c r="L182" s="50"/>
      <c r="M182" s="50"/>
      <c r="N182" s="50"/>
      <c r="O182" s="50"/>
      <c r="P182" s="50"/>
      <c r="Q182" s="50"/>
      <c r="R182" s="50"/>
      <c r="S182" s="50"/>
      <c r="T182" s="50"/>
      <c r="U182" s="50"/>
      <c r="V182" s="50"/>
      <c r="W182" s="50"/>
      <c r="X182" s="50"/>
      <c r="Y182" s="50"/>
      <c r="Z182" s="50"/>
      <c r="AA182" s="50"/>
      <c r="AB182" s="50"/>
      <c r="AC182" s="50"/>
      <c r="AD182" s="50"/>
    </row>
    <row r="183">
      <c r="A183" s="49"/>
      <c r="B183" s="49"/>
      <c r="C183" s="49"/>
      <c r="D183" s="49"/>
      <c r="E183" s="50"/>
      <c r="F183" s="50"/>
      <c r="G183" s="50"/>
      <c r="H183" s="50"/>
      <c r="I183" s="50"/>
      <c r="J183" s="50"/>
      <c r="K183" s="50"/>
      <c r="L183" s="50"/>
      <c r="M183" s="50"/>
      <c r="N183" s="50"/>
      <c r="O183" s="50"/>
      <c r="P183" s="50"/>
      <c r="Q183" s="50"/>
      <c r="R183" s="50"/>
      <c r="S183" s="50"/>
      <c r="T183" s="50"/>
      <c r="U183" s="50"/>
      <c r="V183" s="50"/>
      <c r="W183" s="50"/>
      <c r="X183" s="50"/>
      <c r="Y183" s="50"/>
      <c r="Z183" s="50"/>
      <c r="AA183" s="50"/>
      <c r="AB183" s="50"/>
      <c r="AC183" s="50"/>
      <c r="AD183" s="50"/>
    </row>
    <row r="184">
      <c r="A184" s="49"/>
      <c r="B184" s="49"/>
      <c r="C184" s="49"/>
      <c r="D184" s="49"/>
      <c r="E184" s="50"/>
      <c r="F184" s="50"/>
      <c r="G184" s="50"/>
      <c r="H184" s="50"/>
      <c r="I184" s="50"/>
      <c r="J184" s="50"/>
      <c r="K184" s="50"/>
      <c r="L184" s="50"/>
      <c r="M184" s="50"/>
      <c r="N184" s="50"/>
      <c r="O184" s="50"/>
      <c r="P184" s="50"/>
      <c r="Q184" s="50"/>
      <c r="R184" s="50"/>
      <c r="S184" s="50"/>
      <c r="T184" s="50"/>
      <c r="U184" s="50"/>
      <c r="V184" s="50"/>
      <c r="W184" s="50"/>
      <c r="X184" s="50"/>
      <c r="Y184" s="50"/>
      <c r="Z184" s="50"/>
      <c r="AA184" s="50"/>
      <c r="AB184" s="50"/>
      <c r="AC184" s="50"/>
      <c r="AD184" s="50"/>
    </row>
    <row r="185">
      <c r="A185" s="49"/>
      <c r="B185" s="49"/>
      <c r="C185" s="49"/>
      <c r="D185" s="49"/>
      <c r="E185" s="50"/>
      <c r="F185" s="50"/>
      <c r="G185" s="50"/>
      <c r="H185" s="50"/>
      <c r="I185" s="50"/>
      <c r="J185" s="50"/>
      <c r="K185" s="50"/>
      <c r="L185" s="50"/>
      <c r="M185" s="50"/>
      <c r="N185" s="50"/>
      <c r="O185" s="50"/>
      <c r="P185" s="50"/>
      <c r="Q185" s="50"/>
      <c r="R185" s="50"/>
      <c r="S185" s="50"/>
      <c r="T185" s="50"/>
      <c r="U185" s="50"/>
      <c r="V185" s="50"/>
      <c r="W185" s="50"/>
      <c r="X185" s="50"/>
      <c r="Y185" s="50"/>
      <c r="Z185" s="50"/>
      <c r="AA185" s="50"/>
      <c r="AB185" s="50"/>
      <c r="AC185" s="50"/>
      <c r="AD185" s="50"/>
    </row>
    <row r="186">
      <c r="A186" s="49"/>
      <c r="B186" s="49"/>
      <c r="C186" s="49"/>
      <c r="D186" s="49"/>
      <c r="E186" s="50"/>
      <c r="F186" s="50"/>
      <c r="G186" s="50"/>
      <c r="H186" s="50"/>
      <c r="I186" s="50"/>
      <c r="J186" s="50"/>
      <c r="K186" s="50"/>
      <c r="L186" s="50"/>
      <c r="M186" s="50"/>
      <c r="N186" s="50"/>
      <c r="O186" s="50"/>
      <c r="P186" s="50"/>
      <c r="Q186" s="50"/>
      <c r="R186" s="50"/>
      <c r="S186" s="50"/>
      <c r="T186" s="50"/>
      <c r="U186" s="50"/>
      <c r="V186" s="50"/>
      <c r="W186" s="50"/>
      <c r="X186" s="50"/>
      <c r="Y186" s="50"/>
      <c r="Z186" s="50"/>
      <c r="AA186" s="50"/>
      <c r="AB186" s="50"/>
      <c r="AC186" s="50"/>
      <c r="AD186" s="50"/>
    </row>
    <row r="187">
      <c r="A187" s="49"/>
      <c r="B187" s="49"/>
      <c r="C187" s="49"/>
      <c r="D187" s="49"/>
      <c r="E187" s="50"/>
      <c r="F187" s="50"/>
      <c r="G187" s="50"/>
      <c r="H187" s="50"/>
      <c r="I187" s="50"/>
      <c r="J187" s="50"/>
      <c r="K187" s="50"/>
      <c r="L187" s="50"/>
      <c r="M187" s="50"/>
      <c r="N187" s="50"/>
      <c r="O187" s="50"/>
      <c r="P187" s="50"/>
      <c r="Q187" s="50"/>
      <c r="R187" s="50"/>
      <c r="S187" s="50"/>
      <c r="T187" s="50"/>
      <c r="U187" s="50"/>
      <c r="V187" s="50"/>
      <c r="W187" s="50"/>
      <c r="X187" s="50"/>
      <c r="Y187" s="50"/>
      <c r="Z187" s="50"/>
      <c r="AA187" s="50"/>
      <c r="AB187" s="50"/>
      <c r="AC187" s="50"/>
      <c r="AD187" s="50"/>
    </row>
    <row r="188">
      <c r="A188" s="49"/>
      <c r="B188" s="49"/>
      <c r="C188" s="49"/>
      <c r="D188" s="49"/>
      <c r="E188" s="50"/>
      <c r="F188" s="50"/>
      <c r="G188" s="50"/>
      <c r="H188" s="50"/>
      <c r="I188" s="50"/>
      <c r="J188" s="50"/>
      <c r="K188" s="50"/>
      <c r="L188" s="50"/>
      <c r="M188" s="50"/>
      <c r="N188" s="50"/>
      <c r="O188" s="50"/>
      <c r="P188" s="50"/>
      <c r="Q188" s="50"/>
      <c r="R188" s="50"/>
      <c r="S188" s="50"/>
      <c r="T188" s="50"/>
      <c r="U188" s="50"/>
      <c r="V188" s="50"/>
      <c r="W188" s="50"/>
      <c r="X188" s="50"/>
      <c r="Y188" s="50"/>
      <c r="Z188" s="50"/>
      <c r="AA188" s="50"/>
      <c r="AB188" s="50"/>
      <c r="AC188" s="50"/>
      <c r="AD188" s="50"/>
    </row>
    <row r="189">
      <c r="A189" s="49"/>
      <c r="B189" s="49"/>
      <c r="C189" s="49"/>
      <c r="D189" s="49"/>
      <c r="E189" s="50"/>
      <c r="F189" s="50"/>
      <c r="G189" s="50"/>
      <c r="H189" s="50"/>
      <c r="I189" s="50"/>
      <c r="J189" s="50"/>
      <c r="K189" s="50"/>
      <c r="L189" s="50"/>
      <c r="M189" s="50"/>
      <c r="N189" s="50"/>
      <c r="O189" s="50"/>
      <c r="P189" s="50"/>
      <c r="Q189" s="50"/>
      <c r="R189" s="50"/>
      <c r="S189" s="50"/>
      <c r="T189" s="50"/>
      <c r="U189" s="50"/>
      <c r="V189" s="50"/>
      <c r="W189" s="50"/>
      <c r="X189" s="50"/>
      <c r="Y189" s="50"/>
      <c r="Z189" s="50"/>
      <c r="AA189" s="50"/>
      <c r="AB189" s="50"/>
      <c r="AC189" s="50"/>
      <c r="AD189" s="50"/>
    </row>
    <row r="190">
      <c r="A190" s="49"/>
      <c r="B190" s="49"/>
      <c r="C190" s="49"/>
      <c r="D190" s="49"/>
      <c r="E190" s="50"/>
      <c r="F190" s="50"/>
      <c r="G190" s="50"/>
      <c r="H190" s="50"/>
      <c r="I190" s="50"/>
      <c r="J190" s="50"/>
      <c r="K190" s="50"/>
      <c r="L190" s="50"/>
      <c r="M190" s="50"/>
      <c r="N190" s="50"/>
      <c r="O190" s="50"/>
      <c r="P190" s="50"/>
      <c r="Q190" s="50"/>
      <c r="R190" s="50"/>
      <c r="S190" s="50"/>
      <c r="T190" s="50"/>
      <c r="U190" s="50"/>
      <c r="V190" s="50"/>
      <c r="W190" s="50"/>
      <c r="X190" s="50"/>
      <c r="Y190" s="50"/>
      <c r="Z190" s="50"/>
      <c r="AA190" s="50"/>
      <c r="AB190" s="50"/>
      <c r="AC190" s="50"/>
      <c r="AD190" s="50"/>
    </row>
    <row r="191">
      <c r="A191" s="49"/>
      <c r="B191" s="49"/>
      <c r="C191" s="49"/>
      <c r="D191" s="49"/>
      <c r="E191" s="50"/>
      <c r="F191" s="50"/>
      <c r="G191" s="50"/>
      <c r="H191" s="50"/>
      <c r="I191" s="50"/>
      <c r="J191" s="50"/>
      <c r="K191" s="50"/>
      <c r="L191" s="50"/>
      <c r="M191" s="50"/>
      <c r="N191" s="50"/>
      <c r="O191" s="50"/>
      <c r="P191" s="50"/>
      <c r="Q191" s="50"/>
      <c r="R191" s="50"/>
      <c r="S191" s="50"/>
      <c r="T191" s="50"/>
      <c r="U191" s="50"/>
      <c r="V191" s="50"/>
      <c r="W191" s="50"/>
      <c r="X191" s="50"/>
      <c r="Y191" s="50"/>
      <c r="Z191" s="50"/>
      <c r="AA191" s="50"/>
      <c r="AB191" s="50"/>
      <c r="AC191" s="50"/>
      <c r="AD191" s="50"/>
    </row>
    <row r="192">
      <c r="A192" s="49"/>
      <c r="B192" s="49"/>
      <c r="C192" s="49"/>
      <c r="D192" s="49"/>
      <c r="E192" s="50"/>
      <c r="F192" s="50"/>
      <c r="G192" s="50"/>
      <c r="H192" s="50"/>
      <c r="I192" s="50"/>
      <c r="J192" s="50"/>
      <c r="K192" s="50"/>
      <c r="L192" s="50"/>
      <c r="M192" s="50"/>
      <c r="N192" s="50"/>
      <c r="O192" s="50"/>
      <c r="P192" s="50"/>
      <c r="Q192" s="50"/>
      <c r="R192" s="50"/>
      <c r="S192" s="50"/>
      <c r="T192" s="50"/>
      <c r="U192" s="50"/>
      <c r="V192" s="50"/>
      <c r="W192" s="50"/>
      <c r="X192" s="50"/>
      <c r="Y192" s="50"/>
      <c r="Z192" s="50"/>
      <c r="AA192" s="50"/>
      <c r="AB192" s="50"/>
      <c r="AC192" s="50"/>
      <c r="AD192" s="50"/>
    </row>
    <row r="193">
      <c r="A193" s="49"/>
      <c r="B193" s="49"/>
      <c r="C193" s="49"/>
      <c r="D193" s="49"/>
      <c r="E193" s="50"/>
      <c r="F193" s="50"/>
      <c r="G193" s="50"/>
      <c r="H193" s="50"/>
      <c r="I193" s="50"/>
      <c r="J193" s="50"/>
      <c r="K193" s="50"/>
      <c r="L193" s="50"/>
      <c r="M193" s="50"/>
      <c r="N193" s="50"/>
      <c r="O193" s="50"/>
      <c r="P193" s="50"/>
      <c r="Q193" s="50"/>
      <c r="R193" s="50"/>
      <c r="S193" s="50"/>
      <c r="T193" s="50"/>
      <c r="U193" s="50"/>
      <c r="V193" s="50"/>
      <c r="W193" s="50"/>
      <c r="X193" s="50"/>
      <c r="Y193" s="50"/>
      <c r="Z193" s="50"/>
      <c r="AA193" s="50"/>
      <c r="AB193" s="50"/>
      <c r="AC193" s="50"/>
      <c r="AD193" s="50"/>
    </row>
    <row r="194">
      <c r="A194" s="49"/>
      <c r="B194" s="49"/>
      <c r="C194" s="49"/>
      <c r="D194" s="49"/>
      <c r="E194" s="50"/>
      <c r="F194" s="50"/>
      <c r="G194" s="50"/>
      <c r="H194" s="50"/>
      <c r="I194" s="50"/>
      <c r="J194" s="50"/>
      <c r="K194" s="50"/>
      <c r="L194" s="50"/>
      <c r="M194" s="50"/>
      <c r="N194" s="50"/>
      <c r="O194" s="50"/>
      <c r="P194" s="50"/>
      <c r="Q194" s="50"/>
      <c r="R194" s="50"/>
      <c r="S194" s="50"/>
      <c r="T194" s="50"/>
      <c r="U194" s="50"/>
      <c r="V194" s="50"/>
      <c r="W194" s="50"/>
      <c r="X194" s="50"/>
      <c r="Y194" s="50"/>
      <c r="Z194" s="50"/>
      <c r="AA194" s="50"/>
      <c r="AB194" s="50"/>
      <c r="AC194" s="50"/>
      <c r="AD194" s="50"/>
    </row>
    <row r="195">
      <c r="A195" s="49"/>
      <c r="B195" s="49"/>
      <c r="C195" s="49"/>
      <c r="D195" s="49"/>
      <c r="E195" s="50"/>
      <c r="F195" s="50"/>
      <c r="G195" s="50"/>
      <c r="H195" s="50"/>
      <c r="I195" s="50"/>
      <c r="J195" s="50"/>
      <c r="K195" s="50"/>
      <c r="L195" s="50"/>
      <c r="M195" s="50"/>
      <c r="N195" s="50"/>
      <c r="O195" s="50"/>
      <c r="P195" s="50"/>
      <c r="Q195" s="50"/>
      <c r="R195" s="50"/>
      <c r="S195" s="50"/>
      <c r="T195" s="50"/>
      <c r="U195" s="50"/>
      <c r="V195" s="50"/>
      <c r="W195" s="50"/>
      <c r="X195" s="50"/>
      <c r="Y195" s="50"/>
      <c r="Z195" s="50"/>
      <c r="AA195" s="50"/>
      <c r="AB195" s="50"/>
      <c r="AC195" s="50"/>
      <c r="AD195" s="50"/>
    </row>
    <row r="196">
      <c r="A196" s="49"/>
      <c r="B196" s="49"/>
      <c r="C196" s="49"/>
      <c r="D196" s="49"/>
      <c r="E196" s="50"/>
      <c r="F196" s="50"/>
      <c r="G196" s="50"/>
      <c r="H196" s="50"/>
      <c r="I196" s="50"/>
      <c r="J196" s="50"/>
      <c r="K196" s="50"/>
      <c r="L196" s="50"/>
      <c r="M196" s="50"/>
      <c r="N196" s="50"/>
      <c r="O196" s="50"/>
      <c r="P196" s="50"/>
      <c r="Q196" s="50"/>
      <c r="R196" s="50"/>
      <c r="S196" s="50"/>
      <c r="T196" s="50"/>
      <c r="U196" s="50"/>
      <c r="V196" s="50"/>
      <c r="W196" s="50"/>
      <c r="X196" s="50"/>
      <c r="Y196" s="50"/>
      <c r="Z196" s="50"/>
      <c r="AA196" s="50"/>
      <c r="AB196" s="50"/>
      <c r="AC196" s="50"/>
      <c r="AD196" s="50"/>
    </row>
    <row r="197">
      <c r="A197" s="49"/>
      <c r="B197" s="49"/>
      <c r="C197" s="49"/>
      <c r="D197" s="49"/>
      <c r="E197" s="50"/>
      <c r="F197" s="50"/>
      <c r="G197" s="50"/>
      <c r="H197" s="50"/>
      <c r="I197" s="50"/>
      <c r="J197" s="50"/>
      <c r="K197" s="50"/>
      <c r="L197" s="50"/>
      <c r="M197" s="50"/>
      <c r="N197" s="50"/>
      <c r="O197" s="50"/>
      <c r="P197" s="50"/>
      <c r="Q197" s="50"/>
      <c r="R197" s="50"/>
      <c r="S197" s="50"/>
      <c r="T197" s="50"/>
      <c r="U197" s="50"/>
      <c r="V197" s="50"/>
      <c r="W197" s="50"/>
      <c r="X197" s="50"/>
      <c r="Y197" s="50"/>
      <c r="Z197" s="50"/>
      <c r="AA197" s="50"/>
      <c r="AB197" s="50"/>
      <c r="AC197" s="50"/>
      <c r="AD197" s="50"/>
    </row>
    <row r="198">
      <c r="A198" s="49"/>
      <c r="B198" s="49"/>
      <c r="C198" s="49"/>
      <c r="D198" s="49"/>
      <c r="E198" s="50"/>
      <c r="F198" s="50"/>
      <c r="G198" s="50"/>
      <c r="H198" s="50"/>
      <c r="I198" s="50"/>
      <c r="J198" s="50"/>
      <c r="K198" s="50"/>
      <c r="L198" s="50"/>
      <c r="M198" s="50"/>
      <c r="N198" s="50"/>
      <c r="O198" s="50"/>
      <c r="P198" s="50"/>
      <c r="Q198" s="50"/>
      <c r="R198" s="50"/>
      <c r="S198" s="50"/>
      <c r="T198" s="50"/>
      <c r="U198" s="50"/>
      <c r="V198" s="50"/>
      <c r="W198" s="50"/>
      <c r="X198" s="50"/>
      <c r="Y198" s="50"/>
      <c r="Z198" s="50"/>
      <c r="AA198" s="50"/>
      <c r="AB198" s="50"/>
      <c r="AC198" s="50"/>
      <c r="AD198" s="50"/>
    </row>
    <row r="199">
      <c r="A199" s="49"/>
      <c r="B199" s="49"/>
      <c r="C199" s="49"/>
      <c r="D199" s="49"/>
      <c r="E199" s="50"/>
      <c r="F199" s="50"/>
      <c r="G199" s="50"/>
      <c r="H199" s="50"/>
      <c r="I199" s="50"/>
      <c r="J199" s="50"/>
      <c r="K199" s="50"/>
      <c r="L199" s="50"/>
      <c r="M199" s="50"/>
      <c r="N199" s="50"/>
      <c r="O199" s="50"/>
      <c r="P199" s="50"/>
      <c r="Q199" s="50"/>
      <c r="R199" s="50"/>
      <c r="S199" s="50"/>
      <c r="T199" s="50"/>
      <c r="U199" s="50"/>
      <c r="V199" s="50"/>
      <c r="W199" s="50"/>
      <c r="X199" s="50"/>
      <c r="Y199" s="50"/>
      <c r="Z199" s="50"/>
      <c r="AA199" s="50"/>
      <c r="AB199" s="50"/>
      <c r="AC199" s="50"/>
      <c r="AD199" s="50"/>
    </row>
    <row r="200">
      <c r="A200" s="49"/>
      <c r="B200" s="49"/>
      <c r="C200" s="49"/>
      <c r="D200" s="49"/>
      <c r="E200" s="50"/>
      <c r="F200" s="50"/>
      <c r="G200" s="50"/>
      <c r="H200" s="50"/>
      <c r="I200" s="50"/>
      <c r="J200" s="50"/>
      <c r="K200" s="50"/>
      <c r="L200" s="50"/>
      <c r="M200" s="50"/>
      <c r="N200" s="50"/>
      <c r="O200" s="50"/>
      <c r="P200" s="50"/>
      <c r="Q200" s="50"/>
      <c r="R200" s="50"/>
      <c r="S200" s="50"/>
      <c r="T200" s="50"/>
      <c r="U200" s="50"/>
      <c r="V200" s="50"/>
      <c r="W200" s="50"/>
      <c r="X200" s="50"/>
      <c r="Y200" s="50"/>
      <c r="Z200" s="50"/>
      <c r="AA200" s="50"/>
      <c r="AB200" s="50"/>
      <c r="AC200" s="50"/>
      <c r="AD200" s="50"/>
    </row>
    <row r="201">
      <c r="A201" s="49"/>
      <c r="B201" s="49"/>
      <c r="C201" s="49"/>
      <c r="D201" s="49"/>
      <c r="E201" s="50"/>
      <c r="F201" s="50"/>
      <c r="G201" s="50"/>
      <c r="H201" s="50"/>
      <c r="I201" s="50"/>
      <c r="J201" s="50"/>
      <c r="K201" s="50"/>
      <c r="L201" s="50"/>
      <c r="M201" s="50"/>
      <c r="N201" s="50"/>
      <c r="O201" s="50"/>
      <c r="P201" s="50"/>
      <c r="Q201" s="50"/>
      <c r="R201" s="50"/>
      <c r="S201" s="50"/>
      <c r="T201" s="50"/>
      <c r="U201" s="50"/>
      <c r="V201" s="50"/>
      <c r="W201" s="50"/>
      <c r="X201" s="50"/>
      <c r="Y201" s="50"/>
      <c r="Z201" s="50"/>
      <c r="AA201" s="50"/>
      <c r="AB201" s="50"/>
      <c r="AC201" s="50"/>
      <c r="AD201" s="50"/>
    </row>
    <row r="202">
      <c r="A202" s="49"/>
      <c r="B202" s="49"/>
      <c r="C202" s="49"/>
      <c r="D202" s="49"/>
      <c r="E202" s="50"/>
      <c r="F202" s="50"/>
      <c r="G202" s="50"/>
      <c r="H202" s="50"/>
      <c r="I202" s="50"/>
      <c r="J202" s="50"/>
      <c r="K202" s="50"/>
      <c r="L202" s="50"/>
      <c r="M202" s="50"/>
      <c r="N202" s="50"/>
      <c r="O202" s="50"/>
      <c r="P202" s="50"/>
      <c r="Q202" s="50"/>
      <c r="R202" s="50"/>
      <c r="S202" s="50"/>
      <c r="T202" s="50"/>
      <c r="U202" s="50"/>
      <c r="V202" s="50"/>
      <c r="W202" s="50"/>
      <c r="X202" s="50"/>
      <c r="Y202" s="50"/>
      <c r="Z202" s="50"/>
      <c r="AA202" s="50"/>
      <c r="AB202" s="50"/>
      <c r="AC202" s="50"/>
      <c r="AD202" s="50"/>
    </row>
    <row r="203">
      <c r="A203" s="49"/>
      <c r="B203" s="49"/>
      <c r="C203" s="49"/>
      <c r="D203" s="49"/>
      <c r="E203" s="50"/>
      <c r="F203" s="50"/>
      <c r="G203" s="50"/>
      <c r="H203" s="50"/>
      <c r="I203" s="50"/>
      <c r="J203" s="50"/>
      <c r="K203" s="50"/>
      <c r="L203" s="50"/>
      <c r="M203" s="50"/>
      <c r="N203" s="50"/>
      <c r="O203" s="50"/>
      <c r="P203" s="50"/>
      <c r="Q203" s="50"/>
      <c r="R203" s="50"/>
      <c r="S203" s="50"/>
      <c r="T203" s="50"/>
      <c r="U203" s="50"/>
      <c r="V203" s="50"/>
      <c r="W203" s="50"/>
      <c r="X203" s="50"/>
      <c r="Y203" s="50"/>
      <c r="Z203" s="50"/>
      <c r="AA203" s="50"/>
      <c r="AB203" s="50"/>
      <c r="AC203" s="50"/>
      <c r="AD203" s="50"/>
    </row>
    <row r="204">
      <c r="A204" s="49"/>
      <c r="B204" s="49"/>
      <c r="C204" s="49"/>
      <c r="D204" s="49"/>
      <c r="E204" s="50"/>
      <c r="F204" s="50"/>
      <c r="G204" s="50"/>
      <c r="H204" s="50"/>
      <c r="I204" s="50"/>
      <c r="J204" s="50"/>
      <c r="K204" s="50"/>
      <c r="L204" s="50"/>
      <c r="M204" s="50"/>
      <c r="N204" s="50"/>
      <c r="O204" s="50"/>
      <c r="P204" s="50"/>
      <c r="Q204" s="50"/>
      <c r="R204" s="50"/>
      <c r="S204" s="50"/>
      <c r="T204" s="50"/>
      <c r="U204" s="50"/>
      <c r="V204" s="50"/>
      <c r="W204" s="50"/>
      <c r="X204" s="50"/>
      <c r="Y204" s="50"/>
      <c r="Z204" s="50"/>
      <c r="AA204" s="50"/>
      <c r="AB204" s="50"/>
      <c r="AC204" s="50"/>
      <c r="AD204" s="50"/>
    </row>
    <row r="205">
      <c r="A205" s="49"/>
      <c r="B205" s="49"/>
      <c r="C205" s="49"/>
      <c r="D205" s="49"/>
      <c r="E205" s="50"/>
      <c r="F205" s="50"/>
      <c r="G205" s="50"/>
      <c r="H205" s="50"/>
      <c r="I205" s="50"/>
      <c r="J205" s="50"/>
      <c r="K205" s="50"/>
      <c r="L205" s="50"/>
      <c r="M205" s="50"/>
      <c r="N205" s="50"/>
      <c r="O205" s="50"/>
      <c r="P205" s="50"/>
      <c r="Q205" s="50"/>
      <c r="R205" s="50"/>
      <c r="S205" s="50"/>
      <c r="T205" s="50"/>
      <c r="U205" s="50"/>
      <c r="V205" s="50"/>
      <c r="W205" s="50"/>
      <c r="X205" s="50"/>
      <c r="Y205" s="50"/>
      <c r="Z205" s="50"/>
      <c r="AA205" s="50"/>
      <c r="AB205" s="50"/>
      <c r="AC205" s="50"/>
      <c r="AD205" s="50"/>
    </row>
    <row r="206">
      <c r="A206" s="49"/>
      <c r="B206" s="49"/>
      <c r="C206" s="49"/>
      <c r="D206" s="49"/>
      <c r="E206" s="50"/>
      <c r="F206" s="50"/>
      <c r="G206" s="50"/>
      <c r="H206" s="50"/>
      <c r="I206" s="50"/>
      <c r="J206" s="50"/>
      <c r="K206" s="50"/>
      <c r="L206" s="50"/>
      <c r="M206" s="50"/>
      <c r="N206" s="50"/>
      <c r="O206" s="50"/>
      <c r="P206" s="50"/>
      <c r="Q206" s="50"/>
      <c r="R206" s="50"/>
      <c r="S206" s="50"/>
      <c r="T206" s="50"/>
      <c r="U206" s="50"/>
      <c r="V206" s="50"/>
      <c r="W206" s="50"/>
      <c r="X206" s="50"/>
      <c r="Y206" s="50"/>
      <c r="Z206" s="50"/>
      <c r="AA206" s="50"/>
      <c r="AB206" s="50"/>
      <c r="AC206" s="50"/>
      <c r="AD206" s="50"/>
    </row>
    <row r="207">
      <c r="A207" s="49"/>
      <c r="B207" s="49"/>
      <c r="C207" s="49"/>
      <c r="D207" s="49"/>
      <c r="E207" s="50"/>
      <c r="F207" s="50"/>
      <c r="G207" s="50"/>
      <c r="H207" s="50"/>
      <c r="I207" s="50"/>
      <c r="J207" s="50"/>
      <c r="K207" s="50"/>
      <c r="L207" s="50"/>
      <c r="M207" s="50"/>
      <c r="N207" s="50"/>
      <c r="O207" s="50"/>
      <c r="P207" s="50"/>
      <c r="Q207" s="50"/>
      <c r="R207" s="50"/>
      <c r="S207" s="50"/>
      <c r="T207" s="50"/>
      <c r="U207" s="50"/>
      <c r="V207" s="50"/>
      <c r="W207" s="50"/>
      <c r="X207" s="50"/>
      <c r="Y207" s="50"/>
      <c r="Z207" s="50"/>
      <c r="AA207" s="50"/>
      <c r="AB207" s="50"/>
      <c r="AC207" s="50"/>
      <c r="AD207" s="50"/>
    </row>
    <row r="208">
      <c r="A208" s="49"/>
      <c r="B208" s="49"/>
      <c r="C208" s="49"/>
      <c r="D208" s="49"/>
      <c r="E208" s="50"/>
      <c r="F208" s="50"/>
      <c r="G208" s="50"/>
      <c r="H208" s="50"/>
      <c r="I208" s="50"/>
      <c r="J208" s="50"/>
      <c r="K208" s="50"/>
      <c r="L208" s="50"/>
      <c r="M208" s="50"/>
      <c r="N208" s="50"/>
      <c r="O208" s="50"/>
      <c r="P208" s="50"/>
      <c r="Q208" s="50"/>
      <c r="R208" s="50"/>
      <c r="S208" s="50"/>
      <c r="T208" s="50"/>
      <c r="U208" s="50"/>
      <c r="V208" s="50"/>
      <c r="W208" s="50"/>
      <c r="X208" s="50"/>
      <c r="Y208" s="50"/>
      <c r="Z208" s="50"/>
      <c r="AA208" s="50"/>
      <c r="AB208" s="50"/>
      <c r="AC208" s="50"/>
      <c r="AD208" s="50"/>
    </row>
    <row r="209">
      <c r="A209" s="49"/>
      <c r="B209" s="49"/>
      <c r="C209" s="49"/>
      <c r="D209" s="49"/>
      <c r="E209" s="50"/>
      <c r="F209" s="50"/>
      <c r="G209" s="50"/>
      <c r="H209" s="50"/>
      <c r="I209" s="50"/>
      <c r="J209" s="50"/>
      <c r="K209" s="50"/>
      <c r="L209" s="50"/>
      <c r="M209" s="50"/>
      <c r="N209" s="50"/>
      <c r="O209" s="50"/>
      <c r="P209" s="50"/>
      <c r="Q209" s="50"/>
      <c r="R209" s="50"/>
      <c r="S209" s="50"/>
      <c r="T209" s="50"/>
      <c r="U209" s="50"/>
      <c r="V209" s="50"/>
      <c r="W209" s="50"/>
      <c r="X209" s="50"/>
      <c r="Y209" s="50"/>
      <c r="Z209" s="50"/>
      <c r="AA209" s="50"/>
      <c r="AB209" s="50"/>
      <c r="AC209" s="50"/>
      <c r="AD209" s="50"/>
    </row>
    <row r="210">
      <c r="A210" s="49"/>
      <c r="B210" s="49"/>
      <c r="C210" s="49"/>
      <c r="D210" s="49"/>
      <c r="E210" s="50"/>
      <c r="F210" s="50"/>
      <c r="G210" s="50"/>
      <c r="H210" s="50"/>
      <c r="I210" s="50"/>
      <c r="J210" s="50"/>
      <c r="K210" s="50"/>
      <c r="L210" s="50"/>
      <c r="M210" s="50"/>
      <c r="N210" s="50"/>
      <c r="O210" s="50"/>
      <c r="P210" s="50"/>
      <c r="Q210" s="50"/>
      <c r="R210" s="50"/>
      <c r="S210" s="50"/>
      <c r="T210" s="50"/>
      <c r="U210" s="50"/>
      <c r="V210" s="50"/>
      <c r="W210" s="50"/>
      <c r="X210" s="50"/>
      <c r="Y210" s="50"/>
      <c r="Z210" s="50"/>
      <c r="AA210" s="50"/>
      <c r="AB210" s="50"/>
      <c r="AC210" s="50"/>
      <c r="AD210" s="50"/>
    </row>
    <row r="211">
      <c r="A211" s="49"/>
      <c r="B211" s="49"/>
      <c r="C211" s="49"/>
      <c r="D211" s="49"/>
      <c r="E211" s="50"/>
      <c r="F211" s="50"/>
      <c r="G211" s="50"/>
      <c r="H211" s="50"/>
      <c r="I211" s="50"/>
      <c r="J211" s="50"/>
      <c r="K211" s="50"/>
      <c r="L211" s="50"/>
      <c r="M211" s="50"/>
      <c r="N211" s="50"/>
      <c r="O211" s="50"/>
      <c r="P211" s="50"/>
      <c r="Q211" s="50"/>
      <c r="R211" s="50"/>
      <c r="S211" s="50"/>
      <c r="T211" s="50"/>
      <c r="U211" s="50"/>
      <c r="V211" s="50"/>
      <c r="W211" s="50"/>
      <c r="X211" s="50"/>
      <c r="Y211" s="50"/>
      <c r="Z211" s="50"/>
      <c r="AA211" s="50"/>
      <c r="AB211" s="50"/>
      <c r="AC211" s="50"/>
      <c r="AD211" s="50"/>
    </row>
    <row r="212">
      <c r="A212" s="49"/>
      <c r="B212" s="49"/>
      <c r="C212" s="49"/>
      <c r="D212" s="49"/>
      <c r="E212" s="50"/>
      <c r="F212" s="50"/>
      <c r="G212" s="50"/>
      <c r="H212" s="50"/>
      <c r="I212" s="50"/>
      <c r="J212" s="50"/>
      <c r="K212" s="50"/>
      <c r="L212" s="50"/>
      <c r="M212" s="50"/>
      <c r="N212" s="50"/>
      <c r="O212" s="50"/>
      <c r="P212" s="50"/>
      <c r="Q212" s="50"/>
      <c r="R212" s="50"/>
      <c r="S212" s="50"/>
      <c r="T212" s="50"/>
      <c r="U212" s="50"/>
      <c r="V212" s="50"/>
      <c r="W212" s="50"/>
      <c r="X212" s="50"/>
      <c r="Y212" s="50"/>
      <c r="Z212" s="50"/>
      <c r="AA212" s="50"/>
      <c r="AB212" s="50"/>
      <c r="AC212" s="50"/>
      <c r="AD212" s="50"/>
    </row>
    <row r="213">
      <c r="A213" s="49"/>
      <c r="B213" s="49"/>
      <c r="C213" s="49"/>
      <c r="D213" s="49"/>
      <c r="E213" s="50"/>
      <c r="F213" s="50"/>
      <c r="G213" s="50"/>
      <c r="H213" s="50"/>
      <c r="I213" s="50"/>
      <c r="J213" s="50"/>
      <c r="K213" s="50"/>
      <c r="L213" s="50"/>
      <c r="M213" s="50"/>
      <c r="N213" s="50"/>
      <c r="O213" s="50"/>
      <c r="P213" s="50"/>
      <c r="Q213" s="50"/>
      <c r="R213" s="50"/>
      <c r="S213" s="50"/>
      <c r="T213" s="50"/>
      <c r="U213" s="50"/>
      <c r="V213" s="50"/>
      <c r="W213" s="50"/>
      <c r="X213" s="50"/>
      <c r="Y213" s="50"/>
      <c r="Z213" s="50"/>
      <c r="AA213" s="50"/>
      <c r="AB213" s="50"/>
      <c r="AC213" s="50"/>
      <c r="AD213" s="50"/>
    </row>
    <row r="214">
      <c r="A214" s="49"/>
      <c r="B214" s="49"/>
      <c r="C214" s="49"/>
      <c r="D214" s="49"/>
      <c r="E214" s="50"/>
      <c r="F214" s="50"/>
      <c r="G214" s="50"/>
      <c r="H214" s="50"/>
      <c r="I214" s="50"/>
      <c r="J214" s="50"/>
      <c r="K214" s="50"/>
      <c r="L214" s="50"/>
      <c r="M214" s="50"/>
      <c r="N214" s="50"/>
      <c r="O214" s="50"/>
      <c r="P214" s="50"/>
      <c r="Q214" s="50"/>
      <c r="R214" s="50"/>
      <c r="S214" s="50"/>
      <c r="T214" s="50"/>
      <c r="U214" s="50"/>
      <c r="V214" s="50"/>
      <c r="W214" s="50"/>
      <c r="X214" s="50"/>
      <c r="Y214" s="50"/>
      <c r="Z214" s="50"/>
      <c r="AA214" s="50"/>
      <c r="AB214" s="50"/>
      <c r="AC214" s="50"/>
      <c r="AD214" s="50"/>
    </row>
    <row r="215">
      <c r="A215" s="49"/>
      <c r="B215" s="49"/>
      <c r="C215" s="49"/>
      <c r="D215" s="49"/>
      <c r="E215" s="50"/>
      <c r="F215" s="50"/>
      <c r="G215" s="50"/>
      <c r="H215" s="50"/>
      <c r="I215" s="50"/>
      <c r="J215" s="50"/>
      <c r="K215" s="50"/>
      <c r="L215" s="50"/>
      <c r="M215" s="50"/>
      <c r="N215" s="50"/>
      <c r="O215" s="50"/>
      <c r="P215" s="50"/>
      <c r="Q215" s="50"/>
      <c r="R215" s="50"/>
      <c r="S215" s="50"/>
      <c r="T215" s="50"/>
      <c r="U215" s="50"/>
      <c r="V215" s="50"/>
      <c r="W215" s="50"/>
      <c r="X215" s="50"/>
      <c r="Y215" s="50"/>
      <c r="Z215" s="50"/>
      <c r="AA215" s="50"/>
      <c r="AB215" s="50"/>
      <c r="AC215" s="50"/>
      <c r="AD215" s="50"/>
    </row>
    <row r="216">
      <c r="A216" s="49"/>
      <c r="B216" s="49"/>
      <c r="C216" s="49"/>
      <c r="D216" s="49"/>
      <c r="E216" s="50"/>
      <c r="F216" s="50"/>
      <c r="G216" s="50"/>
      <c r="H216" s="50"/>
      <c r="I216" s="50"/>
      <c r="J216" s="50"/>
      <c r="K216" s="50"/>
      <c r="L216" s="50"/>
      <c r="M216" s="50"/>
      <c r="N216" s="50"/>
      <c r="O216" s="50"/>
      <c r="P216" s="50"/>
      <c r="Q216" s="50"/>
      <c r="R216" s="50"/>
      <c r="S216" s="50"/>
      <c r="T216" s="50"/>
      <c r="U216" s="50"/>
      <c r="V216" s="50"/>
      <c r="W216" s="50"/>
      <c r="X216" s="50"/>
      <c r="Y216" s="50"/>
      <c r="Z216" s="50"/>
      <c r="AA216" s="50"/>
      <c r="AB216" s="50"/>
      <c r="AC216" s="50"/>
      <c r="AD216" s="50"/>
    </row>
    <row r="217">
      <c r="A217" s="49"/>
      <c r="B217" s="49"/>
      <c r="C217" s="49"/>
      <c r="D217" s="49"/>
      <c r="E217" s="50"/>
      <c r="F217" s="50"/>
      <c r="G217" s="50"/>
      <c r="H217" s="50"/>
      <c r="I217" s="50"/>
      <c r="J217" s="50"/>
      <c r="K217" s="50"/>
      <c r="L217" s="50"/>
      <c r="M217" s="50"/>
      <c r="N217" s="50"/>
      <c r="O217" s="50"/>
      <c r="P217" s="50"/>
      <c r="Q217" s="50"/>
      <c r="R217" s="50"/>
      <c r="S217" s="50"/>
      <c r="T217" s="50"/>
      <c r="U217" s="50"/>
      <c r="V217" s="50"/>
      <c r="W217" s="50"/>
      <c r="X217" s="50"/>
      <c r="Y217" s="50"/>
      <c r="Z217" s="50"/>
      <c r="AA217" s="50"/>
      <c r="AB217" s="50"/>
      <c r="AC217" s="50"/>
      <c r="AD217" s="50"/>
    </row>
    <row r="218">
      <c r="A218" s="49"/>
      <c r="B218" s="49"/>
      <c r="C218" s="49"/>
      <c r="D218" s="49"/>
      <c r="E218" s="50"/>
      <c r="F218" s="50"/>
      <c r="G218" s="50"/>
      <c r="H218" s="50"/>
      <c r="I218" s="50"/>
      <c r="J218" s="50"/>
      <c r="K218" s="50"/>
      <c r="L218" s="50"/>
      <c r="M218" s="50"/>
      <c r="N218" s="50"/>
      <c r="O218" s="50"/>
      <c r="P218" s="50"/>
      <c r="Q218" s="50"/>
      <c r="R218" s="50"/>
      <c r="S218" s="50"/>
      <c r="T218" s="50"/>
      <c r="U218" s="50"/>
      <c r="V218" s="50"/>
      <c r="W218" s="50"/>
      <c r="X218" s="50"/>
      <c r="Y218" s="50"/>
      <c r="Z218" s="50"/>
      <c r="AA218" s="50"/>
      <c r="AB218" s="50"/>
      <c r="AC218" s="50"/>
      <c r="AD218" s="50"/>
    </row>
    <row r="219">
      <c r="A219" s="49"/>
      <c r="B219" s="49"/>
      <c r="C219" s="49"/>
      <c r="D219" s="49"/>
      <c r="E219" s="50"/>
      <c r="F219" s="50"/>
      <c r="G219" s="50"/>
      <c r="H219" s="50"/>
      <c r="I219" s="50"/>
      <c r="J219" s="50"/>
      <c r="K219" s="50"/>
      <c r="L219" s="50"/>
      <c r="M219" s="50"/>
      <c r="N219" s="50"/>
      <c r="O219" s="50"/>
      <c r="P219" s="50"/>
      <c r="Q219" s="50"/>
      <c r="R219" s="50"/>
      <c r="S219" s="50"/>
      <c r="T219" s="50"/>
      <c r="U219" s="50"/>
      <c r="V219" s="50"/>
      <c r="W219" s="50"/>
      <c r="X219" s="50"/>
      <c r="Y219" s="50"/>
      <c r="Z219" s="50"/>
      <c r="AA219" s="50"/>
      <c r="AB219" s="50"/>
      <c r="AC219" s="50"/>
      <c r="AD219" s="50"/>
    </row>
    <row r="220">
      <c r="A220" s="49"/>
      <c r="B220" s="49"/>
      <c r="C220" s="49"/>
      <c r="D220" s="49"/>
      <c r="E220" s="50"/>
      <c r="F220" s="50"/>
      <c r="G220" s="50"/>
      <c r="H220" s="50"/>
      <c r="I220" s="50"/>
      <c r="J220" s="50"/>
      <c r="K220" s="50"/>
      <c r="L220" s="50"/>
      <c r="M220" s="50"/>
      <c r="N220" s="50"/>
      <c r="O220" s="50"/>
      <c r="P220" s="50"/>
      <c r="Q220" s="50"/>
      <c r="R220" s="50"/>
      <c r="S220" s="50"/>
      <c r="T220" s="50"/>
      <c r="U220" s="50"/>
      <c r="V220" s="50"/>
      <c r="W220" s="50"/>
      <c r="X220" s="50"/>
      <c r="Y220" s="50"/>
      <c r="Z220" s="50"/>
      <c r="AA220" s="50"/>
      <c r="AB220" s="50"/>
      <c r="AC220" s="50"/>
      <c r="AD220" s="50"/>
    </row>
    <row r="221">
      <c r="A221" s="49"/>
      <c r="B221" s="49"/>
      <c r="C221" s="49"/>
      <c r="D221" s="49"/>
      <c r="E221" s="50"/>
      <c r="F221" s="50"/>
      <c r="G221" s="50"/>
      <c r="H221" s="50"/>
      <c r="I221" s="50"/>
      <c r="J221" s="50"/>
      <c r="K221" s="50"/>
      <c r="L221" s="50"/>
      <c r="M221" s="50"/>
      <c r="N221" s="50"/>
      <c r="O221" s="50"/>
      <c r="P221" s="50"/>
      <c r="Q221" s="50"/>
      <c r="R221" s="50"/>
      <c r="S221" s="50"/>
      <c r="T221" s="50"/>
      <c r="U221" s="50"/>
      <c r="V221" s="50"/>
      <c r="W221" s="50"/>
      <c r="X221" s="50"/>
      <c r="Y221" s="50"/>
      <c r="Z221" s="50"/>
      <c r="AA221" s="50"/>
      <c r="AB221" s="50"/>
      <c r="AC221" s="50"/>
      <c r="AD221" s="50"/>
    </row>
    <row r="222">
      <c r="A222" s="49"/>
      <c r="B222" s="49"/>
      <c r="C222" s="49"/>
      <c r="D222" s="49"/>
      <c r="E222" s="50"/>
      <c r="F222" s="50"/>
      <c r="G222" s="50"/>
      <c r="H222" s="50"/>
      <c r="I222" s="50"/>
      <c r="J222" s="50"/>
      <c r="K222" s="50"/>
      <c r="L222" s="50"/>
      <c r="M222" s="50"/>
      <c r="N222" s="50"/>
      <c r="O222" s="50"/>
      <c r="P222" s="50"/>
      <c r="Q222" s="50"/>
      <c r="R222" s="50"/>
      <c r="S222" s="50"/>
      <c r="T222" s="50"/>
      <c r="U222" s="50"/>
      <c r="V222" s="50"/>
      <c r="W222" s="50"/>
      <c r="X222" s="50"/>
      <c r="Y222" s="50"/>
      <c r="Z222" s="50"/>
      <c r="AA222" s="50"/>
      <c r="AB222" s="50"/>
      <c r="AC222" s="50"/>
      <c r="AD222" s="50"/>
    </row>
    <row r="223">
      <c r="A223" s="49"/>
      <c r="B223" s="49"/>
      <c r="C223" s="49"/>
      <c r="D223" s="49"/>
      <c r="E223" s="50"/>
      <c r="F223" s="50"/>
      <c r="G223" s="50"/>
      <c r="H223" s="50"/>
      <c r="I223" s="50"/>
      <c r="J223" s="50"/>
      <c r="K223" s="50"/>
      <c r="L223" s="50"/>
      <c r="M223" s="50"/>
      <c r="N223" s="50"/>
      <c r="O223" s="50"/>
      <c r="P223" s="50"/>
      <c r="Q223" s="50"/>
      <c r="R223" s="50"/>
      <c r="S223" s="50"/>
      <c r="T223" s="50"/>
      <c r="U223" s="50"/>
      <c r="V223" s="50"/>
      <c r="W223" s="50"/>
      <c r="X223" s="50"/>
      <c r="Y223" s="50"/>
      <c r="Z223" s="50"/>
      <c r="AA223" s="50"/>
      <c r="AB223" s="50"/>
      <c r="AC223" s="50"/>
      <c r="AD223" s="50"/>
    </row>
    <row r="224">
      <c r="A224" s="49"/>
      <c r="B224" s="49"/>
      <c r="C224" s="49"/>
      <c r="D224" s="49"/>
      <c r="E224" s="50"/>
      <c r="F224" s="50"/>
      <c r="G224" s="50"/>
      <c r="H224" s="50"/>
      <c r="I224" s="50"/>
      <c r="J224" s="50"/>
      <c r="K224" s="50"/>
      <c r="L224" s="50"/>
      <c r="M224" s="50"/>
      <c r="N224" s="50"/>
      <c r="O224" s="50"/>
      <c r="P224" s="50"/>
      <c r="Q224" s="50"/>
      <c r="R224" s="50"/>
      <c r="S224" s="50"/>
      <c r="T224" s="50"/>
      <c r="U224" s="50"/>
      <c r="V224" s="50"/>
      <c r="W224" s="50"/>
      <c r="X224" s="50"/>
      <c r="Y224" s="50"/>
      <c r="Z224" s="50"/>
      <c r="AA224" s="50"/>
      <c r="AB224" s="50"/>
      <c r="AC224" s="50"/>
      <c r="AD224" s="50"/>
    </row>
    <row r="225">
      <c r="A225" s="49"/>
      <c r="B225" s="49"/>
      <c r="C225" s="49"/>
      <c r="D225" s="49"/>
      <c r="E225" s="50"/>
      <c r="F225" s="50"/>
      <c r="G225" s="50"/>
      <c r="H225" s="50"/>
      <c r="I225" s="50"/>
      <c r="J225" s="50"/>
      <c r="K225" s="50"/>
      <c r="L225" s="50"/>
      <c r="M225" s="50"/>
      <c r="N225" s="50"/>
      <c r="O225" s="50"/>
      <c r="P225" s="50"/>
      <c r="Q225" s="50"/>
      <c r="R225" s="50"/>
      <c r="S225" s="50"/>
      <c r="T225" s="50"/>
      <c r="U225" s="50"/>
      <c r="V225" s="50"/>
      <c r="W225" s="50"/>
      <c r="X225" s="50"/>
      <c r="Y225" s="50"/>
      <c r="Z225" s="50"/>
      <c r="AA225" s="50"/>
      <c r="AB225" s="50"/>
      <c r="AC225" s="50"/>
      <c r="AD225" s="50"/>
    </row>
    <row r="226">
      <c r="A226" s="49"/>
      <c r="B226" s="49"/>
      <c r="C226" s="49"/>
      <c r="D226" s="49"/>
      <c r="E226" s="50"/>
      <c r="F226" s="50"/>
      <c r="G226" s="50"/>
      <c r="H226" s="50"/>
      <c r="I226" s="50"/>
      <c r="J226" s="50"/>
      <c r="K226" s="50"/>
      <c r="L226" s="50"/>
      <c r="M226" s="50"/>
      <c r="N226" s="50"/>
      <c r="O226" s="50"/>
      <c r="P226" s="50"/>
      <c r="Q226" s="50"/>
      <c r="R226" s="50"/>
      <c r="S226" s="50"/>
      <c r="T226" s="50"/>
      <c r="U226" s="50"/>
      <c r="V226" s="50"/>
      <c r="W226" s="50"/>
      <c r="X226" s="50"/>
      <c r="Y226" s="50"/>
      <c r="Z226" s="50"/>
      <c r="AA226" s="50"/>
      <c r="AB226" s="50"/>
      <c r="AC226" s="50"/>
      <c r="AD226" s="50"/>
    </row>
    <row r="227">
      <c r="A227" s="49"/>
      <c r="B227" s="49"/>
      <c r="C227" s="49"/>
      <c r="D227" s="49"/>
      <c r="E227" s="50"/>
      <c r="F227" s="50"/>
      <c r="G227" s="50"/>
      <c r="H227" s="50"/>
      <c r="I227" s="50"/>
      <c r="J227" s="50"/>
      <c r="K227" s="50"/>
      <c r="L227" s="50"/>
      <c r="M227" s="50"/>
      <c r="N227" s="50"/>
      <c r="O227" s="50"/>
      <c r="P227" s="50"/>
      <c r="Q227" s="50"/>
      <c r="R227" s="50"/>
      <c r="S227" s="50"/>
      <c r="T227" s="50"/>
      <c r="U227" s="50"/>
      <c r="V227" s="50"/>
      <c r="W227" s="50"/>
      <c r="X227" s="50"/>
      <c r="Y227" s="50"/>
      <c r="Z227" s="50"/>
      <c r="AA227" s="50"/>
      <c r="AB227" s="50"/>
      <c r="AC227" s="50"/>
      <c r="AD227" s="50"/>
    </row>
    <row r="228">
      <c r="A228" s="49"/>
      <c r="B228" s="49"/>
      <c r="C228" s="49"/>
      <c r="D228" s="49"/>
      <c r="E228" s="50"/>
      <c r="F228" s="50"/>
      <c r="G228" s="50"/>
      <c r="H228" s="50"/>
      <c r="I228" s="50"/>
      <c r="J228" s="50"/>
      <c r="K228" s="50"/>
      <c r="L228" s="50"/>
      <c r="M228" s="50"/>
      <c r="N228" s="50"/>
      <c r="O228" s="50"/>
      <c r="P228" s="50"/>
      <c r="Q228" s="50"/>
      <c r="R228" s="50"/>
      <c r="S228" s="50"/>
      <c r="T228" s="50"/>
      <c r="U228" s="50"/>
      <c r="V228" s="50"/>
      <c r="W228" s="50"/>
      <c r="X228" s="50"/>
      <c r="Y228" s="50"/>
      <c r="Z228" s="50"/>
      <c r="AA228" s="50"/>
      <c r="AB228" s="50"/>
      <c r="AC228" s="50"/>
      <c r="AD228" s="50"/>
    </row>
    <row r="229">
      <c r="A229" s="49"/>
      <c r="B229" s="49"/>
      <c r="C229" s="49"/>
      <c r="D229" s="49"/>
      <c r="E229" s="50"/>
      <c r="F229" s="50"/>
      <c r="G229" s="50"/>
      <c r="H229" s="50"/>
      <c r="I229" s="50"/>
      <c r="J229" s="50"/>
      <c r="K229" s="50"/>
      <c r="L229" s="50"/>
      <c r="M229" s="50"/>
      <c r="N229" s="50"/>
      <c r="O229" s="50"/>
      <c r="P229" s="50"/>
      <c r="Q229" s="50"/>
      <c r="R229" s="50"/>
      <c r="S229" s="50"/>
      <c r="T229" s="50"/>
      <c r="U229" s="50"/>
      <c r="V229" s="50"/>
      <c r="W229" s="50"/>
      <c r="X229" s="50"/>
      <c r="Y229" s="50"/>
      <c r="Z229" s="50"/>
      <c r="AA229" s="50"/>
      <c r="AB229" s="50"/>
      <c r="AC229" s="50"/>
      <c r="AD229" s="50"/>
    </row>
    <row r="230">
      <c r="A230" s="49"/>
      <c r="B230" s="49"/>
      <c r="C230" s="49"/>
      <c r="D230" s="49"/>
      <c r="E230" s="50"/>
      <c r="F230" s="50"/>
      <c r="G230" s="50"/>
      <c r="H230" s="50"/>
      <c r="I230" s="50"/>
      <c r="J230" s="50"/>
      <c r="K230" s="50"/>
      <c r="L230" s="50"/>
      <c r="M230" s="50"/>
      <c r="N230" s="50"/>
      <c r="O230" s="50"/>
      <c r="P230" s="50"/>
      <c r="Q230" s="50"/>
      <c r="R230" s="50"/>
      <c r="S230" s="50"/>
      <c r="T230" s="50"/>
      <c r="U230" s="50"/>
      <c r="V230" s="50"/>
      <c r="W230" s="50"/>
      <c r="X230" s="50"/>
      <c r="Y230" s="50"/>
      <c r="Z230" s="50"/>
      <c r="AA230" s="50"/>
      <c r="AB230" s="50"/>
      <c r="AC230" s="50"/>
      <c r="AD230" s="50"/>
    </row>
    <row r="231">
      <c r="A231" s="49"/>
      <c r="B231" s="49"/>
      <c r="C231" s="49"/>
      <c r="D231" s="49"/>
      <c r="E231" s="50"/>
      <c r="F231" s="50"/>
      <c r="G231" s="50"/>
      <c r="H231" s="50"/>
      <c r="I231" s="50"/>
      <c r="J231" s="50"/>
      <c r="K231" s="50"/>
      <c r="L231" s="50"/>
      <c r="M231" s="50"/>
      <c r="N231" s="50"/>
      <c r="O231" s="50"/>
      <c r="P231" s="50"/>
      <c r="Q231" s="50"/>
      <c r="R231" s="50"/>
      <c r="S231" s="50"/>
      <c r="T231" s="50"/>
      <c r="U231" s="50"/>
      <c r="V231" s="50"/>
      <c r="W231" s="50"/>
      <c r="X231" s="50"/>
      <c r="Y231" s="50"/>
      <c r="Z231" s="50"/>
      <c r="AA231" s="50"/>
      <c r="AB231" s="50"/>
      <c r="AC231" s="50"/>
      <c r="AD231" s="50"/>
    </row>
    <row r="232">
      <c r="A232" s="49"/>
      <c r="B232" s="49"/>
      <c r="C232" s="49"/>
      <c r="D232" s="49"/>
      <c r="E232" s="50"/>
      <c r="F232" s="50"/>
      <c r="G232" s="50"/>
      <c r="H232" s="50"/>
      <c r="I232" s="50"/>
      <c r="J232" s="50"/>
      <c r="K232" s="50"/>
      <c r="L232" s="50"/>
      <c r="M232" s="50"/>
      <c r="N232" s="50"/>
      <c r="O232" s="50"/>
      <c r="P232" s="50"/>
      <c r="Q232" s="50"/>
      <c r="R232" s="50"/>
      <c r="S232" s="50"/>
      <c r="T232" s="50"/>
      <c r="U232" s="50"/>
      <c r="V232" s="50"/>
      <c r="W232" s="50"/>
      <c r="X232" s="50"/>
      <c r="Y232" s="50"/>
      <c r="Z232" s="50"/>
      <c r="AA232" s="50"/>
      <c r="AB232" s="50"/>
      <c r="AC232" s="50"/>
      <c r="AD232" s="50"/>
    </row>
    <row r="233">
      <c r="A233" s="49"/>
      <c r="B233" s="49"/>
      <c r="C233" s="49"/>
      <c r="D233" s="49"/>
      <c r="E233" s="50"/>
      <c r="F233" s="50"/>
      <c r="G233" s="50"/>
      <c r="H233" s="50"/>
      <c r="I233" s="50"/>
      <c r="J233" s="50"/>
      <c r="K233" s="50"/>
      <c r="L233" s="50"/>
      <c r="M233" s="50"/>
      <c r="N233" s="50"/>
      <c r="O233" s="50"/>
      <c r="P233" s="50"/>
      <c r="Q233" s="50"/>
      <c r="R233" s="50"/>
      <c r="S233" s="50"/>
      <c r="T233" s="50"/>
      <c r="U233" s="50"/>
      <c r="V233" s="50"/>
      <c r="W233" s="50"/>
      <c r="X233" s="50"/>
      <c r="Y233" s="50"/>
      <c r="Z233" s="50"/>
      <c r="AA233" s="50"/>
      <c r="AB233" s="50"/>
      <c r="AC233" s="50"/>
      <c r="AD233" s="50"/>
    </row>
    <row r="234">
      <c r="A234" s="49"/>
      <c r="B234" s="49"/>
      <c r="C234" s="49"/>
      <c r="D234" s="49"/>
      <c r="E234" s="50"/>
      <c r="F234" s="50"/>
      <c r="G234" s="50"/>
      <c r="H234" s="50"/>
      <c r="I234" s="50"/>
      <c r="J234" s="50"/>
      <c r="K234" s="50"/>
      <c r="L234" s="50"/>
      <c r="M234" s="50"/>
      <c r="N234" s="50"/>
      <c r="O234" s="50"/>
      <c r="P234" s="50"/>
      <c r="Q234" s="50"/>
      <c r="R234" s="50"/>
      <c r="S234" s="50"/>
      <c r="T234" s="50"/>
      <c r="U234" s="50"/>
      <c r="V234" s="50"/>
      <c r="W234" s="50"/>
      <c r="X234" s="50"/>
      <c r="Y234" s="50"/>
      <c r="Z234" s="50"/>
      <c r="AA234" s="50"/>
      <c r="AB234" s="50"/>
      <c r="AC234" s="50"/>
      <c r="AD234" s="50"/>
    </row>
    <row r="235">
      <c r="A235" s="49"/>
      <c r="B235" s="49"/>
      <c r="C235" s="49"/>
      <c r="D235" s="49"/>
      <c r="E235" s="50"/>
      <c r="F235" s="50"/>
      <c r="G235" s="50"/>
      <c r="H235" s="50"/>
      <c r="I235" s="50"/>
      <c r="J235" s="50"/>
      <c r="K235" s="50"/>
      <c r="L235" s="50"/>
      <c r="M235" s="50"/>
      <c r="N235" s="50"/>
      <c r="O235" s="50"/>
      <c r="P235" s="50"/>
      <c r="Q235" s="50"/>
      <c r="R235" s="50"/>
      <c r="S235" s="50"/>
      <c r="T235" s="50"/>
      <c r="U235" s="50"/>
      <c r="V235" s="50"/>
      <c r="W235" s="50"/>
      <c r="X235" s="50"/>
      <c r="Y235" s="50"/>
      <c r="Z235" s="50"/>
      <c r="AA235" s="50"/>
      <c r="AB235" s="50"/>
      <c r="AC235" s="50"/>
      <c r="AD235" s="50"/>
    </row>
    <row r="236">
      <c r="A236" s="49"/>
      <c r="B236" s="49"/>
      <c r="C236" s="49"/>
      <c r="D236" s="49"/>
      <c r="E236" s="50"/>
      <c r="F236" s="50"/>
      <c r="G236" s="50"/>
      <c r="H236" s="50"/>
      <c r="I236" s="50"/>
      <c r="J236" s="50"/>
      <c r="K236" s="50"/>
      <c r="L236" s="50"/>
      <c r="M236" s="50"/>
      <c r="N236" s="50"/>
      <c r="O236" s="50"/>
      <c r="P236" s="50"/>
      <c r="Q236" s="50"/>
      <c r="R236" s="50"/>
      <c r="S236" s="50"/>
      <c r="T236" s="50"/>
      <c r="U236" s="50"/>
      <c r="V236" s="50"/>
      <c r="W236" s="50"/>
      <c r="X236" s="50"/>
      <c r="Y236" s="50"/>
      <c r="Z236" s="50"/>
      <c r="AA236" s="50"/>
      <c r="AB236" s="50"/>
      <c r="AC236" s="50"/>
      <c r="AD236" s="50"/>
    </row>
    <row r="237">
      <c r="A237" s="49"/>
      <c r="B237" s="49"/>
      <c r="C237" s="49"/>
      <c r="D237" s="49"/>
      <c r="E237" s="50"/>
      <c r="F237" s="50"/>
      <c r="G237" s="50"/>
      <c r="H237" s="50"/>
      <c r="I237" s="50"/>
      <c r="J237" s="50"/>
      <c r="K237" s="50"/>
      <c r="L237" s="50"/>
      <c r="M237" s="50"/>
      <c r="N237" s="50"/>
      <c r="O237" s="50"/>
      <c r="P237" s="50"/>
      <c r="Q237" s="50"/>
      <c r="R237" s="50"/>
      <c r="S237" s="50"/>
      <c r="T237" s="50"/>
      <c r="U237" s="50"/>
      <c r="V237" s="50"/>
      <c r="W237" s="50"/>
      <c r="X237" s="50"/>
      <c r="Y237" s="50"/>
      <c r="Z237" s="50"/>
      <c r="AA237" s="50"/>
      <c r="AB237" s="50"/>
      <c r="AC237" s="50"/>
      <c r="AD237" s="50"/>
    </row>
    <row r="238">
      <c r="A238" s="49"/>
      <c r="B238" s="49"/>
      <c r="C238" s="49"/>
      <c r="D238" s="49"/>
      <c r="E238" s="50"/>
      <c r="F238" s="50"/>
      <c r="G238" s="50"/>
      <c r="H238" s="50"/>
      <c r="I238" s="50"/>
      <c r="J238" s="50"/>
      <c r="K238" s="50"/>
      <c r="L238" s="50"/>
      <c r="M238" s="50"/>
      <c r="N238" s="50"/>
      <c r="O238" s="50"/>
      <c r="P238" s="50"/>
      <c r="Q238" s="50"/>
      <c r="R238" s="50"/>
      <c r="S238" s="50"/>
      <c r="T238" s="50"/>
      <c r="U238" s="50"/>
      <c r="V238" s="50"/>
      <c r="W238" s="50"/>
      <c r="X238" s="50"/>
      <c r="Y238" s="50"/>
      <c r="Z238" s="50"/>
      <c r="AA238" s="50"/>
      <c r="AB238" s="50"/>
      <c r="AC238" s="50"/>
      <c r="AD238" s="50"/>
    </row>
    <row r="239">
      <c r="A239" s="49"/>
      <c r="B239" s="49"/>
      <c r="C239" s="49"/>
      <c r="D239" s="49"/>
      <c r="E239" s="50"/>
      <c r="F239" s="50"/>
      <c r="G239" s="50"/>
      <c r="H239" s="50"/>
      <c r="I239" s="50"/>
      <c r="J239" s="50"/>
      <c r="K239" s="50"/>
      <c r="L239" s="50"/>
      <c r="M239" s="50"/>
      <c r="N239" s="50"/>
      <c r="O239" s="50"/>
      <c r="P239" s="50"/>
      <c r="Q239" s="50"/>
      <c r="R239" s="50"/>
      <c r="S239" s="50"/>
      <c r="T239" s="50"/>
      <c r="U239" s="50"/>
      <c r="V239" s="50"/>
      <c r="W239" s="50"/>
      <c r="X239" s="50"/>
      <c r="Y239" s="50"/>
      <c r="Z239" s="50"/>
      <c r="AA239" s="50"/>
      <c r="AB239" s="50"/>
      <c r="AC239" s="50"/>
      <c r="AD239" s="50"/>
    </row>
    <row r="240">
      <c r="A240" s="49"/>
      <c r="B240" s="49"/>
      <c r="C240" s="49"/>
      <c r="D240" s="49"/>
      <c r="E240" s="50"/>
      <c r="F240" s="50"/>
      <c r="G240" s="50"/>
      <c r="H240" s="50"/>
      <c r="I240" s="50"/>
      <c r="J240" s="50"/>
      <c r="K240" s="50"/>
      <c r="L240" s="50"/>
      <c r="M240" s="50"/>
      <c r="N240" s="50"/>
      <c r="O240" s="50"/>
      <c r="P240" s="50"/>
      <c r="Q240" s="50"/>
      <c r="R240" s="50"/>
      <c r="S240" s="50"/>
      <c r="T240" s="50"/>
      <c r="U240" s="50"/>
      <c r="V240" s="50"/>
      <c r="W240" s="50"/>
      <c r="X240" s="50"/>
      <c r="Y240" s="50"/>
      <c r="Z240" s="50"/>
      <c r="AA240" s="50"/>
      <c r="AB240" s="50"/>
      <c r="AC240" s="50"/>
      <c r="AD240" s="50"/>
    </row>
    <row r="241">
      <c r="A241" s="49"/>
      <c r="B241" s="49"/>
      <c r="C241" s="49"/>
      <c r="D241" s="49"/>
      <c r="E241" s="50"/>
      <c r="F241" s="50"/>
      <c r="G241" s="50"/>
      <c r="H241" s="50"/>
      <c r="I241" s="50"/>
      <c r="J241" s="50"/>
      <c r="K241" s="50"/>
      <c r="L241" s="50"/>
      <c r="M241" s="50"/>
      <c r="N241" s="50"/>
      <c r="O241" s="50"/>
      <c r="P241" s="50"/>
      <c r="Q241" s="50"/>
      <c r="R241" s="50"/>
      <c r="S241" s="50"/>
      <c r="T241" s="50"/>
      <c r="U241" s="50"/>
      <c r="V241" s="50"/>
      <c r="W241" s="50"/>
      <c r="X241" s="50"/>
      <c r="Y241" s="50"/>
      <c r="Z241" s="50"/>
      <c r="AA241" s="50"/>
      <c r="AB241" s="50"/>
      <c r="AC241" s="50"/>
      <c r="AD241" s="50"/>
    </row>
    <row r="242">
      <c r="A242" s="49"/>
      <c r="B242" s="49"/>
      <c r="C242" s="49"/>
      <c r="D242" s="49"/>
      <c r="E242" s="50"/>
      <c r="F242" s="50"/>
      <c r="G242" s="50"/>
      <c r="H242" s="50"/>
      <c r="I242" s="50"/>
      <c r="J242" s="50"/>
      <c r="K242" s="50"/>
      <c r="L242" s="50"/>
      <c r="M242" s="50"/>
      <c r="N242" s="50"/>
      <c r="O242" s="50"/>
      <c r="P242" s="50"/>
      <c r="Q242" s="50"/>
      <c r="R242" s="50"/>
      <c r="S242" s="50"/>
      <c r="T242" s="50"/>
      <c r="U242" s="50"/>
      <c r="V242" s="50"/>
      <c r="W242" s="50"/>
      <c r="X242" s="50"/>
      <c r="Y242" s="50"/>
      <c r="Z242" s="50"/>
      <c r="AA242" s="50"/>
      <c r="AB242" s="50"/>
      <c r="AC242" s="50"/>
      <c r="AD242" s="50"/>
    </row>
    <row r="243">
      <c r="A243" s="49"/>
      <c r="B243" s="49"/>
      <c r="C243" s="49"/>
      <c r="D243" s="49"/>
      <c r="E243" s="50"/>
      <c r="F243" s="50"/>
      <c r="G243" s="50"/>
      <c r="H243" s="50"/>
      <c r="I243" s="50"/>
      <c r="J243" s="50"/>
      <c r="K243" s="50"/>
      <c r="L243" s="50"/>
      <c r="M243" s="50"/>
      <c r="N243" s="50"/>
      <c r="O243" s="50"/>
      <c r="P243" s="50"/>
      <c r="Q243" s="50"/>
      <c r="R243" s="50"/>
      <c r="S243" s="50"/>
      <c r="T243" s="50"/>
      <c r="U243" s="50"/>
      <c r="V243" s="50"/>
      <c r="W243" s="50"/>
      <c r="X243" s="50"/>
      <c r="Y243" s="50"/>
      <c r="Z243" s="50"/>
      <c r="AA243" s="50"/>
      <c r="AB243" s="50"/>
      <c r="AC243" s="50"/>
      <c r="AD243" s="50"/>
    </row>
    <row r="244">
      <c r="A244" s="49"/>
      <c r="B244" s="49"/>
      <c r="C244" s="49"/>
      <c r="D244" s="49"/>
      <c r="E244" s="50"/>
      <c r="F244" s="50"/>
      <c r="G244" s="50"/>
      <c r="H244" s="50"/>
      <c r="I244" s="50"/>
      <c r="J244" s="50"/>
      <c r="K244" s="50"/>
      <c r="L244" s="50"/>
      <c r="M244" s="50"/>
      <c r="N244" s="50"/>
      <c r="O244" s="50"/>
      <c r="P244" s="50"/>
      <c r="Q244" s="50"/>
      <c r="R244" s="50"/>
      <c r="S244" s="50"/>
      <c r="T244" s="50"/>
      <c r="U244" s="50"/>
      <c r="V244" s="50"/>
      <c r="W244" s="50"/>
      <c r="X244" s="50"/>
      <c r="Y244" s="50"/>
      <c r="Z244" s="50"/>
      <c r="AA244" s="50"/>
      <c r="AB244" s="50"/>
      <c r="AC244" s="50"/>
      <c r="AD244" s="50"/>
    </row>
    <row r="245">
      <c r="A245" s="49"/>
      <c r="B245" s="49"/>
      <c r="C245" s="49"/>
      <c r="D245" s="49"/>
      <c r="E245" s="50"/>
      <c r="F245" s="50"/>
      <c r="G245" s="50"/>
      <c r="H245" s="50"/>
      <c r="I245" s="50"/>
      <c r="J245" s="50"/>
      <c r="K245" s="50"/>
      <c r="L245" s="50"/>
      <c r="M245" s="50"/>
      <c r="N245" s="50"/>
      <c r="O245" s="50"/>
      <c r="P245" s="50"/>
      <c r="Q245" s="50"/>
      <c r="R245" s="50"/>
      <c r="S245" s="50"/>
      <c r="T245" s="50"/>
      <c r="U245" s="50"/>
      <c r="V245" s="50"/>
      <c r="W245" s="50"/>
      <c r="X245" s="50"/>
      <c r="Y245" s="50"/>
      <c r="Z245" s="50"/>
      <c r="AA245" s="50"/>
      <c r="AB245" s="50"/>
      <c r="AC245" s="50"/>
      <c r="AD245" s="50"/>
    </row>
    <row r="246">
      <c r="A246" s="49"/>
      <c r="B246" s="49"/>
      <c r="C246" s="49"/>
      <c r="D246" s="49"/>
      <c r="E246" s="50"/>
      <c r="F246" s="50"/>
      <c r="G246" s="50"/>
      <c r="H246" s="50"/>
      <c r="I246" s="50"/>
      <c r="J246" s="50"/>
      <c r="K246" s="50"/>
      <c r="L246" s="50"/>
      <c r="M246" s="50"/>
      <c r="N246" s="50"/>
      <c r="O246" s="50"/>
      <c r="P246" s="50"/>
      <c r="Q246" s="50"/>
      <c r="R246" s="50"/>
      <c r="S246" s="50"/>
      <c r="T246" s="50"/>
      <c r="U246" s="50"/>
      <c r="V246" s="50"/>
      <c r="W246" s="50"/>
      <c r="X246" s="50"/>
      <c r="Y246" s="50"/>
      <c r="Z246" s="50"/>
      <c r="AA246" s="50"/>
      <c r="AB246" s="50"/>
      <c r="AC246" s="50"/>
      <c r="AD246" s="50"/>
    </row>
    <row r="247">
      <c r="A247" s="49"/>
      <c r="B247" s="49"/>
      <c r="C247" s="49"/>
      <c r="D247" s="49"/>
      <c r="E247" s="50"/>
      <c r="F247" s="50"/>
      <c r="G247" s="50"/>
      <c r="H247" s="50"/>
      <c r="I247" s="50"/>
      <c r="J247" s="50"/>
      <c r="K247" s="50"/>
      <c r="L247" s="50"/>
      <c r="M247" s="50"/>
      <c r="N247" s="50"/>
      <c r="O247" s="50"/>
      <c r="P247" s="50"/>
      <c r="Q247" s="50"/>
      <c r="R247" s="50"/>
      <c r="S247" s="50"/>
      <c r="T247" s="50"/>
      <c r="U247" s="50"/>
      <c r="V247" s="50"/>
      <c r="W247" s="50"/>
      <c r="X247" s="50"/>
      <c r="Y247" s="50"/>
      <c r="Z247" s="50"/>
      <c r="AA247" s="50"/>
      <c r="AB247" s="50"/>
      <c r="AC247" s="50"/>
      <c r="AD247" s="50"/>
    </row>
    <row r="248">
      <c r="A248" s="49"/>
      <c r="B248" s="49"/>
      <c r="C248" s="49"/>
      <c r="D248" s="49"/>
      <c r="E248" s="50"/>
      <c r="F248" s="50"/>
      <c r="G248" s="50"/>
      <c r="H248" s="50"/>
      <c r="I248" s="50"/>
      <c r="J248" s="50"/>
      <c r="K248" s="50"/>
      <c r="L248" s="50"/>
      <c r="M248" s="50"/>
      <c r="N248" s="50"/>
      <c r="O248" s="50"/>
      <c r="P248" s="50"/>
      <c r="Q248" s="50"/>
      <c r="R248" s="50"/>
      <c r="S248" s="50"/>
      <c r="T248" s="50"/>
      <c r="U248" s="50"/>
      <c r="V248" s="50"/>
      <c r="W248" s="50"/>
      <c r="X248" s="50"/>
      <c r="Y248" s="50"/>
      <c r="Z248" s="50"/>
      <c r="AA248" s="50"/>
      <c r="AB248" s="50"/>
      <c r="AC248" s="50"/>
      <c r="AD248" s="50"/>
    </row>
    <row r="249">
      <c r="A249" s="49"/>
      <c r="B249" s="49"/>
      <c r="C249" s="49"/>
      <c r="D249" s="49"/>
      <c r="E249" s="50"/>
      <c r="F249" s="50"/>
      <c r="G249" s="50"/>
      <c r="H249" s="50"/>
      <c r="I249" s="50"/>
      <c r="J249" s="50"/>
      <c r="K249" s="50"/>
      <c r="L249" s="50"/>
      <c r="M249" s="50"/>
      <c r="N249" s="50"/>
      <c r="O249" s="50"/>
      <c r="P249" s="50"/>
      <c r="Q249" s="50"/>
      <c r="R249" s="50"/>
      <c r="S249" s="50"/>
      <c r="T249" s="50"/>
      <c r="U249" s="50"/>
      <c r="V249" s="50"/>
      <c r="W249" s="50"/>
      <c r="X249" s="50"/>
      <c r="Y249" s="50"/>
      <c r="Z249" s="50"/>
      <c r="AA249" s="50"/>
      <c r="AB249" s="50"/>
      <c r="AC249" s="50"/>
      <c r="AD249" s="50"/>
    </row>
    <row r="250">
      <c r="A250" s="49"/>
      <c r="B250" s="49"/>
      <c r="C250" s="49"/>
      <c r="D250" s="49"/>
      <c r="E250" s="50"/>
      <c r="F250" s="50"/>
      <c r="G250" s="50"/>
      <c r="H250" s="50"/>
      <c r="I250" s="50"/>
      <c r="J250" s="50"/>
      <c r="K250" s="50"/>
      <c r="L250" s="50"/>
      <c r="M250" s="50"/>
      <c r="N250" s="50"/>
      <c r="O250" s="50"/>
      <c r="P250" s="50"/>
      <c r="Q250" s="50"/>
      <c r="R250" s="50"/>
      <c r="S250" s="50"/>
      <c r="T250" s="50"/>
      <c r="U250" s="50"/>
      <c r="V250" s="50"/>
      <c r="W250" s="50"/>
      <c r="X250" s="50"/>
      <c r="Y250" s="50"/>
      <c r="Z250" s="50"/>
      <c r="AA250" s="50"/>
      <c r="AB250" s="50"/>
      <c r="AC250" s="50"/>
      <c r="AD250" s="50"/>
    </row>
    <row r="251">
      <c r="A251" s="49"/>
      <c r="B251" s="49"/>
      <c r="C251" s="49"/>
      <c r="D251" s="49"/>
      <c r="E251" s="50"/>
      <c r="F251" s="50"/>
      <c r="G251" s="50"/>
      <c r="H251" s="50"/>
      <c r="I251" s="50"/>
      <c r="J251" s="50"/>
      <c r="K251" s="50"/>
      <c r="L251" s="50"/>
      <c r="M251" s="50"/>
      <c r="N251" s="50"/>
      <c r="O251" s="50"/>
      <c r="P251" s="50"/>
      <c r="Q251" s="50"/>
      <c r="R251" s="50"/>
      <c r="S251" s="50"/>
      <c r="T251" s="50"/>
      <c r="U251" s="50"/>
      <c r="V251" s="50"/>
      <c r="W251" s="50"/>
      <c r="X251" s="50"/>
      <c r="Y251" s="50"/>
      <c r="Z251" s="50"/>
      <c r="AA251" s="50"/>
      <c r="AB251" s="50"/>
      <c r="AC251" s="50"/>
      <c r="AD251" s="50"/>
    </row>
    <row r="252">
      <c r="A252" s="49"/>
      <c r="B252" s="49"/>
      <c r="C252" s="49"/>
      <c r="D252" s="49"/>
      <c r="E252" s="50"/>
      <c r="F252" s="50"/>
      <c r="G252" s="50"/>
      <c r="H252" s="50"/>
      <c r="I252" s="50"/>
      <c r="J252" s="50"/>
      <c r="K252" s="50"/>
      <c r="L252" s="50"/>
      <c r="M252" s="50"/>
      <c r="N252" s="50"/>
      <c r="O252" s="50"/>
      <c r="P252" s="50"/>
      <c r="Q252" s="50"/>
      <c r="R252" s="50"/>
      <c r="S252" s="50"/>
      <c r="T252" s="50"/>
      <c r="U252" s="50"/>
      <c r="V252" s="50"/>
      <c r="W252" s="50"/>
      <c r="X252" s="50"/>
      <c r="Y252" s="50"/>
      <c r="Z252" s="50"/>
      <c r="AA252" s="50"/>
      <c r="AB252" s="50"/>
      <c r="AC252" s="50"/>
      <c r="AD252" s="50"/>
    </row>
    <row r="253">
      <c r="A253" s="49"/>
      <c r="B253" s="49"/>
      <c r="C253" s="49"/>
      <c r="D253" s="49"/>
      <c r="E253" s="50"/>
      <c r="F253" s="50"/>
      <c r="G253" s="50"/>
      <c r="H253" s="50"/>
      <c r="I253" s="50"/>
      <c r="J253" s="50"/>
      <c r="K253" s="50"/>
      <c r="L253" s="50"/>
      <c r="M253" s="50"/>
      <c r="N253" s="50"/>
      <c r="O253" s="50"/>
      <c r="P253" s="50"/>
      <c r="Q253" s="50"/>
      <c r="R253" s="50"/>
      <c r="S253" s="50"/>
      <c r="T253" s="50"/>
      <c r="U253" s="50"/>
      <c r="V253" s="50"/>
      <c r="W253" s="50"/>
      <c r="X253" s="50"/>
      <c r="Y253" s="50"/>
      <c r="Z253" s="50"/>
      <c r="AA253" s="50"/>
      <c r="AB253" s="50"/>
      <c r="AC253" s="50"/>
      <c r="AD253" s="50"/>
    </row>
    <row r="254">
      <c r="A254" s="49"/>
      <c r="B254" s="49"/>
      <c r="C254" s="49"/>
      <c r="D254" s="49"/>
      <c r="E254" s="50"/>
      <c r="F254" s="50"/>
      <c r="G254" s="50"/>
      <c r="H254" s="50"/>
      <c r="I254" s="50"/>
      <c r="J254" s="50"/>
      <c r="K254" s="50"/>
      <c r="L254" s="50"/>
      <c r="M254" s="50"/>
      <c r="N254" s="50"/>
      <c r="O254" s="50"/>
      <c r="P254" s="50"/>
      <c r="Q254" s="50"/>
      <c r="R254" s="50"/>
      <c r="S254" s="50"/>
      <c r="T254" s="50"/>
      <c r="U254" s="50"/>
      <c r="V254" s="50"/>
      <c r="W254" s="50"/>
      <c r="X254" s="50"/>
      <c r="Y254" s="50"/>
      <c r="Z254" s="50"/>
      <c r="AA254" s="50"/>
      <c r="AB254" s="50"/>
      <c r="AC254" s="50"/>
      <c r="AD254" s="50"/>
    </row>
    <row r="255">
      <c r="A255" s="49"/>
      <c r="B255" s="49"/>
      <c r="C255" s="49"/>
      <c r="D255" s="49"/>
      <c r="E255" s="50"/>
      <c r="F255" s="50"/>
      <c r="G255" s="50"/>
      <c r="H255" s="50"/>
      <c r="I255" s="50"/>
      <c r="J255" s="50"/>
      <c r="K255" s="50"/>
      <c r="L255" s="50"/>
      <c r="M255" s="50"/>
      <c r="N255" s="50"/>
      <c r="O255" s="50"/>
      <c r="P255" s="50"/>
      <c r="Q255" s="50"/>
      <c r="R255" s="50"/>
      <c r="S255" s="50"/>
      <c r="T255" s="50"/>
      <c r="U255" s="50"/>
      <c r="V255" s="50"/>
      <c r="W255" s="50"/>
      <c r="X255" s="50"/>
      <c r="Y255" s="50"/>
      <c r="Z255" s="50"/>
      <c r="AA255" s="50"/>
      <c r="AB255" s="50"/>
      <c r="AC255" s="50"/>
      <c r="AD255" s="50"/>
    </row>
    <row r="256">
      <c r="A256" s="49"/>
      <c r="B256" s="49"/>
      <c r="C256" s="49"/>
      <c r="D256" s="49"/>
      <c r="E256" s="50"/>
      <c r="F256" s="50"/>
      <c r="G256" s="50"/>
      <c r="H256" s="50"/>
      <c r="I256" s="50"/>
      <c r="J256" s="50"/>
      <c r="K256" s="50"/>
      <c r="L256" s="50"/>
      <c r="M256" s="50"/>
      <c r="N256" s="50"/>
      <c r="O256" s="50"/>
      <c r="P256" s="50"/>
      <c r="Q256" s="50"/>
      <c r="R256" s="50"/>
      <c r="S256" s="50"/>
      <c r="T256" s="50"/>
      <c r="U256" s="50"/>
      <c r="V256" s="50"/>
      <c r="W256" s="50"/>
      <c r="X256" s="50"/>
      <c r="Y256" s="50"/>
      <c r="Z256" s="50"/>
      <c r="AA256" s="50"/>
      <c r="AB256" s="50"/>
      <c r="AC256" s="50"/>
      <c r="AD256" s="50"/>
    </row>
    <row r="257">
      <c r="A257" s="49"/>
      <c r="B257" s="49"/>
      <c r="C257" s="49"/>
      <c r="D257" s="49"/>
      <c r="E257" s="50"/>
      <c r="F257" s="50"/>
      <c r="G257" s="50"/>
      <c r="H257" s="50"/>
      <c r="I257" s="50"/>
      <c r="J257" s="50"/>
      <c r="K257" s="50"/>
      <c r="L257" s="50"/>
      <c r="M257" s="50"/>
      <c r="N257" s="50"/>
      <c r="O257" s="50"/>
      <c r="P257" s="50"/>
      <c r="Q257" s="50"/>
      <c r="R257" s="50"/>
      <c r="S257" s="50"/>
      <c r="T257" s="50"/>
      <c r="U257" s="50"/>
      <c r="V257" s="50"/>
      <c r="W257" s="50"/>
      <c r="X257" s="50"/>
      <c r="Y257" s="50"/>
      <c r="Z257" s="50"/>
      <c r="AA257" s="50"/>
      <c r="AB257" s="50"/>
      <c r="AC257" s="50"/>
      <c r="AD257" s="50"/>
    </row>
    <row r="258">
      <c r="A258" s="49"/>
      <c r="B258" s="49"/>
      <c r="C258" s="49"/>
      <c r="D258" s="49"/>
      <c r="E258" s="50"/>
      <c r="F258" s="50"/>
      <c r="G258" s="50"/>
      <c r="H258" s="50"/>
      <c r="I258" s="50"/>
      <c r="J258" s="50"/>
      <c r="K258" s="50"/>
      <c r="L258" s="50"/>
      <c r="M258" s="50"/>
      <c r="N258" s="50"/>
      <c r="O258" s="50"/>
      <c r="P258" s="50"/>
      <c r="Q258" s="50"/>
      <c r="R258" s="50"/>
      <c r="S258" s="50"/>
      <c r="T258" s="50"/>
      <c r="U258" s="50"/>
      <c r="V258" s="50"/>
      <c r="W258" s="50"/>
      <c r="X258" s="50"/>
      <c r="Y258" s="50"/>
      <c r="Z258" s="50"/>
      <c r="AA258" s="50"/>
      <c r="AB258" s="50"/>
      <c r="AC258" s="50"/>
      <c r="AD258" s="50"/>
    </row>
    <row r="259">
      <c r="A259" s="49"/>
      <c r="B259" s="49"/>
      <c r="C259" s="49"/>
      <c r="D259" s="49"/>
      <c r="E259" s="50"/>
      <c r="F259" s="50"/>
      <c r="G259" s="50"/>
      <c r="H259" s="50"/>
      <c r="I259" s="50"/>
      <c r="J259" s="50"/>
      <c r="K259" s="50"/>
      <c r="L259" s="50"/>
      <c r="M259" s="50"/>
      <c r="N259" s="50"/>
      <c r="O259" s="50"/>
      <c r="P259" s="50"/>
      <c r="Q259" s="50"/>
      <c r="R259" s="50"/>
      <c r="S259" s="50"/>
      <c r="T259" s="50"/>
      <c r="U259" s="50"/>
      <c r="V259" s="50"/>
      <c r="W259" s="50"/>
      <c r="X259" s="50"/>
      <c r="Y259" s="50"/>
      <c r="Z259" s="50"/>
      <c r="AA259" s="50"/>
      <c r="AB259" s="50"/>
      <c r="AC259" s="50"/>
      <c r="AD259" s="50"/>
    </row>
    <row r="260">
      <c r="A260" s="49"/>
      <c r="B260" s="49"/>
      <c r="C260" s="49"/>
      <c r="D260" s="49"/>
      <c r="E260" s="50"/>
      <c r="F260" s="50"/>
      <c r="G260" s="50"/>
      <c r="H260" s="50"/>
      <c r="I260" s="50"/>
      <c r="J260" s="50"/>
      <c r="K260" s="50"/>
      <c r="L260" s="50"/>
      <c r="M260" s="50"/>
      <c r="N260" s="50"/>
      <c r="O260" s="50"/>
      <c r="P260" s="50"/>
      <c r="Q260" s="50"/>
      <c r="R260" s="50"/>
      <c r="S260" s="50"/>
      <c r="T260" s="50"/>
      <c r="U260" s="50"/>
      <c r="V260" s="50"/>
      <c r="W260" s="50"/>
      <c r="X260" s="50"/>
      <c r="Y260" s="50"/>
      <c r="Z260" s="50"/>
      <c r="AA260" s="50"/>
      <c r="AB260" s="50"/>
      <c r="AC260" s="50"/>
      <c r="AD260" s="50"/>
    </row>
    <row r="261">
      <c r="A261" s="49"/>
      <c r="B261" s="49"/>
      <c r="C261" s="49"/>
      <c r="D261" s="49"/>
      <c r="E261" s="50"/>
      <c r="F261" s="50"/>
      <c r="G261" s="50"/>
      <c r="H261" s="50"/>
      <c r="I261" s="50"/>
      <c r="J261" s="50"/>
      <c r="K261" s="50"/>
      <c r="L261" s="50"/>
      <c r="M261" s="50"/>
      <c r="N261" s="50"/>
      <c r="O261" s="50"/>
      <c r="P261" s="50"/>
      <c r="Q261" s="50"/>
      <c r="R261" s="50"/>
      <c r="S261" s="50"/>
      <c r="T261" s="50"/>
      <c r="U261" s="50"/>
      <c r="V261" s="50"/>
      <c r="W261" s="50"/>
      <c r="X261" s="50"/>
      <c r="Y261" s="50"/>
      <c r="Z261" s="50"/>
      <c r="AA261" s="50"/>
      <c r="AB261" s="50"/>
      <c r="AC261" s="50"/>
      <c r="AD261" s="50"/>
    </row>
    <row r="262">
      <c r="A262" s="49"/>
      <c r="B262" s="49"/>
      <c r="C262" s="49"/>
      <c r="D262" s="49"/>
      <c r="E262" s="50"/>
      <c r="F262" s="50"/>
      <c r="G262" s="50"/>
      <c r="H262" s="50"/>
      <c r="I262" s="50"/>
      <c r="J262" s="50"/>
      <c r="K262" s="50"/>
      <c r="L262" s="50"/>
      <c r="M262" s="50"/>
      <c r="N262" s="50"/>
      <c r="O262" s="50"/>
      <c r="P262" s="50"/>
      <c r="Q262" s="50"/>
      <c r="R262" s="50"/>
      <c r="S262" s="50"/>
      <c r="T262" s="50"/>
      <c r="U262" s="50"/>
      <c r="V262" s="50"/>
      <c r="W262" s="50"/>
      <c r="X262" s="50"/>
      <c r="Y262" s="50"/>
      <c r="Z262" s="50"/>
      <c r="AA262" s="50"/>
      <c r="AB262" s="50"/>
      <c r="AC262" s="50"/>
      <c r="AD262" s="50"/>
    </row>
    <row r="263">
      <c r="A263" s="49"/>
      <c r="B263" s="49"/>
      <c r="C263" s="49"/>
      <c r="D263" s="49"/>
      <c r="E263" s="50"/>
      <c r="F263" s="50"/>
      <c r="G263" s="50"/>
      <c r="H263" s="50"/>
      <c r="I263" s="50"/>
      <c r="J263" s="50"/>
      <c r="K263" s="50"/>
      <c r="L263" s="50"/>
      <c r="M263" s="50"/>
      <c r="N263" s="50"/>
      <c r="O263" s="50"/>
      <c r="P263" s="50"/>
      <c r="Q263" s="50"/>
      <c r="R263" s="50"/>
      <c r="S263" s="50"/>
      <c r="T263" s="50"/>
      <c r="U263" s="50"/>
      <c r="V263" s="50"/>
      <c r="W263" s="50"/>
      <c r="X263" s="50"/>
      <c r="Y263" s="50"/>
      <c r="Z263" s="50"/>
      <c r="AA263" s="50"/>
      <c r="AB263" s="50"/>
      <c r="AC263" s="50"/>
      <c r="AD263" s="50"/>
    </row>
    <row r="264">
      <c r="A264" s="49"/>
      <c r="B264" s="49"/>
      <c r="C264" s="49"/>
      <c r="D264" s="49"/>
      <c r="E264" s="50"/>
      <c r="F264" s="50"/>
      <c r="G264" s="50"/>
      <c r="H264" s="50"/>
      <c r="I264" s="50"/>
      <c r="J264" s="50"/>
      <c r="K264" s="50"/>
      <c r="L264" s="50"/>
      <c r="M264" s="50"/>
      <c r="N264" s="50"/>
      <c r="O264" s="50"/>
      <c r="P264" s="50"/>
      <c r="Q264" s="50"/>
      <c r="R264" s="50"/>
      <c r="S264" s="50"/>
      <c r="T264" s="50"/>
      <c r="U264" s="50"/>
      <c r="V264" s="50"/>
      <c r="W264" s="50"/>
      <c r="X264" s="50"/>
      <c r="Y264" s="50"/>
      <c r="Z264" s="50"/>
      <c r="AA264" s="50"/>
      <c r="AB264" s="50"/>
      <c r="AC264" s="50"/>
      <c r="AD264" s="50"/>
    </row>
    <row r="265">
      <c r="A265" s="49"/>
      <c r="B265" s="49"/>
      <c r="C265" s="49"/>
      <c r="D265" s="49"/>
      <c r="E265" s="50"/>
      <c r="F265" s="50"/>
      <c r="G265" s="50"/>
      <c r="H265" s="50"/>
      <c r="I265" s="50"/>
      <c r="J265" s="50"/>
      <c r="K265" s="50"/>
      <c r="L265" s="50"/>
      <c r="M265" s="50"/>
      <c r="N265" s="50"/>
      <c r="O265" s="50"/>
      <c r="P265" s="50"/>
      <c r="Q265" s="50"/>
      <c r="R265" s="50"/>
      <c r="S265" s="50"/>
      <c r="T265" s="50"/>
      <c r="U265" s="50"/>
      <c r="V265" s="50"/>
      <c r="W265" s="50"/>
      <c r="X265" s="50"/>
      <c r="Y265" s="50"/>
      <c r="Z265" s="50"/>
      <c r="AA265" s="50"/>
      <c r="AB265" s="50"/>
      <c r="AC265" s="50"/>
      <c r="AD265" s="50"/>
    </row>
    <row r="266">
      <c r="A266" s="49"/>
      <c r="B266" s="49"/>
      <c r="C266" s="49"/>
      <c r="D266" s="49"/>
      <c r="E266" s="50"/>
      <c r="F266" s="50"/>
      <c r="G266" s="50"/>
      <c r="H266" s="50"/>
      <c r="I266" s="50"/>
      <c r="J266" s="50"/>
      <c r="K266" s="50"/>
      <c r="L266" s="50"/>
      <c r="M266" s="50"/>
      <c r="N266" s="50"/>
      <c r="O266" s="50"/>
      <c r="P266" s="50"/>
      <c r="Q266" s="50"/>
      <c r="R266" s="50"/>
      <c r="S266" s="50"/>
      <c r="T266" s="50"/>
      <c r="U266" s="50"/>
      <c r="V266" s="50"/>
      <c r="W266" s="50"/>
      <c r="X266" s="50"/>
      <c r="Y266" s="50"/>
      <c r="Z266" s="50"/>
      <c r="AA266" s="50"/>
      <c r="AB266" s="50"/>
      <c r="AC266" s="50"/>
      <c r="AD266" s="50"/>
    </row>
    <row r="267">
      <c r="A267" s="49"/>
      <c r="B267" s="49"/>
      <c r="C267" s="49"/>
      <c r="D267" s="49"/>
      <c r="E267" s="50"/>
      <c r="F267" s="50"/>
      <c r="G267" s="50"/>
      <c r="H267" s="50"/>
      <c r="I267" s="50"/>
      <c r="J267" s="50"/>
      <c r="K267" s="50"/>
      <c r="L267" s="50"/>
      <c r="M267" s="50"/>
      <c r="N267" s="50"/>
      <c r="O267" s="50"/>
      <c r="P267" s="50"/>
      <c r="Q267" s="50"/>
      <c r="R267" s="50"/>
      <c r="S267" s="50"/>
      <c r="T267" s="50"/>
      <c r="U267" s="50"/>
      <c r="V267" s="50"/>
      <c r="W267" s="50"/>
      <c r="X267" s="50"/>
      <c r="Y267" s="50"/>
      <c r="Z267" s="50"/>
      <c r="AA267" s="50"/>
      <c r="AB267" s="50"/>
      <c r="AC267" s="50"/>
      <c r="AD267" s="50"/>
    </row>
    <row r="268">
      <c r="A268" s="49"/>
      <c r="B268" s="49"/>
      <c r="C268" s="49"/>
      <c r="D268" s="49"/>
      <c r="E268" s="50"/>
      <c r="F268" s="50"/>
      <c r="G268" s="50"/>
      <c r="H268" s="50"/>
      <c r="I268" s="50"/>
      <c r="J268" s="50"/>
      <c r="K268" s="50"/>
      <c r="L268" s="50"/>
      <c r="M268" s="50"/>
      <c r="N268" s="50"/>
      <c r="O268" s="50"/>
      <c r="P268" s="50"/>
      <c r="Q268" s="50"/>
      <c r="R268" s="50"/>
      <c r="S268" s="50"/>
      <c r="T268" s="50"/>
      <c r="U268" s="50"/>
      <c r="V268" s="50"/>
      <c r="W268" s="50"/>
      <c r="X268" s="50"/>
      <c r="Y268" s="50"/>
      <c r="Z268" s="50"/>
      <c r="AA268" s="50"/>
      <c r="AB268" s="50"/>
      <c r="AC268" s="50"/>
      <c r="AD268" s="50"/>
    </row>
    <row r="269">
      <c r="A269" s="49"/>
      <c r="B269" s="49"/>
      <c r="C269" s="49"/>
      <c r="D269" s="49"/>
      <c r="E269" s="50"/>
      <c r="F269" s="50"/>
      <c r="G269" s="50"/>
      <c r="H269" s="50"/>
      <c r="I269" s="50"/>
      <c r="J269" s="50"/>
      <c r="K269" s="50"/>
      <c r="L269" s="50"/>
      <c r="M269" s="50"/>
      <c r="N269" s="50"/>
      <c r="O269" s="50"/>
      <c r="P269" s="50"/>
      <c r="Q269" s="50"/>
      <c r="R269" s="50"/>
      <c r="S269" s="50"/>
      <c r="T269" s="50"/>
      <c r="U269" s="50"/>
      <c r="V269" s="50"/>
      <c r="W269" s="50"/>
      <c r="X269" s="50"/>
      <c r="Y269" s="50"/>
      <c r="Z269" s="50"/>
      <c r="AA269" s="50"/>
      <c r="AB269" s="50"/>
      <c r="AC269" s="50"/>
      <c r="AD269" s="50"/>
    </row>
    <row r="270">
      <c r="A270" s="49"/>
      <c r="B270" s="49"/>
      <c r="C270" s="49"/>
      <c r="D270" s="49"/>
      <c r="E270" s="50"/>
      <c r="F270" s="50"/>
      <c r="G270" s="50"/>
      <c r="H270" s="50"/>
      <c r="I270" s="50"/>
      <c r="J270" s="50"/>
      <c r="K270" s="50"/>
      <c r="L270" s="50"/>
      <c r="M270" s="50"/>
      <c r="N270" s="50"/>
      <c r="O270" s="50"/>
      <c r="P270" s="50"/>
      <c r="Q270" s="50"/>
      <c r="R270" s="50"/>
      <c r="S270" s="50"/>
      <c r="T270" s="50"/>
      <c r="U270" s="50"/>
      <c r="V270" s="50"/>
      <c r="W270" s="50"/>
      <c r="X270" s="50"/>
      <c r="Y270" s="50"/>
      <c r="Z270" s="50"/>
      <c r="AA270" s="50"/>
      <c r="AB270" s="50"/>
      <c r="AC270" s="50"/>
      <c r="AD270" s="50"/>
    </row>
    <row r="271">
      <c r="A271" s="49"/>
      <c r="B271" s="49"/>
      <c r="C271" s="49"/>
      <c r="D271" s="49"/>
      <c r="E271" s="50"/>
      <c r="F271" s="50"/>
      <c r="G271" s="50"/>
      <c r="H271" s="50"/>
      <c r="I271" s="50"/>
      <c r="J271" s="50"/>
      <c r="K271" s="50"/>
      <c r="L271" s="50"/>
      <c r="M271" s="50"/>
      <c r="N271" s="50"/>
      <c r="O271" s="50"/>
      <c r="P271" s="50"/>
      <c r="Q271" s="50"/>
      <c r="R271" s="50"/>
      <c r="S271" s="50"/>
      <c r="T271" s="50"/>
      <c r="U271" s="50"/>
      <c r="V271" s="50"/>
      <c r="W271" s="50"/>
      <c r="X271" s="50"/>
      <c r="Y271" s="50"/>
      <c r="Z271" s="50"/>
      <c r="AA271" s="50"/>
      <c r="AB271" s="50"/>
      <c r="AC271" s="50"/>
      <c r="AD271" s="50"/>
    </row>
    <row r="272">
      <c r="A272" s="49"/>
      <c r="B272" s="49"/>
      <c r="C272" s="49"/>
      <c r="D272" s="49"/>
      <c r="E272" s="50"/>
      <c r="F272" s="50"/>
      <c r="G272" s="50"/>
      <c r="H272" s="50"/>
      <c r="I272" s="50"/>
      <c r="J272" s="50"/>
      <c r="K272" s="50"/>
      <c r="L272" s="50"/>
      <c r="M272" s="50"/>
      <c r="N272" s="50"/>
      <c r="O272" s="50"/>
      <c r="P272" s="50"/>
      <c r="Q272" s="50"/>
      <c r="R272" s="50"/>
      <c r="S272" s="50"/>
      <c r="T272" s="50"/>
      <c r="U272" s="50"/>
      <c r="V272" s="50"/>
      <c r="W272" s="50"/>
      <c r="X272" s="50"/>
      <c r="Y272" s="50"/>
      <c r="Z272" s="50"/>
      <c r="AA272" s="50"/>
      <c r="AB272" s="50"/>
      <c r="AC272" s="50"/>
      <c r="AD272" s="50"/>
    </row>
    <row r="273">
      <c r="A273" s="49"/>
      <c r="B273" s="49"/>
      <c r="C273" s="49"/>
      <c r="D273" s="49"/>
      <c r="E273" s="50"/>
      <c r="F273" s="50"/>
      <c r="G273" s="50"/>
      <c r="H273" s="50"/>
      <c r="I273" s="50"/>
      <c r="J273" s="50"/>
      <c r="K273" s="50"/>
      <c r="L273" s="50"/>
      <c r="M273" s="50"/>
      <c r="N273" s="50"/>
      <c r="O273" s="50"/>
      <c r="P273" s="50"/>
      <c r="Q273" s="50"/>
      <c r="R273" s="50"/>
      <c r="S273" s="50"/>
      <c r="T273" s="50"/>
      <c r="U273" s="50"/>
      <c r="V273" s="50"/>
      <c r="W273" s="50"/>
      <c r="X273" s="50"/>
      <c r="Y273" s="50"/>
      <c r="Z273" s="50"/>
      <c r="AA273" s="50"/>
      <c r="AB273" s="50"/>
      <c r="AC273" s="50"/>
      <c r="AD273" s="50"/>
    </row>
    <row r="274">
      <c r="A274" s="49"/>
      <c r="B274" s="49"/>
      <c r="C274" s="49"/>
      <c r="D274" s="49"/>
      <c r="E274" s="50"/>
      <c r="F274" s="50"/>
      <c r="G274" s="50"/>
      <c r="H274" s="50"/>
      <c r="I274" s="50"/>
      <c r="J274" s="50"/>
      <c r="K274" s="50"/>
      <c r="L274" s="50"/>
      <c r="M274" s="50"/>
      <c r="N274" s="50"/>
      <c r="O274" s="50"/>
      <c r="P274" s="50"/>
      <c r="Q274" s="50"/>
      <c r="R274" s="50"/>
      <c r="S274" s="50"/>
      <c r="T274" s="50"/>
      <c r="U274" s="50"/>
      <c r="V274" s="50"/>
      <c r="W274" s="50"/>
      <c r="X274" s="50"/>
      <c r="Y274" s="50"/>
      <c r="Z274" s="50"/>
      <c r="AA274" s="50"/>
      <c r="AB274" s="50"/>
      <c r="AC274" s="50"/>
      <c r="AD274" s="50"/>
    </row>
    <row r="275">
      <c r="A275" s="49"/>
      <c r="B275" s="49"/>
      <c r="C275" s="49"/>
      <c r="D275" s="49"/>
      <c r="E275" s="50"/>
      <c r="F275" s="50"/>
      <c r="G275" s="50"/>
      <c r="H275" s="50"/>
      <c r="I275" s="50"/>
      <c r="J275" s="50"/>
      <c r="K275" s="50"/>
      <c r="L275" s="50"/>
      <c r="M275" s="50"/>
      <c r="N275" s="50"/>
      <c r="O275" s="50"/>
      <c r="P275" s="50"/>
      <c r="Q275" s="50"/>
      <c r="R275" s="50"/>
      <c r="S275" s="50"/>
      <c r="T275" s="50"/>
      <c r="U275" s="50"/>
      <c r="V275" s="50"/>
      <c r="W275" s="50"/>
      <c r="X275" s="50"/>
      <c r="Y275" s="50"/>
      <c r="Z275" s="50"/>
      <c r="AA275" s="50"/>
      <c r="AB275" s="50"/>
      <c r="AC275" s="50"/>
      <c r="AD275" s="50"/>
    </row>
    <row r="276">
      <c r="A276" s="49"/>
      <c r="B276" s="49"/>
      <c r="C276" s="49"/>
      <c r="D276" s="49"/>
      <c r="E276" s="50"/>
      <c r="F276" s="50"/>
      <c r="G276" s="50"/>
      <c r="H276" s="50"/>
      <c r="I276" s="50"/>
      <c r="J276" s="50"/>
      <c r="K276" s="50"/>
      <c r="L276" s="50"/>
      <c r="M276" s="50"/>
      <c r="N276" s="50"/>
      <c r="O276" s="50"/>
      <c r="P276" s="50"/>
      <c r="Q276" s="50"/>
      <c r="R276" s="50"/>
      <c r="S276" s="50"/>
      <c r="T276" s="50"/>
      <c r="U276" s="50"/>
      <c r="V276" s="50"/>
      <c r="W276" s="50"/>
      <c r="X276" s="50"/>
      <c r="Y276" s="50"/>
      <c r="Z276" s="50"/>
      <c r="AA276" s="50"/>
      <c r="AB276" s="50"/>
      <c r="AC276" s="50"/>
      <c r="AD276" s="50"/>
    </row>
    <row r="277">
      <c r="A277" s="49"/>
      <c r="B277" s="49"/>
      <c r="C277" s="49"/>
      <c r="D277" s="49"/>
      <c r="E277" s="50"/>
      <c r="F277" s="50"/>
      <c r="G277" s="50"/>
      <c r="H277" s="50"/>
      <c r="I277" s="50"/>
      <c r="J277" s="50"/>
      <c r="K277" s="50"/>
      <c r="L277" s="50"/>
      <c r="M277" s="50"/>
      <c r="N277" s="50"/>
      <c r="O277" s="50"/>
      <c r="P277" s="50"/>
      <c r="Q277" s="50"/>
      <c r="R277" s="50"/>
      <c r="S277" s="50"/>
      <c r="T277" s="50"/>
      <c r="U277" s="50"/>
      <c r="V277" s="50"/>
      <c r="W277" s="50"/>
      <c r="X277" s="50"/>
      <c r="Y277" s="50"/>
      <c r="Z277" s="50"/>
      <c r="AA277" s="50"/>
      <c r="AB277" s="50"/>
      <c r="AC277" s="50"/>
      <c r="AD277" s="50"/>
    </row>
    <row r="278">
      <c r="A278" s="49"/>
      <c r="B278" s="49"/>
      <c r="C278" s="49"/>
      <c r="D278" s="49"/>
      <c r="E278" s="50"/>
      <c r="F278" s="50"/>
      <c r="G278" s="50"/>
      <c r="H278" s="50"/>
      <c r="I278" s="50"/>
      <c r="J278" s="50"/>
      <c r="K278" s="50"/>
      <c r="L278" s="50"/>
      <c r="M278" s="50"/>
      <c r="N278" s="50"/>
      <c r="O278" s="50"/>
      <c r="P278" s="50"/>
      <c r="Q278" s="50"/>
      <c r="R278" s="50"/>
      <c r="S278" s="50"/>
      <c r="T278" s="50"/>
      <c r="U278" s="50"/>
      <c r="V278" s="50"/>
      <c r="W278" s="50"/>
      <c r="X278" s="50"/>
      <c r="Y278" s="50"/>
      <c r="Z278" s="50"/>
      <c r="AA278" s="50"/>
      <c r="AB278" s="50"/>
      <c r="AC278" s="50"/>
      <c r="AD278" s="50"/>
    </row>
    <row r="279">
      <c r="A279" s="49"/>
      <c r="B279" s="49"/>
      <c r="C279" s="49"/>
      <c r="D279" s="49"/>
      <c r="E279" s="50"/>
      <c r="F279" s="50"/>
      <c r="G279" s="50"/>
      <c r="H279" s="50"/>
      <c r="I279" s="50"/>
      <c r="J279" s="50"/>
      <c r="K279" s="50"/>
      <c r="L279" s="50"/>
      <c r="M279" s="50"/>
      <c r="N279" s="50"/>
      <c r="O279" s="50"/>
      <c r="P279" s="50"/>
      <c r="Q279" s="50"/>
      <c r="R279" s="50"/>
      <c r="S279" s="50"/>
      <c r="T279" s="50"/>
      <c r="U279" s="50"/>
      <c r="V279" s="50"/>
      <c r="W279" s="50"/>
      <c r="X279" s="50"/>
      <c r="Y279" s="50"/>
      <c r="Z279" s="50"/>
      <c r="AA279" s="50"/>
      <c r="AB279" s="50"/>
      <c r="AC279" s="50"/>
      <c r="AD279" s="50"/>
    </row>
    <row r="280">
      <c r="A280" s="49"/>
      <c r="B280" s="49"/>
      <c r="C280" s="49"/>
      <c r="D280" s="49"/>
      <c r="E280" s="50"/>
      <c r="F280" s="50"/>
      <c r="G280" s="50"/>
      <c r="H280" s="50"/>
      <c r="I280" s="50"/>
      <c r="J280" s="50"/>
      <c r="K280" s="50"/>
      <c r="L280" s="50"/>
      <c r="M280" s="50"/>
      <c r="N280" s="50"/>
      <c r="O280" s="50"/>
      <c r="P280" s="50"/>
      <c r="Q280" s="50"/>
      <c r="R280" s="50"/>
      <c r="S280" s="50"/>
      <c r="T280" s="50"/>
      <c r="U280" s="50"/>
      <c r="V280" s="50"/>
      <c r="W280" s="50"/>
      <c r="X280" s="50"/>
      <c r="Y280" s="50"/>
      <c r="Z280" s="50"/>
      <c r="AA280" s="50"/>
      <c r="AB280" s="50"/>
      <c r="AC280" s="50"/>
      <c r="AD280" s="50"/>
    </row>
    <row r="281">
      <c r="A281" s="49"/>
      <c r="B281" s="49"/>
      <c r="C281" s="49"/>
      <c r="D281" s="49"/>
      <c r="E281" s="50"/>
      <c r="F281" s="50"/>
      <c r="G281" s="50"/>
      <c r="H281" s="50"/>
      <c r="I281" s="50"/>
      <c r="J281" s="50"/>
      <c r="K281" s="50"/>
      <c r="L281" s="50"/>
      <c r="M281" s="50"/>
      <c r="N281" s="50"/>
      <c r="O281" s="50"/>
      <c r="P281" s="50"/>
      <c r="Q281" s="50"/>
      <c r="R281" s="50"/>
      <c r="S281" s="50"/>
      <c r="T281" s="50"/>
      <c r="U281" s="50"/>
      <c r="V281" s="50"/>
      <c r="W281" s="50"/>
      <c r="X281" s="50"/>
      <c r="Y281" s="50"/>
      <c r="Z281" s="50"/>
      <c r="AA281" s="50"/>
      <c r="AB281" s="50"/>
      <c r="AC281" s="50"/>
      <c r="AD281" s="50"/>
    </row>
    <row r="282">
      <c r="A282" s="49"/>
      <c r="B282" s="49"/>
      <c r="C282" s="49"/>
      <c r="D282" s="49"/>
      <c r="E282" s="50"/>
      <c r="F282" s="50"/>
      <c r="G282" s="50"/>
      <c r="H282" s="50"/>
      <c r="I282" s="50"/>
      <c r="J282" s="50"/>
      <c r="K282" s="50"/>
      <c r="L282" s="50"/>
      <c r="M282" s="50"/>
      <c r="N282" s="50"/>
      <c r="O282" s="50"/>
      <c r="P282" s="50"/>
      <c r="Q282" s="50"/>
      <c r="R282" s="50"/>
      <c r="S282" s="50"/>
      <c r="T282" s="50"/>
      <c r="U282" s="50"/>
      <c r="V282" s="50"/>
      <c r="W282" s="50"/>
      <c r="X282" s="50"/>
      <c r="Y282" s="50"/>
      <c r="Z282" s="50"/>
      <c r="AA282" s="50"/>
      <c r="AB282" s="50"/>
      <c r="AC282" s="50"/>
      <c r="AD282" s="50"/>
    </row>
    <row r="283">
      <c r="A283" s="49"/>
      <c r="B283" s="49"/>
      <c r="C283" s="49"/>
      <c r="D283" s="49"/>
      <c r="E283" s="50"/>
      <c r="F283" s="50"/>
      <c r="G283" s="50"/>
      <c r="H283" s="50"/>
      <c r="I283" s="50"/>
      <c r="J283" s="50"/>
      <c r="K283" s="50"/>
      <c r="L283" s="50"/>
      <c r="M283" s="50"/>
      <c r="N283" s="50"/>
      <c r="O283" s="50"/>
      <c r="P283" s="50"/>
      <c r="Q283" s="50"/>
      <c r="R283" s="50"/>
      <c r="S283" s="50"/>
      <c r="T283" s="50"/>
      <c r="U283" s="50"/>
      <c r="V283" s="50"/>
      <c r="W283" s="50"/>
      <c r="X283" s="50"/>
      <c r="Y283" s="50"/>
      <c r="Z283" s="50"/>
      <c r="AA283" s="50"/>
      <c r="AB283" s="50"/>
      <c r="AC283" s="50"/>
      <c r="AD283" s="50"/>
    </row>
    <row r="284">
      <c r="A284" s="49"/>
      <c r="B284" s="49"/>
      <c r="C284" s="49"/>
      <c r="D284" s="49"/>
      <c r="E284" s="50"/>
      <c r="F284" s="50"/>
      <c r="G284" s="50"/>
      <c r="H284" s="50"/>
      <c r="I284" s="50"/>
      <c r="J284" s="50"/>
      <c r="K284" s="50"/>
      <c r="L284" s="50"/>
      <c r="M284" s="50"/>
      <c r="N284" s="50"/>
      <c r="O284" s="50"/>
      <c r="P284" s="50"/>
      <c r="Q284" s="50"/>
      <c r="R284" s="50"/>
      <c r="S284" s="50"/>
      <c r="T284" s="50"/>
      <c r="U284" s="50"/>
      <c r="V284" s="50"/>
      <c r="W284" s="50"/>
      <c r="X284" s="50"/>
      <c r="Y284" s="50"/>
      <c r="Z284" s="50"/>
      <c r="AA284" s="50"/>
      <c r="AB284" s="50"/>
      <c r="AC284" s="50"/>
      <c r="AD284" s="50"/>
    </row>
    <row r="285">
      <c r="A285" s="49"/>
      <c r="B285" s="49"/>
      <c r="C285" s="49"/>
      <c r="D285" s="49"/>
      <c r="E285" s="50"/>
      <c r="F285" s="50"/>
      <c r="G285" s="50"/>
      <c r="H285" s="50"/>
      <c r="I285" s="50"/>
      <c r="J285" s="50"/>
      <c r="K285" s="50"/>
      <c r="L285" s="50"/>
      <c r="M285" s="50"/>
      <c r="N285" s="50"/>
      <c r="O285" s="50"/>
      <c r="P285" s="50"/>
      <c r="Q285" s="50"/>
      <c r="R285" s="50"/>
      <c r="S285" s="50"/>
      <c r="T285" s="50"/>
      <c r="U285" s="50"/>
      <c r="V285" s="50"/>
      <c r="W285" s="50"/>
      <c r="X285" s="50"/>
      <c r="Y285" s="50"/>
      <c r="Z285" s="50"/>
      <c r="AA285" s="50"/>
      <c r="AB285" s="50"/>
      <c r="AC285" s="50"/>
      <c r="AD285" s="50"/>
    </row>
    <row r="286">
      <c r="A286" s="49"/>
      <c r="B286" s="49"/>
      <c r="C286" s="49"/>
      <c r="D286" s="49"/>
      <c r="E286" s="50"/>
      <c r="F286" s="50"/>
      <c r="G286" s="50"/>
      <c r="H286" s="50"/>
      <c r="I286" s="50"/>
      <c r="J286" s="50"/>
      <c r="K286" s="50"/>
      <c r="L286" s="50"/>
      <c r="M286" s="50"/>
      <c r="N286" s="50"/>
      <c r="O286" s="50"/>
      <c r="P286" s="50"/>
      <c r="Q286" s="50"/>
      <c r="R286" s="50"/>
      <c r="S286" s="50"/>
      <c r="T286" s="50"/>
      <c r="U286" s="50"/>
      <c r="V286" s="50"/>
      <c r="W286" s="50"/>
      <c r="X286" s="50"/>
      <c r="Y286" s="50"/>
      <c r="Z286" s="50"/>
      <c r="AA286" s="50"/>
      <c r="AB286" s="50"/>
      <c r="AC286" s="50"/>
      <c r="AD286" s="50"/>
    </row>
    <row r="287">
      <c r="A287" s="49"/>
      <c r="B287" s="49"/>
      <c r="C287" s="49"/>
      <c r="D287" s="49"/>
      <c r="E287" s="50"/>
      <c r="F287" s="50"/>
      <c r="G287" s="50"/>
      <c r="H287" s="50"/>
      <c r="I287" s="50"/>
      <c r="J287" s="50"/>
      <c r="K287" s="50"/>
      <c r="L287" s="50"/>
      <c r="M287" s="50"/>
      <c r="N287" s="50"/>
      <c r="O287" s="50"/>
      <c r="P287" s="50"/>
      <c r="Q287" s="50"/>
      <c r="R287" s="50"/>
      <c r="S287" s="50"/>
      <c r="T287" s="50"/>
      <c r="U287" s="50"/>
      <c r="V287" s="50"/>
      <c r="W287" s="50"/>
      <c r="X287" s="50"/>
      <c r="Y287" s="50"/>
      <c r="Z287" s="50"/>
      <c r="AA287" s="50"/>
      <c r="AB287" s="50"/>
      <c r="AC287" s="50"/>
      <c r="AD287" s="50"/>
    </row>
    <row r="288">
      <c r="A288" s="49"/>
      <c r="B288" s="49"/>
      <c r="C288" s="49"/>
      <c r="D288" s="49"/>
      <c r="E288" s="50"/>
      <c r="F288" s="50"/>
      <c r="G288" s="50"/>
      <c r="H288" s="50"/>
      <c r="I288" s="50"/>
      <c r="J288" s="50"/>
      <c r="K288" s="50"/>
      <c r="L288" s="50"/>
      <c r="M288" s="50"/>
      <c r="N288" s="50"/>
      <c r="O288" s="50"/>
      <c r="P288" s="50"/>
      <c r="Q288" s="50"/>
      <c r="R288" s="50"/>
      <c r="S288" s="50"/>
      <c r="T288" s="50"/>
      <c r="U288" s="50"/>
      <c r="V288" s="50"/>
      <c r="W288" s="50"/>
      <c r="X288" s="50"/>
      <c r="Y288" s="50"/>
      <c r="Z288" s="50"/>
      <c r="AA288" s="50"/>
      <c r="AB288" s="50"/>
      <c r="AC288" s="50"/>
      <c r="AD288" s="50"/>
    </row>
    <row r="289">
      <c r="A289" s="49"/>
      <c r="B289" s="49"/>
      <c r="C289" s="49"/>
      <c r="D289" s="49"/>
      <c r="E289" s="50"/>
      <c r="F289" s="50"/>
      <c r="G289" s="50"/>
      <c r="H289" s="50"/>
      <c r="I289" s="50"/>
      <c r="J289" s="50"/>
      <c r="K289" s="50"/>
      <c r="L289" s="50"/>
      <c r="M289" s="50"/>
      <c r="N289" s="50"/>
      <c r="O289" s="50"/>
      <c r="P289" s="50"/>
      <c r="Q289" s="50"/>
      <c r="R289" s="50"/>
      <c r="S289" s="50"/>
      <c r="T289" s="50"/>
      <c r="U289" s="50"/>
      <c r="V289" s="50"/>
      <c r="W289" s="50"/>
      <c r="X289" s="50"/>
      <c r="Y289" s="50"/>
      <c r="Z289" s="50"/>
      <c r="AA289" s="50"/>
      <c r="AB289" s="50"/>
      <c r="AC289" s="50"/>
      <c r="AD289" s="50"/>
    </row>
    <row r="290">
      <c r="A290" s="49"/>
      <c r="B290" s="49"/>
      <c r="C290" s="49"/>
      <c r="D290" s="49"/>
      <c r="E290" s="50"/>
      <c r="F290" s="50"/>
      <c r="G290" s="50"/>
      <c r="H290" s="50"/>
      <c r="I290" s="50"/>
      <c r="J290" s="50"/>
      <c r="K290" s="50"/>
      <c r="L290" s="50"/>
      <c r="M290" s="50"/>
      <c r="N290" s="50"/>
      <c r="O290" s="50"/>
      <c r="P290" s="50"/>
      <c r="Q290" s="50"/>
      <c r="R290" s="50"/>
      <c r="S290" s="50"/>
      <c r="T290" s="50"/>
      <c r="U290" s="50"/>
      <c r="V290" s="50"/>
      <c r="W290" s="50"/>
      <c r="X290" s="50"/>
      <c r="Y290" s="50"/>
      <c r="Z290" s="50"/>
      <c r="AA290" s="50"/>
      <c r="AB290" s="50"/>
      <c r="AC290" s="50"/>
      <c r="AD290" s="50"/>
    </row>
    <row r="291">
      <c r="A291" s="49"/>
      <c r="B291" s="49"/>
      <c r="C291" s="49"/>
      <c r="D291" s="49"/>
      <c r="E291" s="50"/>
      <c r="F291" s="50"/>
      <c r="G291" s="50"/>
      <c r="H291" s="50"/>
      <c r="I291" s="50"/>
      <c r="J291" s="50"/>
      <c r="K291" s="50"/>
      <c r="L291" s="50"/>
      <c r="M291" s="50"/>
      <c r="N291" s="50"/>
      <c r="O291" s="50"/>
      <c r="P291" s="50"/>
      <c r="Q291" s="50"/>
      <c r="R291" s="50"/>
      <c r="S291" s="50"/>
      <c r="T291" s="50"/>
      <c r="U291" s="50"/>
      <c r="V291" s="50"/>
      <c r="W291" s="50"/>
      <c r="X291" s="50"/>
      <c r="Y291" s="50"/>
      <c r="Z291" s="50"/>
      <c r="AA291" s="50"/>
      <c r="AB291" s="50"/>
      <c r="AC291" s="50"/>
      <c r="AD291" s="50"/>
    </row>
    <row r="292">
      <c r="A292" s="49"/>
      <c r="B292" s="49"/>
      <c r="C292" s="49"/>
      <c r="D292" s="49"/>
      <c r="E292" s="50"/>
      <c r="F292" s="50"/>
      <c r="G292" s="50"/>
      <c r="H292" s="50"/>
      <c r="I292" s="50"/>
      <c r="J292" s="50"/>
      <c r="K292" s="50"/>
      <c r="L292" s="50"/>
      <c r="M292" s="50"/>
      <c r="N292" s="50"/>
      <c r="O292" s="50"/>
      <c r="P292" s="50"/>
      <c r="Q292" s="50"/>
      <c r="R292" s="50"/>
      <c r="S292" s="50"/>
      <c r="T292" s="50"/>
      <c r="U292" s="50"/>
      <c r="V292" s="50"/>
      <c r="W292" s="50"/>
      <c r="X292" s="50"/>
      <c r="Y292" s="50"/>
      <c r="Z292" s="50"/>
      <c r="AA292" s="50"/>
      <c r="AB292" s="50"/>
      <c r="AC292" s="50"/>
      <c r="AD292" s="50"/>
    </row>
    <row r="293">
      <c r="A293" s="49"/>
      <c r="B293" s="49"/>
      <c r="C293" s="49"/>
      <c r="D293" s="49"/>
      <c r="E293" s="50"/>
      <c r="F293" s="50"/>
      <c r="G293" s="50"/>
      <c r="H293" s="50"/>
      <c r="I293" s="50"/>
      <c r="J293" s="50"/>
      <c r="K293" s="50"/>
      <c r="L293" s="50"/>
      <c r="M293" s="50"/>
      <c r="N293" s="50"/>
      <c r="O293" s="50"/>
      <c r="P293" s="50"/>
      <c r="Q293" s="50"/>
      <c r="R293" s="50"/>
      <c r="S293" s="50"/>
      <c r="T293" s="50"/>
      <c r="U293" s="50"/>
      <c r="V293" s="50"/>
      <c r="W293" s="50"/>
      <c r="X293" s="50"/>
      <c r="Y293" s="50"/>
      <c r="Z293" s="50"/>
      <c r="AA293" s="50"/>
      <c r="AB293" s="50"/>
      <c r="AC293" s="50"/>
      <c r="AD293" s="50"/>
    </row>
    <row r="294">
      <c r="A294" s="49"/>
      <c r="B294" s="49"/>
      <c r="C294" s="49"/>
      <c r="D294" s="49"/>
      <c r="E294" s="50"/>
      <c r="F294" s="50"/>
      <c r="G294" s="50"/>
      <c r="H294" s="50"/>
      <c r="I294" s="50"/>
      <c r="J294" s="50"/>
      <c r="K294" s="50"/>
      <c r="L294" s="50"/>
      <c r="M294" s="50"/>
      <c r="N294" s="50"/>
      <c r="O294" s="50"/>
      <c r="P294" s="50"/>
      <c r="Q294" s="50"/>
      <c r="R294" s="50"/>
      <c r="S294" s="50"/>
      <c r="T294" s="50"/>
      <c r="U294" s="50"/>
      <c r="V294" s="50"/>
      <c r="W294" s="50"/>
      <c r="X294" s="50"/>
      <c r="Y294" s="50"/>
      <c r="Z294" s="50"/>
      <c r="AA294" s="50"/>
      <c r="AB294" s="50"/>
      <c r="AC294" s="50"/>
      <c r="AD294" s="50"/>
    </row>
    <row r="295">
      <c r="A295" s="49"/>
      <c r="B295" s="49"/>
      <c r="C295" s="49"/>
      <c r="D295" s="49"/>
      <c r="E295" s="50"/>
      <c r="F295" s="50"/>
      <c r="G295" s="50"/>
      <c r="H295" s="50"/>
      <c r="I295" s="50"/>
      <c r="J295" s="50"/>
      <c r="K295" s="50"/>
      <c r="L295" s="50"/>
      <c r="M295" s="50"/>
      <c r="N295" s="50"/>
      <c r="O295" s="50"/>
      <c r="P295" s="50"/>
      <c r="Q295" s="50"/>
      <c r="R295" s="50"/>
      <c r="S295" s="50"/>
      <c r="T295" s="50"/>
      <c r="U295" s="50"/>
      <c r="V295" s="50"/>
      <c r="W295" s="50"/>
      <c r="X295" s="50"/>
      <c r="Y295" s="50"/>
      <c r="Z295" s="50"/>
      <c r="AA295" s="50"/>
      <c r="AB295" s="50"/>
      <c r="AC295" s="50"/>
      <c r="AD295" s="50"/>
    </row>
    <row r="296">
      <c r="A296" s="49"/>
      <c r="B296" s="49"/>
      <c r="C296" s="49"/>
      <c r="D296" s="49"/>
      <c r="E296" s="50"/>
      <c r="F296" s="50"/>
      <c r="G296" s="50"/>
      <c r="H296" s="50"/>
      <c r="I296" s="50"/>
      <c r="J296" s="50"/>
      <c r="K296" s="50"/>
      <c r="L296" s="50"/>
      <c r="M296" s="50"/>
      <c r="N296" s="50"/>
      <c r="O296" s="50"/>
      <c r="P296" s="50"/>
      <c r="Q296" s="50"/>
      <c r="R296" s="50"/>
      <c r="S296" s="50"/>
      <c r="T296" s="50"/>
      <c r="U296" s="50"/>
      <c r="V296" s="50"/>
      <c r="W296" s="50"/>
      <c r="X296" s="50"/>
      <c r="Y296" s="50"/>
      <c r="Z296" s="50"/>
      <c r="AA296" s="50"/>
      <c r="AB296" s="50"/>
      <c r="AC296" s="50"/>
      <c r="AD296" s="50"/>
    </row>
    <row r="297">
      <c r="A297" s="49"/>
      <c r="B297" s="49"/>
      <c r="C297" s="49"/>
      <c r="D297" s="49"/>
      <c r="E297" s="50"/>
      <c r="F297" s="50"/>
      <c r="G297" s="50"/>
      <c r="H297" s="50"/>
      <c r="I297" s="50"/>
      <c r="J297" s="50"/>
      <c r="K297" s="50"/>
      <c r="L297" s="50"/>
      <c r="M297" s="50"/>
      <c r="N297" s="50"/>
      <c r="O297" s="50"/>
      <c r="P297" s="50"/>
      <c r="Q297" s="50"/>
      <c r="R297" s="50"/>
      <c r="S297" s="50"/>
      <c r="T297" s="50"/>
      <c r="U297" s="50"/>
      <c r="V297" s="50"/>
      <c r="W297" s="50"/>
      <c r="X297" s="50"/>
      <c r="Y297" s="50"/>
      <c r="Z297" s="50"/>
      <c r="AA297" s="50"/>
      <c r="AB297" s="50"/>
      <c r="AC297" s="50"/>
      <c r="AD297" s="50"/>
    </row>
    <row r="298">
      <c r="A298" s="49"/>
      <c r="B298" s="49"/>
      <c r="C298" s="49"/>
      <c r="D298" s="49"/>
      <c r="E298" s="50"/>
      <c r="F298" s="50"/>
      <c r="G298" s="50"/>
      <c r="H298" s="50"/>
      <c r="I298" s="50"/>
      <c r="J298" s="50"/>
      <c r="K298" s="50"/>
      <c r="L298" s="50"/>
      <c r="M298" s="50"/>
      <c r="N298" s="50"/>
      <c r="O298" s="50"/>
      <c r="P298" s="50"/>
      <c r="Q298" s="50"/>
      <c r="R298" s="50"/>
      <c r="S298" s="50"/>
      <c r="T298" s="50"/>
      <c r="U298" s="50"/>
      <c r="V298" s="50"/>
      <c r="W298" s="50"/>
      <c r="X298" s="50"/>
      <c r="Y298" s="50"/>
      <c r="Z298" s="50"/>
      <c r="AA298" s="50"/>
      <c r="AB298" s="50"/>
      <c r="AC298" s="50"/>
      <c r="AD298" s="50"/>
    </row>
    <row r="299">
      <c r="A299" s="49"/>
      <c r="B299" s="49"/>
      <c r="C299" s="49"/>
      <c r="D299" s="49"/>
      <c r="E299" s="50"/>
      <c r="F299" s="50"/>
      <c r="G299" s="50"/>
      <c r="H299" s="50"/>
      <c r="I299" s="50"/>
      <c r="J299" s="50"/>
      <c r="K299" s="50"/>
      <c r="L299" s="50"/>
      <c r="M299" s="50"/>
      <c r="N299" s="50"/>
      <c r="O299" s="50"/>
      <c r="P299" s="50"/>
      <c r="Q299" s="50"/>
      <c r="R299" s="50"/>
      <c r="S299" s="50"/>
      <c r="T299" s="50"/>
      <c r="U299" s="50"/>
      <c r="V299" s="50"/>
      <c r="W299" s="50"/>
      <c r="X299" s="50"/>
      <c r="Y299" s="50"/>
      <c r="Z299" s="50"/>
      <c r="AA299" s="50"/>
      <c r="AB299" s="50"/>
      <c r="AC299" s="50"/>
      <c r="AD299" s="50"/>
    </row>
    <row r="300">
      <c r="A300" s="49"/>
      <c r="B300" s="49"/>
      <c r="C300" s="49"/>
      <c r="D300" s="49"/>
      <c r="E300" s="50"/>
      <c r="F300" s="50"/>
      <c r="G300" s="50"/>
      <c r="H300" s="50"/>
      <c r="I300" s="50"/>
      <c r="J300" s="50"/>
      <c r="K300" s="50"/>
      <c r="L300" s="50"/>
      <c r="M300" s="50"/>
      <c r="N300" s="50"/>
      <c r="O300" s="50"/>
      <c r="P300" s="50"/>
      <c r="Q300" s="50"/>
      <c r="R300" s="50"/>
      <c r="S300" s="50"/>
      <c r="T300" s="50"/>
      <c r="U300" s="50"/>
      <c r="V300" s="50"/>
      <c r="W300" s="50"/>
      <c r="X300" s="50"/>
      <c r="Y300" s="50"/>
      <c r="Z300" s="50"/>
      <c r="AA300" s="50"/>
      <c r="AB300" s="50"/>
      <c r="AC300" s="50"/>
      <c r="AD300" s="50"/>
    </row>
    <row r="301">
      <c r="A301" s="49"/>
      <c r="B301" s="49"/>
      <c r="C301" s="49"/>
      <c r="D301" s="49"/>
      <c r="E301" s="50"/>
      <c r="F301" s="50"/>
      <c r="G301" s="50"/>
      <c r="H301" s="50"/>
      <c r="I301" s="50"/>
      <c r="J301" s="50"/>
      <c r="K301" s="50"/>
      <c r="L301" s="50"/>
      <c r="M301" s="50"/>
      <c r="N301" s="50"/>
      <c r="O301" s="50"/>
      <c r="P301" s="50"/>
      <c r="Q301" s="50"/>
      <c r="R301" s="50"/>
      <c r="S301" s="50"/>
      <c r="T301" s="50"/>
      <c r="U301" s="50"/>
      <c r="V301" s="50"/>
      <c r="W301" s="50"/>
      <c r="X301" s="50"/>
      <c r="Y301" s="50"/>
      <c r="Z301" s="50"/>
      <c r="AA301" s="50"/>
      <c r="AB301" s="50"/>
      <c r="AC301" s="50"/>
      <c r="AD301" s="50"/>
    </row>
    <row r="302">
      <c r="A302" s="49"/>
      <c r="B302" s="49"/>
      <c r="C302" s="49"/>
      <c r="D302" s="49"/>
      <c r="E302" s="50"/>
      <c r="F302" s="50"/>
      <c r="G302" s="50"/>
      <c r="H302" s="50"/>
      <c r="I302" s="50"/>
      <c r="J302" s="50"/>
      <c r="K302" s="50"/>
      <c r="L302" s="50"/>
      <c r="M302" s="50"/>
      <c r="N302" s="50"/>
      <c r="O302" s="50"/>
      <c r="P302" s="50"/>
      <c r="Q302" s="50"/>
      <c r="R302" s="50"/>
      <c r="S302" s="50"/>
      <c r="T302" s="50"/>
      <c r="U302" s="50"/>
      <c r="V302" s="50"/>
      <c r="W302" s="50"/>
      <c r="X302" s="50"/>
      <c r="Y302" s="50"/>
      <c r="Z302" s="50"/>
      <c r="AA302" s="50"/>
      <c r="AB302" s="50"/>
      <c r="AC302" s="50"/>
      <c r="AD302" s="50"/>
    </row>
    <row r="303">
      <c r="A303" s="49"/>
      <c r="B303" s="49"/>
      <c r="C303" s="49"/>
      <c r="D303" s="49"/>
      <c r="E303" s="50"/>
      <c r="F303" s="50"/>
      <c r="G303" s="50"/>
      <c r="H303" s="50"/>
      <c r="I303" s="50"/>
      <c r="J303" s="50"/>
      <c r="K303" s="50"/>
      <c r="L303" s="50"/>
      <c r="M303" s="50"/>
      <c r="N303" s="50"/>
      <c r="O303" s="50"/>
      <c r="P303" s="50"/>
      <c r="Q303" s="50"/>
      <c r="R303" s="50"/>
      <c r="S303" s="50"/>
      <c r="T303" s="50"/>
      <c r="U303" s="50"/>
      <c r="V303" s="50"/>
      <c r="W303" s="50"/>
      <c r="X303" s="50"/>
      <c r="Y303" s="50"/>
      <c r="Z303" s="50"/>
      <c r="AA303" s="50"/>
      <c r="AB303" s="50"/>
      <c r="AC303" s="50"/>
      <c r="AD303" s="50"/>
    </row>
    <row r="304">
      <c r="A304" s="49"/>
      <c r="B304" s="49"/>
      <c r="C304" s="49"/>
      <c r="D304" s="49"/>
      <c r="E304" s="50"/>
      <c r="F304" s="50"/>
      <c r="G304" s="50"/>
      <c r="H304" s="50"/>
      <c r="I304" s="50"/>
      <c r="J304" s="50"/>
      <c r="K304" s="50"/>
      <c r="L304" s="50"/>
      <c r="M304" s="50"/>
      <c r="N304" s="50"/>
      <c r="O304" s="50"/>
      <c r="P304" s="50"/>
      <c r="Q304" s="50"/>
      <c r="R304" s="50"/>
      <c r="S304" s="50"/>
      <c r="T304" s="50"/>
      <c r="U304" s="50"/>
      <c r="V304" s="50"/>
      <c r="W304" s="50"/>
      <c r="X304" s="50"/>
      <c r="Y304" s="50"/>
      <c r="Z304" s="50"/>
      <c r="AA304" s="50"/>
      <c r="AB304" s="50"/>
      <c r="AC304" s="50"/>
      <c r="AD304" s="50"/>
    </row>
    <row r="305">
      <c r="A305" s="49"/>
      <c r="B305" s="49"/>
      <c r="C305" s="49"/>
      <c r="D305" s="49"/>
      <c r="E305" s="50"/>
      <c r="F305" s="50"/>
      <c r="G305" s="50"/>
      <c r="H305" s="50"/>
      <c r="I305" s="50"/>
      <c r="J305" s="50"/>
      <c r="K305" s="50"/>
      <c r="L305" s="50"/>
      <c r="M305" s="50"/>
      <c r="N305" s="50"/>
      <c r="O305" s="50"/>
      <c r="P305" s="50"/>
      <c r="Q305" s="50"/>
      <c r="R305" s="50"/>
      <c r="S305" s="50"/>
      <c r="T305" s="50"/>
      <c r="U305" s="50"/>
      <c r="V305" s="50"/>
      <c r="W305" s="50"/>
      <c r="X305" s="50"/>
      <c r="Y305" s="50"/>
      <c r="Z305" s="50"/>
      <c r="AA305" s="50"/>
      <c r="AB305" s="50"/>
      <c r="AC305" s="50"/>
      <c r="AD305" s="50"/>
    </row>
    <row r="306">
      <c r="A306" s="49"/>
      <c r="B306" s="49"/>
      <c r="C306" s="49"/>
      <c r="D306" s="49"/>
      <c r="E306" s="50"/>
      <c r="F306" s="50"/>
      <c r="G306" s="50"/>
      <c r="H306" s="50"/>
      <c r="I306" s="50"/>
      <c r="J306" s="50"/>
      <c r="K306" s="50"/>
      <c r="L306" s="50"/>
      <c r="M306" s="50"/>
      <c r="N306" s="50"/>
      <c r="O306" s="50"/>
      <c r="P306" s="50"/>
      <c r="Q306" s="50"/>
      <c r="R306" s="50"/>
      <c r="S306" s="50"/>
      <c r="T306" s="50"/>
      <c r="U306" s="50"/>
      <c r="V306" s="50"/>
      <c r="W306" s="50"/>
      <c r="X306" s="50"/>
      <c r="Y306" s="50"/>
      <c r="Z306" s="50"/>
      <c r="AA306" s="50"/>
      <c r="AB306" s="50"/>
      <c r="AC306" s="50"/>
      <c r="AD306" s="50"/>
    </row>
    <row r="307">
      <c r="A307" s="49"/>
      <c r="B307" s="49"/>
      <c r="C307" s="49"/>
      <c r="D307" s="49"/>
      <c r="E307" s="50"/>
      <c r="F307" s="50"/>
      <c r="G307" s="50"/>
      <c r="H307" s="50"/>
      <c r="I307" s="50"/>
      <c r="J307" s="50"/>
      <c r="K307" s="50"/>
      <c r="L307" s="50"/>
      <c r="M307" s="50"/>
      <c r="N307" s="50"/>
      <c r="O307" s="50"/>
      <c r="P307" s="50"/>
      <c r="Q307" s="50"/>
      <c r="R307" s="50"/>
      <c r="S307" s="50"/>
      <c r="T307" s="50"/>
      <c r="U307" s="50"/>
      <c r="V307" s="50"/>
      <c r="W307" s="50"/>
      <c r="X307" s="50"/>
      <c r="Y307" s="50"/>
      <c r="Z307" s="50"/>
      <c r="AA307" s="50"/>
      <c r="AB307" s="50"/>
      <c r="AC307" s="50"/>
      <c r="AD307" s="50"/>
    </row>
    <row r="308">
      <c r="A308" s="49"/>
      <c r="B308" s="49"/>
      <c r="C308" s="49"/>
      <c r="D308" s="49"/>
      <c r="E308" s="50"/>
      <c r="F308" s="50"/>
      <c r="G308" s="50"/>
      <c r="H308" s="50"/>
      <c r="I308" s="50"/>
      <c r="J308" s="50"/>
      <c r="K308" s="50"/>
      <c r="L308" s="50"/>
      <c r="M308" s="50"/>
      <c r="N308" s="50"/>
      <c r="O308" s="50"/>
      <c r="P308" s="50"/>
      <c r="Q308" s="50"/>
      <c r="R308" s="50"/>
      <c r="S308" s="50"/>
      <c r="T308" s="50"/>
      <c r="U308" s="50"/>
      <c r="V308" s="50"/>
      <c r="W308" s="50"/>
      <c r="X308" s="50"/>
      <c r="Y308" s="50"/>
      <c r="Z308" s="50"/>
      <c r="AA308" s="50"/>
      <c r="AB308" s="50"/>
      <c r="AC308" s="50"/>
      <c r="AD308" s="50"/>
    </row>
    <row r="309">
      <c r="A309" s="49"/>
      <c r="B309" s="49"/>
      <c r="C309" s="49"/>
      <c r="D309" s="49"/>
      <c r="E309" s="50"/>
      <c r="F309" s="50"/>
      <c r="G309" s="50"/>
      <c r="H309" s="50"/>
      <c r="I309" s="50"/>
      <c r="J309" s="50"/>
      <c r="K309" s="50"/>
      <c r="L309" s="50"/>
      <c r="M309" s="50"/>
      <c r="N309" s="50"/>
      <c r="O309" s="50"/>
      <c r="P309" s="50"/>
      <c r="Q309" s="50"/>
      <c r="R309" s="50"/>
      <c r="S309" s="50"/>
      <c r="T309" s="50"/>
      <c r="U309" s="50"/>
      <c r="V309" s="50"/>
      <c r="W309" s="50"/>
      <c r="X309" s="50"/>
      <c r="Y309" s="50"/>
      <c r="Z309" s="50"/>
      <c r="AA309" s="50"/>
      <c r="AB309" s="50"/>
      <c r="AC309" s="50"/>
      <c r="AD309" s="50"/>
    </row>
    <row r="310">
      <c r="A310" s="49"/>
      <c r="B310" s="49"/>
      <c r="C310" s="49"/>
      <c r="D310" s="49"/>
      <c r="E310" s="50"/>
      <c r="F310" s="50"/>
      <c r="G310" s="50"/>
      <c r="H310" s="50"/>
      <c r="I310" s="50"/>
      <c r="J310" s="50"/>
      <c r="K310" s="50"/>
      <c r="L310" s="50"/>
      <c r="M310" s="50"/>
      <c r="N310" s="50"/>
      <c r="O310" s="50"/>
      <c r="P310" s="50"/>
      <c r="Q310" s="50"/>
      <c r="R310" s="50"/>
      <c r="S310" s="50"/>
      <c r="T310" s="50"/>
      <c r="U310" s="50"/>
      <c r="V310" s="50"/>
      <c r="W310" s="50"/>
      <c r="X310" s="50"/>
      <c r="Y310" s="50"/>
      <c r="Z310" s="50"/>
      <c r="AA310" s="50"/>
      <c r="AB310" s="50"/>
      <c r="AC310" s="50"/>
      <c r="AD310" s="50"/>
    </row>
    <row r="311">
      <c r="A311" s="49"/>
      <c r="B311" s="49"/>
      <c r="C311" s="49"/>
      <c r="D311" s="49"/>
      <c r="E311" s="50"/>
      <c r="F311" s="50"/>
      <c r="G311" s="50"/>
      <c r="H311" s="50"/>
      <c r="I311" s="50"/>
      <c r="J311" s="50"/>
      <c r="K311" s="50"/>
      <c r="L311" s="50"/>
      <c r="M311" s="50"/>
      <c r="N311" s="50"/>
      <c r="O311" s="50"/>
      <c r="P311" s="50"/>
      <c r="Q311" s="50"/>
      <c r="R311" s="50"/>
      <c r="S311" s="50"/>
      <c r="T311" s="50"/>
      <c r="U311" s="50"/>
      <c r="V311" s="50"/>
      <c r="W311" s="50"/>
      <c r="X311" s="50"/>
      <c r="Y311" s="50"/>
      <c r="Z311" s="50"/>
      <c r="AA311" s="50"/>
      <c r="AB311" s="50"/>
      <c r="AC311" s="50"/>
      <c r="AD311" s="50"/>
    </row>
    <row r="312">
      <c r="A312" s="49"/>
      <c r="B312" s="49"/>
      <c r="C312" s="49"/>
      <c r="D312" s="49"/>
      <c r="E312" s="50"/>
      <c r="F312" s="50"/>
      <c r="G312" s="50"/>
      <c r="H312" s="50"/>
      <c r="I312" s="50"/>
      <c r="J312" s="50"/>
      <c r="K312" s="50"/>
      <c r="L312" s="50"/>
      <c r="M312" s="50"/>
      <c r="N312" s="50"/>
      <c r="O312" s="50"/>
      <c r="P312" s="50"/>
      <c r="Q312" s="50"/>
      <c r="R312" s="50"/>
      <c r="S312" s="50"/>
      <c r="T312" s="50"/>
      <c r="U312" s="50"/>
      <c r="V312" s="50"/>
      <c r="W312" s="50"/>
      <c r="X312" s="50"/>
      <c r="Y312" s="50"/>
      <c r="Z312" s="50"/>
      <c r="AA312" s="50"/>
      <c r="AB312" s="50"/>
      <c r="AC312" s="50"/>
      <c r="AD312" s="50"/>
    </row>
    <row r="313">
      <c r="A313" s="49"/>
      <c r="B313" s="49"/>
      <c r="C313" s="49"/>
      <c r="D313" s="49"/>
      <c r="E313" s="50"/>
      <c r="F313" s="50"/>
      <c r="G313" s="50"/>
      <c r="H313" s="50"/>
      <c r="I313" s="50"/>
      <c r="J313" s="50"/>
      <c r="K313" s="50"/>
      <c r="L313" s="50"/>
      <c r="M313" s="50"/>
      <c r="N313" s="50"/>
      <c r="O313" s="50"/>
      <c r="P313" s="50"/>
      <c r="Q313" s="50"/>
      <c r="R313" s="50"/>
      <c r="S313" s="50"/>
      <c r="T313" s="50"/>
      <c r="U313" s="50"/>
      <c r="V313" s="50"/>
      <c r="W313" s="50"/>
      <c r="X313" s="50"/>
      <c r="Y313" s="50"/>
      <c r="Z313" s="50"/>
      <c r="AA313" s="50"/>
      <c r="AB313" s="50"/>
      <c r="AC313" s="50"/>
      <c r="AD313" s="50"/>
    </row>
    <row r="314">
      <c r="A314" s="49"/>
      <c r="B314" s="49"/>
      <c r="C314" s="49"/>
      <c r="D314" s="49"/>
      <c r="E314" s="50"/>
      <c r="F314" s="50"/>
      <c r="G314" s="50"/>
      <c r="H314" s="50"/>
      <c r="I314" s="50"/>
      <c r="J314" s="50"/>
      <c r="K314" s="50"/>
      <c r="L314" s="50"/>
      <c r="M314" s="50"/>
      <c r="N314" s="50"/>
      <c r="O314" s="50"/>
      <c r="P314" s="50"/>
      <c r="Q314" s="50"/>
      <c r="R314" s="50"/>
      <c r="S314" s="50"/>
      <c r="T314" s="50"/>
      <c r="U314" s="50"/>
      <c r="V314" s="50"/>
      <c r="W314" s="50"/>
      <c r="X314" s="50"/>
      <c r="Y314" s="50"/>
      <c r="Z314" s="50"/>
      <c r="AA314" s="50"/>
      <c r="AB314" s="50"/>
      <c r="AC314" s="50"/>
      <c r="AD314" s="50"/>
    </row>
    <row r="315">
      <c r="A315" s="49"/>
      <c r="B315" s="49"/>
      <c r="C315" s="49"/>
      <c r="D315" s="49"/>
      <c r="E315" s="50"/>
      <c r="F315" s="50"/>
      <c r="G315" s="50"/>
      <c r="H315" s="50"/>
      <c r="I315" s="50"/>
      <c r="J315" s="50"/>
      <c r="K315" s="50"/>
      <c r="L315" s="50"/>
      <c r="M315" s="50"/>
      <c r="N315" s="50"/>
      <c r="O315" s="50"/>
      <c r="P315" s="50"/>
      <c r="Q315" s="50"/>
      <c r="R315" s="50"/>
      <c r="S315" s="50"/>
      <c r="T315" s="50"/>
      <c r="U315" s="50"/>
      <c r="V315" s="50"/>
      <c r="W315" s="50"/>
      <c r="X315" s="50"/>
      <c r="Y315" s="50"/>
      <c r="Z315" s="50"/>
      <c r="AA315" s="50"/>
      <c r="AB315" s="50"/>
      <c r="AC315" s="50"/>
      <c r="AD315" s="50"/>
    </row>
    <row r="316">
      <c r="A316" s="49"/>
      <c r="B316" s="49"/>
      <c r="C316" s="49"/>
      <c r="D316" s="49"/>
      <c r="E316" s="50"/>
      <c r="F316" s="50"/>
      <c r="G316" s="50"/>
      <c r="H316" s="50"/>
      <c r="I316" s="50"/>
      <c r="J316" s="50"/>
      <c r="K316" s="50"/>
      <c r="L316" s="50"/>
      <c r="M316" s="50"/>
      <c r="N316" s="50"/>
      <c r="O316" s="50"/>
      <c r="P316" s="50"/>
      <c r="Q316" s="50"/>
      <c r="R316" s="50"/>
      <c r="S316" s="50"/>
      <c r="T316" s="50"/>
      <c r="U316" s="50"/>
      <c r="V316" s="50"/>
      <c r="W316" s="50"/>
      <c r="X316" s="50"/>
      <c r="Y316" s="50"/>
      <c r="Z316" s="50"/>
      <c r="AA316" s="50"/>
      <c r="AB316" s="50"/>
      <c r="AC316" s="50"/>
      <c r="AD316" s="50"/>
    </row>
    <row r="317">
      <c r="A317" s="49"/>
      <c r="B317" s="49"/>
      <c r="C317" s="49"/>
      <c r="D317" s="49"/>
      <c r="E317" s="50"/>
      <c r="F317" s="50"/>
      <c r="G317" s="50"/>
      <c r="H317" s="50"/>
      <c r="I317" s="50"/>
      <c r="J317" s="50"/>
      <c r="K317" s="50"/>
      <c r="L317" s="50"/>
      <c r="M317" s="50"/>
      <c r="N317" s="50"/>
      <c r="O317" s="50"/>
      <c r="P317" s="50"/>
      <c r="Q317" s="50"/>
      <c r="R317" s="50"/>
      <c r="S317" s="50"/>
      <c r="T317" s="50"/>
      <c r="U317" s="50"/>
      <c r="V317" s="50"/>
      <c r="W317" s="50"/>
      <c r="X317" s="50"/>
      <c r="Y317" s="50"/>
      <c r="Z317" s="50"/>
      <c r="AA317" s="50"/>
      <c r="AB317" s="50"/>
      <c r="AC317" s="50"/>
      <c r="AD317" s="50"/>
    </row>
    <row r="318">
      <c r="A318" s="49"/>
      <c r="B318" s="49"/>
      <c r="C318" s="49"/>
      <c r="D318" s="49"/>
      <c r="E318" s="50"/>
      <c r="F318" s="50"/>
      <c r="G318" s="50"/>
      <c r="H318" s="50"/>
      <c r="I318" s="50"/>
      <c r="J318" s="50"/>
      <c r="K318" s="50"/>
      <c r="L318" s="50"/>
      <c r="M318" s="50"/>
      <c r="N318" s="50"/>
      <c r="O318" s="50"/>
      <c r="P318" s="50"/>
      <c r="Q318" s="50"/>
      <c r="R318" s="50"/>
      <c r="S318" s="50"/>
      <c r="T318" s="50"/>
      <c r="U318" s="50"/>
      <c r="V318" s="50"/>
      <c r="W318" s="50"/>
      <c r="X318" s="50"/>
      <c r="Y318" s="50"/>
      <c r="Z318" s="50"/>
      <c r="AA318" s="50"/>
      <c r="AB318" s="50"/>
      <c r="AC318" s="50"/>
      <c r="AD318" s="50"/>
    </row>
    <row r="319">
      <c r="A319" s="49"/>
      <c r="B319" s="49"/>
      <c r="C319" s="49"/>
      <c r="D319" s="49"/>
      <c r="E319" s="50"/>
      <c r="F319" s="50"/>
      <c r="G319" s="50"/>
      <c r="H319" s="50"/>
      <c r="I319" s="50"/>
      <c r="J319" s="50"/>
      <c r="K319" s="50"/>
      <c r="L319" s="50"/>
      <c r="M319" s="50"/>
      <c r="N319" s="50"/>
      <c r="O319" s="50"/>
      <c r="P319" s="50"/>
      <c r="Q319" s="50"/>
      <c r="R319" s="50"/>
      <c r="S319" s="50"/>
      <c r="T319" s="50"/>
      <c r="U319" s="50"/>
      <c r="V319" s="50"/>
      <c r="W319" s="50"/>
      <c r="X319" s="50"/>
      <c r="Y319" s="50"/>
      <c r="Z319" s="50"/>
      <c r="AA319" s="50"/>
      <c r="AB319" s="50"/>
      <c r="AC319" s="50"/>
      <c r="AD319" s="50"/>
    </row>
    <row r="320">
      <c r="A320" s="49"/>
      <c r="B320" s="49"/>
      <c r="C320" s="49"/>
      <c r="D320" s="49"/>
      <c r="E320" s="50"/>
      <c r="F320" s="50"/>
      <c r="G320" s="50"/>
      <c r="H320" s="50"/>
      <c r="I320" s="50"/>
      <c r="J320" s="50"/>
      <c r="K320" s="50"/>
      <c r="L320" s="50"/>
      <c r="M320" s="50"/>
      <c r="N320" s="50"/>
      <c r="O320" s="50"/>
      <c r="P320" s="50"/>
      <c r="Q320" s="50"/>
      <c r="R320" s="50"/>
      <c r="S320" s="50"/>
      <c r="T320" s="50"/>
      <c r="U320" s="50"/>
      <c r="V320" s="50"/>
      <c r="W320" s="50"/>
      <c r="X320" s="50"/>
      <c r="Y320" s="50"/>
      <c r="Z320" s="50"/>
      <c r="AA320" s="50"/>
      <c r="AB320" s="50"/>
      <c r="AC320" s="50"/>
      <c r="AD320" s="50"/>
    </row>
    <row r="321">
      <c r="A321" s="49"/>
      <c r="B321" s="49"/>
      <c r="C321" s="49"/>
      <c r="D321" s="49"/>
      <c r="E321" s="50"/>
      <c r="F321" s="50"/>
      <c r="G321" s="50"/>
      <c r="H321" s="50"/>
      <c r="I321" s="50"/>
      <c r="J321" s="50"/>
      <c r="K321" s="50"/>
      <c r="L321" s="50"/>
      <c r="M321" s="50"/>
      <c r="N321" s="50"/>
      <c r="O321" s="50"/>
      <c r="P321" s="50"/>
      <c r="Q321" s="50"/>
      <c r="R321" s="50"/>
      <c r="S321" s="50"/>
      <c r="T321" s="50"/>
      <c r="U321" s="50"/>
      <c r="V321" s="50"/>
      <c r="W321" s="50"/>
      <c r="X321" s="50"/>
      <c r="Y321" s="50"/>
      <c r="Z321" s="50"/>
      <c r="AA321" s="50"/>
      <c r="AB321" s="50"/>
      <c r="AC321" s="50"/>
      <c r="AD321" s="50"/>
    </row>
    <row r="322">
      <c r="A322" s="49"/>
      <c r="B322" s="49"/>
      <c r="C322" s="49"/>
      <c r="D322" s="49"/>
      <c r="E322" s="50"/>
      <c r="F322" s="50"/>
      <c r="G322" s="50"/>
      <c r="H322" s="50"/>
      <c r="I322" s="50"/>
      <c r="J322" s="50"/>
      <c r="K322" s="50"/>
      <c r="L322" s="50"/>
      <c r="M322" s="50"/>
      <c r="N322" s="50"/>
      <c r="O322" s="50"/>
      <c r="P322" s="50"/>
      <c r="Q322" s="50"/>
      <c r="R322" s="50"/>
      <c r="S322" s="50"/>
      <c r="T322" s="50"/>
      <c r="U322" s="50"/>
      <c r="V322" s="50"/>
      <c r="W322" s="50"/>
      <c r="X322" s="50"/>
      <c r="Y322" s="50"/>
      <c r="Z322" s="50"/>
      <c r="AA322" s="50"/>
      <c r="AB322" s="50"/>
      <c r="AC322" s="50"/>
      <c r="AD322" s="50"/>
    </row>
    <row r="323">
      <c r="A323" s="49"/>
      <c r="B323" s="49"/>
      <c r="C323" s="49"/>
      <c r="D323" s="49"/>
      <c r="E323" s="50"/>
      <c r="F323" s="50"/>
      <c r="G323" s="50"/>
      <c r="H323" s="50"/>
      <c r="I323" s="50"/>
      <c r="J323" s="50"/>
      <c r="K323" s="50"/>
      <c r="L323" s="50"/>
      <c r="M323" s="50"/>
      <c r="N323" s="50"/>
      <c r="O323" s="50"/>
      <c r="P323" s="50"/>
      <c r="Q323" s="50"/>
      <c r="R323" s="50"/>
      <c r="S323" s="50"/>
      <c r="T323" s="50"/>
      <c r="U323" s="50"/>
      <c r="V323" s="50"/>
      <c r="W323" s="50"/>
      <c r="X323" s="50"/>
      <c r="Y323" s="50"/>
      <c r="Z323" s="50"/>
      <c r="AA323" s="50"/>
      <c r="AB323" s="50"/>
      <c r="AC323" s="50"/>
      <c r="AD323" s="50"/>
    </row>
    <row r="324">
      <c r="A324" s="49"/>
      <c r="B324" s="49"/>
      <c r="C324" s="49"/>
      <c r="D324" s="49"/>
      <c r="E324" s="50"/>
      <c r="F324" s="50"/>
      <c r="G324" s="50"/>
      <c r="H324" s="50"/>
      <c r="I324" s="50"/>
      <c r="J324" s="50"/>
      <c r="K324" s="50"/>
      <c r="L324" s="50"/>
      <c r="M324" s="50"/>
      <c r="N324" s="50"/>
      <c r="O324" s="50"/>
      <c r="P324" s="50"/>
      <c r="Q324" s="50"/>
      <c r="R324" s="50"/>
      <c r="S324" s="50"/>
      <c r="T324" s="50"/>
      <c r="U324" s="50"/>
      <c r="V324" s="50"/>
      <c r="W324" s="50"/>
      <c r="X324" s="50"/>
      <c r="Y324" s="50"/>
      <c r="Z324" s="50"/>
      <c r="AA324" s="50"/>
      <c r="AB324" s="50"/>
      <c r="AC324" s="50"/>
      <c r="AD324" s="50"/>
    </row>
    <row r="325">
      <c r="A325" s="49"/>
      <c r="B325" s="49"/>
      <c r="C325" s="49"/>
      <c r="D325" s="49"/>
      <c r="E325" s="50"/>
      <c r="F325" s="50"/>
      <c r="G325" s="50"/>
      <c r="H325" s="50"/>
      <c r="I325" s="50"/>
      <c r="J325" s="50"/>
      <c r="K325" s="50"/>
      <c r="L325" s="50"/>
      <c r="M325" s="50"/>
      <c r="N325" s="50"/>
      <c r="O325" s="50"/>
      <c r="P325" s="50"/>
      <c r="Q325" s="50"/>
      <c r="R325" s="50"/>
      <c r="S325" s="50"/>
      <c r="T325" s="50"/>
      <c r="U325" s="50"/>
      <c r="V325" s="50"/>
      <c r="W325" s="50"/>
      <c r="X325" s="50"/>
      <c r="Y325" s="50"/>
      <c r="Z325" s="50"/>
      <c r="AA325" s="50"/>
      <c r="AB325" s="50"/>
      <c r="AC325" s="50"/>
      <c r="AD325" s="50"/>
    </row>
    <row r="326">
      <c r="A326" s="49"/>
      <c r="B326" s="49"/>
      <c r="C326" s="49"/>
      <c r="D326" s="49"/>
      <c r="E326" s="50"/>
      <c r="F326" s="50"/>
      <c r="G326" s="50"/>
      <c r="H326" s="50"/>
      <c r="I326" s="50"/>
      <c r="J326" s="50"/>
      <c r="K326" s="50"/>
      <c r="L326" s="50"/>
      <c r="M326" s="50"/>
      <c r="N326" s="50"/>
      <c r="O326" s="50"/>
      <c r="P326" s="50"/>
      <c r="Q326" s="50"/>
      <c r="R326" s="50"/>
      <c r="S326" s="50"/>
      <c r="T326" s="50"/>
      <c r="U326" s="50"/>
      <c r="V326" s="50"/>
      <c r="W326" s="50"/>
      <c r="X326" s="50"/>
      <c r="Y326" s="50"/>
      <c r="Z326" s="50"/>
      <c r="AA326" s="50"/>
      <c r="AB326" s="50"/>
      <c r="AC326" s="50"/>
      <c r="AD326" s="50"/>
    </row>
    <row r="327">
      <c r="A327" s="49"/>
      <c r="B327" s="49"/>
      <c r="C327" s="49"/>
      <c r="D327" s="49"/>
      <c r="E327" s="50"/>
      <c r="F327" s="50"/>
      <c r="G327" s="50"/>
      <c r="H327" s="50"/>
      <c r="I327" s="50"/>
      <c r="J327" s="50"/>
      <c r="K327" s="50"/>
      <c r="L327" s="50"/>
      <c r="M327" s="50"/>
      <c r="N327" s="50"/>
      <c r="O327" s="50"/>
      <c r="P327" s="50"/>
      <c r="Q327" s="50"/>
      <c r="R327" s="50"/>
      <c r="S327" s="50"/>
      <c r="T327" s="50"/>
      <c r="U327" s="50"/>
      <c r="V327" s="50"/>
      <c r="W327" s="50"/>
      <c r="X327" s="50"/>
      <c r="Y327" s="50"/>
      <c r="Z327" s="50"/>
      <c r="AA327" s="50"/>
      <c r="AB327" s="50"/>
      <c r="AC327" s="50"/>
      <c r="AD327" s="50"/>
    </row>
    <row r="328">
      <c r="A328" s="49"/>
      <c r="B328" s="49"/>
      <c r="C328" s="49"/>
      <c r="D328" s="49"/>
      <c r="E328" s="50"/>
      <c r="F328" s="50"/>
      <c r="G328" s="50"/>
      <c r="H328" s="50"/>
      <c r="I328" s="50"/>
      <c r="J328" s="50"/>
      <c r="K328" s="50"/>
      <c r="L328" s="50"/>
      <c r="M328" s="50"/>
      <c r="N328" s="50"/>
      <c r="O328" s="50"/>
      <c r="P328" s="50"/>
      <c r="Q328" s="50"/>
      <c r="R328" s="50"/>
      <c r="S328" s="50"/>
      <c r="T328" s="50"/>
      <c r="U328" s="50"/>
      <c r="V328" s="50"/>
      <c r="W328" s="50"/>
      <c r="X328" s="50"/>
      <c r="Y328" s="50"/>
      <c r="Z328" s="50"/>
      <c r="AA328" s="50"/>
      <c r="AB328" s="50"/>
      <c r="AC328" s="50"/>
      <c r="AD328" s="50"/>
    </row>
    <row r="329">
      <c r="A329" s="49"/>
      <c r="B329" s="49"/>
      <c r="C329" s="49"/>
      <c r="D329" s="49"/>
      <c r="E329" s="50"/>
      <c r="F329" s="50"/>
      <c r="G329" s="50"/>
      <c r="H329" s="50"/>
      <c r="I329" s="50"/>
      <c r="J329" s="50"/>
      <c r="K329" s="50"/>
      <c r="L329" s="50"/>
      <c r="M329" s="50"/>
      <c r="N329" s="50"/>
      <c r="O329" s="50"/>
      <c r="P329" s="50"/>
      <c r="Q329" s="50"/>
      <c r="R329" s="50"/>
      <c r="S329" s="50"/>
      <c r="T329" s="50"/>
      <c r="U329" s="50"/>
      <c r="V329" s="50"/>
      <c r="W329" s="50"/>
      <c r="X329" s="50"/>
      <c r="Y329" s="50"/>
      <c r="Z329" s="50"/>
      <c r="AA329" s="50"/>
      <c r="AB329" s="50"/>
      <c r="AC329" s="50"/>
      <c r="AD329" s="50"/>
    </row>
    <row r="330">
      <c r="A330" s="49"/>
      <c r="B330" s="49"/>
      <c r="C330" s="49"/>
      <c r="D330" s="49"/>
      <c r="E330" s="50"/>
      <c r="F330" s="50"/>
      <c r="G330" s="50"/>
      <c r="H330" s="50"/>
      <c r="I330" s="50"/>
      <c r="J330" s="50"/>
      <c r="K330" s="50"/>
      <c r="L330" s="50"/>
      <c r="M330" s="50"/>
      <c r="N330" s="50"/>
      <c r="O330" s="50"/>
      <c r="P330" s="50"/>
      <c r="Q330" s="50"/>
      <c r="R330" s="50"/>
      <c r="S330" s="50"/>
      <c r="T330" s="50"/>
      <c r="U330" s="50"/>
      <c r="V330" s="50"/>
      <c r="W330" s="50"/>
      <c r="X330" s="50"/>
      <c r="Y330" s="50"/>
      <c r="Z330" s="50"/>
      <c r="AA330" s="50"/>
      <c r="AB330" s="50"/>
      <c r="AC330" s="50"/>
      <c r="AD330" s="50"/>
    </row>
    <row r="331">
      <c r="A331" s="49"/>
      <c r="B331" s="49"/>
      <c r="C331" s="49"/>
      <c r="D331" s="49"/>
      <c r="E331" s="50"/>
      <c r="F331" s="50"/>
      <c r="G331" s="50"/>
      <c r="H331" s="50"/>
      <c r="I331" s="50"/>
      <c r="J331" s="50"/>
      <c r="K331" s="50"/>
      <c r="L331" s="50"/>
      <c r="M331" s="50"/>
      <c r="N331" s="50"/>
      <c r="O331" s="50"/>
      <c r="P331" s="50"/>
      <c r="Q331" s="50"/>
      <c r="R331" s="50"/>
      <c r="S331" s="50"/>
      <c r="T331" s="50"/>
      <c r="U331" s="50"/>
      <c r="V331" s="50"/>
      <c r="W331" s="50"/>
      <c r="X331" s="50"/>
      <c r="Y331" s="50"/>
      <c r="Z331" s="50"/>
      <c r="AA331" s="50"/>
      <c r="AB331" s="50"/>
      <c r="AC331" s="50"/>
      <c r="AD331" s="50"/>
    </row>
    <row r="332">
      <c r="A332" s="49"/>
      <c r="B332" s="49"/>
      <c r="C332" s="49"/>
      <c r="D332" s="49"/>
      <c r="E332" s="50"/>
      <c r="F332" s="50"/>
      <c r="G332" s="50"/>
      <c r="H332" s="50"/>
      <c r="I332" s="50"/>
      <c r="J332" s="50"/>
      <c r="K332" s="50"/>
      <c r="L332" s="50"/>
      <c r="M332" s="50"/>
      <c r="N332" s="50"/>
      <c r="O332" s="50"/>
      <c r="P332" s="50"/>
      <c r="Q332" s="50"/>
      <c r="R332" s="50"/>
      <c r="S332" s="50"/>
      <c r="T332" s="50"/>
      <c r="U332" s="50"/>
      <c r="V332" s="50"/>
      <c r="W332" s="50"/>
      <c r="X332" s="50"/>
      <c r="Y332" s="50"/>
      <c r="Z332" s="50"/>
      <c r="AA332" s="50"/>
      <c r="AB332" s="50"/>
      <c r="AC332" s="50"/>
      <c r="AD332" s="50"/>
    </row>
    <row r="333">
      <c r="A333" s="49"/>
      <c r="B333" s="49"/>
      <c r="C333" s="49"/>
      <c r="D333" s="49"/>
      <c r="E333" s="50"/>
      <c r="F333" s="50"/>
      <c r="G333" s="50"/>
      <c r="H333" s="50"/>
      <c r="I333" s="50"/>
      <c r="J333" s="50"/>
      <c r="K333" s="50"/>
      <c r="L333" s="50"/>
      <c r="M333" s="50"/>
      <c r="N333" s="50"/>
      <c r="O333" s="50"/>
      <c r="P333" s="50"/>
      <c r="Q333" s="50"/>
      <c r="R333" s="50"/>
      <c r="S333" s="50"/>
      <c r="T333" s="50"/>
      <c r="U333" s="50"/>
      <c r="V333" s="50"/>
      <c r="W333" s="50"/>
      <c r="X333" s="50"/>
      <c r="Y333" s="50"/>
      <c r="Z333" s="50"/>
      <c r="AA333" s="50"/>
      <c r="AB333" s="50"/>
      <c r="AC333" s="50"/>
      <c r="AD333" s="50"/>
    </row>
    <row r="334">
      <c r="A334" s="49"/>
      <c r="B334" s="49"/>
      <c r="C334" s="49"/>
      <c r="D334" s="49"/>
      <c r="E334" s="50"/>
      <c r="F334" s="50"/>
      <c r="G334" s="50"/>
      <c r="H334" s="50"/>
      <c r="I334" s="50"/>
      <c r="J334" s="50"/>
      <c r="K334" s="50"/>
      <c r="L334" s="50"/>
      <c r="M334" s="50"/>
      <c r="N334" s="50"/>
      <c r="O334" s="50"/>
      <c r="P334" s="50"/>
      <c r="Q334" s="50"/>
      <c r="R334" s="50"/>
      <c r="S334" s="50"/>
      <c r="T334" s="50"/>
      <c r="U334" s="50"/>
      <c r="V334" s="50"/>
      <c r="W334" s="50"/>
      <c r="X334" s="50"/>
      <c r="Y334" s="50"/>
      <c r="Z334" s="50"/>
      <c r="AA334" s="50"/>
      <c r="AB334" s="50"/>
      <c r="AC334" s="50"/>
      <c r="AD334" s="50"/>
    </row>
    <row r="335">
      <c r="A335" s="49"/>
      <c r="B335" s="49"/>
      <c r="C335" s="49"/>
      <c r="D335" s="49"/>
      <c r="E335" s="50"/>
      <c r="F335" s="50"/>
      <c r="G335" s="50"/>
      <c r="H335" s="50"/>
      <c r="I335" s="50"/>
      <c r="J335" s="50"/>
      <c r="K335" s="50"/>
      <c r="L335" s="50"/>
      <c r="M335" s="50"/>
      <c r="N335" s="50"/>
      <c r="O335" s="50"/>
      <c r="P335" s="50"/>
      <c r="Q335" s="50"/>
      <c r="R335" s="50"/>
      <c r="S335" s="50"/>
      <c r="T335" s="50"/>
      <c r="U335" s="50"/>
      <c r="V335" s="50"/>
      <c r="W335" s="50"/>
      <c r="X335" s="50"/>
      <c r="Y335" s="50"/>
      <c r="Z335" s="50"/>
      <c r="AA335" s="50"/>
      <c r="AB335" s="50"/>
      <c r="AC335" s="50"/>
      <c r="AD335" s="50"/>
    </row>
    <row r="336">
      <c r="A336" s="49"/>
      <c r="B336" s="49"/>
      <c r="C336" s="49"/>
      <c r="D336" s="49"/>
      <c r="E336" s="50"/>
      <c r="F336" s="50"/>
      <c r="G336" s="50"/>
      <c r="H336" s="50"/>
      <c r="I336" s="50"/>
      <c r="J336" s="50"/>
      <c r="K336" s="50"/>
      <c r="L336" s="50"/>
      <c r="M336" s="50"/>
      <c r="N336" s="50"/>
      <c r="O336" s="50"/>
      <c r="P336" s="50"/>
      <c r="Q336" s="50"/>
      <c r="R336" s="50"/>
      <c r="S336" s="50"/>
      <c r="T336" s="50"/>
      <c r="U336" s="50"/>
      <c r="V336" s="50"/>
      <c r="W336" s="50"/>
      <c r="X336" s="50"/>
      <c r="Y336" s="50"/>
      <c r="Z336" s="50"/>
      <c r="AA336" s="50"/>
      <c r="AB336" s="50"/>
      <c r="AC336" s="50"/>
      <c r="AD336" s="50"/>
    </row>
    <row r="337">
      <c r="A337" s="49"/>
      <c r="B337" s="49"/>
      <c r="C337" s="49"/>
      <c r="D337" s="49"/>
      <c r="E337" s="50"/>
      <c r="F337" s="50"/>
      <c r="G337" s="50"/>
      <c r="H337" s="50"/>
      <c r="I337" s="50"/>
      <c r="J337" s="50"/>
      <c r="K337" s="50"/>
      <c r="L337" s="50"/>
      <c r="M337" s="50"/>
      <c r="N337" s="50"/>
      <c r="O337" s="50"/>
      <c r="P337" s="50"/>
      <c r="Q337" s="50"/>
      <c r="R337" s="50"/>
      <c r="S337" s="50"/>
      <c r="T337" s="50"/>
      <c r="U337" s="50"/>
      <c r="V337" s="50"/>
      <c r="W337" s="50"/>
      <c r="X337" s="50"/>
      <c r="Y337" s="50"/>
      <c r="Z337" s="50"/>
      <c r="AA337" s="50"/>
      <c r="AB337" s="50"/>
      <c r="AC337" s="50"/>
      <c r="AD337" s="50"/>
    </row>
    <row r="338">
      <c r="A338" s="49"/>
      <c r="B338" s="49"/>
      <c r="C338" s="49"/>
      <c r="D338" s="49"/>
      <c r="E338" s="50"/>
      <c r="F338" s="50"/>
      <c r="G338" s="50"/>
      <c r="H338" s="50"/>
      <c r="I338" s="50"/>
      <c r="J338" s="50"/>
      <c r="K338" s="50"/>
      <c r="L338" s="50"/>
      <c r="M338" s="50"/>
      <c r="N338" s="50"/>
      <c r="O338" s="50"/>
      <c r="P338" s="50"/>
      <c r="Q338" s="50"/>
      <c r="R338" s="50"/>
      <c r="S338" s="50"/>
      <c r="T338" s="50"/>
      <c r="U338" s="50"/>
      <c r="V338" s="50"/>
      <c r="W338" s="50"/>
      <c r="X338" s="50"/>
      <c r="Y338" s="50"/>
      <c r="Z338" s="50"/>
      <c r="AA338" s="50"/>
      <c r="AB338" s="50"/>
      <c r="AC338" s="50"/>
      <c r="AD338" s="50"/>
    </row>
    <row r="339">
      <c r="A339" s="49"/>
      <c r="B339" s="49"/>
      <c r="C339" s="49"/>
      <c r="D339" s="49"/>
      <c r="E339" s="50"/>
      <c r="F339" s="50"/>
      <c r="G339" s="50"/>
      <c r="H339" s="50"/>
      <c r="I339" s="50"/>
      <c r="J339" s="50"/>
      <c r="K339" s="50"/>
      <c r="L339" s="50"/>
      <c r="M339" s="50"/>
      <c r="N339" s="50"/>
      <c r="O339" s="50"/>
      <c r="P339" s="50"/>
      <c r="Q339" s="50"/>
      <c r="R339" s="50"/>
      <c r="S339" s="50"/>
      <c r="T339" s="50"/>
      <c r="U339" s="50"/>
      <c r="V339" s="50"/>
      <c r="W339" s="50"/>
      <c r="X339" s="50"/>
      <c r="Y339" s="50"/>
      <c r="Z339" s="50"/>
      <c r="AA339" s="50"/>
      <c r="AB339" s="50"/>
      <c r="AC339" s="50"/>
      <c r="AD339" s="50"/>
    </row>
    <row r="340">
      <c r="A340" s="49"/>
      <c r="B340" s="49"/>
      <c r="C340" s="49"/>
      <c r="D340" s="49"/>
      <c r="E340" s="50"/>
      <c r="F340" s="50"/>
      <c r="G340" s="50"/>
      <c r="H340" s="50"/>
      <c r="I340" s="50"/>
      <c r="J340" s="50"/>
      <c r="K340" s="50"/>
      <c r="L340" s="50"/>
      <c r="M340" s="50"/>
      <c r="N340" s="50"/>
      <c r="O340" s="50"/>
      <c r="P340" s="50"/>
      <c r="Q340" s="50"/>
      <c r="R340" s="50"/>
      <c r="S340" s="50"/>
      <c r="T340" s="50"/>
      <c r="U340" s="50"/>
      <c r="V340" s="50"/>
      <c r="W340" s="50"/>
      <c r="X340" s="50"/>
      <c r="Y340" s="50"/>
      <c r="Z340" s="50"/>
      <c r="AA340" s="50"/>
      <c r="AB340" s="50"/>
      <c r="AC340" s="50"/>
      <c r="AD340" s="50"/>
    </row>
    <row r="341">
      <c r="A341" s="49"/>
      <c r="B341" s="49"/>
      <c r="C341" s="49"/>
      <c r="D341" s="49"/>
      <c r="E341" s="50"/>
      <c r="F341" s="50"/>
      <c r="G341" s="50"/>
      <c r="H341" s="50"/>
      <c r="I341" s="50"/>
      <c r="J341" s="50"/>
      <c r="K341" s="50"/>
      <c r="L341" s="50"/>
      <c r="M341" s="50"/>
      <c r="N341" s="50"/>
      <c r="O341" s="50"/>
      <c r="P341" s="50"/>
      <c r="Q341" s="50"/>
      <c r="R341" s="50"/>
      <c r="S341" s="50"/>
      <c r="T341" s="50"/>
      <c r="U341" s="50"/>
      <c r="V341" s="50"/>
      <c r="W341" s="50"/>
      <c r="X341" s="50"/>
      <c r="Y341" s="50"/>
      <c r="Z341" s="50"/>
      <c r="AA341" s="50"/>
      <c r="AB341" s="50"/>
      <c r="AC341" s="50"/>
      <c r="AD341" s="50"/>
    </row>
    <row r="342">
      <c r="A342" s="49"/>
      <c r="B342" s="49"/>
      <c r="C342" s="49"/>
      <c r="D342" s="49"/>
      <c r="E342" s="50"/>
      <c r="F342" s="50"/>
      <c r="G342" s="50"/>
      <c r="H342" s="50"/>
      <c r="I342" s="50"/>
      <c r="J342" s="50"/>
      <c r="K342" s="50"/>
      <c r="L342" s="50"/>
      <c r="M342" s="50"/>
      <c r="N342" s="50"/>
      <c r="O342" s="50"/>
      <c r="P342" s="50"/>
      <c r="Q342" s="50"/>
      <c r="R342" s="50"/>
      <c r="S342" s="50"/>
      <c r="T342" s="50"/>
      <c r="U342" s="50"/>
      <c r="V342" s="50"/>
      <c r="W342" s="50"/>
      <c r="X342" s="50"/>
      <c r="Y342" s="50"/>
      <c r="Z342" s="50"/>
      <c r="AA342" s="50"/>
      <c r="AB342" s="50"/>
      <c r="AC342" s="50"/>
      <c r="AD342" s="50"/>
    </row>
    <row r="343">
      <c r="A343" s="49"/>
      <c r="B343" s="49"/>
      <c r="C343" s="49"/>
      <c r="D343" s="49"/>
      <c r="E343" s="50"/>
      <c r="F343" s="50"/>
      <c r="G343" s="50"/>
      <c r="H343" s="50"/>
      <c r="I343" s="50"/>
      <c r="J343" s="50"/>
      <c r="K343" s="50"/>
      <c r="L343" s="50"/>
      <c r="M343" s="50"/>
      <c r="N343" s="50"/>
      <c r="O343" s="50"/>
      <c r="P343" s="50"/>
      <c r="Q343" s="50"/>
      <c r="R343" s="50"/>
      <c r="S343" s="50"/>
      <c r="T343" s="50"/>
      <c r="U343" s="50"/>
      <c r="V343" s="50"/>
      <c r="W343" s="50"/>
      <c r="X343" s="50"/>
      <c r="Y343" s="50"/>
      <c r="Z343" s="50"/>
      <c r="AA343" s="50"/>
      <c r="AB343" s="50"/>
      <c r="AC343" s="50"/>
      <c r="AD343" s="50"/>
    </row>
    <row r="344">
      <c r="A344" s="49"/>
      <c r="B344" s="49"/>
      <c r="C344" s="49"/>
      <c r="D344" s="49"/>
      <c r="E344" s="50"/>
      <c r="F344" s="50"/>
      <c r="G344" s="50"/>
      <c r="H344" s="50"/>
      <c r="I344" s="50"/>
      <c r="J344" s="50"/>
      <c r="K344" s="50"/>
      <c r="L344" s="50"/>
      <c r="M344" s="50"/>
      <c r="N344" s="50"/>
      <c r="O344" s="50"/>
      <c r="P344" s="50"/>
      <c r="Q344" s="50"/>
      <c r="R344" s="50"/>
      <c r="S344" s="50"/>
      <c r="T344" s="50"/>
      <c r="U344" s="50"/>
      <c r="V344" s="50"/>
      <c r="W344" s="50"/>
      <c r="X344" s="50"/>
      <c r="Y344" s="50"/>
      <c r="Z344" s="50"/>
      <c r="AA344" s="50"/>
      <c r="AB344" s="50"/>
      <c r="AC344" s="50"/>
      <c r="AD344" s="50"/>
    </row>
    <row r="345">
      <c r="A345" s="49"/>
      <c r="B345" s="49"/>
      <c r="C345" s="49"/>
      <c r="D345" s="49"/>
      <c r="E345" s="50"/>
      <c r="F345" s="50"/>
      <c r="G345" s="50"/>
      <c r="H345" s="50"/>
      <c r="I345" s="50"/>
      <c r="J345" s="50"/>
      <c r="K345" s="50"/>
      <c r="L345" s="50"/>
      <c r="M345" s="50"/>
      <c r="N345" s="50"/>
      <c r="O345" s="50"/>
      <c r="P345" s="50"/>
      <c r="Q345" s="50"/>
      <c r="R345" s="50"/>
      <c r="S345" s="50"/>
      <c r="T345" s="50"/>
      <c r="U345" s="50"/>
      <c r="V345" s="50"/>
      <c r="W345" s="50"/>
      <c r="X345" s="50"/>
      <c r="Y345" s="50"/>
      <c r="Z345" s="50"/>
      <c r="AA345" s="50"/>
      <c r="AB345" s="50"/>
      <c r="AC345" s="50"/>
      <c r="AD345" s="50"/>
    </row>
    <row r="346">
      <c r="A346" s="49"/>
      <c r="B346" s="49"/>
      <c r="C346" s="49"/>
      <c r="D346" s="49"/>
      <c r="E346" s="50"/>
      <c r="F346" s="50"/>
      <c r="G346" s="50"/>
      <c r="H346" s="50"/>
      <c r="I346" s="50"/>
      <c r="J346" s="50"/>
      <c r="K346" s="50"/>
      <c r="L346" s="50"/>
      <c r="M346" s="50"/>
      <c r="N346" s="50"/>
      <c r="O346" s="50"/>
      <c r="P346" s="50"/>
      <c r="Q346" s="50"/>
      <c r="R346" s="50"/>
      <c r="S346" s="50"/>
      <c r="T346" s="50"/>
      <c r="U346" s="50"/>
      <c r="V346" s="50"/>
      <c r="W346" s="50"/>
      <c r="X346" s="50"/>
      <c r="Y346" s="50"/>
      <c r="Z346" s="50"/>
      <c r="AA346" s="50"/>
      <c r="AB346" s="50"/>
      <c r="AC346" s="50"/>
      <c r="AD346" s="50"/>
    </row>
    <row r="347">
      <c r="A347" s="49"/>
      <c r="B347" s="49"/>
      <c r="C347" s="49"/>
      <c r="D347" s="49"/>
      <c r="E347" s="50"/>
      <c r="F347" s="50"/>
      <c r="G347" s="50"/>
      <c r="H347" s="50"/>
      <c r="I347" s="50"/>
      <c r="J347" s="50"/>
      <c r="K347" s="50"/>
      <c r="L347" s="50"/>
      <c r="M347" s="50"/>
      <c r="N347" s="50"/>
      <c r="O347" s="50"/>
      <c r="P347" s="50"/>
      <c r="Q347" s="50"/>
      <c r="R347" s="50"/>
      <c r="S347" s="50"/>
      <c r="T347" s="50"/>
      <c r="U347" s="50"/>
      <c r="V347" s="50"/>
      <c r="W347" s="50"/>
      <c r="X347" s="50"/>
      <c r="Y347" s="50"/>
      <c r="Z347" s="50"/>
      <c r="AA347" s="50"/>
      <c r="AB347" s="50"/>
      <c r="AC347" s="50"/>
      <c r="AD347" s="50"/>
    </row>
    <row r="348">
      <c r="A348" s="49"/>
      <c r="B348" s="49"/>
      <c r="C348" s="49"/>
      <c r="D348" s="49"/>
      <c r="E348" s="50"/>
      <c r="F348" s="50"/>
      <c r="G348" s="50"/>
      <c r="H348" s="50"/>
      <c r="I348" s="50"/>
      <c r="J348" s="50"/>
      <c r="K348" s="50"/>
      <c r="L348" s="50"/>
      <c r="M348" s="50"/>
      <c r="N348" s="50"/>
      <c r="O348" s="50"/>
      <c r="P348" s="50"/>
      <c r="Q348" s="50"/>
      <c r="R348" s="50"/>
      <c r="S348" s="50"/>
      <c r="T348" s="50"/>
      <c r="U348" s="50"/>
      <c r="V348" s="50"/>
      <c r="W348" s="50"/>
      <c r="X348" s="50"/>
      <c r="Y348" s="50"/>
      <c r="Z348" s="50"/>
      <c r="AA348" s="50"/>
      <c r="AB348" s="50"/>
      <c r="AC348" s="50"/>
      <c r="AD348" s="50"/>
    </row>
    <row r="349">
      <c r="A349" s="49"/>
      <c r="B349" s="49"/>
      <c r="C349" s="49"/>
      <c r="D349" s="49"/>
      <c r="E349" s="50"/>
      <c r="F349" s="50"/>
      <c r="G349" s="50"/>
      <c r="H349" s="50"/>
      <c r="I349" s="50"/>
      <c r="J349" s="50"/>
      <c r="K349" s="50"/>
      <c r="L349" s="50"/>
      <c r="M349" s="50"/>
      <c r="N349" s="50"/>
      <c r="O349" s="50"/>
      <c r="P349" s="50"/>
      <c r="Q349" s="50"/>
      <c r="R349" s="50"/>
      <c r="S349" s="50"/>
      <c r="T349" s="50"/>
      <c r="U349" s="50"/>
      <c r="V349" s="50"/>
      <c r="W349" s="50"/>
      <c r="X349" s="50"/>
      <c r="Y349" s="50"/>
      <c r="Z349" s="50"/>
      <c r="AA349" s="50"/>
      <c r="AB349" s="50"/>
      <c r="AC349" s="50"/>
      <c r="AD349" s="50"/>
    </row>
    <row r="350">
      <c r="A350" s="49"/>
      <c r="B350" s="49"/>
      <c r="C350" s="49"/>
      <c r="D350" s="49"/>
      <c r="E350" s="50"/>
      <c r="F350" s="50"/>
      <c r="G350" s="50"/>
      <c r="H350" s="50"/>
      <c r="I350" s="50"/>
      <c r="J350" s="50"/>
      <c r="K350" s="50"/>
      <c r="L350" s="50"/>
      <c r="M350" s="50"/>
      <c r="N350" s="50"/>
      <c r="O350" s="50"/>
      <c r="P350" s="50"/>
      <c r="Q350" s="50"/>
      <c r="R350" s="50"/>
      <c r="S350" s="50"/>
      <c r="T350" s="50"/>
      <c r="U350" s="50"/>
      <c r="V350" s="50"/>
      <c r="W350" s="50"/>
      <c r="X350" s="50"/>
      <c r="Y350" s="50"/>
      <c r="Z350" s="50"/>
      <c r="AA350" s="50"/>
      <c r="AB350" s="50"/>
      <c r="AC350" s="50"/>
      <c r="AD350" s="50"/>
    </row>
    <row r="351">
      <c r="A351" s="49"/>
      <c r="B351" s="49"/>
      <c r="C351" s="49"/>
      <c r="D351" s="49"/>
      <c r="E351" s="50"/>
      <c r="F351" s="50"/>
      <c r="G351" s="50"/>
      <c r="H351" s="50"/>
      <c r="I351" s="50"/>
      <c r="J351" s="50"/>
      <c r="K351" s="50"/>
      <c r="L351" s="50"/>
      <c r="M351" s="50"/>
      <c r="N351" s="50"/>
      <c r="O351" s="50"/>
      <c r="P351" s="50"/>
      <c r="Q351" s="50"/>
      <c r="R351" s="50"/>
      <c r="S351" s="50"/>
      <c r="T351" s="50"/>
      <c r="U351" s="50"/>
      <c r="V351" s="50"/>
      <c r="W351" s="50"/>
      <c r="X351" s="50"/>
      <c r="Y351" s="50"/>
      <c r="Z351" s="50"/>
      <c r="AA351" s="50"/>
      <c r="AB351" s="50"/>
      <c r="AC351" s="50"/>
      <c r="AD351" s="50"/>
    </row>
    <row r="352">
      <c r="A352" s="49"/>
      <c r="B352" s="49"/>
      <c r="C352" s="49"/>
      <c r="D352" s="49"/>
      <c r="E352" s="50"/>
      <c r="F352" s="50"/>
      <c r="G352" s="50"/>
      <c r="H352" s="50"/>
      <c r="I352" s="50"/>
      <c r="J352" s="50"/>
      <c r="K352" s="50"/>
      <c r="L352" s="50"/>
      <c r="M352" s="50"/>
      <c r="N352" s="50"/>
      <c r="O352" s="50"/>
      <c r="P352" s="50"/>
      <c r="Q352" s="50"/>
      <c r="R352" s="50"/>
      <c r="S352" s="50"/>
      <c r="T352" s="50"/>
      <c r="U352" s="50"/>
      <c r="V352" s="50"/>
      <c r="W352" s="50"/>
      <c r="X352" s="50"/>
      <c r="Y352" s="50"/>
      <c r="Z352" s="50"/>
      <c r="AA352" s="50"/>
      <c r="AB352" s="50"/>
      <c r="AC352" s="50"/>
      <c r="AD352" s="50"/>
    </row>
    <row r="353">
      <c r="A353" s="49"/>
      <c r="B353" s="49"/>
      <c r="C353" s="49"/>
      <c r="D353" s="49"/>
      <c r="E353" s="50"/>
      <c r="F353" s="50"/>
      <c r="G353" s="50"/>
      <c r="H353" s="50"/>
      <c r="I353" s="50"/>
      <c r="J353" s="50"/>
      <c r="K353" s="50"/>
      <c r="L353" s="50"/>
      <c r="M353" s="50"/>
      <c r="N353" s="50"/>
      <c r="O353" s="50"/>
      <c r="P353" s="50"/>
      <c r="Q353" s="50"/>
      <c r="R353" s="50"/>
      <c r="S353" s="50"/>
      <c r="T353" s="50"/>
      <c r="U353" s="50"/>
      <c r="V353" s="50"/>
      <c r="W353" s="50"/>
      <c r="X353" s="50"/>
      <c r="Y353" s="50"/>
      <c r="Z353" s="50"/>
      <c r="AA353" s="50"/>
      <c r="AB353" s="50"/>
      <c r="AC353" s="50"/>
      <c r="AD353" s="50"/>
    </row>
    <row r="354">
      <c r="A354" s="49"/>
      <c r="B354" s="49"/>
      <c r="C354" s="49"/>
      <c r="D354" s="49"/>
      <c r="E354" s="50"/>
      <c r="F354" s="50"/>
      <c r="G354" s="50"/>
      <c r="H354" s="50"/>
      <c r="I354" s="50"/>
      <c r="J354" s="50"/>
      <c r="K354" s="50"/>
      <c r="L354" s="50"/>
      <c r="M354" s="50"/>
      <c r="N354" s="50"/>
      <c r="O354" s="50"/>
      <c r="P354" s="50"/>
      <c r="Q354" s="50"/>
      <c r="R354" s="50"/>
      <c r="S354" s="50"/>
      <c r="T354" s="50"/>
      <c r="U354" s="50"/>
      <c r="V354" s="50"/>
      <c r="W354" s="50"/>
      <c r="X354" s="50"/>
      <c r="Y354" s="50"/>
      <c r="Z354" s="50"/>
      <c r="AA354" s="50"/>
      <c r="AB354" s="50"/>
      <c r="AC354" s="50"/>
      <c r="AD354" s="50"/>
    </row>
    <row r="355">
      <c r="A355" s="49"/>
      <c r="B355" s="49"/>
      <c r="C355" s="49"/>
      <c r="D355" s="49"/>
      <c r="E355" s="50"/>
      <c r="F355" s="50"/>
      <c r="G355" s="50"/>
      <c r="H355" s="50"/>
      <c r="I355" s="50"/>
      <c r="J355" s="50"/>
      <c r="K355" s="50"/>
      <c r="L355" s="50"/>
      <c r="M355" s="50"/>
      <c r="N355" s="50"/>
      <c r="O355" s="50"/>
      <c r="P355" s="50"/>
      <c r="Q355" s="50"/>
      <c r="R355" s="50"/>
      <c r="S355" s="50"/>
      <c r="T355" s="50"/>
      <c r="U355" s="50"/>
      <c r="V355" s="50"/>
      <c r="W355" s="50"/>
      <c r="X355" s="50"/>
      <c r="Y355" s="50"/>
      <c r="Z355" s="50"/>
      <c r="AA355" s="50"/>
      <c r="AB355" s="50"/>
      <c r="AC355" s="50"/>
      <c r="AD355" s="50"/>
    </row>
    <row r="356">
      <c r="A356" s="49"/>
      <c r="B356" s="49"/>
      <c r="C356" s="49"/>
      <c r="D356" s="49"/>
      <c r="E356" s="50"/>
      <c r="F356" s="50"/>
      <c r="G356" s="50"/>
      <c r="H356" s="50"/>
      <c r="I356" s="50"/>
      <c r="J356" s="50"/>
      <c r="K356" s="50"/>
      <c r="L356" s="50"/>
      <c r="M356" s="50"/>
      <c r="N356" s="50"/>
      <c r="O356" s="50"/>
      <c r="P356" s="50"/>
      <c r="Q356" s="50"/>
      <c r="R356" s="50"/>
      <c r="S356" s="50"/>
      <c r="T356" s="50"/>
      <c r="U356" s="50"/>
      <c r="V356" s="50"/>
      <c r="W356" s="50"/>
      <c r="X356" s="50"/>
      <c r="Y356" s="50"/>
      <c r="Z356" s="50"/>
      <c r="AA356" s="50"/>
      <c r="AB356" s="50"/>
      <c r="AC356" s="50"/>
      <c r="AD356" s="50"/>
    </row>
    <row r="357">
      <c r="A357" s="49"/>
      <c r="B357" s="49"/>
      <c r="C357" s="49"/>
      <c r="D357" s="49"/>
      <c r="E357" s="50"/>
      <c r="F357" s="50"/>
      <c r="G357" s="50"/>
      <c r="H357" s="50"/>
      <c r="I357" s="50"/>
      <c r="J357" s="50"/>
      <c r="K357" s="50"/>
      <c r="L357" s="50"/>
      <c r="M357" s="50"/>
      <c r="N357" s="50"/>
      <c r="O357" s="50"/>
      <c r="P357" s="50"/>
      <c r="Q357" s="50"/>
      <c r="R357" s="50"/>
      <c r="S357" s="50"/>
      <c r="T357" s="50"/>
      <c r="U357" s="50"/>
      <c r="V357" s="50"/>
      <c r="W357" s="50"/>
      <c r="X357" s="50"/>
      <c r="Y357" s="50"/>
      <c r="Z357" s="50"/>
      <c r="AA357" s="50"/>
      <c r="AB357" s="50"/>
      <c r="AC357" s="50"/>
      <c r="AD357" s="50"/>
    </row>
    <row r="358">
      <c r="A358" s="49"/>
      <c r="B358" s="49"/>
      <c r="C358" s="49"/>
      <c r="D358" s="49"/>
      <c r="E358" s="50"/>
      <c r="F358" s="50"/>
      <c r="G358" s="50"/>
      <c r="H358" s="50"/>
      <c r="I358" s="50"/>
      <c r="J358" s="50"/>
      <c r="K358" s="50"/>
      <c r="L358" s="50"/>
      <c r="M358" s="50"/>
      <c r="N358" s="50"/>
      <c r="O358" s="50"/>
      <c r="P358" s="50"/>
      <c r="Q358" s="50"/>
      <c r="R358" s="50"/>
      <c r="S358" s="50"/>
      <c r="T358" s="50"/>
      <c r="U358" s="50"/>
      <c r="V358" s="50"/>
      <c r="W358" s="50"/>
      <c r="X358" s="50"/>
      <c r="Y358" s="50"/>
      <c r="Z358" s="50"/>
      <c r="AA358" s="50"/>
      <c r="AB358" s="50"/>
      <c r="AC358" s="50"/>
      <c r="AD358" s="50"/>
    </row>
    <row r="359">
      <c r="A359" s="49"/>
      <c r="B359" s="49"/>
      <c r="C359" s="49"/>
      <c r="D359" s="49"/>
      <c r="E359" s="50"/>
      <c r="F359" s="50"/>
      <c r="G359" s="50"/>
      <c r="H359" s="50"/>
      <c r="I359" s="50"/>
      <c r="J359" s="50"/>
      <c r="K359" s="50"/>
      <c r="L359" s="50"/>
      <c r="M359" s="50"/>
      <c r="N359" s="50"/>
      <c r="O359" s="50"/>
      <c r="P359" s="50"/>
      <c r="Q359" s="50"/>
      <c r="R359" s="50"/>
      <c r="S359" s="50"/>
      <c r="T359" s="50"/>
      <c r="U359" s="50"/>
      <c r="V359" s="50"/>
      <c r="W359" s="50"/>
      <c r="X359" s="50"/>
      <c r="Y359" s="50"/>
      <c r="Z359" s="50"/>
      <c r="AA359" s="50"/>
      <c r="AB359" s="50"/>
      <c r="AC359" s="50"/>
      <c r="AD359" s="50"/>
    </row>
    <row r="360">
      <c r="A360" s="49"/>
      <c r="B360" s="49"/>
      <c r="C360" s="49"/>
      <c r="D360" s="49"/>
      <c r="E360" s="50"/>
      <c r="F360" s="50"/>
      <c r="G360" s="50"/>
      <c r="H360" s="50"/>
      <c r="I360" s="50"/>
      <c r="J360" s="50"/>
      <c r="K360" s="50"/>
      <c r="L360" s="50"/>
      <c r="M360" s="50"/>
      <c r="N360" s="50"/>
      <c r="O360" s="50"/>
      <c r="P360" s="50"/>
      <c r="Q360" s="50"/>
      <c r="R360" s="50"/>
      <c r="S360" s="50"/>
      <c r="T360" s="50"/>
      <c r="U360" s="50"/>
      <c r="V360" s="50"/>
      <c r="W360" s="50"/>
      <c r="X360" s="50"/>
      <c r="Y360" s="50"/>
      <c r="Z360" s="50"/>
      <c r="AA360" s="50"/>
      <c r="AB360" s="50"/>
      <c r="AC360" s="50"/>
      <c r="AD360" s="50"/>
    </row>
    <row r="361">
      <c r="A361" s="49"/>
      <c r="B361" s="49"/>
      <c r="C361" s="49"/>
      <c r="D361" s="49"/>
      <c r="E361" s="50"/>
      <c r="F361" s="50"/>
      <c r="G361" s="50"/>
      <c r="H361" s="50"/>
      <c r="I361" s="50"/>
      <c r="J361" s="50"/>
      <c r="K361" s="50"/>
      <c r="L361" s="50"/>
      <c r="M361" s="50"/>
      <c r="N361" s="50"/>
      <c r="O361" s="50"/>
      <c r="P361" s="50"/>
      <c r="Q361" s="50"/>
      <c r="R361" s="50"/>
      <c r="S361" s="50"/>
      <c r="T361" s="50"/>
      <c r="U361" s="50"/>
      <c r="V361" s="50"/>
      <c r="W361" s="50"/>
      <c r="X361" s="50"/>
      <c r="Y361" s="50"/>
      <c r="Z361" s="50"/>
      <c r="AA361" s="50"/>
      <c r="AB361" s="50"/>
      <c r="AC361" s="50"/>
      <c r="AD361" s="50"/>
    </row>
    <row r="362">
      <c r="A362" s="49"/>
      <c r="B362" s="49"/>
      <c r="C362" s="49"/>
      <c r="D362" s="49"/>
      <c r="E362" s="50"/>
      <c r="F362" s="50"/>
      <c r="G362" s="50"/>
      <c r="H362" s="50"/>
      <c r="I362" s="50"/>
      <c r="J362" s="50"/>
      <c r="K362" s="50"/>
      <c r="L362" s="50"/>
      <c r="M362" s="50"/>
      <c r="N362" s="50"/>
      <c r="O362" s="50"/>
      <c r="P362" s="50"/>
      <c r="Q362" s="50"/>
      <c r="R362" s="50"/>
      <c r="S362" s="50"/>
      <c r="T362" s="50"/>
      <c r="U362" s="50"/>
      <c r="V362" s="50"/>
      <c r="W362" s="50"/>
      <c r="X362" s="50"/>
      <c r="Y362" s="50"/>
      <c r="Z362" s="50"/>
      <c r="AA362" s="50"/>
      <c r="AB362" s="50"/>
      <c r="AC362" s="50"/>
      <c r="AD362" s="50"/>
    </row>
    <row r="363">
      <c r="A363" s="49"/>
      <c r="B363" s="49"/>
      <c r="C363" s="49"/>
      <c r="D363" s="49"/>
      <c r="E363" s="50"/>
      <c r="F363" s="50"/>
      <c r="G363" s="50"/>
      <c r="H363" s="50"/>
      <c r="I363" s="50"/>
      <c r="J363" s="50"/>
      <c r="K363" s="50"/>
      <c r="L363" s="50"/>
      <c r="M363" s="50"/>
      <c r="N363" s="50"/>
      <c r="O363" s="50"/>
      <c r="P363" s="50"/>
      <c r="Q363" s="50"/>
      <c r="R363" s="50"/>
      <c r="S363" s="50"/>
      <c r="T363" s="50"/>
      <c r="U363" s="50"/>
      <c r="V363" s="50"/>
      <c r="W363" s="50"/>
      <c r="X363" s="50"/>
      <c r="Y363" s="50"/>
      <c r="Z363" s="50"/>
      <c r="AA363" s="50"/>
      <c r="AB363" s="50"/>
      <c r="AC363" s="50"/>
      <c r="AD363" s="50"/>
    </row>
    <row r="364">
      <c r="A364" s="49"/>
      <c r="B364" s="49"/>
      <c r="C364" s="49"/>
      <c r="D364" s="49"/>
      <c r="E364" s="50"/>
      <c r="F364" s="50"/>
      <c r="G364" s="50"/>
      <c r="H364" s="50"/>
      <c r="I364" s="50"/>
      <c r="J364" s="50"/>
      <c r="K364" s="50"/>
      <c r="L364" s="50"/>
      <c r="M364" s="50"/>
      <c r="N364" s="50"/>
      <c r="O364" s="50"/>
      <c r="P364" s="50"/>
      <c r="Q364" s="50"/>
      <c r="R364" s="50"/>
      <c r="S364" s="50"/>
      <c r="T364" s="50"/>
      <c r="U364" s="50"/>
      <c r="V364" s="50"/>
      <c r="W364" s="50"/>
      <c r="X364" s="50"/>
      <c r="Y364" s="50"/>
      <c r="Z364" s="50"/>
      <c r="AA364" s="50"/>
      <c r="AB364" s="50"/>
      <c r="AC364" s="50"/>
      <c r="AD364" s="50"/>
    </row>
    <row r="365">
      <c r="A365" s="49"/>
      <c r="B365" s="49"/>
      <c r="C365" s="49"/>
      <c r="D365" s="49"/>
      <c r="E365" s="50"/>
      <c r="F365" s="50"/>
      <c r="G365" s="50"/>
      <c r="H365" s="50"/>
      <c r="I365" s="50"/>
      <c r="J365" s="50"/>
      <c r="K365" s="50"/>
      <c r="L365" s="50"/>
      <c r="M365" s="50"/>
      <c r="N365" s="50"/>
      <c r="O365" s="50"/>
      <c r="P365" s="50"/>
      <c r="Q365" s="50"/>
      <c r="R365" s="50"/>
      <c r="S365" s="50"/>
      <c r="T365" s="50"/>
      <c r="U365" s="50"/>
      <c r="V365" s="50"/>
      <c r="W365" s="50"/>
      <c r="X365" s="50"/>
      <c r="Y365" s="50"/>
      <c r="Z365" s="50"/>
      <c r="AA365" s="50"/>
      <c r="AB365" s="50"/>
      <c r="AC365" s="50"/>
      <c r="AD365" s="50"/>
    </row>
    <row r="366">
      <c r="A366" s="49"/>
      <c r="B366" s="49"/>
      <c r="C366" s="49"/>
      <c r="D366" s="49"/>
      <c r="E366" s="50"/>
      <c r="F366" s="50"/>
      <c r="G366" s="50"/>
      <c r="H366" s="50"/>
      <c r="I366" s="50"/>
      <c r="J366" s="50"/>
      <c r="K366" s="50"/>
      <c r="L366" s="50"/>
      <c r="M366" s="50"/>
      <c r="N366" s="50"/>
      <c r="O366" s="50"/>
      <c r="P366" s="50"/>
      <c r="Q366" s="50"/>
      <c r="R366" s="50"/>
      <c r="S366" s="50"/>
      <c r="T366" s="50"/>
      <c r="U366" s="50"/>
      <c r="V366" s="50"/>
      <c r="W366" s="50"/>
      <c r="X366" s="50"/>
      <c r="Y366" s="50"/>
      <c r="Z366" s="50"/>
      <c r="AA366" s="50"/>
      <c r="AB366" s="50"/>
      <c r="AC366" s="50"/>
      <c r="AD366" s="50"/>
    </row>
    <row r="367">
      <c r="A367" s="49"/>
      <c r="B367" s="49"/>
      <c r="C367" s="49"/>
      <c r="D367" s="49"/>
      <c r="E367" s="50"/>
      <c r="F367" s="50"/>
      <c r="G367" s="50"/>
      <c r="H367" s="50"/>
      <c r="I367" s="50"/>
      <c r="J367" s="50"/>
      <c r="K367" s="50"/>
      <c r="L367" s="50"/>
      <c r="M367" s="50"/>
      <c r="N367" s="50"/>
      <c r="O367" s="50"/>
      <c r="P367" s="50"/>
      <c r="Q367" s="50"/>
      <c r="R367" s="50"/>
      <c r="S367" s="50"/>
      <c r="T367" s="50"/>
      <c r="U367" s="50"/>
      <c r="V367" s="50"/>
      <c r="W367" s="50"/>
      <c r="X367" s="50"/>
      <c r="Y367" s="50"/>
      <c r="Z367" s="50"/>
      <c r="AA367" s="50"/>
      <c r="AB367" s="50"/>
      <c r="AC367" s="50"/>
      <c r="AD367" s="50"/>
    </row>
    <row r="368">
      <c r="A368" s="49"/>
      <c r="B368" s="49"/>
      <c r="C368" s="49"/>
      <c r="D368" s="49"/>
      <c r="E368" s="50"/>
      <c r="F368" s="50"/>
      <c r="G368" s="50"/>
      <c r="H368" s="50"/>
      <c r="I368" s="50"/>
      <c r="J368" s="50"/>
      <c r="K368" s="50"/>
      <c r="L368" s="50"/>
      <c r="M368" s="50"/>
      <c r="N368" s="50"/>
      <c r="O368" s="50"/>
      <c r="P368" s="50"/>
      <c r="Q368" s="50"/>
      <c r="R368" s="50"/>
      <c r="S368" s="50"/>
      <c r="T368" s="50"/>
      <c r="U368" s="50"/>
      <c r="V368" s="50"/>
      <c r="W368" s="50"/>
      <c r="X368" s="50"/>
      <c r="Y368" s="50"/>
      <c r="Z368" s="50"/>
      <c r="AA368" s="50"/>
      <c r="AB368" s="50"/>
      <c r="AC368" s="50"/>
      <c r="AD368" s="50"/>
    </row>
    <row r="369">
      <c r="A369" s="49"/>
      <c r="B369" s="49"/>
      <c r="C369" s="49"/>
      <c r="D369" s="49"/>
      <c r="E369" s="50"/>
      <c r="F369" s="50"/>
      <c r="G369" s="50"/>
      <c r="H369" s="50"/>
      <c r="I369" s="50"/>
      <c r="J369" s="50"/>
      <c r="K369" s="50"/>
      <c r="L369" s="50"/>
      <c r="M369" s="50"/>
      <c r="N369" s="50"/>
      <c r="O369" s="50"/>
      <c r="P369" s="50"/>
      <c r="Q369" s="50"/>
      <c r="R369" s="50"/>
      <c r="S369" s="50"/>
      <c r="T369" s="50"/>
      <c r="U369" s="50"/>
      <c r="V369" s="50"/>
      <c r="W369" s="50"/>
      <c r="X369" s="50"/>
      <c r="Y369" s="50"/>
      <c r="Z369" s="50"/>
      <c r="AA369" s="50"/>
      <c r="AB369" s="50"/>
      <c r="AC369" s="50"/>
      <c r="AD369" s="50"/>
    </row>
    <row r="370">
      <c r="A370" s="49"/>
      <c r="B370" s="49"/>
      <c r="C370" s="49"/>
      <c r="D370" s="49"/>
      <c r="E370" s="50"/>
      <c r="F370" s="50"/>
      <c r="G370" s="50"/>
      <c r="H370" s="50"/>
      <c r="I370" s="50"/>
      <c r="J370" s="50"/>
      <c r="K370" s="50"/>
      <c r="L370" s="50"/>
      <c r="M370" s="50"/>
      <c r="N370" s="50"/>
      <c r="O370" s="50"/>
      <c r="P370" s="50"/>
      <c r="Q370" s="50"/>
      <c r="R370" s="50"/>
      <c r="S370" s="50"/>
      <c r="T370" s="50"/>
      <c r="U370" s="50"/>
      <c r="V370" s="50"/>
      <c r="W370" s="50"/>
      <c r="X370" s="50"/>
      <c r="Y370" s="50"/>
      <c r="Z370" s="50"/>
      <c r="AA370" s="50"/>
      <c r="AB370" s="50"/>
      <c r="AC370" s="50"/>
      <c r="AD370" s="50"/>
    </row>
    <row r="371">
      <c r="A371" s="49"/>
      <c r="B371" s="49"/>
      <c r="C371" s="49"/>
      <c r="D371" s="49"/>
      <c r="E371" s="50"/>
      <c r="F371" s="50"/>
      <c r="G371" s="50"/>
      <c r="H371" s="50"/>
      <c r="I371" s="50"/>
      <c r="J371" s="50"/>
      <c r="K371" s="50"/>
      <c r="L371" s="50"/>
      <c r="M371" s="50"/>
      <c r="N371" s="50"/>
      <c r="O371" s="50"/>
      <c r="P371" s="50"/>
      <c r="Q371" s="50"/>
      <c r="R371" s="50"/>
      <c r="S371" s="50"/>
      <c r="T371" s="50"/>
      <c r="U371" s="50"/>
      <c r="V371" s="50"/>
      <c r="W371" s="50"/>
      <c r="X371" s="50"/>
      <c r="Y371" s="50"/>
      <c r="Z371" s="50"/>
      <c r="AA371" s="50"/>
      <c r="AB371" s="50"/>
      <c r="AC371" s="50"/>
      <c r="AD371" s="50"/>
    </row>
    <row r="372">
      <c r="A372" s="49"/>
      <c r="B372" s="49"/>
      <c r="C372" s="49"/>
      <c r="D372" s="49"/>
      <c r="E372" s="50"/>
      <c r="F372" s="50"/>
      <c r="G372" s="50"/>
      <c r="H372" s="50"/>
      <c r="I372" s="50"/>
      <c r="J372" s="50"/>
      <c r="K372" s="50"/>
      <c r="L372" s="50"/>
      <c r="M372" s="50"/>
      <c r="N372" s="50"/>
      <c r="O372" s="50"/>
      <c r="P372" s="50"/>
      <c r="Q372" s="50"/>
      <c r="R372" s="50"/>
      <c r="S372" s="50"/>
      <c r="T372" s="50"/>
      <c r="U372" s="50"/>
      <c r="V372" s="50"/>
      <c r="W372" s="50"/>
      <c r="X372" s="50"/>
      <c r="Y372" s="50"/>
      <c r="Z372" s="50"/>
      <c r="AA372" s="50"/>
      <c r="AB372" s="50"/>
      <c r="AC372" s="50"/>
      <c r="AD372" s="50"/>
    </row>
    <row r="373">
      <c r="A373" s="49"/>
      <c r="B373" s="49"/>
      <c r="C373" s="49"/>
      <c r="D373" s="49"/>
      <c r="E373" s="50"/>
      <c r="F373" s="50"/>
      <c r="G373" s="50"/>
      <c r="H373" s="50"/>
      <c r="I373" s="50"/>
      <c r="J373" s="50"/>
      <c r="K373" s="50"/>
      <c r="L373" s="50"/>
      <c r="M373" s="50"/>
      <c r="N373" s="50"/>
      <c r="O373" s="50"/>
      <c r="P373" s="50"/>
      <c r="Q373" s="50"/>
      <c r="R373" s="50"/>
      <c r="S373" s="50"/>
      <c r="T373" s="50"/>
      <c r="U373" s="50"/>
      <c r="V373" s="50"/>
      <c r="W373" s="50"/>
      <c r="X373" s="50"/>
      <c r="Y373" s="50"/>
      <c r="Z373" s="50"/>
      <c r="AA373" s="50"/>
      <c r="AB373" s="50"/>
      <c r="AC373" s="50"/>
      <c r="AD373" s="50"/>
    </row>
    <row r="374">
      <c r="A374" s="49"/>
      <c r="B374" s="49"/>
      <c r="C374" s="49"/>
      <c r="D374" s="49"/>
      <c r="E374" s="50"/>
      <c r="F374" s="50"/>
      <c r="G374" s="50"/>
      <c r="H374" s="50"/>
      <c r="I374" s="50"/>
      <c r="J374" s="50"/>
      <c r="K374" s="50"/>
      <c r="L374" s="50"/>
      <c r="M374" s="50"/>
      <c r="N374" s="50"/>
      <c r="O374" s="50"/>
      <c r="P374" s="50"/>
      <c r="Q374" s="50"/>
      <c r="R374" s="50"/>
      <c r="S374" s="50"/>
      <c r="T374" s="50"/>
      <c r="U374" s="50"/>
      <c r="V374" s="50"/>
      <c r="W374" s="50"/>
      <c r="X374" s="50"/>
      <c r="Y374" s="50"/>
      <c r="Z374" s="50"/>
      <c r="AA374" s="50"/>
      <c r="AB374" s="50"/>
      <c r="AC374" s="50"/>
      <c r="AD374" s="50"/>
    </row>
    <row r="375">
      <c r="A375" s="49"/>
      <c r="B375" s="49"/>
      <c r="C375" s="49"/>
      <c r="D375" s="49"/>
      <c r="E375" s="50"/>
      <c r="F375" s="50"/>
      <c r="G375" s="50"/>
      <c r="H375" s="50"/>
      <c r="I375" s="50"/>
      <c r="J375" s="50"/>
      <c r="K375" s="50"/>
      <c r="L375" s="50"/>
      <c r="M375" s="50"/>
      <c r="N375" s="50"/>
      <c r="O375" s="50"/>
      <c r="P375" s="50"/>
      <c r="Q375" s="50"/>
      <c r="R375" s="50"/>
      <c r="S375" s="50"/>
      <c r="T375" s="50"/>
      <c r="U375" s="50"/>
      <c r="V375" s="50"/>
      <c r="W375" s="50"/>
      <c r="X375" s="50"/>
      <c r="Y375" s="50"/>
      <c r="Z375" s="50"/>
      <c r="AA375" s="50"/>
      <c r="AB375" s="50"/>
      <c r="AC375" s="50"/>
      <c r="AD375" s="50"/>
    </row>
    <row r="376">
      <c r="A376" s="49"/>
      <c r="B376" s="49"/>
      <c r="C376" s="49"/>
      <c r="D376" s="49"/>
      <c r="E376" s="50"/>
      <c r="F376" s="50"/>
      <c r="G376" s="50"/>
      <c r="H376" s="50"/>
      <c r="I376" s="50"/>
      <c r="J376" s="50"/>
      <c r="K376" s="50"/>
      <c r="L376" s="50"/>
      <c r="M376" s="50"/>
      <c r="N376" s="50"/>
      <c r="O376" s="50"/>
      <c r="P376" s="50"/>
      <c r="Q376" s="50"/>
      <c r="R376" s="50"/>
      <c r="S376" s="50"/>
      <c r="T376" s="50"/>
      <c r="U376" s="50"/>
      <c r="V376" s="50"/>
      <c r="W376" s="50"/>
      <c r="X376" s="50"/>
      <c r="Y376" s="50"/>
      <c r="Z376" s="50"/>
      <c r="AA376" s="50"/>
      <c r="AB376" s="50"/>
      <c r="AC376" s="50"/>
      <c r="AD376" s="50"/>
    </row>
    <row r="377">
      <c r="A377" s="49"/>
      <c r="B377" s="49"/>
      <c r="C377" s="49"/>
      <c r="D377" s="49"/>
      <c r="E377" s="50"/>
      <c r="F377" s="50"/>
      <c r="G377" s="50"/>
      <c r="H377" s="50"/>
      <c r="I377" s="50"/>
      <c r="J377" s="50"/>
      <c r="K377" s="50"/>
      <c r="L377" s="50"/>
      <c r="M377" s="50"/>
      <c r="N377" s="50"/>
      <c r="O377" s="50"/>
      <c r="P377" s="50"/>
      <c r="Q377" s="50"/>
      <c r="R377" s="50"/>
      <c r="S377" s="50"/>
      <c r="T377" s="50"/>
      <c r="U377" s="50"/>
      <c r="V377" s="50"/>
      <c r="W377" s="50"/>
      <c r="X377" s="50"/>
      <c r="Y377" s="50"/>
      <c r="Z377" s="50"/>
      <c r="AA377" s="50"/>
      <c r="AB377" s="50"/>
      <c r="AC377" s="50"/>
      <c r="AD377" s="50"/>
    </row>
    <row r="378">
      <c r="A378" s="49"/>
      <c r="B378" s="49"/>
      <c r="C378" s="49"/>
      <c r="D378" s="49"/>
      <c r="E378" s="50"/>
      <c r="F378" s="50"/>
      <c r="G378" s="50"/>
      <c r="H378" s="50"/>
      <c r="I378" s="50"/>
      <c r="J378" s="50"/>
      <c r="K378" s="50"/>
      <c r="L378" s="50"/>
      <c r="M378" s="50"/>
      <c r="N378" s="50"/>
      <c r="O378" s="50"/>
      <c r="P378" s="50"/>
      <c r="Q378" s="50"/>
      <c r="R378" s="50"/>
      <c r="S378" s="50"/>
      <c r="T378" s="50"/>
      <c r="U378" s="50"/>
      <c r="V378" s="50"/>
      <c r="W378" s="50"/>
      <c r="X378" s="50"/>
      <c r="Y378" s="50"/>
      <c r="Z378" s="50"/>
      <c r="AA378" s="50"/>
      <c r="AB378" s="50"/>
      <c r="AC378" s="50"/>
      <c r="AD378" s="50"/>
    </row>
    <row r="379">
      <c r="A379" s="49"/>
      <c r="B379" s="49"/>
      <c r="C379" s="49"/>
      <c r="D379" s="49"/>
      <c r="E379" s="50"/>
      <c r="F379" s="50"/>
      <c r="G379" s="50"/>
      <c r="H379" s="50"/>
      <c r="I379" s="50"/>
      <c r="J379" s="50"/>
      <c r="K379" s="50"/>
      <c r="L379" s="50"/>
      <c r="M379" s="50"/>
      <c r="N379" s="50"/>
      <c r="O379" s="50"/>
      <c r="P379" s="50"/>
      <c r="Q379" s="50"/>
      <c r="R379" s="50"/>
      <c r="S379" s="50"/>
      <c r="T379" s="50"/>
      <c r="U379" s="50"/>
      <c r="V379" s="50"/>
      <c r="W379" s="50"/>
      <c r="X379" s="50"/>
      <c r="Y379" s="50"/>
      <c r="Z379" s="50"/>
      <c r="AA379" s="50"/>
      <c r="AB379" s="50"/>
      <c r="AC379" s="50"/>
      <c r="AD379" s="50"/>
    </row>
    <row r="380">
      <c r="A380" s="49"/>
      <c r="B380" s="49"/>
      <c r="C380" s="49"/>
      <c r="D380" s="49"/>
      <c r="E380" s="50"/>
      <c r="F380" s="50"/>
      <c r="G380" s="50"/>
      <c r="H380" s="50"/>
      <c r="I380" s="50"/>
      <c r="J380" s="50"/>
      <c r="K380" s="50"/>
      <c r="L380" s="50"/>
      <c r="M380" s="50"/>
      <c r="N380" s="50"/>
      <c r="O380" s="50"/>
      <c r="P380" s="50"/>
      <c r="Q380" s="50"/>
      <c r="R380" s="50"/>
      <c r="S380" s="50"/>
      <c r="T380" s="50"/>
      <c r="U380" s="50"/>
      <c r="V380" s="50"/>
      <c r="W380" s="50"/>
      <c r="X380" s="50"/>
      <c r="Y380" s="50"/>
      <c r="Z380" s="50"/>
      <c r="AA380" s="50"/>
      <c r="AB380" s="50"/>
      <c r="AC380" s="50"/>
      <c r="AD380" s="50"/>
    </row>
    <row r="381">
      <c r="A381" s="49"/>
      <c r="B381" s="49"/>
      <c r="C381" s="49"/>
      <c r="D381" s="49"/>
      <c r="E381" s="50"/>
      <c r="F381" s="50"/>
      <c r="G381" s="50"/>
      <c r="H381" s="50"/>
      <c r="I381" s="50"/>
      <c r="J381" s="50"/>
      <c r="K381" s="50"/>
      <c r="L381" s="50"/>
      <c r="M381" s="50"/>
      <c r="N381" s="50"/>
      <c r="O381" s="50"/>
      <c r="P381" s="50"/>
      <c r="Q381" s="50"/>
      <c r="R381" s="50"/>
      <c r="S381" s="50"/>
      <c r="T381" s="50"/>
      <c r="U381" s="50"/>
      <c r="V381" s="50"/>
      <c r="W381" s="50"/>
      <c r="X381" s="50"/>
      <c r="Y381" s="50"/>
      <c r="Z381" s="50"/>
      <c r="AA381" s="50"/>
      <c r="AB381" s="50"/>
      <c r="AC381" s="50"/>
      <c r="AD381" s="50"/>
    </row>
    <row r="382">
      <c r="A382" s="49"/>
      <c r="B382" s="49"/>
      <c r="C382" s="49"/>
      <c r="D382" s="49"/>
      <c r="E382" s="50"/>
      <c r="F382" s="50"/>
      <c r="G382" s="50"/>
      <c r="H382" s="50"/>
      <c r="I382" s="50"/>
      <c r="J382" s="50"/>
      <c r="K382" s="50"/>
      <c r="L382" s="50"/>
      <c r="M382" s="50"/>
      <c r="N382" s="50"/>
      <c r="O382" s="50"/>
      <c r="P382" s="50"/>
      <c r="Q382" s="50"/>
      <c r="R382" s="50"/>
      <c r="S382" s="50"/>
      <c r="T382" s="50"/>
      <c r="U382" s="50"/>
      <c r="V382" s="50"/>
      <c r="W382" s="50"/>
      <c r="X382" s="50"/>
      <c r="Y382" s="50"/>
      <c r="Z382" s="50"/>
      <c r="AA382" s="50"/>
      <c r="AB382" s="50"/>
      <c r="AC382" s="50"/>
      <c r="AD382" s="50"/>
    </row>
    <row r="383">
      <c r="A383" s="49"/>
      <c r="B383" s="49"/>
      <c r="C383" s="49"/>
      <c r="D383" s="49"/>
      <c r="E383" s="50"/>
      <c r="F383" s="50"/>
      <c r="G383" s="50"/>
      <c r="H383" s="50"/>
      <c r="I383" s="50"/>
      <c r="J383" s="50"/>
      <c r="K383" s="50"/>
      <c r="L383" s="50"/>
      <c r="M383" s="50"/>
      <c r="N383" s="50"/>
      <c r="O383" s="50"/>
      <c r="P383" s="50"/>
      <c r="Q383" s="50"/>
      <c r="R383" s="50"/>
      <c r="S383" s="50"/>
      <c r="T383" s="50"/>
      <c r="U383" s="50"/>
      <c r="V383" s="50"/>
      <c r="W383" s="50"/>
      <c r="X383" s="50"/>
      <c r="Y383" s="50"/>
      <c r="Z383" s="50"/>
      <c r="AA383" s="50"/>
      <c r="AB383" s="50"/>
      <c r="AC383" s="50"/>
      <c r="AD383" s="50"/>
    </row>
    <row r="384">
      <c r="A384" s="49"/>
      <c r="B384" s="49"/>
      <c r="C384" s="49"/>
      <c r="D384" s="49"/>
      <c r="E384" s="50"/>
      <c r="F384" s="50"/>
      <c r="G384" s="50"/>
      <c r="H384" s="50"/>
      <c r="I384" s="50"/>
      <c r="J384" s="50"/>
      <c r="K384" s="50"/>
      <c r="L384" s="50"/>
      <c r="M384" s="50"/>
      <c r="N384" s="50"/>
      <c r="O384" s="50"/>
      <c r="P384" s="50"/>
      <c r="Q384" s="50"/>
      <c r="R384" s="50"/>
      <c r="S384" s="50"/>
      <c r="T384" s="50"/>
      <c r="U384" s="50"/>
      <c r="V384" s="50"/>
      <c r="W384" s="50"/>
      <c r="X384" s="50"/>
      <c r="Y384" s="50"/>
      <c r="Z384" s="50"/>
      <c r="AA384" s="50"/>
      <c r="AB384" s="50"/>
      <c r="AC384" s="50"/>
      <c r="AD384" s="50"/>
    </row>
    <row r="385">
      <c r="A385" s="49"/>
      <c r="B385" s="49"/>
      <c r="C385" s="49"/>
      <c r="D385" s="49"/>
      <c r="E385" s="50"/>
      <c r="F385" s="50"/>
      <c r="G385" s="50"/>
      <c r="H385" s="50"/>
      <c r="I385" s="50"/>
      <c r="J385" s="50"/>
      <c r="K385" s="50"/>
      <c r="L385" s="50"/>
      <c r="M385" s="50"/>
      <c r="N385" s="50"/>
      <c r="O385" s="50"/>
      <c r="P385" s="50"/>
      <c r="Q385" s="50"/>
      <c r="R385" s="50"/>
      <c r="S385" s="50"/>
      <c r="T385" s="50"/>
      <c r="U385" s="50"/>
      <c r="V385" s="50"/>
      <c r="W385" s="50"/>
      <c r="X385" s="50"/>
      <c r="Y385" s="50"/>
      <c r="Z385" s="50"/>
      <c r="AA385" s="50"/>
      <c r="AB385" s="50"/>
      <c r="AC385" s="50"/>
      <c r="AD385" s="50"/>
    </row>
    <row r="386">
      <c r="A386" s="49"/>
      <c r="B386" s="49"/>
      <c r="C386" s="49"/>
      <c r="D386" s="49"/>
      <c r="E386" s="50"/>
      <c r="F386" s="50"/>
      <c r="G386" s="50"/>
      <c r="H386" s="50"/>
      <c r="I386" s="50"/>
      <c r="J386" s="50"/>
      <c r="K386" s="50"/>
      <c r="L386" s="50"/>
      <c r="M386" s="50"/>
      <c r="N386" s="50"/>
      <c r="O386" s="50"/>
      <c r="P386" s="50"/>
      <c r="Q386" s="50"/>
      <c r="R386" s="50"/>
      <c r="S386" s="50"/>
      <c r="T386" s="50"/>
      <c r="U386" s="50"/>
      <c r="V386" s="50"/>
      <c r="W386" s="50"/>
      <c r="X386" s="50"/>
      <c r="Y386" s="50"/>
      <c r="Z386" s="50"/>
      <c r="AA386" s="50"/>
      <c r="AB386" s="50"/>
      <c r="AC386" s="50"/>
      <c r="AD386" s="50"/>
    </row>
    <row r="387">
      <c r="A387" s="49"/>
      <c r="B387" s="49"/>
      <c r="C387" s="49"/>
      <c r="D387" s="49"/>
      <c r="E387" s="50"/>
      <c r="F387" s="50"/>
      <c r="G387" s="50"/>
      <c r="H387" s="50"/>
      <c r="I387" s="50"/>
      <c r="J387" s="50"/>
      <c r="K387" s="50"/>
      <c r="L387" s="50"/>
      <c r="M387" s="50"/>
      <c r="N387" s="50"/>
      <c r="O387" s="50"/>
      <c r="P387" s="50"/>
      <c r="Q387" s="50"/>
      <c r="R387" s="50"/>
      <c r="S387" s="50"/>
      <c r="T387" s="50"/>
      <c r="U387" s="50"/>
      <c r="V387" s="50"/>
      <c r="W387" s="50"/>
      <c r="X387" s="50"/>
      <c r="Y387" s="50"/>
      <c r="Z387" s="50"/>
      <c r="AA387" s="50"/>
      <c r="AB387" s="50"/>
      <c r="AC387" s="50"/>
      <c r="AD387" s="50"/>
    </row>
    <row r="388">
      <c r="A388" s="49"/>
      <c r="B388" s="49"/>
      <c r="C388" s="49"/>
      <c r="D388" s="49"/>
      <c r="E388" s="50"/>
      <c r="F388" s="50"/>
      <c r="G388" s="50"/>
      <c r="H388" s="50"/>
      <c r="I388" s="50"/>
      <c r="J388" s="50"/>
      <c r="K388" s="50"/>
      <c r="L388" s="50"/>
      <c r="M388" s="50"/>
      <c r="N388" s="50"/>
      <c r="O388" s="50"/>
      <c r="P388" s="50"/>
      <c r="Q388" s="50"/>
      <c r="R388" s="50"/>
      <c r="S388" s="50"/>
      <c r="T388" s="50"/>
      <c r="U388" s="50"/>
      <c r="V388" s="50"/>
      <c r="W388" s="50"/>
      <c r="X388" s="50"/>
      <c r="Y388" s="50"/>
      <c r="Z388" s="50"/>
      <c r="AA388" s="50"/>
      <c r="AB388" s="50"/>
      <c r="AC388" s="50"/>
      <c r="AD388" s="50"/>
    </row>
    <row r="389">
      <c r="A389" s="49"/>
      <c r="B389" s="49"/>
      <c r="C389" s="49"/>
      <c r="D389" s="49"/>
      <c r="E389" s="50"/>
      <c r="F389" s="50"/>
      <c r="G389" s="50"/>
      <c r="H389" s="50"/>
      <c r="I389" s="50"/>
      <c r="J389" s="50"/>
      <c r="K389" s="50"/>
      <c r="L389" s="50"/>
      <c r="M389" s="50"/>
      <c r="N389" s="50"/>
      <c r="O389" s="50"/>
      <c r="P389" s="50"/>
      <c r="Q389" s="50"/>
      <c r="R389" s="50"/>
      <c r="S389" s="50"/>
      <c r="T389" s="50"/>
      <c r="U389" s="50"/>
      <c r="V389" s="50"/>
      <c r="W389" s="50"/>
      <c r="X389" s="50"/>
      <c r="Y389" s="50"/>
      <c r="Z389" s="50"/>
      <c r="AA389" s="50"/>
      <c r="AB389" s="50"/>
      <c r="AC389" s="50"/>
      <c r="AD389" s="50"/>
    </row>
    <row r="390">
      <c r="A390" s="49"/>
      <c r="B390" s="49"/>
      <c r="C390" s="49"/>
      <c r="D390" s="49"/>
      <c r="E390" s="50"/>
      <c r="F390" s="50"/>
      <c r="G390" s="50"/>
      <c r="H390" s="50"/>
      <c r="I390" s="50"/>
      <c r="J390" s="50"/>
      <c r="K390" s="50"/>
      <c r="L390" s="50"/>
      <c r="M390" s="50"/>
      <c r="N390" s="50"/>
      <c r="O390" s="50"/>
      <c r="P390" s="50"/>
      <c r="Q390" s="50"/>
      <c r="R390" s="50"/>
      <c r="S390" s="50"/>
      <c r="T390" s="50"/>
      <c r="U390" s="50"/>
      <c r="V390" s="50"/>
      <c r="W390" s="50"/>
      <c r="X390" s="50"/>
      <c r="Y390" s="50"/>
      <c r="Z390" s="50"/>
      <c r="AA390" s="50"/>
      <c r="AB390" s="50"/>
      <c r="AC390" s="50"/>
      <c r="AD390" s="50"/>
    </row>
    <row r="391">
      <c r="A391" s="49"/>
      <c r="B391" s="49"/>
      <c r="C391" s="49"/>
      <c r="D391" s="49"/>
      <c r="E391" s="50"/>
      <c r="F391" s="50"/>
      <c r="G391" s="50"/>
      <c r="H391" s="50"/>
      <c r="I391" s="50"/>
      <c r="J391" s="50"/>
      <c r="K391" s="50"/>
      <c r="L391" s="50"/>
      <c r="M391" s="50"/>
      <c r="N391" s="50"/>
      <c r="O391" s="50"/>
      <c r="P391" s="50"/>
      <c r="Q391" s="50"/>
      <c r="R391" s="50"/>
      <c r="S391" s="50"/>
      <c r="T391" s="50"/>
      <c r="U391" s="50"/>
      <c r="V391" s="50"/>
      <c r="W391" s="50"/>
      <c r="X391" s="50"/>
      <c r="Y391" s="50"/>
      <c r="Z391" s="50"/>
      <c r="AA391" s="50"/>
      <c r="AB391" s="50"/>
      <c r="AC391" s="50"/>
      <c r="AD391" s="50"/>
    </row>
    <row r="392">
      <c r="A392" s="49"/>
      <c r="B392" s="49"/>
      <c r="C392" s="49"/>
      <c r="D392" s="49"/>
      <c r="E392" s="50"/>
      <c r="F392" s="50"/>
      <c r="G392" s="50"/>
      <c r="H392" s="50"/>
      <c r="I392" s="50"/>
      <c r="J392" s="50"/>
      <c r="K392" s="50"/>
      <c r="L392" s="50"/>
      <c r="M392" s="50"/>
      <c r="N392" s="50"/>
      <c r="O392" s="50"/>
      <c r="P392" s="50"/>
      <c r="Q392" s="50"/>
      <c r="R392" s="50"/>
      <c r="S392" s="50"/>
      <c r="T392" s="50"/>
      <c r="U392" s="50"/>
      <c r="V392" s="50"/>
      <c r="W392" s="50"/>
      <c r="X392" s="50"/>
      <c r="Y392" s="50"/>
      <c r="Z392" s="50"/>
      <c r="AA392" s="50"/>
      <c r="AB392" s="50"/>
      <c r="AC392" s="50"/>
      <c r="AD392" s="50"/>
    </row>
    <row r="393">
      <c r="A393" s="49"/>
      <c r="B393" s="49"/>
      <c r="C393" s="49"/>
      <c r="D393" s="49"/>
      <c r="E393" s="50"/>
      <c r="F393" s="50"/>
      <c r="G393" s="50"/>
      <c r="H393" s="50"/>
      <c r="I393" s="50"/>
      <c r="J393" s="50"/>
      <c r="K393" s="50"/>
      <c r="L393" s="50"/>
      <c r="M393" s="50"/>
      <c r="N393" s="50"/>
      <c r="O393" s="50"/>
      <c r="P393" s="50"/>
      <c r="Q393" s="50"/>
      <c r="R393" s="50"/>
      <c r="S393" s="50"/>
      <c r="T393" s="50"/>
      <c r="U393" s="50"/>
      <c r="V393" s="50"/>
      <c r="W393" s="50"/>
      <c r="X393" s="50"/>
      <c r="Y393" s="50"/>
      <c r="Z393" s="50"/>
      <c r="AA393" s="50"/>
      <c r="AB393" s="50"/>
      <c r="AC393" s="50"/>
      <c r="AD393" s="50"/>
    </row>
    <row r="394">
      <c r="A394" s="49"/>
      <c r="B394" s="49"/>
      <c r="C394" s="49"/>
      <c r="D394" s="49"/>
      <c r="E394" s="50"/>
      <c r="F394" s="50"/>
      <c r="G394" s="50"/>
      <c r="H394" s="50"/>
      <c r="I394" s="50"/>
      <c r="J394" s="50"/>
      <c r="K394" s="50"/>
      <c r="L394" s="50"/>
      <c r="M394" s="50"/>
      <c r="N394" s="50"/>
      <c r="O394" s="50"/>
      <c r="P394" s="50"/>
      <c r="Q394" s="50"/>
      <c r="R394" s="50"/>
      <c r="S394" s="50"/>
      <c r="T394" s="50"/>
      <c r="U394" s="50"/>
      <c r="V394" s="50"/>
      <c r="W394" s="50"/>
      <c r="X394" s="50"/>
      <c r="Y394" s="50"/>
      <c r="Z394" s="50"/>
      <c r="AA394" s="50"/>
      <c r="AB394" s="50"/>
      <c r="AC394" s="50"/>
      <c r="AD394" s="50"/>
    </row>
    <row r="395">
      <c r="A395" s="49"/>
      <c r="B395" s="49"/>
      <c r="C395" s="49"/>
      <c r="D395" s="49"/>
      <c r="E395" s="50"/>
      <c r="F395" s="50"/>
      <c r="G395" s="50"/>
      <c r="H395" s="50"/>
      <c r="I395" s="50"/>
      <c r="J395" s="50"/>
      <c r="K395" s="50"/>
      <c r="L395" s="50"/>
      <c r="M395" s="50"/>
      <c r="N395" s="50"/>
      <c r="O395" s="50"/>
      <c r="P395" s="50"/>
      <c r="Q395" s="50"/>
      <c r="R395" s="50"/>
      <c r="S395" s="50"/>
      <c r="T395" s="50"/>
      <c r="U395" s="50"/>
      <c r="V395" s="50"/>
      <c r="W395" s="50"/>
      <c r="X395" s="50"/>
      <c r="Y395" s="50"/>
      <c r="Z395" s="50"/>
      <c r="AA395" s="50"/>
      <c r="AB395" s="50"/>
      <c r="AC395" s="50"/>
      <c r="AD395" s="50"/>
    </row>
    <row r="396">
      <c r="A396" s="49"/>
      <c r="B396" s="49"/>
      <c r="C396" s="49"/>
      <c r="D396" s="49"/>
      <c r="E396" s="50"/>
      <c r="F396" s="50"/>
      <c r="G396" s="50"/>
      <c r="H396" s="50"/>
      <c r="I396" s="50"/>
      <c r="J396" s="50"/>
      <c r="K396" s="50"/>
      <c r="L396" s="50"/>
      <c r="M396" s="50"/>
      <c r="N396" s="50"/>
      <c r="O396" s="50"/>
      <c r="P396" s="50"/>
      <c r="Q396" s="50"/>
      <c r="R396" s="50"/>
      <c r="S396" s="50"/>
      <c r="T396" s="50"/>
      <c r="U396" s="50"/>
      <c r="V396" s="50"/>
      <c r="W396" s="50"/>
      <c r="X396" s="50"/>
      <c r="Y396" s="50"/>
      <c r="Z396" s="50"/>
      <c r="AA396" s="50"/>
      <c r="AB396" s="50"/>
      <c r="AC396" s="50"/>
      <c r="AD396" s="50"/>
    </row>
    <row r="397">
      <c r="A397" s="49"/>
      <c r="B397" s="49"/>
      <c r="C397" s="49"/>
      <c r="D397" s="49"/>
      <c r="E397" s="50"/>
      <c r="F397" s="50"/>
      <c r="G397" s="50"/>
      <c r="H397" s="50"/>
      <c r="I397" s="50"/>
      <c r="J397" s="50"/>
      <c r="K397" s="50"/>
      <c r="L397" s="50"/>
      <c r="M397" s="50"/>
      <c r="N397" s="50"/>
      <c r="O397" s="50"/>
      <c r="P397" s="50"/>
      <c r="Q397" s="50"/>
      <c r="R397" s="50"/>
      <c r="S397" s="50"/>
      <c r="T397" s="50"/>
      <c r="U397" s="50"/>
      <c r="V397" s="50"/>
      <c r="W397" s="50"/>
      <c r="X397" s="50"/>
      <c r="Y397" s="50"/>
      <c r="Z397" s="50"/>
      <c r="AA397" s="50"/>
      <c r="AB397" s="50"/>
      <c r="AC397" s="50"/>
      <c r="AD397" s="50"/>
    </row>
    <row r="398">
      <c r="A398" s="49"/>
      <c r="B398" s="49"/>
      <c r="C398" s="49"/>
      <c r="D398" s="49"/>
      <c r="E398" s="50"/>
      <c r="F398" s="50"/>
      <c r="G398" s="50"/>
      <c r="H398" s="50"/>
      <c r="I398" s="50"/>
      <c r="J398" s="50"/>
      <c r="K398" s="50"/>
      <c r="L398" s="50"/>
      <c r="M398" s="50"/>
      <c r="N398" s="50"/>
      <c r="O398" s="50"/>
      <c r="P398" s="50"/>
      <c r="Q398" s="50"/>
      <c r="R398" s="50"/>
      <c r="S398" s="50"/>
      <c r="T398" s="50"/>
      <c r="U398" s="50"/>
      <c r="V398" s="50"/>
      <c r="W398" s="50"/>
      <c r="X398" s="50"/>
      <c r="Y398" s="50"/>
      <c r="Z398" s="50"/>
      <c r="AA398" s="50"/>
      <c r="AB398" s="50"/>
      <c r="AC398" s="50"/>
      <c r="AD398" s="50"/>
    </row>
    <row r="399">
      <c r="A399" s="49"/>
      <c r="B399" s="49"/>
      <c r="C399" s="49"/>
      <c r="D399" s="49"/>
      <c r="E399" s="50"/>
      <c r="F399" s="50"/>
      <c r="G399" s="50"/>
      <c r="H399" s="50"/>
      <c r="I399" s="50"/>
      <c r="J399" s="50"/>
      <c r="K399" s="50"/>
      <c r="L399" s="50"/>
      <c r="M399" s="50"/>
      <c r="N399" s="50"/>
      <c r="O399" s="50"/>
      <c r="P399" s="50"/>
      <c r="Q399" s="50"/>
      <c r="R399" s="50"/>
      <c r="S399" s="50"/>
      <c r="T399" s="50"/>
      <c r="U399" s="50"/>
      <c r="V399" s="50"/>
      <c r="W399" s="50"/>
      <c r="X399" s="50"/>
      <c r="Y399" s="50"/>
      <c r="Z399" s="50"/>
      <c r="AA399" s="50"/>
      <c r="AB399" s="50"/>
      <c r="AC399" s="50"/>
      <c r="AD399" s="50"/>
    </row>
    <row r="400">
      <c r="A400" s="49"/>
      <c r="B400" s="49"/>
      <c r="C400" s="49"/>
      <c r="D400" s="49"/>
      <c r="E400" s="50"/>
      <c r="F400" s="50"/>
      <c r="G400" s="50"/>
      <c r="H400" s="50"/>
      <c r="I400" s="50"/>
      <c r="J400" s="50"/>
      <c r="K400" s="50"/>
      <c r="L400" s="50"/>
      <c r="M400" s="50"/>
      <c r="N400" s="50"/>
      <c r="O400" s="50"/>
      <c r="P400" s="50"/>
      <c r="Q400" s="50"/>
      <c r="R400" s="50"/>
      <c r="S400" s="50"/>
      <c r="T400" s="50"/>
      <c r="U400" s="50"/>
      <c r="V400" s="50"/>
      <c r="W400" s="50"/>
      <c r="X400" s="50"/>
      <c r="Y400" s="50"/>
      <c r="Z400" s="50"/>
      <c r="AA400" s="50"/>
      <c r="AB400" s="50"/>
      <c r="AC400" s="50"/>
      <c r="AD400" s="50"/>
    </row>
    <row r="401">
      <c r="A401" s="49"/>
      <c r="B401" s="49"/>
      <c r="C401" s="49"/>
      <c r="D401" s="49"/>
      <c r="E401" s="50"/>
      <c r="F401" s="50"/>
      <c r="G401" s="50"/>
      <c r="H401" s="50"/>
      <c r="I401" s="50"/>
      <c r="J401" s="50"/>
      <c r="K401" s="50"/>
      <c r="L401" s="50"/>
      <c r="M401" s="50"/>
      <c r="N401" s="50"/>
      <c r="O401" s="50"/>
      <c r="P401" s="50"/>
      <c r="Q401" s="50"/>
      <c r="R401" s="50"/>
      <c r="S401" s="50"/>
      <c r="T401" s="50"/>
      <c r="U401" s="50"/>
      <c r="V401" s="50"/>
      <c r="W401" s="50"/>
      <c r="X401" s="50"/>
      <c r="Y401" s="50"/>
      <c r="Z401" s="50"/>
      <c r="AA401" s="50"/>
      <c r="AB401" s="50"/>
      <c r="AC401" s="50"/>
      <c r="AD401" s="50"/>
    </row>
    <row r="402">
      <c r="A402" s="49"/>
      <c r="B402" s="49"/>
      <c r="C402" s="49"/>
      <c r="D402" s="49"/>
      <c r="E402" s="50"/>
      <c r="F402" s="50"/>
      <c r="G402" s="50"/>
      <c r="H402" s="50"/>
      <c r="I402" s="50"/>
      <c r="J402" s="50"/>
      <c r="K402" s="50"/>
      <c r="L402" s="50"/>
      <c r="M402" s="50"/>
      <c r="N402" s="50"/>
      <c r="O402" s="50"/>
      <c r="P402" s="50"/>
      <c r="Q402" s="50"/>
      <c r="R402" s="50"/>
      <c r="S402" s="50"/>
      <c r="T402" s="50"/>
      <c r="U402" s="50"/>
      <c r="V402" s="50"/>
      <c r="W402" s="50"/>
      <c r="X402" s="50"/>
      <c r="Y402" s="50"/>
      <c r="Z402" s="50"/>
      <c r="AA402" s="50"/>
      <c r="AB402" s="50"/>
      <c r="AC402" s="50"/>
      <c r="AD402" s="50"/>
    </row>
    <row r="403">
      <c r="A403" s="49"/>
      <c r="B403" s="49"/>
      <c r="C403" s="49"/>
      <c r="D403" s="49"/>
      <c r="E403" s="50"/>
      <c r="F403" s="50"/>
      <c r="G403" s="50"/>
      <c r="H403" s="50"/>
      <c r="I403" s="50"/>
      <c r="J403" s="50"/>
      <c r="K403" s="50"/>
      <c r="L403" s="50"/>
      <c r="M403" s="50"/>
      <c r="N403" s="50"/>
      <c r="O403" s="50"/>
      <c r="P403" s="50"/>
      <c r="Q403" s="50"/>
      <c r="R403" s="50"/>
      <c r="S403" s="50"/>
      <c r="T403" s="50"/>
      <c r="U403" s="50"/>
      <c r="V403" s="50"/>
      <c r="W403" s="50"/>
      <c r="X403" s="50"/>
      <c r="Y403" s="50"/>
      <c r="Z403" s="50"/>
      <c r="AA403" s="50"/>
      <c r="AB403" s="50"/>
      <c r="AC403" s="50"/>
      <c r="AD403" s="50"/>
    </row>
    <row r="404">
      <c r="A404" s="49"/>
      <c r="B404" s="49"/>
      <c r="C404" s="49"/>
      <c r="D404" s="49"/>
      <c r="E404" s="50"/>
      <c r="F404" s="50"/>
      <c r="G404" s="50"/>
      <c r="H404" s="50"/>
      <c r="I404" s="50"/>
      <c r="J404" s="50"/>
      <c r="K404" s="50"/>
      <c r="L404" s="50"/>
      <c r="M404" s="50"/>
      <c r="N404" s="50"/>
      <c r="O404" s="50"/>
      <c r="P404" s="50"/>
      <c r="Q404" s="50"/>
      <c r="R404" s="50"/>
      <c r="S404" s="50"/>
      <c r="T404" s="50"/>
      <c r="U404" s="50"/>
      <c r="V404" s="50"/>
      <c r="W404" s="50"/>
      <c r="X404" s="50"/>
      <c r="Y404" s="50"/>
      <c r="Z404" s="50"/>
      <c r="AA404" s="50"/>
      <c r="AB404" s="50"/>
      <c r="AC404" s="50"/>
      <c r="AD404" s="50"/>
    </row>
    <row r="405">
      <c r="A405" s="49"/>
      <c r="B405" s="49"/>
      <c r="C405" s="49"/>
      <c r="D405" s="49"/>
      <c r="E405" s="50"/>
      <c r="F405" s="50"/>
      <c r="G405" s="50"/>
      <c r="H405" s="50"/>
      <c r="I405" s="50"/>
      <c r="J405" s="50"/>
      <c r="K405" s="50"/>
      <c r="L405" s="50"/>
      <c r="M405" s="50"/>
      <c r="N405" s="50"/>
      <c r="O405" s="50"/>
      <c r="P405" s="50"/>
      <c r="Q405" s="50"/>
      <c r="R405" s="50"/>
      <c r="S405" s="50"/>
      <c r="T405" s="50"/>
      <c r="U405" s="50"/>
      <c r="V405" s="50"/>
      <c r="W405" s="50"/>
      <c r="X405" s="50"/>
      <c r="Y405" s="50"/>
      <c r="Z405" s="50"/>
      <c r="AA405" s="50"/>
      <c r="AB405" s="50"/>
      <c r="AC405" s="50"/>
      <c r="AD405" s="50"/>
    </row>
    <row r="406">
      <c r="A406" s="49"/>
      <c r="B406" s="49"/>
      <c r="C406" s="49"/>
      <c r="D406" s="49"/>
      <c r="E406" s="50"/>
      <c r="F406" s="50"/>
      <c r="G406" s="50"/>
      <c r="H406" s="50"/>
      <c r="I406" s="50"/>
      <c r="J406" s="50"/>
      <c r="K406" s="50"/>
      <c r="L406" s="50"/>
      <c r="M406" s="50"/>
      <c r="N406" s="50"/>
      <c r="O406" s="50"/>
      <c r="P406" s="50"/>
      <c r="Q406" s="50"/>
      <c r="R406" s="50"/>
      <c r="S406" s="50"/>
      <c r="T406" s="50"/>
      <c r="U406" s="50"/>
      <c r="V406" s="50"/>
      <c r="W406" s="50"/>
      <c r="X406" s="50"/>
      <c r="Y406" s="50"/>
      <c r="Z406" s="50"/>
      <c r="AA406" s="50"/>
      <c r="AB406" s="50"/>
      <c r="AC406" s="50"/>
      <c r="AD406" s="50"/>
    </row>
    <row r="407">
      <c r="A407" s="49"/>
      <c r="B407" s="49"/>
      <c r="C407" s="49"/>
      <c r="D407" s="49"/>
      <c r="E407" s="50"/>
      <c r="F407" s="50"/>
      <c r="G407" s="50"/>
      <c r="H407" s="50"/>
      <c r="I407" s="50"/>
      <c r="J407" s="50"/>
      <c r="K407" s="50"/>
      <c r="L407" s="50"/>
      <c r="M407" s="50"/>
      <c r="N407" s="50"/>
      <c r="O407" s="50"/>
      <c r="P407" s="50"/>
      <c r="Q407" s="50"/>
      <c r="R407" s="50"/>
      <c r="S407" s="50"/>
      <c r="T407" s="50"/>
      <c r="U407" s="50"/>
      <c r="V407" s="50"/>
      <c r="W407" s="50"/>
      <c r="X407" s="50"/>
      <c r="Y407" s="50"/>
      <c r="Z407" s="50"/>
      <c r="AA407" s="50"/>
      <c r="AB407" s="50"/>
      <c r="AC407" s="50"/>
      <c r="AD407" s="50"/>
    </row>
    <row r="408">
      <c r="A408" s="49"/>
      <c r="B408" s="49"/>
      <c r="C408" s="49"/>
      <c r="D408" s="49"/>
      <c r="E408" s="50"/>
      <c r="F408" s="50"/>
      <c r="G408" s="50"/>
      <c r="H408" s="50"/>
      <c r="I408" s="50"/>
      <c r="J408" s="50"/>
      <c r="K408" s="50"/>
      <c r="L408" s="50"/>
      <c r="M408" s="50"/>
      <c r="N408" s="50"/>
      <c r="O408" s="50"/>
      <c r="P408" s="50"/>
      <c r="Q408" s="50"/>
      <c r="R408" s="50"/>
      <c r="S408" s="50"/>
      <c r="T408" s="50"/>
      <c r="U408" s="50"/>
      <c r="V408" s="50"/>
      <c r="W408" s="50"/>
      <c r="X408" s="50"/>
      <c r="Y408" s="50"/>
      <c r="Z408" s="50"/>
      <c r="AA408" s="50"/>
      <c r="AB408" s="50"/>
      <c r="AC408" s="50"/>
      <c r="AD408" s="50"/>
    </row>
    <row r="409">
      <c r="A409" s="49"/>
      <c r="B409" s="49"/>
      <c r="C409" s="49"/>
      <c r="D409" s="49"/>
      <c r="E409" s="50"/>
      <c r="F409" s="50"/>
      <c r="G409" s="50"/>
      <c r="H409" s="50"/>
      <c r="I409" s="50"/>
      <c r="J409" s="50"/>
      <c r="K409" s="50"/>
      <c r="L409" s="50"/>
      <c r="M409" s="50"/>
      <c r="N409" s="50"/>
      <c r="O409" s="50"/>
      <c r="P409" s="50"/>
      <c r="Q409" s="50"/>
      <c r="R409" s="50"/>
      <c r="S409" s="50"/>
      <c r="T409" s="50"/>
      <c r="U409" s="50"/>
      <c r="V409" s="50"/>
      <c r="W409" s="50"/>
      <c r="X409" s="50"/>
      <c r="Y409" s="50"/>
      <c r="Z409" s="50"/>
      <c r="AA409" s="50"/>
      <c r="AB409" s="50"/>
      <c r="AC409" s="50"/>
      <c r="AD409" s="50"/>
    </row>
    <row r="410">
      <c r="A410" s="49"/>
      <c r="B410" s="49"/>
      <c r="C410" s="49"/>
      <c r="D410" s="49"/>
      <c r="E410" s="50"/>
      <c r="F410" s="50"/>
      <c r="G410" s="50"/>
      <c r="H410" s="50"/>
      <c r="I410" s="50"/>
      <c r="J410" s="50"/>
      <c r="K410" s="50"/>
      <c r="L410" s="50"/>
      <c r="M410" s="50"/>
      <c r="N410" s="50"/>
      <c r="O410" s="50"/>
      <c r="P410" s="50"/>
      <c r="Q410" s="50"/>
      <c r="R410" s="50"/>
      <c r="S410" s="50"/>
      <c r="T410" s="50"/>
      <c r="U410" s="50"/>
      <c r="V410" s="50"/>
      <c r="W410" s="50"/>
      <c r="X410" s="50"/>
      <c r="Y410" s="50"/>
      <c r="Z410" s="50"/>
      <c r="AA410" s="50"/>
      <c r="AB410" s="50"/>
      <c r="AC410" s="50"/>
      <c r="AD410" s="50"/>
    </row>
    <row r="411">
      <c r="A411" s="49"/>
      <c r="B411" s="49"/>
      <c r="C411" s="49"/>
      <c r="D411" s="49"/>
      <c r="E411" s="50"/>
      <c r="F411" s="50"/>
      <c r="G411" s="50"/>
      <c r="H411" s="50"/>
      <c r="I411" s="50"/>
      <c r="J411" s="50"/>
      <c r="K411" s="50"/>
      <c r="L411" s="50"/>
      <c r="M411" s="50"/>
      <c r="N411" s="50"/>
      <c r="O411" s="50"/>
      <c r="P411" s="50"/>
      <c r="Q411" s="50"/>
      <c r="R411" s="50"/>
      <c r="S411" s="50"/>
      <c r="T411" s="50"/>
      <c r="U411" s="50"/>
      <c r="V411" s="50"/>
      <c r="W411" s="50"/>
      <c r="X411" s="50"/>
      <c r="Y411" s="50"/>
      <c r="Z411" s="50"/>
      <c r="AA411" s="50"/>
      <c r="AB411" s="50"/>
      <c r="AC411" s="50"/>
      <c r="AD411" s="50"/>
    </row>
    <row r="412">
      <c r="A412" s="49"/>
      <c r="B412" s="49"/>
      <c r="C412" s="49"/>
      <c r="D412" s="49"/>
      <c r="E412" s="50"/>
      <c r="F412" s="50"/>
      <c r="G412" s="50"/>
      <c r="H412" s="50"/>
      <c r="I412" s="50"/>
      <c r="J412" s="50"/>
      <c r="K412" s="50"/>
      <c r="L412" s="50"/>
      <c r="M412" s="50"/>
      <c r="N412" s="50"/>
      <c r="O412" s="50"/>
      <c r="P412" s="50"/>
      <c r="Q412" s="50"/>
      <c r="R412" s="50"/>
      <c r="S412" s="50"/>
      <c r="T412" s="50"/>
      <c r="U412" s="50"/>
      <c r="V412" s="50"/>
      <c r="W412" s="50"/>
      <c r="X412" s="50"/>
      <c r="Y412" s="50"/>
      <c r="Z412" s="50"/>
      <c r="AA412" s="50"/>
      <c r="AB412" s="50"/>
      <c r="AC412" s="50"/>
      <c r="AD412" s="50"/>
    </row>
    <row r="413">
      <c r="A413" s="49"/>
      <c r="B413" s="49"/>
      <c r="C413" s="49"/>
      <c r="D413" s="49"/>
      <c r="E413" s="50"/>
      <c r="F413" s="50"/>
      <c r="G413" s="50"/>
      <c r="H413" s="50"/>
      <c r="I413" s="50"/>
      <c r="J413" s="50"/>
      <c r="K413" s="50"/>
      <c r="L413" s="50"/>
      <c r="M413" s="50"/>
      <c r="N413" s="50"/>
      <c r="O413" s="50"/>
      <c r="P413" s="50"/>
      <c r="Q413" s="50"/>
      <c r="R413" s="50"/>
      <c r="S413" s="50"/>
      <c r="T413" s="50"/>
      <c r="U413" s="50"/>
      <c r="V413" s="50"/>
      <c r="W413" s="50"/>
      <c r="X413" s="50"/>
      <c r="Y413" s="50"/>
      <c r="Z413" s="50"/>
      <c r="AA413" s="50"/>
      <c r="AB413" s="50"/>
      <c r="AC413" s="50"/>
      <c r="AD413" s="50"/>
    </row>
    <row r="414">
      <c r="A414" s="49"/>
      <c r="B414" s="49"/>
      <c r="C414" s="49"/>
      <c r="D414" s="49"/>
      <c r="E414" s="50"/>
      <c r="F414" s="50"/>
      <c r="G414" s="50"/>
      <c r="H414" s="50"/>
      <c r="I414" s="50"/>
      <c r="J414" s="50"/>
      <c r="K414" s="50"/>
      <c r="L414" s="50"/>
      <c r="M414" s="50"/>
      <c r="N414" s="50"/>
      <c r="O414" s="50"/>
      <c r="P414" s="50"/>
      <c r="Q414" s="50"/>
      <c r="R414" s="50"/>
      <c r="S414" s="50"/>
      <c r="T414" s="50"/>
      <c r="U414" s="50"/>
      <c r="V414" s="50"/>
      <c r="W414" s="50"/>
      <c r="X414" s="50"/>
      <c r="Y414" s="50"/>
      <c r="Z414" s="50"/>
      <c r="AA414" s="50"/>
      <c r="AB414" s="50"/>
      <c r="AC414" s="50"/>
      <c r="AD414" s="50"/>
    </row>
    <row r="415">
      <c r="A415" s="49"/>
      <c r="B415" s="49"/>
      <c r="C415" s="49"/>
      <c r="D415" s="49"/>
      <c r="E415" s="50"/>
      <c r="F415" s="50"/>
      <c r="G415" s="50"/>
      <c r="H415" s="50"/>
      <c r="I415" s="50"/>
      <c r="J415" s="50"/>
      <c r="K415" s="50"/>
      <c r="L415" s="50"/>
      <c r="M415" s="50"/>
      <c r="N415" s="50"/>
      <c r="O415" s="50"/>
      <c r="P415" s="50"/>
      <c r="Q415" s="50"/>
      <c r="R415" s="50"/>
      <c r="S415" s="50"/>
      <c r="T415" s="50"/>
      <c r="U415" s="50"/>
      <c r="V415" s="50"/>
      <c r="W415" s="50"/>
      <c r="X415" s="50"/>
      <c r="Y415" s="50"/>
      <c r="Z415" s="50"/>
      <c r="AA415" s="50"/>
      <c r="AB415" s="50"/>
      <c r="AC415" s="50"/>
      <c r="AD415" s="50"/>
    </row>
    <row r="416">
      <c r="A416" s="49"/>
      <c r="B416" s="49"/>
      <c r="C416" s="49"/>
      <c r="D416" s="49"/>
      <c r="E416" s="50"/>
      <c r="F416" s="50"/>
      <c r="G416" s="50"/>
      <c r="H416" s="50"/>
      <c r="I416" s="50"/>
      <c r="J416" s="50"/>
      <c r="K416" s="50"/>
      <c r="L416" s="50"/>
      <c r="M416" s="50"/>
      <c r="N416" s="50"/>
      <c r="O416" s="50"/>
      <c r="P416" s="50"/>
      <c r="Q416" s="50"/>
      <c r="R416" s="50"/>
      <c r="S416" s="50"/>
      <c r="T416" s="50"/>
      <c r="U416" s="50"/>
      <c r="V416" s="50"/>
      <c r="W416" s="50"/>
      <c r="X416" s="50"/>
      <c r="Y416" s="50"/>
      <c r="Z416" s="50"/>
      <c r="AA416" s="50"/>
      <c r="AB416" s="50"/>
      <c r="AC416" s="50"/>
      <c r="AD416" s="50"/>
    </row>
    <row r="417">
      <c r="A417" s="49"/>
      <c r="B417" s="49"/>
      <c r="C417" s="49"/>
      <c r="D417" s="49"/>
      <c r="E417" s="50"/>
      <c r="F417" s="50"/>
      <c r="G417" s="50"/>
      <c r="H417" s="50"/>
      <c r="I417" s="50"/>
      <c r="J417" s="50"/>
      <c r="K417" s="50"/>
      <c r="L417" s="50"/>
      <c r="M417" s="50"/>
      <c r="N417" s="50"/>
      <c r="O417" s="50"/>
      <c r="P417" s="50"/>
      <c r="Q417" s="50"/>
      <c r="R417" s="50"/>
      <c r="S417" s="50"/>
      <c r="T417" s="50"/>
      <c r="U417" s="50"/>
      <c r="V417" s="50"/>
      <c r="W417" s="50"/>
      <c r="X417" s="50"/>
      <c r="Y417" s="50"/>
      <c r="Z417" s="50"/>
      <c r="AA417" s="50"/>
      <c r="AB417" s="50"/>
      <c r="AC417" s="50"/>
      <c r="AD417" s="50"/>
    </row>
    <row r="418">
      <c r="A418" s="49"/>
      <c r="B418" s="49"/>
      <c r="C418" s="49"/>
      <c r="D418" s="49"/>
      <c r="E418" s="50"/>
      <c r="F418" s="50"/>
      <c r="G418" s="50"/>
      <c r="H418" s="50"/>
      <c r="I418" s="50"/>
      <c r="J418" s="50"/>
      <c r="K418" s="50"/>
      <c r="L418" s="50"/>
      <c r="M418" s="50"/>
      <c r="N418" s="50"/>
      <c r="O418" s="50"/>
      <c r="P418" s="50"/>
      <c r="Q418" s="50"/>
      <c r="R418" s="50"/>
      <c r="S418" s="50"/>
      <c r="T418" s="50"/>
      <c r="U418" s="50"/>
      <c r="V418" s="50"/>
      <c r="W418" s="50"/>
      <c r="X418" s="50"/>
      <c r="Y418" s="50"/>
      <c r="Z418" s="50"/>
      <c r="AA418" s="50"/>
      <c r="AB418" s="50"/>
      <c r="AC418" s="50"/>
      <c r="AD418" s="50"/>
    </row>
    <row r="419">
      <c r="A419" s="49"/>
      <c r="B419" s="49"/>
      <c r="C419" s="49"/>
      <c r="D419" s="49"/>
      <c r="E419" s="50"/>
      <c r="F419" s="50"/>
      <c r="G419" s="50"/>
      <c r="H419" s="50"/>
      <c r="I419" s="50"/>
      <c r="J419" s="50"/>
      <c r="K419" s="50"/>
      <c r="L419" s="50"/>
      <c r="M419" s="50"/>
      <c r="N419" s="50"/>
      <c r="O419" s="50"/>
      <c r="P419" s="50"/>
      <c r="Q419" s="50"/>
      <c r="R419" s="50"/>
      <c r="S419" s="50"/>
      <c r="T419" s="50"/>
      <c r="U419" s="50"/>
      <c r="V419" s="50"/>
      <c r="W419" s="50"/>
      <c r="X419" s="50"/>
      <c r="Y419" s="50"/>
      <c r="Z419" s="50"/>
      <c r="AA419" s="50"/>
      <c r="AB419" s="50"/>
      <c r="AC419" s="50"/>
      <c r="AD419" s="50"/>
    </row>
    <row r="420">
      <c r="A420" s="49"/>
      <c r="B420" s="49"/>
      <c r="C420" s="49"/>
      <c r="D420" s="49"/>
      <c r="E420" s="50"/>
      <c r="F420" s="50"/>
      <c r="G420" s="50"/>
      <c r="H420" s="50"/>
      <c r="I420" s="50"/>
      <c r="J420" s="50"/>
      <c r="K420" s="50"/>
      <c r="L420" s="50"/>
      <c r="M420" s="50"/>
      <c r="N420" s="50"/>
      <c r="O420" s="50"/>
      <c r="P420" s="50"/>
      <c r="Q420" s="50"/>
      <c r="R420" s="50"/>
      <c r="S420" s="50"/>
      <c r="T420" s="50"/>
      <c r="U420" s="50"/>
      <c r="V420" s="50"/>
      <c r="W420" s="50"/>
      <c r="X420" s="50"/>
      <c r="Y420" s="50"/>
      <c r="Z420" s="50"/>
      <c r="AA420" s="50"/>
      <c r="AB420" s="50"/>
      <c r="AC420" s="50"/>
      <c r="AD420" s="50"/>
    </row>
    <row r="421">
      <c r="A421" s="49"/>
      <c r="B421" s="49"/>
      <c r="C421" s="49"/>
      <c r="D421" s="49"/>
      <c r="E421" s="50"/>
      <c r="F421" s="50"/>
      <c r="G421" s="50"/>
      <c r="H421" s="50"/>
      <c r="I421" s="50"/>
      <c r="J421" s="50"/>
      <c r="K421" s="50"/>
      <c r="L421" s="50"/>
      <c r="M421" s="50"/>
      <c r="N421" s="50"/>
      <c r="O421" s="50"/>
      <c r="P421" s="50"/>
      <c r="Q421" s="50"/>
      <c r="R421" s="50"/>
      <c r="S421" s="50"/>
      <c r="T421" s="50"/>
      <c r="U421" s="50"/>
      <c r="V421" s="50"/>
      <c r="W421" s="50"/>
      <c r="X421" s="50"/>
      <c r="Y421" s="50"/>
      <c r="Z421" s="50"/>
      <c r="AA421" s="50"/>
      <c r="AB421" s="50"/>
      <c r="AC421" s="50"/>
      <c r="AD421" s="50"/>
    </row>
    <row r="422">
      <c r="A422" s="49"/>
      <c r="B422" s="49"/>
      <c r="C422" s="49"/>
      <c r="D422" s="49"/>
      <c r="E422" s="50"/>
      <c r="F422" s="50"/>
      <c r="G422" s="50"/>
      <c r="H422" s="50"/>
      <c r="I422" s="50"/>
      <c r="J422" s="50"/>
      <c r="K422" s="50"/>
      <c r="L422" s="50"/>
      <c r="M422" s="50"/>
      <c r="N422" s="50"/>
      <c r="O422" s="50"/>
      <c r="P422" s="50"/>
      <c r="Q422" s="50"/>
      <c r="R422" s="50"/>
      <c r="S422" s="50"/>
      <c r="T422" s="50"/>
      <c r="U422" s="50"/>
      <c r="V422" s="50"/>
      <c r="W422" s="50"/>
      <c r="X422" s="50"/>
      <c r="Y422" s="50"/>
      <c r="Z422" s="50"/>
      <c r="AA422" s="50"/>
      <c r="AB422" s="50"/>
      <c r="AC422" s="50"/>
      <c r="AD422" s="50"/>
    </row>
    <row r="423">
      <c r="A423" s="49"/>
      <c r="B423" s="49"/>
      <c r="C423" s="49"/>
      <c r="D423" s="49"/>
      <c r="E423" s="50"/>
      <c r="F423" s="50"/>
      <c r="G423" s="50"/>
      <c r="H423" s="50"/>
      <c r="I423" s="50"/>
      <c r="J423" s="50"/>
      <c r="K423" s="50"/>
      <c r="L423" s="50"/>
      <c r="M423" s="50"/>
      <c r="N423" s="50"/>
      <c r="O423" s="50"/>
      <c r="P423" s="50"/>
      <c r="Q423" s="50"/>
      <c r="R423" s="50"/>
      <c r="S423" s="50"/>
      <c r="T423" s="50"/>
      <c r="U423" s="50"/>
      <c r="V423" s="50"/>
      <c r="W423" s="50"/>
      <c r="X423" s="50"/>
      <c r="Y423" s="50"/>
      <c r="Z423" s="50"/>
      <c r="AA423" s="50"/>
      <c r="AB423" s="50"/>
      <c r="AC423" s="50"/>
      <c r="AD423" s="50"/>
    </row>
    <row r="424">
      <c r="A424" s="49"/>
      <c r="B424" s="49"/>
      <c r="C424" s="49"/>
      <c r="D424" s="49"/>
      <c r="E424" s="50"/>
      <c r="F424" s="50"/>
      <c r="G424" s="50"/>
      <c r="H424" s="50"/>
      <c r="I424" s="50"/>
      <c r="J424" s="50"/>
      <c r="K424" s="50"/>
      <c r="L424" s="50"/>
      <c r="M424" s="50"/>
      <c r="N424" s="50"/>
      <c r="O424" s="50"/>
      <c r="P424" s="50"/>
      <c r="Q424" s="50"/>
      <c r="R424" s="50"/>
      <c r="S424" s="50"/>
      <c r="T424" s="50"/>
      <c r="U424" s="50"/>
      <c r="V424" s="50"/>
      <c r="W424" s="50"/>
      <c r="X424" s="50"/>
      <c r="Y424" s="50"/>
      <c r="Z424" s="50"/>
      <c r="AA424" s="50"/>
      <c r="AB424" s="50"/>
      <c r="AC424" s="50"/>
      <c r="AD424" s="50"/>
    </row>
    <row r="425">
      <c r="A425" s="49"/>
      <c r="B425" s="49"/>
      <c r="C425" s="49"/>
      <c r="D425" s="49"/>
      <c r="E425" s="50"/>
      <c r="F425" s="50"/>
      <c r="G425" s="50"/>
      <c r="H425" s="50"/>
      <c r="I425" s="50"/>
      <c r="J425" s="50"/>
      <c r="K425" s="50"/>
      <c r="L425" s="50"/>
      <c r="M425" s="50"/>
      <c r="N425" s="50"/>
      <c r="O425" s="50"/>
      <c r="P425" s="50"/>
      <c r="Q425" s="50"/>
      <c r="R425" s="50"/>
      <c r="S425" s="50"/>
      <c r="T425" s="50"/>
      <c r="U425" s="50"/>
      <c r="V425" s="50"/>
      <c r="W425" s="50"/>
      <c r="X425" s="50"/>
      <c r="Y425" s="50"/>
      <c r="Z425" s="50"/>
      <c r="AA425" s="50"/>
      <c r="AB425" s="50"/>
      <c r="AC425" s="50"/>
      <c r="AD425" s="50"/>
    </row>
    <row r="426">
      <c r="A426" s="49"/>
      <c r="B426" s="49"/>
      <c r="C426" s="49"/>
      <c r="D426" s="49"/>
      <c r="E426" s="50"/>
      <c r="F426" s="50"/>
      <c r="G426" s="50"/>
      <c r="H426" s="50"/>
      <c r="I426" s="50"/>
      <c r="J426" s="50"/>
      <c r="K426" s="50"/>
      <c r="L426" s="50"/>
      <c r="M426" s="50"/>
      <c r="N426" s="50"/>
      <c r="O426" s="50"/>
      <c r="P426" s="50"/>
      <c r="Q426" s="50"/>
      <c r="R426" s="50"/>
      <c r="S426" s="50"/>
      <c r="T426" s="50"/>
      <c r="U426" s="50"/>
      <c r="V426" s="50"/>
      <c r="W426" s="50"/>
      <c r="X426" s="50"/>
      <c r="Y426" s="50"/>
      <c r="Z426" s="50"/>
      <c r="AA426" s="50"/>
      <c r="AB426" s="50"/>
      <c r="AC426" s="50"/>
      <c r="AD426" s="50"/>
    </row>
    <row r="427">
      <c r="A427" s="49"/>
      <c r="B427" s="49"/>
      <c r="C427" s="49"/>
      <c r="D427" s="49"/>
      <c r="E427" s="50"/>
      <c r="F427" s="50"/>
      <c r="G427" s="50"/>
      <c r="H427" s="50"/>
      <c r="I427" s="50"/>
      <c r="J427" s="50"/>
      <c r="K427" s="50"/>
      <c r="L427" s="50"/>
      <c r="M427" s="50"/>
      <c r="N427" s="50"/>
      <c r="O427" s="50"/>
      <c r="P427" s="50"/>
      <c r="Q427" s="50"/>
      <c r="R427" s="50"/>
      <c r="S427" s="50"/>
      <c r="T427" s="50"/>
      <c r="U427" s="50"/>
      <c r="V427" s="50"/>
      <c r="W427" s="50"/>
      <c r="X427" s="50"/>
      <c r="Y427" s="50"/>
      <c r="Z427" s="50"/>
      <c r="AA427" s="50"/>
      <c r="AB427" s="50"/>
      <c r="AC427" s="50"/>
      <c r="AD427" s="50"/>
    </row>
    <row r="428">
      <c r="A428" s="49"/>
      <c r="B428" s="49"/>
      <c r="C428" s="49"/>
      <c r="D428" s="49"/>
      <c r="E428" s="50"/>
      <c r="F428" s="50"/>
      <c r="G428" s="50"/>
      <c r="H428" s="50"/>
      <c r="I428" s="50"/>
      <c r="J428" s="50"/>
      <c r="K428" s="50"/>
      <c r="L428" s="50"/>
      <c r="M428" s="50"/>
      <c r="N428" s="50"/>
      <c r="O428" s="50"/>
      <c r="P428" s="50"/>
      <c r="Q428" s="50"/>
      <c r="R428" s="50"/>
      <c r="S428" s="50"/>
      <c r="T428" s="50"/>
      <c r="U428" s="50"/>
      <c r="V428" s="50"/>
      <c r="W428" s="50"/>
      <c r="X428" s="50"/>
      <c r="Y428" s="50"/>
      <c r="Z428" s="50"/>
      <c r="AA428" s="50"/>
      <c r="AB428" s="50"/>
      <c r="AC428" s="50"/>
      <c r="AD428" s="50"/>
    </row>
    <row r="429">
      <c r="A429" s="49"/>
      <c r="B429" s="49"/>
      <c r="C429" s="49"/>
      <c r="D429" s="49"/>
      <c r="E429" s="50"/>
      <c r="F429" s="50"/>
      <c r="G429" s="50"/>
      <c r="H429" s="50"/>
      <c r="I429" s="50"/>
      <c r="J429" s="50"/>
      <c r="K429" s="50"/>
      <c r="L429" s="50"/>
      <c r="M429" s="50"/>
      <c r="N429" s="50"/>
      <c r="O429" s="50"/>
      <c r="P429" s="50"/>
      <c r="Q429" s="50"/>
      <c r="R429" s="50"/>
      <c r="S429" s="50"/>
      <c r="T429" s="50"/>
      <c r="U429" s="50"/>
      <c r="V429" s="50"/>
      <c r="W429" s="50"/>
      <c r="X429" s="50"/>
      <c r="Y429" s="50"/>
      <c r="Z429" s="50"/>
      <c r="AA429" s="50"/>
      <c r="AB429" s="50"/>
      <c r="AC429" s="50"/>
      <c r="AD429" s="50"/>
    </row>
    <row r="430">
      <c r="A430" s="49"/>
      <c r="B430" s="49"/>
      <c r="C430" s="49"/>
      <c r="D430" s="49"/>
      <c r="E430" s="50"/>
      <c r="F430" s="50"/>
      <c r="G430" s="50"/>
      <c r="H430" s="50"/>
      <c r="I430" s="50"/>
      <c r="J430" s="50"/>
      <c r="K430" s="50"/>
      <c r="L430" s="50"/>
      <c r="M430" s="50"/>
      <c r="N430" s="50"/>
      <c r="O430" s="50"/>
      <c r="P430" s="50"/>
      <c r="Q430" s="50"/>
      <c r="R430" s="50"/>
      <c r="S430" s="50"/>
      <c r="T430" s="50"/>
      <c r="U430" s="50"/>
      <c r="V430" s="50"/>
      <c r="W430" s="50"/>
      <c r="X430" s="50"/>
      <c r="Y430" s="50"/>
      <c r="Z430" s="50"/>
      <c r="AA430" s="50"/>
      <c r="AB430" s="50"/>
      <c r="AC430" s="50"/>
      <c r="AD430" s="50"/>
    </row>
    <row r="431">
      <c r="A431" s="49"/>
      <c r="B431" s="49"/>
      <c r="C431" s="49"/>
      <c r="D431" s="49"/>
      <c r="E431" s="50"/>
      <c r="F431" s="50"/>
      <c r="G431" s="50"/>
      <c r="H431" s="50"/>
      <c r="I431" s="50"/>
      <c r="J431" s="50"/>
      <c r="K431" s="50"/>
      <c r="L431" s="50"/>
      <c r="M431" s="50"/>
      <c r="N431" s="50"/>
      <c r="O431" s="50"/>
      <c r="P431" s="50"/>
      <c r="Q431" s="50"/>
      <c r="R431" s="50"/>
      <c r="S431" s="50"/>
      <c r="T431" s="50"/>
      <c r="U431" s="50"/>
      <c r="V431" s="50"/>
      <c r="W431" s="50"/>
      <c r="X431" s="50"/>
      <c r="Y431" s="50"/>
      <c r="Z431" s="50"/>
      <c r="AA431" s="50"/>
      <c r="AB431" s="50"/>
      <c r="AC431" s="50"/>
      <c r="AD431" s="50"/>
    </row>
    <row r="432">
      <c r="A432" s="49"/>
      <c r="B432" s="49"/>
      <c r="C432" s="49"/>
      <c r="D432" s="49"/>
      <c r="E432" s="50"/>
      <c r="F432" s="50"/>
      <c r="G432" s="50"/>
      <c r="H432" s="50"/>
      <c r="I432" s="50"/>
      <c r="J432" s="50"/>
      <c r="K432" s="50"/>
      <c r="L432" s="50"/>
      <c r="M432" s="50"/>
      <c r="N432" s="50"/>
      <c r="O432" s="50"/>
      <c r="P432" s="50"/>
      <c r="Q432" s="50"/>
      <c r="R432" s="50"/>
      <c r="S432" s="50"/>
      <c r="T432" s="50"/>
      <c r="U432" s="50"/>
      <c r="V432" s="50"/>
      <c r="W432" s="50"/>
      <c r="X432" s="50"/>
      <c r="Y432" s="50"/>
      <c r="Z432" s="50"/>
      <c r="AA432" s="50"/>
      <c r="AB432" s="50"/>
      <c r="AC432" s="50"/>
      <c r="AD432" s="50"/>
    </row>
    <row r="433">
      <c r="A433" s="49"/>
      <c r="B433" s="49"/>
      <c r="C433" s="49"/>
      <c r="D433" s="49"/>
      <c r="E433" s="50"/>
      <c r="F433" s="50"/>
      <c r="G433" s="50"/>
      <c r="H433" s="50"/>
      <c r="I433" s="50"/>
      <c r="J433" s="50"/>
      <c r="K433" s="50"/>
      <c r="L433" s="50"/>
      <c r="M433" s="50"/>
      <c r="N433" s="50"/>
      <c r="O433" s="50"/>
      <c r="P433" s="50"/>
      <c r="Q433" s="50"/>
      <c r="R433" s="50"/>
      <c r="S433" s="50"/>
      <c r="T433" s="50"/>
      <c r="U433" s="50"/>
      <c r="V433" s="50"/>
      <c r="W433" s="50"/>
      <c r="X433" s="50"/>
      <c r="Y433" s="50"/>
      <c r="Z433" s="50"/>
      <c r="AA433" s="50"/>
      <c r="AB433" s="50"/>
      <c r="AC433" s="50"/>
      <c r="AD433" s="50"/>
    </row>
    <row r="434">
      <c r="A434" s="49"/>
      <c r="B434" s="49"/>
      <c r="C434" s="49"/>
      <c r="D434" s="49"/>
      <c r="E434" s="50"/>
      <c r="F434" s="50"/>
      <c r="G434" s="50"/>
      <c r="H434" s="50"/>
      <c r="I434" s="50"/>
      <c r="J434" s="50"/>
      <c r="K434" s="50"/>
      <c r="L434" s="50"/>
      <c r="M434" s="50"/>
      <c r="N434" s="50"/>
      <c r="O434" s="50"/>
      <c r="P434" s="50"/>
      <c r="Q434" s="50"/>
      <c r="R434" s="50"/>
      <c r="S434" s="50"/>
      <c r="T434" s="50"/>
      <c r="U434" s="50"/>
      <c r="V434" s="50"/>
      <c r="W434" s="50"/>
      <c r="X434" s="50"/>
      <c r="Y434" s="50"/>
      <c r="Z434" s="50"/>
      <c r="AA434" s="50"/>
      <c r="AB434" s="50"/>
      <c r="AC434" s="50"/>
      <c r="AD434" s="50"/>
    </row>
    <row r="435">
      <c r="A435" s="49"/>
      <c r="B435" s="49"/>
      <c r="C435" s="49"/>
      <c r="D435" s="49"/>
      <c r="E435" s="50"/>
      <c r="F435" s="50"/>
      <c r="G435" s="50"/>
      <c r="H435" s="50"/>
      <c r="I435" s="50"/>
      <c r="J435" s="50"/>
      <c r="K435" s="50"/>
      <c r="L435" s="50"/>
      <c r="M435" s="50"/>
      <c r="N435" s="50"/>
      <c r="O435" s="50"/>
      <c r="P435" s="50"/>
      <c r="Q435" s="50"/>
      <c r="R435" s="50"/>
      <c r="S435" s="50"/>
      <c r="T435" s="50"/>
      <c r="U435" s="50"/>
      <c r="V435" s="50"/>
      <c r="W435" s="50"/>
      <c r="X435" s="50"/>
      <c r="Y435" s="50"/>
      <c r="Z435" s="50"/>
      <c r="AA435" s="50"/>
      <c r="AB435" s="50"/>
      <c r="AC435" s="50"/>
      <c r="AD435" s="50"/>
    </row>
    <row r="436">
      <c r="A436" s="49"/>
      <c r="B436" s="49"/>
      <c r="C436" s="49"/>
      <c r="D436" s="49"/>
      <c r="E436" s="50"/>
      <c r="F436" s="50"/>
      <c r="G436" s="50"/>
      <c r="H436" s="50"/>
      <c r="I436" s="50"/>
      <c r="J436" s="50"/>
      <c r="K436" s="50"/>
      <c r="L436" s="50"/>
      <c r="M436" s="50"/>
      <c r="N436" s="50"/>
      <c r="O436" s="50"/>
      <c r="P436" s="50"/>
      <c r="Q436" s="50"/>
      <c r="R436" s="50"/>
      <c r="S436" s="50"/>
      <c r="T436" s="50"/>
      <c r="U436" s="50"/>
      <c r="V436" s="50"/>
      <c r="W436" s="50"/>
      <c r="X436" s="50"/>
      <c r="Y436" s="50"/>
      <c r="Z436" s="50"/>
      <c r="AA436" s="50"/>
      <c r="AB436" s="50"/>
      <c r="AC436" s="50"/>
      <c r="AD436" s="50"/>
    </row>
    <row r="437">
      <c r="A437" s="49"/>
      <c r="B437" s="49"/>
      <c r="C437" s="49"/>
      <c r="D437" s="49"/>
      <c r="E437" s="50"/>
      <c r="F437" s="50"/>
      <c r="G437" s="50"/>
      <c r="H437" s="50"/>
      <c r="I437" s="50"/>
      <c r="J437" s="50"/>
      <c r="K437" s="50"/>
      <c r="L437" s="50"/>
      <c r="M437" s="50"/>
      <c r="N437" s="50"/>
      <c r="O437" s="50"/>
      <c r="P437" s="50"/>
      <c r="Q437" s="50"/>
      <c r="R437" s="50"/>
      <c r="S437" s="50"/>
      <c r="T437" s="50"/>
      <c r="U437" s="50"/>
      <c r="V437" s="50"/>
      <c r="W437" s="50"/>
      <c r="X437" s="50"/>
      <c r="Y437" s="50"/>
      <c r="Z437" s="50"/>
      <c r="AA437" s="50"/>
      <c r="AB437" s="50"/>
      <c r="AC437" s="50"/>
      <c r="AD437" s="50"/>
    </row>
    <row r="438">
      <c r="A438" s="49"/>
      <c r="B438" s="49"/>
      <c r="C438" s="49"/>
      <c r="D438" s="49"/>
      <c r="E438" s="50"/>
      <c r="F438" s="50"/>
      <c r="G438" s="50"/>
      <c r="H438" s="50"/>
      <c r="I438" s="50"/>
      <c r="J438" s="50"/>
      <c r="K438" s="50"/>
      <c r="L438" s="50"/>
      <c r="M438" s="50"/>
      <c r="N438" s="50"/>
      <c r="O438" s="50"/>
      <c r="P438" s="50"/>
      <c r="Q438" s="50"/>
      <c r="R438" s="50"/>
      <c r="S438" s="50"/>
      <c r="T438" s="50"/>
      <c r="U438" s="50"/>
      <c r="V438" s="50"/>
      <c r="W438" s="50"/>
      <c r="X438" s="50"/>
      <c r="Y438" s="50"/>
      <c r="Z438" s="50"/>
      <c r="AA438" s="50"/>
      <c r="AB438" s="50"/>
      <c r="AC438" s="50"/>
      <c r="AD438" s="50"/>
    </row>
    <row r="439">
      <c r="A439" s="49"/>
      <c r="B439" s="49"/>
      <c r="C439" s="49"/>
      <c r="D439" s="49"/>
      <c r="E439" s="50"/>
      <c r="F439" s="50"/>
      <c r="G439" s="50"/>
      <c r="H439" s="50"/>
      <c r="I439" s="50"/>
      <c r="J439" s="50"/>
      <c r="K439" s="50"/>
      <c r="L439" s="50"/>
      <c r="M439" s="50"/>
      <c r="N439" s="50"/>
      <c r="O439" s="50"/>
      <c r="P439" s="50"/>
      <c r="Q439" s="50"/>
      <c r="R439" s="50"/>
      <c r="S439" s="50"/>
      <c r="T439" s="50"/>
      <c r="U439" s="50"/>
      <c r="V439" s="50"/>
      <c r="W439" s="50"/>
      <c r="X439" s="50"/>
      <c r="Y439" s="50"/>
      <c r="Z439" s="50"/>
      <c r="AA439" s="50"/>
      <c r="AB439" s="50"/>
      <c r="AC439" s="50"/>
      <c r="AD439" s="50"/>
    </row>
    <row r="440">
      <c r="A440" s="49"/>
      <c r="B440" s="49"/>
      <c r="C440" s="49"/>
      <c r="D440" s="49"/>
      <c r="E440" s="50"/>
      <c r="F440" s="50"/>
      <c r="G440" s="50"/>
      <c r="H440" s="50"/>
      <c r="I440" s="50"/>
      <c r="J440" s="50"/>
      <c r="K440" s="50"/>
      <c r="L440" s="50"/>
      <c r="M440" s="50"/>
      <c r="N440" s="50"/>
      <c r="O440" s="50"/>
      <c r="P440" s="50"/>
      <c r="Q440" s="50"/>
      <c r="R440" s="50"/>
      <c r="S440" s="50"/>
      <c r="T440" s="50"/>
      <c r="U440" s="50"/>
      <c r="V440" s="50"/>
      <c r="W440" s="50"/>
      <c r="X440" s="50"/>
      <c r="Y440" s="50"/>
      <c r="Z440" s="50"/>
      <c r="AA440" s="50"/>
      <c r="AB440" s="50"/>
      <c r="AC440" s="50"/>
      <c r="AD440" s="50"/>
    </row>
    <row r="441">
      <c r="A441" s="49"/>
      <c r="B441" s="49"/>
      <c r="C441" s="49"/>
      <c r="D441" s="49"/>
      <c r="E441" s="50"/>
      <c r="F441" s="50"/>
      <c r="G441" s="50"/>
      <c r="H441" s="50"/>
      <c r="I441" s="50"/>
      <c r="J441" s="50"/>
      <c r="K441" s="50"/>
      <c r="L441" s="50"/>
      <c r="M441" s="50"/>
      <c r="N441" s="50"/>
      <c r="O441" s="50"/>
      <c r="P441" s="50"/>
      <c r="Q441" s="50"/>
      <c r="R441" s="50"/>
      <c r="S441" s="50"/>
      <c r="T441" s="50"/>
      <c r="U441" s="50"/>
      <c r="V441" s="50"/>
      <c r="W441" s="50"/>
      <c r="X441" s="50"/>
      <c r="Y441" s="50"/>
      <c r="Z441" s="50"/>
      <c r="AA441" s="50"/>
      <c r="AB441" s="50"/>
      <c r="AC441" s="50"/>
      <c r="AD441" s="50"/>
    </row>
    <row r="442">
      <c r="A442" s="49"/>
      <c r="B442" s="49"/>
      <c r="C442" s="49"/>
      <c r="D442" s="49"/>
      <c r="E442" s="50"/>
      <c r="F442" s="50"/>
      <c r="G442" s="50"/>
      <c r="H442" s="50"/>
      <c r="I442" s="50"/>
      <c r="J442" s="50"/>
      <c r="K442" s="50"/>
      <c r="L442" s="50"/>
      <c r="M442" s="50"/>
      <c r="N442" s="50"/>
      <c r="O442" s="50"/>
      <c r="P442" s="50"/>
      <c r="Q442" s="50"/>
      <c r="R442" s="50"/>
      <c r="S442" s="50"/>
      <c r="T442" s="50"/>
      <c r="U442" s="50"/>
      <c r="V442" s="50"/>
      <c r="W442" s="50"/>
      <c r="X442" s="50"/>
      <c r="Y442" s="50"/>
      <c r="Z442" s="50"/>
      <c r="AA442" s="50"/>
      <c r="AB442" s="50"/>
      <c r="AC442" s="50"/>
      <c r="AD442" s="50"/>
    </row>
    <row r="443">
      <c r="A443" s="49"/>
      <c r="B443" s="49"/>
      <c r="C443" s="49"/>
      <c r="D443" s="49"/>
      <c r="E443" s="50"/>
      <c r="F443" s="50"/>
      <c r="G443" s="50"/>
      <c r="H443" s="50"/>
      <c r="I443" s="50"/>
      <c r="J443" s="50"/>
      <c r="K443" s="50"/>
      <c r="L443" s="50"/>
      <c r="M443" s="50"/>
      <c r="N443" s="50"/>
      <c r="O443" s="50"/>
      <c r="P443" s="50"/>
      <c r="Q443" s="50"/>
      <c r="R443" s="50"/>
      <c r="S443" s="50"/>
      <c r="T443" s="50"/>
      <c r="U443" s="50"/>
      <c r="V443" s="50"/>
      <c r="W443" s="50"/>
      <c r="X443" s="50"/>
      <c r="Y443" s="50"/>
      <c r="Z443" s="50"/>
      <c r="AA443" s="50"/>
      <c r="AB443" s="50"/>
      <c r="AC443" s="50"/>
      <c r="AD443" s="50"/>
    </row>
    <row r="444">
      <c r="A444" s="49"/>
      <c r="B444" s="49"/>
      <c r="C444" s="49"/>
      <c r="D444" s="49"/>
      <c r="E444" s="50"/>
      <c r="F444" s="50"/>
      <c r="G444" s="50"/>
      <c r="H444" s="50"/>
      <c r="I444" s="50"/>
      <c r="J444" s="50"/>
      <c r="K444" s="50"/>
      <c r="L444" s="50"/>
      <c r="M444" s="50"/>
      <c r="N444" s="50"/>
      <c r="O444" s="50"/>
      <c r="P444" s="50"/>
      <c r="Q444" s="50"/>
      <c r="R444" s="50"/>
      <c r="S444" s="50"/>
      <c r="T444" s="50"/>
      <c r="U444" s="50"/>
      <c r="V444" s="50"/>
      <c r="W444" s="50"/>
      <c r="X444" s="50"/>
      <c r="Y444" s="50"/>
      <c r="Z444" s="50"/>
      <c r="AA444" s="50"/>
      <c r="AB444" s="50"/>
      <c r="AC444" s="50"/>
      <c r="AD444" s="50"/>
    </row>
    <row r="445">
      <c r="A445" s="49"/>
      <c r="B445" s="49"/>
      <c r="C445" s="49"/>
      <c r="D445" s="49"/>
      <c r="E445" s="50"/>
      <c r="F445" s="50"/>
      <c r="G445" s="50"/>
      <c r="H445" s="50"/>
      <c r="I445" s="50"/>
      <c r="J445" s="50"/>
      <c r="K445" s="50"/>
      <c r="L445" s="50"/>
      <c r="M445" s="50"/>
      <c r="N445" s="50"/>
      <c r="O445" s="50"/>
      <c r="P445" s="50"/>
      <c r="Q445" s="50"/>
      <c r="R445" s="50"/>
      <c r="S445" s="50"/>
      <c r="T445" s="50"/>
      <c r="U445" s="50"/>
      <c r="V445" s="50"/>
      <c r="W445" s="50"/>
      <c r="X445" s="50"/>
      <c r="Y445" s="50"/>
      <c r="Z445" s="50"/>
      <c r="AA445" s="50"/>
      <c r="AB445" s="50"/>
      <c r="AC445" s="50"/>
      <c r="AD445" s="50"/>
    </row>
    <row r="446">
      <c r="A446" s="49"/>
      <c r="B446" s="49"/>
      <c r="C446" s="49"/>
      <c r="D446" s="49"/>
      <c r="E446" s="50"/>
      <c r="F446" s="50"/>
      <c r="G446" s="50"/>
      <c r="H446" s="50"/>
      <c r="I446" s="50"/>
      <c r="J446" s="50"/>
      <c r="K446" s="50"/>
      <c r="L446" s="50"/>
      <c r="M446" s="50"/>
      <c r="N446" s="50"/>
      <c r="O446" s="50"/>
      <c r="P446" s="50"/>
      <c r="Q446" s="50"/>
      <c r="R446" s="50"/>
      <c r="S446" s="50"/>
      <c r="T446" s="50"/>
      <c r="U446" s="50"/>
      <c r="V446" s="50"/>
      <c r="W446" s="50"/>
      <c r="X446" s="50"/>
      <c r="Y446" s="50"/>
      <c r="Z446" s="50"/>
      <c r="AA446" s="50"/>
      <c r="AB446" s="50"/>
      <c r="AC446" s="50"/>
      <c r="AD446" s="50"/>
    </row>
    <row r="447">
      <c r="A447" s="49"/>
      <c r="B447" s="49"/>
      <c r="C447" s="49"/>
      <c r="D447" s="49"/>
      <c r="E447" s="50"/>
      <c r="F447" s="50"/>
      <c r="G447" s="50"/>
      <c r="H447" s="50"/>
      <c r="I447" s="50"/>
      <c r="J447" s="50"/>
      <c r="K447" s="50"/>
      <c r="L447" s="50"/>
      <c r="M447" s="50"/>
      <c r="N447" s="50"/>
      <c r="O447" s="50"/>
      <c r="P447" s="50"/>
      <c r="Q447" s="50"/>
      <c r="R447" s="50"/>
      <c r="S447" s="50"/>
      <c r="T447" s="50"/>
      <c r="U447" s="50"/>
      <c r="V447" s="50"/>
      <c r="W447" s="50"/>
      <c r="X447" s="50"/>
      <c r="Y447" s="50"/>
      <c r="Z447" s="50"/>
      <c r="AA447" s="50"/>
      <c r="AB447" s="50"/>
      <c r="AC447" s="50"/>
      <c r="AD447" s="50"/>
    </row>
    <row r="448">
      <c r="A448" s="49"/>
      <c r="B448" s="49"/>
      <c r="C448" s="49"/>
      <c r="D448" s="49"/>
      <c r="E448" s="50"/>
      <c r="F448" s="50"/>
      <c r="G448" s="50"/>
      <c r="H448" s="50"/>
      <c r="I448" s="50"/>
      <c r="J448" s="50"/>
      <c r="K448" s="50"/>
      <c r="L448" s="50"/>
      <c r="M448" s="50"/>
      <c r="N448" s="50"/>
      <c r="O448" s="50"/>
      <c r="P448" s="50"/>
      <c r="Q448" s="50"/>
      <c r="R448" s="50"/>
      <c r="S448" s="50"/>
      <c r="T448" s="50"/>
      <c r="U448" s="50"/>
      <c r="V448" s="50"/>
      <c r="W448" s="50"/>
      <c r="X448" s="50"/>
      <c r="Y448" s="50"/>
      <c r="Z448" s="50"/>
      <c r="AA448" s="50"/>
      <c r="AB448" s="50"/>
      <c r="AC448" s="50"/>
      <c r="AD448" s="50"/>
    </row>
    <row r="449">
      <c r="A449" s="49"/>
      <c r="B449" s="49"/>
      <c r="C449" s="49"/>
      <c r="D449" s="49"/>
      <c r="E449" s="50"/>
      <c r="F449" s="50"/>
      <c r="G449" s="50"/>
      <c r="H449" s="50"/>
      <c r="I449" s="50"/>
      <c r="J449" s="50"/>
      <c r="K449" s="50"/>
      <c r="L449" s="50"/>
      <c r="M449" s="50"/>
      <c r="N449" s="50"/>
      <c r="O449" s="50"/>
      <c r="P449" s="50"/>
      <c r="Q449" s="50"/>
      <c r="R449" s="50"/>
      <c r="S449" s="50"/>
      <c r="T449" s="50"/>
      <c r="U449" s="50"/>
      <c r="V449" s="50"/>
      <c r="W449" s="50"/>
      <c r="X449" s="50"/>
      <c r="Y449" s="50"/>
      <c r="Z449" s="50"/>
      <c r="AA449" s="50"/>
      <c r="AB449" s="50"/>
      <c r="AC449" s="50"/>
      <c r="AD449" s="50"/>
    </row>
    <row r="450">
      <c r="A450" s="49"/>
      <c r="B450" s="49"/>
      <c r="C450" s="49"/>
      <c r="D450" s="49"/>
      <c r="E450" s="50"/>
      <c r="F450" s="50"/>
      <c r="G450" s="50"/>
      <c r="H450" s="50"/>
      <c r="I450" s="50"/>
      <c r="J450" s="50"/>
      <c r="K450" s="50"/>
      <c r="L450" s="50"/>
      <c r="M450" s="50"/>
      <c r="N450" s="50"/>
      <c r="O450" s="50"/>
      <c r="P450" s="50"/>
      <c r="Q450" s="50"/>
      <c r="R450" s="50"/>
      <c r="S450" s="50"/>
      <c r="T450" s="50"/>
      <c r="U450" s="50"/>
      <c r="V450" s="50"/>
      <c r="W450" s="50"/>
      <c r="X450" s="50"/>
      <c r="Y450" s="50"/>
      <c r="Z450" s="50"/>
      <c r="AA450" s="50"/>
      <c r="AB450" s="50"/>
      <c r="AC450" s="50"/>
      <c r="AD450" s="50"/>
    </row>
    <row r="451">
      <c r="A451" s="49"/>
      <c r="B451" s="49"/>
      <c r="C451" s="49"/>
      <c r="D451" s="49"/>
      <c r="E451" s="50"/>
      <c r="F451" s="50"/>
      <c r="G451" s="50"/>
      <c r="H451" s="50"/>
      <c r="I451" s="50"/>
      <c r="J451" s="50"/>
      <c r="K451" s="50"/>
      <c r="L451" s="50"/>
      <c r="M451" s="50"/>
      <c r="N451" s="50"/>
      <c r="O451" s="50"/>
      <c r="P451" s="50"/>
      <c r="Q451" s="50"/>
      <c r="R451" s="50"/>
      <c r="S451" s="50"/>
      <c r="T451" s="50"/>
      <c r="U451" s="50"/>
      <c r="V451" s="50"/>
      <c r="W451" s="50"/>
      <c r="X451" s="50"/>
      <c r="Y451" s="50"/>
      <c r="Z451" s="50"/>
      <c r="AA451" s="50"/>
      <c r="AB451" s="50"/>
      <c r="AC451" s="50"/>
      <c r="AD451" s="50"/>
    </row>
    <row r="452">
      <c r="A452" s="49"/>
      <c r="B452" s="49"/>
      <c r="C452" s="49"/>
      <c r="D452" s="49"/>
      <c r="E452" s="50"/>
      <c r="F452" s="50"/>
      <c r="G452" s="50"/>
      <c r="H452" s="50"/>
      <c r="I452" s="50"/>
      <c r="J452" s="50"/>
      <c r="K452" s="50"/>
      <c r="L452" s="50"/>
      <c r="M452" s="50"/>
      <c r="N452" s="50"/>
      <c r="O452" s="50"/>
      <c r="P452" s="50"/>
      <c r="Q452" s="50"/>
      <c r="R452" s="50"/>
      <c r="S452" s="50"/>
      <c r="T452" s="50"/>
      <c r="U452" s="50"/>
      <c r="V452" s="50"/>
      <c r="W452" s="50"/>
      <c r="X452" s="50"/>
      <c r="Y452" s="50"/>
      <c r="Z452" s="50"/>
      <c r="AA452" s="50"/>
      <c r="AB452" s="50"/>
      <c r="AC452" s="50"/>
      <c r="AD452" s="50"/>
    </row>
    <row r="453">
      <c r="A453" s="49"/>
      <c r="B453" s="49"/>
      <c r="C453" s="49"/>
      <c r="D453" s="49"/>
      <c r="E453" s="50"/>
      <c r="F453" s="50"/>
      <c r="G453" s="50"/>
      <c r="H453" s="50"/>
      <c r="I453" s="50"/>
      <c r="J453" s="50"/>
      <c r="K453" s="50"/>
      <c r="L453" s="50"/>
      <c r="M453" s="50"/>
      <c r="N453" s="50"/>
      <c r="O453" s="50"/>
      <c r="P453" s="50"/>
      <c r="Q453" s="50"/>
      <c r="R453" s="50"/>
      <c r="S453" s="50"/>
      <c r="T453" s="50"/>
      <c r="U453" s="50"/>
      <c r="V453" s="50"/>
      <c r="W453" s="50"/>
      <c r="X453" s="50"/>
      <c r="Y453" s="50"/>
      <c r="Z453" s="50"/>
      <c r="AA453" s="50"/>
      <c r="AB453" s="50"/>
      <c r="AC453" s="50"/>
      <c r="AD453" s="50"/>
    </row>
    <row r="454">
      <c r="A454" s="49"/>
      <c r="B454" s="49"/>
      <c r="C454" s="49"/>
      <c r="D454" s="49"/>
      <c r="E454" s="50"/>
      <c r="F454" s="50"/>
      <c r="G454" s="50"/>
      <c r="H454" s="50"/>
      <c r="I454" s="50"/>
      <c r="J454" s="50"/>
      <c r="K454" s="50"/>
      <c r="L454" s="50"/>
      <c r="M454" s="50"/>
      <c r="N454" s="50"/>
      <c r="O454" s="50"/>
      <c r="P454" s="50"/>
      <c r="Q454" s="50"/>
      <c r="R454" s="50"/>
      <c r="S454" s="50"/>
      <c r="T454" s="50"/>
      <c r="U454" s="50"/>
      <c r="V454" s="50"/>
      <c r="W454" s="50"/>
      <c r="X454" s="50"/>
      <c r="Y454" s="50"/>
      <c r="Z454" s="50"/>
      <c r="AA454" s="50"/>
      <c r="AB454" s="50"/>
      <c r="AC454" s="50"/>
      <c r="AD454" s="50"/>
    </row>
    <row r="455">
      <c r="A455" s="49"/>
      <c r="B455" s="49"/>
      <c r="C455" s="49"/>
      <c r="D455" s="49"/>
      <c r="E455" s="50"/>
      <c r="F455" s="50"/>
      <c r="G455" s="50"/>
      <c r="H455" s="50"/>
      <c r="I455" s="50"/>
      <c r="J455" s="50"/>
      <c r="K455" s="50"/>
      <c r="L455" s="50"/>
      <c r="M455" s="50"/>
      <c r="N455" s="50"/>
      <c r="O455" s="50"/>
      <c r="P455" s="50"/>
      <c r="Q455" s="50"/>
      <c r="R455" s="50"/>
      <c r="S455" s="50"/>
      <c r="T455" s="50"/>
      <c r="U455" s="50"/>
      <c r="V455" s="50"/>
      <c r="W455" s="50"/>
      <c r="X455" s="50"/>
      <c r="Y455" s="50"/>
      <c r="Z455" s="50"/>
      <c r="AA455" s="50"/>
      <c r="AB455" s="50"/>
      <c r="AC455" s="50"/>
      <c r="AD455" s="50"/>
    </row>
    <row r="456">
      <c r="A456" s="49"/>
      <c r="B456" s="49"/>
      <c r="C456" s="49"/>
      <c r="D456" s="49"/>
      <c r="E456" s="50"/>
      <c r="F456" s="50"/>
      <c r="G456" s="50"/>
      <c r="H456" s="50"/>
      <c r="I456" s="50"/>
      <c r="J456" s="50"/>
      <c r="K456" s="50"/>
      <c r="L456" s="50"/>
      <c r="M456" s="50"/>
      <c r="N456" s="50"/>
      <c r="O456" s="50"/>
      <c r="P456" s="50"/>
      <c r="Q456" s="50"/>
      <c r="R456" s="50"/>
      <c r="S456" s="50"/>
      <c r="T456" s="50"/>
      <c r="U456" s="50"/>
      <c r="V456" s="50"/>
      <c r="W456" s="50"/>
      <c r="X456" s="50"/>
      <c r="Y456" s="50"/>
      <c r="Z456" s="50"/>
      <c r="AA456" s="50"/>
      <c r="AB456" s="50"/>
      <c r="AC456" s="50"/>
      <c r="AD456" s="50"/>
    </row>
    <row r="457">
      <c r="A457" s="49"/>
      <c r="B457" s="49"/>
      <c r="C457" s="49"/>
      <c r="D457" s="49"/>
      <c r="E457" s="50"/>
      <c r="F457" s="50"/>
      <c r="G457" s="50"/>
      <c r="H457" s="50"/>
      <c r="I457" s="50"/>
      <c r="J457" s="50"/>
      <c r="K457" s="50"/>
      <c r="L457" s="50"/>
      <c r="M457" s="50"/>
      <c r="N457" s="50"/>
      <c r="O457" s="50"/>
      <c r="P457" s="50"/>
      <c r="Q457" s="50"/>
      <c r="R457" s="50"/>
      <c r="S457" s="50"/>
      <c r="T457" s="50"/>
      <c r="U457" s="50"/>
      <c r="V457" s="50"/>
      <c r="W457" s="50"/>
      <c r="X457" s="50"/>
      <c r="Y457" s="50"/>
      <c r="Z457" s="50"/>
      <c r="AA457" s="50"/>
      <c r="AB457" s="50"/>
      <c r="AC457" s="50"/>
      <c r="AD457" s="50"/>
    </row>
    <row r="458">
      <c r="A458" s="49"/>
      <c r="B458" s="49"/>
      <c r="C458" s="49"/>
      <c r="D458" s="49"/>
      <c r="E458" s="50"/>
      <c r="F458" s="50"/>
      <c r="G458" s="50"/>
      <c r="H458" s="50"/>
      <c r="I458" s="50"/>
      <c r="J458" s="50"/>
      <c r="K458" s="50"/>
      <c r="L458" s="50"/>
      <c r="M458" s="50"/>
      <c r="N458" s="50"/>
      <c r="O458" s="50"/>
      <c r="P458" s="50"/>
      <c r="Q458" s="50"/>
      <c r="R458" s="50"/>
      <c r="S458" s="50"/>
      <c r="T458" s="50"/>
      <c r="U458" s="50"/>
      <c r="V458" s="50"/>
      <c r="W458" s="50"/>
      <c r="X458" s="50"/>
      <c r="Y458" s="50"/>
      <c r="Z458" s="50"/>
      <c r="AA458" s="50"/>
      <c r="AB458" s="50"/>
      <c r="AC458" s="50"/>
      <c r="AD458" s="50"/>
    </row>
    <row r="459">
      <c r="A459" s="49"/>
      <c r="B459" s="49"/>
      <c r="C459" s="49"/>
      <c r="D459" s="49"/>
      <c r="E459" s="50"/>
      <c r="F459" s="50"/>
      <c r="G459" s="50"/>
      <c r="H459" s="50"/>
      <c r="I459" s="50"/>
      <c r="J459" s="50"/>
      <c r="K459" s="50"/>
      <c r="L459" s="50"/>
      <c r="M459" s="50"/>
      <c r="N459" s="50"/>
      <c r="O459" s="50"/>
      <c r="P459" s="50"/>
      <c r="Q459" s="50"/>
      <c r="R459" s="50"/>
      <c r="S459" s="50"/>
      <c r="T459" s="50"/>
      <c r="U459" s="50"/>
      <c r="V459" s="50"/>
      <c r="W459" s="50"/>
      <c r="X459" s="50"/>
      <c r="Y459" s="50"/>
      <c r="Z459" s="50"/>
      <c r="AA459" s="50"/>
      <c r="AB459" s="50"/>
      <c r="AC459" s="50"/>
      <c r="AD459" s="50"/>
    </row>
    <row r="460">
      <c r="A460" s="49"/>
      <c r="B460" s="49"/>
      <c r="C460" s="49"/>
      <c r="D460" s="49"/>
      <c r="E460" s="50"/>
      <c r="F460" s="50"/>
      <c r="G460" s="50"/>
      <c r="H460" s="50"/>
      <c r="I460" s="50"/>
      <c r="J460" s="50"/>
      <c r="K460" s="50"/>
      <c r="L460" s="50"/>
      <c r="M460" s="50"/>
      <c r="N460" s="50"/>
      <c r="O460" s="50"/>
      <c r="P460" s="50"/>
      <c r="Q460" s="50"/>
      <c r="R460" s="50"/>
      <c r="S460" s="50"/>
      <c r="T460" s="50"/>
      <c r="U460" s="50"/>
      <c r="V460" s="50"/>
      <c r="W460" s="50"/>
      <c r="X460" s="50"/>
      <c r="Y460" s="50"/>
      <c r="Z460" s="50"/>
      <c r="AA460" s="50"/>
      <c r="AB460" s="50"/>
      <c r="AC460" s="50"/>
      <c r="AD460" s="50"/>
    </row>
    <row r="461">
      <c r="A461" s="49"/>
      <c r="B461" s="49"/>
      <c r="C461" s="49"/>
      <c r="D461" s="49"/>
      <c r="E461" s="50"/>
      <c r="F461" s="50"/>
      <c r="G461" s="50"/>
      <c r="H461" s="50"/>
      <c r="I461" s="50"/>
      <c r="J461" s="50"/>
      <c r="K461" s="50"/>
      <c r="L461" s="50"/>
      <c r="M461" s="50"/>
      <c r="N461" s="50"/>
      <c r="O461" s="50"/>
      <c r="P461" s="50"/>
      <c r="Q461" s="50"/>
      <c r="R461" s="50"/>
      <c r="S461" s="50"/>
      <c r="T461" s="50"/>
      <c r="U461" s="50"/>
      <c r="V461" s="50"/>
      <c r="W461" s="50"/>
      <c r="X461" s="50"/>
      <c r="Y461" s="50"/>
      <c r="Z461" s="50"/>
      <c r="AA461" s="50"/>
      <c r="AB461" s="50"/>
      <c r="AC461" s="50"/>
      <c r="AD461" s="50"/>
    </row>
    <row r="462">
      <c r="A462" s="49"/>
      <c r="B462" s="49"/>
      <c r="C462" s="49"/>
      <c r="D462" s="49"/>
      <c r="E462" s="50"/>
      <c r="F462" s="50"/>
      <c r="G462" s="50"/>
      <c r="H462" s="50"/>
      <c r="I462" s="50"/>
      <c r="J462" s="50"/>
      <c r="K462" s="50"/>
      <c r="L462" s="50"/>
      <c r="M462" s="50"/>
      <c r="N462" s="50"/>
      <c r="O462" s="50"/>
      <c r="P462" s="50"/>
      <c r="Q462" s="50"/>
      <c r="R462" s="50"/>
      <c r="S462" s="50"/>
      <c r="T462" s="50"/>
      <c r="U462" s="50"/>
      <c r="V462" s="50"/>
      <c r="W462" s="50"/>
      <c r="X462" s="50"/>
      <c r="Y462" s="50"/>
      <c r="Z462" s="50"/>
      <c r="AA462" s="50"/>
      <c r="AB462" s="50"/>
      <c r="AC462" s="50"/>
      <c r="AD462" s="50"/>
    </row>
    <row r="463">
      <c r="A463" s="49"/>
      <c r="B463" s="49"/>
      <c r="C463" s="49"/>
      <c r="D463" s="49"/>
      <c r="E463" s="50"/>
      <c r="F463" s="50"/>
      <c r="G463" s="50"/>
      <c r="H463" s="50"/>
      <c r="I463" s="50"/>
      <c r="J463" s="50"/>
      <c r="K463" s="50"/>
      <c r="L463" s="50"/>
      <c r="M463" s="50"/>
      <c r="N463" s="50"/>
      <c r="O463" s="50"/>
      <c r="P463" s="50"/>
      <c r="Q463" s="50"/>
      <c r="R463" s="50"/>
      <c r="S463" s="50"/>
      <c r="T463" s="50"/>
      <c r="U463" s="50"/>
      <c r="V463" s="50"/>
      <c r="W463" s="50"/>
      <c r="X463" s="50"/>
      <c r="Y463" s="50"/>
      <c r="Z463" s="50"/>
      <c r="AA463" s="50"/>
      <c r="AB463" s="50"/>
      <c r="AC463" s="50"/>
      <c r="AD463" s="50"/>
    </row>
    <row r="464">
      <c r="A464" s="49"/>
      <c r="B464" s="49"/>
      <c r="C464" s="49"/>
      <c r="D464" s="49"/>
      <c r="E464" s="50"/>
      <c r="F464" s="50"/>
      <c r="G464" s="50"/>
      <c r="H464" s="50"/>
      <c r="I464" s="50"/>
      <c r="J464" s="50"/>
      <c r="K464" s="50"/>
      <c r="L464" s="50"/>
      <c r="M464" s="50"/>
      <c r="N464" s="50"/>
      <c r="O464" s="50"/>
      <c r="P464" s="50"/>
      <c r="Q464" s="50"/>
      <c r="R464" s="50"/>
      <c r="S464" s="50"/>
      <c r="T464" s="50"/>
      <c r="U464" s="50"/>
      <c r="V464" s="50"/>
      <c r="W464" s="50"/>
      <c r="X464" s="50"/>
      <c r="Y464" s="50"/>
      <c r="Z464" s="50"/>
      <c r="AA464" s="50"/>
      <c r="AB464" s="50"/>
      <c r="AC464" s="50"/>
      <c r="AD464" s="50"/>
    </row>
    <row r="465">
      <c r="A465" s="49"/>
      <c r="B465" s="49"/>
      <c r="C465" s="49"/>
      <c r="D465" s="49"/>
      <c r="E465" s="50"/>
      <c r="F465" s="50"/>
      <c r="G465" s="50"/>
      <c r="H465" s="50"/>
      <c r="I465" s="50"/>
      <c r="J465" s="50"/>
      <c r="K465" s="50"/>
      <c r="L465" s="50"/>
      <c r="M465" s="50"/>
      <c r="N465" s="50"/>
      <c r="O465" s="50"/>
      <c r="P465" s="50"/>
      <c r="Q465" s="50"/>
      <c r="R465" s="50"/>
      <c r="S465" s="50"/>
      <c r="T465" s="50"/>
      <c r="U465" s="50"/>
      <c r="V465" s="50"/>
      <c r="W465" s="50"/>
      <c r="X465" s="50"/>
      <c r="Y465" s="50"/>
      <c r="Z465" s="50"/>
      <c r="AA465" s="50"/>
      <c r="AB465" s="50"/>
      <c r="AC465" s="50"/>
      <c r="AD465" s="50"/>
    </row>
    <row r="466">
      <c r="A466" s="49"/>
      <c r="B466" s="49"/>
      <c r="C466" s="49"/>
      <c r="D466" s="49"/>
      <c r="E466" s="50"/>
      <c r="F466" s="50"/>
      <c r="G466" s="50"/>
      <c r="H466" s="50"/>
      <c r="I466" s="50"/>
      <c r="J466" s="50"/>
      <c r="K466" s="50"/>
      <c r="L466" s="50"/>
      <c r="M466" s="50"/>
      <c r="N466" s="50"/>
      <c r="O466" s="50"/>
      <c r="P466" s="50"/>
      <c r="Q466" s="50"/>
      <c r="R466" s="50"/>
      <c r="S466" s="50"/>
      <c r="T466" s="50"/>
      <c r="U466" s="50"/>
      <c r="V466" s="50"/>
      <c r="W466" s="50"/>
      <c r="X466" s="50"/>
      <c r="Y466" s="50"/>
      <c r="Z466" s="50"/>
      <c r="AA466" s="50"/>
      <c r="AB466" s="50"/>
      <c r="AC466" s="50"/>
      <c r="AD466" s="50"/>
    </row>
    <row r="467">
      <c r="A467" s="49"/>
      <c r="B467" s="49"/>
      <c r="C467" s="49"/>
      <c r="D467" s="49"/>
      <c r="E467" s="50"/>
      <c r="F467" s="50"/>
      <c r="G467" s="50"/>
      <c r="H467" s="50"/>
      <c r="I467" s="50"/>
      <c r="J467" s="50"/>
      <c r="K467" s="50"/>
      <c r="L467" s="50"/>
      <c r="M467" s="50"/>
      <c r="N467" s="50"/>
      <c r="O467" s="50"/>
      <c r="P467" s="50"/>
      <c r="Q467" s="50"/>
      <c r="R467" s="50"/>
      <c r="S467" s="50"/>
      <c r="T467" s="50"/>
      <c r="U467" s="50"/>
      <c r="V467" s="50"/>
      <c r="W467" s="50"/>
      <c r="X467" s="50"/>
      <c r="Y467" s="50"/>
      <c r="Z467" s="50"/>
      <c r="AA467" s="50"/>
      <c r="AB467" s="50"/>
      <c r="AC467" s="50"/>
      <c r="AD467" s="50"/>
    </row>
    <row r="468">
      <c r="A468" s="49"/>
      <c r="B468" s="49"/>
      <c r="C468" s="49"/>
      <c r="D468" s="49"/>
      <c r="E468" s="50"/>
      <c r="F468" s="50"/>
      <c r="G468" s="50"/>
      <c r="H468" s="50"/>
      <c r="I468" s="50"/>
      <c r="J468" s="50"/>
      <c r="K468" s="50"/>
      <c r="L468" s="50"/>
      <c r="M468" s="50"/>
      <c r="N468" s="50"/>
      <c r="O468" s="50"/>
      <c r="P468" s="50"/>
      <c r="Q468" s="50"/>
      <c r="R468" s="50"/>
      <c r="S468" s="50"/>
      <c r="T468" s="50"/>
      <c r="U468" s="50"/>
      <c r="V468" s="50"/>
      <c r="W468" s="50"/>
      <c r="X468" s="50"/>
      <c r="Y468" s="50"/>
      <c r="Z468" s="50"/>
      <c r="AA468" s="50"/>
      <c r="AB468" s="50"/>
      <c r="AC468" s="50"/>
      <c r="AD468" s="50"/>
    </row>
    <row r="469">
      <c r="A469" s="49"/>
      <c r="B469" s="49"/>
      <c r="C469" s="49"/>
      <c r="D469" s="49"/>
      <c r="E469" s="50"/>
      <c r="F469" s="50"/>
      <c r="G469" s="50"/>
      <c r="H469" s="50"/>
      <c r="I469" s="50"/>
      <c r="J469" s="50"/>
      <c r="K469" s="50"/>
      <c r="L469" s="50"/>
      <c r="M469" s="50"/>
      <c r="N469" s="50"/>
      <c r="O469" s="50"/>
      <c r="P469" s="50"/>
      <c r="Q469" s="50"/>
      <c r="R469" s="50"/>
      <c r="S469" s="50"/>
      <c r="T469" s="50"/>
      <c r="U469" s="50"/>
      <c r="V469" s="50"/>
      <c r="W469" s="50"/>
      <c r="X469" s="50"/>
      <c r="Y469" s="50"/>
      <c r="Z469" s="50"/>
      <c r="AA469" s="50"/>
      <c r="AB469" s="50"/>
      <c r="AC469" s="50"/>
      <c r="AD469" s="50"/>
    </row>
    <row r="470">
      <c r="A470" s="49"/>
      <c r="B470" s="49"/>
      <c r="C470" s="49"/>
      <c r="D470" s="49"/>
      <c r="E470" s="50"/>
      <c r="F470" s="50"/>
      <c r="G470" s="50"/>
      <c r="H470" s="50"/>
      <c r="I470" s="50"/>
      <c r="J470" s="50"/>
      <c r="K470" s="50"/>
      <c r="L470" s="50"/>
      <c r="M470" s="50"/>
      <c r="N470" s="50"/>
      <c r="O470" s="50"/>
      <c r="P470" s="50"/>
      <c r="Q470" s="50"/>
      <c r="R470" s="50"/>
      <c r="S470" s="50"/>
      <c r="T470" s="50"/>
      <c r="U470" s="50"/>
      <c r="V470" s="50"/>
      <c r="W470" s="50"/>
      <c r="X470" s="50"/>
      <c r="Y470" s="50"/>
      <c r="Z470" s="50"/>
      <c r="AA470" s="50"/>
      <c r="AB470" s="50"/>
      <c r="AC470" s="50"/>
      <c r="AD470" s="50"/>
    </row>
    <row r="471">
      <c r="A471" s="49"/>
      <c r="B471" s="49"/>
      <c r="C471" s="49"/>
      <c r="D471" s="49"/>
      <c r="E471" s="50"/>
      <c r="F471" s="50"/>
      <c r="G471" s="50"/>
      <c r="H471" s="50"/>
      <c r="I471" s="50"/>
      <c r="J471" s="50"/>
      <c r="K471" s="50"/>
      <c r="L471" s="50"/>
      <c r="M471" s="50"/>
      <c r="N471" s="50"/>
      <c r="O471" s="50"/>
      <c r="P471" s="50"/>
      <c r="Q471" s="50"/>
      <c r="R471" s="50"/>
      <c r="S471" s="50"/>
      <c r="T471" s="50"/>
      <c r="U471" s="50"/>
      <c r="V471" s="50"/>
      <c r="W471" s="50"/>
      <c r="X471" s="50"/>
      <c r="Y471" s="50"/>
      <c r="Z471" s="50"/>
      <c r="AA471" s="50"/>
      <c r="AB471" s="50"/>
      <c r="AC471" s="50"/>
      <c r="AD471" s="50"/>
    </row>
    <row r="472">
      <c r="A472" s="49"/>
      <c r="B472" s="49"/>
      <c r="C472" s="49"/>
      <c r="D472" s="49"/>
      <c r="E472" s="50"/>
      <c r="F472" s="50"/>
      <c r="G472" s="50"/>
      <c r="H472" s="50"/>
      <c r="I472" s="50"/>
      <c r="J472" s="50"/>
      <c r="K472" s="50"/>
      <c r="L472" s="50"/>
      <c r="M472" s="50"/>
      <c r="N472" s="50"/>
      <c r="O472" s="50"/>
      <c r="P472" s="50"/>
      <c r="Q472" s="50"/>
      <c r="R472" s="50"/>
      <c r="S472" s="50"/>
      <c r="T472" s="50"/>
      <c r="U472" s="50"/>
      <c r="V472" s="50"/>
      <c r="W472" s="50"/>
      <c r="X472" s="50"/>
      <c r="Y472" s="50"/>
      <c r="Z472" s="50"/>
      <c r="AA472" s="50"/>
      <c r="AB472" s="50"/>
      <c r="AC472" s="50"/>
      <c r="AD472" s="50"/>
    </row>
    <row r="473">
      <c r="A473" s="49"/>
      <c r="B473" s="49"/>
      <c r="C473" s="49"/>
      <c r="D473" s="49"/>
      <c r="E473" s="50"/>
      <c r="F473" s="50"/>
      <c r="G473" s="50"/>
      <c r="H473" s="50"/>
      <c r="I473" s="50"/>
      <c r="J473" s="50"/>
      <c r="K473" s="50"/>
      <c r="L473" s="50"/>
      <c r="M473" s="50"/>
      <c r="N473" s="50"/>
      <c r="O473" s="50"/>
      <c r="P473" s="50"/>
      <c r="Q473" s="50"/>
      <c r="R473" s="50"/>
      <c r="S473" s="50"/>
      <c r="T473" s="50"/>
      <c r="U473" s="50"/>
      <c r="V473" s="50"/>
      <c r="W473" s="50"/>
      <c r="X473" s="50"/>
      <c r="Y473" s="50"/>
      <c r="Z473" s="50"/>
      <c r="AA473" s="50"/>
      <c r="AB473" s="50"/>
      <c r="AC473" s="50"/>
      <c r="AD473" s="50"/>
    </row>
    <row r="474">
      <c r="A474" s="49"/>
      <c r="B474" s="49"/>
      <c r="C474" s="49"/>
      <c r="D474" s="49"/>
      <c r="E474" s="50"/>
      <c r="F474" s="50"/>
      <c r="G474" s="50"/>
      <c r="H474" s="50"/>
      <c r="I474" s="50"/>
      <c r="J474" s="50"/>
      <c r="K474" s="50"/>
      <c r="L474" s="50"/>
      <c r="M474" s="50"/>
      <c r="N474" s="50"/>
      <c r="O474" s="50"/>
      <c r="P474" s="50"/>
      <c r="Q474" s="50"/>
      <c r="R474" s="50"/>
      <c r="S474" s="50"/>
      <c r="T474" s="50"/>
      <c r="U474" s="50"/>
      <c r="V474" s="50"/>
      <c r="W474" s="50"/>
      <c r="X474" s="50"/>
      <c r="Y474" s="50"/>
      <c r="Z474" s="50"/>
      <c r="AA474" s="50"/>
      <c r="AB474" s="50"/>
      <c r="AC474" s="50"/>
      <c r="AD474" s="50"/>
    </row>
    <row r="475">
      <c r="A475" s="49"/>
      <c r="B475" s="49"/>
      <c r="C475" s="49"/>
      <c r="D475" s="49"/>
      <c r="E475" s="50"/>
      <c r="F475" s="50"/>
      <c r="G475" s="50"/>
      <c r="H475" s="50"/>
      <c r="I475" s="50"/>
      <c r="J475" s="50"/>
      <c r="K475" s="50"/>
      <c r="L475" s="50"/>
      <c r="M475" s="50"/>
      <c r="N475" s="50"/>
      <c r="O475" s="50"/>
      <c r="P475" s="50"/>
      <c r="Q475" s="50"/>
      <c r="R475" s="50"/>
      <c r="S475" s="50"/>
      <c r="T475" s="50"/>
      <c r="U475" s="50"/>
      <c r="V475" s="50"/>
      <c r="W475" s="50"/>
      <c r="X475" s="50"/>
      <c r="Y475" s="50"/>
      <c r="Z475" s="50"/>
      <c r="AA475" s="50"/>
      <c r="AB475" s="50"/>
      <c r="AC475" s="50"/>
      <c r="AD475" s="50"/>
    </row>
    <row r="476">
      <c r="A476" s="49"/>
      <c r="B476" s="49"/>
      <c r="C476" s="49"/>
      <c r="D476" s="49"/>
      <c r="E476" s="50"/>
      <c r="F476" s="50"/>
      <c r="G476" s="50"/>
      <c r="H476" s="50"/>
      <c r="I476" s="50"/>
      <c r="J476" s="50"/>
      <c r="K476" s="50"/>
      <c r="L476" s="50"/>
      <c r="M476" s="50"/>
      <c r="N476" s="50"/>
      <c r="O476" s="50"/>
      <c r="P476" s="50"/>
      <c r="Q476" s="50"/>
      <c r="R476" s="50"/>
      <c r="S476" s="50"/>
      <c r="T476" s="50"/>
      <c r="U476" s="50"/>
      <c r="V476" s="50"/>
      <c r="W476" s="50"/>
      <c r="X476" s="50"/>
      <c r="Y476" s="50"/>
      <c r="Z476" s="50"/>
      <c r="AA476" s="50"/>
      <c r="AB476" s="50"/>
      <c r="AC476" s="50"/>
      <c r="AD476" s="50"/>
    </row>
    <row r="477">
      <c r="A477" s="49"/>
      <c r="B477" s="49"/>
      <c r="C477" s="49"/>
      <c r="D477" s="49"/>
      <c r="E477" s="50"/>
      <c r="F477" s="50"/>
      <c r="G477" s="50"/>
      <c r="H477" s="50"/>
      <c r="I477" s="50"/>
      <c r="J477" s="50"/>
      <c r="K477" s="50"/>
      <c r="L477" s="50"/>
      <c r="M477" s="50"/>
      <c r="N477" s="50"/>
      <c r="O477" s="50"/>
      <c r="P477" s="50"/>
      <c r="Q477" s="50"/>
      <c r="R477" s="50"/>
      <c r="S477" s="50"/>
      <c r="T477" s="50"/>
      <c r="U477" s="50"/>
      <c r="V477" s="50"/>
      <c r="W477" s="50"/>
      <c r="X477" s="50"/>
      <c r="Y477" s="50"/>
      <c r="Z477" s="50"/>
      <c r="AA477" s="50"/>
      <c r="AB477" s="50"/>
      <c r="AC477" s="50"/>
      <c r="AD477" s="50"/>
    </row>
    <row r="478">
      <c r="A478" s="49"/>
      <c r="B478" s="49"/>
      <c r="C478" s="49"/>
      <c r="D478" s="49"/>
      <c r="E478" s="50"/>
      <c r="F478" s="50"/>
      <c r="G478" s="50"/>
      <c r="H478" s="50"/>
      <c r="I478" s="50"/>
      <c r="J478" s="50"/>
      <c r="K478" s="50"/>
      <c r="L478" s="50"/>
      <c r="M478" s="50"/>
      <c r="N478" s="50"/>
      <c r="O478" s="50"/>
      <c r="P478" s="50"/>
      <c r="Q478" s="50"/>
      <c r="R478" s="50"/>
      <c r="S478" s="50"/>
      <c r="T478" s="50"/>
      <c r="U478" s="50"/>
      <c r="V478" s="50"/>
      <c r="W478" s="50"/>
      <c r="X478" s="50"/>
      <c r="Y478" s="50"/>
      <c r="Z478" s="50"/>
      <c r="AA478" s="50"/>
      <c r="AB478" s="50"/>
      <c r="AC478" s="50"/>
      <c r="AD478" s="50"/>
    </row>
    <row r="479">
      <c r="A479" s="49"/>
      <c r="B479" s="49"/>
      <c r="C479" s="49"/>
      <c r="D479" s="49"/>
      <c r="E479" s="50"/>
      <c r="F479" s="50"/>
      <c r="G479" s="50"/>
      <c r="H479" s="50"/>
      <c r="I479" s="50"/>
      <c r="J479" s="50"/>
      <c r="K479" s="50"/>
      <c r="L479" s="50"/>
      <c r="M479" s="50"/>
      <c r="N479" s="50"/>
      <c r="O479" s="50"/>
      <c r="P479" s="50"/>
      <c r="Q479" s="50"/>
      <c r="R479" s="50"/>
      <c r="S479" s="50"/>
      <c r="T479" s="50"/>
      <c r="U479" s="50"/>
      <c r="V479" s="50"/>
      <c r="W479" s="50"/>
      <c r="X479" s="50"/>
      <c r="Y479" s="50"/>
      <c r="Z479" s="50"/>
      <c r="AA479" s="50"/>
      <c r="AB479" s="50"/>
      <c r="AC479" s="50"/>
      <c r="AD479" s="50"/>
    </row>
    <row r="480">
      <c r="A480" s="49"/>
      <c r="B480" s="49"/>
      <c r="C480" s="49"/>
      <c r="D480" s="49"/>
      <c r="E480" s="50"/>
      <c r="F480" s="50"/>
      <c r="G480" s="50"/>
      <c r="H480" s="50"/>
      <c r="I480" s="50"/>
      <c r="J480" s="50"/>
      <c r="K480" s="50"/>
      <c r="L480" s="50"/>
      <c r="M480" s="50"/>
      <c r="N480" s="50"/>
      <c r="O480" s="50"/>
      <c r="P480" s="50"/>
      <c r="Q480" s="50"/>
      <c r="R480" s="50"/>
      <c r="S480" s="50"/>
      <c r="T480" s="50"/>
      <c r="U480" s="50"/>
      <c r="V480" s="50"/>
      <c r="W480" s="50"/>
      <c r="X480" s="50"/>
      <c r="Y480" s="50"/>
      <c r="Z480" s="50"/>
      <c r="AA480" s="50"/>
      <c r="AB480" s="50"/>
      <c r="AC480" s="50"/>
      <c r="AD480" s="50"/>
    </row>
    <row r="481">
      <c r="A481" s="49"/>
      <c r="B481" s="49"/>
      <c r="C481" s="49"/>
      <c r="D481" s="49"/>
      <c r="E481" s="50"/>
      <c r="F481" s="50"/>
      <c r="G481" s="50"/>
      <c r="H481" s="50"/>
      <c r="I481" s="50"/>
      <c r="J481" s="50"/>
      <c r="K481" s="50"/>
      <c r="L481" s="50"/>
      <c r="M481" s="50"/>
      <c r="N481" s="50"/>
      <c r="O481" s="50"/>
      <c r="P481" s="50"/>
      <c r="Q481" s="50"/>
      <c r="R481" s="50"/>
      <c r="S481" s="50"/>
      <c r="T481" s="50"/>
      <c r="U481" s="50"/>
      <c r="V481" s="50"/>
      <c r="W481" s="50"/>
      <c r="X481" s="50"/>
      <c r="Y481" s="50"/>
      <c r="Z481" s="50"/>
      <c r="AA481" s="50"/>
      <c r="AB481" s="50"/>
      <c r="AC481" s="50"/>
      <c r="AD481" s="50"/>
    </row>
    <row r="482">
      <c r="A482" s="49"/>
      <c r="B482" s="49"/>
      <c r="C482" s="49"/>
      <c r="D482" s="49"/>
      <c r="E482" s="50"/>
      <c r="F482" s="50"/>
      <c r="G482" s="50"/>
      <c r="H482" s="50"/>
      <c r="I482" s="50"/>
      <c r="J482" s="50"/>
      <c r="K482" s="50"/>
      <c r="L482" s="50"/>
      <c r="M482" s="50"/>
      <c r="N482" s="50"/>
      <c r="O482" s="50"/>
      <c r="P482" s="50"/>
      <c r="Q482" s="50"/>
      <c r="R482" s="50"/>
      <c r="S482" s="50"/>
      <c r="T482" s="50"/>
      <c r="U482" s="50"/>
      <c r="V482" s="50"/>
      <c r="W482" s="50"/>
      <c r="X482" s="50"/>
      <c r="Y482" s="50"/>
      <c r="Z482" s="50"/>
      <c r="AA482" s="50"/>
      <c r="AB482" s="50"/>
      <c r="AC482" s="50"/>
      <c r="AD482" s="50"/>
    </row>
    <row r="483">
      <c r="A483" s="49"/>
      <c r="B483" s="49"/>
      <c r="C483" s="49"/>
      <c r="D483" s="49"/>
      <c r="E483" s="50"/>
      <c r="F483" s="50"/>
      <c r="G483" s="50"/>
      <c r="H483" s="50"/>
      <c r="I483" s="50"/>
      <c r="J483" s="50"/>
      <c r="K483" s="50"/>
      <c r="L483" s="50"/>
      <c r="M483" s="50"/>
      <c r="N483" s="50"/>
      <c r="O483" s="50"/>
      <c r="P483" s="50"/>
      <c r="Q483" s="50"/>
      <c r="R483" s="50"/>
      <c r="S483" s="50"/>
      <c r="T483" s="50"/>
      <c r="U483" s="50"/>
      <c r="V483" s="50"/>
      <c r="W483" s="50"/>
      <c r="X483" s="50"/>
      <c r="Y483" s="50"/>
      <c r="Z483" s="50"/>
      <c r="AA483" s="50"/>
      <c r="AB483" s="50"/>
      <c r="AC483" s="50"/>
      <c r="AD483" s="50"/>
    </row>
    <row r="484">
      <c r="A484" s="49"/>
      <c r="B484" s="49"/>
      <c r="C484" s="49"/>
      <c r="D484" s="49"/>
      <c r="E484" s="50"/>
      <c r="F484" s="50"/>
      <c r="G484" s="50"/>
      <c r="H484" s="50"/>
      <c r="I484" s="50"/>
      <c r="J484" s="50"/>
      <c r="K484" s="50"/>
      <c r="L484" s="50"/>
      <c r="M484" s="50"/>
      <c r="N484" s="50"/>
      <c r="O484" s="50"/>
      <c r="P484" s="50"/>
      <c r="Q484" s="50"/>
      <c r="R484" s="50"/>
      <c r="S484" s="50"/>
      <c r="T484" s="50"/>
      <c r="U484" s="50"/>
      <c r="V484" s="50"/>
      <c r="W484" s="50"/>
      <c r="X484" s="50"/>
      <c r="Y484" s="50"/>
      <c r="Z484" s="50"/>
      <c r="AA484" s="50"/>
      <c r="AB484" s="50"/>
      <c r="AC484" s="50"/>
      <c r="AD484" s="50"/>
    </row>
    <row r="485">
      <c r="A485" s="49"/>
      <c r="B485" s="49"/>
      <c r="C485" s="49"/>
      <c r="D485" s="49"/>
      <c r="E485" s="50"/>
      <c r="F485" s="50"/>
      <c r="G485" s="50"/>
      <c r="H485" s="50"/>
      <c r="I485" s="50"/>
      <c r="J485" s="50"/>
      <c r="K485" s="50"/>
      <c r="L485" s="50"/>
      <c r="M485" s="50"/>
      <c r="N485" s="50"/>
      <c r="O485" s="50"/>
      <c r="P485" s="50"/>
      <c r="Q485" s="50"/>
      <c r="R485" s="50"/>
      <c r="S485" s="50"/>
      <c r="T485" s="50"/>
      <c r="U485" s="50"/>
      <c r="V485" s="50"/>
      <c r="W485" s="50"/>
      <c r="X485" s="50"/>
      <c r="Y485" s="50"/>
      <c r="Z485" s="50"/>
      <c r="AA485" s="50"/>
      <c r="AB485" s="50"/>
      <c r="AC485" s="50"/>
      <c r="AD485" s="50"/>
    </row>
    <row r="486">
      <c r="A486" s="49"/>
      <c r="B486" s="49"/>
      <c r="C486" s="49"/>
      <c r="D486" s="49"/>
      <c r="E486" s="50"/>
      <c r="F486" s="50"/>
      <c r="G486" s="50"/>
      <c r="H486" s="50"/>
      <c r="I486" s="50"/>
      <c r="J486" s="50"/>
      <c r="K486" s="50"/>
      <c r="L486" s="50"/>
      <c r="M486" s="50"/>
      <c r="N486" s="50"/>
      <c r="O486" s="50"/>
      <c r="P486" s="50"/>
      <c r="Q486" s="50"/>
      <c r="R486" s="50"/>
      <c r="S486" s="50"/>
      <c r="T486" s="50"/>
      <c r="U486" s="50"/>
      <c r="V486" s="50"/>
      <c r="W486" s="50"/>
      <c r="X486" s="50"/>
      <c r="Y486" s="50"/>
      <c r="Z486" s="50"/>
      <c r="AA486" s="50"/>
      <c r="AB486" s="50"/>
      <c r="AC486" s="50"/>
      <c r="AD486" s="50"/>
    </row>
    <row r="487">
      <c r="A487" s="49"/>
      <c r="B487" s="49"/>
      <c r="C487" s="49"/>
      <c r="D487" s="49"/>
      <c r="E487" s="50"/>
      <c r="F487" s="50"/>
      <c r="G487" s="50"/>
      <c r="H487" s="50"/>
      <c r="I487" s="50"/>
      <c r="J487" s="50"/>
      <c r="K487" s="50"/>
      <c r="L487" s="50"/>
      <c r="M487" s="50"/>
      <c r="N487" s="50"/>
      <c r="O487" s="50"/>
      <c r="P487" s="50"/>
      <c r="Q487" s="50"/>
      <c r="R487" s="50"/>
      <c r="S487" s="50"/>
      <c r="T487" s="50"/>
      <c r="U487" s="50"/>
      <c r="V487" s="50"/>
      <c r="W487" s="50"/>
      <c r="X487" s="50"/>
      <c r="Y487" s="50"/>
      <c r="Z487" s="50"/>
      <c r="AA487" s="50"/>
      <c r="AB487" s="50"/>
      <c r="AC487" s="50"/>
      <c r="AD487" s="50"/>
    </row>
    <row r="488">
      <c r="A488" s="49"/>
      <c r="B488" s="49"/>
      <c r="C488" s="49"/>
      <c r="D488" s="49"/>
      <c r="E488" s="50"/>
      <c r="F488" s="50"/>
      <c r="G488" s="50"/>
      <c r="H488" s="50"/>
      <c r="I488" s="50"/>
      <c r="J488" s="50"/>
      <c r="K488" s="50"/>
      <c r="L488" s="50"/>
      <c r="M488" s="50"/>
      <c r="N488" s="50"/>
      <c r="O488" s="50"/>
      <c r="P488" s="50"/>
      <c r="Q488" s="50"/>
      <c r="R488" s="50"/>
      <c r="S488" s="50"/>
      <c r="T488" s="50"/>
      <c r="U488" s="50"/>
      <c r="V488" s="50"/>
      <c r="W488" s="50"/>
      <c r="X488" s="50"/>
      <c r="Y488" s="50"/>
      <c r="Z488" s="50"/>
      <c r="AA488" s="50"/>
      <c r="AB488" s="50"/>
      <c r="AC488" s="50"/>
      <c r="AD488" s="50"/>
    </row>
    <row r="489">
      <c r="A489" s="49"/>
      <c r="B489" s="49"/>
      <c r="C489" s="49"/>
      <c r="D489" s="49"/>
      <c r="E489" s="50"/>
      <c r="F489" s="50"/>
      <c r="G489" s="50"/>
      <c r="H489" s="50"/>
      <c r="I489" s="50"/>
      <c r="J489" s="50"/>
      <c r="K489" s="50"/>
      <c r="L489" s="50"/>
      <c r="M489" s="50"/>
      <c r="N489" s="50"/>
      <c r="O489" s="50"/>
      <c r="P489" s="50"/>
      <c r="Q489" s="50"/>
      <c r="R489" s="50"/>
      <c r="S489" s="50"/>
      <c r="T489" s="50"/>
      <c r="U489" s="50"/>
      <c r="V489" s="50"/>
      <c r="W489" s="50"/>
      <c r="X489" s="50"/>
      <c r="Y489" s="50"/>
      <c r="Z489" s="50"/>
      <c r="AA489" s="50"/>
      <c r="AB489" s="50"/>
      <c r="AC489" s="50"/>
      <c r="AD489" s="50"/>
    </row>
    <row r="490">
      <c r="A490" s="49"/>
      <c r="B490" s="49"/>
      <c r="C490" s="49"/>
      <c r="D490" s="49"/>
      <c r="E490" s="50"/>
      <c r="F490" s="50"/>
      <c r="G490" s="50"/>
      <c r="H490" s="50"/>
      <c r="I490" s="50"/>
      <c r="J490" s="50"/>
      <c r="K490" s="50"/>
      <c r="L490" s="50"/>
      <c r="M490" s="50"/>
      <c r="N490" s="50"/>
      <c r="O490" s="50"/>
      <c r="P490" s="50"/>
      <c r="Q490" s="50"/>
      <c r="R490" s="50"/>
      <c r="S490" s="50"/>
      <c r="T490" s="50"/>
      <c r="U490" s="50"/>
      <c r="V490" s="50"/>
      <c r="W490" s="50"/>
      <c r="X490" s="50"/>
      <c r="Y490" s="50"/>
      <c r="Z490" s="50"/>
      <c r="AA490" s="50"/>
      <c r="AB490" s="50"/>
      <c r="AC490" s="50"/>
      <c r="AD490" s="50"/>
    </row>
    <row r="491">
      <c r="A491" s="49"/>
      <c r="B491" s="49"/>
      <c r="C491" s="49"/>
      <c r="D491" s="49"/>
      <c r="E491" s="50"/>
      <c r="F491" s="50"/>
      <c r="G491" s="50"/>
      <c r="H491" s="50"/>
      <c r="I491" s="50"/>
      <c r="J491" s="50"/>
      <c r="K491" s="50"/>
      <c r="L491" s="50"/>
      <c r="M491" s="50"/>
      <c r="N491" s="50"/>
      <c r="O491" s="50"/>
      <c r="P491" s="50"/>
      <c r="Q491" s="50"/>
      <c r="R491" s="50"/>
      <c r="S491" s="50"/>
      <c r="T491" s="50"/>
      <c r="U491" s="50"/>
      <c r="V491" s="50"/>
      <c r="W491" s="50"/>
      <c r="X491" s="50"/>
      <c r="Y491" s="50"/>
      <c r="Z491" s="50"/>
      <c r="AA491" s="50"/>
      <c r="AB491" s="50"/>
      <c r="AC491" s="50"/>
      <c r="AD491" s="50"/>
    </row>
    <row r="492">
      <c r="A492" s="49"/>
      <c r="B492" s="49"/>
      <c r="C492" s="49"/>
      <c r="D492" s="49"/>
      <c r="E492" s="50"/>
      <c r="F492" s="50"/>
      <c r="G492" s="50"/>
      <c r="H492" s="50"/>
      <c r="I492" s="50"/>
      <c r="J492" s="50"/>
      <c r="K492" s="50"/>
      <c r="L492" s="50"/>
      <c r="M492" s="50"/>
      <c r="N492" s="50"/>
      <c r="O492" s="50"/>
      <c r="P492" s="50"/>
      <c r="Q492" s="50"/>
      <c r="R492" s="50"/>
      <c r="S492" s="50"/>
      <c r="T492" s="50"/>
      <c r="U492" s="50"/>
      <c r="V492" s="50"/>
      <c r="W492" s="50"/>
      <c r="X492" s="50"/>
      <c r="Y492" s="50"/>
      <c r="Z492" s="50"/>
      <c r="AA492" s="50"/>
      <c r="AB492" s="50"/>
      <c r="AC492" s="50"/>
      <c r="AD492" s="50"/>
    </row>
    <row r="493">
      <c r="A493" s="49"/>
      <c r="B493" s="49"/>
      <c r="C493" s="49"/>
      <c r="D493" s="49"/>
      <c r="E493" s="50"/>
      <c r="F493" s="50"/>
      <c r="G493" s="50"/>
      <c r="H493" s="50"/>
      <c r="I493" s="50"/>
      <c r="J493" s="50"/>
      <c r="K493" s="50"/>
      <c r="L493" s="50"/>
      <c r="M493" s="50"/>
      <c r="N493" s="50"/>
      <c r="O493" s="50"/>
      <c r="P493" s="50"/>
      <c r="Q493" s="50"/>
      <c r="R493" s="50"/>
      <c r="S493" s="50"/>
      <c r="T493" s="50"/>
      <c r="U493" s="50"/>
      <c r="V493" s="50"/>
      <c r="W493" s="50"/>
      <c r="X493" s="50"/>
      <c r="Y493" s="50"/>
      <c r="Z493" s="50"/>
      <c r="AA493" s="50"/>
      <c r="AB493" s="50"/>
      <c r="AC493" s="50"/>
      <c r="AD493" s="50"/>
    </row>
    <row r="494">
      <c r="A494" s="49"/>
      <c r="B494" s="49"/>
      <c r="C494" s="49"/>
      <c r="D494" s="49"/>
      <c r="E494" s="50"/>
      <c r="F494" s="50"/>
      <c r="G494" s="50"/>
      <c r="H494" s="50"/>
      <c r="I494" s="50"/>
      <c r="J494" s="50"/>
      <c r="K494" s="50"/>
      <c r="L494" s="50"/>
      <c r="M494" s="50"/>
      <c r="N494" s="50"/>
      <c r="O494" s="50"/>
      <c r="P494" s="50"/>
      <c r="Q494" s="50"/>
      <c r="R494" s="50"/>
      <c r="S494" s="50"/>
      <c r="T494" s="50"/>
      <c r="U494" s="50"/>
      <c r="V494" s="50"/>
      <c r="W494" s="50"/>
      <c r="X494" s="50"/>
      <c r="Y494" s="50"/>
      <c r="Z494" s="50"/>
      <c r="AA494" s="50"/>
      <c r="AB494" s="50"/>
      <c r="AC494" s="50"/>
      <c r="AD494" s="50"/>
    </row>
    <row r="495">
      <c r="A495" s="49"/>
      <c r="B495" s="49"/>
      <c r="C495" s="49"/>
      <c r="D495" s="49"/>
      <c r="E495" s="50"/>
      <c r="F495" s="50"/>
      <c r="G495" s="50"/>
      <c r="H495" s="50"/>
      <c r="I495" s="50"/>
      <c r="J495" s="50"/>
      <c r="K495" s="50"/>
      <c r="L495" s="50"/>
      <c r="M495" s="50"/>
      <c r="N495" s="50"/>
      <c r="O495" s="50"/>
      <c r="P495" s="50"/>
      <c r="Q495" s="50"/>
      <c r="R495" s="50"/>
      <c r="S495" s="50"/>
      <c r="T495" s="50"/>
      <c r="U495" s="50"/>
      <c r="V495" s="50"/>
      <c r="W495" s="50"/>
      <c r="X495" s="50"/>
      <c r="Y495" s="50"/>
      <c r="Z495" s="50"/>
      <c r="AA495" s="50"/>
      <c r="AB495" s="50"/>
      <c r="AC495" s="50"/>
      <c r="AD495" s="50"/>
    </row>
    <row r="496">
      <c r="A496" s="49"/>
      <c r="B496" s="49"/>
      <c r="C496" s="49"/>
      <c r="D496" s="49"/>
      <c r="E496" s="50"/>
      <c r="F496" s="50"/>
      <c r="G496" s="50"/>
      <c r="H496" s="50"/>
      <c r="I496" s="50"/>
      <c r="J496" s="50"/>
      <c r="K496" s="50"/>
      <c r="L496" s="50"/>
      <c r="M496" s="50"/>
      <c r="N496" s="50"/>
      <c r="O496" s="50"/>
      <c r="P496" s="50"/>
      <c r="Q496" s="50"/>
      <c r="R496" s="50"/>
      <c r="S496" s="50"/>
      <c r="T496" s="50"/>
      <c r="U496" s="50"/>
      <c r="V496" s="50"/>
      <c r="W496" s="50"/>
      <c r="X496" s="50"/>
      <c r="Y496" s="50"/>
      <c r="Z496" s="50"/>
      <c r="AA496" s="50"/>
      <c r="AB496" s="50"/>
      <c r="AC496" s="50"/>
      <c r="AD496" s="50"/>
    </row>
    <row r="497">
      <c r="A497" s="49"/>
      <c r="B497" s="49"/>
      <c r="C497" s="49"/>
      <c r="D497" s="49"/>
      <c r="E497" s="50"/>
      <c r="F497" s="50"/>
      <c r="G497" s="50"/>
      <c r="H497" s="50"/>
      <c r="I497" s="50"/>
      <c r="J497" s="50"/>
      <c r="K497" s="50"/>
      <c r="L497" s="50"/>
      <c r="M497" s="50"/>
      <c r="N497" s="50"/>
      <c r="O497" s="50"/>
      <c r="P497" s="50"/>
      <c r="Q497" s="50"/>
      <c r="R497" s="50"/>
      <c r="S497" s="50"/>
      <c r="T497" s="50"/>
      <c r="U497" s="50"/>
      <c r="V497" s="50"/>
      <c r="W497" s="50"/>
      <c r="X497" s="50"/>
      <c r="Y497" s="50"/>
      <c r="Z497" s="50"/>
      <c r="AA497" s="50"/>
      <c r="AB497" s="50"/>
      <c r="AC497" s="50"/>
      <c r="AD497" s="50"/>
    </row>
    <row r="498">
      <c r="A498" s="49"/>
      <c r="B498" s="49"/>
      <c r="C498" s="49"/>
      <c r="D498" s="49"/>
      <c r="E498" s="50"/>
      <c r="F498" s="50"/>
      <c r="G498" s="50"/>
      <c r="H498" s="50"/>
      <c r="I498" s="50"/>
      <c r="J498" s="50"/>
      <c r="K498" s="50"/>
      <c r="L498" s="50"/>
      <c r="M498" s="50"/>
      <c r="N498" s="50"/>
      <c r="O498" s="50"/>
      <c r="P498" s="50"/>
      <c r="Q498" s="50"/>
      <c r="R498" s="50"/>
      <c r="S498" s="50"/>
      <c r="T498" s="50"/>
      <c r="U498" s="50"/>
      <c r="V498" s="50"/>
      <c r="W498" s="50"/>
      <c r="X498" s="50"/>
      <c r="Y498" s="50"/>
      <c r="Z498" s="50"/>
      <c r="AA498" s="50"/>
      <c r="AB498" s="50"/>
      <c r="AC498" s="50"/>
      <c r="AD498" s="50"/>
    </row>
    <row r="499">
      <c r="A499" s="49"/>
      <c r="B499" s="49"/>
      <c r="C499" s="49"/>
      <c r="D499" s="49"/>
      <c r="E499" s="50"/>
      <c r="F499" s="50"/>
      <c r="G499" s="50"/>
      <c r="H499" s="50"/>
      <c r="I499" s="50"/>
      <c r="J499" s="50"/>
      <c r="K499" s="50"/>
      <c r="L499" s="50"/>
      <c r="M499" s="50"/>
      <c r="N499" s="50"/>
      <c r="O499" s="50"/>
      <c r="P499" s="50"/>
      <c r="Q499" s="50"/>
      <c r="R499" s="50"/>
      <c r="S499" s="50"/>
      <c r="T499" s="50"/>
      <c r="U499" s="50"/>
      <c r="V499" s="50"/>
      <c r="W499" s="50"/>
      <c r="X499" s="50"/>
      <c r="Y499" s="50"/>
      <c r="Z499" s="50"/>
      <c r="AA499" s="50"/>
      <c r="AB499" s="50"/>
      <c r="AC499" s="50"/>
      <c r="AD499" s="50"/>
    </row>
    <row r="500">
      <c r="A500" s="49"/>
      <c r="B500" s="49"/>
      <c r="C500" s="49"/>
      <c r="D500" s="49"/>
      <c r="E500" s="50"/>
      <c r="F500" s="50"/>
      <c r="G500" s="50"/>
      <c r="H500" s="50"/>
      <c r="I500" s="50"/>
      <c r="J500" s="50"/>
      <c r="K500" s="50"/>
      <c r="L500" s="50"/>
      <c r="M500" s="50"/>
      <c r="N500" s="50"/>
      <c r="O500" s="50"/>
      <c r="P500" s="50"/>
      <c r="Q500" s="50"/>
      <c r="R500" s="50"/>
      <c r="S500" s="50"/>
      <c r="T500" s="50"/>
      <c r="U500" s="50"/>
      <c r="V500" s="50"/>
      <c r="W500" s="50"/>
      <c r="X500" s="50"/>
      <c r="Y500" s="50"/>
      <c r="Z500" s="50"/>
      <c r="AA500" s="50"/>
      <c r="AB500" s="50"/>
      <c r="AC500" s="50"/>
      <c r="AD500" s="50"/>
    </row>
    <row r="501">
      <c r="A501" s="49"/>
      <c r="B501" s="49"/>
      <c r="C501" s="49"/>
      <c r="D501" s="49"/>
      <c r="E501" s="50"/>
      <c r="F501" s="50"/>
      <c r="G501" s="50"/>
      <c r="H501" s="50"/>
      <c r="I501" s="50"/>
      <c r="J501" s="50"/>
      <c r="K501" s="50"/>
      <c r="L501" s="50"/>
      <c r="M501" s="50"/>
      <c r="N501" s="50"/>
      <c r="O501" s="50"/>
      <c r="P501" s="50"/>
      <c r="Q501" s="50"/>
      <c r="R501" s="50"/>
      <c r="S501" s="50"/>
      <c r="T501" s="50"/>
      <c r="U501" s="50"/>
      <c r="V501" s="50"/>
      <c r="W501" s="50"/>
      <c r="X501" s="50"/>
      <c r="Y501" s="50"/>
      <c r="Z501" s="50"/>
      <c r="AA501" s="50"/>
      <c r="AB501" s="50"/>
      <c r="AC501" s="50"/>
      <c r="AD501" s="50"/>
    </row>
    <row r="502">
      <c r="A502" s="49"/>
      <c r="B502" s="49"/>
      <c r="C502" s="49"/>
      <c r="D502" s="49"/>
      <c r="E502" s="50"/>
      <c r="F502" s="50"/>
      <c r="G502" s="50"/>
      <c r="H502" s="50"/>
      <c r="I502" s="50"/>
      <c r="J502" s="50"/>
      <c r="K502" s="50"/>
      <c r="L502" s="50"/>
      <c r="M502" s="50"/>
      <c r="N502" s="50"/>
      <c r="O502" s="50"/>
      <c r="P502" s="50"/>
      <c r="Q502" s="50"/>
      <c r="R502" s="50"/>
      <c r="S502" s="50"/>
      <c r="T502" s="50"/>
      <c r="U502" s="50"/>
      <c r="V502" s="50"/>
      <c r="W502" s="50"/>
      <c r="X502" s="50"/>
      <c r="Y502" s="50"/>
      <c r="Z502" s="50"/>
      <c r="AA502" s="50"/>
      <c r="AB502" s="50"/>
      <c r="AC502" s="50"/>
      <c r="AD502" s="50"/>
    </row>
    <row r="503">
      <c r="A503" s="49"/>
      <c r="B503" s="49"/>
      <c r="C503" s="49"/>
      <c r="D503" s="49"/>
      <c r="E503" s="50"/>
      <c r="F503" s="50"/>
      <c r="G503" s="50"/>
      <c r="H503" s="50"/>
      <c r="I503" s="50"/>
      <c r="J503" s="50"/>
      <c r="K503" s="50"/>
      <c r="L503" s="50"/>
      <c r="M503" s="50"/>
      <c r="N503" s="50"/>
      <c r="O503" s="50"/>
      <c r="P503" s="50"/>
      <c r="Q503" s="50"/>
      <c r="R503" s="50"/>
      <c r="S503" s="50"/>
      <c r="T503" s="50"/>
      <c r="U503" s="50"/>
      <c r="V503" s="50"/>
      <c r="W503" s="50"/>
      <c r="X503" s="50"/>
      <c r="Y503" s="50"/>
      <c r="Z503" s="50"/>
      <c r="AA503" s="50"/>
      <c r="AB503" s="50"/>
      <c r="AC503" s="50"/>
      <c r="AD503" s="50"/>
    </row>
    <row r="504">
      <c r="A504" s="49"/>
      <c r="B504" s="49"/>
      <c r="C504" s="49"/>
      <c r="D504" s="49"/>
      <c r="E504" s="50"/>
      <c r="F504" s="50"/>
      <c r="G504" s="50"/>
      <c r="H504" s="50"/>
      <c r="I504" s="50"/>
      <c r="J504" s="50"/>
      <c r="K504" s="50"/>
      <c r="L504" s="50"/>
      <c r="M504" s="50"/>
      <c r="N504" s="50"/>
      <c r="O504" s="50"/>
      <c r="P504" s="50"/>
      <c r="Q504" s="50"/>
      <c r="R504" s="50"/>
      <c r="S504" s="50"/>
      <c r="T504" s="50"/>
      <c r="U504" s="50"/>
      <c r="V504" s="50"/>
      <c r="W504" s="50"/>
      <c r="X504" s="50"/>
      <c r="Y504" s="50"/>
      <c r="Z504" s="50"/>
      <c r="AA504" s="50"/>
      <c r="AB504" s="50"/>
      <c r="AC504" s="50"/>
      <c r="AD504" s="50"/>
    </row>
    <row r="505">
      <c r="A505" s="49"/>
      <c r="B505" s="49"/>
      <c r="C505" s="49"/>
      <c r="D505" s="49"/>
      <c r="E505" s="50"/>
      <c r="F505" s="50"/>
      <c r="G505" s="50"/>
      <c r="H505" s="50"/>
      <c r="I505" s="50"/>
      <c r="J505" s="50"/>
      <c r="K505" s="50"/>
      <c r="L505" s="50"/>
      <c r="M505" s="50"/>
      <c r="N505" s="50"/>
      <c r="O505" s="50"/>
      <c r="P505" s="50"/>
      <c r="Q505" s="50"/>
      <c r="R505" s="50"/>
      <c r="S505" s="50"/>
      <c r="T505" s="50"/>
      <c r="U505" s="50"/>
      <c r="V505" s="50"/>
      <c r="W505" s="50"/>
      <c r="X505" s="50"/>
      <c r="Y505" s="50"/>
      <c r="Z505" s="50"/>
      <c r="AA505" s="50"/>
      <c r="AB505" s="50"/>
      <c r="AC505" s="50"/>
      <c r="AD505" s="50"/>
    </row>
    <row r="506">
      <c r="A506" s="49"/>
      <c r="B506" s="49"/>
      <c r="C506" s="49"/>
      <c r="D506" s="49"/>
      <c r="E506" s="50"/>
      <c r="F506" s="50"/>
      <c r="G506" s="50"/>
      <c r="H506" s="50"/>
      <c r="I506" s="50"/>
      <c r="J506" s="50"/>
      <c r="K506" s="50"/>
      <c r="L506" s="50"/>
      <c r="M506" s="50"/>
      <c r="N506" s="50"/>
      <c r="O506" s="50"/>
      <c r="P506" s="50"/>
      <c r="Q506" s="50"/>
      <c r="R506" s="50"/>
      <c r="S506" s="50"/>
      <c r="T506" s="50"/>
      <c r="U506" s="50"/>
      <c r="V506" s="50"/>
      <c r="W506" s="50"/>
      <c r="X506" s="50"/>
      <c r="Y506" s="50"/>
      <c r="Z506" s="50"/>
      <c r="AA506" s="50"/>
      <c r="AB506" s="50"/>
      <c r="AC506" s="50"/>
      <c r="AD506" s="50"/>
    </row>
    <row r="507">
      <c r="A507" s="49"/>
      <c r="B507" s="49"/>
      <c r="C507" s="49"/>
      <c r="D507" s="49"/>
      <c r="E507" s="50"/>
      <c r="F507" s="50"/>
      <c r="G507" s="50"/>
      <c r="H507" s="50"/>
      <c r="I507" s="50"/>
      <c r="J507" s="50"/>
      <c r="K507" s="50"/>
      <c r="L507" s="50"/>
      <c r="M507" s="50"/>
      <c r="N507" s="50"/>
      <c r="O507" s="50"/>
      <c r="P507" s="50"/>
      <c r="Q507" s="50"/>
      <c r="R507" s="50"/>
      <c r="S507" s="50"/>
      <c r="T507" s="50"/>
      <c r="U507" s="50"/>
      <c r="V507" s="50"/>
      <c r="W507" s="50"/>
      <c r="X507" s="50"/>
      <c r="Y507" s="50"/>
      <c r="Z507" s="50"/>
      <c r="AA507" s="50"/>
      <c r="AB507" s="50"/>
      <c r="AC507" s="50"/>
      <c r="AD507" s="50"/>
    </row>
    <row r="508">
      <c r="A508" s="49"/>
      <c r="B508" s="49"/>
      <c r="C508" s="49"/>
      <c r="D508" s="49"/>
      <c r="E508" s="50"/>
      <c r="F508" s="50"/>
      <c r="G508" s="50"/>
      <c r="H508" s="50"/>
      <c r="I508" s="50"/>
      <c r="J508" s="50"/>
      <c r="K508" s="50"/>
      <c r="L508" s="50"/>
      <c r="M508" s="50"/>
      <c r="N508" s="50"/>
      <c r="O508" s="50"/>
      <c r="P508" s="50"/>
      <c r="Q508" s="50"/>
      <c r="R508" s="50"/>
      <c r="S508" s="50"/>
      <c r="T508" s="50"/>
      <c r="U508" s="50"/>
      <c r="V508" s="50"/>
      <c r="W508" s="50"/>
      <c r="X508" s="50"/>
      <c r="Y508" s="50"/>
      <c r="Z508" s="50"/>
      <c r="AA508" s="50"/>
      <c r="AB508" s="50"/>
      <c r="AC508" s="50"/>
      <c r="AD508" s="50"/>
    </row>
    <row r="509">
      <c r="A509" s="49"/>
      <c r="B509" s="49"/>
      <c r="C509" s="49"/>
      <c r="D509" s="49"/>
      <c r="E509" s="50"/>
      <c r="F509" s="50"/>
      <c r="G509" s="50"/>
      <c r="H509" s="50"/>
      <c r="I509" s="50"/>
      <c r="J509" s="50"/>
      <c r="K509" s="50"/>
      <c r="L509" s="50"/>
      <c r="M509" s="50"/>
      <c r="N509" s="50"/>
      <c r="O509" s="50"/>
      <c r="P509" s="50"/>
      <c r="Q509" s="50"/>
      <c r="R509" s="50"/>
      <c r="S509" s="50"/>
      <c r="T509" s="50"/>
      <c r="U509" s="50"/>
      <c r="V509" s="50"/>
      <c r="W509" s="50"/>
      <c r="X509" s="50"/>
      <c r="Y509" s="50"/>
      <c r="Z509" s="50"/>
      <c r="AA509" s="50"/>
      <c r="AB509" s="50"/>
      <c r="AC509" s="50"/>
      <c r="AD509" s="50"/>
    </row>
    <row r="510">
      <c r="A510" s="49"/>
      <c r="B510" s="49"/>
      <c r="C510" s="49"/>
      <c r="D510" s="49"/>
      <c r="E510" s="50"/>
      <c r="F510" s="50"/>
      <c r="G510" s="50"/>
      <c r="H510" s="50"/>
      <c r="I510" s="50"/>
      <c r="J510" s="50"/>
      <c r="K510" s="50"/>
      <c r="L510" s="50"/>
      <c r="M510" s="50"/>
      <c r="N510" s="50"/>
      <c r="O510" s="50"/>
      <c r="P510" s="50"/>
      <c r="Q510" s="50"/>
      <c r="R510" s="50"/>
      <c r="S510" s="50"/>
      <c r="T510" s="50"/>
      <c r="U510" s="50"/>
      <c r="V510" s="50"/>
      <c r="W510" s="50"/>
      <c r="X510" s="50"/>
      <c r="Y510" s="50"/>
      <c r="Z510" s="50"/>
      <c r="AA510" s="50"/>
      <c r="AB510" s="50"/>
      <c r="AC510" s="50"/>
      <c r="AD510" s="50"/>
    </row>
    <row r="511">
      <c r="A511" s="49"/>
      <c r="B511" s="49"/>
      <c r="C511" s="49"/>
      <c r="D511" s="49"/>
      <c r="E511" s="50"/>
      <c r="F511" s="50"/>
      <c r="G511" s="50"/>
      <c r="H511" s="50"/>
      <c r="I511" s="50"/>
      <c r="J511" s="50"/>
      <c r="K511" s="50"/>
      <c r="L511" s="50"/>
      <c r="M511" s="50"/>
      <c r="N511" s="50"/>
      <c r="O511" s="50"/>
      <c r="P511" s="50"/>
      <c r="Q511" s="50"/>
      <c r="R511" s="50"/>
      <c r="S511" s="50"/>
      <c r="T511" s="50"/>
      <c r="U511" s="50"/>
      <c r="V511" s="50"/>
      <c r="W511" s="50"/>
      <c r="X511" s="50"/>
      <c r="Y511" s="50"/>
      <c r="Z511" s="50"/>
      <c r="AA511" s="50"/>
      <c r="AB511" s="50"/>
      <c r="AC511" s="50"/>
      <c r="AD511" s="50"/>
    </row>
    <row r="512">
      <c r="A512" s="49"/>
      <c r="B512" s="49"/>
      <c r="C512" s="49"/>
      <c r="D512" s="49"/>
      <c r="E512" s="50"/>
      <c r="F512" s="50"/>
      <c r="G512" s="50"/>
      <c r="H512" s="50"/>
      <c r="I512" s="50"/>
      <c r="J512" s="50"/>
      <c r="K512" s="50"/>
      <c r="L512" s="50"/>
      <c r="M512" s="50"/>
      <c r="N512" s="50"/>
      <c r="O512" s="50"/>
      <c r="P512" s="50"/>
      <c r="Q512" s="50"/>
      <c r="R512" s="50"/>
      <c r="S512" s="50"/>
      <c r="T512" s="50"/>
      <c r="U512" s="50"/>
      <c r="V512" s="50"/>
      <c r="W512" s="50"/>
      <c r="X512" s="50"/>
      <c r="Y512" s="50"/>
      <c r="Z512" s="50"/>
      <c r="AA512" s="50"/>
      <c r="AB512" s="50"/>
      <c r="AC512" s="50"/>
      <c r="AD512" s="50"/>
    </row>
    <row r="513">
      <c r="A513" s="49"/>
      <c r="B513" s="49"/>
      <c r="C513" s="49"/>
      <c r="D513" s="49"/>
      <c r="E513" s="50"/>
      <c r="F513" s="50"/>
      <c r="G513" s="50"/>
      <c r="H513" s="50"/>
      <c r="I513" s="50"/>
      <c r="J513" s="50"/>
      <c r="K513" s="50"/>
      <c r="L513" s="50"/>
      <c r="M513" s="50"/>
      <c r="N513" s="50"/>
      <c r="O513" s="50"/>
      <c r="P513" s="50"/>
      <c r="Q513" s="50"/>
      <c r="R513" s="50"/>
      <c r="S513" s="50"/>
      <c r="T513" s="50"/>
      <c r="U513" s="50"/>
      <c r="V513" s="50"/>
      <c r="W513" s="50"/>
      <c r="X513" s="50"/>
      <c r="Y513" s="50"/>
      <c r="Z513" s="50"/>
      <c r="AA513" s="50"/>
      <c r="AB513" s="50"/>
      <c r="AC513" s="50"/>
      <c r="AD513" s="50"/>
    </row>
    <row r="514">
      <c r="A514" s="49"/>
      <c r="B514" s="49"/>
      <c r="C514" s="49"/>
      <c r="D514" s="49"/>
      <c r="E514" s="50"/>
      <c r="F514" s="50"/>
      <c r="G514" s="50"/>
      <c r="H514" s="50"/>
      <c r="I514" s="50"/>
      <c r="J514" s="50"/>
      <c r="K514" s="50"/>
      <c r="L514" s="50"/>
      <c r="M514" s="50"/>
      <c r="N514" s="50"/>
      <c r="O514" s="50"/>
      <c r="P514" s="50"/>
      <c r="Q514" s="50"/>
      <c r="R514" s="50"/>
      <c r="S514" s="50"/>
      <c r="T514" s="50"/>
      <c r="U514" s="50"/>
      <c r="V514" s="50"/>
      <c r="W514" s="50"/>
      <c r="X514" s="50"/>
      <c r="Y514" s="50"/>
      <c r="Z514" s="50"/>
      <c r="AA514" s="50"/>
      <c r="AB514" s="50"/>
      <c r="AC514" s="50"/>
      <c r="AD514" s="50"/>
    </row>
    <row r="515">
      <c r="A515" s="49"/>
      <c r="B515" s="49"/>
      <c r="C515" s="49"/>
      <c r="D515" s="49"/>
      <c r="E515" s="50"/>
      <c r="F515" s="50"/>
      <c r="G515" s="50"/>
      <c r="H515" s="50"/>
      <c r="I515" s="50"/>
      <c r="J515" s="50"/>
      <c r="K515" s="50"/>
      <c r="L515" s="50"/>
      <c r="M515" s="50"/>
      <c r="N515" s="50"/>
      <c r="O515" s="50"/>
      <c r="P515" s="50"/>
      <c r="Q515" s="50"/>
      <c r="R515" s="50"/>
      <c r="S515" s="50"/>
      <c r="T515" s="50"/>
      <c r="U515" s="50"/>
      <c r="V515" s="50"/>
      <c r="W515" s="50"/>
      <c r="X515" s="50"/>
      <c r="Y515" s="50"/>
      <c r="Z515" s="50"/>
      <c r="AA515" s="50"/>
      <c r="AB515" s="50"/>
      <c r="AC515" s="50"/>
      <c r="AD515" s="50"/>
    </row>
    <row r="516">
      <c r="A516" s="49"/>
      <c r="B516" s="49"/>
      <c r="C516" s="49"/>
      <c r="D516" s="49"/>
      <c r="E516" s="50"/>
      <c r="F516" s="50"/>
      <c r="G516" s="50"/>
      <c r="H516" s="50"/>
      <c r="I516" s="50"/>
      <c r="J516" s="50"/>
      <c r="K516" s="50"/>
      <c r="L516" s="50"/>
      <c r="M516" s="50"/>
      <c r="N516" s="50"/>
      <c r="O516" s="50"/>
      <c r="P516" s="50"/>
      <c r="Q516" s="50"/>
      <c r="R516" s="50"/>
      <c r="S516" s="50"/>
      <c r="T516" s="50"/>
      <c r="U516" s="50"/>
      <c r="V516" s="50"/>
      <c r="W516" s="50"/>
      <c r="X516" s="50"/>
      <c r="Y516" s="50"/>
      <c r="Z516" s="50"/>
      <c r="AA516" s="50"/>
      <c r="AB516" s="50"/>
      <c r="AC516" s="50"/>
      <c r="AD516" s="50"/>
    </row>
    <row r="517">
      <c r="A517" s="49"/>
      <c r="B517" s="49"/>
      <c r="C517" s="49"/>
      <c r="D517" s="49"/>
      <c r="E517" s="50"/>
      <c r="F517" s="50"/>
      <c r="G517" s="50"/>
      <c r="H517" s="50"/>
      <c r="I517" s="50"/>
      <c r="J517" s="50"/>
      <c r="K517" s="50"/>
      <c r="L517" s="50"/>
      <c r="M517" s="50"/>
      <c r="N517" s="50"/>
      <c r="O517" s="50"/>
      <c r="P517" s="50"/>
      <c r="Q517" s="50"/>
      <c r="R517" s="50"/>
      <c r="S517" s="50"/>
      <c r="T517" s="50"/>
      <c r="U517" s="50"/>
      <c r="V517" s="50"/>
      <c r="W517" s="50"/>
      <c r="X517" s="50"/>
      <c r="Y517" s="50"/>
      <c r="Z517" s="50"/>
      <c r="AA517" s="50"/>
      <c r="AB517" s="50"/>
      <c r="AC517" s="50"/>
      <c r="AD517" s="50"/>
    </row>
    <row r="518">
      <c r="A518" s="49"/>
      <c r="B518" s="49"/>
      <c r="C518" s="49"/>
      <c r="D518" s="49"/>
      <c r="E518" s="50"/>
      <c r="F518" s="50"/>
      <c r="G518" s="50"/>
      <c r="H518" s="50"/>
      <c r="I518" s="50"/>
      <c r="J518" s="50"/>
      <c r="K518" s="50"/>
      <c r="L518" s="50"/>
      <c r="M518" s="50"/>
      <c r="N518" s="50"/>
      <c r="O518" s="50"/>
      <c r="P518" s="50"/>
      <c r="Q518" s="50"/>
      <c r="R518" s="50"/>
      <c r="S518" s="50"/>
      <c r="T518" s="50"/>
      <c r="U518" s="50"/>
      <c r="V518" s="50"/>
      <c r="W518" s="50"/>
      <c r="X518" s="50"/>
      <c r="Y518" s="50"/>
      <c r="Z518" s="50"/>
      <c r="AA518" s="50"/>
      <c r="AB518" s="50"/>
      <c r="AC518" s="50"/>
      <c r="AD518" s="50"/>
    </row>
    <row r="519">
      <c r="A519" s="49"/>
      <c r="B519" s="49"/>
      <c r="C519" s="49"/>
      <c r="D519" s="49"/>
      <c r="E519" s="50"/>
      <c r="F519" s="50"/>
      <c r="G519" s="50"/>
      <c r="H519" s="50"/>
      <c r="I519" s="50"/>
      <c r="J519" s="50"/>
      <c r="K519" s="50"/>
      <c r="L519" s="50"/>
      <c r="M519" s="50"/>
      <c r="N519" s="50"/>
      <c r="O519" s="50"/>
      <c r="P519" s="50"/>
      <c r="Q519" s="50"/>
      <c r="R519" s="50"/>
      <c r="S519" s="50"/>
      <c r="T519" s="50"/>
      <c r="U519" s="50"/>
      <c r="V519" s="50"/>
      <c r="W519" s="50"/>
      <c r="X519" s="50"/>
      <c r="Y519" s="50"/>
      <c r="Z519" s="50"/>
      <c r="AA519" s="50"/>
      <c r="AB519" s="50"/>
      <c r="AC519" s="50"/>
      <c r="AD519" s="50"/>
    </row>
    <row r="520">
      <c r="A520" s="49"/>
      <c r="B520" s="49"/>
      <c r="C520" s="49"/>
      <c r="D520" s="49"/>
      <c r="E520" s="50"/>
      <c r="F520" s="50"/>
      <c r="G520" s="50"/>
      <c r="H520" s="50"/>
      <c r="I520" s="50"/>
      <c r="J520" s="50"/>
      <c r="K520" s="50"/>
      <c r="L520" s="50"/>
      <c r="M520" s="50"/>
      <c r="N520" s="50"/>
      <c r="O520" s="50"/>
      <c r="P520" s="50"/>
      <c r="Q520" s="50"/>
      <c r="R520" s="50"/>
      <c r="S520" s="50"/>
      <c r="T520" s="50"/>
      <c r="U520" s="50"/>
      <c r="V520" s="50"/>
      <c r="W520" s="50"/>
      <c r="X520" s="50"/>
      <c r="Y520" s="50"/>
      <c r="Z520" s="50"/>
      <c r="AA520" s="50"/>
      <c r="AB520" s="50"/>
      <c r="AC520" s="50"/>
      <c r="AD520" s="50"/>
    </row>
    <row r="521">
      <c r="A521" s="49"/>
      <c r="B521" s="49"/>
      <c r="C521" s="49"/>
      <c r="D521" s="49"/>
      <c r="E521" s="50"/>
      <c r="F521" s="50"/>
      <c r="G521" s="50"/>
      <c r="H521" s="50"/>
      <c r="I521" s="50"/>
      <c r="J521" s="50"/>
      <c r="K521" s="50"/>
      <c r="L521" s="50"/>
      <c r="M521" s="50"/>
      <c r="N521" s="50"/>
      <c r="O521" s="50"/>
      <c r="P521" s="50"/>
      <c r="Q521" s="50"/>
      <c r="R521" s="50"/>
      <c r="S521" s="50"/>
      <c r="T521" s="50"/>
      <c r="U521" s="50"/>
      <c r="V521" s="50"/>
      <c r="W521" s="50"/>
      <c r="X521" s="50"/>
      <c r="Y521" s="50"/>
      <c r="Z521" s="50"/>
      <c r="AA521" s="50"/>
      <c r="AB521" s="50"/>
      <c r="AC521" s="50"/>
      <c r="AD521" s="50"/>
    </row>
    <row r="522">
      <c r="A522" s="49"/>
      <c r="B522" s="49"/>
      <c r="C522" s="49"/>
      <c r="D522" s="49"/>
      <c r="E522" s="50"/>
      <c r="F522" s="50"/>
      <c r="G522" s="50"/>
      <c r="H522" s="50"/>
      <c r="I522" s="50"/>
      <c r="J522" s="50"/>
      <c r="K522" s="50"/>
      <c r="L522" s="50"/>
      <c r="M522" s="50"/>
      <c r="N522" s="50"/>
      <c r="O522" s="50"/>
      <c r="P522" s="50"/>
      <c r="Q522" s="50"/>
      <c r="R522" s="50"/>
      <c r="S522" s="50"/>
      <c r="T522" s="50"/>
      <c r="U522" s="50"/>
      <c r="V522" s="50"/>
      <c r="W522" s="50"/>
      <c r="X522" s="50"/>
      <c r="Y522" s="50"/>
      <c r="Z522" s="50"/>
      <c r="AA522" s="50"/>
      <c r="AB522" s="50"/>
      <c r="AC522" s="50"/>
      <c r="AD522" s="50"/>
    </row>
    <row r="523">
      <c r="A523" s="49"/>
      <c r="B523" s="49"/>
      <c r="C523" s="49"/>
      <c r="D523" s="49"/>
      <c r="E523" s="50"/>
      <c r="F523" s="50"/>
      <c r="G523" s="50"/>
      <c r="H523" s="50"/>
      <c r="I523" s="50"/>
      <c r="J523" s="50"/>
      <c r="K523" s="50"/>
      <c r="L523" s="50"/>
      <c r="M523" s="50"/>
      <c r="N523" s="50"/>
      <c r="O523" s="50"/>
      <c r="P523" s="50"/>
      <c r="Q523" s="50"/>
      <c r="R523" s="50"/>
      <c r="S523" s="50"/>
      <c r="T523" s="50"/>
      <c r="U523" s="50"/>
      <c r="V523" s="50"/>
      <c r="W523" s="50"/>
      <c r="X523" s="50"/>
      <c r="Y523" s="50"/>
      <c r="Z523" s="50"/>
      <c r="AA523" s="50"/>
      <c r="AB523" s="50"/>
      <c r="AC523" s="50"/>
      <c r="AD523" s="50"/>
    </row>
    <row r="524">
      <c r="A524" s="49"/>
      <c r="B524" s="49"/>
      <c r="C524" s="49"/>
      <c r="D524" s="49"/>
      <c r="E524" s="50"/>
      <c r="F524" s="50"/>
      <c r="G524" s="50"/>
      <c r="H524" s="50"/>
      <c r="I524" s="50"/>
      <c r="J524" s="50"/>
      <c r="K524" s="50"/>
      <c r="L524" s="50"/>
      <c r="M524" s="50"/>
      <c r="N524" s="50"/>
      <c r="O524" s="50"/>
      <c r="P524" s="50"/>
      <c r="Q524" s="50"/>
      <c r="R524" s="50"/>
      <c r="S524" s="50"/>
      <c r="T524" s="50"/>
      <c r="U524" s="50"/>
      <c r="V524" s="50"/>
      <c r="W524" s="50"/>
      <c r="X524" s="50"/>
      <c r="Y524" s="50"/>
      <c r="Z524" s="50"/>
      <c r="AA524" s="50"/>
      <c r="AB524" s="50"/>
      <c r="AC524" s="50"/>
      <c r="AD524" s="50"/>
    </row>
    <row r="525">
      <c r="A525" s="49"/>
      <c r="B525" s="49"/>
      <c r="C525" s="49"/>
      <c r="D525" s="49"/>
      <c r="E525" s="50"/>
      <c r="F525" s="50"/>
      <c r="G525" s="50"/>
      <c r="H525" s="50"/>
      <c r="I525" s="50"/>
      <c r="J525" s="50"/>
      <c r="K525" s="50"/>
      <c r="L525" s="50"/>
      <c r="M525" s="50"/>
      <c r="N525" s="50"/>
      <c r="O525" s="50"/>
      <c r="P525" s="50"/>
      <c r="Q525" s="50"/>
      <c r="R525" s="50"/>
      <c r="S525" s="50"/>
      <c r="T525" s="50"/>
      <c r="U525" s="50"/>
      <c r="V525" s="50"/>
      <c r="W525" s="50"/>
      <c r="X525" s="50"/>
      <c r="Y525" s="50"/>
      <c r="Z525" s="50"/>
      <c r="AA525" s="50"/>
      <c r="AB525" s="50"/>
      <c r="AC525" s="50"/>
      <c r="AD525" s="50"/>
    </row>
    <row r="526">
      <c r="A526" s="49"/>
      <c r="B526" s="49"/>
      <c r="C526" s="49"/>
      <c r="D526" s="49"/>
      <c r="E526" s="50"/>
      <c r="F526" s="50"/>
      <c r="G526" s="50"/>
      <c r="H526" s="50"/>
      <c r="I526" s="50"/>
      <c r="J526" s="50"/>
      <c r="K526" s="50"/>
      <c r="L526" s="50"/>
      <c r="M526" s="50"/>
      <c r="N526" s="50"/>
      <c r="O526" s="50"/>
      <c r="P526" s="50"/>
      <c r="Q526" s="50"/>
      <c r="R526" s="50"/>
      <c r="S526" s="50"/>
      <c r="T526" s="50"/>
      <c r="U526" s="50"/>
      <c r="V526" s="50"/>
      <c r="W526" s="50"/>
      <c r="X526" s="50"/>
      <c r="Y526" s="50"/>
      <c r="Z526" s="50"/>
      <c r="AA526" s="50"/>
      <c r="AB526" s="50"/>
      <c r="AC526" s="50"/>
      <c r="AD526" s="50"/>
    </row>
    <row r="527">
      <c r="A527" s="49"/>
      <c r="B527" s="49"/>
      <c r="C527" s="49"/>
      <c r="D527" s="49"/>
      <c r="E527" s="50"/>
      <c r="F527" s="50"/>
      <c r="G527" s="50"/>
      <c r="H527" s="50"/>
      <c r="I527" s="50"/>
      <c r="J527" s="50"/>
      <c r="K527" s="50"/>
      <c r="L527" s="50"/>
      <c r="M527" s="50"/>
      <c r="N527" s="50"/>
      <c r="O527" s="50"/>
      <c r="P527" s="50"/>
      <c r="Q527" s="50"/>
      <c r="R527" s="50"/>
      <c r="S527" s="50"/>
      <c r="T527" s="50"/>
      <c r="U527" s="50"/>
      <c r="V527" s="50"/>
      <c r="W527" s="50"/>
      <c r="X527" s="50"/>
      <c r="Y527" s="50"/>
      <c r="Z527" s="50"/>
      <c r="AA527" s="50"/>
      <c r="AB527" s="50"/>
      <c r="AC527" s="50"/>
      <c r="AD527" s="50"/>
    </row>
    <row r="528">
      <c r="A528" s="49"/>
      <c r="B528" s="49"/>
      <c r="C528" s="49"/>
      <c r="D528" s="49"/>
      <c r="E528" s="50"/>
      <c r="F528" s="50"/>
      <c r="G528" s="50"/>
      <c r="H528" s="50"/>
      <c r="I528" s="50"/>
      <c r="J528" s="50"/>
      <c r="K528" s="50"/>
      <c r="L528" s="50"/>
      <c r="M528" s="50"/>
      <c r="N528" s="50"/>
      <c r="O528" s="50"/>
      <c r="P528" s="50"/>
      <c r="Q528" s="50"/>
      <c r="R528" s="50"/>
      <c r="S528" s="50"/>
      <c r="T528" s="50"/>
      <c r="U528" s="50"/>
      <c r="V528" s="50"/>
      <c r="W528" s="50"/>
      <c r="X528" s="50"/>
      <c r="Y528" s="50"/>
      <c r="Z528" s="50"/>
      <c r="AA528" s="50"/>
      <c r="AB528" s="50"/>
      <c r="AC528" s="50"/>
      <c r="AD528" s="50"/>
    </row>
    <row r="529">
      <c r="A529" s="49"/>
      <c r="B529" s="49"/>
      <c r="C529" s="49"/>
      <c r="D529" s="49"/>
      <c r="E529" s="50"/>
      <c r="F529" s="50"/>
      <c r="G529" s="50"/>
      <c r="H529" s="50"/>
      <c r="I529" s="50"/>
      <c r="J529" s="50"/>
      <c r="K529" s="50"/>
      <c r="L529" s="50"/>
      <c r="M529" s="50"/>
      <c r="N529" s="50"/>
      <c r="O529" s="50"/>
      <c r="P529" s="50"/>
      <c r="Q529" s="50"/>
      <c r="R529" s="50"/>
      <c r="S529" s="50"/>
      <c r="T529" s="50"/>
      <c r="U529" s="50"/>
      <c r="V529" s="50"/>
      <c r="W529" s="50"/>
      <c r="X529" s="50"/>
      <c r="Y529" s="50"/>
      <c r="Z529" s="50"/>
      <c r="AA529" s="50"/>
      <c r="AB529" s="50"/>
      <c r="AC529" s="50"/>
      <c r="AD529" s="50"/>
    </row>
    <row r="530">
      <c r="A530" s="49"/>
      <c r="B530" s="49"/>
      <c r="C530" s="49"/>
      <c r="D530" s="49"/>
      <c r="E530" s="50"/>
      <c r="F530" s="50"/>
      <c r="G530" s="50"/>
      <c r="H530" s="50"/>
      <c r="I530" s="50"/>
      <c r="J530" s="50"/>
      <c r="K530" s="50"/>
      <c r="L530" s="50"/>
      <c r="M530" s="50"/>
      <c r="N530" s="50"/>
      <c r="O530" s="50"/>
      <c r="P530" s="50"/>
      <c r="Q530" s="50"/>
      <c r="R530" s="50"/>
      <c r="S530" s="50"/>
      <c r="T530" s="50"/>
      <c r="U530" s="50"/>
      <c r="V530" s="50"/>
      <c r="W530" s="50"/>
      <c r="X530" s="50"/>
      <c r="Y530" s="50"/>
      <c r="Z530" s="50"/>
      <c r="AA530" s="50"/>
      <c r="AB530" s="50"/>
      <c r="AC530" s="50"/>
      <c r="AD530" s="50"/>
    </row>
    <row r="531">
      <c r="A531" s="49"/>
      <c r="B531" s="49"/>
      <c r="C531" s="49"/>
      <c r="D531" s="49"/>
      <c r="E531" s="50"/>
      <c r="F531" s="50"/>
      <c r="G531" s="50"/>
      <c r="H531" s="50"/>
      <c r="I531" s="50"/>
      <c r="J531" s="50"/>
      <c r="K531" s="50"/>
      <c r="L531" s="50"/>
      <c r="M531" s="50"/>
      <c r="N531" s="50"/>
      <c r="O531" s="50"/>
      <c r="P531" s="50"/>
      <c r="Q531" s="50"/>
      <c r="R531" s="50"/>
      <c r="S531" s="50"/>
      <c r="T531" s="50"/>
      <c r="U531" s="50"/>
      <c r="V531" s="50"/>
      <c r="W531" s="50"/>
      <c r="X531" s="50"/>
      <c r="Y531" s="50"/>
      <c r="Z531" s="50"/>
      <c r="AA531" s="50"/>
      <c r="AB531" s="50"/>
      <c r="AC531" s="50"/>
      <c r="AD531" s="50"/>
    </row>
    <row r="532">
      <c r="A532" s="49"/>
      <c r="B532" s="49"/>
      <c r="C532" s="49"/>
      <c r="D532" s="49"/>
      <c r="E532" s="50"/>
      <c r="F532" s="50"/>
      <c r="G532" s="50"/>
      <c r="H532" s="50"/>
      <c r="I532" s="50"/>
      <c r="J532" s="50"/>
      <c r="K532" s="50"/>
      <c r="L532" s="50"/>
      <c r="M532" s="50"/>
      <c r="N532" s="50"/>
      <c r="O532" s="50"/>
      <c r="P532" s="50"/>
      <c r="Q532" s="50"/>
      <c r="R532" s="50"/>
      <c r="S532" s="50"/>
      <c r="T532" s="50"/>
      <c r="U532" s="50"/>
      <c r="V532" s="50"/>
      <c r="W532" s="50"/>
      <c r="X532" s="50"/>
      <c r="Y532" s="50"/>
      <c r="Z532" s="50"/>
      <c r="AA532" s="50"/>
      <c r="AB532" s="50"/>
      <c r="AC532" s="50"/>
      <c r="AD532" s="50"/>
    </row>
    <row r="533">
      <c r="A533" s="49"/>
      <c r="B533" s="49"/>
      <c r="C533" s="49"/>
      <c r="D533" s="49"/>
      <c r="E533" s="50"/>
      <c r="F533" s="50"/>
      <c r="G533" s="50"/>
      <c r="H533" s="50"/>
      <c r="I533" s="50"/>
      <c r="J533" s="50"/>
      <c r="K533" s="50"/>
      <c r="L533" s="50"/>
      <c r="M533" s="50"/>
      <c r="N533" s="50"/>
      <c r="O533" s="50"/>
      <c r="P533" s="50"/>
      <c r="Q533" s="50"/>
      <c r="R533" s="50"/>
      <c r="S533" s="50"/>
      <c r="T533" s="50"/>
      <c r="U533" s="50"/>
      <c r="V533" s="50"/>
      <c r="W533" s="50"/>
      <c r="X533" s="50"/>
      <c r="Y533" s="50"/>
      <c r="Z533" s="50"/>
      <c r="AA533" s="50"/>
      <c r="AB533" s="50"/>
      <c r="AC533" s="50"/>
      <c r="AD533" s="50"/>
    </row>
    <row r="534">
      <c r="A534" s="49"/>
      <c r="B534" s="49"/>
      <c r="C534" s="49"/>
      <c r="D534" s="49"/>
      <c r="E534" s="50"/>
      <c r="F534" s="50"/>
      <c r="G534" s="50"/>
      <c r="H534" s="50"/>
      <c r="I534" s="50"/>
      <c r="J534" s="50"/>
      <c r="K534" s="50"/>
      <c r="L534" s="50"/>
      <c r="M534" s="50"/>
      <c r="N534" s="50"/>
      <c r="O534" s="50"/>
      <c r="P534" s="50"/>
      <c r="Q534" s="50"/>
      <c r="R534" s="50"/>
      <c r="S534" s="50"/>
      <c r="T534" s="50"/>
      <c r="U534" s="50"/>
      <c r="V534" s="50"/>
      <c r="W534" s="50"/>
      <c r="X534" s="50"/>
      <c r="Y534" s="50"/>
      <c r="Z534" s="50"/>
      <c r="AA534" s="50"/>
      <c r="AB534" s="50"/>
      <c r="AC534" s="50"/>
      <c r="AD534" s="50"/>
    </row>
    <row r="535">
      <c r="A535" s="49"/>
      <c r="B535" s="49"/>
      <c r="C535" s="49"/>
      <c r="D535" s="49"/>
      <c r="E535" s="50"/>
      <c r="F535" s="50"/>
      <c r="G535" s="50"/>
      <c r="H535" s="50"/>
      <c r="I535" s="50"/>
      <c r="J535" s="50"/>
      <c r="K535" s="50"/>
      <c r="L535" s="50"/>
      <c r="M535" s="50"/>
      <c r="N535" s="50"/>
      <c r="O535" s="50"/>
      <c r="P535" s="50"/>
      <c r="Q535" s="50"/>
      <c r="R535" s="50"/>
      <c r="S535" s="50"/>
      <c r="T535" s="50"/>
      <c r="U535" s="50"/>
      <c r="V535" s="50"/>
      <c r="W535" s="50"/>
      <c r="X535" s="50"/>
      <c r="Y535" s="50"/>
      <c r="Z535" s="50"/>
      <c r="AA535" s="50"/>
      <c r="AB535" s="50"/>
      <c r="AC535" s="50"/>
      <c r="AD535" s="50"/>
    </row>
    <row r="536">
      <c r="A536" s="49"/>
      <c r="B536" s="49"/>
      <c r="C536" s="49"/>
      <c r="D536" s="49"/>
      <c r="E536" s="50"/>
      <c r="F536" s="50"/>
      <c r="G536" s="50"/>
      <c r="H536" s="50"/>
      <c r="I536" s="50"/>
      <c r="J536" s="50"/>
      <c r="K536" s="50"/>
      <c r="L536" s="50"/>
      <c r="M536" s="50"/>
      <c r="N536" s="50"/>
      <c r="O536" s="50"/>
      <c r="P536" s="50"/>
      <c r="Q536" s="50"/>
      <c r="R536" s="50"/>
      <c r="S536" s="50"/>
      <c r="T536" s="50"/>
      <c r="U536" s="50"/>
      <c r="V536" s="50"/>
      <c r="W536" s="50"/>
      <c r="X536" s="50"/>
      <c r="Y536" s="50"/>
      <c r="Z536" s="50"/>
      <c r="AA536" s="50"/>
      <c r="AB536" s="50"/>
      <c r="AC536" s="50"/>
      <c r="AD536" s="50"/>
    </row>
    <row r="537">
      <c r="A537" s="49"/>
      <c r="B537" s="49"/>
      <c r="C537" s="49"/>
      <c r="D537" s="49"/>
      <c r="E537" s="50"/>
      <c r="F537" s="50"/>
      <c r="G537" s="50"/>
      <c r="H537" s="50"/>
      <c r="I537" s="50"/>
      <c r="J537" s="50"/>
      <c r="K537" s="50"/>
      <c r="L537" s="50"/>
      <c r="M537" s="50"/>
      <c r="N537" s="50"/>
      <c r="O537" s="50"/>
      <c r="P537" s="50"/>
      <c r="Q537" s="50"/>
      <c r="R537" s="50"/>
      <c r="S537" s="50"/>
      <c r="T537" s="50"/>
      <c r="U537" s="50"/>
      <c r="V537" s="50"/>
      <c r="W537" s="50"/>
      <c r="X537" s="50"/>
      <c r="Y537" s="50"/>
      <c r="Z537" s="50"/>
      <c r="AA537" s="50"/>
      <c r="AB537" s="50"/>
      <c r="AC537" s="50"/>
      <c r="AD537" s="50"/>
    </row>
    <row r="538">
      <c r="A538" s="49"/>
      <c r="B538" s="49"/>
      <c r="C538" s="49"/>
      <c r="D538" s="49"/>
      <c r="E538" s="50"/>
      <c r="F538" s="50"/>
      <c r="G538" s="50"/>
      <c r="H538" s="50"/>
      <c r="I538" s="50"/>
      <c r="J538" s="50"/>
      <c r="K538" s="50"/>
      <c r="L538" s="50"/>
      <c r="M538" s="50"/>
      <c r="N538" s="50"/>
      <c r="O538" s="50"/>
      <c r="P538" s="50"/>
      <c r="Q538" s="50"/>
      <c r="R538" s="50"/>
      <c r="S538" s="50"/>
      <c r="T538" s="50"/>
      <c r="U538" s="50"/>
      <c r="V538" s="50"/>
      <c r="W538" s="50"/>
      <c r="X538" s="50"/>
      <c r="Y538" s="50"/>
      <c r="Z538" s="50"/>
      <c r="AA538" s="50"/>
      <c r="AB538" s="50"/>
      <c r="AC538" s="50"/>
      <c r="AD538" s="50"/>
    </row>
    <row r="539">
      <c r="A539" s="49"/>
      <c r="B539" s="49"/>
      <c r="C539" s="49"/>
      <c r="D539" s="49"/>
      <c r="E539" s="50"/>
      <c r="F539" s="50"/>
      <c r="G539" s="50"/>
      <c r="H539" s="50"/>
      <c r="I539" s="50"/>
      <c r="J539" s="50"/>
      <c r="K539" s="50"/>
      <c r="L539" s="50"/>
      <c r="M539" s="50"/>
      <c r="N539" s="50"/>
      <c r="O539" s="50"/>
      <c r="P539" s="50"/>
      <c r="Q539" s="50"/>
      <c r="R539" s="50"/>
      <c r="S539" s="50"/>
      <c r="T539" s="50"/>
      <c r="U539" s="50"/>
      <c r="V539" s="50"/>
      <c r="W539" s="50"/>
      <c r="X539" s="50"/>
      <c r="Y539" s="50"/>
      <c r="Z539" s="50"/>
      <c r="AA539" s="50"/>
      <c r="AB539" s="50"/>
      <c r="AC539" s="50"/>
      <c r="AD539" s="50"/>
    </row>
    <row r="540">
      <c r="A540" s="49"/>
      <c r="B540" s="49"/>
      <c r="C540" s="49"/>
      <c r="D540" s="49"/>
      <c r="E540" s="50"/>
      <c r="F540" s="50"/>
      <c r="G540" s="50"/>
      <c r="H540" s="50"/>
      <c r="I540" s="50"/>
      <c r="J540" s="50"/>
      <c r="K540" s="50"/>
      <c r="L540" s="50"/>
      <c r="M540" s="50"/>
      <c r="N540" s="50"/>
      <c r="O540" s="50"/>
      <c r="P540" s="50"/>
      <c r="Q540" s="50"/>
      <c r="R540" s="50"/>
      <c r="S540" s="50"/>
      <c r="T540" s="50"/>
      <c r="U540" s="50"/>
      <c r="V540" s="50"/>
      <c r="W540" s="50"/>
      <c r="X540" s="50"/>
      <c r="Y540" s="50"/>
      <c r="Z540" s="50"/>
      <c r="AA540" s="50"/>
      <c r="AB540" s="50"/>
      <c r="AC540" s="50"/>
      <c r="AD540" s="50"/>
    </row>
    <row r="541">
      <c r="A541" s="49"/>
      <c r="B541" s="49"/>
      <c r="C541" s="49"/>
      <c r="D541" s="49"/>
      <c r="E541" s="50"/>
      <c r="F541" s="50"/>
      <c r="G541" s="50"/>
      <c r="H541" s="50"/>
      <c r="I541" s="50"/>
      <c r="J541" s="50"/>
      <c r="K541" s="50"/>
      <c r="L541" s="50"/>
      <c r="M541" s="50"/>
      <c r="N541" s="50"/>
      <c r="O541" s="50"/>
      <c r="P541" s="50"/>
      <c r="Q541" s="50"/>
      <c r="R541" s="50"/>
      <c r="S541" s="50"/>
      <c r="T541" s="50"/>
      <c r="U541" s="50"/>
      <c r="V541" s="50"/>
      <c r="W541" s="50"/>
      <c r="X541" s="50"/>
      <c r="Y541" s="50"/>
      <c r="Z541" s="50"/>
      <c r="AA541" s="50"/>
      <c r="AB541" s="50"/>
      <c r="AC541" s="50"/>
      <c r="AD541" s="50"/>
    </row>
    <row r="542">
      <c r="A542" s="49"/>
      <c r="B542" s="49"/>
      <c r="C542" s="49"/>
      <c r="D542" s="49"/>
      <c r="E542" s="50"/>
      <c r="F542" s="50"/>
      <c r="G542" s="50"/>
      <c r="H542" s="50"/>
      <c r="I542" s="50"/>
      <c r="J542" s="50"/>
      <c r="K542" s="50"/>
      <c r="L542" s="50"/>
      <c r="M542" s="50"/>
      <c r="N542" s="50"/>
      <c r="O542" s="50"/>
      <c r="P542" s="50"/>
      <c r="Q542" s="50"/>
      <c r="R542" s="50"/>
      <c r="S542" s="50"/>
      <c r="T542" s="50"/>
      <c r="U542" s="50"/>
      <c r="V542" s="50"/>
      <c r="W542" s="50"/>
      <c r="X542" s="50"/>
      <c r="Y542" s="50"/>
      <c r="Z542" s="50"/>
      <c r="AA542" s="50"/>
      <c r="AB542" s="50"/>
      <c r="AC542" s="50"/>
      <c r="AD542" s="50"/>
    </row>
    <row r="543">
      <c r="A543" s="49"/>
      <c r="B543" s="49"/>
      <c r="C543" s="49"/>
      <c r="D543" s="49"/>
      <c r="E543" s="50"/>
      <c r="F543" s="50"/>
      <c r="G543" s="50"/>
      <c r="H543" s="50"/>
      <c r="I543" s="50"/>
      <c r="J543" s="50"/>
      <c r="K543" s="50"/>
      <c r="L543" s="50"/>
      <c r="M543" s="50"/>
      <c r="N543" s="50"/>
      <c r="O543" s="50"/>
      <c r="P543" s="50"/>
      <c r="Q543" s="50"/>
      <c r="R543" s="50"/>
      <c r="S543" s="50"/>
      <c r="T543" s="50"/>
      <c r="U543" s="50"/>
      <c r="V543" s="50"/>
      <c r="W543" s="50"/>
      <c r="X543" s="50"/>
      <c r="Y543" s="50"/>
      <c r="Z543" s="50"/>
      <c r="AA543" s="50"/>
      <c r="AB543" s="50"/>
      <c r="AC543" s="50"/>
      <c r="AD543" s="50"/>
    </row>
    <row r="544">
      <c r="A544" s="49"/>
      <c r="B544" s="49"/>
      <c r="C544" s="49"/>
      <c r="D544" s="49"/>
      <c r="E544" s="50"/>
      <c r="F544" s="50"/>
      <c r="G544" s="50"/>
      <c r="H544" s="50"/>
      <c r="I544" s="50"/>
      <c r="J544" s="50"/>
      <c r="K544" s="50"/>
      <c r="L544" s="50"/>
      <c r="M544" s="50"/>
      <c r="N544" s="50"/>
      <c r="O544" s="50"/>
      <c r="P544" s="50"/>
      <c r="Q544" s="50"/>
      <c r="R544" s="50"/>
      <c r="S544" s="50"/>
      <c r="T544" s="50"/>
      <c r="U544" s="50"/>
      <c r="V544" s="50"/>
      <c r="W544" s="50"/>
      <c r="X544" s="50"/>
      <c r="Y544" s="50"/>
      <c r="Z544" s="50"/>
      <c r="AA544" s="50"/>
      <c r="AB544" s="50"/>
      <c r="AC544" s="50"/>
      <c r="AD544" s="50"/>
    </row>
    <row r="545">
      <c r="A545" s="49"/>
      <c r="B545" s="49"/>
      <c r="C545" s="49"/>
      <c r="D545" s="49"/>
      <c r="E545" s="50"/>
      <c r="F545" s="50"/>
      <c r="G545" s="50"/>
      <c r="H545" s="50"/>
      <c r="I545" s="50"/>
      <c r="J545" s="50"/>
      <c r="K545" s="50"/>
      <c r="L545" s="50"/>
      <c r="M545" s="50"/>
      <c r="N545" s="50"/>
      <c r="O545" s="50"/>
      <c r="P545" s="50"/>
      <c r="Q545" s="50"/>
      <c r="R545" s="50"/>
      <c r="S545" s="50"/>
      <c r="T545" s="50"/>
      <c r="U545" s="50"/>
      <c r="V545" s="50"/>
      <c r="W545" s="50"/>
      <c r="X545" s="50"/>
      <c r="Y545" s="50"/>
      <c r="Z545" s="50"/>
      <c r="AA545" s="50"/>
      <c r="AB545" s="50"/>
      <c r="AC545" s="50"/>
      <c r="AD545" s="50"/>
    </row>
    <row r="546">
      <c r="A546" s="49"/>
      <c r="B546" s="49"/>
      <c r="C546" s="49"/>
      <c r="D546" s="49"/>
      <c r="E546" s="50"/>
      <c r="F546" s="50"/>
      <c r="G546" s="50"/>
      <c r="H546" s="50"/>
      <c r="I546" s="50"/>
      <c r="J546" s="50"/>
      <c r="K546" s="50"/>
      <c r="L546" s="50"/>
      <c r="M546" s="50"/>
      <c r="N546" s="50"/>
      <c r="O546" s="50"/>
      <c r="P546" s="50"/>
      <c r="Q546" s="50"/>
      <c r="R546" s="50"/>
      <c r="S546" s="50"/>
      <c r="T546" s="50"/>
      <c r="U546" s="50"/>
      <c r="V546" s="50"/>
      <c r="W546" s="50"/>
      <c r="X546" s="50"/>
      <c r="Y546" s="50"/>
      <c r="Z546" s="50"/>
      <c r="AA546" s="50"/>
      <c r="AB546" s="50"/>
      <c r="AC546" s="50"/>
      <c r="AD546" s="50"/>
    </row>
    <row r="547">
      <c r="A547" s="49"/>
      <c r="B547" s="49"/>
      <c r="C547" s="49"/>
      <c r="D547" s="49"/>
      <c r="E547" s="50"/>
      <c r="F547" s="50"/>
      <c r="G547" s="50"/>
      <c r="H547" s="50"/>
      <c r="I547" s="50"/>
      <c r="J547" s="50"/>
      <c r="K547" s="50"/>
      <c r="L547" s="50"/>
      <c r="M547" s="50"/>
      <c r="N547" s="50"/>
      <c r="O547" s="50"/>
      <c r="P547" s="50"/>
      <c r="Q547" s="50"/>
      <c r="R547" s="50"/>
      <c r="S547" s="50"/>
      <c r="T547" s="50"/>
      <c r="U547" s="50"/>
      <c r="V547" s="50"/>
      <c r="W547" s="50"/>
      <c r="X547" s="50"/>
      <c r="Y547" s="50"/>
      <c r="Z547" s="50"/>
      <c r="AA547" s="50"/>
      <c r="AB547" s="50"/>
      <c r="AC547" s="50"/>
      <c r="AD547" s="50"/>
    </row>
    <row r="548">
      <c r="A548" s="49"/>
      <c r="B548" s="49"/>
      <c r="C548" s="49"/>
      <c r="D548" s="49"/>
      <c r="E548" s="50"/>
      <c r="F548" s="50"/>
      <c r="G548" s="50"/>
      <c r="H548" s="50"/>
      <c r="I548" s="50"/>
      <c r="J548" s="50"/>
      <c r="K548" s="50"/>
      <c r="L548" s="50"/>
      <c r="M548" s="50"/>
      <c r="N548" s="50"/>
      <c r="O548" s="50"/>
      <c r="P548" s="50"/>
      <c r="Q548" s="50"/>
      <c r="R548" s="50"/>
      <c r="S548" s="50"/>
      <c r="T548" s="50"/>
      <c r="U548" s="50"/>
      <c r="V548" s="50"/>
      <c r="W548" s="50"/>
      <c r="X548" s="50"/>
      <c r="Y548" s="50"/>
      <c r="Z548" s="50"/>
      <c r="AA548" s="50"/>
      <c r="AB548" s="50"/>
      <c r="AC548" s="50"/>
      <c r="AD548" s="50"/>
    </row>
    <row r="549">
      <c r="A549" s="49"/>
      <c r="B549" s="49"/>
      <c r="C549" s="49"/>
      <c r="D549" s="49"/>
      <c r="E549" s="50"/>
      <c r="F549" s="50"/>
      <c r="G549" s="50"/>
      <c r="H549" s="50"/>
      <c r="I549" s="50"/>
      <c r="J549" s="50"/>
      <c r="K549" s="50"/>
      <c r="L549" s="50"/>
      <c r="M549" s="50"/>
      <c r="N549" s="50"/>
      <c r="O549" s="50"/>
      <c r="P549" s="50"/>
      <c r="Q549" s="50"/>
      <c r="R549" s="50"/>
      <c r="S549" s="50"/>
      <c r="T549" s="50"/>
      <c r="U549" s="50"/>
      <c r="V549" s="50"/>
      <c r="W549" s="50"/>
      <c r="X549" s="50"/>
      <c r="Y549" s="50"/>
      <c r="Z549" s="50"/>
      <c r="AA549" s="50"/>
      <c r="AB549" s="50"/>
      <c r="AC549" s="50"/>
      <c r="AD549" s="50"/>
    </row>
    <row r="550">
      <c r="A550" s="49"/>
      <c r="B550" s="49"/>
      <c r="C550" s="49"/>
      <c r="D550" s="49"/>
      <c r="E550" s="50"/>
      <c r="F550" s="50"/>
      <c r="G550" s="50"/>
      <c r="H550" s="50"/>
      <c r="I550" s="50"/>
      <c r="J550" s="50"/>
      <c r="K550" s="50"/>
      <c r="L550" s="50"/>
      <c r="M550" s="50"/>
      <c r="N550" s="50"/>
      <c r="O550" s="50"/>
      <c r="P550" s="50"/>
      <c r="Q550" s="50"/>
      <c r="R550" s="50"/>
      <c r="S550" s="50"/>
      <c r="T550" s="50"/>
      <c r="U550" s="50"/>
      <c r="V550" s="50"/>
      <c r="W550" s="50"/>
      <c r="X550" s="50"/>
      <c r="Y550" s="50"/>
      <c r="Z550" s="50"/>
      <c r="AA550" s="50"/>
      <c r="AB550" s="50"/>
      <c r="AC550" s="50"/>
      <c r="AD550" s="50"/>
    </row>
    <row r="551">
      <c r="A551" s="49"/>
      <c r="B551" s="49"/>
      <c r="C551" s="49"/>
      <c r="D551" s="49"/>
      <c r="E551" s="50"/>
      <c r="F551" s="50"/>
      <c r="G551" s="50"/>
      <c r="H551" s="50"/>
      <c r="I551" s="50"/>
      <c r="J551" s="50"/>
      <c r="K551" s="50"/>
      <c r="L551" s="50"/>
      <c r="M551" s="50"/>
      <c r="N551" s="50"/>
      <c r="O551" s="50"/>
      <c r="P551" s="50"/>
      <c r="Q551" s="50"/>
      <c r="R551" s="50"/>
      <c r="S551" s="50"/>
      <c r="T551" s="50"/>
      <c r="U551" s="50"/>
      <c r="V551" s="50"/>
      <c r="W551" s="50"/>
      <c r="X551" s="50"/>
      <c r="Y551" s="50"/>
      <c r="Z551" s="50"/>
      <c r="AA551" s="50"/>
      <c r="AB551" s="50"/>
      <c r="AC551" s="50"/>
      <c r="AD551" s="50"/>
    </row>
    <row r="552">
      <c r="A552" s="49"/>
      <c r="B552" s="49"/>
      <c r="C552" s="49"/>
      <c r="D552" s="49"/>
      <c r="E552" s="50"/>
      <c r="F552" s="50"/>
      <c r="G552" s="50"/>
      <c r="H552" s="50"/>
      <c r="I552" s="50"/>
      <c r="J552" s="50"/>
      <c r="K552" s="50"/>
      <c r="L552" s="50"/>
      <c r="M552" s="50"/>
      <c r="N552" s="50"/>
      <c r="O552" s="50"/>
      <c r="P552" s="50"/>
      <c r="Q552" s="50"/>
      <c r="R552" s="50"/>
      <c r="S552" s="50"/>
      <c r="T552" s="50"/>
      <c r="U552" s="50"/>
      <c r="V552" s="50"/>
      <c r="W552" s="50"/>
      <c r="X552" s="50"/>
      <c r="Y552" s="50"/>
      <c r="Z552" s="50"/>
      <c r="AA552" s="50"/>
      <c r="AB552" s="50"/>
      <c r="AC552" s="50"/>
      <c r="AD552" s="50"/>
    </row>
    <row r="553">
      <c r="A553" s="49"/>
      <c r="B553" s="49"/>
      <c r="C553" s="49"/>
      <c r="D553" s="49"/>
      <c r="E553" s="50"/>
      <c r="F553" s="50"/>
      <c r="G553" s="50"/>
      <c r="H553" s="50"/>
      <c r="I553" s="50"/>
      <c r="J553" s="50"/>
      <c r="K553" s="50"/>
      <c r="L553" s="50"/>
      <c r="M553" s="50"/>
      <c r="N553" s="50"/>
      <c r="O553" s="50"/>
      <c r="P553" s="50"/>
      <c r="Q553" s="50"/>
      <c r="R553" s="50"/>
      <c r="S553" s="50"/>
      <c r="T553" s="50"/>
      <c r="U553" s="50"/>
      <c r="V553" s="50"/>
      <c r="W553" s="50"/>
      <c r="X553" s="50"/>
      <c r="Y553" s="50"/>
      <c r="Z553" s="50"/>
      <c r="AA553" s="50"/>
      <c r="AB553" s="50"/>
      <c r="AC553" s="50"/>
      <c r="AD553" s="50"/>
    </row>
    <row r="554">
      <c r="A554" s="49"/>
      <c r="B554" s="49"/>
      <c r="C554" s="49"/>
      <c r="D554" s="49"/>
      <c r="E554" s="50"/>
      <c r="F554" s="50"/>
      <c r="G554" s="50"/>
      <c r="H554" s="50"/>
      <c r="I554" s="50"/>
      <c r="J554" s="50"/>
      <c r="K554" s="50"/>
      <c r="L554" s="50"/>
      <c r="M554" s="50"/>
      <c r="N554" s="50"/>
      <c r="O554" s="50"/>
      <c r="P554" s="50"/>
      <c r="Q554" s="50"/>
      <c r="R554" s="50"/>
      <c r="S554" s="50"/>
      <c r="T554" s="50"/>
      <c r="U554" s="50"/>
      <c r="V554" s="50"/>
      <c r="W554" s="50"/>
      <c r="X554" s="50"/>
      <c r="Y554" s="50"/>
      <c r="Z554" s="50"/>
      <c r="AA554" s="50"/>
      <c r="AB554" s="50"/>
      <c r="AC554" s="50"/>
      <c r="AD554" s="50"/>
    </row>
    <row r="555">
      <c r="A555" s="49"/>
      <c r="B555" s="49"/>
      <c r="C555" s="49"/>
      <c r="D555" s="49"/>
      <c r="E555" s="50"/>
      <c r="F555" s="50"/>
      <c r="G555" s="50"/>
      <c r="H555" s="50"/>
      <c r="I555" s="50"/>
      <c r="J555" s="50"/>
      <c r="K555" s="50"/>
      <c r="L555" s="50"/>
      <c r="M555" s="50"/>
      <c r="N555" s="50"/>
      <c r="O555" s="50"/>
      <c r="P555" s="50"/>
      <c r="Q555" s="50"/>
      <c r="R555" s="50"/>
      <c r="S555" s="50"/>
      <c r="T555" s="50"/>
      <c r="U555" s="50"/>
      <c r="V555" s="50"/>
      <c r="W555" s="50"/>
      <c r="X555" s="50"/>
      <c r="Y555" s="50"/>
      <c r="Z555" s="50"/>
      <c r="AA555" s="50"/>
      <c r="AB555" s="50"/>
      <c r="AC555" s="50"/>
      <c r="AD555" s="50"/>
    </row>
    <row r="556">
      <c r="A556" s="49"/>
      <c r="B556" s="49"/>
      <c r="C556" s="49"/>
      <c r="D556" s="49"/>
      <c r="E556" s="50"/>
      <c r="F556" s="50"/>
      <c r="G556" s="50"/>
      <c r="H556" s="50"/>
      <c r="I556" s="50"/>
      <c r="J556" s="50"/>
      <c r="K556" s="50"/>
      <c r="L556" s="50"/>
      <c r="M556" s="50"/>
      <c r="N556" s="50"/>
      <c r="O556" s="50"/>
      <c r="P556" s="50"/>
      <c r="Q556" s="50"/>
      <c r="R556" s="50"/>
      <c r="S556" s="50"/>
      <c r="T556" s="50"/>
      <c r="U556" s="50"/>
      <c r="V556" s="50"/>
      <c r="W556" s="50"/>
      <c r="X556" s="50"/>
      <c r="Y556" s="50"/>
      <c r="Z556" s="50"/>
      <c r="AA556" s="50"/>
      <c r="AB556" s="50"/>
      <c r="AC556" s="50"/>
      <c r="AD556" s="50"/>
    </row>
    <row r="557">
      <c r="A557" s="49"/>
      <c r="B557" s="49"/>
      <c r="C557" s="49"/>
      <c r="D557" s="49"/>
      <c r="E557" s="50"/>
      <c r="F557" s="50"/>
      <c r="G557" s="50"/>
      <c r="H557" s="50"/>
      <c r="I557" s="50"/>
      <c r="J557" s="50"/>
      <c r="K557" s="50"/>
      <c r="L557" s="50"/>
      <c r="M557" s="50"/>
      <c r="N557" s="50"/>
      <c r="O557" s="50"/>
      <c r="P557" s="50"/>
      <c r="Q557" s="50"/>
      <c r="R557" s="50"/>
      <c r="S557" s="50"/>
      <c r="T557" s="50"/>
      <c r="U557" s="50"/>
      <c r="V557" s="50"/>
      <c r="W557" s="50"/>
      <c r="X557" s="50"/>
      <c r="Y557" s="50"/>
      <c r="Z557" s="50"/>
      <c r="AA557" s="50"/>
      <c r="AB557" s="50"/>
      <c r="AC557" s="50"/>
      <c r="AD557" s="50"/>
    </row>
    <row r="558">
      <c r="A558" s="49"/>
      <c r="B558" s="49"/>
      <c r="C558" s="49"/>
      <c r="D558" s="49"/>
      <c r="E558" s="50"/>
      <c r="F558" s="50"/>
      <c r="G558" s="50"/>
      <c r="H558" s="50"/>
      <c r="I558" s="50"/>
      <c r="J558" s="50"/>
      <c r="K558" s="50"/>
      <c r="L558" s="50"/>
      <c r="M558" s="50"/>
      <c r="N558" s="50"/>
      <c r="O558" s="50"/>
      <c r="P558" s="50"/>
      <c r="Q558" s="50"/>
      <c r="R558" s="50"/>
      <c r="S558" s="50"/>
      <c r="T558" s="50"/>
      <c r="U558" s="50"/>
      <c r="V558" s="50"/>
      <c r="W558" s="50"/>
      <c r="X558" s="50"/>
      <c r="Y558" s="50"/>
      <c r="Z558" s="50"/>
      <c r="AA558" s="50"/>
      <c r="AB558" s="50"/>
      <c r="AC558" s="50"/>
      <c r="AD558" s="50"/>
    </row>
    <row r="559">
      <c r="A559" s="49"/>
      <c r="B559" s="49"/>
      <c r="C559" s="49"/>
      <c r="D559" s="49"/>
      <c r="E559" s="50"/>
      <c r="F559" s="50"/>
      <c r="G559" s="50"/>
      <c r="H559" s="50"/>
      <c r="I559" s="50"/>
      <c r="J559" s="50"/>
      <c r="K559" s="50"/>
      <c r="L559" s="50"/>
      <c r="M559" s="50"/>
      <c r="N559" s="50"/>
      <c r="O559" s="50"/>
      <c r="P559" s="50"/>
      <c r="Q559" s="50"/>
      <c r="R559" s="50"/>
      <c r="S559" s="50"/>
      <c r="T559" s="50"/>
      <c r="U559" s="50"/>
      <c r="V559" s="50"/>
      <c r="W559" s="50"/>
      <c r="X559" s="50"/>
      <c r="Y559" s="50"/>
      <c r="Z559" s="50"/>
      <c r="AA559" s="50"/>
      <c r="AB559" s="50"/>
      <c r="AC559" s="50"/>
      <c r="AD559" s="50"/>
    </row>
    <row r="560">
      <c r="A560" s="49"/>
      <c r="B560" s="49"/>
      <c r="C560" s="49"/>
      <c r="D560" s="49"/>
      <c r="E560" s="50"/>
      <c r="F560" s="50"/>
      <c r="G560" s="50"/>
      <c r="H560" s="50"/>
      <c r="I560" s="50"/>
      <c r="J560" s="50"/>
      <c r="K560" s="50"/>
      <c r="L560" s="50"/>
      <c r="M560" s="50"/>
      <c r="N560" s="50"/>
      <c r="O560" s="50"/>
      <c r="P560" s="50"/>
      <c r="Q560" s="50"/>
      <c r="R560" s="50"/>
      <c r="S560" s="50"/>
      <c r="T560" s="50"/>
      <c r="U560" s="50"/>
      <c r="V560" s="50"/>
      <c r="W560" s="50"/>
      <c r="X560" s="50"/>
      <c r="Y560" s="50"/>
      <c r="Z560" s="50"/>
      <c r="AA560" s="50"/>
      <c r="AB560" s="50"/>
      <c r="AC560" s="50"/>
      <c r="AD560" s="50"/>
    </row>
    <row r="561">
      <c r="A561" s="49"/>
      <c r="B561" s="49"/>
      <c r="C561" s="49"/>
      <c r="D561" s="49"/>
      <c r="E561" s="50"/>
      <c r="F561" s="50"/>
      <c r="G561" s="50"/>
      <c r="H561" s="50"/>
      <c r="I561" s="50"/>
      <c r="J561" s="50"/>
      <c r="K561" s="50"/>
      <c r="L561" s="50"/>
      <c r="M561" s="50"/>
      <c r="N561" s="50"/>
      <c r="O561" s="50"/>
      <c r="P561" s="50"/>
      <c r="Q561" s="50"/>
      <c r="R561" s="50"/>
      <c r="S561" s="50"/>
      <c r="T561" s="50"/>
      <c r="U561" s="50"/>
      <c r="V561" s="50"/>
      <c r="W561" s="50"/>
      <c r="X561" s="50"/>
      <c r="Y561" s="50"/>
      <c r="Z561" s="50"/>
      <c r="AA561" s="50"/>
      <c r="AB561" s="50"/>
      <c r="AC561" s="50"/>
      <c r="AD561" s="50"/>
    </row>
    <row r="562">
      <c r="A562" s="49"/>
      <c r="B562" s="49"/>
      <c r="C562" s="49"/>
      <c r="D562" s="49"/>
      <c r="E562" s="50"/>
      <c r="F562" s="50"/>
      <c r="G562" s="50"/>
      <c r="H562" s="50"/>
      <c r="I562" s="50"/>
      <c r="J562" s="50"/>
      <c r="K562" s="50"/>
      <c r="L562" s="50"/>
      <c r="M562" s="50"/>
      <c r="N562" s="50"/>
      <c r="O562" s="50"/>
      <c r="P562" s="50"/>
      <c r="Q562" s="50"/>
      <c r="R562" s="50"/>
      <c r="S562" s="50"/>
      <c r="T562" s="50"/>
      <c r="U562" s="50"/>
      <c r="V562" s="50"/>
      <c r="W562" s="50"/>
      <c r="X562" s="50"/>
      <c r="Y562" s="50"/>
      <c r="Z562" s="50"/>
      <c r="AA562" s="50"/>
      <c r="AB562" s="50"/>
      <c r="AC562" s="50"/>
      <c r="AD562" s="50"/>
    </row>
    <row r="563">
      <c r="A563" s="49"/>
      <c r="B563" s="49"/>
      <c r="C563" s="49"/>
      <c r="D563" s="49"/>
      <c r="E563" s="50"/>
      <c r="F563" s="50"/>
      <c r="G563" s="50"/>
      <c r="H563" s="50"/>
      <c r="I563" s="50"/>
      <c r="J563" s="50"/>
      <c r="K563" s="50"/>
      <c r="L563" s="50"/>
      <c r="M563" s="50"/>
      <c r="N563" s="50"/>
      <c r="O563" s="50"/>
      <c r="P563" s="50"/>
      <c r="Q563" s="50"/>
      <c r="R563" s="50"/>
      <c r="S563" s="50"/>
      <c r="T563" s="50"/>
      <c r="U563" s="50"/>
      <c r="V563" s="50"/>
      <c r="W563" s="50"/>
      <c r="X563" s="50"/>
      <c r="Y563" s="50"/>
      <c r="Z563" s="50"/>
      <c r="AA563" s="50"/>
      <c r="AB563" s="50"/>
      <c r="AC563" s="50"/>
      <c r="AD563" s="50"/>
    </row>
    <row r="564">
      <c r="A564" s="49"/>
      <c r="B564" s="49"/>
      <c r="C564" s="49"/>
      <c r="D564" s="49"/>
      <c r="E564" s="50"/>
      <c r="F564" s="50"/>
      <c r="G564" s="50"/>
      <c r="H564" s="50"/>
      <c r="I564" s="50"/>
      <c r="J564" s="50"/>
      <c r="K564" s="50"/>
      <c r="L564" s="50"/>
      <c r="M564" s="50"/>
      <c r="N564" s="50"/>
      <c r="O564" s="50"/>
      <c r="P564" s="50"/>
      <c r="Q564" s="50"/>
      <c r="R564" s="50"/>
      <c r="S564" s="50"/>
      <c r="T564" s="50"/>
      <c r="U564" s="50"/>
      <c r="V564" s="50"/>
      <c r="W564" s="50"/>
      <c r="X564" s="50"/>
      <c r="Y564" s="50"/>
      <c r="Z564" s="50"/>
      <c r="AA564" s="50"/>
      <c r="AB564" s="50"/>
      <c r="AC564" s="50"/>
      <c r="AD564" s="50"/>
    </row>
    <row r="565">
      <c r="A565" s="49"/>
      <c r="B565" s="49"/>
      <c r="C565" s="49"/>
      <c r="D565" s="49"/>
      <c r="E565" s="50"/>
      <c r="F565" s="50"/>
      <c r="G565" s="50"/>
      <c r="H565" s="50"/>
      <c r="I565" s="50"/>
      <c r="J565" s="50"/>
      <c r="K565" s="50"/>
      <c r="L565" s="50"/>
      <c r="M565" s="50"/>
      <c r="N565" s="50"/>
      <c r="O565" s="50"/>
      <c r="P565" s="50"/>
      <c r="Q565" s="50"/>
      <c r="R565" s="50"/>
      <c r="S565" s="50"/>
      <c r="T565" s="50"/>
      <c r="U565" s="50"/>
      <c r="V565" s="50"/>
      <c r="W565" s="50"/>
      <c r="X565" s="50"/>
      <c r="Y565" s="50"/>
      <c r="Z565" s="50"/>
      <c r="AA565" s="50"/>
      <c r="AB565" s="50"/>
      <c r="AC565" s="50"/>
      <c r="AD565" s="50"/>
    </row>
    <row r="566">
      <c r="A566" s="49"/>
      <c r="B566" s="49"/>
      <c r="C566" s="49"/>
      <c r="D566" s="49"/>
      <c r="E566" s="50"/>
      <c r="F566" s="50"/>
      <c r="G566" s="50"/>
      <c r="H566" s="50"/>
      <c r="I566" s="50"/>
      <c r="J566" s="50"/>
      <c r="K566" s="50"/>
      <c r="L566" s="50"/>
      <c r="M566" s="50"/>
      <c r="N566" s="50"/>
      <c r="O566" s="50"/>
      <c r="P566" s="50"/>
      <c r="Q566" s="50"/>
      <c r="R566" s="50"/>
      <c r="S566" s="50"/>
      <c r="T566" s="50"/>
      <c r="U566" s="50"/>
      <c r="V566" s="50"/>
      <c r="W566" s="50"/>
      <c r="X566" s="50"/>
      <c r="Y566" s="50"/>
      <c r="Z566" s="50"/>
      <c r="AA566" s="50"/>
      <c r="AB566" s="50"/>
      <c r="AC566" s="50"/>
      <c r="AD566" s="50"/>
    </row>
    <row r="567">
      <c r="A567" s="49"/>
      <c r="B567" s="49"/>
      <c r="C567" s="49"/>
      <c r="D567" s="49"/>
      <c r="E567" s="50"/>
      <c r="F567" s="50"/>
      <c r="G567" s="50"/>
      <c r="H567" s="50"/>
      <c r="I567" s="50"/>
      <c r="J567" s="50"/>
      <c r="K567" s="50"/>
      <c r="L567" s="50"/>
      <c r="M567" s="50"/>
      <c r="N567" s="50"/>
      <c r="O567" s="50"/>
      <c r="P567" s="50"/>
      <c r="Q567" s="50"/>
      <c r="R567" s="50"/>
      <c r="S567" s="50"/>
      <c r="T567" s="50"/>
      <c r="U567" s="50"/>
      <c r="V567" s="50"/>
      <c r="W567" s="50"/>
      <c r="X567" s="50"/>
      <c r="Y567" s="50"/>
      <c r="Z567" s="50"/>
      <c r="AA567" s="50"/>
      <c r="AB567" s="50"/>
      <c r="AC567" s="50"/>
      <c r="AD567" s="50"/>
    </row>
    <row r="568">
      <c r="A568" s="49"/>
      <c r="B568" s="49"/>
      <c r="C568" s="49"/>
      <c r="D568" s="49"/>
      <c r="E568" s="50"/>
      <c r="F568" s="50"/>
      <c r="G568" s="50"/>
      <c r="H568" s="50"/>
      <c r="I568" s="50"/>
      <c r="J568" s="50"/>
      <c r="K568" s="50"/>
      <c r="L568" s="50"/>
      <c r="M568" s="50"/>
      <c r="N568" s="50"/>
      <c r="O568" s="50"/>
      <c r="P568" s="50"/>
      <c r="Q568" s="50"/>
      <c r="R568" s="50"/>
      <c r="S568" s="50"/>
      <c r="T568" s="50"/>
      <c r="U568" s="50"/>
      <c r="V568" s="50"/>
      <c r="W568" s="50"/>
      <c r="X568" s="50"/>
      <c r="Y568" s="50"/>
      <c r="Z568" s="50"/>
      <c r="AA568" s="50"/>
      <c r="AB568" s="50"/>
      <c r="AC568" s="50"/>
      <c r="AD568" s="50"/>
    </row>
    <row r="569">
      <c r="A569" s="49"/>
      <c r="B569" s="49"/>
      <c r="C569" s="49"/>
      <c r="D569" s="49"/>
      <c r="E569" s="50"/>
      <c r="F569" s="50"/>
      <c r="G569" s="50"/>
      <c r="H569" s="50"/>
      <c r="I569" s="50"/>
      <c r="J569" s="50"/>
      <c r="K569" s="50"/>
      <c r="L569" s="50"/>
      <c r="M569" s="50"/>
      <c r="N569" s="50"/>
      <c r="O569" s="50"/>
      <c r="P569" s="50"/>
      <c r="Q569" s="50"/>
      <c r="R569" s="50"/>
      <c r="S569" s="50"/>
      <c r="T569" s="50"/>
      <c r="U569" s="50"/>
      <c r="V569" s="50"/>
      <c r="W569" s="50"/>
      <c r="X569" s="50"/>
      <c r="Y569" s="50"/>
      <c r="Z569" s="50"/>
      <c r="AA569" s="50"/>
      <c r="AB569" s="50"/>
      <c r="AC569" s="50"/>
      <c r="AD569" s="50"/>
    </row>
    <row r="570">
      <c r="A570" s="49"/>
      <c r="B570" s="49"/>
      <c r="C570" s="49"/>
      <c r="D570" s="49"/>
      <c r="E570" s="50"/>
      <c r="F570" s="50"/>
      <c r="G570" s="50"/>
      <c r="H570" s="50"/>
      <c r="I570" s="50"/>
      <c r="J570" s="50"/>
      <c r="K570" s="50"/>
      <c r="L570" s="50"/>
      <c r="M570" s="50"/>
      <c r="N570" s="50"/>
      <c r="O570" s="50"/>
      <c r="P570" s="50"/>
      <c r="Q570" s="50"/>
      <c r="R570" s="50"/>
      <c r="S570" s="50"/>
      <c r="T570" s="50"/>
      <c r="U570" s="50"/>
      <c r="V570" s="50"/>
      <c r="W570" s="50"/>
      <c r="X570" s="50"/>
      <c r="Y570" s="50"/>
      <c r="Z570" s="50"/>
      <c r="AA570" s="50"/>
      <c r="AB570" s="50"/>
      <c r="AC570" s="50"/>
      <c r="AD570" s="50"/>
    </row>
    <row r="571">
      <c r="A571" s="49"/>
      <c r="B571" s="49"/>
      <c r="C571" s="49"/>
      <c r="D571" s="49"/>
      <c r="E571" s="50"/>
      <c r="F571" s="50"/>
      <c r="G571" s="50"/>
      <c r="H571" s="50"/>
      <c r="I571" s="50"/>
      <c r="J571" s="50"/>
      <c r="K571" s="50"/>
      <c r="L571" s="50"/>
      <c r="M571" s="50"/>
      <c r="N571" s="50"/>
      <c r="O571" s="50"/>
      <c r="P571" s="50"/>
      <c r="Q571" s="50"/>
      <c r="R571" s="50"/>
      <c r="S571" s="50"/>
      <c r="T571" s="50"/>
      <c r="U571" s="50"/>
      <c r="V571" s="50"/>
      <c r="W571" s="50"/>
      <c r="X571" s="50"/>
      <c r="Y571" s="50"/>
      <c r="Z571" s="50"/>
      <c r="AA571" s="50"/>
      <c r="AB571" s="50"/>
      <c r="AC571" s="50"/>
      <c r="AD571" s="50"/>
    </row>
    <row r="572">
      <c r="A572" s="49"/>
      <c r="B572" s="49"/>
      <c r="C572" s="49"/>
      <c r="D572" s="49"/>
      <c r="E572" s="50"/>
      <c r="F572" s="50"/>
      <c r="G572" s="50"/>
      <c r="H572" s="50"/>
      <c r="I572" s="50"/>
      <c r="J572" s="50"/>
      <c r="K572" s="50"/>
      <c r="L572" s="50"/>
      <c r="M572" s="50"/>
      <c r="N572" s="50"/>
      <c r="O572" s="50"/>
      <c r="P572" s="50"/>
      <c r="Q572" s="50"/>
      <c r="R572" s="50"/>
      <c r="S572" s="50"/>
      <c r="T572" s="50"/>
      <c r="U572" s="50"/>
      <c r="V572" s="50"/>
      <c r="W572" s="50"/>
      <c r="X572" s="50"/>
      <c r="Y572" s="50"/>
      <c r="Z572" s="50"/>
      <c r="AA572" s="50"/>
      <c r="AB572" s="50"/>
      <c r="AC572" s="50"/>
      <c r="AD572" s="50"/>
    </row>
    <row r="573">
      <c r="A573" s="49"/>
      <c r="B573" s="49"/>
      <c r="C573" s="49"/>
      <c r="D573" s="49"/>
      <c r="E573" s="50"/>
      <c r="F573" s="50"/>
      <c r="G573" s="50"/>
      <c r="H573" s="50"/>
      <c r="I573" s="50"/>
      <c r="J573" s="50"/>
      <c r="K573" s="50"/>
      <c r="L573" s="50"/>
      <c r="M573" s="50"/>
      <c r="N573" s="50"/>
      <c r="O573" s="50"/>
      <c r="P573" s="50"/>
      <c r="Q573" s="50"/>
      <c r="R573" s="50"/>
      <c r="S573" s="50"/>
      <c r="T573" s="50"/>
      <c r="U573" s="50"/>
      <c r="V573" s="50"/>
      <c r="W573" s="50"/>
      <c r="X573" s="50"/>
      <c r="Y573" s="50"/>
      <c r="Z573" s="50"/>
      <c r="AA573" s="50"/>
      <c r="AB573" s="50"/>
      <c r="AC573" s="50"/>
      <c r="AD573" s="50"/>
    </row>
    <row r="574">
      <c r="A574" s="49"/>
      <c r="B574" s="49"/>
      <c r="C574" s="49"/>
      <c r="D574" s="49"/>
      <c r="E574" s="50"/>
      <c r="F574" s="50"/>
      <c r="G574" s="50"/>
      <c r="H574" s="50"/>
      <c r="I574" s="50"/>
      <c r="J574" s="50"/>
      <c r="K574" s="50"/>
      <c r="L574" s="50"/>
      <c r="M574" s="50"/>
      <c r="N574" s="50"/>
      <c r="O574" s="50"/>
      <c r="P574" s="50"/>
      <c r="Q574" s="50"/>
      <c r="R574" s="50"/>
      <c r="S574" s="50"/>
      <c r="T574" s="50"/>
      <c r="U574" s="50"/>
      <c r="V574" s="50"/>
      <c r="W574" s="50"/>
      <c r="X574" s="50"/>
      <c r="Y574" s="50"/>
      <c r="Z574" s="50"/>
      <c r="AA574" s="50"/>
      <c r="AB574" s="50"/>
      <c r="AC574" s="50"/>
      <c r="AD574" s="50"/>
    </row>
    <row r="575">
      <c r="A575" s="49"/>
      <c r="B575" s="49"/>
      <c r="C575" s="49"/>
      <c r="D575" s="49"/>
      <c r="E575" s="50"/>
      <c r="F575" s="50"/>
      <c r="G575" s="50"/>
      <c r="H575" s="50"/>
      <c r="I575" s="50"/>
      <c r="J575" s="50"/>
      <c r="K575" s="50"/>
      <c r="L575" s="50"/>
      <c r="M575" s="50"/>
      <c r="N575" s="50"/>
      <c r="O575" s="50"/>
      <c r="P575" s="50"/>
      <c r="Q575" s="50"/>
      <c r="R575" s="50"/>
      <c r="S575" s="50"/>
      <c r="T575" s="50"/>
      <c r="U575" s="50"/>
      <c r="V575" s="50"/>
      <c r="W575" s="50"/>
      <c r="X575" s="50"/>
      <c r="Y575" s="50"/>
      <c r="Z575" s="50"/>
      <c r="AA575" s="50"/>
      <c r="AB575" s="50"/>
      <c r="AC575" s="50"/>
      <c r="AD575" s="50"/>
    </row>
    <row r="576">
      <c r="A576" s="49"/>
      <c r="B576" s="49"/>
      <c r="C576" s="49"/>
      <c r="D576" s="49"/>
      <c r="E576" s="50"/>
      <c r="F576" s="50"/>
      <c r="G576" s="50"/>
      <c r="H576" s="50"/>
      <c r="I576" s="50"/>
      <c r="J576" s="50"/>
      <c r="K576" s="50"/>
      <c r="L576" s="50"/>
      <c r="M576" s="50"/>
      <c r="N576" s="50"/>
      <c r="O576" s="50"/>
      <c r="P576" s="50"/>
      <c r="Q576" s="50"/>
      <c r="R576" s="50"/>
      <c r="S576" s="50"/>
      <c r="T576" s="50"/>
      <c r="U576" s="50"/>
      <c r="V576" s="50"/>
      <c r="W576" s="50"/>
      <c r="X576" s="50"/>
      <c r="Y576" s="50"/>
      <c r="Z576" s="50"/>
      <c r="AA576" s="50"/>
      <c r="AB576" s="50"/>
      <c r="AC576" s="50"/>
      <c r="AD576" s="50"/>
    </row>
    <row r="577">
      <c r="A577" s="49"/>
      <c r="B577" s="49"/>
      <c r="C577" s="49"/>
      <c r="D577" s="49"/>
      <c r="E577" s="50"/>
      <c r="F577" s="50"/>
      <c r="G577" s="50"/>
      <c r="H577" s="50"/>
      <c r="I577" s="50"/>
      <c r="J577" s="50"/>
      <c r="K577" s="50"/>
      <c r="L577" s="50"/>
      <c r="M577" s="50"/>
      <c r="N577" s="50"/>
      <c r="O577" s="50"/>
      <c r="P577" s="50"/>
      <c r="Q577" s="50"/>
      <c r="R577" s="50"/>
      <c r="S577" s="50"/>
      <c r="T577" s="50"/>
      <c r="U577" s="50"/>
      <c r="V577" s="50"/>
      <c r="W577" s="50"/>
      <c r="X577" s="50"/>
      <c r="Y577" s="50"/>
      <c r="Z577" s="50"/>
      <c r="AA577" s="50"/>
      <c r="AB577" s="50"/>
      <c r="AC577" s="50"/>
      <c r="AD577" s="50"/>
    </row>
    <row r="578">
      <c r="A578" s="49"/>
      <c r="B578" s="49"/>
      <c r="C578" s="49"/>
      <c r="D578" s="49"/>
      <c r="E578" s="50"/>
      <c r="F578" s="50"/>
      <c r="G578" s="50"/>
      <c r="H578" s="50"/>
      <c r="I578" s="50"/>
      <c r="J578" s="50"/>
      <c r="K578" s="50"/>
      <c r="L578" s="50"/>
      <c r="M578" s="50"/>
      <c r="N578" s="50"/>
      <c r="O578" s="50"/>
      <c r="P578" s="50"/>
      <c r="Q578" s="50"/>
      <c r="R578" s="50"/>
      <c r="S578" s="50"/>
      <c r="T578" s="50"/>
      <c r="U578" s="50"/>
      <c r="V578" s="50"/>
      <c r="W578" s="50"/>
      <c r="X578" s="50"/>
      <c r="Y578" s="50"/>
      <c r="Z578" s="50"/>
      <c r="AA578" s="50"/>
      <c r="AB578" s="50"/>
      <c r="AC578" s="50"/>
      <c r="AD578" s="50"/>
    </row>
    <row r="579">
      <c r="A579" s="49"/>
      <c r="B579" s="49"/>
      <c r="C579" s="49"/>
      <c r="D579" s="49"/>
      <c r="E579" s="50"/>
      <c r="F579" s="50"/>
      <c r="G579" s="50"/>
      <c r="H579" s="50"/>
      <c r="I579" s="50"/>
      <c r="J579" s="50"/>
      <c r="K579" s="50"/>
      <c r="L579" s="50"/>
      <c r="M579" s="50"/>
      <c r="N579" s="50"/>
      <c r="O579" s="50"/>
      <c r="P579" s="50"/>
      <c r="Q579" s="50"/>
      <c r="R579" s="50"/>
      <c r="S579" s="50"/>
      <c r="T579" s="50"/>
      <c r="U579" s="50"/>
      <c r="V579" s="50"/>
      <c r="W579" s="50"/>
      <c r="X579" s="50"/>
      <c r="Y579" s="50"/>
      <c r="Z579" s="50"/>
      <c r="AA579" s="50"/>
      <c r="AB579" s="50"/>
      <c r="AC579" s="50"/>
      <c r="AD579" s="50"/>
    </row>
    <row r="580">
      <c r="A580" s="49"/>
      <c r="B580" s="49"/>
      <c r="C580" s="49"/>
      <c r="D580" s="49"/>
      <c r="E580" s="50"/>
      <c r="F580" s="50"/>
      <c r="G580" s="50"/>
      <c r="H580" s="50"/>
      <c r="I580" s="50"/>
      <c r="J580" s="50"/>
      <c r="K580" s="50"/>
      <c r="L580" s="50"/>
      <c r="M580" s="50"/>
      <c r="N580" s="50"/>
      <c r="O580" s="50"/>
      <c r="P580" s="50"/>
      <c r="Q580" s="50"/>
      <c r="R580" s="50"/>
      <c r="S580" s="50"/>
      <c r="T580" s="50"/>
      <c r="U580" s="50"/>
      <c r="V580" s="50"/>
      <c r="W580" s="50"/>
      <c r="X580" s="50"/>
      <c r="Y580" s="50"/>
      <c r="Z580" s="50"/>
      <c r="AA580" s="50"/>
      <c r="AB580" s="50"/>
      <c r="AC580" s="50"/>
      <c r="AD580" s="50"/>
    </row>
    <row r="581">
      <c r="A581" s="49"/>
      <c r="B581" s="49"/>
      <c r="C581" s="49"/>
      <c r="D581" s="49"/>
      <c r="E581" s="50"/>
      <c r="F581" s="50"/>
      <c r="G581" s="50"/>
      <c r="H581" s="50"/>
      <c r="I581" s="50"/>
      <c r="J581" s="50"/>
      <c r="K581" s="50"/>
      <c r="L581" s="50"/>
      <c r="M581" s="50"/>
      <c r="N581" s="50"/>
      <c r="O581" s="50"/>
      <c r="P581" s="50"/>
      <c r="Q581" s="50"/>
      <c r="R581" s="50"/>
      <c r="S581" s="50"/>
      <c r="T581" s="50"/>
      <c r="U581" s="50"/>
      <c r="V581" s="50"/>
      <c r="W581" s="50"/>
      <c r="X581" s="50"/>
      <c r="Y581" s="50"/>
      <c r="Z581" s="50"/>
      <c r="AA581" s="50"/>
      <c r="AB581" s="50"/>
      <c r="AC581" s="50"/>
      <c r="AD581" s="50"/>
    </row>
    <row r="582">
      <c r="A582" s="49"/>
      <c r="B582" s="49"/>
      <c r="C582" s="49"/>
      <c r="D582" s="49"/>
      <c r="E582" s="50"/>
      <c r="F582" s="50"/>
      <c r="G582" s="50"/>
      <c r="H582" s="50"/>
      <c r="I582" s="50"/>
      <c r="J582" s="50"/>
      <c r="K582" s="50"/>
      <c r="L582" s="50"/>
      <c r="M582" s="50"/>
      <c r="N582" s="50"/>
      <c r="O582" s="50"/>
      <c r="P582" s="50"/>
      <c r="Q582" s="50"/>
      <c r="R582" s="50"/>
      <c r="S582" s="50"/>
      <c r="T582" s="50"/>
      <c r="U582" s="50"/>
      <c r="V582" s="50"/>
      <c r="W582" s="50"/>
      <c r="X582" s="50"/>
      <c r="Y582" s="50"/>
      <c r="Z582" s="50"/>
      <c r="AA582" s="50"/>
      <c r="AB582" s="50"/>
      <c r="AC582" s="50"/>
      <c r="AD582" s="50"/>
    </row>
    <row r="583">
      <c r="A583" s="49"/>
      <c r="B583" s="49"/>
      <c r="C583" s="49"/>
      <c r="D583" s="49"/>
      <c r="E583" s="50"/>
      <c r="F583" s="50"/>
      <c r="G583" s="50"/>
      <c r="H583" s="50"/>
      <c r="I583" s="50"/>
      <c r="J583" s="50"/>
      <c r="K583" s="50"/>
      <c r="L583" s="50"/>
      <c r="M583" s="50"/>
      <c r="N583" s="50"/>
      <c r="O583" s="50"/>
      <c r="P583" s="50"/>
      <c r="Q583" s="50"/>
      <c r="R583" s="50"/>
      <c r="S583" s="50"/>
      <c r="T583" s="50"/>
      <c r="U583" s="50"/>
      <c r="V583" s="50"/>
      <c r="W583" s="50"/>
      <c r="X583" s="50"/>
      <c r="Y583" s="50"/>
      <c r="Z583" s="50"/>
      <c r="AA583" s="50"/>
      <c r="AB583" s="50"/>
      <c r="AC583" s="50"/>
      <c r="AD583" s="50"/>
    </row>
    <row r="584">
      <c r="A584" s="49"/>
      <c r="B584" s="49"/>
      <c r="C584" s="49"/>
      <c r="D584" s="49"/>
      <c r="E584" s="50"/>
      <c r="F584" s="50"/>
      <c r="G584" s="50"/>
      <c r="H584" s="50"/>
      <c r="I584" s="50"/>
      <c r="J584" s="50"/>
      <c r="K584" s="50"/>
      <c r="L584" s="50"/>
      <c r="M584" s="50"/>
      <c r="N584" s="50"/>
      <c r="O584" s="50"/>
      <c r="P584" s="50"/>
      <c r="Q584" s="50"/>
      <c r="R584" s="50"/>
      <c r="S584" s="50"/>
      <c r="T584" s="50"/>
      <c r="U584" s="50"/>
      <c r="V584" s="50"/>
      <c r="W584" s="50"/>
      <c r="X584" s="50"/>
      <c r="Y584" s="50"/>
      <c r="Z584" s="50"/>
      <c r="AA584" s="50"/>
      <c r="AB584" s="50"/>
      <c r="AC584" s="50"/>
      <c r="AD584" s="50"/>
    </row>
    <row r="585">
      <c r="A585" s="49"/>
      <c r="B585" s="49"/>
      <c r="C585" s="49"/>
      <c r="D585" s="49"/>
      <c r="E585" s="50"/>
      <c r="F585" s="50"/>
      <c r="G585" s="50"/>
      <c r="H585" s="50"/>
      <c r="I585" s="50"/>
      <c r="J585" s="50"/>
      <c r="K585" s="50"/>
      <c r="L585" s="50"/>
      <c r="M585" s="50"/>
      <c r="N585" s="50"/>
      <c r="O585" s="50"/>
      <c r="P585" s="50"/>
      <c r="Q585" s="50"/>
      <c r="R585" s="50"/>
      <c r="S585" s="50"/>
      <c r="T585" s="50"/>
      <c r="U585" s="50"/>
      <c r="V585" s="50"/>
      <c r="W585" s="50"/>
      <c r="X585" s="50"/>
      <c r="Y585" s="50"/>
      <c r="Z585" s="50"/>
      <c r="AA585" s="50"/>
      <c r="AB585" s="50"/>
      <c r="AC585" s="50"/>
      <c r="AD585" s="50"/>
    </row>
    <row r="586">
      <c r="A586" s="49"/>
      <c r="B586" s="49"/>
      <c r="C586" s="49"/>
      <c r="D586" s="49"/>
      <c r="E586" s="50"/>
      <c r="F586" s="50"/>
      <c r="G586" s="50"/>
      <c r="H586" s="50"/>
      <c r="I586" s="50"/>
      <c r="J586" s="50"/>
      <c r="K586" s="50"/>
      <c r="L586" s="50"/>
      <c r="M586" s="50"/>
      <c r="N586" s="50"/>
      <c r="O586" s="50"/>
      <c r="P586" s="50"/>
      <c r="Q586" s="50"/>
      <c r="R586" s="50"/>
      <c r="S586" s="50"/>
      <c r="T586" s="50"/>
      <c r="U586" s="50"/>
      <c r="V586" s="50"/>
      <c r="W586" s="50"/>
      <c r="X586" s="50"/>
      <c r="Y586" s="50"/>
      <c r="Z586" s="50"/>
      <c r="AA586" s="50"/>
      <c r="AB586" s="50"/>
      <c r="AC586" s="50"/>
      <c r="AD586" s="50"/>
    </row>
    <row r="587">
      <c r="A587" s="49"/>
      <c r="B587" s="49"/>
      <c r="C587" s="49"/>
      <c r="D587" s="49"/>
      <c r="E587" s="50"/>
      <c r="F587" s="50"/>
      <c r="G587" s="50"/>
      <c r="H587" s="50"/>
      <c r="I587" s="50"/>
      <c r="J587" s="50"/>
      <c r="K587" s="50"/>
      <c r="L587" s="50"/>
      <c r="M587" s="50"/>
      <c r="N587" s="50"/>
      <c r="O587" s="50"/>
      <c r="P587" s="50"/>
      <c r="Q587" s="50"/>
      <c r="R587" s="50"/>
      <c r="S587" s="50"/>
      <c r="T587" s="50"/>
      <c r="U587" s="50"/>
      <c r="V587" s="50"/>
      <c r="W587" s="50"/>
      <c r="X587" s="50"/>
      <c r="Y587" s="50"/>
      <c r="Z587" s="50"/>
      <c r="AA587" s="50"/>
      <c r="AB587" s="50"/>
      <c r="AC587" s="50"/>
      <c r="AD587" s="50"/>
    </row>
    <row r="588">
      <c r="A588" s="49"/>
      <c r="B588" s="49"/>
      <c r="C588" s="49"/>
      <c r="D588" s="49"/>
      <c r="E588" s="50"/>
      <c r="F588" s="50"/>
      <c r="G588" s="50"/>
      <c r="H588" s="50"/>
      <c r="I588" s="50"/>
      <c r="J588" s="50"/>
      <c r="K588" s="50"/>
      <c r="L588" s="50"/>
      <c r="M588" s="50"/>
      <c r="N588" s="50"/>
      <c r="O588" s="50"/>
      <c r="P588" s="50"/>
      <c r="Q588" s="50"/>
      <c r="R588" s="50"/>
      <c r="S588" s="50"/>
      <c r="T588" s="50"/>
      <c r="U588" s="50"/>
      <c r="V588" s="50"/>
      <c r="W588" s="50"/>
      <c r="X588" s="50"/>
      <c r="Y588" s="50"/>
      <c r="Z588" s="50"/>
      <c r="AA588" s="50"/>
      <c r="AB588" s="50"/>
      <c r="AC588" s="50"/>
      <c r="AD588" s="50"/>
    </row>
    <row r="589">
      <c r="A589" s="49"/>
      <c r="B589" s="49"/>
      <c r="C589" s="49"/>
      <c r="D589" s="49"/>
      <c r="E589" s="50"/>
      <c r="F589" s="50"/>
      <c r="G589" s="50"/>
      <c r="H589" s="50"/>
      <c r="I589" s="50"/>
      <c r="J589" s="50"/>
      <c r="K589" s="50"/>
      <c r="L589" s="50"/>
      <c r="M589" s="50"/>
      <c r="N589" s="50"/>
      <c r="O589" s="50"/>
      <c r="P589" s="50"/>
      <c r="Q589" s="50"/>
      <c r="R589" s="50"/>
      <c r="S589" s="50"/>
      <c r="T589" s="50"/>
      <c r="U589" s="50"/>
      <c r="V589" s="50"/>
      <c r="W589" s="50"/>
      <c r="X589" s="50"/>
      <c r="Y589" s="50"/>
      <c r="Z589" s="50"/>
      <c r="AA589" s="50"/>
      <c r="AB589" s="50"/>
      <c r="AC589" s="50"/>
      <c r="AD589" s="50"/>
    </row>
    <row r="590">
      <c r="A590" s="49"/>
      <c r="B590" s="49"/>
      <c r="C590" s="49"/>
      <c r="D590" s="49"/>
      <c r="E590" s="50"/>
      <c r="F590" s="50"/>
      <c r="G590" s="50"/>
      <c r="H590" s="50"/>
      <c r="I590" s="50"/>
      <c r="J590" s="50"/>
      <c r="K590" s="50"/>
      <c r="L590" s="50"/>
      <c r="M590" s="50"/>
      <c r="N590" s="50"/>
      <c r="O590" s="50"/>
      <c r="P590" s="50"/>
      <c r="Q590" s="50"/>
      <c r="R590" s="50"/>
      <c r="S590" s="50"/>
      <c r="T590" s="50"/>
      <c r="U590" s="50"/>
      <c r="V590" s="50"/>
      <c r="W590" s="50"/>
      <c r="X590" s="50"/>
      <c r="Y590" s="50"/>
      <c r="Z590" s="50"/>
      <c r="AA590" s="50"/>
      <c r="AB590" s="50"/>
      <c r="AC590" s="50"/>
      <c r="AD590" s="50"/>
    </row>
    <row r="591">
      <c r="A591" s="49"/>
      <c r="B591" s="49"/>
      <c r="C591" s="49"/>
      <c r="D591" s="49"/>
      <c r="E591" s="50"/>
      <c r="F591" s="50"/>
      <c r="G591" s="50"/>
      <c r="H591" s="50"/>
      <c r="I591" s="50"/>
      <c r="J591" s="50"/>
      <c r="K591" s="50"/>
      <c r="L591" s="50"/>
      <c r="M591" s="50"/>
      <c r="N591" s="50"/>
      <c r="O591" s="50"/>
      <c r="P591" s="50"/>
      <c r="Q591" s="50"/>
      <c r="R591" s="50"/>
      <c r="S591" s="50"/>
      <c r="T591" s="50"/>
      <c r="U591" s="50"/>
      <c r="V591" s="50"/>
      <c r="W591" s="50"/>
      <c r="X591" s="50"/>
      <c r="Y591" s="50"/>
      <c r="Z591" s="50"/>
      <c r="AA591" s="50"/>
      <c r="AB591" s="50"/>
      <c r="AC591" s="50"/>
      <c r="AD591" s="50"/>
    </row>
    <row r="592">
      <c r="A592" s="49"/>
      <c r="B592" s="49"/>
      <c r="C592" s="49"/>
      <c r="D592" s="49"/>
      <c r="E592" s="50"/>
      <c r="F592" s="50"/>
      <c r="G592" s="50"/>
      <c r="H592" s="50"/>
      <c r="I592" s="50"/>
      <c r="J592" s="50"/>
      <c r="K592" s="50"/>
      <c r="L592" s="50"/>
      <c r="M592" s="50"/>
      <c r="N592" s="50"/>
      <c r="O592" s="50"/>
      <c r="P592" s="50"/>
      <c r="Q592" s="50"/>
      <c r="R592" s="50"/>
      <c r="S592" s="50"/>
      <c r="T592" s="50"/>
      <c r="U592" s="50"/>
      <c r="V592" s="50"/>
      <c r="W592" s="50"/>
      <c r="X592" s="50"/>
      <c r="Y592" s="50"/>
      <c r="Z592" s="50"/>
      <c r="AA592" s="50"/>
      <c r="AB592" s="50"/>
      <c r="AC592" s="50"/>
      <c r="AD592" s="50"/>
    </row>
    <row r="593">
      <c r="A593" s="49"/>
      <c r="B593" s="49"/>
      <c r="C593" s="49"/>
      <c r="D593" s="49"/>
      <c r="E593" s="50"/>
      <c r="F593" s="50"/>
      <c r="G593" s="50"/>
      <c r="H593" s="50"/>
      <c r="I593" s="50"/>
      <c r="J593" s="50"/>
      <c r="K593" s="50"/>
      <c r="L593" s="50"/>
      <c r="M593" s="50"/>
      <c r="N593" s="50"/>
      <c r="O593" s="50"/>
      <c r="P593" s="50"/>
      <c r="Q593" s="50"/>
      <c r="R593" s="50"/>
      <c r="S593" s="50"/>
      <c r="T593" s="50"/>
      <c r="U593" s="50"/>
      <c r="V593" s="50"/>
      <c r="W593" s="50"/>
      <c r="X593" s="50"/>
      <c r="Y593" s="50"/>
      <c r="Z593" s="50"/>
      <c r="AA593" s="50"/>
      <c r="AB593" s="50"/>
      <c r="AC593" s="50"/>
      <c r="AD593" s="50"/>
    </row>
    <row r="594">
      <c r="A594" s="49"/>
      <c r="B594" s="49"/>
      <c r="C594" s="49"/>
      <c r="D594" s="49"/>
      <c r="E594" s="50"/>
      <c r="F594" s="50"/>
      <c r="G594" s="50"/>
      <c r="H594" s="50"/>
      <c r="I594" s="50"/>
      <c r="J594" s="50"/>
      <c r="K594" s="50"/>
      <c r="L594" s="50"/>
      <c r="M594" s="50"/>
      <c r="N594" s="50"/>
      <c r="O594" s="50"/>
      <c r="P594" s="50"/>
      <c r="Q594" s="50"/>
      <c r="R594" s="50"/>
      <c r="S594" s="50"/>
      <c r="T594" s="50"/>
      <c r="U594" s="50"/>
      <c r="V594" s="50"/>
      <c r="W594" s="50"/>
      <c r="X594" s="50"/>
      <c r="Y594" s="50"/>
      <c r="Z594" s="50"/>
      <c r="AA594" s="50"/>
      <c r="AB594" s="50"/>
      <c r="AC594" s="50"/>
      <c r="AD594" s="50"/>
    </row>
    <row r="595">
      <c r="A595" s="49"/>
      <c r="B595" s="49"/>
      <c r="C595" s="49"/>
      <c r="D595" s="49"/>
      <c r="E595" s="50"/>
      <c r="F595" s="50"/>
      <c r="G595" s="50"/>
      <c r="H595" s="50"/>
      <c r="I595" s="50"/>
      <c r="J595" s="50"/>
      <c r="K595" s="50"/>
      <c r="L595" s="50"/>
      <c r="M595" s="50"/>
      <c r="N595" s="50"/>
      <c r="O595" s="50"/>
      <c r="P595" s="50"/>
      <c r="Q595" s="50"/>
      <c r="R595" s="50"/>
      <c r="S595" s="50"/>
      <c r="T595" s="50"/>
      <c r="U595" s="50"/>
      <c r="V595" s="50"/>
      <c r="W595" s="50"/>
      <c r="X595" s="50"/>
      <c r="Y595" s="50"/>
      <c r="Z595" s="50"/>
      <c r="AA595" s="50"/>
      <c r="AB595" s="50"/>
      <c r="AC595" s="50"/>
      <c r="AD595" s="50"/>
    </row>
    <row r="596">
      <c r="A596" s="49"/>
      <c r="B596" s="49"/>
      <c r="C596" s="49"/>
      <c r="D596" s="49"/>
      <c r="E596" s="50"/>
      <c r="F596" s="50"/>
      <c r="G596" s="50"/>
      <c r="H596" s="50"/>
      <c r="I596" s="50"/>
      <c r="J596" s="50"/>
      <c r="K596" s="50"/>
      <c r="L596" s="50"/>
      <c r="M596" s="50"/>
      <c r="N596" s="50"/>
      <c r="O596" s="50"/>
      <c r="P596" s="50"/>
      <c r="Q596" s="50"/>
      <c r="R596" s="50"/>
      <c r="S596" s="50"/>
      <c r="T596" s="50"/>
      <c r="U596" s="50"/>
      <c r="V596" s="50"/>
      <c r="W596" s="50"/>
      <c r="X596" s="50"/>
      <c r="Y596" s="50"/>
      <c r="Z596" s="50"/>
      <c r="AA596" s="50"/>
      <c r="AB596" s="50"/>
      <c r="AC596" s="50"/>
      <c r="AD596" s="50"/>
    </row>
    <row r="597">
      <c r="A597" s="49"/>
      <c r="B597" s="49"/>
      <c r="C597" s="49"/>
      <c r="D597" s="49"/>
      <c r="E597" s="50"/>
      <c r="F597" s="50"/>
      <c r="G597" s="50"/>
      <c r="H597" s="50"/>
      <c r="I597" s="50"/>
      <c r="J597" s="50"/>
      <c r="K597" s="50"/>
      <c r="L597" s="50"/>
      <c r="M597" s="50"/>
      <c r="N597" s="50"/>
      <c r="O597" s="50"/>
      <c r="P597" s="50"/>
      <c r="Q597" s="50"/>
      <c r="R597" s="50"/>
      <c r="S597" s="50"/>
      <c r="T597" s="50"/>
      <c r="U597" s="50"/>
      <c r="V597" s="50"/>
      <c r="W597" s="50"/>
      <c r="X597" s="50"/>
      <c r="Y597" s="50"/>
      <c r="Z597" s="50"/>
      <c r="AA597" s="50"/>
      <c r="AB597" s="50"/>
      <c r="AC597" s="50"/>
      <c r="AD597" s="50"/>
    </row>
    <row r="598">
      <c r="A598" s="49"/>
      <c r="B598" s="49"/>
      <c r="C598" s="49"/>
      <c r="D598" s="49"/>
      <c r="E598" s="50"/>
      <c r="F598" s="50"/>
      <c r="G598" s="50"/>
      <c r="H598" s="50"/>
      <c r="I598" s="50"/>
      <c r="J598" s="50"/>
      <c r="K598" s="50"/>
      <c r="L598" s="50"/>
      <c r="M598" s="50"/>
      <c r="N598" s="50"/>
      <c r="O598" s="50"/>
      <c r="P598" s="50"/>
      <c r="Q598" s="50"/>
      <c r="R598" s="50"/>
      <c r="S598" s="50"/>
      <c r="T598" s="50"/>
      <c r="U598" s="50"/>
      <c r="V598" s="50"/>
      <c r="W598" s="50"/>
      <c r="X598" s="50"/>
      <c r="Y598" s="50"/>
      <c r="Z598" s="50"/>
      <c r="AA598" s="50"/>
      <c r="AB598" s="50"/>
      <c r="AC598" s="50"/>
      <c r="AD598" s="50"/>
    </row>
    <row r="599">
      <c r="A599" s="49"/>
      <c r="B599" s="49"/>
      <c r="C599" s="49"/>
      <c r="D599" s="49"/>
      <c r="E599" s="50"/>
      <c r="F599" s="50"/>
      <c r="G599" s="50"/>
      <c r="H599" s="50"/>
      <c r="I599" s="50"/>
      <c r="J599" s="50"/>
      <c r="K599" s="50"/>
      <c r="L599" s="50"/>
      <c r="M599" s="50"/>
      <c r="N599" s="50"/>
      <c r="O599" s="50"/>
      <c r="P599" s="50"/>
      <c r="Q599" s="50"/>
      <c r="R599" s="50"/>
      <c r="S599" s="50"/>
      <c r="T599" s="50"/>
      <c r="U599" s="50"/>
      <c r="V599" s="50"/>
      <c r="W599" s="50"/>
      <c r="X599" s="50"/>
      <c r="Y599" s="50"/>
      <c r="Z599" s="50"/>
      <c r="AA599" s="50"/>
      <c r="AB599" s="50"/>
      <c r="AC599" s="50"/>
      <c r="AD599" s="50"/>
    </row>
    <row r="600">
      <c r="A600" s="49"/>
      <c r="B600" s="49"/>
      <c r="C600" s="49"/>
      <c r="D600" s="49"/>
      <c r="E600" s="50"/>
      <c r="F600" s="50"/>
      <c r="G600" s="50"/>
      <c r="H600" s="50"/>
      <c r="I600" s="50"/>
      <c r="J600" s="50"/>
      <c r="K600" s="50"/>
      <c r="L600" s="50"/>
      <c r="M600" s="50"/>
      <c r="N600" s="50"/>
      <c r="O600" s="50"/>
      <c r="P600" s="50"/>
      <c r="Q600" s="50"/>
      <c r="R600" s="50"/>
      <c r="S600" s="50"/>
      <c r="T600" s="50"/>
      <c r="U600" s="50"/>
      <c r="V600" s="50"/>
      <c r="W600" s="50"/>
      <c r="X600" s="50"/>
      <c r="Y600" s="50"/>
      <c r="Z600" s="50"/>
      <c r="AA600" s="50"/>
      <c r="AB600" s="50"/>
      <c r="AC600" s="50"/>
      <c r="AD600" s="50"/>
    </row>
    <row r="601">
      <c r="A601" s="49"/>
      <c r="B601" s="49"/>
      <c r="C601" s="49"/>
      <c r="D601" s="49"/>
      <c r="E601" s="50"/>
      <c r="F601" s="50"/>
      <c r="G601" s="50"/>
      <c r="H601" s="50"/>
      <c r="I601" s="50"/>
      <c r="J601" s="50"/>
      <c r="K601" s="50"/>
      <c r="L601" s="50"/>
      <c r="M601" s="50"/>
      <c r="N601" s="50"/>
      <c r="O601" s="50"/>
      <c r="P601" s="50"/>
      <c r="Q601" s="50"/>
      <c r="R601" s="50"/>
      <c r="S601" s="50"/>
      <c r="T601" s="50"/>
      <c r="U601" s="50"/>
      <c r="V601" s="50"/>
      <c r="W601" s="50"/>
      <c r="X601" s="50"/>
      <c r="Y601" s="50"/>
      <c r="Z601" s="50"/>
      <c r="AA601" s="50"/>
      <c r="AB601" s="50"/>
      <c r="AC601" s="50"/>
      <c r="AD601" s="50"/>
    </row>
    <row r="602">
      <c r="A602" s="49"/>
      <c r="B602" s="49"/>
      <c r="C602" s="49"/>
      <c r="D602" s="49"/>
      <c r="E602" s="50"/>
      <c r="F602" s="50"/>
      <c r="G602" s="50"/>
      <c r="H602" s="50"/>
      <c r="I602" s="50"/>
      <c r="J602" s="50"/>
      <c r="K602" s="50"/>
      <c r="L602" s="50"/>
      <c r="M602" s="50"/>
      <c r="N602" s="50"/>
      <c r="O602" s="50"/>
      <c r="P602" s="50"/>
      <c r="Q602" s="50"/>
      <c r="R602" s="50"/>
      <c r="S602" s="50"/>
      <c r="T602" s="50"/>
      <c r="U602" s="50"/>
      <c r="V602" s="50"/>
      <c r="W602" s="50"/>
      <c r="X602" s="50"/>
      <c r="Y602" s="50"/>
      <c r="Z602" s="50"/>
      <c r="AA602" s="50"/>
      <c r="AB602" s="50"/>
      <c r="AC602" s="50"/>
      <c r="AD602" s="50"/>
    </row>
    <row r="603">
      <c r="A603" s="49"/>
      <c r="B603" s="49"/>
      <c r="C603" s="49"/>
      <c r="D603" s="49"/>
      <c r="E603" s="50"/>
      <c r="F603" s="50"/>
      <c r="G603" s="50"/>
      <c r="H603" s="50"/>
      <c r="I603" s="50"/>
      <c r="J603" s="50"/>
      <c r="K603" s="50"/>
      <c r="L603" s="50"/>
      <c r="M603" s="50"/>
      <c r="N603" s="50"/>
      <c r="O603" s="50"/>
      <c r="P603" s="50"/>
      <c r="Q603" s="50"/>
      <c r="R603" s="50"/>
      <c r="S603" s="50"/>
      <c r="T603" s="50"/>
      <c r="U603" s="50"/>
      <c r="V603" s="50"/>
      <c r="W603" s="50"/>
      <c r="X603" s="50"/>
      <c r="Y603" s="50"/>
      <c r="Z603" s="50"/>
      <c r="AA603" s="50"/>
      <c r="AB603" s="50"/>
      <c r="AC603" s="50"/>
      <c r="AD603" s="50"/>
    </row>
    <row r="604">
      <c r="A604" s="49"/>
      <c r="B604" s="49"/>
      <c r="C604" s="49"/>
      <c r="D604" s="49"/>
      <c r="E604" s="50"/>
      <c r="F604" s="50"/>
      <c r="G604" s="50"/>
      <c r="H604" s="50"/>
      <c r="I604" s="50"/>
      <c r="J604" s="50"/>
      <c r="K604" s="50"/>
      <c r="L604" s="50"/>
      <c r="M604" s="50"/>
      <c r="N604" s="50"/>
      <c r="O604" s="50"/>
      <c r="P604" s="50"/>
      <c r="Q604" s="50"/>
      <c r="R604" s="50"/>
      <c r="S604" s="50"/>
      <c r="T604" s="50"/>
      <c r="U604" s="50"/>
      <c r="V604" s="50"/>
      <c r="W604" s="50"/>
      <c r="X604" s="50"/>
      <c r="Y604" s="50"/>
      <c r="Z604" s="50"/>
      <c r="AA604" s="50"/>
      <c r="AB604" s="50"/>
      <c r="AC604" s="50"/>
      <c r="AD604" s="50"/>
    </row>
    <row r="605">
      <c r="A605" s="49"/>
      <c r="B605" s="49"/>
      <c r="C605" s="49"/>
      <c r="D605" s="49"/>
      <c r="E605" s="50"/>
      <c r="F605" s="50"/>
      <c r="G605" s="50"/>
      <c r="H605" s="50"/>
      <c r="I605" s="50"/>
      <c r="J605" s="50"/>
      <c r="K605" s="50"/>
      <c r="L605" s="50"/>
      <c r="M605" s="50"/>
      <c r="N605" s="50"/>
      <c r="O605" s="50"/>
      <c r="P605" s="50"/>
      <c r="Q605" s="50"/>
      <c r="R605" s="50"/>
      <c r="S605" s="50"/>
      <c r="T605" s="50"/>
      <c r="U605" s="50"/>
      <c r="V605" s="50"/>
      <c r="W605" s="50"/>
      <c r="X605" s="50"/>
      <c r="Y605" s="50"/>
      <c r="Z605" s="50"/>
      <c r="AA605" s="50"/>
      <c r="AB605" s="50"/>
      <c r="AC605" s="50"/>
      <c r="AD605" s="50"/>
    </row>
    <row r="606">
      <c r="A606" s="49"/>
      <c r="B606" s="49"/>
      <c r="C606" s="49"/>
      <c r="D606" s="49"/>
      <c r="E606" s="50"/>
      <c r="F606" s="50"/>
      <c r="G606" s="50"/>
      <c r="H606" s="50"/>
      <c r="I606" s="50"/>
      <c r="J606" s="50"/>
      <c r="K606" s="50"/>
      <c r="L606" s="50"/>
      <c r="M606" s="50"/>
      <c r="N606" s="50"/>
      <c r="O606" s="50"/>
      <c r="P606" s="50"/>
      <c r="Q606" s="50"/>
      <c r="R606" s="50"/>
      <c r="S606" s="50"/>
      <c r="T606" s="50"/>
      <c r="U606" s="50"/>
      <c r="V606" s="50"/>
      <c r="W606" s="50"/>
      <c r="X606" s="50"/>
      <c r="Y606" s="50"/>
      <c r="Z606" s="50"/>
      <c r="AA606" s="50"/>
      <c r="AB606" s="50"/>
      <c r="AC606" s="50"/>
      <c r="AD606" s="50"/>
    </row>
    <row r="607">
      <c r="A607" s="49"/>
      <c r="B607" s="49"/>
      <c r="C607" s="49"/>
      <c r="D607" s="49"/>
      <c r="E607" s="50"/>
      <c r="F607" s="50"/>
      <c r="G607" s="50"/>
      <c r="H607" s="50"/>
      <c r="I607" s="50"/>
      <c r="J607" s="50"/>
      <c r="K607" s="50"/>
      <c r="L607" s="50"/>
      <c r="M607" s="50"/>
      <c r="N607" s="50"/>
      <c r="O607" s="50"/>
      <c r="P607" s="50"/>
      <c r="Q607" s="50"/>
      <c r="R607" s="50"/>
      <c r="S607" s="50"/>
      <c r="T607" s="50"/>
      <c r="U607" s="50"/>
      <c r="V607" s="50"/>
      <c r="W607" s="50"/>
      <c r="X607" s="50"/>
      <c r="Y607" s="50"/>
      <c r="Z607" s="50"/>
      <c r="AA607" s="50"/>
      <c r="AB607" s="50"/>
      <c r="AC607" s="50"/>
      <c r="AD607" s="50"/>
    </row>
    <row r="608">
      <c r="A608" s="49"/>
      <c r="B608" s="49"/>
      <c r="C608" s="49"/>
      <c r="D608" s="49"/>
      <c r="E608" s="50"/>
      <c r="F608" s="50"/>
      <c r="G608" s="50"/>
      <c r="H608" s="50"/>
      <c r="I608" s="50"/>
      <c r="J608" s="50"/>
      <c r="K608" s="50"/>
      <c r="L608" s="50"/>
      <c r="M608" s="50"/>
      <c r="N608" s="50"/>
      <c r="O608" s="50"/>
      <c r="P608" s="50"/>
      <c r="Q608" s="50"/>
      <c r="R608" s="50"/>
      <c r="S608" s="50"/>
      <c r="T608" s="50"/>
      <c r="U608" s="50"/>
      <c r="V608" s="50"/>
      <c r="W608" s="50"/>
      <c r="X608" s="50"/>
      <c r="Y608" s="50"/>
      <c r="Z608" s="50"/>
      <c r="AA608" s="50"/>
      <c r="AB608" s="50"/>
      <c r="AC608" s="50"/>
      <c r="AD608" s="50"/>
    </row>
    <row r="609">
      <c r="A609" s="49"/>
      <c r="B609" s="49"/>
      <c r="C609" s="49"/>
      <c r="D609" s="49"/>
      <c r="E609" s="50"/>
      <c r="F609" s="50"/>
      <c r="G609" s="50"/>
      <c r="H609" s="50"/>
      <c r="I609" s="50"/>
      <c r="J609" s="50"/>
      <c r="K609" s="50"/>
      <c r="L609" s="50"/>
      <c r="M609" s="50"/>
      <c r="N609" s="50"/>
      <c r="O609" s="50"/>
      <c r="P609" s="50"/>
      <c r="Q609" s="50"/>
      <c r="R609" s="50"/>
      <c r="S609" s="50"/>
      <c r="T609" s="50"/>
      <c r="U609" s="50"/>
      <c r="V609" s="50"/>
      <c r="W609" s="50"/>
      <c r="X609" s="50"/>
      <c r="Y609" s="50"/>
      <c r="Z609" s="50"/>
      <c r="AA609" s="50"/>
      <c r="AB609" s="50"/>
      <c r="AC609" s="50"/>
      <c r="AD609" s="50"/>
    </row>
    <row r="610">
      <c r="A610" s="49"/>
      <c r="B610" s="49"/>
      <c r="C610" s="49"/>
      <c r="D610" s="49"/>
      <c r="E610" s="50"/>
      <c r="F610" s="50"/>
      <c r="G610" s="50"/>
      <c r="H610" s="50"/>
      <c r="I610" s="50"/>
      <c r="J610" s="50"/>
      <c r="K610" s="50"/>
      <c r="L610" s="50"/>
      <c r="M610" s="50"/>
      <c r="N610" s="50"/>
      <c r="O610" s="50"/>
      <c r="P610" s="50"/>
      <c r="Q610" s="50"/>
      <c r="R610" s="50"/>
      <c r="S610" s="50"/>
      <c r="T610" s="50"/>
      <c r="U610" s="50"/>
      <c r="V610" s="50"/>
      <c r="W610" s="50"/>
      <c r="X610" s="50"/>
      <c r="Y610" s="50"/>
      <c r="Z610" s="50"/>
      <c r="AA610" s="50"/>
      <c r="AB610" s="50"/>
      <c r="AC610" s="50"/>
      <c r="AD610" s="50"/>
    </row>
    <row r="611">
      <c r="A611" s="49"/>
      <c r="B611" s="49"/>
      <c r="C611" s="49"/>
      <c r="D611" s="49"/>
      <c r="E611" s="50"/>
      <c r="F611" s="50"/>
      <c r="G611" s="50"/>
      <c r="H611" s="50"/>
      <c r="I611" s="50"/>
      <c r="J611" s="50"/>
      <c r="K611" s="50"/>
      <c r="L611" s="50"/>
      <c r="M611" s="50"/>
      <c r="N611" s="50"/>
      <c r="O611" s="50"/>
      <c r="P611" s="50"/>
      <c r="Q611" s="50"/>
      <c r="R611" s="50"/>
      <c r="S611" s="50"/>
      <c r="T611" s="50"/>
      <c r="U611" s="50"/>
      <c r="V611" s="50"/>
      <c r="W611" s="50"/>
      <c r="X611" s="50"/>
      <c r="Y611" s="50"/>
      <c r="Z611" s="50"/>
      <c r="AA611" s="50"/>
      <c r="AB611" s="50"/>
      <c r="AC611" s="50"/>
      <c r="AD611" s="50"/>
    </row>
    <row r="612">
      <c r="A612" s="49"/>
      <c r="B612" s="49"/>
      <c r="C612" s="49"/>
      <c r="D612" s="49"/>
      <c r="E612" s="50"/>
      <c r="F612" s="50"/>
      <c r="G612" s="50"/>
      <c r="H612" s="50"/>
      <c r="I612" s="50"/>
      <c r="J612" s="50"/>
      <c r="K612" s="50"/>
      <c r="L612" s="50"/>
      <c r="M612" s="50"/>
      <c r="N612" s="50"/>
      <c r="O612" s="50"/>
      <c r="P612" s="50"/>
      <c r="Q612" s="50"/>
      <c r="R612" s="50"/>
      <c r="S612" s="50"/>
      <c r="T612" s="50"/>
      <c r="U612" s="50"/>
      <c r="V612" s="50"/>
      <c r="W612" s="50"/>
      <c r="X612" s="50"/>
      <c r="Y612" s="50"/>
      <c r="Z612" s="50"/>
      <c r="AA612" s="50"/>
      <c r="AB612" s="50"/>
      <c r="AC612" s="50"/>
      <c r="AD612" s="50"/>
    </row>
    <row r="613">
      <c r="A613" s="49"/>
      <c r="B613" s="49"/>
      <c r="C613" s="49"/>
      <c r="D613" s="49"/>
      <c r="E613" s="50"/>
      <c r="F613" s="50"/>
      <c r="G613" s="50"/>
      <c r="H613" s="50"/>
      <c r="I613" s="50"/>
      <c r="J613" s="50"/>
      <c r="K613" s="50"/>
      <c r="L613" s="50"/>
      <c r="M613" s="50"/>
      <c r="N613" s="50"/>
      <c r="O613" s="50"/>
      <c r="P613" s="50"/>
      <c r="Q613" s="50"/>
      <c r="R613" s="50"/>
      <c r="S613" s="50"/>
      <c r="T613" s="50"/>
      <c r="U613" s="50"/>
      <c r="V613" s="50"/>
      <c r="W613" s="50"/>
      <c r="X613" s="50"/>
      <c r="Y613" s="50"/>
      <c r="Z613" s="50"/>
      <c r="AA613" s="50"/>
      <c r="AB613" s="50"/>
      <c r="AC613" s="50"/>
      <c r="AD613" s="50"/>
    </row>
    <row r="614">
      <c r="A614" s="49"/>
      <c r="B614" s="49"/>
      <c r="C614" s="49"/>
      <c r="D614" s="49"/>
      <c r="E614" s="50"/>
      <c r="F614" s="50"/>
      <c r="G614" s="50"/>
      <c r="H614" s="50"/>
      <c r="I614" s="50"/>
      <c r="J614" s="50"/>
      <c r="K614" s="50"/>
      <c r="L614" s="50"/>
      <c r="M614" s="50"/>
      <c r="N614" s="50"/>
      <c r="O614" s="50"/>
      <c r="P614" s="50"/>
      <c r="Q614" s="50"/>
      <c r="R614" s="50"/>
      <c r="S614" s="50"/>
      <c r="T614" s="50"/>
      <c r="U614" s="50"/>
      <c r="V614" s="50"/>
      <c r="W614" s="50"/>
      <c r="X614" s="50"/>
      <c r="Y614" s="50"/>
      <c r="Z614" s="50"/>
      <c r="AA614" s="50"/>
      <c r="AB614" s="50"/>
      <c r="AC614" s="50"/>
      <c r="AD614" s="50"/>
    </row>
    <row r="615">
      <c r="A615" s="49"/>
      <c r="B615" s="49"/>
      <c r="C615" s="49"/>
      <c r="D615" s="49"/>
      <c r="E615" s="50"/>
      <c r="F615" s="50"/>
      <c r="G615" s="50"/>
      <c r="H615" s="50"/>
      <c r="I615" s="50"/>
      <c r="J615" s="50"/>
      <c r="K615" s="50"/>
      <c r="L615" s="50"/>
      <c r="M615" s="50"/>
      <c r="N615" s="50"/>
      <c r="O615" s="50"/>
      <c r="P615" s="50"/>
      <c r="Q615" s="50"/>
      <c r="R615" s="50"/>
      <c r="S615" s="50"/>
      <c r="T615" s="50"/>
      <c r="U615" s="50"/>
      <c r="V615" s="50"/>
      <c r="W615" s="50"/>
      <c r="X615" s="50"/>
      <c r="Y615" s="50"/>
      <c r="Z615" s="50"/>
      <c r="AA615" s="50"/>
      <c r="AB615" s="50"/>
      <c r="AC615" s="50"/>
      <c r="AD615" s="50"/>
    </row>
    <row r="616">
      <c r="A616" s="49"/>
      <c r="B616" s="49"/>
      <c r="C616" s="49"/>
      <c r="D616" s="49"/>
      <c r="E616" s="50"/>
      <c r="F616" s="50"/>
      <c r="G616" s="50"/>
      <c r="H616" s="50"/>
      <c r="I616" s="50"/>
      <c r="J616" s="50"/>
      <c r="K616" s="50"/>
      <c r="L616" s="50"/>
      <c r="M616" s="50"/>
      <c r="N616" s="50"/>
      <c r="O616" s="50"/>
      <c r="P616" s="50"/>
      <c r="Q616" s="50"/>
      <c r="R616" s="50"/>
      <c r="S616" s="50"/>
      <c r="T616" s="50"/>
      <c r="U616" s="50"/>
      <c r="V616" s="50"/>
      <c r="W616" s="50"/>
      <c r="X616" s="50"/>
      <c r="Y616" s="50"/>
      <c r="Z616" s="50"/>
      <c r="AA616" s="50"/>
      <c r="AB616" s="50"/>
      <c r="AC616" s="50"/>
      <c r="AD616" s="50"/>
    </row>
    <row r="617">
      <c r="A617" s="49"/>
      <c r="B617" s="49"/>
      <c r="C617" s="49"/>
      <c r="D617" s="49"/>
      <c r="E617" s="50"/>
      <c r="F617" s="50"/>
      <c r="G617" s="50"/>
      <c r="H617" s="50"/>
      <c r="I617" s="50"/>
      <c r="J617" s="50"/>
      <c r="K617" s="50"/>
      <c r="L617" s="50"/>
      <c r="M617" s="50"/>
      <c r="N617" s="50"/>
      <c r="O617" s="50"/>
      <c r="P617" s="50"/>
      <c r="Q617" s="50"/>
      <c r="R617" s="50"/>
      <c r="S617" s="50"/>
      <c r="T617" s="50"/>
      <c r="U617" s="50"/>
      <c r="V617" s="50"/>
      <c r="W617" s="50"/>
      <c r="X617" s="50"/>
      <c r="Y617" s="50"/>
      <c r="Z617" s="50"/>
      <c r="AA617" s="50"/>
      <c r="AB617" s="50"/>
      <c r="AC617" s="50"/>
      <c r="AD617" s="50"/>
    </row>
    <row r="618">
      <c r="A618" s="49"/>
      <c r="B618" s="49"/>
      <c r="C618" s="49"/>
      <c r="D618" s="49"/>
      <c r="E618" s="50"/>
      <c r="F618" s="50"/>
      <c r="G618" s="50"/>
      <c r="H618" s="50"/>
      <c r="I618" s="50"/>
      <c r="J618" s="50"/>
      <c r="K618" s="50"/>
      <c r="L618" s="50"/>
      <c r="M618" s="50"/>
      <c r="N618" s="50"/>
      <c r="O618" s="50"/>
      <c r="P618" s="50"/>
      <c r="Q618" s="50"/>
      <c r="R618" s="50"/>
      <c r="S618" s="50"/>
      <c r="T618" s="50"/>
      <c r="U618" s="50"/>
      <c r="V618" s="50"/>
      <c r="W618" s="50"/>
      <c r="X618" s="50"/>
      <c r="Y618" s="50"/>
      <c r="Z618" s="50"/>
      <c r="AA618" s="50"/>
      <c r="AB618" s="50"/>
      <c r="AC618" s="50"/>
      <c r="AD618" s="50"/>
    </row>
    <row r="619">
      <c r="A619" s="49"/>
      <c r="B619" s="49"/>
      <c r="C619" s="49"/>
      <c r="D619" s="49"/>
      <c r="E619" s="50"/>
      <c r="F619" s="50"/>
      <c r="G619" s="50"/>
      <c r="H619" s="50"/>
      <c r="I619" s="50"/>
      <c r="J619" s="50"/>
      <c r="K619" s="50"/>
      <c r="L619" s="50"/>
      <c r="M619" s="50"/>
      <c r="N619" s="50"/>
      <c r="O619" s="50"/>
      <c r="P619" s="50"/>
      <c r="Q619" s="50"/>
      <c r="R619" s="50"/>
      <c r="S619" s="50"/>
      <c r="T619" s="50"/>
      <c r="U619" s="50"/>
      <c r="V619" s="50"/>
      <c r="W619" s="50"/>
      <c r="X619" s="50"/>
      <c r="Y619" s="50"/>
      <c r="Z619" s="50"/>
      <c r="AA619" s="50"/>
      <c r="AB619" s="50"/>
      <c r="AC619" s="50"/>
      <c r="AD619" s="50"/>
    </row>
    <row r="620">
      <c r="A620" s="49"/>
      <c r="B620" s="49"/>
      <c r="C620" s="49"/>
      <c r="D620" s="49"/>
      <c r="E620" s="50"/>
      <c r="F620" s="50"/>
      <c r="G620" s="50"/>
      <c r="H620" s="50"/>
      <c r="I620" s="50"/>
      <c r="J620" s="50"/>
      <c r="K620" s="50"/>
      <c r="L620" s="50"/>
      <c r="M620" s="50"/>
      <c r="N620" s="50"/>
      <c r="O620" s="50"/>
      <c r="P620" s="50"/>
      <c r="Q620" s="50"/>
      <c r="R620" s="50"/>
      <c r="S620" s="50"/>
      <c r="T620" s="50"/>
      <c r="U620" s="50"/>
      <c r="V620" s="50"/>
      <c r="W620" s="50"/>
      <c r="X620" s="50"/>
      <c r="Y620" s="50"/>
      <c r="Z620" s="50"/>
      <c r="AA620" s="50"/>
      <c r="AB620" s="50"/>
      <c r="AC620" s="50"/>
      <c r="AD620" s="50"/>
    </row>
    <row r="621">
      <c r="A621" s="49"/>
      <c r="B621" s="49"/>
      <c r="C621" s="49"/>
      <c r="D621" s="49"/>
      <c r="E621" s="50"/>
      <c r="F621" s="50"/>
      <c r="G621" s="50"/>
      <c r="H621" s="50"/>
      <c r="I621" s="50"/>
      <c r="J621" s="50"/>
      <c r="K621" s="50"/>
      <c r="L621" s="50"/>
      <c r="M621" s="50"/>
      <c r="N621" s="50"/>
      <c r="O621" s="50"/>
      <c r="P621" s="50"/>
      <c r="Q621" s="50"/>
      <c r="R621" s="50"/>
      <c r="S621" s="50"/>
      <c r="T621" s="50"/>
      <c r="U621" s="50"/>
      <c r="V621" s="50"/>
      <c r="W621" s="50"/>
      <c r="X621" s="50"/>
      <c r="Y621" s="50"/>
      <c r="Z621" s="50"/>
      <c r="AA621" s="50"/>
      <c r="AB621" s="50"/>
      <c r="AC621" s="50"/>
      <c r="AD621" s="50"/>
    </row>
    <row r="622">
      <c r="A622" s="49"/>
      <c r="B622" s="49"/>
      <c r="C622" s="49"/>
      <c r="D622" s="49"/>
      <c r="E622" s="50"/>
      <c r="F622" s="50"/>
      <c r="G622" s="50"/>
      <c r="H622" s="50"/>
      <c r="I622" s="50"/>
      <c r="J622" s="50"/>
      <c r="K622" s="50"/>
      <c r="L622" s="50"/>
      <c r="M622" s="50"/>
      <c r="N622" s="50"/>
      <c r="O622" s="50"/>
      <c r="P622" s="50"/>
      <c r="Q622" s="50"/>
      <c r="R622" s="50"/>
      <c r="S622" s="50"/>
      <c r="T622" s="50"/>
      <c r="U622" s="50"/>
      <c r="V622" s="50"/>
      <c r="W622" s="50"/>
      <c r="X622" s="50"/>
      <c r="Y622" s="50"/>
      <c r="Z622" s="50"/>
      <c r="AA622" s="50"/>
      <c r="AB622" s="50"/>
      <c r="AC622" s="50"/>
      <c r="AD622" s="50"/>
    </row>
    <row r="623">
      <c r="A623" s="49"/>
      <c r="B623" s="49"/>
      <c r="C623" s="49"/>
      <c r="D623" s="49"/>
      <c r="E623" s="50"/>
      <c r="F623" s="50"/>
      <c r="G623" s="50"/>
      <c r="H623" s="50"/>
      <c r="I623" s="50"/>
      <c r="J623" s="50"/>
      <c r="K623" s="50"/>
      <c r="L623" s="50"/>
      <c r="M623" s="50"/>
      <c r="N623" s="50"/>
      <c r="O623" s="50"/>
      <c r="P623" s="50"/>
      <c r="Q623" s="50"/>
      <c r="R623" s="50"/>
      <c r="S623" s="50"/>
      <c r="T623" s="50"/>
      <c r="U623" s="50"/>
      <c r="V623" s="50"/>
      <c r="W623" s="50"/>
      <c r="X623" s="50"/>
      <c r="Y623" s="50"/>
      <c r="Z623" s="50"/>
      <c r="AA623" s="50"/>
      <c r="AB623" s="50"/>
      <c r="AC623" s="50"/>
      <c r="AD623" s="50"/>
    </row>
    <row r="624">
      <c r="A624" s="49"/>
      <c r="B624" s="49"/>
      <c r="C624" s="49"/>
      <c r="D624" s="49"/>
      <c r="E624" s="50"/>
      <c r="F624" s="50"/>
      <c r="G624" s="50"/>
      <c r="H624" s="50"/>
      <c r="I624" s="50"/>
      <c r="J624" s="50"/>
      <c r="K624" s="50"/>
      <c r="L624" s="50"/>
      <c r="M624" s="50"/>
      <c r="N624" s="50"/>
      <c r="O624" s="50"/>
      <c r="P624" s="50"/>
      <c r="Q624" s="50"/>
      <c r="R624" s="50"/>
      <c r="S624" s="50"/>
      <c r="T624" s="50"/>
      <c r="U624" s="50"/>
      <c r="V624" s="50"/>
      <c r="W624" s="50"/>
      <c r="X624" s="50"/>
      <c r="Y624" s="50"/>
      <c r="Z624" s="50"/>
      <c r="AA624" s="50"/>
      <c r="AB624" s="50"/>
      <c r="AC624" s="50"/>
      <c r="AD624" s="50"/>
    </row>
    <row r="625">
      <c r="A625" s="49"/>
      <c r="B625" s="49"/>
      <c r="C625" s="49"/>
      <c r="D625" s="49"/>
      <c r="E625" s="50"/>
      <c r="F625" s="50"/>
      <c r="G625" s="50"/>
      <c r="H625" s="50"/>
      <c r="I625" s="50"/>
      <c r="J625" s="50"/>
      <c r="K625" s="50"/>
      <c r="L625" s="50"/>
      <c r="M625" s="50"/>
      <c r="N625" s="50"/>
      <c r="O625" s="50"/>
      <c r="P625" s="50"/>
      <c r="Q625" s="50"/>
      <c r="R625" s="50"/>
      <c r="S625" s="50"/>
      <c r="T625" s="50"/>
      <c r="U625" s="50"/>
      <c r="V625" s="50"/>
      <c r="W625" s="50"/>
      <c r="X625" s="50"/>
      <c r="Y625" s="50"/>
      <c r="Z625" s="50"/>
      <c r="AA625" s="50"/>
      <c r="AB625" s="50"/>
      <c r="AC625" s="50"/>
      <c r="AD625" s="50"/>
    </row>
    <row r="626">
      <c r="A626" s="49"/>
      <c r="B626" s="49"/>
      <c r="C626" s="49"/>
      <c r="D626" s="49"/>
      <c r="E626" s="50"/>
      <c r="F626" s="50"/>
      <c r="G626" s="50"/>
      <c r="H626" s="50"/>
      <c r="I626" s="50"/>
      <c r="J626" s="50"/>
      <c r="K626" s="50"/>
      <c r="L626" s="50"/>
      <c r="M626" s="50"/>
      <c r="N626" s="50"/>
      <c r="O626" s="50"/>
      <c r="P626" s="50"/>
      <c r="Q626" s="50"/>
      <c r="R626" s="50"/>
      <c r="S626" s="50"/>
      <c r="T626" s="50"/>
      <c r="U626" s="50"/>
      <c r="V626" s="50"/>
      <c r="W626" s="50"/>
      <c r="X626" s="50"/>
      <c r="Y626" s="50"/>
      <c r="Z626" s="50"/>
      <c r="AA626" s="50"/>
      <c r="AB626" s="50"/>
      <c r="AC626" s="50"/>
      <c r="AD626" s="50"/>
    </row>
    <row r="627">
      <c r="A627" s="49"/>
      <c r="B627" s="49"/>
      <c r="C627" s="49"/>
      <c r="D627" s="49"/>
      <c r="E627" s="50"/>
      <c r="F627" s="50"/>
      <c r="G627" s="50"/>
      <c r="H627" s="50"/>
      <c r="I627" s="50"/>
      <c r="J627" s="50"/>
      <c r="K627" s="50"/>
      <c r="L627" s="50"/>
      <c r="M627" s="50"/>
      <c r="N627" s="50"/>
      <c r="O627" s="50"/>
      <c r="P627" s="50"/>
      <c r="Q627" s="50"/>
      <c r="R627" s="50"/>
      <c r="S627" s="50"/>
      <c r="T627" s="50"/>
      <c r="U627" s="50"/>
      <c r="V627" s="50"/>
      <c r="W627" s="50"/>
      <c r="X627" s="50"/>
      <c r="Y627" s="50"/>
      <c r="Z627" s="50"/>
      <c r="AA627" s="50"/>
      <c r="AB627" s="50"/>
      <c r="AC627" s="50"/>
      <c r="AD627" s="50"/>
    </row>
    <row r="628">
      <c r="A628" s="49"/>
      <c r="B628" s="49"/>
      <c r="C628" s="49"/>
      <c r="D628" s="49"/>
      <c r="E628" s="50"/>
      <c r="F628" s="50"/>
      <c r="G628" s="50"/>
      <c r="H628" s="50"/>
      <c r="I628" s="50"/>
      <c r="J628" s="50"/>
      <c r="K628" s="50"/>
      <c r="L628" s="50"/>
      <c r="M628" s="50"/>
      <c r="N628" s="50"/>
      <c r="O628" s="50"/>
      <c r="P628" s="50"/>
      <c r="Q628" s="50"/>
      <c r="R628" s="50"/>
      <c r="S628" s="50"/>
      <c r="T628" s="50"/>
      <c r="U628" s="50"/>
      <c r="V628" s="50"/>
      <c r="W628" s="50"/>
      <c r="X628" s="50"/>
      <c r="Y628" s="50"/>
      <c r="Z628" s="50"/>
      <c r="AA628" s="50"/>
      <c r="AB628" s="50"/>
      <c r="AC628" s="50"/>
      <c r="AD628" s="50"/>
    </row>
    <row r="629">
      <c r="A629" s="49"/>
      <c r="B629" s="49"/>
      <c r="C629" s="49"/>
      <c r="D629" s="49"/>
      <c r="E629" s="50"/>
      <c r="F629" s="50"/>
      <c r="G629" s="50"/>
      <c r="H629" s="50"/>
      <c r="I629" s="50"/>
      <c r="J629" s="50"/>
      <c r="K629" s="50"/>
      <c r="L629" s="50"/>
      <c r="M629" s="50"/>
      <c r="N629" s="50"/>
      <c r="O629" s="50"/>
      <c r="P629" s="50"/>
      <c r="Q629" s="50"/>
      <c r="R629" s="50"/>
      <c r="S629" s="50"/>
      <c r="T629" s="50"/>
      <c r="U629" s="50"/>
      <c r="V629" s="50"/>
      <c r="W629" s="50"/>
      <c r="X629" s="50"/>
      <c r="Y629" s="50"/>
      <c r="Z629" s="50"/>
      <c r="AA629" s="50"/>
      <c r="AB629" s="50"/>
      <c r="AC629" s="50"/>
      <c r="AD629" s="50"/>
    </row>
    <row r="630">
      <c r="A630" s="49"/>
      <c r="B630" s="49"/>
      <c r="C630" s="49"/>
      <c r="D630" s="49"/>
      <c r="E630" s="50"/>
      <c r="F630" s="50"/>
      <c r="G630" s="50"/>
      <c r="H630" s="50"/>
      <c r="I630" s="50"/>
      <c r="J630" s="50"/>
      <c r="K630" s="50"/>
      <c r="L630" s="50"/>
      <c r="M630" s="50"/>
      <c r="N630" s="50"/>
      <c r="O630" s="50"/>
      <c r="P630" s="50"/>
      <c r="Q630" s="50"/>
      <c r="R630" s="50"/>
      <c r="S630" s="50"/>
      <c r="T630" s="50"/>
      <c r="U630" s="50"/>
      <c r="V630" s="50"/>
      <c r="W630" s="50"/>
      <c r="X630" s="50"/>
      <c r="Y630" s="50"/>
      <c r="Z630" s="50"/>
      <c r="AA630" s="50"/>
      <c r="AB630" s="50"/>
      <c r="AC630" s="50"/>
      <c r="AD630" s="50"/>
    </row>
    <row r="631">
      <c r="A631" s="49"/>
      <c r="B631" s="49"/>
      <c r="C631" s="49"/>
      <c r="D631" s="49"/>
      <c r="E631" s="50"/>
      <c r="F631" s="50"/>
      <c r="G631" s="50"/>
      <c r="H631" s="50"/>
      <c r="I631" s="50"/>
      <c r="J631" s="50"/>
      <c r="K631" s="50"/>
      <c r="L631" s="50"/>
      <c r="M631" s="50"/>
      <c r="N631" s="50"/>
      <c r="O631" s="50"/>
      <c r="P631" s="50"/>
      <c r="Q631" s="50"/>
      <c r="R631" s="50"/>
      <c r="S631" s="50"/>
      <c r="T631" s="50"/>
      <c r="U631" s="50"/>
      <c r="V631" s="50"/>
      <c r="W631" s="50"/>
      <c r="X631" s="50"/>
      <c r="Y631" s="50"/>
      <c r="Z631" s="50"/>
      <c r="AA631" s="50"/>
      <c r="AB631" s="50"/>
      <c r="AC631" s="50"/>
      <c r="AD631" s="50"/>
    </row>
    <row r="632">
      <c r="A632" s="49"/>
      <c r="B632" s="49"/>
      <c r="C632" s="49"/>
      <c r="D632" s="49"/>
      <c r="E632" s="50"/>
      <c r="F632" s="50"/>
      <c r="G632" s="50"/>
      <c r="H632" s="50"/>
      <c r="I632" s="50"/>
      <c r="J632" s="50"/>
      <c r="K632" s="50"/>
      <c r="L632" s="50"/>
      <c r="M632" s="50"/>
      <c r="N632" s="50"/>
      <c r="O632" s="50"/>
      <c r="P632" s="50"/>
      <c r="Q632" s="50"/>
      <c r="R632" s="50"/>
      <c r="S632" s="50"/>
      <c r="T632" s="50"/>
      <c r="U632" s="50"/>
      <c r="V632" s="50"/>
      <c r="W632" s="50"/>
      <c r="X632" s="50"/>
      <c r="Y632" s="50"/>
      <c r="Z632" s="50"/>
      <c r="AA632" s="50"/>
      <c r="AB632" s="50"/>
      <c r="AC632" s="50"/>
      <c r="AD632" s="50"/>
    </row>
    <row r="633">
      <c r="A633" s="49"/>
      <c r="B633" s="49"/>
      <c r="C633" s="49"/>
      <c r="D633" s="49"/>
      <c r="E633" s="50"/>
      <c r="F633" s="50"/>
      <c r="G633" s="50"/>
      <c r="H633" s="50"/>
      <c r="I633" s="50"/>
      <c r="J633" s="50"/>
      <c r="K633" s="50"/>
      <c r="L633" s="50"/>
      <c r="M633" s="50"/>
      <c r="N633" s="50"/>
      <c r="O633" s="50"/>
      <c r="P633" s="50"/>
      <c r="Q633" s="50"/>
      <c r="R633" s="50"/>
      <c r="S633" s="50"/>
      <c r="T633" s="50"/>
      <c r="U633" s="50"/>
      <c r="V633" s="50"/>
      <c r="W633" s="50"/>
      <c r="X633" s="50"/>
      <c r="Y633" s="50"/>
      <c r="Z633" s="50"/>
      <c r="AA633" s="50"/>
      <c r="AB633" s="50"/>
      <c r="AC633" s="50"/>
      <c r="AD633" s="50"/>
    </row>
    <row r="634">
      <c r="A634" s="49"/>
      <c r="B634" s="49"/>
      <c r="C634" s="49"/>
      <c r="D634" s="49"/>
      <c r="E634" s="50"/>
      <c r="F634" s="50"/>
      <c r="G634" s="50"/>
      <c r="H634" s="50"/>
      <c r="I634" s="50"/>
      <c r="J634" s="50"/>
      <c r="K634" s="50"/>
      <c r="L634" s="50"/>
      <c r="M634" s="50"/>
      <c r="N634" s="50"/>
      <c r="O634" s="50"/>
      <c r="P634" s="50"/>
      <c r="Q634" s="50"/>
      <c r="R634" s="50"/>
      <c r="S634" s="50"/>
      <c r="T634" s="50"/>
      <c r="U634" s="50"/>
      <c r="V634" s="50"/>
      <c r="W634" s="50"/>
      <c r="X634" s="50"/>
      <c r="Y634" s="50"/>
      <c r="Z634" s="50"/>
      <c r="AA634" s="50"/>
      <c r="AB634" s="50"/>
      <c r="AC634" s="50"/>
      <c r="AD634" s="50"/>
    </row>
    <row r="635">
      <c r="A635" s="49"/>
      <c r="B635" s="49"/>
      <c r="C635" s="49"/>
      <c r="D635" s="49"/>
      <c r="E635" s="50"/>
      <c r="F635" s="50"/>
      <c r="G635" s="50"/>
      <c r="H635" s="50"/>
      <c r="I635" s="50"/>
      <c r="J635" s="50"/>
      <c r="K635" s="50"/>
      <c r="L635" s="50"/>
      <c r="M635" s="50"/>
      <c r="N635" s="50"/>
      <c r="O635" s="50"/>
      <c r="P635" s="50"/>
      <c r="Q635" s="50"/>
      <c r="R635" s="50"/>
      <c r="S635" s="50"/>
      <c r="T635" s="50"/>
      <c r="U635" s="50"/>
      <c r="V635" s="50"/>
      <c r="W635" s="50"/>
      <c r="X635" s="50"/>
      <c r="Y635" s="50"/>
      <c r="Z635" s="50"/>
      <c r="AA635" s="50"/>
      <c r="AB635" s="50"/>
      <c r="AC635" s="50"/>
      <c r="AD635" s="50"/>
    </row>
    <row r="636">
      <c r="A636" s="49"/>
      <c r="B636" s="49"/>
      <c r="C636" s="49"/>
      <c r="D636" s="49"/>
      <c r="E636" s="50"/>
      <c r="F636" s="50"/>
      <c r="G636" s="50"/>
      <c r="H636" s="50"/>
      <c r="I636" s="50"/>
      <c r="J636" s="50"/>
      <c r="K636" s="50"/>
      <c r="L636" s="50"/>
      <c r="M636" s="50"/>
      <c r="N636" s="50"/>
      <c r="O636" s="50"/>
      <c r="P636" s="50"/>
      <c r="Q636" s="50"/>
      <c r="R636" s="50"/>
      <c r="S636" s="50"/>
      <c r="T636" s="50"/>
      <c r="U636" s="50"/>
      <c r="V636" s="50"/>
      <c r="W636" s="50"/>
      <c r="X636" s="50"/>
      <c r="Y636" s="50"/>
      <c r="Z636" s="50"/>
      <c r="AA636" s="50"/>
      <c r="AB636" s="50"/>
      <c r="AC636" s="50"/>
      <c r="AD636" s="50"/>
    </row>
    <row r="637">
      <c r="A637" s="49"/>
      <c r="B637" s="49"/>
      <c r="C637" s="49"/>
      <c r="D637" s="49"/>
      <c r="E637" s="50"/>
      <c r="F637" s="50"/>
      <c r="G637" s="50"/>
      <c r="H637" s="50"/>
      <c r="I637" s="50"/>
      <c r="J637" s="50"/>
      <c r="K637" s="50"/>
      <c r="L637" s="50"/>
      <c r="M637" s="50"/>
      <c r="N637" s="50"/>
      <c r="O637" s="50"/>
      <c r="P637" s="50"/>
      <c r="Q637" s="50"/>
      <c r="R637" s="50"/>
      <c r="S637" s="50"/>
      <c r="T637" s="50"/>
      <c r="U637" s="50"/>
      <c r="V637" s="50"/>
      <c r="W637" s="50"/>
      <c r="X637" s="50"/>
      <c r="Y637" s="50"/>
      <c r="Z637" s="50"/>
      <c r="AA637" s="50"/>
      <c r="AB637" s="50"/>
      <c r="AC637" s="50"/>
      <c r="AD637" s="50"/>
    </row>
    <row r="638">
      <c r="A638" s="49"/>
      <c r="B638" s="49"/>
      <c r="C638" s="49"/>
      <c r="D638" s="49"/>
      <c r="E638" s="50"/>
      <c r="F638" s="50"/>
      <c r="G638" s="50"/>
      <c r="H638" s="50"/>
      <c r="I638" s="50"/>
      <c r="J638" s="50"/>
      <c r="K638" s="50"/>
      <c r="L638" s="50"/>
      <c r="M638" s="50"/>
      <c r="N638" s="50"/>
      <c r="O638" s="50"/>
      <c r="P638" s="50"/>
      <c r="Q638" s="50"/>
      <c r="R638" s="50"/>
      <c r="S638" s="50"/>
      <c r="T638" s="50"/>
      <c r="U638" s="50"/>
      <c r="V638" s="50"/>
      <c r="W638" s="50"/>
      <c r="X638" s="50"/>
      <c r="Y638" s="50"/>
      <c r="Z638" s="50"/>
      <c r="AA638" s="50"/>
      <c r="AB638" s="50"/>
      <c r="AC638" s="50"/>
      <c r="AD638" s="50"/>
    </row>
    <row r="639">
      <c r="A639" s="49"/>
      <c r="B639" s="49"/>
      <c r="C639" s="49"/>
      <c r="D639" s="49"/>
      <c r="E639" s="50"/>
      <c r="F639" s="50"/>
      <c r="G639" s="50"/>
      <c r="H639" s="50"/>
      <c r="I639" s="50"/>
      <c r="J639" s="50"/>
      <c r="K639" s="50"/>
      <c r="L639" s="50"/>
      <c r="M639" s="50"/>
      <c r="N639" s="50"/>
      <c r="O639" s="50"/>
      <c r="P639" s="50"/>
      <c r="Q639" s="50"/>
      <c r="R639" s="50"/>
      <c r="S639" s="50"/>
      <c r="T639" s="50"/>
      <c r="U639" s="50"/>
      <c r="V639" s="50"/>
      <c r="W639" s="50"/>
      <c r="X639" s="50"/>
      <c r="Y639" s="50"/>
      <c r="Z639" s="50"/>
      <c r="AA639" s="50"/>
      <c r="AB639" s="50"/>
      <c r="AC639" s="50"/>
      <c r="AD639" s="50"/>
    </row>
    <row r="640">
      <c r="A640" s="49"/>
      <c r="B640" s="49"/>
      <c r="C640" s="49"/>
      <c r="D640" s="49"/>
      <c r="E640" s="50"/>
      <c r="F640" s="50"/>
      <c r="G640" s="50"/>
      <c r="H640" s="50"/>
      <c r="I640" s="50"/>
      <c r="J640" s="50"/>
      <c r="K640" s="50"/>
      <c r="L640" s="50"/>
      <c r="M640" s="50"/>
      <c r="N640" s="50"/>
      <c r="O640" s="50"/>
      <c r="P640" s="50"/>
      <c r="Q640" s="50"/>
      <c r="R640" s="50"/>
      <c r="S640" s="50"/>
      <c r="T640" s="50"/>
      <c r="U640" s="50"/>
      <c r="V640" s="50"/>
      <c r="W640" s="50"/>
      <c r="X640" s="50"/>
      <c r="Y640" s="50"/>
      <c r="Z640" s="50"/>
      <c r="AA640" s="50"/>
      <c r="AB640" s="50"/>
      <c r="AC640" s="50"/>
      <c r="AD640" s="50"/>
    </row>
    <row r="641">
      <c r="A641" s="49"/>
      <c r="B641" s="49"/>
      <c r="C641" s="49"/>
      <c r="D641" s="49"/>
      <c r="E641" s="50"/>
      <c r="F641" s="50"/>
      <c r="G641" s="50"/>
      <c r="H641" s="50"/>
      <c r="I641" s="50"/>
      <c r="J641" s="50"/>
      <c r="K641" s="50"/>
      <c r="L641" s="50"/>
      <c r="M641" s="50"/>
      <c r="N641" s="50"/>
      <c r="O641" s="50"/>
      <c r="P641" s="50"/>
      <c r="Q641" s="50"/>
      <c r="R641" s="50"/>
      <c r="S641" s="50"/>
      <c r="T641" s="50"/>
      <c r="U641" s="50"/>
      <c r="V641" s="50"/>
      <c r="W641" s="50"/>
      <c r="X641" s="50"/>
      <c r="Y641" s="50"/>
      <c r="Z641" s="50"/>
      <c r="AA641" s="50"/>
      <c r="AB641" s="50"/>
      <c r="AC641" s="50"/>
      <c r="AD641" s="50"/>
    </row>
    <row r="642">
      <c r="A642" s="49"/>
      <c r="B642" s="49"/>
      <c r="C642" s="49"/>
      <c r="D642" s="49"/>
      <c r="E642" s="50"/>
      <c r="F642" s="50"/>
      <c r="G642" s="50"/>
      <c r="H642" s="50"/>
      <c r="I642" s="50"/>
      <c r="J642" s="50"/>
      <c r="K642" s="50"/>
      <c r="L642" s="50"/>
      <c r="M642" s="50"/>
      <c r="N642" s="50"/>
      <c r="O642" s="50"/>
      <c r="P642" s="50"/>
      <c r="Q642" s="50"/>
      <c r="R642" s="50"/>
      <c r="S642" s="50"/>
      <c r="T642" s="50"/>
      <c r="U642" s="50"/>
      <c r="V642" s="50"/>
      <c r="W642" s="50"/>
      <c r="X642" s="50"/>
      <c r="Y642" s="50"/>
      <c r="Z642" s="50"/>
      <c r="AA642" s="50"/>
      <c r="AB642" s="50"/>
      <c r="AC642" s="50"/>
      <c r="AD642" s="50"/>
    </row>
    <row r="643">
      <c r="A643" s="49"/>
      <c r="B643" s="49"/>
      <c r="C643" s="49"/>
      <c r="D643" s="49"/>
      <c r="E643" s="50"/>
      <c r="F643" s="50"/>
      <c r="G643" s="50"/>
      <c r="H643" s="50"/>
      <c r="I643" s="50"/>
      <c r="J643" s="50"/>
      <c r="K643" s="50"/>
      <c r="L643" s="50"/>
      <c r="M643" s="50"/>
      <c r="N643" s="50"/>
      <c r="O643" s="50"/>
      <c r="P643" s="50"/>
      <c r="Q643" s="50"/>
      <c r="R643" s="50"/>
      <c r="S643" s="50"/>
      <c r="T643" s="50"/>
      <c r="U643" s="50"/>
      <c r="V643" s="50"/>
      <c r="W643" s="50"/>
      <c r="X643" s="50"/>
      <c r="Y643" s="50"/>
      <c r="Z643" s="50"/>
      <c r="AA643" s="50"/>
      <c r="AB643" s="50"/>
      <c r="AC643" s="50"/>
      <c r="AD643" s="50"/>
    </row>
    <row r="644">
      <c r="A644" s="49"/>
      <c r="B644" s="49"/>
      <c r="C644" s="49"/>
      <c r="D644" s="49"/>
      <c r="E644" s="50"/>
      <c r="F644" s="50"/>
      <c r="G644" s="50"/>
      <c r="H644" s="50"/>
      <c r="I644" s="50"/>
      <c r="J644" s="50"/>
      <c r="K644" s="50"/>
      <c r="L644" s="50"/>
      <c r="M644" s="50"/>
      <c r="N644" s="50"/>
      <c r="O644" s="50"/>
      <c r="P644" s="50"/>
      <c r="Q644" s="50"/>
      <c r="R644" s="50"/>
      <c r="S644" s="50"/>
      <c r="T644" s="50"/>
      <c r="U644" s="50"/>
      <c r="V644" s="50"/>
      <c r="W644" s="50"/>
      <c r="X644" s="50"/>
      <c r="Y644" s="50"/>
      <c r="Z644" s="50"/>
      <c r="AA644" s="50"/>
      <c r="AB644" s="50"/>
      <c r="AC644" s="50"/>
      <c r="AD644" s="50"/>
    </row>
    <row r="645">
      <c r="A645" s="49"/>
      <c r="B645" s="49"/>
      <c r="C645" s="49"/>
      <c r="D645" s="49"/>
      <c r="E645" s="50"/>
      <c r="F645" s="50"/>
      <c r="G645" s="50"/>
      <c r="H645" s="50"/>
      <c r="I645" s="50"/>
      <c r="J645" s="50"/>
      <c r="K645" s="50"/>
      <c r="L645" s="50"/>
      <c r="M645" s="50"/>
      <c r="N645" s="50"/>
      <c r="O645" s="50"/>
      <c r="P645" s="50"/>
      <c r="Q645" s="50"/>
      <c r="R645" s="50"/>
      <c r="S645" s="50"/>
      <c r="T645" s="50"/>
      <c r="U645" s="50"/>
      <c r="V645" s="50"/>
      <c r="W645" s="50"/>
      <c r="X645" s="50"/>
      <c r="Y645" s="50"/>
      <c r="Z645" s="50"/>
      <c r="AA645" s="50"/>
      <c r="AB645" s="50"/>
      <c r="AC645" s="50"/>
      <c r="AD645" s="50"/>
    </row>
    <row r="646">
      <c r="A646" s="49"/>
      <c r="B646" s="49"/>
      <c r="C646" s="49"/>
      <c r="D646" s="49"/>
      <c r="E646" s="50"/>
      <c r="F646" s="50"/>
      <c r="G646" s="50"/>
      <c r="H646" s="50"/>
      <c r="I646" s="50"/>
      <c r="J646" s="50"/>
      <c r="K646" s="50"/>
      <c r="L646" s="50"/>
      <c r="M646" s="50"/>
      <c r="N646" s="50"/>
      <c r="O646" s="50"/>
      <c r="P646" s="50"/>
      <c r="Q646" s="50"/>
      <c r="R646" s="50"/>
      <c r="S646" s="50"/>
      <c r="T646" s="50"/>
      <c r="U646" s="50"/>
      <c r="V646" s="50"/>
      <c r="W646" s="50"/>
      <c r="X646" s="50"/>
      <c r="Y646" s="50"/>
      <c r="Z646" s="50"/>
      <c r="AA646" s="50"/>
      <c r="AB646" s="50"/>
      <c r="AC646" s="50"/>
      <c r="AD646" s="50"/>
    </row>
    <row r="647">
      <c r="A647" s="49"/>
      <c r="B647" s="49"/>
      <c r="C647" s="49"/>
      <c r="D647" s="49"/>
      <c r="E647" s="50"/>
      <c r="F647" s="50"/>
      <c r="G647" s="50"/>
      <c r="H647" s="50"/>
      <c r="I647" s="50"/>
      <c r="J647" s="50"/>
      <c r="K647" s="50"/>
      <c r="L647" s="50"/>
      <c r="M647" s="50"/>
      <c r="N647" s="50"/>
      <c r="O647" s="50"/>
      <c r="P647" s="50"/>
      <c r="Q647" s="50"/>
      <c r="R647" s="50"/>
      <c r="S647" s="50"/>
      <c r="T647" s="50"/>
      <c r="U647" s="50"/>
      <c r="V647" s="50"/>
      <c r="W647" s="50"/>
      <c r="X647" s="50"/>
      <c r="Y647" s="50"/>
      <c r="Z647" s="50"/>
      <c r="AA647" s="50"/>
      <c r="AB647" s="50"/>
      <c r="AC647" s="50"/>
      <c r="AD647" s="50"/>
    </row>
    <row r="648">
      <c r="A648" s="49"/>
      <c r="B648" s="49"/>
      <c r="C648" s="49"/>
      <c r="D648" s="49"/>
      <c r="E648" s="50"/>
      <c r="F648" s="50"/>
      <c r="G648" s="50"/>
      <c r="H648" s="50"/>
      <c r="I648" s="50"/>
      <c r="J648" s="50"/>
      <c r="K648" s="50"/>
      <c r="L648" s="50"/>
      <c r="M648" s="50"/>
      <c r="N648" s="50"/>
      <c r="O648" s="50"/>
      <c r="P648" s="50"/>
      <c r="Q648" s="50"/>
      <c r="R648" s="50"/>
      <c r="S648" s="50"/>
      <c r="T648" s="50"/>
      <c r="U648" s="50"/>
      <c r="V648" s="50"/>
      <c r="W648" s="50"/>
      <c r="X648" s="50"/>
      <c r="Y648" s="50"/>
      <c r="Z648" s="50"/>
      <c r="AA648" s="50"/>
      <c r="AB648" s="50"/>
      <c r="AC648" s="50"/>
      <c r="AD648" s="50"/>
    </row>
    <row r="649">
      <c r="A649" s="49"/>
      <c r="B649" s="49"/>
      <c r="C649" s="49"/>
      <c r="D649" s="49"/>
      <c r="E649" s="50"/>
      <c r="F649" s="50"/>
      <c r="G649" s="50"/>
      <c r="H649" s="50"/>
      <c r="I649" s="50"/>
      <c r="J649" s="50"/>
      <c r="K649" s="50"/>
      <c r="L649" s="50"/>
      <c r="M649" s="50"/>
      <c r="N649" s="50"/>
      <c r="O649" s="50"/>
      <c r="P649" s="50"/>
      <c r="Q649" s="50"/>
      <c r="R649" s="50"/>
      <c r="S649" s="50"/>
      <c r="T649" s="50"/>
      <c r="U649" s="50"/>
      <c r="V649" s="50"/>
      <c r="W649" s="50"/>
      <c r="X649" s="50"/>
      <c r="Y649" s="50"/>
      <c r="Z649" s="50"/>
      <c r="AA649" s="50"/>
      <c r="AB649" s="50"/>
      <c r="AC649" s="50"/>
      <c r="AD649" s="50"/>
    </row>
    <row r="650">
      <c r="A650" s="49"/>
      <c r="B650" s="49"/>
      <c r="C650" s="49"/>
      <c r="D650" s="49"/>
      <c r="E650" s="50"/>
      <c r="F650" s="50"/>
      <c r="G650" s="50"/>
      <c r="H650" s="50"/>
      <c r="I650" s="50"/>
      <c r="J650" s="50"/>
      <c r="K650" s="50"/>
      <c r="L650" s="50"/>
      <c r="M650" s="50"/>
      <c r="N650" s="50"/>
      <c r="O650" s="50"/>
      <c r="P650" s="50"/>
      <c r="Q650" s="50"/>
      <c r="R650" s="50"/>
      <c r="S650" s="50"/>
      <c r="T650" s="50"/>
      <c r="U650" s="50"/>
      <c r="V650" s="50"/>
      <c r="W650" s="50"/>
      <c r="X650" s="50"/>
      <c r="Y650" s="50"/>
      <c r="Z650" s="50"/>
      <c r="AA650" s="50"/>
      <c r="AB650" s="50"/>
      <c r="AC650" s="50"/>
      <c r="AD650" s="50"/>
    </row>
    <row r="651">
      <c r="A651" s="49"/>
      <c r="B651" s="49"/>
      <c r="C651" s="49"/>
      <c r="D651" s="49"/>
      <c r="E651" s="50"/>
      <c r="F651" s="50"/>
      <c r="G651" s="50"/>
      <c r="H651" s="50"/>
      <c r="I651" s="50"/>
      <c r="J651" s="50"/>
      <c r="K651" s="50"/>
      <c r="L651" s="50"/>
      <c r="M651" s="50"/>
      <c r="N651" s="50"/>
      <c r="O651" s="50"/>
      <c r="P651" s="50"/>
      <c r="Q651" s="50"/>
      <c r="R651" s="50"/>
      <c r="S651" s="50"/>
      <c r="T651" s="50"/>
      <c r="U651" s="50"/>
      <c r="V651" s="50"/>
      <c r="W651" s="50"/>
      <c r="X651" s="50"/>
      <c r="Y651" s="50"/>
      <c r="Z651" s="50"/>
      <c r="AA651" s="50"/>
      <c r="AB651" s="50"/>
      <c r="AC651" s="50"/>
      <c r="AD651" s="50"/>
    </row>
    <row r="652">
      <c r="A652" s="49"/>
      <c r="B652" s="49"/>
      <c r="C652" s="49"/>
      <c r="D652" s="49"/>
      <c r="E652" s="50"/>
      <c r="F652" s="50"/>
      <c r="G652" s="50"/>
      <c r="H652" s="50"/>
      <c r="I652" s="50"/>
      <c r="J652" s="50"/>
      <c r="K652" s="50"/>
      <c r="L652" s="50"/>
      <c r="M652" s="50"/>
      <c r="N652" s="50"/>
      <c r="O652" s="50"/>
      <c r="P652" s="50"/>
      <c r="Q652" s="50"/>
      <c r="R652" s="50"/>
      <c r="S652" s="50"/>
      <c r="T652" s="50"/>
      <c r="U652" s="50"/>
      <c r="V652" s="50"/>
      <c r="W652" s="50"/>
      <c r="X652" s="50"/>
      <c r="Y652" s="50"/>
      <c r="Z652" s="50"/>
      <c r="AA652" s="50"/>
      <c r="AB652" s="50"/>
      <c r="AC652" s="50"/>
      <c r="AD652" s="50"/>
    </row>
    <row r="653">
      <c r="A653" s="49"/>
      <c r="B653" s="49"/>
      <c r="C653" s="49"/>
      <c r="D653" s="49"/>
      <c r="E653" s="50"/>
      <c r="F653" s="50"/>
      <c r="G653" s="50"/>
      <c r="H653" s="50"/>
      <c r="I653" s="50"/>
      <c r="J653" s="50"/>
      <c r="K653" s="50"/>
      <c r="L653" s="50"/>
      <c r="M653" s="50"/>
      <c r="N653" s="50"/>
      <c r="O653" s="50"/>
      <c r="P653" s="50"/>
      <c r="Q653" s="50"/>
      <c r="R653" s="50"/>
      <c r="S653" s="50"/>
      <c r="T653" s="50"/>
      <c r="U653" s="50"/>
      <c r="V653" s="50"/>
      <c r="W653" s="50"/>
      <c r="X653" s="50"/>
      <c r="Y653" s="50"/>
      <c r="Z653" s="50"/>
      <c r="AA653" s="50"/>
      <c r="AB653" s="50"/>
      <c r="AC653" s="50"/>
      <c r="AD653" s="50"/>
    </row>
    <row r="654">
      <c r="A654" s="49"/>
      <c r="B654" s="49"/>
      <c r="C654" s="49"/>
      <c r="D654" s="49"/>
      <c r="E654" s="50"/>
      <c r="F654" s="50"/>
      <c r="G654" s="50"/>
      <c r="H654" s="50"/>
      <c r="I654" s="50"/>
      <c r="J654" s="50"/>
      <c r="K654" s="50"/>
      <c r="L654" s="50"/>
      <c r="M654" s="50"/>
      <c r="N654" s="50"/>
      <c r="O654" s="50"/>
      <c r="P654" s="50"/>
      <c r="Q654" s="50"/>
      <c r="R654" s="50"/>
      <c r="S654" s="50"/>
      <c r="T654" s="50"/>
      <c r="U654" s="50"/>
      <c r="V654" s="50"/>
      <c r="W654" s="50"/>
      <c r="X654" s="50"/>
      <c r="Y654" s="50"/>
      <c r="Z654" s="50"/>
      <c r="AA654" s="50"/>
      <c r="AB654" s="50"/>
      <c r="AC654" s="50"/>
      <c r="AD654" s="50"/>
    </row>
    <row r="655">
      <c r="A655" s="49"/>
      <c r="B655" s="49"/>
      <c r="C655" s="49"/>
      <c r="D655" s="49"/>
      <c r="E655" s="50"/>
      <c r="F655" s="50"/>
      <c r="G655" s="50"/>
      <c r="H655" s="50"/>
      <c r="I655" s="50"/>
      <c r="J655" s="50"/>
      <c r="K655" s="50"/>
      <c r="L655" s="50"/>
      <c r="M655" s="50"/>
      <c r="N655" s="50"/>
      <c r="O655" s="50"/>
      <c r="P655" s="50"/>
      <c r="Q655" s="50"/>
      <c r="R655" s="50"/>
      <c r="S655" s="50"/>
      <c r="T655" s="50"/>
      <c r="U655" s="50"/>
      <c r="V655" s="50"/>
      <c r="W655" s="50"/>
      <c r="X655" s="50"/>
      <c r="Y655" s="50"/>
      <c r="Z655" s="50"/>
      <c r="AA655" s="50"/>
      <c r="AB655" s="50"/>
      <c r="AC655" s="50"/>
      <c r="AD655" s="50"/>
    </row>
    <row r="656">
      <c r="A656" s="49"/>
      <c r="B656" s="49"/>
      <c r="C656" s="49"/>
      <c r="D656" s="49"/>
      <c r="E656" s="50"/>
      <c r="F656" s="50"/>
      <c r="G656" s="50"/>
      <c r="H656" s="50"/>
      <c r="I656" s="50"/>
      <c r="J656" s="50"/>
      <c r="K656" s="50"/>
      <c r="L656" s="50"/>
      <c r="M656" s="50"/>
      <c r="N656" s="50"/>
      <c r="O656" s="50"/>
      <c r="P656" s="50"/>
      <c r="Q656" s="50"/>
      <c r="R656" s="50"/>
      <c r="S656" s="50"/>
      <c r="T656" s="50"/>
      <c r="U656" s="50"/>
      <c r="V656" s="50"/>
      <c r="W656" s="50"/>
      <c r="X656" s="50"/>
      <c r="Y656" s="50"/>
      <c r="Z656" s="50"/>
      <c r="AA656" s="50"/>
      <c r="AB656" s="50"/>
      <c r="AC656" s="50"/>
      <c r="AD656" s="50"/>
    </row>
    <row r="657">
      <c r="A657" s="49"/>
      <c r="B657" s="49"/>
      <c r="C657" s="49"/>
      <c r="D657" s="49"/>
      <c r="E657" s="50"/>
      <c r="F657" s="50"/>
      <c r="G657" s="50"/>
      <c r="H657" s="50"/>
      <c r="I657" s="50"/>
      <c r="J657" s="50"/>
      <c r="K657" s="50"/>
      <c r="L657" s="50"/>
      <c r="M657" s="50"/>
      <c r="N657" s="50"/>
      <c r="O657" s="50"/>
      <c r="P657" s="50"/>
      <c r="Q657" s="50"/>
      <c r="R657" s="50"/>
      <c r="S657" s="50"/>
      <c r="T657" s="50"/>
      <c r="U657" s="50"/>
      <c r="V657" s="50"/>
      <c r="W657" s="50"/>
      <c r="X657" s="50"/>
      <c r="Y657" s="50"/>
      <c r="Z657" s="50"/>
      <c r="AA657" s="50"/>
      <c r="AB657" s="50"/>
      <c r="AC657" s="50"/>
      <c r="AD657" s="50"/>
    </row>
    <row r="658">
      <c r="A658" s="49"/>
      <c r="B658" s="49"/>
      <c r="C658" s="49"/>
      <c r="D658" s="49"/>
      <c r="E658" s="50"/>
      <c r="F658" s="50"/>
      <c r="G658" s="50"/>
      <c r="H658" s="50"/>
      <c r="I658" s="50"/>
      <c r="J658" s="50"/>
      <c r="K658" s="50"/>
      <c r="L658" s="50"/>
      <c r="M658" s="50"/>
      <c r="N658" s="50"/>
      <c r="O658" s="50"/>
      <c r="P658" s="50"/>
      <c r="Q658" s="50"/>
      <c r="R658" s="50"/>
      <c r="S658" s="50"/>
      <c r="T658" s="50"/>
      <c r="U658" s="50"/>
      <c r="V658" s="50"/>
      <c r="W658" s="50"/>
      <c r="X658" s="50"/>
      <c r="Y658" s="50"/>
      <c r="Z658" s="50"/>
      <c r="AA658" s="50"/>
      <c r="AB658" s="50"/>
      <c r="AC658" s="50"/>
      <c r="AD658" s="50"/>
    </row>
    <row r="659">
      <c r="A659" s="49"/>
      <c r="B659" s="49"/>
      <c r="C659" s="49"/>
      <c r="D659" s="49"/>
      <c r="E659" s="50"/>
      <c r="F659" s="50"/>
      <c r="G659" s="50"/>
      <c r="H659" s="50"/>
      <c r="I659" s="50"/>
      <c r="J659" s="50"/>
      <c r="K659" s="50"/>
      <c r="L659" s="50"/>
      <c r="M659" s="50"/>
      <c r="N659" s="50"/>
      <c r="O659" s="50"/>
      <c r="P659" s="50"/>
      <c r="Q659" s="50"/>
      <c r="R659" s="50"/>
      <c r="S659" s="50"/>
      <c r="T659" s="50"/>
      <c r="U659" s="50"/>
      <c r="V659" s="50"/>
      <c r="W659" s="50"/>
      <c r="X659" s="50"/>
      <c r="Y659" s="50"/>
      <c r="Z659" s="50"/>
      <c r="AA659" s="50"/>
      <c r="AB659" s="50"/>
      <c r="AC659" s="50"/>
      <c r="AD659" s="50"/>
    </row>
    <row r="660">
      <c r="A660" s="49"/>
      <c r="B660" s="49"/>
      <c r="C660" s="49"/>
      <c r="D660" s="49"/>
      <c r="E660" s="50"/>
      <c r="F660" s="50"/>
      <c r="G660" s="50"/>
      <c r="H660" s="50"/>
      <c r="I660" s="50"/>
      <c r="J660" s="50"/>
      <c r="K660" s="50"/>
      <c r="L660" s="50"/>
      <c r="M660" s="50"/>
      <c r="N660" s="50"/>
      <c r="O660" s="50"/>
      <c r="P660" s="50"/>
      <c r="Q660" s="50"/>
      <c r="R660" s="50"/>
      <c r="S660" s="50"/>
      <c r="T660" s="50"/>
      <c r="U660" s="50"/>
      <c r="V660" s="50"/>
      <c r="W660" s="50"/>
      <c r="X660" s="50"/>
      <c r="Y660" s="50"/>
      <c r="Z660" s="50"/>
      <c r="AA660" s="50"/>
      <c r="AB660" s="50"/>
      <c r="AC660" s="50"/>
      <c r="AD660" s="50"/>
    </row>
    <row r="661">
      <c r="A661" s="49"/>
      <c r="B661" s="49"/>
      <c r="C661" s="49"/>
      <c r="D661" s="49"/>
      <c r="E661" s="50"/>
      <c r="F661" s="50"/>
      <c r="G661" s="50"/>
      <c r="H661" s="50"/>
      <c r="I661" s="50"/>
      <c r="J661" s="50"/>
      <c r="K661" s="50"/>
      <c r="L661" s="50"/>
      <c r="M661" s="50"/>
      <c r="N661" s="50"/>
      <c r="O661" s="50"/>
      <c r="P661" s="50"/>
      <c r="Q661" s="50"/>
      <c r="R661" s="50"/>
      <c r="S661" s="50"/>
      <c r="T661" s="50"/>
      <c r="U661" s="50"/>
      <c r="V661" s="50"/>
      <c r="W661" s="50"/>
      <c r="X661" s="50"/>
      <c r="Y661" s="50"/>
      <c r="Z661" s="50"/>
      <c r="AA661" s="50"/>
      <c r="AB661" s="50"/>
      <c r="AC661" s="50"/>
      <c r="AD661" s="50"/>
    </row>
    <row r="662">
      <c r="A662" s="49"/>
      <c r="B662" s="49"/>
      <c r="C662" s="49"/>
      <c r="D662" s="49"/>
      <c r="E662" s="50"/>
      <c r="F662" s="50"/>
      <c r="G662" s="50"/>
      <c r="H662" s="50"/>
      <c r="I662" s="50"/>
      <c r="J662" s="50"/>
      <c r="K662" s="50"/>
      <c r="L662" s="50"/>
      <c r="M662" s="50"/>
      <c r="N662" s="50"/>
      <c r="O662" s="50"/>
      <c r="P662" s="50"/>
      <c r="Q662" s="50"/>
      <c r="R662" s="50"/>
      <c r="S662" s="50"/>
      <c r="T662" s="50"/>
      <c r="U662" s="50"/>
      <c r="V662" s="50"/>
      <c r="W662" s="50"/>
      <c r="X662" s="50"/>
      <c r="Y662" s="50"/>
      <c r="Z662" s="50"/>
      <c r="AA662" s="50"/>
      <c r="AB662" s="50"/>
      <c r="AC662" s="50"/>
      <c r="AD662" s="50"/>
    </row>
    <row r="663">
      <c r="A663" s="49"/>
      <c r="B663" s="49"/>
      <c r="C663" s="49"/>
      <c r="D663" s="49"/>
      <c r="E663" s="50"/>
      <c r="F663" s="50"/>
      <c r="G663" s="50"/>
      <c r="H663" s="50"/>
      <c r="I663" s="50"/>
      <c r="J663" s="50"/>
      <c r="K663" s="50"/>
      <c r="L663" s="50"/>
      <c r="M663" s="50"/>
      <c r="N663" s="50"/>
      <c r="O663" s="50"/>
      <c r="P663" s="50"/>
      <c r="Q663" s="50"/>
      <c r="R663" s="50"/>
      <c r="S663" s="50"/>
      <c r="T663" s="50"/>
      <c r="U663" s="50"/>
      <c r="V663" s="50"/>
      <c r="W663" s="50"/>
      <c r="X663" s="50"/>
      <c r="Y663" s="50"/>
      <c r="Z663" s="50"/>
      <c r="AA663" s="50"/>
      <c r="AB663" s="50"/>
      <c r="AC663" s="50"/>
      <c r="AD663" s="50"/>
    </row>
    <row r="664">
      <c r="A664" s="49"/>
      <c r="B664" s="49"/>
      <c r="C664" s="49"/>
      <c r="D664" s="49"/>
      <c r="E664" s="50"/>
      <c r="F664" s="50"/>
      <c r="G664" s="50"/>
      <c r="H664" s="50"/>
      <c r="I664" s="50"/>
      <c r="J664" s="50"/>
      <c r="K664" s="50"/>
      <c r="L664" s="50"/>
      <c r="M664" s="50"/>
      <c r="N664" s="50"/>
      <c r="O664" s="50"/>
      <c r="P664" s="50"/>
      <c r="Q664" s="50"/>
      <c r="R664" s="50"/>
      <c r="S664" s="50"/>
      <c r="T664" s="50"/>
      <c r="U664" s="50"/>
      <c r="V664" s="50"/>
      <c r="W664" s="50"/>
      <c r="X664" s="50"/>
      <c r="Y664" s="50"/>
      <c r="Z664" s="50"/>
      <c r="AA664" s="50"/>
      <c r="AB664" s="50"/>
      <c r="AC664" s="50"/>
      <c r="AD664" s="50"/>
    </row>
    <row r="665">
      <c r="A665" s="49"/>
      <c r="B665" s="49"/>
      <c r="C665" s="49"/>
      <c r="D665" s="49"/>
      <c r="E665" s="50"/>
      <c r="F665" s="50"/>
      <c r="G665" s="50"/>
      <c r="H665" s="50"/>
      <c r="I665" s="50"/>
      <c r="J665" s="50"/>
      <c r="K665" s="50"/>
      <c r="L665" s="50"/>
      <c r="M665" s="50"/>
      <c r="N665" s="50"/>
      <c r="O665" s="50"/>
      <c r="P665" s="50"/>
      <c r="Q665" s="50"/>
      <c r="R665" s="50"/>
      <c r="S665" s="50"/>
      <c r="T665" s="50"/>
      <c r="U665" s="50"/>
      <c r="V665" s="50"/>
      <c r="W665" s="50"/>
      <c r="X665" s="50"/>
      <c r="Y665" s="50"/>
      <c r="Z665" s="50"/>
      <c r="AA665" s="50"/>
      <c r="AB665" s="50"/>
      <c r="AC665" s="50"/>
      <c r="AD665" s="50"/>
    </row>
    <row r="666">
      <c r="A666" s="49"/>
      <c r="B666" s="49"/>
      <c r="C666" s="49"/>
      <c r="D666" s="49"/>
      <c r="E666" s="50"/>
      <c r="F666" s="50"/>
      <c r="G666" s="50"/>
      <c r="H666" s="50"/>
      <c r="I666" s="50"/>
      <c r="J666" s="50"/>
      <c r="K666" s="50"/>
      <c r="L666" s="50"/>
      <c r="M666" s="50"/>
      <c r="N666" s="50"/>
      <c r="O666" s="50"/>
      <c r="P666" s="50"/>
      <c r="Q666" s="50"/>
      <c r="R666" s="50"/>
      <c r="S666" s="50"/>
      <c r="T666" s="50"/>
      <c r="U666" s="50"/>
      <c r="V666" s="50"/>
      <c r="W666" s="50"/>
      <c r="X666" s="50"/>
      <c r="Y666" s="50"/>
      <c r="Z666" s="50"/>
      <c r="AA666" s="50"/>
      <c r="AB666" s="50"/>
      <c r="AC666" s="50"/>
      <c r="AD666" s="50"/>
    </row>
    <row r="667">
      <c r="A667" s="49"/>
      <c r="B667" s="49"/>
      <c r="C667" s="49"/>
      <c r="D667" s="49"/>
      <c r="E667" s="50"/>
      <c r="F667" s="50"/>
      <c r="G667" s="50"/>
      <c r="H667" s="50"/>
      <c r="I667" s="50"/>
      <c r="J667" s="50"/>
      <c r="K667" s="50"/>
      <c r="L667" s="50"/>
      <c r="M667" s="50"/>
      <c r="N667" s="50"/>
      <c r="O667" s="50"/>
      <c r="P667" s="50"/>
      <c r="Q667" s="50"/>
      <c r="R667" s="50"/>
      <c r="S667" s="50"/>
      <c r="T667" s="50"/>
      <c r="U667" s="50"/>
      <c r="V667" s="50"/>
      <c r="W667" s="50"/>
      <c r="X667" s="50"/>
      <c r="Y667" s="50"/>
      <c r="Z667" s="50"/>
      <c r="AA667" s="50"/>
      <c r="AB667" s="50"/>
      <c r="AC667" s="50"/>
      <c r="AD667" s="50"/>
    </row>
    <row r="668">
      <c r="A668" s="49"/>
      <c r="B668" s="49"/>
      <c r="C668" s="49"/>
      <c r="D668" s="49"/>
      <c r="E668" s="50"/>
      <c r="F668" s="50"/>
      <c r="G668" s="50"/>
      <c r="H668" s="50"/>
      <c r="I668" s="50"/>
      <c r="J668" s="50"/>
      <c r="K668" s="50"/>
      <c r="L668" s="50"/>
      <c r="M668" s="50"/>
      <c r="N668" s="50"/>
      <c r="O668" s="50"/>
      <c r="P668" s="50"/>
      <c r="Q668" s="50"/>
      <c r="R668" s="50"/>
      <c r="S668" s="50"/>
      <c r="T668" s="50"/>
      <c r="U668" s="50"/>
      <c r="V668" s="50"/>
      <c r="W668" s="50"/>
      <c r="X668" s="50"/>
      <c r="Y668" s="50"/>
      <c r="Z668" s="50"/>
      <c r="AA668" s="50"/>
      <c r="AB668" s="50"/>
      <c r="AC668" s="50"/>
      <c r="AD668" s="50"/>
    </row>
    <row r="669">
      <c r="A669" s="49"/>
      <c r="B669" s="49"/>
      <c r="C669" s="49"/>
      <c r="D669" s="49"/>
      <c r="E669" s="50"/>
      <c r="F669" s="50"/>
      <c r="G669" s="50"/>
      <c r="H669" s="50"/>
      <c r="I669" s="50"/>
      <c r="J669" s="50"/>
      <c r="K669" s="50"/>
      <c r="L669" s="50"/>
      <c r="M669" s="50"/>
      <c r="N669" s="50"/>
      <c r="O669" s="50"/>
      <c r="P669" s="50"/>
      <c r="Q669" s="50"/>
      <c r="R669" s="50"/>
      <c r="S669" s="50"/>
      <c r="T669" s="50"/>
      <c r="U669" s="50"/>
      <c r="V669" s="50"/>
      <c r="W669" s="50"/>
      <c r="X669" s="50"/>
      <c r="Y669" s="50"/>
      <c r="Z669" s="50"/>
      <c r="AA669" s="50"/>
      <c r="AB669" s="50"/>
      <c r="AC669" s="50"/>
      <c r="AD669" s="50"/>
    </row>
    <row r="670">
      <c r="A670" s="49"/>
      <c r="B670" s="49"/>
      <c r="C670" s="49"/>
      <c r="D670" s="49"/>
      <c r="E670" s="50"/>
      <c r="F670" s="50"/>
      <c r="G670" s="50"/>
      <c r="H670" s="50"/>
      <c r="I670" s="50"/>
      <c r="J670" s="50"/>
      <c r="K670" s="50"/>
      <c r="L670" s="50"/>
      <c r="M670" s="50"/>
      <c r="N670" s="50"/>
      <c r="O670" s="50"/>
      <c r="P670" s="50"/>
      <c r="Q670" s="50"/>
      <c r="R670" s="50"/>
      <c r="S670" s="50"/>
      <c r="T670" s="50"/>
      <c r="U670" s="50"/>
      <c r="V670" s="50"/>
      <c r="W670" s="50"/>
      <c r="X670" s="50"/>
      <c r="Y670" s="50"/>
      <c r="Z670" s="50"/>
      <c r="AA670" s="50"/>
      <c r="AB670" s="50"/>
      <c r="AC670" s="50"/>
      <c r="AD670" s="50"/>
    </row>
    <row r="671">
      <c r="A671" s="49"/>
      <c r="B671" s="49"/>
      <c r="C671" s="49"/>
      <c r="D671" s="49"/>
      <c r="E671" s="50"/>
      <c r="F671" s="50"/>
      <c r="G671" s="50"/>
      <c r="H671" s="50"/>
      <c r="I671" s="50"/>
      <c r="J671" s="50"/>
      <c r="K671" s="50"/>
      <c r="L671" s="50"/>
      <c r="M671" s="50"/>
      <c r="N671" s="50"/>
      <c r="O671" s="50"/>
      <c r="P671" s="50"/>
      <c r="Q671" s="50"/>
      <c r="R671" s="50"/>
      <c r="S671" s="50"/>
      <c r="T671" s="50"/>
      <c r="U671" s="50"/>
      <c r="V671" s="50"/>
      <c r="W671" s="50"/>
      <c r="X671" s="50"/>
      <c r="Y671" s="50"/>
      <c r="Z671" s="50"/>
      <c r="AA671" s="50"/>
      <c r="AB671" s="50"/>
      <c r="AC671" s="50"/>
      <c r="AD671" s="50"/>
    </row>
    <row r="672">
      <c r="A672" s="49"/>
      <c r="B672" s="49"/>
      <c r="C672" s="49"/>
      <c r="D672" s="49"/>
      <c r="E672" s="50"/>
      <c r="F672" s="50"/>
      <c r="G672" s="50"/>
      <c r="H672" s="50"/>
      <c r="I672" s="50"/>
      <c r="J672" s="50"/>
      <c r="K672" s="50"/>
      <c r="L672" s="50"/>
      <c r="M672" s="50"/>
      <c r="N672" s="50"/>
      <c r="O672" s="50"/>
      <c r="P672" s="50"/>
      <c r="Q672" s="50"/>
      <c r="R672" s="50"/>
      <c r="S672" s="50"/>
      <c r="T672" s="50"/>
      <c r="U672" s="50"/>
      <c r="V672" s="50"/>
      <c r="W672" s="50"/>
      <c r="X672" s="50"/>
      <c r="Y672" s="50"/>
      <c r="Z672" s="50"/>
      <c r="AA672" s="50"/>
      <c r="AB672" s="50"/>
      <c r="AC672" s="50"/>
      <c r="AD672" s="50"/>
    </row>
    <row r="673">
      <c r="A673" s="49"/>
      <c r="B673" s="49"/>
      <c r="C673" s="49"/>
      <c r="D673" s="49"/>
      <c r="E673" s="50"/>
      <c r="F673" s="50"/>
      <c r="G673" s="50"/>
      <c r="H673" s="50"/>
      <c r="I673" s="50"/>
      <c r="J673" s="50"/>
      <c r="K673" s="50"/>
      <c r="L673" s="50"/>
      <c r="M673" s="50"/>
      <c r="N673" s="50"/>
      <c r="O673" s="50"/>
      <c r="P673" s="50"/>
      <c r="Q673" s="50"/>
      <c r="R673" s="50"/>
      <c r="S673" s="50"/>
      <c r="T673" s="50"/>
      <c r="U673" s="50"/>
      <c r="V673" s="50"/>
      <c r="W673" s="50"/>
      <c r="X673" s="50"/>
      <c r="Y673" s="50"/>
      <c r="Z673" s="50"/>
      <c r="AA673" s="50"/>
      <c r="AB673" s="50"/>
      <c r="AC673" s="50"/>
      <c r="AD673" s="50"/>
    </row>
    <row r="674">
      <c r="A674" s="49"/>
      <c r="B674" s="49"/>
      <c r="C674" s="49"/>
      <c r="D674" s="49"/>
      <c r="E674" s="50"/>
      <c r="F674" s="50"/>
      <c r="G674" s="50"/>
      <c r="H674" s="50"/>
      <c r="I674" s="50"/>
      <c r="J674" s="50"/>
      <c r="K674" s="50"/>
      <c r="L674" s="50"/>
      <c r="M674" s="50"/>
      <c r="N674" s="50"/>
      <c r="O674" s="50"/>
      <c r="P674" s="50"/>
      <c r="Q674" s="50"/>
      <c r="R674" s="50"/>
      <c r="S674" s="50"/>
      <c r="T674" s="50"/>
      <c r="U674" s="50"/>
      <c r="V674" s="50"/>
      <c r="W674" s="50"/>
      <c r="X674" s="50"/>
      <c r="Y674" s="50"/>
      <c r="Z674" s="50"/>
      <c r="AA674" s="50"/>
      <c r="AB674" s="50"/>
      <c r="AC674" s="50"/>
      <c r="AD674" s="50"/>
    </row>
    <row r="675">
      <c r="A675" s="49"/>
      <c r="B675" s="49"/>
      <c r="C675" s="49"/>
      <c r="D675" s="49"/>
      <c r="E675" s="50"/>
      <c r="F675" s="50"/>
      <c r="G675" s="50"/>
      <c r="H675" s="50"/>
      <c r="I675" s="50"/>
      <c r="J675" s="50"/>
      <c r="K675" s="50"/>
      <c r="L675" s="50"/>
      <c r="M675" s="50"/>
      <c r="N675" s="50"/>
      <c r="O675" s="50"/>
      <c r="P675" s="50"/>
      <c r="Q675" s="50"/>
      <c r="R675" s="50"/>
      <c r="S675" s="50"/>
      <c r="T675" s="50"/>
      <c r="U675" s="50"/>
      <c r="V675" s="50"/>
      <c r="W675" s="50"/>
      <c r="X675" s="50"/>
      <c r="Y675" s="50"/>
      <c r="Z675" s="50"/>
      <c r="AA675" s="50"/>
      <c r="AB675" s="50"/>
      <c r="AC675" s="50"/>
      <c r="AD675" s="50"/>
    </row>
    <row r="676">
      <c r="A676" s="49"/>
      <c r="B676" s="49"/>
      <c r="C676" s="49"/>
      <c r="D676" s="49"/>
      <c r="E676" s="50"/>
      <c r="F676" s="50"/>
      <c r="G676" s="50"/>
      <c r="H676" s="50"/>
      <c r="I676" s="50"/>
      <c r="J676" s="50"/>
      <c r="K676" s="50"/>
      <c r="L676" s="50"/>
      <c r="M676" s="50"/>
      <c r="N676" s="50"/>
      <c r="O676" s="50"/>
      <c r="P676" s="50"/>
      <c r="Q676" s="50"/>
      <c r="R676" s="50"/>
      <c r="S676" s="50"/>
      <c r="T676" s="50"/>
      <c r="U676" s="50"/>
      <c r="V676" s="50"/>
      <c r="W676" s="50"/>
      <c r="X676" s="50"/>
      <c r="Y676" s="50"/>
      <c r="Z676" s="50"/>
      <c r="AA676" s="50"/>
      <c r="AB676" s="50"/>
      <c r="AC676" s="50"/>
      <c r="AD676" s="50"/>
    </row>
    <row r="677">
      <c r="A677" s="49"/>
      <c r="B677" s="49"/>
      <c r="C677" s="49"/>
      <c r="D677" s="49"/>
      <c r="E677" s="50"/>
      <c r="F677" s="50"/>
      <c r="G677" s="50"/>
      <c r="H677" s="50"/>
      <c r="I677" s="50"/>
      <c r="J677" s="50"/>
      <c r="K677" s="50"/>
      <c r="L677" s="50"/>
      <c r="M677" s="50"/>
      <c r="N677" s="50"/>
      <c r="O677" s="50"/>
      <c r="P677" s="50"/>
      <c r="Q677" s="50"/>
      <c r="R677" s="50"/>
      <c r="S677" s="50"/>
      <c r="T677" s="50"/>
      <c r="U677" s="50"/>
      <c r="V677" s="50"/>
      <c r="W677" s="50"/>
      <c r="X677" s="50"/>
      <c r="Y677" s="50"/>
      <c r="Z677" s="50"/>
      <c r="AA677" s="50"/>
      <c r="AB677" s="50"/>
      <c r="AC677" s="50"/>
      <c r="AD677" s="50"/>
    </row>
    <row r="678">
      <c r="A678" s="49"/>
      <c r="B678" s="49"/>
      <c r="C678" s="49"/>
      <c r="D678" s="49"/>
      <c r="E678" s="50"/>
      <c r="F678" s="50"/>
      <c r="G678" s="50"/>
      <c r="H678" s="50"/>
      <c r="I678" s="50"/>
      <c r="J678" s="50"/>
      <c r="K678" s="50"/>
      <c r="L678" s="50"/>
      <c r="M678" s="50"/>
      <c r="N678" s="50"/>
      <c r="O678" s="50"/>
      <c r="P678" s="50"/>
      <c r="Q678" s="50"/>
      <c r="R678" s="50"/>
      <c r="S678" s="50"/>
      <c r="T678" s="50"/>
      <c r="U678" s="50"/>
      <c r="V678" s="50"/>
      <c r="W678" s="50"/>
      <c r="X678" s="50"/>
      <c r="Y678" s="50"/>
      <c r="Z678" s="50"/>
      <c r="AA678" s="50"/>
      <c r="AB678" s="50"/>
      <c r="AC678" s="50"/>
      <c r="AD678" s="50"/>
    </row>
    <row r="679">
      <c r="A679" s="49"/>
      <c r="B679" s="49"/>
      <c r="C679" s="49"/>
      <c r="D679" s="49"/>
      <c r="E679" s="50"/>
      <c r="F679" s="50"/>
      <c r="G679" s="50"/>
      <c r="H679" s="50"/>
      <c r="I679" s="50"/>
      <c r="J679" s="50"/>
      <c r="K679" s="50"/>
      <c r="L679" s="50"/>
      <c r="M679" s="50"/>
      <c r="N679" s="50"/>
      <c r="O679" s="50"/>
      <c r="P679" s="50"/>
      <c r="Q679" s="50"/>
      <c r="R679" s="50"/>
      <c r="S679" s="50"/>
      <c r="T679" s="50"/>
      <c r="U679" s="50"/>
      <c r="V679" s="50"/>
      <c r="W679" s="50"/>
      <c r="X679" s="50"/>
      <c r="Y679" s="50"/>
      <c r="Z679" s="50"/>
      <c r="AA679" s="50"/>
      <c r="AB679" s="50"/>
      <c r="AC679" s="50"/>
      <c r="AD679" s="50"/>
    </row>
    <row r="680">
      <c r="A680" s="49"/>
      <c r="B680" s="49"/>
      <c r="C680" s="49"/>
      <c r="D680" s="49"/>
      <c r="E680" s="50"/>
      <c r="F680" s="50"/>
      <c r="G680" s="50"/>
      <c r="H680" s="50"/>
      <c r="I680" s="50"/>
      <c r="J680" s="50"/>
      <c r="K680" s="50"/>
      <c r="L680" s="50"/>
      <c r="M680" s="50"/>
      <c r="N680" s="50"/>
      <c r="O680" s="50"/>
      <c r="P680" s="50"/>
      <c r="Q680" s="50"/>
      <c r="R680" s="50"/>
      <c r="S680" s="50"/>
      <c r="T680" s="50"/>
      <c r="U680" s="50"/>
      <c r="V680" s="50"/>
      <c r="W680" s="50"/>
      <c r="X680" s="50"/>
      <c r="Y680" s="50"/>
      <c r="Z680" s="50"/>
      <c r="AA680" s="50"/>
      <c r="AB680" s="50"/>
      <c r="AC680" s="50"/>
      <c r="AD680" s="50"/>
    </row>
    <row r="681">
      <c r="A681" s="49"/>
      <c r="B681" s="49"/>
      <c r="C681" s="49"/>
      <c r="D681" s="49"/>
      <c r="E681" s="50"/>
      <c r="F681" s="50"/>
      <c r="G681" s="50"/>
      <c r="H681" s="50"/>
      <c r="I681" s="50"/>
      <c r="J681" s="50"/>
      <c r="K681" s="50"/>
      <c r="L681" s="50"/>
      <c r="M681" s="50"/>
      <c r="N681" s="50"/>
      <c r="O681" s="50"/>
      <c r="P681" s="50"/>
      <c r="Q681" s="50"/>
      <c r="R681" s="50"/>
      <c r="S681" s="50"/>
      <c r="T681" s="50"/>
      <c r="U681" s="50"/>
      <c r="V681" s="50"/>
      <c r="W681" s="50"/>
      <c r="X681" s="50"/>
      <c r="Y681" s="50"/>
      <c r="Z681" s="50"/>
      <c r="AA681" s="50"/>
      <c r="AB681" s="50"/>
      <c r="AC681" s="50"/>
      <c r="AD681" s="50"/>
    </row>
    <row r="682">
      <c r="A682" s="49"/>
      <c r="B682" s="49"/>
      <c r="C682" s="49"/>
      <c r="D682" s="49"/>
      <c r="E682" s="50"/>
      <c r="F682" s="50"/>
      <c r="G682" s="50"/>
      <c r="H682" s="50"/>
      <c r="I682" s="50"/>
      <c r="J682" s="50"/>
      <c r="K682" s="50"/>
      <c r="L682" s="50"/>
      <c r="M682" s="50"/>
      <c r="N682" s="50"/>
      <c r="O682" s="50"/>
      <c r="P682" s="50"/>
      <c r="Q682" s="50"/>
      <c r="R682" s="50"/>
      <c r="S682" s="50"/>
      <c r="T682" s="50"/>
      <c r="U682" s="50"/>
      <c r="V682" s="50"/>
      <c r="W682" s="50"/>
      <c r="X682" s="50"/>
      <c r="Y682" s="50"/>
      <c r="Z682" s="50"/>
      <c r="AA682" s="50"/>
      <c r="AB682" s="50"/>
      <c r="AC682" s="50"/>
      <c r="AD682" s="50"/>
    </row>
    <row r="683">
      <c r="A683" s="49"/>
      <c r="B683" s="49"/>
      <c r="C683" s="49"/>
      <c r="D683" s="49"/>
      <c r="E683" s="50"/>
      <c r="F683" s="50"/>
      <c r="G683" s="50"/>
      <c r="H683" s="50"/>
      <c r="I683" s="50"/>
      <c r="J683" s="50"/>
      <c r="K683" s="50"/>
      <c r="L683" s="50"/>
      <c r="M683" s="50"/>
      <c r="N683" s="50"/>
      <c r="O683" s="50"/>
      <c r="P683" s="50"/>
      <c r="Q683" s="50"/>
      <c r="R683" s="50"/>
      <c r="S683" s="50"/>
      <c r="T683" s="50"/>
      <c r="U683" s="50"/>
      <c r="V683" s="50"/>
      <c r="W683" s="50"/>
      <c r="X683" s="50"/>
      <c r="Y683" s="50"/>
      <c r="Z683" s="50"/>
      <c r="AA683" s="50"/>
      <c r="AB683" s="50"/>
      <c r="AC683" s="50"/>
      <c r="AD683" s="50"/>
    </row>
    <row r="684">
      <c r="A684" s="49"/>
      <c r="B684" s="49"/>
      <c r="C684" s="49"/>
      <c r="D684" s="49"/>
      <c r="E684" s="50"/>
      <c r="F684" s="50"/>
      <c r="G684" s="50"/>
      <c r="H684" s="50"/>
      <c r="I684" s="50"/>
      <c r="J684" s="50"/>
      <c r="K684" s="50"/>
      <c r="L684" s="50"/>
      <c r="M684" s="50"/>
      <c r="N684" s="50"/>
      <c r="O684" s="50"/>
      <c r="P684" s="50"/>
      <c r="Q684" s="50"/>
      <c r="R684" s="50"/>
      <c r="S684" s="50"/>
      <c r="T684" s="50"/>
      <c r="U684" s="50"/>
      <c r="V684" s="50"/>
      <c r="W684" s="50"/>
      <c r="X684" s="50"/>
      <c r="Y684" s="50"/>
      <c r="Z684" s="50"/>
      <c r="AA684" s="50"/>
      <c r="AB684" s="50"/>
      <c r="AC684" s="50"/>
      <c r="AD684" s="50"/>
    </row>
    <row r="685">
      <c r="A685" s="49"/>
      <c r="B685" s="49"/>
      <c r="C685" s="49"/>
      <c r="D685" s="49"/>
      <c r="E685" s="50"/>
      <c r="F685" s="50"/>
      <c r="G685" s="50"/>
      <c r="H685" s="50"/>
      <c r="I685" s="50"/>
      <c r="J685" s="50"/>
      <c r="K685" s="50"/>
      <c r="L685" s="50"/>
      <c r="M685" s="50"/>
      <c r="N685" s="50"/>
      <c r="O685" s="50"/>
      <c r="P685" s="50"/>
      <c r="Q685" s="50"/>
      <c r="R685" s="50"/>
      <c r="S685" s="50"/>
      <c r="T685" s="50"/>
      <c r="U685" s="50"/>
      <c r="V685" s="50"/>
      <c r="W685" s="50"/>
      <c r="X685" s="50"/>
      <c r="Y685" s="50"/>
      <c r="Z685" s="50"/>
      <c r="AA685" s="50"/>
      <c r="AB685" s="50"/>
      <c r="AC685" s="50"/>
      <c r="AD685" s="50"/>
    </row>
    <row r="686">
      <c r="A686" s="49"/>
      <c r="B686" s="49"/>
      <c r="C686" s="49"/>
      <c r="D686" s="49"/>
      <c r="E686" s="50"/>
      <c r="F686" s="50"/>
      <c r="G686" s="50"/>
      <c r="H686" s="50"/>
      <c r="I686" s="50"/>
      <c r="J686" s="50"/>
      <c r="K686" s="50"/>
      <c r="L686" s="50"/>
      <c r="M686" s="50"/>
      <c r="N686" s="50"/>
      <c r="O686" s="50"/>
      <c r="P686" s="50"/>
      <c r="Q686" s="50"/>
      <c r="R686" s="50"/>
      <c r="S686" s="50"/>
      <c r="T686" s="50"/>
      <c r="U686" s="50"/>
      <c r="V686" s="50"/>
      <c r="W686" s="50"/>
      <c r="X686" s="50"/>
      <c r="Y686" s="50"/>
      <c r="Z686" s="50"/>
      <c r="AA686" s="50"/>
      <c r="AB686" s="50"/>
      <c r="AC686" s="50"/>
      <c r="AD686" s="50"/>
    </row>
    <row r="687">
      <c r="A687" s="49"/>
      <c r="B687" s="49"/>
      <c r="C687" s="49"/>
      <c r="D687" s="49"/>
      <c r="E687" s="50"/>
      <c r="F687" s="50"/>
      <c r="G687" s="50"/>
      <c r="H687" s="50"/>
      <c r="I687" s="50"/>
      <c r="J687" s="50"/>
      <c r="K687" s="50"/>
      <c r="L687" s="50"/>
      <c r="M687" s="50"/>
      <c r="N687" s="50"/>
      <c r="O687" s="50"/>
      <c r="P687" s="50"/>
      <c r="Q687" s="50"/>
      <c r="R687" s="50"/>
      <c r="S687" s="50"/>
      <c r="T687" s="50"/>
      <c r="U687" s="50"/>
      <c r="V687" s="50"/>
      <c r="W687" s="50"/>
      <c r="X687" s="50"/>
      <c r="Y687" s="50"/>
      <c r="Z687" s="50"/>
      <c r="AA687" s="50"/>
      <c r="AB687" s="50"/>
      <c r="AC687" s="50"/>
      <c r="AD687" s="50"/>
    </row>
    <row r="688">
      <c r="A688" s="49"/>
      <c r="B688" s="49"/>
      <c r="C688" s="49"/>
      <c r="D688" s="49"/>
      <c r="E688" s="50"/>
      <c r="F688" s="50"/>
      <c r="G688" s="50"/>
      <c r="H688" s="50"/>
      <c r="I688" s="50"/>
      <c r="J688" s="50"/>
      <c r="K688" s="50"/>
      <c r="L688" s="50"/>
      <c r="M688" s="50"/>
      <c r="N688" s="50"/>
      <c r="O688" s="50"/>
      <c r="P688" s="50"/>
      <c r="Q688" s="50"/>
      <c r="R688" s="50"/>
      <c r="S688" s="50"/>
      <c r="T688" s="50"/>
      <c r="U688" s="50"/>
      <c r="V688" s="50"/>
      <c r="W688" s="50"/>
      <c r="X688" s="50"/>
      <c r="Y688" s="50"/>
      <c r="Z688" s="50"/>
      <c r="AA688" s="50"/>
      <c r="AB688" s="50"/>
      <c r="AC688" s="50"/>
      <c r="AD688" s="50"/>
    </row>
    <row r="689">
      <c r="A689" s="49"/>
      <c r="B689" s="49"/>
      <c r="C689" s="49"/>
      <c r="D689" s="49"/>
      <c r="E689" s="50"/>
      <c r="F689" s="50"/>
      <c r="G689" s="50"/>
      <c r="H689" s="50"/>
      <c r="I689" s="50"/>
      <c r="J689" s="50"/>
      <c r="K689" s="50"/>
      <c r="L689" s="50"/>
      <c r="M689" s="50"/>
      <c r="N689" s="50"/>
      <c r="O689" s="50"/>
      <c r="P689" s="50"/>
      <c r="Q689" s="50"/>
      <c r="R689" s="50"/>
      <c r="S689" s="50"/>
      <c r="T689" s="50"/>
      <c r="U689" s="50"/>
      <c r="V689" s="50"/>
      <c r="W689" s="50"/>
      <c r="X689" s="50"/>
      <c r="Y689" s="50"/>
      <c r="Z689" s="50"/>
      <c r="AA689" s="50"/>
      <c r="AB689" s="50"/>
      <c r="AC689" s="50"/>
      <c r="AD689" s="50"/>
    </row>
    <row r="690">
      <c r="A690" s="49"/>
      <c r="B690" s="49"/>
      <c r="C690" s="49"/>
      <c r="D690" s="49"/>
      <c r="E690" s="50"/>
      <c r="F690" s="50"/>
      <c r="G690" s="50"/>
      <c r="H690" s="50"/>
      <c r="I690" s="50"/>
      <c r="J690" s="50"/>
      <c r="K690" s="50"/>
      <c r="L690" s="50"/>
      <c r="M690" s="50"/>
      <c r="N690" s="50"/>
      <c r="O690" s="50"/>
      <c r="P690" s="50"/>
      <c r="Q690" s="50"/>
      <c r="R690" s="50"/>
      <c r="S690" s="50"/>
      <c r="T690" s="50"/>
      <c r="U690" s="50"/>
      <c r="V690" s="50"/>
      <c r="W690" s="50"/>
      <c r="X690" s="50"/>
      <c r="Y690" s="50"/>
      <c r="Z690" s="50"/>
      <c r="AA690" s="50"/>
      <c r="AB690" s="50"/>
      <c r="AC690" s="50"/>
      <c r="AD690" s="50"/>
    </row>
    <row r="691">
      <c r="A691" s="49"/>
      <c r="B691" s="49"/>
      <c r="C691" s="49"/>
      <c r="D691" s="49"/>
      <c r="E691" s="50"/>
      <c r="F691" s="50"/>
      <c r="G691" s="50"/>
      <c r="H691" s="50"/>
      <c r="I691" s="50"/>
      <c r="J691" s="50"/>
      <c r="K691" s="50"/>
      <c r="L691" s="50"/>
      <c r="M691" s="50"/>
      <c r="N691" s="50"/>
      <c r="O691" s="50"/>
      <c r="P691" s="50"/>
      <c r="Q691" s="50"/>
      <c r="R691" s="50"/>
      <c r="S691" s="50"/>
      <c r="T691" s="50"/>
      <c r="U691" s="50"/>
      <c r="V691" s="50"/>
      <c r="W691" s="50"/>
      <c r="X691" s="50"/>
      <c r="Y691" s="50"/>
      <c r="Z691" s="50"/>
      <c r="AA691" s="50"/>
      <c r="AB691" s="50"/>
      <c r="AC691" s="50"/>
      <c r="AD691" s="50"/>
    </row>
    <row r="692">
      <c r="A692" s="49"/>
      <c r="B692" s="49"/>
      <c r="C692" s="49"/>
      <c r="D692" s="49"/>
      <c r="E692" s="50"/>
      <c r="F692" s="50"/>
      <c r="G692" s="50"/>
      <c r="H692" s="50"/>
      <c r="I692" s="50"/>
      <c r="J692" s="50"/>
      <c r="K692" s="50"/>
      <c r="L692" s="50"/>
      <c r="M692" s="50"/>
      <c r="N692" s="50"/>
      <c r="O692" s="50"/>
      <c r="P692" s="50"/>
      <c r="Q692" s="50"/>
      <c r="R692" s="50"/>
      <c r="S692" s="50"/>
      <c r="T692" s="50"/>
      <c r="U692" s="50"/>
      <c r="V692" s="50"/>
      <c r="W692" s="50"/>
      <c r="X692" s="50"/>
      <c r="Y692" s="50"/>
      <c r="Z692" s="50"/>
      <c r="AA692" s="50"/>
      <c r="AB692" s="50"/>
      <c r="AC692" s="50"/>
      <c r="AD692" s="50"/>
    </row>
    <row r="693">
      <c r="A693" s="49"/>
      <c r="B693" s="49"/>
      <c r="C693" s="49"/>
      <c r="D693" s="49"/>
      <c r="E693" s="50"/>
      <c r="F693" s="50"/>
      <c r="G693" s="50"/>
      <c r="H693" s="50"/>
      <c r="I693" s="50"/>
      <c r="J693" s="50"/>
      <c r="K693" s="50"/>
      <c r="L693" s="50"/>
      <c r="M693" s="50"/>
      <c r="N693" s="50"/>
      <c r="O693" s="50"/>
      <c r="P693" s="50"/>
      <c r="Q693" s="50"/>
      <c r="R693" s="50"/>
      <c r="S693" s="50"/>
      <c r="T693" s="50"/>
      <c r="U693" s="50"/>
      <c r="V693" s="50"/>
      <c r="W693" s="50"/>
      <c r="X693" s="50"/>
      <c r="Y693" s="50"/>
      <c r="Z693" s="50"/>
      <c r="AA693" s="50"/>
      <c r="AB693" s="50"/>
      <c r="AC693" s="50"/>
      <c r="AD693" s="50"/>
    </row>
    <row r="694">
      <c r="A694" s="49"/>
      <c r="B694" s="49"/>
      <c r="C694" s="49"/>
      <c r="D694" s="49"/>
      <c r="E694" s="50"/>
      <c r="F694" s="50"/>
      <c r="G694" s="50"/>
      <c r="H694" s="50"/>
      <c r="I694" s="50"/>
      <c r="J694" s="50"/>
      <c r="K694" s="50"/>
      <c r="L694" s="50"/>
      <c r="M694" s="50"/>
      <c r="N694" s="50"/>
      <c r="O694" s="50"/>
      <c r="P694" s="50"/>
      <c r="Q694" s="50"/>
      <c r="R694" s="50"/>
      <c r="S694" s="50"/>
      <c r="T694" s="50"/>
      <c r="U694" s="50"/>
      <c r="V694" s="50"/>
      <c r="W694" s="50"/>
      <c r="X694" s="50"/>
      <c r="Y694" s="50"/>
      <c r="Z694" s="50"/>
      <c r="AA694" s="50"/>
      <c r="AB694" s="50"/>
      <c r="AC694" s="50"/>
      <c r="AD694" s="50"/>
    </row>
    <row r="695">
      <c r="A695" s="49"/>
      <c r="B695" s="49"/>
      <c r="C695" s="49"/>
      <c r="D695" s="49"/>
      <c r="E695" s="50"/>
      <c r="F695" s="50"/>
      <c r="G695" s="50"/>
      <c r="H695" s="50"/>
      <c r="I695" s="50"/>
      <c r="J695" s="50"/>
      <c r="K695" s="50"/>
      <c r="L695" s="50"/>
      <c r="M695" s="50"/>
      <c r="N695" s="50"/>
      <c r="O695" s="50"/>
      <c r="P695" s="50"/>
      <c r="Q695" s="50"/>
      <c r="R695" s="50"/>
      <c r="S695" s="50"/>
      <c r="T695" s="50"/>
      <c r="U695" s="50"/>
      <c r="V695" s="50"/>
      <c r="W695" s="50"/>
      <c r="X695" s="50"/>
      <c r="Y695" s="50"/>
      <c r="Z695" s="50"/>
      <c r="AA695" s="50"/>
      <c r="AB695" s="50"/>
      <c r="AC695" s="50"/>
      <c r="AD695" s="50"/>
    </row>
    <row r="696">
      <c r="A696" s="49"/>
      <c r="B696" s="49"/>
      <c r="C696" s="49"/>
      <c r="D696" s="49"/>
      <c r="E696" s="50"/>
      <c r="F696" s="50"/>
      <c r="G696" s="50"/>
      <c r="H696" s="50"/>
      <c r="I696" s="50"/>
      <c r="J696" s="50"/>
      <c r="K696" s="50"/>
      <c r="L696" s="50"/>
      <c r="M696" s="50"/>
      <c r="N696" s="50"/>
      <c r="O696" s="50"/>
      <c r="P696" s="50"/>
      <c r="Q696" s="50"/>
      <c r="R696" s="50"/>
      <c r="S696" s="50"/>
      <c r="T696" s="50"/>
      <c r="U696" s="50"/>
      <c r="V696" s="50"/>
      <c r="W696" s="50"/>
      <c r="X696" s="50"/>
      <c r="Y696" s="50"/>
      <c r="Z696" s="50"/>
      <c r="AA696" s="50"/>
      <c r="AB696" s="50"/>
      <c r="AC696" s="50"/>
      <c r="AD696" s="50"/>
    </row>
    <row r="697">
      <c r="A697" s="49"/>
      <c r="B697" s="49"/>
      <c r="C697" s="49"/>
      <c r="D697" s="49"/>
      <c r="E697" s="50"/>
      <c r="F697" s="50"/>
      <c r="G697" s="50"/>
      <c r="H697" s="50"/>
      <c r="I697" s="50"/>
      <c r="J697" s="50"/>
      <c r="K697" s="50"/>
      <c r="L697" s="50"/>
      <c r="M697" s="50"/>
      <c r="N697" s="50"/>
      <c r="O697" s="50"/>
      <c r="P697" s="50"/>
      <c r="Q697" s="50"/>
      <c r="R697" s="50"/>
      <c r="S697" s="50"/>
      <c r="T697" s="50"/>
      <c r="U697" s="50"/>
      <c r="V697" s="50"/>
      <c r="W697" s="50"/>
      <c r="X697" s="50"/>
      <c r="Y697" s="50"/>
      <c r="Z697" s="50"/>
      <c r="AA697" s="50"/>
      <c r="AB697" s="50"/>
      <c r="AC697" s="50"/>
      <c r="AD697" s="50"/>
    </row>
    <row r="698">
      <c r="A698" s="49"/>
      <c r="B698" s="49"/>
      <c r="C698" s="49"/>
      <c r="D698" s="49"/>
      <c r="E698" s="50"/>
      <c r="F698" s="50"/>
      <c r="G698" s="50"/>
      <c r="H698" s="50"/>
      <c r="I698" s="50"/>
      <c r="J698" s="50"/>
      <c r="K698" s="50"/>
      <c r="L698" s="50"/>
      <c r="M698" s="50"/>
      <c r="N698" s="50"/>
      <c r="O698" s="50"/>
      <c r="P698" s="50"/>
      <c r="Q698" s="50"/>
      <c r="R698" s="50"/>
      <c r="S698" s="50"/>
      <c r="T698" s="50"/>
      <c r="U698" s="50"/>
      <c r="V698" s="50"/>
      <c r="W698" s="50"/>
      <c r="X698" s="50"/>
      <c r="Y698" s="50"/>
      <c r="Z698" s="50"/>
      <c r="AA698" s="50"/>
      <c r="AB698" s="50"/>
      <c r="AC698" s="50"/>
      <c r="AD698" s="50"/>
    </row>
    <row r="699">
      <c r="A699" s="49"/>
      <c r="B699" s="49"/>
      <c r="C699" s="49"/>
      <c r="D699" s="49"/>
      <c r="E699" s="50"/>
      <c r="F699" s="50"/>
      <c r="G699" s="50"/>
      <c r="H699" s="50"/>
      <c r="I699" s="50"/>
      <c r="J699" s="50"/>
      <c r="K699" s="50"/>
      <c r="L699" s="50"/>
      <c r="M699" s="50"/>
      <c r="N699" s="50"/>
      <c r="O699" s="50"/>
      <c r="P699" s="50"/>
      <c r="Q699" s="50"/>
      <c r="R699" s="50"/>
      <c r="S699" s="50"/>
      <c r="T699" s="50"/>
      <c r="U699" s="50"/>
      <c r="V699" s="50"/>
      <c r="W699" s="50"/>
      <c r="X699" s="50"/>
      <c r="Y699" s="50"/>
      <c r="Z699" s="50"/>
      <c r="AA699" s="50"/>
      <c r="AB699" s="50"/>
      <c r="AC699" s="50"/>
      <c r="AD699" s="50"/>
    </row>
    <row r="700">
      <c r="A700" s="49"/>
      <c r="B700" s="49"/>
      <c r="C700" s="49"/>
      <c r="D700" s="49"/>
      <c r="E700" s="50"/>
      <c r="F700" s="50"/>
      <c r="G700" s="50"/>
      <c r="H700" s="50"/>
      <c r="I700" s="50"/>
      <c r="J700" s="50"/>
      <c r="K700" s="50"/>
      <c r="L700" s="50"/>
      <c r="M700" s="50"/>
      <c r="N700" s="50"/>
      <c r="O700" s="50"/>
      <c r="P700" s="50"/>
      <c r="Q700" s="50"/>
      <c r="R700" s="50"/>
      <c r="S700" s="50"/>
      <c r="T700" s="50"/>
      <c r="U700" s="50"/>
      <c r="V700" s="50"/>
      <c r="W700" s="50"/>
      <c r="X700" s="50"/>
      <c r="Y700" s="50"/>
      <c r="Z700" s="50"/>
      <c r="AA700" s="50"/>
      <c r="AB700" s="50"/>
      <c r="AC700" s="50"/>
      <c r="AD700" s="50"/>
    </row>
    <row r="701">
      <c r="A701" s="49"/>
      <c r="B701" s="49"/>
      <c r="C701" s="49"/>
      <c r="D701" s="49"/>
      <c r="E701" s="50"/>
      <c r="F701" s="50"/>
      <c r="G701" s="50"/>
      <c r="H701" s="50"/>
      <c r="I701" s="50"/>
      <c r="J701" s="50"/>
      <c r="K701" s="50"/>
      <c r="L701" s="50"/>
      <c r="M701" s="50"/>
      <c r="N701" s="50"/>
      <c r="O701" s="50"/>
      <c r="P701" s="50"/>
      <c r="Q701" s="50"/>
      <c r="R701" s="50"/>
      <c r="S701" s="50"/>
      <c r="T701" s="50"/>
      <c r="U701" s="50"/>
      <c r="V701" s="50"/>
      <c r="W701" s="50"/>
      <c r="X701" s="50"/>
      <c r="Y701" s="50"/>
      <c r="Z701" s="50"/>
      <c r="AA701" s="50"/>
      <c r="AB701" s="50"/>
      <c r="AC701" s="50"/>
      <c r="AD701" s="50"/>
    </row>
    <row r="702">
      <c r="A702" s="49"/>
      <c r="B702" s="49"/>
      <c r="C702" s="49"/>
      <c r="D702" s="49"/>
      <c r="E702" s="50"/>
      <c r="F702" s="50"/>
      <c r="G702" s="50"/>
      <c r="H702" s="50"/>
      <c r="I702" s="50"/>
      <c r="J702" s="50"/>
      <c r="K702" s="50"/>
      <c r="L702" s="50"/>
      <c r="M702" s="50"/>
      <c r="N702" s="50"/>
      <c r="O702" s="50"/>
      <c r="P702" s="50"/>
      <c r="Q702" s="50"/>
      <c r="R702" s="50"/>
      <c r="S702" s="50"/>
      <c r="T702" s="50"/>
      <c r="U702" s="50"/>
      <c r="V702" s="50"/>
      <c r="W702" s="50"/>
      <c r="X702" s="50"/>
      <c r="Y702" s="50"/>
      <c r="Z702" s="50"/>
      <c r="AA702" s="50"/>
      <c r="AB702" s="50"/>
      <c r="AC702" s="50"/>
      <c r="AD702" s="50"/>
    </row>
    <row r="703">
      <c r="A703" s="49"/>
      <c r="B703" s="49"/>
      <c r="C703" s="49"/>
      <c r="D703" s="49"/>
      <c r="E703" s="50"/>
      <c r="F703" s="50"/>
      <c r="G703" s="50"/>
      <c r="H703" s="50"/>
      <c r="I703" s="50"/>
      <c r="J703" s="50"/>
      <c r="K703" s="50"/>
      <c r="L703" s="50"/>
      <c r="M703" s="50"/>
      <c r="N703" s="50"/>
      <c r="O703" s="50"/>
      <c r="P703" s="50"/>
      <c r="Q703" s="50"/>
      <c r="R703" s="50"/>
      <c r="S703" s="50"/>
      <c r="T703" s="50"/>
      <c r="U703" s="50"/>
      <c r="V703" s="50"/>
      <c r="W703" s="50"/>
      <c r="X703" s="50"/>
      <c r="Y703" s="50"/>
      <c r="Z703" s="50"/>
      <c r="AA703" s="50"/>
      <c r="AB703" s="50"/>
      <c r="AC703" s="50"/>
      <c r="AD703" s="50"/>
    </row>
    <row r="704">
      <c r="A704" s="49"/>
      <c r="B704" s="49"/>
      <c r="C704" s="49"/>
      <c r="D704" s="49"/>
      <c r="E704" s="50"/>
      <c r="F704" s="50"/>
      <c r="G704" s="50"/>
      <c r="H704" s="50"/>
      <c r="I704" s="50"/>
      <c r="J704" s="50"/>
      <c r="K704" s="50"/>
      <c r="L704" s="50"/>
      <c r="M704" s="50"/>
      <c r="N704" s="50"/>
      <c r="O704" s="50"/>
      <c r="P704" s="50"/>
      <c r="Q704" s="50"/>
      <c r="R704" s="50"/>
      <c r="S704" s="50"/>
      <c r="T704" s="50"/>
      <c r="U704" s="50"/>
      <c r="V704" s="50"/>
      <c r="W704" s="50"/>
      <c r="X704" s="50"/>
      <c r="Y704" s="50"/>
      <c r="Z704" s="50"/>
      <c r="AA704" s="50"/>
      <c r="AB704" s="50"/>
      <c r="AC704" s="50"/>
      <c r="AD704" s="50"/>
    </row>
    <row r="705">
      <c r="A705" s="49"/>
      <c r="B705" s="49"/>
      <c r="C705" s="49"/>
      <c r="D705" s="49"/>
      <c r="E705" s="50"/>
      <c r="F705" s="50"/>
      <c r="G705" s="50"/>
      <c r="H705" s="50"/>
      <c r="I705" s="50"/>
      <c r="J705" s="50"/>
      <c r="K705" s="50"/>
      <c r="L705" s="50"/>
      <c r="M705" s="50"/>
      <c r="N705" s="50"/>
      <c r="O705" s="50"/>
      <c r="P705" s="50"/>
      <c r="Q705" s="50"/>
      <c r="R705" s="50"/>
      <c r="S705" s="50"/>
      <c r="T705" s="50"/>
      <c r="U705" s="50"/>
      <c r="V705" s="50"/>
      <c r="W705" s="50"/>
      <c r="X705" s="50"/>
      <c r="Y705" s="50"/>
      <c r="Z705" s="50"/>
      <c r="AA705" s="50"/>
      <c r="AB705" s="50"/>
      <c r="AC705" s="50"/>
      <c r="AD705" s="50"/>
    </row>
    <row r="706">
      <c r="A706" s="49"/>
      <c r="B706" s="49"/>
      <c r="C706" s="49"/>
      <c r="D706" s="49"/>
      <c r="E706" s="50"/>
      <c r="F706" s="50"/>
      <c r="G706" s="50"/>
      <c r="H706" s="50"/>
      <c r="I706" s="50"/>
      <c r="J706" s="50"/>
      <c r="K706" s="50"/>
      <c r="L706" s="50"/>
      <c r="M706" s="50"/>
      <c r="N706" s="50"/>
      <c r="O706" s="50"/>
      <c r="P706" s="50"/>
      <c r="Q706" s="50"/>
      <c r="R706" s="50"/>
      <c r="S706" s="50"/>
      <c r="T706" s="50"/>
      <c r="U706" s="50"/>
      <c r="V706" s="50"/>
      <c r="W706" s="50"/>
      <c r="X706" s="50"/>
      <c r="Y706" s="50"/>
      <c r="Z706" s="50"/>
      <c r="AA706" s="50"/>
      <c r="AB706" s="50"/>
      <c r="AC706" s="50"/>
      <c r="AD706" s="50"/>
    </row>
    <row r="707">
      <c r="A707" s="49"/>
      <c r="B707" s="49"/>
      <c r="C707" s="49"/>
      <c r="D707" s="49"/>
      <c r="E707" s="50"/>
      <c r="F707" s="50"/>
      <c r="G707" s="50"/>
      <c r="H707" s="50"/>
      <c r="I707" s="50"/>
      <c r="J707" s="50"/>
      <c r="K707" s="50"/>
      <c r="L707" s="50"/>
      <c r="M707" s="50"/>
      <c r="N707" s="50"/>
      <c r="O707" s="50"/>
      <c r="P707" s="50"/>
      <c r="Q707" s="50"/>
      <c r="R707" s="50"/>
      <c r="S707" s="50"/>
      <c r="T707" s="50"/>
      <c r="U707" s="50"/>
      <c r="V707" s="50"/>
      <c r="W707" s="50"/>
      <c r="X707" s="50"/>
      <c r="Y707" s="50"/>
      <c r="Z707" s="50"/>
      <c r="AA707" s="50"/>
      <c r="AB707" s="50"/>
      <c r="AC707" s="50"/>
      <c r="AD707" s="50"/>
    </row>
    <row r="708">
      <c r="A708" s="49"/>
      <c r="B708" s="49"/>
      <c r="C708" s="49"/>
      <c r="D708" s="49"/>
      <c r="E708" s="50"/>
      <c r="F708" s="50"/>
      <c r="G708" s="50"/>
      <c r="H708" s="50"/>
      <c r="I708" s="50"/>
      <c r="J708" s="50"/>
      <c r="K708" s="50"/>
      <c r="L708" s="50"/>
      <c r="M708" s="50"/>
      <c r="N708" s="50"/>
      <c r="O708" s="50"/>
      <c r="P708" s="50"/>
      <c r="Q708" s="50"/>
      <c r="R708" s="50"/>
      <c r="S708" s="50"/>
      <c r="T708" s="50"/>
      <c r="U708" s="50"/>
      <c r="V708" s="50"/>
      <c r="W708" s="50"/>
      <c r="X708" s="50"/>
      <c r="Y708" s="50"/>
      <c r="Z708" s="50"/>
      <c r="AA708" s="50"/>
      <c r="AB708" s="50"/>
      <c r="AC708" s="50"/>
      <c r="AD708" s="50"/>
    </row>
    <row r="709">
      <c r="A709" s="49"/>
      <c r="B709" s="49"/>
      <c r="C709" s="49"/>
      <c r="D709" s="49"/>
      <c r="E709" s="50"/>
      <c r="F709" s="50"/>
      <c r="G709" s="50"/>
      <c r="H709" s="50"/>
      <c r="I709" s="50"/>
      <c r="J709" s="50"/>
      <c r="K709" s="50"/>
      <c r="L709" s="50"/>
      <c r="M709" s="50"/>
      <c r="N709" s="50"/>
      <c r="O709" s="50"/>
      <c r="P709" s="50"/>
      <c r="Q709" s="50"/>
      <c r="R709" s="50"/>
      <c r="S709" s="50"/>
      <c r="T709" s="50"/>
      <c r="U709" s="50"/>
      <c r="V709" s="50"/>
      <c r="W709" s="50"/>
      <c r="X709" s="50"/>
      <c r="Y709" s="50"/>
      <c r="Z709" s="50"/>
      <c r="AA709" s="50"/>
      <c r="AB709" s="50"/>
      <c r="AC709" s="50"/>
      <c r="AD709" s="50"/>
    </row>
    <row r="710">
      <c r="A710" s="49"/>
      <c r="B710" s="49"/>
      <c r="C710" s="49"/>
      <c r="D710" s="49"/>
      <c r="E710" s="50"/>
      <c r="F710" s="50"/>
      <c r="G710" s="50"/>
      <c r="H710" s="50"/>
      <c r="I710" s="50"/>
      <c r="J710" s="50"/>
      <c r="K710" s="50"/>
      <c r="L710" s="50"/>
      <c r="M710" s="50"/>
      <c r="N710" s="50"/>
      <c r="O710" s="50"/>
      <c r="P710" s="50"/>
      <c r="Q710" s="50"/>
      <c r="R710" s="50"/>
      <c r="S710" s="50"/>
      <c r="T710" s="50"/>
      <c r="U710" s="50"/>
      <c r="V710" s="50"/>
      <c r="W710" s="50"/>
      <c r="X710" s="50"/>
      <c r="Y710" s="50"/>
      <c r="Z710" s="50"/>
      <c r="AA710" s="50"/>
      <c r="AB710" s="50"/>
      <c r="AC710" s="50"/>
      <c r="AD710" s="50"/>
    </row>
    <row r="711">
      <c r="A711" s="49"/>
      <c r="B711" s="49"/>
      <c r="C711" s="49"/>
      <c r="D711" s="49"/>
      <c r="E711" s="50"/>
      <c r="F711" s="50"/>
      <c r="G711" s="50"/>
      <c r="H711" s="50"/>
      <c r="I711" s="50"/>
      <c r="J711" s="50"/>
      <c r="K711" s="50"/>
      <c r="L711" s="50"/>
      <c r="M711" s="50"/>
      <c r="N711" s="50"/>
      <c r="O711" s="50"/>
      <c r="P711" s="50"/>
      <c r="Q711" s="50"/>
      <c r="R711" s="50"/>
      <c r="S711" s="50"/>
      <c r="T711" s="50"/>
      <c r="U711" s="50"/>
      <c r="V711" s="50"/>
      <c r="W711" s="50"/>
      <c r="X711" s="50"/>
      <c r="Y711" s="50"/>
      <c r="Z711" s="50"/>
      <c r="AA711" s="50"/>
      <c r="AB711" s="50"/>
      <c r="AC711" s="50"/>
      <c r="AD711" s="50"/>
    </row>
    <row r="712">
      <c r="A712" s="49"/>
      <c r="B712" s="49"/>
      <c r="C712" s="49"/>
      <c r="D712" s="49"/>
      <c r="E712" s="50"/>
      <c r="F712" s="50"/>
      <c r="G712" s="50"/>
      <c r="H712" s="50"/>
      <c r="I712" s="50"/>
      <c r="J712" s="50"/>
      <c r="K712" s="50"/>
      <c r="L712" s="50"/>
      <c r="M712" s="50"/>
      <c r="N712" s="50"/>
      <c r="O712" s="50"/>
      <c r="P712" s="50"/>
      <c r="Q712" s="50"/>
      <c r="R712" s="50"/>
      <c r="S712" s="50"/>
      <c r="T712" s="50"/>
      <c r="U712" s="50"/>
      <c r="V712" s="50"/>
      <c r="W712" s="50"/>
      <c r="X712" s="50"/>
      <c r="Y712" s="50"/>
      <c r="Z712" s="50"/>
      <c r="AA712" s="50"/>
      <c r="AB712" s="50"/>
      <c r="AC712" s="50"/>
      <c r="AD712" s="50"/>
    </row>
    <row r="713">
      <c r="A713" s="49"/>
      <c r="B713" s="49"/>
      <c r="C713" s="49"/>
      <c r="D713" s="49"/>
      <c r="E713" s="50"/>
      <c r="F713" s="50"/>
      <c r="G713" s="50"/>
      <c r="H713" s="50"/>
      <c r="I713" s="50"/>
      <c r="J713" s="50"/>
      <c r="K713" s="50"/>
      <c r="L713" s="50"/>
      <c r="M713" s="50"/>
      <c r="N713" s="50"/>
      <c r="O713" s="50"/>
      <c r="P713" s="50"/>
      <c r="Q713" s="50"/>
      <c r="R713" s="50"/>
      <c r="S713" s="50"/>
      <c r="T713" s="50"/>
      <c r="U713" s="50"/>
      <c r="V713" s="50"/>
      <c r="W713" s="50"/>
      <c r="X713" s="50"/>
      <c r="Y713" s="50"/>
      <c r="Z713" s="50"/>
      <c r="AA713" s="50"/>
      <c r="AB713" s="50"/>
      <c r="AC713" s="50"/>
      <c r="AD713" s="50"/>
    </row>
    <row r="714">
      <c r="A714" s="49"/>
      <c r="B714" s="49"/>
      <c r="C714" s="49"/>
      <c r="D714" s="49"/>
      <c r="E714" s="50"/>
      <c r="F714" s="50"/>
      <c r="G714" s="50"/>
      <c r="H714" s="50"/>
      <c r="I714" s="50"/>
      <c r="J714" s="50"/>
      <c r="K714" s="50"/>
      <c r="L714" s="50"/>
      <c r="M714" s="50"/>
      <c r="N714" s="50"/>
      <c r="O714" s="50"/>
      <c r="P714" s="50"/>
      <c r="Q714" s="50"/>
      <c r="R714" s="50"/>
      <c r="S714" s="50"/>
      <c r="T714" s="50"/>
      <c r="U714" s="50"/>
      <c r="V714" s="50"/>
      <c r="W714" s="50"/>
      <c r="X714" s="50"/>
      <c r="Y714" s="50"/>
      <c r="Z714" s="50"/>
      <c r="AA714" s="50"/>
      <c r="AB714" s="50"/>
      <c r="AC714" s="50"/>
      <c r="AD714" s="50"/>
    </row>
    <row r="715">
      <c r="A715" s="49"/>
      <c r="B715" s="49"/>
      <c r="C715" s="49"/>
      <c r="D715" s="49"/>
      <c r="E715" s="50"/>
      <c r="F715" s="50"/>
      <c r="G715" s="50"/>
      <c r="H715" s="50"/>
      <c r="I715" s="50"/>
      <c r="J715" s="50"/>
      <c r="K715" s="50"/>
      <c r="L715" s="50"/>
      <c r="M715" s="50"/>
      <c r="N715" s="50"/>
      <c r="O715" s="50"/>
      <c r="P715" s="50"/>
      <c r="Q715" s="50"/>
      <c r="R715" s="50"/>
      <c r="S715" s="50"/>
      <c r="T715" s="50"/>
      <c r="U715" s="50"/>
      <c r="V715" s="50"/>
      <c r="W715" s="50"/>
      <c r="X715" s="50"/>
      <c r="Y715" s="50"/>
      <c r="Z715" s="50"/>
      <c r="AA715" s="50"/>
      <c r="AB715" s="50"/>
      <c r="AC715" s="50"/>
      <c r="AD715" s="50"/>
    </row>
    <row r="716">
      <c r="A716" s="49"/>
      <c r="B716" s="49"/>
      <c r="C716" s="49"/>
      <c r="D716" s="49"/>
      <c r="E716" s="50"/>
      <c r="F716" s="50"/>
      <c r="G716" s="50"/>
      <c r="H716" s="50"/>
      <c r="I716" s="50"/>
      <c r="J716" s="50"/>
      <c r="K716" s="50"/>
      <c r="L716" s="50"/>
      <c r="M716" s="50"/>
      <c r="N716" s="50"/>
      <c r="O716" s="50"/>
      <c r="P716" s="50"/>
      <c r="Q716" s="50"/>
      <c r="R716" s="50"/>
      <c r="S716" s="50"/>
      <c r="T716" s="50"/>
      <c r="U716" s="50"/>
      <c r="V716" s="50"/>
      <c r="W716" s="50"/>
      <c r="X716" s="50"/>
      <c r="Y716" s="50"/>
      <c r="Z716" s="50"/>
      <c r="AA716" s="50"/>
      <c r="AB716" s="50"/>
      <c r="AC716" s="50"/>
      <c r="AD716" s="50"/>
    </row>
    <row r="717">
      <c r="A717" s="49"/>
      <c r="B717" s="49"/>
      <c r="C717" s="49"/>
      <c r="D717" s="49"/>
      <c r="E717" s="50"/>
      <c r="F717" s="50"/>
      <c r="G717" s="50"/>
      <c r="H717" s="50"/>
      <c r="I717" s="50"/>
      <c r="J717" s="50"/>
      <c r="K717" s="50"/>
      <c r="L717" s="50"/>
      <c r="M717" s="50"/>
      <c r="N717" s="50"/>
      <c r="O717" s="50"/>
      <c r="P717" s="50"/>
      <c r="Q717" s="50"/>
      <c r="R717" s="50"/>
      <c r="S717" s="50"/>
      <c r="T717" s="50"/>
      <c r="U717" s="50"/>
      <c r="V717" s="50"/>
      <c r="W717" s="50"/>
      <c r="X717" s="50"/>
      <c r="Y717" s="50"/>
      <c r="Z717" s="50"/>
      <c r="AA717" s="50"/>
      <c r="AB717" s="50"/>
      <c r="AC717" s="50"/>
      <c r="AD717" s="50"/>
    </row>
    <row r="718">
      <c r="A718" s="49"/>
      <c r="B718" s="49"/>
      <c r="C718" s="49"/>
      <c r="D718" s="49"/>
      <c r="E718" s="50"/>
      <c r="F718" s="50"/>
      <c r="G718" s="50"/>
      <c r="H718" s="50"/>
      <c r="I718" s="50"/>
      <c r="J718" s="50"/>
      <c r="K718" s="50"/>
      <c r="L718" s="50"/>
      <c r="M718" s="50"/>
      <c r="N718" s="50"/>
      <c r="O718" s="50"/>
      <c r="P718" s="50"/>
      <c r="Q718" s="50"/>
      <c r="R718" s="50"/>
      <c r="S718" s="50"/>
      <c r="T718" s="50"/>
      <c r="U718" s="50"/>
      <c r="V718" s="50"/>
      <c r="W718" s="50"/>
      <c r="X718" s="50"/>
      <c r="Y718" s="50"/>
      <c r="Z718" s="50"/>
      <c r="AA718" s="50"/>
      <c r="AB718" s="50"/>
      <c r="AC718" s="50"/>
      <c r="AD718" s="50"/>
    </row>
    <row r="719">
      <c r="A719" s="49"/>
      <c r="B719" s="49"/>
      <c r="C719" s="49"/>
      <c r="D719" s="49"/>
      <c r="E719" s="50"/>
      <c r="F719" s="50"/>
      <c r="G719" s="50"/>
      <c r="H719" s="50"/>
      <c r="I719" s="50"/>
      <c r="J719" s="50"/>
      <c r="K719" s="50"/>
      <c r="L719" s="50"/>
      <c r="M719" s="50"/>
      <c r="N719" s="50"/>
      <c r="O719" s="50"/>
      <c r="P719" s="50"/>
      <c r="Q719" s="50"/>
      <c r="R719" s="50"/>
      <c r="S719" s="50"/>
      <c r="T719" s="50"/>
      <c r="U719" s="50"/>
      <c r="V719" s="50"/>
      <c r="W719" s="50"/>
      <c r="X719" s="50"/>
      <c r="Y719" s="50"/>
      <c r="Z719" s="50"/>
      <c r="AA719" s="50"/>
      <c r="AB719" s="50"/>
      <c r="AC719" s="50"/>
      <c r="AD719" s="50"/>
    </row>
    <row r="720">
      <c r="A720" s="49"/>
      <c r="B720" s="49"/>
      <c r="C720" s="49"/>
      <c r="D720" s="49"/>
      <c r="E720" s="50"/>
      <c r="F720" s="50"/>
      <c r="G720" s="50"/>
      <c r="H720" s="50"/>
      <c r="I720" s="50"/>
      <c r="J720" s="50"/>
      <c r="K720" s="50"/>
      <c r="L720" s="50"/>
      <c r="M720" s="50"/>
      <c r="N720" s="50"/>
      <c r="O720" s="50"/>
      <c r="P720" s="50"/>
      <c r="Q720" s="50"/>
      <c r="R720" s="50"/>
      <c r="S720" s="50"/>
      <c r="T720" s="50"/>
      <c r="U720" s="50"/>
      <c r="V720" s="50"/>
      <c r="W720" s="50"/>
      <c r="X720" s="50"/>
      <c r="Y720" s="50"/>
      <c r="Z720" s="50"/>
      <c r="AA720" s="50"/>
      <c r="AB720" s="50"/>
      <c r="AC720" s="50"/>
      <c r="AD720" s="50"/>
    </row>
    <row r="721">
      <c r="A721" s="49"/>
      <c r="B721" s="49"/>
      <c r="C721" s="49"/>
      <c r="D721" s="49"/>
      <c r="E721" s="50"/>
      <c r="F721" s="50"/>
      <c r="G721" s="50"/>
      <c r="H721" s="50"/>
      <c r="I721" s="50"/>
      <c r="J721" s="50"/>
      <c r="K721" s="50"/>
      <c r="L721" s="50"/>
      <c r="M721" s="50"/>
      <c r="N721" s="50"/>
      <c r="O721" s="50"/>
      <c r="P721" s="50"/>
      <c r="Q721" s="50"/>
      <c r="R721" s="50"/>
      <c r="S721" s="50"/>
      <c r="T721" s="50"/>
      <c r="U721" s="50"/>
      <c r="V721" s="50"/>
      <c r="W721" s="50"/>
      <c r="X721" s="50"/>
      <c r="Y721" s="50"/>
      <c r="Z721" s="50"/>
      <c r="AA721" s="50"/>
      <c r="AB721" s="50"/>
      <c r="AC721" s="50"/>
      <c r="AD721" s="50"/>
    </row>
    <row r="722">
      <c r="A722" s="49"/>
      <c r="B722" s="49"/>
      <c r="C722" s="49"/>
      <c r="D722" s="49"/>
      <c r="E722" s="50"/>
      <c r="F722" s="50"/>
      <c r="G722" s="50"/>
      <c r="H722" s="50"/>
      <c r="I722" s="50"/>
      <c r="J722" s="50"/>
      <c r="K722" s="50"/>
      <c r="L722" s="50"/>
      <c r="M722" s="50"/>
      <c r="N722" s="50"/>
      <c r="O722" s="50"/>
      <c r="P722" s="50"/>
      <c r="Q722" s="50"/>
      <c r="R722" s="50"/>
      <c r="S722" s="50"/>
      <c r="T722" s="50"/>
      <c r="U722" s="50"/>
      <c r="V722" s="50"/>
      <c r="W722" s="50"/>
      <c r="X722" s="50"/>
      <c r="Y722" s="50"/>
      <c r="Z722" s="50"/>
      <c r="AA722" s="50"/>
      <c r="AB722" s="50"/>
      <c r="AC722" s="50"/>
      <c r="AD722" s="50"/>
    </row>
    <row r="723">
      <c r="A723" s="49"/>
      <c r="B723" s="49"/>
      <c r="C723" s="49"/>
      <c r="D723" s="49"/>
      <c r="E723" s="50"/>
      <c r="F723" s="50"/>
      <c r="G723" s="50"/>
      <c r="H723" s="50"/>
      <c r="I723" s="50"/>
      <c r="J723" s="50"/>
      <c r="K723" s="50"/>
      <c r="L723" s="50"/>
      <c r="M723" s="50"/>
      <c r="N723" s="50"/>
      <c r="O723" s="50"/>
      <c r="P723" s="50"/>
      <c r="Q723" s="50"/>
      <c r="R723" s="50"/>
      <c r="S723" s="50"/>
      <c r="T723" s="50"/>
      <c r="U723" s="50"/>
      <c r="V723" s="50"/>
      <c r="W723" s="50"/>
      <c r="X723" s="50"/>
      <c r="Y723" s="50"/>
      <c r="Z723" s="50"/>
      <c r="AA723" s="50"/>
      <c r="AB723" s="50"/>
      <c r="AC723" s="50"/>
      <c r="AD723" s="50"/>
    </row>
    <row r="724">
      <c r="A724" s="49"/>
      <c r="B724" s="49"/>
      <c r="C724" s="49"/>
      <c r="D724" s="49"/>
      <c r="E724" s="50"/>
      <c r="F724" s="50"/>
      <c r="G724" s="50"/>
      <c r="H724" s="50"/>
      <c r="I724" s="50"/>
      <c r="J724" s="50"/>
      <c r="K724" s="50"/>
      <c r="L724" s="50"/>
      <c r="M724" s="50"/>
      <c r="N724" s="50"/>
      <c r="O724" s="50"/>
      <c r="P724" s="50"/>
      <c r="Q724" s="50"/>
      <c r="R724" s="50"/>
      <c r="S724" s="50"/>
      <c r="T724" s="50"/>
      <c r="U724" s="50"/>
      <c r="V724" s="50"/>
      <c r="W724" s="50"/>
      <c r="X724" s="50"/>
      <c r="Y724" s="50"/>
      <c r="Z724" s="50"/>
      <c r="AA724" s="50"/>
      <c r="AB724" s="50"/>
      <c r="AC724" s="50"/>
      <c r="AD724" s="50"/>
    </row>
    <row r="725">
      <c r="A725" s="49"/>
      <c r="B725" s="49"/>
      <c r="C725" s="49"/>
      <c r="D725" s="49"/>
      <c r="E725" s="50"/>
      <c r="F725" s="50"/>
      <c r="G725" s="50"/>
      <c r="H725" s="50"/>
      <c r="I725" s="50"/>
      <c r="J725" s="50"/>
      <c r="K725" s="50"/>
      <c r="L725" s="50"/>
      <c r="M725" s="50"/>
      <c r="N725" s="50"/>
      <c r="O725" s="50"/>
      <c r="P725" s="50"/>
      <c r="Q725" s="50"/>
      <c r="R725" s="50"/>
      <c r="S725" s="50"/>
      <c r="T725" s="50"/>
      <c r="U725" s="50"/>
      <c r="V725" s="50"/>
      <c r="W725" s="50"/>
      <c r="X725" s="50"/>
      <c r="Y725" s="50"/>
      <c r="Z725" s="50"/>
      <c r="AA725" s="50"/>
      <c r="AB725" s="50"/>
      <c r="AC725" s="50"/>
      <c r="AD725" s="50"/>
    </row>
    <row r="726">
      <c r="A726" s="49"/>
      <c r="B726" s="49"/>
      <c r="C726" s="49"/>
      <c r="D726" s="49"/>
      <c r="E726" s="50"/>
      <c r="F726" s="50"/>
      <c r="G726" s="50"/>
      <c r="H726" s="50"/>
      <c r="I726" s="50"/>
      <c r="J726" s="50"/>
      <c r="K726" s="50"/>
      <c r="L726" s="50"/>
      <c r="M726" s="50"/>
      <c r="N726" s="50"/>
      <c r="O726" s="50"/>
      <c r="P726" s="50"/>
      <c r="Q726" s="50"/>
      <c r="R726" s="50"/>
      <c r="S726" s="50"/>
      <c r="T726" s="50"/>
      <c r="U726" s="50"/>
      <c r="V726" s="50"/>
      <c r="W726" s="50"/>
      <c r="X726" s="50"/>
      <c r="Y726" s="50"/>
      <c r="Z726" s="50"/>
      <c r="AA726" s="50"/>
      <c r="AB726" s="50"/>
      <c r="AC726" s="50"/>
      <c r="AD726" s="50"/>
    </row>
    <row r="727">
      <c r="A727" s="49"/>
      <c r="B727" s="49"/>
      <c r="C727" s="49"/>
      <c r="D727" s="49"/>
      <c r="E727" s="50"/>
      <c r="F727" s="50"/>
      <c r="G727" s="50"/>
      <c r="H727" s="50"/>
      <c r="I727" s="50"/>
      <c r="J727" s="50"/>
      <c r="K727" s="50"/>
      <c r="L727" s="50"/>
      <c r="M727" s="50"/>
      <c r="N727" s="50"/>
      <c r="O727" s="50"/>
      <c r="P727" s="50"/>
      <c r="Q727" s="50"/>
      <c r="R727" s="50"/>
      <c r="S727" s="50"/>
      <c r="T727" s="50"/>
      <c r="U727" s="50"/>
      <c r="V727" s="50"/>
      <c r="W727" s="50"/>
      <c r="X727" s="50"/>
      <c r="Y727" s="50"/>
      <c r="Z727" s="50"/>
      <c r="AA727" s="50"/>
      <c r="AB727" s="50"/>
      <c r="AC727" s="50"/>
      <c r="AD727" s="50"/>
    </row>
    <row r="728">
      <c r="A728" s="49"/>
      <c r="B728" s="49"/>
      <c r="C728" s="49"/>
      <c r="D728" s="49"/>
      <c r="E728" s="50"/>
      <c r="F728" s="50"/>
      <c r="G728" s="50"/>
      <c r="H728" s="50"/>
      <c r="I728" s="50"/>
      <c r="J728" s="50"/>
      <c r="K728" s="50"/>
      <c r="L728" s="50"/>
      <c r="M728" s="50"/>
      <c r="N728" s="50"/>
      <c r="O728" s="50"/>
      <c r="P728" s="50"/>
      <c r="Q728" s="50"/>
      <c r="R728" s="50"/>
      <c r="S728" s="50"/>
      <c r="T728" s="50"/>
      <c r="U728" s="50"/>
      <c r="V728" s="50"/>
      <c r="W728" s="50"/>
      <c r="X728" s="50"/>
      <c r="Y728" s="50"/>
      <c r="Z728" s="50"/>
      <c r="AA728" s="50"/>
      <c r="AB728" s="50"/>
      <c r="AC728" s="50"/>
      <c r="AD728" s="50"/>
    </row>
    <row r="729">
      <c r="A729" s="49"/>
      <c r="B729" s="49"/>
      <c r="C729" s="49"/>
      <c r="D729" s="49"/>
      <c r="E729" s="50"/>
      <c r="F729" s="50"/>
      <c r="G729" s="50"/>
      <c r="H729" s="50"/>
      <c r="I729" s="50"/>
      <c r="J729" s="50"/>
      <c r="K729" s="50"/>
      <c r="L729" s="50"/>
      <c r="M729" s="50"/>
      <c r="N729" s="50"/>
      <c r="O729" s="50"/>
      <c r="P729" s="50"/>
      <c r="Q729" s="50"/>
      <c r="R729" s="50"/>
      <c r="S729" s="50"/>
      <c r="T729" s="50"/>
      <c r="U729" s="50"/>
      <c r="V729" s="50"/>
      <c r="W729" s="50"/>
      <c r="X729" s="50"/>
      <c r="Y729" s="50"/>
      <c r="Z729" s="50"/>
      <c r="AA729" s="50"/>
      <c r="AB729" s="50"/>
      <c r="AC729" s="50"/>
      <c r="AD729" s="50"/>
    </row>
    <row r="730">
      <c r="A730" s="49"/>
      <c r="B730" s="49"/>
      <c r="C730" s="49"/>
      <c r="D730" s="49"/>
      <c r="E730" s="50"/>
      <c r="F730" s="50"/>
      <c r="G730" s="50"/>
      <c r="H730" s="50"/>
      <c r="I730" s="50"/>
      <c r="J730" s="50"/>
      <c r="K730" s="50"/>
      <c r="L730" s="50"/>
      <c r="M730" s="50"/>
      <c r="N730" s="50"/>
      <c r="O730" s="50"/>
      <c r="P730" s="50"/>
      <c r="Q730" s="50"/>
      <c r="R730" s="50"/>
      <c r="S730" s="50"/>
      <c r="T730" s="50"/>
      <c r="U730" s="50"/>
      <c r="V730" s="50"/>
      <c r="W730" s="50"/>
      <c r="X730" s="50"/>
      <c r="Y730" s="50"/>
      <c r="Z730" s="50"/>
      <c r="AA730" s="50"/>
      <c r="AB730" s="50"/>
      <c r="AC730" s="50"/>
      <c r="AD730" s="50"/>
    </row>
    <row r="731">
      <c r="A731" s="49"/>
      <c r="B731" s="49"/>
      <c r="C731" s="49"/>
      <c r="D731" s="49"/>
      <c r="E731" s="50"/>
      <c r="F731" s="50"/>
      <c r="G731" s="50"/>
      <c r="H731" s="50"/>
      <c r="I731" s="50"/>
      <c r="J731" s="50"/>
      <c r="K731" s="50"/>
      <c r="L731" s="50"/>
      <c r="M731" s="50"/>
      <c r="N731" s="50"/>
      <c r="O731" s="50"/>
      <c r="P731" s="50"/>
      <c r="Q731" s="50"/>
      <c r="R731" s="50"/>
      <c r="S731" s="50"/>
      <c r="T731" s="50"/>
      <c r="U731" s="50"/>
      <c r="V731" s="50"/>
      <c r="W731" s="50"/>
      <c r="X731" s="50"/>
      <c r="Y731" s="50"/>
      <c r="Z731" s="50"/>
      <c r="AA731" s="50"/>
      <c r="AB731" s="50"/>
      <c r="AC731" s="50"/>
      <c r="AD731" s="50"/>
    </row>
    <row r="732">
      <c r="A732" s="49"/>
      <c r="B732" s="49"/>
      <c r="C732" s="49"/>
      <c r="D732" s="49"/>
      <c r="E732" s="50"/>
      <c r="F732" s="50"/>
      <c r="G732" s="50"/>
      <c r="H732" s="50"/>
      <c r="I732" s="50"/>
      <c r="J732" s="50"/>
      <c r="K732" s="50"/>
      <c r="L732" s="50"/>
      <c r="M732" s="50"/>
      <c r="N732" s="50"/>
      <c r="O732" s="50"/>
      <c r="P732" s="50"/>
      <c r="Q732" s="50"/>
      <c r="R732" s="50"/>
      <c r="S732" s="50"/>
      <c r="T732" s="50"/>
      <c r="U732" s="50"/>
      <c r="V732" s="50"/>
      <c r="W732" s="50"/>
      <c r="X732" s="50"/>
      <c r="Y732" s="50"/>
      <c r="Z732" s="50"/>
      <c r="AA732" s="50"/>
      <c r="AB732" s="50"/>
      <c r="AC732" s="50"/>
      <c r="AD732" s="50"/>
    </row>
    <row r="733">
      <c r="A733" s="49"/>
      <c r="B733" s="49"/>
      <c r="C733" s="49"/>
      <c r="D733" s="49"/>
      <c r="E733" s="50"/>
      <c r="F733" s="50"/>
      <c r="G733" s="50"/>
      <c r="H733" s="50"/>
      <c r="I733" s="50"/>
      <c r="J733" s="50"/>
      <c r="K733" s="50"/>
      <c r="L733" s="50"/>
      <c r="M733" s="50"/>
      <c r="N733" s="50"/>
      <c r="O733" s="50"/>
      <c r="P733" s="50"/>
      <c r="Q733" s="50"/>
      <c r="R733" s="50"/>
      <c r="S733" s="50"/>
      <c r="T733" s="50"/>
      <c r="U733" s="50"/>
      <c r="V733" s="50"/>
      <c r="W733" s="50"/>
      <c r="X733" s="50"/>
      <c r="Y733" s="50"/>
      <c r="Z733" s="50"/>
      <c r="AA733" s="50"/>
      <c r="AB733" s="50"/>
      <c r="AC733" s="50"/>
      <c r="AD733" s="50"/>
    </row>
    <row r="734">
      <c r="A734" s="49"/>
      <c r="B734" s="49"/>
      <c r="C734" s="49"/>
      <c r="D734" s="49"/>
      <c r="E734" s="50"/>
      <c r="F734" s="50"/>
      <c r="G734" s="50"/>
      <c r="H734" s="50"/>
      <c r="I734" s="50"/>
      <c r="J734" s="50"/>
      <c r="K734" s="50"/>
      <c r="L734" s="50"/>
      <c r="M734" s="50"/>
      <c r="N734" s="50"/>
      <c r="O734" s="50"/>
      <c r="P734" s="50"/>
      <c r="Q734" s="50"/>
      <c r="R734" s="50"/>
      <c r="S734" s="50"/>
      <c r="T734" s="50"/>
      <c r="U734" s="50"/>
      <c r="V734" s="50"/>
      <c r="W734" s="50"/>
      <c r="X734" s="50"/>
      <c r="Y734" s="50"/>
      <c r="Z734" s="50"/>
      <c r="AA734" s="50"/>
      <c r="AB734" s="50"/>
      <c r="AC734" s="50"/>
      <c r="AD734" s="50"/>
    </row>
    <row r="735">
      <c r="A735" s="49"/>
      <c r="B735" s="49"/>
      <c r="C735" s="49"/>
      <c r="D735" s="49"/>
      <c r="E735" s="50"/>
      <c r="F735" s="50"/>
      <c r="G735" s="50"/>
      <c r="H735" s="50"/>
      <c r="I735" s="50"/>
      <c r="J735" s="50"/>
      <c r="K735" s="50"/>
      <c r="L735" s="50"/>
      <c r="M735" s="50"/>
      <c r="N735" s="50"/>
      <c r="O735" s="50"/>
      <c r="P735" s="50"/>
      <c r="Q735" s="50"/>
      <c r="R735" s="50"/>
      <c r="S735" s="50"/>
      <c r="T735" s="50"/>
      <c r="U735" s="50"/>
      <c r="V735" s="50"/>
      <c r="W735" s="50"/>
      <c r="X735" s="50"/>
      <c r="Y735" s="50"/>
      <c r="Z735" s="50"/>
      <c r="AA735" s="50"/>
      <c r="AB735" s="50"/>
      <c r="AC735" s="50"/>
      <c r="AD735" s="50"/>
    </row>
    <row r="736">
      <c r="A736" s="49"/>
      <c r="B736" s="49"/>
      <c r="C736" s="49"/>
      <c r="D736" s="49"/>
      <c r="E736" s="50"/>
      <c r="F736" s="50"/>
      <c r="G736" s="50"/>
      <c r="H736" s="50"/>
      <c r="I736" s="50"/>
      <c r="J736" s="50"/>
      <c r="K736" s="50"/>
      <c r="L736" s="50"/>
      <c r="M736" s="50"/>
      <c r="N736" s="50"/>
      <c r="O736" s="50"/>
      <c r="P736" s="50"/>
      <c r="Q736" s="50"/>
      <c r="R736" s="50"/>
      <c r="S736" s="50"/>
      <c r="T736" s="50"/>
      <c r="U736" s="50"/>
      <c r="V736" s="50"/>
      <c r="W736" s="50"/>
      <c r="X736" s="50"/>
      <c r="Y736" s="50"/>
      <c r="Z736" s="50"/>
      <c r="AA736" s="50"/>
      <c r="AB736" s="50"/>
      <c r="AC736" s="50"/>
      <c r="AD736" s="50"/>
    </row>
    <row r="737">
      <c r="A737" s="49"/>
      <c r="B737" s="49"/>
      <c r="C737" s="49"/>
      <c r="D737" s="49"/>
      <c r="E737" s="50"/>
      <c r="F737" s="50"/>
      <c r="G737" s="50"/>
      <c r="H737" s="50"/>
      <c r="I737" s="50"/>
      <c r="J737" s="50"/>
      <c r="K737" s="50"/>
      <c r="L737" s="50"/>
      <c r="M737" s="50"/>
      <c r="N737" s="50"/>
      <c r="O737" s="50"/>
      <c r="P737" s="50"/>
      <c r="Q737" s="50"/>
      <c r="R737" s="50"/>
      <c r="S737" s="50"/>
      <c r="T737" s="50"/>
      <c r="U737" s="50"/>
      <c r="V737" s="50"/>
      <c r="W737" s="50"/>
      <c r="X737" s="50"/>
      <c r="Y737" s="50"/>
      <c r="Z737" s="50"/>
      <c r="AA737" s="50"/>
      <c r="AB737" s="50"/>
      <c r="AC737" s="50"/>
      <c r="AD737" s="50"/>
    </row>
    <row r="738">
      <c r="A738" s="49"/>
      <c r="B738" s="49"/>
      <c r="C738" s="49"/>
      <c r="D738" s="49"/>
      <c r="E738" s="50"/>
      <c r="F738" s="50"/>
      <c r="G738" s="50"/>
      <c r="H738" s="50"/>
      <c r="I738" s="50"/>
      <c r="J738" s="50"/>
      <c r="K738" s="50"/>
      <c r="L738" s="50"/>
      <c r="M738" s="50"/>
      <c r="N738" s="50"/>
      <c r="O738" s="50"/>
      <c r="P738" s="50"/>
      <c r="Q738" s="50"/>
      <c r="R738" s="50"/>
      <c r="S738" s="50"/>
      <c r="T738" s="50"/>
      <c r="U738" s="50"/>
      <c r="V738" s="50"/>
      <c r="W738" s="50"/>
      <c r="X738" s="50"/>
      <c r="Y738" s="50"/>
      <c r="Z738" s="50"/>
      <c r="AA738" s="50"/>
      <c r="AB738" s="50"/>
      <c r="AC738" s="50"/>
      <c r="AD738" s="50"/>
    </row>
    <row r="739">
      <c r="A739" s="49"/>
      <c r="B739" s="49"/>
      <c r="C739" s="49"/>
      <c r="D739" s="49"/>
      <c r="E739" s="50"/>
      <c r="F739" s="50"/>
      <c r="G739" s="50"/>
      <c r="H739" s="50"/>
      <c r="I739" s="50"/>
      <c r="J739" s="50"/>
      <c r="K739" s="50"/>
      <c r="L739" s="50"/>
      <c r="M739" s="50"/>
      <c r="N739" s="50"/>
      <c r="O739" s="50"/>
      <c r="P739" s="50"/>
      <c r="Q739" s="50"/>
      <c r="R739" s="50"/>
      <c r="S739" s="50"/>
      <c r="T739" s="50"/>
      <c r="U739" s="50"/>
      <c r="V739" s="50"/>
      <c r="W739" s="50"/>
      <c r="X739" s="50"/>
      <c r="Y739" s="50"/>
      <c r="Z739" s="50"/>
      <c r="AA739" s="50"/>
      <c r="AB739" s="50"/>
      <c r="AC739" s="50"/>
      <c r="AD739" s="50"/>
    </row>
    <row r="740">
      <c r="A740" s="49"/>
      <c r="B740" s="49"/>
      <c r="C740" s="49"/>
      <c r="D740" s="49"/>
      <c r="E740" s="50"/>
      <c r="F740" s="50"/>
      <c r="G740" s="50"/>
      <c r="H740" s="50"/>
      <c r="I740" s="50"/>
      <c r="J740" s="50"/>
      <c r="K740" s="50"/>
      <c r="L740" s="50"/>
      <c r="M740" s="50"/>
      <c r="N740" s="50"/>
      <c r="O740" s="50"/>
      <c r="P740" s="50"/>
      <c r="Q740" s="50"/>
      <c r="R740" s="50"/>
      <c r="S740" s="50"/>
      <c r="T740" s="50"/>
      <c r="U740" s="50"/>
      <c r="V740" s="50"/>
      <c r="W740" s="50"/>
      <c r="X740" s="50"/>
      <c r="Y740" s="50"/>
      <c r="Z740" s="50"/>
      <c r="AA740" s="50"/>
      <c r="AB740" s="50"/>
      <c r="AC740" s="50"/>
      <c r="AD740" s="50"/>
    </row>
    <row r="741">
      <c r="A741" s="49"/>
      <c r="B741" s="49"/>
      <c r="C741" s="49"/>
      <c r="D741" s="49"/>
      <c r="E741" s="50"/>
      <c r="F741" s="50"/>
      <c r="G741" s="50"/>
      <c r="H741" s="50"/>
      <c r="I741" s="50"/>
      <c r="J741" s="50"/>
      <c r="K741" s="50"/>
      <c r="L741" s="50"/>
      <c r="M741" s="50"/>
      <c r="N741" s="50"/>
      <c r="O741" s="50"/>
      <c r="P741" s="50"/>
      <c r="Q741" s="50"/>
      <c r="R741" s="50"/>
      <c r="S741" s="50"/>
      <c r="T741" s="50"/>
      <c r="U741" s="50"/>
      <c r="V741" s="50"/>
      <c r="W741" s="50"/>
      <c r="X741" s="50"/>
      <c r="Y741" s="50"/>
      <c r="Z741" s="50"/>
      <c r="AA741" s="50"/>
      <c r="AB741" s="50"/>
      <c r="AC741" s="50"/>
      <c r="AD741" s="50"/>
    </row>
    <row r="742">
      <c r="A742" s="49"/>
      <c r="B742" s="49"/>
      <c r="C742" s="49"/>
      <c r="D742" s="49"/>
      <c r="E742" s="50"/>
      <c r="F742" s="50"/>
      <c r="G742" s="50"/>
      <c r="H742" s="50"/>
      <c r="I742" s="50"/>
      <c r="J742" s="50"/>
      <c r="K742" s="50"/>
      <c r="L742" s="50"/>
      <c r="M742" s="50"/>
      <c r="N742" s="50"/>
      <c r="O742" s="50"/>
      <c r="P742" s="50"/>
      <c r="Q742" s="50"/>
      <c r="R742" s="50"/>
      <c r="S742" s="50"/>
      <c r="T742" s="50"/>
      <c r="U742" s="50"/>
      <c r="V742" s="50"/>
      <c r="W742" s="50"/>
      <c r="X742" s="50"/>
      <c r="Y742" s="50"/>
      <c r="Z742" s="50"/>
      <c r="AA742" s="50"/>
      <c r="AB742" s="50"/>
      <c r="AC742" s="50"/>
      <c r="AD742" s="50"/>
    </row>
    <row r="743">
      <c r="A743" s="49"/>
      <c r="B743" s="49"/>
      <c r="C743" s="49"/>
      <c r="D743" s="49"/>
      <c r="E743" s="50"/>
      <c r="F743" s="50"/>
      <c r="G743" s="50"/>
      <c r="H743" s="50"/>
      <c r="I743" s="50"/>
      <c r="J743" s="50"/>
      <c r="K743" s="50"/>
      <c r="L743" s="50"/>
      <c r="M743" s="50"/>
      <c r="N743" s="50"/>
      <c r="O743" s="50"/>
      <c r="P743" s="50"/>
      <c r="Q743" s="50"/>
      <c r="R743" s="50"/>
      <c r="S743" s="50"/>
      <c r="T743" s="50"/>
      <c r="U743" s="50"/>
      <c r="V743" s="50"/>
      <c r="W743" s="50"/>
      <c r="X743" s="50"/>
      <c r="Y743" s="50"/>
      <c r="Z743" s="50"/>
      <c r="AA743" s="50"/>
      <c r="AB743" s="50"/>
      <c r="AC743" s="50"/>
      <c r="AD743" s="50"/>
    </row>
    <row r="744">
      <c r="A744" s="49"/>
      <c r="B744" s="49"/>
      <c r="C744" s="49"/>
      <c r="D744" s="49"/>
      <c r="E744" s="50"/>
      <c r="F744" s="50"/>
      <c r="G744" s="50"/>
      <c r="H744" s="50"/>
      <c r="I744" s="50"/>
      <c r="J744" s="50"/>
      <c r="K744" s="50"/>
      <c r="L744" s="50"/>
      <c r="M744" s="50"/>
      <c r="N744" s="50"/>
      <c r="O744" s="50"/>
      <c r="P744" s="50"/>
      <c r="Q744" s="50"/>
      <c r="R744" s="50"/>
      <c r="S744" s="50"/>
      <c r="T744" s="50"/>
      <c r="U744" s="50"/>
      <c r="V744" s="50"/>
      <c r="W744" s="50"/>
      <c r="X744" s="50"/>
      <c r="Y744" s="50"/>
      <c r="Z744" s="50"/>
      <c r="AA744" s="50"/>
      <c r="AB744" s="50"/>
      <c r="AC744" s="50"/>
      <c r="AD744" s="50"/>
    </row>
    <row r="745">
      <c r="A745" s="49"/>
      <c r="B745" s="49"/>
      <c r="C745" s="49"/>
      <c r="D745" s="49"/>
      <c r="E745" s="50"/>
      <c r="F745" s="50"/>
      <c r="G745" s="50"/>
      <c r="H745" s="50"/>
      <c r="I745" s="50"/>
      <c r="J745" s="50"/>
      <c r="K745" s="50"/>
      <c r="L745" s="50"/>
      <c r="M745" s="50"/>
      <c r="N745" s="50"/>
      <c r="O745" s="50"/>
      <c r="P745" s="50"/>
      <c r="Q745" s="50"/>
      <c r="R745" s="50"/>
      <c r="S745" s="50"/>
      <c r="T745" s="50"/>
      <c r="U745" s="50"/>
      <c r="V745" s="50"/>
      <c r="W745" s="50"/>
      <c r="X745" s="50"/>
      <c r="Y745" s="50"/>
      <c r="Z745" s="50"/>
      <c r="AA745" s="50"/>
      <c r="AB745" s="50"/>
      <c r="AC745" s="50"/>
      <c r="AD745" s="50"/>
    </row>
    <row r="746">
      <c r="A746" s="49"/>
      <c r="B746" s="49"/>
      <c r="C746" s="49"/>
      <c r="D746" s="49"/>
      <c r="E746" s="50"/>
      <c r="F746" s="50"/>
      <c r="G746" s="50"/>
      <c r="H746" s="50"/>
      <c r="I746" s="50"/>
      <c r="J746" s="50"/>
      <c r="K746" s="50"/>
      <c r="L746" s="50"/>
      <c r="M746" s="50"/>
      <c r="N746" s="50"/>
      <c r="O746" s="50"/>
      <c r="P746" s="50"/>
      <c r="Q746" s="50"/>
      <c r="R746" s="50"/>
      <c r="S746" s="50"/>
      <c r="T746" s="50"/>
      <c r="U746" s="50"/>
      <c r="V746" s="50"/>
      <c r="W746" s="50"/>
      <c r="X746" s="50"/>
      <c r="Y746" s="50"/>
      <c r="Z746" s="50"/>
      <c r="AA746" s="50"/>
      <c r="AB746" s="50"/>
      <c r="AC746" s="50"/>
      <c r="AD746" s="50"/>
    </row>
    <row r="747">
      <c r="A747" s="49"/>
      <c r="B747" s="49"/>
      <c r="C747" s="49"/>
      <c r="D747" s="49"/>
      <c r="E747" s="50"/>
      <c r="F747" s="50"/>
      <c r="G747" s="50"/>
      <c r="H747" s="50"/>
      <c r="I747" s="50"/>
      <c r="J747" s="50"/>
      <c r="K747" s="50"/>
      <c r="L747" s="50"/>
      <c r="M747" s="50"/>
      <c r="N747" s="50"/>
      <c r="O747" s="50"/>
      <c r="P747" s="50"/>
      <c r="Q747" s="50"/>
      <c r="R747" s="50"/>
      <c r="S747" s="50"/>
      <c r="T747" s="50"/>
      <c r="U747" s="50"/>
      <c r="V747" s="50"/>
      <c r="W747" s="50"/>
      <c r="X747" s="50"/>
      <c r="Y747" s="50"/>
      <c r="Z747" s="50"/>
      <c r="AA747" s="50"/>
      <c r="AB747" s="50"/>
      <c r="AC747" s="50"/>
      <c r="AD747" s="50"/>
    </row>
    <row r="748">
      <c r="A748" s="49"/>
      <c r="B748" s="49"/>
      <c r="C748" s="49"/>
      <c r="D748" s="49"/>
      <c r="E748" s="50"/>
      <c r="F748" s="50"/>
      <c r="G748" s="50"/>
      <c r="H748" s="50"/>
      <c r="I748" s="50"/>
      <c r="J748" s="50"/>
      <c r="K748" s="50"/>
      <c r="L748" s="50"/>
      <c r="M748" s="50"/>
      <c r="N748" s="50"/>
      <c r="O748" s="50"/>
      <c r="P748" s="50"/>
      <c r="Q748" s="50"/>
      <c r="R748" s="50"/>
      <c r="S748" s="50"/>
      <c r="T748" s="50"/>
      <c r="U748" s="50"/>
      <c r="V748" s="50"/>
      <c r="W748" s="50"/>
      <c r="X748" s="50"/>
      <c r="Y748" s="50"/>
      <c r="Z748" s="50"/>
      <c r="AA748" s="50"/>
      <c r="AB748" s="50"/>
      <c r="AC748" s="50"/>
      <c r="AD748" s="50"/>
    </row>
    <row r="749">
      <c r="A749" s="49"/>
      <c r="B749" s="49"/>
      <c r="C749" s="49"/>
      <c r="D749" s="49"/>
      <c r="E749" s="50"/>
      <c r="F749" s="50"/>
      <c r="G749" s="50"/>
      <c r="H749" s="50"/>
      <c r="I749" s="50"/>
      <c r="J749" s="50"/>
      <c r="K749" s="50"/>
      <c r="L749" s="50"/>
      <c r="M749" s="50"/>
      <c r="N749" s="50"/>
      <c r="O749" s="50"/>
      <c r="P749" s="50"/>
      <c r="Q749" s="50"/>
      <c r="R749" s="50"/>
      <c r="S749" s="50"/>
      <c r="T749" s="50"/>
      <c r="U749" s="50"/>
      <c r="V749" s="50"/>
      <c r="W749" s="50"/>
      <c r="X749" s="50"/>
      <c r="Y749" s="50"/>
      <c r="Z749" s="50"/>
      <c r="AA749" s="50"/>
      <c r="AB749" s="50"/>
      <c r="AC749" s="50"/>
      <c r="AD749" s="50"/>
    </row>
    <row r="750">
      <c r="A750" s="49"/>
      <c r="B750" s="49"/>
      <c r="C750" s="49"/>
      <c r="D750" s="49"/>
      <c r="E750" s="50"/>
      <c r="F750" s="50"/>
      <c r="G750" s="50"/>
      <c r="H750" s="50"/>
      <c r="I750" s="50"/>
      <c r="J750" s="50"/>
      <c r="K750" s="50"/>
      <c r="L750" s="50"/>
      <c r="M750" s="50"/>
      <c r="N750" s="50"/>
      <c r="O750" s="50"/>
      <c r="P750" s="50"/>
      <c r="Q750" s="50"/>
      <c r="R750" s="50"/>
      <c r="S750" s="50"/>
      <c r="T750" s="50"/>
      <c r="U750" s="50"/>
      <c r="V750" s="50"/>
      <c r="W750" s="50"/>
      <c r="X750" s="50"/>
      <c r="Y750" s="50"/>
      <c r="Z750" s="50"/>
      <c r="AA750" s="50"/>
      <c r="AB750" s="50"/>
      <c r="AC750" s="50"/>
      <c r="AD750" s="50"/>
    </row>
    <row r="751">
      <c r="A751" s="49"/>
      <c r="B751" s="49"/>
      <c r="C751" s="49"/>
      <c r="D751" s="49"/>
      <c r="E751" s="50"/>
      <c r="F751" s="50"/>
      <c r="G751" s="50"/>
      <c r="H751" s="50"/>
      <c r="I751" s="50"/>
      <c r="J751" s="50"/>
      <c r="K751" s="50"/>
      <c r="L751" s="50"/>
      <c r="M751" s="50"/>
      <c r="N751" s="50"/>
      <c r="O751" s="50"/>
      <c r="P751" s="50"/>
      <c r="Q751" s="50"/>
      <c r="R751" s="50"/>
      <c r="S751" s="50"/>
      <c r="T751" s="50"/>
      <c r="U751" s="50"/>
      <c r="V751" s="50"/>
      <c r="W751" s="50"/>
      <c r="X751" s="50"/>
      <c r="Y751" s="50"/>
      <c r="Z751" s="50"/>
      <c r="AA751" s="50"/>
      <c r="AB751" s="50"/>
      <c r="AC751" s="50"/>
      <c r="AD751" s="50"/>
    </row>
    <row r="752">
      <c r="A752" s="49"/>
      <c r="B752" s="49"/>
      <c r="C752" s="49"/>
      <c r="D752" s="49"/>
      <c r="E752" s="50"/>
      <c r="F752" s="50"/>
      <c r="G752" s="50"/>
      <c r="H752" s="50"/>
      <c r="I752" s="50"/>
      <c r="J752" s="50"/>
      <c r="K752" s="50"/>
      <c r="L752" s="50"/>
      <c r="M752" s="50"/>
      <c r="N752" s="50"/>
      <c r="O752" s="50"/>
      <c r="P752" s="50"/>
      <c r="Q752" s="50"/>
      <c r="R752" s="50"/>
      <c r="S752" s="50"/>
      <c r="T752" s="50"/>
      <c r="U752" s="50"/>
      <c r="V752" s="50"/>
      <c r="W752" s="50"/>
      <c r="X752" s="50"/>
      <c r="Y752" s="50"/>
      <c r="Z752" s="50"/>
      <c r="AA752" s="50"/>
      <c r="AB752" s="50"/>
      <c r="AC752" s="50"/>
      <c r="AD752" s="50"/>
    </row>
    <row r="753">
      <c r="A753" s="49"/>
      <c r="B753" s="49"/>
      <c r="C753" s="49"/>
      <c r="D753" s="49"/>
      <c r="E753" s="50"/>
      <c r="F753" s="50"/>
      <c r="G753" s="50"/>
      <c r="H753" s="50"/>
      <c r="I753" s="50"/>
      <c r="J753" s="50"/>
      <c r="K753" s="50"/>
      <c r="L753" s="50"/>
      <c r="M753" s="50"/>
      <c r="N753" s="50"/>
      <c r="O753" s="50"/>
      <c r="P753" s="50"/>
      <c r="Q753" s="50"/>
      <c r="R753" s="50"/>
      <c r="S753" s="50"/>
      <c r="T753" s="50"/>
      <c r="U753" s="50"/>
      <c r="V753" s="50"/>
      <c r="W753" s="50"/>
      <c r="X753" s="50"/>
      <c r="Y753" s="50"/>
      <c r="Z753" s="50"/>
      <c r="AA753" s="50"/>
      <c r="AB753" s="50"/>
      <c r="AC753" s="50"/>
      <c r="AD753" s="50"/>
    </row>
    <row r="754">
      <c r="A754" s="49"/>
      <c r="B754" s="49"/>
      <c r="C754" s="49"/>
      <c r="D754" s="49"/>
      <c r="E754" s="50"/>
      <c r="F754" s="50"/>
      <c r="G754" s="50"/>
      <c r="H754" s="50"/>
      <c r="I754" s="50"/>
      <c r="J754" s="50"/>
      <c r="K754" s="50"/>
      <c r="L754" s="50"/>
      <c r="M754" s="50"/>
      <c r="N754" s="50"/>
      <c r="O754" s="50"/>
      <c r="P754" s="50"/>
      <c r="Q754" s="50"/>
      <c r="R754" s="50"/>
      <c r="S754" s="50"/>
      <c r="T754" s="50"/>
      <c r="U754" s="50"/>
      <c r="V754" s="50"/>
      <c r="W754" s="50"/>
      <c r="X754" s="50"/>
      <c r="Y754" s="50"/>
      <c r="Z754" s="50"/>
      <c r="AA754" s="50"/>
      <c r="AB754" s="50"/>
      <c r="AC754" s="50"/>
      <c r="AD754" s="50"/>
    </row>
    <row r="755">
      <c r="A755" s="49"/>
      <c r="B755" s="49"/>
      <c r="C755" s="49"/>
      <c r="D755" s="49"/>
      <c r="E755" s="50"/>
      <c r="F755" s="50"/>
      <c r="G755" s="50"/>
      <c r="H755" s="50"/>
      <c r="I755" s="50"/>
      <c r="J755" s="50"/>
      <c r="K755" s="50"/>
      <c r="L755" s="50"/>
      <c r="M755" s="50"/>
      <c r="N755" s="50"/>
      <c r="O755" s="50"/>
      <c r="P755" s="50"/>
      <c r="Q755" s="50"/>
      <c r="R755" s="50"/>
      <c r="S755" s="50"/>
      <c r="T755" s="50"/>
      <c r="U755" s="50"/>
      <c r="V755" s="50"/>
      <c r="W755" s="50"/>
      <c r="X755" s="50"/>
      <c r="Y755" s="50"/>
      <c r="Z755" s="50"/>
      <c r="AA755" s="50"/>
      <c r="AB755" s="50"/>
      <c r="AC755" s="50"/>
      <c r="AD755" s="50"/>
    </row>
    <row r="756">
      <c r="A756" s="49"/>
      <c r="B756" s="49"/>
      <c r="C756" s="49"/>
      <c r="D756" s="49"/>
      <c r="E756" s="50"/>
      <c r="F756" s="50"/>
      <c r="G756" s="50"/>
      <c r="H756" s="50"/>
      <c r="I756" s="50"/>
      <c r="J756" s="50"/>
      <c r="K756" s="50"/>
      <c r="L756" s="50"/>
      <c r="M756" s="50"/>
      <c r="N756" s="50"/>
      <c r="O756" s="50"/>
      <c r="P756" s="50"/>
      <c r="Q756" s="50"/>
      <c r="R756" s="50"/>
      <c r="S756" s="50"/>
      <c r="T756" s="50"/>
      <c r="U756" s="50"/>
      <c r="V756" s="50"/>
      <c r="W756" s="50"/>
      <c r="X756" s="50"/>
      <c r="Y756" s="50"/>
      <c r="Z756" s="50"/>
      <c r="AA756" s="50"/>
      <c r="AB756" s="50"/>
      <c r="AC756" s="50"/>
      <c r="AD756" s="50"/>
    </row>
    <row r="757">
      <c r="A757" s="49"/>
      <c r="B757" s="49"/>
      <c r="C757" s="49"/>
      <c r="D757" s="49"/>
      <c r="E757" s="50"/>
      <c r="F757" s="50"/>
      <c r="G757" s="50"/>
      <c r="H757" s="50"/>
      <c r="I757" s="50"/>
      <c r="J757" s="50"/>
      <c r="K757" s="50"/>
      <c r="L757" s="50"/>
      <c r="M757" s="50"/>
      <c r="N757" s="50"/>
      <c r="O757" s="50"/>
      <c r="P757" s="50"/>
      <c r="Q757" s="50"/>
      <c r="R757" s="50"/>
      <c r="S757" s="50"/>
      <c r="T757" s="50"/>
      <c r="U757" s="50"/>
      <c r="V757" s="50"/>
      <c r="W757" s="50"/>
      <c r="X757" s="50"/>
      <c r="Y757" s="50"/>
      <c r="Z757" s="50"/>
      <c r="AA757" s="50"/>
      <c r="AB757" s="50"/>
      <c r="AC757" s="50"/>
      <c r="AD757" s="50"/>
    </row>
    <row r="758">
      <c r="A758" s="49"/>
      <c r="B758" s="49"/>
      <c r="C758" s="49"/>
      <c r="D758" s="49"/>
      <c r="E758" s="50"/>
      <c r="F758" s="50"/>
      <c r="G758" s="50"/>
      <c r="H758" s="50"/>
      <c r="I758" s="50"/>
      <c r="J758" s="50"/>
      <c r="K758" s="50"/>
      <c r="L758" s="50"/>
      <c r="M758" s="50"/>
      <c r="N758" s="50"/>
      <c r="O758" s="50"/>
      <c r="P758" s="50"/>
      <c r="Q758" s="50"/>
      <c r="R758" s="50"/>
      <c r="S758" s="50"/>
      <c r="T758" s="50"/>
      <c r="U758" s="50"/>
      <c r="V758" s="50"/>
      <c r="W758" s="50"/>
      <c r="X758" s="50"/>
      <c r="Y758" s="50"/>
      <c r="Z758" s="50"/>
      <c r="AA758" s="50"/>
      <c r="AB758" s="50"/>
      <c r="AC758" s="50"/>
      <c r="AD758" s="50"/>
    </row>
    <row r="759">
      <c r="A759" s="49"/>
      <c r="B759" s="49"/>
      <c r="C759" s="49"/>
      <c r="D759" s="49"/>
      <c r="E759" s="50"/>
      <c r="F759" s="50"/>
      <c r="G759" s="50"/>
      <c r="H759" s="50"/>
      <c r="I759" s="50"/>
      <c r="J759" s="50"/>
      <c r="K759" s="50"/>
      <c r="L759" s="50"/>
      <c r="M759" s="50"/>
      <c r="N759" s="50"/>
      <c r="O759" s="50"/>
      <c r="P759" s="50"/>
      <c r="Q759" s="50"/>
      <c r="R759" s="50"/>
      <c r="S759" s="50"/>
      <c r="T759" s="50"/>
      <c r="U759" s="50"/>
      <c r="V759" s="50"/>
      <c r="W759" s="50"/>
      <c r="X759" s="50"/>
      <c r="Y759" s="50"/>
      <c r="Z759" s="50"/>
      <c r="AA759" s="50"/>
      <c r="AB759" s="50"/>
      <c r="AC759" s="50"/>
      <c r="AD759" s="50"/>
    </row>
    <row r="760">
      <c r="A760" s="49"/>
      <c r="B760" s="49"/>
      <c r="C760" s="49"/>
      <c r="D760" s="49"/>
      <c r="E760" s="50"/>
      <c r="F760" s="50"/>
      <c r="G760" s="50"/>
      <c r="H760" s="50"/>
      <c r="I760" s="50"/>
      <c r="J760" s="50"/>
      <c r="K760" s="50"/>
      <c r="L760" s="50"/>
      <c r="M760" s="50"/>
      <c r="N760" s="50"/>
      <c r="O760" s="50"/>
      <c r="P760" s="50"/>
      <c r="Q760" s="50"/>
      <c r="R760" s="50"/>
      <c r="S760" s="50"/>
      <c r="T760" s="50"/>
      <c r="U760" s="50"/>
      <c r="V760" s="50"/>
      <c r="W760" s="50"/>
      <c r="X760" s="50"/>
      <c r="Y760" s="50"/>
      <c r="Z760" s="50"/>
      <c r="AA760" s="50"/>
      <c r="AB760" s="50"/>
      <c r="AC760" s="50"/>
      <c r="AD760" s="50"/>
    </row>
    <row r="761">
      <c r="A761" s="49"/>
      <c r="B761" s="49"/>
      <c r="C761" s="49"/>
      <c r="D761" s="49"/>
      <c r="E761" s="50"/>
      <c r="F761" s="50"/>
      <c r="G761" s="50"/>
      <c r="H761" s="50"/>
      <c r="I761" s="50"/>
      <c r="J761" s="50"/>
      <c r="K761" s="50"/>
      <c r="L761" s="50"/>
      <c r="M761" s="50"/>
      <c r="N761" s="50"/>
      <c r="O761" s="50"/>
      <c r="P761" s="50"/>
      <c r="Q761" s="50"/>
      <c r="R761" s="50"/>
      <c r="S761" s="50"/>
      <c r="T761" s="50"/>
      <c r="U761" s="50"/>
      <c r="V761" s="50"/>
      <c r="W761" s="50"/>
      <c r="X761" s="50"/>
      <c r="Y761" s="50"/>
      <c r="Z761" s="50"/>
      <c r="AA761" s="50"/>
      <c r="AB761" s="50"/>
      <c r="AC761" s="50"/>
      <c r="AD761" s="50"/>
    </row>
    <row r="762">
      <c r="A762" s="49"/>
      <c r="B762" s="49"/>
      <c r="C762" s="49"/>
      <c r="D762" s="49"/>
      <c r="E762" s="50"/>
      <c r="F762" s="50"/>
      <c r="G762" s="50"/>
      <c r="H762" s="50"/>
      <c r="I762" s="50"/>
      <c r="J762" s="50"/>
      <c r="K762" s="50"/>
      <c r="L762" s="50"/>
      <c r="M762" s="50"/>
      <c r="N762" s="50"/>
      <c r="O762" s="50"/>
      <c r="P762" s="50"/>
      <c r="Q762" s="50"/>
      <c r="R762" s="50"/>
      <c r="S762" s="50"/>
      <c r="T762" s="50"/>
      <c r="U762" s="50"/>
      <c r="V762" s="50"/>
      <c r="W762" s="50"/>
      <c r="X762" s="50"/>
      <c r="Y762" s="50"/>
      <c r="Z762" s="50"/>
      <c r="AA762" s="50"/>
      <c r="AB762" s="50"/>
      <c r="AC762" s="50"/>
      <c r="AD762" s="50"/>
    </row>
    <row r="763">
      <c r="A763" s="49"/>
      <c r="B763" s="49"/>
      <c r="C763" s="49"/>
      <c r="D763" s="49"/>
      <c r="E763" s="50"/>
      <c r="F763" s="50"/>
      <c r="G763" s="50"/>
      <c r="H763" s="50"/>
      <c r="I763" s="50"/>
      <c r="J763" s="50"/>
      <c r="K763" s="50"/>
      <c r="L763" s="50"/>
      <c r="M763" s="50"/>
      <c r="N763" s="50"/>
      <c r="O763" s="50"/>
      <c r="P763" s="50"/>
      <c r="Q763" s="50"/>
      <c r="R763" s="50"/>
      <c r="S763" s="50"/>
      <c r="T763" s="50"/>
      <c r="U763" s="50"/>
      <c r="V763" s="50"/>
      <c r="W763" s="50"/>
      <c r="X763" s="50"/>
      <c r="Y763" s="50"/>
      <c r="Z763" s="50"/>
      <c r="AA763" s="50"/>
      <c r="AB763" s="50"/>
      <c r="AC763" s="50"/>
      <c r="AD763" s="50"/>
    </row>
    <row r="764">
      <c r="A764" s="49"/>
      <c r="B764" s="49"/>
      <c r="C764" s="49"/>
      <c r="D764" s="49"/>
      <c r="E764" s="50"/>
      <c r="F764" s="50"/>
      <c r="G764" s="50"/>
      <c r="H764" s="50"/>
      <c r="I764" s="50"/>
      <c r="J764" s="50"/>
      <c r="K764" s="50"/>
      <c r="L764" s="50"/>
      <c r="M764" s="50"/>
      <c r="N764" s="50"/>
      <c r="O764" s="50"/>
      <c r="P764" s="50"/>
      <c r="Q764" s="50"/>
      <c r="R764" s="50"/>
      <c r="S764" s="50"/>
      <c r="T764" s="50"/>
      <c r="U764" s="50"/>
      <c r="V764" s="50"/>
      <c r="W764" s="50"/>
      <c r="X764" s="50"/>
      <c r="Y764" s="50"/>
      <c r="Z764" s="50"/>
      <c r="AA764" s="50"/>
      <c r="AB764" s="50"/>
      <c r="AC764" s="50"/>
      <c r="AD764" s="50"/>
    </row>
    <row r="765">
      <c r="A765" s="49"/>
      <c r="B765" s="49"/>
      <c r="C765" s="49"/>
      <c r="D765" s="49"/>
      <c r="E765" s="50"/>
      <c r="F765" s="50"/>
      <c r="G765" s="50"/>
      <c r="H765" s="50"/>
      <c r="I765" s="50"/>
      <c r="J765" s="50"/>
      <c r="K765" s="50"/>
      <c r="L765" s="50"/>
      <c r="M765" s="50"/>
      <c r="N765" s="50"/>
      <c r="O765" s="50"/>
      <c r="P765" s="50"/>
      <c r="Q765" s="50"/>
      <c r="R765" s="50"/>
      <c r="S765" s="50"/>
      <c r="T765" s="50"/>
      <c r="U765" s="50"/>
      <c r="V765" s="50"/>
      <c r="W765" s="50"/>
      <c r="X765" s="50"/>
      <c r="Y765" s="50"/>
      <c r="Z765" s="50"/>
      <c r="AA765" s="50"/>
      <c r="AB765" s="50"/>
      <c r="AC765" s="50"/>
      <c r="AD765" s="50"/>
    </row>
    <row r="766">
      <c r="A766" s="49"/>
      <c r="B766" s="49"/>
      <c r="C766" s="49"/>
      <c r="D766" s="49"/>
      <c r="E766" s="50"/>
      <c r="F766" s="50"/>
      <c r="G766" s="50"/>
      <c r="H766" s="50"/>
      <c r="I766" s="50"/>
      <c r="J766" s="50"/>
      <c r="K766" s="50"/>
      <c r="L766" s="50"/>
      <c r="M766" s="50"/>
      <c r="N766" s="50"/>
      <c r="O766" s="50"/>
      <c r="P766" s="50"/>
      <c r="Q766" s="50"/>
      <c r="R766" s="50"/>
      <c r="S766" s="50"/>
      <c r="T766" s="50"/>
      <c r="U766" s="50"/>
      <c r="V766" s="50"/>
      <c r="W766" s="50"/>
      <c r="X766" s="50"/>
      <c r="Y766" s="50"/>
      <c r="Z766" s="50"/>
      <c r="AA766" s="50"/>
      <c r="AB766" s="50"/>
      <c r="AC766" s="50"/>
      <c r="AD766" s="50"/>
    </row>
    <row r="767">
      <c r="A767" s="49"/>
      <c r="B767" s="49"/>
      <c r="C767" s="49"/>
      <c r="D767" s="49"/>
      <c r="E767" s="50"/>
      <c r="F767" s="50"/>
      <c r="G767" s="50"/>
      <c r="H767" s="50"/>
      <c r="I767" s="50"/>
      <c r="J767" s="50"/>
      <c r="K767" s="50"/>
      <c r="L767" s="50"/>
      <c r="M767" s="50"/>
      <c r="N767" s="50"/>
      <c r="O767" s="50"/>
      <c r="P767" s="50"/>
      <c r="Q767" s="50"/>
      <c r="R767" s="50"/>
      <c r="S767" s="50"/>
      <c r="T767" s="50"/>
      <c r="U767" s="50"/>
      <c r="V767" s="50"/>
      <c r="W767" s="50"/>
      <c r="X767" s="50"/>
      <c r="Y767" s="50"/>
      <c r="Z767" s="50"/>
      <c r="AA767" s="50"/>
      <c r="AB767" s="50"/>
      <c r="AC767" s="50"/>
      <c r="AD767" s="50"/>
    </row>
    <row r="768">
      <c r="A768" s="49"/>
      <c r="B768" s="49"/>
      <c r="C768" s="49"/>
      <c r="D768" s="49"/>
      <c r="E768" s="50"/>
      <c r="F768" s="50"/>
      <c r="G768" s="50"/>
      <c r="H768" s="50"/>
      <c r="I768" s="50"/>
      <c r="J768" s="50"/>
      <c r="K768" s="50"/>
      <c r="L768" s="50"/>
      <c r="M768" s="50"/>
      <c r="N768" s="50"/>
      <c r="O768" s="50"/>
      <c r="P768" s="50"/>
      <c r="Q768" s="50"/>
      <c r="R768" s="50"/>
      <c r="S768" s="50"/>
      <c r="T768" s="50"/>
      <c r="U768" s="50"/>
      <c r="V768" s="50"/>
      <c r="W768" s="50"/>
      <c r="X768" s="50"/>
      <c r="Y768" s="50"/>
      <c r="Z768" s="50"/>
      <c r="AA768" s="50"/>
      <c r="AB768" s="50"/>
      <c r="AC768" s="50"/>
      <c r="AD768" s="50"/>
    </row>
    <row r="769">
      <c r="A769" s="49"/>
      <c r="B769" s="49"/>
      <c r="C769" s="49"/>
      <c r="D769" s="49"/>
      <c r="E769" s="50"/>
      <c r="F769" s="50"/>
      <c r="G769" s="50"/>
      <c r="H769" s="50"/>
      <c r="I769" s="50"/>
      <c r="J769" s="50"/>
      <c r="K769" s="50"/>
      <c r="L769" s="50"/>
      <c r="M769" s="50"/>
      <c r="N769" s="50"/>
      <c r="O769" s="50"/>
      <c r="P769" s="50"/>
      <c r="Q769" s="50"/>
      <c r="R769" s="50"/>
      <c r="S769" s="50"/>
      <c r="T769" s="50"/>
      <c r="U769" s="50"/>
      <c r="V769" s="50"/>
      <c r="W769" s="50"/>
      <c r="X769" s="50"/>
      <c r="Y769" s="50"/>
      <c r="Z769" s="50"/>
      <c r="AA769" s="50"/>
      <c r="AB769" s="50"/>
      <c r="AC769" s="50"/>
      <c r="AD769" s="50"/>
    </row>
    <row r="770">
      <c r="A770" s="49"/>
      <c r="B770" s="49"/>
      <c r="C770" s="49"/>
      <c r="D770" s="49"/>
      <c r="E770" s="50"/>
      <c r="F770" s="50"/>
      <c r="G770" s="50"/>
      <c r="H770" s="50"/>
      <c r="I770" s="50"/>
      <c r="J770" s="50"/>
      <c r="K770" s="50"/>
      <c r="L770" s="50"/>
      <c r="M770" s="50"/>
      <c r="N770" s="50"/>
      <c r="O770" s="50"/>
      <c r="P770" s="50"/>
      <c r="Q770" s="50"/>
      <c r="R770" s="50"/>
      <c r="S770" s="50"/>
      <c r="T770" s="50"/>
      <c r="U770" s="50"/>
      <c r="V770" s="50"/>
      <c r="W770" s="50"/>
      <c r="X770" s="50"/>
      <c r="Y770" s="50"/>
      <c r="Z770" s="50"/>
      <c r="AA770" s="50"/>
      <c r="AB770" s="50"/>
      <c r="AC770" s="50"/>
      <c r="AD770" s="50"/>
    </row>
    <row r="771">
      <c r="A771" s="49"/>
      <c r="B771" s="49"/>
      <c r="C771" s="49"/>
      <c r="D771" s="49"/>
      <c r="E771" s="50"/>
      <c r="F771" s="50"/>
      <c r="G771" s="50"/>
      <c r="H771" s="50"/>
      <c r="I771" s="50"/>
      <c r="J771" s="50"/>
      <c r="K771" s="50"/>
      <c r="L771" s="50"/>
      <c r="M771" s="50"/>
      <c r="N771" s="50"/>
      <c r="O771" s="50"/>
      <c r="P771" s="50"/>
      <c r="Q771" s="50"/>
      <c r="R771" s="50"/>
      <c r="S771" s="50"/>
      <c r="T771" s="50"/>
      <c r="U771" s="50"/>
      <c r="V771" s="50"/>
      <c r="W771" s="50"/>
      <c r="X771" s="50"/>
      <c r="Y771" s="50"/>
      <c r="Z771" s="50"/>
      <c r="AA771" s="50"/>
      <c r="AB771" s="50"/>
      <c r="AC771" s="50"/>
      <c r="AD771" s="50"/>
    </row>
    <row r="772">
      <c r="A772" s="49"/>
      <c r="B772" s="49"/>
      <c r="C772" s="49"/>
      <c r="D772" s="49"/>
      <c r="E772" s="50"/>
      <c r="F772" s="50"/>
      <c r="G772" s="50"/>
      <c r="H772" s="50"/>
      <c r="I772" s="50"/>
      <c r="J772" s="50"/>
      <c r="K772" s="50"/>
      <c r="L772" s="50"/>
      <c r="M772" s="50"/>
      <c r="N772" s="50"/>
      <c r="O772" s="50"/>
      <c r="P772" s="50"/>
      <c r="Q772" s="50"/>
      <c r="R772" s="50"/>
      <c r="S772" s="50"/>
      <c r="T772" s="50"/>
      <c r="U772" s="50"/>
      <c r="V772" s="50"/>
      <c r="W772" s="50"/>
      <c r="X772" s="50"/>
      <c r="Y772" s="50"/>
      <c r="Z772" s="50"/>
      <c r="AA772" s="50"/>
      <c r="AB772" s="50"/>
      <c r="AC772" s="50"/>
      <c r="AD772" s="50"/>
    </row>
    <row r="773">
      <c r="A773" s="49"/>
      <c r="B773" s="49"/>
      <c r="C773" s="49"/>
      <c r="D773" s="49"/>
      <c r="E773" s="50"/>
      <c r="F773" s="50"/>
      <c r="G773" s="50"/>
      <c r="H773" s="50"/>
      <c r="I773" s="50"/>
      <c r="J773" s="50"/>
      <c r="K773" s="50"/>
      <c r="L773" s="50"/>
      <c r="M773" s="50"/>
      <c r="N773" s="50"/>
      <c r="O773" s="50"/>
      <c r="P773" s="50"/>
      <c r="Q773" s="50"/>
      <c r="R773" s="50"/>
      <c r="S773" s="50"/>
      <c r="T773" s="50"/>
      <c r="U773" s="50"/>
      <c r="V773" s="50"/>
      <c r="W773" s="50"/>
      <c r="X773" s="50"/>
      <c r="Y773" s="50"/>
      <c r="Z773" s="50"/>
      <c r="AA773" s="50"/>
      <c r="AB773" s="50"/>
      <c r="AC773" s="50"/>
      <c r="AD773" s="50"/>
    </row>
    <row r="774">
      <c r="A774" s="49"/>
      <c r="B774" s="49"/>
      <c r="C774" s="49"/>
      <c r="D774" s="49"/>
      <c r="E774" s="50"/>
      <c r="F774" s="50"/>
      <c r="G774" s="50"/>
      <c r="H774" s="50"/>
      <c r="I774" s="50"/>
      <c r="J774" s="50"/>
      <c r="K774" s="50"/>
      <c r="L774" s="50"/>
      <c r="M774" s="50"/>
      <c r="N774" s="50"/>
      <c r="O774" s="50"/>
      <c r="P774" s="50"/>
      <c r="Q774" s="50"/>
      <c r="R774" s="50"/>
      <c r="S774" s="50"/>
      <c r="T774" s="50"/>
      <c r="U774" s="50"/>
      <c r="V774" s="50"/>
      <c r="W774" s="50"/>
      <c r="X774" s="50"/>
      <c r="Y774" s="50"/>
      <c r="Z774" s="50"/>
      <c r="AA774" s="50"/>
      <c r="AB774" s="50"/>
      <c r="AC774" s="50"/>
      <c r="AD774" s="50"/>
    </row>
    <row r="775">
      <c r="A775" s="49"/>
      <c r="B775" s="49"/>
      <c r="C775" s="49"/>
      <c r="D775" s="49"/>
      <c r="E775" s="50"/>
      <c r="F775" s="50"/>
      <c r="G775" s="50"/>
      <c r="H775" s="50"/>
      <c r="I775" s="50"/>
      <c r="J775" s="50"/>
      <c r="K775" s="50"/>
      <c r="L775" s="50"/>
      <c r="M775" s="50"/>
      <c r="N775" s="50"/>
      <c r="O775" s="50"/>
      <c r="P775" s="50"/>
      <c r="Q775" s="50"/>
      <c r="R775" s="50"/>
      <c r="S775" s="50"/>
      <c r="T775" s="50"/>
      <c r="U775" s="50"/>
      <c r="V775" s="50"/>
      <c r="W775" s="50"/>
      <c r="X775" s="50"/>
      <c r="Y775" s="50"/>
      <c r="Z775" s="50"/>
      <c r="AA775" s="50"/>
      <c r="AB775" s="50"/>
      <c r="AC775" s="50"/>
      <c r="AD775" s="50"/>
    </row>
    <row r="776">
      <c r="A776" s="49"/>
      <c r="B776" s="49"/>
      <c r="C776" s="49"/>
      <c r="D776" s="49"/>
      <c r="E776" s="50"/>
      <c r="F776" s="50"/>
      <c r="G776" s="50"/>
      <c r="H776" s="50"/>
      <c r="I776" s="50"/>
      <c r="J776" s="50"/>
      <c r="K776" s="50"/>
      <c r="L776" s="50"/>
      <c r="M776" s="50"/>
      <c r="N776" s="50"/>
      <c r="O776" s="50"/>
      <c r="P776" s="50"/>
      <c r="Q776" s="50"/>
      <c r="R776" s="50"/>
      <c r="S776" s="50"/>
      <c r="T776" s="50"/>
      <c r="U776" s="50"/>
      <c r="V776" s="50"/>
      <c r="W776" s="50"/>
      <c r="X776" s="50"/>
      <c r="Y776" s="50"/>
      <c r="Z776" s="50"/>
      <c r="AA776" s="50"/>
      <c r="AB776" s="50"/>
      <c r="AC776" s="50"/>
      <c r="AD776" s="50"/>
    </row>
    <row r="777">
      <c r="A777" s="49"/>
      <c r="B777" s="49"/>
      <c r="C777" s="49"/>
      <c r="D777" s="49"/>
      <c r="E777" s="50"/>
      <c r="F777" s="50"/>
      <c r="G777" s="50"/>
      <c r="H777" s="50"/>
      <c r="I777" s="50"/>
      <c r="J777" s="50"/>
      <c r="K777" s="50"/>
      <c r="L777" s="50"/>
      <c r="M777" s="50"/>
      <c r="N777" s="50"/>
      <c r="O777" s="50"/>
      <c r="P777" s="50"/>
      <c r="Q777" s="50"/>
      <c r="R777" s="50"/>
      <c r="S777" s="50"/>
      <c r="T777" s="50"/>
      <c r="U777" s="50"/>
      <c r="V777" s="50"/>
      <c r="W777" s="50"/>
      <c r="X777" s="50"/>
      <c r="Y777" s="50"/>
      <c r="Z777" s="50"/>
      <c r="AA777" s="50"/>
      <c r="AB777" s="50"/>
      <c r="AC777" s="50"/>
      <c r="AD777" s="50"/>
    </row>
    <row r="778">
      <c r="A778" s="49"/>
      <c r="B778" s="49"/>
      <c r="C778" s="49"/>
      <c r="D778" s="49"/>
      <c r="E778" s="50"/>
      <c r="F778" s="50"/>
      <c r="G778" s="50"/>
      <c r="H778" s="50"/>
      <c r="I778" s="50"/>
      <c r="J778" s="50"/>
      <c r="K778" s="50"/>
      <c r="L778" s="50"/>
      <c r="M778" s="50"/>
      <c r="N778" s="50"/>
      <c r="O778" s="50"/>
      <c r="P778" s="50"/>
      <c r="Q778" s="50"/>
      <c r="R778" s="50"/>
      <c r="S778" s="50"/>
      <c r="T778" s="50"/>
      <c r="U778" s="50"/>
      <c r="V778" s="50"/>
      <c r="W778" s="50"/>
      <c r="X778" s="50"/>
      <c r="Y778" s="50"/>
      <c r="Z778" s="50"/>
      <c r="AA778" s="50"/>
      <c r="AB778" s="50"/>
      <c r="AC778" s="50"/>
      <c r="AD778" s="50"/>
    </row>
    <row r="779">
      <c r="A779" s="49"/>
      <c r="B779" s="49"/>
      <c r="C779" s="49"/>
      <c r="D779" s="49"/>
      <c r="E779" s="50"/>
      <c r="F779" s="50"/>
      <c r="G779" s="50"/>
      <c r="H779" s="50"/>
      <c r="I779" s="50"/>
      <c r="J779" s="50"/>
      <c r="K779" s="50"/>
      <c r="L779" s="50"/>
      <c r="M779" s="50"/>
      <c r="N779" s="50"/>
      <c r="O779" s="50"/>
      <c r="P779" s="50"/>
      <c r="Q779" s="50"/>
      <c r="R779" s="50"/>
      <c r="S779" s="50"/>
      <c r="T779" s="50"/>
      <c r="U779" s="50"/>
      <c r="V779" s="50"/>
      <c r="W779" s="50"/>
      <c r="X779" s="50"/>
      <c r="Y779" s="50"/>
      <c r="Z779" s="50"/>
      <c r="AA779" s="50"/>
      <c r="AB779" s="50"/>
      <c r="AC779" s="50"/>
      <c r="AD779" s="50"/>
    </row>
    <row r="780">
      <c r="A780" s="49"/>
      <c r="B780" s="49"/>
      <c r="C780" s="49"/>
      <c r="D780" s="49"/>
      <c r="E780" s="50"/>
      <c r="F780" s="50"/>
      <c r="G780" s="50"/>
      <c r="H780" s="50"/>
      <c r="I780" s="50"/>
      <c r="J780" s="50"/>
      <c r="K780" s="50"/>
      <c r="L780" s="50"/>
      <c r="M780" s="50"/>
      <c r="N780" s="50"/>
      <c r="O780" s="50"/>
      <c r="P780" s="50"/>
      <c r="Q780" s="50"/>
      <c r="R780" s="50"/>
      <c r="S780" s="50"/>
      <c r="T780" s="50"/>
      <c r="U780" s="50"/>
      <c r="V780" s="50"/>
      <c r="W780" s="50"/>
      <c r="X780" s="50"/>
      <c r="Y780" s="50"/>
      <c r="Z780" s="50"/>
      <c r="AA780" s="50"/>
      <c r="AB780" s="50"/>
      <c r="AC780" s="50"/>
      <c r="AD780" s="50"/>
    </row>
    <row r="781">
      <c r="A781" s="49"/>
      <c r="B781" s="49"/>
      <c r="C781" s="49"/>
      <c r="D781" s="49"/>
      <c r="E781" s="50"/>
      <c r="F781" s="50"/>
      <c r="G781" s="50"/>
      <c r="H781" s="50"/>
      <c r="I781" s="50"/>
      <c r="J781" s="50"/>
      <c r="K781" s="50"/>
      <c r="L781" s="50"/>
      <c r="M781" s="50"/>
      <c r="N781" s="50"/>
      <c r="O781" s="50"/>
      <c r="P781" s="50"/>
      <c r="Q781" s="50"/>
      <c r="R781" s="50"/>
      <c r="S781" s="50"/>
      <c r="T781" s="50"/>
      <c r="U781" s="50"/>
      <c r="V781" s="50"/>
      <c r="W781" s="50"/>
      <c r="X781" s="50"/>
      <c r="Y781" s="50"/>
      <c r="Z781" s="50"/>
      <c r="AA781" s="50"/>
      <c r="AB781" s="50"/>
      <c r="AC781" s="50"/>
      <c r="AD781" s="50"/>
    </row>
    <row r="782">
      <c r="A782" s="49"/>
      <c r="B782" s="49"/>
      <c r="C782" s="49"/>
      <c r="D782" s="49"/>
      <c r="E782" s="50"/>
      <c r="F782" s="50"/>
      <c r="G782" s="50"/>
      <c r="H782" s="50"/>
      <c r="I782" s="50"/>
      <c r="J782" s="50"/>
      <c r="K782" s="50"/>
      <c r="L782" s="50"/>
      <c r="M782" s="50"/>
      <c r="N782" s="50"/>
      <c r="O782" s="50"/>
      <c r="P782" s="50"/>
      <c r="Q782" s="50"/>
      <c r="R782" s="50"/>
      <c r="S782" s="50"/>
      <c r="T782" s="50"/>
      <c r="U782" s="50"/>
      <c r="V782" s="50"/>
      <c r="W782" s="50"/>
      <c r="X782" s="50"/>
      <c r="Y782" s="50"/>
      <c r="Z782" s="50"/>
      <c r="AA782" s="50"/>
      <c r="AB782" s="50"/>
      <c r="AC782" s="50"/>
      <c r="AD782" s="50"/>
    </row>
    <row r="783">
      <c r="A783" s="49"/>
      <c r="B783" s="49"/>
      <c r="C783" s="49"/>
      <c r="D783" s="49"/>
      <c r="E783" s="50"/>
      <c r="F783" s="50"/>
      <c r="G783" s="50"/>
      <c r="H783" s="50"/>
      <c r="I783" s="50"/>
      <c r="J783" s="50"/>
      <c r="K783" s="50"/>
      <c r="L783" s="50"/>
      <c r="M783" s="50"/>
      <c r="N783" s="50"/>
      <c r="O783" s="50"/>
      <c r="P783" s="50"/>
      <c r="Q783" s="50"/>
      <c r="R783" s="50"/>
      <c r="S783" s="50"/>
      <c r="T783" s="50"/>
      <c r="U783" s="50"/>
      <c r="V783" s="50"/>
      <c r="W783" s="50"/>
      <c r="X783" s="50"/>
      <c r="Y783" s="50"/>
      <c r="Z783" s="50"/>
      <c r="AA783" s="50"/>
      <c r="AB783" s="50"/>
      <c r="AC783" s="50"/>
      <c r="AD783" s="50"/>
    </row>
    <row r="784">
      <c r="A784" s="49"/>
      <c r="B784" s="49"/>
      <c r="C784" s="49"/>
      <c r="D784" s="49"/>
      <c r="E784" s="50"/>
      <c r="F784" s="50"/>
      <c r="G784" s="50"/>
      <c r="H784" s="50"/>
      <c r="I784" s="50"/>
      <c r="J784" s="50"/>
      <c r="K784" s="50"/>
      <c r="L784" s="50"/>
      <c r="M784" s="50"/>
      <c r="N784" s="50"/>
      <c r="O784" s="50"/>
      <c r="P784" s="50"/>
      <c r="Q784" s="50"/>
      <c r="R784" s="50"/>
      <c r="S784" s="50"/>
      <c r="T784" s="50"/>
      <c r="U784" s="50"/>
      <c r="V784" s="50"/>
      <c r="W784" s="50"/>
      <c r="X784" s="50"/>
      <c r="Y784" s="50"/>
      <c r="Z784" s="50"/>
      <c r="AA784" s="50"/>
      <c r="AB784" s="50"/>
      <c r="AC784" s="50"/>
      <c r="AD784" s="50"/>
    </row>
    <row r="785">
      <c r="A785" s="49"/>
      <c r="B785" s="49"/>
      <c r="C785" s="49"/>
      <c r="D785" s="49"/>
      <c r="E785" s="50"/>
      <c r="F785" s="50"/>
      <c r="G785" s="50"/>
      <c r="H785" s="50"/>
      <c r="I785" s="50"/>
      <c r="J785" s="50"/>
      <c r="K785" s="50"/>
      <c r="L785" s="50"/>
      <c r="M785" s="50"/>
      <c r="N785" s="50"/>
      <c r="O785" s="50"/>
      <c r="P785" s="50"/>
      <c r="Q785" s="50"/>
      <c r="R785" s="50"/>
      <c r="S785" s="50"/>
      <c r="T785" s="50"/>
      <c r="U785" s="50"/>
      <c r="V785" s="50"/>
      <c r="W785" s="50"/>
      <c r="X785" s="50"/>
      <c r="Y785" s="50"/>
      <c r="Z785" s="50"/>
      <c r="AA785" s="50"/>
      <c r="AB785" s="50"/>
      <c r="AC785" s="50"/>
      <c r="AD785" s="50"/>
    </row>
    <row r="786">
      <c r="A786" s="49"/>
      <c r="B786" s="49"/>
      <c r="C786" s="49"/>
      <c r="D786" s="49"/>
      <c r="E786" s="50"/>
      <c r="F786" s="50"/>
      <c r="G786" s="50"/>
      <c r="H786" s="50"/>
      <c r="I786" s="50"/>
      <c r="J786" s="50"/>
      <c r="K786" s="50"/>
      <c r="L786" s="50"/>
      <c r="M786" s="50"/>
      <c r="N786" s="50"/>
      <c r="O786" s="50"/>
      <c r="P786" s="50"/>
      <c r="Q786" s="50"/>
      <c r="R786" s="50"/>
      <c r="S786" s="50"/>
      <c r="T786" s="50"/>
      <c r="U786" s="50"/>
      <c r="V786" s="50"/>
      <c r="W786" s="50"/>
      <c r="X786" s="50"/>
      <c r="Y786" s="50"/>
      <c r="Z786" s="50"/>
      <c r="AA786" s="50"/>
      <c r="AB786" s="50"/>
      <c r="AC786" s="50"/>
      <c r="AD786" s="50"/>
    </row>
    <row r="787">
      <c r="A787" s="49"/>
      <c r="B787" s="49"/>
      <c r="C787" s="49"/>
      <c r="D787" s="49"/>
      <c r="E787" s="50"/>
      <c r="F787" s="50"/>
      <c r="G787" s="50"/>
      <c r="H787" s="50"/>
      <c r="I787" s="50"/>
      <c r="J787" s="50"/>
      <c r="K787" s="50"/>
      <c r="L787" s="50"/>
      <c r="M787" s="50"/>
      <c r="N787" s="50"/>
      <c r="O787" s="50"/>
      <c r="P787" s="50"/>
      <c r="Q787" s="50"/>
      <c r="R787" s="50"/>
      <c r="S787" s="50"/>
      <c r="T787" s="50"/>
      <c r="U787" s="50"/>
      <c r="V787" s="50"/>
      <c r="W787" s="50"/>
      <c r="X787" s="50"/>
      <c r="Y787" s="50"/>
      <c r="Z787" s="50"/>
      <c r="AA787" s="50"/>
      <c r="AB787" s="50"/>
      <c r="AC787" s="50"/>
      <c r="AD787" s="50"/>
    </row>
    <row r="788">
      <c r="A788" s="49"/>
      <c r="B788" s="49"/>
      <c r="C788" s="49"/>
      <c r="D788" s="49"/>
      <c r="E788" s="50"/>
      <c r="F788" s="50"/>
      <c r="G788" s="50"/>
      <c r="H788" s="50"/>
      <c r="I788" s="50"/>
      <c r="J788" s="50"/>
      <c r="K788" s="50"/>
      <c r="L788" s="50"/>
      <c r="M788" s="50"/>
      <c r="N788" s="50"/>
      <c r="O788" s="50"/>
      <c r="P788" s="50"/>
      <c r="Q788" s="50"/>
      <c r="R788" s="50"/>
      <c r="S788" s="50"/>
      <c r="T788" s="50"/>
      <c r="U788" s="50"/>
      <c r="V788" s="50"/>
      <c r="W788" s="50"/>
      <c r="X788" s="50"/>
      <c r="Y788" s="50"/>
      <c r="Z788" s="50"/>
      <c r="AA788" s="50"/>
      <c r="AB788" s="50"/>
      <c r="AC788" s="50"/>
      <c r="AD788" s="50"/>
    </row>
    <row r="789">
      <c r="A789" s="49"/>
      <c r="B789" s="49"/>
      <c r="C789" s="49"/>
      <c r="D789" s="49"/>
      <c r="E789" s="50"/>
      <c r="F789" s="50"/>
      <c r="G789" s="50"/>
      <c r="H789" s="50"/>
      <c r="I789" s="50"/>
      <c r="J789" s="50"/>
      <c r="K789" s="50"/>
      <c r="L789" s="50"/>
      <c r="M789" s="50"/>
      <c r="N789" s="50"/>
      <c r="O789" s="50"/>
      <c r="P789" s="50"/>
      <c r="Q789" s="50"/>
      <c r="R789" s="50"/>
      <c r="S789" s="50"/>
      <c r="T789" s="50"/>
      <c r="U789" s="50"/>
      <c r="V789" s="50"/>
      <c r="W789" s="50"/>
      <c r="X789" s="50"/>
      <c r="Y789" s="50"/>
      <c r="Z789" s="50"/>
      <c r="AA789" s="50"/>
      <c r="AB789" s="50"/>
      <c r="AC789" s="50"/>
      <c r="AD789" s="50"/>
    </row>
    <row r="790">
      <c r="A790" s="49"/>
      <c r="B790" s="49"/>
      <c r="C790" s="49"/>
      <c r="D790" s="49"/>
      <c r="E790" s="50"/>
      <c r="F790" s="50"/>
      <c r="G790" s="50"/>
      <c r="H790" s="50"/>
      <c r="I790" s="50"/>
      <c r="J790" s="50"/>
      <c r="K790" s="50"/>
      <c r="L790" s="50"/>
      <c r="M790" s="50"/>
      <c r="N790" s="50"/>
      <c r="O790" s="50"/>
      <c r="P790" s="50"/>
      <c r="Q790" s="50"/>
      <c r="R790" s="50"/>
      <c r="S790" s="50"/>
      <c r="T790" s="50"/>
      <c r="U790" s="50"/>
      <c r="V790" s="50"/>
      <c r="W790" s="50"/>
      <c r="X790" s="50"/>
      <c r="Y790" s="50"/>
      <c r="Z790" s="50"/>
      <c r="AA790" s="50"/>
      <c r="AB790" s="50"/>
      <c r="AC790" s="50"/>
      <c r="AD790" s="50"/>
    </row>
    <row r="791">
      <c r="A791" s="49"/>
      <c r="B791" s="49"/>
      <c r="C791" s="49"/>
      <c r="D791" s="49"/>
      <c r="E791" s="50"/>
      <c r="F791" s="50"/>
      <c r="G791" s="50"/>
      <c r="H791" s="50"/>
      <c r="I791" s="50"/>
      <c r="J791" s="50"/>
      <c r="K791" s="50"/>
      <c r="L791" s="50"/>
      <c r="M791" s="50"/>
      <c r="N791" s="50"/>
      <c r="O791" s="50"/>
      <c r="P791" s="50"/>
      <c r="Q791" s="50"/>
      <c r="R791" s="50"/>
      <c r="S791" s="50"/>
      <c r="T791" s="50"/>
      <c r="U791" s="50"/>
      <c r="V791" s="50"/>
      <c r="W791" s="50"/>
      <c r="X791" s="50"/>
      <c r="Y791" s="50"/>
      <c r="Z791" s="50"/>
      <c r="AA791" s="50"/>
      <c r="AB791" s="50"/>
      <c r="AC791" s="50"/>
      <c r="AD791" s="50"/>
    </row>
    <row r="792">
      <c r="A792" s="49"/>
      <c r="B792" s="49"/>
      <c r="C792" s="49"/>
      <c r="D792" s="49"/>
      <c r="E792" s="50"/>
      <c r="F792" s="50"/>
      <c r="G792" s="50"/>
      <c r="H792" s="50"/>
      <c r="I792" s="50"/>
      <c r="J792" s="50"/>
      <c r="K792" s="50"/>
      <c r="L792" s="50"/>
      <c r="M792" s="50"/>
      <c r="N792" s="50"/>
      <c r="O792" s="50"/>
      <c r="P792" s="50"/>
      <c r="Q792" s="50"/>
      <c r="R792" s="50"/>
      <c r="S792" s="50"/>
      <c r="T792" s="50"/>
      <c r="U792" s="50"/>
      <c r="V792" s="50"/>
      <c r="W792" s="50"/>
      <c r="X792" s="50"/>
      <c r="Y792" s="50"/>
      <c r="Z792" s="50"/>
      <c r="AA792" s="50"/>
      <c r="AB792" s="50"/>
      <c r="AC792" s="50"/>
      <c r="AD792" s="50"/>
    </row>
    <row r="793">
      <c r="A793" s="49"/>
      <c r="B793" s="49"/>
      <c r="C793" s="49"/>
      <c r="D793" s="49"/>
      <c r="E793" s="50"/>
      <c r="F793" s="50"/>
      <c r="G793" s="50"/>
      <c r="H793" s="50"/>
      <c r="I793" s="50"/>
      <c r="J793" s="50"/>
      <c r="K793" s="50"/>
      <c r="L793" s="50"/>
      <c r="M793" s="50"/>
      <c r="N793" s="50"/>
      <c r="O793" s="50"/>
      <c r="P793" s="50"/>
      <c r="Q793" s="50"/>
      <c r="R793" s="50"/>
      <c r="S793" s="50"/>
      <c r="T793" s="50"/>
      <c r="U793" s="50"/>
      <c r="V793" s="50"/>
      <c r="W793" s="50"/>
      <c r="X793" s="50"/>
      <c r="Y793" s="50"/>
      <c r="Z793" s="50"/>
      <c r="AA793" s="50"/>
      <c r="AB793" s="50"/>
      <c r="AC793" s="50"/>
      <c r="AD793" s="50"/>
    </row>
    <row r="794">
      <c r="A794" s="49"/>
      <c r="B794" s="49"/>
      <c r="C794" s="49"/>
      <c r="D794" s="49"/>
      <c r="E794" s="50"/>
      <c r="F794" s="50"/>
      <c r="G794" s="50"/>
      <c r="H794" s="50"/>
      <c r="I794" s="50"/>
      <c r="J794" s="50"/>
      <c r="K794" s="50"/>
      <c r="L794" s="50"/>
      <c r="M794" s="50"/>
      <c r="N794" s="50"/>
      <c r="O794" s="50"/>
      <c r="P794" s="50"/>
      <c r="Q794" s="50"/>
      <c r="R794" s="50"/>
      <c r="S794" s="50"/>
      <c r="T794" s="50"/>
      <c r="U794" s="50"/>
      <c r="V794" s="50"/>
      <c r="W794" s="50"/>
      <c r="X794" s="50"/>
      <c r="Y794" s="50"/>
      <c r="Z794" s="50"/>
      <c r="AA794" s="50"/>
      <c r="AB794" s="50"/>
      <c r="AC794" s="50"/>
      <c r="AD794" s="50"/>
    </row>
    <row r="795">
      <c r="A795" s="49"/>
      <c r="B795" s="49"/>
      <c r="C795" s="49"/>
      <c r="D795" s="49"/>
      <c r="E795" s="50"/>
      <c r="F795" s="50"/>
      <c r="G795" s="50"/>
      <c r="H795" s="50"/>
      <c r="I795" s="50"/>
      <c r="J795" s="50"/>
      <c r="K795" s="50"/>
      <c r="L795" s="50"/>
      <c r="M795" s="50"/>
      <c r="N795" s="50"/>
      <c r="O795" s="50"/>
      <c r="P795" s="50"/>
      <c r="Q795" s="50"/>
      <c r="R795" s="50"/>
      <c r="S795" s="50"/>
      <c r="T795" s="50"/>
      <c r="U795" s="50"/>
      <c r="V795" s="50"/>
      <c r="W795" s="50"/>
      <c r="X795" s="50"/>
      <c r="Y795" s="50"/>
      <c r="Z795" s="50"/>
      <c r="AA795" s="50"/>
      <c r="AB795" s="50"/>
      <c r="AC795" s="50"/>
      <c r="AD795" s="50"/>
    </row>
    <row r="796">
      <c r="A796" s="49"/>
      <c r="B796" s="49"/>
      <c r="C796" s="49"/>
      <c r="D796" s="49"/>
      <c r="E796" s="50"/>
      <c r="F796" s="50"/>
      <c r="G796" s="50"/>
      <c r="H796" s="50"/>
      <c r="I796" s="50"/>
      <c r="J796" s="50"/>
      <c r="K796" s="50"/>
      <c r="L796" s="50"/>
      <c r="M796" s="50"/>
      <c r="N796" s="50"/>
      <c r="O796" s="50"/>
      <c r="P796" s="50"/>
      <c r="Q796" s="50"/>
      <c r="R796" s="50"/>
      <c r="S796" s="50"/>
      <c r="T796" s="50"/>
      <c r="U796" s="50"/>
      <c r="V796" s="50"/>
      <c r="W796" s="50"/>
      <c r="X796" s="50"/>
      <c r="Y796" s="50"/>
      <c r="Z796" s="50"/>
      <c r="AA796" s="50"/>
      <c r="AB796" s="50"/>
      <c r="AC796" s="50"/>
      <c r="AD796" s="50"/>
    </row>
    <row r="797">
      <c r="A797" s="49"/>
      <c r="B797" s="49"/>
      <c r="C797" s="49"/>
      <c r="D797" s="49"/>
      <c r="E797" s="50"/>
      <c r="F797" s="50"/>
      <c r="G797" s="50"/>
      <c r="H797" s="50"/>
      <c r="I797" s="50"/>
      <c r="J797" s="50"/>
      <c r="K797" s="50"/>
      <c r="L797" s="50"/>
      <c r="M797" s="50"/>
      <c r="N797" s="50"/>
      <c r="O797" s="50"/>
      <c r="P797" s="50"/>
      <c r="Q797" s="50"/>
      <c r="R797" s="50"/>
      <c r="S797" s="50"/>
      <c r="T797" s="50"/>
      <c r="U797" s="50"/>
      <c r="V797" s="50"/>
      <c r="W797" s="50"/>
      <c r="X797" s="50"/>
      <c r="Y797" s="50"/>
      <c r="Z797" s="50"/>
      <c r="AA797" s="50"/>
      <c r="AB797" s="50"/>
      <c r="AC797" s="50"/>
      <c r="AD797" s="50"/>
    </row>
    <row r="798">
      <c r="A798" s="49"/>
      <c r="B798" s="49"/>
      <c r="C798" s="49"/>
      <c r="D798" s="49"/>
      <c r="E798" s="50"/>
      <c r="F798" s="50"/>
      <c r="G798" s="50"/>
      <c r="H798" s="50"/>
      <c r="I798" s="50"/>
      <c r="J798" s="50"/>
      <c r="K798" s="50"/>
      <c r="L798" s="50"/>
      <c r="M798" s="50"/>
      <c r="N798" s="50"/>
      <c r="O798" s="50"/>
      <c r="P798" s="50"/>
      <c r="Q798" s="50"/>
      <c r="R798" s="50"/>
      <c r="S798" s="50"/>
      <c r="T798" s="50"/>
      <c r="U798" s="50"/>
      <c r="V798" s="50"/>
      <c r="W798" s="50"/>
      <c r="X798" s="50"/>
      <c r="Y798" s="50"/>
      <c r="Z798" s="50"/>
      <c r="AA798" s="50"/>
      <c r="AB798" s="50"/>
      <c r="AC798" s="50"/>
      <c r="AD798" s="50"/>
    </row>
    <row r="799">
      <c r="A799" s="49"/>
      <c r="B799" s="49"/>
      <c r="C799" s="49"/>
      <c r="D799" s="49"/>
      <c r="E799" s="50"/>
      <c r="F799" s="50"/>
      <c r="G799" s="50"/>
      <c r="H799" s="50"/>
      <c r="I799" s="50"/>
      <c r="J799" s="50"/>
      <c r="K799" s="50"/>
      <c r="L799" s="50"/>
      <c r="M799" s="50"/>
      <c r="N799" s="50"/>
      <c r="O799" s="50"/>
      <c r="P799" s="50"/>
      <c r="Q799" s="50"/>
      <c r="R799" s="50"/>
      <c r="S799" s="50"/>
      <c r="T799" s="50"/>
      <c r="U799" s="50"/>
      <c r="V799" s="50"/>
      <c r="W799" s="50"/>
      <c r="X799" s="50"/>
      <c r="Y799" s="50"/>
      <c r="Z799" s="50"/>
      <c r="AA799" s="50"/>
      <c r="AB799" s="50"/>
      <c r="AC799" s="50"/>
      <c r="AD799" s="50"/>
    </row>
    <row r="800">
      <c r="A800" s="49"/>
      <c r="B800" s="49"/>
      <c r="C800" s="49"/>
      <c r="D800" s="49"/>
      <c r="E800" s="50"/>
      <c r="F800" s="50"/>
      <c r="G800" s="50"/>
      <c r="H800" s="50"/>
      <c r="I800" s="50"/>
      <c r="J800" s="50"/>
      <c r="K800" s="50"/>
      <c r="L800" s="50"/>
      <c r="M800" s="50"/>
      <c r="N800" s="50"/>
      <c r="O800" s="50"/>
      <c r="P800" s="50"/>
      <c r="Q800" s="50"/>
      <c r="R800" s="50"/>
      <c r="S800" s="50"/>
      <c r="T800" s="50"/>
      <c r="U800" s="50"/>
      <c r="V800" s="50"/>
      <c r="W800" s="50"/>
      <c r="X800" s="50"/>
      <c r="Y800" s="50"/>
      <c r="Z800" s="50"/>
      <c r="AA800" s="50"/>
      <c r="AB800" s="50"/>
      <c r="AC800" s="50"/>
      <c r="AD800" s="50"/>
    </row>
    <row r="801">
      <c r="A801" s="49"/>
      <c r="B801" s="49"/>
      <c r="C801" s="49"/>
      <c r="D801" s="49"/>
      <c r="E801" s="50"/>
      <c r="F801" s="50"/>
      <c r="G801" s="50"/>
      <c r="H801" s="50"/>
      <c r="I801" s="50"/>
      <c r="J801" s="50"/>
      <c r="K801" s="50"/>
      <c r="L801" s="50"/>
      <c r="M801" s="50"/>
      <c r="N801" s="50"/>
      <c r="O801" s="50"/>
      <c r="P801" s="50"/>
      <c r="Q801" s="50"/>
      <c r="R801" s="50"/>
      <c r="S801" s="50"/>
      <c r="T801" s="50"/>
      <c r="U801" s="50"/>
      <c r="V801" s="50"/>
      <c r="W801" s="50"/>
      <c r="X801" s="50"/>
      <c r="Y801" s="50"/>
      <c r="Z801" s="50"/>
      <c r="AA801" s="50"/>
      <c r="AB801" s="50"/>
      <c r="AC801" s="50"/>
      <c r="AD801" s="50"/>
    </row>
    <row r="802">
      <c r="A802" s="49"/>
      <c r="B802" s="49"/>
      <c r="C802" s="49"/>
      <c r="D802" s="49"/>
      <c r="E802" s="50"/>
      <c r="F802" s="50"/>
      <c r="G802" s="50"/>
      <c r="H802" s="50"/>
      <c r="I802" s="50"/>
      <c r="J802" s="50"/>
      <c r="K802" s="50"/>
      <c r="L802" s="50"/>
      <c r="M802" s="50"/>
      <c r="N802" s="50"/>
      <c r="O802" s="50"/>
      <c r="P802" s="50"/>
      <c r="Q802" s="50"/>
      <c r="R802" s="50"/>
      <c r="S802" s="50"/>
      <c r="T802" s="50"/>
      <c r="U802" s="50"/>
      <c r="V802" s="50"/>
      <c r="W802" s="50"/>
      <c r="X802" s="50"/>
      <c r="Y802" s="50"/>
      <c r="Z802" s="50"/>
      <c r="AA802" s="50"/>
      <c r="AB802" s="50"/>
      <c r="AC802" s="50"/>
      <c r="AD802" s="50"/>
    </row>
    <row r="803">
      <c r="A803" s="49"/>
      <c r="B803" s="49"/>
      <c r="C803" s="49"/>
      <c r="D803" s="49"/>
      <c r="E803" s="50"/>
      <c r="F803" s="50"/>
      <c r="G803" s="50"/>
      <c r="H803" s="50"/>
      <c r="I803" s="50"/>
      <c r="J803" s="50"/>
      <c r="K803" s="50"/>
      <c r="L803" s="50"/>
      <c r="M803" s="50"/>
      <c r="N803" s="50"/>
      <c r="O803" s="50"/>
      <c r="P803" s="50"/>
      <c r="Q803" s="50"/>
      <c r="R803" s="50"/>
      <c r="S803" s="50"/>
      <c r="T803" s="50"/>
      <c r="U803" s="50"/>
      <c r="V803" s="50"/>
      <c r="W803" s="50"/>
      <c r="X803" s="50"/>
      <c r="Y803" s="50"/>
      <c r="Z803" s="50"/>
      <c r="AA803" s="50"/>
      <c r="AB803" s="50"/>
      <c r="AC803" s="50"/>
      <c r="AD803" s="50"/>
    </row>
    <row r="804">
      <c r="A804" s="49"/>
      <c r="B804" s="49"/>
      <c r="C804" s="49"/>
      <c r="D804" s="49"/>
      <c r="E804" s="50"/>
      <c r="F804" s="50"/>
      <c r="G804" s="50"/>
      <c r="H804" s="50"/>
      <c r="I804" s="50"/>
      <c r="J804" s="50"/>
      <c r="K804" s="50"/>
      <c r="L804" s="50"/>
      <c r="M804" s="50"/>
      <c r="N804" s="50"/>
      <c r="O804" s="50"/>
      <c r="P804" s="50"/>
      <c r="Q804" s="50"/>
      <c r="R804" s="50"/>
      <c r="S804" s="50"/>
      <c r="T804" s="50"/>
      <c r="U804" s="50"/>
      <c r="V804" s="50"/>
      <c r="W804" s="50"/>
      <c r="X804" s="50"/>
      <c r="Y804" s="50"/>
      <c r="Z804" s="50"/>
      <c r="AA804" s="50"/>
      <c r="AB804" s="50"/>
      <c r="AC804" s="50"/>
      <c r="AD804" s="50"/>
    </row>
    <row r="805">
      <c r="A805" s="49"/>
      <c r="B805" s="49"/>
      <c r="C805" s="49"/>
      <c r="D805" s="49"/>
      <c r="E805" s="50"/>
      <c r="F805" s="50"/>
      <c r="G805" s="50"/>
      <c r="H805" s="50"/>
      <c r="I805" s="50"/>
      <c r="J805" s="50"/>
      <c r="K805" s="50"/>
      <c r="L805" s="50"/>
      <c r="M805" s="50"/>
      <c r="N805" s="50"/>
      <c r="O805" s="50"/>
      <c r="P805" s="50"/>
      <c r="Q805" s="50"/>
      <c r="R805" s="50"/>
      <c r="S805" s="50"/>
      <c r="T805" s="50"/>
      <c r="U805" s="50"/>
      <c r="V805" s="50"/>
      <c r="W805" s="50"/>
      <c r="X805" s="50"/>
      <c r="Y805" s="50"/>
      <c r="Z805" s="50"/>
      <c r="AA805" s="50"/>
      <c r="AB805" s="50"/>
      <c r="AC805" s="50"/>
      <c r="AD805" s="50"/>
    </row>
    <row r="806">
      <c r="A806" s="49"/>
      <c r="B806" s="49"/>
      <c r="C806" s="49"/>
      <c r="D806" s="49"/>
      <c r="E806" s="50"/>
      <c r="F806" s="50"/>
      <c r="G806" s="50"/>
      <c r="H806" s="50"/>
      <c r="I806" s="50"/>
      <c r="J806" s="50"/>
      <c r="K806" s="50"/>
      <c r="L806" s="50"/>
      <c r="M806" s="50"/>
      <c r="N806" s="50"/>
      <c r="O806" s="50"/>
      <c r="P806" s="50"/>
      <c r="Q806" s="50"/>
      <c r="R806" s="50"/>
      <c r="S806" s="50"/>
      <c r="T806" s="50"/>
      <c r="U806" s="50"/>
      <c r="V806" s="50"/>
      <c r="W806" s="50"/>
      <c r="X806" s="50"/>
      <c r="Y806" s="50"/>
      <c r="Z806" s="50"/>
      <c r="AA806" s="50"/>
      <c r="AB806" s="50"/>
      <c r="AC806" s="50"/>
      <c r="AD806" s="50"/>
    </row>
    <row r="807">
      <c r="A807" s="49"/>
      <c r="B807" s="49"/>
      <c r="C807" s="49"/>
      <c r="D807" s="49"/>
      <c r="E807" s="50"/>
      <c r="F807" s="50"/>
      <c r="G807" s="50"/>
      <c r="H807" s="50"/>
      <c r="I807" s="50"/>
      <c r="J807" s="50"/>
      <c r="K807" s="50"/>
      <c r="L807" s="50"/>
      <c r="M807" s="50"/>
      <c r="N807" s="50"/>
      <c r="O807" s="50"/>
      <c r="P807" s="50"/>
      <c r="Q807" s="50"/>
      <c r="R807" s="50"/>
      <c r="S807" s="50"/>
      <c r="T807" s="50"/>
      <c r="U807" s="50"/>
      <c r="V807" s="50"/>
      <c r="W807" s="50"/>
      <c r="X807" s="50"/>
      <c r="Y807" s="50"/>
      <c r="Z807" s="50"/>
      <c r="AA807" s="50"/>
      <c r="AB807" s="50"/>
      <c r="AC807" s="50"/>
      <c r="AD807" s="50"/>
    </row>
    <row r="808">
      <c r="A808" s="49"/>
      <c r="B808" s="49"/>
      <c r="C808" s="49"/>
      <c r="D808" s="49"/>
      <c r="E808" s="50"/>
      <c r="F808" s="50"/>
      <c r="G808" s="50"/>
      <c r="H808" s="50"/>
      <c r="I808" s="50"/>
      <c r="J808" s="50"/>
      <c r="K808" s="50"/>
      <c r="L808" s="50"/>
      <c r="M808" s="50"/>
      <c r="N808" s="50"/>
      <c r="O808" s="50"/>
      <c r="P808" s="50"/>
      <c r="Q808" s="50"/>
      <c r="R808" s="50"/>
      <c r="S808" s="50"/>
      <c r="T808" s="50"/>
      <c r="U808" s="50"/>
      <c r="V808" s="50"/>
      <c r="W808" s="50"/>
      <c r="X808" s="50"/>
      <c r="Y808" s="50"/>
      <c r="Z808" s="50"/>
      <c r="AA808" s="50"/>
      <c r="AB808" s="50"/>
      <c r="AC808" s="50"/>
      <c r="AD808" s="50"/>
    </row>
    <row r="809">
      <c r="A809" s="49"/>
      <c r="B809" s="49"/>
      <c r="C809" s="49"/>
      <c r="D809" s="49"/>
      <c r="E809" s="50"/>
      <c r="F809" s="50"/>
      <c r="G809" s="50"/>
      <c r="H809" s="50"/>
      <c r="I809" s="50"/>
      <c r="J809" s="50"/>
      <c r="K809" s="50"/>
      <c r="L809" s="50"/>
      <c r="M809" s="50"/>
      <c r="N809" s="50"/>
      <c r="O809" s="50"/>
      <c r="P809" s="50"/>
      <c r="Q809" s="50"/>
      <c r="R809" s="50"/>
      <c r="S809" s="50"/>
      <c r="T809" s="50"/>
      <c r="U809" s="50"/>
      <c r="V809" s="50"/>
      <c r="W809" s="50"/>
      <c r="X809" s="50"/>
      <c r="Y809" s="50"/>
      <c r="Z809" s="50"/>
      <c r="AA809" s="50"/>
      <c r="AB809" s="50"/>
      <c r="AC809" s="50"/>
      <c r="AD809" s="50"/>
    </row>
    <row r="810">
      <c r="A810" s="49"/>
      <c r="B810" s="49"/>
      <c r="C810" s="49"/>
      <c r="D810" s="49"/>
      <c r="E810" s="50"/>
      <c r="F810" s="50"/>
      <c r="G810" s="50"/>
      <c r="H810" s="50"/>
      <c r="I810" s="50"/>
      <c r="J810" s="50"/>
      <c r="K810" s="50"/>
      <c r="L810" s="50"/>
      <c r="M810" s="50"/>
      <c r="N810" s="50"/>
      <c r="O810" s="50"/>
      <c r="P810" s="50"/>
      <c r="Q810" s="50"/>
      <c r="R810" s="50"/>
      <c r="S810" s="50"/>
      <c r="T810" s="50"/>
      <c r="U810" s="50"/>
      <c r="V810" s="50"/>
      <c r="W810" s="50"/>
      <c r="X810" s="50"/>
      <c r="Y810" s="50"/>
      <c r="Z810" s="50"/>
      <c r="AA810" s="50"/>
      <c r="AB810" s="50"/>
      <c r="AC810" s="50"/>
      <c r="AD810" s="50"/>
    </row>
    <row r="811">
      <c r="A811" s="49"/>
      <c r="B811" s="49"/>
      <c r="C811" s="49"/>
      <c r="D811" s="49"/>
      <c r="E811" s="50"/>
      <c r="F811" s="50"/>
      <c r="G811" s="50"/>
      <c r="H811" s="50"/>
      <c r="I811" s="50"/>
      <c r="J811" s="50"/>
      <c r="K811" s="50"/>
      <c r="L811" s="50"/>
      <c r="M811" s="50"/>
      <c r="N811" s="50"/>
      <c r="O811" s="50"/>
      <c r="P811" s="50"/>
      <c r="Q811" s="50"/>
      <c r="R811" s="50"/>
      <c r="S811" s="50"/>
      <c r="T811" s="50"/>
      <c r="U811" s="50"/>
      <c r="V811" s="50"/>
      <c r="W811" s="50"/>
      <c r="X811" s="50"/>
      <c r="Y811" s="50"/>
      <c r="Z811" s="50"/>
      <c r="AA811" s="50"/>
      <c r="AB811" s="50"/>
      <c r="AC811" s="50"/>
      <c r="AD811" s="50"/>
    </row>
    <row r="812">
      <c r="A812" s="49"/>
      <c r="B812" s="49"/>
      <c r="C812" s="49"/>
      <c r="D812" s="49"/>
      <c r="E812" s="50"/>
      <c r="F812" s="50"/>
      <c r="G812" s="50"/>
      <c r="H812" s="50"/>
      <c r="I812" s="50"/>
      <c r="J812" s="50"/>
      <c r="K812" s="50"/>
      <c r="L812" s="50"/>
      <c r="M812" s="50"/>
      <c r="N812" s="50"/>
      <c r="O812" s="50"/>
      <c r="P812" s="50"/>
      <c r="Q812" s="50"/>
      <c r="R812" s="50"/>
      <c r="S812" s="50"/>
      <c r="T812" s="50"/>
      <c r="U812" s="50"/>
      <c r="V812" s="50"/>
      <c r="W812" s="50"/>
      <c r="X812" s="50"/>
      <c r="Y812" s="50"/>
      <c r="Z812" s="50"/>
      <c r="AA812" s="50"/>
      <c r="AB812" s="50"/>
      <c r="AC812" s="50"/>
      <c r="AD812" s="50"/>
    </row>
    <row r="813">
      <c r="A813" s="49"/>
      <c r="B813" s="49"/>
      <c r="C813" s="49"/>
      <c r="D813" s="49"/>
      <c r="E813" s="50"/>
      <c r="F813" s="50"/>
      <c r="G813" s="50"/>
      <c r="H813" s="50"/>
      <c r="I813" s="50"/>
      <c r="J813" s="50"/>
      <c r="K813" s="50"/>
      <c r="L813" s="50"/>
      <c r="M813" s="50"/>
      <c r="N813" s="50"/>
      <c r="O813" s="50"/>
      <c r="P813" s="50"/>
      <c r="Q813" s="50"/>
      <c r="R813" s="50"/>
      <c r="S813" s="50"/>
      <c r="T813" s="50"/>
      <c r="U813" s="50"/>
      <c r="V813" s="50"/>
      <c r="W813" s="50"/>
      <c r="X813" s="50"/>
      <c r="Y813" s="50"/>
      <c r="Z813" s="50"/>
      <c r="AA813" s="50"/>
      <c r="AB813" s="50"/>
      <c r="AC813" s="50"/>
      <c r="AD813" s="50"/>
    </row>
    <row r="814">
      <c r="A814" s="49"/>
      <c r="B814" s="49"/>
      <c r="C814" s="49"/>
      <c r="D814" s="49"/>
      <c r="E814" s="50"/>
      <c r="F814" s="50"/>
      <c r="G814" s="50"/>
      <c r="H814" s="50"/>
      <c r="I814" s="50"/>
      <c r="J814" s="50"/>
      <c r="K814" s="50"/>
      <c r="L814" s="50"/>
      <c r="M814" s="50"/>
      <c r="N814" s="50"/>
      <c r="O814" s="50"/>
      <c r="P814" s="50"/>
      <c r="Q814" s="50"/>
      <c r="R814" s="50"/>
      <c r="S814" s="50"/>
      <c r="T814" s="50"/>
      <c r="U814" s="50"/>
      <c r="V814" s="50"/>
      <c r="W814" s="50"/>
      <c r="X814" s="50"/>
      <c r="Y814" s="50"/>
      <c r="Z814" s="50"/>
      <c r="AA814" s="50"/>
      <c r="AB814" s="50"/>
      <c r="AC814" s="50"/>
      <c r="AD814" s="50"/>
    </row>
    <row r="815">
      <c r="A815" s="49"/>
      <c r="B815" s="49"/>
      <c r="C815" s="49"/>
      <c r="D815" s="49"/>
      <c r="E815" s="50"/>
      <c r="F815" s="50"/>
      <c r="G815" s="50"/>
      <c r="H815" s="50"/>
      <c r="I815" s="50"/>
      <c r="J815" s="50"/>
      <c r="K815" s="50"/>
      <c r="L815" s="50"/>
      <c r="M815" s="50"/>
      <c r="N815" s="50"/>
      <c r="O815" s="50"/>
      <c r="P815" s="50"/>
      <c r="Q815" s="50"/>
      <c r="R815" s="50"/>
      <c r="S815" s="50"/>
      <c r="T815" s="50"/>
      <c r="U815" s="50"/>
      <c r="V815" s="50"/>
      <c r="W815" s="50"/>
      <c r="X815" s="50"/>
      <c r="Y815" s="50"/>
      <c r="Z815" s="50"/>
      <c r="AA815" s="50"/>
      <c r="AB815" s="50"/>
      <c r="AC815" s="50"/>
      <c r="AD815" s="50"/>
    </row>
    <row r="816">
      <c r="A816" s="49"/>
      <c r="B816" s="49"/>
      <c r="C816" s="49"/>
      <c r="D816" s="49"/>
      <c r="E816" s="50"/>
      <c r="F816" s="50"/>
      <c r="G816" s="50"/>
      <c r="H816" s="50"/>
      <c r="I816" s="50"/>
      <c r="J816" s="50"/>
      <c r="K816" s="50"/>
      <c r="L816" s="50"/>
      <c r="M816" s="50"/>
      <c r="N816" s="50"/>
      <c r="O816" s="50"/>
      <c r="P816" s="50"/>
      <c r="Q816" s="50"/>
      <c r="R816" s="50"/>
      <c r="S816" s="50"/>
      <c r="T816" s="50"/>
      <c r="U816" s="50"/>
      <c r="V816" s="50"/>
      <c r="W816" s="50"/>
      <c r="X816" s="50"/>
      <c r="Y816" s="50"/>
      <c r="Z816" s="50"/>
      <c r="AA816" s="50"/>
      <c r="AB816" s="50"/>
      <c r="AC816" s="50"/>
      <c r="AD816" s="50"/>
    </row>
    <row r="817">
      <c r="A817" s="49"/>
      <c r="B817" s="49"/>
      <c r="C817" s="49"/>
      <c r="D817" s="49"/>
      <c r="E817" s="50"/>
      <c r="F817" s="50"/>
      <c r="G817" s="50"/>
      <c r="H817" s="50"/>
      <c r="I817" s="50"/>
      <c r="J817" s="50"/>
      <c r="K817" s="50"/>
      <c r="L817" s="50"/>
      <c r="M817" s="50"/>
      <c r="N817" s="50"/>
      <c r="O817" s="50"/>
      <c r="P817" s="50"/>
      <c r="Q817" s="50"/>
      <c r="R817" s="50"/>
      <c r="S817" s="50"/>
      <c r="T817" s="50"/>
      <c r="U817" s="50"/>
      <c r="V817" s="50"/>
      <c r="W817" s="50"/>
      <c r="X817" s="50"/>
      <c r="Y817" s="50"/>
      <c r="Z817" s="50"/>
      <c r="AA817" s="50"/>
      <c r="AB817" s="50"/>
      <c r="AC817" s="50"/>
      <c r="AD817" s="50"/>
    </row>
    <row r="818">
      <c r="A818" s="49"/>
      <c r="B818" s="49"/>
      <c r="C818" s="49"/>
      <c r="D818" s="49"/>
      <c r="E818" s="50"/>
      <c r="F818" s="50"/>
      <c r="G818" s="50"/>
      <c r="H818" s="50"/>
      <c r="I818" s="50"/>
      <c r="J818" s="50"/>
      <c r="K818" s="50"/>
      <c r="L818" s="50"/>
      <c r="M818" s="50"/>
      <c r="N818" s="50"/>
      <c r="O818" s="50"/>
      <c r="P818" s="50"/>
      <c r="Q818" s="50"/>
      <c r="R818" s="50"/>
      <c r="S818" s="50"/>
      <c r="T818" s="50"/>
      <c r="U818" s="50"/>
      <c r="V818" s="50"/>
      <c r="W818" s="50"/>
      <c r="X818" s="50"/>
      <c r="Y818" s="50"/>
      <c r="Z818" s="50"/>
      <c r="AA818" s="50"/>
      <c r="AB818" s="50"/>
      <c r="AC818" s="50"/>
      <c r="AD818" s="50"/>
    </row>
    <row r="819">
      <c r="A819" s="49"/>
      <c r="B819" s="49"/>
      <c r="C819" s="49"/>
      <c r="D819" s="49"/>
      <c r="E819" s="50"/>
      <c r="F819" s="50"/>
      <c r="G819" s="50"/>
      <c r="H819" s="50"/>
      <c r="I819" s="50"/>
      <c r="J819" s="50"/>
      <c r="K819" s="50"/>
      <c r="L819" s="50"/>
      <c r="M819" s="50"/>
      <c r="N819" s="50"/>
      <c r="O819" s="50"/>
      <c r="P819" s="50"/>
      <c r="Q819" s="50"/>
      <c r="R819" s="50"/>
      <c r="S819" s="50"/>
      <c r="T819" s="50"/>
      <c r="U819" s="50"/>
      <c r="V819" s="50"/>
      <c r="W819" s="50"/>
      <c r="X819" s="50"/>
      <c r="Y819" s="50"/>
      <c r="Z819" s="50"/>
      <c r="AA819" s="50"/>
      <c r="AB819" s="50"/>
      <c r="AC819" s="50"/>
      <c r="AD819" s="50"/>
    </row>
    <row r="820">
      <c r="A820" s="49"/>
      <c r="B820" s="49"/>
      <c r="C820" s="49"/>
      <c r="D820" s="49"/>
      <c r="E820" s="50"/>
      <c r="F820" s="50"/>
      <c r="G820" s="50"/>
      <c r="H820" s="50"/>
      <c r="I820" s="50"/>
      <c r="J820" s="50"/>
      <c r="K820" s="50"/>
      <c r="L820" s="50"/>
      <c r="M820" s="50"/>
      <c r="N820" s="50"/>
      <c r="O820" s="50"/>
      <c r="P820" s="50"/>
      <c r="Q820" s="50"/>
      <c r="R820" s="50"/>
      <c r="S820" s="50"/>
      <c r="T820" s="50"/>
      <c r="U820" s="50"/>
      <c r="V820" s="50"/>
      <c r="W820" s="50"/>
      <c r="X820" s="50"/>
      <c r="Y820" s="50"/>
      <c r="Z820" s="50"/>
      <c r="AA820" s="50"/>
      <c r="AB820" s="50"/>
      <c r="AC820" s="50"/>
      <c r="AD820" s="50"/>
    </row>
    <row r="821">
      <c r="A821" s="49"/>
      <c r="B821" s="49"/>
      <c r="C821" s="49"/>
      <c r="D821" s="49"/>
      <c r="E821" s="50"/>
      <c r="F821" s="50"/>
      <c r="G821" s="50"/>
      <c r="H821" s="50"/>
      <c r="I821" s="50"/>
      <c r="J821" s="50"/>
      <c r="K821" s="50"/>
      <c r="L821" s="50"/>
      <c r="M821" s="50"/>
      <c r="N821" s="50"/>
      <c r="O821" s="50"/>
      <c r="P821" s="50"/>
      <c r="Q821" s="50"/>
      <c r="R821" s="50"/>
      <c r="S821" s="50"/>
      <c r="T821" s="50"/>
      <c r="U821" s="50"/>
      <c r="V821" s="50"/>
      <c r="W821" s="50"/>
      <c r="X821" s="50"/>
      <c r="Y821" s="50"/>
      <c r="Z821" s="50"/>
      <c r="AA821" s="50"/>
      <c r="AB821" s="50"/>
      <c r="AC821" s="50"/>
      <c r="AD821" s="50"/>
    </row>
    <row r="822">
      <c r="A822" s="49"/>
      <c r="B822" s="49"/>
      <c r="C822" s="49"/>
      <c r="D822" s="49"/>
      <c r="E822" s="50"/>
      <c r="F822" s="50"/>
      <c r="G822" s="50"/>
      <c r="H822" s="50"/>
      <c r="I822" s="50"/>
      <c r="J822" s="50"/>
      <c r="K822" s="50"/>
      <c r="L822" s="50"/>
      <c r="M822" s="50"/>
      <c r="N822" s="50"/>
      <c r="O822" s="50"/>
      <c r="P822" s="50"/>
      <c r="Q822" s="50"/>
      <c r="R822" s="50"/>
      <c r="S822" s="50"/>
      <c r="T822" s="50"/>
      <c r="U822" s="50"/>
      <c r="V822" s="50"/>
      <c r="W822" s="50"/>
      <c r="X822" s="50"/>
      <c r="Y822" s="50"/>
      <c r="Z822" s="50"/>
      <c r="AA822" s="50"/>
      <c r="AB822" s="50"/>
      <c r="AC822" s="50"/>
      <c r="AD822" s="50"/>
    </row>
    <row r="823">
      <c r="A823" s="49"/>
      <c r="B823" s="49"/>
      <c r="C823" s="49"/>
      <c r="D823" s="49"/>
      <c r="E823" s="50"/>
      <c r="F823" s="50"/>
      <c r="G823" s="50"/>
      <c r="H823" s="50"/>
      <c r="I823" s="50"/>
      <c r="J823" s="50"/>
      <c r="K823" s="50"/>
      <c r="L823" s="50"/>
      <c r="M823" s="50"/>
      <c r="N823" s="50"/>
      <c r="O823" s="50"/>
      <c r="P823" s="50"/>
      <c r="Q823" s="50"/>
      <c r="R823" s="50"/>
      <c r="S823" s="50"/>
      <c r="T823" s="50"/>
      <c r="U823" s="50"/>
      <c r="V823" s="50"/>
      <c r="W823" s="50"/>
      <c r="X823" s="50"/>
      <c r="Y823" s="50"/>
      <c r="Z823" s="50"/>
      <c r="AA823" s="50"/>
      <c r="AB823" s="50"/>
      <c r="AC823" s="50"/>
      <c r="AD823" s="50"/>
    </row>
    <row r="824">
      <c r="A824" s="49"/>
      <c r="B824" s="49"/>
      <c r="C824" s="49"/>
      <c r="D824" s="49"/>
      <c r="E824" s="50"/>
      <c r="F824" s="50"/>
      <c r="G824" s="50"/>
      <c r="H824" s="50"/>
      <c r="I824" s="50"/>
      <c r="J824" s="50"/>
      <c r="K824" s="50"/>
      <c r="L824" s="50"/>
      <c r="M824" s="50"/>
      <c r="N824" s="50"/>
      <c r="O824" s="50"/>
      <c r="P824" s="50"/>
      <c r="Q824" s="50"/>
      <c r="R824" s="50"/>
      <c r="S824" s="50"/>
      <c r="T824" s="50"/>
      <c r="U824" s="50"/>
      <c r="V824" s="50"/>
      <c r="W824" s="50"/>
      <c r="X824" s="50"/>
      <c r="Y824" s="50"/>
      <c r="Z824" s="50"/>
      <c r="AA824" s="50"/>
      <c r="AB824" s="50"/>
      <c r="AC824" s="50"/>
      <c r="AD824" s="50"/>
    </row>
    <row r="825">
      <c r="A825" s="49"/>
      <c r="B825" s="49"/>
      <c r="C825" s="49"/>
      <c r="D825" s="49"/>
      <c r="E825" s="50"/>
      <c r="F825" s="50"/>
      <c r="G825" s="50"/>
      <c r="H825" s="50"/>
      <c r="I825" s="50"/>
      <c r="J825" s="50"/>
      <c r="K825" s="50"/>
      <c r="L825" s="50"/>
      <c r="M825" s="50"/>
      <c r="N825" s="50"/>
      <c r="O825" s="50"/>
      <c r="P825" s="50"/>
      <c r="Q825" s="50"/>
      <c r="R825" s="50"/>
      <c r="S825" s="50"/>
      <c r="T825" s="50"/>
      <c r="U825" s="50"/>
      <c r="V825" s="50"/>
      <c r="W825" s="50"/>
      <c r="X825" s="50"/>
      <c r="Y825" s="50"/>
      <c r="Z825" s="50"/>
      <c r="AA825" s="50"/>
      <c r="AB825" s="50"/>
      <c r="AC825" s="50"/>
      <c r="AD825" s="50"/>
    </row>
    <row r="826">
      <c r="A826" s="49"/>
      <c r="B826" s="49"/>
      <c r="C826" s="49"/>
      <c r="D826" s="49"/>
      <c r="E826" s="50"/>
      <c r="F826" s="50"/>
      <c r="G826" s="50"/>
      <c r="H826" s="50"/>
      <c r="I826" s="50"/>
      <c r="J826" s="50"/>
      <c r="K826" s="50"/>
      <c r="L826" s="50"/>
      <c r="M826" s="50"/>
      <c r="N826" s="50"/>
      <c r="O826" s="50"/>
      <c r="P826" s="50"/>
      <c r="Q826" s="50"/>
      <c r="R826" s="50"/>
      <c r="S826" s="50"/>
      <c r="T826" s="50"/>
      <c r="U826" s="50"/>
      <c r="V826" s="50"/>
      <c r="W826" s="50"/>
      <c r="X826" s="50"/>
      <c r="Y826" s="50"/>
      <c r="Z826" s="50"/>
      <c r="AA826" s="50"/>
      <c r="AB826" s="50"/>
      <c r="AC826" s="50"/>
      <c r="AD826" s="50"/>
    </row>
    <row r="827">
      <c r="A827" s="49"/>
      <c r="B827" s="49"/>
      <c r="C827" s="49"/>
      <c r="D827" s="49"/>
      <c r="E827" s="50"/>
      <c r="F827" s="50"/>
      <c r="G827" s="50"/>
      <c r="H827" s="50"/>
      <c r="I827" s="50"/>
      <c r="J827" s="50"/>
      <c r="K827" s="50"/>
      <c r="L827" s="50"/>
      <c r="M827" s="50"/>
      <c r="N827" s="50"/>
      <c r="O827" s="50"/>
      <c r="P827" s="50"/>
      <c r="Q827" s="50"/>
      <c r="R827" s="50"/>
      <c r="S827" s="50"/>
      <c r="T827" s="50"/>
      <c r="U827" s="50"/>
      <c r="V827" s="50"/>
      <c r="W827" s="50"/>
      <c r="X827" s="50"/>
      <c r="Y827" s="50"/>
      <c r="Z827" s="50"/>
      <c r="AA827" s="50"/>
      <c r="AB827" s="50"/>
      <c r="AC827" s="50"/>
      <c r="AD827" s="50"/>
    </row>
    <row r="828">
      <c r="A828" s="49"/>
      <c r="B828" s="49"/>
      <c r="C828" s="49"/>
      <c r="D828" s="49"/>
      <c r="E828" s="50"/>
      <c r="F828" s="50"/>
      <c r="G828" s="50"/>
      <c r="H828" s="50"/>
      <c r="I828" s="50"/>
      <c r="J828" s="50"/>
      <c r="K828" s="50"/>
      <c r="L828" s="50"/>
      <c r="M828" s="50"/>
      <c r="N828" s="50"/>
      <c r="O828" s="50"/>
      <c r="P828" s="50"/>
      <c r="Q828" s="50"/>
      <c r="R828" s="50"/>
      <c r="S828" s="50"/>
      <c r="T828" s="50"/>
      <c r="U828" s="50"/>
      <c r="V828" s="50"/>
      <c r="W828" s="50"/>
      <c r="X828" s="50"/>
      <c r="Y828" s="50"/>
      <c r="Z828" s="50"/>
      <c r="AA828" s="50"/>
      <c r="AB828" s="50"/>
      <c r="AC828" s="50"/>
      <c r="AD828" s="50"/>
    </row>
    <row r="829">
      <c r="A829" s="49"/>
      <c r="B829" s="49"/>
      <c r="C829" s="49"/>
      <c r="D829" s="49"/>
      <c r="E829" s="50"/>
      <c r="F829" s="50"/>
      <c r="G829" s="50"/>
      <c r="H829" s="50"/>
      <c r="I829" s="50"/>
      <c r="J829" s="50"/>
      <c r="K829" s="50"/>
      <c r="L829" s="50"/>
      <c r="M829" s="50"/>
      <c r="N829" s="50"/>
      <c r="O829" s="50"/>
      <c r="P829" s="50"/>
      <c r="Q829" s="50"/>
      <c r="R829" s="50"/>
      <c r="S829" s="50"/>
      <c r="T829" s="50"/>
      <c r="U829" s="50"/>
      <c r="V829" s="50"/>
      <c r="W829" s="50"/>
      <c r="X829" s="50"/>
      <c r="Y829" s="50"/>
      <c r="Z829" s="50"/>
      <c r="AA829" s="50"/>
      <c r="AB829" s="50"/>
      <c r="AC829" s="50"/>
      <c r="AD829" s="50"/>
    </row>
    <row r="830">
      <c r="A830" s="49"/>
      <c r="B830" s="49"/>
      <c r="C830" s="49"/>
      <c r="D830" s="49"/>
      <c r="E830" s="50"/>
      <c r="F830" s="50"/>
      <c r="G830" s="50"/>
      <c r="H830" s="50"/>
      <c r="I830" s="50"/>
      <c r="J830" s="50"/>
      <c r="K830" s="50"/>
      <c r="L830" s="50"/>
      <c r="M830" s="50"/>
      <c r="N830" s="50"/>
      <c r="O830" s="50"/>
      <c r="P830" s="50"/>
      <c r="Q830" s="50"/>
      <c r="R830" s="50"/>
      <c r="S830" s="50"/>
      <c r="T830" s="50"/>
      <c r="U830" s="50"/>
      <c r="V830" s="50"/>
      <c r="W830" s="50"/>
      <c r="X830" s="50"/>
      <c r="Y830" s="50"/>
      <c r="Z830" s="50"/>
      <c r="AA830" s="50"/>
      <c r="AB830" s="50"/>
      <c r="AC830" s="50"/>
      <c r="AD830" s="50"/>
    </row>
    <row r="831">
      <c r="A831" s="49"/>
      <c r="B831" s="49"/>
      <c r="C831" s="49"/>
      <c r="D831" s="49"/>
      <c r="E831" s="50"/>
      <c r="F831" s="50"/>
      <c r="G831" s="50"/>
      <c r="H831" s="50"/>
      <c r="I831" s="50"/>
      <c r="J831" s="50"/>
      <c r="K831" s="50"/>
      <c r="L831" s="50"/>
      <c r="M831" s="50"/>
      <c r="N831" s="50"/>
      <c r="O831" s="50"/>
      <c r="P831" s="50"/>
      <c r="Q831" s="50"/>
      <c r="R831" s="50"/>
      <c r="S831" s="50"/>
      <c r="T831" s="50"/>
      <c r="U831" s="50"/>
      <c r="V831" s="50"/>
      <c r="W831" s="50"/>
      <c r="X831" s="50"/>
      <c r="Y831" s="50"/>
      <c r="Z831" s="50"/>
      <c r="AA831" s="50"/>
      <c r="AB831" s="50"/>
      <c r="AC831" s="50"/>
      <c r="AD831" s="50"/>
    </row>
    <row r="832">
      <c r="A832" s="49"/>
      <c r="B832" s="49"/>
      <c r="C832" s="49"/>
      <c r="D832" s="49"/>
      <c r="E832" s="50"/>
      <c r="F832" s="50"/>
      <c r="G832" s="50"/>
      <c r="H832" s="50"/>
      <c r="I832" s="50"/>
      <c r="J832" s="50"/>
      <c r="K832" s="50"/>
      <c r="L832" s="50"/>
      <c r="M832" s="50"/>
      <c r="N832" s="50"/>
      <c r="O832" s="50"/>
      <c r="P832" s="50"/>
      <c r="Q832" s="50"/>
      <c r="R832" s="50"/>
      <c r="S832" s="50"/>
      <c r="T832" s="50"/>
      <c r="U832" s="50"/>
      <c r="V832" s="50"/>
      <c r="W832" s="50"/>
      <c r="X832" s="50"/>
      <c r="Y832" s="50"/>
      <c r="Z832" s="50"/>
      <c r="AA832" s="50"/>
      <c r="AB832" s="50"/>
      <c r="AC832" s="50"/>
      <c r="AD832" s="50"/>
    </row>
    <row r="833">
      <c r="A833" s="49"/>
      <c r="B833" s="49"/>
      <c r="C833" s="49"/>
      <c r="D833" s="49"/>
      <c r="E833" s="50"/>
      <c r="F833" s="50"/>
      <c r="G833" s="50"/>
      <c r="H833" s="50"/>
      <c r="I833" s="50"/>
      <c r="J833" s="50"/>
      <c r="K833" s="50"/>
      <c r="L833" s="50"/>
      <c r="M833" s="50"/>
      <c r="N833" s="50"/>
      <c r="O833" s="50"/>
      <c r="P833" s="50"/>
      <c r="Q833" s="50"/>
      <c r="R833" s="50"/>
      <c r="S833" s="50"/>
      <c r="T833" s="50"/>
      <c r="U833" s="50"/>
      <c r="V833" s="50"/>
      <c r="W833" s="50"/>
      <c r="X833" s="50"/>
      <c r="Y833" s="50"/>
      <c r="Z833" s="50"/>
      <c r="AA833" s="50"/>
      <c r="AB833" s="50"/>
      <c r="AC833" s="50"/>
      <c r="AD833" s="50"/>
    </row>
    <row r="834">
      <c r="A834" s="49"/>
      <c r="B834" s="49"/>
      <c r="C834" s="49"/>
      <c r="D834" s="49"/>
      <c r="E834" s="50"/>
      <c r="F834" s="50"/>
      <c r="G834" s="50"/>
      <c r="H834" s="50"/>
      <c r="I834" s="50"/>
      <c r="J834" s="50"/>
      <c r="K834" s="50"/>
      <c r="L834" s="50"/>
      <c r="M834" s="50"/>
      <c r="N834" s="50"/>
      <c r="O834" s="50"/>
      <c r="P834" s="50"/>
      <c r="Q834" s="50"/>
      <c r="R834" s="50"/>
      <c r="S834" s="50"/>
      <c r="T834" s="50"/>
      <c r="U834" s="50"/>
      <c r="V834" s="50"/>
      <c r="W834" s="50"/>
      <c r="X834" s="50"/>
      <c r="Y834" s="50"/>
      <c r="Z834" s="50"/>
      <c r="AA834" s="50"/>
      <c r="AB834" s="50"/>
      <c r="AC834" s="50"/>
      <c r="AD834" s="50"/>
    </row>
    <row r="835">
      <c r="A835" s="49"/>
      <c r="B835" s="49"/>
      <c r="C835" s="49"/>
      <c r="D835" s="49"/>
      <c r="E835" s="50"/>
      <c r="F835" s="50"/>
      <c r="G835" s="50"/>
      <c r="H835" s="50"/>
      <c r="I835" s="50"/>
      <c r="J835" s="50"/>
      <c r="K835" s="50"/>
      <c r="L835" s="50"/>
      <c r="M835" s="50"/>
      <c r="N835" s="50"/>
      <c r="O835" s="50"/>
      <c r="P835" s="50"/>
      <c r="Q835" s="50"/>
      <c r="R835" s="50"/>
      <c r="S835" s="50"/>
      <c r="T835" s="50"/>
      <c r="U835" s="50"/>
      <c r="V835" s="50"/>
      <c r="W835" s="50"/>
      <c r="X835" s="50"/>
      <c r="Y835" s="50"/>
      <c r="Z835" s="50"/>
      <c r="AA835" s="50"/>
      <c r="AB835" s="50"/>
      <c r="AC835" s="50"/>
      <c r="AD835" s="50"/>
    </row>
    <row r="836">
      <c r="A836" s="49"/>
      <c r="B836" s="49"/>
      <c r="C836" s="49"/>
      <c r="D836" s="49"/>
      <c r="E836" s="50"/>
      <c r="F836" s="50"/>
      <c r="G836" s="50"/>
      <c r="H836" s="50"/>
      <c r="I836" s="50"/>
      <c r="J836" s="50"/>
      <c r="K836" s="50"/>
      <c r="L836" s="50"/>
      <c r="M836" s="50"/>
      <c r="N836" s="50"/>
      <c r="O836" s="50"/>
      <c r="P836" s="50"/>
      <c r="Q836" s="50"/>
      <c r="R836" s="50"/>
      <c r="S836" s="50"/>
      <c r="T836" s="50"/>
      <c r="U836" s="50"/>
      <c r="V836" s="50"/>
      <c r="W836" s="50"/>
      <c r="X836" s="50"/>
      <c r="Y836" s="50"/>
      <c r="Z836" s="50"/>
      <c r="AA836" s="50"/>
      <c r="AB836" s="50"/>
      <c r="AC836" s="50"/>
      <c r="AD836" s="50"/>
    </row>
    <row r="837">
      <c r="A837" s="49"/>
      <c r="B837" s="49"/>
      <c r="C837" s="49"/>
      <c r="D837" s="49"/>
      <c r="E837" s="50"/>
      <c r="F837" s="50"/>
      <c r="G837" s="50"/>
      <c r="H837" s="50"/>
      <c r="I837" s="50"/>
      <c r="J837" s="50"/>
      <c r="K837" s="50"/>
      <c r="L837" s="50"/>
      <c r="M837" s="50"/>
      <c r="N837" s="50"/>
      <c r="O837" s="50"/>
      <c r="P837" s="50"/>
      <c r="Q837" s="50"/>
      <c r="R837" s="50"/>
      <c r="S837" s="50"/>
      <c r="T837" s="50"/>
      <c r="U837" s="50"/>
      <c r="V837" s="50"/>
      <c r="W837" s="50"/>
      <c r="X837" s="50"/>
      <c r="Y837" s="50"/>
      <c r="Z837" s="50"/>
      <c r="AA837" s="50"/>
      <c r="AB837" s="50"/>
      <c r="AC837" s="50"/>
      <c r="AD837" s="50"/>
    </row>
    <row r="838">
      <c r="A838" s="49"/>
      <c r="B838" s="49"/>
      <c r="C838" s="49"/>
      <c r="D838" s="49"/>
      <c r="E838" s="50"/>
      <c r="F838" s="50"/>
      <c r="G838" s="50"/>
      <c r="H838" s="50"/>
      <c r="I838" s="50"/>
      <c r="J838" s="50"/>
      <c r="K838" s="50"/>
      <c r="L838" s="50"/>
      <c r="M838" s="50"/>
      <c r="N838" s="50"/>
      <c r="O838" s="50"/>
      <c r="P838" s="50"/>
      <c r="Q838" s="50"/>
      <c r="R838" s="50"/>
      <c r="S838" s="50"/>
      <c r="T838" s="50"/>
      <c r="U838" s="50"/>
      <c r="V838" s="50"/>
      <c r="W838" s="50"/>
      <c r="X838" s="50"/>
      <c r="Y838" s="50"/>
      <c r="Z838" s="50"/>
      <c r="AA838" s="50"/>
      <c r="AB838" s="50"/>
      <c r="AC838" s="50"/>
      <c r="AD838" s="50"/>
    </row>
    <row r="839">
      <c r="A839" s="49"/>
      <c r="B839" s="49"/>
      <c r="C839" s="49"/>
      <c r="D839" s="49"/>
      <c r="E839" s="50"/>
      <c r="F839" s="50"/>
      <c r="G839" s="50"/>
      <c r="H839" s="50"/>
      <c r="I839" s="50"/>
      <c r="J839" s="50"/>
      <c r="K839" s="50"/>
      <c r="L839" s="50"/>
      <c r="M839" s="50"/>
      <c r="N839" s="50"/>
      <c r="O839" s="50"/>
      <c r="P839" s="50"/>
      <c r="Q839" s="50"/>
      <c r="R839" s="50"/>
      <c r="S839" s="50"/>
      <c r="T839" s="50"/>
      <c r="U839" s="50"/>
      <c r="V839" s="50"/>
      <c r="W839" s="50"/>
      <c r="X839" s="50"/>
      <c r="Y839" s="50"/>
      <c r="Z839" s="50"/>
      <c r="AA839" s="50"/>
      <c r="AB839" s="50"/>
      <c r="AC839" s="50"/>
      <c r="AD839" s="50"/>
    </row>
    <row r="840">
      <c r="A840" s="49"/>
      <c r="B840" s="49"/>
      <c r="C840" s="49"/>
      <c r="D840" s="49"/>
      <c r="E840" s="50"/>
      <c r="F840" s="50"/>
      <c r="G840" s="50"/>
      <c r="H840" s="50"/>
      <c r="I840" s="50"/>
      <c r="J840" s="50"/>
      <c r="K840" s="50"/>
      <c r="L840" s="50"/>
      <c r="M840" s="50"/>
      <c r="N840" s="50"/>
      <c r="O840" s="50"/>
      <c r="P840" s="50"/>
      <c r="Q840" s="50"/>
      <c r="R840" s="50"/>
      <c r="S840" s="50"/>
      <c r="T840" s="50"/>
      <c r="U840" s="50"/>
      <c r="V840" s="50"/>
      <c r="W840" s="50"/>
      <c r="X840" s="50"/>
      <c r="Y840" s="50"/>
      <c r="Z840" s="50"/>
      <c r="AA840" s="50"/>
      <c r="AB840" s="50"/>
      <c r="AC840" s="50"/>
      <c r="AD840" s="50"/>
    </row>
    <row r="841">
      <c r="A841" s="49"/>
      <c r="B841" s="49"/>
      <c r="C841" s="49"/>
      <c r="D841" s="49"/>
      <c r="E841" s="50"/>
      <c r="F841" s="50"/>
      <c r="G841" s="50"/>
      <c r="H841" s="50"/>
      <c r="I841" s="50"/>
      <c r="J841" s="50"/>
      <c r="K841" s="50"/>
      <c r="L841" s="50"/>
      <c r="M841" s="50"/>
      <c r="N841" s="50"/>
      <c r="O841" s="50"/>
      <c r="P841" s="50"/>
      <c r="Q841" s="50"/>
      <c r="R841" s="50"/>
      <c r="S841" s="50"/>
      <c r="T841" s="50"/>
      <c r="U841" s="50"/>
      <c r="V841" s="50"/>
      <c r="W841" s="50"/>
      <c r="X841" s="50"/>
      <c r="Y841" s="50"/>
      <c r="Z841" s="50"/>
      <c r="AA841" s="50"/>
      <c r="AB841" s="50"/>
      <c r="AC841" s="50"/>
      <c r="AD841" s="50"/>
    </row>
    <row r="842">
      <c r="A842" s="49"/>
      <c r="B842" s="49"/>
      <c r="C842" s="49"/>
      <c r="D842" s="49"/>
      <c r="E842" s="50"/>
      <c r="F842" s="50"/>
      <c r="G842" s="50"/>
      <c r="H842" s="50"/>
      <c r="I842" s="50"/>
      <c r="J842" s="50"/>
      <c r="K842" s="50"/>
      <c r="L842" s="50"/>
      <c r="M842" s="50"/>
      <c r="N842" s="50"/>
      <c r="O842" s="50"/>
      <c r="P842" s="50"/>
      <c r="Q842" s="50"/>
      <c r="R842" s="50"/>
      <c r="S842" s="50"/>
      <c r="T842" s="50"/>
      <c r="U842" s="50"/>
      <c r="V842" s="50"/>
      <c r="W842" s="50"/>
      <c r="X842" s="50"/>
      <c r="Y842" s="50"/>
      <c r="Z842" s="50"/>
      <c r="AA842" s="50"/>
      <c r="AB842" s="50"/>
      <c r="AC842" s="50"/>
      <c r="AD842" s="50"/>
    </row>
    <row r="843">
      <c r="A843" s="49"/>
      <c r="B843" s="49"/>
      <c r="C843" s="49"/>
      <c r="D843" s="49"/>
      <c r="E843" s="50"/>
      <c r="F843" s="50"/>
      <c r="G843" s="50"/>
      <c r="H843" s="50"/>
      <c r="I843" s="50"/>
      <c r="J843" s="50"/>
      <c r="K843" s="50"/>
      <c r="L843" s="50"/>
      <c r="M843" s="50"/>
      <c r="N843" s="50"/>
      <c r="O843" s="50"/>
      <c r="P843" s="50"/>
      <c r="Q843" s="50"/>
      <c r="R843" s="50"/>
      <c r="S843" s="50"/>
      <c r="T843" s="50"/>
      <c r="U843" s="50"/>
      <c r="V843" s="50"/>
      <c r="W843" s="50"/>
      <c r="X843" s="50"/>
      <c r="Y843" s="50"/>
      <c r="Z843" s="50"/>
      <c r="AA843" s="50"/>
      <c r="AB843" s="50"/>
      <c r="AC843" s="50"/>
      <c r="AD843" s="50"/>
    </row>
    <row r="844">
      <c r="A844" s="49"/>
      <c r="B844" s="49"/>
      <c r="C844" s="49"/>
      <c r="D844" s="49"/>
      <c r="E844" s="50"/>
      <c r="F844" s="50"/>
      <c r="G844" s="50"/>
      <c r="H844" s="50"/>
      <c r="I844" s="50"/>
      <c r="J844" s="50"/>
      <c r="K844" s="50"/>
      <c r="L844" s="50"/>
      <c r="M844" s="50"/>
      <c r="N844" s="50"/>
      <c r="O844" s="50"/>
      <c r="P844" s="50"/>
      <c r="Q844" s="50"/>
      <c r="R844" s="50"/>
      <c r="S844" s="50"/>
      <c r="T844" s="50"/>
      <c r="U844" s="50"/>
      <c r="V844" s="50"/>
      <c r="W844" s="50"/>
      <c r="X844" s="50"/>
      <c r="Y844" s="50"/>
      <c r="Z844" s="50"/>
      <c r="AA844" s="50"/>
      <c r="AB844" s="50"/>
      <c r="AC844" s="50"/>
      <c r="AD844" s="50"/>
    </row>
    <row r="845">
      <c r="A845" s="49"/>
      <c r="B845" s="49"/>
      <c r="C845" s="49"/>
      <c r="D845" s="49"/>
      <c r="E845" s="50"/>
      <c r="F845" s="50"/>
      <c r="G845" s="50"/>
      <c r="H845" s="50"/>
      <c r="I845" s="50"/>
      <c r="J845" s="50"/>
      <c r="K845" s="50"/>
      <c r="L845" s="50"/>
      <c r="M845" s="50"/>
      <c r="N845" s="50"/>
      <c r="O845" s="50"/>
      <c r="P845" s="50"/>
      <c r="Q845" s="50"/>
      <c r="R845" s="50"/>
      <c r="S845" s="50"/>
      <c r="T845" s="50"/>
      <c r="U845" s="50"/>
      <c r="V845" s="50"/>
      <c r="W845" s="50"/>
      <c r="X845" s="50"/>
      <c r="Y845" s="50"/>
      <c r="Z845" s="50"/>
      <c r="AA845" s="50"/>
      <c r="AB845" s="50"/>
      <c r="AC845" s="50"/>
      <c r="AD845" s="50"/>
    </row>
    <row r="846">
      <c r="A846" s="49"/>
      <c r="B846" s="49"/>
      <c r="C846" s="49"/>
      <c r="D846" s="49"/>
      <c r="E846" s="50"/>
      <c r="F846" s="50"/>
      <c r="G846" s="50"/>
      <c r="H846" s="50"/>
      <c r="I846" s="50"/>
      <c r="J846" s="50"/>
      <c r="K846" s="50"/>
      <c r="L846" s="50"/>
      <c r="M846" s="50"/>
      <c r="N846" s="50"/>
      <c r="O846" s="50"/>
      <c r="P846" s="50"/>
      <c r="Q846" s="50"/>
      <c r="R846" s="50"/>
      <c r="S846" s="50"/>
      <c r="T846" s="50"/>
      <c r="U846" s="50"/>
      <c r="V846" s="50"/>
      <c r="W846" s="50"/>
      <c r="X846" s="50"/>
      <c r="Y846" s="50"/>
      <c r="Z846" s="50"/>
      <c r="AA846" s="50"/>
      <c r="AB846" s="50"/>
      <c r="AC846" s="50"/>
      <c r="AD846" s="50"/>
    </row>
    <row r="847">
      <c r="A847" s="49"/>
      <c r="B847" s="49"/>
      <c r="C847" s="49"/>
      <c r="D847" s="49"/>
      <c r="E847" s="50"/>
      <c r="F847" s="50"/>
      <c r="G847" s="50"/>
      <c r="H847" s="50"/>
      <c r="I847" s="50"/>
      <c r="J847" s="50"/>
      <c r="K847" s="50"/>
      <c r="L847" s="50"/>
      <c r="M847" s="50"/>
      <c r="N847" s="50"/>
      <c r="O847" s="50"/>
      <c r="P847" s="50"/>
      <c r="Q847" s="50"/>
      <c r="R847" s="50"/>
      <c r="S847" s="50"/>
      <c r="T847" s="50"/>
      <c r="U847" s="50"/>
      <c r="V847" s="50"/>
      <c r="W847" s="50"/>
      <c r="X847" s="50"/>
      <c r="Y847" s="50"/>
      <c r="Z847" s="50"/>
      <c r="AA847" s="50"/>
      <c r="AB847" s="50"/>
      <c r="AC847" s="50"/>
      <c r="AD847" s="50"/>
    </row>
    <row r="848">
      <c r="A848" s="49"/>
      <c r="B848" s="49"/>
      <c r="C848" s="49"/>
      <c r="D848" s="49"/>
      <c r="E848" s="50"/>
      <c r="F848" s="50"/>
      <c r="G848" s="50"/>
      <c r="H848" s="50"/>
      <c r="I848" s="50"/>
      <c r="J848" s="50"/>
      <c r="K848" s="50"/>
      <c r="L848" s="50"/>
      <c r="M848" s="50"/>
      <c r="N848" s="50"/>
      <c r="O848" s="50"/>
      <c r="P848" s="50"/>
      <c r="Q848" s="50"/>
      <c r="R848" s="50"/>
      <c r="S848" s="50"/>
      <c r="T848" s="50"/>
      <c r="U848" s="50"/>
      <c r="V848" s="50"/>
      <c r="W848" s="50"/>
      <c r="X848" s="50"/>
      <c r="Y848" s="50"/>
      <c r="Z848" s="50"/>
      <c r="AA848" s="50"/>
      <c r="AB848" s="50"/>
      <c r="AC848" s="50"/>
      <c r="AD848" s="50"/>
    </row>
    <row r="849">
      <c r="A849" s="49"/>
      <c r="B849" s="49"/>
      <c r="C849" s="49"/>
      <c r="D849" s="49"/>
      <c r="E849" s="50"/>
      <c r="F849" s="50"/>
      <c r="G849" s="50"/>
      <c r="H849" s="50"/>
      <c r="I849" s="50"/>
      <c r="J849" s="50"/>
      <c r="K849" s="50"/>
      <c r="L849" s="50"/>
      <c r="M849" s="50"/>
      <c r="N849" s="50"/>
      <c r="O849" s="50"/>
      <c r="P849" s="50"/>
      <c r="Q849" s="50"/>
      <c r="R849" s="50"/>
      <c r="S849" s="50"/>
      <c r="T849" s="50"/>
      <c r="U849" s="50"/>
      <c r="V849" s="50"/>
      <c r="W849" s="50"/>
      <c r="X849" s="50"/>
      <c r="Y849" s="50"/>
      <c r="Z849" s="50"/>
      <c r="AA849" s="50"/>
      <c r="AB849" s="50"/>
      <c r="AC849" s="50"/>
      <c r="AD849" s="50"/>
    </row>
    <row r="850">
      <c r="A850" s="49"/>
      <c r="B850" s="49"/>
      <c r="C850" s="49"/>
      <c r="D850" s="49"/>
      <c r="E850" s="50"/>
      <c r="F850" s="50"/>
      <c r="G850" s="50"/>
      <c r="H850" s="50"/>
      <c r="I850" s="50"/>
      <c r="J850" s="50"/>
      <c r="K850" s="50"/>
      <c r="L850" s="50"/>
      <c r="M850" s="50"/>
      <c r="N850" s="50"/>
      <c r="O850" s="50"/>
      <c r="P850" s="50"/>
      <c r="Q850" s="50"/>
      <c r="R850" s="50"/>
      <c r="S850" s="50"/>
      <c r="T850" s="50"/>
      <c r="U850" s="50"/>
      <c r="V850" s="50"/>
      <c r="W850" s="50"/>
      <c r="X850" s="50"/>
      <c r="Y850" s="50"/>
      <c r="Z850" s="50"/>
      <c r="AA850" s="50"/>
      <c r="AB850" s="50"/>
      <c r="AC850" s="50"/>
      <c r="AD850" s="50"/>
    </row>
    <row r="851">
      <c r="A851" s="49"/>
      <c r="B851" s="49"/>
      <c r="C851" s="49"/>
      <c r="D851" s="49"/>
      <c r="E851" s="50"/>
      <c r="F851" s="50"/>
      <c r="G851" s="50"/>
      <c r="H851" s="50"/>
      <c r="I851" s="50"/>
      <c r="J851" s="50"/>
      <c r="K851" s="50"/>
      <c r="L851" s="50"/>
      <c r="M851" s="50"/>
      <c r="N851" s="50"/>
      <c r="O851" s="50"/>
      <c r="P851" s="50"/>
      <c r="Q851" s="50"/>
      <c r="R851" s="50"/>
      <c r="S851" s="50"/>
      <c r="T851" s="50"/>
      <c r="U851" s="50"/>
      <c r="V851" s="50"/>
      <c r="W851" s="50"/>
      <c r="X851" s="50"/>
      <c r="Y851" s="50"/>
      <c r="Z851" s="50"/>
      <c r="AA851" s="50"/>
      <c r="AB851" s="50"/>
      <c r="AC851" s="50"/>
      <c r="AD851" s="50"/>
    </row>
    <row r="852">
      <c r="A852" s="49"/>
      <c r="B852" s="49"/>
      <c r="C852" s="49"/>
      <c r="D852" s="49"/>
      <c r="E852" s="50"/>
      <c r="F852" s="50"/>
      <c r="G852" s="50"/>
      <c r="H852" s="50"/>
      <c r="I852" s="50"/>
      <c r="J852" s="50"/>
      <c r="K852" s="50"/>
      <c r="L852" s="50"/>
      <c r="M852" s="50"/>
      <c r="N852" s="50"/>
      <c r="O852" s="50"/>
      <c r="P852" s="50"/>
      <c r="Q852" s="50"/>
      <c r="R852" s="50"/>
      <c r="S852" s="50"/>
      <c r="T852" s="50"/>
      <c r="U852" s="50"/>
      <c r="V852" s="50"/>
      <c r="W852" s="50"/>
      <c r="X852" s="50"/>
      <c r="Y852" s="50"/>
      <c r="Z852" s="50"/>
      <c r="AA852" s="50"/>
      <c r="AB852" s="50"/>
      <c r="AC852" s="50"/>
      <c r="AD852" s="50"/>
    </row>
    <row r="853">
      <c r="A853" s="49"/>
      <c r="B853" s="49"/>
      <c r="C853" s="49"/>
      <c r="D853" s="49"/>
      <c r="E853" s="50"/>
      <c r="F853" s="50"/>
      <c r="G853" s="50"/>
      <c r="H853" s="50"/>
      <c r="I853" s="50"/>
      <c r="J853" s="50"/>
      <c r="K853" s="50"/>
      <c r="L853" s="50"/>
      <c r="M853" s="50"/>
      <c r="N853" s="50"/>
      <c r="O853" s="50"/>
      <c r="P853" s="50"/>
      <c r="Q853" s="50"/>
      <c r="R853" s="50"/>
      <c r="S853" s="50"/>
      <c r="T853" s="50"/>
      <c r="U853" s="50"/>
      <c r="V853" s="50"/>
      <c r="W853" s="50"/>
      <c r="X853" s="50"/>
      <c r="Y853" s="50"/>
      <c r="Z853" s="50"/>
      <c r="AA853" s="50"/>
      <c r="AB853" s="50"/>
      <c r="AC853" s="50"/>
      <c r="AD853" s="50"/>
    </row>
    <row r="854">
      <c r="A854" s="49"/>
      <c r="B854" s="49"/>
      <c r="C854" s="49"/>
      <c r="D854" s="49"/>
      <c r="E854" s="50"/>
      <c r="F854" s="50"/>
      <c r="G854" s="50"/>
      <c r="H854" s="50"/>
      <c r="I854" s="50"/>
      <c r="J854" s="50"/>
      <c r="K854" s="50"/>
      <c r="L854" s="50"/>
      <c r="M854" s="50"/>
      <c r="N854" s="50"/>
      <c r="O854" s="50"/>
      <c r="P854" s="50"/>
      <c r="Q854" s="50"/>
      <c r="R854" s="50"/>
      <c r="S854" s="50"/>
      <c r="T854" s="50"/>
      <c r="U854" s="50"/>
      <c r="V854" s="50"/>
      <c r="W854" s="50"/>
      <c r="X854" s="50"/>
      <c r="Y854" s="50"/>
      <c r="Z854" s="50"/>
      <c r="AA854" s="50"/>
      <c r="AB854" s="50"/>
      <c r="AC854" s="50"/>
      <c r="AD854" s="50"/>
    </row>
    <row r="855">
      <c r="A855" s="49"/>
      <c r="B855" s="49"/>
      <c r="C855" s="49"/>
      <c r="D855" s="49"/>
      <c r="E855" s="50"/>
      <c r="F855" s="50"/>
      <c r="G855" s="50"/>
      <c r="H855" s="50"/>
      <c r="I855" s="50"/>
      <c r="J855" s="50"/>
      <c r="K855" s="50"/>
      <c r="L855" s="50"/>
      <c r="M855" s="50"/>
      <c r="N855" s="50"/>
      <c r="O855" s="50"/>
      <c r="P855" s="50"/>
      <c r="Q855" s="50"/>
      <c r="R855" s="50"/>
      <c r="S855" s="50"/>
      <c r="T855" s="50"/>
      <c r="U855" s="50"/>
      <c r="V855" s="50"/>
      <c r="W855" s="50"/>
      <c r="X855" s="50"/>
      <c r="Y855" s="50"/>
      <c r="Z855" s="50"/>
      <c r="AA855" s="50"/>
      <c r="AB855" s="50"/>
      <c r="AC855" s="50"/>
      <c r="AD855" s="50"/>
    </row>
    <row r="856">
      <c r="A856" s="49"/>
      <c r="B856" s="49"/>
      <c r="C856" s="49"/>
      <c r="D856" s="49"/>
      <c r="E856" s="50"/>
      <c r="F856" s="50"/>
      <c r="G856" s="50"/>
      <c r="H856" s="50"/>
      <c r="I856" s="50"/>
      <c r="J856" s="50"/>
      <c r="K856" s="50"/>
      <c r="L856" s="50"/>
      <c r="M856" s="50"/>
      <c r="N856" s="50"/>
      <c r="O856" s="50"/>
      <c r="P856" s="50"/>
      <c r="Q856" s="50"/>
      <c r="R856" s="50"/>
      <c r="S856" s="50"/>
      <c r="T856" s="50"/>
      <c r="U856" s="50"/>
      <c r="V856" s="50"/>
      <c r="W856" s="50"/>
      <c r="X856" s="50"/>
      <c r="Y856" s="50"/>
      <c r="Z856" s="50"/>
      <c r="AA856" s="50"/>
      <c r="AB856" s="50"/>
      <c r="AC856" s="50"/>
      <c r="AD856" s="50"/>
    </row>
    <row r="857">
      <c r="A857" s="49"/>
      <c r="B857" s="49"/>
      <c r="C857" s="49"/>
      <c r="D857" s="49"/>
      <c r="E857" s="50"/>
      <c r="F857" s="50"/>
      <c r="G857" s="50"/>
      <c r="H857" s="50"/>
      <c r="I857" s="50"/>
      <c r="J857" s="50"/>
      <c r="K857" s="50"/>
      <c r="L857" s="50"/>
      <c r="M857" s="50"/>
      <c r="N857" s="50"/>
      <c r="O857" s="50"/>
      <c r="P857" s="50"/>
      <c r="Q857" s="50"/>
      <c r="R857" s="50"/>
      <c r="S857" s="50"/>
      <c r="T857" s="50"/>
      <c r="U857" s="50"/>
      <c r="V857" s="50"/>
      <c r="W857" s="50"/>
      <c r="X857" s="50"/>
      <c r="Y857" s="50"/>
      <c r="Z857" s="50"/>
      <c r="AA857" s="50"/>
      <c r="AB857" s="50"/>
      <c r="AC857" s="50"/>
      <c r="AD857" s="50"/>
    </row>
    <row r="858">
      <c r="A858" s="49"/>
      <c r="B858" s="49"/>
      <c r="C858" s="49"/>
      <c r="D858" s="49"/>
      <c r="E858" s="50"/>
      <c r="F858" s="50"/>
      <c r="G858" s="50"/>
      <c r="H858" s="50"/>
      <c r="I858" s="50"/>
      <c r="J858" s="50"/>
      <c r="K858" s="50"/>
      <c r="L858" s="50"/>
      <c r="M858" s="50"/>
      <c r="N858" s="50"/>
      <c r="O858" s="50"/>
      <c r="P858" s="50"/>
      <c r="Q858" s="50"/>
      <c r="R858" s="50"/>
      <c r="S858" s="50"/>
      <c r="T858" s="50"/>
      <c r="U858" s="50"/>
      <c r="V858" s="50"/>
      <c r="W858" s="50"/>
      <c r="X858" s="50"/>
      <c r="Y858" s="50"/>
      <c r="Z858" s="50"/>
      <c r="AA858" s="50"/>
      <c r="AB858" s="50"/>
      <c r="AC858" s="50"/>
      <c r="AD858" s="50"/>
    </row>
    <row r="859">
      <c r="A859" s="49"/>
      <c r="B859" s="49"/>
      <c r="C859" s="49"/>
      <c r="D859" s="49"/>
      <c r="E859" s="50"/>
      <c r="F859" s="50"/>
      <c r="G859" s="50"/>
      <c r="H859" s="50"/>
      <c r="I859" s="50"/>
      <c r="J859" s="50"/>
      <c r="K859" s="50"/>
      <c r="L859" s="50"/>
      <c r="M859" s="50"/>
      <c r="N859" s="50"/>
      <c r="O859" s="50"/>
      <c r="P859" s="50"/>
      <c r="Q859" s="50"/>
      <c r="R859" s="50"/>
      <c r="S859" s="50"/>
      <c r="T859" s="50"/>
      <c r="U859" s="50"/>
      <c r="V859" s="50"/>
      <c r="W859" s="50"/>
      <c r="X859" s="50"/>
      <c r="Y859" s="50"/>
      <c r="Z859" s="50"/>
      <c r="AA859" s="50"/>
      <c r="AB859" s="50"/>
      <c r="AC859" s="50"/>
      <c r="AD859" s="50"/>
    </row>
    <row r="860">
      <c r="A860" s="49"/>
      <c r="B860" s="49"/>
      <c r="C860" s="49"/>
      <c r="D860" s="49"/>
      <c r="E860" s="50"/>
      <c r="F860" s="50"/>
      <c r="G860" s="50"/>
      <c r="H860" s="50"/>
      <c r="I860" s="50"/>
      <c r="J860" s="50"/>
      <c r="K860" s="50"/>
      <c r="L860" s="50"/>
      <c r="M860" s="50"/>
      <c r="N860" s="50"/>
      <c r="O860" s="50"/>
      <c r="P860" s="50"/>
      <c r="Q860" s="50"/>
      <c r="R860" s="50"/>
      <c r="S860" s="50"/>
      <c r="T860" s="50"/>
      <c r="U860" s="50"/>
      <c r="V860" s="50"/>
      <c r="W860" s="50"/>
      <c r="X860" s="50"/>
      <c r="Y860" s="50"/>
      <c r="Z860" s="50"/>
      <c r="AA860" s="50"/>
      <c r="AB860" s="50"/>
      <c r="AC860" s="50"/>
      <c r="AD860" s="50"/>
    </row>
    <row r="861">
      <c r="A861" s="49"/>
      <c r="B861" s="49"/>
      <c r="C861" s="49"/>
      <c r="D861" s="49"/>
      <c r="E861" s="50"/>
      <c r="F861" s="50"/>
      <c r="G861" s="50"/>
      <c r="H861" s="50"/>
      <c r="I861" s="50"/>
      <c r="J861" s="50"/>
      <c r="K861" s="50"/>
      <c r="L861" s="50"/>
      <c r="M861" s="50"/>
      <c r="N861" s="50"/>
      <c r="O861" s="50"/>
      <c r="P861" s="50"/>
      <c r="Q861" s="50"/>
      <c r="R861" s="50"/>
      <c r="S861" s="50"/>
      <c r="T861" s="50"/>
      <c r="U861" s="50"/>
      <c r="V861" s="50"/>
      <c r="W861" s="50"/>
      <c r="X861" s="50"/>
      <c r="Y861" s="50"/>
      <c r="Z861" s="50"/>
      <c r="AA861" s="50"/>
      <c r="AB861" s="50"/>
      <c r="AC861" s="50"/>
      <c r="AD861" s="50"/>
    </row>
    <row r="862">
      <c r="A862" s="49"/>
      <c r="B862" s="49"/>
      <c r="C862" s="49"/>
      <c r="D862" s="49"/>
      <c r="E862" s="50"/>
      <c r="F862" s="50"/>
      <c r="G862" s="50"/>
      <c r="H862" s="50"/>
      <c r="I862" s="50"/>
      <c r="J862" s="50"/>
      <c r="K862" s="50"/>
      <c r="L862" s="50"/>
      <c r="M862" s="50"/>
      <c r="N862" s="50"/>
      <c r="O862" s="50"/>
      <c r="P862" s="50"/>
      <c r="Q862" s="50"/>
      <c r="R862" s="50"/>
      <c r="S862" s="50"/>
      <c r="T862" s="50"/>
      <c r="U862" s="50"/>
      <c r="V862" s="50"/>
      <c r="W862" s="50"/>
      <c r="X862" s="50"/>
      <c r="Y862" s="50"/>
      <c r="Z862" s="50"/>
      <c r="AA862" s="50"/>
      <c r="AB862" s="50"/>
      <c r="AC862" s="50"/>
      <c r="AD862" s="50"/>
    </row>
    <row r="863">
      <c r="A863" s="49"/>
      <c r="B863" s="49"/>
      <c r="C863" s="49"/>
      <c r="D863" s="49"/>
      <c r="E863" s="50"/>
      <c r="F863" s="50"/>
      <c r="G863" s="50"/>
      <c r="H863" s="50"/>
      <c r="I863" s="50"/>
      <c r="J863" s="50"/>
      <c r="K863" s="50"/>
      <c r="L863" s="50"/>
      <c r="M863" s="50"/>
      <c r="N863" s="50"/>
      <c r="O863" s="50"/>
      <c r="P863" s="50"/>
      <c r="Q863" s="50"/>
      <c r="R863" s="50"/>
      <c r="S863" s="50"/>
      <c r="T863" s="50"/>
      <c r="U863" s="50"/>
      <c r="V863" s="50"/>
      <c r="W863" s="50"/>
      <c r="X863" s="50"/>
      <c r="Y863" s="50"/>
      <c r="Z863" s="50"/>
      <c r="AA863" s="50"/>
      <c r="AB863" s="50"/>
      <c r="AC863" s="50"/>
      <c r="AD863" s="50"/>
    </row>
    <row r="864">
      <c r="A864" s="49"/>
      <c r="B864" s="49"/>
      <c r="C864" s="49"/>
      <c r="D864" s="49"/>
      <c r="E864" s="50"/>
      <c r="F864" s="50"/>
      <c r="G864" s="50"/>
      <c r="H864" s="50"/>
      <c r="I864" s="50"/>
      <c r="J864" s="50"/>
      <c r="K864" s="50"/>
      <c r="L864" s="50"/>
      <c r="M864" s="50"/>
      <c r="N864" s="50"/>
      <c r="O864" s="50"/>
      <c r="P864" s="50"/>
      <c r="Q864" s="50"/>
      <c r="R864" s="50"/>
      <c r="S864" s="50"/>
      <c r="T864" s="50"/>
      <c r="U864" s="50"/>
      <c r="V864" s="50"/>
      <c r="W864" s="50"/>
      <c r="X864" s="50"/>
      <c r="Y864" s="50"/>
      <c r="Z864" s="50"/>
      <c r="AA864" s="50"/>
      <c r="AB864" s="50"/>
      <c r="AC864" s="50"/>
      <c r="AD864" s="50"/>
    </row>
    <row r="865">
      <c r="A865" s="49"/>
      <c r="B865" s="49"/>
      <c r="C865" s="49"/>
      <c r="D865" s="49"/>
      <c r="E865" s="50"/>
      <c r="F865" s="50"/>
      <c r="G865" s="50"/>
      <c r="H865" s="50"/>
      <c r="I865" s="50"/>
      <c r="J865" s="50"/>
      <c r="K865" s="50"/>
      <c r="L865" s="50"/>
      <c r="M865" s="50"/>
      <c r="N865" s="50"/>
      <c r="O865" s="50"/>
      <c r="P865" s="50"/>
      <c r="Q865" s="50"/>
      <c r="R865" s="50"/>
      <c r="S865" s="50"/>
      <c r="T865" s="50"/>
      <c r="U865" s="50"/>
      <c r="V865" s="50"/>
      <c r="W865" s="50"/>
      <c r="X865" s="50"/>
      <c r="Y865" s="50"/>
      <c r="Z865" s="50"/>
      <c r="AA865" s="50"/>
      <c r="AB865" s="50"/>
      <c r="AC865" s="50"/>
      <c r="AD865" s="50"/>
    </row>
    <row r="866">
      <c r="A866" s="49"/>
      <c r="B866" s="49"/>
      <c r="C866" s="49"/>
      <c r="D866" s="49"/>
      <c r="E866" s="50"/>
      <c r="F866" s="50"/>
      <c r="G866" s="50"/>
      <c r="H866" s="50"/>
      <c r="I866" s="50"/>
      <c r="J866" s="50"/>
      <c r="K866" s="50"/>
      <c r="L866" s="50"/>
      <c r="M866" s="50"/>
      <c r="N866" s="50"/>
      <c r="O866" s="50"/>
      <c r="P866" s="50"/>
      <c r="Q866" s="50"/>
      <c r="R866" s="50"/>
      <c r="S866" s="50"/>
      <c r="T866" s="50"/>
      <c r="U866" s="50"/>
      <c r="V866" s="50"/>
      <c r="W866" s="50"/>
      <c r="X866" s="50"/>
      <c r="Y866" s="50"/>
      <c r="Z866" s="50"/>
      <c r="AA866" s="50"/>
      <c r="AB866" s="50"/>
      <c r="AC866" s="50"/>
      <c r="AD866" s="50"/>
    </row>
    <row r="867">
      <c r="A867" s="49"/>
      <c r="B867" s="49"/>
      <c r="C867" s="49"/>
      <c r="D867" s="49"/>
      <c r="E867" s="50"/>
      <c r="F867" s="50"/>
      <c r="G867" s="50"/>
      <c r="H867" s="50"/>
      <c r="I867" s="50"/>
      <c r="J867" s="50"/>
      <c r="K867" s="50"/>
      <c r="L867" s="50"/>
      <c r="M867" s="50"/>
      <c r="N867" s="50"/>
      <c r="O867" s="50"/>
      <c r="P867" s="50"/>
      <c r="Q867" s="50"/>
      <c r="R867" s="50"/>
      <c r="S867" s="50"/>
      <c r="T867" s="50"/>
      <c r="U867" s="50"/>
      <c r="V867" s="50"/>
      <c r="W867" s="50"/>
      <c r="X867" s="50"/>
      <c r="Y867" s="50"/>
      <c r="Z867" s="50"/>
      <c r="AA867" s="50"/>
      <c r="AB867" s="50"/>
      <c r="AC867" s="50"/>
      <c r="AD867" s="50"/>
    </row>
    <row r="868">
      <c r="A868" s="49"/>
      <c r="B868" s="49"/>
      <c r="C868" s="49"/>
      <c r="D868" s="49"/>
      <c r="E868" s="50"/>
      <c r="F868" s="50"/>
      <c r="G868" s="50"/>
      <c r="H868" s="50"/>
      <c r="I868" s="50"/>
      <c r="J868" s="50"/>
      <c r="K868" s="50"/>
      <c r="L868" s="50"/>
      <c r="M868" s="50"/>
      <c r="N868" s="50"/>
      <c r="O868" s="50"/>
      <c r="P868" s="50"/>
      <c r="Q868" s="50"/>
      <c r="R868" s="50"/>
      <c r="S868" s="50"/>
      <c r="T868" s="50"/>
      <c r="U868" s="50"/>
      <c r="V868" s="50"/>
      <c r="W868" s="50"/>
      <c r="X868" s="50"/>
      <c r="Y868" s="50"/>
      <c r="Z868" s="50"/>
      <c r="AA868" s="50"/>
      <c r="AB868" s="50"/>
      <c r="AC868" s="50"/>
      <c r="AD868" s="50"/>
    </row>
    <row r="869">
      <c r="A869" s="49"/>
      <c r="B869" s="49"/>
      <c r="C869" s="49"/>
      <c r="D869" s="49"/>
      <c r="E869" s="50"/>
      <c r="F869" s="50"/>
      <c r="G869" s="50"/>
      <c r="H869" s="50"/>
      <c r="I869" s="50"/>
      <c r="J869" s="50"/>
      <c r="K869" s="50"/>
      <c r="L869" s="50"/>
      <c r="M869" s="50"/>
      <c r="N869" s="50"/>
      <c r="O869" s="50"/>
      <c r="P869" s="50"/>
      <c r="Q869" s="50"/>
      <c r="R869" s="50"/>
      <c r="S869" s="50"/>
      <c r="T869" s="50"/>
      <c r="U869" s="50"/>
      <c r="V869" s="50"/>
      <c r="W869" s="50"/>
      <c r="X869" s="50"/>
      <c r="Y869" s="50"/>
      <c r="Z869" s="50"/>
      <c r="AA869" s="50"/>
      <c r="AB869" s="50"/>
      <c r="AC869" s="50"/>
      <c r="AD869" s="50"/>
    </row>
    <row r="870">
      <c r="A870" s="49"/>
      <c r="B870" s="49"/>
      <c r="C870" s="49"/>
      <c r="D870" s="49"/>
      <c r="E870" s="50"/>
      <c r="F870" s="50"/>
      <c r="G870" s="50"/>
      <c r="H870" s="50"/>
      <c r="I870" s="50"/>
      <c r="J870" s="50"/>
      <c r="K870" s="50"/>
      <c r="L870" s="50"/>
      <c r="M870" s="50"/>
      <c r="N870" s="50"/>
      <c r="O870" s="50"/>
      <c r="P870" s="50"/>
      <c r="Q870" s="50"/>
      <c r="R870" s="50"/>
      <c r="S870" s="50"/>
      <c r="T870" s="50"/>
      <c r="U870" s="50"/>
      <c r="V870" s="50"/>
      <c r="W870" s="50"/>
      <c r="X870" s="50"/>
      <c r="Y870" s="50"/>
      <c r="Z870" s="50"/>
      <c r="AA870" s="50"/>
      <c r="AB870" s="50"/>
      <c r="AC870" s="50"/>
      <c r="AD870" s="50"/>
    </row>
    <row r="871">
      <c r="A871" s="49"/>
      <c r="B871" s="49"/>
      <c r="C871" s="49"/>
      <c r="D871" s="49"/>
      <c r="E871" s="50"/>
      <c r="F871" s="50"/>
      <c r="G871" s="50"/>
      <c r="H871" s="50"/>
      <c r="I871" s="50"/>
      <c r="J871" s="50"/>
      <c r="K871" s="50"/>
      <c r="L871" s="50"/>
      <c r="M871" s="50"/>
      <c r="N871" s="50"/>
      <c r="O871" s="50"/>
      <c r="P871" s="50"/>
      <c r="Q871" s="50"/>
      <c r="R871" s="50"/>
      <c r="S871" s="50"/>
      <c r="T871" s="50"/>
      <c r="U871" s="50"/>
      <c r="V871" s="50"/>
      <c r="W871" s="50"/>
      <c r="X871" s="50"/>
      <c r="Y871" s="50"/>
      <c r="Z871" s="50"/>
      <c r="AA871" s="50"/>
      <c r="AB871" s="50"/>
      <c r="AC871" s="50"/>
      <c r="AD871" s="50"/>
    </row>
    <row r="872">
      <c r="A872" s="49"/>
      <c r="B872" s="49"/>
      <c r="C872" s="49"/>
      <c r="D872" s="49"/>
      <c r="E872" s="50"/>
      <c r="F872" s="50"/>
      <c r="G872" s="50"/>
      <c r="H872" s="50"/>
      <c r="I872" s="50"/>
      <c r="J872" s="50"/>
      <c r="K872" s="50"/>
      <c r="L872" s="50"/>
      <c r="M872" s="50"/>
      <c r="N872" s="50"/>
      <c r="O872" s="50"/>
      <c r="P872" s="50"/>
      <c r="Q872" s="50"/>
      <c r="R872" s="50"/>
      <c r="S872" s="50"/>
      <c r="T872" s="50"/>
      <c r="U872" s="50"/>
      <c r="V872" s="50"/>
      <c r="W872" s="50"/>
      <c r="X872" s="50"/>
      <c r="Y872" s="50"/>
      <c r="Z872" s="50"/>
      <c r="AA872" s="50"/>
      <c r="AB872" s="50"/>
      <c r="AC872" s="50"/>
      <c r="AD872" s="50"/>
    </row>
    <row r="873">
      <c r="A873" s="49"/>
      <c r="B873" s="49"/>
      <c r="C873" s="49"/>
      <c r="D873" s="49"/>
      <c r="E873" s="50"/>
      <c r="F873" s="50"/>
      <c r="G873" s="50"/>
      <c r="H873" s="50"/>
      <c r="I873" s="50"/>
      <c r="J873" s="50"/>
      <c r="K873" s="50"/>
      <c r="L873" s="50"/>
      <c r="M873" s="50"/>
      <c r="N873" s="50"/>
      <c r="O873" s="50"/>
      <c r="P873" s="50"/>
      <c r="Q873" s="50"/>
      <c r="R873" s="50"/>
      <c r="S873" s="50"/>
      <c r="T873" s="50"/>
      <c r="U873" s="50"/>
      <c r="V873" s="50"/>
      <c r="W873" s="50"/>
      <c r="X873" s="50"/>
      <c r="Y873" s="50"/>
      <c r="Z873" s="50"/>
      <c r="AA873" s="50"/>
      <c r="AB873" s="50"/>
      <c r="AC873" s="50"/>
      <c r="AD873" s="50"/>
    </row>
    <row r="874">
      <c r="A874" s="49"/>
      <c r="B874" s="49"/>
      <c r="C874" s="49"/>
      <c r="D874" s="49"/>
      <c r="E874" s="50"/>
      <c r="F874" s="50"/>
      <c r="G874" s="50"/>
      <c r="H874" s="50"/>
      <c r="I874" s="50"/>
      <c r="J874" s="50"/>
      <c r="K874" s="50"/>
      <c r="L874" s="50"/>
      <c r="M874" s="50"/>
      <c r="N874" s="50"/>
      <c r="O874" s="50"/>
      <c r="P874" s="50"/>
      <c r="Q874" s="50"/>
      <c r="R874" s="50"/>
      <c r="S874" s="50"/>
      <c r="T874" s="50"/>
      <c r="U874" s="50"/>
      <c r="V874" s="50"/>
      <c r="W874" s="50"/>
      <c r="X874" s="50"/>
      <c r="Y874" s="50"/>
      <c r="Z874" s="50"/>
      <c r="AA874" s="50"/>
      <c r="AB874" s="50"/>
      <c r="AC874" s="50"/>
      <c r="AD874" s="50"/>
    </row>
    <row r="875">
      <c r="A875" s="49"/>
      <c r="B875" s="49"/>
      <c r="C875" s="49"/>
      <c r="D875" s="49"/>
      <c r="E875" s="50"/>
      <c r="F875" s="50"/>
      <c r="G875" s="50"/>
      <c r="H875" s="50"/>
      <c r="I875" s="50"/>
      <c r="J875" s="50"/>
      <c r="K875" s="50"/>
      <c r="L875" s="50"/>
      <c r="M875" s="50"/>
      <c r="N875" s="50"/>
      <c r="O875" s="50"/>
      <c r="P875" s="50"/>
      <c r="Q875" s="50"/>
      <c r="R875" s="50"/>
      <c r="S875" s="50"/>
      <c r="T875" s="50"/>
      <c r="U875" s="50"/>
      <c r="V875" s="50"/>
      <c r="W875" s="50"/>
      <c r="X875" s="50"/>
      <c r="Y875" s="50"/>
      <c r="Z875" s="50"/>
      <c r="AA875" s="50"/>
      <c r="AB875" s="50"/>
      <c r="AC875" s="50"/>
      <c r="AD875" s="50"/>
    </row>
    <row r="876">
      <c r="A876" s="49"/>
      <c r="B876" s="49"/>
      <c r="C876" s="49"/>
      <c r="D876" s="49"/>
      <c r="E876" s="50"/>
      <c r="F876" s="50"/>
      <c r="G876" s="50"/>
      <c r="H876" s="50"/>
      <c r="I876" s="50"/>
      <c r="J876" s="50"/>
      <c r="K876" s="50"/>
      <c r="L876" s="50"/>
      <c r="M876" s="50"/>
      <c r="N876" s="50"/>
      <c r="O876" s="50"/>
      <c r="P876" s="50"/>
      <c r="Q876" s="50"/>
      <c r="R876" s="50"/>
      <c r="S876" s="50"/>
      <c r="T876" s="50"/>
      <c r="U876" s="50"/>
      <c r="V876" s="50"/>
      <c r="W876" s="50"/>
      <c r="X876" s="50"/>
      <c r="Y876" s="50"/>
      <c r="Z876" s="50"/>
      <c r="AA876" s="50"/>
      <c r="AB876" s="50"/>
      <c r="AC876" s="50"/>
      <c r="AD876" s="50"/>
    </row>
    <row r="877">
      <c r="A877" s="49"/>
      <c r="B877" s="49"/>
      <c r="C877" s="49"/>
      <c r="D877" s="49"/>
      <c r="E877" s="50"/>
      <c r="F877" s="50"/>
      <c r="G877" s="50"/>
      <c r="H877" s="50"/>
      <c r="I877" s="50"/>
      <c r="J877" s="50"/>
      <c r="K877" s="50"/>
      <c r="L877" s="50"/>
      <c r="M877" s="50"/>
      <c r="N877" s="50"/>
      <c r="O877" s="50"/>
      <c r="P877" s="50"/>
      <c r="Q877" s="50"/>
      <c r="R877" s="50"/>
      <c r="S877" s="50"/>
      <c r="T877" s="50"/>
      <c r="U877" s="50"/>
      <c r="V877" s="50"/>
      <c r="W877" s="50"/>
      <c r="X877" s="50"/>
      <c r="Y877" s="50"/>
      <c r="Z877" s="50"/>
      <c r="AA877" s="50"/>
      <c r="AB877" s="50"/>
      <c r="AC877" s="50"/>
      <c r="AD877" s="50"/>
    </row>
    <row r="878">
      <c r="A878" s="49"/>
      <c r="B878" s="49"/>
      <c r="C878" s="49"/>
      <c r="D878" s="49"/>
      <c r="E878" s="50"/>
      <c r="F878" s="50"/>
      <c r="G878" s="50"/>
      <c r="H878" s="50"/>
      <c r="I878" s="50"/>
      <c r="J878" s="50"/>
      <c r="K878" s="50"/>
      <c r="L878" s="50"/>
      <c r="M878" s="50"/>
      <c r="N878" s="50"/>
      <c r="O878" s="50"/>
      <c r="P878" s="50"/>
      <c r="Q878" s="50"/>
      <c r="R878" s="50"/>
      <c r="S878" s="50"/>
      <c r="T878" s="50"/>
      <c r="U878" s="50"/>
      <c r="V878" s="50"/>
      <c r="W878" s="50"/>
      <c r="X878" s="50"/>
      <c r="Y878" s="50"/>
      <c r="Z878" s="50"/>
      <c r="AA878" s="50"/>
      <c r="AB878" s="50"/>
      <c r="AC878" s="50"/>
      <c r="AD878" s="50"/>
    </row>
    <row r="879">
      <c r="A879" s="49"/>
      <c r="B879" s="49"/>
      <c r="C879" s="49"/>
      <c r="D879" s="49"/>
      <c r="E879" s="50"/>
      <c r="F879" s="50"/>
      <c r="G879" s="50"/>
      <c r="H879" s="50"/>
      <c r="I879" s="50"/>
      <c r="J879" s="50"/>
      <c r="K879" s="50"/>
      <c r="L879" s="50"/>
      <c r="M879" s="50"/>
      <c r="N879" s="50"/>
      <c r="O879" s="50"/>
      <c r="P879" s="50"/>
      <c r="Q879" s="50"/>
      <c r="R879" s="50"/>
      <c r="S879" s="50"/>
      <c r="T879" s="50"/>
      <c r="U879" s="50"/>
      <c r="V879" s="50"/>
      <c r="W879" s="50"/>
      <c r="X879" s="50"/>
      <c r="Y879" s="50"/>
      <c r="Z879" s="50"/>
      <c r="AA879" s="50"/>
      <c r="AB879" s="50"/>
      <c r="AC879" s="50"/>
      <c r="AD879" s="50"/>
    </row>
    <row r="880">
      <c r="A880" s="49"/>
      <c r="B880" s="49"/>
      <c r="C880" s="49"/>
      <c r="D880" s="49"/>
      <c r="E880" s="50"/>
      <c r="F880" s="50"/>
      <c r="G880" s="50"/>
      <c r="H880" s="50"/>
      <c r="I880" s="50"/>
      <c r="J880" s="50"/>
      <c r="K880" s="50"/>
      <c r="L880" s="50"/>
      <c r="M880" s="50"/>
      <c r="N880" s="50"/>
      <c r="O880" s="50"/>
      <c r="P880" s="50"/>
      <c r="Q880" s="50"/>
      <c r="R880" s="50"/>
      <c r="S880" s="50"/>
      <c r="T880" s="50"/>
      <c r="U880" s="50"/>
      <c r="V880" s="50"/>
      <c r="W880" s="50"/>
      <c r="X880" s="50"/>
      <c r="Y880" s="50"/>
      <c r="Z880" s="50"/>
      <c r="AA880" s="50"/>
      <c r="AB880" s="50"/>
      <c r="AC880" s="50"/>
      <c r="AD880" s="50"/>
    </row>
    <row r="881">
      <c r="A881" s="49"/>
      <c r="B881" s="49"/>
      <c r="C881" s="49"/>
      <c r="D881" s="49"/>
      <c r="E881" s="50"/>
      <c r="F881" s="50"/>
      <c r="G881" s="50"/>
      <c r="H881" s="50"/>
      <c r="I881" s="50"/>
      <c r="J881" s="50"/>
      <c r="K881" s="50"/>
      <c r="L881" s="50"/>
      <c r="M881" s="50"/>
      <c r="N881" s="50"/>
      <c r="O881" s="50"/>
      <c r="P881" s="50"/>
      <c r="Q881" s="50"/>
      <c r="R881" s="50"/>
      <c r="S881" s="50"/>
      <c r="T881" s="50"/>
      <c r="U881" s="50"/>
      <c r="V881" s="50"/>
      <c r="W881" s="50"/>
      <c r="X881" s="50"/>
      <c r="Y881" s="50"/>
      <c r="Z881" s="50"/>
      <c r="AA881" s="50"/>
      <c r="AB881" s="50"/>
      <c r="AC881" s="50"/>
      <c r="AD881" s="50"/>
    </row>
    <row r="882">
      <c r="A882" s="49"/>
      <c r="B882" s="49"/>
      <c r="C882" s="49"/>
      <c r="D882" s="49"/>
      <c r="E882" s="50"/>
      <c r="F882" s="50"/>
      <c r="G882" s="50"/>
      <c r="H882" s="50"/>
      <c r="I882" s="50"/>
      <c r="J882" s="50"/>
      <c r="K882" s="50"/>
      <c r="L882" s="50"/>
      <c r="M882" s="50"/>
      <c r="N882" s="50"/>
      <c r="O882" s="50"/>
      <c r="P882" s="50"/>
      <c r="Q882" s="50"/>
      <c r="R882" s="50"/>
      <c r="S882" s="50"/>
      <c r="T882" s="50"/>
      <c r="U882" s="50"/>
      <c r="V882" s="50"/>
      <c r="W882" s="50"/>
      <c r="X882" s="50"/>
      <c r="Y882" s="50"/>
      <c r="Z882" s="50"/>
      <c r="AA882" s="50"/>
      <c r="AB882" s="50"/>
      <c r="AC882" s="50"/>
      <c r="AD882" s="50"/>
    </row>
    <row r="883">
      <c r="A883" s="49"/>
      <c r="B883" s="49"/>
      <c r="C883" s="49"/>
      <c r="D883" s="49"/>
      <c r="E883" s="50"/>
      <c r="F883" s="50"/>
      <c r="G883" s="50"/>
      <c r="H883" s="50"/>
      <c r="I883" s="50"/>
      <c r="J883" s="50"/>
      <c r="K883" s="50"/>
      <c r="L883" s="50"/>
      <c r="M883" s="50"/>
      <c r="N883" s="50"/>
      <c r="O883" s="50"/>
      <c r="P883" s="50"/>
      <c r="Q883" s="50"/>
      <c r="R883" s="50"/>
      <c r="S883" s="50"/>
      <c r="T883" s="50"/>
      <c r="U883" s="50"/>
      <c r="V883" s="50"/>
      <c r="W883" s="50"/>
      <c r="X883" s="50"/>
      <c r="Y883" s="50"/>
      <c r="Z883" s="50"/>
      <c r="AA883" s="50"/>
      <c r="AB883" s="50"/>
      <c r="AC883" s="50"/>
      <c r="AD883" s="50"/>
    </row>
    <row r="884">
      <c r="A884" s="49"/>
      <c r="B884" s="49"/>
      <c r="C884" s="49"/>
      <c r="D884" s="49"/>
      <c r="E884" s="50"/>
      <c r="F884" s="50"/>
      <c r="G884" s="50"/>
      <c r="H884" s="50"/>
      <c r="I884" s="50"/>
      <c r="J884" s="50"/>
      <c r="K884" s="50"/>
      <c r="L884" s="50"/>
      <c r="M884" s="50"/>
      <c r="N884" s="50"/>
      <c r="O884" s="50"/>
      <c r="P884" s="50"/>
      <c r="Q884" s="50"/>
      <c r="R884" s="50"/>
      <c r="S884" s="50"/>
      <c r="T884" s="50"/>
      <c r="U884" s="50"/>
      <c r="V884" s="50"/>
      <c r="W884" s="50"/>
      <c r="X884" s="50"/>
      <c r="Y884" s="50"/>
      <c r="Z884" s="50"/>
      <c r="AA884" s="50"/>
      <c r="AB884" s="50"/>
      <c r="AC884" s="50"/>
      <c r="AD884" s="50"/>
    </row>
    <row r="885">
      <c r="A885" s="49"/>
      <c r="B885" s="49"/>
      <c r="C885" s="49"/>
      <c r="D885" s="49"/>
      <c r="E885" s="50"/>
      <c r="F885" s="50"/>
      <c r="G885" s="50"/>
      <c r="H885" s="50"/>
      <c r="I885" s="50"/>
      <c r="J885" s="50"/>
      <c r="K885" s="50"/>
      <c r="L885" s="50"/>
      <c r="M885" s="50"/>
      <c r="N885" s="50"/>
      <c r="O885" s="50"/>
      <c r="P885" s="50"/>
      <c r="Q885" s="50"/>
      <c r="R885" s="50"/>
      <c r="S885" s="50"/>
      <c r="T885" s="50"/>
      <c r="U885" s="50"/>
      <c r="V885" s="50"/>
      <c r="W885" s="50"/>
      <c r="X885" s="50"/>
      <c r="Y885" s="50"/>
      <c r="Z885" s="50"/>
      <c r="AA885" s="50"/>
      <c r="AB885" s="50"/>
      <c r="AC885" s="50"/>
      <c r="AD885" s="50"/>
    </row>
    <row r="886">
      <c r="A886" s="49"/>
      <c r="B886" s="49"/>
      <c r="C886" s="49"/>
      <c r="D886" s="49"/>
      <c r="E886" s="50"/>
      <c r="F886" s="50"/>
      <c r="G886" s="50"/>
      <c r="H886" s="50"/>
      <c r="I886" s="50"/>
      <c r="J886" s="50"/>
      <c r="K886" s="50"/>
      <c r="L886" s="50"/>
      <c r="M886" s="50"/>
      <c r="N886" s="50"/>
      <c r="O886" s="50"/>
      <c r="P886" s="50"/>
      <c r="Q886" s="50"/>
      <c r="R886" s="50"/>
      <c r="S886" s="50"/>
      <c r="T886" s="50"/>
      <c r="U886" s="50"/>
      <c r="V886" s="50"/>
      <c r="W886" s="50"/>
      <c r="X886" s="50"/>
      <c r="Y886" s="50"/>
      <c r="Z886" s="50"/>
      <c r="AA886" s="50"/>
      <c r="AB886" s="50"/>
      <c r="AC886" s="50"/>
      <c r="AD886" s="50"/>
    </row>
    <row r="887">
      <c r="A887" s="49"/>
      <c r="B887" s="49"/>
      <c r="C887" s="49"/>
      <c r="D887" s="49"/>
      <c r="E887" s="50"/>
      <c r="F887" s="50"/>
      <c r="G887" s="50"/>
      <c r="H887" s="50"/>
      <c r="I887" s="50"/>
      <c r="J887" s="50"/>
      <c r="K887" s="50"/>
      <c r="L887" s="50"/>
      <c r="M887" s="50"/>
      <c r="N887" s="50"/>
      <c r="O887" s="50"/>
      <c r="P887" s="50"/>
      <c r="Q887" s="50"/>
      <c r="R887" s="50"/>
      <c r="S887" s="50"/>
      <c r="T887" s="50"/>
      <c r="U887" s="50"/>
      <c r="V887" s="50"/>
      <c r="W887" s="50"/>
      <c r="X887" s="50"/>
      <c r="Y887" s="50"/>
      <c r="Z887" s="50"/>
      <c r="AA887" s="50"/>
      <c r="AB887" s="50"/>
      <c r="AC887" s="50"/>
      <c r="AD887" s="50"/>
    </row>
    <row r="888">
      <c r="A888" s="49"/>
      <c r="B888" s="49"/>
      <c r="C888" s="49"/>
      <c r="D888" s="49"/>
      <c r="E888" s="50"/>
      <c r="F888" s="50"/>
      <c r="G888" s="50"/>
      <c r="H888" s="50"/>
      <c r="I888" s="50"/>
      <c r="J888" s="50"/>
      <c r="K888" s="50"/>
      <c r="L888" s="50"/>
      <c r="M888" s="50"/>
      <c r="N888" s="50"/>
      <c r="O888" s="50"/>
      <c r="P888" s="50"/>
      <c r="Q888" s="50"/>
      <c r="R888" s="50"/>
      <c r="S888" s="50"/>
      <c r="T888" s="50"/>
      <c r="U888" s="50"/>
      <c r="V888" s="50"/>
      <c r="W888" s="50"/>
      <c r="X888" s="50"/>
      <c r="Y888" s="50"/>
      <c r="Z888" s="50"/>
      <c r="AA888" s="50"/>
      <c r="AB888" s="50"/>
      <c r="AC888" s="50"/>
      <c r="AD888" s="50"/>
    </row>
    <row r="889">
      <c r="A889" s="49"/>
      <c r="B889" s="49"/>
      <c r="C889" s="49"/>
      <c r="D889" s="49"/>
      <c r="E889" s="50"/>
      <c r="F889" s="50"/>
      <c r="G889" s="50"/>
      <c r="H889" s="50"/>
      <c r="I889" s="50"/>
      <c r="J889" s="50"/>
      <c r="K889" s="50"/>
      <c r="L889" s="50"/>
      <c r="M889" s="50"/>
      <c r="N889" s="50"/>
      <c r="O889" s="50"/>
      <c r="P889" s="50"/>
      <c r="Q889" s="50"/>
      <c r="R889" s="50"/>
      <c r="S889" s="50"/>
      <c r="T889" s="50"/>
      <c r="U889" s="50"/>
      <c r="V889" s="50"/>
      <c r="W889" s="50"/>
      <c r="X889" s="50"/>
      <c r="Y889" s="50"/>
      <c r="Z889" s="50"/>
      <c r="AA889" s="50"/>
      <c r="AB889" s="50"/>
      <c r="AC889" s="50"/>
      <c r="AD889" s="50"/>
    </row>
    <row r="890">
      <c r="A890" s="49"/>
      <c r="B890" s="49"/>
      <c r="C890" s="49"/>
      <c r="D890" s="49"/>
      <c r="E890" s="50"/>
      <c r="F890" s="50"/>
      <c r="G890" s="50"/>
      <c r="H890" s="50"/>
      <c r="I890" s="50"/>
      <c r="J890" s="50"/>
      <c r="K890" s="50"/>
      <c r="L890" s="50"/>
      <c r="M890" s="50"/>
      <c r="N890" s="50"/>
      <c r="O890" s="50"/>
      <c r="P890" s="50"/>
      <c r="Q890" s="50"/>
      <c r="R890" s="50"/>
      <c r="S890" s="50"/>
      <c r="T890" s="50"/>
      <c r="U890" s="50"/>
      <c r="V890" s="50"/>
      <c r="W890" s="50"/>
      <c r="X890" s="50"/>
      <c r="Y890" s="50"/>
      <c r="Z890" s="50"/>
      <c r="AA890" s="50"/>
      <c r="AB890" s="50"/>
      <c r="AC890" s="50"/>
      <c r="AD890" s="50"/>
    </row>
    <row r="891">
      <c r="A891" s="49"/>
      <c r="B891" s="49"/>
      <c r="C891" s="49"/>
      <c r="D891" s="49"/>
      <c r="E891" s="50"/>
      <c r="F891" s="50"/>
      <c r="G891" s="50"/>
      <c r="H891" s="50"/>
      <c r="I891" s="50"/>
      <c r="J891" s="50"/>
      <c r="K891" s="50"/>
      <c r="L891" s="50"/>
      <c r="M891" s="50"/>
      <c r="N891" s="50"/>
      <c r="O891" s="50"/>
      <c r="P891" s="50"/>
      <c r="Q891" s="50"/>
      <c r="R891" s="50"/>
      <c r="S891" s="50"/>
      <c r="T891" s="50"/>
      <c r="U891" s="50"/>
      <c r="V891" s="50"/>
      <c r="W891" s="50"/>
      <c r="X891" s="50"/>
      <c r="Y891" s="50"/>
      <c r="Z891" s="50"/>
      <c r="AA891" s="50"/>
      <c r="AB891" s="50"/>
      <c r="AC891" s="50"/>
      <c r="AD891" s="50"/>
    </row>
    <row r="892">
      <c r="A892" s="49"/>
      <c r="B892" s="49"/>
      <c r="C892" s="49"/>
      <c r="D892" s="49"/>
      <c r="E892" s="50"/>
      <c r="F892" s="50"/>
      <c r="G892" s="50"/>
      <c r="H892" s="50"/>
      <c r="I892" s="50"/>
      <c r="J892" s="50"/>
      <c r="K892" s="50"/>
      <c r="L892" s="50"/>
      <c r="M892" s="50"/>
      <c r="N892" s="50"/>
      <c r="O892" s="50"/>
      <c r="P892" s="50"/>
      <c r="Q892" s="50"/>
      <c r="R892" s="50"/>
      <c r="S892" s="50"/>
      <c r="T892" s="50"/>
      <c r="U892" s="50"/>
      <c r="V892" s="50"/>
      <c r="W892" s="50"/>
      <c r="X892" s="50"/>
      <c r="Y892" s="50"/>
      <c r="Z892" s="50"/>
      <c r="AA892" s="50"/>
      <c r="AB892" s="50"/>
      <c r="AC892" s="50"/>
      <c r="AD892" s="50"/>
    </row>
    <row r="893">
      <c r="A893" s="49"/>
      <c r="B893" s="49"/>
      <c r="C893" s="49"/>
      <c r="D893" s="49"/>
      <c r="E893" s="50"/>
      <c r="F893" s="50"/>
      <c r="G893" s="50"/>
      <c r="H893" s="50"/>
      <c r="I893" s="50"/>
      <c r="J893" s="50"/>
      <c r="K893" s="50"/>
      <c r="L893" s="50"/>
      <c r="M893" s="50"/>
      <c r="N893" s="50"/>
      <c r="O893" s="50"/>
      <c r="P893" s="50"/>
      <c r="Q893" s="50"/>
      <c r="R893" s="50"/>
      <c r="S893" s="50"/>
      <c r="T893" s="50"/>
      <c r="U893" s="50"/>
      <c r="V893" s="50"/>
      <c r="W893" s="50"/>
      <c r="X893" s="50"/>
      <c r="Y893" s="50"/>
      <c r="Z893" s="50"/>
      <c r="AA893" s="50"/>
      <c r="AB893" s="50"/>
      <c r="AC893" s="50"/>
      <c r="AD893" s="50"/>
    </row>
    <row r="894">
      <c r="A894" s="49"/>
      <c r="B894" s="49"/>
      <c r="C894" s="49"/>
      <c r="D894" s="49"/>
      <c r="E894" s="50"/>
      <c r="F894" s="50"/>
      <c r="G894" s="50"/>
      <c r="H894" s="50"/>
      <c r="I894" s="50"/>
      <c r="J894" s="50"/>
      <c r="K894" s="50"/>
      <c r="L894" s="50"/>
      <c r="M894" s="50"/>
      <c r="N894" s="50"/>
      <c r="O894" s="50"/>
      <c r="P894" s="50"/>
      <c r="Q894" s="50"/>
      <c r="R894" s="50"/>
      <c r="S894" s="50"/>
      <c r="T894" s="50"/>
      <c r="U894" s="50"/>
      <c r="V894" s="50"/>
      <c r="W894" s="50"/>
      <c r="X894" s="50"/>
      <c r="Y894" s="50"/>
      <c r="Z894" s="50"/>
      <c r="AA894" s="50"/>
      <c r="AB894" s="50"/>
      <c r="AC894" s="50"/>
      <c r="AD894" s="50"/>
    </row>
    <row r="895">
      <c r="A895" s="49"/>
      <c r="B895" s="49"/>
      <c r="C895" s="49"/>
      <c r="D895" s="49"/>
      <c r="E895" s="50"/>
      <c r="F895" s="50"/>
      <c r="G895" s="50"/>
      <c r="H895" s="50"/>
      <c r="I895" s="50"/>
      <c r="J895" s="50"/>
      <c r="K895" s="50"/>
      <c r="L895" s="50"/>
      <c r="M895" s="50"/>
      <c r="N895" s="50"/>
      <c r="O895" s="50"/>
      <c r="P895" s="50"/>
      <c r="Q895" s="50"/>
      <c r="R895" s="50"/>
      <c r="S895" s="50"/>
      <c r="T895" s="50"/>
      <c r="U895" s="50"/>
      <c r="V895" s="50"/>
      <c r="W895" s="50"/>
      <c r="X895" s="50"/>
      <c r="Y895" s="50"/>
      <c r="Z895" s="50"/>
      <c r="AA895" s="50"/>
      <c r="AB895" s="50"/>
      <c r="AC895" s="50"/>
      <c r="AD895" s="50"/>
    </row>
    <row r="896">
      <c r="A896" s="49"/>
      <c r="B896" s="49"/>
      <c r="C896" s="49"/>
      <c r="D896" s="49"/>
      <c r="E896" s="50"/>
      <c r="F896" s="50"/>
      <c r="G896" s="50"/>
      <c r="H896" s="50"/>
      <c r="I896" s="50"/>
      <c r="J896" s="50"/>
      <c r="K896" s="50"/>
      <c r="L896" s="50"/>
      <c r="M896" s="50"/>
      <c r="N896" s="50"/>
      <c r="O896" s="50"/>
      <c r="P896" s="50"/>
      <c r="Q896" s="50"/>
      <c r="R896" s="50"/>
      <c r="S896" s="50"/>
      <c r="T896" s="50"/>
      <c r="U896" s="50"/>
      <c r="V896" s="50"/>
      <c r="W896" s="50"/>
      <c r="X896" s="50"/>
      <c r="Y896" s="50"/>
      <c r="Z896" s="50"/>
      <c r="AA896" s="50"/>
      <c r="AB896" s="50"/>
      <c r="AC896" s="50"/>
      <c r="AD896" s="50"/>
    </row>
    <row r="897">
      <c r="A897" s="49"/>
      <c r="B897" s="49"/>
      <c r="C897" s="49"/>
      <c r="D897" s="49"/>
      <c r="E897" s="50"/>
      <c r="F897" s="50"/>
      <c r="G897" s="50"/>
      <c r="H897" s="50"/>
      <c r="I897" s="50"/>
      <c r="J897" s="50"/>
      <c r="K897" s="50"/>
      <c r="L897" s="50"/>
      <c r="M897" s="50"/>
      <c r="N897" s="50"/>
      <c r="O897" s="50"/>
      <c r="P897" s="50"/>
      <c r="Q897" s="50"/>
      <c r="R897" s="50"/>
      <c r="S897" s="50"/>
      <c r="T897" s="50"/>
      <c r="U897" s="50"/>
      <c r="V897" s="50"/>
      <c r="W897" s="50"/>
      <c r="X897" s="50"/>
      <c r="Y897" s="50"/>
      <c r="Z897" s="50"/>
      <c r="AA897" s="50"/>
      <c r="AB897" s="50"/>
      <c r="AC897" s="50"/>
      <c r="AD897" s="50"/>
    </row>
    <row r="898">
      <c r="A898" s="49"/>
      <c r="B898" s="49"/>
      <c r="C898" s="49"/>
      <c r="D898" s="49"/>
      <c r="E898" s="50"/>
      <c r="F898" s="50"/>
      <c r="G898" s="50"/>
      <c r="H898" s="50"/>
      <c r="I898" s="50"/>
      <c r="J898" s="50"/>
      <c r="K898" s="50"/>
      <c r="L898" s="50"/>
      <c r="M898" s="50"/>
      <c r="N898" s="50"/>
      <c r="O898" s="50"/>
      <c r="P898" s="50"/>
      <c r="Q898" s="50"/>
      <c r="R898" s="50"/>
      <c r="S898" s="50"/>
      <c r="T898" s="50"/>
      <c r="U898" s="50"/>
      <c r="V898" s="50"/>
      <c r="W898" s="50"/>
      <c r="X898" s="50"/>
      <c r="Y898" s="50"/>
      <c r="Z898" s="50"/>
      <c r="AA898" s="50"/>
      <c r="AB898" s="50"/>
      <c r="AC898" s="50"/>
      <c r="AD898" s="50"/>
    </row>
    <row r="899">
      <c r="A899" s="49"/>
      <c r="B899" s="49"/>
      <c r="C899" s="49"/>
      <c r="D899" s="49"/>
      <c r="E899" s="50"/>
      <c r="F899" s="50"/>
      <c r="G899" s="50"/>
      <c r="H899" s="50"/>
      <c r="I899" s="50"/>
      <c r="J899" s="50"/>
      <c r="K899" s="50"/>
      <c r="L899" s="50"/>
      <c r="M899" s="50"/>
      <c r="N899" s="50"/>
      <c r="O899" s="50"/>
      <c r="P899" s="50"/>
      <c r="Q899" s="50"/>
      <c r="R899" s="50"/>
      <c r="S899" s="50"/>
      <c r="T899" s="50"/>
      <c r="U899" s="50"/>
      <c r="V899" s="50"/>
      <c r="W899" s="50"/>
      <c r="X899" s="50"/>
      <c r="Y899" s="50"/>
      <c r="Z899" s="50"/>
      <c r="AA899" s="50"/>
      <c r="AB899" s="50"/>
      <c r="AC899" s="50"/>
      <c r="AD899" s="50"/>
    </row>
    <row r="900">
      <c r="A900" s="49"/>
      <c r="B900" s="49"/>
      <c r="C900" s="49"/>
      <c r="D900" s="49"/>
      <c r="E900" s="50"/>
      <c r="F900" s="50"/>
      <c r="G900" s="50"/>
      <c r="H900" s="50"/>
      <c r="I900" s="50"/>
      <c r="J900" s="50"/>
      <c r="K900" s="50"/>
      <c r="L900" s="50"/>
      <c r="M900" s="50"/>
      <c r="N900" s="50"/>
      <c r="O900" s="50"/>
      <c r="P900" s="50"/>
      <c r="Q900" s="50"/>
      <c r="R900" s="50"/>
      <c r="S900" s="50"/>
      <c r="T900" s="50"/>
      <c r="U900" s="50"/>
      <c r="V900" s="50"/>
      <c r="W900" s="50"/>
      <c r="X900" s="50"/>
      <c r="Y900" s="50"/>
      <c r="Z900" s="50"/>
      <c r="AA900" s="50"/>
      <c r="AB900" s="50"/>
      <c r="AC900" s="50"/>
      <c r="AD900" s="50"/>
    </row>
    <row r="901">
      <c r="A901" s="49"/>
      <c r="B901" s="49"/>
      <c r="C901" s="49"/>
      <c r="D901" s="49"/>
      <c r="E901" s="50"/>
      <c r="F901" s="50"/>
      <c r="G901" s="50"/>
      <c r="H901" s="50"/>
      <c r="I901" s="50"/>
      <c r="J901" s="50"/>
      <c r="K901" s="50"/>
      <c r="L901" s="50"/>
      <c r="M901" s="50"/>
      <c r="N901" s="50"/>
      <c r="O901" s="50"/>
      <c r="P901" s="50"/>
      <c r="Q901" s="50"/>
      <c r="R901" s="50"/>
      <c r="S901" s="50"/>
      <c r="T901" s="50"/>
      <c r="U901" s="50"/>
      <c r="V901" s="50"/>
      <c r="W901" s="50"/>
      <c r="X901" s="50"/>
      <c r="Y901" s="50"/>
      <c r="Z901" s="50"/>
      <c r="AA901" s="50"/>
      <c r="AB901" s="50"/>
      <c r="AC901" s="50"/>
      <c r="AD901" s="50"/>
    </row>
    <row r="902">
      <c r="A902" s="49"/>
      <c r="B902" s="49"/>
      <c r="C902" s="49"/>
      <c r="D902" s="49"/>
      <c r="E902" s="50"/>
      <c r="F902" s="50"/>
      <c r="G902" s="50"/>
      <c r="H902" s="50"/>
      <c r="I902" s="50"/>
      <c r="J902" s="50"/>
      <c r="K902" s="50"/>
      <c r="L902" s="50"/>
      <c r="M902" s="50"/>
      <c r="N902" s="50"/>
      <c r="O902" s="50"/>
      <c r="P902" s="50"/>
      <c r="Q902" s="50"/>
      <c r="R902" s="50"/>
      <c r="S902" s="50"/>
      <c r="T902" s="50"/>
      <c r="U902" s="50"/>
      <c r="V902" s="50"/>
      <c r="W902" s="50"/>
      <c r="X902" s="50"/>
      <c r="Y902" s="50"/>
      <c r="Z902" s="50"/>
      <c r="AA902" s="50"/>
      <c r="AB902" s="50"/>
      <c r="AC902" s="50"/>
      <c r="AD902" s="50"/>
    </row>
    <row r="903">
      <c r="A903" s="49"/>
      <c r="B903" s="49"/>
      <c r="C903" s="49"/>
      <c r="D903" s="49"/>
      <c r="E903" s="50"/>
      <c r="F903" s="50"/>
      <c r="G903" s="50"/>
      <c r="H903" s="50"/>
      <c r="I903" s="50"/>
      <c r="J903" s="50"/>
      <c r="K903" s="50"/>
      <c r="L903" s="50"/>
      <c r="M903" s="50"/>
      <c r="N903" s="50"/>
      <c r="O903" s="50"/>
      <c r="P903" s="50"/>
      <c r="Q903" s="50"/>
      <c r="R903" s="50"/>
      <c r="S903" s="50"/>
      <c r="T903" s="50"/>
      <c r="U903" s="50"/>
      <c r="V903" s="50"/>
      <c r="W903" s="50"/>
      <c r="X903" s="50"/>
      <c r="Y903" s="50"/>
      <c r="Z903" s="50"/>
      <c r="AA903" s="50"/>
      <c r="AB903" s="50"/>
      <c r="AC903" s="50"/>
      <c r="AD903" s="50"/>
    </row>
    <row r="904">
      <c r="A904" s="49"/>
      <c r="B904" s="49"/>
      <c r="C904" s="49"/>
      <c r="D904" s="49"/>
      <c r="E904" s="50"/>
      <c r="F904" s="50"/>
      <c r="G904" s="50"/>
      <c r="H904" s="50"/>
      <c r="I904" s="50"/>
      <c r="J904" s="50"/>
      <c r="K904" s="50"/>
      <c r="L904" s="50"/>
      <c r="M904" s="50"/>
      <c r="N904" s="50"/>
      <c r="O904" s="50"/>
      <c r="P904" s="50"/>
      <c r="Q904" s="50"/>
      <c r="R904" s="50"/>
      <c r="S904" s="50"/>
      <c r="T904" s="50"/>
      <c r="U904" s="50"/>
      <c r="V904" s="50"/>
      <c r="W904" s="50"/>
      <c r="X904" s="50"/>
      <c r="Y904" s="50"/>
      <c r="Z904" s="50"/>
      <c r="AA904" s="50"/>
      <c r="AB904" s="50"/>
      <c r="AC904" s="50"/>
      <c r="AD904" s="50"/>
    </row>
    <row r="905">
      <c r="A905" s="49"/>
      <c r="B905" s="49"/>
      <c r="C905" s="49"/>
      <c r="D905" s="49"/>
      <c r="E905" s="50"/>
      <c r="F905" s="50"/>
      <c r="G905" s="50"/>
      <c r="H905" s="50"/>
      <c r="I905" s="50"/>
      <c r="J905" s="50"/>
      <c r="K905" s="50"/>
      <c r="L905" s="50"/>
      <c r="M905" s="50"/>
      <c r="N905" s="50"/>
      <c r="O905" s="50"/>
      <c r="P905" s="50"/>
      <c r="Q905" s="50"/>
      <c r="R905" s="50"/>
      <c r="S905" s="50"/>
      <c r="T905" s="50"/>
      <c r="U905" s="50"/>
      <c r="V905" s="50"/>
      <c r="W905" s="50"/>
      <c r="X905" s="50"/>
      <c r="Y905" s="50"/>
      <c r="Z905" s="50"/>
      <c r="AA905" s="50"/>
      <c r="AB905" s="50"/>
      <c r="AC905" s="50"/>
      <c r="AD905" s="50"/>
    </row>
    <row r="906">
      <c r="A906" s="49"/>
      <c r="B906" s="49"/>
      <c r="C906" s="49"/>
      <c r="D906" s="49"/>
      <c r="E906" s="50"/>
      <c r="F906" s="50"/>
      <c r="G906" s="50"/>
      <c r="H906" s="50"/>
      <c r="I906" s="50"/>
      <c r="J906" s="50"/>
      <c r="K906" s="50"/>
      <c r="L906" s="50"/>
      <c r="M906" s="50"/>
      <c r="N906" s="50"/>
      <c r="O906" s="50"/>
      <c r="P906" s="50"/>
      <c r="Q906" s="50"/>
      <c r="R906" s="50"/>
      <c r="S906" s="50"/>
      <c r="T906" s="50"/>
      <c r="U906" s="50"/>
      <c r="V906" s="50"/>
      <c r="W906" s="50"/>
      <c r="X906" s="50"/>
      <c r="Y906" s="50"/>
      <c r="Z906" s="50"/>
      <c r="AA906" s="50"/>
      <c r="AB906" s="50"/>
      <c r="AC906" s="50"/>
      <c r="AD906" s="50"/>
    </row>
    <row r="907">
      <c r="A907" s="49"/>
      <c r="B907" s="49"/>
      <c r="C907" s="49"/>
      <c r="D907" s="49"/>
      <c r="E907" s="50"/>
      <c r="F907" s="50"/>
      <c r="G907" s="50"/>
      <c r="H907" s="50"/>
      <c r="I907" s="50"/>
      <c r="J907" s="50"/>
      <c r="K907" s="50"/>
      <c r="L907" s="50"/>
      <c r="M907" s="50"/>
      <c r="N907" s="50"/>
      <c r="O907" s="50"/>
      <c r="P907" s="50"/>
      <c r="Q907" s="50"/>
      <c r="R907" s="50"/>
      <c r="S907" s="50"/>
      <c r="T907" s="50"/>
      <c r="U907" s="50"/>
      <c r="V907" s="50"/>
      <c r="W907" s="50"/>
      <c r="X907" s="50"/>
      <c r="Y907" s="50"/>
      <c r="Z907" s="50"/>
      <c r="AA907" s="50"/>
      <c r="AB907" s="50"/>
      <c r="AC907" s="50"/>
      <c r="AD907" s="50"/>
    </row>
    <row r="908">
      <c r="A908" s="49"/>
      <c r="B908" s="49"/>
      <c r="C908" s="49"/>
      <c r="D908" s="49"/>
      <c r="E908" s="50"/>
      <c r="F908" s="50"/>
      <c r="G908" s="50"/>
      <c r="H908" s="50"/>
      <c r="I908" s="50"/>
      <c r="J908" s="50"/>
      <c r="K908" s="50"/>
      <c r="L908" s="50"/>
      <c r="M908" s="50"/>
      <c r="N908" s="50"/>
      <c r="O908" s="50"/>
      <c r="P908" s="50"/>
      <c r="Q908" s="50"/>
      <c r="R908" s="50"/>
      <c r="S908" s="50"/>
      <c r="T908" s="50"/>
      <c r="U908" s="50"/>
      <c r="V908" s="50"/>
      <c r="W908" s="50"/>
      <c r="X908" s="50"/>
      <c r="Y908" s="50"/>
      <c r="Z908" s="50"/>
      <c r="AA908" s="50"/>
      <c r="AB908" s="50"/>
      <c r="AC908" s="50"/>
      <c r="AD908" s="50"/>
    </row>
    <row r="909">
      <c r="A909" s="49"/>
      <c r="B909" s="49"/>
      <c r="C909" s="49"/>
      <c r="D909" s="49"/>
      <c r="E909" s="50"/>
      <c r="F909" s="50"/>
      <c r="G909" s="50"/>
      <c r="H909" s="50"/>
      <c r="I909" s="50"/>
      <c r="J909" s="50"/>
      <c r="K909" s="50"/>
      <c r="L909" s="50"/>
      <c r="M909" s="50"/>
      <c r="N909" s="50"/>
      <c r="O909" s="50"/>
      <c r="P909" s="50"/>
      <c r="Q909" s="50"/>
      <c r="R909" s="50"/>
      <c r="S909" s="50"/>
      <c r="T909" s="50"/>
      <c r="U909" s="50"/>
      <c r="V909" s="50"/>
      <c r="W909" s="50"/>
      <c r="X909" s="50"/>
      <c r="Y909" s="50"/>
      <c r="Z909" s="50"/>
      <c r="AA909" s="50"/>
      <c r="AB909" s="50"/>
      <c r="AC909" s="50"/>
      <c r="AD909" s="50"/>
    </row>
    <row r="910">
      <c r="A910" s="49"/>
      <c r="B910" s="49"/>
      <c r="C910" s="49"/>
      <c r="D910" s="49"/>
      <c r="E910" s="50"/>
      <c r="F910" s="50"/>
      <c r="G910" s="50"/>
      <c r="H910" s="50"/>
      <c r="I910" s="50"/>
      <c r="J910" s="50"/>
      <c r="K910" s="50"/>
      <c r="L910" s="50"/>
      <c r="M910" s="50"/>
      <c r="N910" s="50"/>
      <c r="O910" s="50"/>
      <c r="P910" s="50"/>
      <c r="Q910" s="50"/>
      <c r="R910" s="50"/>
      <c r="S910" s="50"/>
      <c r="T910" s="50"/>
      <c r="U910" s="50"/>
      <c r="V910" s="50"/>
      <c r="W910" s="50"/>
      <c r="X910" s="50"/>
      <c r="Y910" s="50"/>
      <c r="Z910" s="50"/>
      <c r="AA910" s="50"/>
      <c r="AB910" s="50"/>
      <c r="AC910" s="50"/>
      <c r="AD910" s="50"/>
    </row>
    <row r="911">
      <c r="A911" s="49"/>
      <c r="B911" s="49"/>
      <c r="C911" s="49"/>
      <c r="D911" s="49"/>
      <c r="E911" s="50"/>
      <c r="F911" s="50"/>
      <c r="G911" s="50"/>
      <c r="H911" s="50"/>
      <c r="I911" s="50"/>
      <c r="J911" s="50"/>
      <c r="K911" s="50"/>
      <c r="L911" s="50"/>
      <c r="M911" s="50"/>
      <c r="N911" s="50"/>
      <c r="O911" s="50"/>
      <c r="P911" s="50"/>
      <c r="Q911" s="50"/>
      <c r="R911" s="50"/>
      <c r="S911" s="50"/>
      <c r="T911" s="50"/>
      <c r="U911" s="50"/>
      <c r="V911" s="50"/>
      <c r="W911" s="50"/>
      <c r="X911" s="50"/>
      <c r="Y911" s="50"/>
      <c r="Z911" s="50"/>
      <c r="AA911" s="50"/>
      <c r="AB911" s="50"/>
      <c r="AC911" s="50"/>
      <c r="AD911" s="50"/>
    </row>
    <row r="912">
      <c r="A912" s="49"/>
      <c r="B912" s="49"/>
      <c r="C912" s="49"/>
      <c r="D912" s="49"/>
      <c r="E912" s="50"/>
      <c r="F912" s="50"/>
      <c r="G912" s="50"/>
      <c r="H912" s="50"/>
      <c r="I912" s="50"/>
      <c r="J912" s="50"/>
      <c r="K912" s="50"/>
      <c r="L912" s="50"/>
      <c r="M912" s="50"/>
      <c r="N912" s="50"/>
      <c r="O912" s="50"/>
      <c r="P912" s="50"/>
      <c r="Q912" s="50"/>
      <c r="R912" s="50"/>
      <c r="S912" s="50"/>
      <c r="T912" s="50"/>
      <c r="U912" s="50"/>
      <c r="V912" s="50"/>
      <c r="W912" s="50"/>
      <c r="X912" s="50"/>
      <c r="Y912" s="50"/>
      <c r="Z912" s="50"/>
      <c r="AA912" s="50"/>
      <c r="AB912" s="50"/>
      <c r="AC912" s="50"/>
      <c r="AD912" s="50"/>
    </row>
    <row r="913">
      <c r="A913" s="49"/>
      <c r="B913" s="49"/>
      <c r="C913" s="49"/>
      <c r="D913" s="49"/>
      <c r="E913" s="50"/>
      <c r="F913" s="50"/>
      <c r="G913" s="50"/>
      <c r="H913" s="50"/>
      <c r="I913" s="50"/>
      <c r="J913" s="50"/>
      <c r="K913" s="50"/>
      <c r="L913" s="50"/>
      <c r="M913" s="50"/>
      <c r="N913" s="50"/>
      <c r="O913" s="50"/>
      <c r="P913" s="50"/>
      <c r="Q913" s="50"/>
      <c r="R913" s="50"/>
      <c r="S913" s="50"/>
      <c r="T913" s="50"/>
      <c r="U913" s="50"/>
      <c r="V913" s="50"/>
      <c r="W913" s="50"/>
      <c r="X913" s="50"/>
      <c r="Y913" s="50"/>
      <c r="Z913" s="50"/>
      <c r="AA913" s="50"/>
      <c r="AB913" s="50"/>
      <c r="AC913" s="50"/>
      <c r="AD913" s="50"/>
    </row>
    <row r="914">
      <c r="A914" s="49"/>
      <c r="B914" s="49"/>
      <c r="C914" s="49"/>
      <c r="D914" s="49"/>
      <c r="E914" s="50"/>
      <c r="F914" s="50"/>
      <c r="G914" s="50"/>
      <c r="H914" s="50"/>
      <c r="I914" s="50"/>
      <c r="J914" s="50"/>
      <c r="K914" s="50"/>
      <c r="L914" s="50"/>
      <c r="M914" s="50"/>
      <c r="N914" s="50"/>
      <c r="O914" s="50"/>
      <c r="P914" s="50"/>
      <c r="Q914" s="50"/>
      <c r="R914" s="50"/>
      <c r="S914" s="50"/>
      <c r="T914" s="50"/>
      <c r="U914" s="50"/>
      <c r="V914" s="50"/>
      <c r="W914" s="50"/>
      <c r="X914" s="50"/>
      <c r="Y914" s="50"/>
      <c r="Z914" s="50"/>
      <c r="AA914" s="50"/>
      <c r="AB914" s="50"/>
      <c r="AC914" s="50"/>
      <c r="AD914" s="50"/>
    </row>
    <row r="915">
      <c r="A915" s="49"/>
      <c r="B915" s="49"/>
      <c r="C915" s="49"/>
      <c r="D915" s="49"/>
      <c r="E915" s="50"/>
      <c r="F915" s="50"/>
      <c r="G915" s="50"/>
      <c r="H915" s="50"/>
      <c r="I915" s="50"/>
      <c r="J915" s="50"/>
      <c r="K915" s="50"/>
      <c r="L915" s="50"/>
      <c r="M915" s="50"/>
      <c r="N915" s="50"/>
      <c r="O915" s="50"/>
      <c r="P915" s="50"/>
      <c r="Q915" s="50"/>
      <c r="R915" s="50"/>
      <c r="S915" s="50"/>
      <c r="T915" s="50"/>
      <c r="U915" s="50"/>
      <c r="V915" s="50"/>
      <c r="W915" s="50"/>
      <c r="X915" s="50"/>
      <c r="Y915" s="50"/>
      <c r="Z915" s="50"/>
      <c r="AA915" s="50"/>
      <c r="AB915" s="50"/>
      <c r="AC915" s="50"/>
      <c r="AD915" s="50"/>
    </row>
    <row r="916">
      <c r="A916" s="49"/>
      <c r="B916" s="49"/>
      <c r="C916" s="49"/>
      <c r="D916" s="49"/>
      <c r="E916" s="50"/>
      <c r="F916" s="50"/>
      <c r="G916" s="50"/>
      <c r="H916" s="50"/>
      <c r="I916" s="50"/>
      <c r="J916" s="50"/>
      <c r="K916" s="50"/>
      <c r="L916" s="50"/>
      <c r="M916" s="50"/>
      <c r="N916" s="50"/>
      <c r="O916" s="50"/>
      <c r="P916" s="50"/>
      <c r="Q916" s="50"/>
      <c r="R916" s="50"/>
      <c r="S916" s="50"/>
      <c r="T916" s="50"/>
      <c r="U916" s="50"/>
      <c r="V916" s="50"/>
      <c r="W916" s="50"/>
      <c r="X916" s="50"/>
      <c r="Y916" s="50"/>
      <c r="Z916" s="50"/>
      <c r="AA916" s="50"/>
      <c r="AB916" s="50"/>
      <c r="AC916" s="50"/>
      <c r="AD916" s="50"/>
    </row>
    <row r="917">
      <c r="A917" s="49"/>
      <c r="B917" s="49"/>
      <c r="C917" s="49"/>
      <c r="D917" s="49"/>
      <c r="E917" s="50"/>
      <c r="F917" s="50"/>
      <c r="G917" s="50"/>
      <c r="H917" s="50"/>
      <c r="I917" s="50"/>
      <c r="J917" s="50"/>
      <c r="K917" s="50"/>
      <c r="L917" s="50"/>
      <c r="M917" s="50"/>
      <c r="N917" s="50"/>
      <c r="O917" s="50"/>
      <c r="P917" s="50"/>
      <c r="Q917" s="50"/>
      <c r="R917" s="50"/>
      <c r="S917" s="50"/>
      <c r="T917" s="50"/>
      <c r="U917" s="50"/>
      <c r="V917" s="50"/>
      <c r="W917" s="50"/>
      <c r="X917" s="50"/>
      <c r="Y917" s="50"/>
      <c r="Z917" s="50"/>
      <c r="AA917" s="50"/>
      <c r="AB917" s="50"/>
      <c r="AC917" s="50"/>
      <c r="AD917" s="50"/>
    </row>
    <row r="918">
      <c r="A918" s="49"/>
      <c r="B918" s="49"/>
      <c r="C918" s="49"/>
      <c r="D918" s="49"/>
      <c r="E918" s="50"/>
      <c r="F918" s="50"/>
      <c r="G918" s="50"/>
      <c r="H918" s="50"/>
      <c r="I918" s="50"/>
      <c r="J918" s="50"/>
      <c r="K918" s="50"/>
      <c r="L918" s="50"/>
      <c r="M918" s="50"/>
      <c r="N918" s="50"/>
      <c r="O918" s="50"/>
      <c r="P918" s="50"/>
      <c r="Q918" s="50"/>
      <c r="R918" s="50"/>
      <c r="S918" s="50"/>
      <c r="T918" s="50"/>
      <c r="U918" s="50"/>
      <c r="V918" s="50"/>
      <c r="W918" s="50"/>
      <c r="X918" s="50"/>
      <c r="Y918" s="50"/>
      <c r="Z918" s="50"/>
      <c r="AA918" s="50"/>
      <c r="AB918" s="50"/>
      <c r="AC918" s="50"/>
      <c r="AD918" s="50"/>
    </row>
    <row r="919">
      <c r="A919" s="49"/>
      <c r="B919" s="49"/>
      <c r="C919" s="49"/>
      <c r="D919" s="49"/>
      <c r="E919" s="50"/>
      <c r="F919" s="50"/>
      <c r="G919" s="50"/>
      <c r="H919" s="50"/>
      <c r="I919" s="50"/>
      <c r="J919" s="50"/>
      <c r="K919" s="50"/>
      <c r="L919" s="50"/>
      <c r="M919" s="50"/>
      <c r="N919" s="50"/>
      <c r="O919" s="50"/>
      <c r="P919" s="50"/>
      <c r="Q919" s="50"/>
      <c r="R919" s="50"/>
      <c r="S919" s="50"/>
      <c r="T919" s="50"/>
      <c r="U919" s="50"/>
      <c r="V919" s="50"/>
      <c r="W919" s="50"/>
      <c r="X919" s="50"/>
      <c r="Y919" s="50"/>
      <c r="Z919" s="50"/>
      <c r="AA919" s="50"/>
      <c r="AB919" s="50"/>
      <c r="AC919" s="50"/>
      <c r="AD919" s="50"/>
    </row>
    <row r="920">
      <c r="A920" s="49"/>
      <c r="B920" s="49"/>
      <c r="C920" s="49"/>
      <c r="D920" s="49"/>
      <c r="E920" s="50"/>
      <c r="F920" s="50"/>
      <c r="G920" s="50"/>
      <c r="H920" s="50"/>
      <c r="I920" s="50"/>
      <c r="J920" s="50"/>
      <c r="K920" s="50"/>
      <c r="L920" s="50"/>
      <c r="M920" s="50"/>
      <c r="N920" s="50"/>
      <c r="O920" s="50"/>
      <c r="P920" s="50"/>
      <c r="Q920" s="50"/>
      <c r="R920" s="50"/>
      <c r="S920" s="50"/>
      <c r="T920" s="50"/>
      <c r="U920" s="50"/>
      <c r="V920" s="50"/>
      <c r="W920" s="50"/>
      <c r="X920" s="50"/>
      <c r="Y920" s="50"/>
      <c r="Z920" s="50"/>
      <c r="AA920" s="50"/>
      <c r="AB920" s="50"/>
      <c r="AC920" s="50"/>
      <c r="AD920" s="50"/>
    </row>
    <row r="921">
      <c r="A921" s="49"/>
      <c r="B921" s="49"/>
      <c r="C921" s="49"/>
      <c r="D921" s="49"/>
      <c r="E921" s="50"/>
      <c r="F921" s="50"/>
      <c r="G921" s="50"/>
      <c r="H921" s="50"/>
      <c r="I921" s="50"/>
      <c r="J921" s="50"/>
      <c r="K921" s="50"/>
      <c r="L921" s="50"/>
      <c r="M921" s="50"/>
      <c r="N921" s="50"/>
      <c r="O921" s="50"/>
      <c r="P921" s="50"/>
      <c r="Q921" s="50"/>
      <c r="R921" s="50"/>
      <c r="S921" s="50"/>
      <c r="T921" s="50"/>
      <c r="U921" s="50"/>
      <c r="V921" s="50"/>
      <c r="W921" s="50"/>
      <c r="X921" s="50"/>
      <c r="Y921" s="50"/>
      <c r="Z921" s="50"/>
      <c r="AA921" s="50"/>
      <c r="AB921" s="50"/>
      <c r="AC921" s="50"/>
      <c r="AD921" s="50"/>
    </row>
    <row r="922">
      <c r="A922" s="49"/>
      <c r="B922" s="49"/>
      <c r="C922" s="49"/>
      <c r="D922" s="49"/>
      <c r="E922" s="50"/>
      <c r="F922" s="50"/>
      <c r="G922" s="50"/>
      <c r="H922" s="50"/>
      <c r="I922" s="50"/>
      <c r="J922" s="50"/>
      <c r="K922" s="50"/>
      <c r="L922" s="50"/>
      <c r="M922" s="50"/>
      <c r="N922" s="50"/>
      <c r="O922" s="50"/>
      <c r="P922" s="50"/>
      <c r="Q922" s="50"/>
      <c r="R922" s="50"/>
      <c r="S922" s="50"/>
      <c r="T922" s="50"/>
      <c r="U922" s="50"/>
      <c r="V922" s="50"/>
      <c r="W922" s="50"/>
      <c r="X922" s="50"/>
      <c r="Y922" s="50"/>
      <c r="Z922" s="50"/>
      <c r="AA922" s="50"/>
      <c r="AB922" s="50"/>
      <c r="AC922" s="50"/>
      <c r="AD922" s="50"/>
    </row>
    <row r="923">
      <c r="A923" s="49"/>
      <c r="B923" s="49"/>
      <c r="C923" s="49"/>
      <c r="D923" s="49"/>
      <c r="E923" s="50"/>
      <c r="F923" s="50"/>
      <c r="G923" s="50"/>
      <c r="H923" s="50"/>
      <c r="I923" s="50"/>
      <c r="J923" s="50"/>
      <c r="K923" s="50"/>
      <c r="L923" s="50"/>
      <c r="M923" s="50"/>
      <c r="N923" s="50"/>
      <c r="O923" s="50"/>
      <c r="P923" s="50"/>
      <c r="Q923" s="50"/>
      <c r="R923" s="50"/>
      <c r="S923" s="50"/>
      <c r="T923" s="50"/>
      <c r="U923" s="50"/>
      <c r="V923" s="50"/>
      <c r="W923" s="50"/>
      <c r="X923" s="50"/>
      <c r="Y923" s="50"/>
      <c r="Z923" s="50"/>
      <c r="AA923" s="50"/>
      <c r="AB923" s="50"/>
      <c r="AC923" s="50"/>
      <c r="AD923" s="50"/>
    </row>
    <row r="924">
      <c r="A924" s="49"/>
      <c r="B924" s="49"/>
      <c r="C924" s="49"/>
      <c r="D924" s="49"/>
      <c r="E924" s="50"/>
      <c r="F924" s="50"/>
      <c r="G924" s="50"/>
      <c r="H924" s="50"/>
      <c r="I924" s="50"/>
      <c r="J924" s="50"/>
      <c r="K924" s="50"/>
      <c r="L924" s="50"/>
      <c r="M924" s="50"/>
      <c r="N924" s="50"/>
      <c r="O924" s="50"/>
      <c r="P924" s="50"/>
      <c r="Q924" s="50"/>
      <c r="R924" s="50"/>
      <c r="S924" s="50"/>
      <c r="T924" s="50"/>
      <c r="U924" s="50"/>
      <c r="V924" s="50"/>
      <c r="W924" s="50"/>
      <c r="X924" s="50"/>
      <c r="Y924" s="50"/>
      <c r="Z924" s="50"/>
      <c r="AA924" s="50"/>
      <c r="AB924" s="50"/>
      <c r="AC924" s="50"/>
      <c r="AD924" s="50"/>
    </row>
    <row r="925">
      <c r="A925" s="49"/>
      <c r="B925" s="49"/>
      <c r="C925" s="49"/>
      <c r="D925" s="49"/>
      <c r="E925" s="50"/>
      <c r="F925" s="50"/>
      <c r="G925" s="50"/>
      <c r="H925" s="50"/>
      <c r="I925" s="50"/>
      <c r="J925" s="50"/>
      <c r="K925" s="50"/>
      <c r="L925" s="50"/>
      <c r="M925" s="50"/>
      <c r="N925" s="50"/>
      <c r="O925" s="50"/>
      <c r="P925" s="50"/>
      <c r="Q925" s="50"/>
      <c r="R925" s="50"/>
      <c r="S925" s="50"/>
      <c r="T925" s="50"/>
      <c r="U925" s="50"/>
      <c r="V925" s="50"/>
      <c r="W925" s="50"/>
      <c r="X925" s="50"/>
      <c r="Y925" s="50"/>
      <c r="Z925" s="50"/>
      <c r="AA925" s="50"/>
      <c r="AB925" s="50"/>
      <c r="AC925" s="50"/>
      <c r="AD925" s="50"/>
    </row>
    <row r="926">
      <c r="A926" s="49"/>
      <c r="B926" s="49"/>
      <c r="C926" s="49"/>
      <c r="D926" s="49"/>
      <c r="E926" s="50"/>
      <c r="F926" s="50"/>
      <c r="G926" s="50"/>
      <c r="H926" s="50"/>
      <c r="I926" s="50"/>
      <c r="J926" s="50"/>
      <c r="K926" s="50"/>
      <c r="L926" s="50"/>
      <c r="M926" s="50"/>
      <c r="N926" s="50"/>
      <c r="O926" s="50"/>
      <c r="P926" s="50"/>
      <c r="Q926" s="50"/>
      <c r="R926" s="50"/>
      <c r="S926" s="50"/>
      <c r="T926" s="50"/>
      <c r="U926" s="50"/>
      <c r="V926" s="50"/>
      <c r="W926" s="50"/>
      <c r="X926" s="50"/>
      <c r="Y926" s="50"/>
      <c r="Z926" s="50"/>
      <c r="AA926" s="50"/>
      <c r="AB926" s="50"/>
      <c r="AC926" s="50"/>
      <c r="AD926" s="50"/>
    </row>
    <row r="927">
      <c r="A927" s="49"/>
      <c r="B927" s="49"/>
      <c r="C927" s="49"/>
      <c r="D927" s="49"/>
      <c r="E927" s="50"/>
      <c r="F927" s="50"/>
      <c r="G927" s="50"/>
      <c r="H927" s="50"/>
      <c r="I927" s="50"/>
      <c r="J927" s="50"/>
      <c r="K927" s="50"/>
      <c r="L927" s="50"/>
      <c r="M927" s="50"/>
      <c r="N927" s="50"/>
      <c r="O927" s="50"/>
      <c r="P927" s="50"/>
      <c r="Q927" s="50"/>
      <c r="R927" s="50"/>
      <c r="S927" s="50"/>
      <c r="T927" s="50"/>
      <c r="U927" s="50"/>
      <c r="V927" s="50"/>
      <c r="W927" s="50"/>
      <c r="X927" s="50"/>
      <c r="Y927" s="50"/>
      <c r="Z927" s="50"/>
      <c r="AA927" s="50"/>
      <c r="AB927" s="50"/>
      <c r="AC927" s="50"/>
      <c r="AD927" s="50"/>
    </row>
    <row r="928">
      <c r="A928" s="49"/>
      <c r="B928" s="49"/>
      <c r="C928" s="49"/>
      <c r="D928" s="49"/>
      <c r="E928" s="50"/>
      <c r="F928" s="50"/>
      <c r="G928" s="50"/>
      <c r="H928" s="50"/>
      <c r="I928" s="50"/>
      <c r="J928" s="50"/>
      <c r="K928" s="50"/>
      <c r="L928" s="50"/>
      <c r="M928" s="50"/>
      <c r="N928" s="50"/>
      <c r="O928" s="50"/>
      <c r="P928" s="50"/>
      <c r="Q928" s="50"/>
      <c r="R928" s="50"/>
      <c r="S928" s="50"/>
      <c r="T928" s="50"/>
      <c r="U928" s="50"/>
      <c r="V928" s="50"/>
      <c r="W928" s="50"/>
      <c r="X928" s="50"/>
      <c r="Y928" s="50"/>
      <c r="Z928" s="50"/>
      <c r="AA928" s="50"/>
      <c r="AB928" s="50"/>
      <c r="AC928" s="50"/>
      <c r="AD928" s="50"/>
    </row>
    <row r="929">
      <c r="A929" s="49"/>
      <c r="B929" s="49"/>
      <c r="C929" s="49"/>
      <c r="D929" s="49"/>
      <c r="E929" s="50"/>
      <c r="F929" s="50"/>
      <c r="G929" s="50"/>
      <c r="H929" s="50"/>
      <c r="I929" s="50"/>
      <c r="J929" s="50"/>
      <c r="K929" s="50"/>
      <c r="L929" s="50"/>
      <c r="M929" s="50"/>
      <c r="N929" s="50"/>
      <c r="O929" s="50"/>
      <c r="P929" s="50"/>
      <c r="Q929" s="50"/>
      <c r="R929" s="50"/>
      <c r="S929" s="50"/>
      <c r="T929" s="50"/>
      <c r="U929" s="50"/>
      <c r="V929" s="50"/>
      <c r="W929" s="50"/>
      <c r="X929" s="50"/>
      <c r="Y929" s="50"/>
      <c r="Z929" s="50"/>
      <c r="AA929" s="50"/>
      <c r="AB929" s="50"/>
      <c r="AC929" s="50"/>
      <c r="AD929" s="50"/>
    </row>
    <row r="930">
      <c r="A930" s="49"/>
      <c r="B930" s="49"/>
      <c r="C930" s="49"/>
      <c r="D930" s="49"/>
      <c r="E930" s="50"/>
      <c r="F930" s="50"/>
      <c r="G930" s="50"/>
      <c r="H930" s="50"/>
      <c r="I930" s="50"/>
      <c r="J930" s="50"/>
      <c r="K930" s="50"/>
      <c r="L930" s="50"/>
      <c r="M930" s="50"/>
      <c r="N930" s="50"/>
      <c r="O930" s="50"/>
      <c r="P930" s="50"/>
      <c r="Q930" s="50"/>
      <c r="R930" s="50"/>
      <c r="S930" s="50"/>
      <c r="T930" s="50"/>
      <c r="U930" s="50"/>
      <c r="V930" s="50"/>
      <c r="W930" s="50"/>
      <c r="X930" s="50"/>
      <c r="Y930" s="50"/>
      <c r="Z930" s="50"/>
      <c r="AA930" s="50"/>
      <c r="AB930" s="50"/>
      <c r="AC930" s="50"/>
      <c r="AD930" s="50"/>
    </row>
    <row r="931">
      <c r="A931" s="49"/>
      <c r="B931" s="49"/>
      <c r="C931" s="49"/>
      <c r="D931" s="49"/>
      <c r="E931" s="50"/>
      <c r="F931" s="50"/>
      <c r="G931" s="50"/>
      <c r="H931" s="50"/>
      <c r="I931" s="50"/>
      <c r="J931" s="50"/>
      <c r="K931" s="50"/>
      <c r="L931" s="50"/>
      <c r="M931" s="50"/>
      <c r="N931" s="50"/>
      <c r="O931" s="50"/>
      <c r="P931" s="50"/>
      <c r="Q931" s="50"/>
      <c r="R931" s="50"/>
      <c r="S931" s="50"/>
      <c r="T931" s="50"/>
      <c r="U931" s="50"/>
      <c r="V931" s="50"/>
      <c r="W931" s="50"/>
      <c r="X931" s="50"/>
      <c r="Y931" s="50"/>
      <c r="Z931" s="50"/>
      <c r="AA931" s="50"/>
      <c r="AB931" s="50"/>
      <c r="AC931" s="50"/>
      <c r="AD931" s="50"/>
    </row>
    <row r="932">
      <c r="A932" s="49"/>
      <c r="B932" s="49"/>
      <c r="C932" s="49"/>
      <c r="D932" s="49"/>
      <c r="E932" s="50"/>
      <c r="F932" s="50"/>
      <c r="G932" s="50"/>
      <c r="H932" s="50"/>
      <c r="I932" s="50"/>
      <c r="J932" s="50"/>
      <c r="K932" s="50"/>
      <c r="L932" s="50"/>
      <c r="M932" s="50"/>
      <c r="N932" s="50"/>
      <c r="O932" s="50"/>
      <c r="P932" s="50"/>
      <c r="Q932" s="50"/>
      <c r="R932" s="50"/>
      <c r="S932" s="50"/>
      <c r="T932" s="50"/>
      <c r="U932" s="50"/>
      <c r="V932" s="50"/>
      <c r="W932" s="50"/>
      <c r="X932" s="50"/>
      <c r="Y932" s="50"/>
      <c r="Z932" s="50"/>
      <c r="AA932" s="50"/>
      <c r="AB932" s="50"/>
      <c r="AC932" s="50"/>
      <c r="AD932" s="50"/>
    </row>
    <row r="933">
      <c r="A933" s="49"/>
      <c r="B933" s="49"/>
      <c r="C933" s="49"/>
      <c r="D933" s="49"/>
      <c r="E933" s="50"/>
      <c r="F933" s="50"/>
      <c r="G933" s="50"/>
      <c r="H933" s="50"/>
      <c r="I933" s="50"/>
      <c r="J933" s="50"/>
      <c r="K933" s="50"/>
      <c r="L933" s="50"/>
      <c r="M933" s="50"/>
      <c r="N933" s="50"/>
      <c r="O933" s="50"/>
      <c r="P933" s="50"/>
      <c r="Q933" s="50"/>
      <c r="R933" s="50"/>
      <c r="S933" s="50"/>
      <c r="T933" s="50"/>
      <c r="U933" s="50"/>
      <c r="V933" s="50"/>
      <c r="W933" s="50"/>
      <c r="X933" s="50"/>
      <c r="Y933" s="50"/>
      <c r="Z933" s="50"/>
      <c r="AA933" s="50"/>
      <c r="AB933" s="50"/>
      <c r="AC933" s="50"/>
      <c r="AD933" s="50"/>
    </row>
    <row r="934">
      <c r="A934" s="49"/>
      <c r="B934" s="49"/>
      <c r="C934" s="49"/>
      <c r="D934" s="49"/>
      <c r="E934" s="50"/>
      <c r="F934" s="50"/>
      <c r="G934" s="50"/>
      <c r="H934" s="50"/>
      <c r="I934" s="50"/>
      <c r="J934" s="50"/>
      <c r="K934" s="50"/>
      <c r="L934" s="50"/>
      <c r="M934" s="50"/>
      <c r="N934" s="50"/>
      <c r="O934" s="50"/>
      <c r="P934" s="50"/>
      <c r="Q934" s="50"/>
      <c r="R934" s="50"/>
      <c r="S934" s="50"/>
      <c r="T934" s="50"/>
      <c r="U934" s="50"/>
      <c r="V934" s="50"/>
      <c r="W934" s="50"/>
      <c r="X934" s="50"/>
      <c r="Y934" s="50"/>
      <c r="Z934" s="50"/>
      <c r="AA934" s="50"/>
      <c r="AB934" s="50"/>
      <c r="AC934" s="50"/>
      <c r="AD934" s="50"/>
    </row>
    <row r="935">
      <c r="A935" s="49"/>
      <c r="B935" s="49"/>
      <c r="C935" s="49"/>
      <c r="D935" s="49"/>
      <c r="E935" s="50"/>
      <c r="F935" s="50"/>
      <c r="G935" s="50"/>
      <c r="H935" s="50"/>
      <c r="I935" s="50"/>
      <c r="J935" s="50"/>
      <c r="K935" s="50"/>
      <c r="L935" s="50"/>
      <c r="M935" s="50"/>
      <c r="N935" s="50"/>
      <c r="O935" s="50"/>
      <c r="P935" s="50"/>
      <c r="Q935" s="50"/>
      <c r="R935" s="50"/>
      <c r="S935" s="50"/>
      <c r="T935" s="50"/>
      <c r="U935" s="50"/>
      <c r="V935" s="50"/>
      <c r="W935" s="50"/>
      <c r="X935" s="50"/>
      <c r="Y935" s="50"/>
      <c r="Z935" s="50"/>
      <c r="AA935" s="50"/>
      <c r="AB935" s="50"/>
      <c r="AC935" s="50"/>
      <c r="AD935" s="50"/>
    </row>
    <row r="936">
      <c r="A936" s="49"/>
      <c r="B936" s="49"/>
      <c r="C936" s="49"/>
      <c r="D936" s="49"/>
      <c r="E936" s="50"/>
      <c r="F936" s="50"/>
      <c r="G936" s="50"/>
      <c r="H936" s="50"/>
      <c r="I936" s="50"/>
      <c r="J936" s="50"/>
      <c r="K936" s="50"/>
      <c r="L936" s="50"/>
      <c r="M936" s="50"/>
      <c r="N936" s="50"/>
      <c r="O936" s="50"/>
      <c r="P936" s="50"/>
      <c r="Q936" s="50"/>
      <c r="R936" s="50"/>
      <c r="S936" s="50"/>
      <c r="T936" s="50"/>
      <c r="U936" s="50"/>
      <c r="V936" s="50"/>
      <c r="W936" s="50"/>
      <c r="X936" s="50"/>
      <c r="Y936" s="50"/>
      <c r="Z936" s="50"/>
      <c r="AA936" s="50"/>
      <c r="AB936" s="50"/>
      <c r="AC936" s="50"/>
      <c r="AD936" s="50"/>
    </row>
    <row r="937">
      <c r="A937" s="49"/>
      <c r="B937" s="49"/>
      <c r="C937" s="49"/>
      <c r="D937" s="49"/>
      <c r="E937" s="50"/>
      <c r="F937" s="50"/>
      <c r="G937" s="50"/>
      <c r="H937" s="50"/>
      <c r="I937" s="50"/>
      <c r="J937" s="50"/>
      <c r="K937" s="50"/>
      <c r="L937" s="50"/>
      <c r="M937" s="50"/>
      <c r="N937" s="50"/>
      <c r="O937" s="50"/>
      <c r="P937" s="50"/>
      <c r="Q937" s="50"/>
      <c r="R937" s="50"/>
      <c r="S937" s="50"/>
      <c r="T937" s="50"/>
      <c r="U937" s="50"/>
      <c r="V937" s="50"/>
      <c r="W937" s="50"/>
      <c r="X937" s="50"/>
      <c r="Y937" s="50"/>
      <c r="Z937" s="50"/>
      <c r="AA937" s="50"/>
      <c r="AB937" s="50"/>
      <c r="AC937" s="50"/>
      <c r="AD937" s="50"/>
    </row>
    <row r="938">
      <c r="A938" s="49"/>
      <c r="B938" s="49"/>
      <c r="C938" s="49"/>
      <c r="D938" s="49"/>
      <c r="E938" s="50"/>
      <c r="F938" s="50"/>
      <c r="G938" s="50"/>
      <c r="H938" s="50"/>
      <c r="I938" s="50"/>
      <c r="J938" s="50"/>
      <c r="K938" s="50"/>
      <c r="L938" s="50"/>
      <c r="M938" s="50"/>
      <c r="N938" s="50"/>
      <c r="O938" s="50"/>
      <c r="P938" s="50"/>
      <c r="Q938" s="50"/>
      <c r="R938" s="50"/>
      <c r="S938" s="50"/>
      <c r="T938" s="50"/>
      <c r="U938" s="50"/>
      <c r="V938" s="50"/>
      <c r="W938" s="50"/>
      <c r="X938" s="50"/>
      <c r="Y938" s="50"/>
      <c r="Z938" s="50"/>
      <c r="AA938" s="50"/>
      <c r="AB938" s="50"/>
      <c r="AC938" s="50"/>
      <c r="AD938" s="50"/>
    </row>
    <row r="939">
      <c r="A939" s="49"/>
      <c r="B939" s="49"/>
      <c r="C939" s="49"/>
      <c r="D939" s="49"/>
      <c r="E939" s="50"/>
      <c r="F939" s="50"/>
      <c r="G939" s="50"/>
      <c r="H939" s="50"/>
      <c r="I939" s="50"/>
      <c r="J939" s="50"/>
      <c r="K939" s="50"/>
      <c r="L939" s="50"/>
      <c r="M939" s="50"/>
      <c r="N939" s="50"/>
      <c r="O939" s="50"/>
      <c r="P939" s="50"/>
      <c r="Q939" s="50"/>
      <c r="R939" s="50"/>
      <c r="S939" s="50"/>
      <c r="T939" s="50"/>
      <c r="U939" s="50"/>
      <c r="V939" s="50"/>
      <c r="W939" s="50"/>
      <c r="X939" s="50"/>
      <c r="Y939" s="50"/>
      <c r="Z939" s="50"/>
      <c r="AA939" s="50"/>
      <c r="AB939" s="50"/>
      <c r="AC939" s="50"/>
      <c r="AD939" s="50"/>
    </row>
    <row r="940">
      <c r="A940" s="49"/>
      <c r="B940" s="49"/>
      <c r="C940" s="49"/>
      <c r="D940" s="49"/>
      <c r="E940" s="50"/>
      <c r="F940" s="50"/>
      <c r="G940" s="50"/>
      <c r="H940" s="50"/>
      <c r="I940" s="50"/>
      <c r="J940" s="50"/>
      <c r="K940" s="50"/>
      <c r="L940" s="50"/>
      <c r="M940" s="50"/>
      <c r="N940" s="50"/>
      <c r="O940" s="50"/>
      <c r="P940" s="50"/>
      <c r="Q940" s="50"/>
      <c r="R940" s="50"/>
      <c r="S940" s="50"/>
      <c r="T940" s="50"/>
      <c r="U940" s="50"/>
      <c r="V940" s="50"/>
      <c r="W940" s="50"/>
      <c r="X940" s="50"/>
      <c r="Y940" s="50"/>
      <c r="Z940" s="50"/>
      <c r="AA940" s="50"/>
      <c r="AB940" s="50"/>
      <c r="AC940" s="50"/>
      <c r="AD940" s="50"/>
    </row>
    <row r="941">
      <c r="A941" s="49"/>
      <c r="B941" s="49"/>
      <c r="C941" s="49"/>
      <c r="D941" s="49"/>
      <c r="E941" s="50"/>
      <c r="F941" s="50"/>
      <c r="G941" s="50"/>
      <c r="H941" s="50"/>
      <c r="I941" s="50"/>
      <c r="J941" s="50"/>
      <c r="K941" s="50"/>
      <c r="L941" s="50"/>
      <c r="M941" s="50"/>
      <c r="N941" s="50"/>
      <c r="O941" s="50"/>
      <c r="P941" s="50"/>
      <c r="Q941" s="50"/>
      <c r="R941" s="50"/>
      <c r="S941" s="50"/>
      <c r="T941" s="50"/>
      <c r="U941" s="50"/>
      <c r="V941" s="50"/>
      <c r="W941" s="50"/>
      <c r="X941" s="50"/>
      <c r="Y941" s="50"/>
      <c r="Z941" s="50"/>
      <c r="AA941" s="50"/>
      <c r="AB941" s="50"/>
      <c r="AC941" s="50"/>
      <c r="AD941" s="50"/>
    </row>
    <row r="942">
      <c r="A942" s="49"/>
      <c r="B942" s="49"/>
      <c r="C942" s="49"/>
      <c r="D942" s="49"/>
      <c r="E942" s="50"/>
      <c r="F942" s="50"/>
      <c r="G942" s="50"/>
      <c r="H942" s="50"/>
      <c r="I942" s="50"/>
      <c r="J942" s="50"/>
      <c r="K942" s="50"/>
      <c r="L942" s="50"/>
      <c r="M942" s="50"/>
      <c r="N942" s="50"/>
      <c r="O942" s="50"/>
      <c r="P942" s="50"/>
      <c r="Q942" s="50"/>
      <c r="R942" s="50"/>
      <c r="S942" s="50"/>
      <c r="T942" s="50"/>
      <c r="U942" s="50"/>
      <c r="V942" s="50"/>
      <c r="W942" s="50"/>
      <c r="X942" s="50"/>
      <c r="Y942" s="50"/>
      <c r="Z942" s="50"/>
      <c r="AA942" s="50"/>
      <c r="AB942" s="50"/>
      <c r="AC942" s="50"/>
      <c r="AD942" s="50"/>
    </row>
    <row r="943">
      <c r="A943" s="49"/>
      <c r="B943" s="49"/>
      <c r="C943" s="49"/>
      <c r="D943" s="49"/>
      <c r="E943" s="50"/>
      <c r="F943" s="50"/>
      <c r="G943" s="50"/>
      <c r="H943" s="50"/>
      <c r="I943" s="50"/>
      <c r="J943" s="50"/>
      <c r="K943" s="50"/>
      <c r="L943" s="50"/>
      <c r="M943" s="50"/>
      <c r="N943" s="50"/>
      <c r="O943" s="50"/>
      <c r="P943" s="50"/>
      <c r="Q943" s="50"/>
      <c r="R943" s="50"/>
      <c r="S943" s="50"/>
      <c r="T943" s="50"/>
      <c r="U943" s="50"/>
      <c r="V943" s="50"/>
      <c r="W943" s="50"/>
      <c r="X943" s="50"/>
      <c r="Y943" s="50"/>
      <c r="Z943" s="50"/>
      <c r="AA943" s="50"/>
      <c r="AB943" s="50"/>
      <c r="AC943" s="50"/>
      <c r="AD943" s="50"/>
    </row>
    <row r="944">
      <c r="A944" s="49"/>
      <c r="B944" s="49"/>
      <c r="C944" s="49"/>
      <c r="D944" s="49"/>
      <c r="E944" s="50"/>
      <c r="F944" s="50"/>
      <c r="G944" s="50"/>
      <c r="H944" s="50"/>
      <c r="I944" s="50"/>
      <c r="J944" s="50"/>
      <c r="K944" s="50"/>
      <c r="L944" s="50"/>
      <c r="M944" s="50"/>
      <c r="N944" s="50"/>
      <c r="O944" s="50"/>
      <c r="P944" s="50"/>
      <c r="Q944" s="50"/>
      <c r="R944" s="50"/>
      <c r="S944" s="50"/>
      <c r="T944" s="50"/>
      <c r="U944" s="50"/>
      <c r="V944" s="50"/>
      <c r="W944" s="50"/>
      <c r="X944" s="50"/>
      <c r="Y944" s="50"/>
      <c r="Z944" s="50"/>
      <c r="AA944" s="50"/>
      <c r="AB944" s="50"/>
      <c r="AC944" s="50"/>
      <c r="AD944" s="50"/>
    </row>
    <row r="945">
      <c r="A945" s="49"/>
      <c r="B945" s="49"/>
      <c r="C945" s="49"/>
      <c r="D945" s="49"/>
      <c r="E945" s="50"/>
      <c r="F945" s="50"/>
      <c r="G945" s="50"/>
      <c r="H945" s="50"/>
      <c r="I945" s="50"/>
      <c r="J945" s="50"/>
      <c r="K945" s="50"/>
      <c r="L945" s="50"/>
      <c r="M945" s="50"/>
      <c r="N945" s="50"/>
      <c r="O945" s="50"/>
      <c r="P945" s="50"/>
      <c r="Q945" s="50"/>
      <c r="R945" s="50"/>
      <c r="S945" s="50"/>
      <c r="T945" s="50"/>
      <c r="U945" s="50"/>
      <c r="V945" s="50"/>
      <c r="W945" s="50"/>
      <c r="X945" s="50"/>
      <c r="Y945" s="50"/>
      <c r="Z945" s="50"/>
      <c r="AA945" s="50"/>
      <c r="AB945" s="50"/>
      <c r="AC945" s="50"/>
      <c r="AD945" s="50"/>
    </row>
    <row r="946">
      <c r="A946" s="49"/>
      <c r="B946" s="49"/>
      <c r="C946" s="49"/>
      <c r="D946" s="49"/>
      <c r="E946" s="50"/>
      <c r="F946" s="50"/>
      <c r="G946" s="50"/>
      <c r="H946" s="50"/>
      <c r="I946" s="50"/>
      <c r="J946" s="50"/>
      <c r="K946" s="50"/>
      <c r="L946" s="50"/>
      <c r="M946" s="50"/>
      <c r="N946" s="50"/>
      <c r="O946" s="50"/>
      <c r="P946" s="50"/>
      <c r="Q946" s="50"/>
      <c r="R946" s="50"/>
      <c r="S946" s="50"/>
      <c r="T946" s="50"/>
      <c r="U946" s="50"/>
      <c r="V946" s="50"/>
      <c r="W946" s="50"/>
      <c r="X946" s="50"/>
      <c r="Y946" s="50"/>
      <c r="Z946" s="50"/>
      <c r="AA946" s="50"/>
      <c r="AB946" s="50"/>
      <c r="AC946" s="50"/>
      <c r="AD946" s="50"/>
    </row>
    <row r="947">
      <c r="A947" s="49"/>
      <c r="B947" s="49"/>
      <c r="C947" s="49"/>
      <c r="D947" s="49"/>
      <c r="E947" s="50"/>
      <c r="F947" s="50"/>
      <c r="G947" s="50"/>
      <c r="H947" s="50"/>
      <c r="I947" s="50"/>
      <c r="J947" s="50"/>
      <c r="K947" s="50"/>
      <c r="L947" s="50"/>
      <c r="M947" s="50"/>
      <c r="N947" s="50"/>
      <c r="O947" s="50"/>
      <c r="P947" s="50"/>
      <c r="Q947" s="50"/>
      <c r="R947" s="50"/>
      <c r="S947" s="50"/>
      <c r="T947" s="50"/>
      <c r="U947" s="50"/>
      <c r="V947" s="50"/>
      <c r="W947" s="50"/>
      <c r="X947" s="50"/>
      <c r="Y947" s="50"/>
      <c r="Z947" s="50"/>
      <c r="AA947" s="50"/>
      <c r="AB947" s="50"/>
      <c r="AC947" s="50"/>
      <c r="AD947" s="50"/>
    </row>
    <row r="948">
      <c r="A948" s="49"/>
      <c r="B948" s="49"/>
      <c r="C948" s="49"/>
      <c r="D948" s="49"/>
      <c r="E948" s="50"/>
      <c r="F948" s="50"/>
      <c r="G948" s="50"/>
      <c r="H948" s="50"/>
      <c r="I948" s="50"/>
      <c r="J948" s="50"/>
      <c r="K948" s="50"/>
      <c r="L948" s="50"/>
      <c r="M948" s="50"/>
      <c r="N948" s="50"/>
      <c r="O948" s="50"/>
      <c r="P948" s="50"/>
      <c r="Q948" s="50"/>
      <c r="R948" s="50"/>
      <c r="S948" s="50"/>
      <c r="T948" s="50"/>
      <c r="U948" s="50"/>
      <c r="V948" s="50"/>
      <c r="W948" s="50"/>
      <c r="X948" s="50"/>
      <c r="Y948" s="50"/>
      <c r="Z948" s="50"/>
      <c r="AA948" s="50"/>
      <c r="AB948" s="50"/>
      <c r="AC948" s="50"/>
      <c r="AD948" s="50"/>
    </row>
    <row r="949">
      <c r="A949" s="49"/>
      <c r="B949" s="49"/>
      <c r="C949" s="49"/>
      <c r="D949" s="49"/>
      <c r="E949" s="50"/>
      <c r="F949" s="50"/>
      <c r="G949" s="50"/>
      <c r="H949" s="50"/>
      <c r="I949" s="50"/>
      <c r="J949" s="50"/>
      <c r="K949" s="50"/>
      <c r="L949" s="50"/>
      <c r="M949" s="50"/>
      <c r="N949" s="50"/>
      <c r="O949" s="50"/>
      <c r="P949" s="50"/>
      <c r="Q949" s="50"/>
      <c r="R949" s="50"/>
      <c r="S949" s="50"/>
      <c r="T949" s="50"/>
      <c r="U949" s="50"/>
      <c r="V949" s="50"/>
      <c r="W949" s="50"/>
      <c r="X949" s="50"/>
      <c r="Y949" s="50"/>
      <c r="Z949" s="50"/>
      <c r="AA949" s="50"/>
      <c r="AB949" s="50"/>
      <c r="AC949" s="50"/>
      <c r="AD949" s="50"/>
    </row>
    <row r="950">
      <c r="A950" s="49"/>
      <c r="B950" s="49"/>
      <c r="C950" s="49"/>
      <c r="D950" s="49"/>
      <c r="E950" s="50"/>
      <c r="F950" s="50"/>
      <c r="G950" s="50"/>
      <c r="H950" s="50"/>
      <c r="I950" s="50"/>
      <c r="J950" s="50"/>
      <c r="K950" s="50"/>
      <c r="L950" s="50"/>
      <c r="M950" s="50"/>
      <c r="N950" s="50"/>
      <c r="O950" s="50"/>
      <c r="P950" s="50"/>
      <c r="Q950" s="50"/>
      <c r="R950" s="50"/>
      <c r="S950" s="50"/>
      <c r="T950" s="50"/>
      <c r="U950" s="50"/>
      <c r="V950" s="50"/>
      <c r="W950" s="50"/>
      <c r="X950" s="50"/>
      <c r="Y950" s="50"/>
      <c r="Z950" s="50"/>
      <c r="AA950" s="50"/>
      <c r="AB950" s="50"/>
      <c r="AC950" s="50"/>
      <c r="AD950" s="50"/>
    </row>
    <row r="951">
      <c r="A951" s="49"/>
      <c r="B951" s="49"/>
      <c r="C951" s="49"/>
      <c r="D951" s="49"/>
      <c r="E951" s="50"/>
      <c r="F951" s="50"/>
      <c r="G951" s="50"/>
      <c r="H951" s="50"/>
      <c r="I951" s="50"/>
      <c r="J951" s="50"/>
      <c r="K951" s="50"/>
      <c r="L951" s="50"/>
      <c r="M951" s="50"/>
      <c r="N951" s="50"/>
      <c r="O951" s="50"/>
      <c r="P951" s="50"/>
      <c r="Q951" s="50"/>
      <c r="R951" s="50"/>
      <c r="S951" s="50"/>
      <c r="T951" s="50"/>
      <c r="U951" s="50"/>
      <c r="V951" s="50"/>
      <c r="W951" s="50"/>
      <c r="X951" s="50"/>
      <c r="Y951" s="50"/>
      <c r="Z951" s="50"/>
      <c r="AA951" s="50"/>
      <c r="AB951" s="50"/>
      <c r="AC951" s="50"/>
      <c r="AD951" s="50"/>
    </row>
    <row r="952">
      <c r="A952" s="49"/>
      <c r="B952" s="49"/>
      <c r="C952" s="49"/>
      <c r="D952" s="49"/>
      <c r="E952" s="50"/>
      <c r="F952" s="50"/>
      <c r="G952" s="50"/>
      <c r="H952" s="50"/>
      <c r="I952" s="50"/>
      <c r="J952" s="50"/>
      <c r="K952" s="50"/>
      <c r="L952" s="50"/>
      <c r="M952" s="50"/>
      <c r="N952" s="50"/>
      <c r="O952" s="50"/>
      <c r="P952" s="50"/>
      <c r="Q952" s="50"/>
      <c r="R952" s="50"/>
      <c r="S952" s="50"/>
      <c r="T952" s="50"/>
      <c r="U952" s="50"/>
      <c r="V952" s="50"/>
      <c r="W952" s="50"/>
      <c r="X952" s="50"/>
      <c r="Y952" s="50"/>
      <c r="Z952" s="50"/>
      <c r="AA952" s="50"/>
      <c r="AB952" s="50"/>
      <c r="AC952" s="50"/>
      <c r="AD952" s="50"/>
    </row>
    <row r="953">
      <c r="A953" s="49"/>
      <c r="B953" s="49"/>
      <c r="C953" s="49"/>
      <c r="D953" s="49"/>
      <c r="E953" s="50"/>
      <c r="F953" s="50"/>
      <c r="G953" s="50"/>
      <c r="H953" s="50"/>
      <c r="I953" s="50"/>
      <c r="J953" s="50"/>
      <c r="K953" s="50"/>
      <c r="L953" s="50"/>
      <c r="M953" s="50"/>
      <c r="N953" s="50"/>
      <c r="O953" s="50"/>
      <c r="P953" s="50"/>
      <c r="Q953" s="50"/>
      <c r="R953" s="50"/>
      <c r="S953" s="50"/>
      <c r="T953" s="50"/>
      <c r="U953" s="50"/>
      <c r="V953" s="50"/>
      <c r="W953" s="50"/>
      <c r="X953" s="50"/>
      <c r="Y953" s="50"/>
      <c r="Z953" s="50"/>
      <c r="AA953" s="50"/>
      <c r="AB953" s="50"/>
      <c r="AC953" s="50"/>
      <c r="AD953" s="50"/>
    </row>
    <row r="954">
      <c r="A954" s="49"/>
      <c r="B954" s="49"/>
      <c r="C954" s="49"/>
      <c r="D954" s="49"/>
      <c r="E954" s="50"/>
      <c r="F954" s="50"/>
      <c r="G954" s="50"/>
      <c r="H954" s="50"/>
      <c r="I954" s="50"/>
      <c r="J954" s="50"/>
      <c r="K954" s="50"/>
      <c r="L954" s="50"/>
      <c r="M954" s="50"/>
      <c r="N954" s="50"/>
      <c r="O954" s="50"/>
      <c r="P954" s="50"/>
      <c r="Q954" s="50"/>
      <c r="R954" s="50"/>
      <c r="S954" s="50"/>
      <c r="T954" s="50"/>
      <c r="U954" s="50"/>
      <c r="V954" s="50"/>
      <c r="W954" s="50"/>
      <c r="X954" s="50"/>
      <c r="Y954" s="50"/>
      <c r="Z954" s="50"/>
      <c r="AA954" s="50"/>
      <c r="AB954" s="50"/>
      <c r="AC954" s="50"/>
      <c r="AD954" s="50"/>
    </row>
    <row r="955">
      <c r="A955" s="49"/>
      <c r="B955" s="49"/>
      <c r="C955" s="49"/>
      <c r="D955" s="49"/>
      <c r="E955" s="50"/>
      <c r="F955" s="50"/>
      <c r="G955" s="50"/>
      <c r="H955" s="50"/>
      <c r="I955" s="50"/>
      <c r="J955" s="50"/>
      <c r="K955" s="50"/>
      <c r="L955" s="50"/>
      <c r="M955" s="50"/>
      <c r="N955" s="50"/>
      <c r="O955" s="50"/>
      <c r="P955" s="50"/>
      <c r="Q955" s="50"/>
      <c r="R955" s="50"/>
      <c r="S955" s="50"/>
      <c r="T955" s="50"/>
      <c r="U955" s="50"/>
      <c r="V955" s="50"/>
      <c r="W955" s="50"/>
      <c r="X955" s="50"/>
      <c r="Y955" s="50"/>
      <c r="Z955" s="50"/>
      <c r="AA955" s="50"/>
      <c r="AB955" s="50"/>
      <c r="AC955" s="50"/>
      <c r="AD955" s="50"/>
    </row>
    <row r="956">
      <c r="A956" s="49"/>
      <c r="B956" s="49"/>
      <c r="C956" s="49"/>
      <c r="D956" s="49"/>
      <c r="E956" s="50"/>
      <c r="F956" s="50"/>
      <c r="G956" s="50"/>
      <c r="H956" s="50"/>
      <c r="I956" s="50"/>
      <c r="J956" s="50"/>
      <c r="K956" s="50"/>
      <c r="L956" s="50"/>
      <c r="M956" s="50"/>
      <c r="N956" s="50"/>
      <c r="O956" s="50"/>
      <c r="P956" s="50"/>
      <c r="Q956" s="50"/>
      <c r="R956" s="50"/>
      <c r="S956" s="50"/>
      <c r="T956" s="50"/>
      <c r="U956" s="50"/>
      <c r="V956" s="50"/>
      <c r="W956" s="50"/>
      <c r="X956" s="50"/>
      <c r="Y956" s="50"/>
      <c r="Z956" s="50"/>
      <c r="AA956" s="50"/>
      <c r="AB956" s="50"/>
      <c r="AC956" s="50"/>
      <c r="AD956" s="50"/>
    </row>
    <row r="957">
      <c r="A957" s="49"/>
      <c r="B957" s="49"/>
      <c r="C957" s="49"/>
      <c r="D957" s="49"/>
      <c r="E957" s="50"/>
      <c r="F957" s="50"/>
      <c r="G957" s="50"/>
      <c r="H957" s="50"/>
      <c r="I957" s="50"/>
      <c r="J957" s="50"/>
      <c r="K957" s="50"/>
      <c r="L957" s="50"/>
      <c r="M957" s="50"/>
      <c r="N957" s="50"/>
      <c r="O957" s="50"/>
      <c r="P957" s="50"/>
      <c r="Q957" s="50"/>
      <c r="R957" s="50"/>
      <c r="S957" s="50"/>
      <c r="T957" s="50"/>
      <c r="U957" s="50"/>
      <c r="V957" s="50"/>
      <c r="W957" s="50"/>
      <c r="X957" s="50"/>
      <c r="Y957" s="50"/>
      <c r="Z957" s="50"/>
      <c r="AA957" s="50"/>
      <c r="AB957" s="50"/>
      <c r="AC957" s="50"/>
      <c r="AD957" s="50"/>
    </row>
    <row r="958">
      <c r="A958" s="49"/>
      <c r="B958" s="49"/>
      <c r="C958" s="49"/>
      <c r="D958" s="49"/>
      <c r="E958" s="50"/>
      <c r="F958" s="50"/>
      <c r="G958" s="50"/>
      <c r="H958" s="50"/>
      <c r="I958" s="50"/>
      <c r="J958" s="50"/>
      <c r="K958" s="50"/>
      <c r="L958" s="50"/>
      <c r="M958" s="50"/>
      <c r="N958" s="50"/>
      <c r="O958" s="50"/>
      <c r="P958" s="50"/>
      <c r="Q958" s="50"/>
      <c r="R958" s="50"/>
      <c r="S958" s="50"/>
      <c r="T958" s="50"/>
      <c r="U958" s="50"/>
      <c r="V958" s="50"/>
      <c r="W958" s="50"/>
      <c r="X958" s="50"/>
      <c r="Y958" s="50"/>
      <c r="Z958" s="50"/>
      <c r="AA958" s="50"/>
      <c r="AB958" s="50"/>
      <c r="AC958" s="50"/>
      <c r="AD958" s="50"/>
    </row>
    <row r="959">
      <c r="A959" s="49"/>
      <c r="B959" s="49"/>
      <c r="C959" s="49"/>
      <c r="D959" s="49"/>
      <c r="E959" s="50"/>
      <c r="F959" s="50"/>
      <c r="G959" s="50"/>
      <c r="H959" s="50"/>
      <c r="I959" s="50"/>
      <c r="J959" s="50"/>
      <c r="K959" s="50"/>
      <c r="L959" s="50"/>
      <c r="M959" s="50"/>
      <c r="N959" s="50"/>
      <c r="O959" s="50"/>
      <c r="P959" s="50"/>
      <c r="Q959" s="50"/>
      <c r="R959" s="50"/>
      <c r="S959" s="50"/>
      <c r="T959" s="50"/>
      <c r="U959" s="50"/>
      <c r="V959" s="50"/>
      <c r="W959" s="50"/>
      <c r="X959" s="50"/>
      <c r="Y959" s="50"/>
      <c r="Z959" s="50"/>
      <c r="AA959" s="50"/>
      <c r="AB959" s="50"/>
      <c r="AC959" s="50"/>
      <c r="AD959" s="50"/>
    </row>
    <row r="960">
      <c r="A960" s="49"/>
      <c r="B960" s="49"/>
      <c r="C960" s="49"/>
      <c r="D960" s="49"/>
      <c r="E960" s="50"/>
      <c r="F960" s="50"/>
      <c r="G960" s="50"/>
      <c r="H960" s="50"/>
      <c r="I960" s="50"/>
      <c r="J960" s="50"/>
      <c r="K960" s="50"/>
      <c r="L960" s="50"/>
      <c r="M960" s="50"/>
      <c r="N960" s="50"/>
      <c r="O960" s="50"/>
      <c r="P960" s="50"/>
      <c r="Q960" s="50"/>
      <c r="R960" s="50"/>
      <c r="S960" s="50"/>
      <c r="T960" s="50"/>
      <c r="U960" s="50"/>
      <c r="V960" s="50"/>
      <c r="W960" s="50"/>
      <c r="X960" s="50"/>
      <c r="Y960" s="50"/>
      <c r="Z960" s="50"/>
      <c r="AA960" s="50"/>
      <c r="AB960" s="50"/>
      <c r="AC960" s="50"/>
      <c r="AD960" s="50"/>
    </row>
    <row r="961">
      <c r="A961" s="49"/>
      <c r="B961" s="49"/>
      <c r="C961" s="49"/>
      <c r="D961" s="49"/>
      <c r="E961" s="50"/>
      <c r="F961" s="50"/>
      <c r="G961" s="50"/>
      <c r="H961" s="50"/>
      <c r="I961" s="50"/>
      <c r="J961" s="50"/>
      <c r="K961" s="50"/>
      <c r="L961" s="50"/>
      <c r="M961" s="50"/>
      <c r="N961" s="50"/>
      <c r="O961" s="50"/>
      <c r="P961" s="50"/>
      <c r="Q961" s="50"/>
      <c r="R961" s="50"/>
      <c r="S961" s="50"/>
      <c r="T961" s="50"/>
      <c r="U961" s="50"/>
      <c r="V961" s="50"/>
      <c r="W961" s="50"/>
      <c r="X961" s="50"/>
      <c r="Y961" s="50"/>
      <c r="Z961" s="50"/>
      <c r="AA961" s="50"/>
      <c r="AB961" s="50"/>
      <c r="AC961" s="50"/>
      <c r="AD961" s="50"/>
    </row>
    <row r="962">
      <c r="A962" s="49"/>
      <c r="B962" s="49"/>
      <c r="C962" s="49"/>
      <c r="D962" s="49"/>
      <c r="E962" s="50"/>
      <c r="F962" s="50"/>
      <c r="G962" s="50"/>
      <c r="H962" s="50"/>
      <c r="I962" s="50"/>
      <c r="J962" s="50"/>
      <c r="K962" s="50"/>
      <c r="L962" s="50"/>
      <c r="M962" s="50"/>
      <c r="N962" s="50"/>
      <c r="O962" s="50"/>
      <c r="P962" s="50"/>
      <c r="Q962" s="50"/>
      <c r="R962" s="50"/>
      <c r="S962" s="50"/>
      <c r="T962" s="50"/>
      <c r="U962" s="50"/>
      <c r="V962" s="50"/>
      <c r="W962" s="50"/>
      <c r="X962" s="50"/>
      <c r="Y962" s="50"/>
      <c r="Z962" s="50"/>
      <c r="AA962" s="50"/>
      <c r="AB962" s="50"/>
      <c r="AC962" s="50"/>
      <c r="AD962" s="50"/>
    </row>
    <row r="963">
      <c r="A963" s="49"/>
      <c r="B963" s="49"/>
      <c r="C963" s="49"/>
      <c r="D963" s="49"/>
      <c r="E963" s="50"/>
      <c r="F963" s="50"/>
      <c r="G963" s="50"/>
      <c r="H963" s="50"/>
      <c r="I963" s="50"/>
      <c r="J963" s="50"/>
      <c r="K963" s="50"/>
      <c r="L963" s="50"/>
      <c r="M963" s="50"/>
      <c r="N963" s="50"/>
      <c r="O963" s="50"/>
      <c r="P963" s="50"/>
      <c r="Q963" s="50"/>
      <c r="R963" s="50"/>
      <c r="S963" s="50"/>
      <c r="T963" s="50"/>
      <c r="U963" s="50"/>
      <c r="V963" s="50"/>
      <c r="W963" s="50"/>
      <c r="X963" s="50"/>
      <c r="Y963" s="50"/>
      <c r="Z963" s="50"/>
      <c r="AA963" s="50"/>
      <c r="AB963" s="50"/>
      <c r="AC963" s="50"/>
      <c r="AD963" s="50"/>
    </row>
    <row r="964">
      <c r="A964" s="49"/>
      <c r="B964" s="49"/>
      <c r="C964" s="49"/>
      <c r="D964" s="49"/>
      <c r="E964" s="50"/>
      <c r="F964" s="50"/>
      <c r="G964" s="50"/>
      <c r="H964" s="50"/>
      <c r="I964" s="50"/>
      <c r="J964" s="50"/>
      <c r="K964" s="50"/>
      <c r="L964" s="50"/>
      <c r="M964" s="50"/>
      <c r="N964" s="50"/>
      <c r="O964" s="50"/>
      <c r="P964" s="50"/>
      <c r="Q964" s="50"/>
      <c r="R964" s="50"/>
      <c r="S964" s="50"/>
      <c r="T964" s="50"/>
      <c r="U964" s="50"/>
      <c r="V964" s="50"/>
      <c r="W964" s="50"/>
      <c r="X964" s="50"/>
      <c r="Y964" s="50"/>
      <c r="Z964" s="50"/>
      <c r="AA964" s="50"/>
      <c r="AB964" s="50"/>
      <c r="AC964" s="50"/>
      <c r="AD964" s="50"/>
    </row>
    <row r="965">
      <c r="A965" s="49"/>
      <c r="B965" s="49"/>
      <c r="C965" s="49"/>
      <c r="D965" s="49"/>
      <c r="E965" s="50"/>
      <c r="F965" s="50"/>
      <c r="G965" s="50"/>
      <c r="H965" s="50"/>
      <c r="I965" s="50"/>
      <c r="J965" s="50"/>
      <c r="K965" s="50"/>
      <c r="L965" s="50"/>
      <c r="M965" s="50"/>
      <c r="N965" s="50"/>
      <c r="O965" s="50"/>
      <c r="P965" s="50"/>
      <c r="Q965" s="50"/>
      <c r="R965" s="50"/>
      <c r="S965" s="50"/>
      <c r="T965" s="50"/>
      <c r="U965" s="50"/>
      <c r="V965" s="50"/>
      <c r="W965" s="50"/>
      <c r="X965" s="50"/>
      <c r="Y965" s="50"/>
      <c r="Z965" s="50"/>
      <c r="AA965" s="50"/>
      <c r="AB965" s="50"/>
      <c r="AC965" s="50"/>
      <c r="AD965" s="50"/>
    </row>
    <row r="966">
      <c r="A966" s="49"/>
      <c r="B966" s="49"/>
      <c r="C966" s="49"/>
      <c r="D966" s="49"/>
      <c r="E966" s="50"/>
      <c r="F966" s="50"/>
      <c r="G966" s="50"/>
      <c r="H966" s="50"/>
      <c r="I966" s="50"/>
      <c r="J966" s="50"/>
      <c r="K966" s="50"/>
      <c r="L966" s="50"/>
      <c r="M966" s="50"/>
      <c r="N966" s="50"/>
      <c r="O966" s="50"/>
      <c r="P966" s="50"/>
      <c r="Q966" s="50"/>
      <c r="R966" s="50"/>
      <c r="S966" s="50"/>
      <c r="T966" s="50"/>
      <c r="U966" s="50"/>
      <c r="V966" s="50"/>
      <c r="W966" s="50"/>
      <c r="X966" s="50"/>
      <c r="Y966" s="50"/>
      <c r="Z966" s="50"/>
      <c r="AA966" s="50"/>
      <c r="AB966" s="50"/>
      <c r="AC966" s="50"/>
      <c r="AD966" s="50"/>
    </row>
    <row r="967">
      <c r="A967" s="49"/>
      <c r="B967" s="49"/>
      <c r="C967" s="49"/>
      <c r="D967" s="49"/>
      <c r="E967" s="50"/>
      <c r="F967" s="50"/>
      <c r="G967" s="50"/>
      <c r="H967" s="50"/>
      <c r="I967" s="50"/>
      <c r="J967" s="50"/>
      <c r="K967" s="50"/>
      <c r="L967" s="50"/>
      <c r="M967" s="50"/>
      <c r="N967" s="50"/>
      <c r="O967" s="50"/>
      <c r="P967" s="50"/>
      <c r="Q967" s="50"/>
      <c r="R967" s="50"/>
      <c r="S967" s="50"/>
      <c r="T967" s="50"/>
      <c r="U967" s="50"/>
      <c r="V967" s="50"/>
      <c r="W967" s="50"/>
      <c r="X967" s="50"/>
      <c r="Y967" s="50"/>
      <c r="Z967" s="50"/>
      <c r="AA967" s="50"/>
      <c r="AB967" s="50"/>
      <c r="AC967" s="50"/>
      <c r="AD967" s="50"/>
    </row>
    <row r="968">
      <c r="A968" s="49"/>
      <c r="B968" s="49"/>
      <c r="C968" s="49"/>
      <c r="D968" s="49"/>
      <c r="E968" s="50"/>
      <c r="F968" s="50"/>
      <c r="G968" s="50"/>
      <c r="H968" s="50"/>
      <c r="I968" s="50"/>
      <c r="J968" s="50"/>
      <c r="K968" s="50"/>
      <c r="L968" s="50"/>
      <c r="M968" s="50"/>
      <c r="N968" s="50"/>
      <c r="O968" s="50"/>
      <c r="P968" s="50"/>
      <c r="Q968" s="50"/>
      <c r="R968" s="50"/>
      <c r="S968" s="50"/>
      <c r="T968" s="50"/>
      <c r="U968" s="50"/>
      <c r="V968" s="50"/>
      <c r="W968" s="50"/>
      <c r="X968" s="50"/>
      <c r="Y968" s="50"/>
      <c r="Z968" s="50"/>
      <c r="AA968" s="50"/>
      <c r="AB968" s="50"/>
      <c r="AC968" s="50"/>
      <c r="AD968" s="50"/>
    </row>
    <row r="969">
      <c r="A969" s="49"/>
      <c r="B969" s="49"/>
      <c r="C969" s="49"/>
      <c r="D969" s="49"/>
      <c r="E969" s="50"/>
      <c r="F969" s="50"/>
      <c r="G969" s="50"/>
      <c r="H969" s="50"/>
      <c r="I969" s="50"/>
      <c r="J969" s="50"/>
      <c r="K969" s="50"/>
      <c r="L969" s="50"/>
      <c r="M969" s="50"/>
      <c r="N969" s="50"/>
      <c r="O969" s="50"/>
      <c r="P969" s="50"/>
      <c r="Q969" s="50"/>
      <c r="R969" s="50"/>
      <c r="S969" s="50"/>
      <c r="T969" s="50"/>
      <c r="U969" s="50"/>
      <c r="V969" s="50"/>
      <c r="W969" s="50"/>
      <c r="X969" s="50"/>
      <c r="Y969" s="50"/>
      <c r="Z969" s="50"/>
      <c r="AA969" s="50"/>
      <c r="AB969" s="50"/>
      <c r="AC969" s="50"/>
      <c r="AD969" s="50"/>
    </row>
    <row r="970">
      <c r="A970" s="49"/>
      <c r="B970" s="49"/>
      <c r="C970" s="49"/>
      <c r="D970" s="49"/>
      <c r="E970" s="50"/>
      <c r="F970" s="50"/>
      <c r="G970" s="50"/>
      <c r="H970" s="50"/>
      <c r="I970" s="50"/>
      <c r="J970" s="50"/>
      <c r="K970" s="50"/>
      <c r="L970" s="50"/>
      <c r="M970" s="50"/>
      <c r="N970" s="50"/>
      <c r="O970" s="50"/>
      <c r="P970" s="50"/>
      <c r="Q970" s="50"/>
      <c r="R970" s="50"/>
      <c r="S970" s="50"/>
      <c r="T970" s="50"/>
      <c r="U970" s="50"/>
      <c r="V970" s="50"/>
      <c r="W970" s="50"/>
      <c r="X970" s="50"/>
      <c r="Y970" s="50"/>
      <c r="Z970" s="50"/>
      <c r="AA970" s="50"/>
      <c r="AB970" s="50"/>
      <c r="AC970" s="50"/>
      <c r="AD970" s="50"/>
    </row>
    <row r="971">
      <c r="A971" s="49"/>
      <c r="B971" s="49"/>
      <c r="C971" s="49"/>
      <c r="D971" s="49"/>
      <c r="E971" s="50"/>
      <c r="F971" s="50"/>
      <c r="G971" s="50"/>
      <c r="H971" s="50"/>
      <c r="I971" s="50"/>
      <c r="J971" s="50"/>
      <c r="K971" s="50"/>
      <c r="L971" s="50"/>
      <c r="M971" s="50"/>
      <c r="N971" s="50"/>
      <c r="O971" s="50"/>
      <c r="P971" s="50"/>
      <c r="Q971" s="50"/>
      <c r="R971" s="50"/>
      <c r="S971" s="50"/>
      <c r="T971" s="50"/>
      <c r="U971" s="50"/>
      <c r="V971" s="50"/>
      <c r="W971" s="50"/>
      <c r="X971" s="50"/>
      <c r="Y971" s="50"/>
      <c r="Z971" s="50"/>
      <c r="AA971" s="50"/>
      <c r="AB971" s="50"/>
      <c r="AC971" s="50"/>
      <c r="AD971" s="50"/>
    </row>
    <row r="972">
      <c r="A972" s="49"/>
      <c r="B972" s="49"/>
      <c r="C972" s="49"/>
      <c r="D972" s="49"/>
      <c r="E972" s="50"/>
      <c r="F972" s="50"/>
      <c r="G972" s="50"/>
      <c r="H972" s="50"/>
      <c r="I972" s="50"/>
      <c r="J972" s="50"/>
      <c r="K972" s="50"/>
      <c r="L972" s="50"/>
      <c r="M972" s="50"/>
      <c r="N972" s="50"/>
      <c r="O972" s="50"/>
      <c r="P972" s="50"/>
      <c r="Q972" s="50"/>
      <c r="R972" s="50"/>
      <c r="S972" s="50"/>
      <c r="T972" s="50"/>
      <c r="U972" s="50"/>
      <c r="V972" s="50"/>
      <c r="W972" s="50"/>
      <c r="X972" s="50"/>
      <c r="Y972" s="50"/>
      <c r="Z972" s="50"/>
      <c r="AA972" s="50"/>
      <c r="AB972" s="50"/>
      <c r="AC972" s="50"/>
      <c r="AD972" s="50"/>
    </row>
    <row r="973">
      <c r="A973" s="49"/>
      <c r="B973" s="49"/>
      <c r="C973" s="49"/>
      <c r="D973" s="49"/>
      <c r="E973" s="50"/>
      <c r="F973" s="50"/>
      <c r="G973" s="50"/>
      <c r="H973" s="50"/>
      <c r="I973" s="50"/>
      <c r="J973" s="50"/>
      <c r="K973" s="50"/>
      <c r="L973" s="50"/>
      <c r="M973" s="50"/>
      <c r="N973" s="50"/>
      <c r="O973" s="50"/>
      <c r="P973" s="50"/>
      <c r="Q973" s="50"/>
      <c r="R973" s="50"/>
      <c r="S973" s="50"/>
      <c r="T973" s="50"/>
      <c r="U973" s="50"/>
      <c r="V973" s="50"/>
      <c r="W973" s="50"/>
      <c r="X973" s="50"/>
      <c r="Y973" s="50"/>
      <c r="Z973" s="50"/>
      <c r="AA973" s="50"/>
      <c r="AB973" s="50"/>
      <c r="AC973" s="50"/>
      <c r="AD973" s="50"/>
    </row>
    <row r="974">
      <c r="A974" s="49"/>
      <c r="B974" s="49"/>
      <c r="C974" s="49"/>
      <c r="D974" s="49"/>
      <c r="E974" s="50"/>
      <c r="F974" s="50"/>
      <c r="G974" s="50"/>
      <c r="H974" s="50"/>
      <c r="I974" s="50"/>
      <c r="J974" s="50"/>
      <c r="K974" s="50"/>
      <c r="L974" s="50"/>
      <c r="M974" s="50"/>
      <c r="N974" s="50"/>
      <c r="O974" s="50"/>
      <c r="P974" s="50"/>
      <c r="Q974" s="50"/>
      <c r="R974" s="50"/>
      <c r="S974" s="50"/>
      <c r="T974" s="50"/>
      <c r="U974" s="50"/>
      <c r="V974" s="50"/>
      <c r="W974" s="50"/>
      <c r="X974" s="50"/>
      <c r="Y974" s="50"/>
      <c r="Z974" s="50"/>
      <c r="AA974" s="50"/>
      <c r="AB974" s="50"/>
      <c r="AC974" s="50"/>
      <c r="AD974" s="50"/>
    </row>
    <row r="975">
      <c r="A975" s="49"/>
      <c r="B975" s="49"/>
      <c r="C975" s="49"/>
      <c r="D975" s="49"/>
      <c r="E975" s="50"/>
      <c r="F975" s="50"/>
      <c r="G975" s="50"/>
      <c r="H975" s="50"/>
      <c r="I975" s="50"/>
      <c r="J975" s="50"/>
      <c r="K975" s="50"/>
      <c r="L975" s="50"/>
      <c r="M975" s="50"/>
      <c r="N975" s="50"/>
      <c r="O975" s="50"/>
      <c r="P975" s="50"/>
      <c r="Q975" s="50"/>
      <c r="R975" s="50"/>
      <c r="S975" s="50"/>
      <c r="T975" s="50"/>
      <c r="U975" s="50"/>
      <c r="V975" s="50"/>
      <c r="W975" s="50"/>
      <c r="X975" s="50"/>
      <c r="Y975" s="50"/>
      <c r="Z975" s="50"/>
      <c r="AA975" s="50"/>
      <c r="AB975" s="50"/>
      <c r="AC975" s="50"/>
      <c r="AD975" s="50"/>
    </row>
    <row r="976">
      <c r="A976" s="49"/>
      <c r="B976" s="49"/>
      <c r="C976" s="49"/>
      <c r="D976" s="49"/>
      <c r="E976" s="50"/>
      <c r="F976" s="50"/>
      <c r="G976" s="50"/>
      <c r="H976" s="50"/>
      <c r="I976" s="50"/>
      <c r="J976" s="50"/>
      <c r="K976" s="50"/>
      <c r="L976" s="50"/>
      <c r="M976" s="50"/>
      <c r="N976" s="50"/>
      <c r="O976" s="50"/>
      <c r="P976" s="50"/>
      <c r="Q976" s="50"/>
      <c r="R976" s="50"/>
      <c r="S976" s="50"/>
      <c r="T976" s="50"/>
      <c r="U976" s="50"/>
      <c r="V976" s="50"/>
      <c r="W976" s="50"/>
      <c r="X976" s="50"/>
      <c r="Y976" s="50"/>
      <c r="Z976" s="50"/>
      <c r="AA976" s="50"/>
      <c r="AB976" s="50"/>
      <c r="AC976" s="50"/>
      <c r="AD976" s="50"/>
    </row>
    <row r="977">
      <c r="A977" s="49"/>
      <c r="B977" s="49"/>
      <c r="C977" s="49"/>
      <c r="D977" s="49"/>
      <c r="E977" s="50"/>
      <c r="F977" s="50"/>
      <c r="G977" s="50"/>
      <c r="H977" s="50"/>
      <c r="I977" s="50"/>
      <c r="J977" s="50"/>
      <c r="K977" s="50"/>
      <c r="L977" s="50"/>
      <c r="M977" s="50"/>
      <c r="N977" s="50"/>
      <c r="O977" s="50"/>
      <c r="P977" s="50"/>
      <c r="Q977" s="50"/>
      <c r="R977" s="50"/>
      <c r="S977" s="50"/>
      <c r="T977" s="50"/>
      <c r="U977" s="50"/>
      <c r="V977" s="50"/>
      <c r="W977" s="50"/>
      <c r="X977" s="50"/>
      <c r="Y977" s="50"/>
      <c r="Z977" s="50"/>
      <c r="AA977" s="50"/>
      <c r="AB977" s="50"/>
      <c r="AC977" s="50"/>
      <c r="AD977" s="50"/>
    </row>
    <row r="978">
      <c r="A978" s="49"/>
      <c r="B978" s="49"/>
      <c r="C978" s="49"/>
      <c r="D978" s="49"/>
      <c r="E978" s="50"/>
      <c r="F978" s="50"/>
      <c r="G978" s="50"/>
      <c r="H978" s="50"/>
      <c r="I978" s="50"/>
      <c r="J978" s="50"/>
      <c r="K978" s="50"/>
      <c r="L978" s="50"/>
      <c r="M978" s="50"/>
      <c r="N978" s="50"/>
      <c r="O978" s="50"/>
      <c r="P978" s="50"/>
      <c r="Q978" s="50"/>
      <c r="R978" s="50"/>
      <c r="S978" s="50"/>
      <c r="T978" s="50"/>
      <c r="U978" s="50"/>
      <c r="V978" s="50"/>
      <c r="W978" s="50"/>
      <c r="X978" s="50"/>
      <c r="Y978" s="50"/>
      <c r="Z978" s="50"/>
      <c r="AA978" s="50"/>
      <c r="AB978" s="50"/>
      <c r="AC978" s="50"/>
      <c r="AD978" s="50"/>
    </row>
    <row r="979">
      <c r="A979" s="49"/>
      <c r="B979" s="49"/>
      <c r="C979" s="49"/>
      <c r="D979" s="49"/>
      <c r="E979" s="50"/>
      <c r="F979" s="50"/>
      <c r="G979" s="50"/>
      <c r="H979" s="50"/>
      <c r="I979" s="50"/>
      <c r="J979" s="50"/>
      <c r="K979" s="50"/>
      <c r="L979" s="50"/>
      <c r="M979" s="50"/>
      <c r="N979" s="50"/>
      <c r="O979" s="50"/>
      <c r="P979" s="50"/>
      <c r="Q979" s="50"/>
      <c r="R979" s="50"/>
      <c r="S979" s="50"/>
      <c r="T979" s="50"/>
      <c r="U979" s="50"/>
      <c r="V979" s="50"/>
      <c r="W979" s="50"/>
      <c r="X979" s="50"/>
      <c r="Y979" s="50"/>
      <c r="Z979" s="50"/>
      <c r="AA979" s="50"/>
      <c r="AB979" s="50"/>
      <c r="AC979" s="50"/>
      <c r="AD979" s="50"/>
    </row>
    <row r="980">
      <c r="A980" s="49"/>
      <c r="B980" s="49"/>
      <c r="C980" s="49"/>
      <c r="D980" s="49"/>
      <c r="E980" s="50"/>
      <c r="F980" s="50"/>
      <c r="G980" s="50"/>
      <c r="H980" s="50"/>
      <c r="I980" s="50"/>
      <c r="J980" s="50"/>
      <c r="K980" s="50"/>
      <c r="L980" s="50"/>
      <c r="M980" s="50"/>
      <c r="N980" s="50"/>
      <c r="O980" s="50"/>
      <c r="P980" s="50"/>
      <c r="Q980" s="50"/>
      <c r="R980" s="50"/>
      <c r="S980" s="50"/>
      <c r="T980" s="50"/>
      <c r="U980" s="50"/>
      <c r="V980" s="50"/>
      <c r="W980" s="50"/>
      <c r="X980" s="50"/>
      <c r="Y980" s="50"/>
      <c r="Z980" s="50"/>
      <c r="AA980" s="50"/>
      <c r="AB980" s="50"/>
      <c r="AC980" s="50"/>
      <c r="AD980" s="50"/>
    </row>
  </sheetData>
  <mergeCells count="1">
    <mergeCell ref="A2:D2"/>
  </mergeCells>
  <dataValidations>
    <dataValidation type="list" allowBlank="1" sqref="C4:C11">
      <formula1>"Family Office,Fund of Funds,Multi-family Office,Government,Pension Fund,Insurance,Bank,Charitable Organization,Endowment,Utility Provider,Technology,Religious,Asset Manager,Union,Property Investment,Corporate,Angel,Incubator,HNWI,Other"</formula1>
    </dataValidation>
    <dataValidation type="list" allowBlank="1" showErrorMessage="1" sqref="D4:D11">
      <formula1>"In contact,Existing LP,Other,In negotiation"</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3.75"/>
    <col customWidth="1" min="2" max="2" width="21.63"/>
  </cols>
  <sheetData>
    <row r="1">
      <c r="A1" s="61" t="s">
        <v>84</v>
      </c>
      <c r="B1" s="49"/>
      <c r="C1" s="50"/>
      <c r="D1" s="50"/>
      <c r="E1" s="51"/>
      <c r="F1" s="50"/>
      <c r="G1" s="51"/>
      <c r="H1" s="50"/>
      <c r="I1" s="49"/>
      <c r="J1" s="50"/>
      <c r="K1" s="50"/>
      <c r="L1" s="50"/>
      <c r="M1" s="50"/>
      <c r="N1" s="50"/>
      <c r="O1" s="50"/>
      <c r="P1" s="50"/>
      <c r="Q1" s="50"/>
      <c r="R1" s="49"/>
      <c r="S1" s="50"/>
      <c r="T1" s="50"/>
      <c r="U1" s="50"/>
      <c r="V1" s="50"/>
      <c r="W1" s="50"/>
      <c r="X1" s="50"/>
      <c r="Y1" s="50"/>
      <c r="Z1" s="50"/>
      <c r="AA1" s="50"/>
      <c r="AB1" s="50"/>
    </row>
    <row r="2">
      <c r="A2" s="62" t="s">
        <v>85</v>
      </c>
      <c r="B2" s="53" t="s">
        <v>58</v>
      </c>
      <c r="C2" s="50"/>
      <c r="D2" s="50"/>
      <c r="E2" s="50"/>
      <c r="F2" s="50"/>
      <c r="G2" s="50"/>
      <c r="H2" s="50"/>
      <c r="I2" s="50"/>
      <c r="J2" s="50"/>
      <c r="K2" s="50"/>
      <c r="L2" s="50"/>
      <c r="M2" s="50"/>
      <c r="N2" s="50"/>
      <c r="O2" s="50"/>
      <c r="P2" s="50"/>
      <c r="Q2" s="50"/>
      <c r="R2" s="50"/>
      <c r="S2" s="50"/>
      <c r="T2" s="50"/>
      <c r="U2" s="50"/>
      <c r="V2" s="50"/>
      <c r="W2" s="50"/>
      <c r="X2" s="50"/>
      <c r="Y2" s="50"/>
      <c r="Z2" s="50"/>
      <c r="AA2" s="50"/>
      <c r="AB2" s="50"/>
    </row>
    <row r="3">
      <c r="A3" s="55" t="s">
        <v>86</v>
      </c>
      <c r="B3" s="56" t="s">
        <v>62</v>
      </c>
      <c r="C3" s="50"/>
      <c r="D3" s="50"/>
      <c r="E3" s="50"/>
      <c r="F3" s="50"/>
      <c r="G3" s="50"/>
      <c r="H3" s="50"/>
      <c r="I3" s="50"/>
      <c r="J3" s="50"/>
      <c r="K3" s="50"/>
      <c r="L3" s="50"/>
      <c r="M3" s="50"/>
      <c r="N3" s="50"/>
      <c r="O3" s="50"/>
      <c r="P3" s="50"/>
      <c r="Q3" s="50"/>
      <c r="R3" s="50"/>
      <c r="S3" s="50"/>
      <c r="T3" s="50"/>
      <c r="U3" s="50"/>
      <c r="V3" s="50"/>
      <c r="W3" s="50"/>
      <c r="X3" s="50"/>
      <c r="Y3" s="50"/>
      <c r="Z3" s="50"/>
      <c r="AA3" s="50"/>
      <c r="AB3" s="50"/>
    </row>
    <row r="4">
      <c r="A4" s="55" t="s">
        <v>87</v>
      </c>
      <c r="B4" s="56" t="s">
        <v>62</v>
      </c>
      <c r="C4" s="50"/>
      <c r="D4" s="50"/>
      <c r="E4" s="50"/>
      <c r="F4" s="50"/>
      <c r="G4" s="50"/>
      <c r="H4" s="50"/>
      <c r="I4" s="50"/>
      <c r="J4" s="50"/>
      <c r="K4" s="50"/>
      <c r="L4" s="50"/>
      <c r="M4" s="50"/>
      <c r="N4" s="50"/>
      <c r="O4" s="50"/>
      <c r="P4" s="50"/>
      <c r="Q4" s="50"/>
      <c r="R4" s="50"/>
      <c r="S4" s="50"/>
      <c r="T4" s="50"/>
      <c r="U4" s="50"/>
      <c r="V4" s="50"/>
      <c r="W4" s="50"/>
      <c r="X4" s="50"/>
      <c r="Y4" s="50"/>
      <c r="Z4" s="50"/>
      <c r="AA4" s="50"/>
      <c r="AB4" s="50"/>
    </row>
    <row r="5">
      <c r="A5" s="55" t="s">
        <v>88</v>
      </c>
      <c r="B5" s="56" t="s">
        <v>62</v>
      </c>
      <c r="C5" s="50"/>
      <c r="D5" s="50"/>
      <c r="E5" s="50"/>
      <c r="F5" s="50"/>
      <c r="G5" s="50"/>
      <c r="H5" s="50"/>
      <c r="I5" s="50"/>
      <c r="J5" s="50"/>
      <c r="K5" s="50"/>
      <c r="L5" s="50"/>
      <c r="M5" s="50"/>
      <c r="N5" s="50"/>
      <c r="O5" s="50"/>
      <c r="P5" s="50"/>
      <c r="Q5" s="50"/>
      <c r="R5" s="50"/>
      <c r="S5" s="50"/>
      <c r="T5" s="50"/>
      <c r="U5" s="50"/>
      <c r="V5" s="50"/>
      <c r="W5" s="50"/>
      <c r="X5" s="50"/>
      <c r="Y5" s="50"/>
      <c r="Z5" s="50"/>
      <c r="AA5" s="50"/>
      <c r="AB5" s="50"/>
    </row>
    <row r="6">
      <c r="A6" s="55" t="s">
        <v>89</v>
      </c>
      <c r="B6" s="56" t="s">
        <v>62</v>
      </c>
      <c r="C6" s="50"/>
      <c r="D6" s="50"/>
      <c r="E6" s="50"/>
      <c r="F6" s="50"/>
      <c r="G6" s="50"/>
      <c r="H6" s="50"/>
      <c r="I6" s="50"/>
      <c r="J6" s="50"/>
      <c r="K6" s="50"/>
      <c r="L6" s="50"/>
      <c r="M6" s="50"/>
      <c r="N6" s="50"/>
      <c r="O6" s="50"/>
      <c r="P6" s="50"/>
      <c r="Q6" s="50"/>
      <c r="R6" s="50"/>
      <c r="S6" s="50"/>
      <c r="T6" s="50"/>
      <c r="U6" s="50"/>
      <c r="V6" s="50"/>
      <c r="W6" s="50"/>
      <c r="X6" s="50"/>
      <c r="Y6" s="50"/>
      <c r="Z6" s="50"/>
      <c r="AA6" s="50"/>
      <c r="AB6" s="50"/>
    </row>
    <row r="7">
      <c r="A7" s="60" t="s">
        <v>90</v>
      </c>
      <c r="B7" s="49"/>
      <c r="C7" s="50"/>
      <c r="D7" s="50"/>
      <c r="E7" s="50"/>
      <c r="F7" s="50"/>
      <c r="G7" s="50"/>
      <c r="H7" s="50"/>
      <c r="I7" s="50"/>
      <c r="J7" s="50"/>
      <c r="K7" s="50"/>
      <c r="L7" s="50"/>
      <c r="M7" s="50"/>
      <c r="N7" s="50"/>
      <c r="O7" s="50"/>
      <c r="P7" s="50"/>
      <c r="Q7" s="50"/>
      <c r="R7" s="50"/>
      <c r="S7" s="50"/>
      <c r="T7" s="50"/>
      <c r="U7" s="50"/>
      <c r="V7" s="50"/>
      <c r="W7" s="50"/>
      <c r="X7" s="50"/>
      <c r="Y7" s="50"/>
      <c r="Z7" s="50"/>
      <c r="AA7" s="50"/>
      <c r="AB7" s="50"/>
    </row>
    <row r="8">
      <c r="A8" s="60" t="s">
        <v>91</v>
      </c>
      <c r="B8" s="49"/>
      <c r="C8" s="50"/>
      <c r="D8" s="50"/>
      <c r="E8" s="50"/>
      <c r="F8" s="50"/>
      <c r="G8" s="50"/>
      <c r="H8" s="50"/>
      <c r="I8" s="50"/>
      <c r="J8" s="50"/>
      <c r="K8" s="50"/>
      <c r="L8" s="50"/>
      <c r="M8" s="50"/>
      <c r="N8" s="50"/>
      <c r="O8" s="50"/>
      <c r="P8" s="50"/>
      <c r="Q8" s="50"/>
      <c r="R8" s="50"/>
      <c r="S8" s="50"/>
      <c r="T8" s="50"/>
      <c r="U8" s="50"/>
      <c r="V8" s="50"/>
      <c r="W8" s="50"/>
      <c r="X8" s="50"/>
      <c r="Y8" s="50"/>
      <c r="Z8" s="50"/>
      <c r="AA8" s="50"/>
      <c r="AB8" s="50"/>
    </row>
    <row r="9">
      <c r="A9" s="60" t="s">
        <v>92</v>
      </c>
      <c r="B9" s="49"/>
      <c r="C9" s="50"/>
      <c r="D9" s="50"/>
      <c r="E9" s="50"/>
      <c r="F9" s="50"/>
      <c r="G9" s="50"/>
      <c r="H9" s="50"/>
      <c r="I9" s="50"/>
      <c r="J9" s="50"/>
      <c r="K9" s="50"/>
      <c r="L9" s="50"/>
      <c r="M9" s="50"/>
      <c r="N9" s="50"/>
      <c r="O9" s="50"/>
      <c r="P9" s="50"/>
      <c r="Q9" s="50"/>
      <c r="R9" s="50"/>
      <c r="S9" s="50"/>
      <c r="T9" s="50"/>
      <c r="U9" s="50"/>
      <c r="V9" s="50"/>
      <c r="W9" s="50"/>
      <c r="X9" s="50"/>
      <c r="Y9" s="50"/>
      <c r="Z9" s="50"/>
      <c r="AA9" s="50"/>
      <c r="AB9" s="50"/>
    </row>
    <row r="10">
      <c r="A10" s="60" t="s">
        <v>93</v>
      </c>
      <c r="B10" s="49"/>
      <c r="C10" s="50"/>
      <c r="D10" s="50"/>
      <c r="E10" s="50"/>
      <c r="F10" s="50"/>
      <c r="G10" s="50"/>
      <c r="H10" s="50"/>
      <c r="I10" s="50"/>
      <c r="J10" s="50"/>
      <c r="K10" s="50"/>
      <c r="L10" s="50"/>
      <c r="M10" s="50"/>
      <c r="N10" s="50"/>
      <c r="O10" s="50"/>
      <c r="P10" s="50"/>
      <c r="Q10" s="50"/>
      <c r="R10" s="50"/>
      <c r="S10" s="50"/>
      <c r="T10" s="50"/>
      <c r="U10" s="50"/>
      <c r="V10" s="50"/>
      <c r="W10" s="50"/>
      <c r="X10" s="50"/>
      <c r="Y10" s="50"/>
      <c r="Z10" s="50"/>
      <c r="AA10" s="50"/>
      <c r="AB10" s="50"/>
    </row>
    <row r="11">
      <c r="A11" s="60" t="s">
        <v>94</v>
      </c>
      <c r="B11" s="49"/>
      <c r="C11" s="50"/>
      <c r="D11" s="50"/>
      <c r="E11" s="50"/>
      <c r="F11" s="50"/>
      <c r="G11" s="50"/>
      <c r="H11" s="50"/>
      <c r="I11" s="50"/>
      <c r="J11" s="50"/>
      <c r="K11" s="50"/>
      <c r="L11" s="50"/>
      <c r="M11" s="50"/>
      <c r="N11" s="50"/>
      <c r="O11" s="50"/>
      <c r="P11" s="50"/>
      <c r="Q11" s="50"/>
      <c r="R11" s="50"/>
      <c r="S11" s="50"/>
      <c r="T11" s="50"/>
      <c r="U11" s="50"/>
      <c r="V11" s="50"/>
      <c r="W11" s="50"/>
      <c r="X11" s="50"/>
      <c r="Y11" s="50"/>
      <c r="Z11" s="50"/>
      <c r="AA11" s="50"/>
      <c r="AB11" s="50"/>
    </row>
    <row r="12">
      <c r="A12" s="60" t="s">
        <v>95</v>
      </c>
      <c r="B12" s="49"/>
      <c r="C12" s="50"/>
      <c r="D12" s="50"/>
      <c r="E12" s="50"/>
      <c r="F12" s="50"/>
      <c r="G12" s="50"/>
      <c r="H12" s="50"/>
      <c r="I12" s="50"/>
      <c r="J12" s="50"/>
      <c r="K12" s="50"/>
      <c r="L12" s="50"/>
      <c r="M12" s="50"/>
      <c r="N12" s="50"/>
      <c r="O12" s="50"/>
      <c r="P12" s="50"/>
      <c r="Q12" s="50"/>
      <c r="R12" s="50"/>
      <c r="S12" s="50"/>
      <c r="T12" s="50"/>
      <c r="U12" s="50"/>
      <c r="V12" s="50"/>
      <c r="W12" s="50"/>
      <c r="X12" s="50"/>
      <c r="Y12" s="50"/>
      <c r="Z12" s="50"/>
      <c r="AA12" s="50"/>
      <c r="AB12" s="50"/>
    </row>
    <row r="13">
      <c r="A13" s="60" t="s">
        <v>96</v>
      </c>
      <c r="B13" s="49"/>
      <c r="C13" s="50"/>
      <c r="D13" s="50"/>
      <c r="E13" s="50"/>
      <c r="F13" s="50"/>
      <c r="G13" s="50"/>
      <c r="H13" s="50"/>
      <c r="I13" s="50"/>
      <c r="J13" s="50"/>
      <c r="K13" s="50"/>
      <c r="L13" s="50"/>
      <c r="M13" s="50"/>
      <c r="N13" s="50"/>
      <c r="O13" s="50"/>
      <c r="P13" s="50"/>
      <c r="Q13" s="50"/>
      <c r="R13" s="50"/>
      <c r="S13" s="50"/>
      <c r="T13" s="50"/>
      <c r="U13" s="50"/>
      <c r="V13" s="50"/>
      <c r="W13" s="50"/>
      <c r="X13" s="50"/>
      <c r="Y13" s="50"/>
      <c r="Z13" s="50"/>
      <c r="AA13" s="50"/>
      <c r="AB13" s="50"/>
    </row>
    <row r="14">
      <c r="A14" s="60" t="s">
        <v>97</v>
      </c>
      <c r="B14" s="49"/>
      <c r="C14" s="50"/>
      <c r="D14" s="50"/>
      <c r="E14" s="50"/>
      <c r="F14" s="50"/>
      <c r="G14" s="50"/>
      <c r="H14" s="50"/>
      <c r="I14" s="50"/>
      <c r="J14" s="50"/>
      <c r="K14" s="50"/>
      <c r="L14" s="50"/>
      <c r="M14" s="50"/>
      <c r="N14" s="50"/>
      <c r="O14" s="50"/>
      <c r="P14" s="50"/>
      <c r="Q14" s="50"/>
      <c r="R14" s="50"/>
      <c r="S14" s="50"/>
      <c r="T14" s="50"/>
      <c r="U14" s="50"/>
      <c r="V14" s="50"/>
      <c r="W14" s="50"/>
      <c r="X14" s="50"/>
      <c r="Y14" s="50"/>
      <c r="Z14" s="50"/>
      <c r="AA14" s="50"/>
      <c r="AB14" s="50"/>
    </row>
    <row r="15">
      <c r="A15" s="60" t="s">
        <v>98</v>
      </c>
      <c r="B15" s="49"/>
      <c r="C15" s="50"/>
      <c r="D15" s="50"/>
      <c r="E15" s="50"/>
      <c r="F15" s="50"/>
      <c r="G15" s="50"/>
      <c r="H15" s="50"/>
      <c r="I15" s="50"/>
      <c r="J15" s="50"/>
      <c r="K15" s="50"/>
      <c r="L15" s="50"/>
      <c r="M15" s="50"/>
      <c r="N15" s="50"/>
      <c r="O15" s="50"/>
      <c r="P15" s="50"/>
      <c r="Q15" s="50"/>
      <c r="R15" s="50"/>
      <c r="S15" s="50"/>
      <c r="T15" s="50"/>
      <c r="U15" s="50"/>
      <c r="V15" s="50"/>
      <c r="W15" s="50"/>
      <c r="X15" s="50"/>
      <c r="Y15" s="50"/>
      <c r="Z15" s="50"/>
      <c r="AA15" s="50"/>
      <c r="AB15" s="50"/>
    </row>
    <row r="16">
      <c r="A16" s="60" t="s">
        <v>99</v>
      </c>
      <c r="B16" s="49"/>
      <c r="C16" s="50"/>
      <c r="D16" s="50"/>
      <c r="E16" s="50"/>
      <c r="F16" s="50"/>
      <c r="G16" s="50"/>
      <c r="H16" s="50"/>
      <c r="I16" s="50"/>
      <c r="J16" s="50"/>
      <c r="K16" s="50"/>
      <c r="L16" s="50"/>
      <c r="M16" s="50"/>
      <c r="N16" s="50"/>
      <c r="O16" s="50"/>
      <c r="P16" s="50"/>
      <c r="Q16" s="50"/>
      <c r="R16" s="50"/>
      <c r="S16" s="50"/>
      <c r="T16" s="50"/>
      <c r="U16" s="50"/>
      <c r="V16" s="50"/>
      <c r="W16" s="50"/>
      <c r="X16" s="50"/>
      <c r="Y16" s="50"/>
      <c r="Z16" s="50"/>
      <c r="AA16" s="50"/>
      <c r="AB16" s="50"/>
    </row>
    <row r="17">
      <c r="A17" s="60" t="s">
        <v>100</v>
      </c>
      <c r="B17" s="49"/>
      <c r="C17" s="50"/>
      <c r="D17" s="50"/>
      <c r="E17" s="50"/>
      <c r="F17" s="50"/>
      <c r="G17" s="50"/>
      <c r="H17" s="50"/>
      <c r="I17" s="50"/>
      <c r="J17" s="50"/>
      <c r="K17" s="50"/>
      <c r="L17" s="50"/>
      <c r="M17" s="50"/>
      <c r="N17" s="50"/>
      <c r="O17" s="50"/>
      <c r="P17" s="50"/>
      <c r="Q17" s="50"/>
      <c r="R17" s="50"/>
      <c r="S17" s="50"/>
      <c r="T17" s="50"/>
      <c r="U17" s="50"/>
      <c r="V17" s="50"/>
      <c r="W17" s="50"/>
      <c r="X17" s="50"/>
      <c r="Y17" s="50"/>
      <c r="Z17" s="50"/>
      <c r="AA17" s="50"/>
      <c r="AB17" s="50"/>
    </row>
    <row r="18">
      <c r="A18" s="60" t="s">
        <v>101</v>
      </c>
      <c r="B18" s="49"/>
      <c r="C18" s="50"/>
      <c r="D18" s="50"/>
      <c r="E18" s="50"/>
      <c r="F18" s="50"/>
      <c r="G18" s="50"/>
      <c r="H18" s="50"/>
      <c r="I18" s="50"/>
      <c r="J18" s="50"/>
      <c r="K18" s="50"/>
      <c r="L18" s="50"/>
      <c r="M18" s="50"/>
      <c r="N18" s="50"/>
      <c r="O18" s="50"/>
      <c r="P18" s="50"/>
      <c r="Q18" s="50"/>
      <c r="R18" s="50"/>
      <c r="S18" s="50"/>
      <c r="T18" s="50"/>
      <c r="U18" s="50"/>
      <c r="V18" s="50"/>
      <c r="W18" s="50"/>
      <c r="X18" s="50"/>
      <c r="Y18" s="50"/>
      <c r="Z18" s="50"/>
      <c r="AA18" s="50"/>
      <c r="AB18" s="50"/>
    </row>
    <row r="19">
      <c r="A19" s="60" t="s">
        <v>102</v>
      </c>
      <c r="B19" s="49"/>
      <c r="C19" s="50"/>
      <c r="D19" s="50"/>
      <c r="E19" s="50"/>
      <c r="F19" s="50"/>
      <c r="G19" s="50"/>
      <c r="H19" s="50"/>
      <c r="I19" s="50"/>
      <c r="J19" s="50"/>
      <c r="K19" s="50"/>
      <c r="L19" s="50"/>
      <c r="M19" s="50"/>
      <c r="N19" s="50"/>
      <c r="O19" s="50"/>
      <c r="P19" s="50"/>
      <c r="Q19" s="50"/>
      <c r="R19" s="50"/>
      <c r="S19" s="50"/>
      <c r="T19" s="50"/>
      <c r="U19" s="50"/>
      <c r="V19" s="50"/>
      <c r="W19" s="50"/>
      <c r="X19" s="50"/>
      <c r="Y19" s="50"/>
      <c r="Z19" s="50"/>
      <c r="AA19" s="50"/>
      <c r="AB19" s="50"/>
    </row>
    <row r="20">
      <c r="A20" s="60" t="s">
        <v>103</v>
      </c>
      <c r="B20" s="49"/>
      <c r="C20" s="50"/>
      <c r="D20" s="50"/>
      <c r="E20" s="50"/>
      <c r="F20" s="50"/>
      <c r="G20" s="50"/>
      <c r="H20" s="50"/>
      <c r="I20" s="50"/>
      <c r="J20" s="50"/>
      <c r="K20" s="50"/>
      <c r="L20" s="50"/>
      <c r="M20" s="50"/>
      <c r="N20" s="50"/>
      <c r="O20" s="50"/>
      <c r="P20" s="50"/>
      <c r="Q20" s="50"/>
      <c r="R20" s="50"/>
      <c r="S20" s="50"/>
      <c r="T20" s="50"/>
      <c r="U20" s="50"/>
      <c r="V20" s="50"/>
      <c r="W20" s="50"/>
      <c r="X20" s="50"/>
      <c r="Y20" s="50"/>
      <c r="Z20" s="50"/>
      <c r="AA20" s="50"/>
      <c r="AB20" s="50"/>
    </row>
    <row r="21">
      <c r="A21" s="60" t="s">
        <v>104</v>
      </c>
      <c r="B21" s="49"/>
      <c r="C21" s="50"/>
      <c r="D21" s="50"/>
      <c r="E21" s="50"/>
      <c r="F21" s="50"/>
      <c r="G21" s="50"/>
      <c r="H21" s="50"/>
      <c r="I21" s="50"/>
      <c r="J21" s="50"/>
      <c r="K21" s="50"/>
      <c r="L21" s="50"/>
      <c r="M21" s="50"/>
      <c r="N21" s="50"/>
      <c r="O21" s="50"/>
      <c r="P21" s="50"/>
      <c r="Q21" s="50"/>
      <c r="R21" s="50"/>
      <c r="S21" s="50"/>
      <c r="T21" s="50"/>
      <c r="U21" s="50"/>
      <c r="V21" s="50"/>
      <c r="W21" s="50"/>
      <c r="X21" s="50"/>
      <c r="Y21" s="50"/>
      <c r="Z21" s="50"/>
      <c r="AA21" s="50"/>
      <c r="AB21" s="50"/>
    </row>
    <row r="22">
      <c r="A22" s="60" t="s">
        <v>105</v>
      </c>
      <c r="B22" s="49"/>
      <c r="C22" s="50"/>
      <c r="D22" s="50"/>
      <c r="E22" s="50"/>
      <c r="F22" s="50"/>
      <c r="G22" s="50"/>
      <c r="H22" s="50"/>
      <c r="I22" s="50"/>
      <c r="J22" s="50"/>
      <c r="K22" s="50"/>
      <c r="L22" s="50"/>
      <c r="M22" s="50"/>
      <c r="N22" s="50"/>
      <c r="O22" s="50"/>
      <c r="P22" s="50"/>
      <c r="Q22" s="50"/>
      <c r="R22" s="50"/>
      <c r="S22" s="50"/>
      <c r="T22" s="50"/>
      <c r="U22" s="50"/>
      <c r="V22" s="50"/>
      <c r="W22" s="50"/>
      <c r="X22" s="50"/>
      <c r="Y22" s="50"/>
      <c r="Z22" s="50"/>
      <c r="AA22" s="50"/>
      <c r="AB22" s="50"/>
    </row>
    <row r="23">
      <c r="A23" s="60" t="s">
        <v>106</v>
      </c>
      <c r="B23" s="49"/>
      <c r="C23" s="50"/>
      <c r="D23" s="50"/>
      <c r="E23" s="50"/>
      <c r="F23" s="50"/>
      <c r="G23" s="50"/>
      <c r="H23" s="50"/>
      <c r="I23" s="50"/>
      <c r="J23" s="50"/>
      <c r="K23" s="50"/>
      <c r="L23" s="50"/>
      <c r="M23" s="50"/>
      <c r="N23" s="50"/>
      <c r="O23" s="50"/>
      <c r="P23" s="50"/>
      <c r="Q23" s="50"/>
      <c r="R23" s="50"/>
      <c r="S23" s="50"/>
      <c r="T23" s="50"/>
      <c r="U23" s="50"/>
      <c r="V23" s="50"/>
      <c r="W23" s="50"/>
      <c r="X23" s="50"/>
      <c r="Y23" s="50"/>
      <c r="Z23" s="50"/>
      <c r="AA23" s="50"/>
      <c r="AB23" s="50"/>
    </row>
    <row r="24">
      <c r="A24" s="49"/>
      <c r="B24" s="49"/>
      <c r="C24" s="50"/>
      <c r="D24" s="50"/>
      <c r="E24" s="50"/>
      <c r="F24" s="50"/>
      <c r="G24" s="50"/>
      <c r="H24" s="50"/>
      <c r="I24" s="50"/>
      <c r="J24" s="50"/>
      <c r="K24" s="50"/>
      <c r="L24" s="50"/>
      <c r="M24" s="50"/>
      <c r="N24" s="50"/>
      <c r="O24" s="50"/>
      <c r="P24" s="50"/>
      <c r="Q24" s="50"/>
      <c r="R24" s="50"/>
      <c r="S24" s="50"/>
      <c r="T24" s="50"/>
      <c r="U24" s="50"/>
      <c r="V24" s="50"/>
      <c r="W24" s="50"/>
      <c r="X24" s="50"/>
      <c r="Y24" s="50"/>
      <c r="Z24" s="50"/>
      <c r="AA24" s="50"/>
      <c r="AB24" s="50"/>
    </row>
    <row r="25">
      <c r="A25" s="49"/>
      <c r="B25" s="49"/>
      <c r="C25" s="50"/>
      <c r="D25" s="50"/>
      <c r="E25" s="50"/>
      <c r="F25" s="50"/>
      <c r="G25" s="50"/>
      <c r="H25" s="50"/>
      <c r="I25" s="50"/>
      <c r="J25" s="50"/>
      <c r="K25" s="50"/>
      <c r="L25" s="50"/>
      <c r="M25" s="50"/>
      <c r="N25" s="50"/>
      <c r="O25" s="50"/>
      <c r="P25" s="50"/>
      <c r="Q25" s="50"/>
      <c r="R25" s="50"/>
      <c r="S25" s="50"/>
      <c r="T25" s="50"/>
      <c r="U25" s="50"/>
      <c r="V25" s="50"/>
      <c r="W25" s="50"/>
      <c r="X25" s="50"/>
      <c r="Y25" s="50"/>
      <c r="Z25" s="50"/>
      <c r="AA25" s="50"/>
      <c r="AB25" s="50"/>
    </row>
    <row r="26">
      <c r="A26" s="49"/>
      <c r="B26" s="49"/>
      <c r="C26" s="50"/>
      <c r="D26" s="50"/>
      <c r="E26" s="50"/>
      <c r="F26" s="50"/>
      <c r="G26" s="50"/>
      <c r="H26" s="50"/>
      <c r="I26" s="50"/>
      <c r="J26" s="50"/>
      <c r="K26" s="50"/>
      <c r="L26" s="50"/>
      <c r="M26" s="50"/>
      <c r="N26" s="50"/>
      <c r="O26" s="50"/>
      <c r="P26" s="50"/>
      <c r="Q26" s="50"/>
      <c r="R26" s="50"/>
      <c r="S26" s="50"/>
      <c r="T26" s="50"/>
      <c r="U26" s="50"/>
      <c r="V26" s="50"/>
      <c r="W26" s="50"/>
      <c r="X26" s="50"/>
      <c r="Y26" s="50"/>
      <c r="Z26" s="50"/>
      <c r="AA26" s="50"/>
      <c r="AB26" s="50"/>
    </row>
    <row r="27">
      <c r="A27" s="49"/>
      <c r="B27" s="49"/>
      <c r="C27" s="50"/>
      <c r="D27" s="50"/>
      <c r="E27" s="50"/>
      <c r="F27" s="50"/>
      <c r="G27" s="50"/>
      <c r="H27" s="50"/>
      <c r="I27" s="50"/>
      <c r="J27" s="50"/>
      <c r="K27" s="50"/>
      <c r="L27" s="50"/>
      <c r="M27" s="50"/>
      <c r="N27" s="50"/>
      <c r="O27" s="50"/>
      <c r="P27" s="50"/>
      <c r="Q27" s="50"/>
      <c r="R27" s="50"/>
      <c r="S27" s="50"/>
      <c r="T27" s="50"/>
      <c r="U27" s="50"/>
      <c r="V27" s="50"/>
      <c r="W27" s="50"/>
      <c r="X27" s="50"/>
      <c r="Y27" s="50"/>
      <c r="Z27" s="50"/>
      <c r="AA27" s="50"/>
      <c r="AB27" s="50"/>
    </row>
    <row r="28">
      <c r="A28" s="49"/>
      <c r="B28" s="49"/>
      <c r="C28" s="50"/>
      <c r="D28" s="50"/>
      <c r="E28" s="50"/>
      <c r="F28" s="50"/>
      <c r="G28" s="50"/>
      <c r="H28" s="50"/>
      <c r="I28" s="50"/>
      <c r="J28" s="50"/>
      <c r="K28" s="50"/>
      <c r="L28" s="50"/>
      <c r="M28" s="50"/>
      <c r="N28" s="50"/>
      <c r="O28" s="50"/>
      <c r="P28" s="50"/>
      <c r="Q28" s="50"/>
      <c r="R28" s="50"/>
      <c r="S28" s="50"/>
      <c r="T28" s="50"/>
      <c r="U28" s="50"/>
      <c r="V28" s="50"/>
      <c r="W28" s="50"/>
      <c r="X28" s="50"/>
      <c r="Y28" s="50"/>
      <c r="Z28" s="50"/>
      <c r="AA28" s="50"/>
      <c r="AB28" s="50"/>
    </row>
    <row r="29">
      <c r="A29" s="49"/>
      <c r="B29" s="49"/>
      <c r="C29" s="50"/>
      <c r="D29" s="50"/>
      <c r="E29" s="50"/>
      <c r="F29" s="50"/>
      <c r="G29" s="50"/>
      <c r="H29" s="50"/>
      <c r="I29" s="50"/>
      <c r="J29" s="50"/>
      <c r="K29" s="50"/>
      <c r="L29" s="50"/>
      <c r="M29" s="50"/>
      <c r="N29" s="50"/>
      <c r="O29" s="50"/>
      <c r="P29" s="50"/>
      <c r="Q29" s="50"/>
      <c r="R29" s="50"/>
      <c r="S29" s="50"/>
      <c r="T29" s="50"/>
      <c r="U29" s="50"/>
      <c r="V29" s="50"/>
      <c r="W29" s="50"/>
      <c r="X29" s="50"/>
      <c r="Y29" s="50"/>
      <c r="Z29" s="50"/>
      <c r="AA29" s="50"/>
      <c r="AB29" s="50"/>
    </row>
    <row r="30">
      <c r="A30" s="49"/>
      <c r="B30" s="49"/>
      <c r="C30" s="50"/>
      <c r="D30" s="50"/>
      <c r="E30" s="50"/>
      <c r="F30" s="50"/>
      <c r="G30" s="50"/>
      <c r="H30" s="50"/>
      <c r="I30" s="50"/>
      <c r="J30" s="50"/>
      <c r="K30" s="50"/>
      <c r="L30" s="50"/>
      <c r="M30" s="50"/>
      <c r="N30" s="50"/>
      <c r="O30" s="50"/>
      <c r="P30" s="50"/>
      <c r="Q30" s="50"/>
      <c r="R30" s="50"/>
      <c r="S30" s="50"/>
      <c r="T30" s="50"/>
      <c r="U30" s="50"/>
      <c r="V30" s="50"/>
      <c r="W30" s="50"/>
      <c r="X30" s="50"/>
      <c r="Y30" s="50"/>
      <c r="Z30" s="50"/>
      <c r="AA30" s="50"/>
      <c r="AB30" s="50"/>
    </row>
    <row r="31">
      <c r="A31" s="49"/>
      <c r="B31" s="49"/>
      <c r="C31" s="50"/>
      <c r="D31" s="50"/>
      <c r="E31" s="50"/>
      <c r="F31" s="50"/>
      <c r="G31" s="50"/>
      <c r="H31" s="50"/>
      <c r="I31" s="50"/>
      <c r="J31" s="50"/>
      <c r="K31" s="50"/>
      <c r="L31" s="50"/>
      <c r="M31" s="50"/>
      <c r="N31" s="50"/>
      <c r="O31" s="50"/>
      <c r="P31" s="50"/>
      <c r="Q31" s="50"/>
      <c r="R31" s="50"/>
      <c r="S31" s="50"/>
      <c r="T31" s="50"/>
      <c r="U31" s="50"/>
      <c r="V31" s="50"/>
      <c r="W31" s="50"/>
      <c r="X31" s="50"/>
      <c r="Y31" s="50"/>
      <c r="Z31" s="50"/>
      <c r="AA31" s="50"/>
      <c r="AB31" s="50"/>
    </row>
    <row r="32">
      <c r="A32" s="49"/>
      <c r="B32" s="49"/>
      <c r="C32" s="50"/>
      <c r="D32" s="50"/>
      <c r="E32" s="50"/>
      <c r="F32" s="50"/>
      <c r="G32" s="50"/>
      <c r="H32" s="50"/>
      <c r="I32" s="50"/>
      <c r="J32" s="50"/>
      <c r="K32" s="50"/>
      <c r="L32" s="50"/>
      <c r="M32" s="50"/>
      <c r="N32" s="50"/>
      <c r="O32" s="50"/>
      <c r="P32" s="50"/>
      <c r="Q32" s="50"/>
      <c r="R32" s="50"/>
      <c r="S32" s="50"/>
      <c r="T32" s="50"/>
      <c r="U32" s="50"/>
      <c r="V32" s="50"/>
      <c r="W32" s="50"/>
      <c r="X32" s="50"/>
      <c r="Y32" s="50"/>
      <c r="Z32" s="50"/>
      <c r="AA32" s="50"/>
      <c r="AB32" s="50"/>
    </row>
    <row r="33">
      <c r="A33" s="49"/>
      <c r="B33" s="49"/>
      <c r="C33" s="50"/>
      <c r="D33" s="50"/>
      <c r="E33" s="50"/>
      <c r="F33" s="50"/>
      <c r="G33" s="50"/>
      <c r="H33" s="50"/>
      <c r="I33" s="50"/>
      <c r="J33" s="50"/>
      <c r="K33" s="50"/>
      <c r="L33" s="50"/>
      <c r="M33" s="50"/>
      <c r="N33" s="50"/>
      <c r="O33" s="50"/>
      <c r="P33" s="50"/>
      <c r="Q33" s="50"/>
      <c r="R33" s="50"/>
      <c r="S33" s="50"/>
      <c r="T33" s="50"/>
      <c r="U33" s="50"/>
      <c r="V33" s="50"/>
      <c r="W33" s="50"/>
      <c r="X33" s="50"/>
      <c r="Y33" s="50"/>
      <c r="Z33" s="50"/>
      <c r="AA33" s="50"/>
      <c r="AB33" s="50"/>
    </row>
    <row r="34">
      <c r="A34" s="49"/>
      <c r="B34" s="49"/>
      <c r="C34" s="50"/>
      <c r="D34" s="50"/>
      <c r="E34" s="50"/>
      <c r="F34" s="50"/>
      <c r="G34" s="50"/>
      <c r="H34" s="50"/>
      <c r="I34" s="50"/>
      <c r="J34" s="50"/>
      <c r="K34" s="50"/>
      <c r="L34" s="50"/>
      <c r="M34" s="50"/>
      <c r="N34" s="50"/>
      <c r="O34" s="50"/>
      <c r="P34" s="50"/>
      <c r="Q34" s="50"/>
      <c r="R34" s="50"/>
      <c r="S34" s="50"/>
      <c r="T34" s="50"/>
      <c r="U34" s="50"/>
      <c r="V34" s="50"/>
      <c r="W34" s="50"/>
      <c r="X34" s="50"/>
      <c r="Y34" s="50"/>
      <c r="Z34" s="50"/>
      <c r="AA34" s="50"/>
      <c r="AB34" s="50"/>
    </row>
    <row r="35">
      <c r="A35" s="49"/>
      <c r="B35" s="49"/>
      <c r="C35" s="50"/>
      <c r="D35" s="50"/>
      <c r="E35" s="50"/>
      <c r="F35" s="50"/>
      <c r="G35" s="50"/>
      <c r="H35" s="50"/>
      <c r="I35" s="50"/>
      <c r="J35" s="50"/>
      <c r="K35" s="50"/>
      <c r="L35" s="50"/>
      <c r="M35" s="50"/>
      <c r="N35" s="50"/>
      <c r="O35" s="50"/>
      <c r="P35" s="50"/>
      <c r="Q35" s="50"/>
      <c r="R35" s="50"/>
      <c r="S35" s="50"/>
      <c r="T35" s="50"/>
      <c r="U35" s="50"/>
      <c r="V35" s="50"/>
      <c r="W35" s="50"/>
      <c r="X35" s="50"/>
      <c r="Y35" s="50"/>
      <c r="Z35" s="50"/>
      <c r="AA35" s="50"/>
      <c r="AB35" s="50"/>
    </row>
    <row r="36">
      <c r="A36" s="49"/>
      <c r="B36" s="49"/>
      <c r="C36" s="50"/>
      <c r="D36" s="50"/>
      <c r="E36" s="50"/>
      <c r="F36" s="50"/>
      <c r="G36" s="50"/>
      <c r="H36" s="50"/>
      <c r="I36" s="50"/>
      <c r="J36" s="50"/>
      <c r="K36" s="50"/>
      <c r="L36" s="50"/>
      <c r="M36" s="50"/>
      <c r="N36" s="50"/>
      <c r="O36" s="50"/>
      <c r="P36" s="50"/>
      <c r="Q36" s="50"/>
      <c r="R36" s="50"/>
      <c r="S36" s="50"/>
      <c r="T36" s="50"/>
      <c r="U36" s="50"/>
      <c r="V36" s="50"/>
      <c r="W36" s="50"/>
      <c r="X36" s="50"/>
      <c r="Y36" s="50"/>
      <c r="Z36" s="50"/>
      <c r="AA36" s="50"/>
      <c r="AB36" s="50"/>
    </row>
    <row r="37">
      <c r="A37" s="49"/>
      <c r="B37" s="49"/>
      <c r="C37" s="50"/>
      <c r="D37" s="50"/>
      <c r="E37" s="50"/>
      <c r="F37" s="50"/>
      <c r="G37" s="50"/>
      <c r="H37" s="50"/>
      <c r="I37" s="50"/>
      <c r="J37" s="50"/>
      <c r="K37" s="50"/>
      <c r="L37" s="50"/>
      <c r="M37" s="50"/>
      <c r="N37" s="50"/>
      <c r="O37" s="50"/>
      <c r="P37" s="50"/>
      <c r="Q37" s="50"/>
      <c r="R37" s="50"/>
      <c r="S37" s="50"/>
      <c r="T37" s="50"/>
      <c r="U37" s="50"/>
      <c r="V37" s="50"/>
      <c r="W37" s="50"/>
      <c r="X37" s="50"/>
      <c r="Y37" s="50"/>
      <c r="Z37" s="50"/>
      <c r="AA37" s="50"/>
      <c r="AB37" s="50"/>
    </row>
    <row r="38">
      <c r="A38" s="49"/>
      <c r="B38" s="49"/>
      <c r="C38" s="50"/>
      <c r="D38" s="50"/>
      <c r="E38" s="50"/>
      <c r="F38" s="50"/>
      <c r="G38" s="50"/>
      <c r="H38" s="50"/>
      <c r="I38" s="50"/>
      <c r="J38" s="50"/>
      <c r="K38" s="50"/>
      <c r="L38" s="50"/>
      <c r="M38" s="50"/>
      <c r="N38" s="50"/>
      <c r="O38" s="50"/>
      <c r="P38" s="50"/>
      <c r="Q38" s="50"/>
      <c r="R38" s="50"/>
      <c r="S38" s="50"/>
      <c r="T38" s="50"/>
      <c r="U38" s="50"/>
      <c r="V38" s="50"/>
      <c r="W38" s="50"/>
      <c r="X38" s="50"/>
      <c r="Y38" s="50"/>
      <c r="Z38" s="50"/>
      <c r="AA38" s="50"/>
      <c r="AB38" s="50"/>
    </row>
    <row r="39">
      <c r="A39" s="49"/>
      <c r="B39" s="49"/>
      <c r="C39" s="50"/>
      <c r="D39" s="50"/>
      <c r="E39" s="50"/>
      <c r="F39" s="50"/>
      <c r="G39" s="50"/>
      <c r="H39" s="50"/>
      <c r="I39" s="50"/>
      <c r="J39" s="50"/>
      <c r="K39" s="50"/>
      <c r="L39" s="50"/>
      <c r="M39" s="50"/>
      <c r="N39" s="50"/>
      <c r="O39" s="50"/>
      <c r="P39" s="50"/>
      <c r="Q39" s="50"/>
      <c r="R39" s="50"/>
      <c r="S39" s="50"/>
      <c r="T39" s="50"/>
      <c r="U39" s="50"/>
      <c r="V39" s="50"/>
      <c r="W39" s="50"/>
      <c r="X39" s="50"/>
      <c r="Y39" s="50"/>
      <c r="Z39" s="50"/>
      <c r="AA39" s="50"/>
      <c r="AB39" s="50"/>
    </row>
    <row r="40">
      <c r="A40" s="49"/>
      <c r="B40" s="49"/>
      <c r="C40" s="50"/>
      <c r="D40" s="50"/>
      <c r="E40" s="50"/>
      <c r="F40" s="50"/>
      <c r="G40" s="50"/>
      <c r="H40" s="50"/>
      <c r="I40" s="50"/>
      <c r="J40" s="50"/>
      <c r="K40" s="50"/>
      <c r="L40" s="50"/>
      <c r="M40" s="50"/>
      <c r="N40" s="50"/>
      <c r="O40" s="50"/>
      <c r="P40" s="50"/>
      <c r="Q40" s="50"/>
      <c r="R40" s="50"/>
      <c r="S40" s="50"/>
      <c r="T40" s="50"/>
      <c r="U40" s="50"/>
      <c r="V40" s="50"/>
      <c r="W40" s="50"/>
      <c r="X40" s="50"/>
      <c r="Y40" s="50"/>
      <c r="Z40" s="50"/>
      <c r="AA40" s="50"/>
      <c r="AB40" s="50"/>
    </row>
    <row r="41">
      <c r="A41" s="49"/>
      <c r="B41" s="49"/>
      <c r="C41" s="50"/>
      <c r="D41" s="50"/>
      <c r="E41" s="50"/>
      <c r="F41" s="50"/>
      <c r="G41" s="50"/>
      <c r="H41" s="50"/>
      <c r="I41" s="50"/>
      <c r="J41" s="50"/>
      <c r="K41" s="50"/>
      <c r="L41" s="50"/>
      <c r="M41" s="50"/>
      <c r="N41" s="50"/>
      <c r="O41" s="50"/>
      <c r="P41" s="50"/>
      <c r="Q41" s="50"/>
      <c r="R41" s="50"/>
      <c r="S41" s="50"/>
      <c r="T41" s="50"/>
      <c r="U41" s="50"/>
      <c r="V41" s="50"/>
      <c r="W41" s="50"/>
      <c r="X41" s="50"/>
      <c r="Y41" s="50"/>
      <c r="Z41" s="50"/>
      <c r="AA41" s="50"/>
      <c r="AB41" s="50"/>
    </row>
    <row r="42">
      <c r="A42" s="49"/>
      <c r="B42" s="49"/>
      <c r="C42" s="50"/>
      <c r="D42" s="50"/>
      <c r="E42" s="50"/>
      <c r="F42" s="50"/>
      <c r="G42" s="50"/>
      <c r="H42" s="50"/>
      <c r="I42" s="50"/>
      <c r="J42" s="50"/>
      <c r="K42" s="50"/>
      <c r="L42" s="50"/>
      <c r="M42" s="50"/>
      <c r="N42" s="50"/>
      <c r="O42" s="50"/>
      <c r="P42" s="50"/>
      <c r="Q42" s="50"/>
      <c r="R42" s="50"/>
      <c r="S42" s="50"/>
      <c r="T42" s="50"/>
      <c r="U42" s="50"/>
      <c r="V42" s="50"/>
      <c r="W42" s="50"/>
      <c r="X42" s="50"/>
      <c r="Y42" s="50"/>
      <c r="Z42" s="50"/>
      <c r="AA42" s="50"/>
      <c r="AB42" s="50"/>
    </row>
    <row r="43">
      <c r="A43" s="49"/>
      <c r="B43" s="49"/>
      <c r="C43" s="50"/>
      <c r="D43" s="50"/>
      <c r="E43" s="50"/>
      <c r="F43" s="50"/>
      <c r="G43" s="50"/>
      <c r="H43" s="50"/>
      <c r="I43" s="50"/>
      <c r="J43" s="50"/>
      <c r="K43" s="50"/>
      <c r="L43" s="50"/>
      <c r="M43" s="50"/>
      <c r="N43" s="50"/>
      <c r="O43" s="50"/>
      <c r="P43" s="50"/>
      <c r="Q43" s="50"/>
      <c r="R43" s="50"/>
      <c r="S43" s="50"/>
      <c r="T43" s="50"/>
      <c r="U43" s="50"/>
      <c r="V43" s="50"/>
      <c r="W43" s="50"/>
      <c r="X43" s="50"/>
      <c r="Y43" s="50"/>
      <c r="Z43" s="50"/>
      <c r="AA43" s="50"/>
      <c r="AB43" s="50"/>
    </row>
    <row r="44">
      <c r="A44" s="49"/>
      <c r="B44" s="49"/>
      <c r="C44" s="50"/>
      <c r="D44" s="50"/>
      <c r="E44" s="50"/>
      <c r="F44" s="50"/>
      <c r="G44" s="50"/>
      <c r="H44" s="50"/>
      <c r="I44" s="50"/>
      <c r="J44" s="50"/>
      <c r="K44" s="50"/>
      <c r="L44" s="50"/>
      <c r="M44" s="50"/>
      <c r="N44" s="50"/>
      <c r="O44" s="50"/>
      <c r="P44" s="50"/>
      <c r="Q44" s="50"/>
      <c r="R44" s="50"/>
      <c r="S44" s="50"/>
      <c r="T44" s="50"/>
      <c r="U44" s="50"/>
      <c r="V44" s="50"/>
      <c r="W44" s="50"/>
      <c r="X44" s="50"/>
      <c r="Y44" s="50"/>
      <c r="Z44" s="50"/>
      <c r="AA44" s="50"/>
      <c r="AB44" s="50"/>
    </row>
    <row r="45">
      <c r="A45" s="49"/>
      <c r="B45" s="49"/>
      <c r="C45" s="50"/>
      <c r="D45" s="50"/>
      <c r="E45" s="50"/>
      <c r="F45" s="50"/>
      <c r="G45" s="50"/>
      <c r="H45" s="50"/>
      <c r="I45" s="50"/>
      <c r="J45" s="50"/>
      <c r="K45" s="50"/>
      <c r="L45" s="50"/>
      <c r="M45" s="50"/>
      <c r="N45" s="50"/>
      <c r="O45" s="50"/>
      <c r="P45" s="50"/>
      <c r="Q45" s="50"/>
      <c r="R45" s="50"/>
      <c r="S45" s="50"/>
      <c r="T45" s="50"/>
      <c r="U45" s="50"/>
      <c r="V45" s="50"/>
      <c r="W45" s="50"/>
      <c r="X45" s="50"/>
      <c r="Y45" s="50"/>
      <c r="Z45" s="50"/>
      <c r="AA45" s="50"/>
      <c r="AB45" s="50"/>
    </row>
    <row r="46">
      <c r="A46" s="49"/>
      <c r="B46" s="49"/>
      <c r="C46" s="50"/>
      <c r="D46" s="50"/>
      <c r="E46" s="50"/>
      <c r="F46" s="50"/>
      <c r="G46" s="50"/>
      <c r="H46" s="50"/>
      <c r="I46" s="50"/>
      <c r="J46" s="50"/>
      <c r="K46" s="50"/>
      <c r="L46" s="50"/>
      <c r="M46" s="50"/>
      <c r="N46" s="50"/>
      <c r="O46" s="50"/>
      <c r="P46" s="50"/>
      <c r="Q46" s="50"/>
      <c r="R46" s="50"/>
      <c r="S46" s="50"/>
      <c r="T46" s="50"/>
      <c r="U46" s="50"/>
      <c r="V46" s="50"/>
      <c r="W46" s="50"/>
      <c r="X46" s="50"/>
      <c r="Y46" s="50"/>
      <c r="Z46" s="50"/>
      <c r="AA46" s="50"/>
      <c r="AB46" s="50"/>
    </row>
    <row r="47">
      <c r="A47" s="49"/>
      <c r="B47" s="49"/>
      <c r="C47" s="50"/>
      <c r="D47" s="50"/>
      <c r="E47" s="50"/>
      <c r="F47" s="50"/>
      <c r="G47" s="50"/>
      <c r="H47" s="50"/>
      <c r="I47" s="50"/>
      <c r="J47" s="50"/>
      <c r="K47" s="50"/>
      <c r="L47" s="50"/>
      <c r="M47" s="50"/>
      <c r="N47" s="50"/>
      <c r="O47" s="50"/>
      <c r="P47" s="50"/>
      <c r="Q47" s="50"/>
      <c r="R47" s="50"/>
      <c r="S47" s="50"/>
      <c r="T47" s="50"/>
      <c r="U47" s="50"/>
      <c r="V47" s="50"/>
      <c r="W47" s="50"/>
      <c r="X47" s="50"/>
      <c r="Y47" s="50"/>
      <c r="Z47" s="50"/>
      <c r="AA47" s="50"/>
      <c r="AB47" s="50"/>
    </row>
    <row r="48">
      <c r="A48" s="49"/>
      <c r="B48" s="49"/>
      <c r="C48" s="50"/>
      <c r="D48" s="50"/>
      <c r="E48" s="50"/>
      <c r="F48" s="50"/>
      <c r="G48" s="50"/>
      <c r="H48" s="50"/>
      <c r="I48" s="50"/>
      <c r="J48" s="50"/>
      <c r="K48" s="50"/>
      <c r="L48" s="50"/>
      <c r="M48" s="50"/>
      <c r="N48" s="50"/>
      <c r="O48" s="50"/>
      <c r="P48" s="50"/>
      <c r="Q48" s="50"/>
      <c r="R48" s="50"/>
      <c r="S48" s="50"/>
      <c r="T48" s="50"/>
      <c r="U48" s="50"/>
      <c r="V48" s="50"/>
      <c r="W48" s="50"/>
      <c r="X48" s="50"/>
      <c r="Y48" s="50"/>
      <c r="Z48" s="50"/>
      <c r="AA48" s="50"/>
      <c r="AB48" s="50"/>
    </row>
    <row r="49">
      <c r="A49" s="49"/>
      <c r="B49" s="49"/>
      <c r="C49" s="50"/>
      <c r="D49" s="50"/>
      <c r="E49" s="50"/>
      <c r="F49" s="50"/>
      <c r="G49" s="50"/>
      <c r="H49" s="50"/>
      <c r="I49" s="50"/>
      <c r="J49" s="50"/>
      <c r="K49" s="50"/>
      <c r="L49" s="50"/>
      <c r="M49" s="50"/>
      <c r="N49" s="50"/>
      <c r="O49" s="50"/>
      <c r="P49" s="50"/>
      <c r="Q49" s="50"/>
      <c r="R49" s="50"/>
      <c r="S49" s="50"/>
      <c r="T49" s="50"/>
      <c r="U49" s="50"/>
      <c r="V49" s="50"/>
      <c r="W49" s="50"/>
      <c r="X49" s="50"/>
      <c r="Y49" s="50"/>
      <c r="Z49" s="50"/>
      <c r="AA49" s="50"/>
      <c r="AB49" s="50"/>
    </row>
    <row r="50">
      <c r="A50" s="49"/>
      <c r="B50" s="49"/>
      <c r="C50" s="50"/>
      <c r="D50" s="50"/>
      <c r="E50" s="50"/>
      <c r="F50" s="50"/>
      <c r="G50" s="50"/>
      <c r="H50" s="50"/>
      <c r="I50" s="50"/>
      <c r="J50" s="50"/>
      <c r="K50" s="50"/>
      <c r="L50" s="50"/>
      <c r="M50" s="50"/>
      <c r="N50" s="50"/>
      <c r="O50" s="50"/>
      <c r="P50" s="50"/>
      <c r="Q50" s="50"/>
      <c r="R50" s="50"/>
      <c r="S50" s="50"/>
      <c r="T50" s="50"/>
      <c r="U50" s="50"/>
      <c r="V50" s="50"/>
      <c r="W50" s="50"/>
      <c r="X50" s="50"/>
      <c r="Y50" s="50"/>
      <c r="Z50" s="50"/>
      <c r="AA50" s="50"/>
      <c r="AB50" s="50"/>
    </row>
    <row r="51">
      <c r="A51" s="49"/>
      <c r="B51" s="49"/>
      <c r="C51" s="50"/>
      <c r="D51" s="50"/>
      <c r="E51" s="50"/>
      <c r="F51" s="50"/>
      <c r="G51" s="50"/>
      <c r="H51" s="50"/>
      <c r="I51" s="50"/>
      <c r="J51" s="50"/>
      <c r="K51" s="50"/>
      <c r="L51" s="50"/>
      <c r="M51" s="50"/>
      <c r="N51" s="50"/>
      <c r="O51" s="50"/>
      <c r="P51" s="50"/>
      <c r="Q51" s="50"/>
      <c r="R51" s="50"/>
      <c r="S51" s="50"/>
      <c r="T51" s="50"/>
      <c r="U51" s="50"/>
      <c r="V51" s="50"/>
      <c r="W51" s="50"/>
      <c r="X51" s="50"/>
      <c r="Y51" s="50"/>
      <c r="Z51" s="50"/>
      <c r="AA51" s="50"/>
      <c r="AB51" s="50"/>
    </row>
    <row r="52">
      <c r="A52" s="49"/>
      <c r="B52" s="49"/>
      <c r="C52" s="50"/>
      <c r="D52" s="50"/>
      <c r="E52" s="50"/>
      <c r="F52" s="50"/>
      <c r="G52" s="50"/>
      <c r="H52" s="50"/>
      <c r="I52" s="50"/>
      <c r="J52" s="50"/>
      <c r="K52" s="50"/>
      <c r="L52" s="50"/>
      <c r="M52" s="50"/>
      <c r="N52" s="50"/>
      <c r="O52" s="50"/>
      <c r="P52" s="50"/>
      <c r="Q52" s="50"/>
      <c r="R52" s="50"/>
      <c r="S52" s="50"/>
      <c r="T52" s="50"/>
      <c r="U52" s="50"/>
      <c r="V52" s="50"/>
      <c r="W52" s="50"/>
      <c r="X52" s="50"/>
      <c r="Y52" s="50"/>
      <c r="Z52" s="50"/>
      <c r="AA52" s="50"/>
      <c r="AB52" s="50"/>
    </row>
    <row r="53">
      <c r="A53" s="49"/>
      <c r="B53" s="49"/>
      <c r="C53" s="50"/>
      <c r="D53" s="50"/>
      <c r="E53" s="50"/>
      <c r="F53" s="50"/>
      <c r="G53" s="50"/>
      <c r="H53" s="50"/>
      <c r="I53" s="50"/>
      <c r="J53" s="50"/>
      <c r="K53" s="50"/>
      <c r="L53" s="50"/>
      <c r="M53" s="50"/>
      <c r="N53" s="50"/>
      <c r="O53" s="50"/>
      <c r="P53" s="50"/>
      <c r="Q53" s="50"/>
      <c r="R53" s="50"/>
      <c r="S53" s="50"/>
      <c r="T53" s="50"/>
      <c r="U53" s="50"/>
      <c r="V53" s="50"/>
      <c r="W53" s="50"/>
      <c r="X53" s="50"/>
      <c r="Y53" s="50"/>
      <c r="Z53" s="50"/>
      <c r="AA53" s="50"/>
      <c r="AB53" s="50"/>
    </row>
    <row r="54">
      <c r="A54" s="49"/>
      <c r="B54" s="49"/>
      <c r="C54" s="50"/>
      <c r="D54" s="50"/>
      <c r="E54" s="50"/>
      <c r="F54" s="50"/>
      <c r="G54" s="50"/>
      <c r="H54" s="50"/>
      <c r="I54" s="50"/>
      <c r="J54" s="50"/>
      <c r="K54" s="50"/>
      <c r="L54" s="50"/>
      <c r="M54" s="50"/>
      <c r="N54" s="50"/>
      <c r="O54" s="50"/>
      <c r="P54" s="50"/>
      <c r="Q54" s="50"/>
      <c r="R54" s="50"/>
      <c r="S54" s="50"/>
      <c r="T54" s="50"/>
      <c r="U54" s="50"/>
      <c r="V54" s="50"/>
      <c r="W54" s="50"/>
      <c r="X54" s="50"/>
      <c r="Y54" s="50"/>
      <c r="Z54" s="50"/>
      <c r="AA54" s="50"/>
      <c r="AB54" s="50"/>
    </row>
    <row r="55">
      <c r="A55" s="49"/>
      <c r="B55" s="49"/>
      <c r="C55" s="50"/>
      <c r="D55" s="50"/>
      <c r="E55" s="50"/>
      <c r="F55" s="50"/>
      <c r="G55" s="50"/>
      <c r="H55" s="50"/>
      <c r="I55" s="50"/>
      <c r="J55" s="50"/>
      <c r="K55" s="50"/>
      <c r="L55" s="50"/>
      <c r="M55" s="50"/>
      <c r="N55" s="50"/>
      <c r="O55" s="50"/>
      <c r="P55" s="50"/>
      <c r="Q55" s="50"/>
      <c r="R55" s="50"/>
      <c r="S55" s="50"/>
      <c r="T55" s="50"/>
      <c r="U55" s="50"/>
      <c r="V55" s="50"/>
      <c r="W55" s="50"/>
      <c r="X55" s="50"/>
      <c r="Y55" s="50"/>
      <c r="Z55" s="50"/>
      <c r="AA55" s="50"/>
      <c r="AB55" s="50"/>
    </row>
    <row r="56">
      <c r="A56" s="49"/>
      <c r="B56" s="49"/>
      <c r="C56" s="50"/>
      <c r="D56" s="50"/>
      <c r="E56" s="50"/>
      <c r="F56" s="50"/>
      <c r="G56" s="50"/>
      <c r="H56" s="50"/>
      <c r="I56" s="50"/>
      <c r="J56" s="50"/>
      <c r="K56" s="50"/>
      <c r="L56" s="50"/>
      <c r="M56" s="50"/>
      <c r="N56" s="50"/>
      <c r="O56" s="50"/>
      <c r="P56" s="50"/>
      <c r="Q56" s="50"/>
      <c r="R56" s="50"/>
      <c r="S56" s="50"/>
      <c r="T56" s="50"/>
      <c r="U56" s="50"/>
      <c r="V56" s="50"/>
      <c r="W56" s="50"/>
      <c r="X56" s="50"/>
      <c r="Y56" s="50"/>
      <c r="Z56" s="50"/>
      <c r="AA56" s="50"/>
      <c r="AB56" s="50"/>
    </row>
    <row r="57">
      <c r="A57" s="49"/>
      <c r="B57" s="49"/>
      <c r="C57" s="50"/>
      <c r="D57" s="50"/>
      <c r="E57" s="50"/>
      <c r="F57" s="50"/>
      <c r="G57" s="50"/>
      <c r="H57" s="50"/>
      <c r="I57" s="50"/>
      <c r="J57" s="50"/>
      <c r="K57" s="50"/>
      <c r="L57" s="50"/>
      <c r="M57" s="50"/>
      <c r="N57" s="50"/>
      <c r="O57" s="50"/>
      <c r="P57" s="50"/>
      <c r="Q57" s="50"/>
      <c r="R57" s="50"/>
      <c r="S57" s="50"/>
      <c r="T57" s="50"/>
      <c r="U57" s="50"/>
      <c r="V57" s="50"/>
      <c r="W57" s="50"/>
      <c r="X57" s="50"/>
      <c r="Y57" s="50"/>
      <c r="Z57" s="50"/>
      <c r="AA57" s="50"/>
      <c r="AB57" s="50"/>
    </row>
    <row r="58">
      <c r="A58" s="49"/>
      <c r="B58" s="49"/>
      <c r="C58" s="50"/>
      <c r="D58" s="50"/>
      <c r="E58" s="50"/>
      <c r="F58" s="50"/>
      <c r="G58" s="50"/>
      <c r="H58" s="50"/>
      <c r="I58" s="50"/>
      <c r="J58" s="50"/>
      <c r="K58" s="50"/>
      <c r="L58" s="50"/>
      <c r="M58" s="50"/>
      <c r="N58" s="50"/>
      <c r="O58" s="50"/>
      <c r="P58" s="50"/>
      <c r="Q58" s="50"/>
      <c r="R58" s="50"/>
      <c r="S58" s="50"/>
      <c r="T58" s="50"/>
      <c r="U58" s="50"/>
      <c r="V58" s="50"/>
      <c r="W58" s="50"/>
      <c r="X58" s="50"/>
      <c r="Y58" s="50"/>
      <c r="Z58" s="50"/>
      <c r="AA58" s="50"/>
      <c r="AB58" s="50"/>
    </row>
    <row r="59">
      <c r="A59" s="49"/>
      <c r="B59" s="49"/>
      <c r="C59" s="50"/>
      <c r="D59" s="50"/>
      <c r="E59" s="50"/>
      <c r="F59" s="50"/>
      <c r="G59" s="50"/>
      <c r="H59" s="50"/>
      <c r="I59" s="50"/>
      <c r="J59" s="50"/>
      <c r="K59" s="50"/>
      <c r="L59" s="50"/>
      <c r="M59" s="50"/>
      <c r="N59" s="50"/>
      <c r="O59" s="50"/>
      <c r="P59" s="50"/>
      <c r="Q59" s="50"/>
      <c r="R59" s="50"/>
      <c r="S59" s="50"/>
      <c r="T59" s="50"/>
      <c r="U59" s="50"/>
      <c r="V59" s="50"/>
      <c r="W59" s="50"/>
      <c r="X59" s="50"/>
      <c r="Y59" s="50"/>
      <c r="Z59" s="50"/>
      <c r="AA59" s="50"/>
      <c r="AB59" s="50"/>
    </row>
    <row r="60">
      <c r="A60" s="49"/>
      <c r="B60" s="49"/>
      <c r="C60" s="50"/>
      <c r="D60" s="50"/>
      <c r="E60" s="50"/>
      <c r="F60" s="50"/>
      <c r="G60" s="50"/>
      <c r="H60" s="50"/>
      <c r="I60" s="50"/>
      <c r="J60" s="50"/>
      <c r="K60" s="50"/>
      <c r="L60" s="50"/>
      <c r="M60" s="50"/>
      <c r="N60" s="50"/>
      <c r="O60" s="50"/>
      <c r="P60" s="50"/>
      <c r="Q60" s="50"/>
      <c r="R60" s="50"/>
      <c r="S60" s="50"/>
      <c r="T60" s="50"/>
      <c r="U60" s="50"/>
      <c r="V60" s="50"/>
      <c r="W60" s="50"/>
      <c r="X60" s="50"/>
      <c r="Y60" s="50"/>
      <c r="Z60" s="50"/>
      <c r="AA60" s="50"/>
      <c r="AB60" s="50"/>
    </row>
    <row r="61">
      <c r="A61" s="49"/>
      <c r="B61" s="49"/>
      <c r="C61" s="50"/>
      <c r="D61" s="50"/>
      <c r="E61" s="50"/>
      <c r="F61" s="50"/>
      <c r="G61" s="50"/>
      <c r="H61" s="50"/>
      <c r="I61" s="50"/>
      <c r="J61" s="50"/>
      <c r="K61" s="50"/>
      <c r="L61" s="50"/>
      <c r="M61" s="50"/>
      <c r="N61" s="50"/>
      <c r="O61" s="50"/>
      <c r="P61" s="50"/>
      <c r="Q61" s="50"/>
      <c r="R61" s="50"/>
      <c r="S61" s="50"/>
      <c r="T61" s="50"/>
      <c r="U61" s="50"/>
      <c r="V61" s="50"/>
      <c r="W61" s="50"/>
      <c r="X61" s="50"/>
      <c r="Y61" s="50"/>
      <c r="Z61" s="50"/>
      <c r="AA61" s="50"/>
      <c r="AB61" s="50"/>
    </row>
    <row r="62">
      <c r="A62" s="49"/>
      <c r="B62" s="49"/>
      <c r="C62" s="50"/>
      <c r="D62" s="50"/>
      <c r="E62" s="50"/>
      <c r="F62" s="50"/>
      <c r="G62" s="50"/>
      <c r="H62" s="50"/>
      <c r="I62" s="50"/>
      <c r="J62" s="50"/>
      <c r="K62" s="50"/>
      <c r="L62" s="50"/>
      <c r="M62" s="50"/>
      <c r="N62" s="50"/>
      <c r="O62" s="50"/>
      <c r="P62" s="50"/>
      <c r="Q62" s="50"/>
      <c r="R62" s="50"/>
      <c r="S62" s="50"/>
      <c r="T62" s="50"/>
      <c r="U62" s="50"/>
      <c r="V62" s="50"/>
      <c r="W62" s="50"/>
      <c r="X62" s="50"/>
      <c r="Y62" s="50"/>
      <c r="Z62" s="50"/>
      <c r="AA62" s="50"/>
      <c r="AB62" s="50"/>
    </row>
    <row r="63">
      <c r="A63" s="49"/>
      <c r="B63" s="49"/>
      <c r="C63" s="50"/>
      <c r="D63" s="50"/>
      <c r="E63" s="50"/>
      <c r="F63" s="50"/>
      <c r="G63" s="50"/>
      <c r="H63" s="50"/>
      <c r="I63" s="50"/>
      <c r="J63" s="50"/>
      <c r="K63" s="50"/>
      <c r="L63" s="50"/>
      <c r="M63" s="50"/>
      <c r="N63" s="50"/>
      <c r="O63" s="50"/>
      <c r="P63" s="50"/>
      <c r="Q63" s="50"/>
      <c r="R63" s="50"/>
      <c r="S63" s="50"/>
      <c r="T63" s="50"/>
      <c r="U63" s="50"/>
      <c r="V63" s="50"/>
      <c r="W63" s="50"/>
      <c r="X63" s="50"/>
      <c r="Y63" s="50"/>
      <c r="Z63" s="50"/>
      <c r="AA63" s="50"/>
      <c r="AB63" s="50"/>
    </row>
    <row r="64">
      <c r="A64" s="49"/>
      <c r="B64" s="49"/>
      <c r="C64" s="50"/>
      <c r="D64" s="50"/>
      <c r="E64" s="50"/>
      <c r="F64" s="50"/>
      <c r="G64" s="50"/>
      <c r="H64" s="50"/>
      <c r="I64" s="50"/>
      <c r="J64" s="50"/>
      <c r="K64" s="50"/>
      <c r="L64" s="50"/>
      <c r="M64" s="50"/>
      <c r="N64" s="50"/>
      <c r="O64" s="50"/>
      <c r="P64" s="50"/>
      <c r="Q64" s="50"/>
      <c r="R64" s="50"/>
      <c r="S64" s="50"/>
      <c r="T64" s="50"/>
      <c r="U64" s="50"/>
      <c r="V64" s="50"/>
      <c r="W64" s="50"/>
      <c r="X64" s="50"/>
      <c r="Y64" s="50"/>
      <c r="Z64" s="50"/>
      <c r="AA64" s="50"/>
      <c r="AB64" s="50"/>
    </row>
    <row r="65">
      <c r="A65" s="49"/>
      <c r="B65" s="49"/>
      <c r="C65" s="50"/>
      <c r="D65" s="50"/>
      <c r="E65" s="50"/>
      <c r="F65" s="50"/>
      <c r="G65" s="50"/>
      <c r="H65" s="50"/>
      <c r="I65" s="50"/>
      <c r="J65" s="50"/>
      <c r="K65" s="50"/>
      <c r="L65" s="50"/>
      <c r="M65" s="50"/>
      <c r="N65" s="50"/>
      <c r="O65" s="50"/>
      <c r="P65" s="50"/>
      <c r="Q65" s="50"/>
      <c r="R65" s="50"/>
      <c r="S65" s="50"/>
      <c r="T65" s="50"/>
      <c r="U65" s="50"/>
      <c r="V65" s="50"/>
      <c r="W65" s="50"/>
      <c r="X65" s="50"/>
      <c r="Y65" s="50"/>
      <c r="Z65" s="50"/>
      <c r="AA65" s="50"/>
      <c r="AB65" s="50"/>
    </row>
    <row r="66">
      <c r="A66" s="49"/>
      <c r="B66" s="49"/>
      <c r="C66" s="50"/>
      <c r="D66" s="50"/>
      <c r="E66" s="50"/>
      <c r="F66" s="50"/>
      <c r="G66" s="50"/>
      <c r="H66" s="50"/>
      <c r="I66" s="50"/>
      <c r="J66" s="50"/>
      <c r="K66" s="50"/>
      <c r="L66" s="50"/>
      <c r="M66" s="50"/>
      <c r="N66" s="50"/>
      <c r="O66" s="50"/>
      <c r="P66" s="50"/>
      <c r="Q66" s="50"/>
      <c r="R66" s="50"/>
      <c r="S66" s="50"/>
      <c r="T66" s="50"/>
      <c r="U66" s="50"/>
      <c r="V66" s="50"/>
      <c r="W66" s="50"/>
      <c r="X66" s="50"/>
      <c r="Y66" s="50"/>
      <c r="Z66" s="50"/>
      <c r="AA66" s="50"/>
      <c r="AB66" s="50"/>
    </row>
    <row r="67">
      <c r="A67" s="49"/>
      <c r="B67" s="49"/>
      <c r="C67" s="50"/>
      <c r="D67" s="50"/>
      <c r="E67" s="50"/>
      <c r="F67" s="50"/>
      <c r="G67" s="50"/>
      <c r="H67" s="50"/>
      <c r="I67" s="50"/>
      <c r="J67" s="50"/>
      <c r="K67" s="50"/>
      <c r="L67" s="50"/>
      <c r="M67" s="50"/>
      <c r="N67" s="50"/>
      <c r="O67" s="50"/>
      <c r="P67" s="50"/>
      <c r="Q67" s="50"/>
      <c r="R67" s="50"/>
      <c r="S67" s="50"/>
      <c r="T67" s="50"/>
      <c r="U67" s="50"/>
      <c r="V67" s="50"/>
      <c r="W67" s="50"/>
      <c r="X67" s="50"/>
      <c r="Y67" s="50"/>
      <c r="Z67" s="50"/>
      <c r="AA67" s="50"/>
      <c r="AB67" s="50"/>
    </row>
    <row r="68">
      <c r="A68" s="49"/>
      <c r="B68" s="49"/>
      <c r="C68" s="50"/>
      <c r="D68" s="50"/>
      <c r="E68" s="50"/>
      <c r="F68" s="50"/>
      <c r="G68" s="50"/>
      <c r="H68" s="50"/>
      <c r="I68" s="50"/>
      <c r="J68" s="50"/>
      <c r="K68" s="50"/>
      <c r="L68" s="50"/>
      <c r="M68" s="50"/>
      <c r="N68" s="50"/>
      <c r="O68" s="50"/>
      <c r="P68" s="50"/>
      <c r="Q68" s="50"/>
      <c r="R68" s="50"/>
      <c r="S68" s="50"/>
      <c r="T68" s="50"/>
      <c r="U68" s="50"/>
      <c r="V68" s="50"/>
      <c r="W68" s="50"/>
      <c r="X68" s="50"/>
      <c r="Y68" s="50"/>
      <c r="Z68" s="50"/>
      <c r="AA68" s="50"/>
      <c r="AB68" s="50"/>
    </row>
    <row r="69">
      <c r="A69" s="49"/>
      <c r="B69" s="49"/>
      <c r="C69" s="50"/>
      <c r="D69" s="50"/>
      <c r="E69" s="50"/>
      <c r="F69" s="50"/>
      <c r="G69" s="50"/>
      <c r="H69" s="50"/>
      <c r="I69" s="50"/>
      <c r="J69" s="50"/>
      <c r="K69" s="50"/>
      <c r="L69" s="50"/>
      <c r="M69" s="50"/>
      <c r="N69" s="50"/>
      <c r="O69" s="50"/>
      <c r="P69" s="50"/>
      <c r="Q69" s="50"/>
      <c r="R69" s="50"/>
      <c r="S69" s="50"/>
      <c r="T69" s="50"/>
      <c r="U69" s="50"/>
      <c r="V69" s="50"/>
      <c r="W69" s="50"/>
      <c r="X69" s="50"/>
      <c r="Y69" s="50"/>
      <c r="Z69" s="50"/>
      <c r="AA69" s="50"/>
      <c r="AB69" s="50"/>
    </row>
    <row r="70">
      <c r="A70" s="49"/>
      <c r="B70" s="49"/>
      <c r="C70" s="50"/>
      <c r="D70" s="50"/>
      <c r="E70" s="50"/>
      <c r="F70" s="50"/>
      <c r="G70" s="50"/>
      <c r="H70" s="50"/>
      <c r="I70" s="50"/>
      <c r="J70" s="50"/>
      <c r="K70" s="50"/>
      <c r="L70" s="50"/>
      <c r="M70" s="50"/>
      <c r="N70" s="50"/>
      <c r="O70" s="50"/>
      <c r="P70" s="50"/>
      <c r="Q70" s="50"/>
      <c r="R70" s="50"/>
      <c r="S70" s="50"/>
      <c r="T70" s="50"/>
      <c r="U70" s="50"/>
      <c r="V70" s="50"/>
      <c r="W70" s="50"/>
      <c r="X70" s="50"/>
      <c r="Y70" s="50"/>
      <c r="Z70" s="50"/>
      <c r="AA70" s="50"/>
      <c r="AB70" s="50"/>
    </row>
    <row r="71">
      <c r="A71" s="49"/>
      <c r="B71" s="49"/>
      <c r="C71" s="50"/>
      <c r="D71" s="50"/>
      <c r="E71" s="50"/>
      <c r="F71" s="50"/>
      <c r="G71" s="50"/>
      <c r="H71" s="50"/>
      <c r="I71" s="50"/>
      <c r="J71" s="50"/>
      <c r="K71" s="50"/>
      <c r="L71" s="50"/>
      <c r="M71" s="50"/>
      <c r="N71" s="50"/>
      <c r="O71" s="50"/>
      <c r="P71" s="50"/>
      <c r="Q71" s="50"/>
      <c r="R71" s="50"/>
      <c r="S71" s="50"/>
      <c r="T71" s="50"/>
      <c r="U71" s="50"/>
      <c r="V71" s="50"/>
      <c r="W71" s="50"/>
      <c r="X71" s="50"/>
      <c r="Y71" s="50"/>
      <c r="Z71" s="50"/>
      <c r="AA71" s="50"/>
      <c r="AB71" s="50"/>
    </row>
    <row r="72">
      <c r="A72" s="49"/>
      <c r="B72" s="49"/>
      <c r="C72" s="50"/>
      <c r="D72" s="50"/>
      <c r="E72" s="50"/>
      <c r="F72" s="50"/>
      <c r="G72" s="50"/>
      <c r="H72" s="50"/>
      <c r="I72" s="50"/>
      <c r="J72" s="50"/>
      <c r="K72" s="50"/>
      <c r="L72" s="50"/>
      <c r="M72" s="50"/>
      <c r="N72" s="50"/>
      <c r="O72" s="50"/>
      <c r="P72" s="50"/>
      <c r="Q72" s="50"/>
      <c r="R72" s="50"/>
      <c r="S72" s="50"/>
      <c r="T72" s="50"/>
      <c r="U72" s="50"/>
      <c r="V72" s="50"/>
      <c r="W72" s="50"/>
      <c r="X72" s="50"/>
      <c r="Y72" s="50"/>
      <c r="Z72" s="50"/>
      <c r="AA72" s="50"/>
      <c r="AB72" s="50"/>
    </row>
    <row r="73">
      <c r="A73" s="49"/>
      <c r="B73" s="49"/>
      <c r="C73" s="50"/>
      <c r="D73" s="50"/>
      <c r="E73" s="50"/>
      <c r="F73" s="50"/>
      <c r="G73" s="50"/>
      <c r="H73" s="50"/>
      <c r="I73" s="50"/>
      <c r="J73" s="50"/>
      <c r="K73" s="50"/>
      <c r="L73" s="50"/>
      <c r="M73" s="50"/>
      <c r="N73" s="50"/>
      <c r="O73" s="50"/>
      <c r="P73" s="50"/>
      <c r="Q73" s="50"/>
      <c r="R73" s="50"/>
      <c r="S73" s="50"/>
      <c r="T73" s="50"/>
      <c r="U73" s="50"/>
      <c r="V73" s="50"/>
      <c r="W73" s="50"/>
      <c r="X73" s="50"/>
      <c r="Y73" s="50"/>
      <c r="Z73" s="50"/>
      <c r="AA73" s="50"/>
      <c r="AB73" s="50"/>
    </row>
    <row r="74">
      <c r="A74" s="49"/>
      <c r="B74" s="49"/>
      <c r="C74" s="50"/>
      <c r="D74" s="50"/>
      <c r="E74" s="50"/>
      <c r="F74" s="50"/>
      <c r="G74" s="50"/>
      <c r="H74" s="50"/>
      <c r="I74" s="50"/>
      <c r="J74" s="50"/>
      <c r="K74" s="50"/>
      <c r="L74" s="50"/>
      <c r="M74" s="50"/>
      <c r="N74" s="50"/>
      <c r="O74" s="50"/>
      <c r="P74" s="50"/>
      <c r="Q74" s="50"/>
      <c r="R74" s="50"/>
      <c r="S74" s="50"/>
      <c r="T74" s="50"/>
      <c r="U74" s="50"/>
      <c r="V74" s="50"/>
      <c r="W74" s="50"/>
      <c r="X74" s="50"/>
      <c r="Y74" s="50"/>
      <c r="Z74" s="50"/>
      <c r="AA74" s="50"/>
      <c r="AB74" s="50"/>
    </row>
    <row r="75">
      <c r="A75" s="49"/>
      <c r="B75" s="49"/>
      <c r="C75" s="50"/>
      <c r="D75" s="50"/>
      <c r="E75" s="50"/>
      <c r="F75" s="50"/>
      <c r="G75" s="50"/>
      <c r="H75" s="50"/>
      <c r="I75" s="50"/>
      <c r="J75" s="50"/>
      <c r="K75" s="50"/>
      <c r="L75" s="50"/>
      <c r="M75" s="50"/>
      <c r="N75" s="50"/>
      <c r="O75" s="50"/>
      <c r="P75" s="50"/>
      <c r="Q75" s="50"/>
      <c r="R75" s="50"/>
      <c r="S75" s="50"/>
      <c r="T75" s="50"/>
      <c r="U75" s="50"/>
      <c r="V75" s="50"/>
      <c r="W75" s="50"/>
      <c r="X75" s="50"/>
      <c r="Y75" s="50"/>
      <c r="Z75" s="50"/>
      <c r="AA75" s="50"/>
      <c r="AB75" s="50"/>
    </row>
    <row r="76">
      <c r="A76" s="49"/>
      <c r="B76" s="49"/>
      <c r="C76" s="50"/>
      <c r="D76" s="50"/>
      <c r="E76" s="50"/>
      <c r="F76" s="50"/>
      <c r="G76" s="50"/>
      <c r="H76" s="50"/>
      <c r="I76" s="50"/>
      <c r="J76" s="50"/>
      <c r="K76" s="50"/>
      <c r="L76" s="50"/>
      <c r="M76" s="50"/>
      <c r="N76" s="50"/>
      <c r="O76" s="50"/>
      <c r="P76" s="50"/>
      <c r="Q76" s="50"/>
      <c r="R76" s="50"/>
      <c r="S76" s="50"/>
      <c r="T76" s="50"/>
      <c r="U76" s="50"/>
      <c r="V76" s="50"/>
      <c r="W76" s="50"/>
      <c r="X76" s="50"/>
      <c r="Y76" s="50"/>
      <c r="Z76" s="50"/>
      <c r="AA76" s="50"/>
      <c r="AB76" s="50"/>
    </row>
    <row r="77">
      <c r="A77" s="49"/>
      <c r="B77" s="49"/>
      <c r="C77" s="50"/>
      <c r="D77" s="50"/>
      <c r="E77" s="50"/>
      <c r="F77" s="50"/>
      <c r="G77" s="50"/>
      <c r="H77" s="50"/>
      <c r="I77" s="50"/>
      <c r="J77" s="50"/>
      <c r="K77" s="50"/>
      <c r="L77" s="50"/>
      <c r="M77" s="50"/>
      <c r="N77" s="50"/>
      <c r="O77" s="50"/>
      <c r="P77" s="50"/>
      <c r="Q77" s="50"/>
      <c r="R77" s="50"/>
      <c r="S77" s="50"/>
      <c r="T77" s="50"/>
      <c r="U77" s="50"/>
      <c r="V77" s="50"/>
      <c r="W77" s="50"/>
      <c r="X77" s="50"/>
      <c r="Y77" s="50"/>
      <c r="Z77" s="50"/>
      <c r="AA77" s="50"/>
      <c r="AB77" s="50"/>
    </row>
    <row r="78">
      <c r="A78" s="49"/>
      <c r="B78" s="49"/>
      <c r="C78" s="50"/>
      <c r="D78" s="50"/>
      <c r="E78" s="50"/>
      <c r="F78" s="50"/>
      <c r="G78" s="50"/>
      <c r="H78" s="50"/>
      <c r="I78" s="50"/>
      <c r="J78" s="50"/>
      <c r="K78" s="50"/>
      <c r="L78" s="50"/>
      <c r="M78" s="50"/>
      <c r="N78" s="50"/>
      <c r="O78" s="50"/>
      <c r="P78" s="50"/>
      <c r="Q78" s="50"/>
      <c r="R78" s="50"/>
      <c r="S78" s="50"/>
      <c r="T78" s="50"/>
      <c r="U78" s="50"/>
      <c r="V78" s="50"/>
      <c r="W78" s="50"/>
      <c r="X78" s="50"/>
      <c r="Y78" s="50"/>
      <c r="Z78" s="50"/>
      <c r="AA78" s="50"/>
      <c r="AB78" s="50"/>
    </row>
    <row r="79">
      <c r="A79" s="49"/>
      <c r="B79" s="49"/>
      <c r="C79" s="50"/>
      <c r="D79" s="50"/>
      <c r="E79" s="50"/>
      <c r="F79" s="50"/>
      <c r="G79" s="50"/>
      <c r="H79" s="50"/>
      <c r="I79" s="50"/>
      <c r="J79" s="50"/>
      <c r="K79" s="50"/>
      <c r="L79" s="50"/>
      <c r="M79" s="50"/>
      <c r="N79" s="50"/>
      <c r="O79" s="50"/>
      <c r="P79" s="50"/>
      <c r="Q79" s="50"/>
      <c r="R79" s="50"/>
      <c r="S79" s="50"/>
      <c r="T79" s="50"/>
      <c r="U79" s="50"/>
      <c r="V79" s="50"/>
      <c r="W79" s="50"/>
      <c r="X79" s="50"/>
      <c r="Y79" s="50"/>
      <c r="Z79" s="50"/>
      <c r="AA79" s="50"/>
      <c r="AB79" s="50"/>
    </row>
    <row r="80">
      <c r="A80" s="49"/>
      <c r="B80" s="49"/>
      <c r="C80" s="50"/>
      <c r="D80" s="50"/>
      <c r="E80" s="50"/>
      <c r="F80" s="50"/>
      <c r="G80" s="50"/>
      <c r="H80" s="50"/>
      <c r="I80" s="50"/>
      <c r="J80" s="50"/>
      <c r="K80" s="50"/>
      <c r="L80" s="50"/>
      <c r="M80" s="50"/>
      <c r="N80" s="50"/>
      <c r="O80" s="50"/>
      <c r="P80" s="50"/>
      <c r="Q80" s="50"/>
      <c r="R80" s="50"/>
      <c r="S80" s="50"/>
      <c r="T80" s="50"/>
      <c r="U80" s="50"/>
      <c r="V80" s="50"/>
      <c r="W80" s="50"/>
      <c r="X80" s="50"/>
      <c r="Y80" s="50"/>
      <c r="Z80" s="50"/>
      <c r="AA80" s="50"/>
      <c r="AB80" s="50"/>
    </row>
    <row r="81">
      <c r="A81" s="49"/>
      <c r="B81" s="49"/>
      <c r="C81" s="50"/>
      <c r="D81" s="50"/>
      <c r="E81" s="50"/>
      <c r="F81" s="50"/>
      <c r="G81" s="50"/>
      <c r="H81" s="50"/>
      <c r="I81" s="50"/>
      <c r="J81" s="50"/>
      <c r="K81" s="50"/>
      <c r="L81" s="50"/>
      <c r="M81" s="50"/>
      <c r="N81" s="50"/>
      <c r="O81" s="50"/>
      <c r="P81" s="50"/>
      <c r="Q81" s="50"/>
      <c r="R81" s="50"/>
      <c r="S81" s="50"/>
      <c r="T81" s="50"/>
      <c r="U81" s="50"/>
      <c r="V81" s="50"/>
      <c r="W81" s="50"/>
      <c r="X81" s="50"/>
      <c r="Y81" s="50"/>
      <c r="Z81" s="50"/>
      <c r="AA81" s="50"/>
      <c r="AB81" s="50"/>
    </row>
    <row r="82">
      <c r="A82" s="49"/>
      <c r="B82" s="49"/>
      <c r="C82" s="50"/>
      <c r="D82" s="50"/>
      <c r="E82" s="50"/>
      <c r="F82" s="50"/>
      <c r="G82" s="50"/>
      <c r="H82" s="50"/>
      <c r="I82" s="50"/>
      <c r="J82" s="50"/>
      <c r="K82" s="50"/>
      <c r="L82" s="50"/>
      <c r="M82" s="50"/>
      <c r="N82" s="50"/>
      <c r="O82" s="50"/>
      <c r="P82" s="50"/>
      <c r="Q82" s="50"/>
      <c r="R82" s="50"/>
      <c r="S82" s="50"/>
      <c r="T82" s="50"/>
      <c r="U82" s="50"/>
      <c r="V82" s="50"/>
      <c r="W82" s="50"/>
      <c r="X82" s="50"/>
      <c r="Y82" s="50"/>
      <c r="Z82" s="50"/>
      <c r="AA82" s="50"/>
      <c r="AB82" s="50"/>
    </row>
    <row r="83">
      <c r="A83" s="49"/>
      <c r="B83" s="49"/>
      <c r="C83" s="50"/>
      <c r="D83" s="50"/>
      <c r="E83" s="50"/>
      <c r="F83" s="50"/>
      <c r="G83" s="50"/>
      <c r="H83" s="50"/>
      <c r="I83" s="50"/>
      <c r="J83" s="50"/>
      <c r="K83" s="50"/>
      <c r="L83" s="50"/>
      <c r="M83" s="50"/>
      <c r="N83" s="50"/>
      <c r="O83" s="50"/>
      <c r="P83" s="50"/>
      <c r="Q83" s="50"/>
      <c r="R83" s="50"/>
      <c r="S83" s="50"/>
      <c r="T83" s="50"/>
      <c r="U83" s="50"/>
      <c r="V83" s="50"/>
      <c r="W83" s="50"/>
      <c r="X83" s="50"/>
      <c r="Y83" s="50"/>
      <c r="Z83" s="50"/>
      <c r="AA83" s="50"/>
      <c r="AB83" s="50"/>
    </row>
    <row r="84">
      <c r="A84" s="49"/>
      <c r="B84" s="49"/>
      <c r="C84" s="50"/>
      <c r="D84" s="50"/>
      <c r="E84" s="50"/>
      <c r="F84" s="50"/>
      <c r="G84" s="50"/>
      <c r="H84" s="50"/>
      <c r="I84" s="50"/>
      <c r="J84" s="50"/>
      <c r="K84" s="50"/>
      <c r="L84" s="50"/>
      <c r="M84" s="50"/>
      <c r="N84" s="50"/>
      <c r="O84" s="50"/>
      <c r="P84" s="50"/>
      <c r="Q84" s="50"/>
      <c r="R84" s="50"/>
      <c r="S84" s="50"/>
      <c r="T84" s="50"/>
      <c r="U84" s="50"/>
      <c r="V84" s="50"/>
      <c r="W84" s="50"/>
      <c r="X84" s="50"/>
      <c r="Y84" s="50"/>
      <c r="Z84" s="50"/>
      <c r="AA84" s="50"/>
      <c r="AB84" s="50"/>
    </row>
    <row r="85">
      <c r="A85" s="49"/>
      <c r="B85" s="49"/>
      <c r="C85" s="50"/>
      <c r="D85" s="50"/>
      <c r="E85" s="50"/>
      <c r="F85" s="50"/>
      <c r="G85" s="50"/>
      <c r="H85" s="50"/>
      <c r="I85" s="50"/>
      <c r="J85" s="50"/>
      <c r="K85" s="50"/>
      <c r="L85" s="50"/>
      <c r="M85" s="50"/>
      <c r="N85" s="50"/>
      <c r="O85" s="50"/>
      <c r="P85" s="50"/>
      <c r="Q85" s="50"/>
      <c r="R85" s="50"/>
      <c r="S85" s="50"/>
      <c r="T85" s="50"/>
      <c r="U85" s="50"/>
      <c r="V85" s="50"/>
      <c r="W85" s="50"/>
      <c r="X85" s="50"/>
      <c r="Y85" s="50"/>
      <c r="Z85" s="50"/>
      <c r="AA85" s="50"/>
      <c r="AB85" s="50"/>
    </row>
    <row r="86">
      <c r="A86" s="49"/>
      <c r="B86" s="49"/>
      <c r="C86" s="50"/>
      <c r="D86" s="50"/>
      <c r="E86" s="50"/>
      <c r="F86" s="50"/>
      <c r="G86" s="50"/>
      <c r="H86" s="50"/>
      <c r="I86" s="50"/>
      <c r="J86" s="50"/>
      <c r="K86" s="50"/>
      <c r="L86" s="50"/>
      <c r="M86" s="50"/>
      <c r="N86" s="50"/>
      <c r="O86" s="50"/>
      <c r="P86" s="50"/>
      <c r="Q86" s="50"/>
      <c r="R86" s="50"/>
      <c r="S86" s="50"/>
      <c r="T86" s="50"/>
      <c r="U86" s="50"/>
      <c r="V86" s="50"/>
      <c r="W86" s="50"/>
      <c r="X86" s="50"/>
      <c r="Y86" s="50"/>
      <c r="Z86" s="50"/>
      <c r="AA86" s="50"/>
      <c r="AB86" s="50"/>
    </row>
    <row r="87">
      <c r="A87" s="49"/>
      <c r="B87" s="49"/>
      <c r="C87" s="50"/>
      <c r="D87" s="50"/>
      <c r="E87" s="50"/>
      <c r="F87" s="50"/>
      <c r="G87" s="50"/>
      <c r="H87" s="50"/>
      <c r="I87" s="50"/>
      <c r="J87" s="50"/>
      <c r="K87" s="50"/>
      <c r="L87" s="50"/>
      <c r="M87" s="50"/>
      <c r="N87" s="50"/>
      <c r="O87" s="50"/>
      <c r="P87" s="50"/>
      <c r="Q87" s="50"/>
      <c r="R87" s="50"/>
      <c r="S87" s="50"/>
      <c r="T87" s="50"/>
      <c r="U87" s="50"/>
      <c r="V87" s="50"/>
      <c r="W87" s="50"/>
      <c r="X87" s="50"/>
      <c r="Y87" s="50"/>
      <c r="Z87" s="50"/>
      <c r="AA87" s="50"/>
      <c r="AB87" s="50"/>
    </row>
    <row r="88">
      <c r="A88" s="49"/>
      <c r="B88" s="49"/>
      <c r="C88" s="50"/>
      <c r="D88" s="50"/>
      <c r="E88" s="50"/>
      <c r="F88" s="50"/>
      <c r="G88" s="50"/>
      <c r="H88" s="50"/>
      <c r="I88" s="50"/>
      <c r="J88" s="50"/>
      <c r="K88" s="50"/>
      <c r="L88" s="50"/>
      <c r="M88" s="50"/>
      <c r="N88" s="50"/>
      <c r="O88" s="50"/>
      <c r="P88" s="50"/>
      <c r="Q88" s="50"/>
      <c r="R88" s="50"/>
      <c r="S88" s="50"/>
      <c r="T88" s="50"/>
      <c r="U88" s="50"/>
      <c r="V88" s="50"/>
      <c r="W88" s="50"/>
      <c r="X88" s="50"/>
      <c r="Y88" s="50"/>
      <c r="Z88" s="50"/>
      <c r="AA88" s="50"/>
      <c r="AB88" s="50"/>
    </row>
    <row r="89">
      <c r="A89" s="49"/>
      <c r="B89" s="49"/>
      <c r="C89" s="50"/>
      <c r="D89" s="50"/>
      <c r="E89" s="50"/>
      <c r="F89" s="50"/>
      <c r="G89" s="50"/>
      <c r="H89" s="50"/>
      <c r="I89" s="50"/>
      <c r="J89" s="50"/>
      <c r="K89" s="50"/>
      <c r="L89" s="50"/>
      <c r="M89" s="50"/>
      <c r="N89" s="50"/>
      <c r="O89" s="50"/>
      <c r="P89" s="50"/>
      <c r="Q89" s="50"/>
      <c r="R89" s="50"/>
      <c r="S89" s="50"/>
      <c r="T89" s="50"/>
      <c r="U89" s="50"/>
      <c r="V89" s="50"/>
      <c r="W89" s="50"/>
      <c r="X89" s="50"/>
      <c r="Y89" s="50"/>
      <c r="Z89" s="50"/>
      <c r="AA89" s="50"/>
      <c r="AB89" s="50"/>
    </row>
    <row r="90">
      <c r="A90" s="49"/>
      <c r="B90" s="49"/>
      <c r="C90" s="50"/>
      <c r="D90" s="50"/>
      <c r="E90" s="50"/>
      <c r="F90" s="50"/>
      <c r="G90" s="50"/>
      <c r="H90" s="50"/>
      <c r="I90" s="50"/>
      <c r="J90" s="50"/>
      <c r="K90" s="50"/>
      <c r="L90" s="50"/>
      <c r="M90" s="50"/>
      <c r="N90" s="50"/>
      <c r="O90" s="50"/>
      <c r="P90" s="50"/>
      <c r="Q90" s="50"/>
      <c r="R90" s="50"/>
      <c r="S90" s="50"/>
      <c r="T90" s="50"/>
      <c r="U90" s="50"/>
      <c r="V90" s="50"/>
      <c r="W90" s="50"/>
      <c r="X90" s="50"/>
      <c r="Y90" s="50"/>
      <c r="Z90" s="50"/>
      <c r="AA90" s="50"/>
      <c r="AB90" s="50"/>
    </row>
    <row r="91">
      <c r="A91" s="49"/>
      <c r="B91" s="49"/>
      <c r="C91" s="50"/>
      <c r="D91" s="50"/>
      <c r="E91" s="50"/>
      <c r="F91" s="50"/>
      <c r="G91" s="50"/>
      <c r="H91" s="50"/>
      <c r="I91" s="50"/>
      <c r="J91" s="50"/>
      <c r="K91" s="50"/>
      <c r="L91" s="50"/>
      <c r="M91" s="50"/>
      <c r="N91" s="50"/>
      <c r="O91" s="50"/>
      <c r="P91" s="50"/>
      <c r="Q91" s="50"/>
      <c r="R91" s="50"/>
      <c r="S91" s="50"/>
      <c r="T91" s="50"/>
      <c r="U91" s="50"/>
      <c r="V91" s="50"/>
      <c r="W91" s="50"/>
      <c r="X91" s="50"/>
      <c r="Y91" s="50"/>
      <c r="Z91" s="50"/>
      <c r="AA91" s="50"/>
      <c r="AB91" s="50"/>
    </row>
    <row r="92">
      <c r="A92" s="49"/>
      <c r="B92" s="49"/>
      <c r="C92" s="50"/>
      <c r="D92" s="50"/>
      <c r="E92" s="50"/>
      <c r="F92" s="50"/>
      <c r="G92" s="50"/>
      <c r="H92" s="50"/>
      <c r="I92" s="50"/>
      <c r="J92" s="50"/>
      <c r="K92" s="50"/>
      <c r="L92" s="50"/>
      <c r="M92" s="50"/>
      <c r="N92" s="50"/>
      <c r="O92" s="50"/>
      <c r="P92" s="50"/>
      <c r="Q92" s="50"/>
      <c r="R92" s="50"/>
      <c r="S92" s="50"/>
      <c r="T92" s="50"/>
      <c r="U92" s="50"/>
      <c r="V92" s="50"/>
      <c r="W92" s="50"/>
      <c r="X92" s="50"/>
      <c r="Y92" s="50"/>
      <c r="Z92" s="50"/>
      <c r="AA92" s="50"/>
      <c r="AB92" s="50"/>
    </row>
    <row r="93">
      <c r="A93" s="49"/>
      <c r="B93" s="49"/>
      <c r="C93" s="50"/>
      <c r="D93" s="50"/>
      <c r="E93" s="50"/>
      <c r="F93" s="50"/>
      <c r="G93" s="50"/>
      <c r="H93" s="50"/>
      <c r="I93" s="50"/>
      <c r="J93" s="50"/>
      <c r="K93" s="50"/>
      <c r="L93" s="50"/>
      <c r="M93" s="50"/>
      <c r="N93" s="50"/>
      <c r="O93" s="50"/>
      <c r="P93" s="50"/>
      <c r="Q93" s="50"/>
      <c r="R93" s="50"/>
      <c r="S93" s="50"/>
      <c r="T93" s="50"/>
      <c r="U93" s="50"/>
      <c r="V93" s="50"/>
      <c r="W93" s="50"/>
      <c r="X93" s="50"/>
      <c r="Y93" s="50"/>
      <c r="Z93" s="50"/>
      <c r="AA93" s="50"/>
      <c r="AB93" s="50"/>
    </row>
    <row r="94">
      <c r="A94" s="49"/>
      <c r="B94" s="49"/>
      <c r="C94" s="50"/>
      <c r="D94" s="50"/>
      <c r="E94" s="50"/>
      <c r="F94" s="50"/>
      <c r="G94" s="50"/>
      <c r="H94" s="50"/>
      <c r="I94" s="50"/>
      <c r="J94" s="50"/>
      <c r="K94" s="50"/>
      <c r="L94" s="50"/>
      <c r="M94" s="50"/>
      <c r="N94" s="50"/>
      <c r="O94" s="50"/>
      <c r="P94" s="50"/>
      <c r="Q94" s="50"/>
      <c r="R94" s="50"/>
      <c r="S94" s="50"/>
      <c r="T94" s="50"/>
      <c r="U94" s="50"/>
      <c r="V94" s="50"/>
      <c r="W94" s="50"/>
      <c r="X94" s="50"/>
      <c r="Y94" s="50"/>
      <c r="Z94" s="50"/>
      <c r="AA94" s="50"/>
      <c r="AB94" s="50"/>
    </row>
    <row r="95">
      <c r="A95" s="49"/>
      <c r="B95" s="49"/>
      <c r="C95" s="50"/>
      <c r="D95" s="50"/>
      <c r="E95" s="50"/>
      <c r="F95" s="50"/>
      <c r="G95" s="50"/>
      <c r="H95" s="50"/>
      <c r="I95" s="50"/>
      <c r="J95" s="50"/>
      <c r="K95" s="50"/>
      <c r="L95" s="50"/>
      <c r="M95" s="50"/>
      <c r="N95" s="50"/>
      <c r="O95" s="50"/>
      <c r="P95" s="50"/>
      <c r="Q95" s="50"/>
      <c r="R95" s="50"/>
      <c r="S95" s="50"/>
      <c r="T95" s="50"/>
      <c r="U95" s="50"/>
      <c r="V95" s="50"/>
      <c r="W95" s="50"/>
      <c r="X95" s="50"/>
      <c r="Y95" s="50"/>
      <c r="Z95" s="50"/>
      <c r="AA95" s="50"/>
      <c r="AB95" s="50"/>
    </row>
    <row r="96">
      <c r="A96" s="49"/>
      <c r="B96" s="49"/>
      <c r="C96" s="50"/>
      <c r="D96" s="50"/>
      <c r="E96" s="50"/>
      <c r="F96" s="50"/>
      <c r="G96" s="50"/>
      <c r="H96" s="50"/>
      <c r="I96" s="50"/>
      <c r="J96" s="50"/>
      <c r="K96" s="50"/>
      <c r="L96" s="50"/>
      <c r="M96" s="50"/>
      <c r="N96" s="50"/>
      <c r="O96" s="50"/>
      <c r="P96" s="50"/>
      <c r="Q96" s="50"/>
      <c r="R96" s="50"/>
      <c r="S96" s="50"/>
      <c r="T96" s="50"/>
      <c r="U96" s="50"/>
      <c r="V96" s="50"/>
      <c r="W96" s="50"/>
      <c r="X96" s="50"/>
      <c r="Y96" s="50"/>
      <c r="Z96" s="50"/>
      <c r="AA96" s="50"/>
      <c r="AB96" s="50"/>
    </row>
    <row r="97">
      <c r="A97" s="49"/>
      <c r="B97" s="49"/>
      <c r="C97" s="50"/>
      <c r="D97" s="50"/>
      <c r="E97" s="50"/>
      <c r="F97" s="50"/>
      <c r="G97" s="50"/>
      <c r="H97" s="50"/>
      <c r="I97" s="50"/>
      <c r="J97" s="50"/>
      <c r="K97" s="50"/>
      <c r="L97" s="50"/>
      <c r="M97" s="50"/>
      <c r="N97" s="50"/>
      <c r="O97" s="50"/>
      <c r="P97" s="50"/>
      <c r="Q97" s="50"/>
      <c r="R97" s="50"/>
      <c r="S97" s="50"/>
      <c r="T97" s="50"/>
      <c r="U97" s="50"/>
      <c r="V97" s="50"/>
      <c r="W97" s="50"/>
      <c r="X97" s="50"/>
      <c r="Y97" s="50"/>
      <c r="Z97" s="50"/>
      <c r="AA97" s="50"/>
      <c r="AB97" s="50"/>
    </row>
    <row r="98">
      <c r="A98" s="49"/>
      <c r="B98" s="49"/>
      <c r="C98" s="50"/>
      <c r="D98" s="50"/>
      <c r="E98" s="50"/>
      <c r="F98" s="50"/>
      <c r="G98" s="50"/>
      <c r="H98" s="50"/>
      <c r="I98" s="50"/>
      <c r="J98" s="50"/>
      <c r="K98" s="50"/>
      <c r="L98" s="50"/>
      <c r="M98" s="50"/>
      <c r="N98" s="50"/>
      <c r="O98" s="50"/>
      <c r="P98" s="50"/>
      <c r="Q98" s="50"/>
      <c r="R98" s="50"/>
      <c r="S98" s="50"/>
      <c r="T98" s="50"/>
      <c r="U98" s="50"/>
      <c r="V98" s="50"/>
      <c r="W98" s="50"/>
      <c r="X98" s="50"/>
      <c r="Y98" s="50"/>
      <c r="Z98" s="50"/>
      <c r="AA98" s="50"/>
      <c r="AB98" s="50"/>
    </row>
    <row r="99">
      <c r="A99" s="49"/>
      <c r="B99" s="49"/>
      <c r="C99" s="50"/>
      <c r="D99" s="50"/>
      <c r="E99" s="50"/>
      <c r="F99" s="50"/>
      <c r="G99" s="50"/>
      <c r="H99" s="50"/>
      <c r="I99" s="50"/>
      <c r="J99" s="50"/>
      <c r="K99" s="50"/>
      <c r="L99" s="50"/>
      <c r="M99" s="50"/>
      <c r="N99" s="50"/>
      <c r="O99" s="50"/>
      <c r="P99" s="50"/>
      <c r="Q99" s="50"/>
      <c r="R99" s="50"/>
      <c r="S99" s="50"/>
      <c r="T99" s="50"/>
      <c r="U99" s="50"/>
      <c r="V99" s="50"/>
      <c r="W99" s="50"/>
      <c r="X99" s="50"/>
      <c r="Y99" s="50"/>
      <c r="Z99" s="50"/>
      <c r="AA99" s="50"/>
      <c r="AB99" s="50"/>
    </row>
    <row r="100">
      <c r="A100" s="49"/>
      <c r="B100" s="49"/>
      <c r="C100" s="50"/>
      <c r="D100" s="50"/>
      <c r="E100" s="50"/>
      <c r="F100" s="50"/>
      <c r="G100" s="50"/>
      <c r="H100" s="50"/>
      <c r="I100" s="50"/>
      <c r="J100" s="50"/>
      <c r="K100" s="50"/>
      <c r="L100" s="50"/>
      <c r="M100" s="50"/>
      <c r="N100" s="50"/>
      <c r="O100" s="50"/>
      <c r="P100" s="50"/>
      <c r="Q100" s="50"/>
      <c r="R100" s="50"/>
      <c r="S100" s="50"/>
      <c r="T100" s="50"/>
      <c r="U100" s="50"/>
      <c r="V100" s="50"/>
      <c r="W100" s="50"/>
      <c r="X100" s="50"/>
      <c r="Y100" s="50"/>
      <c r="Z100" s="50"/>
      <c r="AA100" s="50"/>
      <c r="AB100" s="50"/>
    </row>
    <row r="101">
      <c r="A101" s="49"/>
      <c r="B101" s="49"/>
      <c r="C101" s="50"/>
      <c r="D101" s="50"/>
      <c r="E101" s="50"/>
      <c r="F101" s="50"/>
      <c r="G101" s="50"/>
      <c r="H101" s="50"/>
      <c r="I101" s="50"/>
      <c r="J101" s="50"/>
      <c r="K101" s="50"/>
      <c r="L101" s="50"/>
      <c r="M101" s="50"/>
      <c r="N101" s="50"/>
      <c r="O101" s="50"/>
      <c r="P101" s="50"/>
      <c r="Q101" s="50"/>
      <c r="R101" s="50"/>
      <c r="S101" s="50"/>
      <c r="T101" s="50"/>
      <c r="U101" s="50"/>
      <c r="V101" s="50"/>
      <c r="W101" s="50"/>
      <c r="X101" s="50"/>
      <c r="Y101" s="50"/>
      <c r="Z101" s="50"/>
      <c r="AA101" s="50"/>
      <c r="AB101" s="50"/>
    </row>
    <row r="102">
      <c r="A102" s="49"/>
      <c r="B102" s="49"/>
      <c r="C102" s="50"/>
      <c r="D102" s="50"/>
      <c r="E102" s="50"/>
      <c r="F102" s="50"/>
      <c r="G102" s="50"/>
      <c r="H102" s="50"/>
      <c r="I102" s="50"/>
      <c r="J102" s="50"/>
      <c r="K102" s="50"/>
      <c r="L102" s="50"/>
      <c r="M102" s="50"/>
      <c r="N102" s="50"/>
      <c r="O102" s="50"/>
      <c r="P102" s="50"/>
      <c r="Q102" s="50"/>
      <c r="R102" s="50"/>
      <c r="S102" s="50"/>
      <c r="T102" s="50"/>
      <c r="U102" s="50"/>
      <c r="V102" s="50"/>
      <c r="W102" s="50"/>
      <c r="X102" s="50"/>
      <c r="Y102" s="50"/>
      <c r="Z102" s="50"/>
      <c r="AA102" s="50"/>
      <c r="AB102" s="50"/>
    </row>
    <row r="103">
      <c r="A103" s="49"/>
      <c r="B103" s="49"/>
      <c r="C103" s="50"/>
      <c r="D103" s="50"/>
      <c r="E103" s="50"/>
      <c r="F103" s="50"/>
      <c r="G103" s="50"/>
      <c r="H103" s="50"/>
      <c r="I103" s="50"/>
      <c r="J103" s="50"/>
      <c r="K103" s="50"/>
      <c r="L103" s="50"/>
      <c r="M103" s="50"/>
      <c r="N103" s="50"/>
      <c r="O103" s="50"/>
      <c r="P103" s="50"/>
      <c r="Q103" s="50"/>
      <c r="R103" s="50"/>
      <c r="S103" s="50"/>
      <c r="T103" s="50"/>
      <c r="U103" s="50"/>
      <c r="V103" s="50"/>
      <c r="W103" s="50"/>
      <c r="X103" s="50"/>
      <c r="Y103" s="50"/>
      <c r="Z103" s="50"/>
      <c r="AA103" s="50"/>
      <c r="AB103" s="50"/>
    </row>
    <row r="104">
      <c r="A104" s="49"/>
      <c r="B104" s="49"/>
      <c r="C104" s="50"/>
      <c r="D104" s="50"/>
      <c r="E104" s="50"/>
      <c r="F104" s="50"/>
      <c r="G104" s="50"/>
      <c r="H104" s="50"/>
      <c r="I104" s="50"/>
      <c r="J104" s="50"/>
      <c r="K104" s="50"/>
      <c r="L104" s="50"/>
      <c r="M104" s="50"/>
      <c r="N104" s="50"/>
      <c r="O104" s="50"/>
      <c r="P104" s="50"/>
      <c r="Q104" s="50"/>
      <c r="R104" s="50"/>
      <c r="S104" s="50"/>
      <c r="T104" s="50"/>
      <c r="U104" s="50"/>
      <c r="V104" s="50"/>
      <c r="W104" s="50"/>
      <c r="X104" s="50"/>
      <c r="Y104" s="50"/>
      <c r="Z104" s="50"/>
      <c r="AA104" s="50"/>
      <c r="AB104" s="50"/>
    </row>
    <row r="105">
      <c r="A105" s="49"/>
      <c r="B105" s="49"/>
      <c r="C105" s="50"/>
      <c r="D105" s="50"/>
      <c r="E105" s="50"/>
      <c r="F105" s="50"/>
      <c r="G105" s="50"/>
      <c r="H105" s="50"/>
      <c r="I105" s="50"/>
      <c r="J105" s="50"/>
      <c r="K105" s="50"/>
      <c r="L105" s="50"/>
      <c r="M105" s="50"/>
      <c r="N105" s="50"/>
      <c r="O105" s="50"/>
      <c r="P105" s="50"/>
      <c r="Q105" s="50"/>
      <c r="R105" s="50"/>
      <c r="S105" s="50"/>
      <c r="T105" s="50"/>
      <c r="U105" s="50"/>
      <c r="V105" s="50"/>
      <c r="W105" s="50"/>
      <c r="X105" s="50"/>
      <c r="Y105" s="50"/>
      <c r="Z105" s="50"/>
      <c r="AA105" s="50"/>
      <c r="AB105" s="50"/>
    </row>
    <row r="106">
      <c r="A106" s="49"/>
      <c r="B106" s="49"/>
      <c r="C106" s="50"/>
      <c r="D106" s="50"/>
      <c r="E106" s="50"/>
      <c r="F106" s="50"/>
      <c r="G106" s="50"/>
      <c r="H106" s="50"/>
      <c r="I106" s="50"/>
      <c r="J106" s="50"/>
      <c r="K106" s="50"/>
      <c r="L106" s="50"/>
      <c r="M106" s="50"/>
      <c r="N106" s="50"/>
      <c r="O106" s="50"/>
      <c r="P106" s="50"/>
      <c r="Q106" s="50"/>
      <c r="R106" s="50"/>
      <c r="S106" s="50"/>
      <c r="T106" s="50"/>
      <c r="U106" s="50"/>
      <c r="V106" s="50"/>
      <c r="W106" s="50"/>
      <c r="X106" s="50"/>
      <c r="Y106" s="50"/>
      <c r="Z106" s="50"/>
      <c r="AA106" s="50"/>
      <c r="AB106" s="50"/>
    </row>
    <row r="107">
      <c r="A107" s="49"/>
      <c r="B107" s="49"/>
      <c r="C107" s="50"/>
      <c r="D107" s="50"/>
      <c r="E107" s="50"/>
      <c r="F107" s="50"/>
      <c r="G107" s="50"/>
      <c r="H107" s="50"/>
      <c r="I107" s="50"/>
      <c r="J107" s="50"/>
      <c r="K107" s="50"/>
      <c r="L107" s="50"/>
      <c r="M107" s="50"/>
      <c r="N107" s="50"/>
      <c r="O107" s="50"/>
      <c r="P107" s="50"/>
      <c r="Q107" s="50"/>
      <c r="R107" s="50"/>
      <c r="S107" s="50"/>
      <c r="T107" s="50"/>
      <c r="U107" s="50"/>
      <c r="V107" s="50"/>
      <c r="W107" s="50"/>
      <c r="X107" s="50"/>
      <c r="Y107" s="50"/>
      <c r="Z107" s="50"/>
      <c r="AA107" s="50"/>
      <c r="AB107" s="50"/>
    </row>
    <row r="108">
      <c r="A108" s="49"/>
      <c r="B108" s="49"/>
      <c r="C108" s="50"/>
      <c r="D108" s="50"/>
      <c r="E108" s="50"/>
      <c r="F108" s="50"/>
      <c r="G108" s="50"/>
      <c r="H108" s="50"/>
      <c r="I108" s="50"/>
      <c r="J108" s="50"/>
      <c r="K108" s="50"/>
      <c r="L108" s="50"/>
      <c r="M108" s="50"/>
      <c r="N108" s="50"/>
      <c r="O108" s="50"/>
      <c r="P108" s="50"/>
      <c r="Q108" s="50"/>
      <c r="R108" s="50"/>
      <c r="S108" s="50"/>
      <c r="T108" s="50"/>
      <c r="U108" s="50"/>
      <c r="V108" s="50"/>
      <c r="W108" s="50"/>
      <c r="X108" s="50"/>
      <c r="Y108" s="50"/>
      <c r="Z108" s="50"/>
      <c r="AA108" s="50"/>
      <c r="AB108" s="50"/>
    </row>
    <row r="109">
      <c r="A109" s="49"/>
      <c r="B109" s="49"/>
      <c r="C109" s="50"/>
      <c r="D109" s="50"/>
      <c r="E109" s="50"/>
      <c r="F109" s="50"/>
      <c r="G109" s="50"/>
      <c r="H109" s="50"/>
      <c r="I109" s="50"/>
      <c r="J109" s="50"/>
      <c r="K109" s="50"/>
      <c r="L109" s="50"/>
      <c r="M109" s="50"/>
      <c r="N109" s="50"/>
      <c r="O109" s="50"/>
      <c r="P109" s="50"/>
      <c r="Q109" s="50"/>
      <c r="R109" s="50"/>
      <c r="S109" s="50"/>
      <c r="T109" s="50"/>
      <c r="U109" s="50"/>
      <c r="V109" s="50"/>
      <c r="W109" s="50"/>
      <c r="X109" s="50"/>
      <c r="Y109" s="50"/>
      <c r="Z109" s="50"/>
      <c r="AA109" s="50"/>
      <c r="AB109" s="50"/>
    </row>
    <row r="110">
      <c r="A110" s="49"/>
      <c r="B110" s="49"/>
      <c r="C110" s="50"/>
      <c r="D110" s="50"/>
      <c r="E110" s="50"/>
      <c r="F110" s="50"/>
      <c r="G110" s="50"/>
      <c r="H110" s="50"/>
      <c r="I110" s="50"/>
      <c r="J110" s="50"/>
      <c r="K110" s="50"/>
      <c r="L110" s="50"/>
      <c r="M110" s="50"/>
      <c r="N110" s="50"/>
      <c r="O110" s="50"/>
      <c r="P110" s="50"/>
      <c r="Q110" s="50"/>
      <c r="R110" s="50"/>
      <c r="S110" s="50"/>
      <c r="T110" s="50"/>
      <c r="U110" s="50"/>
      <c r="V110" s="50"/>
      <c r="W110" s="50"/>
      <c r="X110" s="50"/>
      <c r="Y110" s="50"/>
      <c r="Z110" s="50"/>
      <c r="AA110" s="50"/>
      <c r="AB110" s="50"/>
    </row>
    <row r="111">
      <c r="A111" s="49"/>
      <c r="B111" s="49"/>
      <c r="C111" s="50"/>
      <c r="D111" s="50"/>
      <c r="E111" s="50"/>
      <c r="F111" s="50"/>
      <c r="G111" s="50"/>
      <c r="H111" s="50"/>
      <c r="I111" s="50"/>
      <c r="J111" s="50"/>
      <c r="K111" s="50"/>
      <c r="L111" s="50"/>
      <c r="M111" s="50"/>
      <c r="N111" s="50"/>
      <c r="O111" s="50"/>
      <c r="P111" s="50"/>
      <c r="Q111" s="50"/>
      <c r="R111" s="50"/>
      <c r="S111" s="50"/>
      <c r="T111" s="50"/>
      <c r="U111" s="50"/>
      <c r="V111" s="50"/>
      <c r="W111" s="50"/>
      <c r="X111" s="50"/>
      <c r="Y111" s="50"/>
      <c r="Z111" s="50"/>
      <c r="AA111" s="50"/>
      <c r="AB111" s="50"/>
    </row>
    <row r="112">
      <c r="A112" s="49"/>
      <c r="B112" s="49"/>
      <c r="C112" s="50"/>
      <c r="D112" s="50"/>
      <c r="E112" s="50"/>
      <c r="F112" s="50"/>
      <c r="G112" s="50"/>
      <c r="H112" s="50"/>
      <c r="I112" s="50"/>
      <c r="J112" s="50"/>
      <c r="K112" s="50"/>
      <c r="L112" s="50"/>
      <c r="M112" s="50"/>
      <c r="N112" s="50"/>
      <c r="O112" s="50"/>
      <c r="P112" s="50"/>
      <c r="Q112" s="50"/>
      <c r="R112" s="50"/>
      <c r="S112" s="50"/>
      <c r="T112" s="50"/>
      <c r="U112" s="50"/>
      <c r="V112" s="50"/>
      <c r="W112" s="50"/>
      <c r="X112" s="50"/>
      <c r="Y112" s="50"/>
      <c r="Z112" s="50"/>
      <c r="AA112" s="50"/>
      <c r="AB112" s="50"/>
    </row>
    <row r="113">
      <c r="A113" s="49"/>
      <c r="B113" s="49"/>
      <c r="C113" s="50"/>
      <c r="D113" s="50"/>
      <c r="E113" s="50"/>
      <c r="F113" s="50"/>
      <c r="G113" s="50"/>
      <c r="H113" s="50"/>
      <c r="I113" s="50"/>
      <c r="J113" s="50"/>
      <c r="K113" s="50"/>
      <c r="L113" s="50"/>
      <c r="M113" s="50"/>
      <c r="N113" s="50"/>
      <c r="O113" s="50"/>
      <c r="P113" s="50"/>
      <c r="Q113" s="50"/>
      <c r="R113" s="50"/>
      <c r="S113" s="50"/>
      <c r="T113" s="50"/>
      <c r="U113" s="50"/>
      <c r="V113" s="50"/>
      <c r="W113" s="50"/>
      <c r="X113" s="50"/>
      <c r="Y113" s="50"/>
      <c r="Z113" s="50"/>
      <c r="AA113" s="50"/>
      <c r="AB113" s="50"/>
    </row>
    <row r="114">
      <c r="A114" s="49"/>
      <c r="B114" s="49"/>
      <c r="C114" s="50"/>
      <c r="D114" s="50"/>
      <c r="E114" s="50"/>
      <c r="F114" s="50"/>
      <c r="G114" s="50"/>
      <c r="H114" s="50"/>
      <c r="I114" s="50"/>
      <c r="J114" s="50"/>
      <c r="K114" s="50"/>
      <c r="L114" s="50"/>
      <c r="M114" s="50"/>
      <c r="N114" s="50"/>
      <c r="O114" s="50"/>
      <c r="P114" s="50"/>
      <c r="Q114" s="50"/>
      <c r="R114" s="50"/>
      <c r="S114" s="50"/>
      <c r="T114" s="50"/>
      <c r="U114" s="50"/>
      <c r="V114" s="50"/>
      <c r="W114" s="50"/>
      <c r="X114" s="50"/>
      <c r="Y114" s="50"/>
      <c r="Z114" s="50"/>
      <c r="AA114" s="50"/>
      <c r="AB114" s="50"/>
    </row>
    <row r="115">
      <c r="A115" s="49"/>
      <c r="B115" s="49"/>
      <c r="C115" s="50"/>
      <c r="D115" s="50"/>
      <c r="E115" s="50"/>
      <c r="F115" s="50"/>
      <c r="G115" s="50"/>
      <c r="H115" s="50"/>
      <c r="I115" s="50"/>
      <c r="J115" s="50"/>
      <c r="K115" s="50"/>
      <c r="L115" s="50"/>
      <c r="M115" s="50"/>
      <c r="N115" s="50"/>
      <c r="O115" s="50"/>
      <c r="P115" s="50"/>
      <c r="Q115" s="50"/>
      <c r="R115" s="50"/>
      <c r="S115" s="50"/>
      <c r="T115" s="50"/>
      <c r="U115" s="50"/>
      <c r="V115" s="50"/>
      <c r="W115" s="50"/>
      <c r="X115" s="50"/>
      <c r="Y115" s="50"/>
      <c r="Z115" s="50"/>
      <c r="AA115" s="50"/>
      <c r="AB115" s="50"/>
    </row>
    <row r="116">
      <c r="A116" s="49"/>
      <c r="B116" s="49"/>
      <c r="C116" s="50"/>
      <c r="D116" s="50"/>
      <c r="E116" s="50"/>
      <c r="F116" s="50"/>
      <c r="G116" s="50"/>
      <c r="H116" s="50"/>
      <c r="I116" s="50"/>
      <c r="J116" s="50"/>
      <c r="K116" s="50"/>
      <c r="L116" s="50"/>
      <c r="M116" s="50"/>
      <c r="N116" s="50"/>
      <c r="O116" s="50"/>
      <c r="P116" s="50"/>
      <c r="Q116" s="50"/>
      <c r="R116" s="50"/>
      <c r="S116" s="50"/>
      <c r="T116" s="50"/>
      <c r="U116" s="50"/>
      <c r="V116" s="50"/>
      <c r="W116" s="50"/>
      <c r="X116" s="50"/>
      <c r="Y116" s="50"/>
      <c r="Z116" s="50"/>
      <c r="AA116" s="50"/>
      <c r="AB116" s="50"/>
    </row>
    <row r="117">
      <c r="A117" s="49"/>
      <c r="B117" s="49"/>
      <c r="C117" s="50"/>
      <c r="D117" s="50"/>
      <c r="E117" s="50"/>
      <c r="F117" s="50"/>
      <c r="G117" s="50"/>
      <c r="H117" s="50"/>
      <c r="I117" s="50"/>
      <c r="J117" s="50"/>
      <c r="K117" s="50"/>
      <c r="L117" s="50"/>
      <c r="M117" s="50"/>
      <c r="N117" s="50"/>
      <c r="O117" s="50"/>
      <c r="P117" s="50"/>
      <c r="Q117" s="50"/>
      <c r="R117" s="50"/>
      <c r="S117" s="50"/>
      <c r="T117" s="50"/>
      <c r="U117" s="50"/>
      <c r="V117" s="50"/>
      <c r="W117" s="50"/>
      <c r="X117" s="50"/>
      <c r="Y117" s="50"/>
      <c r="Z117" s="50"/>
      <c r="AA117" s="50"/>
      <c r="AB117" s="50"/>
    </row>
    <row r="118">
      <c r="A118" s="49"/>
      <c r="B118" s="49"/>
      <c r="C118" s="50"/>
      <c r="D118" s="50"/>
      <c r="E118" s="50"/>
      <c r="F118" s="50"/>
      <c r="G118" s="50"/>
      <c r="H118" s="50"/>
      <c r="I118" s="50"/>
      <c r="J118" s="50"/>
      <c r="K118" s="50"/>
      <c r="L118" s="50"/>
      <c r="M118" s="50"/>
      <c r="N118" s="50"/>
      <c r="O118" s="50"/>
      <c r="P118" s="50"/>
      <c r="Q118" s="50"/>
      <c r="R118" s="50"/>
      <c r="S118" s="50"/>
      <c r="T118" s="50"/>
      <c r="U118" s="50"/>
      <c r="V118" s="50"/>
      <c r="W118" s="50"/>
      <c r="X118" s="50"/>
      <c r="Y118" s="50"/>
      <c r="Z118" s="50"/>
      <c r="AA118" s="50"/>
      <c r="AB118" s="50"/>
    </row>
    <row r="119">
      <c r="A119" s="49"/>
      <c r="B119" s="49"/>
      <c r="C119" s="50"/>
      <c r="D119" s="50"/>
      <c r="E119" s="50"/>
      <c r="F119" s="50"/>
      <c r="G119" s="50"/>
      <c r="H119" s="50"/>
      <c r="I119" s="50"/>
      <c r="J119" s="50"/>
      <c r="K119" s="50"/>
      <c r="L119" s="50"/>
      <c r="M119" s="50"/>
      <c r="N119" s="50"/>
      <c r="O119" s="50"/>
      <c r="P119" s="50"/>
      <c r="Q119" s="50"/>
      <c r="R119" s="50"/>
      <c r="S119" s="50"/>
      <c r="T119" s="50"/>
      <c r="U119" s="50"/>
      <c r="V119" s="50"/>
      <c r="W119" s="50"/>
      <c r="X119" s="50"/>
      <c r="Y119" s="50"/>
      <c r="Z119" s="50"/>
      <c r="AA119" s="50"/>
      <c r="AB119" s="50"/>
    </row>
    <row r="120">
      <c r="A120" s="49"/>
      <c r="B120" s="49"/>
      <c r="C120" s="50"/>
      <c r="D120" s="50"/>
      <c r="E120" s="50"/>
      <c r="F120" s="50"/>
      <c r="G120" s="50"/>
      <c r="H120" s="50"/>
      <c r="I120" s="50"/>
      <c r="J120" s="50"/>
      <c r="K120" s="50"/>
      <c r="L120" s="50"/>
      <c r="M120" s="50"/>
      <c r="N120" s="50"/>
      <c r="O120" s="50"/>
      <c r="P120" s="50"/>
      <c r="Q120" s="50"/>
      <c r="R120" s="50"/>
      <c r="S120" s="50"/>
      <c r="T120" s="50"/>
      <c r="U120" s="50"/>
      <c r="V120" s="50"/>
      <c r="W120" s="50"/>
      <c r="X120" s="50"/>
      <c r="Y120" s="50"/>
      <c r="Z120" s="50"/>
      <c r="AA120" s="50"/>
      <c r="AB120" s="50"/>
    </row>
    <row r="121">
      <c r="A121" s="49"/>
      <c r="B121" s="49"/>
      <c r="C121" s="50"/>
      <c r="D121" s="50"/>
      <c r="E121" s="50"/>
      <c r="F121" s="50"/>
      <c r="G121" s="50"/>
      <c r="H121" s="50"/>
      <c r="I121" s="50"/>
      <c r="J121" s="50"/>
      <c r="K121" s="50"/>
      <c r="L121" s="50"/>
      <c r="M121" s="50"/>
      <c r="N121" s="50"/>
      <c r="O121" s="50"/>
      <c r="P121" s="50"/>
      <c r="Q121" s="50"/>
      <c r="R121" s="50"/>
      <c r="S121" s="50"/>
      <c r="T121" s="50"/>
      <c r="U121" s="50"/>
      <c r="V121" s="50"/>
      <c r="W121" s="50"/>
      <c r="X121" s="50"/>
      <c r="Y121" s="50"/>
      <c r="Z121" s="50"/>
      <c r="AA121" s="50"/>
      <c r="AB121" s="50"/>
    </row>
    <row r="122">
      <c r="A122" s="49"/>
      <c r="B122" s="49"/>
      <c r="C122" s="50"/>
      <c r="D122" s="50"/>
      <c r="E122" s="50"/>
      <c r="F122" s="50"/>
      <c r="G122" s="50"/>
      <c r="H122" s="50"/>
      <c r="I122" s="50"/>
      <c r="J122" s="50"/>
      <c r="K122" s="50"/>
      <c r="L122" s="50"/>
      <c r="M122" s="50"/>
      <c r="N122" s="50"/>
      <c r="O122" s="50"/>
      <c r="P122" s="50"/>
      <c r="Q122" s="50"/>
      <c r="R122" s="50"/>
      <c r="S122" s="50"/>
      <c r="T122" s="50"/>
      <c r="U122" s="50"/>
      <c r="V122" s="50"/>
      <c r="W122" s="50"/>
      <c r="X122" s="50"/>
      <c r="Y122" s="50"/>
      <c r="Z122" s="50"/>
      <c r="AA122" s="50"/>
      <c r="AB122" s="50"/>
    </row>
    <row r="123">
      <c r="A123" s="49"/>
      <c r="B123" s="49"/>
      <c r="C123" s="50"/>
      <c r="D123" s="50"/>
      <c r="E123" s="50"/>
      <c r="F123" s="50"/>
      <c r="G123" s="50"/>
      <c r="H123" s="50"/>
      <c r="I123" s="50"/>
      <c r="J123" s="50"/>
      <c r="K123" s="50"/>
      <c r="L123" s="50"/>
      <c r="M123" s="50"/>
      <c r="N123" s="50"/>
      <c r="O123" s="50"/>
      <c r="P123" s="50"/>
      <c r="Q123" s="50"/>
      <c r="R123" s="50"/>
      <c r="S123" s="50"/>
      <c r="T123" s="50"/>
      <c r="U123" s="50"/>
      <c r="V123" s="50"/>
      <c r="W123" s="50"/>
      <c r="X123" s="50"/>
      <c r="Y123" s="50"/>
      <c r="Z123" s="50"/>
      <c r="AA123" s="50"/>
      <c r="AB123" s="50"/>
    </row>
    <row r="124">
      <c r="A124" s="49"/>
      <c r="B124" s="49"/>
      <c r="C124" s="50"/>
      <c r="D124" s="50"/>
      <c r="E124" s="50"/>
      <c r="F124" s="50"/>
      <c r="G124" s="50"/>
      <c r="H124" s="50"/>
      <c r="I124" s="50"/>
      <c r="J124" s="50"/>
      <c r="K124" s="50"/>
      <c r="L124" s="50"/>
      <c r="M124" s="50"/>
      <c r="N124" s="50"/>
      <c r="O124" s="50"/>
      <c r="P124" s="50"/>
      <c r="Q124" s="50"/>
      <c r="R124" s="50"/>
      <c r="S124" s="50"/>
      <c r="T124" s="50"/>
      <c r="U124" s="50"/>
      <c r="V124" s="50"/>
      <c r="W124" s="50"/>
      <c r="X124" s="50"/>
      <c r="Y124" s="50"/>
      <c r="Z124" s="50"/>
      <c r="AA124" s="50"/>
      <c r="AB124" s="50"/>
    </row>
    <row r="125">
      <c r="A125" s="49"/>
      <c r="B125" s="49"/>
      <c r="C125" s="50"/>
      <c r="D125" s="50"/>
      <c r="E125" s="50"/>
      <c r="F125" s="50"/>
      <c r="G125" s="50"/>
      <c r="H125" s="50"/>
      <c r="I125" s="50"/>
      <c r="J125" s="50"/>
      <c r="K125" s="50"/>
      <c r="L125" s="50"/>
      <c r="M125" s="50"/>
      <c r="N125" s="50"/>
      <c r="O125" s="50"/>
      <c r="P125" s="50"/>
      <c r="Q125" s="50"/>
      <c r="R125" s="50"/>
      <c r="S125" s="50"/>
      <c r="T125" s="50"/>
      <c r="U125" s="50"/>
      <c r="V125" s="50"/>
      <c r="W125" s="50"/>
      <c r="X125" s="50"/>
      <c r="Y125" s="50"/>
      <c r="Z125" s="50"/>
      <c r="AA125" s="50"/>
      <c r="AB125" s="50"/>
    </row>
    <row r="126">
      <c r="A126" s="49"/>
      <c r="B126" s="49"/>
      <c r="C126" s="50"/>
      <c r="D126" s="50"/>
      <c r="E126" s="50"/>
      <c r="F126" s="50"/>
      <c r="G126" s="50"/>
      <c r="H126" s="50"/>
      <c r="I126" s="50"/>
      <c r="J126" s="50"/>
      <c r="K126" s="50"/>
      <c r="L126" s="50"/>
      <c r="M126" s="50"/>
      <c r="N126" s="50"/>
      <c r="O126" s="50"/>
      <c r="P126" s="50"/>
      <c r="Q126" s="50"/>
      <c r="R126" s="50"/>
      <c r="S126" s="50"/>
      <c r="T126" s="50"/>
      <c r="U126" s="50"/>
      <c r="V126" s="50"/>
      <c r="W126" s="50"/>
      <c r="X126" s="50"/>
      <c r="Y126" s="50"/>
      <c r="Z126" s="50"/>
      <c r="AA126" s="50"/>
      <c r="AB126" s="50"/>
    </row>
    <row r="127">
      <c r="A127" s="49"/>
      <c r="B127" s="49"/>
      <c r="C127" s="50"/>
      <c r="D127" s="50"/>
      <c r="E127" s="50"/>
      <c r="F127" s="50"/>
      <c r="G127" s="50"/>
      <c r="H127" s="50"/>
      <c r="I127" s="50"/>
      <c r="J127" s="50"/>
      <c r="K127" s="50"/>
      <c r="L127" s="50"/>
      <c r="M127" s="50"/>
      <c r="N127" s="50"/>
      <c r="O127" s="50"/>
      <c r="P127" s="50"/>
      <c r="Q127" s="50"/>
      <c r="R127" s="50"/>
      <c r="S127" s="50"/>
      <c r="T127" s="50"/>
      <c r="U127" s="50"/>
      <c r="V127" s="50"/>
      <c r="W127" s="50"/>
      <c r="X127" s="50"/>
      <c r="Y127" s="50"/>
      <c r="Z127" s="50"/>
      <c r="AA127" s="50"/>
      <c r="AB127" s="50"/>
    </row>
    <row r="128">
      <c r="A128" s="49"/>
      <c r="B128" s="49"/>
      <c r="C128" s="50"/>
      <c r="D128" s="50"/>
      <c r="E128" s="50"/>
      <c r="F128" s="50"/>
      <c r="G128" s="50"/>
      <c r="H128" s="50"/>
      <c r="I128" s="50"/>
      <c r="J128" s="50"/>
      <c r="K128" s="50"/>
      <c r="L128" s="50"/>
      <c r="M128" s="50"/>
      <c r="N128" s="50"/>
      <c r="O128" s="50"/>
      <c r="P128" s="50"/>
      <c r="Q128" s="50"/>
      <c r="R128" s="50"/>
      <c r="S128" s="50"/>
      <c r="T128" s="50"/>
      <c r="U128" s="50"/>
      <c r="V128" s="50"/>
      <c r="W128" s="50"/>
      <c r="X128" s="50"/>
      <c r="Y128" s="50"/>
      <c r="Z128" s="50"/>
      <c r="AA128" s="50"/>
      <c r="AB128" s="50"/>
    </row>
    <row r="129">
      <c r="A129" s="49"/>
      <c r="B129" s="49"/>
      <c r="C129" s="50"/>
      <c r="D129" s="50"/>
      <c r="E129" s="50"/>
      <c r="F129" s="50"/>
      <c r="G129" s="50"/>
      <c r="H129" s="50"/>
      <c r="I129" s="50"/>
      <c r="J129" s="50"/>
      <c r="K129" s="50"/>
      <c r="L129" s="50"/>
      <c r="M129" s="50"/>
      <c r="N129" s="50"/>
      <c r="O129" s="50"/>
      <c r="P129" s="50"/>
      <c r="Q129" s="50"/>
      <c r="R129" s="50"/>
      <c r="S129" s="50"/>
      <c r="T129" s="50"/>
      <c r="U129" s="50"/>
      <c r="V129" s="50"/>
      <c r="W129" s="50"/>
      <c r="X129" s="50"/>
      <c r="Y129" s="50"/>
      <c r="Z129" s="50"/>
      <c r="AA129" s="50"/>
      <c r="AB129" s="50"/>
    </row>
    <row r="130">
      <c r="A130" s="49"/>
      <c r="B130" s="49"/>
      <c r="C130" s="50"/>
      <c r="D130" s="50"/>
      <c r="E130" s="50"/>
      <c r="F130" s="50"/>
      <c r="G130" s="50"/>
      <c r="H130" s="50"/>
      <c r="I130" s="50"/>
      <c r="J130" s="50"/>
      <c r="K130" s="50"/>
      <c r="L130" s="50"/>
      <c r="M130" s="50"/>
      <c r="N130" s="50"/>
      <c r="O130" s="50"/>
      <c r="P130" s="50"/>
      <c r="Q130" s="50"/>
      <c r="R130" s="50"/>
      <c r="S130" s="50"/>
      <c r="T130" s="50"/>
      <c r="U130" s="50"/>
      <c r="V130" s="50"/>
      <c r="W130" s="50"/>
      <c r="X130" s="50"/>
      <c r="Y130" s="50"/>
      <c r="Z130" s="50"/>
      <c r="AA130" s="50"/>
      <c r="AB130" s="50"/>
    </row>
    <row r="131">
      <c r="A131" s="49"/>
      <c r="B131" s="49"/>
      <c r="C131" s="50"/>
      <c r="D131" s="50"/>
      <c r="E131" s="50"/>
      <c r="F131" s="50"/>
      <c r="G131" s="50"/>
      <c r="H131" s="50"/>
      <c r="I131" s="50"/>
      <c r="J131" s="50"/>
      <c r="K131" s="50"/>
      <c r="L131" s="50"/>
      <c r="M131" s="50"/>
      <c r="N131" s="50"/>
      <c r="O131" s="50"/>
      <c r="P131" s="50"/>
      <c r="Q131" s="50"/>
      <c r="R131" s="50"/>
      <c r="S131" s="50"/>
      <c r="T131" s="50"/>
      <c r="U131" s="50"/>
      <c r="V131" s="50"/>
      <c r="W131" s="50"/>
      <c r="X131" s="50"/>
      <c r="Y131" s="50"/>
      <c r="Z131" s="50"/>
      <c r="AA131" s="50"/>
      <c r="AB131" s="50"/>
    </row>
    <row r="132">
      <c r="A132" s="49"/>
      <c r="B132" s="49"/>
      <c r="C132" s="50"/>
      <c r="D132" s="50"/>
      <c r="E132" s="50"/>
      <c r="F132" s="50"/>
      <c r="G132" s="50"/>
      <c r="H132" s="50"/>
      <c r="I132" s="50"/>
      <c r="J132" s="50"/>
      <c r="K132" s="50"/>
      <c r="L132" s="50"/>
      <c r="M132" s="50"/>
      <c r="N132" s="50"/>
      <c r="O132" s="50"/>
      <c r="P132" s="50"/>
      <c r="Q132" s="50"/>
      <c r="R132" s="50"/>
      <c r="S132" s="50"/>
      <c r="T132" s="50"/>
      <c r="U132" s="50"/>
      <c r="V132" s="50"/>
      <c r="W132" s="50"/>
      <c r="X132" s="50"/>
      <c r="Y132" s="50"/>
      <c r="Z132" s="50"/>
      <c r="AA132" s="50"/>
      <c r="AB132" s="50"/>
    </row>
    <row r="133">
      <c r="A133" s="49"/>
      <c r="B133" s="49"/>
      <c r="C133" s="50"/>
      <c r="D133" s="50"/>
      <c r="E133" s="50"/>
      <c r="F133" s="50"/>
      <c r="G133" s="50"/>
      <c r="H133" s="50"/>
      <c r="I133" s="50"/>
      <c r="J133" s="50"/>
      <c r="K133" s="50"/>
      <c r="L133" s="50"/>
      <c r="M133" s="50"/>
      <c r="N133" s="50"/>
      <c r="O133" s="50"/>
      <c r="P133" s="50"/>
      <c r="Q133" s="50"/>
      <c r="R133" s="50"/>
      <c r="S133" s="50"/>
      <c r="T133" s="50"/>
      <c r="U133" s="50"/>
      <c r="V133" s="50"/>
      <c r="W133" s="50"/>
      <c r="X133" s="50"/>
      <c r="Y133" s="50"/>
      <c r="Z133" s="50"/>
      <c r="AA133" s="50"/>
      <c r="AB133" s="50"/>
    </row>
    <row r="134">
      <c r="A134" s="49"/>
      <c r="B134" s="49"/>
      <c r="C134" s="50"/>
      <c r="D134" s="50"/>
      <c r="E134" s="50"/>
      <c r="F134" s="50"/>
      <c r="G134" s="50"/>
      <c r="H134" s="50"/>
      <c r="I134" s="50"/>
      <c r="J134" s="50"/>
      <c r="K134" s="50"/>
      <c r="L134" s="50"/>
      <c r="M134" s="50"/>
      <c r="N134" s="50"/>
      <c r="O134" s="50"/>
      <c r="P134" s="50"/>
      <c r="Q134" s="50"/>
      <c r="R134" s="50"/>
      <c r="S134" s="50"/>
      <c r="T134" s="50"/>
      <c r="U134" s="50"/>
      <c r="V134" s="50"/>
      <c r="W134" s="50"/>
      <c r="X134" s="50"/>
      <c r="Y134" s="50"/>
      <c r="Z134" s="50"/>
      <c r="AA134" s="50"/>
      <c r="AB134" s="50"/>
    </row>
    <row r="135">
      <c r="A135" s="49"/>
      <c r="B135" s="49"/>
      <c r="C135" s="50"/>
      <c r="D135" s="50"/>
      <c r="E135" s="50"/>
      <c r="F135" s="50"/>
      <c r="G135" s="50"/>
      <c r="H135" s="50"/>
      <c r="I135" s="50"/>
      <c r="J135" s="50"/>
      <c r="K135" s="50"/>
      <c r="L135" s="50"/>
      <c r="M135" s="50"/>
      <c r="N135" s="50"/>
      <c r="O135" s="50"/>
      <c r="P135" s="50"/>
      <c r="Q135" s="50"/>
      <c r="R135" s="50"/>
      <c r="S135" s="50"/>
      <c r="T135" s="50"/>
      <c r="U135" s="50"/>
      <c r="V135" s="50"/>
      <c r="W135" s="50"/>
      <c r="X135" s="50"/>
      <c r="Y135" s="50"/>
      <c r="Z135" s="50"/>
      <c r="AA135" s="50"/>
      <c r="AB135" s="50"/>
    </row>
    <row r="136">
      <c r="A136" s="49"/>
      <c r="B136" s="49"/>
      <c r="C136" s="50"/>
      <c r="D136" s="50"/>
      <c r="E136" s="50"/>
      <c r="F136" s="50"/>
      <c r="G136" s="50"/>
      <c r="H136" s="50"/>
      <c r="I136" s="50"/>
      <c r="J136" s="50"/>
      <c r="K136" s="50"/>
      <c r="L136" s="50"/>
      <c r="M136" s="50"/>
      <c r="N136" s="50"/>
      <c r="O136" s="50"/>
      <c r="P136" s="50"/>
      <c r="Q136" s="50"/>
      <c r="R136" s="50"/>
      <c r="S136" s="50"/>
      <c r="T136" s="50"/>
      <c r="U136" s="50"/>
      <c r="V136" s="50"/>
      <c r="W136" s="50"/>
      <c r="X136" s="50"/>
      <c r="Y136" s="50"/>
      <c r="Z136" s="50"/>
      <c r="AA136" s="50"/>
      <c r="AB136" s="50"/>
    </row>
    <row r="137">
      <c r="A137" s="49"/>
      <c r="B137" s="49"/>
      <c r="C137" s="50"/>
      <c r="D137" s="50"/>
      <c r="E137" s="50"/>
      <c r="F137" s="50"/>
      <c r="G137" s="50"/>
      <c r="H137" s="50"/>
      <c r="I137" s="50"/>
      <c r="J137" s="50"/>
      <c r="K137" s="50"/>
      <c r="L137" s="50"/>
      <c r="M137" s="50"/>
      <c r="N137" s="50"/>
      <c r="O137" s="50"/>
      <c r="P137" s="50"/>
      <c r="Q137" s="50"/>
      <c r="R137" s="50"/>
      <c r="S137" s="50"/>
      <c r="T137" s="50"/>
      <c r="U137" s="50"/>
      <c r="V137" s="50"/>
      <c r="W137" s="50"/>
      <c r="X137" s="50"/>
      <c r="Y137" s="50"/>
      <c r="Z137" s="50"/>
      <c r="AA137" s="50"/>
      <c r="AB137" s="50"/>
    </row>
    <row r="138">
      <c r="A138" s="49"/>
      <c r="B138" s="49"/>
      <c r="C138" s="50"/>
      <c r="D138" s="50"/>
      <c r="E138" s="50"/>
      <c r="F138" s="50"/>
      <c r="G138" s="50"/>
      <c r="H138" s="50"/>
      <c r="I138" s="50"/>
      <c r="J138" s="50"/>
      <c r="K138" s="50"/>
      <c r="L138" s="50"/>
      <c r="M138" s="50"/>
      <c r="N138" s="50"/>
      <c r="O138" s="50"/>
      <c r="P138" s="50"/>
      <c r="Q138" s="50"/>
      <c r="R138" s="50"/>
      <c r="S138" s="50"/>
      <c r="T138" s="50"/>
      <c r="U138" s="50"/>
      <c r="V138" s="50"/>
      <c r="W138" s="50"/>
      <c r="X138" s="50"/>
      <c r="Y138" s="50"/>
      <c r="Z138" s="50"/>
      <c r="AA138" s="50"/>
      <c r="AB138" s="50"/>
    </row>
    <row r="139">
      <c r="A139" s="49"/>
      <c r="B139" s="49"/>
      <c r="C139" s="50"/>
      <c r="D139" s="50"/>
      <c r="E139" s="50"/>
      <c r="F139" s="50"/>
      <c r="G139" s="50"/>
      <c r="H139" s="50"/>
      <c r="I139" s="50"/>
      <c r="J139" s="50"/>
      <c r="K139" s="50"/>
      <c r="L139" s="50"/>
      <c r="M139" s="50"/>
      <c r="N139" s="50"/>
      <c r="O139" s="50"/>
      <c r="P139" s="50"/>
      <c r="Q139" s="50"/>
      <c r="R139" s="50"/>
      <c r="S139" s="50"/>
      <c r="T139" s="50"/>
      <c r="U139" s="50"/>
      <c r="V139" s="50"/>
      <c r="W139" s="50"/>
      <c r="X139" s="50"/>
      <c r="Y139" s="50"/>
      <c r="Z139" s="50"/>
      <c r="AA139" s="50"/>
      <c r="AB139" s="50"/>
    </row>
    <row r="140">
      <c r="A140" s="49"/>
      <c r="B140" s="49"/>
      <c r="C140" s="50"/>
      <c r="D140" s="50"/>
      <c r="E140" s="50"/>
      <c r="F140" s="50"/>
      <c r="G140" s="50"/>
      <c r="H140" s="50"/>
      <c r="I140" s="50"/>
      <c r="J140" s="50"/>
      <c r="K140" s="50"/>
      <c r="L140" s="50"/>
      <c r="M140" s="50"/>
      <c r="N140" s="50"/>
      <c r="O140" s="50"/>
      <c r="P140" s="50"/>
      <c r="Q140" s="50"/>
      <c r="R140" s="50"/>
      <c r="S140" s="50"/>
      <c r="T140" s="50"/>
      <c r="U140" s="50"/>
      <c r="V140" s="50"/>
      <c r="W140" s="50"/>
      <c r="X140" s="50"/>
      <c r="Y140" s="50"/>
      <c r="Z140" s="50"/>
      <c r="AA140" s="50"/>
      <c r="AB140" s="50"/>
    </row>
    <row r="141">
      <c r="A141" s="49"/>
      <c r="B141" s="49"/>
      <c r="C141" s="50"/>
      <c r="D141" s="50"/>
      <c r="E141" s="50"/>
      <c r="F141" s="50"/>
      <c r="G141" s="50"/>
      <c r="H141" s="50"/>
      <c r="I141" s="50"/>
      <c r="J141" s="50"/>
      <c r="K141" s="50"/>
      <c r="L141" s="50"/>
      <c r="M141" s="50"/>
      <c r="N141" s="50"/>
      <c r="O141" s="50"/>
      <c r="P141" s="50"/>
      <c r="Q141" s="50"/>
      <c r="R141" s="50"/>
      <c r="S141" s="50"/>
      <c r="T141" s="50"/>
      <c r="U141" s="50"/>
      <c r="V141" s="50"/>
      <c r="W141" s="50"/>
      <c r="X141" s="50"/>
      <c r="Y141" s="50"/>
      <c r="Z141" s="50"/>
      <c r="AA141" s="50"/>
      <c r="AB141" s="50"/>
    </row>
    <row r="142">
      <c r="A142" s="49"/>
      <c r="B142" s="49"/>
      <c r="C142" s="50"/>
      <c r="D142" s="50"/>
      <c r="E142" s="50"/>
      <c r="F142" s="50"/>
      <c r="G142" s="50"/>
      <c r="H142" s="50"/>
      <c r="I142" s="50"/>
      <c r="J142" s="50"/>
      <c r="K142" s="50"/>
      <c r="L142" s="50"/>
      <c r="M142" s="50"/>
      <c r="N142" s="50"/>
      <c r="O142" s="50"/>
      <c r="P142" s="50"/>
      <c r="Q142" s="50"/>
      <c r="R142" s="50"/>
      <c r="S142" s="50"/>
      <c r="T142" s="50"/>
      <c r="U142" s="50"/>
      <c r="V142" s="50"/>
      <c r="W142" s="50"/>
      <c r="X142" s="50"/>
      <c r="Y142" s="50"/>
      <c r="Z142" s="50"/>
      <c r="AA142" s="50"/>
      <c r="AB142" s="50"/>
    </row>
    <row r="143">
      <c r="A143" s="49"/>
      <c r="B143" s="49"/>
      <c r="C143" s="50"/>
      <c r="D143" s="50"/>
      <c r="E143" s="50"/>
      <c r="F143" s="50"/>
      <c r="G143" s="50"/>
      <c r="H143" s="50"/>
      <c r="I143" s="50"/>
      <c r="J143" s="50"/>
      <c r="K143" s="50"/>
      <c r="L143" s="50"/>
      <c r="M143" s="50"/>
      <c r="N143" s="50"/>
      <c r="O143" s="50"/>
      <c r="P143" s="50"/>
      <c r="Q143" s="50"/>
      <c r="R143" s="50"/>
      <c r="S143" s="50"/>
      <c r="T143" s="50"/>
      <c r="U143" s="50"/>
      <c r="V143" s="50"/>
      <c r="W143" s="50"/>
      <c r="X143" s="50"/>
      <c r="Y143" s="50"/>
      <c r="Z143" s="50"/>
      <c r="AA143" s="50"/>
      <c r="AB143" s="50"/>
    </row>
    <row r="144">
      <c r="A144" s="49"/>
      <c r="B144" s="49"/>
      <c r="C144" s="50"/>
      <c r="D144" s="50"/>
      <c r="E144" s="50"/>
      <c r="F144" s="50"/>
      <c r="G144" s="50"/>
      <c r="H144" s="50"/>
      <c r="I144" s="50"/>
      <c r="J144" s="50"/>
      <c r="K144" s="50"/>
      <c r="L144" s="50"/>
      <c r="M144" s="50"/>
      <c r="N144" s="50"/>
      <c r="O144" s="50"/>
      <c r="P144" s="50"/>
      <c r="Q144" s="50"/>
      <c r="R144" s="50"/>
      <c r="S144" s="50"/>
      <c r="T144" s="50"/>
      <c r="U144" s="50"/>
      <c r="V144" s="50"/>
      <c r="W144" s="50"/>
      <c r="X144" s="50"/>
      <c r="Y144" s="50"/>
      <c r="Z144" s="50"/>
      <c r="AA144" s="50"/>
      <c r="AB144" s="50"/>
    </row>
    <row r="145">
      <c r="A145" s="49"/>
      <c r="B145" s="49"/>
      <c r="C145" s="50"/>
      <c r="D145" s="50"/>
      <c r="E145" s="50"/>
      <c r="F145" s="50"/>
      <c r="G145" s="50"/>
      <c r="H145" s="50"/>
      <c r="I145" s="50"/>
      <c r="J145" s="50"/>
      <c r="K145" s="50"/>
      <c r="L145" s="50"/>
      <c r="M145" s="50"/>
      <c r="N145" s="50"/>
      <c r="O145" s="50"/>
      <c r="P145" s="50"/>
      <c r="Q145" s="50"/>
      <c r="R145" s="50"/>
      <c r="S145" s="50"/>
      <c r="T145" s="50"/>
      <c r="U145" s="50"/>
      <c r="V145" s="50"/>
      <c r="W145" s="50"/>
      <c r="X145" s="50"/>
      <c r="Y145" s="50"/>
      <c r="Z145" s="50"/>
      <c r="AA145" s="50"/>
      <c r="AB145" s="50"/>
    </row>
    <row r="146">
      <c r="A146" s="49"/>
      <c r="B146" s="49"/>
      <c r="C146" s="50"/>
      <c r="D146" s="50"/>
      <c r="E146" s="50"/>
      <c r="F146" s="50"/>
      <c r="G146" s="50"/>
      <c r="H146" s="50"/>
      <c r="I146" s="50"/>
      <c r="J146" s="50"/>
      <c r="K146" s="50"/>
      <c r="L146" s="50"/>
      <c r="M146" s="50"/>
      <c r="N146" s="50"/>
      <c r="O146" s="50"/>
      <c r="P146" s="50"/>
      <c r="Q146" s="50"/>
      <c r="R146" s="50"/>
      <c r="S146" s="50"/>
      <c r="T146" s="50"/>
      <c r="U146" s="50"/>
      <c r="V146" s="50"/>
      <c r="W146" s="50"/>
      <c r="X146" s="50"/>
      <c r="Y146" s="50"/>
      <c r="Z146" s="50"/>
      <c r="AA146" s="50"/>
      <c r="AB146" s="50"/>
    </row>
    <row r="147">
      <c r="A147" s="49"/>
      <c r="B147" s="49"/>
      <c r="C147" s="50"/>
      <c r="D147" s="50"/>
      <c r="E147" s="50"/>
      <c r="F147" s="50"/>
      <c r="G147" s="50"/>
      <c r="H147" s="50"/>
      <c r="I147" s="50"/>
      <c r="J147" s="50"/>
      <c r="K147" s="50"/>
      <c r="L147" s="50"/>
      <c r="M147" s="50"/>
      <c r="N147" s="50"/>
      <c r="O147" s="50"/>
      <c r="P147" s="50"/>
      <c r="Q147" s="50"/>
      <c r="R147" s="50"/>
      <c r="S147" s="50"/>
      <c r="T147" s="50"/>
      <c r="U147" s="50"/>
      <c r="V147" s="50"/>
      <c r="W147" s="50"/>
      <c r="X147" s="50"/>
      <c r="Y147" s="50"/>
      <c r="Z147" s="50"/>
      <c r="AA147" s="50"/>
      <c r="AB147" s="50"/>
    </row>
    <row r="148">
      <c r="A148" s="49"/>
      <c r="B148" s="49"/>
      <c r="C148" s="50"/>
      <c r="D148" s="50"/>
      <c r="E148" s="50"/>
      <c r="F148" s="50"/>
      <c r="G148" s="50"/>
      <c r="H148" s="50"/>
      <c r="I148" s="50"/>
      <c r="J148" s="50"/>
      <c r="K148" s="50"/>
      <c r="L148" s="50"/>
      <c r="M148" s="50"/>
      <c r="N148" s="50"/>
      <c r="O148" s="50"/>
      <c r="P148" s="50"/>
      <c r="Q148" s="50"/>
      <c r="R148" s="50"/>
      <c r="S148" s="50"/>
      <c r="T148" s="50"/>
      <c r="U148" s="50"/>
      <c r="V148" s="50"/>
      <c r="W148" s="50"/>
      <c r="X148" s="50"/>
      <c r="Y148" s="50"/>
      <c r="Z148" s="50"/>
      <c r="AA148" s="50"/>
      <c r="AB148" s="50"/>
    </row>
    <row r="149">
      <c r="A149" s="49"/>
      <c r="B149" s="49"/>
      <c r="C149" s="50"/>
      <c r="D149" s="50"/>
      <c r="E149" s="50"/>
      <c r="F149" s="50"/>
      <c r="G149" s="50"/>
      <c r="H149" s="50"/>
      <c r="I149" s="50"/>
      <c r="J149" s="50"/>
      <c r="K149" s="50"/>
      <c r="L149" s="50"/>
      <c r="M149" s="50"/>
      <c r="N149" s="50"/>
      <c r="O149" s="50"/>
      <c r="P149" s="50"/>
      <c r="Q149" s="50"/>
      <c r="R149" s="50"/>
      <c r="S149" s="50"/>
      <c r="T149" s="50"/>
      <c r="U149" s="50"/>
      <c r="V149" s="50"/>
      <c r="W149" s="50"/>
      <c r="X149" s="50"/>
      <c r="Y149" s="50"/>
      <c r="Z149" s="50"/>
      <c r="AA149" s="50"/>
      <c r="AB149" s="50"/>
    </row>
    <row r="150">
      <c r="A150" s="49"/>
      <c r="B150" s="49"/>
      <c r="C150" s="50"/>
      <c r="D150" s="50"/>
      <c r="E150" s="50"/>
      <c r="F150" s="50"/>
      <c r="G150" s="50"/>
      <c r="H150" s="50"/>
      <c r="I150" s="50"/>
      <c r="J150" s="50"/>
      <c r="K150" s="50"/>
      <c r="L150" s="50"/>
      <c r="M150" s="50"/>
      <c r="N150" s="50"/>
      <c r="O150" s="50"/>
      <c r="P150" s="50"/>
      <c r="Q150" s="50"/>
      <c r="R150" s="50"/>
      <c r="S150" s="50"/>
      <c r="T150" s="50"/>
      <c r="U150" s="50"/>
      <c r="V150" s="50"/>
      <c r="W150" s="50"/>
      <c r="X150" s="50"/>
      <c r="Y150" s="50"/>
      <c r="Z150" s="50"/>
      <c r="AA150" s="50"/>
      <c r="AB150" s="50"/>
    </row>
    <row r="151">
      <c r="A151" s="49"/>
      <c r="B151" s="49"/>
      <c r="C151" s="50"/>
      <c r="D151" s="50"/>
      <c r="E151" s="50"/>
      <c r="F151" s="50"/>
      <c r="G151" s="50"/>
      <c r="H151" s="50"/>
      <c r="I151" s="50"/>
      <c r="J151" s="50"/>
      <c r="K151" s="50"/>
      <c r="L151" s="50"/>
      <c r="M151" s="50"/>
      <c r="N151" s="50"/>
      <c r="O151" s="50"/>
      <c r="P151" s="50"/>
      <c r="Q151" s="50"/>
      <c r="R151" s="50"/>
      <c r="S151" s="50"/>
      <c r="T151" s="50"/>
      <c r="U151" s="50"/>
      <c r="V151" s="50"/>
      <c r="W151" s="50"/>
      <c r="X151" s="50"/>
      <c r="Y151" s="50"/>
      <c r="Z151" s="50"/>
      <c r="AA151" s="50"/>
      <c r="AB151" s="50"/>
    </row>
    <row r="152">
      <c r="A152" s="49"/>
      <c r="B152" s="49"/>
      <c r="C152" s="50"/>
      <c r="D152" s="50"/>
      <c r="E152" s="50"/>
      <c r="F152" s="50"/>
      <c r="G152" s="50"/>
      <c r="H152" s="50"/>
      <c r="I152" s="50"/>
      <c r="J152" s="50"/>
      <c r="K152" s="50"/>
      <c r="L152" s="50"/>
      <c r="M152" s="50"/>
      <c r="N152" s="50"/>
      <c r="O152" s="50"/>
      <c r="P152" s="50"/>
      <c r="Q152" s="50"/>
      <c r="R152" s="50"/>
      <c r="S152" s="50"/>
      <c r="T152" s="50"/>
      <c r="U152" s="50"/>
      <c r="V152" s="50"/>
      <c r="W152" s="50"/>
      <c r="X152" s="50"/>
      <c r="Y152" s="50"/>
      <c r="Z152" s="50"/>
      <c r="AA152" s="50"/>
      <c r="AB152" s="50"/>
    </row>
    <row r="153">
      <c r="A153" s="49"/>
      <c r="B153" s="49"/>
      <c r="C153" s="50"/>
      <c r="D153" s="50"/>
      <c r="E153" s="50"/>
      <c r="F153" s="50"/>
      <c r="G153" s="50"/>
      <c r="H153" s="50"/>
      <c r="I153" s="50"/>
      <c r="J153" s="50"/>
      <c r="K153" s="50"/>
      <c r="L153" s="50"/>
      <c r="M153" s="50"/>
      <c r="N153" s="50"/>
      <c r="O153" s="50"/>
      <c r="P153" s="50"/>
      <c r="Q153" s="50"/>
      <c r="R153" s="50"/>
      <c r="S153" s="50"/>
      <c r="T153" s="50"/>
      <c r="U153" s="50"/>
      <c r="V153" s="50"/>
      <c r="W153" s="50"/>
      <c r="X153" s="50"/>
      <c r="Y153" s="50"/>
      <c r="Z153" s="50"/>
      <c r="AA153" s="50"/>
      <c r="AB153" s="50"/>
    </row>
    <row r="154">
      <c r="A154" s="49"/>
      <c r="B154" s="49"/>
      <c r="C154" s="50"/>
      <c r="D154" s="50"/>
      <c r="E154" s="50"/>
      <c r="F154" s="50"/>
      <c r="G154" s="50"/>
      <c r="H154" s="50"/>
      <c r="I154" s="50"/>
      <c r="J154" s="50"/>
      <c r="K154" s="50"/>
      <c r="L154" s="50"/>
      <c r="M154" s="50"/>
      <c r="N154" s="50"/>
      <c r="O154" s="50"/>
      <c r="P154" s="50"/>
      <c r="Q154" s="50"/>
      <c r="R154" s="50"/>
      <c r="S154" s="50"/>
      <c r="T154" s="50"/>
      <c r="U154" s="50"/>
      <c r="V154" s="50"/>
      <c r="W154" s="50"/>
      <c r="X154" s="50"/>
      <c r="Y154" s="50"/>
      <c r="Z154" s="50"/>
      <c r="AA154" s="50"/>
      <c r="AB154" s="50"/>
    </row>
    <row r="155">
      <c r="A155" s="49"/>
      <c r="B155" s="49"/>
      <c r="C155" s="50"/>
      <c r="D155" s="50"/>
      <c r="E155" s="50"/>
      <c r="F155" s="50"/>
      <c r="G155" s="50"/>
      <c r="H155" s="50"/>
      <c r="I155" s="50"/>
      <c r="J155" s="50"/>
      <c r="K155" s="50"/>
      <c r="L155" s="50"/>
      <c r="M155" s="50"/>
      <c r="N155" s="50"/>
      <c r="O155" s="50"/>
      <c r="P155" s="50"/>
      <c r="Q155" s="50"/>
      <c r="R155" s="50"/>
      <c r="S155" s="50"/>
      <c r="T155" s="50"/>
      <c r="U155" s="50"/>
      <c r="V155" s="50"/>
      <c r="W155" s="50"/>
      <c r="X155" s="50"/>
      <c r="Y155" s="50"/>
      <c r="Z155" s="50"/>
      <c r="AA155" s="50"/>
      <c r="AB155" s="50"/>
    </row>
    <row r="156">
      <c r="A156" s="49"/>
      <c r="B156" s="49"/>
      <c r="C156" s="50"/>
      <c r="D156" s="50"/>
      <c r="E156" s="50"/>
      <c r="F156" s="50"/>
      <c r="G156" s="50"/>
      <c r="H156" s="50"/>
      <c r="I156" s="50"/>
      <c r="J156" s="50"/>
      <c r="K156" s="50"/>
      <c r="L156" s="50"/>
      <c r="M156" s="50"/>
      <c r="N156" s="50"/>
      <c r="O156" s="50"/>
      <c r="P156" s="50"/>
      <c r="Q156" s="50"/>
      <c r="R156" s="50"/>
      <c r="S156" s="50"/>
      <c r="T156" s="50"/>
      <c r="U156" s="50"/>
      <c r="V156" s="50"/>
      <c r="W156" s="50"/>
      <c r="X156" s="50"/>
      <c r="Y156" s="50"/>
      <c r="Z156" s="50"/>
      <c r="AA156" s="50"/>
      <c r="AB156" s="50"/>
    </row>
    <row r="157">
      <c r="A157" s="49"/>
      <c r="B157" s="49"/>
      <c r="C157" s="50"/>
      <c r="D157" s="50"/>
      <c r="E157" s="50"/>
      <c r="F157" s="50"/>
      <c r="G157" s="50"/>
      <c r="H157" s="50"/>
      <c r="I157" s="50"/>
      <c r="J157" s="50"/>
      <c r="K157" s="50"/>
      <c r="L157" s="50"/>
      <c r="M157" s="50"/>
      <c r="N157" s="50"/>
      <c r="O157" s="50"/>
      <c r="P157" s="50"/>
      <c r="Q157" s="50"/>
      <c r="R157" s="50"/>
      <c r="S157" s="50"/>
      <c r="T157" s="50"/>
      <c r="U157" s="50"/>
      <c r="V157" s="50"/>
      <c r="W157" s="50"/>
      <c r="X157" s="50"/>
      <c r="Y157" s="50"/>
      <c r="Z157" s="50"/>
      <c r="AA157" s="50"/>
      <c r="AB157" s="50"/>
    </row>
    <row r="158">
      <c r="A158" s="49"/>
      <c r="B158" s="49"/>
      <c r="C158" s="50"/>
      <c r="D158" s="50"/>
      <c r="E158" s="50"/>
      <c r="F158" s="50"/>
      <c r="G158" s="50"/>
      <c r="H158" s="50"/>
      <c r="I158" s="50"/>
      <c r="J158" s="50"/>
      <c r="K158" s="50"/>
      <c r="L158" s="50"/>
      <c r="M158" s="50"/>
      <c r="N158" s="50"/>
      <c r="O158" s="50"/>
      <c r="P158" s="50"/>
      <c r="Q158" s="50"/>
      <c r="R158" s="50"/>
      <c r="S158" s="50"/>
      <c r="T158" s="50"/>
      <c r="U158" s="50"/>
      <c r="V158" s="50"/>
      <c r="W158" s="50"/>
      <c r="X158" s="50"/>
      <c r="Y158" s="50"/>
      <c r="Z158" s="50"/>
      <c r="AA158" s="50"/>
      <c r="AB158" s="50"/>
    </row>
    <row r="159">
      <c r="A159" s="49"/>
      <c r="B159" s="49"/>
      <c r="C159" s="50"/>
      <c r="D159" s="50"/>
      <c r="E159" s="50"/>
      <c r="F159" s="50"/>
      <c r="G159" s="50"/>
      <c r="H159" s="50"/>
      <c r="I159" s="50"/>
      <c r="J159" s="50"/>
      <c r="K159" s="50"/>
      <c r="L159" s="50"/>
      <c r="M159" s="50"/>
      <c r="N159" s="50"/>
      <c r="O159" s="50"/>
      <c r="P159" s="50"/>
      <c r="Q159" s="50"/>
      <c r="R159" s="50"/>
      <c r="S159" s="50"/>
      <c r="T159" s="50"/>
      <c r="U159" s="50"/>
      <c r="V159" s="50"/>
      <c r="W159" s="50"/>
      <c r="X159" s="50"/>
      <c r="Y159" s="50"/>
      <c r="Z159" s="50"/>
      <c r="AA159" s="50"/>
      <c r="AB159" s="50"/>
    </row>
    <row r="160">
      <c r="A160" s="49"/>
      <c r="B160" s="49"/>
      <c r="C160" s="50"/>
      <c r="D160" s="50"/>
      <c r="E160" s="50"/>
      <c r="F160" s="50"/>
      <c r="G160" s="50"/>
      <c r="H160" s="50"/>
      <c r="I160" s="50"/>
      <c r="J160" s="50"/>
      <c r="K160" s="50"/>
      <c r="L160" s="50"/>
      <c r="M160" s="50"/>
      <c r="N160" s="50"/>
      <c r="O160" s="50"/>
      <c r="P160" s="50"/>
      <c r="Q160" s="50"/>
      <c r="R160" s="50"/>
      <c r="S160" s="50"/>
      <c r="T160" s="50"/>
      <c r="U160" s="50"/>
      <c r="V160" s="50"/>
      <c r="W160" s="50"/>
      <c r="X160" s="50"/>
      <c r="Y160" s="50"/>
      <c r="Z160" s="50"/>
      <c r="AA160" s="50"/>
      <c r="AB160" s="50"/>
    </row>
    <row r="161">
      <c r="A161" s="49"/>
      <c r="B161" s="49"/>
      <c r="C161" s="50"/>
      <c r="D161" s="50"/>
      <c r="E161" s="50"/>
      <c r="F161" s="50"/>
      <c r="G161" s="50"/>
      <c r="H161" s="50"/>
      <c r="I161" s="50"/>
      <c r="J161" s="50"/>
      <c r="K161" s="50"/>
      <c r="L161" s="50"/>
      <c r="M161" s="50"/>
      <c r="N161" s="50"/>
      <c r="O161" s="50"/>
      <c r="P161" s="50"/>
      <c r="Q161" s="50"/>
      <c r="R161" s="50"/>
      <c r="S161" s="50"/>
      <c r="T161" s="50"/>
      <c r="U161" s="50"/>
      <c r="V161" s="50"/>
      <c r="W161" s="50"/>
      <c r="X161" s="50"/>
      <c r="Y161" s="50"/>
      <c r="Z161" s="50"/>
      <c r="AA161" s="50"/>
      <c r="AB161" s="50"/>
    </row>
    <row r="162">
      <c r="A162" s="49"/>
      <c r="B162" s="49"/>
      <c r="C162" s="50"/>
      <c r="D162" s="50"/>
      <c r="E162" s="50"/>
      <c r="F162" s="50"/>
      <c r="G162" s="50"/>
      <c r="H162" s="50"/>
      <c r="I162" s="50"/>
      <c r="J162" s="50"/>
      <c r="K162" s="50"/>
      <c r="L162" s="50"/>
      <c r="M162" s="50"/>
      <c r="N162" s="50"/>
      <c r="O162" s="50"/>
      <c r="P162" s="50"/>
      <c r="Q162" s="50"/>
      <c r="R162" s="50"/>
      <c r="S162" s="50"/>
      <c r="T162" s="50"/>
      <c r="U162" s="50"/>
      <c r="V162" s="50"/>
      <c r="W162" s="50"/>
      <c r="X162" s="50"/>
      <c r="Y162" s="50"/>
      <c r="Z162" s="50"/>
      <c r="AA162" s="50"/>
      <c r="AB162" s="50"/>
    </row>
    <row r="163">
      <c r="A163" s="49"/>
      <c r="B163" s="49"/>
      <c r="C163" s="50"/>
      <c r="D163" s="50"/>
      <c r="E163" s="50"/>
      <c r="F163" s="50"/>
      <c r="G163" s="50"/>
      <c r="H163" s="50"/>
      <c r="I163" s="50"/>
      <c r="J163" s="50"/>
      <c r="K163" s="50"/>
      <c r="L163" s="50"/>
      <c r="M163" s="50"/>
      <c r="N163" s="50"/>
      <c r="O163" s="50"/>
      <c r="P163" s="50"/>
      <c r="Q163" s="50"/>
      <c r="R163" s="50"/>
      <c r="S163" s="50"/>
      <c r="T163" s="50"/>
      <c r="U163" s="50"/>
      <c r="V163" s="50"/>
      <c r="W163" s="50"/>
      <c r="X163" s="50"/>
      <c r="Y163" s="50"/>
      <c r="Z163" s="50"/>
      <c r="AA163" s="50"/>
      <c r="AB163" s="50"/>
    </row>
    <row r="164">
      <c r="A164" s="49"/>
      <c r="B164" s="49"/>
      <c r="C164" s="50"/>
      <c r="D164" s="50"/>
      <c r="E164" s="50"/>
      <c r="F164" s="50"/>
      <c r="G164" s="50"/>
      <c r="H164" s="50"/>
      <c r="I164" s="50"/>
      <c r="J164" s="50"/>
      <c r="K164" s="50"/>
      <c r="L164" s="50"/>
      <c r="M164" s="50"/>
      <c r="N164" s="50"/>
      <c r="O164" s="50"/>
      <c r="P164" s="50"/>
      <c r="Q164" s="50"/>
      <c r="R164" s="50"/>
      <c r="S164" s="50"/>
      <c r="T164" s="50"/>
      <c r="U164" s="50"/>
      <c r="V164" s="50"/>
      <c r="W164" s="50"/>
      <c r="X164" s="50"/>
      <c r="Y164" s="50"/>
      <c r="Z164" s="50"/>
      <c r="AA164" s="50"/>
      <c r="AB164" s="50"/>
    </row>
    <row r="165">
      <c r="A165" s="49"/>
      <c r="B165" s="49"/>
      <c r="C165" s="50"/>
      <c r="D165" s="50"/>
      <c r="E165" s="50"/>
      <c r="F165" s="50"/>
      <c r="G165" s="50"/>
      <c r="H165" s="50"/>
      <c r="I165" s="50"/>
      <c r="J165" s="50"/>
      <c r="K165" s="50"/>
      <c r="L165" s="50"/>
      <c r="M165" s="50"/>
      <c r="N165" s="50"/>
      <c r="O165" s="50"/>
      <c r="P165" s="50"/>
      <c r="Q165" s="50"/>
      <c r="R165" s="50"/>
      <c r="S165" s="50"/>
      <c r="T165" s="50"/>
      <c r="U165" s="50"/>
      <c r="V165" s="50"/>
      <c r="W165" s="50"/>
      <c r="X165" s="50"/>
      <c r="Y165" s="50"/>
      <c r="Z165" s="50"/>
      <c r="AA165" s="50"/>
      <c r="AB165" s="50"/>
    </row>
    <row r="166">
      <c r="A166" s="49"/>
      <c r="B166" s="49"/>
      <c r="C166" s="50"/>
      <c r="D166" s="50"/>
      <c r="E166" s="50"/>
      <c r="F166" s="50"/>
      <c r="G166" s="50"/>
      <c r="H166" s="50"/>
      <c r="I166" s="50"/>
      <c r="J166" s="50"/>
      <c r="K166" s="50"/>
      <c r="L166" s="50"/>
      <c r="M166" s="50"/>
      <c r="N166" s="50"/>
      <c r="O166" s="50"/>
      <c r="P166" s="50"/>
      <c r="Q166" s="50"/>
      <c r="R166" s="50"/>
      <c r="S166" s="50"/>
      <c r="T166" s="50"/>
      <c r="U166" s="50"/>
      <c r="V166" s="50"/>
      <c r="W166" s="50"/>
      <c r="X166" s="50"/>
      <c r="Y166" s="50"/>
      <c r="Z166" s="50"/>
      <c r="AA166" s="50"/>
      <c r="AB166" s="50"/>
    </row>
    <row r="167">
      <c r="A167" s="49"/>
      <c r="B167" s="49"/>
      <c r="C167" s="50"/>
      <c r="D167" s="50"/>
      <c r="E167" s="50"/>
      <c r="F167" s="50"/>
      <c r="G167" s="50"/>
      <c r="H167" s="50"/>
      <c r="I167" s="50"/>
      <c r="J167" s="50"/>
      <c r="K167" s="50"/>
      <c r="L167" s="50"/>
      <c r="M167" s="50"/>
      <c r="N167" s="50"/>
      <c r="O167" s="50"/>
      <c r="P167" s="50"/>
      <c r="Q167" s="50"/>
      <c r="R167" s="50"/>
      <c r="S167" s="50"/>
      <c r="T167" s="50"/>
      <c r="U167" s="50"/>
      <c r="V167" s="50"/>
      <c r="W167" s="50"/>
      <c r="X167" s="50"/>
      <c r="Y167" s="50"/>
      <c r="Z167" s="50"/>
      <c r="AA167" s="50"/>
      <c r="AB167" s="50"/>
    </row>
    <row r="168">
      <c r="A168" s="49"/>
      <c r="B168" s="49"/>
      <c r="C168" s="50"/>
      <c r="D168" s="50"/>
      <c r="E168" s="50"/>
      <c r="F168" s="50"/>
      <c r="G168" s="50"/>
      <c r="H168" s="50"/>
      <c r="I168" s="50"/>
      <c r="J168" s="50"/>
      <c r="K168" s="50"/>
      <c r="L168" s="50"/>
      <c r="M168" s="50"/>
      <c r="N168" s="50"/>
      <c r="O168" s="50"/>
      <c r="P168" s="50"/>
      <c r="Q168" s="50"/>
      <c r="R168" s="50"/>
      <c r="S168" s="50"/>
      <c r="T168" s="50"/>
      <c r="U168" s="50"/>
      <c r="V168" s="50"/>
      <c r="W168" s="50"/>
      <c r="X168" s="50"/>
      <c r="Y168" s="50"/>
      <c r="Z168" s="50"/>
      <c r="AA168" s="50"/>
      <c r="AB168" s="50"/>
    </row>
    <row r="169">
      <c r="A169" s="49"/>
      <c r="B169" s="49"/>
      <c r="C169" s="50"/>
      <c r="D169" s="50"/>
      <c r="E169" s="50"/>
      <c r="F169" s="50"/>
      <c r="G169" s="50"/>
      <c r="H169" s="50"/>
      <c r="I169" s="50"/>
      <c r="J169" s="50"/>
      <c r="K169" s="50"/>
      <c r="L169" s="50"/>
      <c r="M169" s="50"/>
      <c r="N169" s="50"/>
      <c r="O169" s="50"/>
      <c r="P169" s="50"/>
      <c r="Q169" s="50"/>
      <c r="R169" s="50"/>
      <c r="S169" s="50"/>
      <c r="T169" s="50"/>
      <c r="U169" s="50"/>
      <c r="V169" s="50"/>
      <c r="W169" s="50"/>
      <c r="X169" s="50"/>
      <c r="Y169" s="50"/>
      <c r="Z169" s="50"/>
      <c r="AA169" s="50"/>
      <c r="AB169" s="50"/>
    </row>
    <row r="170">
      <c r="A170" s="49"/>
      <c r="B170" s="49"/>
      <c r="C170" s="50"/>
      <c r="D170" s="50"/>
      <c r="E170" s="50"/>
      <c r="F170" s="50"/>
      <c r="G170" s="50"/>
      <c r="H170" s="50"/>
      <c r="I170" s="50"/>
      <c r="J170" s="50"/>
      <c r="K170" s="50"/>
      <c r="L170" s="50"/>
      <c r="M170" s="50"/>
      <c r="N170" s="50"/>
      <c r="O170" s="50"/>
      <c r="P170" s="50"/>
      <c r="Q170" s="50"/>
      <c r="R170" s="50"/>
      <c r="S170" s="50"/>
      <c r="T170" s="50"/>
      <c r="U170" s="50"/>
      <c r="V170" s="50"/>
      <c r="W170" s="50"/>
      <c r="X170" s="50"/>
      <c r="Y170" s="50"/>
      <c r="Z170" s="50"/>
      <c r="AA170" s="50"/>
      <c r="AB170" s="50"/>
    </row>
    <row r="171">
      <c r="A171" s="49"/>
      <c r="B171" s="49"/>
      <c r="C171" s="50"/>
      <c r="D171" s="50"/>
      <c r="E171" s="50"/>
      <c r="F171" s="50"/>
      <c r="G171" s="50"/>
      <c r="H171" s="50"/>
      <c r="I171" s="50"/>
      <c r="J171" s="50"/>
      <c r="K171" s="50"/>
      <c r="L171" s="50"/>
      <c r="M171" s="50"/>
      <c r="N171" s="50"/>
      <c r="O171" s="50"/>
      <c r="P171" s="50"/>
      <c r="Q171" s="50"/>
      <c r="R171" s="50"/>
      <c r="S171" s="50"/>
      <c r="T171" s="50"/>
      <c r="U171" s="50"/>
      <c r="V171" s="50"/>
      <c r="W171" s="50"/>
      <c r="X171" s="50"/>
      <c r="Y171" s="50"/>
      <c r="Z171" s="50"/>
      <c r="AA171" s="50"/>
      <c r="AB171" s="50"/>
    </row>
    <row r="172">
      <c r="A172" s="49"/>
      <c r="B172" s="49"/>
      <c r="C172" s="50"/>
      <c r="D172" s="50"/>
      <c r="E172" s="50"/>
      <c r="F172" s="50"/>
      <c r="G172" s="50"/>
      <c r="H172" s="50"/>
      <c r="I172" s="50"/>
      <c r="J172" s="50"/>
      <c r="K172" s="50"/>
      <c r="L172" s="50"/>
      <c r="M172" s="50"/>
      <c r="N172" s="50"/>
      <c r="O172" s="50"/>
      <c r="P172" s="50"/>
      <c r="Q172" s="50"/>
      <c r="R172" s="50"/>
      <c r="S172" s="50"/>
      <c r="T172" s="50"/>
      <c r="U172" s="50"/>
      <c r="V172" s="50"/>
      <c r="W172" s="50"/>
      <c r="X172" s="50"/>
      <c r="Y172" s="50"/>
      <c r="Z172" s="50"/>
      <c r="AA172" s="50"/>
      <c r="AB172" s="50"/>
    </row>
    <row r="173">
      <c r="A173" s="49"/>
      <c r="B173" s="49"/>
      <c r="C173" s="50"/>
      <c r="D173" s="50"/>
      <c r="E173" s="50"/>
      <c r="F173" s="50"/>
      <c r="G173" s="50"/>
      <c r="H173" s="50"/>
      <c r="I173" s="50"/>
      <c r="J173" s="50"/>
      <c r="K173" s="50"/>
      <c r="L173" s="50"/>
      <c r="M173" s="50"/>
      <c r="N173" s="50"/>
      <c r="O173" s="50"/>
      <c r="P173" s="50"/>
      <c r="Q173" s="50"/>
      <c r="R173" s="50"/>
      <c r="S173" s="50"/>
      <c r="T173" s="50"/>
      <c r="U173" s="50"/>
      <c r="V173" s="50"/>
      <c r="W173" s="50"/>
      <c r="X173" s="50"/>
      <c r="Y173" s="50"/>
      <c r="Z173" s="50"/>
      <c r="AA173" s="50"/>
      <c r="AB173" s="50"/>
    </row>
    <row r="174">
      <c r="A174" s="49"/>
      <c r="B174" s="49"/>
      <c r="C174" s="50"/>
      <c r="D174" s="50"/>
      <c r="E174" s="50"/>
      <c r="F174" s="50"/>
      <c r="G174" s="50"/>
      <c r="H174" s="50"/>
      <c r="I174" s="50"/>
      <c r="J174" s="50"/>
      <c r="K174" s="50"/>
      <c r="L174" s="50"/>
      <c r="M174" s="50"/>
      <c r="N174" s="50"/>
      <c r="O174" s="50"/>
      <c r="P174" s="50"/>
      <c r="Q174" s="50"/>
      <c r="R174" s="50"/>
      <c r="S174" s="50"/>
      <c r="T174" s="50"/>
      <c r="U174" s="50"/>
      <c r="V174" s="50"/>
      <c r="W174" s="50"/>
      <c r="X174" s="50"/>
      <c r="Y174" s="50"/>
      <c r="Z174" s="50"/>
      <c r="AA174" s="50"/>
      <c r="AB174" s="50"/>
    </row>
    <row r="175">
      <c r="A175" s="49"/>
      <c r="B175" s="49"/>
      <c r="C175" s="50"/>
      <c r="D175" s="50"/>
      <c r="E175" s="50"/>
      <c r="F175" s="50"/>
      <c r="G175" s="50"/>
      <c r="H175" s="50"/>
      <c r="I175" s="50"/>
      <c r="J175" s="50"/>
      <c r="K175" s="50"/>
      <c r="L175" s="50"/>
      <c r="M175" s="50"/>
      <c r="N175" s="50"/>
      <c r="O175" s="50"/>
      <c r="P175" s="50"/>
      <c r="Q175" s="50"/>
      <c r="R175" s="50"/>
      <c r="S175" s="50"/>
      <c r="T175" s="50"/>
      <c r="U175" s="50"/>
      <c r="V175" s="50"/>
      <c r="W175" s="50"/>
      <c r="X175" s="50"/>
      <c r="Y175" s="50"/>
      <c r="Z175" s="50"/>
      <c r="AA175" s="50"/>
      <c r="AB175" s="50"/>
    </row>
    <row r="176">
      <c r="A176" s="49"/>
      <c r="B176" s="49"/>
      <c r="C176" s="50"/>
      <c r="D176" s="50"/>
      <c r="E176" s="50"/>
      <c r="F176" s="50"/>
      <c r="G176" s="50"/>
      <c r="H176" s="50"/>
      <c r="I176" s="50"/>
      <c r="J176" s="50"/>
      <c r="K176" s="50"/>
      <c r="L176" s="50"/>
      <c r="M176" s="50"/>
      <c r="N176" s="50"/>
      <c r="O176" s="50"/>
      <c r="P176" s="50"/>
      <c r="Q176" s="50"/>
      <c r="R176" s="50"/>
      <c r="S176" s="50"/>
      <c r="T176" s="50"/>
      <c r="U176" s="50"/>
      <c r="V176" s="50"/>
      <c r="W176" s="50"/>
      <c r="X176" s="50"/>
      <c r="Y176" s="50"/>
      <c r="Z176" s="50"/>
      <c r="AA176" s="50"/>
      <c r="AB176" s="50"/>
    </row>
    <row r="177">
      <c r="A177" s="49"/>
      <c r="B177" s="49"/>
      <c r="C177" s="50"/>
      <c r="D177" s="50"/>
      <c r="E177" s="50"/>
      <c r="F177" s="50"/>
      <c r="G177" s="50"/>
      <c r="H177" s="50"/>
      <c r="I177" s="50"/>
      <c r="J177" s="50"/>
      <c r="K177" s="50"/>
      <c r="L177" s="50"/>
      <c r="M177" s="50"/>
      <c r="N177" s="50"/>
      <c r="O177" s="50"/>
      <c r="P177" s="50"/>
      <c r="Q177" s="50"/>
      <c r="R177" s="50"/>
      <c r="S177" s="50"/>
      <c r="T177" s="50"/>
      <c r="U177" s="50"/>
      <c r="V177" s="50"/>
      <c r="W177" s="50"/>
      <c r="X177" s="50"/>
      <c r="Y177" s="50"/>
      <c r="Z177" s="50"/>
      <c r="AA177" s="50"/>
      <c r="AB177" s="50"/>
    </row>
    <row r="178">
      <c r="A178" s="49"/>
      <c r="B178" s="49"/>
      <c r="C178" s="50"/>
      <c r="D178" s="50"/>
      <c r="E178" s="50"/>
      <c r="F178" s="50"/>
      <c r="G178" s="50"/>
      <c r="H178" s="50"/>
      <c r="I178" s="50"/>
      <c r="J178" s="50"/>
      <c r="K178" s="50"/>
      <c r="L178" s="50"/>
      <c r="M178" s="50"/>
      <c r="N178" s="50"/>
      <c r="O178" s="50"/>
      <c r="P178" s="50"/>
      <c r="Q178" s="50"/>
      <c r="R178" s="50"/>
      <c r="S178" s="50"/>
      <c r="T178" s="50"/>
      <c r="U178" s="50"/>
      <c r="V178" s="50"/>
      <c r="W178" s="50"/>
      <c r="X178" s="50"/>
      <c r="Y178" s="50"/>
      <c r="Z178" s="50"/>
      <c r="AA178" s="50"/>
      <c r="AB178" s="50"/>
    </row>
    <row r="179">
      <c r="A179" s="49"/>
      <c r="B179" s="49"/>
      <c r="C179" s="50"/>
      <c r="D179" s="50"/>
      <c r="E179" s="50"/>
      <c r="F179" s="50"/>
      <c r="G179" s="50"/>
      <c r="H179" s="50"/>
      <c r="I179" s="50"/>
      <c r="J179" s="50"/>
      <c r="K179" s="50"/>
      <c r="L179" s="50"/>
      <c r="M179" s="50"/>
      <c r="N179" s="50"/>
      <c r="O179" s="50"/>
      <c r="P179" s="50"/>
      <c r="Q179" s="50"/>
      <c r="R179" s="50"/>
      <c r="S179" s="50"/>
      <c r="T179" s="50"/>
      <c r="U179" s="50"/>
      <c r="V179" s="50"/>
      <c r="W179" s="50"/>
      <c r="X179" s="50"/>
      <c r="Y179" s="50"/>
      <c r="Z179" s="50"/>
      <c r="AA179" s="50"/>
      <c r="AB179" s="50"/>
    </row>
    <row r="180">
      <c r="A180" s="49"/>
      <c r="B180" s="49"/>
      <c r="C180" s="50"/>
      <c r="D180" s="50"/>
      <c r="E180" s="50"/>
      <c r="F180" s="50"/>
      <c r="G180" s="50"/>
      <c r="H180" s="50"/>
      <c r="I180" s="50"/>
      <c r="J180" s="50"/>
      <c r="K180" s="50"/>
      <c r="L180" s="50"/>
      <c r="M180" s="50"/>
      <c r="N180" s="50"/>
      <c r="O180" s="50"/>
      <c r="P180" s="50"/>
      <c r="Q180" s="50"/>
      <c r="R180" s="50"/>
      <c r="S180" s="50"/>
      <c r="T180" s="50"/>
      <c r="U180" s="50"/>
      <c r="V180" s="50"/>
      <c r="W180" s="50"/>
      <c r="X180" s="50"/>
      <c r="Y180" s="50"/>
      <c r="Z180" s="50"/>
      <c r="AA180" s="50"/>
      <c r="AB180" s="50"/>
    </row>
    <row r="181">
      <c r="A181" s="49"/>
      <c r="B181" s="49"/>
      <c r="C181" s="50"/>
      <c r="D181" s="50"/>
      <c r="E181" s="50"/>
      <c r="F181" s="50"/>
      <c r="G181" s="50"/>
      <c r="H181" s="50"/>
      <c r="I181" s="50"/>
      <c r="J181" s="50"/>
      <c r="K181" s="50"/>
      <c r="L181" s="50"/>
      <c r="M181" s="50"/>
      <c r="N181" s="50"/>
      <c r="O181" s="50"/>
      <c r="P181" s="50"/>
      <c r="Q181" s="50"/>
      <c r="R181" s="50"/>
      <c r="S181" s="50"/>
      <c r="T181" s="50"/>
      <c r="U181" s="50"/>
      <c r="V181" s="50"/>
      <c r="W181" s="50"/>
      <c r="X181" s="50"/>
      <c r="Y181" s="50"/>
      <c r="Z181" s="50"/>
      <c r="AA181" s="50"/>
      <c r="AB181" s="50"/>
    </row>
    <row r="182">
      <c r="A182" s="49"/>
      <c r="B182" s="49"/>
      <c r="C182" s="50"/>
      <c r="D182" s="50"/>
      <c r="E182" s="50"/>
      <c r="F182" s="50"/>
      <c r="G182" s="50"/>
      <c r="H182" s="50"/>
      <c r="I182" s="50"/>
      <c r="J182" s="50"/>
      <c r="K182" s="50"/>
      <c r="L182" s="50"/>
      <c r="M182" s="50"/>
      <c r="N182" s="50"/>
      <c r="O182" s="50"/>
      <c r="P182" s="50"/>
      <c r="Q182" s="50"/>
      <c r="R182" s="50"/>
      <c r="S182" s="50"/>
      <c r="T182" s="50"/>
      <c r="U182" s="50"/>
      <c r="V182" s="50"/>
      <c r="W182" s="50"/>
      <c r="X182" s="50"/>
      <c r="Y182" s="50"/>
      <c r="Z182" s="50"/>
      <c r="AA182" s="50"/>
      <c r="AB182" s="50"/>
    </row>
    <row r="183">
      <c r="A183" s="49"/>
      <c r="B183" s="49"/>
      <c r="C183" s="50"/>
      <c r="D183" s="50"/>
      <c r="E183" s="50"/>
      <c r="F183" s="50"/>
      <c r="G183" s="50"/>
      <c r="H183" s="50"/>
      <c r="I183" s="50"/>
      <c r="J183" s="50"/>
      <c r="K183" s="50"/>
      <c r="L183" s="50"/>
      <c r="M183" s="50"/>
      <c r="N183" s="50"/>
      <c r="O183" s="50"/>
      <c r="P183" s="50"/>
      <c r="Q183" s="50"/>
      <c r="R183" s="50"/>
      <c r="S183" s="50"/>
      <c r="T183" s="50"/>
      <c r="U183" s="50"/>
      <c r="V183" s="50"/>
      <c r="W183" s="50"/>
      <c r="X183" s="50"/>
      <c r="Y183" s="50"/>
      <c r="Z183" s="50"/>
      <c r="AA183" s="50"/>
      <c r="AB183" s="50"/>
    </row>
    <row r="184">
      <c r="A184" s="49"/>
      <c r="B184" s="49"/>
      <c r="C184" s="50"/>
      <c r="D184" s="50"/>
      <c r="E184" s="50"/>
      <c r="F184" s="50"/>
      <c r="G184" s="50"/>
      <c r="H184" s="50"/>
      <c r="I184" s="50"/>
      <c r="J184" s="50"/>
      <c r="K184" s="50"/>
      <c r="L184" s="50"/>
      <c r="M184" s="50"/>
      <c r="N184" s="50"/>
      <c r="O184" s="50"/>
      <c r="P184" s="50"/>
      <c r="Q184" s="50"/>
      <c r="R184" s="50"/>
      <c r="S184" s="50"/>
      <c r="T184" s="50"/>
      <c r="U184" s="50"/>
      <c r="V184" s="50"/>
      <c r="W184" s="50"/>
      <c r="X184" s="50"/>
      <c r="Y184" s="50"/>
      <c r="Z184" s="50"/>
      <c r="AA184" s="50"/>
      <c r="AB184" s="50"/>
    </row>
    <row r="185">
      <c r="A185" s="49"/>
      <c r="B185" s="49"/>
      <c r="C185" s="50"/>
      <c r="D185" s="50"/>
      <c r="E185" s="50"/>
      <c r="F185" s="50"/>
      <c r="G185" s="50"/>
      <c r="H185" s="50"/>
      <c r="I185" s="50"/>
      <c r="J185" s="50"/>
      <c r="K185" s="50"/>
      <c r="L185" s="50"/>
      <c r="M185" s="50"/>
      <c r="N185" s="50"/>
      <c r="O185" s="50"/>
      <c r="P185" s="50"/>
      <c r="Q185" s="50"/>
      <c r="R185" s="50"/>
      <c r="S185" s="50"/>
      <c r="T185" s="50"/>
      <c r="U185" s="50"/>
      <c r="V185" s="50"/>
      <c r="W185" s="50"/>
      <c r="X185" s="50"/>
      <c r="Y185" s="50"/>
      <c r="Z185" s="50"/>
      <c r="AA185" s="50"/>
      <c r="AB185" s="50"/>
    </row>
    <row r="186">
      <c r="A186" s="49"/>
      <c r="B186" s="49"/>
      <c r="C186" s="50"/>
      <c r="D186" s="50"/>
      <c r="E186" s="50"/>
      <c r="F186" s="50"/>
      <c r="G186" s="50"/>
      <c r="H186" s="50"/>
      <c r="I186" s="50"/>
      <c r="J186" s="50"/>
      <c r="K186" s="50"/>
      <c r="L186" s="50"/>
      <c r="M186" s="50"/>
      <c r="N186" s="50"/>
      <c r="O186" s="50"/>
      <c r="P186" s="50"/>
      <c r="Q186" s="50"/>
      <c r="R186" s="50"/>
      <c r="S186" s="50"/>
      <c r="T186" s="50"/>
      <c r="U186" s="50"/>
      <c r="V186" s="50"/>
      <c r="W186" s="50"/>
      <c r="X186" s="50"/>
      <c r="Y186" s="50"/>
      <c r="Z186" s="50"/>
      <c r="AA186" s="50"/>
      <c r="AB186" s="50"/>
    </row>
    <row r="187">
      <c r="A187" s="49"/>
      <c r="B187" s="49"/>
      <c r="C187" s="50"/>
      <c r="D187" s="50"/>
      <c r="E187" s="50"/>
      <c r="F187" s="50"/>
      <c r="G187" s="50"/>
      <c r="H187" s="50"/>
      <c r="I187" s="50"/>
      <c r="J187" s="50"/>
      <c r="K187" s="50"/>
      <c r="L187" s="50"/>
      <c r="M187" s="50"/>
      <c r="N187" s="50"/>
      <c r="O187" s="50"/>
      <c r="P187" s="50"/>
      <c r="Q187" s="50"/>
      <c r="R187" s="50"/>
      <c r="S187" s="50"/>
      <c r="T187" s="50"/>
      <c r="U187" s="50"/>
      <c r="V187" s="50"/>
      <c r="W187" s="50"/>
      <c r="X187" s="50"/>
      <c r="Y187" s="50"/>
      <c r="Z187" s="50"/>
      <c r="AA187" s="50"/>
      <c r="AB187" s="50"/>
    </row>
    <row r="188">
      <c r="A188" s="49"/>
      <c r="B188" s="49"/>
      <c r="C188" s="50"/>
      <c r="D188" s="50"/>
      <c r="E188" s="50"/>
      <c r="F188" s="50"/>
      <c r="G188" s="50"/>
      <c r="H188" s="50"/>
      <c r="I188" s="50"/>
      <c r="J188" s="50"/>
      <c r="K188" s="50"/>
      <c r="L188" s="50"/>
      <c r="M188" s="50"/>
      <c r="N188" s="50"/>
      <c r="O188" s="50"/>
      <c r="P188" s="50"/>
      <c r="Q188" s="50"/>
      <c r="R188" s="50"/>
      <c r="S188" s="50"/>
      <c r="T188" s="50"/>
      <c r="U188" s="50"/>
      <c r="V188" s="50"/>
      <c r="W188" s="50"/>
      <c r="X188" s="50"/>
      <c r="Y188" s="50"/>
      <c r="Z188" s="50"/>
      <c r="AA188" s="50"/>
      <c r="AB188" s="50"/>
    </row>
    <row r="189">
      <c r="A189" s="49"/>
      <c r="B189" s="49"/>
      <c r="C189" s="50"/>
      <c r="D189" s="50"/>
      <c r="E189" s="50"/>
      <c r="F189" s="50"/>
      <c r="G189" s="50"/>
      <c r="H189" s="50"/>
      <c r="I189" s="50"/>
      <c r="J189" s="50"/>
      <c r="K189" s="50"/>
      <c r="L189" s="50"/>
      <c r="M189" s="50"/>
      <c r="N189" s="50"/>
      <c r="O189" s="50"/>
      <c r="P189" s="50"/>
      <c r="Q189" s="50"/>
      <c r="R189" s="50"/>
      <c r="S189" s="50"/>
      <c r="T189" s="50"/>
      <c r="U189" s="50"/>
      <c r="V189" s="50"/>
      <c r="W189" s="50"/>
      <c r="X189" s="50"/>
      <c r="Y189" s="50"/>
      <c r="Z189" s="50"/>
      <c r="AA189" s="50"/>
      <c r="AB189" s="50"/>
    </row>
    <row r="190">
      <c r="A190" s="49"/>
      <c r="B190" s="49"/>
      <c r="C190" s="50"/>
      <c r="D190" s="50"/>
      <c r="E190" s="50"/>
      <c r="F190" s="50"/>
      <c r="G190" s="50"/>
      <c r="H190" s="50"/>
      <c r="I190" s="50"/>
      <c r="J190" s="50"/>
      <c r="K190" s="50"/>
      <c r="L190" s="50"/>
      <c r="M190" s="50"/>
      <c r="N190" s="50"/>
      <c r="O190" s="50"/>
      <c r="P190" s="50"/>
      <c r="Q190" s="50"/>
      <c r="R190" s="50"/>
      <c r="S190" s="50"/>
      <c r="T190" s="50"/>
      <c r="U190" s="50"/>
      <c r="V190" s="50"/>
      <c r="W190" s="50"/>
      <c r="X190" s="50"/>
      <c r="Y190" s="50"/>
      <c r="Z190" s="50"/>
      <c r="AA190" s="50"/>
      <c r="AB190" s="50"/>
    </row>
    <row r="191">
      <c r="A191" s="49"/>
      <c r="B191" s="49"/>
      <c r="C191" s="50"/>
      <c r="D191" s="50"/>
      <c r="E191" s="50"/>
      <c r="F191" s="50"/>
      <c r="G191" s="50"/>
      <c r="H191" s="50"/>
      <c r="I191" s="50"/>
      <c r="J191" s="50"/>
      <c r="K191" s="50"/>
      <c r="L191" s="50"/>
      <c r="M191" s="50"/>
      <c r="N191" s="50"/>
      <c r="O191" s="50"/>
      <c r="P191" s="50"/>
      <c r="Q191" s="50"/>
      <c r="R191" s="50"/>
      <c r="S191" s="50"/>
      <c r="T191" s="50"/>
      <c r="U191" s="50"/>
      <c r="V191" s="50"/>
      <c r="W191" s="50"/>
      <c r="X191" s="50"/>
      <c r="Y191" s="50"/>
      <c r="Z191" s="50"/>
      <c r="AA191" s="50"/>
      <c r="AB191" s="50"/>
    </row>
    <row r="192">
      <c r="A192" s="49"/>
      <c r="B192" s="49"/>
      <c r="C192" s="50"/>
      <c r="D192" s="50"/>
      <c r="E192" s="50"/>
      <c r="F192" s="50"/>
      <c r="G192" s="50"/>
      <c r="H192" s="50"/>
      <c r="I192" s="50"/>
      <c r="J192" s="50"/>
      <c r="K192" s="50"/>
      <c r="L192" s="50"/>
      <c r="M192" s="50"/>
      <c r="N192" s="50"/>
      <c r="O192" s="50"/>
      <c r="P192" s="50"/>
      <c r="Q192" s="50"/>
      <c r="R192" s="50"/>
      <c r="S192" s="50"/>
      <c r="T192" s="50"/>
      <c r="U192" s="50"/>
      <c r="V192" s="50"/>
      <c r="W192" s="50"/>
      <c r="X192" s="50"/>
      <c r="Y192" s="50"/>
      <c r="Z192" s="50"/>
      <c r="AA192" s="50"/>
      <c r="AB192" s="50"/>
    </row>
    <row r="193">
      <c r="A193" s="49"/>
      <c r="B193" s="49"/>
      <c r="C193" s="50"/>
      <c r="D193" s="50"/>
      <c r="E193" s="50"/>
      <c r="F193" s="50"/>
      <c r="G193" s="50"/>
      <c r="H193" s="50"/>
      <c r="I193" s="50"/>
      <c r="J193" s="50"/>
      <c r="K193" s="50"/>
      <c r="L193" s="50"/>
      <c r="M193" s="50"/>
      <c r="N193" s="50"/>
      <c r="O193" s="50"/>
      <c r="P193" s="50"/>
      <c r="Q193" s="50"/>
      <c r="R193" s="50"/>
      <c r="S193" s="50"/>
      <c r="T193" s="50"/>
      <c r="U193" s="50"/>
      <c r="V193" s="50"/>
      <c r="W193" s="50"/>
      <c r="X193" s="50"/>
      <c r="Y193" s="50"/>
      <c r="Z193" s="50"/>
      <c r="AA193" s="50"/>
      <c r="AB193" s="50"/>
    </row>
    <row r="194">
      <c r="A194" s="49"/>
      <c r="B194" s="49"/>
      <c r="C194" s="50"/>
      <c r="D194" s="50"/>
      <c r="E194" s="50"/>
      <c r="F194" s="50"/>
      <c r="G194" s="50"/>
      <c r="H194" s="50"/>
      <c r="I194" s="50"/>
      <c r="J194" s="50"/>
      <c r="K194" s="50"/>
      <c r="L194" s="50"/>
      <c r="M194" s="50"/>
      <c r="N194" s="50"/>
      <c r="O194" s="50"/>
      <c r="P194" s="50"/>
      <c r="Q194" s="50"/>
      <c r="R194" s="50"/>
      <c r="S194" s="50"/>
      <c r="T194" s="50"/>
      <c r="U194" s="50"/>
      <c r="V194" s="50"/>
      <c r="W194" s="50"/>
      <c r="X194" s="50"/>
      <c r="Y194" s="50"/>
      <c r="Z194" s="50"/>
      <c r="AA194" s="50"/>
      <c r="AB194" s="50"/>
    </row>
    <row r="195">
      <c r="A195" s="49"/>
      <c r="B195" s="49"/>
      <c r="C195" s="50"/>
      <c r="D195" s="50"/>
      <c r="E195" s="50"/>
      <c r="F195" s="50"/>
      <c r="G195" s="50"/>
      <c r="H195" s="50"/>
      <c r="I195" s="50"/>
      <c r="J195" s="50"/>
      <c r="K195" s="50"/>
      <c r="L195" s="50"/>
      <c r="M195" s="50"/>
      <c r="N195" s="50"/>
      <c r="O195" s="50"/>
      <c r="P195" s="50"/>
      <c r="Q195" s="50"/>
      <c r="R195" s="50"/>
      <c r="S195" s="50"/>
      <c r="T195" s="50"/>
      <c r="U195" s="50"/>
      <c r="V195" s="50"/>
      <c r="W195" s="50"/>
      <c r="X195" s="50"/>
      <c r="Y195" s="50"/>
      <c r="Z195" s="50"/>
      <c r="AA195" s="50"/>
      <c r="AB195" s="50"/>
    </row>
    <row r="196">
      <c r="A196" s="49"/>
      <c r="B196" s="49"/>
      <c r="C196" s="50"/>
      <c r="D196" s="50"/>
      <c r="E196" s="50"/>
      <c r="F196" s="50"/>
      <c r="G196" s="50"/>
      <c r="H196" s="50"/>
      <c r="I196" s="50"/>
      <c r="J196" s="50"/>
      <c r="K196" s="50"/>
      <c r="L196" s="50"/>
      <c r="M196" s="50"/>
      <c r="N196" s="50"/>
      <c r="O196" s="50"/>
      <c r="P196" s="50"/>
      <c r="Q196" s="50"/>
      <c r="R196" s="50"/>
      <c r="S196" s="50"/>
      <c r="T196" s="50"/>
      <c r="U196" s="50"/>
      <c r="V196" s="50"/>
      <c r="W196" s="50"/>
      <c r="X196" s="50"/>
      <c r="Y196" s="50"/>
      <c r="Z196" s="50"/>
      <c r="AA196" s="50"/>
      <c r="AB196" s="50"/>
    </row>
    <row r="197">
      <c r="A197" s="49"/>
      <c r="B197" s="49"/>
      <c r="C197" s="50"/>
      <c r="D197" s="50"/>
      <c r="E197" s="50"/>
      <c r="F197" s="50"/>
      <c r="G197" s="50"/>
      <c r="H197" s="50"/>
      <c r="I197" s="50"/>
      <c r="J197" s="50"/>
      <c r="K197" s="50"/>
      <c r="L197" s="50"/>
      <c r="M197" s="50"/>
      <c r="N197" s="50"/>
      <c r="O197" s="50"/>
      <c r="P197" s="50"/>
      <c r="Q197" s="50"/>
      <c r="R197" s="50"/>
      <c r="S197" s="50"/>
      <c r="T197" s="50"/>
      <c r="U197" s="50"/>
      <c r="V197" s="50"/>
      <c r="W197" s="50"/>
      <c r="X197" s="50"/>
      <c r="Y197" s="50"/>
      <c r="Z197" s="50"/>
      <c r="AA197" s="50"/>
      <c r="AB197" s="50"/>
    </row>
    <row r="198">
      <c r="A198" s="49"/>
      <c r="B198" s="49"/>
      <c r="C198" s="50"/>
      <c r="D198" s="50"/>
      <c r="E198" s="50"/>
      <c r="F198" s="50"/>
      <c r="G198" s="50"/>
      <c r="H198" s="50"/>
      <c r="I198" s="50"/>
      <c r="J198" s="50"/>
      <c r="K198" s="50"/>
      <c r="L198" s="50"/>
      <c r="M198" s="50"/>
      <c r="N198" s="50"/>
      <c r="O198" s="50"/>
      <c r="P198" s="50"/>
      <c r="Q198" s="50"/>
      <c r="R198" s="50"/>
      <c r="S198" s="50"/>
      <c r="T198" s="50"/>
      <c r="U198" s="50"/>
      <c r="V198" s="50"/>
      <c r="W198" s="50"/>
      <c r="X198" s="50"/>
      <c r="Y198" s="50"/>
      <c r="Z198" s="50"/>
      <c r="AA198" s="50"/>
      <c r="AB198" s="50"/>
    </row>
    <row r="199">
      <c r="A199" s="49"/>
      <c r="B199" s="49"/>
      <c r="C199" s="50"/>
      <c r="D199" s="50"/>
      <c r="E199" s="50"/>
      <c r="F199" s="50"/>
      <c r="G199" s="50"/>
      <c r="H199" s="50"/>
      <c r="I199" s="50"/>
      <c r="J199" s="50"/>
      <c r="K199" s="50"/>
      <c r="L199" s="50"/>
      <c r="M199" s="50"/>
      <c r="N199" s="50"/>
      <c r="O199" s="50"/>
      <c r="P199" s="50"/>
      <c r="Q199" s="50"/>
      <c r="R199" s="50"/>
      <c r="S199" s="50"/>
      <c r="T199" s="50"/>
      <c r="U199" s="50"/>
      <c r="V199" s="50"/>
      <c r="W199" s="50"/>
      <c r="X199" s="50"/>
      <c r="Y199" s="50"/>
      <c r="Z199" s="50"/>
      <c r="AA199" s="50"/>
      <c r="AB199" s="50"/>
    </row>
    <row r="200">
      <c r="A200" s="49"/>
      <c r="B200" s="49"/>
      <c r="C200" s="50"/>
      <c r="D200" s="50"/>
      <c r="E200" s="50"/>
      <c r="F200" s="50"/>
      <c r="G200" s="50"/>
      <c r="H200" s="50"/>
      <c r="I200" s="50"/>
      <c r="J200" s="50"/>
      <c r="K200" s="50"/>
      <c r="L200" s="50"/>
      <c r="M200" s="50"/>
      <c r="N200" s="50"/>
      <c r="O200" s="50"/>
      <c r="P200" s="50"/>
      <c r="Q200" s="50"/>
      <c r="R200" s="50"/>
      <c r="S200" s="50"/>
      <c r="T200" s="50"/>
      <c r="U200" s="50"/>
      <c r="V200" s="50"/>
      <c r="W200" s="50"/>
      <c r="X200" s="50"/>
      <c r="Y200" s="50"/>
      <c r="Z200" s="50"/>
      <c r="AA200" s="50"/>
      <c r="AB200" s="50"/>
    </row>
    <row r="201">
      <c r="A201" s="49"/>
      <c r="B201" s="49"/>
      <c r="C201" s="50"/>
      <c r="D201" s="50"/>
      <c r="E201" s="50"/>
      <c r="F201" s="50"/>
      <c r="G201" s="50"/>
      <c r="H201" s="50"/>
      <c r="I201" s="50"/>
      <c r="J201" s="50"/>
      <c r="K201" s="50"/>
      <c r="L201" s="50"/>
      <c r="M201" s="50"/>
      <c r="N201" s="50"/>
      <c r="O201" s="50"/>
      <c r="P201" s="50"/>
      <c r="Q201" s="50"/>
      <c r="R201" s="50"/>
      <c r="S201" s="50"/>
      <c r="T201" s="50"/>
      <c r="U201" s="50"/>
      <c r="V201" s="50"/>
      <c r="W201" s="50"/>
      <c r="X201" s="50"/>
      <c r="Y201" s="50"/>
      <c r="Z201" s="50"/>
      <c r="AA201" s="50"/>
      <c r="AB201" s="50"/>
    </row>
    <row r="202">
      <c r="A202" s="49"/>
      <c r="B202" s="49"/>
      <c r="C202" s="50"/>
      <c r="D202" s="50"/>
      <c r="E202" s="50"/>
      <c r="F202" s="50"/>
      <c r="G202" s="50"/>
      <c r="H202" s="50"/>
      <c r="I202" s="50"/>
      <c r="J202" s="50"/>
      <c r="K202" s="50"/>
      <c r="L202" s="50"/>
      <c r="M202" s="50"/>
      <c r="N202" s="50"/>
      <c r="O202" s="50"/>
      <c r="P202" s="50"/>
      <c r="Q202" s="50"/>
      <c r="R202" s="50"/>
      <c r="S202" s="50"/>
      <c r="T202" s="50"/>
      <c r="U202" s="50"/>
      <c r="V202" s="50"/>
      <c r="W202" s="50"/>
      <c r="X202" s="50"/>
      <c r="Y202" s="50"/>
      <c r="Z202" s="50"/>
      <c r="AA202" s="50"/>
      <c r="AB202" s="50"/>
    </row>
    <row r="203">
      <c r="A203" s="49"/>
      <c r="B203" s="49"/>
      <c r="C203" s="50"/>
      <c r="D203" s="50"/>
      <c r="E203" s="50"/>
      <c r="F203" s="50"/>
      <c r="G203" s="50"/>
      <c r="H203" s="50"/>
      <c r="I203" s="50"/>
      <c r="J203" s="50"/>
      <c r="K203" s="50"/>
      <c r="L203" s="50"/>
      <c r="M203" s="50"/>
      <c r="N203" s="50"/>
      <c r="O203" s="50"/>
      <c r="P203" s="50"/>
      <c r="Q203" s="50"/>
      <c r="R203" s="50"/>
      <c r="S203" s="50"/>
      <c r="T203" s="50"/>
      <c r="U203" s="50"/>
      <c r="V203" s="50"/>
      <c r="W203" s="50"/>
      <c r="X203" s="50"/>
      <c r="Y203" s="50"/>
      <c r="Z203" s="50"/>
      <c r="AA203" s="50"/>
      <c r="AB203" s="50"/>
    </row>
    <row r="204">
      <c r="A204" s="49"/>
      <c r="B204" s="49"/>
      <c r="C204" s="50"/>
      <c r="D204" s="50"/>
      <c r="E204" s="50"/>
      <c r="F204" s="50"/>
      <c r="G204" s="50"/>
      <c r="H204" s="50"/>
      <c r="I204" s="50"/>
      <c r="J204" s="50"/>
      <c r="K204" s="50"/>
      <c r="L204" s="50"/>
      <c r="M204" s="50"/>
      <c r="N204" s="50"/>
      <c r="O204" s="50"/>
      <c r="P204" s="50"/>
      <c r="Q204" s="50"/>
      <c r="R204" s="50"/>
      <c r="S204" s="50"/>
      <c r="T204" s="50"/>
      <c r="U204" s="50"/>
      <c r="V204" s="50"/>
      <c r="W204" s="50"/>
      <c r="X204" s="50"/>
      <c r="Y204" s="50"/>
      <c r="Z204" s="50"/>
      <c r="AA204" s="50"/>
      <c r="AB204" s="50"/>
    </row>
    <row r="205">
      <c r="A205" s="49"/>
      <c r="B205" s="49"/>
      <c r="C205" s="50"/>
      <c r="D205" s="50"/>
      <c r="E205" s="50"/>
      <c r="F205" s="50"/>
      <c r="G205" s="50"/>
      <c r="H205" s="50"/>
      <c r="I205" s="50"/>
      <c r="J205" s="50"/>
      <c r="K205" s="50"/>
      <c r="L205" s="50"/>
      <c r="M205" s="50"/>
      <c r="N205" s="50"/>
      <c r="O205" s="50"/>
      <c r="P205" s="50"/>
      <c r="Q205" s="50"/>
      <c r="R205" s="50"/>
      <c r="S205" s="50"/>
      <c r="T205" s="50"/>
      <c r="U205" s="50"/>
      <c r="V205" s="50"/>
      <c r="W205" s="50"/>
      <c r="X205" s="50"/>
      <c r="Y205" s="50"/>
      <c r="Z205" s="50"/>
      <c r="AA205" s="50"/>
      <c r="AB205" s="50"/>
    </row>
    <row r="206">
      <c r="A206" s="49"/>
      <c r="B206" s="49"/>
      <c r="C206" s="50"/>
      <c r="D206" s="50"/>
      <c r="E206" s="50"/>
      <c r="F206" s="50"/>
      <c r="G206" s="50"/>
      <c r="H206" s="50"/>
      <c r="I206" s="50"/>
      <c r="J206" s="50"/>
      <c r="K206" s="50"/>
      <c r="L206" s="50"/>
      <c r="M206" s="50"/>
      <c r="N206" s="50"/>
      <c r="O206" s="50"/>
      <c r="P206" s="50"/>
      <c r="Q206" s="50"/>
      <c r="R206" s="50"/>
      <c r="S206" s="50"/>
      <c r="T206" s="50"/>
      <c r="U206" s="50"/>
      <c r="V206" s="50"/>
      <c r="W206" s="50"/>
      <c r="X206" s="50"/>
      <c r="Y206" s="50"/>
      <c r="Z206" s="50"/>
      <c r="AA206" s="50"/>
      <c r="AB206" s="50"/>
    </row>
    <row r="207">
      <c r="A207" s="49"/>
      <c r="B207" s="49"/>
      <c r="C207" s="50"/>
      <c r="D207" s="50"/>
      <c r="E207" s="50"/>
      <c r="F207" s="50"/>
      <c r="G207" s="50"/>
      <c r="H207" s="50"/>
      <c r="I207" s="50"/>
      <c r="J207" s="50"/>
      <c r="K207" s="50"/>
      <c r="L207" s="50"/>
      <c r="M207" s="50"/>
      <c r="N207" s="50"/>
      <c r="O207" s="50"/>
      <c r="P207" s="50"/>
      <c r="Q207" s="50"/>
      <c r="R207" s="50"/>
      <c r="S207" s="50"/>
      <c r="T207" s="50"/>
      <c r="U207" s="50"/>
      <c r="V207" s="50"/>
      <c r="W207" s="50"/>
      <c r="X207" s="50"/>
      <c r="Y207" s="50"/>
      <c r="Z207" s="50"/>
      <c r="AA207" s="50"/>
      <c r="AB207" s="50"/>
    </row>
    <row r="208">
      <c r="A208" s="49"/>
      <c r="B208" s="49"/>
      <c r="C208" s="50"/>
      <c r="D208" s="50"/>
      <c r="E208" s="50"/>
      <c r="F208" s="50"/>
      <c r="G208" s="50"/>
      <c r="H208" s="50"/>
      <c r="I208" s="50"/>
      <c r="J208" s="50"/>
      <c r="K208" s="50"/>
      <c r="L208" s="50"/>
      <c r="M208" s="50"/>
      <c r="N208" s="50"/>
      <c r="O208" s="50"/>
      <c r="P208" s="50"/>
      <c r="Q208" s="50"/>
      <c r="R208" s="50"/>
      <c r="S208" s="50"/>
      <c r="T208" s="50"/>
      <c r="U208" s="50"/>
      <c r="V208" s="50"/>
      <c r="W208" s="50"/>
      <c r="X208" s="50"/>
      <c r="Y208" s="50"/>
      <c r="Z208" s="50"/>
      <c r="AA208" s="50"/>
      <c r="AB208" s="50"/>
    </row>
    <row r="209">
      <c r="A209" s="49"/>
      <c r="B209" s="49"/>
      <c r="C209" s="50"/>
      <c r="D209" s="50"/>
      <c r="E209" s="50"/>
      <c r="F209" s="50"/>
      <c r="G209" s="50"/>
      <c r="H209" s="50"/>
      <c r="I209" s="50"/>
      <c r="J209" s="50"/>
      <c r="K209" s="50"/>
      <c r="L209" s="50"/>
      <c r="M209" s="50"/>
      <c r="N209" s="50"/>
      <c r="O209" s="50"/>
      <c r="P209" s="50"/>
      <c r="Q209" s="50"/>
      <c r="R209" s="50"/>
      <c r="S209" s="50"/>
      <c r="T209" s="50"/>
      <c r="U209" s="50"/>
      <c r="V209" s="50"/>
      <c r="W209" s="50"/>
      <c r="X209" s="50"/>
      <c r="Y209" s="50"/>
      <c r="Z209" s="50"/>
      <c r="AA209" s="50"/>
      <c r="AB209" s="50"/>
    </row>
    <row r="210">
      <c r="A210" s="49"/>
      <c r="B210" s="49"/>
      <c r="C210" s="50"/>
      <c r="D210" s="50"/>
      <c r="E210" s="50"/>
      <c r="F210" s="50"/>
      <c r="G210" s="50"/>
      <c r="H210" s="50"/>
      <c r="I210" s="50"/>
      <c r="J210" s="50"/>
      <c r="K210" s="50"/>
      <c r="L210" s="50"/>
      <c r="M210" s="50"/>
      <c r="N210" s="50"/>
      <c r="O210" s="50"/>
      <c r="P210" s="50"/>
      <c r="Q210" s="50"/>
      <c r="R210" s="50"/>
      <c r="S210" s="50"/>
      <c r="T210" s="50"/>
      <c r="U210" s="50"/>
      <c r="V210" s="50"/>
      <c r="W210" s="50"/>
      <c r="X210" s="50"/>
      <c r="Y210" s="50"/>
      <c r="Z210" s="50"/>
      <c r="AA210" s="50"/>
      <c r="AB210" s="50"/>
    </row>
    <row r="211">
      <c r="A211" s="49"/>
      <c r="B211" s="49"/>
      <c r="C211" s="50"/>
      <c r="D211" s="50"/>
      <c r="E211" s="50"/>
      <c r="F211" s="50"/>
      <c r="G211" s="50"/>
      <c r="H211" s="50"/>
      <c r="I211" s="50"/>
      <c r="J211" s="50"/>
      <c r="K211" s="50"/>
      <c r="L211" s="50"/>
      <c r="M211" s="50"/>
      <c r="N211" s="50"/>
      <c r="O211" s="50"/>
      <c r="P211" s="50"/>
      <c r="Q211" s="50"/>
      <c r="R211" s="50"/>
      <c r="S211" s="50"/>
      <c r="T211" s="50"/>
      <c r="U211" s="50"/>
      <c r="V211" s="50"/>
      <c r="W211" s="50"/>
      <c r="X211" s="50"/>
      <c r="Y211" s="50"/>
      <c r="Z211" s="50"/>
      <c r="AA211" s="50"/>
      <c r="AB211" s="50"/>
    </row>
    <row r="212">
      <c r="A212" s="49"/>
      <c r="B212" s="49"/>
      <c r="C212" s="50"/>
      <c r="D212" s="50"/>
      <c r="E212" s="50"/>
      <c r="F212" s="50"/>
      <c r="G212" s="50"/>
      <c r="H212" s="50"/>
      <c r="I212" s="50"/>
      <c r="J212" s="50"/>
      <c r="K212" s="50"/>
      <c r="L212" s="50"/>
      <c r="M212" s="50"/>
      <c r="N212" s="50"/>
      <c r="O212" s="50"/>
      <c r="P212" s="50"/>
      <c r="Q212" s="50"/>
      <c r="R212" s="50"/>
      <c r="S212" s="50"/>
      <c r="T212" s="50"/>
      <c r="U212" s="50"/>
      <c r="V212" s="50"/>
      <c r="W212" s="50"/>
      <c r="X212" s="50"/>
      <c r="Y212" s="50"/>
      <c r="Z212" s="50"/>
      <c r="AA212" s="50"/>
      <c r="AB212" s="50"/>
    </row>
    <row r="213">
      <c r="A213" s="49"/>
      <c r="B213" s="49"/>
      <c r="C213" s="50"/>
      <c r="D213" s="50"/>
      <c r="E213" s="50"/>
      <c r="F213" s="50"/>
      <c r="G213" s="50"/>
      <c r="H213" s="50"/>
      <c r="I213" s="50"/>
      <c r="J213" s="50"/>
      <c r="K213" s="50"/>
      <c r="L213" s="50"/>
      <c r="M213" s="50"/>
      <c r="N213" s="50"/>
      <c r="O213" s="50"/>
      <c r="P213" s="50"/>
      <c r="Q213" s="50"/>
      <c r="R213" s="50"/>
      <c r="S213" s="50"/>
      <c r="T213" s="50"/>
      <c r="U213" s="50"/>
      <c r="V213" s="50"/>
      <c r="W213" s="50"/>
      <c r="X213" s="50"/>
      <c r="Y213" s="50"/>
      <c r="Z213" s="50"/>
      <c r="AA213" s="50"/>
      <c r="AB213" s="50"/>
    </row>
    <row r="214">
      <c r="A214" s="49"/>
      <c r="B214" s="49"/>
      <c r="C214" s="50"/>
      <c r="D214" s="50"/>
      <c r="E214" s="50"/>
      <c r="F214" s="50"/>
      <c r="G214" s="50"/>
      <c r="H214" s="50"/>
      <c r="I214" s="50"/>
      <c r="J214" s="50"/>
      <c r="K214" s="50"/>
      <c r="L214" s="50"/>
      <c r="M214" s="50"/>
      <c r="N214" s="50"/>
      <c r="O214" s="50"/>
      <c r="P214" s="50"/>
      <c r="Q214" s="50"/>
      <c r="R214" s="50"/>
      <c r="S214" s="50"/>
      <c r="T214" s="50"/>
      <c r="U214" s="50"/>
      <c r="V214" s="50"/>
      <c r="W214" s="50"/>
      <c r="X214" s="50"/>
      <c r="Y214" s="50"/>
      <c r="Z214" s="50"/>
      <c r="AA214" s="50"/>
      <c r="AB214" s="50"/>
    </row>
    <row r="215">
      <c r="A215" s="49"/>
      <c r="B215" s="49"/>
      <c r="C215" s="50"/>
      <c r="D215" s="50"/>
      <c r="E215" s="50"/>
      <c r="F215" s="50"/>
      <c r="G215" s="50"/>
      <c r="H215" s="50"/>
      <c r="I215" s="50"/>
      <c r="J215" s="50"/>
      <c r="K215" s="50"/>
      <c r="L215" s="50"/>
      <c r="M215" s="50"/>
      <c r="N215" s="50"/>
      <c r="O215" s="50"/>
      <c r="P215" s="50"/>
      <c r="Q215" s="50"/>
      <c r="R215" s="50"/>
      <c r="S215" s="50"/>
      <c r="T215" s="50"/>
      <c r="U215" s="50"/>
      <c r="V215" s="50"/>
      <c r="W215" s="50"/>
      <c r="X215" s="50"/>
      <c r="Y215" s="50"/>
      <c r="Z215" s="50"/>
      <c r="AA215" s="50"/>
      <c r="AB215" s="50"/>
    </row>
    <row r="216">
      <c r="A216" s="49"/>
      <c r="B216" s="49"/>
      <c r="C216" s="50"/>
      <c r="D216" s="50"/>
      <c r="E216" s="50"/>
      <c r="F216" s="50"/>
      <c r="G216" s="50"/>
      <c r="H216" s="50"/>
      <c r="I216" s="50"/>
      <c r="J216" s="50"/>
      <c r="K216" s="50"/>
      <c r="L216" s="50"/>
      <c r="M216" s="50"/>
      <c r="N216" s="50"/>
      <c r="O216" s="50"/>
      <c r="P216" s="50"/>
      <c r="Q216" s="50"/>
      <c r="R216" s="50"/>
      <c r="S216" s="50"/>
      <c r="T216" s="50"/>
      <c r="U216" s="50"/>
      <c r="V216" s="50"/>
      <c r="W216" s="50"/>
      <c r="X216" s="50"/>
      <c r="Y216" s="50"/>
      <c r="Z216" s="50"/>
      <c r="AA216" s="50"/>
      <c r="AB216" s="50"/>
    </row>
    <row r="217">
      <c r="A217" s="49"/>
      <c r="B217" s="49"/>
      <c r="C217" s="50"/>
      <c r="D217" s="50"/>
      <c r="E217" s="50"/>
      <c r="F217" s="50"/>
      <c r="G217" s="50"/>
      <c r="H217" s="50"/>
      <c r="I217" s="50"/>
      <c r="J217" s="50"/>
      <c r="K217" s="50"/>
      <c r="L217" s="50"/>
      <c r="M217" s="50"/>
      <c r="N217" s="50"/>
      <c r="O217" s="50"/>
      <c r="P217" s="50"/>
      <c r="Q217" s="50"/>
      <c r="R217" s="50"/>
      <c r="S217" s="50"/>
      <c r="T217" s="50"/>
      <c r="U217" s="50"/>
      <c r="V217" s="50"/>
      <c r="W217" s="50"/>
      <c r="X217" s="50"/>
      <c r="Y217" s="50"/>
      <c r="Z217" s="50"/>
      <c r="AA217" s="50"/>
      <c r="AB217" s="50"/>
    </row>
    <row r="218">
      <c r="A218" s="49"/>
      <c r="B218" s="49"/>
      <c r="C218" s="50"/>
      <c r="D218" s="50"/>
      <c r="E218" s="50"/>
      <c r="F218" s="50"/>
      <c r="G218" s="50"/>
      <c r="H218" s="50"/>
      <c r="I218" s="50"/>
      <c r="J218" s="50"/>
      <c r="K218" s="50"/>
      <c r="L218" s="50"/>
      <c r="M218" s="50"/>
      <c r="N218" s="50"/>
      <c r="O218" s="50"/>
      <c r="P218" s="50"/>
      <c r="Q218" s="50"/>
      <c r="R218" s="50"/>
      <c r="S218" s="50"/>
      <c r="T218" s="50"/>
      <c r="U218" s="50"/>
      <c r="V218" s="50"/>
      <c r="W218" s="50"/>
      <c r="X218" s="50"/>
      <c r="Y218" s="50"/>
      <c r="Z218" s="50"/>
      <c r="AA218" s="50"/>
      <c r="AB218" s="50"/>
    </row>
    <row r="219">
      <c r="A219" s="49"/>
      <c r="B219" s="49"/>
      <c r="C219" s="50"/>
      <c r="D219" s="50"/>
      <c r="E219" s="50"/>
      <c r="F219" s="50"/>
      <c r="G219" s="50"/>
      <c r="H219" s="50"/>
      <c r="I219" s="50"/>
      <c r="J219" s="50"/>
      <c r="K219" s="50"/>
      <c r="L219" s="50"/>
      <c r="M219" s="50"/>
      <c r="N219" s="50"/>
      <c r="O219" s="50"/>
      <c r="P219" s="50"/>
      <c r="Q219" s="50"/>
      <c r="R219" s="50"/>
      <c r="S219" s="50"/>
      <c r="T219" s="50"/>
      <c r="U219" s="50"/>
      <c r="V219" s="50"/>
      <c r="W219" s="50"/>
      <c r="X219" s="50"/>
      <c r="Y219" s="50"/>
      <c r="Z219" s="50"/>
      <c r="AA219" s="50"/>
      <c r="AB219" s="50"/>
    </row>
    <row r="220">
      <c r="A220" s="49"/>
      <c r="B220" s="49"/>
      <c r="C220" s="50"/>
      <c r="D220" s="50"/>
      <c r="E220" s="50"/>
      <c r="F220" s="50"/>
      <c r="G220" s="50"/>
      <c r="H220" s="50"/>
      <c r="I220" s="50"/>
      <c r="J220" s="50"/>
      <c r="K220" s="50"/>
      <c r="L220" s="50"/>
      <c r="M220" s="50"/>
      <c r="N220" s="50"/>
      <c r="O220" s="50"/>
      <c r="P220" s="50"/>
      <c r="Q220" s="50"/>
      <c r="R220" s="50"/>
      <c r="S220" s="50"/>
      <c r="T220" s="50"/>
      <c r="U220" s="50"/>
      <c r="V220" s="50"/>
      <c r="W220" s="50"/>
      <c r="X220" s="50"/>
      <c r="Y220" s="50"/>
      <c r="Z220" s="50"/>
      <c r="AA220" s="50"/>
      <c r="AB220" s="50"/>
    </row>
    <row r="221">
      <c r="A221" s="49"/>
      <c r="B221" s="49"/>
      <c r="C221" s="50"/>
      <c r="D221" s="50"/>
      <c r="E221" s="50"/>
      <c r="F221" s="50"/>
      <c r="G221" s="50"/>
      <c r="H221" s="50"/>
      <c r="I221" s="50"/>
      <c r="J221" s="50"/>
      <c r="K221" s="50"/>
      <c r="L221" s="50"/>
      <c r="M221" s="50"/>
      <c r="N221" s="50"/>
      <c r="O221" s="50"/>
      <c r="P221" s="50"/>
      <c r="Q221" s="50"/>
      <c r="R221" s="50"/>
      <c r="S221" s="50"/>
      <c r="T221" s="50"/>
      <c r="U221" s="50"/>
      <c r="V221" s="50"/>
      <c r="W221" s="50"/>
      <c r="X221" s="50"/>
      <c r="Y221" s="50"/>
      <c r="Z221" s="50"/>
      <c r="AA221" s="50"/>
      <c r="AB221" s="50"/>
    </row>
    <row r="222">
      <c r="A222" s="49"/>
      <c r="B222" s="49"/>
      <c r="C222" s="50"/>
      <c r="D222" s="50"/>
      <c r="E222" s="50"/>
      <c r="F222" s="50"/>
      <c r="G222" s="50"/>
      <c r="H222" s="50"/>
      <c r="I222" s="50"/>
      <c r="J222" s="50"/>
      <c r="K222" s="50"/>
      <c r="L222" s="50"/>
      <c r="M222" s="50"/>
      <c r="N222" s="50"/>
      <c r="O222" s="50"/>
      <c r="P222" s="50"/>
      <c r="Q222" s="50"/>
      <c r="R222" s="50"/>
      <c r="S222" s="50"/>
      <c r="T222" s="50"/>
      <c r="U222" s="50"/>
      <c r="V222" s="50"/>
      <c r="W222" s="50"/>
      <c r="X222" s="50"/>
      <c r="Y222" s="50"/>
      <c r="Z222" s="50"/>
      <c r="AA222" s="50"/>
      <c r="AB222" s="50"/>
    </row>
    <row r="223">
      <c r="A223" s="49"/>
      <c r="B223" s="49"/>
      <c r="C223" s="50"/>
      <c r="D223" s="50"/>
      <c r="E223" s="50"/>
      <c r="F223" s="50"/>
      <c r="G223" s="50"/>
      <c r="H223" s="50"/>
      <c r="I223" s="50"/>
      <c r="J223" s="50"/>
      <c r="K223" s="50"/>
      <c r="L223" s="50"/>
      <c r="M223" s="50"/>
      <c r="N223" s="50"/>
      <c r="O223" s="50"/>
      <c r="P223" s="50"/>
      <c r="Q223" s="50"/>
      <c r="R223" s="50"/>
      <c r="S223" s="50"/>
      <c r="T223" s="50"/>
      <c r="U223" s="50"/>
      <c r="V223" s="50"/>
      <c r="W223" s="50"/>
      <c r="X223" s="50"/>
      <c r="Y223" s="50"/>
      <c r="Z223" s="50"/>
      <c r="AA223" s="50"/>
      <c r="AB223" s="50"/>
    </row>
    <row r="224">
      <c r="A224" s="49"/>
      <c r="B224" s="49"/>
      <c r="C224" s="50"/>
      <c r="D224" s="50"/>
      <c r="E224" s="50"/>
      <c r="F224" s="50"/>
      <c r="G224" s="50"/>
      <c r="H224" s="50"/>
      <c r="I224" s="50"/>
      <c r="J224" s="50"/>
      <c r="K224" s="50"/>
      <c r="L224" s="50"/>
      <c r="M224" s="50"/>
      <c r="N224" s="50"/>
      <c r="O224" s="50"/>
      <c r="P224" s="50"/>
      <c r="Q224" s="50"/>
      <c r="R224" s="50"/>
      <c r="S224" s="50"/>
      <c r="T224" s="50"/>
      <c r="U224" s="50"/>
      <c r="V224" s="50"/>
      <c r="W224" s="50"/>
      <c r="X224" s="50"/>
      <c r="Y224" s="50"/>
      <c r="Z224" s="50"/>
      <c r="AA224" s="50"/>
      <c r="AB224" s="50"/>
    </row>
    <row r="225">
      <c r="A225" s="49"/>
      <c r="B225" s="49"/>
      <c r="C225" s="50"/>
      <c r="D225" s="50"/>
      <c r="E225" s="50"/>
      <c r="F225" s="50"/>
      <c r="G225" s="50"/>
      <c r="H225" s="50"/>
      <c r="I225" s="50"/>
      <c r="J225" s="50"/>
      <c r="K225" s="50"/>
      <c r="L225" s="50"/>
      <c r="M225" s="50"/>
      <c r="N225" s="50"/>
      <c r="O225" s="50"/>
      <c r="P225" s="50"/>
      <c r="Q225" s="50"/>
      <c r="R225" s="50"/>
      <c r="S225" s="50"/>
      <c r="T225" s="50"/>
      <c r="U225" s="50"/>
      <c r="V225" s="50"/>
      <c r="W225" s="50"/>
      <c r="X225" s="50"/>
      <c r="Y225" s="50"/>
      <c r="Z225" s="50"/>
      <c r="AA225" s="50"/>
      <c r="AB225" s="50"/>
    </row>
    <row r="226">
      <c r="A226" s="49"/>
      <c r="B226" s="49"/>
      <c r="C226" s="50"/>
      <c r="D226" s="50"/>
      <c r="E226" s="50"/>
      <c r="F226" s="50"/>
      <c r="G226" s="50"/>
      <c r="H226" s="50"/>
      <c r="I226" s="50"/>
      <c r="J226" s="50"/>
      <c r="K226" s="50"/>
      <c r="L226" s="50"/>
      <c r="M226" s="50"/>
      <c r="N226" s="50"/>
      <c r="O226" s="50"/>
      <c r="P226" s="50"/>
      <c r="Q226" s="50"/>
      <c r="R226" s="50"/>
      <c r="S226" s="50"/>
      <c r="T226" s="50"/>
      <c r="U226" s="50"/>
      <c r="V226" s="50"/>
      <c r="W226" s="50"/>
      <c r="X226" s="50"/>
      <c r="Y226" s="50"/>
      <c r="Z226" s="50"/>
      <c r="AA226" s="50"/>
      <c r="AB226" s="50"/>
    </row>
    <row r="227">
      <c r="A227" s="49"/>
      <c r="B227" s="49"/>
      <c r="C227" s="50"/>
      <c r="D227" s="50"/>
      <c r="E227" s="50"/>
      <c r="F227" s="50"/>
      <c r="G227" s="50"/>
      <c r="H227" s="50"/>
      <c r="I227" s="50"/>
      <c r="J227" s="50"/>
      <c r="K227" s="50"/>
      <c r="L227" s="50"/>
      <c r="M227" s="50"/>
      <c r="N227" s="50"/>
      <c r="O227" s="50"/>
      <c r="P227" s="50"/>
      <c r="Q227" s="50"/>
      <c r="R227" s="50"/>
      <c r="S227" s="50"/>
      <c r="T227" s="50"/>
      <c r="U227" s="50"/>
      <c r="V227" s="50"/>
      <c r="W227" s="50"/>
      <c r="X227" s="50"/>
      <c r="Y227" s="50"/>
      <c r="Z227" s="50"/>
      <c r="AA227" s="50"/>
      <c r="AB227" s="50"/>
    </row>
    <row r="228">
      <c r="A228" s="49"/>
      <c r="B228" s="49"/>
      <c r="C228" s="50"/>
      <c r="D228" s="50"/>
      <c r="E228" s="50"/>
      <c r="F228" s="50"/>
      <c r="G228" s="50"/>
      <c r="H228" s="50"/>
      <c r="I228" s="50"/>
      <c r="J228" s="50"/>
      <c r="K228" s="50"/>
      <c r="L228" s="50"/>
      <c r="M228" s="50"/>
      <c r="N228" s="50"/>
      <c r="O228" s="50"/>
      <c r="P228" s="50"/>
      <c r="Q228" s="50"/>
      <c r="R228" s="50"/>
      <c r="S228" s="50"/>
      <c r="T228" s="50"/>
      <c r="U228" s="50"/>
      <c r="V228" s="50"/>
      <c r="W228" s="50"/>
      <c r="X228" s="50"/>
      <c r="Y228" s="50"/>
      <c r="Z228" s="50"/>
      <c r="AA228" s="50"/>
      <c r="AB228" s="50"/>
    </row>
    <row r="229">
      <c r="A229" s="49"/>
      <c r="B229" s="49"/>
      <c r="C229" s="50"/>
      <c r="D229" s="50"/>
      <c r="E229" s="50"/>
      <c r="F229" s="50"/>
      <c r="G229" s="50"/>
      <c r="H229" s="50"/>
      <c r="I229" s="50"/>
      <c r="J229" s="50"/>
      <c r="K229" s="50"/>
      <c r="L229" s="50"/>
      <c r="M229" s="50"/>
      <c r="N229" s="50"/>
      <c r="O229" s="50"/>
      <c r="P229" s="50"/>
      <c r="Q229" s="50"/>
      <c r="R229" s="50"/>
      <c r="S229" s="50"/>
      <c r="T229" s="50"/>
      <c r="U229" s="50"/>
      <c r="V229" s="50"/>
      <c r="W229" s="50"/>
      <c r="X229" s="50"/>
      <c r="Y229" s="50"/>
      <c r="Z229" s="50"/>
      <c r="AA229" s="50"/>
      <c r="AB229" s="50"/>
    </row>
    <row r="230">
      <c r="A230" s="49"/>
      <c r="B230" s="49"/>
      <c r="C230" s="50"/>
      <c r="D230" s="50"/>
      <c r="E230" s="50"/>
      <c r="F230" s="50"/>
      <c r="G230" s="50"/>
      <c r="H230" s="50"/>
      <c r="I230" s="50"/>
      <c r="J230" s="50"/>
      <c r="K230" s="50"/>
      <c r="L230" s="50"/>
      <c r="M230" s="50"/>
      <c r="N230" s="50"/>
      <c r="O230" s="50"/>
      <c r="P230" s="50"/>
      <c r="Q230" s="50"/>
      <c r="R230" s="50"/>
      <c r="S230" s="50"/>
      <c r="T230" s="50"/>
      <c r="U230" s="50"/>
      <c r="V230" s="50"/>
      <c r="W230" s="50"/>
      <c r="X230" s="50"/>
      <c r="Y230" s="50"/>
      <c r="Z230" s="50"/>
      <c r="AA230" s="50"/>
      <c r="AB230" s="50"/>
    </row>
    <row r="231">
      <c r="A231" s="49"/>
      <c r="B231" s="49"/>
      <c r="C231" s="50"/>
      <c r="D231" s="50"/>
      <c r="E231" s="50"/>
      <c r="F231" s="50"/>
      <c r="G231" s="50"/>
      <c r="H231" s="50"/>
      <c r="I231" s="50"/>
      <c r="J231" s="50"/>
      <c r="K231" s="50"/>
      <c r="L231" s="50"/>
      <c r="M231" s="50"/>
      <c r="N231" s="50"/>
      <c r="O231" s="50"/>
      <c r="P231" s="50"/>
      <c r="Q231" s="50"/>
      <c r="R231" s="50"/>
      <c r="S231" s="50"/>
      <c r="T231" s="50"/>
      <c r="U231" s="50"/>
      <c r="V231" s="50"/>
      <c r="W231" s="50"/>
      <c r="X231" s="50"/>
      <c r="Y231" s="50"/>
      <c r="Z231" s="50"/>
      <c r="AA231" s="50"/>
      <c r="AB231" s="50"/>
    </row>
    <row r="232">
      <c r="A232" s="49"/>
      <c r="B232" s="49"/>
      <c r="C232" s="50"/>
      <c r="D232" s="50"/>
      <c r="E232" s="50"/>
      <c r="F232" s="50"/>
      <c r="G232" s="50"/>
      <c r="H232" s="50"/>
      <c r="I232" s="50"/>
      <c r="J232" s="50"/>
      <c r="K232" s="50"/>
      <c r="L232" s="50"/>
      <c r="M232" s="50"/>
      <c r="N232" s="50"/>
      <c r="O232" s="50"/>
      <c r="P232" s="50"/>
      <c r="Q232" s="50"/>
      <c r="R232" s="50"/>
      <c r="S232" s="50"/>
      <c r="T232" s="50"/>
      <c r="U232" s="50"/>
      <c r="V232" s="50"/>
      <c r="W232" s="50"/>
      <c r="X232" s="50"/>
      <c r="Y232" s="50"/>
      <c r="Z232" s="50"/>
      <c r="AA232" s="50"/>
      <c r="AB232" s="50"/>
    </row>
    <row r="233">
      <c r="A233" s="49"/>
      <c r="B233" s="49"/>
      <c r="C233" s="50"/>
      <c r="D233" s="50"/>
      <c r="E233" s="50"/>
      <c r="F233" s="50"/>
      <c r="G233" s="50"/>
      <c r="H233" s="50"/>
      <c r="I233" s="50"/>
      <c r="J233" s="50"/>
      <c r="K233" s="50"/>
      <c r="L233" s="50"/>
      <c r="M233" s="50"/>
      <c r="N233" s="50"/>
      <c r="O233" s="50"/>
      <c r="P233" s="50"/>
      <c r="Q233" s="50"/>
      <c r="R233" s="50"/>
      <c r="S233" s="50"/>
      <c r="T233" s="50"/>
      <c r="U233" s="50"/>
      <c r="V233" s="50"/>
      <c r="W233" s="50"/>
      <c r="X233" s="50"/>
      <c r="Y233" s="50"/>
      <c r="Z233" s="50"/>
      <c r="AA233" s="50"/>
      <c r="AB233" s="50"/>
    </row>
    <row r="234">
      <c r="A234" s="49"/>
      <c r="B234" s="49"/>
      <c r="C234" s="50"/>
      <c r="D234" s="50"/>
      <c r="E234" s="50"/>
      <c r="F234" s="50"/>
      <c r="G234" s="50"/>
      <c r="H234" s="50"/>
      <c r="I234" s="50"/>
      <c r="J234" s="50"/>
      <c r="K234" s="50"/>
      <c r="L234" s="50"/>
      <c r="M234" s="50"/>
      <c r="N234" s="50"/>
      <c r="O234" s="50"/>
      <c r="P234" s="50"/>
      <c r="Q234" s="50"/>
      <c r="R234" s="50"/>
      <c r="S234" s="50"/>
      <c r="T234" s="50"/>
      <c r="U234" s="50"/>
      <c r="V234" s="50"/>
      <c r="W234" s="50"/>
      <c r="X234" s="50"/>
      <c r="Y234" s="50"/>
      <c r="Z234" s="50"/>
      <c r="AA234" s="50"/>
      <c r="AB234" s="50"/>
    </row>
    <row r="235">
      <c r="A235" s="49"/>
      <c r="B235" s="49"/>
      <c r="C235" s="50"/>
      <c r="D235" s="50"/>
      <c r="E235" s="50"/>
      <c r="F235" s="50"/>
      <c r="G235" s="50"/>
      <c r="H235" s="50"/>
      <c r="I235" s="50"/>
      <c r="J235" s="50"/>
      <c r="K235" s="50"/>
      <c r="L235" s="50"/>
      <c r="M235" s="50"/>
      <c r="N235" s="50"/>
      <c r="O235" s="50"/>
      <c r="P235" s="50"/>
      <c r="Q235" s="50"/>
      <c r="R235" s="50"/>
      <c r="S235" s="50"/>
      <c r="T235" s="50"/>
      <c r="U235" s="50"/>
      <c r="V235" s="50"/>
      <c r="W235" s="50"/>
      <c r="X235" s="50"/>
      <c r="Y235" s="50"/>
      <c r="Z235" s="50"/>
      <c r="AA235" s="50"/>
      <c r="AB235" s="50"/>
    </row>
    <row r="236">
      <c r="A236" s="49"/>
      <c r="B236" s="49"/>
      <c r="C236" s="50"/>
      <c r="D236" s="50"/>
      <c r="E236" s="50"/>
      <c r="F236" s="50"/>
      <c r="G236" s="50"/>
      <c r="H236" s="50"/>
      <c r="I236" s="50"/>
      <c r="J236" s="50"/>
      <c r="K236" s="50"/>
      <c r="L236" s="50"/>
      <c r="M236" s="50"/>
      <c r="N236" s="50"/>
      <c r="O236" s="50"/>
      <c r="P236" s="50"/>
      <c r="Q236" s="50"/>
      <c r="R236" s="50"/>
      <c r="S236" s="50"/>
      <c r="T236" s="50"/>
      <c r="U236" s="50"/>
      <c r="V236" s="50"/>
      <c r="W236" s="50"/>
      <c r="X236" s="50"/>
      <c r="Y236" s="50"/>
      <c r="Z236" s="50"/>
      <c r="AA236" s="50"/>
      <c r="AB236" s="50"/>
    </row>
    <row r="237">
      <c r="A237" s="49"/>
      <c r="B237" s="49"/>
      <c r="C237" s="50"/>
      <c r="D237" s="50"/>
      <c r="E237" s="50"/>
      <c r="F237" s="50"/>
      <c r="G237" s="50"/>
      <c r="H237" s="50"/>
      <c r="I237" s="50"/>
      <c r="J237" s="50"/>
      <c r="K237" s="50"/>
      <c r="L237" s="50"/>
      <c r="M237" s="50"/>
      <c r="N237" s="50"/>
      <c r="O237" s="50"/>
      <c r="P237" s="50"/>
      <c r="Q237" s="50"/>
      <c r="R237" s="50"/>
      <c r="S237" s="50"/>
      <c r="T237" s="50"/>
      <c r="U237" s="50"/>
      <c r="V237" s="50"/>
      <c r="W237" s="50"/>
      <c r="X237" s="50"/>
      <c r="Y237" s="50"/>
      <c r="Z237" s="50"/>
      <c r="AA237" s="50"/>
      <c r="AB237" s="50"/>
    </row>
    <row r="238">
      <c r="A238" s="49"/>
      <c r="B238" s="49"/>
      <c r="C238" s="50"/>
      <c r="D238" s="50"/>
      <c r="E238" s="50"/>
      <c r="F238" s="50"/>
      <c r="G238" s="50"/>
      <c r="H238" s="50"/>
      <c r="I238" s="50"/>
      <c r="J238" s="50"/>
      <c r="K238" s="50"/>
      <c r="L238" s="50"/>
      <c r="M238" s="50"/>
      <c r="N238" s="50"/>
      <c r="O238" s="50"/>
      <c r="P238" s="50"/>
      <c r="Q238" s="50"/>
      <c r="R238" s="50"/>
      <c r="S238" s="50"/>
      <c r="T238" s="50"/>
      <c r="U238" s="50"/>
      <c r="V238" s="50"/>
      <c r="W238" s="50"/>
      <c r="X238" s="50"/>
      <c r="Y238" s="50"/>
      <c r="Z238" s="50"/>
      <c r="AA238" s="50"/>
      <c r="AB238" s="50"/>
    </row>
    <row r="239">
      <c r="A239" s="49"/>
      <c r="B239" s="49"/>
      <c r="C239" s="50"/>
      <c r="D239" s="50"/>
      <c r="E239" s="50"/>
      <c r="F239" s="50"/>
      <c r="G239" s="50"/>
      <c r="H239" s="50"/>
      <c r="I239" s="50"/>
      <c r="J239" s="50"/>
      <c r="K239" s="50"/>
      <c r="L239" s="50"/>
      <c r="M239" s="50"/>
      <c r="N239" s="50"/>
      <c r="O239" s="50"/>
      <c r="P239" s="50"/>
      <c r="Q239" s="50"/>
      <c r="R239" s="50"/>
      <c r="S239" s="50"/>
      <c r="T239" s="50"/>
      <c r="U239" s="50"/>
      <c r="V239" s="50"/>
      <c r="W239" s="50"/>
      <c r="X239" s="50"/>
      <c r="Y239" s="50"/>
      <c r="Z239" s="50"/>
      <c r="AA239" s="50"/>
      <c r="AB239" s="50"/>
    </row>
    <row r="240">
      <c r="A240" s="49"/>
      <c r="B240" s="49"/>
      <c r="C240" s="50"/>
      <c r="D240" s="50"/>
      <c r="E240" s="50"/>
      <c r="F240" s="50"/>
      <c r="G240" s="50"/>
      <c r="H240" s="50"/>
      <c r="I240" s="50"/>
      <c r="J240" s="50"/>
      <c r="K240" s="50"/>
      <c r="L240" s="50"/>
      <c r="M240" s="50"/>
      <c r="N240" s="50"/>
      <c r="O240" s="50"/>
      <c r="P240" s="50"/>
      <c r="Q240" s="50"/>
      <c r="R240" s="50"/>
      <c r="S240" s="50"/>
      <c r="T240" s="50"/>
      <c r="U240" s="50"/>
      <c r="V240" s="50"/>
      <c r="W240" s="50"/>
      <c r="X240" s="50"/>
      <c r="Y240" s="50"/>
      <c r="Z240" s="50"/>
      <c r="AA240" s="50"/>
      <c r="AB240" s="50"/>
    </row>
    <row r="241">
      <c r="A241" s="49"/>
      <c r="B241" s="49"/>
      <c r="C241" s="50"/>
      <c r="D241" s="50"/>
      <c r="E241" s="50"/>
      <c r="F241" s="50"/>
      <c r="G241" s="50"/>
      <c r="H241" s="50"/>
      <c r="I241" s="50"/>
      <c r="J241" s="50"/>
      <c r="K241" s="50"/>
      <c r="L241" s="50"/>
      <c r="M241" s="50"/>
      <c r="N241" s="50"/>
      <c r="O241" s="50"/>
      <c r="P241" s="50"/>
      <c r="Q241" s="50"/>
      <c r="R241" s="50"/>
      <c r="S241" s="50"/>
      <c r="T241" s="50"/>
      <c r="U241" s="50"/>
      <c r="V241" s="50"/>
      <c r="W241" s="50"/>
      <c r="X241" s="50"/>
      <c r="Y241" s="50"/>
      <c r="Z241" s="50"/>
      <c r="AA241" s="50"/>
      <c r="AB241" s="50"/>
    </row>
    <row r="242">
      <c r="A242" s="49"/>
      <c r="B242" s="49"/>
      <c r="C242" s="50"/>
      <c r="D242" s="50"/>
      <c r="E242" s="50"/>
      <c r="F242" s="50"/>
      <c r="G242" s="50"/>
      <c r="H242" s="50"/>
      <c r="I242" s="50"/>
      <c r="J242" s="50"/>
      <c r="K242" s="50"/>
      <c r="L242" s="50"/>
      <c r="M242" s="50"/>
      <c r="N242" s="50"/>
      <c r="O242" s="50"/>
      <c r="P242" s="50"/>
      <c r="Q242" s="50"/>
      <c r="R242" s="50"/>
      <c r="S242" s="50"/>
      <c r="T242" s="50"/>
      <c r="U242" s="50"/>
      <c r="V242" s="50"/>
      <c r="W242" s="50"/>
      <c r="X242" s="50"/>
      <c r="Y242" s="50"/>
      <c r="Z242" s="50"/>
      <c r="AA242" s="50"/>
      <c r="AB242" s="50"/>
    </row>
    <row r="243">
      <c r="A243" s="49"/>
      <c r="B243" s="49"/>
      <c r="C243" s="50"/>
      <c r="D243" s="50"/>
      <c r="E243" s="50"/>
      <c r="F243" s="50"/>
      <c r="G243" s="50"/>
      <c r="H243" s="50"/>
      <c r="I243" s="50"/>
      <c r="J243" s="50"/>
      <c r="K243" s="50"/>
      <c r="L243" s="50"/>
      <c r="M243" s="50"/>
      <c r="N243" s="50"/>
      <c r="O243" s="50"/>
      <c r="P243" s="50"/>
      <c r="Q243" s="50"/>
      <c r="R243" s="50"/>
      <c r="S243" s="50"/>
      <c r="T243" s="50"/>
      <c r="U243" s="50"/>
      <c r="V243" s="50"/>
      <c r="W243" s="50"/>
      <c r="X243" s="50"/>
      <c r="Y243" s="50"/>
      <c r="Z243" s="50"/>
      <c r="AA243" s="50"/>
      <c r="AB243" s="50"/>
    </row>
    <row r="244">
      <c r="A244" s="49"/>
      <c r="B244" s="49"/>
      <c r="C244" s="50"/>
      <c r="D244" s="50"/>
      <c r="E244" s="50"/>
      <c r="F244" s="50"/>
      <c r="G244" s="50"/>
      <c r="H244" s="50"/>
      <c r="I244" s="50"/>
      <c r="J244" s="50"/>
      <c r="K244" s="50"/>
      <c r="L244" s="50"/>
      <c r="M244" s="50"/>
      <c r="N244" s="50"/>
      <c r="O244" s="50"/>
      <c r="P244" s="50"/>
      <c r="Q244" s="50"/>
      <c r="R244" s="50"/>
      <c r="S244" s="50"/>
      <c r="T244" s="50"/>
      <c r="U244" s="50"/>
      <c r="V244" s="50"/>
      <c r="W244" s="50"/>
      <c r="X244" s="50"/>
      <c r="Y244" s="50"/>
      <c r="Z244" s="50"/>
      <c r="AA244" s="50"/>
      <c r="AB244" s="50"/>
    </row>
    <row r="245">
      <c r="A245" s="49"/>
      <c r="B245" s="49"/>
      <c r="C245" s="50"/>
      <c r="D245" s="50"/>
      <c r="E245" s="50"/>
      <c r="F245" s="50"/>
      <c r="G245" s="50"/>
      <c r="H245" s="50"/>
      <c r="I245" s="50"/>
      <c r="J245" s="50"/>
      <c r="K245" s="50"/>
      <c r="L245" s="50"/>
      <c r="M245" s="50"/>
      <c r="N245" s="50"/>
      <c r="O245" s="50"/>
      <c r="P245" s="50"/>
      <c r="Q245" s="50"/>
      <c r="R245" s="50"/>
      <c r="S245" s="50"/>
      <c r="T245" s="50"/>
      <c r="U245" s="50"/>
      <c r="V245" s="50"/>
      <c r="W245" s="50"/>
      <c r="X245" s="50"/>
      <c r="Y245" s="50"/>
      <c r="Z245" s="50"/>
      <c r="AA245" s="50"/>
      <c r="AB245" s="50"/>
    </row>
    <row r="246">
      <c r="A246" s="49"/>
      <c r="B246" s="49"/>
      <c r="C246" s="50"/>
      <c r="D246" s="50"/>
      <c r="E246" s="50"/>
      <c r="F246" s="50"/>
      <c r="G246" s="50"/>
      <c r="H246" s="50"/>
      <c r="I246" s="50"/>
      <c r="J246" s="50"/>
      <c r="K246" s="50"/>
      <c r="L246" s="50"/>
      <c r="M246" s="50"/>
      <c r="N246" s="50"/>
      <c r="O246" s="50"/>
      <c r="P246" s="50"/>
      <c r="Q246" s="50"/>
      <c r="R246" s="50"/>
      <c r="S246" s="50"/>
      <c r="T246" s="50"/>
      <c r="U246" s="50"/>
      <c r="V246" s="50"/>
      <c r="W246" s="50"/>
      <c r="X246" s="50"/>
      <c r="Y246" s="50"/>
      <c r="Z246" s="50"/>
      <c r="AA246" s="50"/>
      <c r="AB246" s="50"/>
    </row>
    <row r="247">
      <c r="A247" s="49"/>
      <c r="B247" s="49"/>
      <c r="C247" s="50"/>
      <c r="D247" s="50"/>
      <c r="E247" s="50"/>
      <c r="F247" s="50"/>
      <c r="G247" s="50"/>
      <c r="H247" s="50"/>
      <c r="I247" s="50"/>
      <c r="J247" s="50"/>
      <c r="K247" s="50"/>
      <c r="L247" s="50"/>
      <c r="M247" s="50"/>
      <c r="N247" s="50"/>
      <c r="O247" s="50"/>
      <c r="P247" s="50"/>
      <c r="Q247" s="50"/>
      <c r="R247" s="50"/>
      <c r="S247" s="50"/>
      <c r="T247" s="50"/>
      <c r="U247" s="50"/>
      <c r="V247" s="50"/>
      <c r="W247" s="50"/>
      <c r="X247" s="50"/>
      <c r="Y247" s="50"/>
      <c r="Z247" s="50"/>
      <c r="AA247" s="50"/>
      <c r="AB247" s="50"/>
    </row>
    <row r="248">
      <c r="A248" s="49"/>
      <c r="B248" s="49"/>
      <c r="C248" s="50"/>
      <c r="D248" s="50"/>
      <c r="E248" s="50"/>
      <c r="F248" s="50"/>
      <c r="G248" s="50"/>
      <c r="H248" s="50"/>
      <c r="I248" s="50"/>
      <c r="J248" s="50"/>
      <c r="K248" s="50"/>
      <c r="L248" s="50"/>
      <c r="M248" s="50"/>
      <c r="N248" s="50"/>
      <c r="O248" s="50"/>
      <c r="P248" s="50"/>
      <c r="Q248" s="50"/>
      <c r="R248" s="50"/>
      <c r="S248" s="50"/>
      <c r="T248" s="50"/>
      <c r="U248" s="50"/>
      <c r="V248" s="50"/>
      <c r="W248" s="50"/>
      <c r="X248" s="50"/>
      <c r="Y248" s="50"/>
      <c r="Z248" s="50"/>
      <c r="AA248" s="50"/>
      <c r="AB248" s="50"/>
    </row>
    <row r="249">
      <c r="A249" s="49"/>
      <c r="B249" s="49"/>
      <c r="C249" s="50"/>
      <c r="D249" s="50"/>
      <c r="E249" s="50"/>
      <c r="F249" s="50"/>
      <c r="G249" s="50"/>
      <c r="H249" s="50"/>
      <c r="I249" s="50"/>
      <c r="J249" s="50"/>
      <c r="K249" s="50"/>
      <c r="L249" s="50"/>
      <c r="M249" s="50"/>
      <c r="N249" s="50"/>
      <c r="O249" s="50"/>
      <c r="P249" s="50"/>
      <c r="Q249" s="50"/>
      <c r="R249" s="50"/>
      <c r="S249" s="50"/>
      <c r="T249" s="50"/>
      <c r="U249" s="50"/>
      <c r="V249" s="50"/>
      <c r="W249" s="50"/>
      <c r="X249" s="50"/>
      <c r="Y249" s="50"/>
      <c r="Z249" s="50"/>
      <c r="AA249" s="50"/>
      <c r="AB249" s="50"/>
    </row>
    <row r="250">
      <c r="A250" s="49"/>
      <c r="B250" s="49"/>
      <c r="C250" s="50"/>
      <c r="D250" s="50"/>
      <c r="E250" s="50"/>
      <c r="F250" s="50"/>
      <c r="G250" s="50"/>
      <c r="H250" s="50"/>
      <c r="I250" s="50"/>
      <c r="J250" s="50"/>
      <c r="K250" s="50"/>
      <c r="L250" s="50"/>
      <c r="M250" s="50"/>
      <c r="N250" s="50"/>
      <c r="O250" s="50"/>
      <c r="P250" s="50"/>
      <c r="Q250" s="50"/>
      <c r="R250" s="50"/>
      <c r="S250" s="50"/>
      <c r="T250" s="50"/>
      <c r="U250" s="50"/>
      <c r="V250" s="50"/>
      <c r="W250" s="50"/>
      <c r="X250" s="50"/>
      <c r="Y250" s="50"/>
      <c r="Z250" s="50"/>
      <c r="AA250" s="50"/>
      <c r="AB250" s="50"/>
    </row>
    <row r="251">
      <c r="A251" s="49"/>
      <c r="B251" s="49"/>
      <c r="C251" s="50"/>
      <c r="D251" s="50"/>
      <c r="E251" s="50"/>
      <c r="F251" s="50"/>
      <c r="G251" s="50"/>
      <c r="H251" s="50"/>
      <c r="I251" s="50"/>
      <c r="J251" s="50"/>
      <c r="K251" s="50"/>
      <c r="L251" s="50"/>
      <c r="M251" s="50"/>
      <c r="N251" s="50"/>
      <c r="O251" s="50"/>
      <c r="P251" s="50"/>
      <c r="Q251" s="50"/>
      <c r="R251" s="50"/>
      <c r="S251" s="50"/>
      <c r="T251" s="50"/>
      <c r="U251" s="50"/>
      <c r="V251" s="50"/>
      <c r="W251" s="50"/>
      <c r="X251" s="50"/>
      <c r="Y251" s="50"/>
      <c r="Z251" s="50"/>
      <c r="AA251" s="50"/>
      <c r="AB251" s="50"/>
    </row>
    <row r="252">
      <c r="A252" s="49"/>
      <c r="B252" s="49"/>
      <c r="C252" s="50"/>
      <c r="D252" s="50"/>
      <c r="E252" s="50"/>
      <c r="F252" s="50"/>
      <c r="G252" s="50"/>
      <c r="H252" s="50"/>
      <c r="I252" s="50"/>
      <c r="J252" s="50"/>
      <c r="K252" s="50"/>
      <c r="L252" s="50"/>
      <c r="M252" s="50"/>
      <c r="N252" s="50"/>
      <c r="O252" s="50"/>
      <c r="P252" s="50"/>
      <c r="Q252" s="50"/>
      <c r="R252" s="50"/>
      <c r="S252" s="50"/>
      <c r="T252" s="50"/>
      <c r="U252" s="50"/>
      <c r="V252" s="50"/>
      <c r="W252" s="50"/>
      <c r="X252" s="50"/>
      <c r="Y252" s="50"/>
      <c r="Z252" s="50"/>
      <c r="AA252" s="50"/>
      <c r="AB252" s="50"/>
    </row>
    <row r="253">
      <c r="A253" s="49"/>
      <c r="B253" s="49"/>
      <c r="C253" s="50"/>
      <c r="D253" s="50"/>
      <c r="E253" s="50"/>
      <c r="F253" s="50"/>
      <c r="G253" s="50"/>
      <c r="H253" s="50"/>
      <c r="I253" s="50"/>
      <c r="J253" s="50"/>
      <c r="K253" s="50"/>
      <c r="L253" s="50"/>
      <c r="M253" s="50"/>
      <c r="N253" s="50"/>
      <c r="O253" s="50"/>
      <c r="P253" s="50"/>
      <c r="Q253" s="50"/>
      <c r="R253" s="50"/>
      <c r="S253" s="50"/>
      <c r="T253" s="50"/>
      <c r="U253" s="50"/>
      <c r="V253" s="50"/>
      <c r="W253" s="50"/>
      <c r="X253" s="50"/>
      <c r="Y253" s="50"/>
      <c r="Z253" s="50"/>
      <c r="AA253" s="50"/>
      <c r="AB253" s="50"/>
    </row>
    <row r="254">
      <c r="A254" s="49"/>
      <c r="B254" s="49"/>
      <c r="C254" s="50"/>
      <c r="D254" s="50"/>
      <c r="E254" s="50"/>
      <c r="F254" s="50"/>
      <c r="G254" s="50"/>
      <c r="H254" s="50"/>
      <c r="I254" s="50"/>
      <c r="J254" s="50"/>
      <c r="K254" s="50"/>
      <c r="L254" s="50"/>
      <c r="M254" s="50"/>
      <c r="N254" s="50"/>
      <c r="O254" s="50"/>
      <c r="P254" s="50"/>
      <c r="Q254" s="50"/>
      <c r="R254" s="50"/>
      <c r="S254" s="50"/>
      <c r="T254" s="50"/>
      <c r="U254" s="50"/>
      <c r="V254" s="50"/>
      <c r="W254" s="50"/>
      <c r="X254" s="50"/>
      <c r="Y254" s="50"/>
      <c r="Z254" s="50"/>
      <c r="AA254" s="50"/>
      <c r="AB254" s="50"/>
    </row>
    <row r="255">
      <c r="A255" s="49"/>
      <c r="B255" s="49"/>
      <c r="C255" s="50"/>
      <c r="D255" s="50"/>
      <c r="E255" s="50"/>
      <c r="F255" s="50"/>
      <c r="G255" s="50"/>
      <c r="H255" s="50"/>
      <c r="I255" s="50"/>
      <c r="J255" s="50"/>
      <c r="K255" s="50"/>
      <c r="L255" s="50"/>
      <c r="M255" s="50"/>
      <c r="N255" s="50"/>
      <c r="O255" s="50"/>
      <c r="P255" s="50"/>
      <c r="Q255" s="50"/>
      <c r="R255" s="50"/>
      <c r="S255" s="50"/>
      <c r="T255" s="50"/>
      <c r="U255" s="50"/>
      <c r="V255" s="50"/>
      <c r="W255" s="50"/>
      <c r="X255" s="50"/>
      <c r="Y255" s="50"/>
      <c r="Z255" s="50"/>
      <c r="AA255" s="50"/>
      <c r="AB255" s="50"/>
    </row>
    <row r="256">
      <c r="A256" s="49"/>
      <c r="B256" s="49"/>
      <c r="C256" s="50"/>
      <c r="D256" s="50"/>
      <c r="E256" s="50"/>
      <c r="F256" s="50"/>
      <c r="G256" s="50"/>
      <c r="H256" s="50"/>
      <c r="I256" s="50"/>
      <c r="J256" s="50"/>
      <c r="K256" s="50"/>
      <c r="L256" s="50"/>
      <c r="M256" s="50"/>
      <c r="N256" s="50"/>
      <c r="O256" s="50"/>
      <c r="P256" s="50"/>
      <c r="Q256" s="50"/>
      <c r="R256" s="50"/>
      <c r="S256" s="50"/>
      <c r="T256" s="50"/>
      <c r="U256" s="50"/>
      <c r="V256" s="50"/>
      <c r="W256" s="50"/>
      <c r="X256" s="50"/>
      <c r="Y256" s="50"/>
      <c r="Z256" s="50"/>
      <c r="AA256" s="50"/>
      <c r="AB256" s="50"/>
    </row>
    <row r="257">
      <c r="A257" s="49"/>
      <c r="B257" s="49"/>
      <c r="C257" s="50"/>
      <c r="D257" s="50"/>
      <c r="E257" s="50"/>
      <c r="F257" s="50"/>
      <c r="G257" s="50"/>
      <c r="H257" s="50"/>
      <c r="I257" s="50"/>
      <c r="J257" s="50"/>
      <c r="K257" s="50"/>
      <c r="L257" s="50"/>
      <c r="M257" s="50"/>
      <c r="N257" s="50"/>
      <c r="O257" s="50"/>
      <c r="P257" s="50"/>
      <c r="Q257" s="50"/>
      <c r="R257" s="50"/>
      <c r="S257" s="50"/>
      <c r="T257" s="50"/>
      <c r="U257" s="50"/>
      <c r="V257" s="50"/>
      <c r="W257" s="50"/>
      <c r="X257" s="50"/>
      <c r="Y257" s="50"/>
      <c r="Z257" s="50"/>
      <c r="AA257" s="50"/>
      <c r="AB257" s="50"/>
    </row>
    <row r="258">
      <c r="A258" s="49"/>
      <c r="B258" s="49"/>
      <c r="C258" s="50"/>
      <c r="D258" s="50"/>
      <c r="E258" s="50"/>
      <c r="F258" s="50"/>
      <c r="G258" s="50"/>
      <c r="H258" s="50"/>
      <c r="I258" s="50"/>
      <c r="J258" s="50"/>
      <c r="K258" s="50"/>
      <c r="L258" s="50"/>
      <c r="M258" s="50"/>
      <c r="N258" s="50"/>
      <c r="O258" s="50"/>
      <c r="P258" s="50"/>
      <c r="Q258" s="50"/>
      <c r="R258" s="50"/>
      <c r="S258" s="50"/>
      <c r="T258" s="50"/>
      <c r="U258" s="50"/>
      <c r="V258" s="50"/>
      <c r="W258" s="50"/>
      <c r="X258" s="50"/>
      <c r="Y258" s="50"/>
      <c r="Z258" s="50"/>
      <c r="AA258" s="50"/>
      <c r="AB258" s="50"/>
    </row>
    <row r="259">
      <c r="A259" s="49"/>
      <c r="B259" s="49"/>
      <c r="C259" s="50"/>
      <c r="D259" s="50"/>
      <c r="E259" s="50"/>
      <c r="F259" s="50"/>
      <c r="G259" s="50"/>
      <c r="H259" s="50"/>
      <c r="I259" s="50"/>
      <c r="J259" s="50"/>
      <c r="K259" s="50"/>
      <c r="L259" s="50"/>
      <c r="M259" s="50"/>
      <c r="N259" s="50"/>
      <c r="O259" s="50"/>
      <c r="P259" s="50"/>
      <c r="Q259" s="50"/>
      <c r="R259" s="50"/>
      <c r="S259" s="50"/>
      <c r="T259" s="50"/>
      <c r="U259" s="50"/>
      <c r="V259" s="50"/>
      <c r="W259" s="50"/>
      <c r="X259" s="50"/>
      <c r="Y259" s="50"/>
      <c r="Z259" s="50"/>
      <c r="AA259" s="50"/>
      <c r="AB259" s="50"/>
    </row>
    <row r="260">
      <c r="A260" s="49"/>
      <c r="B260" s="49"/>
      <c r="C260" s="50"/>
      <c r="D260" s="50"/>
      <c r="E260" s="50"/>
      <c r="F260" s="50"/>
      <c r="G260" s="50"/>
      <c r="H260" s="50"/>
      <c r="I260" s="50"/>
      <c r="J260" s="50"/>
      <c r="K260" s="50"/>
      <c r="L260" s="50"/>
      <c r="M260" s="50"/>
      <c r="N260" s="50"/>
      <c r="O260" s="50"/>
      <c r="P260" s="50"/>
      <c r="Q260" s="50"/>
      <c r="R260" s="50"/>
      <c r="S260" s="50"/>
      <c r="T260" s="50"/>
      <c r="U260" s="50"/>
      <c r="V260" s="50"/>
      <c r="W260" s="50"/>
      <c r="X260" s="50"/>
      <c r="Y260" s="50"/>
      <c r="Z260" s="50"/>
      <c r="AA260" s="50"/>
      <c r="AB260" s="50"/>
    </row>
    <row r="261">
      <c r="A261" s="49"/>
      <c r="B261" s="49"/>
      <c r="C261" s="50"/>
      <c r="D261" s="50"/>
      <c r="E261" s="50"/>
      <c r="F261" s="50"/>
      <c r="G261" s="50"/>
      <c r="H261" s="50"/>
      <c r="I261" s="50"/>
      <c r="J261" s="50"/>
      <c r="K261" s="50"/>
      <c r="L261" s="50"/>
      <c r="M261" s="50"/>
      <c r="N261" s="50"/>
      <c r="O261" s="50"/>
      <c r="P261" s="50"/>
      <c r="Q261" s="50"/>
      <c r="R261" s="50"/>
      <c r="S261" s="50"/>
      <c r="T261" s="50"/>
      <c r="U261" s="50"/>
      <c r="V261" s="50"/>
      <c r="W261" s="50"/>
      <c r="X261" s="50"/>
      <c r="Y261" s="50"/>
      <c r="Z261" s="50"/>
      <c r="AA261" s="50"/>
      <c r="AB261" s="50"/>
    </row>
    <row r="262">
      <c r="A262" s="49"/>
      <c r="B262" s="49"/>
      <c r="C262" s="50"/>
      <c r="D262" s="50"/>
      <c r="E262" s="50"/>
      <c r="F262" s="50"/>
      <c r="G262" s="50"/>
      <c r="H262" s="50"/>
      <c r="I262" s="50"/>
      <c r="J262" s="50"/>
      <c r="K262" s="50"/>
      <c r="L262" s="50"/>
      <c r="M262" s="50"/>
      <c r="N262" s="50"/>
      <c r="O262" s="50"/>
      <c r="P262" s="50"/>
      <c r="Q262" s="50"/>
      <c r="R262" s="50"/>
      <c r="S262" s="50"/>
      <c r="T262" s="50"/>
      <c r="U262" s="50"/>
      <c r="V262" s="50"/>
      <c r="W262" s="50"/>
      <c r="X262" s="50"/>
      <c r="Y262" s="50"/>
      <c r="Z262" s="50"/>
      <c r="AA262" s="50"/>
      <c r="AB262" s="50"/>
    </row>
    <row r="263">
      <c r="A263" s="49"/>
      <c r="B263" s="49"/>
      <c r="C263" s="50"/>
      <c r="D263" s="50"/>
      <c r="E263" s="50"/>
      <c r="F263" s="50"/>
      <c r="G263" s="50"/>
      <c r="H263" s="50"/>
      <c r="I263" s="50"/>
      <c r="J263" s="50"/>
      <c r="K263" s="50"/>
      <c r="L263" s="50"/>
      <c r="M263" s="50"/>
      <c r="N263" s="50"/>
      <c r="O263" s="50"/>
      <c r="P263" s="50"/>
      <c r="Q263" s="50"/>
      <c r="R263" s="50"/>
      <c r="S263" s="50"/>
      <c r="T263" s="50"/>
      <c r="U263" s="50"/>
      <c r="V263" s="50"/>
      <c r="W263" s="50"/>
      <c r="X263" s="50"/>
      <c r="Y263" s="50"/>
      <c r="Z263" s="50"/>
      <c r="AA263" s="50"/>
      <c r="AB263" s="50"/>
    </row>
    <row r="264">
      <c r="A264" s="49"/>
      <c r="B264" s="49"/>
      <c r="C264" s="50"/>
      <c r="D264" s="50"/>
      <c r="E264" s="50"/>
      <c r="F264" s="50"/>
      <c r="G264" s="50"/>
      <c r="H264" s="50"/>
      <c r="I264" s="50"/>
      <c r="J264" s="50"/>
      <c r="K264" s="50"/>
      <c r="L264" s="50"/>
      <c r="M264" s="50"/>
      <c r="N264" s="50"/>
      <c r="O264" s="50"/>
      <c r="P264" s="50"/>
      <c r="Q264" s="50"/>
      <c r="R264" s="50"/>
      <c r="S264" s="50"/>
      <c r="T264" s="50"/>
      <c r="U264" s="50"/>
      <c r="V264" s="50"/>
      <c r="W264" s="50"/>
      <c r="X264" s="50"/>
      <c r="Y264" s="50"/>
      <c r="Z264" s="50"/>
      <c r="AA264" s="50"/>
      <c r="AB264" s="50"/>
    </row>
    <row r="265">
      <c r="A265" s="49"/>
      <c r="B265" s="49"/>
      <c r="C265" s="50"/>
      <c r="D265" s="50"/>
      <c r="E265" s="50"/>
      <c r="F265" s="50"/>
      <c r="G265" s="50"/>
      <c r="H265" s="50"/>
      <c r="I265" s="50"/>
      <c r="J265" s="50"/>
      <c r="K265" s="50"/>
      <c r="L265" s="50"/>
      <c r="M265" s="50"/>
      <c r="N265" s="50"/>
      <c r="O265" s="50"/>
      <c r="P265" s="50"/>
      <c r="Q265" s="50"/>
      <c r="R265" s="50"/>
      <c r="S265" s="50"/>
      <c r="T265" s="50"/>
      <c r="U265" s="50"/>
      <c r="V265" s="50"/>
      <c r="W265" s="50"/>
      <c r="X265" s="50"/>
      <c r="Y265" s="50"/>
      <c r="Z265" s="50"/>
      <c r="AA265" s="50"/>
      <c r="AB265" s="50"/>
    </row>
    <row r="266">
      <c r="A266" s="49"/>
      <c r="B266" s="49"/>
      <c r="C266" s="50"/>
      <c r="D266" s="50"/>
      <c r="E266" s="50"/>
      <c r="F266" s="50"/>
      <c r="G266" s="50"/>
      <c r="H266" s="50"/>
      <c r="I266" s="50"/>
      <c r="J266" s="50"/>
      <c r="K266" s="50"/>
      <c r="L266" s="50"/>
      <c r="M266" s="50"/>
      <c r="N266" s="50"/>
      <c r="O266" s="50"/>
      <c r="P266" s="50"/>
      <c r="Q266" s="50"/>
      <c r="R266" s="50"/>
      <c r="S266" s="50"/>
      <c r="T266" s="50"/>
      <c r="U266" s="50"/>
      <c r="V266" s="50"/>
      <c r="W266" s="50"/>
      <c r="X266" s="50"/>
      <c r="Y266" s="50"/>
      <c r="Z266" s="50"/>
      <c r="AA266" s="50"/>
      <c r="AB266" s="50"/>
    </row>
    <row r="267">
      <c r="A267" s="49"/>
      <c r="B267" s="49"/>
      <c r="C267" s="50"/>
      <c r="D267" s="50"/>
      <c r="E267" s="50"/>
      <c r="F267" s="50"/>
      <c r="G267" s="50"/>
      <c r="H267" s="50"/>
      <c r="I267" s="50"/>
      <c r="J267" s="50"/>
      <c r="K267" s="50"/>
      <c r="L267" s="50"/>
      <c r="M267" s="50"/>
      <c r="N267" s="50"/>
      <c r="O267" s="50"/>
      <c r="P267" s="50"/>
      <c r="Q267" s="50"/>
      <c r="R267" s="50"/>
      <c r="S267" s="50"/>
      <c r="T267" s="50"/>
      <c r="U267" s="50"/>
      <c r="V267" s="50"/>
      <c r="W267" s="50"/>
      <c r="X267" s="50"/>
      <c r="Y267" s="50"/>
      <c r="Z267" s="50"/>
      <c r="AA267" s="50"/>
      <c r="AB267" s="50"/>
    </row>
    <row r="268">
      <c r="A268" s="49"/>
      <c r="B268" s="49"/>
      <c r="C268" s="50"/>
      <c r="D268" s="50"/>
      <c r="E268" s="50"/>
      <c r="F268" s="50"/>
      <c r="G268" s="50"/>
      <c r="H268" s="50"/>
      <c r="I268" s="50"/>
      <c r="J268" s="50"/>
      <c r="K268" s="50"/>
      <c r="L268" s="50"/>
      <c r="M268" s="50"/>
      <c r="N268" s="50"/>
      <c r="O268" s="50"/>
      <c r="P268" s="50"/>
      <c r="Q268" s="50"/>
      <c r="R268" s="50"/>
      <c r="S268" s="50"/>
      <c r="T268" s="50"/>
      <c r="U268" s="50"/>
      <c r="V268" s="50"/>
      <c r="W268" s="50"/>
      <c r="X268" s="50"/>
      <c r="Y268" s="50"/>
      <c r="Z268" s="50"/>
      <c r="AA268" s="50"/>
      <c r="AB268" s="50"/>
    </row>
    <row r="269">
      <c r="A269" s="49"/>
      <c r="B269" s="49"/>
      <c r="C269" s="50"/>
      <c r="D269" s="50"/>
      <c r="E269" s="50"/>
      <c r="F269" s="50"/>
      <c r="G269" s="50"/>
      <c r="H269" s="50"/>
      <c r="I269" s="50"/>
      <c r="J269" s="50"/>
      <c r="K269" s="50"/>
      <c r="L269" s="50"/>
      <c r="M269" s="50"/>
      <c r="N269" s="50"/>
      <c r="O269" s="50"/>
      <c r="P269" s="50"/>
      <c r="Q269" s="50"/>
      <c r="R269" s="50"/>
      <c r="S269" s="50"/>
      <c r="T269" s="50"/>
      <c r="U269" s="50"/>
      <c r="V269" s="50"/>
      <c r="W269" s="50"/>
      <c r="X269" s="50"/>
      <c r="Y269" s="50"/>
      <c r="Z269" s="50"/>
      <c r="AA269" s="50"/>
      <c r="AB269" s="50"/>
    </row>
    <row r="270">
      <c r="A270" s="49"/>
      <c r="B270" s="49"/>
      <c r="C270" s="50"/>
      <c r="D270" s="50"/>
      <c r="E270" s="50"/>
      <c r="F270" s="50"/>
      <c r="G270" s="50"/>
      <c r="H270" s="50"/>
      <c r="I270" s="50"/>
      <c r="J270" s="50"/>
      <c r="K270" s="50"/>
      <c r="L270" s="50"/>
      <c r="M270" s="50"/>
      <c r="N270" s="50"/>
      <c r="O270" s="50"/>
      <c r="P270" s="50"/>
      <c r="Q270" s="50"/>
      <c r="R270" s="50"/>
      <c r="S270" s="50"/>
      <c r="T270" s="50"/>
      <c r="U270" s="50"/>
      <c r="V270" s="50"/>
      <c r="W270" s="50"/>
      <c r="X270" s="50"/>
      <c r="Y270" s="50"/>
      <c r="Z270" s="50"/>
      <c r="AA270" s="50"/>
      <c r="AB270" s="50"/>
    </row>
    <row r="271">
      <c r="A271" s="49"/>
      <c r="B271" s="49"/>
      <c r="C271" s="50"/>
      <c r="D271" s="50"/>
      <c r="E271" s="50"/>
      <c r="F271" s="50"/>
      <c r="G271" s="50"/>
      <c r="H271" s="50"/>
      <c r="I271" s="50"/>
      <c r="J271" s="50"/>
      <c r="K271" s="50"/>
      <c r="L271" s="50"/>
      <c r="M271" s="50"/>
      <c r="N271" s="50"/>
      <c r="O271" s="50"/>
      <c r="P271" s="50"/>
      <c r="Q271" s="50"/>
      <c r="R271" s="50"/>
      <c r="S271" s="50"/>
      <c r="T271" s="50"/>
      <c r="U271" s="50"/>
      <c r="V271" s="50"/>
      <c r="W271" s="50"/>
      <c r="X271" s="50"/>
      <c r="Y271" s="50"/>
      <c r="Z271" s="50"/>
      <c r="AA271" s="50"/>
      <c r="AB271" s="50"/>
    </row>
    <row r="272">
      <c r="A272" s="49"/>
      <c r="B272" s="49"/>
      <c r="C272" s="50"/>
      <c r="D272" s="50"/>
      <c r="E272" s="50"/>
      <c r="F272" s="50"/>
      <c r="G272" s="50"/>
      <c r="H272" s="50"/>
      <c r="I272" s="50"/>
      <c r="J272" s="50"/>
      <c r="K272" s="50"/>
      <c r="L272" s="50"/>
      <c r="M272" s="50"/>
      <c r="N272" s="50"/>
      <c r="O272" s="50"/>
      <c r="P272" s="50"/>
      <c r="Q272" s="50"/>
      <c r="R272" s="50"/>
      <c r="S272" s="50"/>
      <c r="T272" s="50"/>
      <c r="U272" s="50"/>
      <c r="V272" s="50"/>
      <c r="W272" s="50"/>
      <c r="X272" s="50"/>
      <c r="Y272" s="50"/>
      <c r="Z272" s="50"/>
      <c r="AA272" s="50"/>
      <c r="AB272" s="50"/>
    </row>
    <row r="273">
      <c r="A273" s="49"/>
      <c r="B273" s="49"/>
      <c r="C273" s="50"/>
      <c r="D273" s="50"/>
      <c r="E273" s="50"/>
      <c r="F273" s="50"/>
      <c r="G273" s="50"/>
      <c r="H273" s="50"/>
      <c r="I273" s="50"/>
      <c r="J273" s="50"/>
      <c r="K273" s="50"/>
      <c r="L273" s="50"/>
      <c r="M273" s="50"/>
      <c r="N273" s="50"/>
      <c r="O273" s="50"/>
      <c r="P273" s="50"/>
      <c r="Q273" s="50"/>
      <c r="R273" s="50"/>
      <c r="S273" s="50"/>
      <c r="T273" s="50"/>
      <c r="U273" s="50"/>
      <c r="V273" s="50"/>
      <c r="W273" s="50"/>
      <c r="X273" s="50"/>
      <c r="Y273" s="50"/>
      <c r="Z273" s="50"/>
      <c r="AA273" s="50"/>
      <c r="AB273" s="50"/>
    </row>
    <row r="274">
      <c r="A274" s="49"/>
      <c r="B274" s="49"/>
      <c r="C274" s="50"/>
      <c r="D274" s="50"/>
      <c r="E274" s="50"/>
      <c r="F274" s="50"/>
      <c r="G274" s="50"/>
      <c r="H274" s="50"/>
      <c r="I274" s="50"/>
      <c r="J274" s="50"/>
      <c r="K274" s="50"/>
      <c r="L274" s="50"/>
      <c r="M274" s="50"/>
      <c r="N274" s="50"/>
      <c r="O274" s="50"/>
      <c r="P274" s="50"/>
      <c r="Q274" s="50"/>
      <c r="R274" s="50"/>
      <c r="S274" s="50"/>
      <c r="T274" s="50"/>
      <c r="U274" s="50"/>
      <c r="V274" s="50"/>
      <c r="W274" s="50"/>
      <c r="X274" s="50"/>
      <c r="Y274" s="50"/>
      <c r="Z274" s="50"/>
      <c r="AA274" s="50"/>
      <c r="AB274" s="50"/>
    </row>
    <row r="275">
      <c r="A275" s="49"/>
      <c r="B275" s="49"/>
      <c r="C275" s="50"/>
      <c r="D275" s="50"/>
      <c r="E275" s="50"/>
      <c r="F275" s="50"/>
      <c r="G275" s="50"/>
      <c r="H275" s="50"/>
      <c r="I275" s="50"/>
      <c r="J275" s="50"/>
      <c r="K275" s="50"/>
      <c r="L275" s="50"/>
      <c r="M275" s="50"/>
      <c r="N275" s="50"/>
      <c r="O275" s="50"/>
      <c r="P275" s="50"/>
      <c r="Q275" s="50"/>
      <c r="R275" s="50"/>
      <c r="S275" s="50"/>
      <c r="T275" s="50"/>
      <c r="U275" s="50"/>
      <c r="V275" s="50"/>
      <c r="W275" s="50"/>
      <c r="X275" s="50"/>
      <c r="Y275" s="50"/>
      <c r="Z275" s="50"/>
      <c r="AA275" s="50"/>
      <c r="AB275" s="50"/>
    </row>
    <row r="276">
      <c r="A276" s="49"/>
      <c r="B276" s="49"/>
      <c r="C276" s="50"/>
      <c r="D276" s="50"/>
      <c r="E276" s="50"/>
      <c r="F276" s="50"/>
      <c r="G276" s="50"/>
      <c r="H276" s="50"/>
      <c r="I276" s="50"/>
      <c r="J276" s="50"/>
      <c r="K276" s="50"/>
      <c r="L276" s="50"/>
      <c r="M276" s="50"/>
      <c r="N276" s="50"/>
      <c r="O276" s="50"/>
      <c r="P276" s="50"/>
      <c r="Q276" s="50"/>
      <c r="R276" s="50"/>
      <c r="S276" s="50"/>
      <c r="T276" s="50"/>
      <c r="U276" s="50"/>
      <c r="V276" s="50"/>
      <c r="W276" s="50"/>
      <c r="X276" s="50"/>
      <c r="Y276" s="50"/>
      <c r="Z276" s="50"/>
      <c r="AA276" s="50"/>
      <c r="AB276" s="50"/>
    </row>
    <row r="277">
      <c r="A277" s="49"/>
      <c r="B277" s="49"/>
      <c r="C277" s="50"/>
      <c r="D277" s="50"/>
      <c r="E277" s="50"/>
      <c r="F277" s="50"/>
      <c r="G277" s="50"/>
      <c r="H277" s="50"/>
      <c r="I277" s="50"/>
      <c r="J277" s="50"/>
      <c r="K277" s="50"/>
      <c r="L277" s="50"/>
      <c r="M277" s="50"/>
      <c r="N277" s="50"/>
      <c r="O277" s="50"/>
      <c r="P277" s="50"/>
      <c r="Q277" s="50"/>
      <c r="R277" s="50"/>
      <c r="S277" s="50"/>
      <c r="T277" s="50"/>
      <c r="U277" s="50"/>
      <c r="V277" s="50"/>
      <c r="W277" s="50"/>
      <c r="X277" s="50"/>
      <c r="Y277" s="50"/>
      <c r="Z277" s="50"/>
      <c r="AA277" s="50"/>
      <c r="AB277" s="50"/>
    </row>
    <row r="278">
      <c r="A278" s="49"/>
      <c r="B278" s="49"/>
      <c r="C278" s="50"/>
      <c r="D278" s="50"/>
      <c r="E278" s="50"/>
      <c r="F278" s="50"/>
      <c r="G278" s="50"/>
      <c r="H278" s="50"/>
      <c r="I278" s="50"/>
      <c r="J278" s="50"/>
      <c r="K278" s="50"/>
      <c r="L278" s="50"/>
      <c r="M278" s="50"/>
      <c r="N278" s="50"/>
      <c r="O278" s="50"/>
      <c r="P278" s="50"/>
      <c r="Q278" s="50"/>
      <c r="R278" s="50"/>
      <c r="S278" s="50"/>
      <c r="T278" s="50"/>
      <c r="U278" s="50"/>
      <c r="V278" s="50"/>
      <c r="W278" s="50"/>
      <c r="X278" s="50"/>
      <c r="Y278" s="50"/>
      <c r="Z278" s="50"/>
      <c r="AA278" s="50"/>
      <c r="AB278" s="50"/>
    </row>
    <row r="279">
      <c r="A279" s="49"/>
      <c r="B279" s="49"/>
      <c r="C279" s="50"/>
      <c r="D279" s="50"/>
      <c r="E279" s="50"/>
      <c r="F279" s="50"/>
      <c r="G279" s="50"/>
      <c r="H279" s="50"/>
      <c r="I279" s="50"/>
      <c r="J279" s="50"/>
      <c r="K279" s="50"/>
      <c r="L279" s="50"/>
      <c r="M279" s="50"/>
      <c r="N279" s="50"/>
      <c r="O279" s="50"/>
      <c r="P279" s="50"/>
      <c r="Q279" s="50"/>
      <c r="R279" s="50"/>
      <c r="S279" s="50"/>
      <c r="T279" s="50"/>
      <c r="U279" s="50"/>
      <c r="V279" s="50"/>
      <c r="W279" s="50"/>
      <c r="X279" s="50"/>
      <c r="Y279" s="50"/>
      <c r="Z279" s="50"/>
      <c r="AA279" s="50"/>
      <c r="AB279" s="50"/>
    </row>
    <row r="280">
      <c r="A280" s="49"/>
      <c r="B280" s="49"/>
      <c r="C280" s="50"/>
      <c r="D280" s="50"/>
      <c r="E280" s="50"/>
      <c r="F280" s="50"/>
      <c r="G280" s="50"/>
      <c r="H280" s="50"/>
      <c r="I280" s="50"/>
      <c r="J280" s="50"/>
      <c r="K280" s="50"/>
      <c r="L280" s="50"/>
      <c r="M280" s="50"/>
      <c r="N280" s="50"/>
      <c r="O280" s="50"/>
      <c r="P280" s="50"/>
      <c r="Q280" s="50"/>
      <c r="R280" s="50"/>
      <c r="S280" s="50"/>
      <c r="T280" s="50"/>
      <c r="U280" s="50"/>
      <c r="V280" s="50"/>
      <c r="W280" s="50"/>
      <c r="X280" s="50"/>
      <c r="Y280" s="50"/>
      <c r="Z280" s="50"/>
      <c r="AA280" s="50"/>
      <c r="AB280" s="50"/>
    </row>
    <row r="281">
      <c r="A281" s="49"/>
      <c r="B281" s="49"/>
      <c r="C281" s="50"/>
      <c r="D281" s="50"/>
      <c r="E281" s="50"/>
      <c r="F281" s="50"/>
      <c r="G281" s="50"/>
      <c r="H281" s="50"/>
      <c r="I281" s="50"/>
      <c r="J281" s="50"/>
      <c r="K281" s="50"/>
      <c r="L281" s="50"/>
      <c r="M281" s="50"/>
      <c r="N281" s="50"/>
      <c r="O281" s="50"/>
      <c r="P281" s="50"/>
      <c r="Q281" s="50"/>
      <c r="R281" s="50"/>
      <c r="S281" s="50"/>
      <c r="T281" s="50"/>
      <c r="U281" s="50"/>
      <c r="V281" s="50"/>
      <c r="W281" s="50"/>
      <c r="X281" s="50"/>
      <c r="Y281" s="50"/>
      <c r="Z281" s="50"/>
      <c r="AA281" s="50"/>
      <c r="AB281" s="50"/>
    </row>
    <row r="282">
      <c r="A282" s="49"/>
      <c r="B282" s="49"/>
      <c r="C282" s="50"/>
      <c r="D282" s="50"/>
      <c r="E282" s="50"/>
      <c r="F282" s="50"/>
      <c r="G282" s="50"/>
      <c r="H282" s="50"/>
      <c r="I282" s="50"/>
      <c r="J282" s="50"/>
      <c r="K282" s="50"/>
      <c r="L282" s="50"/>
      <c r="M282" s="50"/>
      <c r="N282" s="50"/>
      <c r="O282" s="50"/>
      <c r="P282" s="50"/>
      <c r="Q282" s="50"/>
      <c r="R282" s="50"/>
      <c r="S282" s="50"/>
      <c r="T282" s="50"/>
      <c r="U282" s="50"/>
      <c r="V282" s="50"/>
      <c r="W282" s="50"/>
      <c r="X282" s="50"/>
      <c r="Y282" s="50"/>
      <c r="Z282" s="50"/>
      <c r="AA282" s="50"/>
      <c r="AB282" s="50"/>
    </row>
    <row r="283">
      <c r="A283" s="49"/>
      <c r="B283" s="49"/>
      <c r="C283" s="50"/>
      <c r="D283" s="50"/>
      <c r="E283" s="50"/>
      <c r="F283" s="50"/>
      <c r="G283" s="50"/>
      <c r="H283" s="50"/>
      <c r="I283" s="50"/>
      <c r="J283" s="50"/>
      <c r="K283" s="50"/>
      <c r="L283" s="50"/>
      <c r="M283" s="50"/>
      <c r="N283" s="50"/>
      <c r="O283" s="50"/>
      <c r="P283" s="50"/>
      <c r="Q283" s="50"/>
      <c r="R283" s="50"/>
      <c r="S283" s="50"/>
      <c r="T283" s="50"/>
      <c r="U283" s="50"/>
      <c r="V283" s="50"/>
      <c r="W283" s="50"/>
      <c r="X283" s="50"/>
      <c r="Y283" s="50"/>
      <c r="Z283" s="50"/>
      <c r="AA283" s="50"/>
      <c r="AB283" s="50"/>
    </row>
    <row r="284">
      <c r="A284" s="49"/>
      <c r="B284" s="49"/>
      <c r="C284" s="50"/>
      <c r="D284" s="50"/>
      <c r="E284" s="50"/>
      <c r="F284" s="50"/>
      <c r="G284" s="50"/>
      <c r="H284" s="50"/>
      <c r="I284" s="50"/>
      <c r="J284" s="50"/>
      <c r="K284" s="50"/>
      <c r="L284" s="50"/>
      <c r="M284" s="50"/>
      <c r="N284" s="50"/>
      <c r="O284" s="50"/>
      <c r="P284" s="50"/>
      <c r="Q284" s="50"/>
      <c r="R284" s="50"/>
      <c r="S284" s="50"/>
      <c r="T284" s="50"/>
      <c r="U284" s="50"/>
      <c r="V284" s="50"/>
      <c r="W284" s="50"/>
      <c r="X284" s="50"/>
      <c r="Y284" s="50"/>
      <c r="Z284" s="50"/>
      <c r="AA284" s="50"/>
      <c r="AB284" s="50"/>
    </row>
    <row r="285">
      <c r="A285" s="49"/>
      <c r="B285" s="49"/>
      <c r="C285" s="50"/>
      <c r="D285" s="50"/>
      <c r="E285" s="50"/>
      <c r="F285" s="50"/>
      <c r="G285" s="50"/>
      <c r="H285" s="50"/>
      <c r="I285" s="50"/>
      <c r="J285" s="50"/>
      <c r="K285" s="50"/>
      <c r="L285" s="50"/>
      <c r="M285" s="50"/>
      <c r="N285" s="50"/>
      <c r="O285" s="50"/>
      <c r="P285" s="50"/>
      <c r="Q285" s="50"/>
      <c r="R285" s="50"/>
      <c r="S285" s="50"/>
      <c r="T285" s="50"/>
      <c r="U285" s="50"/>
      <c r="V285" s="50"/>
      <c r="W285" s="50"/>
      <c r="X285" s="50"/>
      <c r="Y285" s="50"/>
      <c r="Z285" s="50"/>
      <c r="AA285" s="50"/>
      <c r="AB285" s="50"/>
    </row>
    <row r="286">
      <c r="A286" s="49"/>
      <c r="B286" s="49"/>
      <c r="C286" s="50"/>
      <c r="D286" s="50"/>
      <c r="E286" s="50"/>
      <c r="F286" s="50"/>
      <c r="G286" s="50"/>
      <c r="H286" s="50"/>
      <c r="I286" s="50"/>
      <c r="J286" s="50"/>
      <c r="K286" s="50"/>
      <c r="L286" s="50"/>
      <c r="M286" s="50"/>
      <c r="N286" s="50"/>
      <c r="O286" s="50"/>
      <c r="P286" s="50"/>
      <c r="Q286" s="50"/>
      <c r="R286" s="50"/>
      <c r="S286" s="50"/>
      <c r="T286" s="50"/>
      <c r="U286" s="50"/>
      <c r="V286" s="50"/>
      <c r="W286" s="50"/>
      <c r="X286" s="50"/>
      <c r="Y286" s="50"/>
      <c r="Z286" s="50"/>
      <c r="AA286" s="50"/>
      <c r="AB286" s="50"/>
    </row>
    <row r="287">
      <c r="A287" s="49"/>
      <c r="B287" s="49"/>
      <c r="C287" s="50"/>
      <c r="D287" s="50"/>
      <c r="E287" s="50"/>
      <c r="F287" s="50"/>
      <c r="G287" s="50"/>
      <c r="H287" s="50"/>
      <c r="I287" s="50"/>
      <c r="J287" s="50"/>
      <c r="K287" s="50"/>
      <c r="L287" s="50"/>
      <c r="M287" s="50"/>
      <c r="N287" s="50"/>
      <c r="O287" s="50"/>
      <c r="P287" s="50"/>
      <c r="Q287" s="50"/>
      <c r="R287" s="50"/>
      <c r="S287" s="50"/>
      <c r="T287" s="50"/>
      <c r="U287" s="50"/>
      <c r="V287" s="50"/>
      <c r="W287" s="50"/>
      <c r="X287" s="50"/>
      <c r="Y287" s="50"/>
      <c r="Z287" s="50"/>
      <c r="AA287" s="50"/>
      <c r="AB287" s="50"/>
    </row>
    <row r="288">
      <c r="A288" s="49"/>
      <c r="B288" s="49"/>
      <c r="C288" s="50"/>
      <c r="D288" s="50"/>
      <c r="E288" s="50"/>
      <c r="F288" s="50"/>
      <c r="G288" s="50"/>
      <c r="H288" s="50"/>
      <c r="I288" s="50"/>
      <c r="J288" s="50"/>
      <c r="K288" s="50"/>
      <c r="L288" s="50"/>
      <c r="M288" s="50"/>
      <c r="N288" s="50"/>
      <c r="O288" s="50"/>
      <c r="P288" s="50"/>
      <c r="Q288" s="50"/>
      <c r="R288" s="50"/>
      <c r="S288" s="50"/>
      <c r="T288" s="50"/>
      <c r="U288" s="50"/>
      <c r="V288" s="50"/>
      <c r="W288" s="50"/>
      <c r="X288" s="50"/>
      <c r="Y288" s="50"/>
      <c r="Z288" s="50"/>
      <c r="AA288" s="50"/>
      <c r="AB288" s="50"/>
    </row>
    <row r="289">
      <c r="A289" s="49"/>
      <c r="B289" s="49"/>
      <c r="C289" s="50"/>
      <c r="D289" s="50"/>
      <c r="E289" s="50"/>
      <c r="F289" s="50"/>
      <c r="G289" s="50"/>
      <c r="H289" s="50"/>
      <c r="I289" s="50"/>
      <c r="J289" s="50"/>
      <c r="K289" s="50"/>
      <c r="L289" s="50"/>
      <c r="M289" s="50"/>
      <c r="N289" s="50"/>
      <c r="O289" s="50"/>
      <c r="P289" s="50"/>
      <c r="Q289" s="50"/>
      <c r="R289" s="50"/>
      <c r="S289" s="50"/>
      <c r="T289" s="50"/>
      <c r="U289" s="50"/>
      <c r="V289" s="50"/>
      <c r="W289" s="50"/>
      <c r="X289" s="50"/>
      <c r="Y289" s="50"/>
      <c r="Z289" s="50"/>
      <c r="AA289" s="50"/>
      <c r="AB289" s="50"/>
    </row>
    <row r="290">
      <c r="A290" s="49"/>
      <c r="B290" s="49"/>
      <c r="C290" s="50"/>
      <c r="D290" s="50"/>
      <c r="E290" s="50"/>
      <c r="F290" s="50"/>
      <c r="G290" s="50"/>
      <c r="H290" s="50"/>
      <c r="I290" s="50"/>
      <c r="J290" s="50"/>
      <c r="K290" s="50"/>
      <c r="L290" s="50"/>
      <c r="M290" s="50"/>
      <c r="N290" s="50"/>
      <c r="O290" s="50"/>
      <c r="P290" s="50"/>
      <c r="Q290" s="50"/>
      <c r="R290" s="50"/>
      <c r="S290" s="50"/>
      <c r="T290" s="50"/>
      <c r="U290" s="50"/>
      <c r="V290" s="50"/>
      <c r="W290" s="50"/>
      <c r="X290" s="50"/>
      <c r="Y290" s="50"/>
      <c r="Z290" s="50"/>
      <c r="AA290" s="50"/>
      <c r="AB290" s="50"/>
    </row>
    <row r="291">
      <c r="A291" s="49"/>
      <c r="B291" s="49"/>
      <c r="C291" s="50"/>
      <c r="D291" s="50"/>
      <c r="E291" s="50"/>
      <c r="F291" s="50"/>
      <c r="G291" s="50"/>
      <c r="H291" s="50"/>
      <c r="I291" s="50"/>
      <c r="J291" s="50"/>
      <c r="K291" s="50"/>
      <c r="L291" s="50"/>
      <c r="M291" s="50"/>
      <c r="N291" s="50"/>
      <c r="O291" s="50"/>
      <c r="P291" s="50"/>
      <c r="Q291" s="50"/>
      <c r="R291" s="50"/>
      <c r="S291" s="50"/>
      <c r="T291" s="50"/>
      <c r="U291" s="50"/>
      <c r="V291" s="50"/>
      <c r="W291" s="50"/>
      <c r="X291" s="50"/>
      <c r="Y291" s="50"/>
      <c r="Z291" s="50"/>
      <c r="AA291" s="50"/>
      <c r="AB291" s="50"/>
    </row>
    <row r="292">
      <c r="A292" s="49"/>
      <c r="B292" s="49"/>
      <c r="C292" s="50"/>
      <c r="D292" s="50"/>
      <c r="E292" s="50"/>
      <c r="F292" s="50"/>
      <c r="G292" s="50"/>
      <c r="H292" s="50"/>
      <c r="I292" s="50"/>
      <c r="J292" s="50"/>
      <c r="K292" s="50"/>
      <c r="L292" s="50"/>
      <c r="M292" s="50"/>
      <c r="N292" s="50"/>
      <c r="O292" s="50"/>
      <c r="P292" s="50"/>
      <c r="Q292" s="50"/>
      <c r="R292" s="50"/>
      <c r="S292" s="50"/>
      <c r="T292" s="50"/>
      <c r="U292" s="50"/>
      <c r="V292" s="50"/>
      <c r="W292" s="50"/>
      <c r="X292" s="50"/>
      <c r="Y292" s="50"/>
      <c r="Z292" s="50"/>
      <c r="AA292" s="50"/>
      <c r="AB292" s="50"/>
    </row>
    <row r="293">
      <c r="A293" s="49"/>
      <c r="B293" s="49"/>
      <c r="C293" s="50"/>
      <c r="D293" s="50"/>
      <c r="E293" s="50"/>
      <c r="F293" s="50"/>
      <c r="G293" s="50"/>
      <c r="H293" s="50"/>
      <c r="I293" s="50"/>
      <c r="J293" s="50"/>
      <c r="K293" s="50"/>
      <c r="L293" s="50"/>
      <c r="M293" s="50"/>
      <c r="N293" s="50"/>
      <c r="O293" s="50"/>
      <c r="P293" s="50"/>
      <c r="Q293" s="50"/>
      <c r="R293" s="50"/>
      <c r="S293" s="50"/>
      <c r="T293" s="50"/>
      <c r="U293" s="50"/>
      <c r="V293" s="50"/>
      <c r="W293" s="50"/>
      <c r="X293" s="50"/>
      <c r="Y293" s="50"/>
      <c r="Z293" s="50"/>
      <c r="AA293" s="50"/>
      <c r="AB293" s="50"/>
    </row>
    <row r="294">
      <c r="A294" s="49"/>
      <c r="B294" s="49"/>
      <c r="C294" s="50"/>
      <c r="D294" s="50"/>
      <c r="E294" s="50"/>
      <c r="F294" s="50"/>
      <c r="G294" s="50"/>
      <c r="H294" s="50"/>
      <c r="I294" s="50"/>
      <c r="J294" s="50"/>
      <c r="K294" s="50"/>
      <c r="L294" s="50"/>
      <c r="M294" s="50"/>
      <c r="N294" s="50"/>
      <c r="O294" s="50"/>
      <c r="P294" s="50"/>
      <c r="Q294" s="50"/>
      <c r="R294" s="50"/>
      <c r="S294" s="50"/>
      <c r="T294" s="50"/>
      <c r="U294" s="50"/>
      <c r="V294" s="50"/>
      <c r="W294" s="50"/>
      <c r="X294" s="50"/>
      <c r="Y294" s="50"/>
      <c r="Z294" s="50"/>
      <c r="AA294" s="50"/>
      <c r="AB294" s="50"/>
    </row>
    <row r="295">
      <c r="A295" s="49"/>
      <c r="B295" s="49"/>
      <c r="C295" s="50"/>
      <c r="D295" s="50"/>
      <c r="E295" s="50"/>
      <c r="F295" s="50"/>
      <c r="G295" s="50"/>
      <c r="H295" s="50"/>
      <c r="I295" s="50"/>
      <c r="J295" s="50"/>
      <c r="K295" s="50"/>
      <c r="L295" s="50"/>
      <c r="M295" s="50"/>
      <c r="N295" s="50"/>
      <c r="O295" s="50"/>
      <c r="P295" s="50"/>
      <c r="Q295" s="50"/>
      <c r="R295" s="50"/>
      <c r="S295" s="50"/>
      <c r="T295" s="50"/>
      <c r="U295" s="50"/>
      <c r="V295" s="50"/>
      <c r="W295" s="50"/>
      <c r="X295" s="50"/>
      <c r="Y295" s="50"/>
      <c r="Z295" s="50"/>
      <c r="AA295" s="50"/>
      <c r="AB295" s="50"/>
    </row>
    <row r="296">
      <c r="A296" s="49"/>
      <c r="B296" s="49"/>
      <c r="C296" s="50"/>
      <c r="D296" s="50"/>
      <c r="E296" s="50"/>
      <c r="F296" s="50"/>
      <c r="G296" s="50"/>
      <c r="H296" s="50"/>
      <c r="I296" s="50"/>
      <c r="J296" s="50"/>
      <c r="K296" s="50"/>
      <c r="L296" s="50"/>
      <c r="M296" s="50"/>
      <c r="N296" s="50"/>
      <c r="O296" s="50"/>
      <c r="P296" s="50"/>
      <c r="Q296" s="50"/>
      <c r="R296" s="50"/>
      <c r="S296" s="50"/>
      <c r="T296" s="50"/>
      <c r="U296" s="50"/>
      <c r="V296" s="50"/>
      <c r="W296" s="50"/>
      <c r="X296" s="50"/>
      <c r="Y296" s="50"/>
      <c r="Z296" s="50"/>
      <c r="AA296" s="50"/>
      <c r="AB296" s="50"/>
    </row>
    <row r="297">
      <c r="A297" s="49"/>
      <c r="B297" s="49"/>
      <c r="C297" s="50"/>
      <c r="D297" s="50"/>
      <c r="E297" s="50"/>
      <c r="F297" s="50"/>
      <c r="G297" s="50"/>
      <c r="H297" s="50"/>
      <c r="I297" s="50"/>
      <c r="J297" s="50"/>
      <c r="K297" s="50"/>
      <c r="L297" s="50"/>
      <c r="M297" s="50"/>
      <c r="N297" s="50"/>
      <c r="O297" s="50"/>
      <c r="P297" s="50"/>
      <c r="Q297" s="50"/>
      <c r="R297" s="50"/>
      <c r="S297" s="50"/>
      <c r="T297" s="50"/>
      <c r="U297" s="50"/>
      <c r="V297" s="50"/>
      <c r="W297" s="50"/>
      <c r="X297" s="50"/>
      <c r="Y297" s="50"/>
      <c r="Z297" s="50"/>
      <c r="AA297" s="50"/>
      <c r="AB297" s="50"/>
    </row>
    <row r="298">
      <c r="A298" s="49"/>
      <c r="B298" s="49"/>
      <c r="C298" s="50"/>
      <c r="D298" s="50"/>
      <c r="E298" s="50"/>
      <c r="F298" s="50"/>
      <c r="G298" s="50"/>
      <c r="H298" s="50"/>
      <c r="I298" s="50"/>
      <c r="J298" s="50"/>
      <c r="K298" s="50"/>
      <c r="L298" s="50"/>
      <c r="M298" s="50"/>
      <c r="N298" s="50"/>
      <c r="O298" s="50"/>
      <c r="P298" s="50"/>
      <c r="Q298" s="50"/>
      <c r="R298" s="50"/>
      <c r="S298" s="50"/>
      <c r="T298" s="50"/>
      <c r="U298" s="50"/>
      <c r="V298" s="50"/>
      <c r="W298" s="50"/>
      <c r="X298" s="50"/>
      <c r="Y298" s="50"/>
      <c r="Z298" s="50"/>
      <c r="AA298" s="50"/>
      <c r="AB298" s="50"/>
    </row>
    <row r="299">
      <c r="A299" s="49"/>
      <c r="B299" s="49"/>
      <c r="C299" s="50"/>
      <c r="D299" s="50"/>
      <c r="E299" s="50"/>
      <c r="F299" s="50"/>
      <c r="G299" s="50"/>
      <c r="H299" s="50"/>
      <c r="I299" s="50"/>
      <c r="J299" s="50"/>
      <c r="K299" s="50"/>
      <c r="L299" s="50"/>
      <c r="M299" s="50"/>
      <c r="N299" s="50"/>
      <c r="O299" s="50"/>
      <c r="P299" s="50"/>
      <c r="Q299" s="50"/>
      <c r="R299" s="50"/>
      <c r="S299" s="50"/>
      <c r="T299" s="50"/>
      <c r="U299" s="50"/>
      <c r="V299" s="50"/>
      <c r="W299" s="50"/>
      <c r="X299" s="50"/>
      <c r="Y299" s="50"/>
      <c r="Z299" s="50"/>
      <c r="AA299" s="50"/>
      <c r="AB299" s="50"/>
    </row>
    <row r="300">
      <c r="A300" s="49"/>
      <c r="B300" s="49"/>
      <c r="C300" s="50"/>
      <c r="D300" s="50"/>
      <c r="E300" s="50"/>
      <c r="F300" s="50"/>
      <c r="G300" s="50"/>
      <c r="H300" s="50"/>
      <c r="I300" s="50"/>
      <c r="J300" s="50"/>
      <c r="K300" s="50"/>
      <c r="L300" s="50"/>
      <c r="M300" s="50"/>
      <c r="N300" s="50"/>
      <c r="O300" s="50"/>
      <c r="P300" s="50"/>
      <c r="Q300" s="50"/>
      <c r="R300" s="50"/>
      <c r="S300" s="50"/>
      <c r="T300" s="50"/>
      <c r="U300" s="50"/>
      <c r="V300" s="50"/>
      <c r="W300" s="50"/>
      <c r="X300" s="50"/>
      <c r="Y300" s="50"/>
      <c r="Z300" s="50"/>
      <c r="AA300" s="50"/>
      <c r="AB300" s="50"/>
    </row>
    <row r="301">
      <c r="A301" s="49"/>
      <c r="B301" s="49"/>
      <c r="C301" s="50"/>
      <c r="D301" s="50"/>
      <c r="E301" s="50"/>
      <c r="F301" s="50"/>
      <c r="G301" s="50"/>
      <c r="H301" s="50"/>
      <c r="I301" s="50"/>
      <c r="J301" s="50"/>
      <c r="K301" s="50"/>
      <c r="L301" s="50"/>
      <c r="M301" s="50"/>
      <c r="N301" s="50"/>
      <c r="O301" s="50"/>
      <c r="P301" s="50"/>
      <c r="Q301" s="50"/>
      <c r="R301" s="50"/>
      <c r="S301" s="50"/>
      <c r="T301" s="50"/>
      <c r="U301" s="50"/>
      <c r="V301" s="50"/>
      <c r="W301" s="50"/>
      <c r="X301" s="50"/>
      <c r="Y301" s="50"/>
      <c r="Z301" s="50"/>
      <c r="AA301" s="50"/>
      <c r="AB301" s="50"/>
    </row>
    <row r="302">
      <c r="A302" s="49"/>
      <c r="B302" s="49"/>
      <c r="C302" s="50"/>
      <c r="D302" s="50"/>
      <c r="E302" s="50"/>
      <c r="F302" s="50"/>
      <c r="G302" s="50"/>
      <c r="H302" s="50"/>
      <c r="I302" s="50"/>
      <c r="J302" s="50"/>
      <c r="K302" s="50"/>
      <c r="L302" s="50"/>
      <c r="M302" s="50"/>
      <c r="N302" s="50"/>
      <c r="O302" s="50"/>
      <c r="P302" s="50"/>
      <c r="Q302" s="50"/>
      <c r="R302" s="50"/>
      <c r="S302" s="50"/>
      <c r="T302" s="50"/>
      <c r="U302" s="50"/>
      <c r="V302" s="50"/>
      <c r="W302" s="50"/>
      <c r="X302" s="50"/>
      <c r="Y302" s="50"/>
      <c r="Z302" s="50"/>
      <c r="AA302" s="50"/>
      <c r="AB302" s="50"/>
    </row>
    <row r="303">
      <c r="A303" s="49"/>
      <c r="B303" s="49"/>
      <c r="C303" s="50"/>
      <c r="D303" s="50"/>
      <c r="E303" s="50"/>
      <c r="F303" s="50"/>
      <c r="G303" s="50"/>
      <c r="H303" s="50"/>
      <c r="I303" s="50"/>
      <c r="J303" s="50"/>
      <c r="K303" s="50"/>
      <c r="L303" s="50"/>
      <c r="M303" s="50"/>
      <c r="N303" s="50"/>
      <c r="O303" s="50"/>
      <c r="P303" s="50"/>
      <c r="Q303" s="50"/>
      <c r="R303" s="50"/>
      <c r="S303" s="50"/>
      <c r="T303" s="50"/>
      <c r="U303" s="50"/>
      <c r="V303" s="50"/>
      <c r="W303" s="50"/>
      <c r="X303" s="50"/>
      <c r="Y303" s="50"/>
      <c r="Z303" s="50"/>
      <c r="AA303" s="50"/>
      <c r="AB303" s="50"/>
    </row>
    <row r="304">
      <c r="A304" s="49"/>
      <c r="B304" s="49"/>
      <c r="C304" s="50"/>
      <c r="D304" s="50"/>
      <c r="E304" s="50"/>
      <c r="F304" s="50"/>
      <c r="G304" s="50"/>
      <c r="H304" s="50"/>
      <c r="I304" s="50"/>
      <c r="J304" s="50"/>
      <c r="K304" s="50"/>
      <c r="L304" s="50"/>
      <c r="M304" s="50"/>
      <c r="N304" s="50"/>
      <c r="O304" s="50"/>
      <c r="P304" s="50"/>
      <c r="Q304" s="50"/>
      <c r="R304" s="50"/>
      <c r="S304" s="50"/>
      <c r="T304" s="50"/>
      <c r="U304" s="50"/>
      <c r="V304" s="50"/>
      <c r="W304" s="50"/>
      <c r="X304" s="50"/>
      <c r="Y304" s="50"/>
      <c r="Z304" s="50"/>
      <c r="AA304" s="50"/>
      <c r="AB304" s="50"/>
    </row>
    <row r="305">
      <c r="A305" s="49"/>
      <c r="B305" s="49"/>
      <c r="C305" s="50"/>
      <c r="D305" s="50"/>
      <c r="E305" s="50"/>
      <c r="F305" s="50"/>
      <c r="G305" s="50"/>
      <c r="H305" s="50"/>
      <c r="I305" s="50"/>
      <c r="J305" s="50"/>
      <c r="K305" s="50"/>
      <c r="L305" s="50"/>
      <c r="M305" s="50"/>
      <c r="N305" s="50"/>
      <c r="O305" s="50"/>
      <c r="P305" s="50"/>
      <c r="Q305" s="50"/>
      <c r="R305" s="50"/>
      <c r="S305" s="50"/>
      <c r="T305" s="50"/>
      <c r="U305" s="50"/>
      <c r="V305" s="50"/>
      <c r="W305" s="50"/>
      <c r="X305" s="50"/>
      <c r="Y305" s="50"/>
      <c r="Z305" s="50"/>
      <c r="AA305" s="50"/>
      <c r="AB305" s="50"/>
    </row>
    <row r="306">
      <c r="A306" s="49"/>
      <c r="B306" s="49"/>
      <c r="C306" s="50"/>
      <c r="D306" s="50"/>
      <c r="E306" s="50"/>
      <c r="F306" s="50"/>
      <c r="G306" s="50"/>
      <c r="H306" s="50"/>
      <c r="I306" s="50"/>
      <c r="J306" s="50"/>
      <c r="K306" s="50"/>
      <c r="L306" s="50"/>
      <c r="M306" s="50"/>
      <c r="N306" s="50"/>
      <c r="O306" s="50"/>
      <c r="P306" s="50"/>
      <c r="Q306" s="50"/>
      <c r="R306" s="50"/>
      <c r="S306" s="50"/>
      <c r="T306" s="50"/>
      <c r="U306" s="50"/>
      <c r="V306" s="50"/>
      <c r="W306" s="50"/>
      <c r="X306" s="50"/>
      <c r="Y306" s="50"/>
      <c r="Z306" s="50"/>
      <c r="AA306" s="50"/>
      <c r="AB306" s="50"/>
    </row>
    <row r="307">
      <c r="A307" s="49"/>
      <c r="B307" s="49"/>
      <c r="C307" s="50"/>
      <c r="D307" s="50"/>
      <c r="E307" s="50"/>
      <c r="F307" s="50"/>
      <c r="G307" s="50"/>
      <c r="H307" s="50"/>
      <c r="I307" s="50"/>
      <c r="J307" s="50"/>
      <c r="K307" s="50"/>
      <c r="L307" s="50"/>
      <c r="M307" s="50"/>
      <c r="N307" s="50"/>
      <c r="O307" s="50"/>
      <c r="P307" s="50"/>
      <c r="Q307" s="50"/>
      <c r="R307" s="50"/>
      <c r="S307" s="50"/>
      <c r="T307" s="50"/>
      <c r="U307" s="50"/>
      <c r="V307" s="50"/>
      <c r="W307" s="50"/>
      <c r="X307" s="50"/>
      <c r="Y307" s="50"/>
      <c r="Z307" s="50"/>
      <c r="AA307" s="50"/>
      <c r="AB307" s="50"/>
    </row>
    <row r="308">
      <c r="A308" s="49"/>
      <c r="B308" s="49"/>
      <c r="C308" s="50"/>
      <c r="D308" s="50"/>
      <c r="E308" s="50"/>
      <c r="F308" s="50"/>
      <c r="G308" s="50"/>
      <c r="H308" s="50"/>
      <c r="I308" s="50"/>
      <c r="J308" s="50"/>
      <c r="K308" s="50"/>
      <c r="L308" s="50"/>
      <c r="M308" s="50"/>
      <c r="N308" s="50"/>
      <c r="O308" s="50"/>
      <c r="P308" s="50"/>
      <c r="Q308" s="50"/>
      <c r="R308" s="50"/>
      <c r="S308" s="50"/>
      <c r="T308" s="50"/>
      <c r="U308" s="50"/>
      <c r="V308" s="50"/>
      <c r="W308" s="50"/>
      <c r="X308" s="50"/>
      <c r="Y308" s="50"/>
      <c r="Z308" s="50"/>
      <c r="AA308" s="50"/>
      <c r="AB308" s="50"/>
    </row>
    <row r="309">
      <c r="A309" s="49"/>
      <c r="B309" s="49"/>
      <c r="C309" s="50"/>
      <c r="D309" s="50"/>
      <c r="E309" s="50"/>
      <c r="F309" s="50"/>
      <c r="G309" s="50"/>
      <c r="H309" s="50"/>
      <c r="I309" s="50"/>
      <c r="J309" s="50"/>
      <c r="K309" s="50"/>
      <c r="L309" s="50"/>
      <c r="M309" s="50"/>
      <c r="N309" s="50"/>
      <c r="O309" s="50"/>
      <c r="P309" s="50"/>
      <c r="Q309" s="50"/>
      <c r="R309" s="50"/>
      <c r="S309" s="50"/>
      <c r="T309" s="50"/>
      <c r="U309" s="50"/>
      <c r="V309" s="50"/>
      <c r="W309" s="50"/>
      <c r="X309" s="50"/>
      <c r="Y309" s="50"/>
      <c r="Z309" s="50"/>
      <c r="AA309" s="50"/>
      <c r="AB309" s="50"/>
    </row>
    <row r="310">
      <c r="A310" s="49"/>
      <c r="B310" s="49"/>
      <c r="C310" s="50"/>
      <c r="D310" s="50"/>
      <c r="E310" s="50"/>
      <c r="F310" s="50"/>
      <c r="G310" s="50"/>
      <c r="H310" s="50"/>
      <c r="I310" s="50"/>
      <c r="J310" s="50"/>
      <c r="K310" s="50"/>
      <c r="L310" s="50"/>
      <c r="M310" s="50"/>
      <c r="N310" s="50"/>
      <c r="O310" s="50"/>
      <c r="P310" s="50"/>
      <c r="Q310" s="50"/>
      <c r="R310" s="50"/>
      <c r="S310" s="50"/>
      <c r="T310" s="50"/>
      <c r="U310" s="50"/>
      <c r="V310" s="50"/>
      <c r="W310" s="50"/>
      <c r="X310" s="50"/>
      <c r="Y310" s="50"/>
      <c r="Z310" s="50"/>
      <c r="AA310" s="50"/>
      <c r="AB310" s="50"/>
    </row>
    <row r="311">
      <c r="A311" s="49"/>
      <c r="B311" s="49"/>
      <c r="C311" s="50"/>
      <c r="D311" s="50"/>
      <c r="E311" s="50"/>
      <c r="F311" s="50"/>
      <c r="G311" s="50"/>
      <c r="H311" s="50"/>
      <c r="I311" s="50"/>
      <c r="J311" s="50"/>
      <c r="K311" s="50"/>
      <c r="L311" s="50"/>
      <c r="M311" s="50"/>
      <c r="N311" s="50"/>
      <c r="O311" s="50"/>
      <c r="P311" s="50"/>
      <c r="Q311" s="50"/>
      <c r="R311" s="50"/>
      <c r="S311" s="50"/>
      <c r="T311" s="50"/>
      <c r="U311" s="50"/>
      <c r="V311" s="50"/>
      <c r="W311" s="50"/>
      <c r="X311" s="50"/>
      <c r="Y311" s="50"/>
      <c r="Z311" s="50"/>
      <c r="AA311" s="50"/>
      <c r="AB311" s="50"/>
    </row>
    <row r="312">
      <c r="A312" s="49"/>
      <c r="B312" s="49"/>
      <c r="C312" s="50"/>
      <c r="D312" s="50"/>
      <c r="E312" s="50"/>
      <c r="F312" s="50"/>
      <c r="G312" s="50"/>
      <c r="H312" s="50"/>
      <c r="I312" s="50"/>
      <c r="J312" s="50"/>
      <c r="K312" s="50"/>
      <c r="L312" s="50"/>
      <c r="M312" s="50"/>
      <c r="N312" s="50"/>
      <c r="O312" s="50"/>
      <c r="P312" s="50"/>
      <c r="Q312" s="50"/>
      <c r="R312" s="50"/>
      <c r="S312" s="50"/>
      <c r="T312" s="50"/>
      <c r="U312" s="50"/>
      <c r="V312" s="50"/>
      <c r="W312" s="50"/>
      <c r="X312" s="50"/>
      <c r="Y312" s="50"/>
      <c r="Z312" s="50"/>
      <c r="AA312" s="50"/>
      <c r="AB312" s="50"/>
    </row>
    <row r="313">
      <c r="A313" s="49"/>
      <c r="B313" s="49"/>
      <c r="C313" s="50"/>
      <c r="D313" s="50"/>
      <c r="E313" s="50"/>
      <c r="F313" s="50"/>
      <c r="G313" s="50"/>
      <c r="H313" s="50"/>
      <c r="I313" s="50"/>
      <c r="J313" s="50"/>
      <c r="K313" s="50"/>
      <c r="L313" s="50"/>
      <c r="M313" s="50"/>
      <c r="N313" s="50"/>
      <c r="O313" s="50"/>
      <c r="P313" s="50"/>
      <c r="Q313" s="50"/>
      <c r="R313" s="50"/>
      <c r="S313" s="50"/>
      <c r="T313" s="50"/>
      <c r="U313" s="50"/>
      <c r="V313" s="50"/>
      <c r="W313" s="50"/>
      <c r="X313" s="50"/>
      <c r="Y313" s="50"/>
      <c r="Z313" s="50"/>
      <c r="AA313" s="50"/>
      <c r="AB313" s="50"/>
    </row>
    <row r="314">
      <c r="A314" s="49"/>
      <c r="B314" s="49"/>
      <c r="C314" s="50"/>
      <c r="D314" s="50"/>
      <c r="E314" s="50"/>
      <c r="F314" s="50"/>
      <c r="G314" s="50"/>
      <c r="H314" s="50"/>
      <c r="I314" s="50"/>
      <c r="J314" s="50"/>
      <c r="K314" s="50"/>
      <c r="L314" s="50"/>
      <c r="M314" s="50"/>
      <c r="N314" s="50"/>
      <c r="O314" s="50"/>
      <c r="P314" s="50"/>
      <c r="Q314" s="50"/>
      <c r="R314" s="50"/>
      <c r="S314" s="50"/>
      <c r="T314" s="50"/>
      <c r="U314" s="50"/>
      <c r="V314" s="50"/>
      <c r="W314" s="50"/>
      <c r="X314" s="50"/>
      <c r="Y314" s="50"/>
      <c r="Z314" s="50"/>
      <c r="AA314" s="50"/>
      <c r="AB314" s="50"/>
    </row>
    <row r="315">
      <c r="A315" s="49"/>
      <c r="B315" s="49"/>
      <c r="C315" s="50"/>
      <c r="D315" s="50"/>
      <c r="E315" s="50"/>
      <c r="F315" s="50"/>
      <c r="G315" s="50"/>
      <c r="H315" s="50"/>
      <c r="I315" s="50"/>
      <c r="J315" s="50"/>
      <c r="K315" s="50"/>
      <c r="L315" s="50"/>
      <c r="M315" s="50"/>
      <c r="N315" s="50"/>
      <c r="O315" s="50"/>
      <c r="P315" s="50"/>
      <c r="Q315" s="50"/>
      <c r="R315" s="50"/>
      <c r="S315" s="50"/>
      <c r="T315" s="50"/>
      <c r="U315" s="50"/>
      <c r="V315" s="50"/>
      <c r="W315" s="50"/>
      <c r="X315" s="50"/>
      <c r="Y315" s="50"/>
      <c r="Z315" s="50"/>
      <c r="AA315" s="50"/>
      <c r="AB315" s="50"/>
    </row>
    <row r="316">
      <c r="A316" s="49"/>
      <c r="B316" s="49"/>
      <c r="C316" s="50"/>
      <c r="D316" s="50"/>
      <c r="E316" s="50"/>
      <c r="F316" s="50"/>
      <c r="G316" s="50"/>
      <c r="H316" s="50"/>
      <c r="I316" s="50"/>
      <c r="J316" s="50"/>
      <c r="K316" s="50"/>
      <c r="L316" s="50"/>
      <c r="M316" s="50"/>
      <c r="N316" s="50"/>
      <c r="O316" s="50"/>
      <c r="P316" s="50"/>
      <c r="Q316" s="50"/>
      <c r="R316" s="50"/>
      <c r="S316" s="50"/>
      <c r="T316" s="50"/>
      <c r="U316" s="50"/>
      <c r="V316" s="50"/>
      <c r="W316" s="50"/>
      <c r="X316" s="50"/>
      <c r="Y316" s="50"/>
      <c r="Z316" s="50"/>
      <c r="AA316" s="50"/>
      <c r="AB316" s="50"/>
    </row>
    <row r="317">
      <c r="A317" s="49"/>
      <c r="B317" s="49"/>
      <c r="C317" s="50"/>
      <c r="D317" s="50"/>
      <c r="E317" s="50"/>
      <c r="F317" s="50"/>
      <c r="G317" s="50"/>
      <c r="H317" s="50"/>
      <c r="I317" s="50"/>
      <c r="J317" s="50"/>
      <c r="K317" s="50"/>
      <c r="L317" s="50"/>
      <c r="M317" s="50"/>
      <c r="N317" s="50"/>
      <c r="O317" s="50"/>
      <c r="P317" s="50"/>
      <c r="Q317" s="50"/>
      <c r="R317" s="50"/>
      <c r="S317" s="50"/>
      <c r="T317" s="50"/>
      <c r="U317" s="50"/>
      <c r="V317" s="50"/>
      <c r="W317" s="50"/>
      <c r="X317" s="50"/>
      <c r="Y317" s="50"/>
      <c r="Z317" s="50"/>
      <c r="AA317" s="50"/>
      <c r="AB317" s="50"/>
    </row>
    <row r="318">
      <c r="A318" s="49"/>
      <c r="B318" s="49"/>
      <c r="C318" s="50"/>
      <c r="D318" s="50"/>
      <c r="E318" s="50"/>
      <c r="F318" s="50"/>
      <c r="G318" s="50"/>
      <c r="H318" s="50"/>
      <c r="I318" s="50"/>
      <c r="J318" s="50"/>
      <c r="K318" s="50"/>
      <c r="L318" s="50"/>
      <c r="M318" s="50"/>
      <c r="N318" s="50"/>
      <c r="O318" s="50"/>
      <c r="P318" s="50"/>
      <c r="Q318" s="50"/>
      <c r="R318" s="50"/>
      <c r="S318" s="50"/>
      <c r="T318" s="50"/>
      <c r="U318" s="50"/>
      <c r="V318" s="50"/>
      <c r="W318" s="50"/>
      <c r="X318" s="50"/>
      <c r="Y318" s="50"/>
      <c r="Z318" s="50"/>
      <c r="AA318" s="50"/>
      <c r="AB318" s="50"/>
    </row>
    <row r="319">
      <c r="A319" s="49"/>
      <c r="B319" s="49"/>
      <c r="C319" s="50"/>
      <c r="D319" s="50"/>
      <c r="E319" s="50"/>
      <c r="F319" s="50"/>
      <c r="G319" s="50"/>
      <c r="H319" s="50"/>
      <c r="I319" s="50"/>
      <c r="J319" s="50"/>
      <c r="K319" s="50"/>
      <c r="L319" s="50"/>
      <c r="M319" s="50"/>
      <c r="N319" s="50"/>
      <c r="O319" s="50"/>
      <c r="P319" s="50"/>
      <c r="Q319" s="50"/>
      <c r="R319" s="50"/>
      <c r="S319" s="50"/>
      <c r="T319" s="50"/>
      <c r="U319" s="50"/>
      <c r="V319" s="50"/>
      <c r="W319" s="50"/>
      <c r="X319" s="50"/>
      <c r="Y319" s="50"/>
      <c r="Z319" s="50"/>
      <c r="AA319" s="50"/>
      <c r="AB319" s="50"/>
    </row>
    <row r="320">
      <c r="A320" s="49"/>
      <c r="B320" s="49"/>
      <c r="C320" s="50"/>
      <c r="D320" s="50"/>
      <c r="E320" s="50"/>
      <c r="F320" s="50"/>
      <c r="G320" s="50"/>
      <c r="H320" s="50"/>
      <c r="I320" s="50"/>
      <c r="J320" s="50"/>
      <c r="K320" s="50"/>
      <c r="L320" s="50"/>
      <c r="M320" s="50"/>
      <c r="N320" s="50"/>
      <c r="O320" s="50"/>
      <c r="P320" s="50"/>
      <c r="Q320" s="50"/>
      <c r="R320" s="50"/>
      <c r="S320" s="50"/>
      <c r="T320" s="50"/>
      <c r="U320" s="50"/>
      <c r="V320" s="50"/>
      <c r="W320" s="50"/>
      <c r="X320" s="50"/>
      <c r="Y320" s="50"/>
      <c r="Z320" s="50"/>
      <c r="AA320" s="50"/>
      <c r="AB320" s="50"/>
    </row>
    <row r="321">
      <c r="A321" s="49"/>
      <c r="B321" s="49"/>
      <c r="C321" s="50"/>
      <c r="D321" s="50"/>
      <c r="E321" s="50"/>
      <c r="F321" s="50"/>
      <c r="G321" s="50"/>
      <c r="H321" s="50"/>
      <c r="I321" s="50"/>
      <c r="J321" s="50"/>
      <c r="K321" s="50"/>
      <c r="L321" s="50"/>
      <c r="M321" s="50"/>
      <c r="N321" s="50"/>
      <c r="O321" s="50"/>
      <c r="P321" s="50"/>
      <c r="Q321" s="50"/>
      <c r="R321" s="50"/>
      <c r="S321" s="50"/>
      <c r="T321" s="50"/>
      <c r="U321" s="50"/>
      <c r="V321" s="50"/>
      <c r="W321" s="50"/>
      <c r="X321" s="50"/>
      <c r="Y321" s="50"/>
      <c r="Z321" s="50"/>
      <c r="AA321" s="50"/>
      <c r="AB321" s="50"/>
    </row>
    <row r="322">
      <c r="A322" s="49"/>
      <c r="B322" s="49"/>
      <c r="C322" s="50"/>
      <c r="D322" s="50"/>
      <c r="E322" s="50"/>
      <c r="F322" s="50"/>
      <c r="G322" s="50"/>
      <c r="H322" s="50"/>
      <c r="I322" s="50"/>
      <c r="J322" s="50"/>
      <c r="K322" s="50"/>
      <c r="L322" s="50"/>
      <c r="M322" s="50"/>
      <c r="N322" s="50"/>
      <c r="O322" s="50"/>
      <c r="P322" s="50"/>
      <c r="Q322" s="50"/>
      <c r="R322" s="50"/>
      <c r="S322" s="50"/>
      <c r="T322" s="50"/>
      <c r="U322" s="50"/>
      <c r="V322" s="50"/>
      <c r="W322" s="50"/>
      <c r="X322" s="50"/>
      <c r="Y322" s="50"/>
      <c r="Z322" s="50"/>
      <c r="AA322" s="50"/>
      <c r="AB322" s="50"/>
    </row>
    <row r="323">
      <c r="A323" s="49"/>
      <c r="B323" s="49"/>
      <c r="C323" s="50"/>
      <c r="D323" s="50"/>
      <c r="E323" s="50"/>
      <c r="F323" s="50"/>
      <c r="G323" s="50"/>
      <c r="H323" s="50"/>
      <c r="I323" s="50"/>
      <c r="J323" s="50"/>
      <c r="K323" s="50"/>
      <c r="L323" s="50"/>
      <c r="M323" s="50"/>
      <c r="N323" s="50"/>
      <c r="O323" s="50"/>
      <c r="P323" s="50"/>
      <c r="Q323" s="50"/>
      <c r="R323" s="50"/>
      <c r="S323" s="50"/>
      <c r="T323" s="50"/>
      <c r="U323" s="50"/>
      <c r="V323" s="50"/>
      <c r="W323" s="50"/>
      <c r="X323" s="50"/>
      <c r="Y323" s="50"/>
      <c r="Z323" s="50"/>
      <c r="AA323" s="50"/>
      <c r="AB323" s="50"/>
    </row>
    <row r="324">
      <c r="A324" s="49"/>
      <c r="B324" s="49"/>
      <c r="C324" s="50"/>
      <c r="D324" s="50"/>
      <c r="E324" s="50"/>
      <c r="F324" s="50"/>
      <c r="G324" s="50"/>
      <c r="H324" s="50"/>
      <c r="I324" s="50"/>
      <c r="J324" s="50"/>
      <c r="K324" s="50"/>
      <c r="L324" s="50"/>
      <c r="M324" s="50"/>
      <c r="N324" s="50"/>
      <c r="O324" s="50"/>
      <c r="P324" s="50"/>
      <c r="Q324" s="50"/>
      <c r="R324" s="50"/>
      <c r="S324" s="50"/>
      <c r="T324" s="50"/>
      <c r="U324" s="50"/>
      <c r="V324" s="50"/>
      <c r="W324" s="50"/>
      <c r="X324" s="50"/>
      <c r="Y324" s="50"/>
      <c r="Z324" s="50"/>
      <c r="AA324" s="50"/>
      <c r="AB324" s="50"/>
    </row>
    <row r="325">
      <c r="A325" s="49"/>
      <c r="B325" s="49"/>
      <c r="C325" s="50"/>
      <c r="D325" s="50"/>
      <c r="E325" s="50"/>
      <c r="F325" s="50"/>
      <c r="G325" s="50"/>
      <c r="H325" s="50"/>
      <c r="I325" s="50"/>
      <c r="J325" s="50"/>
      <c r="K325" s="50"/>
      <c r="L325" s="50"/>
      <c r="M325" s="50"/>
      <c r="N325" s="50"/>
      <c r="O325" s="50"/>
      <c r="P325" s="50"/>
      <c r="Q325" s="50"/>
      <c r="R325" s="50"/>
      <c r="S325" s="50"/>
      <c r="T325" s="50"/>
      <c r="U325" s="50"/>
      <c r="V325" s="50"/>
      <c r="W325" s="50"/>
      <c r="X325" s="50"/>
      <c r="Y325" s="50"/>
      <c r="Z325" s="50"/>
      <c r="AA325" s="50"/>
      <c r="AB325" s="50"/>
    </row>
    <row r="326">
      <c r="A326" s="49"/>
      <c r="B326" s="49"/>
      <c r="C326" s="50"/>
      <c r="D326" s="50"/>
      <c r="E326" s="50"/>
      <c r="F326" s="50"/>
      <c r="G326" s="50"/>
      <c r="H326" s="50"/>
      <c r="I326" s="50"/>
      <c r="J326" s="50"/>
      <c r="K326" s="50"/>
      <c r="L326" s="50"/>
      <c r="M326" s="50"/>
      <c r="N326" s="50"/>
      <c r="O326" s="50"/>
      <c r="P326" s="50"/>
      <c r="Q326" s="50"/>
      <c r="R326" s="50"/>
      <c r="S326" s="50"/>
      <c r="T326" s="50"/>
      <c r="U326" s="50"/>
      <c r="V326" s="50"/>
      <c r="W326" s="50"/>
      <c r="X326" s="50"/>
      <c r="Y326" s="50"/>
      <c r="Z326" s="50"/>
      <c r="AA326" s="50"/>
      <c r="AB326" s="50"/>
    </row>
    <row r="327">
      <c r="A327" s="49"/>
      <c r="B327" s="49"/>
      <c r="C327" s="50"/>
      <c r="D327" s="50"/>
      <c r="E327" s="50"/>
      <c r="F327" s="50"/>
      <c r="G327" s="50"/>
      <c r="H327" s="50"/>
      <c r="I327" s="50"/>
      <c r="J327" s="50"/>
      <c r="K327" s="50"/>
      <c r="L327" s="50"/>
      <c r="M327" s="50"/>
      <c r="N327" s="50"/>
      <c r="O327" s="50"/>
      <c r="P327" s="50"/>
      <c r="Q327" s="50"/>
      <c r="R327" s="50"/>
      <c r="S327" s="50"/>
      <c r="T327" s="50"/>
      <c r="U327" s="50"/>
      <c r="V327" s="50"/>
      <c r="W327" s="50"/>
      <c r="X327" s="50"/>
      <c r="Y327" s="50"/>
      <c r="Z327" s="50"/>
      <c r="AA327" s="50"/>
      <c r="AB327" s="50"/>
    </row>
    <row r="328">
      <c r="A328" s="49"/>
      <c r="B328" s="49"/>
      <c r="C328" s="50"/>
      <c r="D328" s="50"/>
      <c r="E328" s="50"/>
      <c r="F328" s="50"/>
      <c r="G328" s="50"/>
      <c r="H328" s="50"/>
      <c r="I328" s="50"/>
      <c r="J328" s="50"/>
      <c r="K328" s="50"/>
      <c r="L328" s="50"/>
      <c r="M328" s="50"/>
      <c r="N328" s="50"/>
      <c r="O328" s="50"/>
      <c r="P328" s="50"/>
      <c r="Q328" s="50"/>
      <c r="R328" s="50"/>
      <c r="S328" s="50"/>
      <c r="T328" s="50"/>
      <c r="U328" s="50"/>
      <c r="V328" s="50"/>
      <c r="W328" s="50"/>
      <c r="X328" s="50"/>
      <c r="Y328" s="50"/>
      <c r="Z328" s="50"/>
      <c r="AA328" s="50"/>
      <c r="AB328" s="50"/>
    </row>
    <row r="329">
      <c r="A329" s="49"/>
      <c r="B329" s="49"/>
      <c r="C329" s="50"/>
      <c r="D329" s="50"/>
      <c r="E329" s="50"/>
      <c r="F329" s="50"/>
      <c r="G329" s="50"/>
      <c r="H329" s="50"/>
      <c r="I329" s="50"/>
      <c r="J329" s="50"/>
      <c r="K329" s="50"/>
      <c r="L329" s="50"/>
      <c r="M329" s="50"/>
      <c r="N329" s="50"/>
      <c r="O329" s="50"/>
      <c r="P329" s="50"/>
      <c r="Q329" s="50"/>
      <c r="R329" s="50"/>
      <c r="S329" s="50"/>
      <c r="T329" s="50"/>
      <c r="U329" s="50"/>
      <c r="V329" s="50"/>
      <c r="W329" s="50"/>
      <c r="X329" s="50"/>
      <c r="Y329" s="50"/>
      <c r="Z329" s="50"/>
      <c r="AA329" s="50"/>
      <c r="AB329" s="50"/>
    </row>
    <row r="330">
      <c r="A330" s="49"/>
      <c r="B330" s="49"/>
      <c r="C330" s="50"/>
      <c r="D330" s="50"/>
      <c r="E330" s="50"/>
      <c r="F330" s="50"/>
      <c r="G330" s="50"/>
      <c r="H330" s="50"/>
      <c r="I330" s="50"/>
      <c r="J330" s="50"/>
      <c r="K330" s="50"/>
      <c r="L330" s="50"/>
      <c r="M330" s="50"/>
      <c r="N330" s="50"/>
      <c r="O330" s="50"/>
      <c r="P330" s="50"/>
      <c r="Q330" s="50"/>
      <c r="R330" s="50"/>
      <c r="S330" s="50"/>
      <c r="T330" s="50"/>
      <c r="U330" s="50"/>
      <c r="V330" s="50"/>
      <c r="W330" s="50"/>
      <c r="X330" s="50"/>
      <c r="Y330" s="50"/>
      <c r="Z330" s="50"/>
      <c r="AA330" s="50"/>
      <c r="AB330" s="50"/>
    </row>
    <row r="331">
      <c r="A331" s="49"/>
      <c r="B331" s="49"/>
      <c r="C331" s="50"/>
      <c r="D331" s="50"/>
      <c r="E331" s="50"/>
      <c r="F331" s="50"/>
      <c r="G331" s="50"/>
      <c r="H331" s="50"/>
      <c r="I331" s="50"/>
      <c r="J331" s="50"/>
      <c r="K331" s="50"/>
      <c r="L331" s="50"/>
      <c r="M331" s="50"/>
      <c r="N331" s="50"/>
      <c r="O331" s="50"/>
      <c r="P331" s="50"/>
      <c r="Q331" s="50"/>
      <c r="R331" s="50"/>
      <c r="S331" s="50"/>
      <c r="T331" s="50"/>
      <c r="U331" s="50"/>
      <c r="V331" s="50"/>
      <c r="W331" s="50"/>
      <c r="X331" s="50"/>
      <c r="Y331" s="50"/>
      <c r="Z331" s="50"/>
      <c r="AA331" s="50"/>
      <c r="AB331" s="50"/>
    </row>
    <row r="332">
      <c r="A332" s="49"/>
      <c r="B332" s="49"/>
      <c r="C332" s="50"/>
      <c r="D332" s="50"/>
      <c r="E332" s="50"/>
      <c r="F332" s="50"/>
      <c r="G332" s="50"/>
      <c r="H332" s="50"/>
      <c r="I332" s="50"/>
      <c r="J332" s="50"/>
      <c r="K332" s="50"/>
      <c r="L332" s="50"/>
      <c r="M332" s="50"/>
      <c r="N332" s="50"/>
      <c r="O332" s="50"/>
      <c r="P332" s="50"/>
      <c r="Q332" s="50"/>
      <c r="R332" s="50"/>
      <c r="S332" s="50"/>
      <c r="T332" s="50"/>
      <c r="U332" s="50"/>
      <c r="V332" s="50"/>
      <c r="W332" s="50"/>
      <c r="X332" s="50"/>
      <c r="Y332" s="50"/>
      <c r="Z332" s="50"/>
      <c r="AA332" s="50"/>
      <c r="AB332" s="50"/>
    </row>
    <row r="333">
      <c r="A333" s="49"/>
      <c r="B333" s="49"/>
      <c r="C333" s="50"/>
      <c r="D333" s="50"/>
      <c r="E333" s="50"/>
      <c r="F333" s="50"/>
      <c r="G333" s="50"/>
      <c r="H333" s="50"/>
      <c r="I333" s="50"/>
      <c r="J333" s="50"/>
      <c r="K333" s="50"/>
      <c r="L333" s="50"/>
      <c r="M333" s="50"/>
      <c r="N333" s="50"/>
      <c r="O333" s="50"/>
      <c r="P333" s="50"/>
      <c r="Q333" s="50"/>
      <c r="R333" s="50"/>
      <c r="S333" s="50"/>
      <c r="T333" s="50"/>
      <c r="U333" s="50"/>
      <c r="V333" s="50"/>
      <c r="W333" s="50"/>
      <c r="X333" s="50"/>
      <c r="Y333" s="50"/>
      <c r="Z333" s="50"/>
      <c r="AA333" s="50"/>
      <c r="AB333" s="50"/>
    </row>
    <row r="334">
      <c r="A334" s="49"/>
      <c r="B334" s="49"/>
      <c r="C334" s="50"/>
      <c r="D334" s="50"/>
      <c r="E334" s="50"/>
      <c r="F334" s="50"/>
      <c r="G334" s="50"/>
      <c r="H334" s="50"/>
      <c r="I334" s="50"/>
      <c r="J334" s="50"/>
      <c r="K334" s="50"/>
      <c r="L334" s="50"/>
      <c r="M334" s="50"/>
      <c r="N334" s="50"/>
      <c r="O334" s="50"/>
      <c r="P334" s="50"/>
      <c r="Q334" s="50"/>
      <c r="R334" s="50"/>
      <c r="S334" s="50"/>
      <c r="T334" s="50"/>
      <c r="U334" s="50"/>
      <c r="V334" s="50"/>
      <c r="W334" s="50"/>
      <c r="X334" s="50"/>
      <c r="Y334" s="50"/>
      <c r="Z334" s="50"/>
      <c r="AA334" s="50"/>
      <c r="AB334" s="50"/>
    </row>
    <row r="335">
      <c r="A335" s="49"/>
      <c r="B335" s="49"/>
      <c r="C335" s="50"/>
      <c r="D335" s="50"/>
      <c r="E335" s="50"/>
      <c r="F335" s="50"/>
      <c r="G335" s="50"/>
      <c r="H335" s="50"/>
      <c r="I335" s="50"/>
      <c r="J335" s="50"/>
      <c r="K335" s="50"/>
      <c r="L335" s="50"/>
      <c r="M335" s="50"/>
      <c r="N335" s="50"/>
      <c r="O335" s="50"/>
      <c r="P335" s="50"/>
      <c r="Q335" s="50"/>
      <c r="R335" s="50"/>
      <c r="S335" s="50"/>
      <c r="T335" s="50"/>
      <c r="U335" s="50"/>
      <c r="V335" s="50"/>
      <c r="W335" s="50"/>
      <c r="X335" s="50"/>
      <c r="Y335" s="50"/>
      <c r="Z335" s="50"/>
      <c r="AA335" s="50"/>
      <c r="AB335" s="50"/>
    </row>
    <row r="336">
      <c r="A336" s="49"/>
      <c r="B336" s="49"/>
      <c r="C336" s="50"/>
      <c r="D336" s="50"/>
      <c r="E336" s="50"/>
      <c r="F336" s="50"/>
      <c r="G336" s="50"/>
      <c r="H336" s="50"/>
      <c r="I336" s="50"/>
      <c r="J336" s="50"/>
      <c r="K336" s="50"/>
      <c r="L336" s="50"/>
      <c r="M336" s="50"/>
      <c r="N336" s="50"/>
      <c r="O336" s="50"/>
      <c r="P336" s="50"/>
      <c r="Q336" s="50"/>
      <c r="R336" s="50"/>
      <c r="S336" s="50"/>
      <c r="T336" s="50"/>
      <c r="U336" s="50"/>
      <c r="V336" s="50"/>
      <c r="W336" s="50"/>
      <c r="X336" s="50"/>
      <c r="Y336" s="50"/>
      <c r="Z336" s="50"/>
      <c r="AA336" s="50"/>
      <c r="AB336" s="50"/>
    </row>
    <row r="337">
      <c r="A337" s="49"/>
      <c r="B337" s="49"/>
      <c r="C337" s="50"/>
      <c r="D337" s="50"/>
      <c r="E337" s="50"/>
      <c r="F337" s="50"/>
      <c r="G337" s="50"/>
      <c r="H337" s="50"/>
      <c r="I337" s="50"/>
      <c r="J337" s="50"/>
      <c r="K337" s="50"/>
      <c r="L337" s="50"/>
      <c r="M337" s="50"/>
      <c r="N337" s="50"/>
      <c r="O337" s="50"/>
      <c r="P337" s="50"/>
      <c r="Q337" s="50"/>
      <c r="R337" s="50"/>
      <c r="S337" s="50"/>
      <c r="T337" s="50"/>
      <c r="U337" s="50"/>
      <c r="V337" s="50"/>
      <c r="W337" s="50"/>
      <c r="X337" s="50"/>
      <c r="Y337" s="50"/>
      <c r="Z337" s="50"/>
      <c r="AA337" s="50"/>
      <c r="AB337" s="50"/>
    </row>
    <row r="338">
      <c r="A338" s="49"/>
      <c r="B338" s="49"/>
      <c r="C338" s="50"/>
      <c r="D338" s="50"/>
      <c r="E338" s="50"/>
      <c r="F338" s="50"/>
      <c r="G338" s="50"/>
      <c r="H338" s="50"/>
      <c r="I338" s="50"/>
      <c r="J338" s="50"/>
      <c r="K338" s="50"/>
      <c r="L338" s="50"/>
      <c r="M338" s="50"/>
      <c r="N338" s="50"/>
      <c r="O338" s="50"/>
      <c r="P338" s="50"/>
      <c r="Q338" s="50"/>
      <c r="R338" s="50"/>
      <c r="S338" s="50"/>
      <c r="T338" s="50"/>
      <c r="U338" s="50"/>
      <c r="V338" s="50"/>
      <c r="W338" s="50"/>
      <c r="X338" s="50"/>
      <c r="Y338" s="50"/>
      <c r="Z338" s="50"/>
      <c r="AA338" s="50"/>
      <c r="AB338" s="50"/>
    </row>
    <row r="339">
      <c r="A339" s="49"/>
      <c r="B339" s="49"/>
      <c r="C339" s="50"/>
      <c r="D339" s="50"/>
      <c r="E339" s="50"/>
      <c r="F339" s="50"/>
      <c r="G339" s="50"/>
      <c r="H339" s="50"/>
      <c r="I339" s="50"/>
      <c r="J339" s="50"/>
      <c r="K339" s="50"/>
      <c r="L339" s="50"/>
      <c r="M339" s="50"/>
      <c r="N339" s="50"/>
      <c r="O339" s="50"/>
      <c r="P339" s="50"/>
      <c r="Q339" s="50"/>
      <c r="R339" s="50"/>
      <c r="S339" s="50"/>
      <c r="T339" s="50"/>
      <c r="U339" s="50"/>
      <c r="V339" s="50"/>
      <c r="W339" s="50"/>
      <c r="X339" s="50"/>
      <c r="Y339" s="50"/>
      <c r="Z339" s="50"/>
      <c r="AA339" s="50"/>
      <c r="AB339" s="50"/>
    </row>
    <row r="340">
      <c r="A340" s="49"/>
      <c r="B340" s="49"/>
      <c r="C340" s="50"/>
      <c r="D340" s="50"/>
      <c r="E340" s="50"/>
      <c r="F340" s="50"/>
      <c r="G340" s="50"/>
      <c r="H340" s="50"/>
      <c r="I340" s="50"/>
      <c r="J340" s="50"/>
      <c r="K340" s="50"/>
      <c r="L340" s="50"/>
      <c r="M340" s="50"/>
      <c r="N340" s="50"/>
      <c r="O340" s="50"/>
      <c r="P340" s="50"/>
      <c r="Q340" s="50"/>
      <c r="R340" s="50"/>
      <c r="S340" s="50"/>
      <c r="T340" s="50"/>
      <c r="U340" s="50"/>
      <c r="V340" s="50"/>
      <c r="W340" s="50"/>
      <c r="X340" s="50"/>
      <c r="Y340" s="50"/>
      <c r="Z340" s="50"/>
      <c r="AA340" s="50"/>
      <c r="AB340" s="50"/>
    </row>
    <row r="341">
      <c r="A341" s="49"/>
      <c r="B341" s="49"/>
      <c r="C341" s="50"/>
      <c r="D341" s="50"/>
      <c r="E341" s="50"/>
      <c r="F341" s="50"/>
      <c r="G341" s="50"/>
      <c r="H341" s="50"/>
      <c r="I341" s="50"/>
      <c r="J341" s="50"/>
      <c r="K341" s="50"/>
      <c r="L341" s="50"/>
      <c r="M341" s="50"/>
      <c r="N341" s="50"/>
      <c r="O341" s="50"/>
      <c r="P341" s="50"/>
      <c r="Q341" s="50"/>
      <c r="R341" s="50"/>
      <c r="S341" s="50"/>
      <c r="T341" s="50"/>
      <c r="U341" s="50"/>
      <c r="V341" s="50"/>
      <c r="W341" s="50"/>
      <c r="X341" s="50"/>
      <c r="Y341" s="50"/>
      <c r="Z341" s="50"/>
      <c r="AA341" s="50"/>
      <c r="AB341" s="50"/>
    </row>
    <row r="342">
      <c r="A342" s="49"/>
      <c r="B342" s="49"/>
      <c r="C342" s="50"/>
      <c r="D342" s="50"/>
      <c r="E342" s="50"/>
      <c r="F342" s="50"/>
      <c r="G342" s="50"/>
      <c r="H342" s="50"/>
      <c r="I342" s="50"/>
      <c r="J342" s="50"/>
      <c r="K342" s="50"/>
      <c r="L342" s="50"/>
      <c r="M342" s="50"/>
      <c r="N342" s="50"/>
      <c r="O342" s="50"/>
      <c r="P342" s="50"/>
      <c r="Q342" s="50"/>
      <c r="R342" s="50"/>
      <c r="S342" s="50"/>
      <c r="T342" s="50"/>
      <c r="U342" s="50"/>
      <c r="V342" s="50"/>
      <c r="W342" s="50"/>
      <c r="X342" s="50"/>
      <c r="Y342" s="50"/>
      <c r="Z342" s="50"/>
      <c r="AA342" s="50"/>
      <c r="AB342" s="50"/>
    </row>
    <row r="343">
      <c r="A343" s="49"/>
      <c r="B343" s="49"/>
      <c r="C343" s="50"/>
      <c r="D343" s="50"/>
      <c r="E343" s="50"/>
      <c r="F343" s="50"/>
      <c r="G343" s="50"/>
      <c r="H343" s="50"/>
      <c r="I343" s="50"/>
      <c r="J343" s="50"/>
      <c r="K343" s="50"/>
      <c r="L343" s="50"/>
      <c r="M343" s="50"/>
      <c r="N343" s="50"/>
      <c r="O343" s="50"/>
      <c r="P343" s="50"/>
      <c r="Q343" s="50"/>
      <c r="R343" s="50"/>
      <c r="S343" s="50"/>
      <c r="T343" s="50"/>
      <c r="U343" s="50"/>
      <c r="V343" s="50"/>
      <c r="W343" s="50"/>
      <c r="X343" s="50"/>
      <c r="Y343" s="50"/>
      <c r="Z343" s="50"/>
      <c r="AA343" s="50"/>
      <c r="AB343" s="50"/>
    </row>
    <row r="344">
      <c r="A344" s="49"/>
      <c r="B344" s="49"/>
      <c r="C344" s="50"/>
      <c r="D344" s="50"/>
      <c r="E344" s="50"/>
      <c r="F344" s="50"/>
      <c r="G344" s="50"/>
      <c r="H344" s="50"/>
      <c r="I344" s="50"/>
      <c r="J344" s="50"/>
      <c r="K344" s="50"/>
      <c r="L344" s="50"/>
      <c r="M344" s="50"/>
      <c r="N344" s="50"/>
      <c r="O344" s="50"/>
      <c r="P344" s="50"/>
      <c r="Q344" s="50"/>
      <c r="R344" s="50"/>
      <c r="S344" s="50"/>
      <c r="T344" s="50"/>
      <c r="U344" s="50"/>
      <c r="V344" s="50"/>
      <c r="W344" s="50"/>
      <c r="X344" s="50"/>
      <c r="Y344" s="50"/>
      <c r="Z344" s="50"/>
      <c r="AA344" s="50"/>
      <c r="AB344" s="50"/>
    </row>
    <row r="345">
      <c r="A345" s="49"/>
      <c r="B345" s="49"/>
      <c r="C345" s="50"/>
      <c r="D345" s="50"/>
      <c r="E345" s="50"/>
      <c r="F345" s="50"/>
      <c r="G345" s="50"/>
      <c r="H345" s="50"/>
      <c r="I345" s="50"/>
      <c r="J345" s="50"/>
      <c r="K345" s="50"/>
      <c r="L345" s="50"/>
      <c r="M345" s="50"/>
      <c r="N345" s="50"/>
      <c r="O345" s="50"/>
      <c r="P345" s="50"/>
      <c r="Q345" s="50"/>
      <c r="R345" s="50"/>
      <c r="S345" s="50"/>
      <c r="T345" s="50"/>
      <c r="U345" s="50"/>
      <c r="V345" s="50"/>
      <c r="W345" s="50"/>
      <c r="X345" s="50"/>
      <c r="Y345" s="50"/>
      <c r="Z345" s="50"/>
      <c r="AA345" s="50"/>
      <c r="AB345" s="50"/>
    </row>
    <row r="346">
      <c r="A346" s="49"/>
      <c r="B346" s="49"/>
      <c r="C346" s="50"/>
      <c r="D346" s="50"/>
      <c r="E346" s="50"/>
      <c r="F346" s="50"/>
      <c r="G346" s="50"/>
      <c r="H346" s="50"/>
      <c r="I346" s="50"/>
      <c r="J346" s="50"/>
      <c r="K346" s="50"/>
      <c r="L346" s="50"/>
      <c r="M346" s="50"/>
      <c r="N346" s="50"/>
      <c r="O346" s="50"/>
      <c r="P346" s="50"/>
      <c r="Q346" s="50"/>
      <c r="R346" s="50"/>
      <c r="S346" s="50"/>
      <c r="T346" s="50"/>
      <c r="U346" s="50"/>
      <c r="V346" s="50"/>
      <c r="W346" s="50"/>
      <c r="X346" s="50"/>
      <c r="Y346" s="50"/>
      <c r="Z346" s="50"/>
      <c r="AA346" s="50"/>
      <c r="AB346" s="50"/>
    </row>
    <row r="347">
      <c r="A347" s="49"/>
      <c r="B347" s="49"/>
      <c r="C347" s="50"/>
      <c r="D347" s="50"/>
      <c r="E347" s="50"/>
      <c r="F347" s="50"/>
      <c r="G347" s="50"/>
      <c r="H347" s="50"/>
      <c r="I347" s="50"/>
      <c r="J347" s="50"/>
      <c r="K347" s="50"/>
      <c r="L347" s="50"/>
      <c r="M347" s="50"/>
      <c r="N347" s="50"/>
      <c r="O347" s="50"/>
      <c r="P347" s="50"/>
      <c r="Q347" s="50"/>
      <c r="R347" s="50"/>
      <c r="S347" s="50"/>
      <c r="T347" s="50"/>
      <c r="U347" s="50"/>
      <c r="V347" s="50"/>
      <c r="W347" s="50"/>
      <c r="X347" s="50"/>
      <c r="Y347" s="50"/>
      <c r="Z347" s="50"/>
      <c r="AA347" s="50"/>
      <c r="AB347" s="50"/>
    </row>
    <row r="348">
      <c r="A348" s="49"/>
      <c r="B348" s="49"/>
      <c r="C348" s="50"/>
      <c r="D348" s="50"/>
      <c r="E348" s="50"/>
      <c r="F348" s="50"/>
      <c r="G348" s="50"/>
      <c r="H348" s="50"/>
      <c r="I348" s="50"/>
      <c r="J348" s="50"/>
      <c r="K348" s="50"/>
      <c r="L348" s="50"/>
      <c r="M348" s="50"/>
      <c r="N348" s="50"/>
      <c r="O348" s="50"/>
      <c r="P348" s="50"/>
      <c r="Q348" s="50"/>
      <c r="R348" s="50"/>
      <c r="S348" s="50"/>
      <c r="T348" s="50"/>
      <c r="U348" s="50"/>
      <c r="V348" s="50"/>
      <c r="W348" s="50"/>
      <c r="X348" s="50"/>
      <c r="Y348" s="50"/>
      <c r="Z348" s="50"/>
      <c r="AA348" s="50"/>
      <c r="AB348" s="50"/>
    </row>
    <row r="349">
      <c r="A349" s="49"/>
      <c r="B349" s="49"/>
      <c r="C349" s="50"/>
      <c r="D349" s="50"/>
      <c r="E349" s="50"/>
      <c r="F349" s="50"/>
      <c r="G349" s="50"/>
      <c r="H349" s="50"/>
      <c r="I349" s="50"/>
      <c r="J349" s="50"/>
      <c r="K349" s="50"/>
      <c r="L349" s="50"/>
      <c r="M349" s="50"/>
      <c r="N349" s="50"/>
      <c r="O349" s="50"/>
      <c r="P349" s="50"/>
      <c r="Q349" s="50"/>
      <c r="R349" s="50"/>
      <c r="S349" s="50"/>
      <c r="T349" s="50"/>
      <c r="U349" s="50"/>
      <c r="V349" s="50"/>
      <c r="W349" s="50"/>
      <c r="X349" s="50"/>
      <c r="Y349" s="50"/>
      <c r="Z349" s="50"/>
      <c r="AA349" s="50"/>
      <c r="AB349" s="50"/>
    </row>
    <row r="350">
      <c r="A350" s="49"/>
      <c r="B350" s="49"/>
      <c r="C350" s="50"/>
      <c r="D350" s="50"/>
      <c r="E350" s="50"/>
      <c r="F350" s="50"/>
      <c r="G350" s="50"/>
      <c r="H350" s="50"/>
      <c r="I350" s="50"/>
      <c r="J350" s="50"/>
      <c r="K350" s="50"/>
      <c r="L350" s="50"/>
      <c r="M350" s="50"/>
      <c r="N350" s="50"/>
      <c r="O350" s="50"/>
      <c r="P350" s="50"/>
      <c r="Q350" s="50"/>
      <c r="R350" s="50"/>
      <c r="S350" s="50"/>
      <c r="T350" s="50"/>
      <c r="U350" s="50"/>
      <c r="V350" s="50"/>
      <c r="W350" s="50"/>
      <c r="X350" s="50"/>
      <c r="Y350" s="50"/>
      <c r="Z350" s="50"/>
      <c r="AA350" s="50"/>
      <c r="AB350" s="50"/>
    </row>
    <row r="351">
      <c r="A351" s="49"/>
      <c r="B351" s="49"/>
      <c r="C351" s="50"/>
      <c r="D351" s="50"/>
      <c r="E351" s="50"/>
      <c r="F351" s="50"/>
      <c r="G351" s="50"/>
      <c r="H351" s="50"/>
      <c r="I351" s="50"/>
      <c r="J351" s="50"/>
      <c r="K351" s="50"/>
      <c r="L351" s="50"/>
      <c r="M351" s="50"/>
      <c r="N351" s="50"/>
      <c r="O351" s="50"/>
      <c r="P351" s="50"/>
      <c r="Q351" s="50"/>
      <c r="R351" s="50"/>
      <c r="S351" s="50"/>
      <c r="T351" s="50"/>
      <c r="U351" s="50"/>
      <c r="V351" s="50"/>
      <c r="W351" s="50"/>
      <c r="X351" s="50"/>
      <c r="Y351" s="50"/>
      <c r="Z351" s="50"/>
      <c r="AA351" s="50"/>
      <c r="AB351" s="50"/>
    </row>
    <row r="352">
      <c r="A352" s="49"/>
      <c r="B352" s="49"/>
      <c r="C352" s="50"/>
      <c r="D352" s="50"/>
      <c r="E352" s="50"/>
      <c r="F352" s="50"/>
      <c r="G352" s="50"/>
      <c r="H352" s="50"/>
      <c r="I352" s="50"/>
      <c r="J352" s="50"/>
      <c r="K352" s="50"/>
      <c r="L352" s="50"/>
      <c r="M352" s="50"/>
      <c r="N352" s="50"/>
      <c r="O352" s="50"/>
      <c r="P352" s="50"/>
      <c r="Q352" s="50"/>
      <c r="R352" s="50"/>
      <c r="S352" s="50"/>
      <c r="T352" s="50"/>
      <c r="U352" s="50"/>
      <c r="V352" s="50"/>
      <c r="W352" s="50"/>
      <c r="X352" s="50"/>
      <c r="Y352" s="50"/>
      <c r="Z352" s="50"/>
      <c r="AA352" s="50"/>
      <c r="AB352" s="50"/>
    </row>
    <row r="353">
      <c r="A353" s="49"/>
      <c r="B353" s="49"/>
      <c r="C353" s="50"/>
      <c r="D353" s="50"/>
      <c r="E353" s="50"/>
      <c r="F353" s="50"/>
      <c r="G353" s="50"/>
      <c r="H353" s="50"/>
      <c r="I353" s="50"/>
      <c r="J353" s="50"/>
      <c r="K353" s="50"/>
      <c r="L353" s="50"/>
      <c r="M353" s="50"/>
      <c r="N353" s="50"/>
      <c r="O353" s="50"/>
      <c r="P353" s="50"/>
      <c r="Q353" s="50"/>
      <c r="R353" s="50"/>
      <c r="S353" s="50"/>
      <c r="T353" s="50"/>
      <c r="U353" s="50"/>
      <c r="V353" s="50"/>
      <c r="W353" s="50"/>
      <c r="X353" s="50"/>
      <c r="Y353" s="50"/>
      <c r="Z353" s="50"/>
      <c r="AA353" s="50"/>
      <c r="AB353" s="50"/>
    </row>
    <row r="354">
      <c r="A354" s="49"/>
      <c r="B354" s="49"/>
      <c r="C354" s="50"/>
      <c r="D354" s="50"/>
      <c r="E354" s="50"/>
      <c r="F354" s="50"/>
      <c r="G354" s="50"/>
      <c r="H354" s="50"/>
      <c r="I354" s="50"/>
      <c r="J354" s="50"/>
      <c r="K354" s="50"/>
      <c r="L354" s="50"/>
      <c r="M354" s="50"/>
      <c r="N354" s="50"/>
      <c r="O354" s="50"/>
      <c r="P354" s="50"/>
      <c r="Q354" s="50"/>
      <c r="R354" s="50"/>
      <c r="S354" s="50"/>
      <c r="T354" s="50"/>
      <c r="U354" s="50"/>
      <c r="V354" s="50"/>
      <c r="W354" s="50"/>
      <c r="X354" s="50"/>
      <c r="Y354" s="50"/>
      <c r="Z354" s="50"/>
      <c r="AA354" s="50"/>
      <c r="AB354" s="50"/>
    </row>
    <row r="355">
      <c r="A355" s="49"/>
      <c r="B355" s="49"/>
      <c r="C355" s="50"/>
      <c r="D355" s="50"/>
      <c r="E355" s="50"/>
      <c r="F355" s="50"/>
      <c r="G355" s="50"/>
      <c r="H355" s="50"/>
      <c r="I355" s="50"/>
      <c r="J355" s="50"/>
      <c r="K355" s="50"/>
      <c r="L355" s="50"/>
      <c r="M355" s="50"/>
      <c r="N355" s="50"/>
      <c r="O355" s="50"/>
      <c r="P355" s="50"/>
      <c r="Q355" s="50"/>
      <c r="R355" s="50"/>
      <c r="S355" s="50"/>
      <c r="T355" s="50"/>
      <c r="U355" s="50"/>
      <c r="V355" s="50"/>
      <c r="W355" s="50"/>
      <c r="X355" s="50"/>
      <c r="Y355" s="50"/>
      <c r="Z355" s="50"/>
      <c r="AA355" s="50"/>
      <c r="AB355" s="50"/>
    </row>
    <row r="356">
      <c r="A356" s="49"/>
      <c r="B356" s="49"/>
      <c r="C356" s="50"/>
      <c r="D356" s="50"/>
      <c r="E356" s="50"/>
      <c r="F356" s="50"/>
      <c r="G356" s="50"/>
      <c r="H356" s="50"/>
      <c r="I356" s="50"/>
      <c r="J356" s="50"/>
      <c r="K356" s="50"/>
      <c r="L356" s="50"/>
      <c r="M356" s="50"/>
      <c r="N356" s="50"/>
      <c r="O356" s="50"/>
      <c r="P356" s="50"/>
      <c r="Q356" s="50"/>
      <c r="R356" s="50"/>
      <c r="S356" s="50"/>
      <c r="T356" s="50"/>
      <c r="U356" s="50"/>
      <c r="V356" s="50"/>
      <c r="W356" s="50"/>
      <c r="X356" s="50"/>
      <c r="Y356" s="50"/>
      <c r="Z356" s="50"/>
      <c r="AA356" s="50"/>
      <c r="AB356" s="50"/>
    </row>
    <row r="357">
      <c r="A357" s="49"/>
      <c r="B357" s="49"/>
      <c r="C357" s="50"/>
      <c r="D357" s="50"/>
      <c r="E357" s="50"/>
      <c r="F357" s="50"/>
      <c r="G357" s="50"/>
      <c r="H357" s="50"/>
      <c r="I357" s="50"/>
      <c r="J357" s="50"/>
      <c r="K357" s="50"/>
      <c r="L357" s="50"/>
      <c r="M357" s="50"/>
      <c r="N357" s="50"/>
      <c r="O357" s="50"/>
      <c r="P357" s="50"/>
      <c r="Q357" s="50"/>
      <c r="R357" s="50"/>
      <c r="S357" s="50"/>
      <c r="T357" s="50"/>
      <c r="U357" s="50"/>
      <c r="V357" s="50"/>
      <c r="W357" s="50"/>
      <c r="X357" s="50"/>
      <c r="Y357" s="50"/>
      <c r="Z357" s="50"/>
      <c r="AA357" s="50"/>
      <c r="AB357" s="50"/>
    </row>
    <row r="358">
      <c r="A358" s="49"/>
      <c r="B358" s="49"/>
      <c r="C358" s="50"/>
      <c r="D358" s="50"/>
      <c r="E358" s="50"/>
      <c r="F358" s="50"/>
      <c r="G358" s="50"/>
      <c r="H358" s="50"/>
      <c r="I358" s="50"/>
      <c r="J358" s="50"/>
      <c r="K358" s="50"/>
      <c r="L358" s="50"/>
      <c r="M358" s="50"/>
      <c r="N358" s="50"/>
      <c r="O358" s="50"/>
      <c r="P358" s="50"/>
      <c r="Q358" s="50"/>
      <c r="R358" s="50"/>
      <c r="S358" s="50"/>
      <c r="T358" s="50"/>
      <c r="U358" s="50"/>
      <c r="V358" s="50"/>
      <c r="W358" s="50"/>
      <c r="X358" s="50"/>
      <c r="Y358" s="50"/>
      <c r="Z358" s="50"/>
      <c r="AA358" s="50"/>
      <c r="AB358" s="50"/>
    </row>
    <row r="359">
      <c r="A359" s="49"/>
      <c r="B359" s="49"/>
      <c r="C359" s="50"/>
      <c r="D359" s="50"/>
      <c r="E359" s="50"/>
      <c r="F359" s="50"/>
      <c r="G359" s="50"/>
      <c r="H359" s="50"/>
      <c r="I359" s="50"/>
      <c r="J359" s="50"/>
      <c r="K359" s="50"/>
      <c r="L359" s="50"/>
      <c r="M359" s="50"/>
      <c r="N359" s="50"/>
      <c r="O359" s="50"/>
      <c r="P359" s="50"/>
      <c r="Q359" s="50"/>
      <c r="R359" s="50"/>
      <c r="S359" s="50"/>
      <c r="T359" s="50"/>
      <c r="U359" s="50"/>
      <c r="V359" s="50"/>
      <c r="W359" s="50"/>
      <c r="X359" s="50"/>
      <c r="Y359" s="50"/>
      <c r="Z359" s="50"/>
      <c r="AA359" s="50"/>
      <c r="AB359" s="50"/>
    </row>
    <row r="360">
      <c r="A360" s="49"/>
      <c r="B360" s="49"/>
      <c r="C360" s="50"/>
      <c r="D360" s="50"/>
      <c r="E360" s="50"/>
      <c r="F360" s="50"/>
      <c r="G360" s="50"/>
      <c r="H360" s="50"/>
      <c r="I360" s="50"/>
      <c r="J360" s="50"/>
      <c r="K360" s="50"/>
      <c r="L360" s="50"/>
      <c r="M360" s="50"/>
      <c r="N360" s="50"/>
      <c r="O360" s="50"/>
      <c r="P360" s="50"/>
      <c r="Q360" s="50"/>
      <c r="R360" s="50"/>
      <c r="S360" s="50"/>
      <c r="T360" s="50"/>
      <c r="U360" s="50"/>
      <c r="V360" s="50"/>
      <c r="W360" s="50"/>
      <c r="X360" s="50"/>
      <c r="Y360" s="50"/>
      <c r="Z360" s="50"/>
      <c r="AA360" s="50"/>
      <c r="AB360" s="50"/>
    </row>
    <row r="361">
      <c r="A361" s="49"/>
      <c r="B361" s="49"/>
      <c r="C361" s="50"/>
      <c r="D361" s="50"/>
      <c r="E361" s="50"/>
      <c r="F361" s="50"/>
      <c r="G361" s="50"/>
      <c r="H361" s="50"/>
      <c r="I361" s="50"/>
      <c r="J361" s="50"/>
      <c r="K361" s="50"/>
      <c r="L361" s="50"/>
      <c r="M361" s="50"/>
      <c r="N361" s="50"/>
      <c r="O361" s="50"/>
      <c r="P361" s="50"/>
      <c r="Q361" s="50"/>
      <c r="R361" s="50"/>
      <c r="S361" s="50"/>
      <c r="T361" s="50"/>
      <c r="U361" s="50"/>
      <c r="V361" s="50"/>
      <c r="W361" s="50"/>
      <c r="X361" s="50"/>
      <c r="Y361" s="50"/>
      <c r="Z361" s="50"/>
      <c r="AA361" s="50"/>
      <c r="AB361" s="50"/>
    </row>
    <row r="362">
      <c r="A362" s="49"/>
      <c r="B362" s="49"/>
      <c r="C362" s="50"/>
      <c r="D362" s="50"/>
      <c r="E362" s="50"/>
      <c r="F362" s="50"/>
      <c r="G362" s="50"/>
      <c r="H362" s="50"/>
      <c r="I362" s="50"/>
      <c r="J362" s="50"/>
      <c r="K362" s="50"/>
      <c r="L362" s="50"/>
      <c r="M362" s="50"/>
      <c r="N362" s="50"/>
      <c r="O362" s="50"/>
      <c r="P362" s="50"/>
      <c r="Q362" s="50"/>
      <c r="R362" s="50"/>
      <c r="S362" s="50"/>
      <c r="T362" s="50"/>
      <c r="U362" s="50"/>
      <c r="V362" s="50"/>
      <c r="W362" s="50"/>
      <c r="X362" s="50"/>
      <c r="Y362" s="50"/>
      <c r="Z362" s="50"/>
      <c r="AA362" s="50"/>
      <c r="AB362" s="50"/>
    </row>
    <row r="363">
      <c r="A363" s="49"/>
      <c r="B363" s="49"/>
      <c r="C363" s="50"/>
      <c r="D363" s="50"/>
      <c r="E363" s="50"/>
      <c r="F363" s="50"/>
      <c r="G363" s="50"/>
      <c r="H363" s="50"/>
      <c r="I363" s="50"/>
      <c r="J363" s="50"/>
      <c r="K363" s="50"/>
      <c r="L363" s="50"/>
      <c r="M363" s="50"/>
      <c r="N363" s="50"/>
      <c r="O363" s="50"/>
      <c r="P363" s="50"/>
      <c r="Q363" s="50"/>
      <c r="R363" s="50"/>
      <c r="S363" s="50"/>
      <c r="T363" s="50"/>
      <c r="U363" s="50"/>
      <c r="V363" s="50"/>
      <c r="W363" s="50"/>
      <c r="X363" s="50"/>
      <c r="Y363" s="50"/>
      <c r="Z363" s="50"/>
      <c r="AA363" s="50"/>
      <c r="AB363" s="50"/>
    </row>
    <row r="364">
      <c r="A364" s="49"/>
      <c r="B364" s="49"/>
      <c r="C364" s="50"/>
      <c r="D364" s="50"/>
      <c r="E364" s="50"/>
      <c r="F364" s="50"/>
      <c r="G364" s="50"/>
      <c r="H364" s="50"/>
      <c r="I364" s="50"/>
      <c r="J364" s="50"/>
      <c r="K364" s="50"/>
      <c r="L364" s="50"/>
      <c r="M364" s="50"/>
      <c r="N364" s="50"/>
      <c r="O364" s="50"/>
      <c r="P364" s="50"/>
      <c r="Q364" s="50"/>
      <c r="R364" s="50"/>
      <c r="S364" s="50"/>
      <c r="T364" s="50"/>
      <c r="U364" s="50"/>
      <c r="V364" s="50"/>
      <c r="W364" s="50"/>
      <c r="X364" s="50"/>
      <c r="Y364" s="50"/>
      <c r="Z364" s="50"/>
      <c r="AA364" s="50"/>
      <c r="AB364" s="50"/>
    </row>
    <row r="365">
      <c r="A365" s="49"/>
      <c r="B365" s="49"/>
      <c r="C365" s="50"/>
      <c r="D365" s="50"/>
      <c r="E365" s="50"/>
      <c r="F365" s="50"/>
      <c r="G365" s="50"/>
      <c r="H365" s="50"/>
      <c r="I365" s="50"/>
      <c r="J365" s="50"/>
      <c r="K365" s="50"/>
      <c r="L365" s="50"/>
      <c r="M365" s="50"/>
      <c r="N365" s="50"/>
      <c r="O365" s="50"/>
      <c r="P365" s="50"/>
      <c r="Q365" s="50"/>
      <c r="R365" s="50"/>
      <c r="S365" s="50"/>
      <c r="T365" s="50"/>
      <c r="U365" s="50"/>
      <c r="V365" s="50"/>
      <c r="W365" s="50"/>
      <c r="X365" s="50"/>
      <c r="Y365" s="50"/>
      <c r="Z365" s="50"/>
      <c r="AA365" s="50"/>
      <c r="AB365" s="50"/>
    </row>
    <row r="366">
      <c r="A366" s="49"/>
      <c r="B366" s="49"/>
      <c r="C366" s="50"/>
      <c r="D366" s="50"/>
      <c r="E366" s="50"/>
      <c r="F366" s="50"/>
      <c r="G366" s="50"/>
      <c r="H366" s="50"/>
      <c r="I366" s="50"/>
      <c r="J366" s="50"/>
      <c r="K366" s="50"/>
      <c r="L366" s="50"/>
      <c r="M366" s="50"/>
      <c r="N366" s="50"/>
      <c r="O366" s="50"/>
      <c r="P366" s="50"/>
      <c r="Q366" s="50"/>
      <c r="R366" s="50"/>
      <c r="S366" s="50"/>
      <c r="T366" s="50"/>
      <c r="U366" s="50"/>
      <c r="V366" s="50"/>
      <c r="W366" s="50"/>
      <c r="X366" s="50"/>
      <c r="Y366" s="50"/>
      <c r="Z366" s="50"/>
      <c r="AA366" s="50"/>
      <c r="AB366" s="50"/>
    </row>
    <row r="367">
      <c r="A367" s="49"/>
      <c r="B367" s="49"/>
      <c r="C367" s="50"/>
      <c r="D367" s="50"/>
      <c r="E367" s="50"/>
      <c r="F367" s="50"/>
      <c r="G367" s="50"/>
      <c r="H367" s="50"/>
      <c r="I367" s="50"/>
      <c r="J367" s="50"/>
      <c r="K367" s="50"/>
      <c r="L367" s="50"/>
      <c r="M367" s="50"/>
      <c r="N367" s="50"/>
      <c r="O367" s="50"/>
      <c r="P367" s="50"/>
      <c r="Q367" s="50"/>
      <c r="R367" s="50"/>
      <c r="S367" s="50"/>
      <c r="T367" s="50"/>
      <c r="U367" s="50"/>
      <c r="V367" s="50"/>
      <c r="W367" s="50"/>
      <c r="X367" s="50"/>
      <c r="Y367" s="50"/>
      <c r="Z367" s="50"/>
      <c r="AA367" s="50"/>
      <c r="AB367" s="50"/>
    </row>
    <row r="368">
      <c r="A368" s="49"/>
      <c r="B368" s="49"/>
      <c r="C368" s="50"/>
      <c r="D368" s="50"/>
      <c r="E368" s="50"/>
      <c r="F368" s="50"/>
      <c r="G368" s="50"/>
      <c r="H368" s="50"/>
      <c r="I368" s="50"/>
      <c r="J368" s="50"/>
      <c r="K368" s="50"/>
      <c r="L368" s="50"/>
      <c r="M368" s="50"/>
      <c r="N368" s="50"/>
      <c r="O368" s="50"/>
      <c r="P368" s="50"/>
      <c r="Q368" s="50"/>
      <c r="R368" s="50"/>
      <c r="S368" s="50"/>
      <c r="T368" s="50"/>
      <c r="U368" s="50"/>
      <c r="V368" s="50"/>
      <c r="W368" s="50"/>
      <c r="X368" s="50"/>
      <c r="Y368" s="50"/>
      <c r="Z368" s="50"/>
      <c r="AA368" s="50"/>
      <c r="AB368" s="50"/>
    </row>
    <row r="369">
      <c r="A369" s="49"/>
      <c r="B369" s="49"/>
      <c r="C369" s="50"/>
      <c r="D369" s="50"/>
      <c r="E369" s="50"/>
      <c r="F369" s="50"/>
      <c r="G369" s="50"/>
      <c r="H369" s="50"/>
      <c r="I369" s="50"/>
      <c r="J369" s="50"/>
      <c r="K369" s="50"/>
      <c r="L369" s="50"/>
      <c r="M369" s="50"/>
      <c r="N369" s="50"/>
      <c r="O369" s="50"/>
      <c r="P369" s="50"/>
      <c r="Q369" s="50"/>
      <c r="R369" s="50"/>
      <c r="S369" s="50"/>
      <c r="T369" s="50"/>
      <c r="U369" s="50"/>
      <c r="V369" s="50"/>
      <c r="W369" s="50"/>
      <c r="X369" s="50"/>
      <c r="Y369" s="50"/>
      <c r="Z369" s="50"/>
      <c r="AA369" s="50"/>
      <c r="AB369" s="50"/>
    </row>
    <row r="370">
      <c r="A370" s="49"/>
      <c r="B370" s="49"/>
      <c r="C370" s="50"/>
      <c r="D370" s="50"/>
      <c r="E370" s="50"/>
      <c r="F370" s="50"/>
      <c r="G370" s="50"/>
      <c r="H370" s="50"/>
      <c r="I370" s="50"/>
      <c r="J370" s="50"/>
      <c r="K370" s="50"/>
      <c r="L370" s="50"/>
      <c r="M370" s="50"/>
      <c r="N370" s="50"/>
      <c r="O370" s="50"/>
      <c r="P370" s="50"/>
      <c r="Q370" s="50"/>
      <c r="R370" s="50"/>
      <c r="S370" s="50"/>
      <c r="T370" s="50"/>
      <c r="U370" s="50"/>
      <c r="V370" s="50"/>
      <c r="W370" s="50"/>
      <c r="X370" s="50"/>
      <c r="Y370" s="50"/>
      <c r="Z370" s="50"/>
      <c r="AA370" s="50"/>
      <c r="AB370" s="50"/>
    </row>
    <row r="371">
      <c r="A371" s="49"/>
      <c r="B371" s="49"/>
      <c r="C371" s="50"/>
      <c r="D371" s="50"/>
      <c r="E371" s="50"/>
      <c r="F371" s="50"/>
      <c r="G371" s="50"/>
      <c r="H371" s="50"/>
      <c r="I371" s="50"/>
      <c r="J371" s="50"/>
      <c r="K371" s="50"/>
      <c r="L371" s="50"/>
      <c r="M371" s="50"/>
      <c r="N371" s="50"/>
      <c r="O371" s="50"/>
      <c r="P371" s="50"/>
      <c r="Q371" s="50"/>
      <c r="R371" s="50"/>
      <c r="S371" s="50"/>
      <c r="T371" s="50"/>
      <c r="U371" s="50"/>
      <c r="V371" s="50"/>
      <c r="W371" s="50"/>
      <c r="X371" s="50"/>
      <c r="Y371" s="50"/>
      <c r="Z371" s="50"/>
      <c r="AA371" s="50"/>
      <c r="AB371" s="50"/>
    </row>
    <row r="372">
      <c r="A372" s="49"/>
      <c r="B372" s="49"/>
      <c r="C372" s="50"/>
      <c r="D372" s="50"/>
      <c r="E372" s="50"/>
      <c r="F372" s="50"/>
      <c r="G372" s="50"/>
      <c r="H372" s="50"/>
      <c r="I372" s="50"/>
      <c r="J372" s="50"/>
      <c r="K372" s="50"/>
      <c r="L372" s="50"/>
      <c r="M372" s="50"/>
      <c r="N372" s="50"/>
      <c r="O372" s="50"/>
      <c r="P372" s="50"/>
      <c r="Q372" s="50"/>
      <c r="R372" s="50"/>
      <c r="S372" s="50"/>
      <c r="T372" s="50"/>
      <c r="U372" s="50"/>
      <c r="V372" s="50"/>
      <c r="W372" s="50"/>
      <c r="X372" s="50"/>
      <c r="Y372" s="50"/>
      <c r="Z372" s="50"/>
      <c r="AA372" s="50"/>
      <c r="AB372" s="50"/>
    </row>
    <row r="373">
      <c r="A373" s="49"/>
      <c r="B373" s="49"/>
      <c r="C373" s="50"/>
      <c r="D373" s="50"/>
      <c r="E373" s="50"/>
      <c r="F373" s="50"/>
      <c r="G373" s="50"/>
      <c r="H373" s="50"/>
      <c r="I373" s="50"/>
      <c r="J373" s="50"/>
      <c r="K373" s="50"/>
      <c r="L373" s="50"/>
      <c r="M373" s="50"/>
      <c r="N373" s="50"/>
      <c r="O373" s="50"/>
      <c r="P373" s="50"/>
      <c r="Q373" s="50"/>
      <c r="R373" s="50"/>
      <c r="S373" s="50"/>
      <c r="T373" s="50"/>
      <c r="U373" s="50"/>
      <c r="V373" s="50"/>
      <c r="W373" s="50"/>
      <c r="X373" s="50"/>
      <c r="Y373" s="50"/>
      <c r="Z373" s="50"/>
      <c r="AA373" s="50"/>
      <c r="AB373" s="50"/>
    </row>
    <row r="374">
      <c r="A374" s="49"/>
      <c r="B374" s="49"/>
      <c r="C374" s="50"/>
      <c r="D374" s="50"/>
      <c r="E374" s="50"/>
      <c r="F374" s="50"/>
      <c r="G374" s="50"/>
      <c r="H374" s="50"/>
      <c r="I374" s="50"/>
      <c r="J374" s="50"/>
      <c r="K374" s="50"/>
      <c r="L374" s="50"/>
      <c r="M374" s="50"/>
      <c r="N374" s="50"/>
      <c r="O374" s="50"/>
      <c r="P374" s="50"/>
      <c r="Q374" s="50"/>
      <c r="R374" s="50"/>
      <c r="S374" s="50"/>
      <c r="T374" s="50"/>
      <c r="U374" s="50"/>
      <c r="V374" s="50"/>
      <c r="W374" s="50"/>
      <c r="X374" s="50"/>
      <c r="Y374" s="50"/>
      <c r="Z374" s="50"/>
      <c r="AA374" s="50"/>
      <c r="AB374" s="50"/>
    </row>
    <row r="375">
      <c r="A375" s="49"/>
      <c r="B375" s="49"/>
      <c r="C375" s="50"/>
      <c r="D375" s="50"/>
      <c r="E375" s="50"/>
      <c r="F375" s="50"/>
      <c r="G375" s="50"/>
      <c r="H375" s="50"/>
      <c r="I375" s="50"/>
      <c r="J375" s="50"/>
      <c r="K375" s="50"/>
      <c r="L375" s="50"/>
      <c r="M375" s="50"/>
      <c r="N375" s="50"/>
      <c r="O375" s="50"/>
      <c r="P375" s="50"/>
      <c r="Q375" s="50"/>
      <c r="R375" s="50"/>
      <c r="S375" s="50"/>
      <c r="T375" s="50"/>
      <c r="U375" s="50"/>
      <c r="V375" s="50"/>
      <c r="W375" s="50"/>
      <c r="X375" s="50"/>
      <c r="Y375" s="50"/>
      <c r="Z375" s="50"/>
      <c r="AA375" s="50"/>
      <c r="AB375" s="50"/>
    </row>
    <row r="376">
      <c r="A376" s="49"/>
      <c r="B376" s="49"/>
      <c r="C376" s="50"/>
      <c r="D376" s="50"/>
      <c r="E376" s="50"/>
      <c r="F376" s="50"/>
      <c r="G376" s="50"/>
      <c r="H376" s="50"/>
      <c r="I376" s="50"/>
      <c r="J376" s="50"/>
      <c r="K376" s="50"/>
      <c r="L376" s="50"/>
      <c r="M376" s="50"/>
      <c r="N376" s="50"/>
      <c r="O376" s="50"/>
      <c r="P376" s="50"/>
      <c r="Q376" s="50"/>
      <c r="R376" s="50"/>
      <c r="S376" s="50"/>
      <c r="T376" s="50"/>
      <c r="U376" s="50"/>
      <c r="V376" s="50"/>
      <c r="W376" s="50"/>
      <c r="X376" s="50"/>
      <c r="Y376" s="50"/>
      <c r="Z376" s="50"/>
      <c r="AA376" s="50"/>
      <c r="AB376" s="50"/>
    </row>
    <row r="377">
      <c r="A377" s="49"/>
      <c r="B377" s="49"/>
      <c r="C377" s="50"/>
      <c r="D377" s="50"/>
      <c r="E377" s="50"/>
      <c r="F377" s="50"/>
      <c r="G377" s="50"/>
      <c r="H377" s="50"/>
      <c r="I377" s="50"/>
      <c r="J377" s="50"/>
      <c r="K377" s="50"/>
      <c r="L377" s="50"/>
      <c r="M377" s="50"/>
      <c r="N377" s="50"/>
      <c r="O377" s="50"/>
      <c r="P377" s="50"/>
      <c r="Q377" s="50"/>
      <c r="R377" s="50"/>
      <c r="S377" s="50"/>
      <c r="T377" s="50"/>
      <c r="U377" s="50"/>
      <c r="V377" s="50"/>
      <c r="W377" s="50"/>
      <c r="X377" s="50"/>
      <c r="Y377" s="50"/>
      <c r="Z377" s="50"/>
      <c r="AA377" s="50"/>
      <c r="AB377" s="50"/>
    </row>
    <row r="378">
      <c r="A378" s="49"/>
      <c r="B378" s="49"/>
      <c r="C378" s="50"/>
      <c r="D378" s="50"/>
      <c r="E378" s="50"/>
      <c r="F378" s="50"/>
      <c r="G378" s="50"/>
      <c r="H378" s="50"/>
      <c r="I378" s="50"/>
      <c r="J378" s="50"/>
      <c r="K378" s="50"/>
      <c r="L378" s="50"/>
      <c r="M378" s="50"/>
      <c r="N378" s="50"/>
      <c r="O378" s="50"/>
      <c r="P378" s="50"/>
      <c r="Q378" s="50"/>
      <c r="R378" s="50"/>
      <c r="S378" s="50"/>
      <c r="T378" s="50"/>
      <c r="U378" s="50"/>
      <c r="V378" s="50"/>
      <c r="W378" s="50"/>
      <c r="X378" s="50"/>
      <c r="Y378" s="50"/>
      <c r="Z378" s="50"/>
      <c r="AA378" s="50"/>
      <c r="AB378" s="50"/>
    </row>
    <row r="379">
      <c r="A379" s="49"/>
      <c r="B379" s="49"/>
      <c r="C379" s="50"/>
      <c r="D379" s="50"/>
      <c r="E379" s="50"/>
      <c r="F379" s="50"/>
      <c r="G379" s="50"/>
      <c r="H379" s="50"/>
      <c r="I379" s="50"/>
      <c r="J379" s="50"/>
      <c r="K379" s="50"/>
      <c r="L379" s="50"/>
      <c r="M379" s="50"/>
      <c r="N379" s="50"/>
      <c r="O379" s="50"/>
      <c r="P379" s="50"/>
      <c r="Q379" s="50"/>
      <c r="R379" s="50"/>
      <c r="S379" s="50"/>
      <c r="T379" s="50"/>
      <c r="U379" s="50"/>
      <c r="V379" s="50"/>
      <c r="W379" s="50"/>
      <c r="X379" s="50"/>
      <c r="Y379" s="50"/>
      <c r="Z379" s="50"/>
      <c r="AA379" s="50"/>
      <c r="AB379" s="50"/>
    </row>
    <row r="380">
      <c r="A380" s="49"/>
      <c r="B380" s="49"/>
      <c r="C380" s="50"/>
      <c r="D380" s="50"/>
      <c r="E380" s="50"/>
      <c r="F380" s="50"/>
      <c r="G380" s="50"/>
      <c r="H380" s="50"/>
      <c r="I380" s="50"/>
      <c r="J380" s="50"/>
      <c r="K380" s="50"/>
      <c r="L380" s="50"/>
      <c r="M380" s="50"/>
      <c r="N380" s="50"/>
      <c r="O380" s="50"/>
      <c r="P380" s="50"/>
      <c r="Q380" s="50"/>
      <c r="R380" s="50"/>
      <c r="S380" s="50"/>
      <c r="T380" s="50"/>
      <c r="U380" s="50"/>
      <c r="V380" s="50"/>
      <c r="W380" s="50"/>
      <c r="X380" s="50"/>
      <c r="Y380" s="50"/>
      <c r="Z380" s="50"/>
      <c r="AA380" s="50"/>
      <c r="AB380" s="50"/>
    </row>
    <row r="381">
      <c r="A381" s="49"/>
      <c r="B381" s="49"/>
      <c r="C381" s="50"/>
      <c r="D381" s="50"/>
      <c r="E381" s="50"/>
      <c r="F381" s="50"/>
      <c r="G381" s="50"/>
      <c r="H381" s="50"/>
      <c r="I381" s="50"/>
      <c r="J381" s="50"/>
      <c r="K381" s="50"/>
      <c r="L381" s="50"/>
      <c r="M381" s="50"/>
      <c r="N381" s="50"/>
      <c r="O381" s="50"/>
      <c r="P381" s="50"/>
      <c r="Q381" s="50"/>
      <c r="R381" s="50"/>
      <c r="S381" s="50"/>
      <c r="T381" s="50"/>
      <c r="U381" s="50"/>
      <c r="V381" s="50"/>
      <c r="W381" s="50"/>
      <c r="X381" s="50"/>
      <c r="Y381" s="50"/>
      <c r="Z381" s="50"/>
      <c r="AA381" s="50"/>
      <c r="AB381" s="50"/>
    </row>
    <row r="382">
      <c r="A382" s="49"/>
      <c r="B382" s="49"/>
      <c r="C382" s="50"/>
      <c r="D382" s="50"/>
      <c r="E382" s="50"/>
      <c r="F382" s="50"/>
      <c r="G382" s="50"/>
      <c r="H382" s="50"/>
      <c r="I382" s="50"/>
      <c r="J382" s="50"/>
      <c r="K382" s="50"/>
      <c r="L382" s="50"/>
      <c r="M382" s="50"/>
      <c r="N382" s="50"/>
      <c r="O382" s="50"/>
      <c r="P382" s="50"/>
      <c r="Q382" s="50"/>
      <c r="R382" s="50"/>
      <c r="S382" s="50"/>
      <c r="T382" s="50"/>
      <c r="U382" s="50"/>
      <c r="V382" s="50"/>
      <c r="W382" s="50"/>
      <c r="X382" s="50"/>
      <c r="Y382" s="50"/>
      <c r="Z382" s="50"/>
      <c r="AA382" s="50"/>
      <c r="AB382" s="50"/>
    </row>
    <row r="383">
      <c r="A383" s="49"/>
      <c r="B383" s="49"/>
      <c r="C383" s="50"/>
      <c r="D383" s="50"/>
      <c r="E383" s="50"/>
      <c r="F383" s="50"/>
      <c r="G383" s="50"/>
      <c r="H383" s="50"/>
      <c r="I383" s="50"/>
      <c r="J383" s="50"/>
      <c r="K383" s="50"/>
      <c r="L383" s="50"/>
      <c r="M383" s="50"/>
      <c r="N383" s="50"/>
      <c r="O383" s="50"/>
      <c r="P383" s="50"/>
      <c r="Q383" s="50"/>
      <c r="R383" s="50"/>
      <c r="S383" s="50"/>
      <c r="T383" s="50"/>
      <c r="U383" s="50"/>
      <c r="V383" s="50"/>
      <c r="W383" s="50"/>
      <c r="X383" s="50"/>
      <c r="Y383" s="50"/>
      <c r="Z383" s="50"/>
      <c r="AA383" s="50"/>
      <c r="AB383" s="50"/>
    </row>
    <row r="384">
      <c r="A384" s="49"/>
      <c r="B384" s="49"/>
      <c r="C384" s="50"/>
      <c r="D384" s="50"/>
      <c r="E384" s="50"/>
      <c r="F384" s="50"/>
      <c r="G384" s="50"/>
      <c r="H384" s="50"/>
      <c r="I384" s="50"/>
      <c r="J384" s="50"/>
      <c r="K384" s="50"/>
      <c r="L384" s="50"/>
      <c r="M384" s="50"/>
      <c r="N384" s="50"/>
      <c r="O384" s="50"/>
      <c r="P384" s="50"/>
      <c r="Q384" s="50"/>
      <c r="R384" s="50"/>
      <c r="S384" s="50"/>
      <c r="T384" s="50"/>
      <c r="U384" s="50"/>
      <c r="V384" s="50"/>
      <c r="W384" s="50"/>
      <c r="X384" s="50"/>
      <c r="Y384" s="50"/>
      <c r="Z384" s="50"/>
      <c r="AA384" s="50"/>
      <c r="AB384" s="50"/>
    </row>
    <row r="385">
      <c r="A385" s="49"/>
      <c r="B385" s="49"/>
      <c r="C385" s="50"/>
      <c r="D385" s="50"/>
      <c r="E385" s="50"/>
      <c r="F385" s="50"/>
      <c r="G385" s="50"/>
      <c r="H385" s="50"/>
      <c r="I385" s="50"/>
      <c r="J385" s="50"/>
      <c r="K385" s="50"/>
      <c r="L385" s="50"/>
      <c r="M385" s="50"/>
      <c r="N385" s="50"/>
      <c r="O385" s="50"/>
      <c r="P385" s="50"/>
      <c r="Q385" s="50"/>
      <c r="R385" s="50"/>
      <c r="S385" s="50"/>
      <c r="T385" s="50"/>
      <c r="U385" s="50"/>
      <c r="V385" s="50"/>
      <c r="W385" s="50"/>
      <c r="X385" s="50"/>
      <c r="Y385" s="50"/>
      <c r="Z385" s="50"/>
      <c r="AA385" s="50"/>
      <c r="AB385" s="50"/>
    </row>
    <row r="386">
      <c r="A386" s="49"/>
      <c r="B386" s="49"/>
      <c r="C386" s="50"/>
      <c r="D386" s="50"/>
      <c r="E386" s="50"/>
      <c r="F386" s="50"/>
      <c r="G386" s="50"/>
      <c r="H386" s="50"/>
      <c r="I386" s="50"/>
      <c r="J386" s="50"/>
      <c r="K386" s="50"/>
      <c r="L386" s="50"/>
      <c r="M386" s="50"/>
      <c r="N386" s="50"/>
      <c r="O386" s="50"/>
      <c r="P386" s="50"/>
      <c r="Q386" s="50"/>
      <c r="R386" s="50"/>
      <c r="S386" s="50"/>
      <c r="T386" s="50"/>
      <c r="U386" s="50"/>
      <c r="V386" s="50"/>
      <c r="W386" s="50"/>
      <c r="X386" s="50"/>
      <c r="Y386" s="50"/>
      <c r="Z386" s="50"/>
      <c r="AA386" s="50"/>
      <c r="AB386" s="50"/>
    </row>
    <row r="387">
      <c r="A387" s="49"/>
      <c r="B387" s="49"/>
      <c r="C387" s="50"/>
      <c r="D387" s="50"/>
      <c r="E387" s="50"/>
      <c r="F387" s="50"/>
      <c r="G387" s="50"/>
      <c r="H387" s="50"/>
      <c r="I387" s="50"/>
      <c r="J387" s="50"/>
      <c r="K387" s="50"/>
      <c r="L387" s="50"/>
      <c r="M387" s="50"/>
      <c r="N387" s="50"/>
      <c r="O387" s="50"/>
      <c r="P387" s="50"/>
      <c r="Q387" s="50"/>
      <c r="R387" s="50"/>
      <c r="S387" s="50"/>
      <c r="T387" s="50"/>
      <c r="U387" s="50"/>
      <c r="V387" s="50"/>
      <c r="W387" s="50"/>
      <c r="X387" s="50"/>
      <c r="Y387" s="50"/>
      <c r="Z387" s="50"/>
      <c r="AA387" s="50"/>
      <c r="AB387" s="50"/>
    </row>
    <row r="388">
      <c r="A388" s="49"/>
      <c r="B388" s="49"/>
      <c r="C388" s="50"/>
      <c r="D388" s="50"/>
      <c r="E388" s="50"/>
      <c r="F388" s="50"/>
      <c r="G388" s="50"/>
      <c r="H388" s="50"/>
      <c r="I388" s="50"/>
      <c r="J388" s="50"/>
      <c r="K388" s="50"/>
      <c r="L388" s="50"/>
      <c r="M388" s="50"/>
      <c r="N388" s="50"/>
      <c r="O388" s="50"/>
      <c r="P388" s="50"/>
      <c r="Q388" s="50"/>
      <c r="R388" s="50"/>
      <c r="S388" s="50"/>
      <c r="T388" s="50"/>
      <c r="U388" s="50"/>
      <c r="V388" s="50"/>
      <c r="W388" s="50"/>
      <c r="X388" s="50"/>
      <c r="Y388" s="50"/>
      <c r="Z388" s="50"/>
      <c r="AA388" s="50"/>
      <c r="AB388" s="50"/>
    </row>
    <row r="389">
      <c r="A389" s="49"/>
      <c r="B389" s="49"/>
      <c r="C389" s="50"/>
      <c r="D389" s="50"/>
      <c r="E389" s="50"/>
      <c r="F389" s="50"/>
      <c r="G389" s="50"/>
      <c r="H389" s="50"/>
      <c r="I389" s="50"/>
      <c r="J389" s="50"/>
      <c r="K389" s="50"/>
      <c r="L389" s="50"/>
      <c r="M389" s="50"/>
      <c r="N389" s="50"/>
      <c r="O389" s="50"/>
      <c r="P389" s="50"/>
      <c r="Q389" s="50"/>
      <c r="R389" s="50"/>
      <c r="S389" s="50"/>
      <c r="T389" s="50"/>
      <c r="U389" s="50"/>
      <c r="V389" s="50"/>
      <c r="W389" s="50"/>
      <c r="X389" s="50"/>
      <c r="Y389" s="50"/>
      <c r="Z389" s="50"/>
      <c r="AA389" s="50"/>
      <c r="AB389" s="50"/>
    </row>
    <row r="390">
      <c r="A390" s="49"/>
      <c r="B390" s="49"/>
      <c r="C390" s="50"/>
      <c r="D390" s="50"/>
      <c r="E390" s="50"/>
      <c r="F390" s="50"/>
      <c r="G390" s="50"/>
      <c r="H390" s="50"/>
      <c r="I390" s="50"/>
      <c r="J390" s="50"/>
      <c r="K390" s="50"/>
      <c r="L390" s="50"/>
      <c r="M390" s="50"/>
      <c r="N390" s="50"/>
      <c r="O390" s="50"/>
      <c r="P390" s="50"/>
      <c r="Q390" s="50"/>
      <c r="R390" s="50"/>
      <c r="S390" s="50"/>
      <c r="T390" s="50"/>
      <c r="U390" s="50"/>
      <c r="V390" s="50"/>
      <c r="W390" s="50"/>
      <c r="X390" s="50"/>
      <c r="Y390" s="50"/>
      <c r="Z390" s="50"/>
      <c r="AA390" s="50"/>
      <c r="AB390" s="50"/>
    </row>
    <row r="391">
      <c r="A391" s="49"/>
      <c r="B391" s="49"/>
      <c r="C391" s="50"/>
      <c r="D391" s="50"/>
      <c r="E391" s="50"/>
      <c r="F391" s="50"/>
      <c r="G391" s="50"/>
      <c r="H391" s="50"/>
      <c r="I391" s="50"/>
      <c r="J391" s="50"/>
      <c r="K391" s="50"/>
      <c r="L391" s="50"/>
      <c r="M391" s="50"/>
      <c r="N391" s="50"/>
      <c r="O391" s="50"/>
      <c r="P391" s="50"/>
      <c r="Q391" s="50"/>
      <c r="R391" s="50"/>
      <c r="S391" s="50"/>
      <c r="T391" s="50"/>
      <c r="U391" s="50"/>
      <c r="V391" s="50"/>
      <c r="W391" s="50"/>
      <c r="X391" s="50"/>
      <c r="Y391" s="50"/>
      <c r="Z391" s="50"/>
      <c r="AA391" s="50"/>
      <c r="AB391" s="50"/>
    </row>
    <row r="392">
      <c r="A392" s="49"/>
      <c r="B392" s="49"/>
      <c r="C392" s="50"/>
      <c r="D392" s="50"/>
      <c r="E392" s="50"/>
      <c r="F392" s="50"/>
      <c r="G392" s="50"/>
      <c r="H392" s="50"/>
      <c r="I392" s="50"/>
      <c r="J392" s="50"/>
      <c r="K392" s="50"/>
      <c r="L392" s="50"/>
      <c r="M392" s="50"/>
      <c r="N392" s="50"/>
      <c r="O392" s="50"/>
      <c r="P392" s="50"/>
      <c r="Q392" s="50"/>
      <c r="R392" s="50"/>
      <c r="S392" s="50"/>
      <c r="T392" s="50"/>
      <c r="U392" s="50"/>
      <c r="V392" s="50"/>
      <c r="W392" s="50"/>
      <c r="X392" s="50"/>
      <c r="Y392" s="50"/>
      <c r="Z392" s="50"/>
      <c r="AA392" s="50"/>
      <c r="AB392" s="50"/>
    </row>
    <row r="393">
      <c r="A393" s="49"/>
      <c r="B393" s="49"/>
      <c r="C393" s="50"/>
      <c r="D393" s="50"/>
      <c r="E393" s="50"/>
      <c r="F393" s="50"/>
      <c r="G393" s="50"/>
      <c r="H393" s="50"/>
      <c r="I393" s="50"/>
      <c r="J393" s="50"/>
      <c r="K393" s="50"/>
      <c r="L393" s="50"/>
      <c r="M393" s="50"/>
      <c r="N393" s="50"/>
      <c r="O393" s="50"/>
      <c r="P393" s="50"/>
      <c r="Q393" s="50"/>
      <c r="R393" s="50"/>
      <c r="S393" s="50"/>
      <c r="T393" s="50"/>
      <c r="U393" s="50"/>
      <c r="V393" s="50"/>
      <c r="W393" s="50"/>
      <c r="X393" s="50"/>
      <c r="Y393" s="50"/>
      <c r="Z393" s="50"/>
      <c r="AA393" s="50"/>
      <c r="AB393" s="50"/>
    </row>
    <row r="394">
      <c r="A394" s="49"/>
      <c r="B394" s="49"/>
      <c r="C394" s="50"/>
      <c r="D394" s="50"/>
      <c r="E394" s="50"/>
      <c r="F394" s="50"/>
      <c r="G394" s="50"/>
      <c r="H394" s="50"/>
      <c r="I394" s="50"/>
      <c r="J394" s="50"/>
      <c r="K394" s="50"/>
      <c r="L394" s="50"/>
      <c r="M394" s="50"/>
      <c r="N394" s="50"/>
      <c r="O394" s="50"/>
      <c r="P394" s="50"/>
      <c r="Q394" s="50"/>
      <c r="R394" s="50"/>
      <c r="S394" s="50"/>
      <c r="T394" s="50"/>
      <c r="U394" s="50"/>
      <c r="V394" s="50"/>
      <c r="W394" s="50"/>
      <c r="X394" s="50"/>
      <c r="Y394" s="50"/>
      <c r="Z394" s="50"/>
      <c r="AA394" s="50"/>
      <c r="AB394" s="50"/>
    </row>
    <row r="395">
      <c r="A395" s="49"/>
      <c r="B395" s="49"/>
      <c r="C395" s="50"/>
      <c r="D395" s="50"/>
      <c r="E395" s="50"/>
      <c r="F395" s="50"/>
      <c r="G395" s="50"/>
      <c r="H395" s="50"/>
      <c r="I395" s="50"/>
      <c r="J395" s="50"/>
      <c r="K395" s="50"/>
      <c r="L395" s="50"/>
      <c r="M395" s="50"/>
      <c r="N395" s="50"/>
      <c r="O395" s="50"/>
      <c r="P395" s="50"/>
      <c r="Q395" s="50"/>
      <c r="R395" s="50"/>
      <c r="S395" s="50"/>
      <c r="T395" s="50"/>
      <c r="U395" s="50"/>
      <c r="V395" s="50"/>
      <c r="W395" s="50"/>
      <c r="X395" s="50"/>
      <c r="Y395" s="50"/>
      <c r="Z395" s="50"/>
      <c r="AA395" s="50"/>
      <c r="AB395" s="50"/>
    </row>
    <row r="396">
      <c r="A396" s="49"/>
      <c r="B396" s="49"/>
      <c r="C396" s="50"/>
      <c r="D396" s="50"/>
      <c r="E396" s="50"/>
      <c r="F396" s="50"/>
      <c r="G396" s="50"/>
      <c r="H396" s="50"/>
      <c r="I396" s="50"/>
      <c r="J396" s="50"/>
      <c r="K396" s="50"/>
      <c r="L396" s="50"/>
      <c r="M396" s="50"/>
      <c r="N396" s="50"/>
      <c r="O396" s="50"/>
      <c r="P396" s="50"/>
      <c r="Q396" s="50"/>
      <c r="R396" s="50"/>
      <c r="S396" s="50"/>
      <c r="T396" s="50"/>
      <c r="U396" s="50"/>
      <c r="V396" s="50"/>
      <c r="W396" s="50"/>
      <c r="X396" s="50"/>
      <c r="Y396" s="50"/>
      <c r="Z396" s="50"/>
      <c r="AA396" s="50"/>
      <c r="AB396" s="50"/>
    </row>
    <row r="397">
      <c r="A397" s="49"/>
      <c r="B397" s="49"/>
      <c r="C397" s="50"/>
      <c r="D397" s="50"/>
      <c r="E397" s="50"/>
      <c r="F397" s="50"/>
      <c r="G397" s="50"/>
      <c r="H397" s="50"/>
      <c r="I397" s="50"/>
      <c r="J397" s="50"/>
      <c r="K397" s="50"/>
      <c r="L397" s="50"/>
      <c r="M397" s="50"/>
      <c r="N397" s="50"/>
      <c r="O397" s="50"/>
      <c r="P397" s="50"/>
      <c r="Q397" s="50"/>
      <c r="R397" s="50"/>
      <c r="S397" s="50"/>
      <c r="T397" s="50"/>
      <c r="U397" s="50"/>
      <c r="V397" s="50"/>
      <c r="W397" s="50"/>
      <c r="X397" s="50"/>
      <c r="Y397" s="50"/>
      <c r="Z397" s="50"/>
      <c r="AA397" s="50"/>
      <c r="AB397" s="50"/>
    </row>
    <row r="398">
      <c r="A398" s="49"/>
      <c r="B398" s="49"/>
      <c r="C398" s="50"/>
      <c r="D398" s="50"/>
      <c r="E398" s="50"/>
      <c r="F398" s="50"/>
      <c r="G398" s="50"/>
      <c r="H398" s="50"/>
      <c r="I398" s="50"/>
      <c r="J398" s="50"/>
      <c r="K398" s="50"/>
      <c r="L398" s="50"/>
      <c r="M398" s="50"/>
      <c r="N398" s="50"/>
      <c r="O398" s="50"/>
      <c r="P398" s="50"/>
      <c r="Q398" s="50"/>
      <c r="R398" s="50"/>
      <c r="S398" s="50"/>
      <c r="T398" s="50"/>
      <c r="U398" s="50"/>
      <c r="V398" s="50"/>
      <c r="W398" s="50"/>
      <c r="X398" s="50"/>
      <c r="Y398" s="50"/>
      <c r="Z398" s="50"/>
      <c r="AA398" s="50"/>
      <c r="AB398" s="50"/>
    </row>
    <row r="399">
      <c r="A399" s="49"/>
      <c r="B399" s="49"/>
      <c r="C399" s="50"/>
      <c r="D399" s="50"/>
      <c r="E399" s="50"/>
      <c r="F399" s="50"/>
      <c r="G399" s="50"/>
      <c r="H399" s="50"/>
      <c r="I399" s="50"/>
      <c r="J399" s="50"/>
      <c r="K399" s="50"/>
      <c r="L399" s="50"/>
      <c r="M399" s="50"/>
      <c r="N399" s="50"/>
      <c r="O399" s="50"/>
      <c r="P399" s="50"/>
      <c r="Q399" s="50"/>
      <c r="R399" s="50"/>
      <c r="S399" s="50"/>
      <c r="T399" s="50"/>
      <c r="U399" s="50"/>
      <c r="V399" s="50"/>
      <c r="W399" s="50"/>
      <c r="X399" s="50"/>
      <c r="Y399" s="50"/>
      <c r="Z399" s="50"/>
      <c r="AA399" s="50"/>
      <c r="AB399" s="50"/>
    </row>
    <row r="400">
      <c r="A400" s="49"/>
      <c r="B400" s="49"/>
      <c r="C400" s="50"/>
      <c r="D400" s="50"/>
      <c r="E400" s="50"/>
      <c r="F400" s="50"/>
      <c r="G400" s="50"/>
      <c r="H400" s="50"/>
      <c r="I400" s="50"/>
      <c r="J400" s="50"/>
      <c r="K400" s="50"/>
      <c r="L400" s="50"/>
      <c r="M400" s="50"/>
      <c r="N400" s="50"/>
      <c r="O400" s="50"/>
      <c r="P400" s="50"/>
      <c r="Q400" s="50"/>
      <c r="R400" s="50"/>
      <c r="S400" s="50"/>
      <c r="T400" s="50"/>
      <c r="U400" s="50"/>
      <c r="V400" s="50"/>
      <c r="W400" s="50"/>
      <c r="X400" s="50"/>
      <c r="Y400" s="50"/>
      <c r="Z400" s="50"/>
      <c r="AA400" s="50"/>
      <c r="AB400" s="50"/>
    </row>
    <row r="401">
      <c r="A401" s="49"/>
      <c r="B401" s="49"/>
      <c r="C401" s="50"/>
      <c r="D401" s="50"/>
      <c r="E401" s="50"/>
      <c r="F401" s="50"/>
      <c r="G401" s="50"/>
      <c r="H401" s="50"/>
      <c r="I401" s="50"/>
      <c r="J401" s="50"/>
      <c r="K401" s="50"/>
      <c r="L401" s="50"/>
      <c r="M401" s="50"/>
      <c r="N401" s="50"/>
      <c r="O401" s="50"/>
      <c r="P401" s="50"/>
      <c r="Q401" s="50"/>
      <c r="R401" s="50"/>
      <c r="S401" s="50"/>
      <c r="T401" s="50"/>
      <c r="U401" s="50"/>
      <c r="V401" s="50"/>
      <c r="W401" s="50"/>
      <c r="X401" s="50"/>
      <c r="Y401" s="50"/>
      <c r="Z401" s="50"/>
      <c r="AA401" s="50"/>
      <c r="AB401" s="50"/>
    </row>
    <row r="402">
      <c r="A402" s="49"/>
      <c r="B402" s="49"/>
      <c r="C402" s="50"/>
      <c r="D402" s="50"/>
      <c r="E402" s="50"/>
      <c r="F402" s="50"/>
      <c r="G402" s="50"/>
      <c r="H402" s="50"/>
      <c r="I402" s="50"/>
      <c r="J402" s="50"/>
      <c r="K402" s="50"/>
      <c r="L402" s="50"/>
      <c r="M402" s="50"/>
      <c r="N402" s="50"/>
      <c r="O402" s="50"/>
      <c r="P402" s="50"/>
      <c r="Q402" s="50"/>
      <c r="R402" s="50"/>
      <c r="S402" s="50"/>
      <c r="T402" s="50"/>
      <c r="U402" s="50"/>
      <c r="V402" s="50"/>
      <c r="W402" s="50"/>
      <c r="X402" s="50"/>
      <c r="Y402" s="50"/>
      <c r="Z402" s="50"/>
      <c r="AA402" s="50"/>
      <c r="AB402" s="50"/>
    </row>
    <row r="403">
      <c r="A403" s="49"/>
      <c r="B403" s="49"/>
      <c r="C403" s="50"/>
      <c r="D403" s="50"/>
      <c r="E403" s="50"/>
      <c r="F403" s="50"/>
      <c r="G403" s="50"/>
      <c r="H403" s="50"/>
      <c r="I403" s="50"/>
      <c r="J403" s="50"/>
      <c r="K403" s="50"/>
      <c r="L403" s="50"/>
      <c r="M403" s="50"/>
      <c r="N403" s="50"/>
      <c r="O403" s="50"/>
      <c r="P403" s="50"/>
      <c r="Q403" s="50"/>
      <c r="R403" s="50"/>
      <c r="S403" s="50"/>
      <c r="T403" s="50"/>
      <c r="U403" s="50"/>
      <c r="V403" s="50"/>
      <c r="W403" s="50"/>
      <c r="X403" s="50"/>
      <c r="Y403" s="50"/>
      <c r="Z403" s="50"/>
      <c r="AA403" s="50"/>
      <c r="AB403" s="50"/>
    </row>
    <row r="404">
      <c r="A404" s="49"/>
      <c r="B404" s="49"/>
      <c r="C404" s="50"/>
      <c r="D404" s="50"/>
      <c r="E404" s="50"/>
      <c r="F404" s="50"/>
      <c r="G404" s="50"/>
      <c r="H404" s="50"/>
      <c r="I404" s="50"/>
      <c r="J404" s="50"/>
      <c r="K404" s="50"/>
      <c r="L404" s="50"/>
      <c r="M404" s="50"/>
      <c r="N404" s="50"/>
      <c r="O404" s="50"/>
      <c r="P404" s="50"/>
      <c r="Q404" s="50"/>
      <c r="R404" s="50"/>
      <c r="S404" s="50"/>
      <c r="T404" s="50"/>
      <c r="U404" s="50"/>
      <c r="V404" s="50"/>
      <c r="W404" s="50"/>
      <c r="X404" s="50"/>
      <c r="Y404" s="50"/>
      <c r="Z404" s="50"/>
      <c r="AA404" s="50"/>
      <c r="AB404" s="50"/>
    </row>
    <row r="405">
      <c r="A405" s="49"/>
      <c r="B405" s="49"/>
      <c r="C405" s="50"/>
      <c r="D405" s="50"/>
      <c r="E405" s="50"/>
      <c r="F405" s="50"/>
      <c r="G405" s="50"/>
      <c r="H405" s="50"/>
      <c r="I405" s="50"/>
      <c r="J405" s="50"/>
      <c r="K405" s="50"/>
      <c r="L405" s="50"/>
      <c r="M405" s="50"/>
      <c r="N405" s="50"/>
      <c r="O405" s="50"/>
      <c r="P405" s="50"/>
      <c r="Q405" s="50"/>
      <c r="R405" s="50"/>
      <c r="S405" s="50"/>
      <c r="T405" s="50"/>
      <c r="U405" s="50"/>
      <c r="V405" s="50"/>
      <c r="W405" s="50"/>
      <c r="X405" s="50"/>
      <c r="Y405" s="50"/>
      <c r="Z405" s="50"/>
      <c r="AA405" s="50"/>
      <c r="AB405" s="50"/>
    </row>
    <row r="406">
      <c r="A406" s="49"/>
      <c r="B406" s="49"/>
      <c r="C406" s="50"/>
      <c r="D406" s="50"/>
      <c r="E406" s="50"/>
      <c r="F406" s="50"/>
      <c r="G406" s="50"/>
      <c r="H406" s="50"/>
      <c r="I406" s="50"/>
      <c r="J406" s="50"/>
      <c r="K406" s="50"/>
      <c r="L406" s="50"/>
      <c r="M406" s="50"/>
      <c r="N406" s="50"/>
      <c r="O406" s="50"/>
      <c r="P406" s="50"/>
      <c r="Q406" s="50"/>
      <c r="R406" s="50"/>
      <c r="S406" s="50"/>
      <c r="T406" s="50"/>
      <c r="U406" s="50"/>
      <c r="V406" s="50"/>
      <c r="W406" s="50"/>
      <c r="X406" s="50"/>
      <c r="Y406" s="50"/>
      <c r="Z406" s="50"/>
      <c r="AA406" s="50"/>
      <c r="AB406" s="50"/>
    </row>
    <row r="407">
      <c r="A407" s="49"/>
      <c r="B407" s="49"/>
      <c r="C407" s="50"/>
      <c r="D407" s="50"/>
      <c r="E407" s="50"/>
      <c r="F407" s="50"/>
      <c r="G407" s="50"/>
      <c r="H407" s="50"/>
      <c r="I407" s="50"/>
      <c r="J407" s="50"/>
      <c r="K407" s="50"/>
      <c r="L407" s="50"/>
      <c r="M407" s="50"/>
      <c r="N407" s="50"/>
      <c r="O407" s="50"/>
      <c r="P407" s="50"/>
      <c r="Q407" s="50"/>
      <c r="R407" s="50"/>
      <c r="S407" s="50"/>
      <c r="T407" s="50"/>
      <c r="U407" s="50"/>
      <c r="V407" s="50"/>
      <c r="W407" s="50"/>
      <c r="X407" s="50"/>
      <c r="Y407" s="50"/>
      <c r="Z407" s="50"/>
      <c r="AA407" s="50"/>
      <c r="AB407" s="50"/>
    </row>
    <row r="408">
      <c r="A408" s="49"/>
      <c r="B408" s="49"/>
      <c r="C408" s="50"/>
      <c r="D408" s="50"/>
      <c r="E408" s="50"/>
      <c r="F408" s="50"/>
      <c r="G408" s="50"/>
      <c r="H408" s="50"/>
      <c r="I408" s="50"/>
      <c r="J408" s="50"/>
      <c r="K408" s="50"/>
      <c r="L408" s="50"/>
      <c r="M408" s="50"/>
      <c r="N408" s="50"/>
      <c r="O408" s="50"/>
      <c r="P408" s="50"/>
      <c r="Q408" s="50"/>
      <c r="R408" s="50"/>
      <c r="S408" s="50"/>
      <c r="T408" s="50"/>
      <c r="U408" s="50"/>
      <c r="V408" s="50"/>
      <c r="W408" s="50"/>
      <c r="X408" s="50"/>
      <c r="Y408" s="50"/>
      <c r="Z408" s="50"/>
      <c r="AA408" s="50"/>
      <c r="AB408" s="50"/>
    </row>
    <row r="409">
      <c r="A409" s="49"/>
      <c r="B409" s="49"/>
      <c r="C409" s="50"/>
      <c r="D409" s="50"/>
      <c r="E409" s="50"/>
      <c r="F409" s="50"/>
      <c r="G409" s="50"/>
      <c r="H409" s="50"/>
      <c r="I409" s="50"/>
      <c r="J409" s="50"/>
      <c r="K409" s="50"/>
      <c r="L409" s="50"/>
      <c r="M409" s="50"/>
      <c r="N409" s="50"/>
      <c r="O409" s="50"/>
      <c r="P409" s="50"/>
      <c r="Q409" s="50"/>
      <c r="R409" s="50"/>
      <c r="S409" s="50"/>
      <c r="T409" s="50"/>
      <c r="U409" s="50"/>
      <c r="V409" s="50"/>
      <c r="W409" s="50"/>
      <c r="X409" s="50"/>
      <c r="Y409" s="50"/>
      <c r="Z409" s="50"/>
      <c r="AA409" s="50"/>
      <c r="AB409" s="50"/>
    </row>
    <row r="410">
      <c r="A410" s="49"/>
      <c r="B410" s="49"/>
      <c r="C410" s="50"/>
      <c r="D410" s="50"/>
      <c r="E410" s="50"/>
      <c r="F410" s="50"/>
      <c r="G410" s="50"/>
      <c r="H410" s="50"/>
      <c r="I410" s="50"/>
      <c r="J410" s="50"/>
      <c r="K410" s="50"/>
      <c r="L410" s="50"/>
      <c r="M410" s="50"/>
      <c r="N410" s="50"/>
      <c r="O410" s="50"/>
      <c r="P410" s="50"/>
      <c r="Q410" s="50"/>
      <c r="R410" s="50"/>
      <c r="S410" s="50"/>
      <c r="T410" s="50"/>
      <c r="U410" s="50"/>
      <c r="V410" s="50"/>
      <c r="W410" s="50"/>
      <c r="X410" s="50"/>
      <c r="Y410" s="50"/>
      <c r="Z410" s="50"/>
      <c r="AA410" s="50"/>
      <c r="AB410" s="50"/>
    </row>
    <row r="411">
      <c r="A411" s="49"/>
      <c r="B411" s="49"/>
      <c r="C411" s="50"/>
      <c r="D411" s="50"/>
      <c r="E411" s="50"/>
      <c r="F411" s="50"/>
      <c r="G411" s="50"/>
      <c r="H411" s="50"/>
      <c r="I411" s="50"/>
      <c r="J411" s="50"/>
      <c r="K411" s="50"/>
      <c r="L411" s="50"/>
      <c r="M411" s="50"/>
      <c r="N411" s="50"/>
      <c r="O411" s="50"/>
      <c r="P411" s="50"/>
      <c r="Q411" s="50"/>
      <c r="R411" s="50"/>
      <c r="S411" s="50"/>
      <c r="T411" s="50"/>
      <c r="U411" s="50"/>
      <c r="V411" s="50"/>
      <c r="W411" s="50"/>
      <c r="X411" s="50"/>
      <c r="Y411" s="50"/>
      <c r="Z411" s="50"/>
      <c r="AA411" s="50"/>
      <c r="AB411" s="50"/>
    </row>
    <row r="412">
      <c r="A412" s="49"/>
      <c r="B412" s="49"/>
      <c r="C412" s="50"/>
      <c r="D412" s="50"/>
      <c r="E412" s="50"/>
      <c r="F412" s="50"/>
      <c r="G412" s="50"/>
      <c r="H412" s="50"/>
      <c r="I412" s="50"/>
      <c r="J412" s="50"/>
      <c r="K412" s="50"/>
      <c r="L412" s="50"/>
      <c r="M412" s="50"/>
      <c r="N412" s="50"/>
      <c r="O412" s="50"/>
      <c r="P412" s="50"/>
      <c r="Q412" s="50"/>
      <c r="R412" s="50"/>
      <c r="S412" s="50"/>
      <c r="T412" s="50"/>
      <c r="U412" s="50"/>
      <c r="V412" s="50"/>
      <c r="W412" s="50"/>
      <c r="X412" s="50"/>
      <c r="Y412" s="50"/>
      <c r="Z412" s="50"/>
      <c r="AA412" s="50"/>
      <c r="AB412" s="50"/>
    </row>
    <row r="413">
      <c r="A413" s="49"/>
      <c r="B413" s="49"/>
      <c r="C413" s="50"/>
      <c r="D413" s="50"/>
      <c r="E413" s="50"/>
      <c r="F413" s="50"/>
      <c r="G413" s="50"/>
      <c r="H413" s="50"/>
      <c r="I413" s="50"/>
      <c r="J413" s="50"/>
      <c r="K413" s="50"/>
      <c r="L413" s="50"/>
      <c r="M413" s="50"/>
      <c r="N413" s="50"/>
      <c r="O413" s="50"/>
      <c r="P413" s="50"/>
      <c r="Q413" s="50"/>
      <c r="R413" s="50"/>
      <c r="S413" s="50"/>
      <c r="T413" s="50"/>
      <c r="U413" s="50"/>
      <c r="V413" s="50"/>
      <c r="W413" s="50"/>
      <c r="X413" s="50"/>
      <c r="Y413" s="50"/>
      <c r="Z413" s="50"/>
      <c r="AA413" s="50"/>
      <c r="AB413" s="50"/>
    </row>
    <row r="414">
      <c r="A414" s="49"/>
      <c r="B414" s="49"/>
      <c r="C414" s="50"/>
      <c r="D414" s="50"/>
      <c r="E414" s="50"/>
      <c r="F414" s="50"/>
      <c r="G414" s="50"/>
      <c r="H414" s="50"/>
      <c r="I414" s="50"/>
      <c r="J414" s="50"/>
      <c r="K414" s="50"/>
      <c r="L414" s="50"/>
      <c r="M414" s="50"/>
      <c r="N414" s="50"/>
      <c r="O414" s="50"/>
      <c r="P414" s="50"/>
      <c r="Q414" s="50"/>
      <c r="R414" s="50"/>
      <c r="S414" s="50"/>
      <c r="T414" s="50"/>
      <c r="U414" s="50"/>
      <c r="V414" s="50"/>
      <c r="W414" s="50"/>
      <c r="X414" s="50"/>
      <c r="Y414" s="50"/>
      <c r="Z414" s="50"/>
      <c r="AA414" s="50"/>
      <c r="AB414" s="50"/>
    </row>
    <row r="415">
      <c r="A415" s="49"/>
      <c r="B415" s="49"/>
      <c r="C415" s="50"/>
      <c r="D415" s="50"/>
      <c r="E415" s="50"/>
      <c r="F415" s="50"/>
      <c r="G415" s="50"/>
      <c r="H415" s="50"/>
      <c r="I415" s="50"/>
      <c r="J415" s="50"/>
      <c r="K415" s="50"/>
      <c r="L415" s="50"/>
      <c r="M415" s="50"/>
      <c r="N415" s="50"/>
      <c r="O415" s="50"/>
      <c r="P415" s="50"/>
      <c r="Q415" s="50"/>
      <c r="R415" s="50"/>
      <c r="S415" s="50"/>
      <c r="T415" s="50"/>
      <c r="U415" s="50"/>
      <c r="V415" s="50"/>
      <c r="W415" s="50"/>
      <c r="X415" s="50"/>
      <c r="Y415" s="50"/>
      <c r="Z415" s="50"/>
      <c r="AA415" s="50"/>
      <c r="AB415" s="50"/>
    </row>
    <row r="416">
      <c r="A416" s="49"/>
      <c r="B416" s="49"/>
      <c r="C416" s="50"/>
      <c r="D416" s="50"/>
      <c r="E416" s="50"/>
      <c r="F416" s="50"/>
      <c r="G416" s="50"/>
      <c r="H416" s="50"/>
      <c r="I416" s="50"/>
      <c r="J416" s="50"/>
      <c r="K416" s="50"/>
      <c r="L416" s="50"/>
      <c r="M416" s="50"/>
      <c r="N416" s="50"/>
      <c r="O416" s="50"/>
      <c r="P416" s="50"/>
      <c r="Q416" s="50"/>
      <c r="R416" s="50"/>
      <c r="S416" s="50"/>
      <c r="T416" s="50"/>
      <c r="U416" s="50"/>
      <c r="V416" s="50"/>
      <c r="W416" s="50"/>
      <c r="X416" s="50"/>
      <c r="Y416" s="50"/>
      <c r="Z416" s="50"/>
      <c r="AA416" s="50"/>
      <c r="AB416" s="50"/>
    </row>
    <row r="417">
      <c r="A417" s="49"/>
      <c r="B417" s="49"/>
      <c r="C417" s="50"/>
      <c r="D417" s="50"/>
      <c r="E417" s="50"/>
      <c r="F417" s="50"/>
      <c r="G417" s="50"/>
      <c r="H417" s="50"/>
      <c r="I417" s="50"/>
      <c r="J417" s="50"/>
      <c r="K417" s="50"/>
      <c r="L417" s="50"/>
      <c r="M417" s="50"/>
      <c r="N417" s="50"/>
      <c r="O417" s="50"/>
      <c r="P417" s="50"/>
      <c r="Q417" s="50"/>
      <c r="R417" s="50"/>
      <c r="S417" s="50"/>
      <c r="T417" s="50"/>
      <c r="U417" s="50"/>
      <c r="V417" s="50"/>
      <c r="W417" s="50"/>
      <c r="X417" s="50"/>
      <c r="Y417" s="50"/>
      <c r="Z417" s="50"/>
      <c r="AA417" s="50"/>
      <c r="AB417" s="50"/>
    </row>
    <row r="418">
      <c r="A418" s="49"/>
      <c r="B418" s="49"/>
      <c r="C418" s="50"/>
      <c r="D418" s="50"/>
      <c r="E418" s="50"/>
      <c r="F418" s="50"/>
      <c r="G418" s="50"/>
      <c r="H418" s="50"/>
      <c r="I418" s="50"/>
      <c r="J418" s="50"/>
      <c r="K418" s="50"/>
      <c r="L418" s="50"/>
      <c r="M418" s="50"/>
      <c r="N418" s="50"/>
      <c r="O418" s="50"/>
      <c r="P418" s="50"/>
      <c r="Q418" s="50"/>
      <c r="R418" s="50"/>
      <c r="S418" s="50"/>
      <c r="T418" s="50"/>
      <c r="U418" s="50"/>
      <c r="V418" s="50"/>
      <c r="W418" s="50"/>
      <c r="X418" s="50"/>
      <c r="Y418" s="50"/>
      <c r="Z418" s="50"/>
      <c r="AA418" s="50"/>
      <c r="AB418" s="50"/>
    </row>
    <row r="419">
      <c r="A419" s="49"/>
      <c r="B419" s="49"/>
      <c r="C419" s="50"/>
      <c r="D419" s="50"/>
      <c r="E419" s="50"/>
      <c r="F419" s="50"/>
      <c r="G419" s="50"/>
      <c r="H419" s="50"/>
      <c r="I419" s="50"/>
      <c r="J419" s="50"/>
      <c r="K419" s="50"/>
      <c r="L419" s="50"/>
      <c r="M419" s="50"/>
      <c r="N419" s="50"/>
      <c r="O419" s="50"/>
      <c r="P419" s="50"/>
      <c r="Q419" s="50"/>
      <c r="R419" s="50"/>
      <c r="S419" s="50"/>
      <c r="T419" s="50"/>
      <c r="U419" s="50"/>
      <c r="V419" s="50"/>
      <c r="W419" s="50"/>
      <c r="X419" s="50"/>
      <c r="Y419" s="50"/>
      <c r="Z419" s="50"/>
      <c r="AA419" s="50"/>
      <c r="AB419" s="50"/>
    </row>
    <row r="420">
      <c r="A420" s="49"/>
      <c r="B420" s="49"/>
      <c r="C420" s="50"/>
      <c r="D420" s="50"/>
      <c r="E420" s="50"/>
      <c r="F420" s="50"/>
      <c r="G420" s="50"/>
      <c r="H420" s="50"/>
      <c r="I420" s="50"/>
      <c r="J420" s="50"/>
      <c r="K420" s="50"/>
      <c r="L420" s="50"/>
      <c r="M420" s="50"/>
      <c r="N420" s="50"/>
      <c r="O420" s="50"/>
      <c r="P420" s="50"/>
      <c r="Q420" s="50"/>
      <c r="R420" s="50"/>
      <c r="S420" s="50"/>
      <c r="T420" s="50"/>
      <c r="U420" s="50"/>
      <c r="V420" s="50"/>
      <c r="W420" s="50"/>
      <c r="X420" s="50"/>
      <c r="Y420" s="50"/>
      <c r="Z420" s="50"/>
      <c r="AA420" s="50"/>
      <c r="AB420" s="50"/>
    </row>
    <row r="421">
      <c r="A421" s="49"/>
      <c r="B421" s="49"/>
      <c r="C421" s="50"/>
      <c r="D421" s="50"/>
      <c r="E421" s="50"/>
      <c r="F421" s="50"/>
      <c r="G421" s="50"/>
      <c r="H421" s="50"/>
      <c r="I421" s="50"/>
      <c r="J421" s="50"/>
      <c r="K421" s="50"/>
      <c r="L421" s="50"/>
      <c r="M421" s="50"/>
      <c r="N421" s="50"/>
      <c r="O421" s="50"/>
      <c r="P421" s="50"/>
      <c r="Q421" s="50"/>
      <c r="R421" s="50"/>
      <c r="S421" s="50"/>
      <c r="T421" s="50"/>
      <c r="U421" s="50"/>
      <c r="V421" s="50"/>
      <c r="W421" s="50"/>
      <c r="X421" s="50"/>
      <c r="Y421" s="50"/>
      <c r="Z421" s="50"/>
      <c r="AA421" s="50"/>
      <c r="AB421" s="50"/>
    </row>
    <row r="422">
      <c r="A422" s="49"/>
      <c r="B422" s="49"/>
      <c r="C422" s="50"/>
      <c r="D422" s="50"/>
      <c r="E422" s="50"/>
      <c r="F422" s="50"/>
      <c r="G422" s="50"/>
      <c r="H422" s="50"/>
      <c r="I422" s="50"/>
      <c r="J422" s="50"/>
      <c r="K422" s="50"/>
      <c r="L422" s="50"/>
      <c r="M422" s="50"/>
      <c r="N422" s="50"/>
      <c r="O422" s="50"/>
      <c r="P422" s="50"/>
      <c r="Q422" s="50"/>
      <c r="R422" s="50"/>
      <c r="S422" s="50"/>
      <c r="T422" s="50"/>
      <c r="U422" s="50"/>
      <c r="V422" s="50"/>
      <c r="W422" s="50"/>
      <c r="X422" s="50"/>
      <c r="Y422" s="50"/>
      <c r="Z422" s="50"/>
      <c r="AA422" s="50"/>
      <c r="AB422" s="50"/>
    </row>
    <row r="423">
      <c r="A423" s="49"/>
      <c r="B423" s="49"/>
      <c r="C423" s="50"/>
      <c r="D423" s="50"/>
      <c r="E423" s="50"/>
      <c r="F423" s="50"/>
      <c r="G423" s="50"/>
      <c r="H423" s="50"/>
      <c r="I423" s="50"/>
      <c r="J423" s="50"/>
      <c r="K423" s="50"/>
      <c r="L423" s="50"/>
      <c r="M423" s="50"/>
      <c r="N423" s="50"/>
      <c r="O423" s="50"/>
      <c r="P423" s="50"/>
      <c r="Q423" s="50"/>
      <c r="R423" s="50"/>
      <c r="S423" s="50"/>
      <c r="T423" s="50"/>
      <c r="U423" s="50"/>
      <c r="V423" s="50"/>
      <c r="W423" s="50"/>
      <c r="X423" s="50"/>
      <c r="Y423" s="50"/>
      <c r="Z423" s="50"/>
      <c r="AA423" s="50"/>
      <c r="AB423" s="50"/>
    </row>
    <row r="424">
      <c r="A424" s="49"/>
      <c r="B424" s="49"/>
      <c r="C424" s="50"/>
      <c r="D424" s="50"/>
      <c r="E424" s="50"/>
      <c r="F424" s="50"/>
      <c r="G424" s="50"/>
      <c r="H424" s="50"/>
      <c r="I424" s="50"/>
      <c r="J424" s="50"/>
      <c r="K424" s="50"/>
      <c r="L424" s="50"/>
      <c r="M424" s="50"/>
      <c r="N424" s="50"/>
      <c r="O424" s="50"/>
      <c r="P424" s="50"/>
      <c r="Q424" s="50"/>
      <c r="R424" s="50"/>
      <c r="S424" s="50"/>
      <c r="T424" s="50"/>
      <c r="U424" s="50"/>
      <c r="V424" s="50"/>
      <c r="W424" s="50"/>
      <c r="X424" s="50"/>
      <c r="Y424" s="50"/>
      <c r="Z424" s="50"/>
      <c r="AA424" s="50"/>
      <c r="AB424" s="50"/>
    </row>
    <row r="425">
      <c r="A425" s="49"/>
      <c r="B425" s="49"/>
      <c r="C425" s="50"/>
      <c r="D425" s="50"/>
      <c r="E425" s="50"/>
      <c r="F425" s="50"/>
      <c r="G425" s="50"/>
      <c r="H425" s="50"/>
      <c r="I425" s="50"/>
      <c r="J425" s="50"/>
      <c r="K425" s="50"/>
      <c r="L425" s="50"/>
      <c r="M425" s="50"/>
      <c r="N425" s="50"/>
      <c r="O425" s="50"/>
      <c r="P425" s="50"/>
      <c r="Q425" s="50"/>
      <c r="R425" s="50"/>
      <c r="S425" s="50"/>
      <c r="T425" s="50"/>
      <c r="U425" s="50"/>
      <c r="V425" s="50"/>
      <c r="W425" s="50"/>
      <c r="X425" s="50"/>
      <c r="Y425" s="50"/>
      <c r="Z425" s="50"/>
      <c r="AA425" s="50"/>
      <c r="AB425" s="50"/>
    </row>
    <row r="426">
      <c r="A426" s="49"/>
      <c r="B426" s="49"/>
      <c r="C426" s="50"/>
      <c r="D426" s="50"/>
      <c r="E426" s="50"/>
      <c r="F426" s="50"/>
      <c r="G426" s="50"/>
      <c r="H426" s="50"/>
      <c r="I426" s="50"/>
      <c r="J426" s="50"/>
      <c r="K426" s="50"/>
      <c r="L426" s="50"/>
      <c r="M426" s="50"/>
      <c r="N426" s="50"/>
      <c r="O426" s="50"/>
      <c r="P426" s="50"/>
      <c r="Q426" s="50"/>
      <c r="R426" s="50"/>
      <c r="S426" s="50"/>
      <c r="T426" s="50"/>
      <c r="U426" s="50"/>
      <c r="V426" s="50"/>
      <c r="W426" s="50"/>
      <c r="X426" s="50"/>
      <c r="Y426" s="50"/>
      <c r="Z426" s="50"/>
      <c r="AA426" s="50"/>
      <c r="AB426" s="50"/>
    </row>
    <row r="427">
      <c r="A427" s="49"/>
      <c r="B427" s="49"/>
      <c r="C427" s="50"/>
      <c r="D427" s="50"/>
      <c r="E427" s="50"/>
      <c r="F427" s="50"/>
      <c r="G427" s="50"/>
      <c r="H427" s="50"/>
      <c r="I427" s="50"/>
      <c r="J427" s="50"/>
      <c r="K427" s="50"/>
      <c r="L427" s="50"/>
      <c r="M427" s="50"/>
      <c r="N427" s="50"/>
      <c r="O427" s="50"/>
      <c r="P427" s="50"/>
      <c r="Q427" s="50"/>
      <c r="R427" s="50"/>
      <c r="S427" s="50"/>
      <c r="T427" s="50"/>
      <c r="U427" s="50"/>
      <c r="V427" s="50"/>
      <c r="W427" s="50"/>
      <c r="X427" s="50"/>
      <c r="Y427" s="50"/>
      <c r="Z427" s="50"/>
      <c r="AA427" s="50"/>
      <c r="AB427" s="50"/>
    </row>
    <row r="428">
      <c r="A428" s="49"/>
      <c r="B428" s="49"/>
      <c r="C428" s="50"/>
      <c r="D428" s="50"/>
      <c r="E428" s="50"/>
      <c r="F428" s="50"/>
      <c r="G428" s="50"/>
      <c r="H428" s="50"/>
      <c r="I428" s="50"/>
      <c r="J428" s="50"/>
      <c r="K428" s="50"/>
      <c r="L428" s="50"/>
      <c r="M428" s="50"/>
      <c r="N428" s="50"/>
      <c r="O428" s="50"/>
      <c r="P428" s="50"/>
      <c r="Q428" s="50"/>
      <c r="R428" s="50"/>
      <c r="S428" s="50"/>
      <c r="T428" s="50"/>
      <c r="U428" s="50"/>
      <c r="V428" s="50"/>
      <c r="W428" s="50"/>
      <c r="X428" s="50"/>
      <c r="Y428" s="50"/>
      <c r="Z428" s="50"/>
      <c r="AA428" s="50"/>
      <c r="AB428" s="50"/>
    </row>
    <row r="429">
      <c r="A429" s="49"/>
      <c r="B429" s="49"/>
      <c r="C429" s="50"/>
      <c r="D429" s="50"/>
      <c r="E429" s="50"/>
      <c r="F429" s="50"/>
      <c r="G429" s="50"/>
      <c r="H429" s="50"/>
      <c r="I429" s="50"/>
      <c r="J429" s="50"/>
      <c r="K429" s="50"/>
      <c r="L429" s="50"/>
      <c r="M429" s="50"/>
      <c r="N429" s="50"/>
      <c r="O429" s="50"/>
      <c r="P429" s="50"/>
      <c r="Q429" s="50"/>
      <c r="R429" s="50"/>
      <c r="S429" s="50"/>
      <c r="T429" s="50"/>
      <c r="U429" s="50"/>
      <c r="V429" s="50"/>
      <c r="W429" s="50"/>
      <c r="X429" s="50"/>
      <c r="Y429" s="50"/>
      <c r="Z429" s="50"/>
      <c r="AA429" s="50"/>
      <c r="AB429" s="50"/>
    </row>
    <row r="430">
      <c r="A430" s="49"/>
      <c r="B430" s="49"/>
      <c r="C430" s="50"/>
      <c r="D430" s="50"/>
      <c r="E430" s="50"/>
      <c r="F430" s="50"/>
      <c r="G430" s="50"/>
      <c r="H430" s="50"/>
      <c r="I430" s="50"/>
      <c r="J430" s="50"/>
      <c r="K430" s="50"/>
      <c r="L430" s="50"/>
      <c r="M430" s="50"/>
      <c r="N430" s="50"/>
      <c r="O430" s="50"/>
      <c r="P430" s="50"/>
      <c r="Q430" s="50"/>
      <c r="R430" s="50"/>
      <c r="S430" s="50"/>
      <c r="T430" s="50"/>
      <c r="U430" s="50"/>
      <c r="V430" s="50"/>
      <c r="W430" s="50"/>
      <c r="X430" s="50"/>
      <c r="Y430" s="50"/>
      <c r="Z430" s="50"/>
      <c r="AA430" s="50"/>
      <c r="AB430" s="50"/>
    </row>
    <row r="431">
      <c r="A431" s="49"/>
      <c r="B431" s="49"/>
      <c r="C431" s="50"/>
      <c r="D431" s="50"/>
      <c r="E431" s="50"/>
      <c r="F431" s="50"/>
      <c r="G431" s="50"/>
      <c r="H431" s="50"/>
      <c r="I431" s="50"/>
      <c r="J431" s="50"/>
      <c r="K431" s="50"/>
      <c r="L431" s="50"/>
      <c r="M431" s="50"/>
      <c r="N431" s="50"/>
      <c r="O431" s="50"/>
      <c r="P431" s="50"/>
      <c r="Q431" s="50"/>
      <c r="R431" s="50"/>
      <c r="S431" s="50"/>
      <c r="T431" s="50"/>
      <c r="U431" s="50"/>
      <c r="V431" s="50"/>
      <c r="W431" s="50"/>
      <c r="X431" s="50"/>
      <c r="Y431" s="50"/>
      <c r="Z431" s="50"/>
      <c r="AA431" s="50"/>
      <c r="AB431" s="50"/>
    </row>
    <row r="432">
      <c r="A432" s="49"/>
      <c r="B432" s="49"/>
      <c r="C432" s="50"/>
      <c r="D432" s="50"/>
      <c r="E432" s="50"/>
      <c r="F432" s="50"/>
      <c r="G432" s="50"/>
      <c r="H432" s="50"/>
      <c r="I432" s="50"/>
      <c r="J432" s="50"/>
      <c r="K432" s="50"/>
      <c r="L432" s="50"/>
      <c r="M432" s="50"/>
      <c r="N432" s="50"/>
      <c r="O432" s="50"/>
      <c r="P432" s="50"/>
      <c r="Q432" s="50"/>
      <c r="R432" s="50"/>
      <c r="S432" s="50"/>
      <c r="T432" s="50"/>
      <c r="U432" s="50"/>
      <c r="V432" s="50"/>
      <c r="W432" s="50"/>
      <c r="X432" s="50"/>
      <c r="Y432" s="50"/>
      <c r="Z432" s="50"/>
      <c r="AA432" s="50"/>
      <c r="AB432" s="50"/>
    </row>
    <row r="433">
      <c r="A433" s="49"/>
      <c r="B433" s="49"/>
      <c r="C433" s="50"/>
      <c r="D433" s="50"/>
      <c r="E433" s="50"/>
      <c r="F433" s="50"/>
      <c r="G433" s="50"/>
      <c r="H433" s="50"/>
      <c r="I433" s="50"/>
      <c r="J433" s="50"/>
      <c r="K433" s="50"/>
      <c r="L433" s="50"/>
      <c r="M433" s="50"/>
      <c r="N433" s="50"/>
      <c r="O433" s="50"/>
      <c r="P433" s="50"/>
      <c r="Q433" s="50"/>
      <c r="R433" s="50"/>
      <c r="S433" s="50"/>
      <c r="T433" s="50"/>
      <c r="U433" s="50"/>
      <c r="V433" s="50"/>
      <c r="W433" s="50"/>
      <c r="X433" s="50"/>
      <c r="Y433" s="50"/>
      <c r="Z433" s="50"/>
      <c r="AA433" s="50"/>
      <c r="AB433" s="50"/>
    </row>
    <row r="434">
      <c r="A434" s="49"/>
      <c r="B434" s="49"/>
      <c r="C434" s="50"/>
      <c r="D434" s="50"/>
      <c r="E434" s="50"/>
      <c r="F434" s="50"/>
      <c r="G434" s="50"/>
      <c r="H434" s="50"/>
      <c r="I434" s="50"/>
      <c r="J434" s="50"/>
      <c r="K434" s="50"/>
      <c r="L434" s="50"/>
      <c r="M434" s="50"/>
      <c r="N434" s="50"/>
      <c r="O434" s="50"/>
      <c r="P434" s="50"/>
      <c r="Q434" s="50"/>
      <c r="R434" s="50"/>
      <c r="S434" s="50"/>
      <c r="T434" s="50"/>
      <c r="U434" s="50"/>
      <c r="V434" s="50"/>
      <c r="W434" s="50"/>
      <c r="X434" s="50"/>
      <c r="Y434" s="50"/>
      <c r="Z434" s="50"/>
      <c r="AA434" s="50"/>
      <c r="AB434" s="50"/>
    </row>
    <row r="435">
      <c r="A435" s="49"/>
      <c r="B435" s="49"/>
      <c r="C435" s="50"/>
      <c r="D435" s="50"/>
      <c r="E435" s="50"/>
      <c r="F435" s="50"/>
      <c r="G435" s="50"/>
      <c r="H435" s="50"/>
      <c r="I435" s="50"/>
      <c r="J435" s="50"/>
      <c r="K435" s="50"/>
      <c r="L435" s="50"/>
      <c r="M435" s="50"/>
      <c r="N435" s="50"/>
      <c r="O435" s="50"/>
      <c r="P435" s="50"/>
      <c r="Q435" s="50"/>
      <c r="R435" s="50"/>
      <c r="S435" s="50"/>
      <c r="T435" s="50"/>
      <c r="U435" s="50"/>
      <c r="V435" s="50"/>
      <c r="W435" s="50"/>
      <c r="X435" s="50"/>
      <c r="Y435" s="50"/>
      <c r="Z435" s="50"/>
      <c r="AA435" s="50"/>
      <c r="AB435" s="50"/>
    </row>
    <row r="436">
      <c r="A436" s="49"/>
      <c r="B436" s="49"/>
      <c r="C436" s="50"/>
      <c r="D436" s="50"/>
      <c r="E436" s="50"/>
      <c r="F436" s="50"/>
      <c r="G436" s="50"/>
      <c r="H436" s="50"/>
      <c r="I436" s="50"/>
      <c r="J436" s="50"/>
      <c r="K436" s="50"/>
      <c r="L436" s="50"/>
      <c r="M436" s="50"/>
      <c r="N436" s="50"/>
      <c r="O436" s="50"/>
      <c r="P436" s="50"/>
      <c r="Q436" s="50"/>
      <c r="R436" s="50"/>
      <c r="S436" s="50"/>
      <c r="T436" s="50"/>
      <c r="U436" s="50"/>
      <c r="V436" s="50"/>
      <c r="W436" s="50"/>
      <c r="X436" s="50"/>
      <c r="Y436" s="50"/>
      <c r="Z436" s="50"/>
      <c r="AA436" s="50"/>
      <c r="AB436" s="50"/>
    </row>
    <row r="437">
      <c r="A437" s="49"/>
      <c r="B437" s="49"/>
      <c r="C437" s="50"/>
      <c r="D437" s="50"/>
      <c r="E437" s="50"/>
      <c r="F437" s="50"/>
      <c r="G437" s="50"/>
      <c r="H437" s="50"/>
      <c r="I437" s="50"/>
      <c r="J437" s="50"/>
      <c r="K437" s="50"/>
      <c r="L437" s="50"/>
      <c r="M437" s="50"/>
      <c r="N437" s="50"/>
      <c r="O437" s="50"/>
      <c r="P437" s="50"/>
      <c r="Q437" s="50"/>
      <c r="R437" s="50"/>
      <c r="S437" s="50"/>
      <c r="T437" s="50"/>
      <c r="U437" s="50"/>
      <c r="V437" s="50"/>
      <c r="W437" s="50"/>
      <c r="X437" s="50"/>
      <c r="Y437" s="50"/>
      <c r="Z437" s="50"/>
      <c r="AA437" s="50"/>
      <c r="AB437" s="50"/>
    </row>
    <row r="438">
      <c r="A438" s="49"/>
      <c r="B438" s="49"/>
      <c r="C438" s="50"/>
      <c r="D438" s="50"/>
      <c r="E438" s="50"/>
      <c r="F438" s="50"/>
      <c r="G438" s="50"/>
      <c r="H438" s="50"/>
      <c r="I438" s="50"/>
      <c r="J438" s="50"/>
      <c r="K438" s="50"/>
      <c r="L438" s="50"/>
      <c r="M438" s="50"/>
      <c r="N438" s="50"/>
      <c r="O438" s="50"/>
      <c r="P438" s="50"/>
      <c r="Q438" s="50"/>
      <c r="R438" s="50"/>
      <c r="S438" s="50"/>
      <c r="T438" s="50"/>
      <c r="U438" s="50"/>
      <c r="V438" s="50"/>
      <c r="W438" s="50"/>
      <c r="X438" s="50"/>
      <c r="Y438" s="50"/>
      <c r="Z438" s="50"/>
      <c r="AA438" s="50"/>
      <c r="AB438" s="50"/>
    </row>
    <row r="439">
      <c r="A439" s="49"/>
      <c r="B439" s="49"/>
      <c r="C439" s="50"/>
      <c r="D439" s="50"/>
      <c r="E439" s="50"/>
      <c r="F439" s="50"/>
      <c r="G439" s="50"/>
      <c r="H439" s="50"/>
      <c r="I439" s="50"/>
      <c r="J439" s="50"/>
      <c r="K439" s="50"/>
      <c r="L439" s="50"/>
      <c r="M439" s="50"/>
      <c r="N439" s="50"/>
      <c r="O439" s="50"/>
      <c r="P439" s="50"/>
      <c r="Q439" s="50"/>
      <c r="R439" s="50"/>
      <c r="S439" s="50"/>
      <c r="T439" s="50"/>
      <c r="U439" s="50"/>
      <c r="V439" s="50"/>
      <c r="W439" s="50"/>
      <c r="X439" s="50"/>
      <c r="Y439" s="50"/>
      <c r="Z439" s="50"/>
      <c r="AA439" s="50"/>
      <c r="AB439" s="50"/>
    </row>
    <row r="440">
      <c r="A440" s="49"/>
      <c r="B440" s="49"/>
      <c r="C440" s="50"/>
      <c r="D440" s="50"/>
      <c r="E440" s="50"/>
      <c r="F440" s="50"/>
      <c r="G440" s="50"/>
      <c r="H440" s="50"/>
      <c r="I440" s="50"/>
      <c r="J440" s="50"/>
      <c r="K440" s="50"/>
      <c r="L440" s="50"/>
      <c r="M440" s="50"/>
      <c r="N440" s="50"/>
      <c r="O440" s="50"/>
      <c r="P440" s="50"/>
      <c r="Q440" s="50"/>
      <c r="R440" s="50"/>
      <c r="S440" s="50"/>
      <c r="T440" s="50"/>
      <c r="U440" s="50"/>
      <c r="V440" s="50"/>
      <c r="W440" s="50"/>
      <c r="X440" s="50"/>
      <c r="Y440" s="50"/>
      <c r="Z440" s="50"/>
      <c r="AA440" s="50"/>
      <c r="AB440" s="50"/>
    </row>
    <row r="441">
      <c r="A441" s="49"/>
      <c r="B441" s="49"/>
      <c r="C441" s="50"/>
      <c r="D441" s="50"/>
      <c r="E441" s="50"/>
      <c r="F441" s="50"/>
      <c r="G441" s="50"/>
      <c r="H441" s="50"/>
      <c r="I441" s="50"/>
      <c r="J441" s="50"/>
      <c r="K441" s="50"/>
      <c r="L441" s="50"/>
      <c r="M441" s="50"/>
      <c r="N441" s="50"/>
      <c r="O441" s="50"/>
      <c r="P441" s="50"/>
      <c r="Q441" s="50"/>
      <c r="R441" s="50"/>
      <c r="S441" s="50"/>
      <c r="T441" s="50"/>
      <c r="U441" s="50"/>
      <c r="V441" s="50"/>
      <c r="W441" s="50"/>
      <c r="X441" s="50"/>
      <c r="Y441" s="50"/>
      <c r="Z441" s="50"/>
      <c r="AA441" s="50"/>
      <c r="AB441" s="50"/>
    </row>
    <row r="442">
      <c r="A442" s="49"/>
      <c r="B442" s="49"/>
      <c r="C442" s="50"/>
      <c r="D442" s="50"/>
      <c r="E442" s="50"/>
      <c r="F442" s="50"/>
      <c r="G442" s="50"/>
      <c r="H442" s="50"/>
      <c r="I442" s="50"/>
      <c r="J442" s="50"/>
      <c r="K442" s="50"/>
      <c r="L442" s="50"/>
      <c r="M442" s="50"/>
      <c r="N442" s="50"/>
      <c r="O442" s="50"/>
      <c r="P442" s="50"/>
      <c r="Q442" s="50"/>
      <c r="R442" s="50"/>
      <c r="S442" s="50"/>
      <c r="T442" s="50"/>
      <c r="U442" s="50"/>
      <c r="V442" s="50"/>
      <c r="W442" s="50"/>
      <c r="X442" s="50"/>
      <c r="Y442" s="50"/>
      <c r="Z442" s="50"/>
      <c r="AA442" s="50"/>
      <c r="AB442" s="50"/>
    </row>
    <row r="443">
      <c r="A443" s="49"/>
      <c r="B443" s="49"/>
      <c r="C443" s="50"/>
      <c r="D443" s="50"/>
      <c r="E443" s="50"/>
      <c r="F443" s="50"/>
      <c r="G443" s="50"/>
      <c r="H443" s="50"/>
      <c r="I443" s="50"/>
      <c r="J443" s="50"/>
      <c r="K443" s="50"/>
      <c r="L443" s="50"/>
      <c r="M443" s="50"/>
      <c r="N443" s="50"/>
      <c r="O443" s="50"/>
      <c r="P443" s="50"/>
      <c r="Q443" s="50"/>
      <c r="R443" s="50"/>
      <c r="S443" s="50"/>
      <c r="T443" s="50"/>
      <c r="U443" s="50"/>
      <c r="V443" s="50"/>
      <c r="W443" s="50"/>
      <c r="X443" s="50"/>
      <c r="Y443" s="50"/>
      <c r="Z443" s="50"/>
      <c r="AA443" s="50"/>
      <c r="AB443" s="50"/>
    </row>
    <row r="444">
      <c r="A444" s="49"/>
      <c r="B444" s="49"/>
      <c r="C444" s="50"/>
      <c r="D444" s="50"/>
      <c r="E444" s="50"/>
      <c r="F444" s="50"/>
      <c r="G444" s="50"/>
      <c r="H444" s="50"/>
      <c r="I444" s="50"/>
      <c r="J444" s="50"/>
      <c r="K444" s="50"/>
      <c r="L444" s="50"/>
      <c r="M444" s="50"/>
      <c r="N444" s="50"/>
      <c r="O444" s="50"/>
      <c r="P444" s="50"/>
      <c r="Q444" s="50"/>
      <c r="R444" s="50"/>
      <c r="S444" s="50"/>
      <c r="T444" s="50"/>
      <c r="U444" s="50"/>
      <c r="V444" s="50"/>
      <c r="W444" s="50"/>
      <c r="X444" s="50"/>
      <c r="Y444" s="50"/>
      <c r="Z444" s="50"/>
      <c r="AA444" s="50"/>
      <c r="AB444" s="50"/>
    </row>
    <row r="445">
      <c r="A445" s="49"/>
      <c r="B445" s="49"/>
      <c r="C445" s="50"/>
      <c r="D445" s="50"/>
      <c r="E445" s="50"/>
      <c r="F445" s="50"/>
      <c r="G445" s="50"/>
      <c r="H445" s="50"/>
      <c r="I445" s="50"/>
      <c r="J445" s="50"/>
      <c r="K445" s="50"/>
      <c r="L445" s="50"/>
      <c r="M445" s="50"/>
      <c r="N445" s="50"/>
      <c r="O445" s="50"/>
      <c r="P445" s="50"/>
      <c r="Q445" s="50"/>
      <c r="R445" s="50"/>
      <c r="S445" s="50"/>
      <c r="T445" s="50"/>
      <c r="U445" s="50"/>
      <c r="V445" s="50"/>
      <c r="W445" s="50"/>
      <c r="X445" s="50"/>
      <c r="Y445" s="50"/>
      <c r="Z445" s="50"/>
      <c r="AA445" s="50"/>
      <c r="AB445" s="50"/>
    </row>
    <row r="446">
      <c r="A446" s="49"/>
      <c r="B446" s="49"/>
      <c r="C446" s="50"/>
      <c r="D446" s="50"/>
      <c r="E446" s="50"/>
      <c r="F446" s="50"/>
      <c r="G446" s="50"/>
      <c r="H446" s="50"/>
      <c r="I446" s="50"/>
      <c r="J446" s="50"/>
      <c r="K446" s="50"/>
      <c r="L446" s="50"/>
      <c r="M446" s="50"/>
      <c r="N446" s="50"/>
      <c r="O446" s="50"/>
      <c r="P446" s="50"/>
      <c r="Q446" s="50"/>
      <c r="R446" s="50"/>
      <c r="S446" s="50"/>
      <c r="T446" s="50"/>
      <c r="U446" s="50"/>
      <c r="V446" s="50"/>
      <c r="W446" s="50"/>
      <c r="X446" s="50"/>
      <c r="Y446" s="50"/>
      <c r="Z446" s="50"/>
      <c r="AA446" s="50"/>
      <c r="AB446" s="50"/>
    </row>
    <row r="447">
      <c r="A447" s="49"/>
      <c r="B447" s="49"/>
      <c r="C447" s="50"/>
      <c r="D447" s="50"/>
      <c r="E447" s="50"/>
      <c r="F447" s="50"/>
      <c r="G447" s="50"/>
      <c r="H447" s="50"/>
      <c r="I447" s="50"/>
      <c r="J447" s="50"/>
      <c r="K447" s="50"/>
      <c r="L447" s="50"/>
      <c r="M447" s="50"/>
      <c r="N447" s="50"/>
      <c r="O447" s="50"/>
      <c r="P447" s="50"/>
      <c r="Q447" s="50"/>
      <c r="R447" s="50"/>
      <c r="S447" s="50"/>
      <c r="T447" s="50"/>
      <c r="U447" s="50"/>
      <c r="V447" s="50"/>
      <c r="W447" s="50"/>
      <c r="X447" s="50"/>
      <c r="Y447" s="50"/>
      <c r="Z447" s="50"/>
      <c r="AA447" s="50"/>
      <c r="AB447" s="50"/>
    </row>
    <row r="448">
      <c r="A448" s="49"/>
      <c r="B448" s="49"/>
      <c r="C448" s="50"/>
      <c r="D448" s="50"/>
      <c r="E448" s="50"/>
      <c r="F448" s="50"/>
      <c r="G448" s="50"/>
      <c r="H448" s="50"/>
      <c r="I448" s="50"/>
      <c r="J448" s="50"/>
      <c r="K448" s="50"/>
      <c r="L448" s="50"/>
      <c r="M448" s="50"/>
      <c r="N448" s="50"/>
      <c r="O448" s="50"/>
      <c r="P448" s="50"/>
      <c r="Q448" s="50"/>
      <c r="R448" s="50"/>
      <c r="S448" s="50"/>
      <c r="T448" s="50"/>
      <c r="U448" s="50"/>
      <c r="V448" s="50"/>
      <c r="W448" s="50"/>
      <c r="X448" s="50"/>
      <c r="Y448" s="50"/>
      <c r="Z448" s="50"/>
      <c r="AA448" s="50"/>
      <c r="AB448" s="50"/>
    </row>
    <row r="449">
      <c r="A449" s="49"/>
      <c r="B449" s="49"/>
      <c r="C449" s="50"/>
      <c r="D449" s="50"/>
      <c r="E449" s="50"/>
      <c r="F449" s="50"/>
      <c r="G449" s="50"/>
      <c r="H449" s="50"/>
      <c r="I449" s="50"/>
      <c r="J449" s="50"/>
      <c r="K449" s="50"/>
      <c r="L449" s="50"/>
      <c r="M449" s="50"/>
      <c r="N449" s="50"/>
      <c r="O449" s="50"/>
      <c r="P449" s="50"/>
      <c r="Q449" s="50"/>
      <c r="R449" s="50"/>
      <c r="S449" s="50"/>
      <c r="T449" s="50"/>
      <c r="U449" s="50"/>
      <c r="V449" s="50"/>
      <c r="W449" s="50"/>
      <c r="X449" s="50"/>
      <c r="Y449" s="50"/>
      <c r="Z449" s="50"/>
      <c r="AA449" s="50"/>
      <c r="AB449" s="50"/>
    </row>
    <row r="450">
      <c r="A450" s="49"/>
      <c r="B450" s="49"/>
      <c r="C450" s="50"/>
      <c r="D450" s="50"/>
      <c r="E450" s="50"/>
      <c r="F450" s="50"/>
      <c r="G450" s="50"/>
      <c r="H450" s="50"/>
      <c r="I450" s="50"/>
      <c r="J450" s="50"/>
      <c r="K450" s="50"/>
      <c r="L450" s="50"/>
      <c r="M450" s="50"/>
      <c r="N450" s="50"/>
      <c r="O450" s="50"/>
      <c r="P450" s="50"/>
      <c r="Q450" s="50"/>
      <c r="R450" s="50"/>
      <c r="S450" s="50"/>
      <c r="T450" s="50"/>
      <c r="U450" s="50"/>
      <c r="V450" s="50"/>
      <c r="W450" s="50"/>
      <c r="X450" s="50"/>
      <c r="Y450" s="50"/>
      <c r="Z450" s="50"/>
      <c r="AA450" s="50"/>
      <c r="AB450" s="50"/>
    </row>
    <row r="451">
      <c r="A451" s="49"/>
      <c r="B451" s="49"/>
      <c r="C451" s="50"/>
      <c r="D451" s="50"/>
      <c r="E451" s="50"/>
      <c r="F451" s="50"/>
      <c r="G451" s="50"/>
      <c r="H451" s="50"/>
      <c r="I451" s="50"/>
      <c r="J451" s="50"/>
      <c r="K451" s="50"/>
      <c r="L451" s="50"/>
      <c r="M451" s="50"/>
      <c r="N451" s="50"/>
      <c r="O451" s="50"/>
      <c r="P451" s="50"/>
      <c r="Q451" s="50"/>
      <c r="R451" s="50"/>
      <c r="S451" s="50"/>
      <c r="T451" s="50"/>
      <c r="U451" s="50"/>
      <c r="V451" s="50"/>
      <c r="W451" s="50"/>
      <c r="X451" s="50"/>
      <c r="Y451" s="50"/>
      <c r="Z451" s="50"/>
      <c r="AA451" s="50"/>
      <c r="AB451" s="50"/>
    </row>
    <row r="452">
      <c r="A452" s="49"/>
      <c r="B452" s="49"/>
      <c r="C452" s="50"/>
      <c r="D452" s="50"/>
      <c r="E452" s="50"/>
      <c r="F452" s="50"/>
      <c r="G452" s="50"/>
      <c r="H452" s="50"/>
      <c r="I452" s="50"/>
      <c r="J452" s="50"/>
      <c r="K452" s="50"/>
      <c r="L452" s="50"/>
      <c r="M452" s="50"/>
      <c r="N452" s="50"/>
      <c r="O452" s="50"/>
      <c r="P452" s="50"/>
      <c r="Q452" s="50"/>
      <c r="R452" s="50"/>
      <c r="S452" s="50"/>
      <c r="T452" s="50"/>
      <c r="U452" s="50"/>
      <c r="V452" s="50"/>
      <c r="W452" s="50"/>
      <c r="X452" s="50"/>
      <c r="Y452" s="50"/>
      <c r="Z452" s="50"/>
      <c r="AA452" s="50"/>
      <c r="AB452" s="50"/>
    </row>
    <row r="453">
      <c r="A453" s="49"/>
      <c r="B453" s="49"/>
      <c r="C453" s="50"/>
      <c r="D453" s="50"/>
      <c r="E453" s="50"/>
      <c r="F453" s="50"/>
      <c r="G453" s="50"/>
      <c r="H453" s="50"/>
      <c r="I453" s="50"/>
      <c r="J453" s="50"/>
      <c r="K453" s="50"/>
      <c r="L453" s="50"/>
      <c r="M453" s="50"/>
      <c r="N453" s="50"/>
      <c r="O453" s="50"/>
      <c r="P453" s="50"/>
      <c r="Q453" s="50"/>
      <c r="R453" s="50"/>
      <c r="S453" s="50"/>
      <c r="T453" s="50"/>
      <c r="U453" s="50"/>
      <c r="V453" s="50"/>
      <c r="W453" s="50"/>
      <c r="X453" s="50"/>
      <c r="Y453" s="50"/>
      <c r="Z453" s="50"/>
      <c r="AA453" s="50"/>
      <c r="AB453" s="50"/>
    </row>
    <row r="454">
      <c r="A454" s="49"/>
      <c r="B454" s="49"/>
      <c r="C454" s="50"/>
      <c r="D454" s="50"/>
      <c r="E454" s="50"/>
      <c r="F454" s="50"/>
      <c r="G454" s="50"/>
      <c r="H454" s="50"/>
      <c r="I454" s="50"/>
      <c r="J454" s="50"/>
      <c r="K454" s="50"/>
      <c r="L454" s="50"/>
      <c r="M454" s="50"/>
      <c r="N454" s="50"/>
      <c r="O454" s="50"/>
      <c r="P454" s="50"/>
      <c r="Q454" s="50"/>
      <c r="R454" s="50"/>
      <c r="S454" s="50"/>
      <c r="T454" s="50"/>
      <c r="U454" s="50"/>
      <c r="V454" s="50"/>
      <c r="W454" s="50"/>
      <c r="X454" s="50"/>
      <c r="Y454" s="50"/>
      <c r="Z454" s="50"/>
      <c r="AA454" s="50"/>
      <c r="AB454" s="50"/>
    </row>
    <row r="455">
      <c r="A455" s="49"/>
      <c r="B455" s="49"/>
      <c r="C455" s="50"/>
      <c r="D455" s="50"/>
      <c r="E455" s="50"/>
      <c r="F455" s="50"/>
      <c r="G455" s="50"/>
      <c r="H455" s="50"/>
      <c r="I455" s="50"/>
      <c r="J455" s="50"/>
      <c r="K455" s="50"/>
      <c r="L455" s="50"/>
      <c r="M455" s="50"/>
      <c r="N455" s="50"/>
      <c r="O455" s="50"/>
      <c r="P455" s="50"/>
      <c r="Q455" s="50"/>
      <c r="R455" s="50"/>
      <c r="S455" s="50"/>
      <c r="T455" s="50"/>
      <c r="U455" s="50"/>
      <c r="V455" s="50"/>
      <c r="W455" s="50"/>
      <c r="X455" s="50"/>
      <c r="Y455" s="50"/>
      <c r="Z455" s="50"/>
      <c r="AA455" s="50"/>
      <c r="AB455" s="50"/>
    </row>
    <row r="456">
      <c r="A456" s="49"/>
      <c r="B456" s="49"/>
      <c r="C456" s="50"/>
      <c r="D456" s="50"/>
      <c r="E456" s="50"/>
      <c r="F456" s="50"/>
      <c r="G456" s="50"/>
      <c r="H456" s="50"/>
      <c r="I456" s="50"/>
      <c r="J456" s="50"/>
      <c r="K456" s="50"/>
      <c r="L456" s="50"/>
      <c r="M456" s="50"/>
      <c r="N456" s="50"/>
      <c r="O456" s="50"/>
      <c r="P456" s="50"/>
      <c r="Q456" s="50"/>
      <c r="R456" s="50"/>
      <c r="S456" s="50"/>
      <c r="T456" s="50"/>
      <c r="U456" s="50"/>
      <c r="V456" s="50"/>
      <c r="W456" s="50"/>
      <c r="X456" s="50"/>
      <c r="Y456" s="50"/>
      <c r="Z456" s="50"/>
      <c r="AA456" s="50"/>
      <c r="AB456" s="50"/>
    </row>
    <row r="457">
      <c r="A457" s="49"/>
      <c r="B457" s="49"/>
      <c r="C457" s="50"/>
      <c r="D457" s="50"/>
      <c r="E457" s="50"/>
      <c r="F457" s="50"/>
      <c r="G457" s="50"/>
      <c r="H457" s="50"/>
      <c r="I457" s="50"/>
      <c r="J457" s="50"/>
      <c r="K457" s="50"/>
      <c r="L457" s="50"/>
      <c r="M457" s="50"/>
      <c r="N457" s="50"/>
      <c r="O457" s="50"/>
      <c r="P457" s="50"/>
      <c r="Q457" s="50"/>
      <c r="R457" s="50"/>
      <c r="S457" s="50"/>
      <c r="T457" s="50"/>
      <c r="U457" s="50"/>
      <c r="V457" s="50"/>
      <c r="W457" s="50"/>
      <c r="X457" s="50"/>
      <c r="Y457" s="50"/>
      <c r="Z457" s="50"/>
      <c r="AA457" s="50"/>
      <c r="AB457" s="50"/>
    </row>
    <row r="458">
      <c r="A458" s="49"/>
      <c r="B458" s="49"/>
      <c r="C458" s="50"/>
      <c r="D458" s="50"/>
      <c r="E458" s="50"/>
      <c r="F458" s="50"/>
      <c r="G458" s="50"/>
      <c r="H458" s="50"/>
      <c r="I458" s="50"/>
      <c r="J458" s="50"/>
      <c r="K458" s="50"/>
      <c r="L458" s="50"/>
      <c r="M458" s="50"/>
      <c r="N458" s="50"/>
      <c r="O458" s="50"/>
      <c r="P458" s="50"/>
      <c r="Q458" s="50"/>
      <c r="R458" s="50"/>
      <c r="S458" s="50"/>
      <c r="T458" s="50"/>
      <c r="U458" s="50"/>
      <c r="V458" s="50"/>
      <c r="W458" s="50"/>
      <c r="X458" s="50"/>
      <c r="Y458" s="50"/>
      <c r="Z458" s="50"/>
      <c r="AA458" s="50"/>
      <c r="AB458" s="50"/>
    </row>
    <row r="459">
      <c r="A459" s="49"/>
      <c r="B459" s="49"/>
      <c r="C459" s="50"/>
      <c r="D459" s="50"/>
      <c r="E459" s="50"/>
      <c r="F459" s="50"/>
      <c r="G459" s="50"/>
      <c r="H459" s="50"/>
      <c r="I459" s="50"/>
      <c r="J459" s="50"/>
      <c r="K459" s="50"/>
      <c r="L459" s="50"/>
      <c r="M459" s="50"/>
      <c r="N459" s="50"/>
      <c r="O459" s="50"/>
      <c r="P459" s="50"/>
      <c r="Q459" s="50"/>
      <c r="R459" s="50"/>
      <c r="S459" s="50"/>
      <c r="T459" s="50"/>
      <c r="U459" s="50"/>
      <c r="V459" s="50"/>
      <c r="W459" s="50"/>
      <c r="X459" s="50"/>
      <c r="Y459" s="50"/>
      <c r="Z459" s="50"/>
      <c r="AA459" s="50"/>
      <c r="AB459" s="50"/>
    </row>
    <row r="460">
      <c r="A460" s="49"/>
      <c r="B460" s="49"/>
      <c r="C460" s="50"/>
      <c r="D460" s="50"/>
      <c r="E460" s="50"/>
      <c r="F460" s="50"/>
      <c r="G460" s="50"/>
      <c r="H460" s="50"/>
      <c r="I460" s="50"/>
      <c r="J460" s="50"/>
      <c r="K460" s="50"/>
      <c r="L460" s="50"/>
      <c r="M460" s="50"/>
      <c r="N460" s="50"/>
      <c r="O460" s="50"/>
      <c r="P460" s="50"/>
      <c r="Q460" s="50"/>
      <c r="R460" s="50"/>
      <c r="S460" s="50"/>
      <c r="T460" s="50"/>
      <c r="U460" s="50"/>
      <c r="V460" s="50"/>
      <c r="W460" s="50"/>
      <c r="X460" s="50"/>
      <c r="Y460" s="50"/>
      <c r="Z460" s="50"/>
      <c r="AA460" s="50"/>
      <c r="AB460" s="50"/>
    </row>
    <row r="461">
      <c r="A461" s="49"/>
      <c r="B461" s="49"/>
      <c r="C461" s="50"/>
      <c r="D461" s="50"/>
      <c r="E461" s="50"/>
      <c r="F461" s="50"/>
      <c r="G461" s="50"/>
      <c r="H461" s="50"/>
      <c r="I461" s="50"/>
      <c r="J461" s="50"/>
      <c r="K461" s="50"/>
      <c r="L461" s="50"/>
      <c r="M461" s="50"/>
      <c r="N461" s="50"/>
      <c r="O461" s="50"/>
      <c r="P461" s="50"/>
      <c r="Q461" s="50"/>
      <c r="R461" s="50"/>
      <c r="S461" s="50"/>
      <c r="T461" s="50"/>
      <c r="U461" s="50"/>
      <c r="V461" s="50"/>
      <c r="W461" s="50"/>
      <c r="X461" s="50"/>
      <c r="Y461" s="50"/>
      <c r="Z461" s="50"/>
      <c r="AA461" s="50"/>
      <c r="AB461" s="50"/>
    </row>
    <row r="462">
      <c r="A462" s="49"/>
      <c r="B462" s="49"/>
      <c r="C462" s="50"/>
      <c r="D462" s="50"/>
      <c r="E462" s="50"/>
      <c r="F462" s="50"/>
      <c r="G462" s="50"/>
      <c r="H462" s="50"/>
      <c r="I462" s="50"/>
      <c r="J462" s="50"/>
      <c r="K462" s="50"/>
      <c r="L462" s="50"/>
      <c r="M462" s="50"/>
      <c r="N462" s="50"/>
      <c r="O462" s="50"/>
      <c r="P462" s="50"/>
      <c r="Q462" s="50"/>
      <c r="R462" s="50"/>
      <c r="S462" s="50"/>
      <c r="T462" s="50"/>
      <c r="U462" s="50"/>
      <c r="V462" s="50"/>
      <c r="W462" s="50"/>
      <c r="X462" s="50"/>
      <c r="Y462" s="50"/>
      <c r="Z462" s="50"/>
      <c r="AA462" s="50"/>
      <c r="AB462" s="50"/>
    </row>
    <row r="463">
      <c r="A463" s="49"/>
      <c r="B463" s="49"/>
      <c r="C463" s="50"/>
      <c r="D463" s="50"/>
      <c r="E463" s="50"/>
      <c r="F463" s="50"/>
      <c r="G463" s="50"/>
      <c r="H463" s="50"/>
      <c r="I463" s="50"/>
      <c r="J463" s="50"/>
      <c r="K463" s="50"/>
      <c r="L463" s="50"/>
      <c r="M463" s="50"/>
      <c r="N463" s="50"/>
      <c r="O463" s="50"/>
      <c r="P463" s="50"/>
      <c r="Q463" s="50"/>
      <c r="R463" s="50"/>
      <c r="S463" s="50"/>
      <c r="T463" s="50"/>
      <c r="U463" s="50"/>
      <c r="V463" s="50"/>
      <c r="W463" s="50"/>
      <c r="X463" s="50"/>
      <c r="Y463" s="50"/>
      <c r="Z463" s="50"/>
      <c r="AA463" s="50"/>
      <c r="AB463" s="50"/>
    </row>
    <row r="464">
      <c r="A464" s="49"/>
      <c r="B464" s="49"/>
      <c r="C464" s="50"/>
      <c r="D464" s="50"/>
      <c r="E464" s="50"/>
      <c r="F464" s="50"/>
      <c r="G464" s="50"/>
      <c r="H464" s="50"/>
      <c r="I464" s="50"/>
      <c r="J464" s="50"/>
      <c r="K464" s="50"/>
      <c r="L464" s="50"/>
      <c r="M464" s="50"/>
      <c r="N464" s="50"/>
      <c r="O464" s="50"/>
      <c r="P464" s="50"/>
      <c r="Q464" s="50"/>
      <c r="R464" s="50"/>
      <c r="S464" s="50"/>
      <c r="T464" s="50"/>
      <c r="U464" s="50"/>
      <c r="V464" s="50"/>
      <c r="W464" s="50"/>
      <c r="X464" s="50"/>
      <c r="Y464" s="50"/>
      <c r="Z464" s="50"/>
      <c r="AA464" s="50"/>
      <c r="AB464" s="50"/>
    </row>
    <row r="465">
      <c r="A465" s="49"/>
      <c r="B465" s="49"/>
      <c r="C465" s="50"/>
      <c r="D465" s="50"/>
      <c r="E465" s="50"/>
      <c r="F465" s="50"/>
      <c r="G465" s="50"/>
      <c r="H465" s="50"/>
      <c r="I465" s="50"/>
      <c r="J465" s="50"/>
      <c r="K465" s="50"/>
      <c r="L465" s="50"/>
      <c r="M465" s="50"/>
      <c r="N465" s="50"/>
      <c r="O465" s="50"/>
      <c r="P465" s="50"/>
      <c r="Q465" s="50"/>
      <c r="R465" s="50"/>
      <c r="S465" s="50"/>
      <c r="T465" s="50"/>
      <c r="U465" s="50"/>
      <c r="V465" s="50"/>
      <c r="W465" s="50"/>
      <c r="X465" s="50"/>
      <c r="Y465" s="50"/>
      <c r="Z465" s="50"/>
      <c r="AA465" s="50"/>
      <c r="AB465" s="50"/>
    </row>
    <row r="466">
      <c r="A466" s="49"/>
      <c r="B466" s="49"/>
      <c r="C466" s="50"/>
      <c r="D466" s="50"/>
      <c r="E466" s="50"/>
      <c r="F466" s="50"/>
      <c r="G466" s="50"/>
      <c r="H466" s="50"/>
      <c r="I466" s="50"/>
      <c r="J466" s="50"/>
      <c r="K466" s="50"/>
      <c r="L466" s="50"/>
      <c r="M466" s="50"/>
      <c r="N466" s="50"/>
      <c r="O466" s="50"/>
      <c r="P466" s="50"/>
      <c r="Q466" s="50"/>
      <c r="R466" s="50"/>
      <c r="S466" s="50"/>
      <c r="T466" s="50"/>
      <c r="U466" s="50"/>
      <c r="V466" s="50"/>
      <c r="W466" s="50"/>
      <c r="X466" s="50"/>
      <c r="Y466" s="50"/>
      <c r="Z466" s="50"/>
      <c r="AA466" s="50"/>
      <c r="AB466" s="50"/>
    </row>
    <row r="467">
      <c r="A467" s="49"/>
      <c r="B467" s="49"/>
      <c r="C467" s="50"/>
      <c r="D467" s="50"/>
      <c r="E467" s="50"/>
      <c r="F467" s="50"/>
      <c r="G467" s="50"/>
      <c r="H467" s="50"/>
      <c r="I467" s="50"/>
      <c r="J467" s="50"/>
      <c r="K467" s="50"/>
      <c r="L467" s="50"/>
      <c r="M467" s="50"/>
      <c r="N467" s="50"/>
      <c r="O467" s="50"/>
      <c r="P467" s="50"/>
      <c r="Q467" s="50"/>
      <c r="R467" s="50"/>
      <c r="S467" s="50"/>
      <c r="T467" s="50"/>
      <c r="U467" s="50"/>
      <c r="V467" s="50"/>
      <c r="W467" s="50"/>
      <c r="X467" s="50"/>
      <c r="Y467" s="50"/>
      <c r="Z467" s="50"/>
      <c r="AA467" s="50"/>
      <c r="AB467" s="50"/>
    </row>
    <row r="468">
      <c r="A468" s="49"/>
      <c r="B468" s="49"/>
      <c r="C468" s="50"/>
      <c r="D468" s="50"/>
      <c r="E468" s="50"/>
      <c r="F468" s="50"/>
      <c r="G468" s="50"/>
      <c r="H468" s="50"/>
      <c r="I468" s="50"/>
      <c r="J468" s="50"/>
      <c r="K468" s="50"/>
      <c r="L468" s="50"/>
      <c r="M468" s="50"/>
      <c r="N468" s="50"/>
      <c r="O468" s="50"/>
      <c r="P468" s="50"/>
      <c r="Q468" s="50"/>
      <c r="R468" s="50"/>
      <c r="S468" s="50"/>
      <c r="T468" s="50"/>
      <c r="U468" s="50"/>
      <c r="V468" s="50"/>
      <c r="W468" s="50"/>
      <c r="X468" s="50"/>
      <c r="Y468" s="50"/>
      <c r="Z468" s="50"/>
      <c r="AA468" s="50"/>
      <c r="AB468" s="50"/>
    </row>
    <row r="469">
      <c r="A469" s="49"/>
      <c r="B469" s="49"/>
      <c r="C469" s="50"/>
      <c r="D469" s="50"/>
      <c r="E469" s="50"/>
      <c r="F469" s="50"/>
      <c r="G469" s="50"/>
      <c r="H469" s="50"/>
      <c r="I469" s="50"/>
      <c r="J469" s="50"/>
      <c r="K469" s="50"/>
      <c r="L469" s="50"/>
      <c r="M469" s="50"/>
      <c r="N469" s="50"/>
      <c r="O469" s="50"/>
      <c r="P469" s="50"/>
      <c r="Q469" s="50"/>
      <c r="R469" s="50"/>
      <c r="S469" s="50"/>
      <c r="T469" s="50"/>
      <c r="U469" s="50"/>
      <c r="V469" s="50"/>
      <c r="W469" s="50"/>
      <c r="X469" s="50"/>
      <c r="Y469" s="50"/>
      <c r="Z469" s="50"/>
      <c r="AA469" s="50"/>
      <c r="AB469" s="50"/>
    </row>
    <row r="470">
      <c r="A470" s="49"/>
      <c r="B470" s="49"/>
      <c r="C470" s="50"/>
      <c r="D470" s="50"/>
      <c r="E470" s="50"/>
      <c r="F470" s="50"/>
      <c r="G470" s="50"/>
      <c r="H470" s="50"/>
      <c r="I470" s="50"/>
      <c r="J470" s="50"/>
      <c r="K470" s="50"/>
      <c r="L470" s="50"/>
      <c r="M470" s="50"/>
      <c r="N470" s="50"/>
      <c r="O470" s="50"/>
      <c r="P470" s="50"/>
      <c r="Q470" s="50"/>
      <c r="R470" s="50"/>
      <c r="S470" s="50"/>
      <c r="T470" s="50"/>
      <c r="U470" s="50"/>
      <c r="V470" s="50"/>
      <c r="W470" s="50"/>
      <c r="X470" s="50"/>
      <c r="Y470" s="50"/>
      <c r="Z470" s="50"/>
      <c r="AA470" s="50"/>
      <c r="AB470" s="50"/>
    </row>
    <row r="471">
      <c r="A471" s="49"/>
      <c r="B471" s="49"/>
      <c r="C471" s="50"/>
      <c r="D471" s="50"/>
      <c r="E471" s="50"/>
      <c r="F471" s="50"/>
      <c r="G471" s="50"/>
      <c r="H471" s="50"/>
      <c r="I471" s="50"/>
      <c r="J471" s="50"/>
      <c r="K471" s="50"/>
      <c r="L471" s="50"/>
      <c r="M471" s="50"/>
      <c r="N471" s="50"/>
      <c r="O471" s="50"/>
      <c r="P471" s="50"/>
      <c r="Q471" s="50"/>
      <c r="R471" s="50"/>
      <c r="S471" s="50"/>
      <c r="T471" s="50"/>
      <c r="U471" s="50"/>
      <c r="V471" s="50"/>
      <c r="W471" s="50"/>
      <c r="X471" s="50"/>
      <c r="Y471" s="50"/>
      <c r="Z471" s="50"/>
      <c r="AA471" s="50"/>
      <c r="AB471" s="50"/>
    </row>
    <row r="472">
      <c r="A472" s="49"/>
      <c r="B472" s="49"/>
      <c r="C472" s="50"/>
      <c r="D472" s="50"/>
      <c r="E472" s="50"/>
      <c r="F472" s="50"/>
      <c r="G472" s="50"/>
      <c r="H472" s="50"/>
      <c r="I472" s="50"/>
      <c r="J472" s="50"/>
      <c r="K472" s="50"/>
      <c r="L472" s="50"/>
      <c r="M472" s="50"/>
      <c r="N472" s="50"/>
      <c r="O472" s="50"/>
      <c r="P472" s="50"/>
      <c r="Q472" s="50"/>
      <c r="R472" s="50"/>
      <c r="S472" s="50"/>
      <c r="T472" s="50"/>
      <c r="U472" s="50"/>
      <c r="V472" s="50"/>
      <c r="W472" s="50"/>
      <c r="X472" s="50"/>
      <c r="Y472" s="50"/>
      <c r="Z472" s="50"/>
      <c r="AA472" s="50"/>
      <c r="AB472" s="50"/>
    </row>
    <row r="473">
      <c r="A473" s="49"/>
      <c r="B473" s="49"/>
      <c r="C473" s="50"/>
      <c r="D473" s="50"/>
      <c r="E473" s="50"/>
      <c r="F473" s="50"/>
      <c r="G473" s="50"/>
      <c r="H473" s="50"/>
      <c r="I473" s="50"/>
      <c r="J473" s="50"/>
      <c r="K473" s="50"/>
      <c r="L473" s="50"/>
      <c r="M473" s="50"/>
      <c r="N473" s="50"/>
      <c r="O473" s="50"/>
      <c r="P473" s="50"/>
      <c r="Q473" s="50"/>
      <c r="R473" s="50"/>
      <c r="S473" s="50"/>
      <c r="T473" s="50"/>
      <c r="U473" s="50"/>
      <c r="V473" s="50"/>
      <c r="W473" s="50"/>
      <c r="X473" s="50"/>
      <c r="Y473" s="50"/>
      <c r="Z473" s="50"/>
      <c r="AA473" s="50"/>
      <c r="AB473" s="50"/>
    </row>
    <row r="474">
      <c r="A474" s="49"/>
      <c r="B474" s="49"/>
      <c r="C474" s="50"/>
      <c r="D474" s="50"/>
      <c r="E474" s="50"/>
      <c r="F474" s="50"/>
      <c r="G474" s="50"/>
      <c r="H474" s="50"/>
      <c r="I474" s="50"/>
      <c r="J474" s="50"/>
      <c r="K474" s="50"/>
      <c r="L474" s="50"/>
      <c r="M474" s="50"/>
      <c r="N474" s="50"/>
      <c r="O474" s="50"/>
      <c r="P474" s="50"/>
      <c r="Q474" s="50"/>
      <c r="R474" s="50"/>
      <c r="S474" s="50"/>
      <c r="T474" s="50"/>
      <c r="U474" s="50"/>
      <c r="V474" s="50"/>
      <c r="W474" s="50"/>
      <c r="X474" s="50"/>
      <c r="Y474" s="50"/>
      <c r="Z474" s="50"/>
      <c r="AA474" s="50"/>
      <c r="AB474" s="50"/>
    </row>
    <row r="475">
      <c r="A475" s="49"/>
      <c r="B475" s="49"/>
      <c r="C475" s="50"/>
      <c r="D475" s="50"/>
      <c r="E475" s="50"/>
      <c r="F475" s="50"/>
      <c r="G475" s="50"/>
      <c r="H475" s="50"/>
      <c r="I475" s="50"/>
      <c r="J475" s="50"/>
      <c r="K475" s="50"/>
      <c r="L475" s="50"/>
      <c r="M475" s="50"/>
      <c r="N475" s="50"/>
      <c r="O475" s="50"/>
      <c r="P475" s="50"/>
      <c r="Q475" s="50"/>
      <c r="R475" s="50"/>
      <c r="S475" s="50"/>
      <c r="T475" s="50"/>
      <c r="U475" s="50"/>
      <c r="V475" s="50"/>
      <c r="W475" s="50"/>
      <c r="X475" s="50"/>
      <c r="Y475" s="50"/>
      <c r="Z475" s="50"/>
      <c r="AA475" s="50"/>
      <c r="AB475" s="50"/>
    </row>
    <row r="476">
      <c r="A476" s="49"/>
      <c r="B476" s="49"/>
      <c r="C476" s="50"/>
      <c r="D476" s="50"/>
      <c r="E476" s="50"/>
      <c r="F476" s="50"/>
      <c r="G476" s="50"/>
      <c r="H476" s="50"/>
      <c r="I476" s="50"/>
      <c r="J476" s="50"/>
      <c r="K476" s="50"/>
      <c r="L476" s="50"/>
      <c r="M476" s="50"/>
      <c r="N476" s="50"/>
      <c r="O476" s="50"/>
      <c r="P476" s="50"/>
      <c r="Q476" s="50"/>
      <c r="R476" s="50"/>
      <c r="S476" s="50"/>
      <c r="T476" s="50"/>
      <c r="U476" s="50"/>
      <c r="V476" s="50"/>
      <c r="W476" s="50"/>
      <c r="X476" s="50"/>
      <c r="Y476" s="50"/>
      <c r="Z476" s="50"/>
      <c r="AA476" s="50"/>
      <c r="AB476" s="50"/>
    </row>
    <row r="477">
      <c r="A477" s="49"/>
      <c r="B477" s="49"/>
      <c r="C477" s="50"/>
      <c r="D477" s="50"/>
      <c r="E477" s="50"/>
      <c r="F477" s="50"/>
      <c r="G477" s="50"/>
      <c r="H477" s="50"/>
      <c r="I477" s="50"/>
      <c r="J477" s="50"/>
      <c r="K477" s="50"/>
      <c r="L477" s="50"/>
      <c r="M477" s="50"/>
      <c r="N477" s="50"/>
      <c r="O477" s="50"/>
      <c r="P477" s="50"/>
      <c r="Q477" s="50"/>
      <c r="R477" s="50"/>
      <c r="S477" s="50"/>
      <c r="T477" s="50"/>
      <c r="U477" s="50"/>
      <c r="V477" s="50"/>
      <c r="W477" s="50"/>
      <c r="X477" s="50"/>
      <c r="Y477" s="50"/>
      <c r="Z477" s="50"/>
      <c r="AA477" s="50"/>
      <c r="AB477" s="50"/>
    </row>
    <row r="478">
      <c r="A478" s="49"/>
      <c r="B478" s="49"/>
      <c r="C478" s="50"/>
      <c r="D478" s="50"/>
      <c r="E478" s="50"/>
      <c r="F478" s="50"/>
      <c r="G478" s="50"/>
      <c r="H478" s="50"/>
      <c r="I478" s="50"/>
      <c r="J478" s="50"/>
      <c r="K478" s="50"/>
      <c r="L478" s="50"/>
      <c r="M478" s="50"/>
      <c r="N478" s="50"/>
      <c r="O478" s="50"/>
      <c r="P478" s="50"/>
      <c r="Q478" s="50"/>
      <c r="R478" s="50"/>
      <c r="S478" s="50"/>
      <c r="T478" s="50"/>
      <c r="U478" s="50"/>
      <c r="V478" s="50"/>
      <c r="W478" s="50"/>
      <c r="X478" s="50"/>
      <c r="Y478" s="50"/>
      <c r="Z478" s="50"/>
      <c r="AA478" s="50"/>
      <c r="AB478" s="50"/>
    </row>
    <row r="479">
      <c r="A479" s="49"/>
      <c r="B479" s="49"/>
      <c r="C479" s="50"/>
      <c r="D479" s="50"/>
      <c r="E479" s="50"/>
      <c r="F479" s="50"/>
      <c r="G479" s="50"/>
      <c r="H479" s="50"/>
      <c r="I479" s="50"/>
      <c r="J479" s="50"/>
      <c r="K479" s="50"/>
      <c r="L479" s="50"/>
      <c r="M479" s="50"/>
      <c r="N479" s="50"/>
      <c r="O479" s="50"/>
      <c r="P479" s="50"/>
      <c r="Q479" s="50"/>
      <c r="R479" s="50"/>
      <c r="S479" s="50"/>
      <c r="T479" s="50"/>
      <c r="U479" s="50"/>
      <c r="V479" s="50"/>
      <c r="W479" s="50"/>
      <c r="X479" s="50"/>
      <c r="Y479" s="50"/>
      <c r="Z479" s="50"/>
      <c r="AA479" s="50"/>
      <c r="AB479" s="50"/>
    </row>
    <row r="480">
      <c r="A480" s="49"/>
      <c r="B480" s="49"/>
      <c r="C480" s="50"/>
      <c r="D480" s="50"/>
      <c r="E480" s="50"/>
      <c r="F480" s="50"/>
      <c r="G480" s="50"/>
      <c r="H480" s="50"/>
      <c r="I480" s="50"/>
      <c r="J480" s="50"/>
      <c r="K480" s="50"/>
      <c r="L480" s="50"/>
      <c r="M480" s="50"/>
      <c r="N480" s="50"/>
      <c r="O480" s="50"/>
      <c r="P480" s="50"/>
      <c r="Q480" s="50"/>
      <c r="R480" s="50"/>
      <c r="S480" s="50"/>
      <c r="T480" s="50"/>
      <c r="U480" s="50"/>
      <c r="V480" s="50"/>
      <c r="W480" s="50"/>
      <c r="X480" s="50"/>
      <c r="Y480" s="50"/>
      <c r="Z480" s="50"/>
      <c r="AA480" s="50"/>
      <c r="AB480" s="50"/>
    </row>
    <row r="481">
      <c r="A481" s="49"/>
      <c r="B481" s="49"/>
      <c r="C481" s="50"/>
      <c r="D481" s="50"/>
      <c r="E481" s="50"/>
      <c r="F481" s="50"/>
      <c r="G481" s="50"/>
      <c r="H481" s="50"/>
      <c r="I481" s="50"/>
      <c r="J481" s="50"/>
      <c r="K481" s="50"/>
      <c r="L481" s="50"/>
      <c r="M481" s="50"/>
      <c r="N481" s="50"/>
      <c r="O481" s="50"/>
      <c r="P481" s="50"/>
      <c r="Q481" s="50"/>
      <c r="R481" s="50"/>
      <c r="S481" s="50"/>
      <c r="T481" s="50"/>
      <c r="U481" s="50"/>
      <c r="V481" s="50"/>
      <c r="W481" s="50"/>
      <c r="X481" s="50"/>
      <c r="Y481" s="50"/>
      <c r="Z481" s="50"/>
      <c r="AA481" s="50"/>
      <c r="AB481" s="50"/>
    </row>
    <row r="482">
      <c r="A482" s="49"/>
      <c r="B482" s="49"/>
      <c r="C482" s="50"/>
      <c r="D482" s="50"/>
      <c r="E482" s="50"/>
      <c r="F482" s="50"/>
      <c r="G482" s="50"/>
      <c r="H482" s="50"/>
      <c r="I482" s="50"/>
      <c r="J482" s="50"/>
      <c r="K482" s="50"/>
      <c r="L482" s="50"/>
      <c r="M482" s="50"/>
      <c r="N482" s="50"/>
      <c r="O482" s="50"/>
      <c r="P482" s="50"/>
      <c r="Q482" s="50"/>
      <c r="R482" s="50"/>
      <c r="S482" s="50"/>
      <c r="T482" s="50"/>
      <c r="U482" s="50"/>
      <c r="V482" s="50"/>
      <c r="W482" s="50"/>
      <c r="X482" s="50"/>
      <c r="Y482" s="50"/>
      <c r="Z482" s="50"/>
      <c r="AA482" s="50"/>
      <c r="AB482" s="50"/>
    </row>
    <row r="483">
      <c r="A483" s="49"/>
      <c r="B483" s="49"/>
      <c r="C483" s="50"/>
      <c r="D483" s="50"/>
      <c r="E483" s="50"/>
      <c r="F483" s="50"/>
      <c r="G483" s="50"/>
      <c r="H483" s="50"/>
      <c r="I483" s="50"/>
      <c r="J483" s="50"/>
      <c r="K483" s="50"/>
      <c r="L483" s="50"/>
      <c r="M483" s="50"/>
      <c r="N483" s="50"/>
      <c r="O483" s="50"/>
      <c r="P483" s="50"/>
      <c r="Q483" s="50"/>
      <c r="R483" s="50"/>
      <c r="S483" s="50"/>
      <c r="T483" s="50"/>
      <c r="U483" s="50"/>
      <c r="V483" s="50"/>
      <c r="W483" s="50"/>
      <c r="X483" s="50"/>
      <c r="Y483" s="50"/>
      <c r="Z483" s="50"/>
      <c r="AA483" s="50"/>
      <c r="AB483" s="50"/>
    </row>
    <row r="484">
      <c r="A484" s="49"/>
      <c r="B484" s="49"/>
      <c r="C484" s="50"/>
      <c r="D484" s="50"/>
      <c r="E484" s="50"/>
      <c r="F484" s="50"/>
      <c r="G484" s="50"/>
      <c r="H484" s="50"/>
      <c r="I484" s="50"/>
      <c r="J484" s="50"/>
      <c r="K484" s="50"/>
      <c r="L484" s="50"/>
      <c r="M484" s="50"/>
      <c r="N484" s="50"/>
      <c r="O484" s="50"/>
      <c r="P484" s="50"/>
      <c r="Q484" s="50"/>
      <c r="R484" s="50"/>
      <c r="S484" s="50"/>
      <c r="T484" s="50"/>
      <c r="U484" s="50"/>
      <c r="V484" s="50"/>
      <c r="W484" s="50"/>
      <c r="X484" s="50"/>
      <c r="Y484" s="50"/>
      <c r="Z484" s="50"/>
      <c r="AA484" s="50"/>
      <c r="AB484" s="50"/>
    </row>
    <row r="485">
      <c r="A485" s="49"/>
      <c r="B485" s="49"/>
      <c r="C485" s="50"/>
      <c r="D485" s="50"/>
      <c r="E485" s="50"/>
      <c r="F485" s="50"/>
      <c r="G485" s="50"/>
      <c r="H485" s="50"/>
      <c r="I485" s="50"/>
      <c r="J485" s="50"/>
      <c r="K485" s="50"/>
      <c r="L485" s="50"/>
      <c r="M485" s="50"/>
      <c r="N485" s="50"/>
      <c r="O485" s="50"/>
      <c r="P485" s="50"/>
      <c r="Q485" s="50"/>
      <c r="R485" s="50"/>
      <c r="S485" s="50"/>
      <c r="T485" s="50"/>
      <c r="U485" s="50"/>
      <c r="V485" s="50"/>
      <c r="W485" s="50"/>
      <c r="X485" s="50"/>
      <c r="Y485" s="50"/>
      <c r="Z485" s="50"/>
      <c r="AA485" s="50"/>
      <c r="AB485" s="50"/>
    </row>
    <row r="486">
      <c r="A486" s="49"/>
      <c r="B486" s="49"/>
      <c r="C486" s="50"/>
      <c r="D486" s="50"/>
      <c r="E486" s="50"/>
      <c r="F486" s="50"/>
      <c r="G486" s="50"/>
      <c r="H486" s="50"/>
      <c r="I486" s="50"/>
      <c r="J486" s="50"/>
      <c r="K486" s="50"/>
      <c r="L486" s="50"/>
      <c r="M486" s="50"/>
      <c r="N486" s="50"/>
      <c r="O486" s="50"/>
      <c r="P486" s="50"/>
      <c r="Q486" s="50"/>
      <c r="R486" s="50"/>
      <c r="S486" s="50"/>
      <c r="T486" s="50"/>
      <c r="U486" s="50"/>
      <c r="V486" s="50"/>
      <c r="W486" s="50"/>
      <c r="X486" s="50"/>
      <c r="Y486" s="50"/>
      <c r="Z486" s="50"/>
      <c r="AA486" s="50"/>
      <c r="AB486" s="50"/>
    </row>
    <row r="487">
      <c r="A487" s="49"/>
      <c r="B487" s="49"/>
      <c r="C487" s="50"/>
      <c r="D487" s="50"/>
      <c r="E487" s="50"/>
      <c r="F487" s="50"/>
      <c r="G487" s="50"/>
      <c r="H487" s="50"/>
      <c r="I487" s="50"/>
      <c r="J487" s="50"/>
      <c r="K487" s="50"/>
      <c r="L487" s="50"/>
      <c r="M487" s="50"/>
      <c r="N487" s="50"/>
      <c r="O487" s="50"/>
      <c r="P487" s="50"/>
      <c r="Q487" s="50"/>
      <c r="R487" s="50"/>
      <c r="S487" s="50"/>
      <c r="T487" s="50"/>
      <c r="U487" s="50"/>
      <c r="V487" s="50"/>
      <c r="W487" s="50"/>
      <c r="X487" s="50"/>
      <c r="Y487" s="50"/>
      <c r="Z487" s="50"/>
      <c r="AA487" s="50"/>
      <c r="AB487" s="50"/>
    </row>
    <row r="488">
      <c r="A488" s="49"/>
      <c r="B488" s="49"/>
      <c r="C488" s="50"/>
      <c r="D488" s="50"/>
      <c r="E488" s="50"/>
      <c r="F488" s="50"/>
      <c r="G488" s="50"/>
      <c r="H488" s="50"/>
      <c r="I488" s="50"/>
      <c r="J488" s="50"/>
      <c r="K488" s="50"/>
      <c r="L488" s="50"/>
      <c r="M488" s="50"/>
      <c r="N488" s="50"/>
      <c r="O488" s="50"/>
      <c r="P488" s="50"/>
      <c r="Q488" s="50"/>
      <c r="R488" s="50"/>
      <c r="S488" s="50"/>
      <c r="T488" s="50"/>
      <c r="U488" s="50"/>
      <c r="V488" s="50"/>
      <c r="W488" s="50"/>
      <c r="X488" s="50"/>
      <c r="Y488" s="50"/>
      <c r="Z488" s="50"/>
      <c r="AA488" s="50"/>
      <c r="AB488" s="50"/>
    </row>
    <row r="489">
      <c r="A489" s="49"/>
      <c r="B489" s="49"/>
      <c r="C489" s="50"/>
      <c r="D489" s="50"/>
      <c r="E489" s="50"/>
      <c r="F489" s="50"/>
      <c r="G489" s="50"/>
      <c r="H489" s="50"/>
      <c r="I489" s="50"/>
      <c r="J489" s="50"/>
      <c r="K489" s="50"/>
      <c r="L489" s="50"/>
      <c r="M489" s="50"/>
      <c r="N489" s="50"/>
      <c r="O489" s="50"/>
      <c r="P489" s="50"/>
      <c r="Q489" s="50"/>
      <c r="R489" s="50"/>
      <c r="S489" s="50"/>
      <c r="T489" s="50"/>
      <c r="U489" s="50"/>
      <c r="V489" s="50"/>
      <c r="W489" s="50"/>
      <c r="X489" s="50"/>
      <c r="Y489" s="50"/>
      <c r="Z489" s="50"/>
      <c r="AA489" s="50"/>
      <c r="AB489" s="50"/>
    </row>
    <row r="490">
      <c r="A490" s="49"/>
      <c r="B490" s="49"/>
      <c r="C490" s="50"/>
      <c r="D490" s="50"/>
      <c r="E490" s="50"/>
      <c r="F490" s="50"/>
      <c r="G490" s="50"/>
      <c r="H490" s="50"/>
      <c r="I490" s="50"/>
      <c r="J490" s="50"/>
      <c r="K490" s="50"/>
      <c r="L490" s="50"/>
      <c r="M490" s="50"/>
      <c r="N490" s="50"/>
      <c r="O490" s="50"/>
      <c r="P490" s="50"/>
      <c r="Q490" s="50"/>
      <c r="R490" s="50"/>
      <c r="S490" s="50"/>
      <c r="T490" s="50"/>
      <c r="U490" s="50"/>
      <c r="V490" s="50"/>
      <c r="W490" s="50"/>
      <c r="X490" s="50"/>
      <c r="Y490" s="50"/>
      <c r="Z490" s="50"/>
      <c r="AA490" s="50"/>
      <c r="AB490" s="50"/>
    </row>
    <row r="491">
      <c r="A491" s="49"/>
      <c r="B491" s="49"/>
      <c r="C491" s="50"/>
      <c r="D491" s="50"/>
      <c r="E491" s="50"/>
      <c r="F491" s="50"/>
      <c r="G491" s="50"/>
      <c r="H491" s="50"/>
      <c r="I491" s="50"/>
      <c r="J491" s="50"/>
      <c r="K491" s="50"/>
      <c r="L491" s="50"/>
      <c r="M491" s="50"/>
      <c r="N491" s="50"/>
      <c r="O491" s="50"/>
      <c r="P491" s="50"/>
      <c r="Q491" s="50"/>
      <c r="R491" s="50"/>
      <c r="S491" s="50"/>
      <c r="T491" s="50"/>
      <c r="U491" s="50"/>
      <c r="V491" s="50"/>
      <c r="W491" s="50"/>
      <c r="X491" s="50"/>
      <c r="Y491" s="50"/>
      <c r="Z491" s="50"/>
      <c r="AA491" s="50"/>
      <c r="AB491" s="50"/>
    </row>
    <row r="492">
      <c r="A492" s="49"/>
      <c r="B492" s="49"/>
      <c r="C492" s="50"/>
      <c r="D492" s="50"/>
      <c r="E492" s="50"/>
      <c r="F492" s="50"/>
      <c r="G492" s="50"/>
      <c r="H492" s="50"/>
      <c r="I492" s="50"/>
      <c r="J492" s="50"/>
      <c r="K492" s="50"/>
      <c r="L492" s="50"/>
      <c r="M492" s="50"/>
      <c r="N492" s="50"/>
      <c r="O492" s="50"/>
      <c r="P492" s="50"/>
      <c r="Q492" s="50"/>
      <c r="R492" s="50"/>
      <c r="S492" s="50"/>
      <c r="T492" s="50"/>
      <c r="U492" s="50"/>
      <c r="V492" s="50"/>
      <c r="W492" s="50"/>
      <c r="X492" s="50"/>
      <c r="Y492" s="50"/>
      <c r="Z492" s="50"/>
      <c r="AA492" s="50"/>
      <c r="AB492" s="50"/>
    </row>
    <row r="493">
      <c r="A493" s="49"/>
      <c r="B493" s="49"/>
      <c r="C493" s="50"/>
      <c r="D493" s="50"/>
      <c r="E493" s="50"/>
      <c r="F493" s="50"/>
      <c r="G493" s="50"/>
      <c r="H493" s="50"/>
      <c r="I493" s="50"/>
      <c r="J493" s="50"/>
      <c r="K493" s="50"/>
      <c r="L493" s="50"/>
      <c r="M493" s="50"/>
      <c r="N493" s="50"/>
      <c r="O493" s="50"/>
      <c r="P493" s="50"/>
      <c r="Q493" s="50"/>
      <c r="R493" s="50"/>
      <c r="S493" s="50"/>
      <c r="T493" s="50"/>
      <c r="U493" s="50"/>
      <c r="V493" s="50"/>
      <c r="W493" s="50"/>
      <c r="X493" s="50"/>
      <c r="Y493" s="50"/>
      <c r="Z493" s="50"/>
      <c r="AA493" s="50"/>
      <c r="AB493" s="50"/>
    </row>
    <row r="494">
      <c r="A494" s="49"/>
      <c r="B494" s="49"/>
      <c r="C494" s="50"/>
      <c r="D494" s="50"/>
      <c r="E494" s="50"/>
      <c r="F494" s="50"/>
      <c r="G494" s="50"/>
      <c r="H494" s="50"/>
      <c r="I494" s="50"/>
      <c r="J494" s="50"/>
      <c r="K494" s="50"/>
      <c r="L494" s="50"/>
      <c r="M494" s="50"/>
      <c r="N494" s="50"/>
      <c r="O494" s="50"/>
      <c r="P494" s="50"/>
      <c r="Q494" s="50"/>
      <c r="R494" s="50"/>
      <c r="S494" s="50"/>
      <c r="T494" s="50"/>
      <c r="U494" s="50"/>
      <c r="V494" s="50"/>
      <c r="W494" s="50"/>
      <c r="X494" s="50"/>
      <c r="Y494" s="50"/>
      <c r="Z494" s="50"/>
      <c r="AA494" s="50"/>
      <c r="AB494" s="50"/>
    </row>
    <row r="495">
      <c r="A495" s="49"/>
      <c r="B495" s="49"/>
      <c r="C495" s="50"/>
      <c r="D495" s="50"/>
      <c r="E495" s="50"/>
      <c r="F495" s="50"/>
      <c r="G495" s="50"/>
      <c r="H495" s="50"/>
      <c r="I495" s="50"/>
      <c r="J495" s="50"/>
      <c r="K495" s="50"/>
      <c r="L495" s="50"/>
      <c r="M495" s="50"/>
      <c r="N495" s="50"/>
      <c r="O495" s="50"/>
      <c r="P495" s="50"/>
      <c r="Q495" s="50"/>
      <c r="R495" s="50"/>
      <c r="S495" s="50"/>
      <c r="T495" s="50"/>
      <c r="U495" s="50"/>
      <c r="V495" s="50"/>
      <c r="W495" s="50"/>
      <c r="X495" s="50"/>
      <c r="Y495" s="50"/>
      <c r="Z495" s="50"/>
      <c r="AA495" s="50"/>
      <c r="AB495" s="50"/>
    </row>
    <row r="496">
      <c r="A496" s="49"/>
      <c r="B496" s="49"/>
      <c r="C496" s="50"/>
      <c r="D496" s="50"/>
      <c r="E496" s="50"/>
      <c r="F496" s="50"/>
      <c r="G496" s="50"/>
      <c r="H496" s="50"/>
      <c r="I496" s="50"/>
      <c r="J496" s="50"/>
      <c r="K496" s="50"/>
      <c r="L496" s="50"/>
      <c r="M496" s="50"/>
      <c r="N496" s="50"/>
      <c r="O496" s="50"/>
      <c r="P496" s="50"/>
      <c r="Q496" s="50"/>
      <c r="R496" s="50"/>
      <c r="S496" s="50"/>
      <c r="T496" s="50"/>
      <c r="U496" s="50"/>
      <c r="V496" s="50"/>
      <c r="W496" s="50"/>
      <c r="X496" s="50"/>
      <c r="Y496" s="50"/>
      <c r="Z496" s="50"/>
      <c r="AA496" s="50"/>
      <c r="AB496" s="50"/>
    </row>
    <row r="497">
      <c r="A497" s="49"/>
      <c r="B497" s="49"/>
      <c r="C497" s="50"/>
      <c r="D497" s="50"/>
      <c r="E497" s="50"/>
      <c r="F497" s="50"/>
      <c r="G497" s="50"/>
      <c r="H497" s="50"/>
      <c r="I497" s="50"/>
      <c r="J497" s="50"/>
      <c r="K497" s="50"/>
      <c r="L497" s="50"/>
      <c r="M497" s="50"/>
      <c r="N497" s="50"/>
      <c r="O497" s="50"/>
      <c r="P497" s="50"/>
      <c r="Q497" s="50"/>
      <c r="R497" s="50"/>
      <c r="S497" s="50"/>
      <c r="T497" s="50"/>
      <c r="U497" s="50"/>
      <c r="V497" s="50"/>
      <c r="W497" s="50"/>
      <c r="X497" s="50"/>
      <c r="Y497" s="50"/>
      <c r="Z497" s="50"/>
      <c r="AA497" s="50"/>
      <c r="AB497" s="50"/>
    </row>
    <row r="498">
      <c r="A498" s="49"/>
      <c r="B498" s="49"/>
      <c r="C498" s="50"/>
      <c r="D498" s="50"/>
      <c r="E498" s="50"/>
      <c r="F498" s="50"/>
      <c r="G498" s="50"/>
      <c r="H498" s="50"/>
      <c r="I498" s="50"/>
      <c r="J498" s="50"/>
      <c r="K498" s="50"/>
      <c r="L498" s="50"/>
      <c r="M498" s="50"/>
      <c r="N498" s="50"/>
      <c r="O498" s="50"/>
      <c r="P498" s="50"/>
      <c r="Q498" s="50"/>
      <c r="R498" s="50"/>
      <c r="S498" s="50"/>
      <c r="T498" s="50"/>
      <c r="U498" s="50"/>
      <c r="V498" s="50"/>
      <c r="W498" s="50"/>
      <c r="X498" s="50"/>
      <c r="Y498" s="50"/>
      <c r="Z498" s="50"/>
      <c r="AA498" s="50"/>
      <c r="AB498" s="50"/>
    </row>
    <row r="499">
      <c r="A499" s="49"/>
      <c r="B499" s="49"/>
      <c r="C499" s="50"/>
      <c r="D499" s="50"/>
      <c r="E499" s="50"/>
      <c r="F499" s="50"/>
      <c r="G499" s="50"/>
      <c r="H499" s="50"/>
      <c r="I499" s="50"/>
      <c r="J499" s="50"/>
      <c r="K499" s="50"/>
      <c r="L499" s="50"/>
      <c r="M499" s="50"/>
      <c r="N499" s="50"/>
      <c r="O499" s="50"/>
      <c r="P499" s="50"/>
      <c r="Q499" s="50"/>
      <c r="R499" s="50"/>
      <c r="S499" s="50"/>
      <c r="T499" s="50"/>
      <c r="U499" s="50"/>
      <c r="V499" s="50"/>
      <c r="W499" s="50"/>
      <c r="X499" s="50"/>
      <c r="Y499" s="50"/>
      <c r="Z499" s="50"/>
      <c r="AA499" s="50"/>
      <c r="AB499" s="50"/>
    </row>
    <row r="500">
      <c r="A500" s="49"/>
      <c r="B500" s="49"/>
      <c r="C500" s="50"/>
      <c r="D500" s="50"/>
      <c r="E500" s="50"/>
      <c r="F500" s="50"/>
      <c r="G500" s="50"/>
      <c r="H500" s="50"/>
      <c r="I500" s="50"/>
      <c r="J500" s="50"/>
      <c r="K500" s="50"/>
      <c r="L500" s="50"/>
      <c r="M500" s="50"/>
      <c r="N500" s="50"/>
      <c r="O500" s="50"/>
      <c r="P500" s="50"/>
      <c r="Q500" s="50"/>
      <c r="R500" s="50"/>
      <c r="S500" s="50"/>
      <c r="T500" s="50"/>
      <c r="U500" s="50"/>
      <c r="V500" s="50"/>
      <c r="W500" s="50"/>
      <c r="X500" s="50"/>
      <c r="Y500" s="50"/>
      <c r="Z500" s="50"/>
      <c r="AA500" s="50"/>
      <c r="AB500" s="50"/>
    </row>
    <row r="501">
      <c r="A501" s="49"/>
      <c r="B501" s="49"/>
      <c r="C501" s="50"/>
      <c r="D501" s="50"/>
      <c r="E501" s="50"/>
      <c r="F501" s="50"/>
      <c r="G501" s="50"/>
      <c r="H501" s="50"/>
      <c r="I501" s="50"/>
      <c r="J501" s="50"/>
      <c r="K501" s="50"/>
      <c r="L501" s="50"/>
      <c r="M501" s="50"/>
      <c r="N501" s="50"/>
      <c r="O501" s="50"/>
      <c r="P501" s="50"/>
      <c r="Q501" s="50"/>
      <c r="R501" s="50"/>
      <c r="S501" s="50"/>
      <c r="T501" s="50"/>
      <c r="U501" s="50"/>
      <c r="V501" s="50"/>
      <c r="W501" s="50"/>
      <c r="X501" s="50"/>
      <c r="Y501" s="50"/>
      <c r="Z501" s="50"/>
      <c r="AA501" s="50"/>
      <c r="AB501" s="50"/>
    </row>
    <row r="502">
      <c r="A502" s="49"/>
      <c r="B502" s="49"/>
      <c r="C502" s="50"/>
      <c r="D502" s="50"/>
      <c r="E502" s="50"/>
      <c r="F502" s="50"/>
      <c r="G502" s="50"/>
      <c r="H502" s="50"/>
      <c r="I502" s="50"/>
      <c r="J502" s="50"/>
      <c r="K502" s="50"/>
      <c r="L502" s="50"/>
      <c r="M502" s="50"/>
      <c r="N502" s="50"/>
      <c r="O502" s="50"/>
      <c r="P502" s="50"/>
      <c r="Q502" s="50"/>
      <c r="R502" s="50"/>
      <c r="S502" s="50"/>
      <c r="T502" s="50"/>
      <c r="U502" s="50"/>
      <c r="V502" s="50"/>
      <c r="W502" s="50"/>
      <c r="X502" s="50"/>
      <c r="Y502" s="50"/>
      <c r="Z502" s="50"/>
      <c r="AA502" s="50"/>
      <c r="AB502" s="50"/>
    </row>
    <row r="503">
      <c r="A503" s="49"/>
      <c r="B503" s="49"/>
      <c r="C503" s="50"/>
      <c r="D503" s="50"/>
      <c r="E503" s="50"/>
      <c r="F503" s="50"/>
      <c r="G503" s="50"/>
      <c r="H503" s="50"/>
      <c r="I503" s="50"/>
      <c r="J503" s="50"/>
      <c r="K503" s="50"/>
      <c r="L503" s="50"/>
      <c r="M503" s="50"/>
      <c r="N503" s="50"/>
      <c r="O503" s="50"/>
      <c r="P503" s="50"/>
      <c r="Q503" s="50"/>
      <c r="R503" s="50"/>
      <c r="S503" s="50"/>
      <c r="T503" s="50"/>
      <c r="U503" s="50"/>
      <c r="V503" s="50"/>
      <c r="W503" s="50"/>
      <c r="X503" s="50"/>
      <c r="Y503" s="50"/>
      <c r="Z503" s="50"/>
      <c r="AA503" s="50"/>
      <c r="AB503" s="50"/>
    </row>
    <row r="504">
      <c r="A504" s="49"/>
      <c r="B504" s="49"/>
      <c r="C504" s="50"/>
      <c r="D504" s="50"/>
      <c r="E504" s="50"/>
      <c r="F504" s="50"/>
      <c r="G504" s="50"/>
      <c r="H504" s="50"/>
      <c r="I504" s="50"/>
      <c r="J504" s="50"/>
      <c r="K504" s="50"/>
      <c r="L504" s="50"/>
      <c r="M504" s="50"/>
      <c r="N504" s="50"/>
      <c r="O504" s="50"/>
      <c r="P504" s="50"/>
      <c r="Q504" s="50"/>
      <c r="R504" s="50"/>
      <c r="S504" s="50"/>
      <c r="T504" s="50"/>
      <c r="U504" s="50"/>
      <c r="V504" s="50"/>
      <c r="W504" s="50"/>
      <c r="X504" s="50"/>
      <c r="Y504" s="50"/>
      <c r="Z504" s="50"/>
      <c r="AA504" s="50"/>
      <c r="AB504" s="50"/>
    </row>
    <row r="505">
      <c r="A505" s="49"/>
      <c r="B505" s="49"/>
      <c r="C505" s="50"/>
      <c r="D505" s="50"/>
      <c r="E505" s="50"/>
      <c r="F505" s="50"/>
      <c r="G505" s="50"/>
      <c r="H505" s="50"/>
      <c r="I505" s="50"/>
      <c r="J505" s="50"/>
      <c r="K505" s="50"/>
      <c r="L505" s="50"/>
      <c r="M505" s="50"/>
      <c r="N505" s="50"/>
      <c r="O505" s="50"/>
      <c r="P505" s="50"/>
      <c r="Q505" s="50"/>
      <c r="R505" s="50"/>
      <c r="S505" s="50"/>
      <c r="T505" s="50"/>
      <c r="U505" s="50"/>
      <c r="V505" s="50"/>
      <c r="W505" s="50"/>
      <c r="X505" s="50"/>
      <c r="Y505" s="50"/>
      <c r="Z505" s="50"/>
      <c r="AA505" s="50"/>
      <c r="AB505" s="50"/>
    </row>
    <row r="506">
      <c r="A506" s="49"/>
      <c r="B506" s="49"/>
      <c r="C506" s="50"/>
      <c r="D506" s="50"/>
      <c r="E506" s="50"/>
      <c r="F506" s="50"/>
      <c r="G506" s="50"/>
      <c r="H506" s="50"/>
      <c r="I506" s="50"/>
      <c r="J506" s="50"/>
      <c r="K506" s="50"/>
      <c r="L506" s="50"/>
      <c r="M506" s="50"/>
      <c r="N506" s="50"/>
      <c r="O506" s="50"/>
      <c r="P506" s="50"/>
      <c r="Q506" s="50"/>
      <c r="R506" s="50"/>
      <c r="S506" s="50"/>
      <c r="T506" s="50"/>
      <c r="U506" s="50"/>
      <c r="V506" s="50"/>
      <c r="W506" s="50"/>
      <c r="X506" s="50"/>
      <c r="Y506" s="50"/>
      <c r="Z506" s="50"/>
      <c r="AA506" s="50"/>
      <c r="AB506" s="50"/>
    </row>
    <row r="507">
      <c r="A507" s="49"/>
      <c r="B507" s="49"/>
      <c r="C507" s="50"/>
      <c r="D507" s="50"/>
      <c r="E507" s="50"/>
      <c r="F507" s="50"/>
      <c r="G507" s="50"/>
      <c r="H507" s="50"/>
      <c r="I507" s="50"/>
      <c r="J507" s="50"/>
      <c r="K507" s="50"/>
      <c r="L507" s="50"/>
      <c r="M507" s="50"/>
      <c r="N507" s="50"/>
      <c r="O507" s="50"/>
      <c r="P507" s="50"/>
      <c r="Q507" s="50"/>
      <c r="R507" s="50"/>
      <c r="S507" s="50"/>
      <c r="T507" s="50"/>
      <c r="U507" s="50"/>
      <c r="V507" s="50"/>
      <c r="W507" s="50"/>
      <c r="X507" s="50"/>
      <c r="Y507" s="50"/>
      <c r="Z507" s="50"/>
      <c r="AA507" s="50"/>
      <c r="AB507" s="50"/>
    </row>
    <row r="508">
      <c r="A508" s="49"/>
      <c r="B508" s="49"/>
      <c r="C508" s="50"/>
      <c r="D508" s="50"/>
      <c r="E508" s="50"/>
      <c r="F508" s="50"/>
      <c r="G508" s="50"/>
      <c r="H508" s="50"/>
      <c r="I508" s="50"/>
      <c r="J508" s="50"/>
      <c r="K508" s="50"/>
      <c r="L508" s="50"/>
      <c r="M508" s="50"/>
      <c r="N508" s="50"/>
      <c r="O508" s="50"/>
      <c r="P508" s="50"/>
      <c r="Q508" s="50"/>
      <c r="R508" s="50"/>
      <c r="S508" s="50"/>
      <c r="T508" s="50"/>
      <c r="U508" s="50"/>
      <c r="V508" s="50"/>
      <c r="W508" s="50"/>
      <c r="X508" s="50"/>
      <c r="Y508" s="50"/>
      <c r="Z508" s="50"/>
      <c r="AA508" s="50"/>
      <c r="AB508" s="50"/>
    </row>
    <row r="509">
      <c r="A509" s="49"/>
      <c r="B509" s="49"/>
      <c r="C509" s="50"/>
      <c r="D509" s="50"/>
      <c r="E509" s="50"/>
      <c r="F509" s="50"/>
      <c r="G509" s="50"/>
      <c r="H509" s="50"/>
      <c r="I509" s="50"/>
      <c r="J509" s="50"/>
      <c r="K509" s="50"/>
      <c r="L509" s="50"/>
      <c r="M509" s="50"/>
      <c r="N509" s="50"/>
      <c r="O509" s="50"/>
      <c r="P509" s="50"/>
      <c r="Q509" s="50"/>
      <c r="R509" s="50"/>
      <c r="S509" s="50"/>
      <c r="T509" s="50"/>
      <c r="U509" s="50"/>
      <c r="V509" s="50"/>
      <c r="W509" s="50"/>
      <c r="X509" s="50"/>
      <c r="Y509" s="50"/>
      <c r="Z509" s="50"/>
      <c r="AA509" s="50"/>
      <c r="AB509" s="50"/>
    </row>
    <row r="510">
      <c r="A510" s="49"/>
      <c r="B510" s="49"/>
      <c r="C510" s="50"/>
      <c r="D510" s="50"/>
      <c r="E510" s="50"/>
      <c r="F510" s="50"/>
      <c r="G510" s="50"/>
      <c r="H510" s="50"/>
      <c r="I510" s="50"/>
      <c r="J510" s="50"/>
      <c r="K510" s="50"/>
      <c r="L510" s="50"/>
      <c r="M510" s="50"/>
      <c r="N510" s="50"/>
      <c r="O510" s="50"/>
      <c r="P510" s="50"/>
      <c r="Q510" s="50"/>
      <c r="R510" s="50"/>
      <c r="S510" s="50"/>
      <c r="T510" s="50"/>
      <c r="U510" s="50"/>
      <c r="V510" s="50"/>
      <c r="W510" s="50"/>
      <c r="X510" s="50"/>
      <c r="Y510" s="50"/>
      <c r="Z510" s="50"/>
      <c r="AA510" s="50"/>
      <c r="AB510" s="50"/>
    </row>
    <row r="511">
      <c r="A511" s="49"/>
      <c r="B511" s="49"/>
      <c r="C511" s="50"/>
      <c r="D511" s="50"/>
      <c r="E511" s="50"/>
      <c r="F511" s="50"/>
      <c r="G511" s="50"/>
      <c r="H511" s="50"/>
      <c r="I511" s="50"/>
      <c r="J511" s="50"/>
      <c r="K511" s="50"/>
      <c r="L511" s="50"/>
      <c r="M511" s="50"/>
      <c r="N511" s="50"/>
      <c r="O511" s="50"/>
      <c r="P511" s="50"/>
      <c r="Q511" s="50"/>
      <c r="R511" s="50"/>
      <c r="S511" s="50"/>
      <c r="T511" s="50"/>
      <c r="U511" s="50"/>
      <c r="V511" s="50"/>
      <c r="W511" s="50"/>
      <c r="X511" s="50"/>
      <c r="Y511" s="50"/>
      <c r="Z511" s="50"/>
      <c r="AA511" s="50"/>
      <c r="AB511" s="50"/>
    </row>
    <row r="512">
      <c r="A512" s="49"/>
      <c r="B512" s="49"/>
      <c r="C512" s="50"/>
      <c r="D512" s="50"/>
      <c r="E512" s="50"/>
      <c r="F512" s="50"/>
      <c r="G512" s="50"/>
      <c r="H512" s="50"/>
      <c r="I512" s="50"/>
      <c r="J512" s="50"/>
      <c r="K512" s="50"/>
      <c r="L512" s="50"/>
      <c r="M512" s="50"/>
      <c r="N512" s="50"/>
      <c r="O512" s="50"/>
      <c r="P512" s="50"/>
      <c r="Q512" s="50"/>
      <c r="R512" s="50"/>
      <c r="S512" s="50"/>
      <c r="T512" s="50"/>
      <c r="U512" s="50"/>
      <c r="V512" s="50"/>
      <c r="W512" s="50"/>
      <c r="X512" s="50"/>
      <c r="Y512" s="50"/>
      <c r="Z512" s="50"/>
      <c r="AA512" s="50"/>
      <c r="AB512" s="50"/>
    </row>
    <row r="513">
      <c r="A513" s="49"/>
      <c r="B513" s="49"/>
      <c r="C513" s="50"/>
      <c r="D513" s="50"/>
      <c r="E513" s="50"/>
      <c r="F513" s="50"/>
      <c r="G513" s="50"/>
      <c r="H513" s="50"/>
      <c r="I513" s="50"/>
      <c r="J513" s="50"/>
      <c r="K513" s="50"/>
      <c r="L513" s="50"/>
      <c r="M513" s="50"/>
      <c r="N513" s="50"/>
      <c r="O513" s="50"/>
      <c r="P513" s="50"/>
      <c r="Q513" s="50"/>
      <c r="R513" s="50"/>
      <c r="S513" s="50"/>
      <c r="T513" s="50"/>
      <c r="U513" s="50"/>
      <c r="V513" s="50"/>
      <c r="W513" s="50"/>
      <c r="X513" s="50"/>
      <c r="Y513" s="50"/>
      <c r="Z513" s="50"/>
      <c r="AA513" s="50"/>
      <c r="AB513" s="50"/>
    </row>
    <row r="514">
      <c r="A514" s="49"/>
      <c r="B514" s="49"/>
      <c r="C514" s="50"/>
      <c r="D514" s="50"/>
      <c r="E514" s="50"/>
      <c r="F514" s="50"/>
      <c r="G514" s="50"/>
      <c r="H514" s="50"/>
      <c r="I514" s="50"/>
      <c r="J514" s="50"/>
      <c r="K514" s="50"/>
      <c r="L514" s="50"/>
      <c r="M514" s="50"/>
      <c r="N514" s="50"/>
      <c r="O514" s="50"/>
      <c r="P514" s="50"/>
      <c r="Q514" s="50"/>
      <c r="R514" s="50"/>
      <c r="S514" s="50"/>
      <c r="T514" s="50"/>
      <c r="U514" s="50"/>
      <c r="V514" s="50"/>
      <c r="W514" s="50"/>
      <c r="X514" s="50"/>
      <c r="Y514" s="50"/>
      <c r="Z514" s="50"/>
      <c r="AA514" s="50"/>
      <c r="AB514" s="50"/>
    </row>
    <row r="515">
      <c r="A515" s="49"/>
      <c r="B515" s="49"/>
      <c r="C515" s="50"/>
      <c r="D515" s="50"/>
      <c r="E515" s="50"/>
      <c r="F515" s="50"/>
      <c r="G515" s="50"/>
      <c r="H515" s="50"/>
      <c r="I515" s="50"/>
      <c r="J515" s="50"/>
      <c r="K515" s="50"/>
      <c r="L515" s="50"/>
      <c r="M515" s="50"/>
      <c r="N515" s="50"/>
      <c r="O515" s="50"/>
      <c r="P515" s="50"/>
      <c r="Q515" s="50"/>
      <c r="R515" s="50"/>
      <c r="S515" s="50"/>
      <c r="T515" s="50"/>
      <c r="U515" s="50"/>
      <c r="V515" s="50"/>
      <c r="W515" s="50"/>
      <c r="X515" s="50"/>
      <c r="Y515" s="50"/>
      <c r="Z515" s="50"/>
      <c r="AA515" s="50"/>
      <c r="AB515" s="50"/>
    </row>
    <row r="516">
      <c r="A516" s="49"/>
      <c r="B516" s="49"/>
      <c r="C516" s="50"/>
      <c r="D516" s="50"/>
      <c r="E516" s="50"/>
      <c r="F516" s="50"/>
      <c r="G516" s="50"/>
      <c r="H516" s="50"/>
      <c r="I516" s="50"/>
      <c r="J516" s="50"/>
      <c r="K516" s="50"/>
      <c r="L516" s="50"/>
      <c r="M516" s="50"/>
      <c r="N516" s="50"/>
      <c r="O516" s="50"/>
      <c r="P516" s="50"/>
      <c r="Q516" s="50"/>
      <c r="R516" s="50"/>
      <c r="S516" s="50"/>
      <c r="T516" s="50"/>
      <c r="U516" s="50"/>
      <c r="V516" s="50"/>
      <c r="W516" s="50"/>
      <c r="X516" s="50"/>
      <c r="Y516" s="50"/>
      <c r="Z516" s="50"/>
      <c r="AA516" s="50"/>
      <c r="AB516" s="50"/>
    </row>
    <row r="517">
      <c r="A517" s="49"/>
      <c r="B517" s="49"/>
      <c r="C517" s="50"/>
      <c r="D517" s="50"/>
      <c r="E517" s="50"/>
      <c r="F517" s="50"/>
      <c r="G517" s="50"/>
      <c r="H517" s="50"/>
      <c r="I517" s="50"/>
      <c r="J517" s="50"/>
      <c r="K517" s="50"/>
      <c r="L517" s="50"/>
      <c r="M517" s="50"/>
      <c r="N517" s="50"/>
      <c r="O517" s="50"/>
      <c r="P517" s="50"/>
      <c r="Q517" s="50"/>
      <c r="R517" s="50"/>
      <c r="S517" s="50"/>
      <c r="T517" s="50"/>
      <c r="U517" s="50"/>
      <c r="V517" s="50"/>
      <c r="W517" s="50"/>
      <c r="X517" s="50"/>
      <c r="Y517" s="50"/>
      <c r="Z517" s="50"/>
      <c r="AA517" s="50"/>
      <c r="AB517" s="50"/>
    </row>
    <row r="518">
      <c r="A518" s="49"/>
      <c r="B518" s="49"/>
      <c r="C518" s="50"/>
      <c r="D518" s="50"/>
      <c r="E518" s="50"/>
      <c r="F518" s="50"/>
      <c r="G518" s="50"/>
      <c r="H518" s="50"/>
      <c r="I518" s="50"/>
      <c r="J518" s="50"/>
      <c r="K518" s="50"/>
      <c r="L518" s="50"/>
      <c r="M518" s="50"/>
      <c r="N518" s="50"/>
      <c r="O518" s="50"/>
      <c r="P518" s="50"/>
      <c r="Q518" s="50"/>
      <c r="R518" s="50"/>
      <c r="S518" s="50"/>
      <c r="T518" s="50"/>
      <c r="U518" s="50"/>
      <c r="V518" s="50"/>
      <c r="W518" s="50"/>
      <c r="X518" s="50"/>
      <c r="Y518" s="50"/>
      <c r="Z518" s="50"/>
      <c r="AA518" s="50"/>
      <c r="AB518" s="50"/>
    </row>
    <row r="519">
      <c r="A519" s="49"/>
      <c r="B519" s="49"/>
      <c r="C519" s="50"/>
      <c r="D519" s="50"/>
      <c r="E519" s="50"/>
      <c r="F519" s="50"/>
      <c r="G519" s="50"/>
      <c r="H519" s="50"/>
      <c r="I519" s="50"/>
      <c r="J519" s="50"/>
      <c r="K519" s="50"/>
      <c r="L519" s="50"/>
      <c r="M519" s="50"/>
      <c r="N519" s="50"/>
      <c r="O519" s="50"/>
      <c r="P519" s="50"/>
      <c r="Q519" s="50"/>
      <c r="R519" s="50"/>
      <c r="S519" s="50"/>
      <c r="T519" s="50"/>
      <c r="U519" s="50"/>
      <c r="V519" s="50"/>
      <c r="W519" s="50"/>
      <c r="X519" s="50"/>
      <c r="Y519" s="50"/>
      <c r="Z519" s="50"/>
      <c r="AA519" s="50"/>
      <c r="AB519" s="50"/>
    </row>
    <row r="520">
      <c r="A520" s="49"/>
      <c r="B520" s="49"/>
      <c r="C520" s="50"/>
      <c r="D520" s="50"/>
      <c r="E520" s="50"/>
      <c r="F520" s="50"/>
      <c r="G520" s="50"/>
      <c r="H520" s="50"/>
      <c r="I520" s="50"/>
      <c r="J520" s="50"/>
      <c r="K520" s="50"/>
      <c r="L520" s="50"/>
      <c r="M520" s="50"/>
      <c r="N520" s="50"/>
      <c r="O520" s="50"/>
      <c r="P520" s="50"/>
      <c r="Q520" s="50"/>
      <c r="R520" s="50"/>
      <c r="S520" s="50"/>
      <c r="T520" s="50"/>
      <c r="U520" s="50"/>
      <c r="V520" s="50"/>
      <c r="W520" s="50"/>
      <c r="X520" s="50"/>
      <c r="Y520" s="50"/>
      <c r="Z520" s="50"/>
      <c r="AA520" s="50"/>
      <c r="AB520" s="50"/>
    </row>
    <row r="521">
      <c r="A521" s="49"/>
      <c r="B521" s="49"/>
      <c r="C521" s="50"/>
      <c r="D521" s="50"/>
      <c r="E521" s="50"/>
      <c r="F521" s="50"/>
      <c r="G521" s="50"/>
      <c r="H521" s="50"/>
      <c r="I521" s="50"/>
      <c r="J521" s="50"/>
      <c r="K521" s="50"/>
      <c r="L521" s="50"/>
      <c r="M521" s="50"/>
      <c r="N521" s="50"/>
      <c r="O521" s="50"/>
      <c r="P521" s="50"/>
      <c r="Q521" s="50"/>
      <c r="R521" s="50"/>
      <c r="S521" s="50"/>
      <c r="T521" s="50"/>
      <c r="U521" s="50"/>
      <c r="V521" s="50"/>
      <c r="W521" s="50"/>
      <c r="X521" s="50"/>
      <c r="Y521" s="50"/>
      <c r="Z521" s="50"/>
      <c r="AA521" s="50"/>
      <c r="AB521" s="50"/>
    </row>
    <row r="522">
      <c r="A522" s="49"/>
      <c r="B522" s="49"/>
      <c r="C522" s="50"/>
      <c r="D522" s="50"/>
      <c r="E522" s="50"/>
      <c r="F522" s="50"/>
      <c r="G522" s="50"/>
      <c r="H522" s="50"/>
      <c r="I522" s="50"/>
      <c r="J522" s="50"/>
      <c r="K522" s="50"/>
      <c r="L522" s="50"/>
      <c r="M522" s="50"/>
      <c r="N522" s="50"/>
      <c r="O522" s="50"/>
      <c r="P522" s="50"/>
      <c r="Q522" s="50"/>
      <c r="R522" s="50"/>
      <c r="S522" s="50"/>
      <c r="T522" s="50"/>
      <c r="U522" s="50"/>
      <c r="V522" s="50"/>
      <c r="W522" s="50"/>
      <c r="X522" s="50"/>
      <c r="Y522" s="50"/>
      <c r="Z522" s="50"/>
      <c r="AA522" s="50"/>
      <c r="AB522" s="50"/>
    </row>
    <row r="523">
      <c r="A523" s="49"/>
      <c r="B523" s="49"/>
      <c r="C523" s="50"/>
      <c r="D523" s="50"/>
      <c r="E523" s="50"/>
      <c r="F523" s="50"/>
      <c r="G523" s="50"/>
      <c r="H523" s="50"/>
      <c r="I523" s="50"/>
      <c r="J523" s="50"/>
      <c r="K523" s="50"/>
      <c r="L523" s="50"/>
      <c r="M523" s="50"/>
      <c r="N523" s="50"/>
      <c r="O523" s="50"/>
      <c r="P523" s="50"/>
      <c r="Q523" s="50"/>
      <c r="R523" s="50"/>
      <c r="S523" s="50"/>
      <c r="T523" s="50"/>
      <c r="U523" s="50"/>
      <c r="V523" s="50"/>
      <c r="W523" s="50"/>
      <c r="X523" s="50"/>
      <c r="Y523" s="50"/>
      <c r="Z523" s="50"/>
      <c r="AA523" s="50"/>
      <c r="AB523" s="50"/>
    </row>
    <row r="524">
      <c r="A524" s="49"/>
      <c r="B524" s="49"/>
      <c r="C524" s="50"/>
      <c r="D524" s="50"/>
      <c r="E524" s="50"/>
      <c r="F524" s="50"/>
      <c r="G524" s="50"/>
      <c r="H524" s="50"/>
      <c r="I524" s="50"/>
      <c r="J524" s="50"/>
      <c r="K524" s="50"/>
      <c r="L524" s="50"/>
      <c r="M524" s="50"/>
      <c r="N524" s="50"/>
      <c r="O524" s="50"/>
      <c r="P524" s="50"/>
      <c r="Q524" s="50"/>
      <c r="R524" s="50"/>
      <c r="S524" s="50"/>
      <c r="T524" s="50"/>
      <c r="U524" s="50"/>
      <c r="V524" s="50"/>
      <c r="W524" s="50"/>
      <c r="X524" s="50"/>
      <c r="Y524" s="50"/>
      <c r="Z524" s="50"/>
      <c r="AA524" s="50"/>
      <c r="AB524" s="50"/>
    </row>
    <row r="525">
      <c r="A525" s="49"/>
      <c r="B525" s="49"/>
      <c r="C525" s="50"/>
      <c r="D525" s="50"/>
      <c r="E525" s="50"/>
      <c r="F525" s="50"/>
      <c r="G525" s="50"/>
      <c r="H525" s="50"/>
      <c r="I525" s="50"/>
      <c r="J525" s="50"/>
      <c r="K525" s="50"/>
      <c r="L525" s="50"/>
      <c r="M525" s="50"/>
      <c r="N525" s="50"/>
      <c r="O525" s="50"/>
      <c r="P525" s="50"/>
      <c r="Q525" s="50"/>
      <c r="R525" s="50"/>
      <c r="S525" s="50"/>
      <c r="T525" s="50"/>
      <c r="U525" s="50"/>
      <c r="V525" s="50"/>
      <c r="W525" s="50"/>
      <c r="X525" s="50"/>
      <c r="Y525" s="50"/>
      <c r="Z525" s="50"/>
      <c r="AA525" s="50"/>
      <c r="AB525" s="50"/>
    </row>
    <row r="526">
      <c r="A526" s="49"/>
      <c r="B526" s="49"/>
      <c r="C526" s="50"/>
      <c r="D526" s="50"/>
      <c r="E526" s="50"/>
      <c r="F526" s="50"/>
      <c r="G526" s="50"/>
      <c r="H526" s="50"/>
      <c r="I526" s="50"/>
      <c r="J526" s="50"/>
      <c r="K526" s="50"/>
      <c r="L526" s="50"/>
      <c r="M526" s="50"/>
      <c r="N526" s="50"/>
      <c r="O526" s="50"/>
      <c r="P526" s="50"/>
      <c r="Q526" s="50"/>
      <c r="R526" s="50"/>
      <c r="S526" s="50"/>
      <c r="T526" s="50"/>
      <c r="U526" s="50"/>
      <c r="V526" s="50"/>
      <c r="W526" s="50"/>
      <c r="X526" s="50"/>
      <c r="Y526" s="50"/>
      <c r="Z526" s="50"/>
      <c r="AA526" s="50"/>
      <c r="AB526" s="50"/>
    </row>
    <row r="527">
      <c r="A527" s="49"/>
      <c r="B527" s="49"/>
      <c r="C527" s="50"/>
      <c r="D527" s="50"/>
      <c r="E527" s="50"/>
      <c r="F527" s="50"/>
      <c r="G527" s="50"/>
      <c r="H527" s="50"/>
      <c r="I527" s="50"/>
      <c r="J527" s="50"/>
      <c r="K527" s="50"/>
      <c r="L527" s="50"/>
      <c r="M527" s="50"/>
      <c r="N527" s="50"/>
      <c r="O527" s="50"/>
      <c r="P527" s="50"/>
      <c r="Q527" s="50"/>
      <c r="R527" s="50"/>
      <c r="S527" s="50"/>
      <c r="T527" s="50"/>
      <c r="U527" s="50"/>
      <c r="V527" s="50"/>
      <c r="W527" s="50"/>
      <c r="X527" s="50"/>
      <c r="Y527" s="50"/>
      <c r="Z527" s="50"/>
      <c r="AA527" s="50"/>
      <c r="AB527" s="50"/>
    </row>
    <row r="528">
      <c r="A528" s="49"/>
      <c r="B528" s="49"/>
      <c r="C528" s="50"/>
      <c r="D528" s="50"/>
      <c r="E528" s="50"/>
      <c r="F528" s="50"/>
      <c r="G528" s="50"/>
      <c r="H528" s="50"/>
      <c r="I528" s="50"/>
      <c r="J528" s="50"/>
      <c r="K528" s="50"/>
      <c r="L528" s="50"/>
      <c r="M528" s="50"/>
      <c r="N528" s="50"/>
      <c r="O528" s="50"/>
      <c r="P528" s="50"/>
      <c r="Q528" s="50"/>
      <c r="R528" s="50"/>
      <c r="S528" s="50"/>
      <c r="T528" s="50"/>
      <c r="U528" s="50"/>
      <c r="V528" s="50"/>
      <c r="W528" s="50"/>
      <c r="X528" s="50"/>
      <c r="Y528" s="50"/>
      <c r="Z528" s="50"/>
      <c r="AA528" s="50"/>
      <c r="AB528" s="50"/>
    </row>
    <row r="529">
      <c r="A529" s="49"/>
      <c r="B529" s="49"/>
      <c r="C529" s="50"/>
      <c r="D529" s="50"/>
      <c r="E529" s="50"/>
      <c r="F529" s="50"/>
      <c r="G529" s="50"/>
      <c r="H529" s="50"/>
      <c r="I529" s="50"/>
      <c r="J529" s="50"/>
      <c r="K529" s="50"/>
      <c r="L529" s="50"/>
      <c r="M529" s="50"/>
      <c r="N529" s="50"/>
      <c r="O529" s="50"/>
      <c r="P529" s="50"/>
      <c r="Q529" s="50"/>
      <c r="R529" s="50"/>
      <c r="S529" s="50"/>
      <c r="T529" s="50"/>
      <c r="U529" s="50"/>
      <c r="V529" s="50"/>
      <c r="W529" s="50"/>
      <c r="X529" s="50"/>
      <c r="Y529" s="50"/>
      <c r="Z529" s="50"/>
      <c r="AA529" s="50"/>
      <c r="AB529" s="50"/>
    </row>
    <row r="530">
      <c r="A530" s="49"/>
      <c r="B530" s="49"/>
      <c r="C530" s="50"/>
      <c r="D530" s="50"/>
      <c r="E530" s="50"/>
      <c r="F530" s="50"/>
      <c r="G530" s="50"/>
      <c r="H530" s="50"/>
      <c r="I530" s="50"/>
      <c r="J530" s="50"/>
      <c r="K530" s="50"/>
      <c r="L530" s="50"/>
      <c r="M530" s="50"/>
      <c r="N530" s="50"/>
      <c r="O530" s="50"/>
      <c r="P530" s="50"/>
      <c r="Q530" s="50"/>
      <c r="R530" s="50"/>
      <c r="S530" s="50"/>
      <c r="T530" s="50"/>
      <c r="U530" s="50"/>
      <c r="V530" s="50"/>
      <c r="W530" s="50"/>
      <c r="X530" s="50"/>
      <c r="Y530" s="50"/>
      <c r="Z530" s="50"/>
      <c r="AA530" s="50"/>
      <c r="AB530" s="50"/>
    </row>
    <row r="531">
      <c r="A531" s="49"/>
      <c r="B531" s="49"/>
      <c r="C531" s="50"/>
      <c r="D531" s="50"/>
      <c r="E531" s="50"/>
      <c r="F531" s="50"/>
      <c r="G531" s="50"/>
      <c r="H531" s="50"/>
      <c r="I531" s="50"/>
      <c r="J531" s="50"/>
      <c r="K531" s="50"/>
      <c r="L531" s="50"/>
      <c r="M531" s="50"/>
      <c r="N531" s="50"/>
      <c r="O531" s="50"/>
      <c r="P531" s="50"/>
      <c r="Q531" s="50"/>
      <c r="R531" s="50"/>
      <c r="S531" s="50"/>
      <c r="T531" s="50"/>
      <c r="U531" s="50"/>
      <c r="V531" s="50"/>
      <c r="W531" s="50"/>
      <c r="X531" s="50"/>
      <c r="Y531" s="50"/>
      <c r="Z531" s="50"/>
      <c r="AA531" s="50"/>
      <c r="AB531" s="50"/>
    </row>
    <row r="532">
      <c r="A532" s="49"/>
      <c r="B532" s="49"/>
      <c r="C532" s="50"/>
      <c r="D532" s="50"/>
      <c r="E532" s="50"/>
      <c r="F532" s="50"/>
      <c r="G532" s="50"/>
      <c r="H532" s="50"/>
      <c r="I532" s="50"/>
      <c r="J532" s="50"/>
      <c r="K532" s="50"/>
      <c r="L532" s="50"/>
      <c r="M532" s="50"/>
      <c r="N532" s="50"/>
      <c r="O532" s="50"/>
      <c r="P532" s="50"/>
      <c r="Q532" s="50"/>
      <c r="R532" s="50"/>
      <c r="S532" s="50"/>
      <c r="T532" s="50"/>
      <c r="U532" s="50"/>
      <c r="V532" s="50"/>
      <c r="W532" s="50"/>
      <c r="X532" s="50"/>
      <c r="Y532" s="50"/>
      <c r="Z532" s="50"/>
      <c r="AA532" s="50"/>
      <c r="AB532" s="50"/>
    </row>
    <row r="533">
      <c r="A533" s="49"/>
      <c r="B533" s="49"/>
      <c r="C533" s="50"/>
      <c r="D533" s="50"/>
      <c r="E533" s="50"/>
      <c r="F533" s="50"/>
      <c r="G533" s="50"/>
      <c r="H533" s="50"/>
      <c r="I533" s="50"/>
      <c r="J533" s="50"/>
      <c r="K533" s="50"/>
      <c r="L533" s="50"/>
      <c r="M533" s="50"/>
      <c r="N533" s="50"/>
      <c r="O533" s="50"/>
      <c r="P533" s="50"/>
      <c r="Q533" s="50"/>
      <c r="R533" s="50"/>
      <c r="S533" s="50"/>
      <c r="T533" s="50"/>
      <c r="U533" s="50"/>
      <c r="V533" s="50"/>
      <c r="W533" s="50"/>
      <c r="X533" s="50"/>
      <c r="Y533" s="50"/>
      <c r="Z533" s="50"/>
      <c r="AA533" s="50"/>
      <c r="AB533" s="50"/>
    </row>
    <row r="534">
      <c r="A534" s="49"/>
      <c r="B534" s="49"/>
      <c r="C534" s="50"/>
      <c r="D534" s="50"/>
      <c r="E534" s="50"/>
      <c r="F534" s="50"/>
      <c r="G534" s="50"/>
      <c r="H534" s="50"/>
      <c r="I534" s="50"/>
      <c r="J534" s="50"/>
      <c r="K534" s="50"/>
      <c r="L534" s="50"/>
      <c r="M534" s="50"/>
      <c r="N534" s="50"/>
      <c r="O534" s="50"/>
      <c r="P534" s="50"/>
      <c r="Q534" s="50"/>
      <c r="R534" s="50"/>
      <c r="S534" s="50"/>
      <c r="T534" s="50"/>
      <c r="U534" s="50"/>
      <c r="V534" s="50"/>
      <c r="W534" s="50"/>
      <c r="X534" s="50"/>
      <c r="Y534" s="50"/>
      <c r="Z534" s="50"/>
      <c r="AA534" s="50"/>
      <c r="AB534" s="50"/>
    </row>
    <row r="535">
      <c r="A535" s="49"/>
      <c r="B535" s="49"/>
      <c r="C535" s="50"/>
      <c r="D535" s="50"/>
      <c r="E535" s="50"/>
      <c r="F535" s="50"/>
      <c r="G535" s="50"/>
      <c r="H535" s="50"/>
      <c r="I535" s="50"/>
      <c r="J535" s="50"/>
      <c r="K535" s="50"/>
      <c r="L535" s="50"/>
      <c r="M535" s="50"/>
      <c r="N535" s="50"/>
      <c r="O535" s="50"/>
      <c r="P535" s="50"/>
      <c r="Q535" s="50"/>
      <c r="R535" s="50"/>
      <c r="S535" s="50"/>
      <c r="T535" s="50"/>
      <c r="U535" s="50"/>
      <c r="V535" s="50"/>
      <c r="W535" s="50"/>
      <c r="X535" s="50"/>
      <c r="Y535" s="50"/>
      <c r="Z535" s="50"/>
      <c r="AA535" s="50"/>
      <c r="AB535" s="50"/>
    </row>
    <row r="536">
      <c r="A536" s="49"/>
      <c r="B536" s="49"/>
      <c r="C536" s="50"/>
      <c r="D536" s="50"/>
      <c r="E536" s="50"/>
      <c r="F536" s="50"/>
      <c r="G536" s="50"/>
      <c r="H536" s="50"/>
      <c r="I536" s="50"/>
      <c r="J536" s="50"/>
      <c r="K536" s="50"/>
      <c r="L536" s="50"/>
      <c r="M536" s="50"/>
      <c r="N536" s="50"/>
      <c r="O536" s="50"/>
      <c r="P536" s="50"/>
      <c r="Q536" s="50"/>
      <c r="R536" s="50"/>
      <c r="S536" s="50"/>
      <c r="T536" s="50"/>
      <c r="U536" s="50"/>
      <c r="V536" s="50"/>
      <c r="W536" s="50"/>
      <c r="X536" s="50"/>
      <c r="Y536" s="50"/>
      <c r="Z536" s="50"/>
      <c r="AA536" s="50"/>
      <c r="AB536" s="50"/>
    </row>
    <row r="537">
      <c r="A537" s="49"/>
      <c r="B537" s="49"/>
      <c r="C537" s="50"/>
      <c r="D537" s="50"/>
      <c r="E537" s="50"/>
      <c r="F537" s="50"/>
      <c r="G537" s="50"/>
      <c r="H537" s="50"/>
      <c r="I537" s="50"/>
      <c r="J537" s="50"/>
      <c r="K537" s="50"/>
      <c r="L537" s="50"/>
      <c r="M537" s="50"/>
      <c r="N537" s="50"/>
      <c r="O537" s="50"/>
      <c r="P537" s="50"/>
      <c r="Q537" s="50"/>
      <c r="R537" s="50"/>
      <c r="S537" s="50"/>
      <c r="T537" s="50"/>
      <c r="U537" s="50"/>
      <c r="V537" s="50"/>
      <c r="W537" s="50"/>
      <c r="X537" s="50"/>
      <c r="Y537" s="50"/>
      <c r="Z537" s="50"/>
      <c r="AA537" s="50"/>
      <c r="AB537" s="50"/>
    </row>
    <row r="538">
      <c r="A538" s="49"/>
      <c r="B538" s="49"/>
      <c r="C538" s="50"/>
      <c r="D538" s="50"/>
      <c r="E538" s="50"/>
      <c r="F538" s="50"/>
      <c r="G538" s="50"/>
      <c r="H538" s="50"/>
      <c r="I538" s="50"/>
      <c r="J538" s="50"/>
      <c r="K538" s="50"/>
      <c r="L538" s="50"/>
      <c r="M538" s="50"/>
      <c r="N538" s="50"/>
      <c r="O538" s="50"/>
      <c r="P538" s="50"/>
      <c r="Q538" s="50"/>
      <c r="R538" s="50"/>
      <c r="S538" s="50"/>
      <c r="T538" s="50"/>
      <c r="U538" s="50"/>
      <c r="V538" s="50"/>
      <c r="W538" s="50"/>
      <c r="X538" s="50"/>
      <c r="Y538" s="50"/>
      <c r="Z538" s="50"/>
      <c r="AA538" s="50"/>
      <c r="AB538" s="50"/>
    </row>
    <row r="539">
      <c r="A539" s="49"/>
      <c r="B539" s="49"/>
      <c r="C539" s="50"/>
      <c r="D539" s="50"/>
      <c r="E539" s="50"/>
      <c r="F539" s="50"/>
      <c r="G539" s="50"/>
      <c r="H539" s="50"/>
      <c r="I539" s="50"/>
      <c r="J539" s="50"/>
      <c r="K539" s="50"/>
      <c r="L539" s="50"/>
      <c r="M539" s="50"/>
      <c r="N539" s="50"/>
      <c r="O539" s="50"/>
      <c r="P539" s="50"/>
      <c r="Q539" s="50"/>
      <c r="R539" s="50"/>
      <c r="S539" s="50"/>
      <c r="T539" s="50"/>
      <c r="U539" s="50"/>
      <c r="V539" s="50"/>
      <c r="W539" s="50"/>
      <c r="X539" s="50"/>
      <c r="Y539" s="50"/>
      <c r="Z539" s="50"/>
      <c r="AA539" s="50"/>
      <c r="AB539" s="50"/>
    </row>
    <row r="540">
      <c r="A540" s="49"/>
      <c r="B540" s="49"/>
      <c r="C540" s="50"/>
      <c r="D540" s="50"/>
      <c r="E540" s="50"/>
      <c r="F540" s="50"/>
      <c r="G540" s="50"/>
      <c r="H540" s="50"/>
      <c r="I540" s="50"/>
      <c r="J540" s="50"/>
      <c r="K540" s="50"/>
      <c r="L540" s="50"/>
      <c r="M540" s="50"/>
      <c r="N540" s="50"/>
      <c r="O540" s="50"/>
      <c r="P540" s="50"/>
      <c r="Q540" s="50"/>
      <c r="R540" s="50"/>
      <c r="S540" s="50"/>
      <c r="T540" s="50"/>
      <c r="U540" s="50"/>
      <c r="V540" s="50"/>
      <c r="W540" s="50"/>
      <c r="X540" s="50"/>
      <c r="Y540" s="50"/>
      <c r="Z540" s="50"/>
      <c r="AA540" s="50"/>
      <c r="AB540" s="50"/>
    </row>
    <row r="541">
      <c r="A541" s="49"/>
      <c r="B541" s="49"/>
      <c r="C541" s="50"/>
      <c r="D541" s="50"/>
      <c r="E541" s="50"/>
      <c r="F541" s="50"/>
      <c r="G541" s="50"/>
      <c r="H541" s="50"/>
      <c r="I541" s="50"/>
      <c r="J541" s="50"/>
      <c r="K541" s="50"/>
      <c r="L541" s="50"/>
      <c r="M541" s="50"/>
      <c r="N541" s="50"/>
      <c r="O541" s="50"/>
      <c r="P541" s="50"/>
      <c r="Q541" s="50"/>
      <c r="R541" s="50"/>
      <c r="S541" s="50"/>
      <c r="T541" s="50"/>
      <c r="U541" s="50"/>
      <c r="V541" s="50"/>
      <c r="W541" s="50"/>
      <c r="X541" s="50"/>
      <c r="Y541" s="50"/>
      <c r="Z541" s="50"/>
      <c r="AA541" s="50"/>
      <c r="AB541" s="50"/>
    </row>
    <row r="542">
      <c r="A542" s="49"/>
      <c r="B542" s="49"/>
      <c r="C542" s="50"/>
      <c r="D542" s="50"/>
      <c r="E542" s="50"/>
      <c r="F542" s="50"/>
      <c r="G542" s="50"/>
      <c r="H542" s="50"/>
      <c r="I542" s="50"/>
      <c r="J542" s="50"/>
      <c r="K542" s="50"/>
      <c r="L542" s="50"/>
      <c r="M542" s="50"/>
      <c r="N542" s="50"/>
      <c r="O542" s="50"/>
      <c r="P542" s="50"/>
      <c r="Q542" s="50"/>
      <c r="R542" s="50"/>
      <c r="S542" s="50"/>
      <c r="T542" s="50"/>
      <c r="U542" s="50"/>
      <c r="V542" s="50"/>
      <c r="W542" s="50"/>
      <c r="X542" s="50"/>
      <c r="Y542" s="50"/>
      <c r="Z542" s="50"/>
      <c r="AA542" s="50"/>
      <c r="AB542" s="50"/>
    </row>
    <row r="543">
      <c r="A543" s="49"/>
      <c r="B543" s="49"/>
      <c r="C543" s="50"/>
      <c r="D543" s="50"/>
      <c r="E543" s="50"/>
      <c r="F543" s="50"/>
      <c r="G543" s="50"/>
      <c r="H543" s="50"/>
      <c r="I543" s="50"/>
      <c r="J543" s="50"/>
      <c r="K543" s="50"/>
      <c r="L543" s="50"/>
      <c r="M543" s="50"/>
      <c r="N543" s="50"/>
      <c r="O543" s="50"/>
      <c r="P543" s="50"/>
      <c r="Q543" s="50"/>
      <c r="R543" s="50"/>
      <c r="S543" s="50"/>
      <c r="T543" s="50"/>
      <c r="U543" s="50"/>
      <c r="V543" s="50"/>
      <c r="W543" s="50"/>
      <c r="X543" s="50"/>
      <c r="Y543" s="50"/>
      <c r="Z543" s="50"/>
      <c r="AA543" s="50"/>
      <c r="AB543" s="50"/>
    </row>
    <row r="544">
      <c r="A544" s="49"/>
      <c r="B544" s="49"/>
      <c r="C544" s="50"/>
      <c r="D544" s="50"/>
      <c r="E544" s="50"/>
      <c r="F544" s="50"/>
      <c r="G544" s="50"/>
      <c r="H544" s="50"/>
      <c r="I544" s="50"/>
      <c r="J544" s="50"/>
      <c r="K544" s="50"/>
      <c r="L544" s="50"/>
      <c r="M544" s="50"/>
      <c r="N544" s="50"/>
      <c r="O544" s="50"/>
      <c r="P544" s="50"/>
      <c r="Q544" s="50"/>
      <c r="R544" s="50"/>
      <c r="S544" s="50"/>
      <c r="T544" s="50"/>
      <c r="U544" s="50"/>
      <c r="V544" s="50"/>
      <c r="W544" s="50"/>
      <c r="X544" s="50"/>
      <c r="Y544" s="50"/>
      <c r="Z544" s="50"/>
      <c r="AA544" s="50"/>
      <c r="AB544" s="50"/>
    </row>
    <row r="545">
      <c r="A545" s="49"/>
      <c r="B545" s="49"/>
      <c r="C545" s="50"/>
      <c r="D545" s="50"/>
      <c r="E545" s="50"/>
      <c r="F545" s="50"/>
      <c r="G545" s="50"/>
      <c r="H545" s="50"/>
      <c r="I545" s="50"/>
      <c r="J545" s="50"/>
      <c r="K545" s="50"/>
      <c r="L545" s="50"/>
      <c r="M545" s="50"/>
      <c r="N545" s="50"/>
      <c r="O545" s="50"/>
      <c r="P545" s="50"/>
      <c r="Q545" s="50"/>
      <c r="R545" s="50"/>
      <c r="S545" s="50"/>
      <c r="T545" s="50"/>
      <c r="U545" s="50"/>
      <c r="V545" s="50"/>
      <c r="W545" s="50"/>
      <c r="X545" s="50"/>
      <c r="Y545" s="50"/>
      <c r="Z545" s="50"/>
      <c r="AA545" s="50"/>
      <c r="AB545" s="50"/>
    </row>
    <row r="546">
      <c r="A546" s="49"/>
      <c r="B546" s="49"/>
      <c r="C546" s="50"/>
      <c r="D546" s="50"/>
      <c r="E546" s="50"/>
      <c r="F546" s="50"/>
      <c r="G546" s="50"/>
      <c r="H546" s="50"/>
      <c r="I546" s="50"/>
      <c r="J546" s="50"/>
      <c r="K546" s="50"/>
      <c r="L546" s="50"/>
      <c r="M546" s="50"/>
      <c r="N546" s="50"/>
      <c r="O546" s="50"/>
      <c r="P546" s="50"/>
      <c r="Q546" s="50"/>
      <c r="R546" s="50"/>
      <c r="S546" s="50"/>
      <c r="T546" s="50"/>
      <c r="U546" s="50"/>
      <c r="V546" s="50"/>
      <c r="W546" s="50"/>
      <c r="X546" s="50"/>
      <c r="Y546" s="50"/>
      <c r="Z546" s="50"/>
      <c r="AA546" s="50"/>
      <c r="AB546" s="50"/>
    </row>
    <row r="547">
      <c r="A547" s="49"/>
      <c r="B547" s="49"/>
      <c r="C547" s="50"/>
      <c r="D547" s="50"/>
      <c r="E547" s="50"/>
      <c r="F547" s="50"/>
      <c r="G547" s="50"/>
      <c r="H547" s="50"/>
      <c r="I547" s="50"/>
      <c r="J547" s="50"/>
      <c r="K547" s="50"/>
      <c r="L547" s="50"/>
      <c r="M547" s="50"/>
      <c r="N547" s="50"/>
      <c r="O547" s="50"/>
      <c r="P547" s="50"/>
      <c r="Q547" s="50"/>
      <c r="R547" s="50"/>
      <c r="S547" s="50"/>
      <c r="T547" s="50"/>
      <c r="U547" s="50"/>
      <c r="V547" s="50"/>
      <c r="W547" s="50"/>
      <c r="X547" s="50"/>
      <c r="Y547" s="50"/>
      <c r="Z547" s="50"/>
      <c r="AA547" s="50"/>
      <c r="AB547" s="50"/>
    </row>
    <row r="548">
      <c r="A548" s="49"/>
      <c r="B548" s="49"/>
      <c r="C548" s="50"/>
      <c r="D548" s="50"/>
      <c r="E548" s="50"/>
      <c r="F548" s="50"/>
      <c r="G548" s="50"/>
      <c r="H548" s="50"/>
      <c r="I548" s="50"/>
      <c r="J548" s="50"/>
      <c r="K548" s="50"/>
      <c r="L548" s="50"/>
      <c r="M548" s="50"/>
      <c r="N548" s="50"/>
      <c r="O548" s="50"/>
      <c r="P548" s="50"/>
      <c r="Q548" s="50"/>
      <c r="R548" s="50"/>
      <c r="S548" s="50"/>
      <c r="T548" s="50"/>
      <c r="U548" s="50"/>
      <c r="V548" s="50"/>
      <c r="W548" s="50"/>
      <c r="X548" s="50"/>
      <c r="Y548" s="50"/>
      <c r="Z548" s="50"/>
      <c r="AA548" s="50"/>
      <c r="AB548" s="50"/>
    </row>
    <row r="549">
      <c r="A549" s="49"/>
      <c r="B549" s="49"/>
      <c r="C549" s="50"/>
      <c r="D549" s="50"/>
      <c r="E549" s="50"/>
      <c r="F549" s="50"/>
      <c r="G549" s="50"/>
      <c r="H549" s="50"/>
      <c r="I549" s="50"/>
      <c r="J549" s="50"/>
      <c r="K549" s="50"/>
      <c r="L549" s="50"/>
      <c r="M549" s="50"/>
      <c r="N549" s="50"/>
      <c r="O549" s="50"/>
      <c r="P549" s="50"/>
      <c r="Q549" s="50"/>
      <c r="R549" s="50"/>
      <c r="S549" s="50"/>
      <c r="T549" s="50"/>
      <c r="U549" s="50"/>
      <c r="V549" s="50"/>
      <c r="W549" s="50"/>
      <c r="X549" s="50"/>
      <c r="Y549" s="50"/>
      <c r="Z549" s="50"/>
      <c r="AA549" s="50"/>
      <c r="AB549" s="50"/>
    </row>
    <row r="550">
      <c r="A550" s="49"/>
      <c r="B550" s="49"/>
      <c r="C550" s="50"/>
      <c r="D550" s="50"/>
      <c r="E550" s="50"/>
      <c r="F550" s="50"/>
      <c r="G550" s="50"/>
      <c r="H550" s="50"/>
      <c r="I550" s="50"/>
      <c r="J550" s="50"/>
      <c r="K550" s="50"/>
      <c r="L550" s="50"/>
      <c r="M550" s="50"/>
      <c r="N550" s="50"/>
      <c r="O550" s="50"/>
      <c r="P550" s="50"/>
      <c r="Q550" s="50"/>
      <c r="R550" s="50"/>
      <c r="S550" s="50"/>
      <c r="T550" s="50"/>
      <c r="U550" s="50"/>
      <c r="V550" s="50"/>
      <c r="W550" s="50"/>
      <c r="X550" s="50"/>
      <c r="Y550" s="50"/>
      <c r="Z550" s="50"/>
      <c r="AA550" s="50"/>
      <c r="AB550" s="50"/>
    </row>
    <row r="551">
      <c r="A551" s="49"/>
      <c r="B551" s="49"/>
      <c r="C551" s="50"/>
      <c r="D551" s="50"/>
      <c r="E551" s="50"/>
      <c r="F551" s="50"/>
      <c r="G551" s="50"/>
      <c r="H551" s="50"/>
      <c r="I551" s="50"/>
      <c r="J551" s="50"/>
      <c r="K551" s="50"/>
      <c r="L551" s="50"/>
      <c r="M551" s="50"/>
      <c r="N551" s="50"/>
      <c r="O551" s="50"/>
      <c r="P551" s="50"/>
      <c r="Q551" s="50"/>
      <c r="R551" s="50"/>
      <c r="S551" s="50"/>
      <c r="T551" s="50"/>
      <c r="U551" s="50"/>
      <c r="V551" s="50"/>
      <c r="W551" s="50"/>
      <c r="X551" s="50"/>
      <c r="Y551" s="50"/>
      <c r="Z551" s="50"/>
      <c r="AA551" s="50"/>
      <c r="AB551" s="50"/>
    </row>
    <row r="552">
      <c r="A552" s="49"/>
      <c r="B552" s="49"/>
      <c r="C552" s="50"/>
      <c r="D552" s="50"/>
      <c r="E552" s="50"/>
      <c r="F552" s="50"/>
      <c r="G552" s="50"/>
      <c r="H552" s="50"/>
      <c r="I552" s="50"/>
      <c r="J552" s="50"/>
      <c r="K552" s="50"/>
      <c r="L552" s="50"/>
      <c r="M552" s="50"/>
      <c r="N552" s="50"/>
      <c r="O552" s="50"/>
      <c r="P552" s="50"/>
      <c r="Q552" s="50"/>
      <c r="R552" s="50"/>
      <c r="S552" s="50"/>
      <c r="T552" s="50"/>
      <c r="U552" s="50"/>
      <c r="V552" s="50"/>
      <c r="W552" s="50"/>
      <c r="X552" s="50"/>
      <c r="Y552" s="50"/>
      <c r="Z552" s="50"/>
      <c r="AA552" s="50"/>
      <c r="AB552" s="50"/>
    </row>
    <row r="553">
      <c r="A553" s="49"/>
      <c r="B553" s="49"/>
      <c r="C553" s="50"/>
      <c r="D553" s="50"/>
      <c r="E553" s="50"/>
      <c r="F553" s="50"/>
      <c r="G553" s="50"/>
      <c r="H553" s="50"/>
      <c r="I553" s="50"/>
      <c r="J553" s="50"/>
      <c r="K553" s="50"/>
      <c r="L553" s="50"/>
      <c r="M553" s="50"/>
      <c r="N553" s="50"/>
      <c r="O553" s="50"/>
      <c r="P553" s="50"/>
      <c r="Q553" s="50"/>
      <c r="R553" s="50"/>
      <c r="S553" s="50"/>
      <c r="T553" s="50"/>
      <c r="U553" s="50"/>
      <c r="V553" s="50"/>
      <c r="W553" s="50"/>
      <c r="X553" s="50"/>
      <c r="Y553" s="50"/>
      <c r="Z553" s="50"/>
      <c r="AA553" s="50"/>
      <c r="AB553" s="50"/>
    </row>
    <row r="554">
      <c r="A554" s="49"/>
      <c r="B554" s="49"/>
      <c r="C554" s="50"/>
      <c r="D554" s="50"/>
      <c r="E554" s="50"/>
      <c r="F554" s="50"/>
      <c r="G554" s="50"/>
      <c r="H554" s="50"/>
      <c r="I554" s="50"/>
      <c r="J554" s="50"/>
      <c r="K554" s="50"/>
      <c r="L554" s="50"/>
      <c r="M554" s="50"/>
      <c r="N554" s="50"/>
      <c r="O554" s="50"/>
      <c r="P554" s="50"/>
      <c r="Q554" s="50"/>
      <c r="R554" s="50"/>
      <c r="S554" s="50"/>
      <c r="T554" s="50"/>
      <c r="U554" s="50"/>
      <c r="V554" s="50"/>
      <c r="W554" s="50"/>
      <c r="X554" s="50"/>
      <c r="Y554" s="50"/>
      <c r="Z554" s="50"/>
      <c r="AA554" s="50"/>
      <c r="AB554" s="50"/>
    </row>
    <row r="555">
      <c r="A555" s="49"/>
      <c r="B555" s="49"/>
      <c r="C555" s="50"/>
      <c r="D555" s="50"/>
      <c r="E555" s="50"/>
      <c r="F555" s="50"/>
      <c r="G555" s="50"/>
      <c r="H555" s="50"/>
      <c r="I555" s="50"/>
      <c r="J555" s="50"/>
      <c r="K555" s="50"/>
      <c r="L555" s="50"/>
      <c r="M555" s="50"/>
      <c r="N555" s="50"/>
      <c r="O555" s="50"/>
      <c r="P555" s="50"/>
      <c r="Q555" s="50"/>
      <c r="R555" s="50"/>
      <c r="S555" s="50"/>
      <c r="T555" s="50"/>
      <c r="U555" s="50"/>
      <c r="V555" s="50"/>
      <c r="W555" s="50"/>
      <c r="X555" s="50"/>
      <c r="Y555" s="50"/>
      <c r="Z555" s="50"/>
      <c r="AA555" s="50"/>
      <c r="AB555" s="50"/>
    </row>
    <row r="556">
      <c r="A556" s="49"/>
      <c r="B556" s="49"/>
      <c r="C556" s="50"/>
      <c r="D556" s="50"/>
      <c r="E556" s="50"/>
      <c r="F556" s="50"/>
      <c r="G556" s="50"/>
      <c r="H556" s="50"/>
      <c r="I556" s="50"/>
      <c r="J556" s="50"/>
      <c r="K556" s="50"/>
      <c r="L556" s="50"/>
      <c r="M556" s="50"/>
      <c r="N556" s="50"/>
      <c r="O556" s="50"/>
      <c r="P556" s="50"/>
      <c r="Q556" s="50"/>
      <c r="R556" s="50"/>
      <c r="S556" s="50"/>
      <c r="T556" s="50"/>
      <c r="U556" s="50"/>
      <c r="V556" s="50"/>
      <c r="W556" s="50"/>
      <c r="X556" s="50"/>
      <c r="Y556" s="50"/>
      <c r="Z556" s="50"/>
      <c r="AA556" s="50"/>
      <c r="AB556" s="50"/>
    </row>
    <row r="557">
      <c r="A557" s="49"/>
      <c r="B557" s="49"/>
      <c r="C557" s="50"/>
      <c r="D557" s="50"/>
      <c r="E557" s="50"/>
      <c r="F557" s="50"/>
      <c r="G557" s="50"/>
      <c r="H557" s="50"/>
      <c r="I557" s="50"/>
      <c r="J557" s="50"/>
      <c r="K557" s="50"/>
      <c r="L557" s="50"/>
      <c r="M557" s="50"/>
      <c r="N557" s="50"/>
      <c r="O557" s="50"/>
      <c r="P557" s="50"/>
      <c r="Q557" s="50"/>
      <c r="R557" s="50"/>
      <c r="S557" s="50"/>
      <c r="T557" s="50"/>
      <c r="U557" s="50"/>
      <c r="V557" s="50"/>
      <c r="W557" s="50"/>
      <c r="X557" s="50"/>
      <c r="Y557" s="50"/>
      <c r="Z557" s="50"/>
      <c r="AA557" s="50"/>
      <c r="AB557" s="50"/>
    </row>
    <row r="558">
      <c r="A558" s="49"/>
      <c r="B558" s="49"/>
      <c r="C558" s="50"/>
      <c r="D558" s="50"/>
      <c r="E558" s="50"/>
      <c r="F558" s="50"/>
      <c r="G558" s="50"/>
      <c r="H558" s="50"/>
      <c r="I558" s="50"/>
      <c r="J558" s="50"/>
      <c r="K558" s="50"/>
      <c r="L558" s="50"/>
      <c r="M558" s="50"/>
      <c r="N558" s="50"/>
      <c r="O558" s="50"/>
      <c r="P558" s="50"/>
      <c r="Q558" s="50"/>
      <c r="R558" s="50"/>
      <c r="S558" s="50"/>
      <c r="T558" s="50"/>
      <c r="U558" s="50"/>
      <c r="V558" s="50"/>
      <c r="W558" s="50"/>
      <c r="X558" s="50"/>
      <c r="Y558" s="50"/>
      <c r="Z558" s="50"/>
      <c r="AA558" s="50"/>
      <c r="AB558" s="50"/>
    </row>
    <row r="559">
      <c r="A559" s="49"/>
      <c r="B559" s="49"/>
      <c r="C559" s="50"/>
      <c r="D559" s="50"/>
      <c r="E559" s="50"/>
      <c r="F559" s="50"/>
      <c r="G559" s="50"/>
      <c r="H559" s="50"/>
      <c r="I559" s="50"/>
      <c r="J559" s="50"/>
      <c r="K559" s="50"/>
      <c r="L559" s="50"/>
      <c r="M559" s="50"/>
      <c r="N559" s="50"/>
      <c r="O559" s="50"/>
      <c r="P559" s="50"/>
      <c r="Q559" s="50"/>
      <c r="R559" s="50"/>
      <c r="S559" s="50"/>
      <c r="T559" s="50"/>
      <c r="U559" s="50"/>
      <c r="V559" s="50"/>
      <c r="W559" s="50"/>
      <c r="X559" s="50"/>
      <c r="Y559" s="50"/>
      <c r="Z559" s="50"/>
      <c r="AA559" s="50"/>
      <c r="AB559" s="50"/>
    </row>
    <row r="560">
      <c r="A560" s="49"/>
      <c r="B560" s="49"/>
      <c r="C560" s="50"/>
      <c r="D560" s="50"/>
      <c r="E560" s="50"/>
      <c r="F560" s="50"/>
      <c r="G560" s="50"/>
      <c r="H560" s="50"/>
      <c r="I560" s="50"/>
      <c r="J560" s="50"/>
      <c r="K560" s="50"/>
      <c r="L560" s="50"/>
      <c r="M560" s="50"/>
      <c r="N560" s="50"/>
      <c r="O560" s="50"/>
      <c r="P560" s="50"/>
      <c r="Q560" s="50"/>
      <c r="R560" s="50"/>
      <c r="S560" s="50"/>
      <c r="T560" s="50"/>
      <c r="U560" s="50"/>
      <c r="V560" s="50"/>
      <c r="W560" s="50"/>
      <c r="X560" s="50"/>
      <c r="Y560" s="50"/>
      <c r="Z560" s="50"/>
      <c r="AA560" s="50"/>
      <c r="AB560" s="50"/>
    </row>
    <row r="561">
      <c r="A561" s="49"/>
      <c r="B561" s="49"/>
      <c r="C561" s="50"/>
      <c r="D561" s="50"/>
      <c r="E561" s="50"/>
      <c r="F561" s="50"/>
      <c r="G561" s="50"/>
      <c r="H561" s="50"/>
      <c r="I561" s="50"/>
      <c r="J561" s="50"/>
      <c r="K561" s="50"/>
      <c r="L561" s="50"/>
      <c r="M561" s="50"/>
      <c r="N561" s="50"/>
      <c r="O561" s="50"/>
      <c r="P561" s="50"/>
      <c r="Q561" s="50"/>
      <c r="R561" s="50"/>
      <c r="S561" s="50"/>
      <c r="T561" s="50"/>
      <c r="U561" s="50"/>
      <c r="V561" s="50"/>
      <c r="W561" s="50"/>
      <c r="X561" s="50"/>
      <c r="Y561" s="50"/>
      <c r="Z561" s="50"/>
      <c r="AA561" s="50"/>
      <c r="AB561" s="50"/>
    </row>
    <row r="562">
      <c r="A562" s="49"/>
      <c r="B562" s="49"/>
      <c r="C562" s="50"/>
      <c r="D562" s="50"/>
      <c r="E562" s="50"/>
      <c r="F562" s="50"/>
      <c r="G562" s="50"/>
      <c r="H562" s="50"/>
      <c r="I562" s="50"/>
      <c r="J562" s="50"/>
      <c r="K562" s="50"/>
      <c r="L562" s="50"/>
      <c r="M562" s="50"/>
      <c r="N562" s="50"/>
      <c r="O562" s="50"/>
      <c r="P562" s="50"/>
      <c r="Q562" s="50"/>
      <c r="R562" s="50"/>
      <c r="S562" s="50"/>
      <c r="T562" s="50"/>
      <c r="U562" s="50"/>
      <c r="V562" s="50"/>
      <c r="W562" s="50"/>
      <c r="X562" s="50"/>
      <c r="Y562" s="50"/>
      <c r="Z562" s="50"/>
      <c r="AA562" s="50"/>
      <c r="AB562" s="50"/>
    </row>
    <row r="563">
      <c r="A563" s="49"/>
      <c r="B563" s="49"/>
      <c r="C563" s="50"/>
      <c r="D563" s="50"/>
      <c r="E563" s="50"/>
      <c r="F563" s="50"/>
      <c r="G563" s="50"/>
      <c r="H563" s="50"/>
      <c r="I563" s="50"/>
      <c r="J563" s="50"/>
      <c r="K563" s="50"/>
      <c r="L563" s="50"/>
      <c r="M563" s="50"/>
      <c r="N563" s="50"/>
      <c r="O563" s="50"/>
      <c r="P563" s="50"/>
      <c r="Q563" s="50"/>
      <c r="R563" s="50"/>
      <c r="S563" s="50"/>
      <c r="T563" s="50"/>
      <c r="U563" s="50"/>
      <c r="V563" s="50"/>
      <c r="W563" s="50"/>
      <c r="X563" s="50"/>
      <c r="Y563" s="50"/>
      <c r="Z563" s="50"/>
      <c r="AA563" s="50"/>
      <c r="AB563" s="50"/>
    </row>
    <row r="564">
      <c r="A564" s="49"/>
      <c r="B564" s="49"/>
      <c r="C564" s="50"/>
      <c r="D564" s="50"/>
      <c r="E564" s="50"/>
      <c r="F564" s="50"/>
      <c r="G564" s="50"/>
      <c r="H564" s="50"/>
      <c r="I564" s="50"/>
      <c r="J564" s="50"/>
      <c r="K564" s="50"/>
      <c r="L564" s="50"/>
      <c r="M564" s="50"/>
      <c r="N564" s="50"/>
      <c r="O564" s="50"/>
      <c r="P564" s="50"/>
      <c r="Q564" s="50"/>
      <c r="R564" s="50"/>
      <c r="S564" s="50"/>
      <c r="T564" s="50"/>
      <c r="U564" s="50"/>
      <c r="V564" s="50"/>
      <c r="W564" s="50"/>
      <c r="X564" s="50"/>
      <c r="Y564" s="50"/>
      <c r="Z564" s="50"/>
      <c r="AA564" s="50"/>
      <c r="AB564" s="50"/>
    </row>
    <row r="565">
      <c r="A565" s="49"/>
      <c r="B565" s="49"/>
      <c r="C565" s="50"/>
      <c r="D565" s="50"/>
      <c r="E565" s="50"/>
      <c r="F565" s="50"/>
      <c r="G565" s="50"/>
      <c r="H565" s="50"/>
      <c r="I565" s="50"/>
      <c r="J565" s="50"/>
      <c r="K565" s="50"/>
      <c r="L565" s="50"/>
      <c r="M565" s="50"/>
      <c r="N565" s="50"/>
      <c r="O565" s="50"/>
      <c r="P565" s="50"/>
      <c r="Q565" s="50"/>
      <c r="R565" s="50"/>
      <c r="S565" s="50"/>
      <c r="T565" s="50"/>
      <c r="U565" s="50"/>
      <c r="V565" s="50"/>
      <c r="W565" s="50"/>
      <c r="X565" s="50"/>
      <c r="Y565" s="50"/>
      <c r="Z565" s="50"/>
      <c r="AA565" s="50"/>
      <c r="AB565" s="50"/>
    </row>
    <row r="566">
      <c r="A566" s="49"/>
      <c r="B566" s="49"/>
      <c r="C566" s="50"/>
      <c r="D566" s="50"/>
      <c r="E566" s="50"/>
      <c r="F566" s="50"/>
      <c r="G566" s="50"/>
      <c r="H566" s="50"/>
      <c r="I566" s="50"/>
      <c r="J566" s="50"/>
      <c r="K566" s="50"/>
      <c r="L566" s="50"/>
      <c r="M566" s="50"/>
      <c r="N566" s="50"/>
      <c r="O566" s="50"/>
      <c r="P566" s="50"/>
      <c r="Q566" s="50"/>
      <c r="R566" s="50"/>
      <c r="S566" s="50"/>
      <c r="T566" s="50"/>
      <c r="U566" s="50"/>
      <c r="V566" s="50"/>
      <c r="W566" s="50"/>
      <c r="X566" s="50"/>
      <c r="Y566" s="50"/>
      <c r="Z566" s="50"/>
      <c r="AA566" s="50"/>
      <c r="AB566" s="50"/>
    </row>
    <row r="567">
      <c r="A567" s="49"/>
      <c r="B567" s="49"/>
      <c r="C567" s="50"/>
      <c r="D567" s="50"/>
      <c r="E567" s="50"/>
      <c r="F567" s="50"/>
      <c r="G567" s="50"/>
      <c r="H567" s="50"/>
      <c r="I567" s="50"/>
      <c r="J567" s="50"/>
      <c r="K567" s="50"/>
      <c r="L567" s="50"/>
      <c r="M567" s="50"/>
      <c r="N567" s="50"/>
      <c r="O567" s="50"/>
      <c r="P567" s="50"/>
      <c r="Q567" s="50"/>
      <c r="R567" s="50"/>
      <c r="S567" s="50"/>
      <c r="T567" s="50"/>
      <c r="U567" s="50"/>
      <c r="V567" s="50"/>
      <c r="W567" s="50"/>
      <c r="X567" s="50"/>
      <c r="Y567" s="50"/>
      <c r="Z567" s="50"/>
      <c r="AA567" s="50"/>
      <c r="AB567" s="50"/>
    </row>
    <row r="568">
      <c r="A568" s="49"/>
      <c r="B568" s="49"/>
      <c r="C568" s="50"/>
      <c r="D568" s="50"/>
      <c r="E568" s="50"/>
      <c r="F568" s="50"/>
      <c r="G568" s="50"/>
      <c r="H568" s="50"/>
      <c r="I568" s="50"/>
      <c r="J568" s="50"/>
      <c r="K568" s="50"/>
      <c r="L568" s="50"/>
      <c r="M568" s="50"/>
      <c r="N568" s="50"/>
      <c r="O568" s="50"/>
      <c r="P568" s="50"/>
      <c r="Q568" s="50"/>
      <c r="R568" s="50"/>
      <c r="S568" s="50"/>
      <c r="T568" s="50"/>
      <c r="U568" s="50"/>
      <c r="V568" s="50"/>
      <c r="W568" s="50"/>
      <c r="X568" s="50"/>
      <c r="Y568" s="50"/>
      <c r="Z568" s="50"/>
      <c r="AA568" s="50"/>
      <c r="AB568" s="50"/>
    </row>
    <row r="569">
      <c r="A569" s="49"/>
      <c r="B569" s="49"/>
      <c r="C569" s="50"/>
      <c r="D569" s="50"/>
      <c r="E569" s="50"/>
      <c r="F569" s="50"/>
      <c r="G569" s="50"/>
      <c r="H569" s="50"/>
      <c r="I569" s="50"/>
      <c r="J569" s="50"/>
      <c r="K569" s="50"/>
      <c r="L569" s="50"/>
      <c r="M569" s="50"/>
      <c r="N569" s="50"/>
      <c r="O569" s="50"/>
      <c r="P569" s="50"/>
      <c r="Q569" s="50"/>
      <c r="R569" s="50"/>
      <c r="S569" s="50"/>
      <c r="T569" s="50"/>
      <c r="U569" s="50"/>
      <c r="V569" s="50"/>
      <c r="W569" s="50"/>
      <c r="X569" s="50"/>
      <c r="Y569" s="50"/>
      <c r="Z569" s="50"/>
      <c r="AA569" s="50"/>
      <c r="AB569" s="50"/>
    </row>
    <row r="570">
      <c r="A570" s="49"/>
      <c r="B570" s="49"/>
      <c r="C570" s="50"/>
      <c r="D570" s="50"/>
      <c r="E570" s="50"/>
      <c r="F570" s="50"/>
      <c r="G570" s="50"/>
      <c r="H570" s="50"/>
      <c r="I570" s="50"/>
      <c r="J570" s="50"/>
      <c r="K570" s="50"/>
      <c r="L570" s="50"/>
      <c r="M570" s="50"/>
      <c r="N570" s="50"/>
      <c r="O570" s="50"/>
      <c r="P570" s="50"/>
      <c r="Q570" s="50"/>
      <c r="R570" s="50"/>
      <c r="S570" s="50"/>
      <c r="T570" s="50"/>
      <c r="U570" s="50"/>
      <c r="V570" s="50"/>
      <c r="W570" s="50"/>
      <c r="X570" s="50"/>
      <c r="Y570" s="50"/>
      <c r="Z570" s="50"/>
      <c r="AA570" s="50"/>
      <c r="AB570" s="50"/>
    </row>
    <row r="571">
      <c r="A571" s="49"/>
      <c r="B571" s="49"/>
      <c r="C571" s="50"/>
      <c r="D571" s="50"/>
      <c r="E571" s="50"/>
      <c r="F571" s="50"/>
      <c r="G571" s="50"/>
      <c r="H571" s="50"/>
      <c r="I571" s="50"/>
      <c r="J571" s="50"/>
      <c r="K571" s="50"/>
      <c r="L571" s="50"/>
      <c r="M571" s="50"/>
      <c r="N571" s="50"/>
      <c r="O571" s="50"/>
      <c r="P571" s="50"/>
      <c r="Q571" s="50"/>
      <c r="R571" s="50"/>
      <c r="S571" s="50"/>
      <c r="T571" s="50"/>
      <c r="U571" s="50"/>
      <c r="V571" s="50"/>
      <c r="W571" s="50"/>
      <c r="X571" s="50"/>
      <c r="Y571" s="50"/>
      <c r="Z571" s="50"/>
      <c r="AA571" s="50"/>
      <c r="AB571" s="50"/>
    </row>
    <row r="572">
      <c r="A572" s="49"/>
      <c r="B572" s="49"/>
      <c r="C572" s="50"/>
      <c r="D572" s="50"/>
      <c r="E572" s="50"/>
      <c r="F572" s="50"/>
      <c r="G572" s="50"/>
      <c r="H572" s="50"/>
      <c r="I572" s="50"/>
      <c r="J572" s="50"/>
      <c r="K572" s="50"/>
      <c r="L572" s="50"/>
      <c r="M572" s="50"/>
      <c r="N572" s="50"/>
      <c r="O572" s="50"/>
      <c r="P572" s="50"/>
      <c r="Q572" s="50"/>
      <c r="R572" s="50"/>
      <c r="S572" s="50"/>
      <c r="T572" s="50"/>
      <c r="U572" s="50"/>
      <c r="V572" s="50"/>
      <c r="W572" s="50"/>
      <c r="X572" s="50"/>
      <c r="Y572" s="50"/>
      <c r="Z572" s="50"/>
      <c r="AA572" s="50"/>
      <c r="AB572" s="50"/>
    </row>
    <row r="573">
      <c r="A573" s="49"/>
      <c r="B573" s="49"/>
      <c r="C573" s="50"/>
      <c r="D573" s="50"/>
      <c r="E573" s="50"/>
      <c r="F573" s="50"/>
      <c r="G573" s="50"/>
      <c r="H573" s="50"/>
      <c r="I573" s="50"/>
      <c r="J573" s="50"/>
      <c r="K573" s="50"/>
      <c r="L573" s="50"/>
      <c r="M573" s="50"/>
      <c r="N573" s="50"/>
      <c r="O573" s="50"/>
      <c r="P573" s="50"/>
      <c r="Q573" s="50"/>
      <c r="R573" s="50"/>
      <c r="S573" s="50"/>
      <c r="T573" s="50"/>
      <c r="U573" s="50"/>
      <c r="V573" s="50"/>
      <c r="W573" s="50"/>
      <c r="X573" s="50"/>
      <c r="Y573" s="50"/>
      <c r="Z573" s="50"/>
      <c r="AA573" s="50"/>
      <c r="AB573" s="50"/>
    </row>
    <row r="574">
      <c r="A574" s="49"/>
      <c r="B574" s="49"/>
      <c r="C574" s="50"/>
      <c r="D574" s="50"/>
      <c r="E574" s="50"/>
      <c r="F574" s="50"/>
      <c r="G574" s="50"/>
      <c r="H574" s="50"/>
      <c r="I574" s="50"/>
      <c r="J574" s="50"/>
      <c r="K574" s="50"/>
      <c r="L574" s="50"/>
      <c r="M574" s="50"/>
      <c r="N574" s="50"/>
      <c r="O574" s="50"/>
      <c r="P574" s="50"/>
      <c r="Q574" s="50"/>
      <c r="R574" s="50"/>
      <c r="S574" s="50"/>
      <c r="T574" s="50"/>
      <c r="U574" s="50"/>
      <c r="V574" s="50"/>
      <c r="W574" s="50"/>
      <c r="X574" s="50"/>
      <c r="Y574" s="50"/>
      <c r="Z574" s="50"/>
      <c r="AA574" s="50"/>
      <c r="AB574" s="50"/>
    </row>
    <row r="575">
      <c r="A575" s="49"/>
      <c r="B575" s="49"/>
      <c r="C575" s="50"/>
      <c r="D575" s="50"/>
      <c r="E575" s="50"/>
      <c r="F575" s="50"/>
      <c r="G575" s="50"/>
      <c r="H575" s="50"/>
      <c r="I575" s="50"/>
      <c r="J575" s="50"/>
      <c r="K575" s="50"/>
      <c r="L575" s="50"/>
      <c r="M575" s="50"/>
      <c r="N575" s="50"/>
      <c r="O575" s="50"/>
      <c r="P575" s="50"/>
      <c r="Q575" s="50"/>
      <c r="R575" s="50"/>
      <c r="S575" s="50"/>
      <c r="T575" s="50"/>
      <c r="U575" s="50"/>
      <c r="V575" s="50"/>
      <c r="W575" s="50"/>
      <c r="X575" s="50"/>
      <c r="Y575" s="50"/>
      <c r="Z575" s="50"/>
      <c r="AA575" s="50"/>
      <c r="AB575" s="50"/>
    </row>
    <row r="576">
      <c r="A576" s="49"/>
      <c r="B576" s="49"/>
      <c r="C576" s="50"/>
      <c r="D576" s="50"/>
      <c r="E576" s="50"/>
      <c r="F576" s="50"/>
      <c r="G576" s="50"/>
      <c r="H576" s="50"/>
      <c r="I576" s="50"/>
      <c r="J576" s="50"/>
      <c r="K576" s="50"/>
      <c r="L576" s="50"/>
      <c r="M576" s="50"/>
      <c r="N576" s="50"/>
      <c r="O576" s="50"/>
      <c r="P576" s="50"/>
      <c r="Q576" s="50"/>
      <c r="R576" s="50"/>
      <c r="S576" s="50"/>
      <c r="T576" s="50"/>
      <c r="U576" s="50"/>
      <c r="V576" s="50"/>
      <c r="W576" s="50"/>
      <c r="X576" s="50"/>
      <c r="Y576" s="50"/>
      <c r="Z576" s="50"/>
      <c r="AA576" s="50"/>
      <c r="AB576" s="50"/>
    </row>
    <row r="577">
      <c r="A577" s="49"/>
      <c r="B577" s="49"/>
      <c r="C577" s="50"/>
      <c r="D577" s="50"/>
      <c r="E577" s="50"/>
      <c r="F577" s="50"/>
      <c r="G577" s="50"/>
      <c r="H577" s="50"/>
      <c r="I577" s="50"/>
      <c r="J577" s="50"/>
      <c r="K577" s="50"/>
      <c r="L577" s="50"/>
      <c r="M577" s="50"/>
      <c r="N577" s="50"/>
      <c r="O577" s="50"/>
      <c r="P577" s="50"/>
      <c r="Q577" s="50"/>
      <c r="R577" s="50"/>
      <c r="S577" s="50"/>
      <c r="T577" s="50"/>
      <c r="U577" s="50"/>
      <c r="V577" s="50"/>
      <c r="W577" s="50"/>
      <c r="X577" s="50"/>
      <c r="Y577" s="50"/>
      <c r="Z577" s="50"/>
      <c r="AA577" s="50"/>
      <c r="AB577" s="50"/>
    </row>
    <row r="578">
      <c r="A578" s="49"/>
      <c r="B578" s="49"/>
      <c r="C578" s="50"/>
      <c r="D578" s="50"/>
      <c r="E578" s="50"/>
      <c r="F578" s="50"/>
      <c r="G578" s="50"/>
      <c r="H578" s="50"/>
      <c r="I578" s="50"/>
      <c r="J578" s="50"/>
      <c r="K578" s="50"/>
      <c r="L578" s="50"/>
      <c r="M578" s="50"/>
      <c r="N578" s="50"/>
      <c r="O578" s="50"/>
      <c r="P578" s="50"/>
      <c r="Q578" s="50"/>
      <c r="R578" s="50"/>
      <c r="S578" s="50"/>
      <c r="T578" s="50"/>
      <c r="U578" s="50"/>
      <c r="V578" s="50"/>
      <c r="W578" s="50"/>
      <c r="X578" s="50"/>
      <c r="Y578" s="50"/>
      <c r="Z578" s="50"/>
      <c r="AA578" s="50"/>
      <c r="AB578" s="50"/>
    </row>
    <row r="579">
      <c r="A579" s="49"/>
      <c r="B579" s="49"/>
      <c r="C579" s="50"/>
      <c r="D579" s="50"/>
      <c r="E579" s="50"/>
      <c r="F579" s="50"/>
      <c r="G579" s="50"/>
      <c r="H579" s="50"/>
      <c r="I579" s="50"/>
      <c r="J579" s="50"/>
      <c r="K579" s="50"/>
      <c r="L579" s="50"/>
      <c r="M579" s="50"/>
      <c r="N579" s="50"/>
      <c r="O579" s="50"/>
      <c r="P579" s="50"/>
      <c r="Q579" s="50"/>
      <c r="R579" s="50"/>
      <c r="S579" s="50"/>
      <c r="T579" s="50"/>
      <c r="U579" s="50"/>
      <c r="V579" s="50"/>
      <c r="W579" s="50"/>
      <c r="X579" s="50"/>
      <c r="Y579" s="50"/>
      <c r="Z579" s="50"/>
      <c r="AA579" s="50"/>
      <c r="AB579" s="50"/>
    </row>
    <row r="580">
      <c r="A580" s="49"/>
      <c r="B580" s="49"/>
      <c r="C580" s="50"/>
      <c r="D580" s="50"/>
      <c r="E580" s="50"/>
      <c r="F580" s="50"/>
      <c r="G580" s="50"/>
      <c r="H580" s="50"/>
      <c r="I580" s="50"/>
      <c r="J580" s="50"/>
      <c r="K580" s="50"/>
      <c r="L580" s="50"/>
      <c r="M580" s="50"/>
      <c r="N580" s="50"/>
      <c r="O580" s="50"/>
      <c r="P580" s="50"/>
      <c r="Q580" s="50"/>
      <c r="R580" s="50"/>
      <c r="S580" s="50"/>
      <c r="T580" s="50"/>
      <c r="U580" s="50"/>
      <c r="V580" s="50"/>
      <c r="W580" s="50"/>
      <c r="X580" s="50"/>
      <c r="Y580" s="50"/>
      <c r="Z580" s="50"/>
      <c r="AA580" s="50"/>
      <c r="AB580" s="50"/>
    </row>
    <row r="581">
      <c r="A581" s="49"/>
      <c r="B581" s="49"/>
      <c r="C581" s="50"/>
      <c r="D581" s="50"/>
      <c r="E581" s="50"/>
      <c r="F581" s="50"/>
      <c r="G581" s="50"/>
      <c r="H581" s="50"/>
      <c r="I581" s="50"/>
      <c r="J581" s="50"/>
      <c r="K581" s="50"/>
      <c r="L581" s="50"/>
      <c r="M581" s="50"/>
      <c r="N581" s="50"/>
      <c r="O581" s="50"/>
      <c r="P581" s="50"/>
      <c r="Q581" s="50"/>
      <c r="R581" s="50"/>
      <c r="S581" s="50"/>
      <c r="T581" s="50"/>
      <c r="U581" s="50"/>
      <c r="V581" s="50"/>
      <c r="W581" s="50"/>
      <c r="X581" s="50"/>
      <c r="Y581" s="50"/>
      <c r="Z581" s="50"/>
      <c r="AA581" s="50"/>
      <c r="AB581" s="50"/>
    </row>
    <row r="582">
      <c r="A582" s="49"/>
      <c r="B582" s="49"/>
      <c r="C582" s="50"/>
      <c r="D582" s="50"/>
      <c r="E582" s="50"/>
      <c r="F582" s="50"/>
      <c r="G582" s="50"/>
      <c r="H582" s="50"/>
      <c r="I582" s="50"/>
      <c r="J582" s="50"/>
      <c r="K582" s="50"/>
      <c r="L582" s="50"/>
      <c r="M582" s="50"/>
      <c r="N582" s="50"/>
      <c r="O582" s="50"/>
      <c r="P582" s="50"/>
      <c r="Q582" s="50"/>
      <c r="R582" s="50"/>
      <c r="S582" s="50"/>
      <c r="T582" s="50"/>
      <c r="U582" s="50"/>
      <c r="V582" s="50"/>
      <c r="W582" s="50"/>
      <c r="X582" s="50"/>
      <c r="Y582" s="50"/>
      <c r="Z582" s="50"/>
      <c r="AA582" s="50"/>
      <c r="AB582" s="50"/>
    </row>
    <row r="583">
      <c r="A583" s="49"/>
      <c r="B583" s="49"/>
      <c r="C583" s="50"/>
      <c r="D583" s="50"/>
      <c r="E583" s="50"/>
      <c r="F583" s="50"/>
      <c r="G583" s="50"/>
      <c r="H583" s="50"/>
      <c r="I583" s="50"/>
      <c r="J583" s="50"/>
      <c r="K583" s="50"/>
      <c r="L583" s="50"/>
      <c r="M583" s="50"/>
      <c r="N583" s="50"/>
      <c r="O583" s="50"/>
      <c r="P583" s="50"/>
      <c r="Q583" s="50"/>
      <c r="R583" s="50"/>
      <c r="S583" s="50"/>
      <c r="T583" s="50"/>
      <c r="U583" s="50"/>
      <c r="V583" s="50"/>
      <c r="W583" s="50"/>
      <c r="X583" s="50"/>
      <c r="Y583" s="50"/>
      <c r="Z583" s="50"/>
      <c r="AA583" s="50"/>
      <c r="AB583" s="50"/>
    </row>
    <row r="584">
      <c r="A584" s="49"/>
      <c r="B584" s="49"/>
      <c r="C584" s="50"/>
      <c r="D584" s="50"/>
      <c r="E584" s="50"/>
      <c r="F584" s="50"/>
      <c r="G584" s="50"/>
      <c r="H584" s="50"/>
      <c r="I584" s="50"/>
      <c r="J584" s="50"/>
      <c r="K584" s="50"/>
      <c r="L584" s="50"/>
      <c r="M584" s="50"/>
      <c r="N584" s="50"/>
      <c r="O584" s="50"/>
      <c r="P584" s="50"/>
      <c r="Q584" s="50"/>
      <c r="R584" s="50"/>
      <c r="S584" s="50"/>
      <c r="T584" s="50"/>
      <c r="U584" s="50"/>
      <c r="V584" s="50"/>
      <c r="W584" s="50"/>
      <c r="X584" s="50"/>
      <c r="Y584" s="50"/>
      <c r="Z584" s="50"/>
      <c r="AA584" s="50"/>
      <c r="AB584" s="50"/>
    </row>
    <row r="585">
      <c r="A585" s="49"/>
      <c r="B585" s="49"/>
      <c r="C585" s="50"/>
      <c r="D585" s="50"/>
      <c r="E585" s="50"/>
      <c r="F585" s="50"/>
      <c r="G585" s="50"/>
      <c r="H585" s="50"/>
      <c r="I585" s="50"/>
      <c r="J585" s="50"/>
      <c r="K585" s="50"/>
      <c r="L585" s="50"/>
      <c r="M585" s="50"/>
      <c r="N585" s="50"/>
      <c r="O585" s="50"/>
      <c r="P585" s="50"/>
      <c r="Q585" s="50"/>
      <c r="R585" s="50"/>
      <c r="S585" s="50"/>
      <c r="T585" s="50"/>
      <c r="U585" s="50"/>
      <c r="V585" s="50"/>
      <c r="W585" s="50"/>
      <c r="X585" s="50"/>
      <c r="Y585" s="50"/>
      <c r="Z585" s="50"/>
      <c r="AA585" s="50"/>
      <c r="AB585" s="50"/>
    </row>
    <row r="586">
      <c r="A586" s="49"/>
      <c r="B586" s="49"/>
      <c r="C586" s="50"/>
      <c r="D586" s="50"/>
      <c r="E586" s="50"/>
      <c r="F586" s="50"/>
      <c r="G586" s="50"/>
      <c r="H586" s="50"/>
      <c r="I586" s="50"/>
      <c r="J586" s="50"/>
      <c r="K586" s="50"/>
      <c r="L586" s="50"/>
      <c r="M586" s="50"/>
      <c r="N586" s="50"/>
      <c r="O586" s="50"/>
      <c r="P586" s="50"/>
      <c r="Q586" s="50"/>
      <c r="R586" s="50"/>
      <c r="S586" s="50"/>
      <c r="T586" s="50"/>
      <c r="U586" s="50"/>
      <c r="V586" s="50"/>
      <c r="W586" s="50"/>
      <c r="X586" s="50"/>
      <c r="Y586" s="50"/>
      <c r="Z586" s="50"/>
      <c r="AA586" s="50"/>
      <c r="AB586" s="50"/>
    </row>
    <row r="587">
      <c r="A587" s="49"/>
      <c r="B587" s="49"/>
      <c r="C587" s="50"/>
      <c r="D587" s="50"/>
      <c r="E587" s="50"/>
      <c r="F587" s="50"/>
      <c r="G587" s="50"/>
      <c r="H587" s="50"/>
      <c r="I587" s="50"/>
      <c r="J587" s="50"/>
      <c r="K587" s="50"/>
      <c r="L587" s="50"/>
      <c r="M587" s="50"/>
      <c r="N587" s="50"/>
      <c r="O587" s="50"/>
      <c r="P587" s="50"/>
      <c r="Q587" s="50"/>
      <c r="R587" s="50"/>
      <c r="S587" s="50"/>
      <c r="T587" s="50"/>
      <c r="U587" s="50"/>
      <c r="V587" s="50"/>
      <c r="W587" s="50"/>
      <c r="X587" s="50"/>
      <c r="Y587" s="50"/>
      <c r="Z587" s="50"/>
      <c r="AA587" s="50"/>
      <c r="AB587" s="50"/>
    </row>
    <row r="588">
      <c r="A588" s="49"/>
      <c r="B588" s="49"/>
      <c r="C588" s="50"/>
      <c r="D588" s="50"/>
      <c r="E588" s="50"/>
      <c r="F588" s="50"/>
      <c r="G588" s="50"/>
      <c r="H588" s="50"/>
      <c r="I588" s="50"/>
      <c r="J588" s="50"/>
      <c r="K588" s="50"/>
      <c r="L588" s="50"/>
      <c r="M588" s="50"/>
      <c r="N588" s="50"/>
      <c r="O588" s="50"/>
      <c r="P588" s="50"/>
      <c r="Q588" s="50"/>
      <c r="R588" s="50"/>
      <c r="S588" s="50"/>
      <c r="T588" s="50"/>
      <c r="U588" s="50"/>
      <c r="V588" s="50"/>
      <c r="W588" s="50"/>
      <c r="X588" s="50"/>
      <c r="Y588" s="50"/>
      <c r="Z588" s="50"/>
      <c r="AA588" s="50"/>
      <c r="AB588" s="50"/>
    </row>
    <row r="589">
      <c r="A589" s="49"/>
      <c r="B589" s="49"/>
      <c r="C589" s="50"/>
      <c r="D589" s="50"/>
      <c r="E589" s="50"/>
      <c r="F589" s="50"/>
      <c r="G589" s="50"/>
      <c r="H589" s="50"/>
      <c r="I589" s="50"/>
      <c r="J589" s="50"/>
      <c r="K589" s="50"/>
      <c r="L589" s="50"/>
      <c r="M589" s="50"/>
      <c r="N589" s="50"/>
      <c r="O589" s="50"/>
      <c r="P589" s="50"/>
      <c r="Q589" s="50"/>
      <c r="R589" s="50"/>
      <c r="S589" s="50"/>
      <c r="T589" s="50"/>
      <c r="U589" s="50"/>
      <c r="V589" s="50"/>
      <c r="W589" s="50"/>
      <c r="X589" s="50"/>
      <c r="Y589" s="50"/>
      <c r="Z589" s="50"/>
      <c r="AA589" s="50"/>
      <c r="AB589" s="50"/>
    </row>
    <row r="590">
      <c r="A590" s="49"/>
      <c r="B590" s="49"/>
      <c r="C590" s="50"/>
      <c r="D590" s="50"/>
      <c r="E590" s="50"/>
      <c r="F590" s="50"/>
      <c r="G590" s="50"/>
      <c r="H590" s="50"/>
      <c r="I590" s="50"/>
      <c r="J590" s="50"/>
      <c r="K590" s="50"/>
      <c r="L590" s="50"/>
      <c r="M590" s="50"/>
      <c r="N590" s="50"/>
      <c r="O590" s="50"/>
      <c r="P590" s="50"/>
      <c r="Q590" s="50"/>
      <c r="R590" s="50"/>
      <c r="S590" s="50"/>
      <c r="T590" s="50"/>
      <c r="U590" s="50"/>
      <c r="V590" s="50"/>
      <c r="W590" s="50"/>
      <c r="X590" s="50"/>
      <c r="Y590" s="50"/>
      <c r="Z590" s="50"/>
      <c r="AA590" s="50"/>
      <c r="AB590" s="50"/>
    </row>
    <row r="591">
      <c r="A591" s="49"/>
      <c r="B591" s="49"/>
      <c r="C591" s="50"/>
      <c r="D591" s="50"/>
      <c r="E591" s="50"/>
      <c r="F591" s="50"/>
      <c r="G591" s="50"/>
      <c r="H591" s="50"/>
      <c r="I591" s="50"/>
      <c r="J591" s="50"/>
      <c r="K591" s="50"/>
      <c r="L591" s="50"/>
      <c r="M591" s="50"/>
      <c r="N591" s="50"/>
      <c r="O591" s="50"/>
      <c r="P591" s="50"/>
      <c r="Q591" s="50"/>
      <c r="R591" s="50"/>
      <c r="S591" s="50"/>
      <c r="T591" s="50"/>
      <c r="U591" s="50"/>
      <c r="V591" s="50"/>
      <c r="W591" s="50"/>
      <c r="X591" s="50"/>
      <c r="Y591" s="50"/>
      <c r="Z591" s="50"/>
      <c r="AA591" s="50"/>
      <c r="AB591" s="50"/>
    </row>
    <row r="592">
      <c r="A592" s="49"/>
      <c r="B592" s="49"/>
      <c r="C592" s="50"/>
      <c r="D592" s="50"/>
      <c r="E592" s="50"/>
      <c r="F592" s="50"/>
      <c r="G592" s="50"/>
      <c r="H592" s="50"/>
      <c r="I592" s="50"/>
      <c r="J592" s="50"/>
      <c r="K592" s="50"/>
      <c r="L592" s="50"/>
      <c r="M592" s="50"/>
      <c r="N592" s="50"/>
      <c r="O592" s="50"/>
      <c r="P592" s="50"/>
      <c r="Q592" s="50"/>
      <c r="R592" s="50"/>
      <c r="S592" s="50"/>
      <c r="T592" s="50"/>
      <c r="U592" s="50"/>
      <c r="V592" s="50"/>
      <c r="W592" s="50"/>
      <c r="X592" s="50"/>
      <c r="Y592" s="50"/>
      <c r="Z592" s="50"/>
      <c r="AA592" s="50"/>
      <c r="AB592" s="50"/>
    </row>
    <row r="593">
      <c r="A593" s="49"/>
      <c r="B593" s="49"/>
      <c r="C593" s="50"/>
      <c r="D593" s="50"/>
      <c r="E593" s="50"/>
      <c r="F593" s="50"/>
      <c r="G593" s="50"/>
      <c r="H593" s="50"/>
      <c r="I593" s="50"/>
      <c r="J593" s="50"/>
      <c r="K593" s="50"/>
      <c r="L593" s="50"/>
      <c r="M593" s="50"/>
      <c r="N593" s="50"/>
      <c r="O593" s="50"/>
      <c r="P593" s="50"/>
      <c r="Q593" s="50"/>
      <c r="R593" s="50"/>
      <c r="S593" s="50"/>
      <c r="T593" s="50"/>
      <c r="U593" s="50"/>
      <c r="V593" s="50"/>
      <c r="W593" s="50"/>
      <c r="X593" s="50"/>
      <c r="Y593" s="50"/>
      <c r="Z593" s="50"/>
      <c r="AA593" s="50"/>
      <c r="AB593" s="50"/>
    </row>
    <row r="594">
      <c r="A594" s="49"/>
      <c r="B594" s="49"/>
      <c r="C594" s="50"/>
      <c r="D594" s="50"/>
      <c r="E594" s="50"/>
      <c r="F594" s="50"/>
      <c r="G594" s="50"/>
      <c r="H594" s="50"/>
      <c r="I594" s="50"/>
      <c r="J594" s="50"/>
      <c r="K594" s="50"/>
      <c r="L594" s="50"/>
      <c r="M594" s="50"/>
      <c r="N594" s="50"/>
      <c r="O594" s="50"/>
      <c r="P594" s="50"/>
      <c r="Q594" s="50"/>
      <c r="R594" s="50"/>
      <c r="S594" s="50"/>
      <c r="T594" s="50"/>
      <c r="U594" s="50"/>
      <c r="V594" s="50"/>
      <c r="W594" s="50"/>
      <c r="X594" s="50"/>
      <c r="Y594" s="50"/>
      <c r="Z594" s="50"/>
      <c r="AA594" s="50"/>
      <c r="AB594" s="50"/>
    </row>
    <row r="595">
      <c r="A595" s="49"/>
      <c r="B595" s="49"/>
      <c r="C595" s="50"/>
      <c r="D595" s="50"/>
      <c r="E595" s="50"/>
      <c r="F595" s="50"/>
      <c r="G595" s="50"/>
      <c r="H595" s="50"/>
      <c r="I595" s="50"/>
      <c r="J595" s="50"/>
      <c r="K595" s="50"/>
      <c r="L595" s="50"/>
      <c r="M595" s="50"/>
      <c r="N595" s="50"/>
      <c r="O595" s="50"/>
      <c r="P595" s="50"/>
      <c r="Q595" s="50"/>
      <c r="R595" s="50"/>
      <c r="S595" s="50"/>
      <c r="T595" s="50"/>
      <c r="U595" s="50"/>
      <c r="V595" s="50"/>
      <c r="W595" s="50"/>
      <c r="X595" s="50"/>
      <c r="Y595" s="50"/>
      <c r="Z595" s="50"/>
      <c r="AA595" s="50"/>
      <c r="AB595" s="50"/>
    </row>
    <row r="596">
      <c r="A596" s="49"/>
      <c r="B596" s="49"/>
      <c r="C596" s="50"/>
      <c r="D596" s="50"/>
      <c r="E596" s="50"/>
      <c r="F596" s="50"/>
      <c r="G596" s="50"/>
      <c r="H596" s="50"/>
      <c r="I596" s="50"/>
      <c r="J596" s="50"/>
      <c r="K596" s="50"/>
      <c r="L596" s="50"/>
      <c r="M596" s="50"/>
      <c r="N596" s="50"/>
      <c r="O596" s="50"/>
      <c r="P596" s="50"/>
      <c r="Q596" s="50"/>
      <c r="R596" s="50"/>
      <c r="S596" s="50"/>
      <c r="T596" s="50"/>
      <c r="U596" s="50"/>
      <c r="V596" s="50"/>
      <c r="W596" s="50"/>
      <c r="X596" s="50"/>
      <c r="Y596" s="50"/>
      <c r="Z596" s="50"/>
      <c r="AA596" s="50"/>
      <c r="AB596" s="50"/>
    </row>
    <row r="597">
      <c r="A597" s="49"/>
      <c r="B597" s="49"/>
      <c r="C597" s="50"/>
      <c r="D597" s="50"/>
      <c r="E597" s="50"/>
      <c r="F597" s="50"/>
      <c r="G597" s="50"/>
      <c r="H597" s="50"/>
      <c r="I597" s="50"/>
      <c r="J597" s="50"/>
      <c r="K597" s="50"/>
      <c r="L597" s="50"/>
      <c r="M597" s="50"/>
      <c r="N597" s="50"/>
      <c r="O597" s="50"/>
      <c r="P597" s="50"/>
      <c r="Q597" s="50"/>
      <c r="R597" s="50"/>
      <c r="S597" s="50"/>
      <c r="T597" s="50"/>
      <c r="U597" s="50"/>
      <c r="V597" s="50"/>
      <c r="W597" s="50"/>
      <c r="X597" s="50"/>
      <c r="Y597" s="50"/>
      <c r="Z597" s="50"/>
      <c r="AA597" s="50"/>
      <c r="AB597" s="50"/>
    </row>
    <row r="598">
      <c r="A598" s="49"/>
      <c r="B598" s="49"/>
      <c r="C598" s="50"/>
      <c r="D598" s="50"/>
      <c r="E598" s="50"/>
      <c r="F598" s="50"/>
      <c r="G598" s="50"/>
      <c r="H598" s="50"/>
      <c r="I598" s="50"/>
      <c r="J598" s="50"/>
      <c r="K598" s="50"/>
      <c r="L598" s="50"/>
      <c r="M598" s="50"/>
      <c r="N598" s="50"/>
      <c r="O598" s="50"/>
      <c r="P598" s="50"/>
      <c r="Q598" s="50"/>
      <c r="R598" s="50"/>
      <c r="S598" s="50"/>
      <c r="T598" s="50"/>
      <c r="U598" s="50"/>
      <c r="V598" s="50"/>
      <c r="W598" s="50"/>
      <c r="X598" s="50"/>
      <c r="Y598" s="50"/>
      <c r="Z598" s="50"/>
      <c r="AA598" s="50"/>
      <c r="AB598" s="50"/>
    </row>
    <row r="599">
      <c r="A599" s="49"/>
      <c r="B599" s="49"/>
      <c r="C599" s="50"/>
      <c r="D599" s="50"/>
      <c r="E599" s="50"/>
      <c r="F599" s="50"/>
      <c r="G599" s="50"/>
      <c r="H599" s="50"/>
      <c r="I599" s="50"/>
      <c r="J599" s="50"/>
      <c r="K599" s="50"/>
      <c r="L599" s="50"/>
      <c r="M599" s="50"/>
      <c r="N599" s="50"/>
      <c r="O599" s="50"/>
      <c r="P599" s="50"/>
      <c r="Q599" s="50"/>
      <c r="R599" s="50"/>
      <c r="S599" s="50"/>
      <c r="T599" s="50"/>
      <c r="U599" s="50"/>
      <c r="V599" s="50"/>
      <c r="W599" s="50"/>
      <c r="X599" s="50"/>
      <c r="Y599" s="50"/>
      <c r="Z599" s="50"/>
      <c r="AA599" s="50"/>
      <c r="AB599" s="50"/>
    </row>
    <row r="600">
      <c r="A600" s="49"/>
      <c r="B600" s="49"/>
      <c r="C600" s="50"/>
      <c r="D600" s="50"/>
      <c r="E600" s="50"/>
      <c r="F600" s="50"/>
      <c r="G600" s="50"/>
      <c r="H600" s="50"/>
      <c r="I600" s="50"/>
      <c r="J600" s="50"/>
      <c r="K600" s="50"/>
      <c r="L600" s="50"/>
      <c r="M600" s="50"/>
      <c r="N600" s="50"/>
      <c r="O600" s="50"/>
      <c r="P600" s="50"/>
      <c r="Q600" s="50"/>
      <c r="R600" s="50"/>
      <c r="S600" s="50"/>
      <c r="T600" s="50"/>
      <c r="U600" s="50"/>
      <c r="V600" s="50"/>
      <c r="W600" s="50"/>
      <c r="X600" s="50"/>
      <c r="Y600" s="50"/>
      <c r="Z600" s="50"/>
      <c r="AA600" s="50"/>
      <c r="AB600" s="50"/>
    </row>
    <row r="601">
      <c r="A601" s="49"/>
      <c r="B601" s="49"/>
      <c r="C601" s="50"/>
      <c r="D601" s="50"/>
      <c r="E601" s="50"/>
      <c r="F601" s="50"/>
      <c r="G601" s="50"/>
      <c r="H601" s="50"/>
      <c r="I601" s="50"/>
      <c r="J601" s="50"/>
      <c r="K601" s="50"/>
      <c r="L601" s="50"/>
      <c r="M601" s="50"/>
      <c r="N601" s="50"/>
      <c r="O601" s="50"/>
      <c r="P601" s="50"/>
      <c r="Q601" s="50"/>
      <c r="R601" s="50"/>
      <c r="S601" s="50"/>
      <c r="T601" s="50"/>
      <c r="U601" s="50"/>
      <c r="V601" s="50"/>
      <c r="W601" s="50"/>
      <c r="X601" s="50"/>
      <c r="Y601" s="50"/>
      <c r="Z601" s="50"/>
      <c r="AA601" s="50"/>
      <c r="AB601" s="50"/>
    </row>
    <row r="602">
      <c r="A602" s="49"/>
      <c r="B602" s="49"/>
      <c r="C602" s="50"/>
      <c r="D602" s="50"/>
      <c r="E602" s="50"/>
      <c r="F602" s="50"/>
      <c r="G602" s="50"/>
      <c r="H602" s="50"/>
      <c r="I602" s="50"/>
      <c r="J602" s="50"/>
      <c r="K602" s="50"/>
      <c r="L602" s="50"/>
      <c r="M602" s="50"/>
      <c r="N602" s="50"/>
      <c r="O602" s="50"/>
      <c r="P602" s="50"/>
      <c r="Q602" s="50"/>
      <c r="R602" s="50"/>
      <c r="S602" s="50"/>
      <c r="T602" s="50"/>
      <c r="U602" s="50"/>
      <c r="V602" s="50"/>
      <c r="W602" s="50"/>
      <c r="X602" s="50"/>
      <c r="Y602" s="50"/>
      <c r="Z602" s="50"/>
      <c r="AA602" s="50"/>
      <c r="AB602" s="50"/>
    </row>
    <row r="603">
      <c r="A603" s="49"/>
      <c r="B603" s="49"/>
      <c r="C603" s="50"/>
      <c r="D603" s="50"/>
      <c r="E603" s="50"/>
      <c r="F603" s="50"/>
      <c r="G603" s="50"/>
      <c r="H603" s="50"/>
      <c r="I603" s="50"/>
      <c r="J603" s="50"/>
      <c r="K603" s="50"/>
      <c r="L603" s="50"/>
      <c r="M603" s="50"/>
      <c r="N603" s="50"/>
      <c r="O603" s="50"/>
      <c r="P603" s="50"/>
      <c r="Q603" s="50"/>
      <c r="R603" s="50"/>
      <c r="S603" s="50"/>
      <c r="T603" s="50"/>
      <c r="U603" s="50"/>
      <c r="V603" s="50"/>
      <c r="W603" s="50"/>
      <c r="X603" s="50"/>
      <c r="Y603" s="50"/>
      <c r="Z603" s="50"/>
      <c r="AA603" s="50"/>
      <c r="AB603" s="50"/>
    </row>
    <row r="604">
      <c r="A604" s="49"/>
      <c r="B604" s="49"/>
      <c r="C604" s="50"/>
      <c r="D604" s="50"/>
      <c r="E604" s="50"/>
      <c r="F604" s="50"/>
      <c r="G604" s="50"/>
      <c r="H604" s="50"/>
      <c r="I604" s="50"/>
      <c r="J604" s="50"/>
      <c r="K604" s="50"/>
      <c r="L604" s="50"/>
      <c r="M604" s="50"/>
      <c r="N604" s="50"/>
      <c r="O604" s="50"/>
      <c r="P604" s="50"/>
      <c r="Q604" s="50"/>
      <c r="R604" s="50"/>
      <c r="S604" s="50"/>
      <c r="T604" s="50"/>
      <c r="U604" s="50"/>
      <c r="V604" s="50"/>
      <c r="W604" s="50"/>
      <c r="X604" s="50"/>
      <c r="Y604" s="50"/>
      <c r="Z604" s="50"/>
      <c r="AA604" s="50"/>
      <c r="AB604" s="50"/>
    </row>
    <row r="605">
      <c r="A605" s="49"/>
      <c r="B605" s="49"/>
      <c r="C605" s="50"/>
      <c r="D605" s="50"/>
      <c r="E605" s="50"/>
      <c r="F605" s="50"/>
      <c r="G605" s="50"/>
      <c r="H605" s="50"/>
      <c r="I605" s="50"/>
      <c r="J605" s="50"/>
      <c r="K605" s="50"/>
      <c r="L605" s="50"/>
      <c r="M605" s="50"/>
      <c r="N605" s="50"/>
      <c r="O605" s="50"/>
      <c r="P605" s="50"/>
      <c r="Q605" s="50"/>
      <c r="R605" s="50"/>
      <c r="S605" s="50"/>
      <c r="T605" s="50"/>
      <c r="U605" s="50"/>
      <c r="V605" s="50"/>
      <c r="W605" s="50"/>
      <c r="X605" s="50"/>
      <c r="Y605" s="50"/>
      <c r="Z605" s="50"/>
      <c r="AA605" s="50"/>
      <c r="AB605" s="50"/>
    </row>
    <row r="606">
      <c r="A606" s="49"/>
      <c r="B606" s="49"/>
      <c r="C606" s="50"/>
      <c r="D606" s="50"/>
      <c r="E606" s="50"/>
      <c r="F606" s="50"/>
      <c r="G606" s="50"/>
      <c r="H606" s="50"/>
      <c r="I606" s="50"/>
      <c r="J606" s="50"/>
      <c r="K606" s="50"/>
      <c r="L606" s="50"/>
      <c r="M606" s="50"/>
      <c r="N606" s="50"/>
      <c r="O606" s="50"/>
      <c r="P606" s="50"/>
      <c r="Q606" s="50"/>
      <c r="R606" s="50"/>
      <c r="S606" s="50"/>
      <c r="T606" s="50"/>
      <c r="U606" s="50"/>
      <c r="V606" s="50"/>
      <c r="W606" s="50"/>
      <c r="X606" s="50"/>
      <c r="Y606" s="50"/>
      <c r="Z606" s="50"/>
      <c r="AA606" s="50"/>
      <c r="AB606" s="50"/>
    </row>
    <row r="607">
      <c r="A607" s="49"/>
      <c r="B607" s="49"/>
      <c r="C607" s="50"/>
      <c r="D607" s="50"/>
      <c r="E607" s="50"/>
      <c r="F607" s="50"/>
      <c r="G607" s="50"/>
      <c r="H607" s="50"/>
      <c r="I607" s="50"/>
      <c r="J607" s="50"/>
      <c r="K607" s="50"/>
      <c r="L607" s="50"/>
      <c r="M607" s="50"/>
      <c r="N607" s="50"/>
      <c r="O607" s="50"/>
      <c r="P607" s="50"/>
      <c r="Q607" s="50"/>
      <c r="R607" s="50"/>
      <c r="S607" s="50"/>
      <c r="T607" s="50"/>
      <c r="U607" s="50"/>
      <c r="V607" s="50"/>
      <c r="W607" s="50"/>
      <c r="X607" s="50"/>
      <c r="Y607" s="50"/>
      <c r="Z607" s="50"/>
      <c r="AA607" s="50"/>
      <c r="AB607" s="50"/>
    </row>
    <row r="608">
      <c r="A608" s="49"/>
      <c r="B608" s="49"/>
      <c r="C608" s="50"/>
      <c r="D608" s="50"/>
      <c r="E608" s="50"/>
      <c r="F608" s="50"/>
      <c r="G608" s="50"/>
      <c r="H608" s="50"/>
      <c r="I608" s="50"/>
      <c r="J608" s="50"/>
      <c r="K608" s="50"/>
      <c r="L608" s="50"/>
      <c r="M608" s="50"/>
      <c r="N608" s="50"/>
      <c r="O608" s="50"/>
      <c r="P608" s="50"/>
      <c r="Q608" s="50"/>
      <c r="R608" s="50"/>
      <c r="S608" s="50"/>
      <c r="T608" s="50"/>
      <c r="U608" s="50"/>
      <c r="V608" s="50"/>
      <c r="W608" s="50"/>
      <c r="X608" s="50"/>
      <c r="Y608" s="50"/>
      <c r="Z608" s="50"/>
      <c r="AA608" s="50"/>
      <c r="AB608" s="50"/>
    </row>
    <row r="609">
      <c r="A609" s="49"/>
      <c r="B609" s="49"/>
      <c r="C609" s="50"/>
      <c r="D609" s="50"/>
      <c r="E609" s="50"/>
      <c r="F609" s="50"/>
      <c r="G609" s="50"/>
      <c r="H609" s="50"/>
      <c r="I609" s="50"/>
      <c r="J609" s="50"/>
      <c r="K609" s="50"/>
      <c r="L609" s="50"/>
      <c r="M609" s="50"/>
      <c r="N609" s="50"/>
      <c r="O609" s="50"/>
      <c r="P609" s="50"/>
      <c r="Q609" s="50"/>
      <c r="R609" s="50"/>
      <c r="S609" s="50"/>
      <c r="T609" s="50"/>
      <c r="U609" s="50"/>
      <c r="V609" s="50"/>
      <c r="W609" s="50"/>
      <c r="X609" s="50"/>
      <c r="Y609" s="50"/>
      <c r="Z609" s="50"/>
      <c r="AA609" s="50"/>
      <c r="AB609" s="50"/>
    </row>
    <row r="610">
      <c r="A610" s="49"/>
      <c r="B610" s="49"/>
      <c r="C610" s="50"/>
      <c r="D610" s="50"/>
      <c r="E610" s="50"/>
      <c r="F610" s="50"/>
      <c r="G610" s="50"/>
      <c r="H610" s="50"/>
      <c r="I610" s="50"/>
      <c r="J610" s="50"/>
      <c r="K610" s="50"/>
      <c r="L610" s="50"/>
      <c r="M610" s="50"/>
      <c r="N610" s="50"/>
      <c r="O610" s="50"/>
      <c r="P610" s="50"/>
      <c r="Q610" s="50"/>
      <c r="R610" s="50"/>
      <c r="S610" s="50"/>
      <c r="T610" s="50"/>
      <c r="U610" s="50"/>
      <c r="V610" s="50"/>
      <c r="W610" s="50"/>
      <c r="X610" s="50"/>
      <c r="Y610" s="50"/>
      <c r="Z610" s="50"/>
      <c r="AA610" s="50"/>
      <c r="AB610" s="50"/>
    </row>
    <row r="611">
      <c r="A611" s="49"/>
      <c r="B611" s="49"/>
      <c r="C611" s="50"/>
      <c r="D611" s="50"/>
      <c r="E611" s="50"/>
      <c r="F611" s="50"/>
      <c r="G611" s="50"/>
      <c r="H611" s="50"/>
      <c r="I611" s="50"/>
      <c r="J611" s="50"/>
      <c r="K611" s="50"/>
      <c r="L611" s="50"/>
      <c r="M611" s="50"/>
      <c r="N611" s="50"/>
      <c r="O611" s="50"/>
      <c r="P611" s="50"/>
      <c r="Q611" s="50"/>
      <c r="R611" s="50"/>
      <c r="S611" s="50"/>
      <c r="T611" s="50"/>
      <c r="U611" s="50"/>
      <c r="V611" s="50"/>
      <c r="W611" s="50"/>
      <c r="X611" s="50"/>
      <c r="Y611" s="50"/>
      <c r="Z611" s="50"/>
      <c r="AA611" s="50"/>
      <c r="AB611" s="50"/>
    </row>
    <row r="612">
      <c r="A612" s="49"/>
      <c r="B612" s="49"/>
      <c r="C612" s="50"/>
      <c r="D612" s="50"/>
      <c r="E612" s="50"/>
      <c r="F612" s="50"/>
      <c r="G612" s="50"/>
      <c r="H612" s="50"/>
      <c r="I612" s="50"/>
      <c r="J612" s="50"/>
      <c r="K612" s="50"/>
      <c r="L612" s="50"/>
      <c r="M612" s="50"/>
      <c r="N612" s="50"/>
      <c r="O612" s="50"/>
      <c r="P612" s="50"/>
      <c r="Q612" s="50"/>
      <c r="R612" s="50"/>
      <c r="S612" s="50"/>
      <c r="T612" s="50"/>
      <c r="U612" s="50"/>
      <c r="V612" s="50"/>
      <c r="W612" s="50"/>
      <c r="X612" s="50"/>
      <c r="Y612" s="50"/>
      <c r="Z612" s="50"/>
      <c r="AA612" s="50"/>
      <c r="AB612" s="50"/>
    </row>
    <row r="613">
      <c r="A613" s="49"/>
      <c r="B613" s="49"/>
      <c r="C613" s="50"/>
      <c r="D613" s="50"/>
      <c r="E613" s="50"/>
      <c r="F613" s="50"/>
      <c r="G613" s="50"/>
      <c r="H613" s="50"/>
      <c r="I613" s="50"/>
      <c r="J613" s="50"/>
      <c r="K613" s="50"/>
      <c r="L613" s="50"/>
      <c r="M613" s="50"/>
      <c r="N613" s="50"/>
      <c r="O613" s="50"/>
      <c r="P613" s="50"/>
      <c r="Q613" s="50"/>
      <c r="R613" s="50"/>
      <c r="S613" s="50"/>
      <c r="T613" s="50"/>
      <c r="U613" s="50"/>
      <c r="V613" s="50"/>
      <c r="W613" s="50"/>
      <c r="X613" s="50"/>
      <c r="Y613" s="50"/>
      <c r="Z613" s="50"/>
      <c r="AA613" s="50"/>
      <c r="AB613" s="50"/>
    </row>
    <row r="614">
      <c r="A614" s="49"/>
      <c r="B614" s="49"/>
      <c r="C614" s="50"/>
      <c r="D614" s="50"/>
      <c r="E614" s="50"/>
      <c r="F614" s="50"/>
      <c r="G614" s="50"/>
      <c r="H614" s="50"/>
      <c r="I614" s="50"/>
      <c r="J614" s="50"/>
      <c r="K614" s="50"/>
      <c r="L614" s="50"/>
      <c r="M614" s="50"/>
      <c r="N614" s="50"/>
      <c r="O614" s="50"/>
      <c r="P614" s="50"/>
      <c r="Q614" s="50"/>
      <c r="R614" s="50"/>
      <c r="S614" s="50"/>
      <c r="T614" s="50"/>
      <c r="U614" s="50"/>
      <c r="V614" s="50"/>
      <c r="W614" s="50"/>
      <c r="X614" s="50"/>
      <c r="Y614" s="50"/>
      <c r="Z614" s="50"/>
      <c r="AA614" s="50"/>
      <c r="AB614" s="50"/>
    </row>
    <row r="615">
      <c r="A615" s="49"/>
      <c r="B615" s="49"/>
      <c r="C615" s="50"/>
      <c r="D615" s="50"/>
      <c r="E615" s="50"/>
      <c r="F615" s="50"/>
      <c r="G615" s="50"/>
      <c r="H615" s="50"/>
      <c r="I615" s="50"/>
      <c r="J615" s="50"/>
      <c r="K615" s="50"/>
      <c r="L615" s="50"/>
      <c r="M615" s="50"/>
      <c r="N615" s="50"/>
      <c r="O615" s="50"/>
      <c r="P615" s="50"/>
      <c r="Q615" s="50"/>
      <c r="R615" s="50"/>
      <c r="S615" s="50"/>
      <c r="T615" s="50"/>
      <c r="U615" s="50"/>
      <c r="V615" s="50"/>
      <c r="W615" s="50"/>
      <c r="X615" s="50"/>
      <c r="Y615" s="50"/>
      <c r="Z615" s="50"/>
      <c r="AA615" s="50"/>
      <c r="AB615" s="50"/>
    </row>
    <row r="616">
      <c r="A616" s="49"/>
      <c r="B616" s="49"/>
      <c r="C616" s="50"/>
      <c r="D616" s="50"/>
      <c r="E616" s="50"/>
      <c r="F616" s="50"/>
      <c r="G616" s="50"/>
      <c r="H616" s="50"/>
      <c r="I616" s="50"/>
      <c r="J616" s="50"/>
      <c r="K616" s="50"/>
      <c r="L616" s="50"/>
      <c r="M616" s="50"/>
      <c r="N616" s="50"/>
      <c r="O616" s="50"/>
      <c r="P616" s="50"/>
      <c r="Q616" s="50"/>
      <c r="R616" s="50"/>
      <c r="S616" s="50"/>
      <c r="T616" s="50"/>
      <c r="U616" s="50"/>
      <c r="V616" s="50"/>
      <c r="W616" s="50"/>
      <c r="X616" s="50"/>
      <c r="Y616" s="50"/>
      <c r="Z616" s="50"/>
      <c r="AA616" s="50"/>
      <c r="AB616" s="50"/>
    </row>
    <row r="617">
      <c r="A617" s="49"/>
      <c r="B617" s="49"/>
      <c r="C617" s="50"/>
      <c r="D617" s="50"/>
      <c r="E617" s="50"/>
      <c r="F617" s="50"/>
      <c r="G617" s="50"/>
      <c r="H617" s="50"/>
      <c r="I617" s="50"/>
      <c r="J617" s="50"/>
      <c r="K617" s="50"/>
      <c r="L617" s="50"/>
      <c r="M617" s="50"/>
      <c r="N617" s="50"/>
      <c r="O617" s="50"/>
      <c r="P617" s="50"/>
      <c r="Q617" s="50"/>
      <c r="R617" s="50"/>
      <c r="S617" s="50"/>
      <c r="T617" s="50"/>
      <c r="U617" s="50"/>
      <c r="V617" s="50"/>
      <c r="W617" s="50"/>
      <c r="X617" s="50"/>
      <c r="Y617" s="50"/>
      <c r="Z617" s="50"/>
      <c r="AA617" s="50"/>
      <c r="AB617" s="50"/>
    </row>
    <row r="618">
      <c r="A618" s="49"/>
      <c r="B618" s="49"/>
      <c r="C618" s="50"/>
      <c r="D618" s="50"/>
      <c r="E618" s="50"/>
      <c r="F618" s="50"/>
      <c r="G618" s="50"/>
      <c r="H618" s="50"/>
      <c r="I618" s="50"/>
      <c r="J618" s="50"/>
      <c r="K618" s="50"/>
      <c r="L618" s="50"/>
      <c r="M618" s="50"/>
      <c r="N618" s="50"/>
      <c r="O618" s="50"/>
      <c r="P618" s="50"/>
      <c r="Q618" s="50"/>
      <c r="R618" s="50"/>
      <c r="S618" s="50"/>
      <c r="T618" s="50"/>
      <c r="U618" s="50"/>
      <c r="V618" s="50"/>
      <c r="W618" s="50"/>
      <c r="X618" s="50"/>
      <c r="Y618" s="50"/>
      <c r="Z618" s="50"/>
      <c r="AA618" s="50"/>
      <c r="AB618" s="50"/>
    </row>
    <row r="619">
      <c r="A619" s="49"/>
      <c r="B619" s="49"/>
      <c r="C619" s="50"/>
      <c r="D619" s="50"/>
      <c r="E619" s="50"/>
      <c r="F619" s="50"/>
      <c r="G619" s="50"/>
      <c r="H619" s="50"/>
      <c r="I619" s="50"/>
      <c r="J619" s="50"/>
      <c r="K619" s="50"/>
      <c r="L619" s="50"/>
      <c r="M619" s="50"/>
      <c r="N619" s="50"/>
      <c r="O619" s="50"/>
      <c r="P619" s="50"/>
      <c r="Q619" s="50"/>
      <c r="R619" s="50"/>
      <c r="S619" s="50"/>
      <c r="T619" s="50"/>
      <c r="U619" s="50"/>
      <c r="V619" s="50"/>
      <c r="W619" s="50"/>
      <c r="X619" s="50"/>
      <c r="Y619" s="50"/>
      <c r="Z619" s="50"/>
      <c r="AA619" s="50"/>
      <c r="AB619" s="50"/>
    </row>
    <row r="620">
      <c r="A620" s="49"/>
      <c r="B620" s="49"/>
      <c r="C620" s="50"/>
      <c r="D620" s="50"/>
      <c r="E620" s="50"/>
      <c r="F620" s="50"/>
      <c r="G620" s="50"/>
      <c r="H620" s="50"/>
      <c r="I620" s="50"/>
      <c r="J620" s="50"/>
      <c r="K620" s="50"/>
      <c r="L620" s="50"/>
      <c r="M620" s="50"/>
      <c r="N620" s="50"/>
      <c r="O620" s="50"/>
      <c r="P620" s="50"/>
      <c r="Q620" s="50"/>
      <c r="R620" s="50"/>
      <c r="S620" s="50"/>
      <c r="T620" s="50"/>
      <c r="U620" s="50"/>
      <c r="V620" s="50"/>
      <c r="W620" s="50"/>
      <c r="X620" s="50"/>
      <c r="Y620" s="50"/>
      <c r="Z620" s="50"/>
      <c r="AA620" s="50"/>
      <c r="AB620" s="50"/>
    </row>
    <row r="621">
      <c r="A621" s="49"/>
      <c r="B621" s="49"/>
      <c r="C621" s="50"/>
      <c r="D621" s="50"/>
      <c r="E621" s="50"/>
      <c r="F621" s="50"/>
      <c r="G621" s="50"/>
      <c r="H621" s="50"/>
      <c r="I621" s="50"/>
      <c r="J621" s="50"/>
      <c r="K621" s="50"/>
      <c r="L621" s="50"/>
      <c r="M621" s="50"/>
      <c r="N621" s="50"/>
      <c r="O621" s="50"/>
      <c r="P621" s="50"/>
      <c r="Q621" s="50"/>
      <c r="R621" s="50"/>
      <c r="S621" s="50"/>
      <c r="T621" s="50"/>
      <c r="U621" s="50"/>
      <c r="V621" s="50"/>
      <c r="W621" s="50"/>
      <c r="X621" s="50"/>
      <c r="Y621" s="50"/>
      <c r="Z621" s="50"/>
      <c r="AA621" s="50"/>
      <c r="AB621" s="50"/>
    </row>
    <row r="622">
      <c r="A622" s="49"/>
      <c r="B622" s="49"/>
      <c r="C622" s="50"/>
      <c r="D622" s="50"/>
      <c r="E622" s="50"/>
      <c r="F622" s="50"/>
      <c r="G622" s="50"/>
      <c r="H622" s="50"/>
      <c r="I622" s="50"/>
      <c r="J622" s="50"/>
      <c r="K622" s="50"/>
      <c r="L622" s="50"/>
      <c r="M622" s="50"/>
      <c r="N622" s="50"/>
      <c r="O622" s="50"/>
      <c r="P622" s="50"/>
      <c r="Q622" s="50"/>
      <c r="R622" s="50"/>
      <c r="S622" s="50"/>
      <c r="T622" s="50"/>
      <c r="U622" s="50"/>
      <c r="V622" s="50"/>
      <c r="W622" s="50"/>
      <c r="X622" s="50"/>
      <c r="Y622" s="50"/>
      <c r="Z622" s="50"/>
      <c r="AA622" s="50"/>
      <c r="AB622" s="50"/>
    </row>
    <row r="623">
      <c r="A623" s="49"/>
      <c r="B623" s="49"/>
      <c r="C623" s="50"/>
      <c r="D623" s="50"/>
      <c r="E623" s="50"/>
      <c r="F623" s="50"/>
      <c r="G623" s="50"/>
      <c r="H623" s="50"/>
      <c r="I623" s="50"/>
      <c r="J623" s="50"/>
      <c r="K623" s="50"/>
      <c r="L623" s="50"/>
      <c r="M623" s="50"/>
      <c r="N623" s="50"/>
      <c r="O623" s="50"/>
      <c r="P623" s="50"/>
      <c r="Q623" s="50"/>
      <c r="R623" s="50"/>
      <c r="S623" s="50"/>
      <c r="T623" s="50"/>
      <c r="U623" s="50"/>
      <c r="V623" s="50"/>
      <c r="W623" s="50"/>
      <c r="X623" s="50"/>
      <c r="Y623" s="50"/>
      <c r="Z623" s="50"/>
      <c r="AA623" s="50"/>
      <c r="AB623" s="50"/>
    </row>
    <row r="624">
      <c r="A624" s="49"/>
      <c r="B624" s="49"/>
      <c r="C624" s="50"/>
      <c r="D624" s="50"/>
      <c r="E624" s="50"/>
      <c r="F624" s="50"/>
      <c r="G624" s="50"/>
      <c r="H624" s="50"/>
      <c r="I624" s="50"/>
      <c r="J624" s="50"/>
      <c r="K624" s="50"/>
      <c r="L624" s="50"/>
      <c r="M624" s="50"/>
      <c r="N624" s="50"/>
      <c r="O624" s="50"/>
      <c r="P624" s="50"/>
      <c r="Q624" s="50"/>
      <c r="R624" s="50"/>
      <c r="S624" s="50"/>
      <c r="T624" s="50"/>
      <c r="U624" s="50"/>
      <c r="V624" s="50"/>
      <c r="W624" s="50"/>
      <c r="X624" s="50"/>
      <c r="Y624" s="50"/>
      <c r="Z624" s="50"/>
      <c r="AA624" s="50"/>
      <c r="AB624" s="50"/>
    </row>
    <row r="625">
      <c r="A625" s="49"/>
      <c r="B625" s="49"/>
      <c r="C625" s="50"/>
      <c r="D625" s="50"/>
      <c r="E625" s="50"/>
      <c r="F625" s="50"/>
      <c r="G625" s="50"/>
      <c r="H625" s="50"/>
      <c r="I625" s="50"/>
      <c r="J625" s="50"/>
      <c r="K625" s="50"/>
      <c r="L625" s="50"/>
      <c r="M625" s="50"/>
      <c r="N625" s="50"/>
      <c r="O625" s="50"/>
      <c r="P625" s="50"/>
      <c r="Q625" s="50"/>
      <c r="R625" s="50"/>
      <c r="S625" s="50"/>
      <c r="T625" s="50"/>
      <c r="U625" s="50"/>
      <c r="V625" s="50"/>
      <c r="W625" s="50"/>
      <c r="X625" s="50"/>
      <c r="Y625" s="50"/>
      <c r="Z625" s="50"/>
      <c r="AA625" s="50"/>
      <c r="AB625" s="50"/>
    </row>
    <row r="626">
      <c r="A626" s="49"/>
      <c r="B626" s="49"/>
      <c r="C626" s="50"/>
      <c r="D626" s="50"/>
      <c r="E626" s="50"/>
      <c r="F626" s="50"/>
      <c r="G626" s="50"/>
      <c r="H626" s="50"/>
      <c r="I626" s="50"/>
      <c r="J626" s="50"/>
      <c r="K626" s="50"/>
      <c r="L626" s="50"/>
      <c r="M626" s="50"/>
      <c r="N626" s="50"/>
      <c r="O626" s="50"/>
      <c r="P626" s="50"/>
      <c r="Q626" s="50"/>
      <c r="R626" s="50"/>
      <c r="S626" s="50"/>
      <c r="T626" s="50"/>
      <c r="U626" s="50"/>
      <c r="V626" s="50"/>
      <c r="W626" s="50"/>
      <c r="X626" s="50"/>
      <c r="Y626" s="50"/>
      <c r="Z626" s="50"/>
      <c r="AA626" s="50"/>
      <c r="AB626" s="50"/>
    </row>
    <row r="627">
      <c r="A627" s="49"/>
      <c r="B627" s="49"/>
      <c r="C627" s="50"/>
      <c r="D627" s="50"/>
      <c r="E627" s="50"/>
      <c r="F627" s="50"/>
      <c r="G627" s="50"/>
      <c r="H627" s="50"/>
      <c r="I627" s="50"/>
      <c r="J627" s="50"/>
      <c r="K627" s="50"/>
      <c r="L627" s="50"/>
      <c r="M627" s="50"/>
      <c r="N627" s="50"/>
      <c r="O627" s="50"/>
      <c r="P627" s="50"/>
      <c r="Q627" s="50"/>
      <c r="R627" s="50"/>
      <c r="S627" s="50"/>
      <c r="T627" s="50"/>
      <c r="U627" s="50"/>
      <c r="V627" s="50"/>
      <c r="W627" s="50"/>
      <c r="X627" s="50"/>
      <c r="Y627" s="50"/>
      <c r="Z627" s="50"/>
      <c r="AA627" s="50"/>
      <c r="AB627" s="50"/>
    </row>
    <row r="628">
      <c r="A628" s="49"/>
      <c r="B628" s="49"/>
      <c r="C628" s="50"/>
      <c r="D628" s="50"/>
      <c r="E628" s="50"/>
      <c r="F628" s="50"/>
      <c r="G628" s="50"/>
      <c r="H628" s="50"/>
      <c r="I628" s="50"/>
      <c r="J628" s="50"/>
      <c r="K628" s="50"/>
      <c r="L628" s="50"/>
      <c r="M628" s="50"/>
      <c r="N628" s="50"/>
      <c r="O628" s="50"/>
      <c r="P628" s="50"/>
      <c r="Q628" s="50"/>
      <c r="R628" s="50"/>
      <c r="S628" s="50"/>
      <c r="T628" s="50"/>
      <c r="U628" s="50"/>
      <c r="V628" s="50"/>
      <c r="W628" s="50"/>
      <c r="X628" s="50"/>
      <c r="Y628" s="50"/>
      <c r="Z628" s="50"/>
      <c r="AA628" s="50"/>
      <c r="AB628" s="50"/>
    </row>
    <row r="629">
      <c r="A629" s="49"/>
      <c r="B629" s="49"/>
      <c r="C629" s="50"/>
      <c r="D629" s="50"/>
      <c r="E629" s="50"/>
      <c r="F629" s="50"/>
      <c r="G629" s="50"/>
      <c r="H629" s="50"/>
      <c r="I629" s="50"/>
      <c r="J629" s="50"/>
      <c r="K629" s="50"/>
      <c r="L629" s="50"/>
      <c r="M629" s="50"/>
      <c r="N629" s="50"/>
      <c r="O629" s="50"/>
      <c r="P629" s="50"/>
      <c r="Q629" s="50"/>
      <c r="R629" s="50"/>
      <c r="S629" s="50"/>
      <c r="T629" s="50"/>
      <c r="U629" s="50"/>
      <c r="V629" s="50"/>
      <c r="W629" s="50"/>
      <c r="X629" s="50"/>
      <c r="Y629" s="50"/>
      <c r="Z629" s="50"/>
      <c r="AA629" s="50"/>
      <c r="AB629" s="50"/>
    </row>
    <row r="630">
      <c r="A630" s="49"/>
      <c r="B630" s="49"/>
      <c r="C630" s="50"/>
      <c r="D630" s="50"/>
      <c r="E630" s="50"/>
      <c r="F630" s="50"/>
      <c r="G630" s="50"/>
      <c r="H630" s="50"/>
      <c r="I630" s="50"/>
      <c r="J630" s="50"/>
      <c r="K630" s="50"/>
      <c r="L630" s="50"/>
      <c r="M630" s="50"/>
      <c r="N630" s="50"/>
      <c r="O630" s="50"/>
      <c r="P630" s="50"/>
      <c r="Q630" s="50"/>
      <c r="R630" s="50"/>
      <c r="S630" s="50"/>
      <c r="T630" s="50"/>
      <c r="U630" s="50"/>
      <c r="V630" s="50"/>
      <c r="W630" s="50"/>
      <c r="X630" s="50"/>
      <c r="Y630" s="50"/>
      <c r="Z630" s="50"/>
      <c r="AA630" s="50"/>
      <c r="AB630" s="50"/>
    </row>
    <row r="631">
      <c r="A631" s="49"/>
      <c r="B631" s="49"/>
      <c r="C631" s="50"/>
      <c r="D631" s="50"/>
      <c r="E631" s="50"/>
      <c r="F631" s="50"/>
      <c r="G631" s="50"/>
      <c r="H631" s="50"/>
      <c r="I631" s="50"/>
      <c r="J631" s="50"/>
      <c r="K631" s="50"/>
      <c r="L631" s="50"/>
      <c r="M631" s="50"/>
      <c r="N631" s="50"/>
      <c r="O631" s="50"/>
      <c r="P631" s="50"/>
      <c r="Q631" s="50"/>
      <c r="R631" s="50"/>
      <c r="S631" s="50"/>
      <c r="T631" s="50"/>
      <c r="U631" s="50"/>
      <c r="V631" s="50"/>
      <c r="W631" s="50"/>
      <c r="X631" s="50"/>
      <c r="Y631" s="50"/>
      <c r="Z631" s="50"/>
      <c r="AA631" s="50"/>
      <c r="AB631" s="50"/>
    </row>
    <row r="632">
      <c r="A632" s="49"/>
      <c r="B632" s="49"/>
      <c r="C632" s="50"/>
      <c r="D632" s="50"/>
      <c r="E632" s="50"/>
      <c r="F632" s="50"/>
      <c r="G632" s="50"/>
      <c r="H632" s="50"/>
      <c r="I632" s="50"/>
      <c r="J632" s="50"/>
      <c r="K632" s="50"/>
      <c r="L632" s="50"/>
      <c r="M632" s="50"/>
      <c r="N632" s="50"/>
      <c r="O632" s="50"/>
      <c r="P632" s="50"/>
      <c r="Q632" s="50"/>
      <c r="R632" s="50"/>
      <c r="S632" s="50"/>
      <c r="T632" s="50"/>
      <c r="U632" s="50"/>
      <c r="V632" s="50"/>
      <c r="W632" s="50"/>
      <c r="X632" s="50"/>
      <c r="Y632" s="50"/>
      <c r="Z632" s="50"/>
      <c r="AA632" s="50"/>
      <c r="AB632" s="50"/>
    </row>
    <row r="633">
      <c r="A633" s="49"/>
      <c r="B633" s="49"/>
      <c r="C633" s="50"/>
      <c r="D633" s="50"/>
      <c r="E633" s="50"/>
      <c r="F633" s="50"/>
      <c r="G633" s="50"/>
      <c r="H633" s="50"/>
      <c r="I633" s="50"/>
      <c r="J633" s="50"/>
      <c r="K633" s="50"/>
      <c r="L633" s="50"/>
      <c r="M633" s="50"/>
      <c r="N633" s="50"/>
      <c r="O633" s="50"/>
      <c r="P633" s="50"/>
      <c r="Q633" s="50"/>
      <c r="R633" s="50"/>
      <c r="S633" s="50"/>
      <c r="T633" s="50"/>
      <c r="U633" s="50"/>
      <c r="V633" s="50"/>
      <c r="W633" s="50"/>
      <c r="X633" s="50"/>
      <c r="Y633" s="50"/>
      <c r="Z633" s="50"/>
      <c r="AA633" s="50"/>
      <c r="AB633" s="50"/>
    </row>
    <row r="634">
      <c r="A634" s="49"/>
      <c r="B634" s="49"/>
      <c r="C634" s="50"/>
      <c r="D634" s="50"/>
      <c r="E634" s="50"/>
      <c r="F634" s="50"/>
      <c r="G634" s="50"/>
      <c r="H634" s="50"/>
      <c r="I634" s="50"/>
      <c r="J634" s="50"/>
      <c r="K634" s="50"/>
      <c r="L634" s="50"/>
      <c r="M634" s="50"/>
      <c r="N634" s="50"/>
      <c r="O634" s="50"/>
      <c r="P634" s="50"/>
      <c r="Q634" s="50"/>
      <c r="R634" s="50"/>
      <c r="S634" s="50"/>
      <c r="T634" s="50"/>
      <c r="U634" s="50"/>
      <c r="V634" s="50"/>
      <c r="W634" s="50"/>
      <c r="X634" s="50"/>
      <c r="Y634" s="50"/>
      <c r="Z634" s="50"/>
      <c r="AA634" s="50"/>
      <c r="AB634" s="50"/>
    </row>
    <row r="635">
      <c r="A635" s="49"/>
      <c r="B635" s="49"/>
      <c r="C635" s="50"/>
      <c r="D635" s="50"/>
      <c r="E635" s="50"/>
      <c r="F635" s="50"/>
      <c r="G635" s="50"/>
      <c r="H635" s="50"/>
      <c r="I635" s="50"/>
      <c r="J635" s="50"/>
      <c r="K635" s="50"/>
      <c r="L635" s="50"/>
      <c r="M635" s="50"/>
      <c r="N635" s="50"/>
      <c r="O635" s="50"/>
      <c r="P635" s="50"/>
      <c r="Q635" s="50"/>
      <c r="R635" s="50"/>
      <c r="S635" s="50"/>
      <c r="T635" s="50"/>
      <c r="U635" s="50"/>
      <c r="V635" s="50"/>
      <c r="W635" s="50"/>
      <c r="X635" s="50"/>
      <c r="Y635" s="50"/>
      <c r="Z635" s="50"/>
      <c r="AA635" s="50"/>
      <c r="AB635" s="50"/>
    </row>
    <row r="636">
      <c r="A636" s="49"/>
      <c r="B636" s="49"/>
      <c r="C636" s="50"/>
      <c r="D636" s="50"/>
      <c r="E636" s="50"/>
      <c r="F636" s="50"/>
      <c r="G636" s="50"/>
      <c r="H636" s="50"/>
      <c r="I636" s="50"/>
      <c r="J636" s="50"/>
      <c r="K636" s="50"/>
      <c r="L636" s="50"/>
      <c r="M636" s="50"/>
      <c r="N636" s="50"/>
      <c r="O636" s="50"/>
      <c r="P636" s="50"/>
      <c r="Q636" s="50"/>
      <c r="R636" s="50"/>
      <c r="S636" s="50"/>
      <c r="T636" s="50"/>
      <c r="U636" s="50"/>
      <c r="V636" s="50"/>
      <c r="W636" s="50"/>
      <c r="X636" s="50"/>
      <c r="Y636" s="50"/>
      <c r="Z636" s="50"/>
      <c r="AA636" s="50"/>
      <c r="AB636" s="50"/>
    </row>
    <row r="637">
      <c r="A637" s="49"/>
      <c r="B637" s="49"/>
      <c r="C637" s="50"/>
      <c r="D637" s="50"/>
      <c r="E637" s="50"/>
      <c r="F637" s="50"/>
      <c r="G637" s="50"/>
      <c r="H637" s="50"/>
      <c r="I637" s="50"/>
      <c r="J637" s="50"/>
      <c r="K637" s="50"/>
      <c r="L637" s="50"/>
      <c r="M637" s="50"/>
      <c r="N637" s="50"/>
      <c r="O637" s="50"/>
      <c r="P637" s="50"/>
      <c r="Q637" s="50"/>
      <c r="R637" s="50"/>
      <c r="S637" s="50"/>
      <c r="T637" s="50"/>
      <c r="U637" s="50"/>
      <c r="V637" s="50"/>
      <c r="W637" s="50"/>
      <c r="X637" s="50"/>
      <c r="Y637" s="50"/>
      <c r="Z637" s="50"/>
      <c r="AA637" s="50"/>
      <c r="AB637" s="50"/>
    </row>
    <row r="638">
      <c r="A638" s="49"/>
      <c r="B638" s="49"/>
      <c r="C638" s="50"/>
      <c r="D638" s="50"/>
      <c r="E638" s="50"/>
      <c r="F638" s="50"/>
      <c r="G638" s="50"/>
      <c r="H638" s="50"/>
      <c r="I638" s="50"/>
      <c r="J638" s="50"/>
      <c r="K638" s="50"/>
      <c r="L638" s="50"/>
      <c r="M638" s="50"/>
      <c r="N638" s="50"/>
      <c r="O638" s="50"/>
      <c r="P638" s="50"/>
      <c r="Q638" s="50"/>
      <c r="R638" s="50"/>
      <c r="S638" s="50"/>
      <c r="T638" s="50"/>
      <c r="U638" s="50"/>
      <c r="V638" s="50"/>
      <c r="W638" s="50"/>
      <c r="X638" s="50"/>
      <c r="Y638" s="50"/>
      <c r="Z638" s="50"/>
      <c r="AA638" s="50"/>
      <c r="AB638" s="50"/>
    </row>
    <row r="639">
      <c r="A639" s="49"/>
      <c r="B639" s="49"/>
      <c r="C639" s="50"/>
      <c r="D639" s="50"/>
      <c r="E639" s="50"/>
      <c r="F639" s="50"/>
      <c r="G639" s="50"/>
      <c r="H639" s="50"/>
      <c r="I639" s="50"/>
      <c r="J639" s="50"/>
      <c r="K639" s="50"/>
      <c r="L639" s="50"/>
      <c r="M639" s="50"/>
      <c r="N639" s="50"/>
      <c r="O639" s="50"/>
      <c r="P639" s="50"/>
      <c r="Q639" s="50"/>
      <c r="R639" s="50"/>
      <c r="S639" s="50"/>
      <c r="T639" s="50"/>
      <c r="U639" s="50"/>
      <c r="V639" s="50"/>
      <c r="W639" s="50"/>
      <c r="X639" s="50"/>
      <c r="Y639" s="50"/>
      <c r="Z639" s="50"/>
      <c r="AA639" s="50"/>
      <c r="AB639" s="50"/>
    </row>
    <row r="640">
      <c r="A640" s="49"/>
      <c r="B640" s="49"/>
      <c r="C640" s="50"/>
      <c r="D640" s="50"/>
      <c r="E640" s="50"/>
      <c r="F640" s="50"/>
      <c r="G640" s="50"/>
      <c r="H640" s="50"/>
      <c r="I640" s="50"/>
      <c r="J640" s="50"/>
      <c r="K640" s="50"/>
      <c r="L640" s="50"/>
      <c r="M640" s="50"/>
      <c r="N640" s="50"/>
      <c r="O640" s="50"/>
      <c r="P640" s="50"/>
      <c r="Q640" s="50"/>
      <c r="R640" s="50"/>
      <c r="S640" s="50"/>
      <c r="T640" s="50"/>
      <c r="U640" s="50"/>
      <c r="V640" s="50"/>
      <c r="W640" s="50"/>
      <c r="X640" s="50"/>
      <c r="Y640" s="50"/>
      <c r="Z640" s="50"/>
      <c r="AA640" s="50"/>
      <c r="AB640" s="50"/>
    </row>
    <row r="641">
      <c r="A641" s="49"/>
      <c r="B641" s="49"/>
      <c r="C641" s="50"/>
      <c r="D641" s="50"/>
      <c r="E641" s="50"/>
      <c r="F641" s="50"/>
      <c r="G641" s="50"/>
      <c r="H641" s="50"/>
      <c r="I641" s="50"/>
      <c r="J641" s="50"/>
      <c r="K641" s="50"/>
      <c r="L641" s="50"/>
      <c r="M641" s="50"/>
      <c r="N641" s="50"/>
      <c r="O641" s="50"/>
      <c r="P641" s="50"/>
      <c r="Q641" s="50"/>
      <c r="R641" s="50"/>
      <c r="S641" s="50"/>
      <c r="T641" s="50"/>
      <c r="U641" s="50"/>
      <c r="V641" s="50"/>
      <c r="W641" s="50"/>
      <c r="X641" s="50"/>
      <c r="Y641" s="50"/>
      <c r="Z641" s="50"/>
      <c r="AA641" s="50"/>
      <c r="AB641" s="50"/>
    </row>
    <row r="642">
      <c r="A642" s="49"/>
      <c r="B642" s="49"/>
      <c r="C642" s="50"/>
      <c r="D642" s="50"/>
      <c r="E642" s="50"/>
      <c r="F642" s="50"/>
      <c r="G642" s="50"/>
      <c r="H642" s="50"/>
      <c r="I642" s="50"/>
      <c r="J642" s="50"/>
      <c r="K642" s="50"/>
      <c r="L642" s="50"/>
      <c r="M642" s="50"/>
      <c r="N642" s="50"/>
      <c r="O642" s="50"/>
      <c r="P642" s="50"/>
      <c r="Q642" s="50"/>
      <c r="R642" s="50"/>
      <c r="S642" s="50"/>
      <c r="T642" s="50"/>
      <c r="U642" s="50"/>
      <c r="V642" s="50"/>
      <c r="W642" s="50"/>
      <c r="X642" s="50"/>
      <c r="Y642" s="50"/>
      <c r="Z642" s="50"/>
      <c r="AA642" s="50"/>
      <c r="AB642" s="50"/>
    </row>
    <row r="643">
      <c r="A643" s="49"/>
      <c r="B643" s="49"/>
      <c r="C643" s="50"/>
      <c r="D643" s="50"/>
      <c r="E643" s="50"/>
      <c r="F643" s="50"/>
      <c r="G643" s="50"/>
      <c r="H643" s="50"/>
      <c r="I643" s="50"/>
      <c r="J643" s="50"/>
      <c r="K643" s="50"/>
      <c r="L643" s="50"/>
      <c r="M643" s="50"/>
      <c r="N643" s="50"/>
      <c r="O643" s="50"/>
      <c r="P643" s="50"/>
      <c r="Q643" s="50"/>
      <c r="R643" s="50"/>
      <c r="S643" s="50"/>
      <c r="T643" s="50"/>
      <c r="U643" s="50"/>
      <c r="V643" s="50"/>
      <c r="W643" s="50"/>
      <c r="X643" s="50"/>
      <c r="Y643" s="50"/>
      <c r="Z643" s="50"/>
      <c r="AA643" s="50"/>
      <c r="AB643" s="50"/>
    </row>
    <row r="644">
      <c r="A644" s="49"/>
      <c r="B644" s="49"/>
      <c r="C644" s="50"/>
      <c r="D644" s="50"/>
      <c r="E644" s="50"/>
      <c r="F644" s="50"/>
      <c r="G644" s="50"/>
      <c r="H644" s="50"/>
      <c r="I644" s="50"/>
      <c r="J644" s="50"/>
      <c r="K644" s="50"/>
      <c r="L644" s="50"/>
      <c r="M644" s="50"/>
      <c r="N644" s="50"/>
      <c r="O644" s="50"/>
      <c r="P644" s="50"/>
      <c r="Q644" s="50"/>
      <c r="R644" s="50"/>
      <c r="S644" s="50"/>
      <c r="T644" s="50"/>
      <c r="U644" s="50"/>
      <c r="V644" s="50"/>
      <c r="W644" s="50"/>
      <c r="X644" s="50"/>
      <c r="Y644" s="50"/>
      <c r="Z644" s="50"/>
      <c r="AA644" s="50"/>
      <c r="AB644" s="50"/>
    </row>
    <row r="645">
      <c r="A645" s="49"/>
      <c r="B645" s="49"/>
      <c r="C645" s="50"/>
      <c r="D645" s="50"/>
      <c r="E645" s="50"/>
      <c r="F645" s="50"/>
      <c r="G645" s="50"/>
      <c r="H645" s="50"/>
      <c r="I645" s="50"/>
      <c r="J645" s="50"/>
      <c r="K645" s="50"/>
      <c r="L645" s="50"/>
      <c r="M645" s="50"/>
      <c r="N645" s="50"/>
      <c r="O645" s="50"/>
      <c r="P645" s="50"/>
      <c r="Q645" s="50"/>
      <c r="R645" s="50"/>
      <c r="S645" s="50"/>
      <c r="T645" s="50"/>
      <c r="U645" s="50"/>
      <c r="V645" s="50"/>
      <c r="W645" s="50"/>
      <c r="X645" s="50"/>
      <c r="Y645" s="50"/>
      <c r="Z645" s="50"/>
      <c r="AA645" s="50"/>
      <c r="AB645" s="50"/>
    </row>
    <row r="646">
      <c r="A646" s="49"/>
      <c r="B646" s="49"/>
      <c r="C646" s="50"/>
      <c r="D646" s="50"/>
      <c r="E646" s="50"/>
      <c r="F646" s="50"/>
      <c r="G646" s="50"/>
      <c r="H646" s="50"/>
      <c r="I646" s="50"/>
      <c r="J646" s="50"/>
      <c r="K646" s="50"/>
      <c r="L646" s="50"/>
      <c r="M646" s="50"/>
      <c r="N646" s="50"/>
      <c r="O646" s="50"/>
      <c r="P646" s="50"/>
      <c r="Q646" s="50"/>
      <c r="R646" s="50"/>
      <c r="S646" s="50"/>
      <c r="T646" s="50"/>
      <c r="U646" s="50"/>
      <c r="V646" s="50"/>
      <c r="W646" s="50"/>
      <c r="X646" s="50"/>
      <c r="Y646" s="50"/>
      <c r="Z646" s="50"/>
      <c r="AA646" s="50"/>
      <c r="AB646" s="50"/>
    </row>
    <row r="647">
      <c r="A647" s="49"/>
      <c r="B647" s="49"/>
      <c r="C647" s="50"/>
      <c r="D647" s="50"/>
      <c r="E647" s="50"/>
      <c r="F647" s="50"/>
      <c r="G647" s="50"/>
      <c r="H647" s="50"/>
      <c r="I647" s="50"/>
      <c r="J647" s="50"/>
      <c r="K647" s="50"/>
      <c r="L647" s="50"/>
      <c r="M647" s="50"/>
      <c r="N647" s="50"/>
      <c r="O647" s="50"/>
      <c r="P647" s="50"/>
      <c r="Q647" s="50"/>
      <c r="R647" s="50"/>
      <c r="S647" s="50"/>
      <c r="T647" s="50"/>
      <c r="U647" s="50"/>
      <c r="V647" s="50"/>
      <c r="W647" s="50"/>
      <c r="X647" s="50"/>
      <c r="Y647" s="50"/>
      <c r="Z647" s="50"/>
      <c r="AA647" s="50"/>
      <c r="AB647" s="50"/>
    </row>
    <row r="648">
      <c r="A648" s="49"/>
      <c r="B648" s="49"/>
      <c r="C648" s="50"/>
      <c r="D648" s="50"/>
      <c r="E648" s="50"/>
      <c r="F648" s="50"/>
      <c r="G648" s="50"/>
      <c r="H648" s="50"/>
      <c r="I648" s="50"/>
      <c r="J648" s="50"/>
      <c r="K648" s="50"/>
      <c r="L648" s="50"/>
      <c r="M648" s="50"/>
      <c r="N648" s="50"/>
      <c r="O648" s="50"/>
      <c r="P648" s="50"/>
      <c r="Q648" s="50"/>
      <c r="R648" s="50"/>
      <c r="S648" s="50"/>
      <c r="T648" s="50"/>
      <c r="U648" s="50"/>
      <c r="V648" s="50"/>
      <c r="W648" s="50"/>
      <c r="X648" s="50"/>
      <c r="Y648" s="50"/>
      <c r="Z648" s="50"/>
      <c r="AA648" s="50"/>
      <c r="AB648" s="50"/>
    </row>
    <row r="649">
      <c r="A649" s="49"/>
      <c r="B649" s="49"/>
      <c r="C649" s="50"/>
      <c r="D649" s="50"/>
      <c r="E649" s="50"/>
      <c r="F649" s="50"/>
      <c r="G649" s="50"/>
      <c r="H649" s="50"/>
      <c r="I649" s="50"/>
      <c r="J649" s="50"/>
      <c r="K649" s="50"/>
      <c r="L649" s="50"/>
      <c r="M649" s="50"/>
      <c r="N649" s="50"/>
      <c r="O649" s="50"/>
      <c r="P649" s="50"/>
      <c r="Q649" s="50"/>
      <c r="R649" s="50"/>
      <c r="S649" s="50"/>
      <c r="T649" s="50"/>
      <c r="U649" s="50"/>
      <c r="V649" s="50"/>
      <c r="W649" s="50"/>
      <c r="X649" s="50"/>
      <c r="Y649" s="50"/>
      <c r="Z649" s="50"/>
      <c r="AA649" s="50"/>
      <c r="AB649" s="50"/>
    </row>
    <row r="650">
      <c r="A650" s="49"/>
      <c r="B650" s="49"/>
      <c r="C650" s="50"/>
      <c r="D650" s="50"/>
      <c r="E650" s="50"/>
      <c r="F650" s="50"/>
      <c r="G650" s="50"/>
      <c r="H650" s="50"/>
      <c r="I650" s="50"/>
      <c r="J650" s="50"/>
      <c r="K650" s="50"/>
      <c r="L650" s="50"/>
      <c r="M650" s="50"/>
      <c r="N650" s="50"/>
      <c r="O650" s="50"/>
      <c r="P650" s="50"/>
      <c r="Q650" s="50"/>
      <c r="R650" s="50"/>
      <c r="S650" s="50"/>
      <c r="T650" s="50"/>
      <c r="U650" s="50"/>
      <c r="V650" s="50"/>
      <c r="W650" s="50"/>
      <c r="X650" s="50"/>
      <c r="Y650" s="50"/>
      <c r="Z650" s="50"/>
      <c r="AA650" s="50"/>
      <c r="AB650" s="50"/>
    </row>
    <row r="651">
      <c r="A651" s="49"/>
      <c r="B651" s="49"/>
      <c r="C651" s="50"/>
      <c r="D651" s="50"/>
      <c r="E651" s="50"/>
      <c r="F651" s="50"/>
      <c r="G651" s="50"/>
      <c r="H651" s="50"/>
      <c r="I651" s="50"/>
      <c r="J651" s="50"/>
      <c r="K651" s="50"/>
      <c r="L651" s="50"/>
      <c r="M651" s="50"/>
      <c r="N651" s="50"/>
      <c r="O651" s="50"/>
      <c r="P651" s="50"/>
      <c r="Q651" s="50"/>
      <c r="R651" s="50"/>
      <c r="S651" s="50"/>
      <c r="T651" s="50"/>
      <c r="U651" s="50"/>
      <c r="V651" s="50"/>
      <c r="W651" s="50"/>
      <c r="X651" s="50"/>
      <c r="Y651" s="50"/>
      <c r="Z651" s="50"/>
      <c r="AA651" s="50"/>
      <c r="AB651" s="50"/>
    </row>
    <row r="652">
      <c r="A652" s="49"/>
      <c r="B652" s="49"/>
      <c r="C652" s="50"/>
      <c r="D652" s="50"/>
      <c r="E652" s="50"/>
      <c r="F652" s="50"/>
      <c r="G652" s="50"/>
      <c r="H652" s="50"/>
      <c r="I652" s="50"/>
      <c r="J652" s="50"/>
      <c r="K652" s="50"/>
      <c r="L652" s="50"/>
      <c r="M652" s="50"/>
      <c r="N652" s="50"/>
      <c r="O652" s="50"/>
      <c r="P652" s="50"/>
      <c r="Q652" s="50"/>
      <c r="R652" s="50"/>
      <c r="S652" s="50"/>
      <c r="T652" s="50"/>
      <c r="U652" s="50"/>
      <c r="V652" s="50"/>
      <c r="W652" s="50"/>
      <c r="X652" s="50"/>
      <c r="Y652" s="50"/>
      <c r="Z652" s="50"/>
      <c r="AA652" s="50"/>
      <c r="AB652" s="50"/>
    </row>
    <row r="653">
      <c r="A653" s="49"/>
      <c r="B653" s="49"/>
      <c r="C653" s="50"/>
      <c r="D653" s="50"/>
      <c r="E653" s="50"/>
      <c r="F653" s="50"/>
      <c r="G653" s="50"/>
      <c r="H653" s="50"/>
      <c r="I653" s="50"/>
      <c r="J653" s="50"/>
      <c r="K653" s="50"/>
      <c r="L653" s="50"/>
      <c r="M653" s="50"/>
      <c r="N653" s="50"/>
      <c r="O653" s="50"/>
      <c r="P653" s="50"/>
      <c r="Q653" s="50"/>
      <c r="R653" s="50"/>
      <c r="S653" s="50"/>
      <c r="T653" s="50"/>
      <c r="U653" s="50"/>
      <c r="V653" s="50"/>
      <c r="W653" s="50"/>
      <c r="X653" s="50"/>
      <c r="Y653" s="50"/>
      <c r="Z653" s="50"/>
      <c r="AA653" s="50"/>
      <c r="AB653" s="50"/>
    </row>
    <row r="654">
      <c r="A654" s="49"/>
      <c r="B654" s="49"/>
      <c r="C654" s="50"/>
      <c r="D654" s="50"/>
      <c r="E654" s="50"/>
      <c r="F654" s="50"/>
      <c r="G654" s="50"/>
      <c r="H654" s="50"/>
      <c r="I654" s="50"/>
      <c r="J654" s="50"/>
      <c r="K654" s="50"/>
      <c r="L654" s="50"/>
      <c r="M654" s="50"/>
      <c r="N654" s="50"/>
      <c r="O654" s="50"/>
      <c r="P654" s="50"/>
      <c r="Q654" s="50"/>
      <c r="R654" s="50"/>
      <c r="S654" s="50"/>
      <c r="T654" s="50"/>
      <c r="U654" s="50"/>
      <c r="V654" s="50"/>
      <c r="W654" s="50"/>
      <c r="X654" s="50"/>
      <c r="Y654" s="50"/>
      <c r="Z654" s="50"/>
      <c r="AA654" s="50"/>
      <c r="AB654" s="50"/>
    </row>
    <row r="655">
      <c r="A655" s="49"/>
      <c r="B655" s="49"/>
      <c r="C655" s="50"/>
      <c r="D655" s="50"/>
      <c r="E655" s="50"/>
      <c r="F655" s="50"/>
      <c r="G655" s="50"/>
      <c r="H655" s="50"/>
      <c r="I655" s="50"/>
      <c r="J655" s="50"/>
      <c r="K655" s="50"/>
      <c r="L655" s="50"/>
      <c r="M655" s="50"/>
      <c r="N655" s="50"/>
      <c r="O655" s="50"/>
      <c r="P655" s="50"/>
      <c r="Q655" s="50"/>
      <c r="R655" s="50"/>
      <c r="S655" s="50"/>
      <c r="T655" s="50"/>
      <c r="U655" s="50"/>
      <c r="V655" s="50"/>
      <c r="W655" s="50"/>
      <c r="X655" s="50"/>
      <c r="Y655" s="50"/>
      <c r="Z655" s="50"/>
      <c r="AA655" s="50"/>
      <c r="AB655" s="50"/>
    </row>
    <row r="656">
      <c r="A656" s="49"/>
      <c r="B656" s="49"/>
      <c r="C656" s="50"/>
      <c r="D656" s="50"/>
      <c r="E656" s="50"/>
      <c r="F656" s="50"/>
      <c r="G656" s="50"/>
      <c r="H656" s="50"/>
      <c r="I656" s="50"/>
      <c r="J656" s="50"/>
      <c r="K656" s="50"/>
      <c r="L656" s="50"/>
      <c r="M656" s="50"/>
      <c r="N656" s="50"/>
      <c r="O656" s="50"/>
      <c r="P656" s="50"/>
      <c r="Q656" s="50"/>
      <c r="R656" s="50"/>
      <c r="S656" s="50"/>
      <c r="T656" s="50"/>
      <c r="U656" s="50"/>
      <c r="V656" s="50"/>
      <c r="W656" s="50"/>
      <c r="X656" s="50"/>
      <c r="Y656" s="50"/>
      <c r="Z656" s="50"/>
      <c r="AA656" s="50"/>
      <c r="AB656" s="50"/>
    </row>
    <row r="657">
      <c r="A657" s="49"/>
      <c r="B657" s="49"/>
      <c r="C657" s="50"/>
      <c r="D657" s="50"/>
      <c r="E657" s="50"/>
      <c r="F657" s="50"/>
      <c r="G657" s="50"/>
      <c r="H657" s="50"/>
      <c r="I657" s="50"/>
      <c r="J657" s="50"/>
      <c r="K657" s="50"/>
      <c r="L657" s="50"/>
      <c r="M657" s="50"/>
      <c r="N657" s="50"/>
      <c r="O657" s="50"/>
      <c r="P657" s="50"/>
      <c r="Q657" s="50"/>
      <c r="R657" s="50"/>
      <c r="S657" s="50"/>
      <c r="T657" s="50"/>
      <c r="U657" s="50"/>
      <c r="V657" s="50"/>
      <c r="W657" s="50"/>
      <c r="X657" s="50"/>
      <c r="Y657" s="50"/>
      <c r="Z657" s="50"/>
      <c r="AA657" s="50"/>
      <c r="AB657" s="50"/>
    </row>
    <row r="658">
      <c r="A658" s="49"/>
      <c r="B658" s="49"/>
      <c r="C658" s="50"/>
      <c r="D658" s="50"/>
      <c r="E658" s="50"/>
      <c r="F658" s="50"/>
      <c r="G658" s="50"/>
      <c r="H658" s="50"/>
      <c r="I658" s="50"/>
      <c r="J658" s="50"/>
      <c r="K658" s="50"/>
      <c r="L658" s="50"/>
      <c r="M658" s="50"/>
      <c r="N658" s="50"/>
      <c r="O658" s="50"/>
      <c r="P658" s="50"/>
      <c r="Q658" s="50"/>
      <c r="R658" s="50"/>
      <c r="S658" s="50"/>
      <c r="T658" s="50"/>
      <c r="U658" s="50"/>
      <c r="V658" s="50"/>
      <c r="W658" s="50"/>
      <c r="X658" s="50"/>
      <c r="Y658" s="50"/>
      <c r="Z658" s="50"/>
      <c r="AA658" s="50"/>
      <c r="AB658" s="50"/>
    </row>
    <row r="659">
      <c r="A659" s="49"/>
      <c r="B659" s="49"/>
      <c r="C659" s="50"/>
      <c r="D659" s="50"/>
      <c r="E659" s="50"/>
      <c r="F659" s="50"/>
      <c r="G659" s="50"/>
      <c r="H659" s="50"/>
      <c r="I659" s="50"/>
      <c r="J659" s="50"/>
      <c r="K659" s="50"/>
      <c r="L659" s="50"/>
      <c r="M659" s="50"/>
      <c r="N659" s="50"/>
      <c r="O659" s="50"/>
      <c r="P659" s="50"/>
      <c r="Q659" s="50"/>
      <c r="R659" s="50"/>
      <c r="S659" s="50"/>
      <c r="T659" s="50"/>
      <c r="U659" s="50"/>
      <c r="V659" s="50"/>
      <c r="W659" s="50"/>
      <c r="X659" s="50"/>
      <c r="Y659" s="50"/>
      <c r="Z659" s="50"/>
      <c r="AA659" s="50"/>
      <c r="AB659" s="50"/>
    </row>
    <row r="660">
      <c r="A660" s="49"/>
      <c r="B660" s="49"/>
      <c r="C660" s="50"/>
      <c r="D660" s="50"/>
      <c r="E660" s="50"/>
      <c r="F660" s="50"/>
      <c r="G660" s="50"/>
      <c r="H660" s="50"/>
      <c r="I660" s="50"/>
      <c r="J660" s="50"/>
      <c r="K660" s="50"/>
      <c r="L660" s="50"/>
      <c r="M660" s="50"/>
      <c r="N660" s="50"/>
      <c r="O660" s="50"/>
      <c r="P660" s="50"/>
      <c r="Q660" s="50"/>
      <c r="R660" s="50"/>
      <c r="S660" s="50"/>
      <c r="T660" s="50"/>
      <c r="U660" s="50"/>
      <c r="V660" s="50"/>
      <c r="W660" s="50"/>
      <c r="X660" s="50"/>
      <c r="Y660" s="50"/>
      <c r="Z660" s="50"/>
      <c r="AA660" s="50"/>
      <c r="AB660" s="50"/>
    </row>
    <row r="661">
      <c r="A661" s="49"/>
      <c r="B661" s="49"/>
      <c r="C661" s="50"/>
      <c r="D661" s="50"/>
      <c r="E661" s="50"/>
      <c r="F661" s="50"/>
      <c r="G661" s="50"/>
      <c r="H661" s="50"/>
      <c r="I661" s="50"/>
      <c r="J661" s="50"/>
      <c r="K661" s="50"/>
      <c r="L661" s="50"/>
      <c r="M661" s="50"/>
      <c r="N661" s="50"/>
      <c r="O661" s="50"/>
      <c r="P661" s="50"/>
      <c r="Q661" s="50"/>
      <c r="R661" s="50"/>
      <c r="S661" s="50"/>
      <c r="T661" s="50"/>
      <c r="U661" s="50"/>
      <c r="V661" s="50"/>
      <c r="W661" s="50"/>
      <c r="X661" s="50"/>
      <c r="Y661" s="50"/>
      <c r="Z661" s="50"/>
      <c r="AA661" s="50"/>
      <c r="AB661" s="50"/>
    </row>
    <row r="662">
      <c r="A662" s="49"/>
      <c r="B662" s="49"/>
      <c r="C662" s="50"/>
      <c r="D662" s="50"/>
      <c r="E662" s="50"/>
      <c r="F662" s="50"/>
      <c r="G662" s="50"/>
      <c r="H662" s="50"/>
      <c r="I662" s="50"/>
      <c r="J662" s="50"/>
      <c r="K662" s="50"/>
      <c r="L662" s="50"/>
      <c r="M662" s="50"/>
      <c r="N662" s="50"/>
      <c r="O662" s="50"/>
      <c r="P662" s="50"/>
      <c r="Q662" s="50"/>
      <c r="R662" s="50"/>
      <c r="S662" s="50"/>
      <c r="T662" s="50"/>
      <c r="U662" s="50"/>
      <c r="V662" s="50"/>
      <c r="W662" s="50"/>
      <c r="X662" s="50"/>
      <c r="Y662" s="50"/>
      <c r="Z662" s="50"/>
      <c r="AA662" s="50"/>
      <c r="AB662" s="50"/>
    </row>
    <row r="663">
      <c r="A663" s="49"/>
      <c r="B663" s="49"/>
      <c r="C663" s="50"/>
      <c r="D663" s="50"/>
      <c r="E663" s="50"/>
      <c r="F663" s="50"/>
      <c r="G663" s="50"/>
      <c r="H663" s="50"/>
      <c r="I663" s="50"/>
      <c r="J663" s="50"/>
      <c r="K663" s="50"/>
      <c r="L663" s="50"/>
      <c r="M663" s="50"/>
      <c r="N663" s="50"/>
      <c r="O663" s="50"/>
      <c r="P663" s="50"/>
      <c r="Q663" s="50"/>
      <c r="R663" s="50"/>
      <c r="S663" s="50"/>
      <c r="T663" s="50"/>
      <c r="U663" s="50"/>
      <c r="V663" s="50"/>
      <c r="W663" s="50"/>
      <c r="X663" s="50"/>
      <c r="Y663" s="50"/>
      <c r="Z663" s="50"/>
      <c r="AA663" s="50"/>
      <c r="AB663" s="50"/>
    </row>
    <row r="664">
      <c r="A664" s="49"/>
      <c r="B664" s="49"/>
      <c r="C664" s="50"/>
      <c r="D664" s="50"/>
      <c r="E664" s="50"/>
      <c r="F664" s="50"/>
      <c r="G664" s="50"/>
      <c r="H664" s="50"/>
      <c r="I664" s="50"/>
      <c r="J664" s="50"/>
      <c r="K664" s="50"/>
      <c r="L664" s="50"/>
      <c r="M664" s="50"/>
      <c r="N664" s="50"/>
      <c r="O664" s="50"/>
      <c r="P664" s="50"/>
      <c r="Q664" s="50"/>
      <c r="R664" s="50"/>
      <c r="S664" s="50"/>
      <c r="T664" s="50"/>
      <c r="U664" s="50"/>
      <c r="V664" s="50"/>
      <c r="W664" s="50"/>
      <c r="X664" s="50"/>
      <c r="Y664" s="50"/>
      <c r="Z664" s="50"/>
      <c r="AA664" s="50"/>
      <c r="AB664" s="50"/>
    </row>
    <row r="665">
      <c r="A665" s="49"/>
      <c r="B665" s="49"/>
      <c r="C665" s="50"/>
      <c r="D665" s="50"/>
      <c r="E665" s="50"/>
      <c r="F665" s="50"/>
      <c r="G665" s="50"/>
      <c r="H665" s="50"/>
      <c r="I665" s="50"/>
      <c r="J665" s="50"/>
      <c r="K665" s="50"/>
      <c r="L665" s="50"/>
      <c r="M665" s="50"/>
      <c r="N665" s="50"/>
      <c r="O665" s="50"/>
      <c r="P665" s="50"/>
      <c r="Q665" s="50"/>
      <c r="R665" s="50"/>
      <c r="S665" s="50"/>
      <c r="T665" s="50"/>
      <c r="U665" s="50"/>
      <c r="V665" s="50"/>
      <c r="W665" s="50"/>
      <c r="X665" s="50"/>
      <c r="Y665" s="50"/>
      <c r="Z665" s="50"/>
      <c r="AA665" s="50"/>
      <c r="AB665" s="50"/>
    </row>
    <row r="666">
      <c r="A666" s="49"/>
      <c r="B666" s="49"/>
      <c r="C666" s="50"/>
      <c r="D666" s="50"/>
      <c r="E666" s="50"/>
      <c r="F666" s="50"/>
      <c r="G666" s="50"/>
      <c r="H666" s="50"/>
      <c r="I666" s="50"/>
      <c r="J666" s="50"/>
      <c r="K666" s="50"/>
      <c r="L666" s="50"/>
      <c r="M666" s="50"/>
      <c r="N666" s="50"/>
      <c r="O666" s="50"/>
      <c r="P666" s="50"/>
      <c r="Q666" s="50"/>
      <c r="R666" s="50"/>
      <c r="S666" s="50"/>
      <c r="T666" s="50"/>
      <c r="U666" s="50"/>
      <c r="V666" s="50"/>
      <c r="W666" s="50"/>
      <c r="X666" s="50"/>
      <c r="Y666" s="50"/>
      <c r="Z666" s="50"/>
      <c r="AA666" s="50"/>
      <c r="AB666" s="50"/>
    </row>
    <row r="667">
      <c r="A667" s="49"/>
      <c r="B667" s="49"/>
      <c r="C667" s="50"/>
      <c r="D667" s="50"/>
      <c r="E667" s="50"/>
      <c r="F667" s="50"/>
      <c r="G667" s="50"/>
      <c r="H667" s="50"/>
      <c r="I667" s="50"/>
      <c r="J667" s="50"/>
      <c r="K667" s="50"/>
      <c r="L667" s="50"/>
      <c r="M667" s="50"/>
      <c r="N667" s="50"/>
      <c r="O667" s="50"/>
      <c r="P667" s="50"/>
      <c r="Q667" s="50"/>
      <c r="R667" s="50"/>
      <c r="S667" s="50"/>
      <c r="T667" s="50"/>
      <c r="U667" s="50"/>
      <c r="V667" s="50"/>
      <c r="W667" s="50"/>
      <c r="X667" s="50"/>
      <c r="Y667" s="50"/>
      <c r="Z667" s="50"/>
      <c r="AA667" s="50"/>
      <c r="AB667" s="50"/>
    </row>
    <row r="668">
      <c r="A668" s="49"/>
      <c r="B668" s="49"/>
      <c r="C668" s="50"/>
      <c r="D668" s="50"/>
      <c r="E668" s="50"/>
      <c r="F668" s="50"/>
      <c r="G668" s="50"/>
      <c r="H668" s="50"/>
      <c r="I668" s="50"/>
      <c r="J668" s="50"/>
      <c r="K668" s="50"/>
      <c r="L668" s="50"/>
      <c r="M668" s="50"/>
      <c r="N668" s="50"/>
      <c r="O668" s="50"/>
      <c r="P668" s="50"/>
      <c r="Q668" s="50"/>
      <c r="R668" s="50"/>
      <c r="S668" s="50"/>
      <c r="T668" s="50"/>
      <c r="U668" s="50"/>
      <c r="V668" s="50"/>
      <c r="W668" s="50"/>
      <c r="X668" s="50"/>
      <c r="Y668" s="50"/>
      <c r="Z668" s="50"/>
      <c r="AA668" s="50"/>
      <c r="AB668" s="50"/>
    </row>
    <row r="669">
      <c r="A669" s="49"/>
      <c r="B669" s="49"/>
      <c r="C669" s="50"/>
      <c r="D669" s="50"/>
      <c r="E669" s="50"/>
      <c r="F669" s="50"/>
      <c r="G669" s="50"/>
      <c r="H669" s="50"/>
      <c r="I669" s="50"/>
      <c r="J669" s="50"/>
      <c r="K669" s="50"/>
      <c r="L669" s="50"/>
      <c r="M669" s="50"/>
      <c r="N669" s="50"/>
      <c r="O669" s="50"/>
      <c r="P669" s="50"/>
      <c r="Q669" s="50"/>
      <c r="R669" s="50"/>
      <c r="S669" s="50"/>
      <c r="T669" s="50"/>
      <c r="U669" s="50"/>
      <c r="V669" s="50"/>
      <c r="W669" s="50"/>
      <c r="X669" s="50"/>
      <c r="Y669" s="50"/>
      <c r="Z669" s="50"/>
      <c r="AA669" s="50"/>
      <c r="AB669" s="50"/>
    </row>
    <row r="670">
      <c r="A670" s="49"/>
      <c r="B670" s="49"/>
      <c r="C670" s="50"/>
      <c r="D670" s="50"/>
      <c r="E670" s="50"/>
      <c r="F670" s="50"/>
      <c r="G670" s="50"/>
      <c r="H670" s="50"/>
      <c r="I670" s="50"/>
      <c r="J670" s="50"/>
      <c r="K670" s="50"/>
      <c r="L670" s="50"/>
      <c r="M670" s="50"/>
      <c r="N670" s="50"/>
      <c r="O670" s="50"/>
      <c r="P670" s="50"/>
      <c r="Q670" s="50"/>
      <c r="R670" s="50"/>
      <c r="S670" s="50"/>
      <c r="T670" s="50"/>
      <c r="U670" s="50"/>
      <c r="V670" s="50"/>
      <c r="W670" s="50"/>
      <c r="X670" s="50"/>
      <c r="Y670" s="50"/>
      <c r="Z670" s="50"/>
      <c r="AA670" s="50"/>
      <c r="AB670" s="50"/>
    </row>
    <row r="671">
      <c r="A671" s="49"/>
      <c r="B671" s="49"/>
      <c r="C671" s="50"/>
      <c r="D671" s="50"/>
      <c r="E671" s="50"/>
      <c r="F671" s="50"/>
      <c r="G671" s="50"/>
      <c r="H671" s="50"/>
      <c r="I671" s="50"/>
      <c r="J671" s="50"/>
      <c r="K671" s="50"/>
      <c r="L671" s="50"/>
      <c r="M671" s="50"/>
      <c r="N671" s="50"/>
      <c r="O671" s="50"/>
      <c r="P671" s="50"/>
      <c r="Q671" s="50"/>
      <c r="R671" s="50"/>
      <c r="S671" s="50"/>
      <c r="T671" s="50"/>
      <c r="U671" s="50"/>
      <c r="V671" s="50"/>
      <c r="W671" s="50"/>
      <c r="X671" s="50"/>
      <c r="Y671" s="50"/>
      <c r="Z671" s="50"/>
      <c r="AA671" s="50"/>
      <c r="AB671" s="50"/>
    </row>
    <row r="672">
      <c r="A672" s="49"/>
      <c r="B672" s="49"/>
      <c r="C672" s="50"/>
      <c r="D672" s="50"/>
      <c r="E672" s="50"/>
      <c r="F672" s="50"/>
      <c r="G672" s="50"/>
      <c r="H672" s="50"/>
      <c r="I672" s="50"/>
      <c r="J672" s="50"/>
      <c r="K672" s="50"/>
      <c r="L672" s="50"/>
      <c r="M672" s="50"/>
      <c r="N672" s="50"/>
      <c r="O672" s="50"/>
      <c r="P672" s="50"/>
      <c r="Q672" s="50"/>
      <c r="R672" s="50"/>
      <c r="S672" s="50"/>
      <c r="T672" s="50"/>
      <c r="U672" s="50"/>
      <c r="V672" s="50"/>
      <c r="W672" s="50"/>
      <c r="X672" s="50"/>
      <c r="Y672" s="50"/>
      <c r="Z672" s="50"/>
      <c r="AA672" s="50"/>
      <c r="AB672" s="50"/>
    </row>
    <row r="673">
      <c r="A673" s="49"/>
      <c r="B673" s="49"/>
      <c r="C673" s="50"/>
      <c r="D673" s="50"/>
      <c r="E673" s="50"/>
      <c r="F673" s="50"/>
      <c r="G673" s="50"/>
      <c r="H673" s="50"/>
      <c r="I673" s="50"/>
      <c r="J673" s="50"/>
      <c r="K673" s="50"/>
      <c r="L673" s="50"/>
      <c r="M673" s="50"/>
      <c r="N673" s="50"/>
      <c r="O673" s="50"/>
      <c r="P673" s="50"/>
      <c r="Q673" s="50"/>
      <c r="R673" s="50"/>
      <c r="S673" s="50"/>
      <c r="T673" s="50"/>
      <c r="U673" s="50"/>
      <c r="V673" s="50"/>
      <c r="W673" s="50"/>
      <c r="X673" s="50"/>
      <c r="Y673" s="50"/>
      <c r="Z673" s="50"/>
      <c r="AA673" s="50"/>
      <c r="AB673" s="50"/>
    </row>
    <row r="674">
      <c r="A674" s="49"/>
      <c r="B674" s="49"/>
      <c r="C674" s="50"/>
      <c r="D674" s="50"/>
      <c r="E674" s="50"/>
      <c r="F674" s="50"/>
      <c r="G674" s="50"/>
      <c r="H674" s="50"/>
      <c r="I674" s="50"/>
      <c r="J674" s="50"/>
      <c r="K674" s="50"/>
      <c r="L674" s="50"/>
      <c r="M674" s="50"/>
      <c r="N674" s="50"/>
      <c r="O674" s="50"/>
      <c r="P674" s="50"/>
      <c r="Q674" s="50"/>
      <c r="R674" s="50"/>
      <c r="S674" s="50"/>
      <c r="T674" s="50"/>
      <c r="U674" s="50"/>
      <c r="V674" s="50"/>
      <c r="W674" s="50"/>
      <c r="X674" s="50"/>
      <c r="Y674" s="50"/>
      <c r="Z674" s="50"/>
      <c r="AA674" s="50"/>
      <c r="AB674" s="50"/>
    </row>
    <row r="675">
      <c r="A675" s="49"/>
      <c r="B675" s="49"/>
      <c r="C675" s="50"/>
      <c r="D675" s="50"/>
      <c r="E675" s="50"/>
      <c r="F675" s="50"/>
      <c r="G675" s="50"/>
      <c r="H675" s="50"/>
      <c r="I675" s="50"/>
      <c r="J675" s="50"/>
      <c r="K675" s="50"/>
      <c r="L675" s="50"/>
      <c r="M675" s="50"/>
      <c r="N675" s="50"/>
      <c r="O675" s="50"/>
      <c r="P675" s="50"/>
      <c r="Q675" s="50"/>
      <c r="R675" s="50"/>
      <c r="S675" s="50"/>
      <c r="T675" s="50"/>
      <c r="U675" s="50"/>
      <c r="V675" s="50"/>
      <c r="W675" s="50"/>
      <c r="X675" s="50"/>
      <c r="Y675" s="50"/>
      <c r="Z675" s="50"/>
      <c r="AA675" s="50"/>
      <c r="AB675" s="50"/>
    </row>
    <row r="676">
      <c r="A676" s="49"/>
      <c r="B676" s="49"/>
      <c r="C676" s="50"/>
      <c r="D676" s="50"/>
      <c r="E676" s="50"/>
      <c r="F676" s="50"/>
      <c r="G676" s="50"/>
      <c r="H676" s="50"/>
      <c r="I676" s="50"/>
      <c r="J676" s="50"/>
      <c r="K676" s="50"/>
      <c r="L676" s="50"/>
      <c r="M676" s="50"/>
      <c r="N676" s="50"/>
      <c r="O676" s="50"/>
      <c r="P676" s="50"/>
      <c r="Q676" s="50"/>
      <c r="R676" s="50"/>
      <c r="S676" s="50"/>
      <c r="T676" s="50"/>
      <c r="U676" s="50"/>
      <c r="V676" s="50"/>
      <c r="W676" s="50"/>
      <c r="X676" s="50"/>
      <c r="Y676" s="50"/>
      <c r="Z676" s="50"/>
      <c r="AA676" s="50"/>
      <c r="AB676" s="50"/>
    </row>
    <row r="677">
      <c r="A677" s="49"/>
      <c r="B677" s="49"/>
      <c r="C677" s="50"/>
      <c r="D677" s="50"/>
      <c r="E677" s="50"/>
      <c r="F677" s="50"/>
      <c r="G677" s="50"/>
      <c r="H677" s="50"/>
      <c r="I677" s="50"/>
      <c r="J677" s="50"/>
      <c r="K677" s="50"/>
      <c r="L677" s="50"/>
      <c r="M677" s="50"/>
      <c r="N677" s="50"/>
      <c r="O677" s="50"/>
      <c r="P677" s="50"/>
      <c r="Q677" s="50"/>
      <c r="R677" s="50"/>
      <c r="S677" s="50"/>
      <c r="T677" s="50"/>
      <c r="U677" s="50"/>
      <c r="V677" s="50"/>
      <c r="W677" s="50"/>
      <c r="X677" s="50"/>
      <c r="Y677" s="50"/>
      <c r="Z677" s="50"/>
      <c r="AA677" s="50"/>
      <c r="AB677" s="50"/>
    </row>
    <row r="678">
      <c r="A678" s="49"/>
      <c r="B678" s="49"/>
      <c r="C678" s="50"/>
      <c r="D678" s="50"/>
      <c r="E678" s="50"/>
      <c r="F678" s="50"/>
      <c r="G678" s="50"/>
      <c r="H678" s="50"/>
      <c r="I678" s="50"/>
      <c r="J678" s="50"/>
      <c r="K678" s="50"/>
      <c r="L678" s="50"/>
      <c r="M678" s="50"/>
      <c r="N678" s="50"/>
      <c r="O678" s="50"/>
      <c r="P678" s="50"/>
      <c r="Q678" s="50"/>
      <c r="R678" s="50"/>
      <c r="S678" s="50"/>
      <c r="T678" s="50"/>
      <c r="U678" s="50"/>
      <c r="V678" s="50"/>
      <c r="W678" s="50"/>
      <c r="X678" s="50"/>
      <c r="Y678" s="50"/>
      <c r="Z678" s="50"/>
      <c r="AA678" s="50"/>
      <c r="AB678" s="50"/>
    </row>
    <row r="679">
      <c r="A679" s="49"/>
      <c r="B679" s="49"/>
      <c r="C679" s="50"/>
      <c r="D679" s="50"/>
      <c r="E679" s="50"/>
      <c r="F679" s="50"/>
      <c r="G679" s="50"/>
      <c r="H679" s="50"/>
      <c r="I679" s="50"/>
      <c r="J679" s="50"/>
      <c r="K679" s="50"/>
      <c r="L679" s="50"/>
      <c r="M679" s="50"/>
      <c r="N679" s="50"/>
      <c r="O679" s="50"/>
      <c r="P679" s="50"/>
      <c r="Q679" s="50"/>
      <c r="R679" s="50"/>
      <c r="S679" s="50"/>
      <c r="T679" s="50"/>
      <c r="U679" s="50"/>
      <c r="V679" s="50"/>
      <c r="W679" s="50"/>
      <c r="X679" s="50"/>
      <c r="Y679" s="50"/>
      <c r="Z679" s="50"/>
      <c r="AA679" s="50"/>
      <c r="AB679" s="50"/>
    </row>
    <row r="680">
      <c r="A680" s="49"/>
      <c r="B680" s="49"/>
      <c r="C680" s="50"/>
      <c r="D680" s="50"/>
      <c r="E680" s="50"/>
      <c r="F680" s="50"/>
      <c r="G680" s="50"/>
      <c r="H680" s="50"/>
      <c r="I680" s="50"/>
      <c r="J680" s="50"/>
      <c r="K680" s="50"/>
      <c r="L680" s="50"/>
      <c r="M680" s="50"/>
      <c r="N680" s="50"/>
      <c r="O680" s="50"/>
      <c r="P680" s="50"/>
      <c r="Q680" s="50"/>
      <c r="R680" s="50"/>
      <c r="S680" s="50"/>
      <c r="T680" s="50"/>
      <c r="U680" s="50"/>
      <c r="V680" s="50"/>
      <c r="W680" s="50"/>
      <c r="X680" s="50"/>
      <c r="Y680" s="50"/>
      <c r="Z680" s="50"/>
      <c r="AA680" s="50"/>
      <c r="AB680" s="50"/>
    </row>
    <row r="681">
      <c r="A681" s="49"/>
      <c r="B681" s="49"/>
      <c r="C681" s="50"/>
      <c r="D681" s="50"/>
      <c r="E681" s="50"/>
      <c r="F681" s="50"/>
      <c r="G681" s="50"/>
      <c r="H681" s="50"/>
      <c r="I681" s="50"/>
      <c r="J681" s="50"/>
      <c r="K681" s="50"/>
      <c r="L681" s="50"/>
      <c r="M681" s="50"/>
      <c r="N681" s="50"/>
      <c r="O681" s="50"/>
      <c r="P681" s="50"/>
      <c r="Q681" s="50"/>
      <c r="R681" s="50"/>
      <c r="S681" s="50"/>
      <c r="T681" s="50"/>
      <c r="U681" s="50"/>
      <c r="V681" s="50"/>
      <c r="W681" s="50"/>
      <c r="X681" s="50"/>
      <c r="Y681" s="50"/>
      <c r="Z681" s="50"/>
      <c r="AA681" s="50"/>
      <c r="AB681" s="50"/>
    </row>
    <row r="682">
      <c r="A682" s="49"/>
      <c r="B682" s="49"/>
      <c r="C682" s="50"/>
      <c r="D682" s="50"/>
      <c r="E682" s="50"/>
      <c r="F682" s="50"/>
      <c r="G682" s="50"/>
      <c r="H682" s="50"/>
      <c r="I682" s="50"/>
      <c r="J682" s="50"/>
      <c r="K682" s="50"/>
      <c r="L682" s="50"/>
      <c r="M682" s="50"/>
      <c r="N682" s="50"/>
      <c r="O682" s="50"/>
      <c r="P682" s="50"/>
      <c r="Q682" s="50"/>
      <c r="R682" s="50"/>
      <c r="S682" s="50"/>
      <c r="T682" s="50"/>
      <c r="U682" s="50"/>
      <c r="V682" s="50"/>
      <c r="W682" s="50"/>
      <c r="X682" s="50"/>
      <c r="Y682" s="50"/>
      <c r="Z682" s="50"/>
      <c r="AA682" s="50"/>
      <c r="AB682" s="50"/>
    </row>
    <row r="683">
      <c r="A683" s="49"/>
      <c r="B683" s="49"/>
      <c r="C683" s="50"/>
      <c r="D683" s="50"/>
      <c r="E683" s="50"/>
      <c r="F683" s="50"/>
      <c r="G683" s="50"/>
      <c r="H683" s="50"/>
      <c r="I683" s="50"/>
      <c r="J683" s="50"/>
      <c r="K683" s="50"/>
      <c r="L683" s="50"/>
      <c r="M683" s="50"/>
      <c r="N683" s="50"/>
      <c r="O683" s="50"/>
      <c r="P683" s="50"/>
      <c r="Q683" s="50"/>
      <c r="R683" s="50"/>
      <c r="S683" s="50"/>
      <c r="T683" s="50"/>
      <c r="U683" s="50"/>
      <c r="V683" s="50"/>
      <c r="W683" s="50"/>
      <c r="X683" s="50"/>
      <c r="Y683" s="50"/>
      <c r="Z683" s="50"/>
      <c r="AA683" s="50"/>
      <c r="AB683" s="50"/>
    </row>
    <row r="684">
      <c r="A684" s="49"/>
      <c r="B684" s="49"/>
      <c r="C684" s="50"/>
      <c r="D684" s="50"/>
      <c r="E684" s="50"/>
      <c r="F684" s="50"/>
      <c r="G684" s="50"/>
      <c r="H684" s="50"/>
      <c r="I684" s="50"/>
      <c r="J684" s="50"/>
      <c r="K684" s="50"/>
      <c r="L684" s="50"/>
      <c r="M684" s="50"/>
      <c r="N684" s="50"/>
      <c r="O684" s="50"/>
      <c r="P684" s="50"/>
      <c r="Q684" s="50"/>
      <c r="R684" s="50"/>
      <c r="S684" s="50"/>
      <c r="T684" s="50"/>
      <c r="U684" s="50"/>
      <c r="V684" s="50"/>
      <c r="W684" s="50"/>
      <c r="X684" s="50"/>
      <c r="Y684" s="50"/>
      <c r="Z684" s="50"/>
      <c r="AA684" s="50"/>
      <c r="AB684" s="50"/>
    </row>
    <row r="685">
      <c r="A685" s="49"/>
      <c r="B685" s="49"/>
      <c r="C685" s="50"/>
      <c r="D685" s="50"/>
      <c r="E685" s="50"/>
      <c r="F685" s="50"/>
      <c r="G685" s="50"/>
      <c r="H685" s="50"/>
      <c r="I685" s="50"/>
      <c r="J685" s="50"/>
      <c r="K685" s="50"/>
      <c r="L685" s="50"/>
      <c r="M685" s="50"/>
      <c r="N685" s="50"/>
      <c r="O685" s="50"/>
      <c r="P685" s="50"/>
      <c r="Q685" s="50"/>
      <c r="R685" s="50"/>
      <c r="S685" s="50"/>
      <c r="T685" s="50"/>
      <c r="U685" s="50"/>
      <c r="V685" s="50"/>
      <c r="W685" s="50"/>
      <c r="X685" s="50"/>
      <c r="Y685" s="50"/>
      <c r="Z685" s="50"/>
      <c r="AA685" s="50"/>
      <c r="AB685" s="50"/>
    </row>
    <row r="686">
      <c r="A686" s="49"/>
      <c r="B686" s="49"/>
      <c r="C686" s="50"/>
      <c r="D686" s="50"/>
      <c r="E686" s="50"/>
      <c r="F686" s="50"/>
      <c r="G686" s="50"/>
      <c r="H686" s="50"/>
      <c r="I686" s="50"/>
      <c r="J686" s="50"/>
      <c r="K686" s="50"/>
      <c r="L686" s="50"/>
      <c r="M686" s="50"/>
      <c r="N686" s="50"/>
      <c r="O686" s="50"/>
      <c r="P686" s="50"/>
      <c r="Q686" s="50"/>
      <c r="R686" s="50"/>
      <c r="S686" s="50"/>
      <c r="T686" s="50"/>
      <c r="U686" s="50"/>
      <c r="V686" s="50"/>
      <c r="W686" s="50"/>
      <c r="X686" s="50"/>
      <c r="Y686" s="50"/>
      <c r="Z686" s="50"/>
      <c r="AA686" s="50"/>
      <c r="AB686" s="50"/>
    </row>
    <row r="687">
      <c r="A687" s="49"/>
      <c r="B687" s="49"/>
      <c r="C687" s="50"/>
      <c r="D687" s="50"/>
      <c r="E687" s="50"/>
      <c r="F687" s="50"/>
      <c r="G687" s="50"/>
      <c r="H687" s="50"/>
      <c r="I687" s="50"/>
      <c r="J687" s="50"/>
      <c r="K687" s="50"/>
      <c r="L687" s="50"/>
      <c r="M687" s="50"/>
      <c r="N687" s="50"/>
      <c r="O687" s="50"/>
      <c r="P687" s="50"/>
      <c r="Q687" s="50"/>
      <c r="R687" s="50"/>
      <c r="S687" s="50"/>
      <c r="T687" s="50"/>
      <c r="U687" s="50"/>
      <c r="V687" s="50"/>
      <c r="W687" s="50"/>
      <c r="X687" s="50"/>
      <c r="Y687" s="50"/>
      <c r="Z687" s="50"/>
      <c r="AA687" s="50"/>
      <c r="AB687" s="50"/>
    </row>
    <row r="688">
      <c r="A688" s="49"/>
      <c r="B688" s="49"/>
      <c r="C688" s="50"/>
      <c r="D688" s="50"/>
      <c r="E688" s="50"/>
      <c r="F688" s="50"/>
      <c r="G688" s="50"/>
      <c r="H688" s="50"/>
      <c r="I688" s="50"/>
      <c r="J688" s="50"/>
      <c r="K688" s="50"/>
      <c r="L688" s="50"/>
      <c r="M688" s="50"/>
      <c r="N688" s="50"/>
      <c r="O688" s="50"/>
      <c r="P688" s="50"/>
      <c r="Q688" s="50"/>
      <c r="R688" s="50"/>
      <c r="S688" s="50"/>
      <c r="T688" s="50"/>
      <c r="U688" s="50"/>
      <c r="V688" s="50"/>
      <c r="W688" s="50"/>
      <c r="X688" s="50"/>
      <c r="Y688" s="50"/>
      <c r="Z688" s="50"/>
      <c r="AA688" s="50"/>
      <c r="AB688" s="50"/>
    </row>
    <row r="689">
      <c r="A689" s="49"/>
      <c r="B689" s="49"/>
      <c r="C689" s="50"/>
      <c r="D689" s="50"/>
      <c r="E689" s="50"/>
      <c r="F689" s="50"/>
      <c r="G689" s="50"/>
      <c r="H689" s="50"/>
      <c r="I689" s="50"/>
      <c r="J689" s="50"/>
      <c r="K689" s="50"/>
      <c r="L689" s="50"/>
      <c r="M689" s="50"/>
      <c r="N689" s="50"/>
      <c r="O689" s="50"/>
      <c r="P689" s="50"/>
      <c r="Q689" s="50"/>
      <c r="R689" s="50"/>
      <c r="S689" s="50"/>
      <c r="T689" s="50"/>
      <c r="U689" s="50"/>
      <c r="V689" s="50"/>
      <c r="W689" s="50"/>
      <c r="X689" s="50"/>
      <c r="Y689" s="50"/>
      <c r="Z689" s="50"/>
      <c r="AA689" s="50"/>
      <c r="AB689" s="50"/>
    </row>
    <row r="690">
      <c r="A690" s="49"/>
      <c r="B690" s="49"/>
      <c r="C690" s="50"/>
      <c r="D690" s="50"/>
      <c r="E690" s="50"/>
      <c r="F690" s="50"/>
      <c r="G690" s="50"/>
      <c r="H690" s="50"/>
      <c r="I690" s="50"/>
      <c r="J690" s="50"/>
      <c r="K690" s="50"/>
      <c r="L690" s="50"/>
      <c r="M690" s="50"/>
      <c r="N690" s="50"/>
      <c r="O690" s="50"/>
      <c r="P690" s="50"/>
      <c r="Q690" s="50"/>
      <c r="R690" s="50"/>
      <c r="S690" s="50"/>
      <c r="T690" s="50"/>
      <c r="U690" s="50"/>
      <c r="V690" s="50"/>
      <c r="W690" s="50"/>
      <c r="X690" s="50"/>
      <c r="Y690" s="50"/>
      <c r="Z690" s="50"/>
      <c r="AA690" s="50"/>
      <c r="AB690" s="50"/>
    </row>
    <row r="691">
      <c r="A691" s="49"/>
      <c r="B691" s="49"/>
      <c r="C691" s="50"/>
      <c r="D691" s="50"/>
      <c r="E691" s="50"/>
      <c r="F691" s="50"/>
      <c r="G691" s="50"/>
      <c r="H691" s="50"/>
      <c r="I691" s="50"/>
      <c r="J691" s="50"/>
      <c r="K691" s="50"/>
      <c r="L691" s="50"/>
      <c r="M691" s="50"/>
      <c r="N691" s="50"/>
      <c r="O691" s="50"/>
      <c r="P691" s="50"/>
      <c r="Q691" s="50"/>
      <c r="R691" s="50"/>
      <c r="S691" s="50"/>
      <c r="T691" s="50"/>
      <c r="U691" s="50"/>
      <c r="V691" s="50"/>
      <c r="W691" s="50"/>
      <c r="X691" s="50"/>
      <c r="Y691" s="50"/>
      <c r="Z691" s="50"/>
      <c r="AA691" s="50"/>
      <c r="AB691" s="50"/>
    </row>
    <row r="692">
      <c r="A692" s="49"/>
      <c r="B692" s="49"/>
      <c r="C692" s="50"/>
      <c r="D692" s="50"/>
      <c r="E692" s="50"/>
      <c r="F692" s="50"/>
      <c r="G692" s="50"/>
      <c r="H692" s="50"/>
      <c r="I692" s="50"/>
      <c r="J692" s="50"/>
      <c r="K692" s="50"/>
      <c r="L692" s="50"/>
      <c r="M692" s="50"/>
      <c r="N692" s="50"/>
      <c r="O692" s="50"/>
      <c r="P692" s="50"/>
      <c r="Q692" s="50"/>
      <c r="R692" s="50"/>
      <c r="S692" s="50"/>
      <c r="T692" s="50"/>
      <c r="U692" s="50"/>
      <c r="V692" s="50"/>
      <c r="W692" s="50"/>
      <c r="X692" s="50"/>
      <c r="Y692" s="50"/>
      <c r="Z692" s="50"/>
      <c r="AA692" s="50"/>
      <c r="AB692" s="50"/>
    </row>
    <row r="693">
      <c r="A693" s="49"/>
      <c r="B693" s="49"/>
      <c r="C693" s="50"/>
      <c r="D693" s="50"/>
      <c r="E693" s="50"/>
      <c r="F693" s="50"/>
      <c r="G693" s="50"/>
      <c r="H693" s="50"/>
      <c r="I693" s="50"/>
      <c r="J693" s="50"/>
      <c r="K693" s="50"/>
      <c r="L693" s="50"/>
      <c r="M693" s="50"/>
      <c r="N693" s="50"/>
      <c r="O693" s="50"/>
      <c r="P693" s="50"/>
      <c r="Q693" s="50"/>
      <c r="R693" s="50"/>
      <c r="S693" s="50"/>
      <c r="T693" s="50"/>
      <c r="U693" s="50"/>
      <c r="V693" s="50"/>
      <c r="W693" s="50"/>
      <c r="X693" s="50"/>
      <c r="Y693" s="50"/>
      <c r="Z693" s="50"/>
      <c r="AA693" s="50"/>
      <c r="AB693" s="50"/>
    </row>
    <row r="694">
      <c r="A694" s="49"/>
      <c r="B694" s="49"/>
      <c r="C694" s="50"/>
      <c r="D694" s="50"/>
      <c r="E694" s="50"/>
      <c r="F694" s="50"/>
      <c r="G694" s="50"/>
      <c r="H694" s="50"/>
      <c r="I694" s="50"/>
      <c r="J694" s="50"/>
      <c r="K694" s="50"/>
      <c r="L694" s="50"/>
      <c r="M694" s="50"/>
      <c r="N694" s="50"/>
      <c r="O694" s="50"/>
      <c r="P694" s="50"/>
      <c r="Q694" s="50"/>
      <c r="R694" s="50"/>
      <c r="S694" s="50"/>
      <c r="T694" s="50"/>
      <c r="U694" s="50"/>
      <c r="V694" s="50"/>
      <c r="W694" s="50"/>
      <c r="X694" s="50"/>
      <c r="Y694" s="50"/>
      <c r="Z694" s="50"/>
      <c r="AA694" s="50"/>
      <c r="AB694" s="50"/>
    </row>
    <row r="695">
      <c r="A695" s="49"/>
      <c r="B695" s="49"/>
      <c r="C695" s="50"/>
      <c r="D695" s="50"/>
      <c r="E695" s="50"/>
      <c r="F695" s="50"/>
      <c r="G695" s="50"/>
      <c r="H695" s="50"/>
      <c r="I695" s="50"/>
      <c r="J695" s="50"/>
      <c r="K695" s="50"/>
      <c r="L695" s="50"/>
      <c r="M695" s="50"/>
      <c r="N695" s="50"/>
      <c r="O695" s="50"/>
      <c r="P695" s="50"/>
      <c r="Q695" s="50"/>
      <c r="R695" s="50"/>
      <c r="S695" s="50"/>
      <c r="T695" s="50"/>
      <c r="U695" s="50"/>
      <c r="V695" s="50"/>
      <c r="W695" s="50"/>
      <c r="X695" s="50"/>
      <c r="Y695" s="50"/>
      <c r="Z695" s="50"/>
      <c r="AA695" s="50"/>
      <c r="AB695" s="50"/>
    </row>
    <row r="696">
      <c r="A696" s="49"/>
      <c r="B696" s="49"/>
      <c r="C696" s="50"/>
      <c r="D696" s="50"/>
      <c r="E696" s="50"/>
      <c r="F696" s="50"/>
      <c r="G696" s="50"/>
      <c r="H696" s="50"/>
      <c r="I696" s="50"/>
      <c r="J696" s="50"/>
      <c r="K696" s="50"/>
      <c r="L696" s="50"/>
      <c r="M696" s="50"/>
      <c r="N696" s="50"/>
      <c r="O696" s="50"/>
      <c r="P696" s="50"/>
      <c r="Q696" s="50"/>
      <c r="R696" s="50"/>
      <c r="S696" s="50"/>
      <c r="T696" s="50"/>
      <c r="U696" s="50"/>
      <c r="V696" s="50"/>
      <c r="W696" s="50"/>
      <c r="X696" s="50"/>
      <c r="Y696" s="50"/>
      <c r="Z696" s="50"/>
      <c r="AA696" s="50"/>
      <c r="AB696" s="50"/>
    </row>
    <row r="697">
      <c r="A697" s="49"/>
      <c r="B697" s="49"/>
      <c r="C697" s="50"/>
      <c r="D697" s="50"/>
      <c r="E697" s="50"/>
      <c r="F697" s="50"/>
      <c r="G697" s="50"/>
      <c r="H697" s="50"/>
      <c r="I697" s="50"/>
      <c r="J697" s="50"/>
      <c r="K697" s="50"/>
      <c r="L697" s="50"/>
      <c r="M697" s="50"/>
      <c r="N697" s="50"/>
      <c r="O697" s="50"/>
      <c r="P697" s="50"/>
      <c r="Q697" s="50"/>
      <c r="R697" s="50"/>
      <c r="S697" s="50"/>
      <c r="T697" s="50"/>
      <c r="U697" s="50"/>
      <c r="V697" s="50"/>
      <c r="W697" s="50"/>
      <c r="X697" s="50"/>
      <c r="Y697" s="50"/>
      <c r="Z697" s="50"/>
      <c r="AA697" s="50"/>
      <c r="AB697" s="50"/>
    </row>
    <row r="698">
      <c r="A698" s="49"/>
      <c r="B698" s="49"/>
      <c r="C698" s="50"/>
      <c r="D698" s="50"/>
      <c r="E698" s="50"/>
      <c r="F698" s="50"/>
      <c r="G698" s="50"/>
      <c r="H698" s="50"/>
      <c r="I698" s="50"/>
      <c r="J698" s="50"/>
      <c r="K698" s="50"/>
      <c r="L698" s="50"/>
      <c r="M698" s="50"/>
      <c r="N698" s="50"/>
      <c r="O698" s="50"/>
      <c r="P698" s="50"/>
      <c r="Q698" s="50"/>
      <c r="R698" s="50"/>
      <c r="S698" s="50"/>
      <c r="T698" s="50"/>
      <c r="U698" s="50"/>
      <c r="V698" s="50"/>
      <c r="W698" s="50"/>
      <c r="X698" s="50"/>
      <c r="Y698" s="50"/>
      <c r="Z698" s="50"/>
      <c r="AA698" s="50"/>
      <c r="AB698" s="50"/>
    </row>
    <row r="699">
      <c r="A699" s="49"/>
      <c r="B699" s="49"/>
      <c r="C699" s="50"/>
      <c r="D699" s="50"/>
      <c r="E699" s="50"/>
      <c r="F699" s="50"/>
      <c r="G699" s="50"/>
      <c r="H699" s="50"/>
      <c r="I699" s="50"/>
      <c r="J699" s="50"/>
      <c r="K699" s="50"/>
      <c r="L699" s="50"/>
      <c r="M699" s="50"/>
      <c r="N699" s="50"/>
      <c r="O699" s="50"/>
      <c r="P699" s="50"/>
      <c r="Q699" s="50"/>
      <c r="R699" s="50"/>
      <c r="S699" s="50"/>
      <c r="T699" s="50"/>
      <c r="U699" s="50"/>
      <c r="V699" s="50"/>
      <c r="W699" s="50"/>
      <c r="X699" s="50"/>
      <c r="Y699" s="50"/>
      <c r="Z699" s="50"/>
      <c r="AA699" s="50"/>
      <c r="AB699" s="50"/>
    </row>
    <row r="700">
      <c r="A700" s="49"/>
      <c r="B700" s="49"/>
      <c r="C700" s="50"/>
      <c r="D700" s="50"/>
      <c r="E700" s="50"/>
      <c r="F700" s="50"/>
      <c r="G700" s="50"/>
      <c r="H700" s="50"/>
      <c r="I700" s="50"/>
      <c r="J700" s="50"/>
      <c r="K700" s="50"/>
      <c r="L700" s="50"/>
      <c r="M700" s="50"/>
      <c r="N700" s="50"/>
      <c r="O700" s="50"/>
      <c r="P700" s="50"/>
      <c r="Q700" s="50"/>
      <c r="R700" s="50"/>
      <c r="S700" s="50"/>
      <c r="T700" s="50"/>
      <c r="U700" s="50"/>
      <c r="V700" s="50"/>
      <c r="W700" s="50"/>
      <c r="X700" s="50"/>
      <c r="Y700" s="50"/>
      <c r="Z700" s="50"/>
      <c r="AA700" s="50"/>
      <c r="AB700" s="50"/>
    </row>
    <row r="701">
      <c r="A701" s="49"/>
      <c r="B701" s="49"/>
      <c r="C701" s="50"/>
      <c r="D701" s="50"/>
      <c r="E701" s="50"/>
      <c r="F701" s="50"/>
      <c r="G701" s="50"/>
      <c r="H701" s="50"/>
      <c r="I701" s="50"/>
      <c r="J701" s="50"/>
      <c r="K701" s="50"/>
      <c r="L701" s="50"/>
      <c r="M701" s="50"/>
      <c r="N701" s="50"/>
      <c r="O701" s="50"/>
      <c r="P701" s="50"/>
      <c r="Q701" s="50"/>
      <c r="R701" s="50"/>
      <c r="S701" s="50"/>
      <c r="T701" s="50"/>
      <c r="U701" s="50"/>
      <c r="V701" s="50"/>
      <c r="W701" s="50"/>
      <c r="X701" s="50"/>
      <c r="Y701" s="50"/>
      <c r="Z701" s="50"/>
      <c r="AA701" s="50"/>
      <c r="AB701" s="50"/>
    </row>
    <row r="702">
      <c r="A702" s="49"/>
      <c r="B702" s="49"/>
      <c r="C702" s="50"/>
      <c r="D702" s="50"/>
      <c r="E702" s="50"/>
      <c r="F702" s="50"/>
      <c r="G702" s="50"/>
      <c r="H702" s="50"/>
      <c r="I702" s="50"/>
      <c r="J702" s="50"/>
      <c r="K702" s="50"/>
      <c r="L702" s="50"/>
      <c r="M702" s="50"/>
      <c r="N702" s="50"/>
      <c r="O702" s="50"/>
      <c r="P702" s="50"/>
      <c r="Q702" s="50"/>
      <c r="R702" s="50"/>
      <c r="S702" s="50"/>
      <c r="T702" s="50"/>
      <c r="U702" s="50"/>
      <c r="V702" s="50"/>
      <c r="W702" s="50"/>
      <c r="X702" s="50"/>
      <c r="Y702" s="50"/>
      <c r="Z702" s="50"/>
      <c r="AA702" s="50"/>
      <c r="AB702" s="50"/>
    </row>
    <row r="703">
      <c r="A703" s="49"/>
      <c r="B703" s="49"/>
      <c r="C703" s="50"/>
      <c r="D703" s="50"/>
      <c r="E703" s="50"/>
      <c r="F703" s="50"/>
      <c r="G703" s="50"/>
      <c r="H703" s="50"/>
      <c r="I703" s="50"/>
      <c r="J703" s="50"/>
      <c r="K703" s="50"/>
      <c r="L703" s="50"/>
      <c r="M703" s="50"/>
      <c r="N703" s="50"/>
      <c r="O703" s="50"/>
      <c r="P703" s="50"/>
      <c r="Q703" s="50"/>
      <c r="R703" s="50"/>
      <c r="S703" s="50"/>
      <c r="T703" s="50"/>
      <c r="U703" s="50"/>
      <c r="V703" s="50"/>
      <c r="W703" s="50"/>
      <c r="X703" s="50"/>
      <c r="Y703" s="50"/>
      <c r="Z703" s="50"/>
      <c r="AA703" s="50"/>
      <c r="AB703" s="50"/>
    </row>
    <row r="704">
      <c r="A704" s="49"/>
      <c r="B704" s="49"/>
      <c r="C704" s="50"/>
      <c r="D704" s="50"/>
      <c r="E704" s="50"/>
      <c r="F704" s="50"/>
      <c r="G704" s="50"/>
      <c r="H704" s="50"/>
      <c r="I704" s="50"/>
      <c r="J704" s="50"/>
      <c r="K704" s="50"/>
      <c r="L704" s="50"/>
      <c r="M704" s="50"/>
      <c r="N704" s="50"/>
      <c r="O704" s="50"/>
      <c r="P704" s="50"/>
      <c r="Q704" s="50"/>
      <c r="R704" s="50"/>
      <c r="S704" s="50"/>
      <c r="T704" s="50"/>
      <c r="U704" s="50"/>
      <c r="V704" s="50"/>
      <c r="W704" s="50"/>
      <c r="X704" s="50"/>
      <c r="Y704" s="50"/>
      <c r="Z704" s="50"/>
      <c r="AA704" s="50"/>
      <c r="AB704" s="50"/>
    </row>
    <row r="705">
      <c r="A705" s="49"/>
      <c r="B705" s="49"/>
      <c r="C705" s="50"/>
      <c r="D705" s="50"/>
      <c r="E705" s="50"/>
      <c r="F705" s="50"/>
      <c r="G705" s="50"/>
      <c r="H705" s="50"/>
      <c r="I705" s="50"/>
      <c r="J705" s="50"/>
      <c r="K705" s="50"/>
      <c r="L705" s="50"/>
      <c r="M705" s="50"/>
      <c r="N705" s="50"/>
      <c r="O705" s="50"/>
      <c r="P705" s="50"/>
      <c r="Q705" s="50"/>
      <c r="R705" s="50"/>
      <c r="S705" s="50"/>
      <c r="T705" s="50"/>
      <c r="U705" s="50"/>
      <c r="V705" s="50"/>
      <c r="W705" s="50"/>
      <c r="X705" s="50"/>
      <c r="Y705" s="50"/>
      <c r="Z705" s="50"/>
      <c r="AA705" s="50"/>
      <c r="AB705" s="50"/>
    </row>
    <row r="706">
      <c r="A706" s="49"/>
      <c r="B706" s="49"/>
      <c r="C706" s="50"/>
      <c r="D706" s="50"/>
      <c r="E706" s="50"/>
      <c r="F706" s="50"/>
      <c r="G706" s="50"/>
      <c r="H706" s="50"/>
      <c r="I706" s="50"/>
      <c r="J706" s="50"/>
      <c r="K706" s="50"/>
      <c r="L706" s="50"/>
      <c r="M706" s="50"/>
      <c r="N706" s="50"/>
      <c r="O706" s="50"/>
      <c r="P706" s="50"/>
      <c r="Q706" s="50"/>
      <c r="R706" s="50"/>
      <c r="S706" s="50"/>
      <c r="T706" s="50"/>
      <c r="U706" s="50"/>
      <c r="V706" s="50"/>
      <c r="W706" s="50"/>
      <c r="X706" s="50"/>
      <c r="Y706" s="50"/>
      <c r="Z706" s="50"/>
      <c r="AA706" s="50"/>
      <c r="AB706" s="50"/>
    </row>
    <row r="707">
      <c r="A707" s="49"/>
      <c r="B707" s="49"/>
      <c r="C707" s="50"/>
      <c r="D707" s="50"/>
      <c r="E707" s="50"/>
      <c r="F707" s="50"/>
      <c r="G707" s="50"/>
      <c r="H707" s="50"/>
      <c r="I707" s="50"/>
      <c r="J707" s="50"/>
      <c r="K707" s="50"/>
      <c r="L707" s="50"/>
      <c r="M707" s="50"/>
      <c r="N707" s="50"/>
      <c r="O707" s="50"/>
      <c r="P707" s="50"/>
      <c r="Q707" s="50"/>
      <c r="R707" s="50"/>
      <c r="S707" s="50"/>
      <c r="T707" s="50"/>
      <c r="U707" s="50"/>
      <c r="V707" s="50"/>
      <c r="W707" s="50"/>
      <c r="X707" s="50"/>
      <c r="Y707" s="50"/>
      <c r="Z707" s="50"/>
      <c r="AA707" s="50"/>
      <c r="AB707" s="50"/>
    </row>
    <row r="708">
      <c r="A708" s="49"/>
      <c r="B708" s="49"/>
      <c r="C708" s="50"/>
      <c r="D708" s="50"/>
      <c r="E708" s="50"/>
      <c r="F708" s="50"/>
      <c r="G708" s="50"/>
      <c r="H708" s="50"/>
      <c r="I708" s="50"/>
      <c r="J708" s="50"/>
      <c r="K708" s="50"/>
      <c r="L708" s="50"/>
      <c r="M708" s="50"/>
      <c r="N708" s="50"/>
      <c r="O708" s="50"/>
      <c r="P708" s="50"/>
      <c r="Q708" s="50"/>
      <c r="R708" s="50"/>
      <c r="S708" s="50"/>
      <c r="T708" s="50"/>
      <c r="U708" s="50"/>
      <c r="V708" s="50"/>
      <c r="W708" s="50"/>
      <c r="X708" s="50"/>
      <c r="Y708" s="50"/>
      <c r="Z708" s="50"/>
      <c r="AA708" s="50"/>
      <c r="AB708" s="50"/>
    </row>
    <row r="709">
      <c r="A709" s="49"/>
      <c r="B709" s="49"/>
      <c r="C709" s="50"/>
      <c r="D709" s="50"/>
      <c r="E709" s="50"/>
      <c r="F709" s="50"/>
      <c r="G709" s="50"/>
      <c r="H709" s="50"/>
      <c r="I709" s="50"/>
      <c r="J709" s="50"/>
      <c r="K709" s="50"/>
      <c r="L709" s="50"/>
      <c r="M709" s="50"/>
      <c r="N709" s="50"/>
      <c r="O709" s="50"/>
      <c r="P709" s="50"/>
      <c r="Q709" s="50"/>
      <c r="R709" s="50"/>
      <c r="S709" s="50"/>
      <c r="T709" s="50"/>
      <c r="U709" s="50"/>
      <c r="V709" s="50"/>
      <c r="W709" s="50"/>
      <c r="X709" s="50"/>
      <c r="Y709" s="50"/>
      <c r="Z709" s="50"/>
      <c r="AA709" s="50"/>
      <c r="AB709" s="50"/>
    </row>
    <row r="710">
      <c r="A710" s="49"/>
      <c r="B710" s="49"/>
      <c r="C710" s="50"/>
      <c r="D710" s="50"/>
      <c r="E710" s="50"/>
      <c r="F710" s="50"/>
      <c r="G710" s="50"/>
      <c r="H710" s="50"/>
      <c r="I710" s="50"/>
      <c r="J710" s="50"/>
      <c r="K710" s="50"/>
      <c r="L710" s="50"/>
      <c r="M710" s="50"/>
      <c r="N710" s="50"/>
      <c r="O710" s="50"/>
      <c r="P710" s="50"/>
      <c r="Q710" s="50"/>
      <c r="R710" s="50"/>
      <c r="S710" s="50"/>
      <c r="T710" s="50"/>
      <c r="U710" s="50"/>
      <c r="V710" s="50"/>
      <c r="W710" s="50"/>
      <c r="X710" s="50"/>
      <c r="Y710" s="50"/>
      <c r="Z710" s="50"/>
      <c r="AA710" s="50"/>
      <c r="AB710" s="50"/>
    </row>
    <row r="711">
      <c r="A711" s="49"/>
      <c r="B711" s="49"/>
      <c r="C711" s="50"/>
      <c r="D711" s="50"/>
      <c r="E711" s="50"/>
      <c r="F711" s="50"/>
      <c r="G711" s="50"/>
      <c r="H711" s="50"/>
      <c r="I711" s="50"/>
      <c r="J711" s="50"/>
      <c r="K711" s="50"/>
      <c r="L711" s="50"/>
      <c r="M711" s="50"/>
      <c r="N711" s="50"/>
      <c r="O711" s="50"/>
      <c r="P711" s="50"/>
      <c r="Q711" s="50"/>
      <c r="R711" s="50"/>
      <c r="S711" s="50"/>
      <c r="T711" s="50"/>
      <c r="U711" s="50"/>
      <c r="V711" s="50"/>
      <c r="W711" s="50"/>
      <c r="X711" s="50"/>
      <c r="Y711" s="50"/>
      <c r="Z711" s="50"/>
      <c r="AA711" s="50"/>
      <c r="AB711" s="50"/>
    </row>
    <row r="712">
      <c r="A712" s="49"/>
      <c r="B712" s="49"/>
      <c r="C712" s="50"/>
      <c r="D712" s="50"/>
      <c r="E712" s="50"/>
      <c r="F712" s="50"/>
      <c r="G712" s="50"/>
      <c r="H712" s="50"/>
      <c r="I712" s="50"/>
      <c r="J712" s="50"/>
      <c r="K712" s="50"/>
      <c r="L712" s="50"/>
      <c r="M712" s="50"/>
      <c r="N712" s="50"/>
      <c r="O712" s="50"/>
      <c r="P712" s="50"/>
      <c r="Q712" s="50"/>
      <c r="R712" s="50"/>
      <c r="S712" s="50"/>
      <c r="T712" s="50"/>
      <c r="U712" s="50"/>
      <c r="V712" s="50"/>
      <c r="W712" s="50"/>
      <c r="X712" s="50"/>
      <c r="Y712" s="50"/>
      <c r="Z712" s="50"/>
      <c r="AA712" s="50"/>
      <c r="AB712" s="50"/>
    </row>
    <row r="713">
      <c r="A713" s="49"/>
      <c r="B713" s="49"/>
      <c r="C713" s="50"/>
      <c r="D713" s="50"/>
      <c r="E713" s="50"/>
      <c r="F713" s="50"/>
      <c r="G713" s="50"/>
      <c r="H713" s="50"/>
      <c r="I713" s="50"/>
      <c r="J713" s="50"/>
      <c r="K713" s="50"/>
      <c r="L713" s="50"/>
      <c r="M713" s="50"/>
      <c r="N713" s="50"/>
      <c r="O713" s="50"/>
      <c r="P713" s="50"/>
      <c r="Q713" s="50"/>
      <c r="R713" s="50"/>
      <c r="S713" s="50"/>
      <c r="T713" s="50"/>
      <c r="U713" s="50"/>
      <c r="V713" s="50"/>
      <c r="W713" s="50"/>
      <c r="X713" s="50"/>
      <c r="Y713" s="50"/>
      <c r="Z713" s="50"/>
      <c r="AA713" s="50"/>
      <c r="AB713" s="50"/>
    </row>
    <row r="714">
      <c r="A714" s="49"/>
      <c r="B714" s="49"/>
      <c r="C714" s="50"/>
      <c r="D714" s="50"/>
      <c r="E714" s="50"/>
      <c r="F714" s="50"/>
      <c r="G714" s="50"/>
      <c r="H714" s="50"/>
      <c r="I714" s="50"/>
      <c r="J714" s="50"/>
      <c r="K714" s="50"/>
      <c r="L714" s="50"/>
      <c r="M714" s="50"/>
      <c r="N714" s="50"/>
      <c r="O714" s="50"/>
      <c r="P714" s="50"/>
      <c r="Q714" s="50"/>
      <c r="R714" s="50"/>
      <c r="S714" s="50"/>
      <c r="T714" s="50"/>
      <c r="U714" s="50"/>
      <c r="V714" s="50"/>
      <c r="W714" s="50"/>
      <c r="X714" s="50"/>
      <c r="Y714" s="50"/>
      <c r="Z714" s="50"/>
      <c r="AA714" s="50"/>
      <c r="AB714" s="50"/>
    </row>
    <row r="715">
      <c r="A715" s="49"/>
      <c r="B715" s="49"/>
      <c r="C715" s="50"/>
      <c r="D715" s="50"/>
      <c r="E715" s="50"/>
      <c r="F715" s="50"/>
      <c r="G715" s="50"/>
      <c r="H715" s="50"/>
      <c r="I715" s="50"/>
      <c r="J715" s="50"/>
      <c r="K715" s="50"/>
      <c r="L715" s="50"/>
      <c r="M715" s="50"/>
      <c r="N715" s="50"/>
      <c r="O715" s="50"/>
      <c r="P715" s="50"/>
      <c r="Q715" s="50"/>
      <c r="R715" s="50"/>
      <c r="S715" s="50"/>
      <c r="T715" s="50"/>
      <c r="U715" s="50"/>
      <c r="V715" s="50"/>
      <c r="W715" s="50"/>
      <c r="X715" s="50"/>
      <c r="Y715" s="50"/>
      <c r="Z715" s="50"/>
      <c r="AA715" s="50"/>
      <c r="AB715" s="50"/>
    </row>
    <row r="716">
      <c r="A716" s="49"/>
      <c r="B716" s="49"/>
      <c r="C716" s="50"/>
      <c r="D716" s="50"/>
      <c r="E716" s="50"/>
      <c r="F716" s="50"/>
      <c r="G716" s="50"/>
      <c r="H716" s="50"/>
      <c r="I716" s="50"/>
      <c r="J716" s="50"/>
      <c r="K716" s="50"/>
      <c r="L716" s="50"/>
      <c r="M716" s="50"/>
      <c r="N716" s="50"/>
      <c r="O716" s="50"/>
      <c r="P716" s="50"/>
      <c r="Q716" s="50"/>
      <c r="R716" s="50"/>
      <c r="S716" s="50"/>
      <c r="T716" s="50"/>
      <c r="U716" s="50"/>
      <c r="V716" s="50"/>
      <c r="W716" s="50"/>
      <c r="X716" s="50"/>
      <c r="Y716" s="50"/>
      <c r="Z716" s="50"/>
      <c r="AA716" s="50"/>
      <c r="AB716" s="50"/>
    </row>
    <row r="717">
      <c r="A717" s="49"/>
      <c r="B717" s="49"/>
      <c r="C717" s="50"/>
      <c r="D717" s="50"/>
      <c r="E717" s="50"/>
      <c r="F717" s="50"/>
      <c r="G717" s="50"/>
      <c r="H717" s="50"/>
      <c r="I717" s="50"/>
      <c r="J717" s="50"/>
      <c r="K717" s="50"/>
      <c r="L717" s="50"/>
      <c r="M717" s="50"/>
      <c r="N717" s="50"/>
      <c r="O717" s="50"/>
      <c r="P717" s="50"/>
      <c r="Q717" s="50"/>
      <c r="R717" s="50"/>
      <c r="S717" s="50"/>
      <c r="T717" s="50"/>
      <c r="U717" s="50"/>
      <c r="V717" s="50"/>
      <c r="W717" s="50"/>
      <c r="X717" s="50"/>
      <c r="Y717" s="50"/>
      <c r="Z717" s="50"/>
      <c r="AA717" s="50"/>
      <c r="AB717" s="50"/>
    </row>
    <row r="718">
      <c r="A718" s="49"/>
      <c r="B718" s="49"/>
      <c r="C718" s="50"/>
      <c r="D718" s="50"/>
      <c r="E718" s="50"/>
      <c r="F718" s="50"/>
      <c r="G718" s="50"/>
      <c r="H718" s="50"/>
      <c r="I718" s="50"/>
      <c r="J718" s="50"/>
      <c r="K718" s="50"/>
      <c r="L718" s="50"/>
      <c r="M718" s="50"/>
      <c r="N718" s="50"/>
      <c r="O718" s="50"/>
      <c r="P718" s="50"/>
      <c r="Q718" s="50"/>
      <c r="R718" s="50"/>
      <c r="S718" s="50"/>
      <c r="T718" s="50"/>
      <c r="U718" s="50"/>
      <c r="V718" s="50"/>
      <c r="W718" s="50"/>
      <c r="X718" s="50"/>
      <c r="Y718" s="50"/>
      <c r="Z718" s="50"/>
      <c r="AA718" s="50"/>
      <c r="AB718" s="50"/>
    </row>
    <row r="719">
      <c r="A719" s="49"/>
      <c r="B719" s="49"/>
      <c r="C719" s="50"/>
      <c r="D719" s="50"/>
      <c r="E719" s="50"/>
      <c r="F719" s="50"/>
      <c r="G719" s="50"/>
      <c r="H719" s="50"/>
      <c r="I719" s="50"/>
      <c r="J719" s="50"/>
      <c r="K719" s="50"/>
      <c r="L719" s="50"/>
      <c r="M719" s="50"/>
      <c r="N719" s="50"/>
      <c r="O719" s="50"/>
      <c r="P719" s="50"/>
      <c r="Q719" s="50"/>
      <c r="R719" s="50"/>
      <c r="S719" s="50"/>
      <c r="T719" s="50"/>
      <c r="U719" s="50"/>
      <c r="V719" s="50"/>
      <c r="W719" s="50"/>
      <c r="X719" s="50"/>
      <c r="Y719" s="50"/>
      <c r="Z719" s="50"/>
      <c r="AA719" s="50"/>
      <c r="AB719" s="50"/>
    </row>
    <row r="720">
      <c r="A720" s="49"/>
      <c r="B720" s="49"/>
      <c r="C720" s="50"/>
      <c r="D720" s="50"/>
      <c r="E720" s="50"/>
      <c r="F720" s="50"/>
      <c r="G720" s="50"/>
      <c r="H720" s="50"/>
      <c r="I720" s="50"/>
      <c r="J720" s="50"/>
      <c r="K720" s="50"/>
      <c r="L720" s="50"/>
      <c r="M720" s="50"/>
      <c r="N720" s="50"/>
      <c r="O720" s="50"/>
      <c r="P720" s="50"/>
      <c r="Q720" s="50"/>
      <c r="R720" s="50"/>
      <c r="S720" s="50"/>
      <c r="T720" s="50"/>
      <c r="U720" s="50"/>
      <c r="V720" s="50"/>
      <c r="W720" s="50"/>
      <c r="X720" s="50"/>
      <c r="Y720" s="50"/>
      <c r="Z720" s="50"/>
      <c r="AA720" s="50"/>
      <c r="AB720" s="50"/>
    </row>
    <row r="721">
      <c r="A721" s="49"/>
      <c r="B721" s="49"/>
      <c r="C721" s="50"/>
      <c r="D721" s="50"/>
      <c r="E721" s="50"/>
      <c r="F721" s="50"/>
      <c r="G721" s="50"/>
      <c r="H721" s="50"/>
      <c r="I721" s="50"/>
      <c r="J721" s="50"/>
      <c r="K721" s="50"/>
      <c r="L721" s="50"/>
      <c r="M721" s="50"/>
      <c r="N721" s="50"/>
      <c r="O721" s="50"/>
      <c r="P721" s="50"/>
      <c r="Q721" s="50"/>
      <c r="R721" s="50"/>
      <c r="S721" s="50"/>
      <c r="T721" s="50"/>
      <c r="U721" s="50"/>
      <c r="V721" s="50"/>
      <c r="W721" s="50"/>
      <c r="X721" s="50"/>
      <c r="Y721" s="50"/>
      <c r="Z721" s="50"/>
      <c r="AA721" s="50"/>
      <c r="AB721" s="50"/>
    </row>
    <row r="722">
      <c r="A722" s="49"/>
      <c r="B722" s="49"/>
      <c r="C722" s="50"/>
      <c r="D722" s="50"/>
      <c r="E722" s="50"/>
      <c r="F722" s="50"/>
      <c r="G722" s="50"/>
      <c r="H722" s="50"/>
      <c r="I722" s="50"/>
      <c r="J722" s="50"/>
      <c r="K722" s="50"/>
      <c r="L722" s="50"/>
      <c r="M722" s="50"/>
      <c r="N722" s="50"/>
      <c r="O722" s="50"/>
      <c r="P722" s="50"/>
      <c r="Q722" s="50"/>
      <c r="R722" s="50"/>
      <c r="S722" s="50"/>
      <c r="T722" s="50"/>
      <c r="U722" s="50"/>
      <c r="V722" s="50"/>
      <c r="W722" s="50"/>
      <c r="X722" s="50"/>
      <c r="Y722" s="50"/>
      <c r="Z722" s="50"/>
      <c r="AA722" s="50"/>
      <c r="AB722" s="50"/>
    </row>
    <row r="723">
      <c r="A723" s="49"/>
      <c r="B723" s="49"/>
      <c r="C723" s="50"/>
      <c r="D723" s="50"/>
      <c r="E723" s="50"/>
      <c r="F723" s="50"/>
      <c r="G723" s="50"/>
      <c r="H723" s="50"/>
      <c r="I723" s="50"/>
      <c r="J723" s="50"/>
      <c r="K723" s="50"/>
      <c r="L723" s="50"/>
      <c r="M723" s="50"/>
      <c r="N723" s="50"/>
      <c r="O723" s="50"/>
      <c r="P723" s="50"/>
      <c r="Q723" s="50"/>
      <c r="R723" s="50"/>
      <c r="S723" s="50"/>
      <c r="T723" s="50"/>
      <c r="U723" s="50"/>
      <c r="V723" s="50"/>
      <c r="W723" s="50"/>
      <c r="X723" s="50"/>
      <c r="Y723" s="50"/>
      <c r="Z723" s="50"/>
      <c r="AA723" s="50"/>
      <c r="AB723" s="50"/>
    </row>
    <row r="724">
      <c r="A724" s="49"/>
      <c r="B724" s="49"/>
      <c r="C724" s="50"/>
      <c r="D724" s="50"/>
      <c r="E724" s="50"/>
      <c r="F724" s="50"/>
      <c r="G724" s="50"/>
      <c r="H724" s="50"/>
      <c r="I724" s="50"/>
      <c r="J724" s="50"/>
      <c r="K724" s="50"/>
      <c r="L724" s="50"/>
      <c r="M724" s="50"/>
      <c r="N724" s="50"/>
      <c r="O724" s="50"/>
      <c r="P724" s="50"/>
      <c r="Q724" s="50"/>
      <c r="R724" s="50"/>
      <c r="S724" s="50"/>
      <c r="T724" s="50"/>
      <c r="U724" s="50"/>
      <c r="V724" s="50"/>
      <c r="W724" s="50"/>
      <c r="X724" s="50"/>
      <c r="Y724" s="50"/>
      <c r="Z724" s="50"/>
      <c r="AA724" s="50"/>
      <c r="AB724" s="50"/>
    </row>
    <row r="725">
      <c r="A725" s="49"/>
      <c r="B725" s="49"/>
      <c r="C725" s="50"/>
      <c r="D725" s="50"/>
      <c r="E725" s="50"/>
      <c r="F725" s="50"/>
      <c r="G725" s="50"/>
      <c r="H725" s="50"/>
      <c r="I725" s="50"/>
      <c r="J725" s="50"/>
      <c r="K725" s="50"/>
      <c r="L725" s="50"/>
      <c r="M725" s="50"/>
      <c r="N725" s="50"/>
      <c r="O725" s="50"/>
      <c r="P725" s="50"/>
      <c r="Q725" s="50"/>
      <c r="R725" s="50"/>
      <c r="S725" s="50"/>
      <c r="T725" s="50"/>
      <c r="U725" s="50"/>
      <c r="V725" s="50"/>
      <c r="W725" s="50"/>
      <c r="X725" s="50"/>
      <c r="Y725" s="50"/>
      <c r="Z725" s="50"/>
      <c r="AA725" s="50"/>
      <c r="AB725" s="50"/>
    </row>
    <row r="726">
      <c r="A726" s="49"/>
      <c r="B726" s="49"/>
      <c r="C726" s="50"/>
      <c r="D726" s="50"/>
      <c r="E726" s="50"/>
      <c r="F726" s="50"/>
      <c r="G726" s="50"/>
      <c r="H726" s="50"/>
      <c r="I726" s="50"/>
      <c r="J726" s="50"/>
      <c r="K726" s="50"/>
      <c r="L726" s="50"/>
      <c r="M726" s="50"/>
      <c r="N726" s="50"/>
      <c r="O726" s="50"/>
      <c r="P726" s="50"/>
      <c r="Q726" s="50"/>
      <c r="R726" s="50"/>
      <c r="S726" s="50"/>
      <c r="T726" s="50"/>
      <c r="U726" s="50"/>
      <c r="V726" s="50"/>
      <c r="W726" s="50"/>
      <c r="X726" s="50"/>
      <c r="Y726" s="50"/>
      <c r="Z726" s="50"/>
      <c r="AA726" s="50"/>
      <c r="AB726" s="50"/>
    </row>
    <row r="727">
      <c r="A727" s="49"/>
      <c r="B727" s="49"/>
      <c r="C727" s="50"/>
      <c r="D727" s="50"/>
      <c r="E727" s="50"/>
      <c r="F727" s="50"/>
      <c r="G727" s="50"/>
      <c r="H727" s="50"/>
      <c r="I727" s="50"/>
      <c r="J727" s="50"/>
      <c r="K727" s="50"/>
      <c r="L727" s="50"/>
      <c r="M727" s="50"/>
      <c r="N727" s="50"/>
      <c r="O727" s="50"/>
      <c r="P727" s="50"/>
      <c r="Q727" s="50"/>
      <c r="R727" s="50"/>
      <c r="S727" s="50"/>
      <c r="T727" s="50"/>
      <c r="U727" s="50"/>
      <c r="V727" s="50"/>
      <c r="W727" s="50"/>
      <c r="X727" s="50"/>
      <c r="Y727" s="50"/>
      <c r="Z727" s="50"/>
      <c r="AA727" s="50"/>
      <c r="AB727" s="50"/>
    </row>
    <row r="728">
      <c r="A728" s="49"/>
      <c r="B728" s="49"/>
      <c r="C728" s="50"/>
      <c r="D728" s="50"/>
      <c r="E728" s="50"/>
      <c r="F728" s="50"/>
      <c r="G728" s="50"/>
      <c r="H728" s="50"/>
      <c r="I728" s="50"/>
      <c r="J728" s="50"/>
      <c r="K728" s="50"/>
      <c r="L728" s="50"/>
      <c r="M728" s="50"/>
      <c r="N728" s="50"/>
      <c r="O728" s="50"/>
      <c r="P728" s="50"/>
      <c r="Q728" s="50"/>
      <c r="R728" s="50"/>
      <c r="S728" s="50"/>
      <c r="T728" s="50"/>
      <c r="U728" s="50"/>
      <c r="V728" s="50"/>
      <c r="W728" s="50"/>
      <c r="X728" s="50"/>
      <c r="Y728" s="50"/>
      <c r="Z728" s="50"/>
      <c r="AA728" s="50"/>
      <c r="AB728" s="50"/>
    </row>
    <row r="729">
      <c r="A729" s="49"/>
      <c r="B729" s="49"/>
      <c r="C729" s="50"/>
      <c r="D729" s="50"/>
      <c r="E729" s="50"/>
      <c r="F729" s="50"/>
      <c r="G729" s="50"/>
      <c r="H729" s="50"/>
      <c r="I729" s="50"/>
      <c r="J729" s="50"/>
      <c r="K729" s="50"/>
      <c r="L729" s="50"/>
      <c r="M729" s="50"/>
      <c r="N729" s="50"/>
      <c r="O729" s="50"/>
      <c r="P729" s="50"/>
      <c r="Q729" s="50"/>
      <c r="R729" s="50"/>
      <c r="S729" s="50"/>
      <c r="T729" s="50"/>
      <c r="U729" s="50"/>
      <c r="V729" s="50"/>
      <c r="W729" s="50"/>
      <c r="X729" s="50"/>
      <c r="Y729" s="50"/>
      <c r="Z729" s="50"/>
      <c r="AA729" s="50"/>
      <c r="AB729" s="50"/>
    </row>
    <row r="730">
      <c r="A730" s="49"/>
      <c r="B730" s="49"/>
      <c r="C730" s="50"/>
      <c r="D730" s="50"/>
      <c r="E730" s="50"/>
      <c r="F730" s="50"/>
      <c r="G730" s="50"/>
      <c r="H730" s="50"/>
      <c r="I730" s="50"/>
      <c r="J730" s="50"/>
      <c r="K730" s="50"/>
      <c r="L730" s="50"/>
      <c r="M730" s="50"/>
      <c r="N730" s="50"/>
      <c r="O730" s="50"/>
      <c r="P730" s="50"/>
      <c r="Q730" s="50"/>
      <c r="R730" s="50"/>
      <c r="S730" s="50"/>
      <c r="T730" s="50"/>
      <c r="U730" s="50"/>
      <c r="V730" s="50"/>
      <c r="W730" s="50"/>
      <c r="X730" s="50"/>
      <c r="Y730" s="50"/>
      <c r="Z730" s="50"/>
      <c r="AA730" s="50"/>
      <c r="AB730" s="50"/>
    </row>
    <row r="731">
      <c r="A731" s="49"/>
      <c r="B731" s="49"/>
      <c r="C731" s="50"/>
      <c r="D731" s="50"/>
      <c r="E731" s="50"/>
      <c r="F731" s="50"/>
      <c r="G731" s="50"/>
      <c r="H731" s="50"/>
      <c r="I731" s="50"/>
      <c r="J731" s="50"/>
      <c r="K731" s="50"/>
      <c r="L731" s="50"/>
      <c r="M731" s="50"/>
      <c r="N731" s="50"/>
      <c r="O731" s="50"/>
      <c r="P731" s="50"/>
      <c r="Q731" s="50"/>
      <c r="R731" s="50"/>
      <c r="S731" s="50"/>
      <c r="T731" s="50"/>
      <c r="U731" s="50"/>
      <c r="V731" s="50"/>
      <c r="W731" s="50"/>
      <c r="X731" s="50"/>
      <c r="Y731" s="50"/>
      <c r="Z731" s="50"/>
      <c r="AA731" s="50"/>
      <c r="AB731" s="50"/>
    </row>
    <row r="732">
      <c r="A732" s="49"/>
      <c r="B732" s="49"/>
      <c r="C732" s="50"/>
      <c r="D732" s="50"/>
      <c r="E732" s="50"/>
      <c r="F732" s="50"/>
      <c r="G732" s="50"/>
      <c r="H732" s="50"/>
      <c r="I732" s="50"/>
      <c r="J732" s="50"/>
      <c r="K732" s="50"/>
      <c r="L732" s="50"/>
      <c r="M732" s="50"/>
      <c r="N732" s="50"/>
      <c r="O732" s="50"/>
      <c r="P732" s="50"/>
      <c r="Q732" s="50"/>
      <c r="R732" s="50"/>
      <c r="S732" s="50"/>
      <c r="T732" s="50"/>
      <c r="U732" s="50"/>
      <c r="V732" s="50"/>
      <c r="W732" s="50"/>
      <c r="X732" s="50"/>
      <c r="Y732" s="50"/>
      <c r="Z732" s="50"/>
      <c r="AA732" s="50"/>
      <c r="AB732" s="50"/>
    </row>
    <row r="733">
      <c r="A733" s="49"/>
      <c r="B733" s="49"/>
      <c r="C733" s="50"/>
      <c r="D733" s="50"/>
      <c r="E733" s="50"/>
      <c r="F733" s="50"/>
      <c r="G733" s="50"/>
      <c r="H733" s="50"/>
      <c r="I733" s="50"/>
      <c r="J733" s="50"/>
      <c r="K733" s="50"/>
      <c r="L733" s="50"/>
      <c r="M733" s="50"/>
      <c r="N733" s="50"/>
      <c r="O733" s="50"/>
      <c r="P733" s="50"/>
      <c r="Q733" s="50"/>
      <c r="R733" s="50"/>
      <c r="S733" s="50"/>
      <c r="T733" s="50"/>
      <c r="U733" s="50"/>
      <c r="V733" s="50"/>
      <c r="W733" s="50"/>
      <c r="X733" s="50"/>
      <c r="Y733" s="50"/>
      <c r="Z733" s="50"/>
      <c r="AA733" s="50"/>
      <c r="AB733" s="50"/>
    </row>
    <row r="734">
      <c r="A734" s="49"/>
      <c r="B734" s="49"/>
      <c r="C734" s="50"/>
      <c r="D734" s="50"/>
      <c r="E734" s="50"/>
      <c r="F734" s="50"/>
      <c r="G734" s="50"/>
      <c r="H734" s="50"/>
      <c r="I734" s="50"/>
      <c r="J734" s="50"/>
      <c r="K734" s="50"/>
      <c r="L734" s="50"/>
      <c r="M734" s="50"/>
      <c r="N734" s="50"/>
      <c r="O734" s="50"/>
      <c r="P734" s="50"/>
      <c r="Q734" s="50"/>
      <c r="R734" s="50"/>
      <c r="S734" s="50"/>
      <c r="T734" s="50"/>
      <c r="U734" s="50"/>
      <c r="V734" s="50"/>
      <c r="W734" s="50"/>
      <c r="X734" s="50"/>
      <c r="Y734" s="50"/>
      <c r="Z734" s="50"/>
      <c r="AA734" s="50"/>
      <c r="AB734" s="50"/>
    </row>
    <row r="735">
      <c r="A735" s="49"/>
      <c r="B735" s="49"/>
      <c r="C735" s="50"/>
      <c r="D735" s="50"/>
      <c r="E735" s="50"/>
      <c r="F735" s="50"/>
      <c r="G735" s="50"/>
      <c r="H735" s="50"/>
      <c r="I735" s="50"/>
      <c r="J735" s="50"/>
      <c r="K735" s="50"/>
      <c r="L735" s="50"/>
      <c r="M735" s="50"/>
      <c r="N735" s="50"/>
      <c r="O735" s="50"/>
      <c r="P735" s="50"/>
      <c r="Q735" s="50"/>
      <c r="R735" s="50"/>
      <c r="S735" s="50"/>
      <c r="T735" s="50"/>
      <c r="U735" s="50"/>
      <c r="V735" s="50"/>
      <c r="W735" s="50"/>
      <c r="X735" s="50"/>
      <c r="Y735" s="50"/>
      <c r="Z735" s="50"/>
      <c r="AA735" s="50"/>
      <c r="AB735" s="50"/>
    </row>
    <row r="736">
      <c r="A736" s="49"/>
      <c r="B736" s="49"/>
      <c r="C736" s="50"/>
      <c r="D736" s="50"/>
      <c r="E736" s="50"/>
      <c r="F736" s="50"/>
      <c r="G736" s="50"/>
      <c r="H736" s="50"/>
      <c r="I736" s="50"/>
      <c r="J736" s="50"/>
      <c r="K736" s="50"/>
      <c r="L736" s="50"/>
      <c r="M736" s="50"/>
      <c r="N736" s="50"/>
      <c r="O736" s="50"/>
      <c r="P736" s="50"/>
      <c r="Q736" s="50"/>
      <c r="R736" s="50"/>
      <c r="S736" s="50"/>
      <c r="T736" s="50"/>
      <c r="U736" s="50"/>
      <c r="V736" s="50"/>
      <c r="W736" s="50"/>
      <c r="X736" s="50"/>
      <c r="Y736" s="50"/>
      <c r="Z736" s="50"/>
      <c r="AA736" s="50"/>
      <c r="AB736" s="50"/>
    </row>
    <row r="737">
      <c r="A737" s="49"/>
      <c r="B737" s="49"/>
      <c r="C737" s="50"/>
      <c r="D737" s="50"/>
      <c r="E737" s="50"/>
      <c r="F737" s="50"/>
      <c r="G737" s="50"/>
      <c r="H737" s="50"/>
      <c r="I737" s="50"/>
      <c r="J737" s="50"/>
      <c r="K737" s="50"/>
      <c r="L737" s="50"/>
      <c r="M737" s="50"/>
      <c r="N737" s="50"/>
      <c r="O737" s="50"/>
      <c r="P737" s="50"/>
      <c r="Q737" s="50"/>
      <c r="R737" s="50"/>
      <c r="S737" s="50"/>
      <c r="T737" s="50"/>
      <c r="U737" s="50"/>
      <c r="V737" s="50"/>
      <c r="W737" s="50"/>
      <c r="X737" s="50"/>
      <c r="Y737" s="50"/>
      <c r="Z737" s="50"/>
      <c r="AA737" s="50"/>
      <c r="AB737" s="50"/>
    </row>
    <row r="738">
      <c r="A738" s="49"/>
      <c r="B738" s="49"/>
      <c r="C738" s="50"/>
      <c r="D738" s="50"/>
      <c r="E738" s="50"/>
      <c r="F738" s="50"/>
      <c r="G738" s="50"/>
      <c r="H738" s="50"/>
      <c r="I738" s="50"/>
      <c r="J738" s="50"/>
      <c r="K738" s="50"/>
      <c r="L738" s="50"/>
      <c r="M738" s="50"/>
      <c r="N738" s="50"/>
      <c r="O738" s="50"/>
      <c r="P738" s="50"/>
      <c r="Q738" s="50"/>
      <c r="R738" s="50"/>
      <c r="S738" s="50"/>
      <c r="T738" s="50"/>
      <c r="U738" s="50"/>
      <c r="V738" s="50"/>
      <c r="W738" s="50"/>
      <c r="X738" s="50"/>
      <c r="Y738" s="50"/>
      <c r="Z738" s="50"/>
      <c r="AA738" s="50"/>
      <c r="AB738" s="50"/>
    </row>
    <row r="739">
      <c r="A739" s="49"/>
      <c r="B739" s="49"/>
      <c r="C739" s="50"/>
      <c r="D739" s="50"/>
      <c r="E739" s="50"/>
      <c r="F739" s="50"/>
      <c r="G739" s="50"/>
      <c r="H739" s="50"/>
      <c r="I739" s="50"/>
      <c r="J739" s="50"/>
      <c r="K739" s="50"/>
      <c r="L739" s="50"/>
      <c r="M739" s="50"/>
      <c r="N739" s="50"/>
      <c r="O739" s="50"/>
      <c r="P739" s="50"/>
      <c r="Q739" s="50"/>
      <c r="R739" s="50"/>
      <c r="S739" s="50"/>
      <c r="T739" s="50"/>
      <c r="U739" s="50"/>
      <c r="V739" s="50"/>
      <c r="W739" s="50"/>
      <c r="X739" s="50"/>
      <c r="Y739" s="50"/>
      <c r="Z739" s="50"/>
      <c r="AA739" s="50"/>
      <c r="AB739" s="50"/>
    </row>
    <row r="740">
      <c r="A740" s="49"/>
      <c r="B740" s="49"/>
      <c r="C740" s="50"/>
      <c r="D740" s="50"/>
      <c r="E740" s="50"/>
      <c r="F740" s="50"/>
      <c r="G740" s="50"/>
      <c r="H740" s="50"/>
      <c r="I740" s="50"/>
      <c r="J740" s="50"/>
      <c r="K740" s="50"/>
      <c r="L740" s="50"/>
      <c r="M740" s="50"/>
      <c r="N740" s="50"/>
      <c r="O740" s="50"/>
      <c r="P740" s="50"/>
      <c r="Q740" s="50"/>
      <c r="R740" s="50"/>
      <c r="S740" s="50"/>
      <c r="T740" s="50"/>
      <c r="U740" s="50"/>
      <c r="V740" s="50"/>
      <c r="W740" s="50"/>
      <c r="X740" s="50"/>
      <c r="Y740" s="50"/>
      <c r="Z740" s="50"/>
      <c r="AA740" s="50"/>
      <c r="AB740" s="50"/>
    </row>
    <row r="741">
      <c r="A741" s="49"/>
      <c r="B741" s="49"/>
      <c r="C741" s="50"/>
      <c r="D741" s="50"/>
      <c r="E741" s="50"/>
      <c r="F741" s="50"/>
      <c r="G741" s="50"/>
      <c r="H741" s="50"/>
      <c r="I741" s="50"/>
      <c r="J741" s="50"/>
      <c r="K741" s="50"/>
      <c r="L741" s="50"/>
      <c r="M741" s="50"/>
      <c r="N741" s="50"/>
      <c r="O741" s="50"/>
      <c r="P741" s="50"/>
      <c r="Q741" s="50"/>
      <c r="R741" s="50"/>
      <c r="S741" s="50"/>
      <c r="T741" s="50"/>
      <c r="U741" s="50"/>
      <c r="V741" s="50"/>
      <c r="W741" s="50"/>
      <c r="X741" s="50"/>
      <c r="Y741" s="50"/>
      <c r="Z741" s="50"/>
      <c r="AA741" s="50"/>
      <c r="AB741" s="50"/>
    </row>
    <row r="742">
      <c r="A742" s="49"/>
      <c r="B742" s="49"/>
      <c r="C742" s="50"/>
      <c r="D742" s="50"/>
      <c r="E742" s="50"/>
      <c r="F742" s="50"/>
      <c r="G742" s="50"/>
      <c r="H742" s="50"/>
      <c r="I742" s="50"/>
      <c r="J742" s="50"/>
      <c r="K742" s="50"/>
      <c r="L742" s="50"/>
      <c r="M742" s="50"/>
      <c r="N742" s="50"/>
      <c r="O742" s="50"/>
      <c r="P742" s="50"/>
      <c r="Q742" s="50"/>
      <c r="R742" s="50"/>
      <c r="S742" s="50"/>
      <c r="T742" s="50"/>
      <c r="U742" s="50"/>
      <c r="V742" s="50"/>
      <c r="W742" s="50"/>
      <c r="X742" s="50"/>
      <c r="Y742" s="50"/>
      <c r="Z742" s="50"/>
      <c r="AA742" s="50"/>
      <c r="AB742" s="50"/>
    </row>
    <row r="743">
      <c r="A743" s="49"/>
      <c r="B743" s="49"/>
      <c r="C743" s="50"/>
      <c r="D743" s="50"/>
      <c r="E743" s="50"/>
      <c r="F743" s="50"/>
      <c r="G743" s="50"/>
      <c r="H743" s="50"/>
      <c r="I743" s="50"/>
      <c r="J743" s="50"/>
      <c r="K743" s="50"/>
      <c r="L743" s="50"/>
      <c r="M743" s="50"/>
      <c r="N743" s="50"/>
      <c r="O743" s="50"/>
      <c r="P743" s="50"/>
      <c r="Q743" s="50"/>
      <c r="R743" s="50"/>
      <c r="S743" s="50"/>
      <c r="T743" s="50"/>
      <c r="U743" s="50"/>
      <c r="V743" s="50"/>
      <c r="W743" s="50"/>
      <c r="X743" s="50"/>
      <c r="Y743" s="50"/>
      <c r="Z743" s="50"/>
      <c r="AA743" s="50"/>
      <c r="AB743" s="50"/>
    </row>
    <row r="744">
      <c r="A744" s="49"/>
      <c r="B744" s="49"/>
      <c r="C744" s="50"/>
      <c r="D744" s="50"/>
      <c r="E744" s="50"/>
      <c r="F744" s="50"/>
      <c r="G744" s="50"/>
      <c r="H744" s="50"/>
      <c r="I744" s="50"/>
      <c r="J744" s="50"/>
      <c r="K744" s="50"/>
      <c r="L744" s="50"/>
      <c r="M744" s="50"/>
      <c r="N744" s="50"/>
      <c r="O744" s="50"/>
      <c r="P744" s="50"/>
      <c r="Q744" s="50"/>
      <c r="R744" s="50"/>
      <c r="S744" s="50"/>
      <c r="T744" s="50"/>
      <c r="U744" s="50"/>
      <c r="V744" s="50"/>
      <c r="W744" s="50"/>
      <c r="X744" s="50"/>
      <c r="Y744" s="50"/>
      <c r="Z744" s="50"/>
      <c r="AA744" s="50"/>
      <c r="AB744" s="50"/>
    </row>
    <row r="745">
      <c r="A745" s="49"/>
      <c r="B745" s="49"/>
      <c r="C745" s="50"/>
      <c r="D745" s="50"/>
      <c r="E745" s="50"/>
      <c r="F745" s="50"/>
      <c r="G745" s="50"/>
      <c r="H745" s="50"/>
      <c r="I745" s="50"/>
      <c r="J745" s="50"/>
      <c r="K745" s="50"/>
      <c r="L745" s="50"/>
      <c r="M745" s="50"/>
      <c r="N745" s="50"/>
      <c r="O745" s="50"/>
      <c r="P745" s="50"/>
      <c r="Q745" s="50"/>
      <c r="R745" s="50"/>
      <c r="S745" s="50"/>
      <c r="T745" s="50"/>
      <c r="U745" s="50"/>
      <c r="V745" s="50"/>
      <c r="W745" s="50"/>
      <c r="X745" s="50"/>
      <c r="Y745" s="50"/>
      <c r="Z745" s="50"/>
      <c r="AA745" s="50"/>
      <c r="AB745" s="50"/>
    </row>
    <row r="746">
      <c r="A746" s="49"/>
      <c r="B746" s="49"/>
      <c r="C746" s="50"/>
      <c r="D746" s="50"/>
      <c r="E746" s="50"/>
      <c r="F746" s="50"/>
      <c r="G746" s="50"/>
      <c r="H746" s="50"/>
      <c r="I746" s="50"/>
      <c r="J746" s="50"/>
      <c r="K746" s="50"/>
      <c r="L746" s="50"/>
      <c r="M746" s="50"/>
      <c r="N746" s="50"/>
      <c r="O746" s="50"/>
      <c r="P746" s="50"/>
      <c r="Q746" s="50"/>
      <c r="R746" s="50"/>
      <c r="S746" s="50"/>
      <c r="T746" s="50"/>
      <c r="U746" s="50"/>
      <c r="V746" s="50"/>
      <c r="W746" s="50"/>
      <c r="X746" s="50"/>
      <c r="Y746" s="50"/>
      <c r="Z746" s="50"/>
      <c r="AA746" s="50"/>
      <c r="AB746" s="50"/>
    </row>
    <row r="747">
      <c r="A747" s="49"/>
      <c r="B747" s="49"/>
      <c r="C747" s="50"/>
      <c r="D747" s="50"/>
      <c r="E747" s="50"/>
      <c r="F747" s="50"/>
      <c r="G747" s="50"/>
      <c r="H747" s="50"/>
      <c r="I747" s="50"/>
      <c r="J747" s="50"/>
      <c r="K747" s="50"/>
      <c r="L747" s="50"/>
      <c r="M747" s="50"/>
      <c r="N747" s="50"/>
      <c r="O747" s="50"/>
      <c r="P747" s="50"/>
      <c r="Q747" s="50"/>
      <c r="R747" s="50"/>
      <c r="S747" s="50"/>
      <c r="T747" s="50"/>
      <c r="U747" s="50"/>
      <c r="V747" s="50"/>
      <c r="W747" s="50"/>
      <c r="X747" s="50"/>
      <c r="Y747" s="50"/>
      <c r="Z747" s="50"/>
      <c r="AA747" s="50"/>
      <c r="AB747" s="50"/>
    </row>
    <row r="748">
      <c r="A748" s="49"/>
      <c r="B748" s="49"/>
      <c r="C748" s="50"/>
      <c r="D748" s="50"/>
      <c r="E748" s="50"/>
      <c r="F748" s="50"/>
      <c r="G748" s="50"/>
      <c r="H748" s="50"/>
      <c r="I748" s="50"/>
      <c r="J748" s="50"/>
      <c r="K748" s="50"/>
      <c r="L748" s="50"/>
      <c r="M748" s="50"/>
      <c r="N748" s="50"/>
      <c r="O748" s="50"/>
      <c r="P748" s="50"/>
      <c r="Q748" s="50"/>
      <c r="R748" s="50"/>
      <c r="S748" s="50"/>
      <c r="T748" s="50"/>
      <c r="U748" s="50"/>
      <c r="V748" s="50"/>
      <c r="W748" s="50"/>
      <c r="X748" s="50"/>
      <c r="Y748" s="50"/>
      <c r="Z748" s="50"/>
      <c r="AA748" s="50"/>
      <c r="AB748" s="50"/>
    </row>
    <row r="749">
      <c r="A749" s="49"/>
      <c r="B749" s="49"/>
      <c r="C749" s="50"/>
      <c r="D749" s="50"/>
      <c r="E749" s="50"/>
      <c r="F749" s="50"/>
      <c r="G749" s="50"/>
      <c r="H749" s="50"/>
      <c r="I749" s="50"/>
      <c r="J749" s="50"/>
      <c r="K749" s="50"/>
      <c r="L749" s="50"/>
      <c r="M749" s="50"/>
      <c r="N749" s="50"/>
      <c r="O749" s="50"/>
      <c r="P749" s="50"/>
      <c r="Q749" s="50"/>
      <c r="R749" s="50"/>
      <c r="S749" s="50"/>
      <c r="T749" s="50"/>
      <c r="U749" s="50"/>
      <c r="V749" s="50"/>
      <c r="W749" s="50"/>
      <c r="X749" s="50"/>
      <c r="Y749" s="50"/>
      <c r="Z749" s="50"/>
      <c r="AA749" s="50"/>
      <c r="AB749" s="50"/>
    </row>
    <row r="750">
      <c r="A750" s="49"/>
      <c r="B750" s="49"/>
      <c r="C750" s="50"/>
      <c r="D750" s="50"/>
      <c r="E750" s="50"/>
      <c r="F750" s="50"/>
      <c r="G750" s="50"/>
      <c r="H750" s="50"/>
      <c r="I750" s="50"/>
      <c r="J750" s="50"/>
      <c r="K750" s="50"/>
      <c r="L750" s="50"/>
      <c r="M750" s="50"/>
      <c r="N750" s="50"/>
      <c r="O750" s="50"/>
      <c r="P750" s="50"/>
      <c r="Q750" s="50"/>
      <c r="R750" s="50"/>
      <c r="S750" s="50"/>
      <c r="T750" s="50"/>
      <c r="U750" s="50"/>
      <c r="V750" s="50"/>
      <c r="W750" s="50"/>
      <c r="X750" s="50"/>
      <c r="Y750" s="50"/>
      <c r="Z750" s="50"/>
      <c r="AA750" s="50"/>
      <c r="AB750" s="50"/>
    </row>
    <row r="751">
      <c r="A751" s="49"/>
      <c r="B751" s="49"/>
      <c r="C751" s="50"/>
      <c r="D751" s="50"/>
      <c r="E751" s="50"/>
      <c r="F751" s="50"/>
      <c r="G751" s="50"/>
      <c r="H751" s="50"/>
      <c r="I751" s="50"/>
      <c r="J751" s="50"/>
      <c r="K751" s="50"/>
      <c r="L751" s="50"/>
      <c r="M751" s="50"/>
      <c r="N751" s="50"/>
      <c r="O751" s="50"/>
      <c r="P751" s="50"/>
      <c r="Q751" s="50"/>
      <c r="R751" s="50"/>
      <c r="S751" s="50"/>
      <c r="T751" s="50"/>
      <c r="U751" s="50"/>
      <c r="V751" s="50"/>
      <c r="W751" s="50"/>
      <c r="X751" s="50"/>
      <c r="Y751" s="50"/>
      <c r="Z751" s="50"/>
      <c r="AA751" s="50"/>
      <c r="AB751" s="50"/>
    </row>
    <row r="752">
      <c r="A752" s="49"/>
      <c r="B752" s="49"/>
      <c r="C752" s="50"/>
      <c r="D752" s="50"/>
      <c r="E752" s="50"/>
      <c r="F752" s="50"/>
      <c r="G752" s="50"/>
      <c r="H752" s="50"/>
      <c r="I752" s="50"/>
      <c r="J752" s="50"/>
      <c r="K752" s="50"/>
      <c r="L752" s="50"/>
      <c r="M752" s="50"/>
      <c r="N752" s="50"/>
      <c r="O752" s="50"/>
      <c r="P752" s="50"/>
      <c r="Q752" s="50"/>
      <c r="R752" s="50"/>
      <c r="S752" s="50"/>
      <c r="T752" s="50"/>
      <c r="U752" s="50"/>
      <c r="V752" s="50"/>
      <c r="W752" s="50"/>
      <c r="X752" s="50"/>
      <c r="Y752" s="50"/>
      <c r="Z752" s="50"/>
      <c r="AA752" s="50"/>
      <c r="AB752" s="50"/>
    </row>
    <row r="753">
      <c r="A753" s="49"/>
      <c r="B753" s="49"/>
      <c r="C753" s="50"/>
      <c r="D753" s="50"/>
      <c r="E753" s="50"/>
      <c r="F753" s="50"/>
      <c r="G753" s="50"/>
      <c r="H753" s="50"/>
      <c r="I753" s="50"/>
      <c r="J753" s="50"/>
      <c r="K753" s="50"/>
      <c r="L753" s="50"/>
      <c r="M753" s="50"/>
      <c r="N753" s="50"/>
      <c r="O753" s="50"/>
      <c r="P753" s="50"/>
      <c r="Q753" s="50"/>
      <c r="R753" s="50"/>
      <c r="S753" s="50"/>
      <c r="T753" s="50"/>
      <c r="U753" s="50"/>
      <c r="V753" s="50"/>
      <c r="W753" s="50"/>
      <c r="X753" s="50"/>
      <c r="Y753" s="50"/>
      <c r="Z753" s="50"/>
      <c r="AA753" s="50"/>
      <c r="AB753" s="50"/>
    </row>
    <row r="754">
      <c r="A754" s="49"/>
      <c r="B754" s="49"/>
      <c r="C754" s="50"/>
      <c r="D754" s="50"/>
      <c r="E754" s="50"/>
      <c r="F754" s="50"/>
      <c r="G754" s="50"/>
      <c r="H754" s="50"/>
      <c r="I754" s="50"/>
      <c r="J754" s="50"/>
      <c r="K754" s="50"/>
      <c r="L754" s="50"/>
      <c r="M754" s="50"/>
      <c r="N754" s="50"/>
      <c r="O754" s="50"/>
      <c r="P754" s="50"/>
      <c r="Q754" s="50"/>
      <c r="R754" s="50"/>
      <c r="S754" s="50"/>
      <c r="T754" s="50"/>
      <c r="U754" s="50"/>
      <c r="V754" s="50"/>
      <c r="W754" s="50"/>
      <c r="X754" s="50"/>
      <c r="Y754" s="50"/>
      <c r="Z754" s="50"/>
      <c r="AA754" s="50"/>
      <c r="AB754" s="50"/>
    </row>
    <row r="755">
      <c r="A755" s="49"/>
      <c r="B755" s="49"/>
      <c r="C755" s="50"/>
      <c r="D755" s="50"/>
      <c r="E755" s="50"/>
      <c r="F755" s="50"/>
      <c r="G755" s="50"/>
      <c r="H755" s="50"/>
      <c r="I755" s="50"/>
      <c r="J755" s="50"/>
      <c r="K755" s="50"/>
      <c r="L755" s="50"/>
      <c r="M755" s="50"/>
      <c r="N755" s="50"/>
      <c r="O755" s="50"/>
      <c r="P755" s="50"/>
      <c r="Q755" s="50"/>
      <c r="R755" s="50"/>
      <c r="S755" s="50"/>
      <c r="T755" s="50"/>
      <c r="U755" s="50"/>
      <c r="V755" s="50"/>
      <c r="W755" s="50"/>
      <c r="X755" s="50"/>
      <c r="Y755" s="50"/>
      <c r="Z755" s="50"/>
      <c r="AA755" s="50"/>
      <c r="AB755" s="50"/>
    </row>
    <row r="756">
      <c r="A756" s="49"/>
      <c r="B756" s="49"/>
      <c r="C756" s="50"/>
      <c r="D756" s="50"/>
      <c r="E756" s="50"/>
      <c r="F756" s="50"/>
      <c r="G756" s="50"/>
      <c r="H756" s="50"/>
      <c r="I756" s="50"/>
      <c r="J756" s="50"/>
      <c r="K756" s="50"/>
      <c r="L756" s="50"/>
      <c r="M756" s="50"/>
      <c r="N756" s="50"/>
      <c r="O756" s="50"/>
      <c r="P756" s="50"/>
      <c r="Q756" s="50"/>
      <c r="R756" s="50"/>
      <c r="S756" s="50"/>
      <c r="T756" s="50"/>
      <c r="U756" s="50"/>
      <c r="V756" s="50"/>
      <c r="W756" s="50"/>
      <c r="X756" s="50"/>
      <c r="Y756" s="50"/>
      <c r="Z756" s="50"/>
      <c r="AA756" s="50"/>
      <c r="AB756" s="50"/>
    </row>
    <row r="757">
      <c r="A757" s="49"/>
      <c r="B757" s="49"/>
      <c r="C757" s="50"/>
      <c r="D757" s="50"/>
      <c r="E757" s="50"/>
      <c r="F757" s="50"/>
      <c r="G757" s="50"/>
      <c r="H757" s="50"/>
      <c r="I757" s="50"/>
      <c r="J757" s="50"/>
      <c r="K757" s="50"/>
      <c r="L757" s="50"/>
      <c r="M757" s="50"/>
      <c r="N757" s="50"/>
      <c r="O757" s="50"/>
      <c r="P757" s="50"/>
      <c r="Q757" s="50"/>
      <c r="R757" s="50"/>
      <c r="S757" s="50"/>
      <c r="T757" s="50"/>
      <c r="U757" s="50"/>
      <c r="V757" s="50"/>
      <c r="W757" s="50"/>
      <c r="X757" s="50"/>
      <c r="Y757" s="50"/>
      <c r="Z757" s="50"/>
      <c r="AA757" s="50"/>
      <c r="AB757" s="50"/>
    </row>
    <row r="758">
      <c r="A758" s="49"/>
      <c r="B758" s="49"/>
      <c r="C758" s="50"/>
      <c r="D758" s="50"/>
      <c r="E758" s="50"/>
      <c r="F758" s="50"/>
      <c r="G758" s="50"/>
      <c r="H758" s="50"/>
      <c r="I758" s="50"/>
      <c r="J758" s="50"/>
      <c r="K758" s="50"/>
      <c r="L758" s="50"/>
      <c r="M758" s="50"/>
      <c r="N758" s="50"/>
      <c r="O758" s="50"/>
      <c r="P758" s="50"/>
      <c r="Q758" s="50"/>
      <c r="R758" s="50"/>
      <c r="S758" s="50"/>
      <c r="T758" s="50"/>
      <c r="U758" s="50"/>
      <c r="V758" s="50"/>
      <c r="W758" s="50"/>
      <c r="X758" s="50"/>
      <c r="Y758" s="50"/>
      <c r="Z758" s="50"/>
      <c r="AA758" s="50"/>
      <c r="AB758" s="50"/>
    </row>
    <row r="759">
      <c r="A759" s="49"/>
      <c r="B759" s="49"/>
      <c r="C759" s="50"/>
      <c r="D759" s="50"/>
      <c r="E759" s="50"/>
      <c r="F759" s="50"/>
      <c r="G759" s="50"/>
      <c r="H759" s="50"/>
      <c r="I759" s="50"/>
      <c r="J759" s="50"/>
      <c r="K759" s="50"/>
      <c r="L759" s="50"/>
      <c r="M759" s="50"/>
      <c r="N759" s="50"/>
      <c r="O759" s="50"/>
      <c r="P759" s="50"/>
      <c r="Q759" s="50"/>
      <c r="R759" s="50"/>
      <c r="S759" s="50"/>
      <c r="T759" s="50"/>
      <c r="U759" s="50"/>
      <c r="V759" s="50"/>
      <c r="W759" s="50"/>
      <c r="X759" s="50"/>
      <c r="Y759" s="50"/>
      <c r="Z759" s="50"/>
      <c r="AA759" s="50"/>
      <c r="AB759" s="50"/>
    </row>
    <row r="760">
      <c r="A760" s="49"/>
      <c r="B760" s="49"/>
      <c r="C760" s="50"/>
      <c r="D760" s="50"/>
      <c r="E760" s="50"/>
      <c r="F760" s="50"/>
      <c r="G760" s="50"/>
      <c r="H760" s="50"/>
      <c r="I760" s="50"/>
      <c r="J760" s="50"/>
      <c r="K760" s="50"/>
      <c r="L760" s="50"/>
      <c r="M760" s="50"/>
      <c r="N760" s="50"/>
      <c r="O760" s="50"/>
      <c r="P760" s="50"/>
      <c r="Q760" s="50"/>
      <c r="R760" s="50"/>
      <c r="S760" s="50"/>
      <c r="T760" s="50"/>
      <c r="U760" s="50"/>
      <c r="V760" s="50"/>
      <c r="W760" s="50"/>
      <c r="X760" s="50"/>
      <c r="Y760" s="50"/>
      <c r="Z760" s="50"/>
      <c r="AA760" s="50"/>
      <c r="AB760" s="50"/>
    </row>
    <row r="761">
      <c r="A761" s="49"/>
      <c r="B761" s="49"/>
      <c r="C761" s="50"/>
      <c r="D761" s="50"/>
      <c r="E761" s="50"/>
      <c r="F761" s="50"/>
      <c r="G761" s="50"/>
      <c r="H761" s="50"/>
      <c r="I761" s="50"/>
      <c r="J761" s="50"/>
      <c r="K761" s="50"/>
      <c r="L761" s="50"/>
      <c r="M761" s="50"/>
      <c r="N761" s="50"/>
      <c r="O761" s="50"/>
      <c r="P761" s="50"/>
      <c r="Q761" s="50"/>
      <c r="R761" s="50"/>
      <c r="S761" s="50"/>
      <c r="T761" s="50"/>
      <c r="U761" s="50"/>
      <c r="V761" s="50"/>
      <c r="W761" s="50"/>
      <c r="X761" s="50"/>
      <c r="Y761" s="50"/>
      <c r="Z761" s="50"/>
      <c r="AA761" s="50"/>
      <c r="AB761" s="50"/>
    </row>
    <row r="762">
      <c r="A762" s="49"/>
      <c r="B762" s="49"/>
      <c r="C762" s="50"/>
      <c r="D762" s="50"/>
      <c r="E762" s="50"/>
      <c r="F762" s="50"/>
      <c r="G762" s="50"/>
      <c r="H762" s="50"/>
      <c r="I762" s="50"/>
      <c r="J762" s="50"/>
      <c r="K762" s="50"/>
      <c r="L762" s="50"/>
      <c r="M762" s="50"/>
      <c r="N762" s="50"/>
      <c r="O762" s="50"/>
      <c r="P762" s="50"/>
      <c r="Q762" s="50"/>
      <c r="R762" s="50"/>
      <c r="S762" s="50"/>
      <c r="T762" s="50"/>
      <c r="U762" s="50"/>
      <c r="V762" s="50"/>
      <c r="W762" s="50"/>
      <c r="X762" s="50"/>
      <c r="Y762" s="50"/>
      <c r="Z762" s="50"/>
      <c r="AA762" s="50"/>
      <c r="AB762" s="50"/>
    </row>
    <row r="763">
      <c r="A763" s="49"/>
      <c r="B763" s="49"/>
      <c r="C763" s="50"/>
      <c r="D763" s="50"/>
      <c r="E763" s="50"/>
      <c r="F763" s="50"/>
      <c r="G763" s="50"/>
      <c r="H763" s="50"/>
      <c r="I763" s="50"/>
      <c r="J763" s="50"/>
      <c r="K763" s="50"/>
      <c r="L763" s="50"/>
      <c r="M763" s="50"/>
      <c r="N763" s="50"/>
      <c r="O763" s="50"/>
      <c r="P763" s="50"/>
      <c r="Q763" s="50"/>
      <c r="R763" s="50"/>
      <c r="S763" s="50"/>
      <c r="T763" s="50"/>
      <c r="U763" s="50"/>
      <c r="V763" s="50"/>
      <c r="W763" s="50"/>
      <c r="X763" s="50"/>
      <c r="Y763" s="50"/>
      <c r="Z763" s="50"/>
      <c r="AA763" s="50"/>
      <c r="AB763" s="50"/>
    </row>
    <row r="764">
      <c r="A764" s="49"/>
      <c r="B764" s="49"/>
      <c r="C764" s="50"/>
      <c r="D764" s="50"/>
      <c r="E764" s="50"/>
      <c r="F764" s="50"/>
      <c r="G764" s="50"/>
      <c r="H764" s="50"/>
      <c r="I764" s="50"/>
      <c r="J764" s="50"/>
      <c r="K764" s="50"/>
      <c r="L764" s="50"/>
      <c r="M764" s="50"/>
      <c r="N764" s="50"/>
      <c r="O764" s="50"/>
      <c r="P764" s="50"/>
      <c r="Q764" s="50"/>
      <c r="R764" s="50"/>
      <c r="S764" s="50"/>
      <c r="T764" s="50"/>
      <c r="U764" s="50"/>
      <c r="V764" s="50"/>
      <c r="W764" s="50"/>
      <c r="X764" s="50"/>
      <c r="Y764" s="50"/>
      <c r="Z764" s="50"/>
      <c r="AA764" s="50"/>
      <c r="AB764" s="50"/>
    </row>
    <row r="765">
      <c r="A765" s="49"/>
      <c r="B765" s="49"/>
      <c r="C765" s="50"/>
      <c r="D765" s="50"/>
      <c r="E765" s="50"/>
      <c r="F765" s="50"/>
      <c r="G765" s="50"/>
      <c r="H765" s="50"/>
      <c r="I765" s="50"/>
      <c r="J765" s="50"/>
      <c r="K765" s="50"/>
      <c r="L765" s="50"/>
      <c r="M765" s="50"/>
      <c r="N765" s="50"/>
      <c r="O765" s="50"/>
      <c r="P765" s="50"/>
      <c r="Q765" s="50"/>
      <c r="R765" s="50"/>
      <c r="S765" s="50"/>
      <c r="T765" s="50"/>
      <c r="U765" s="50"/>
      <c r="V765" s="50"/>
      <c r="W765" s="50"/>
      <c r="X765" s="50"/>
      <c r="Y765" s="50"/>
      <c r="Z765" s="50"/>
      <c r="AA765" s="50"/>
      <c r="AB765" s="50"/>
    </row>
    <row r="766">
      <c r="A766" s="49"/>
      <c r="B766" s="49"/>
      <c r="C766" s="50"/>
      <c r="D766" s="50"/>
      <c r="E766" s="50"/>
      <c r="F766" s="50"/>
      <c r="G766" s="50"/>
      <c r="H766" s="50"/>
      <c r="I766" s="50"/>
      <c r="J766" s="50"/>
      <c r="K766" s="50"/>
      <c r="L766" s="50"/>
      <c r="M766" s="50"/>
      <c r="N766" s="50"/>
      <c r="O766" s="50"/>
      <c r="P766" s="50"/>
      <c r="Q766" s="50"/>
      <c r="R766" s="50"/>
      <c r="S766" s="50"/>
      <c r="T766" s="50"/>
      <c r="U766" s="50"/>
      <c r="V766" s="50"/>
      <c r="W766" s="50"/>
      <c r="X766" s="50"/>
      <c r="Y766" s="50"/>
      <c r="Z766" s="50"/>
      <c r="AA766" s="50"/>
      <c r="AB766" s="50"/>
    </row>
    <row r="767">
      <c r="A767" s="49"/>
      <c r="B767" s="49"/>
      <c r="C767" s="50"/>
      <c r="D767" s="50"/>
      <c r="E767" s="50"/>
      <c r="F767" s="50"/>
      <c r="G767" s="50"/>
      <c r="H767" s="50"/>
      <c r="I767" s="50"/>
      <c r="J767" s="50"/>
      <c r="K767" s="50"/>
      <c r="L767" s="50"/>
      <c r="M767" s="50"/>
      <c r="N767" s="50"/>
      <c r="O767" s="50"/>
      <c r="P767" s="50"/>
      <c r="Q767" s="50"/>
      <c r="R767" s="50"/>
      <c r="S767" s="50"/>
      <c r="T767" s="50"/>
      <c r="U767" s="50"/>
      <c r="V767" s="50"/>
      <c r="W767" s="50"/>
      <c r="X767" s="50"/>
      <c r="Y767" s="50"/>
      <c r="Z767" s="50"/>
      <c r="AA767" s="50"/>
      <c r="AB767" s="50"/>
    </row>
    <row r="768">
      <c r="A768" s="49"/>
      <c r="B768" s="49"/>
      <c r="C768" s="50"/>
      <c r="D768" s="50"/>
      <c r="E768" s="50"/>
      <c r="F768" s="50"/>
      <c r="G768" s="50"/>
      <c r="H768" s="50"/>
      <c r="I768" s="50"/>
      <c r="J768" s="50"/>
      <c r="K768" s="50"/>
      <c r="L768" s="50"/>
      <c r="M768" s="50"/>
      <c r="N768" s="50"/>
      <c r="O768" s="50"/>
      <c r="P768" s="50"/>
      <c r="Q768" s="50"/>
      <c r="R768" s="50"/>
      <c r="S768" s="50"/>
      <c r="T768" s="50"/>
      <c r="U768" s="50"/>
      <c r="V768" s="50"/>
      <c r="W768" s="50"/>
      <c r="X768" s="50"/>
      <c r="Y768" s="50"/>
      <c r="Z768" s="50"/>
      <c r="AA768" s="50"/>
      <c r="AB768" s="50"/>
    </row>
    <row r="769">
      <c r="A769" s="49"/>
      <c r="B769" s="49"/>
      <c r="C769" s="50"/>
      <c r="D769" s="50"/>
      <c r="E769" s="50"/>
      <c r="F769" s="50"/>
      <c r="G769" s="50"/>
      <c r="H769" s="50"/>
      <c r="I769" s="50"/>
      <c r="J769" s="50"/>
      <c r="K769" s="50"/>
      <c r="L769" s="50"/>
      <c r="M769" s="50"/>
      <c r="N769" s="50"/>
      <c r="O769" s="50"/>
      <c r="P769" s="50"/>
      <c r="Q769" s="50"/>
      <c r="R769" s="50"/>
      <c r="S769" s="50"/>
      <c r="T769" s="50"/>
      <c r="U769" s="50"/>
      <c r="V769" s="50"/>
      <c r="W769" s="50"/>
      <c r="X769" s="50"/>
      <c r="Y769" s="50"/>
      <c r="Z769" s="50"/>
      <c r="AA769" s="50"/>
      <c r="AB769" s="50"/>
    </row>
    <row r="770">
      <c r="A770" s="49"/>
      <c r="B770" s="49"/>
      <c r="C770" s="50"/>
      <c r="D770" s="50"/>
      <c r="E770" s="50"/>
      <c r="F770" s="50"/>
      <c r="G770" s="50"/>
      <c r="H770" s="50"/>
      <c r="I770" s="50"/>
      <c r="J770" s="50"/>
      <c r="K770" s="50"/>
      <c r="L770" s="50"/>
      <c r="M770" s="50"/>
      <c r="N770" s="50"/>
      <c r="O770" s="50"/>
      <c r="P770" s="50"/>
      <c r="Q770" s="50"/>
      <c r="R770" s="50"/>
      <c r="S770" s="50"/>
      <c r="T770" s="50"/>
      <c r="U770" s="50"/>
      <c r="V770" s="50"/>
      <c r="W770" s="50"/>
      <c r="X770" s="50"/>
      <c r="Y770" s="50"/>
      <c r="Z770" s="50"/>
      <c r="AA770" s="50"/>
      <c r="AB770" s="50"/>
    </row>
    <row r="771">
      <c r="A771" s="49"/>
      <c r="B771" s="49"/>
      <c r="C771" s="50"/>
      <c r="D771" s="50"/>
      <c r="E771" s="50"/>
      <c r="F771" s="50"/>
      <c r="G771" s="50"/>
      <c r="H771" s="50"/>
      <c r="I771" s="50"/>
      <c r="J771" s="50"/>
      <c r="K771" s="50"/>
      <c r="L771" s="50"/>
      <c r="M771" s="50"/>
      <c r="N771" s="50"/>
      <c r="O771" s="50"/>
      <c r="P771" s="50"/>
      <c r="Q771" s="50"/>
      <c r="R771" s="50"/>
      <c r="S771" s="50"/>
      <c r="T771" s="50"/>
      <c r="U771" s="50"/>
      <c r="V771" s="50"/>
      <c r="W771" s="50"/>
      <c r="X771" s="50"/>
      <c r="Y771" s="50"/>
      <c r="Z771" s="50"/>
      <c r="AA771" s="50"/>
      <c r="AB771" s="50"/>
    </row>
    <row r="772">
      <c r="A772" s="49"/>
      <c r="B772" s="49"/>
      <c r="C772" s="50"/>
      <c r="D772" s="50"/>
      <c r="E772" s="50"/>
      <c r="F772" s="50"/>
      <c r="G772" s="50"/>
      <c r="H772" s="50"/>
      <c r="I772" s="50"/>
      <c r="J772" s="50"/>
      <c r="K772" s="50"/>
      <c r="L772" s="50"/>
      <c r="M772" s="50"/>
      <c r="N772" s="50"/>
      <c r="O772" s="50"/>
      <c r="P772" s="50"/>
      <c r="Q772" s="50"/>
      <c r="R772" s="50"/>
      <c r="S772" s="50"/>
      <c r="T772" s="50"/>
      <c r="U772" s="50"/>
      <c r="V772" s="50"/>
      <c r="W772" s="50"/>
      <c r="X772" s="50"/>
      <c r="Y772" s="50"/>
      <c r="Z772" s="50"/>
      <c r="AA772" s="50"/>
      <c r="AB772" s="50"/>
    </row>
    <row r="773">
      <c r="A773" s="49"/>
      <c r="B773" s="49"/>
      <c r="C773" s="50"/>
      <c r="D773" s="50"/>
      <c r="E773" s="50"/>
      <c r="F773" s="50"/>
      <c r="G773" s="50"/>
      <c r="H773" s="50"/>
      <c r="I773" s="50"/>
      <c r="J773" s="50"/>
      <c r="K773" s="50"/>
      <c r="L773" s="50"/>
      <c r="M773" s="50"/>
      <c r="N773" s="50"/>
      <c r="O773" s="50"/>
      <c r="P773" s="50"/>
      <c r="Q773" s="50"/>
      <c r="R773" s="50"/>
      <c r="S773" s="50"/>
      <c r="T773" s="50"/>
      <c r="U773" s="50"/>
      <c r="V773" s="50"/>
      <c r="W773" s="50"/>
      <c r="X773" s="50"/>
      <c r="Y773" s="50"/>
      <c r="Z773" s="50"/>
      <c r="AA773" s="50"/>
      <c r="AB773" s="50"/>
    </row>
    <row r="774">
      <c r="A774" s="49"/>
      <c r="B774" s="49"/>
      <c r="C774" s="50"/>
      <c r="D774" s="50"/>
      <c r="E774" s="50"/>
      <c r="F774" s="50"/>
      <c r="G774" s="50"/>
      <c r="H774" s="50"/>
      <c r="I774" s="50"/>
      <c r="J774" s="50"/>
      <c r="K774" s="50"/>
      <c r="L774" s="50"/>
      <c r="M774" s="50"/>
      <c r="N774" s="50"/>
      <c r="O774" s="50"/>
      <c r="P774" s="50"/>
      <c r="Q774" s="50"/>
      <c r="R774" s="50"/>
      <c r="S774" s="50"/>
      <c r="T774" s="50"/>
      <c r="U774" s="50"/>
      <c r="V774" s="50"/>
      <c r="W774" s="50"/>
      <c r="X774" s="50"/>
      <c r="Y774" s="50"/>
      <c r="Z774" s="50"/>
      <c r="AA774" s="50"/>
      <c r="AB774" s="50"/>
    </row>
    <row r="775">
      <c r="A775" s="49"/>
      <c r="B775" s="49"/>
      <c r="C775" s="50"/>
      <c r="D775" s="50"/>
      <c r="E775" s="50"/>
      <c r="F775" s="50"/>
      <c r="G775" s="50"/>
      <c r="H775" s="50"/>
      <c r="I775" s="50"/>
      <c r="J775" s="50"/>
      <c r="K775" s="50"/>
      <c r="L775" s="50"/>
      <c r="M775" s="50"/>
      <c r="N775" s="50"/>
      <c r="O775" s="50"/>
      <c r="P775" s="50"/>
      <c r="Q775" s="50"/>
      <c r="R775" s="50"/>
      <c r="S775" s="50"/>
      <c r="T775" s="50"/>
      <c r="U775" s="50"/>
      <c r="V775" s="50"/>
      <c r="W775" s="50"/>
      <c r="X775" s="50"/>
      <c r="Y775" s="50"/>
      <c r="Z775" s="50"/>
      <c r="AA775" s="50"/>
      <c r="AB775" s="50"/>
    </row>
    <row r="776">
      <c r="A776" s="49"/>
      <c r="B776" s="49"/>
      <c r="C776" s="50"/>
      <c r="D776" s="50"/>
      <c r="E776" s="50"/>
      <c r="F776" s="50"/>
      <c r="G776" s="50"/>
      <c r="H776" s="50"/>
      <c r="I776" s="50"/>
      <c r="J776" s="50"/>
      <c r="K776" s="50"/>
      <c r="L776" s="50"/>
      <c r="M776" s="50"/>
      <c r="N776" s="50"/>
      <c r="O776" s="50"/>
      <c r="P776" s="50"/>
      <c r="Q776" s="50"/>
      <c r="R776" s="50"/>
      <c r="S776" s="50"/>
      <c r="T776" s="50"/>
      <c r="U776" s="50"/>
      <c r="V776" s="50"/>
      <c r="W776" s="50"/>
      <c r="X776" s="50"/>
      <c r="Y776" s="50"/>
      <c r="Z776" s="50"/>
      <c r="AA776" s="50"/>
      <c r="AB776" s="50"/>
    </row>
    <row r="777">
      <c r="A777" s="49"/>
      <c r="B777" s="49"/>
      <c r="C777" s="50"/>
      <c r="D777" s="50"/>
      <c r="E777" s="50"/>
      <c r="F777" s="50"/>
      <c r="G777" s="50"/>
      <c r="H777" s="50"/>
      <c r="I777" s="50"/>
      <c r="J777" s="50"/>
      <c r="K777" s="50"/>
      <c r="L777" s="50"/>
      <c r="M777" s="50"/>
      <c r="N777" s="50"/>
      <c r="O777" s="50"/>
      <c r="P777" s="50"/>
      <c r="Q777" s="50"/>
      <c r="R777" s="50"/>
      <c r="S777" s="50"/>
      <c r="T777" s="50"/>
      <c r="U777" s="50"/>
      <c r="V777" s="50"/>
      <c r="W777" s="50"/>
      <c r="X777" s="50"/>
      <c r="Y777" s="50"/>
      <c r="Z777" s="50"/>
      <c r="AA777" s="50"/>
      <c r="AB777" s="50"/>
    </row>
    <row r="778">
      <c r="A778" s="49"/>
      <c r="B778" s="49"/>
      <c r="C778" s="50"/>
      <c r="D778" s="50"/>
      <c r="E778" s="50"/>
      <c r="F778" s="50"/>
      <c r="G778" s="50"/>
      <c r="H778" s="50"/>
      <c r="I778" s="50"/>
      <c r="J778" s="50"/>
      <c r="K778" s="50"/>
      <c r="L778" s="50"/>
      <c r="M778" s="50"/>
      <c r="N778" s="50"/>
      <c r="O778" s="50"/>
      <c r="P778" s="50"/>
      <c r="Q778" s="50"/>
      <c r="R778" s="50"/>
      <c r="S778" s="50"/>
      <c r="T778" s="50"/>
      <c r="U778" s="50"/>
      <c r="V778" s="50"/>
      <c r="W778" s="50"/>
      <c r="X778" s="50"/>
      <c r="Y778" s="50"/>
      <c r="Z778" s="50"/>
      <c r="AA778" s="50"/>
      <c r="AB778" s="50"/>
    </row>
    <row r="779">
      <c r="A779" s="49"/>
      <c r="B779" s="49"/>
      <c r="C779" s="50"/>
      <c r="D779" s="50"/>
      <c r="E779" s="50"/>
      <c r="F779" s="50"/>
      <c r="G779" s="50"/>
      <c r="H779" s="50"/>
      <c r="I779" s="50"/>
      <c r="J779" s="50"/>
      <c r="K779" s="50"/>
      <c r="L779" s="50"/>
      <c r="M779" s="50"/>
      <c r="N779" s="50"/>
      <c r="O779" s="50"/>
      <c r="P779" s="50"/>
      <c r="Q779" s="50"/>
      <c r="R779" s="50"/>
      <c r="S779" s="50"/>
      <c r="T779" s="50"/>
      <c r="U779" s="50"/>
      <c r="V779" s="50"/>
      <c r="W779" s="50"/>
      <c r="X779" s="50"/>
      <c r="Y779" s="50"/>
      <c r="Z779" s="50"/>
      <c r="AA779" s="50"/>
      <c r="AB779" s="50"/>
    </row>
    <row r="780">
      <c r="A780" s="49"/>
      <c r="B780" s="49"/>
      <c r="C780" s="50"/>
      <c r="D780" s="50"/>
      <c r="E780" s="50"/>
      <c r="F780" s="50"/>
      <c r="G780" s="50"/>
      <c r="H780" s="50"/>
      <c r="I780" s="50"/>
      <c r="J780" s="50"/>
      <c r="K780" s="50"/>
      <c r="L780" s="50"/>
      <c r="M780" s="50"/>
      <c r="N780" s="50"/>
      <c r="O780" s="50"/>
      <c r="P780" s="50"/>
      <c r="Q780" s="50"/>
      <c r="R780" s="50"/>
      <c r="S780" s="50"/>
      <c r="T780" s="50"/>
      <c r="U780" s="50"/>
      <c r="V780" s="50"/>
      <c r="W780" s="50"/>
      <c r="X780" s="50"/>
      <c r="Y780" s="50"/>
      <c r="Z780" s="50"/>
      <c r="AA780" s="50"/>
      <c r="AB780" s="50"/>
    </row>
    <row r="781">
      <c r="A781" s="49"/>
      <c r="B781" s="49"/>
      <c r="C781" s="50"/>
      <c r="D781" s="50"/>
      <c r="E781" s="50"/>
      <c r="F781" s="50"/>
      <c r="G781" s="50"/>
      <c r="H781" s="50"/>
      <c r="I781" s="50"/>
      <c r="J781" s="50"/>
      <c r="K781" s="50"/>
      <c r="L781" s="50"/>
      <c r="M781" s="50"/>
      <c r="N781" s="50"/>
      <c r="O781" s="50"/>
      <c r="P781" s="50"/>
      <c r="Q781" s="50"/>
      <c r="R781" s="50"/>
      <c r="S781" s="50"/>
      <c r="T781" s="50"/>
      <c r="U781" s="50"/>
      <c r="V781" s="50"/>
      <c r="W781" s="50"/>
      <c r="X781" s="50"/>
      <c r="Y781" s="50"/>
      <c r="Z781" s="50"/>
      <c r="AA781" s="50"/>
      <c r="AB781" s="50"/>
    </row>
    <row r="782">
      <c r="A782" s="49"/>
      <c r="B782" s="49"/>
      <c r="C782" s="50"/>
      <c r="D782" s="50"/>
      <c r="E782" s="50"/>
      <c r="F782" s="50"/>
      <c r="G782" s="50"/>
      <c r="H782" s="50"/>
      <c r="I782" s="50"/>
      <c r="J782" s="50"/>
      <c r="K782" s="50"/>
      <c r="L782" s="50"/>
      <c r="M782" s="50"/>
      <c r="N782" s="50"/>
      <c r="O782" s="50"/>
      <c r="P782" s="50"/>
      <c r="Q782" s="50"/>
      <c r="R782" s="50"/>
      <c r="S782" s="50"/>
      <c r="T782" s="50"/>
      <c r="U782" s="50"/>
      <c r="V782" s="50"/>
      <c r="W782" s="50"/>
      <c r="X782" s="50"/>
      <c r="Y782" s="50"/>
      <c r="Z782" s="50"/>
      <c r="AA782" s="50"/>
      <c r="AB782" s="50"/>
    </row>
    <row r="783">
      <c r="A783" s="49"/>
      <c r="B783" s="49"/>
      <c r="C783" s="50"/>
      <c r="D783" s="50"/>
      <c r="E783" s="50"/>
      <c r="F783" s="50"/>
      <c r="G783" s="50"/>
      <c r="H783" s="50"/>
      <c r="I783" s="50"/>
      <c r="J783" s="50"/>
      <c r="K783" s="50"/>
      <c r="L783" s="50"/>
      <c r="M783" s="50"/>
      <c r="N783" s="50"/>
      <c r="O783" s="50"/>
      <c r="P783" s="50"/>
      <c r="Q783" s="50"/>
      <c r="R783" s="50"/>
      <c r="S783" s="50"/>
      <c r="T783" s="50"/>
      <c r="U783" s="50"/>
      <c r="V783" s="50"/>
      <c r="W783" s="50"/>
      <c r="X783" s="50"/>
      <c r="Y783" s="50"/>
      <c r="Z783" s="50"/>
      <c r="AA783" s="50"/>
      <c r="AB783" s="50"/>
    </row>
    <row r="784">
      <c r="A784" s="49"/>
      <c r="B784" s="49"/>
      <c r="C784" s="50"/>
      <c r="D784" s="50"/>
      <c r="E784" s="50"/>
      <c r="F784" s="50"/>
      <c r="G784" s="50"/>
      <c r="H784" s="50"/>
      <c r="I784" s="50"/>
      <c r="J784" s="50"/>
      <c r="K784" s="50"/>
      <c r="L784" s="50"/>
      <c r="M784" s="50"/>
      <c r="N784" s="50"/>
      <c r="O784" s="50"/>
      <c r="P784" s="50"/>
      <c r="Q784" s="50"/>
      <c r="R784" s="50"/>
      <c r="S784" s="50"/>
      <c r="T784" s="50"/>
      <c r="U784" s="50"/>
      <c r="V784" s="50"/>
      <c r="W784" s="50"/>
      <c r="X784" s="50"/>
      <c r="Y784" s="50"/>
      <c r="Z784" s="50"/>
      <c r="AA784" s="50"/>
      <c r="AB784" s="50"/>
    </row>
    <row r="785">
      <c r="A785" s="49"/>
      <c r="B785" s="49"/>
      <c r="C785" s="50"/>
      <c r="D785" s="50"/>
      <c r="E785" s="50"/>
      <c r="F785" s="50"/>
      <c r="G785" s="50"/>
      <c r="H785" s="50"/>
      <c r="I785" s="50"/>
      <c r="J785" s="50"/>
      <c r="K785" s="50"/>
      <c r="L785" s="50"/>
      <c r="M785" s="50"/>
      <c r="N785" s="50"/>
      <c r="O785" s="50"/>
      <c r="P785" s="50"/>
      <c r="Q785" s="50"/>
      <c r="R785" s="50"/>
      <c r="S785" s="50"/>
      <c r="T785" s="50"/>
      <c r="U785" s="50"/>
      <c r="V785" s="50"/>
      <c r="W785" s="50"/>
      <c r="X785" s="50"/>
      <c r="Y785" s="50"/>
      <c r="Z785" s="50"/>
      <c r="AA785" s="50"/>
      <c r="AB785" s="50"/>
    </row>
    <row r="786">
      <c r="A786" s="49"/>
      <c r="B786" s="49"/>
      <c r="C786" s="50"/>
      <c r="D786" s="50"/>
      <c r="E786" s="50"/>
      <c r="F786" s="50"/>
      <c r="G786" s="50"/>
      <c r="H786" s="50"/>
      <c r="I786" s="50"/>
      <c r="J786" s="50"/>
      <c r="K786" s="50"/>
      <c r="L786" s="50"/>
      <c r="M786" s="50"/>
      <c r="N786" s="50"/>
      <c r="O786" s="50"/>
      <c r="P786" s="50"/>
      <c r="Q786" s="50"/>
      <c r="R786" s="50"/>
      <c r="S786" s="50"/>
      <c r="T786" s="50"/>
      <c r="U786" s="50"/>
      <c r="V786" s="50"/>
      <c r="W786" s="50"/>
      <c r="X786" s="50"/>
      <c r="Y786" s="50"/>
      <c r="Z786" s="50"/>
      <c r="AA786" s="50"/>
      <c r="AB786" s="50"/>
    </row>
    <row r="787">
      <c r="A787" s="49"/>
      <c r="B787" s="49"/>
      <c r="C787" s="50"/>
      <c r="D787" s="50"/>
      <c r="E787" s="50"/>
      <c r="F787" s="50"/>
      <c r="G787" s="50"/>
      <c r="H787" s="50"/>
      <c r="I787" s="50"/>
      <c r="J787" s="50"/>
      <c r="K787" s="50"/>
      <c r="L787" s="50"/>
      <c r="M787" s="50"/>
      <c r="N787" s="50"/>
      <c r="O787" s="50"/>
      <c r="P787" s="50"/>
      <c r="Q787" s="50"/>
      <c r="R787" s="50"/>
      <c r="S787" s="50"/>
      <c r="T787" s="50"/>
      <c r="U787" s="50"/>
      <c r="V787" s="50"/>
      <c r="W787" s="50"/>
      <c r="X787" s="50"/>
      <c r="Y787" s="50"/>
      <c r="Z787" s="50"/>
      <c r="AA787" s="50"/>
      <c r="AB787" s="50"/>
    </row>
    <row r="788">
      <c r="A788" s="49"/>
      <c r="B788" s="49"/>
      <c r="C788" s="50"/>
      <c r="D788" s="50"/>
      <c r="E788" s="50"/>
      <c r="F788" s="50"/>
      <c r="G788" s="50"/>
      <c r="H788" s="50"/>
      <c r="I788" s="50"/>
      <c r="J788" s="50"/>
      <c r="K788" s="50"/>
      <c r="L788" s="50"/>
      <c r="M788" s="50"/>
      <c r="N788" s="50"/>
      <c r="O788" s="50"/>
      <c r="P788" s="50"/>
      <c r="Q788" s="50"/>
      <c r="R788" s="50"/>
      <c r="S788" s="50"/>
      <c r="T788" s="50"/>
      <c r="U788" s="50"/>
      <c r="V788" s="50"/>
      <c r="W788" s="50"/>
      <c r="X788" s="50"/>
      <c r="Y788" s="50"/>
      <c r="Z788" s="50"/>
      <c r="AA788" s="50"/>
      <c r="AB788" s="50"/>
    </row>
    <row r="789">
      <c r="A789" s="49"/>
      <c r="B789" s="49"/>
      <c r="C789" s="50"/>
      <c r="D789" s="50"/>
      <c r="E789" s="50"/>
      <c r="F789" s="50"/>
      <c r="G789" s="50"/>
      <c r="H789" s="50"/>
      <c r="I789" s="50"/>
      <c r="J789" s="50"/>
      <c r="K789" s="50"/>
      <c r="L789" s="50"/>
      <c r="M789" s="50"/>
      <c r="N789" s="50"/>
      <c r="O789" s="50"/>
      <c r="P789" s="50"/>
      <c r="Q789" s="50"/>
      <c r="R789" s="50"/>
      <c r="S789" s="50"/>
      <c r="T789" s="50"/>
      <c r="U789" s="50"/>
      <c r="V789" s="50"/>
      <c r="W789" s="50"/>
      <c r="X789" s="50"/>
      <c r="Y789" s="50"/>
      <c r="Z789" s="50"/>
      <c r="AA789" s="50"/>
      <c r="AB789" s="50"/>
    </row>
    <row r="790">
      <c r="A790" s="49"/>
      <c r="B790" s="49"/>
      <c r="C790" s="50"/>
      <c r="D790" s="50"/>
      <c r="E790" s="50"/>
      <c r="F790" s="50"/>
      <c r="G790" s="50"/>
      <c r="H790" s="50"/>
      <c r="I790" s="50"/>
      <c r="J790" s="50"/>
      <c r="K790" s="50"/>
      <c r="L790" s="50"/>
      <c r="M790" s="50"/>
      <c r="N790" s="50"/>
      <c r="O790" s="50"/>
      <c r="P790" s="50"/>
      <c r="Q790" s="50"/>
      <c r="R790" s="50"/>
      <c r="S790" s="50"/>
      <c r="T790" s="50"/>
      <c r="U790" s="50"/>
      <c r="V790" s="50"/>
      <c r="W790" s="50"/>
      <c r="X790" s="50"/>
      <c r="Y790" s="50"/>
      <c r="Z790" s="50"/>
      <c r="AA790" s="50"/>
      <c r="AB790" s="50"/>
    </row>
    <row r="791">
      <c r="A791" s="49"/>
      <c r="B791" s="49"/>
      <c r="C791" s="50"/>
      <c r="D791" s="50"/>
      <c r="E791" s="50"/>
      <c r="F791" s="50"/>
      <c r="G791" s="50"/>
      <c r="H791" s="50"/>
      <c r="I791" s="50"/>
      <c r="J791" s="50"/>
      <c r="K791" s="50"/>
      <c r="L791" s="50"/>
      <c r="M791" s="50"/>
      <c r="N791" s="50"/>
      <c r="O791" s="50"/>
      <c r="P791" s="50"/>
      <c r="Q791" s="50"/>
      <c r="R791" s="50"/>
      <c r="S791" s="50"/>
      <c r="T791" s="50"/>
      <c r="U791" s="50"/>
      <c r="V791" s="50"/>
      <c r="W791" s="50"/>
      <c r="X791" s="50"/>
      <c r="Y791" s="50"/>
      <c r="Z791" s="50"/>
      <c r="AA791" s="50"/>
      <c r="AB791" s="50"/>
    </row>
    <row r="792">
      <c r="A792" s="49"/>
      <c r="B792" s="49"/>
      <c r="C792" s="50"/>
      <c r="D792" s="50"/>
      <c r="E792" s="50"/>
      <c r="F792" s="50"/>
      <c r="G792" s="50"/>
      <c r="H792" s="50"/>
      <c r="I792" s="50"/>
      <c r="J792" s="50"/>
      <c r="K792" s="50"/>
      <c r="L792" s="50"/>
      <c r="M792" s="50"/>
      <c r="N792" s="50"/>
      <c r="O792" s="50"/>
      <c r="P792" s="50"/>
      <c r="Q792" s="50"/>
      <c r="R792" s="50"/>
      <c r="S792" s="50"/>
      <c r="T792" s="50"/>
      <c r="U792" s="50"/>
      <c r="V792" s="50"/>
      <c r="W792" s="50"/>
      <c r="X792" s="50"/>
      <c r="Y792" s="50"/>
      <c r="Z792" s="50"/>
      <c r="AA792" s="50"/>
      <c r="AB792" s="50"/>
    </row>
    <row r="793">
      <c r="A793" s="49"/>
      <c r="B793" s="49"/>
      <c r="C793" s="50"/>
      <c r="D793" s="50"/>
      <c r="E793" s="50"/>
      <c r="F793" s="50"/>
      <c r="G793" s="50"/>
      <c r="H793" s="50"/>
      <c r="I793" s="50"/>
      <c r="J793" s="50"/>
      <c r="K793" s="50"/>
      <c r="L793" s="50"/>
      <c r="M793" s="50"/>
      <c r="N793" s="50"/>
      <c r="O793" s="50"/>
      <c r="P793" s="50"/>
      <c r="Q793" s="50"/>
      <c r="R793" s="50"/>
      <c r="S793" s="50"/>
      <c r="T793" s="50"/>
      <c r="U793" s="50"/>
      <c r="V793" s="50"/>
      <c r="W793" s="50"/>
      <c r="X793" s="50"/>
      <c r="Y793" s="50"/>
      <c r="Z793" s="50"/>
      <c r="AA793" s="50"/>
      <c r="AB793" s="50"/>
    </row>
    <row r="794">
      <c r="A794" s="49"/>
      <c r="B794" s="49"/>
      <c r="C794" s="50"/>
      <c r="D794" s="50"/>
      <c r="E794" s="50"/>
      <c r="F794" s="50"/>
      <c r="G794" s="50"/>
      <c r="H794" s="50"/>
      <c r="I794" s="50"/>
      <c r="J794" s="50"/>
      <c r="K794" s="50"/>
      <c r="L794" s="50"/>
      <c r="M794" s="50"/>
      <c r="N794" s="50"/>
      <c r="O794" s="50"/>
      <c r="P794" s="50"/>
      <c r="Q794" s="50"/>
      <c r="R794" s="50"/>
      <c r="S794" s="50"/>
      <c r="T794" s="50"/>
      <c r="U794" s="50"/>
      <c r="V794" s="50"/>
      <c r="W794" s="50"/>
      <c r="X794" s="50"/>
      <c r="Y794" s="50"/>
      <c r="Z794" s="50"/>
      <c r="AA794" s="50"/>
      <c r="AB794" s="50"/>
    </row>
    <row r="795">
      <c r="A795" s="49"/>
      <c r="B795" s="49"/>
      <c r="C795" s="50"/>
      <c r="D795" s="50"/>
      <c r="E795" s="50"/>
      <c r="F795" s="50"/>
      <c r="G795" s="50"/>
      <c r="H795" s="50"/>
      <c r="I795" s="50"/>
      <c r="J795" s="50"/>
      <c r="K795" s="50"/>
      <c r="L795" s="50"/>
      <c r="M795" s="50"/>
      <c r="N795" s="50"/>
      <c r="O795" s="50"/>
      <c r="P795" s="50"/>
      <c r="Q795" s="50"/>
      <c r="R795" s="50"/>
      <c r="S795" s="50"/>
      <c r="T795" s="50"/>
      <c r="U795" s="50"/>
      <c r="V795" s="50"/>
      <c r="W795" s="50"/>
      <c r="X795" s="50"/>
      <c r="Y795" s="50"/>
      <c r="Z795" s="50"/>
      <c r="AA795" s="50"/>
      <c r="AB795" s="50"/>
    </row>
    <row r="796">
      <c r="A796" s="49"/>
      <c r="B796" s="49"/>
      <c r="C796" s="50"/>
      <c r="D796" s="50"/>
      <c r="E796" s="50"/>
      <c r="F796" s="50"/>
      <c r="G796" s="50"/>
      <c r="H796" s="50"/>
      <c r="I796" s="50"/>
      <c r="J796" s="50"/>
      <c r="K796" s="50"/>
      <c r="L796" s="50"/>
      <c r="M796" s="50"/>
      <c r="N796" s="50"/>
      <c r="O796" s="50"/>
      <c r="P796" s="50"/>
      <c r="Q796" s="50"/>
      <c r="R796" s="50"/>
      <c r="S796" s="50"/>
      <c r="T796" s="50"/>
      <c r="U796" s="50"/>
      <c r="V796" s="50"/>
      <c r="W796" s="50"/>
      <c r="X796" s="50"/>
      <c r="Y796" s="50"/>
      <c r="Z796" s="50"/>
      <c r="AA796" s="50"/>
      <c r="AB796" s="50"/>
    </row>
    <row r="797">
      <c r="A797" s="49"/>
      <c r="B797" s="49"/>
      <c r="C797" s="50"/>
      <c r="D797" s="50"/>
      <c r="E797" s="50"/>
      <c r="F797" s="50"/>
      <c r="G797" s="50"/>
      <c r="H797" s="50"/>
      <c r="I797" s="50"/>
      <c r="J797" s="50"/>
      <c r="K797" s="50"/>
      <c r="L797" s="50"/>
      <c r="M797" s="50"/>
      <c r="N797" s="50"/>
      <c r="O797" s="50"/>
      <c r="P797" s="50"/>
      <c r="Q797" s="50"/>
      <c r="R797" s="50"/>
      <c r="S797" s="50"/>
      <c r="T797" s="50"/>
      <c r="U797" s="50"/>
      <c r="V797" s="50"/>
      <c r="W797" s="50"/>
      <c r="X797" s="50"/>
      <c r="Y797" s="50"/>
      <c r="Z797" s="50"/>
      <c r="AA797" s="50"/>
      <c r="AB797" s="50"/>
    </row>
    <row r="798">
      <c r="A798" s="49"/>
      <c r="B798" s="49"/>
      <c r="C798" s="50"/>
      <c r="D798" s="50"/>
      <c r="E798" s="50"/>
      <c r="F798" s="50"/>
      <c r="G798" s="50"/>
      <c r="H798" s="50"/>
      <c r="I798" s="50"/>
      <c r="J798" s="50"/>
      <c r="K798" s="50"/>
      <c r="L798" s="50"/>
      <c r="M798" s="50"/>
      <c r="N798" s="50"/>
      <c r="O798" s="50"/>
      <c r="P798" s="50"/>
      <c r="Q798" s="50"/>
      <c r="R798" s="50"/>
      <c r="S798" s="50"/>
      <c r="T798" s="50"/>
      <c r="U798" s="50"/>
      <c r="V798" s="50"/>
      <c r="W798" s="50"/>
      <c r="X798" s="50"/>
      <c r="Y798" s="50"/>
      <c r="Z798" s="50"/>
      <c r="AA798" s="50"/>
      <c r="AB798" s="50"/>
    </row>
    <row r="799">
      <c r="A799" s="49"/>
      <c r="B799" s="49"/>
      <c r="C799" s="50"/>
      <c r="D799" s="50"/>
      <c r="E799" s="50"/>
      <c r="F799" s="50"/>
      <c r="G799" s="50"/>
      <c r="H799" s="50"/>
      <c r="I799" s="50"/>
      <c r="J799" s="50"/>
      <c r="K799" s="50"/>
      <c r="L799" s="50"/>
      <c r="M799" s="50"/>
      <c r="N799" s="50"/>
      <c r="O799" s="50"/>
      <c r="P799" s="50"/>
      <c r="Q799" s="50"/>
      <c r="R799" s="50"/>
      <c r="S799" s="50"/>
      <c r="T799" s="50"/>
      <c r="U799" s="50"/>
      <c r="V799" s="50"/>
      <c r="W799" s="50"/>
      <c r="X799" s="50"/>
      <c r="Y799" s="50"/>
      <c r="Z799" s="50"/>
      <c r="AA799" s="50"/>
      <c r="AB799" s="50"/>
    </row>
    <row r="800">
      <c r="A800" s="49"/>
      <c r="B800" s="49"/>
      <c r="C800" s="50"/>
      <c r="D800" s="50"/>
      <c r="E800" s="50"/>
      <c r="F800" s="50"/>
      <c r="G800" s="50"/>
      <c r="H800" s="50"/>
      <c r="I800" s="50"/>
      <c r="J800" s="50"/>
      <c r="K800" s="50"/>
      <c r="L800" s="50"/>
      <c r="M800" s="50"/>
      <c r="N800" s="50"/>
      <c r="O800" s="50"/>
      <c r="P800" s="50"/>
      <c r="Q800" s="50"/>
      <c r="R800" s="50"/>
      <c r="S800" s="50"/>
      <c r="T800" s="50"/>
      <c r="U800" s="50"/>
      <c r="V800" s="50"/>
      <c r="W800" s="50"/>
      <c r="X800" s="50"/>
      <c r="Y800" s="50"/>
      <c r="Z800" s="50"/>
      <c r="AA800" s="50"/>
      <c r="AB800" s="50"/>
    </row>
    <row r="801">
      <c r="A801" s="49"/>
      <c r="B801" s="49"/>
      <c r="C801" s="50"/>
      <c r="D801" s="50"/>
      <c r="E801" s="50"/>
      <c r="F801" s="50"/>
      <c r="G801" s="50"/>
      <c r="H801" s="50"/>
      <c r="I801" s="50"/>
      <c r="J801" s="50"/>
      <c r="K801" s="50"/>
      <c r="L801" s="50"/>
      <c r="M801" s="50"/>
      <c r="N801" s="50"/>
      <c r="O801" s="50"/>
      <c r="P801" s="50"/>
      <c r="Q801" s="50"/>
      <c r="R801" s="50"/>
      <c r="S801" s="50"/>
      <c r="T801" s="50"/>
      <c r="U801" s="50"/>
      <c r="V801" s="50"/>
      <c r="W801" s="50"/>
      <c r="X801" s="50"/>
      <c r="Y801" s="50"/>
      <c r="Z801" s="50"/>
      <c r="AA801" s="50"/>
      <c r="AB801" s="50"/>
    </row>
    <row r="802">
      <c r="A802" s="49"/>
      <c r="B802" s="49"/>
      <c r="C802" s="50"/>
      <c r="D802" s="50"/>
      <c r="E802" s="50"/>
      <c r="F802" s="50"/>
      <c r="G802" s="50"/>
      <c r="H802" s="50"/>
      <c r="I802" s="50"/>
      <c r="J802" s="50"/>
      <c r="K802" s="50"/>
      <c r="L802" s="50"/>
      <c r="M802" s="50"/>
      <c r="N802" s="50"/>
      <c r="O802" s="50"/>
      <c r="P802" s="50"/>
      <c r="Q802" s="50"/>
      <c r="R802" s="50"/>
      <c r="S802" s="50"/>
      <c r="T802" s="50"/>
      <c r="U802" s="50"/>
      <c r="V802" s="50"/>
      <c r="W802" s="50"/>
      <c r="X802" s="50"/>
      <c r="Y802" s="50"/>
      <c r="Z802" s="50"/>
      <c r="AA802" s="50"/>
      <c r="AB802" s="50"/>
    </row>
    <row r="803">
      <c r="A803" s="49"/>
      <c r="B803" s="49"/>
      <c r="C803" s="50"/>
      <c r="D803" s="50"/>
      <c r="E803" s="50"/>
      <c r="F803" s="50"/>
      <c r="G803" s="50"/>
      <c r="H803" s="50"/>
      <c r="I803" s="50"/>
      <c r="J803" s="50"/>
      <c r="K803" s="50"/>
      <c r="L803" s="50"/>
      <c r="M803" s="50"/>
      <c r="N803" s="50"/>
      <c r="O803" s="50"/>
      <c r="P803" s="50"/>
      <c r="Q803" s="50"/>
      <c r="R803" s="50"/>
      <c r="S803" s="50"/>
      <c r="T803" s="50"/>
      <c r="U803" s="50"/>
      <c r="V803" s="50"/>
      <c r="W803" s="50"/>
      <c r="X803" s="50"/>
      <c r="Y803" s="50"/>
      <c r="Z803" s="50"/>
      <c r="AA803" s="50"/>
      <c r="AB803" s="50"/>
    </row>
    <row r="804">
      <c r="A804" s="49"/>
      <c r="B804" s="49"/>
      <c r="C804" s="50"/>
      <c r="D804" s="50"/>
      <c r="E804" s="50"/>
      <c r="F804" s="50"/>
      <c r="G804" s="50"/>
      <c r="H804" s="50"/>
      <c r="I804" s="50"/>
      <c r="J804" s="50"/>
      <c r="K804" s="50"/>
      <c r="L804" s="50"/>
      <c r="M804" s="50"/>
      <c r="N804" s="50"/>
      <c r="O804" s="50"/>
      <c r="P804" s="50"/>
      <c r="Q804" s="50"/>
      <c r="R804" s="50"/>
      <c r="S804" s="50"/>
      <c r="T804" s="50"/>
      <c r="U804" s="50"/>
      <c r="V804" s="50"/>
      <c r="W804" s="50"/>
      <c r="X804" s="50"/>
      <c r="Y804" s="50"/>
      <c r="Z804" s="50"/>
      <c r="AA804" s="50"/>
      <c r="AB804" s="50"/>
    </row>
    <row r="805">
      <c r="A805" s="49"/>
      <c r="B805" s="49"/>
      <c r="C805" s="50"/>
      <c r="D805" s="50"/>
      <c r="E805" s="50"/>
      <c r="F805" s="50"/>
      <c r="G805" s="50"/>
      <c r="H805" s="50"/>
      <c r="I805" s="50"/>
      <c r="J805" s="50"/>
      <c r="K805" s="50"/>
      <c r="L805" s="50"/>
      <c r="M805" s="50"/>
      <c r="N805" s="50"/>
      <c r="O805" s="50"/>
      <c r="P805" s="50"/>
      <c r="Q805" s="50"/>
      <c r="R805" s="50"/>
      <c r="S805" s="50"/>
      <c r="T805" s="50"/>
      <c r="U805" s="50"/>
      <c r="V805" s="50"/>
      <c r="W805" s="50"/>
      <c r="X805" s="50"/>
      <c r="Y805" s="50"/>
      <c r="Z805" s="50"/>
      <c r="AA805" s="50"/>
      <c r="AB805" s="50"/>
    </row>
    <row r="806">
      <c r="A806" s="49"/>
      <c r="B806" s="49"/>
      <c r="C806" s="50"/>
      <c r="D806" s="50"/>
      <c r="E806" s="50"/>
      <c r="F806" s="50"/>
      <c r="G806" s="50"/>
      <c r="H806" s="50"/>
      <c r="I806" s="50"/>
      <c r="J806" s="50"/>
      <c r="K806" s="50"/>
      <c r="L806" s="50"/>
      <c r="M806" s="50"/>
      <c r="N806" s="50"/>
      <c r="O806" s="50"/>
      <c r="P806" s="50"/>
      <c r="Q806" s="50"/>
      <c r="R806" s="50"/>
      <c r="S806" s="50"/>
      <c r="T806" s="50"/>
      <c r="U806" s="50"/>
      <c r="V806" s="50"/>
      <c r="W806" s="50"/>
      <c r="X806" s="50"/>
      <c r="Y806" s="50"/>
      <c r="Z806" s="50"/>
      <c r="AA806" s="50"/>
      <c r="AB806" s="50"/>
    </row>
    <row r="807">
      <c r="A807" s="49"/>
      <c r="B807" s="49"/>
      <c r="C807" s="50"/>
      <c r="D807" s="50"/>
      <c r="E807" s="50"/>
      <c r="F807" s="50"/>
      <c r="G807" s="50"/>
      <c r="H807" s="50"/>
      <c r="I807" s="50"/>
      <c r="J807" s="50"/>
      <c r="K807" s="50"/>
      <c r="L807" s="50"/>
      <c r="M807" s="50"/>
      <c r="N807" s="50"/>
      <c r="O807" s="50"/>
      <c r="P807" s="50"/>
      <c r="Q807" s="50"/>
      <c r="R807" s="50"/>
      <c r="S807" s="50"/>
      <c r="T807" s="50"/>
      <c r="U807" s="50"/>
      <c r="V807" s="50"/>
      <c r="W807" s="50"/>
      <c r="X807" s="50"/>
      <c r="Y807" s="50"/>
      <c r="Z807" s="50"/>
      <c r="AA807" s="50"/>
      <c r="AB807" s="50"/>
    </row>
    <row r="808">
      <c r="A808" s="49"/>
      <c r="B808" s="49"/>
      <c r="C808" s="50"/>
      <c r="D808" s="50"/>
      <c r="E808" s="50"/>
      <c r="F808" s="50"/>
      <c r="G808" s="50"/>
      <c r="H808" s="50"/>
      <c r="I808" s="50"/>
      <c r="J808" s="50"/>
      <c r="K808" s="50"/>
      <c r="L808" s="50"/>
      <c r="M808" s="50"/>
      <c r="N808" s="50"/>
      <c r="O808" s="50"/>
      <c r="P808" s="50"/>
      <c r="Q808" s="50"/>
      <c r="R808" s="50"/>
      <c r="S808" s="50"/>
      <c r="T808" s="50"/>
      <c r="U808" s="50"/>
      <c r="V808" s="50"/>
      <c r="W808" s="50"/>
      <c r="X808" s="50"/>
      <c r="Y808" s="50"/>
      <c r="Z808" s="50"/>
      <c r="AA808" s="50"/>
      <c r="AB808" s="50"/>
    </row>
    <row r="809">
      <c r="A809" s="49"/>
      <c r="B809" s="49"/>
      <c r="C809" s="50"/>
      <c r="D809" s="50"/>
      <c r="E809" s="50"/>
      <c r="F809" s="50"/>
      <c r="G809" s="50"/>
      <c r="H809" s="50"/>
      <c r="I809" s="50"/>
      <c r="J809" s="50"/>
      <c r="K809" s="50"/>
      <c r="L809" s="50"/>
      <c r="M809" s="50"/>
      <c r="N809" s="50"/>
      <c r="O809" s="50"/>
      <c r="P809" s="50"/>
      <c r="Q809" s="50"/>
      <c r="R809" s="50"/>
      <c r="S809" s="50"/>
      <c r="T809" s="50"/>
      <c r="U809" s="50"/>
      <c r="V809" s="50"/>
      <c r="W809" s="50"/>
      <c r="X809" s="50"/>
      <c r="Y809" s="50"/>
      <c r="Z809" s="50"/>
      <c r="AA809" s="50"/>
      <c r="AB809" s="50"/>
    </row>
    <row r="810">
      <c r="A810" s="49"/>
      <c r="B810" s="49"/>
      <c r="C810" s="50"/>
      <c r="D810" s="50"/>
      <c r="E810" s="50"/>
      <c r="F810" s="50"/>
      <c r="G810" s="50"/>
      <c r="H810" s="50"/>
      <c r="I810" s="50"/>
      <c r="J810" s="50"/>
      <c r="K810" s="50"/>
      <c r="L810" s="50"/>
      <c r="M810" s="50"/>
      <c r="N810" s="50"/>
      <c r="O810" s="50"/>
      <c r="P810" s="50"/>
      <c r="Q810" s="50"/>
      <c r="R810" s="50"/>
      <c r="S810" s="50"/>
      <c r="T810" s="50"/>
      <c r="U810" s="50"/>
      <c r="V810" s="50"/>
      <c r="W810" s="50"/>
      <c r="X810" s="50"/>
      <c r="Y810" s="50"/>
      <c r="Z810" s="50"/>
      <c r="AA810" s="50"/>
      <c r="AB810" s="50"/>
    </row>
    <row r="811">
      <c r="A811" s="49"/>
      <c r="B811" s="49"/>
      <c r="C811" s="50"/>
      <c r="D811" s="50"/>
      <c r="E811" s="50"/>
      <c r="F811" s="50"/>
      <c r="G811" s="50"/>
      <c r="H811" s="50"/>
      <c r="I811" s="50"/>
      <c r="J811" s="50"/>
      <c r="K811" s="50"/>
      <c r="L811" s="50"/>
      <c r="M811" s="50"/>
      <c r="N811" s="50"/>
      <c r="O811" s="50"/>
      <c r="P811" s="50"/>
      <c r="Q811" s="50"/>
      <c r="R811" s="50"/>
      <c r="S811" s="50"/>
      <c r="T811" s="50"/>
      <c r="U811" s="50"/>
      <c r="V811" s="50"/>
      <c r="W811" s="50"/>
      <c r="X811" s="50"/>
      <c r="Y811" s="50"/>
      <c r="Z811" s="50"/>
      <c r="AA811" s="50"/>
      <c r="AB811" s="50"/>
    </row>
    <row r="812">
      <c r="A812" s="49"/>
      <c r="B812" s="49"/>
      <c r="C812" s="50"/>
      <c r="D812" s="50"/>
      <c r="E812" s="50"/>
      <c r="F812" s="50"/>
      <c r="G812" s="50"/>
      <c r="H812" s="50"/>
      <c r="I812" s="50"/>
      <c r="J812" s="50"/>
      <c r="K812" s="50"/>
      <c r="L812" s="50"/>
      <c r="M812" s="50"/>
      <c r="N812" s="50"/>
      <c r="O812" s="50"/>
      <c r="P812" s="50"/>
      <c r="Q812" s="50"/>
      <c r="R812" s="50"/>
      <c r="S812" s="50"/>
      <c r="T812" s="50"/>
      <c r="U812" s="50"/>
      <c r="V812" s="50"/>
      <c r="W812" s="50"/>
      <c r="X812" s="50"/>
      <c r="Y812" s="50"/>
      <c r="Z812" s="50"/>
      <c r="AA812" s="50"/>
      <c r="AB812" s="50"/>
    </row>
    <row r="813">
      <c r="A813" s="49"/>
      <c r="B813" s="49"/>
      <c r="C813" s="50"/>
      <c r="D813" s="50"/>
      <c r="E813" s="50"/>
      <c r="F813" s="50"/>
      <c r="G813" s="50"/>
      <c r="H813" s="50"/>
      <c r="I813" s="50"/>
      <c r="J813" s="50"/>
      <c r="K813" s="50"/>
      <c r="L813" s="50"/>
      <c r="M813" s="50"/>
      <c r="N813" s="50"/>
      <c r="O813" s="50"/>
      <c r="P813" s="50"/>
      <c r="Q813" s="50"/>
      <c r="R813" s="50"/>
      <c r="S813" s="50"/>
      <c r="T813" s="50"/>
      <c r="U813" s="50"/>
      <c r="V813" s="50"/>
      <c r="W813" s="50"/>
      <c r="X813" s="50"/>
      <c r="Y813" s="50"/>
      <c r="Z813" s="50"/>
      <c r="AA813" s="50"/>
      <c r="AB813" s="50"/>
    </row>
    <row r="814">
      <c r="A814" s="49"/>
      <c r="B814" s="49"/>
      <c r="C814" s="50"/>
      <c r="D814" s="50"/>
      <c r="E814" s="50"/>
      <c r="F814" s="50"/>
      <c r="G814" s="50"/>
      <c r="H814" s="50"/>
      <c r="I814" s="50"/>
      <c r="J814" s="50"/>
      <c r="K814" s="50"/>
      <c r="L814" s="50"/>
      <c r="M814" s="50"/>
      <c r="N814" s="50"/>
      <c r="O814" s="50"/>
      <c r="P814" s="50"/>
      <c r="Q814" s="50"/>
      <c r="R814" s="50"/>
      <c r="S814" s="50"/>
      <c r="T814" s="50"/>
      <c r="U814" s="50"/>
      <c r="V814" s="50"/>
      <c r="W814" s="50"/>
      <c r="X814" s="50"/>
      <c r="Y814" s="50"/>
      <c r="Z814" s="50"/>
      <c r="AA814" s="50"/>
      <c r="AB814" s="50"/>
    </row>
    <row r="815">
      <c r="A815" s="49"/>
      <c r="B815" s="49"/>
      <c r="C815" s="50"/>
      <c r="D815" s="50"/>
      <c r="E815" s="50"/>
      <c r="F815" s="50"/>
      <c r="G815" s="50"/>
      <c r="H815" s="50"/>
      <c r="I815" s="50"/>
      <c r="J815" s="50"/>
      <c r="K815" s="50"/>
      <c r="L815" s="50"/>
      <c r="M815" s="50"/>
      <c r="N815" s="50"/>
      <c r="O815" s="50"/>
      <c r="P815" s="50"/>
      <c r="Q815" s="50"/>
      <c r="R815" s="50"/>
      <c r="S815" s="50"/>
      <c r="T815" s="50"/>
      <c r="U815" s="50"/>
      <c r="V815" s="50"/>
      <c r="W815" s="50"/>
      <c r="X815" s="50"/>
      <c r="Y815" s="50"/>
      <c r="Z815" s="50"/>
      <c r="AA815" s="50"/>
      <c r="AB815" s="50"/>
    </row>
    <row r="816">
      <c r="A816" s="49"/>
      <c r="B816" s="49"/>
      <c r="C816" s="50"/>
      <c r="D816" s="50"/>
      <c r="E816" s="50"/>
      <c r="F816" s="50"/>
      <c r="G816" s="50"/>
      <c r="H816" s="50"/>
      <c r="I816" s="50"/>
      <c r="J816" s="50"/>
      <c r="K816" s="50"/>
      <c r="L816" s="50"/>
      <c r="M816" s="50"/>
      <c r="N816" s="50"/>
      <c r="O816" s="50"/>
      <c r="P816" s="50"/>
      <c r="Q816" s="50"/>
      <c r="R816" s="50"/>
      <c r="S816" s="50"/>
      <c r="T816" s="50"/>
      <c r="U816" s="50"/>
      <c r="V816" s="50"/>
      <c r="W816" s="50"/>
      <c r="X816" s="50"/>
      <c r="Y816" s="50"/>
      <c r="Z816" s="50"/>
      <c r="AA816" s="50"/>
      <c r="AB816" s="50"/>
    </row>
    <row r="817">
      <c r="A817" s="49"/>
      <c r="B817" s="49"/>
      <c r="C817" s="50"/>
      <c r="D817" s="50"/>
      <c r="E817" s="50"/>
      <c r="F817" s="50"/>
      <c r="G817" s="50"/>
      <c r="H817" s="50"/>
      <c r="I817" s="50"/>
      <c r="J817" s="50"/>
      <c r="K817" s="50"/>
      <c r="L817" s="50"/>
      <c r="M817" s="50"/>
      <c r="N817" s="50"/>
      <c r="O817" s="50"/>
      <c r="P817" s="50"/>
      <c r="Q817" s="50"/>
      <c r="R817" s="50"/>
      <c r="S817" s="50"/>
      <c r="T817" s="50"/>
      <c r="U817" s="50"/>
      <c r="V817" s="50"/>
      <c r="W817" s="50"/>
      <c r="X817" s="50"/>
      <c r="Y817" s="50"/>
      <c r="Z817" s="50"/>
      <c r="AA817" s="50"/>
      <c r="AB817" s="50"/>
    </row>
    <row r="818">
      <c r="A818" s="49"/>
      <c r="B818" s="49"/>
      <c r="C818" s="50"/>
      <c r="D818" s="50"/>
      <c r="E818" s="50"/>
      <c r="F818" s="50"/>
      <c r="G818" s="50"/>
      <c r="H818" s="50"/>
      <c r="I818" s="50"/>
      <c r="J818" s="50"/>
      <c r="K818" s="50"/>
      <c r="L818" s="50"/>
      <c r="M818" s="50"/>
      <c r="N818" s="50"/>
      <c r="O818" s="50"/>
      <c r="P818" s="50"/>
      <c r="Q818" s="50"/>
      <c r="R818" s="50"/>
      <c r="S818" s="50"/>
      <c r="T818" s="50"/>
      <c r="U818" s="50"/>
      <c r="V818" s="50"/>
      <c r="W818" s="50"/>
      <c r="X818" s="50"/>
      <c r="Y818" s="50"/>
      <c r="Z818" s="50"/>
      <c r="AA818" s="50"/>
      <c r="AB818" s="50"/>
    </row>
    <row r="819">
      <c r="A819" s="49"/>
      <c r="B819" s="49"/>
      <c r="C819" s="50"/>
      <c r="D819" s="50"/>
      <c r="E819" s="50"/>
      <c r="F819" s="50"/>
      <c r="G819" s="50"/>
      <c r="H819" s="50"/>
      <c r="I819" s="50"/>
      <c r="J819" s="50"/>
      <c r="K819" s="50"/>
      <c r="L819" s="50"/>
      <c r="M819" s="50"/>
      <c r="N819" s="50"/>
      <c r="O819" s="50"/>
      <c r="P819" s="50"/>
      <c r="Q819" s="50"/>
      <c r="R819" s="50"/>
      <c r="S819" s="50"/>
      <c r="T819" s="50"/>
      <c r="U819" s="50"/>
      <c r="V819" s="50"/>
      <c r="W819" s="50"/>
      <c r="X819" s="50"/>
      <c r="Y819" s="50"/>
      <c r="Z819" s="50"/>
      <c r="AA819" s="50"/>
      <c r="AB819" s="50"/>
    </row>
    <row r="820">
      <c r="A820" s="49"/>
      <c r="B820" s="49"/>
      <c r="C820" s="50"/>
      <c r="D820" s="50"/>
      <c r="E820" s="50"/>
      <c r="F820" s="50"/>
      <c r="G820" s="50"/>
      <c r="H820" s="50"/>
      <c r="I820" s="50"/>
      <c r="J820" s="50"/>
      <c r="K820" s="50"/>
      <c r="L820" s="50"/>
      <c r="M820" s="50"/>
      <c r="N820" s="50"/>
      <c r="O820" s="50"/>
      <c r="P820" s="50"/>
      <c r="Q820" s="50"/>
      <c r="R820" s="50"/>
      <c r="S820" s="50"/>
      <c r="T820" s="50"/>
      <c r="U820" s="50"/>
      <c r="V820" s="50"/>
      <c r="W820" s="50"/>
      <c r="X820" s="50"/>
      <c r="Y820" s="50"/>
      <c r="Z820" s="50"/>
      <c r="AA820" s="50"/>
      <c r="AB820" s="50"/>
    </row>
    <row r="821">
      <c r="A821" s="49"/>
      <c r="B821" s="49"/>
      <c r="C821" s="50"/>
      <c r="D821" s="50"/>
      <c r="E821" s="50"/>
      <c r="F821" s="50"/>
      <c r="G821" s="50"/>
      <c r="H821" s="50"/>
      <c r="I821" s="50"/>
      <c r="J821" s="50"/>
      <c r="K821" s="50"/>
      <c r="L821" s="50"/>
      <c r="M821" s="50"/>
      <c r="N821" s="50"/>
      <c r="O821" s="50"/>
      <c r="P821" s="50"/>
      <c r="Q821" s="50"/>
      <c r="R821" s="50"/>
      <c r="S821" s="50"/>
      <c r="T821" s="50"/>
      <c r="U821" s="50"/>
      <c r="V821" s="50"/>
      <c r="W821" s="50"/>
      <c r="X821" s="50"/>
      <c r="Y821" s="50"/>
      <c r="Z821" s="50"/>
      <c r="AA821" s="50"/>
      <c r="AB821" s="50"/>
    </row>
    <row r="822">
      <c r="A822" s="49"/>
      <c r="B822" s="49"/>
      <c r="C822" s="50"/>
      <c r="D822" s="50"/>
      <c r="E822" s="50"/>
      <c r="F822" s="50"/>
      <c r="G822" s="50"/>
      <c r="H822" s="50"/>
      <c r="I822" s="50"/>
      <c r="J822" s="50"/>
      <c r="K822" s="50"/>
      <c r="L822" s="50"/>
      <c r="M822" s="50"/>
      <c r="N822" s="50"/>
      <c r="O822" s="50"/>
      <c r="P822" s="50"/>
      <c r="Q822" s="50"/>
      <c r="R822" s="50"/>
      <c r="S822" s="50"/>
      <c r="T822" s="50"/>
      <c r="U822" s="50"/>
      <c r="V822" s="50"/>
      <c r="W822" s="50"/>
      <c r="X822" s="50"/>
      <c r="Y822" s="50"/>
      <c r="Z822" s="50"/>
      <c r="AA822" s="50"/>
      <c r="AB822" s="50"/>
    </row>
    <row r="823">
      <c r="A823" s="49"/>
      <c r="B823" s="49"/>
      <c r="C823" s="50"/>
      <c r="D823" s="50"/>
      <c r="E823" s="50"/>
      <c r="F823" s="50"/>
      <c r="G823" s="50"/>
      <c r="H823" s="50"/>
      <c r="I823" s="50"/>
      <c r="J823" s="50"/>
      <c r="K823" s="50"/>
      <c r="L823" s="50"/>
      <c r="M823" s="50"/>
      <c r="N823" s="50"/>
      <c r="O823" s="50"/>
      <c r="P823" s="50"/>
      <c r="Q823" s="50"/>
      <c r="R823" s="50"/>
      <c r="S823" s="50"/>
      <c r="T823" s="50"/>
      <c r="U823" s="50"/>
      <c r="V823" s="50"/>
      <c r="W823" s="50"/>
      <c r="X823" s="50"/>
      <c r="Y823" s="50"/>
      <c r="Z823" s="50"/>
      <c r="AA823" s="50"/>
      <c r="AB823" s="50"/>
    </row>
    <row r="824">
      <c r="A824" s="49"/>
      <c r="B824" s="49"/>
      <c r="C824" s="50"/>
      <c r="D824" s="50"/>
      <c r="E824" s="50"/>
      <c r="F824" s="50"/>
      <c r="G824" s="50"/>
      <c r="H824" s="50"/>
      <c r="I824" s="50"/>
      <c r="J824" s="50"/>
      <c r="K824" s="50"/>
      <c r="L824" s="50"/>
      <c r="M824" s="50"/>
      <c r="N824" s="50"/>
      <c r="O824" s="50"/>
      <c r="P824" s="50"/>
      <c r="Q824" s="50"/>
      <c r="R824" s="50"/>
      <c r="S824" s="50"/>
      <c r="T824" s="50"/>
      <c r="U824" s="50"/>
      <c r="V824" s="50"/>
      <c r="W824" s="50"/>
      <c r="X824" s="50"/>
      <c r="Y824" s="50"/>
      <c r="Z824" s="50"/>
      <c r="AA824" s="50"/>
      <c r="AB824" s="50"/>
    </row>
    <row r="825">
      <c r="A825" s="49"/>
      <c r="B825" s="49"/>
      <c r="C825" s="50"/>
      <c r="D825" s="50"/>
      <c r="E825" s="50"/>
      <c r="F825" s="50"/>
      <c r="G825" s="50"/>
      <c r="H825" s="50"/>
      <c r="I825" s="50"/>
      <c r="J825" s="50"/>
      <c r="K825" s="50"/>
      <c r="L825" s="50"/>
      <c r="M825" s="50"/>
      <c r="N825" s="50"/>
      <c r="O825" s="50"/>
      <c r="P825" s="50"/>
      <c r="Q825" s="50"/>
      <c r="R825" s="50"/>
      <c r="S825" s="50"/>
      <c r="T825" s="50"/>
      <c r="U825" s="50"/>
      <c r="V825" s="50"/>
      <c r="W825" s="50"/>
      <c r="X825" s="50"/>
      <c r="Y825" s="50"/>
      <c r="Z825" s="50"/>
      <c r="AA825" s="50"/>
      <c r="AB825" s="50"/>
    </row>
    <row r="826">
      <c r="A826" s="49"/>
      <c r="B826" s="49"/>
      <c r="C826" s="50"/>
      <c r="D826" s="50"/>
      <c r="E826" s="50"/>
      <c r="F826" s="50"/>
      <c r="G826" s="50"/>
      <c r="H826" s="50"/>
      <c r="I826" s="50"/>
      <c r="J826" s="50"/>
      <c r="K826" s="50"/>
      <c r="L826" s="50"/>
      <c r="M826" s="50"/>
      <c r="N826" s="50"/>
      <c r="O826" s="50"/>
      <c r="P826" s="50"/>
      <c r="Q826" s="50"/>
      <c r="R826" s="50"/>
      <c r="S826" s="50"/>
      <c r="T826" s="50"/>
      <c r="U826" s="50"/>
      <c r="V826" s="50"/>
      <c r="W826" s="50"/>
      <c r="X826" s="50"/>
      <c r="Y826" s="50"/>
      <c r="Z826" s="50"/>
      <c r="AA826" s="50"/>
      <c r="AB826" s="50"/>
    </row>
    <row r="827">
      <c r="A827" s="49"/>
      <c r="B827" s="49"/>
      <c r="C827" s="50"/>
      <c r="D827" s="50"/>
      <c r="E827" s="50"/>
      <c r="F827" s="50"/>
      <c r="G827" s="50"/>
      <c r="H827" s="50"/>
      <c r="I827" s="50"/>
      <c r="J827" s="50"/>
      <c r="K827" s="50"/>
      <c r="L827" s="50"/>
      <c r="M827" s="50"/>
      <c r="N827" s="50"/>
      <c r="O827" s="50"/>
      <c r="P827" s="50"/>
      <c r="Q827" s="50"/>
      <c r="R827" s="50"/>
      <c r="S827" s="50"/>
      <c r="T827" s="50"/>
      <c r="U827" s="50"/>
      <c r="V827" s="50"/>
      <c r="W827" s="50"/>
      <c r="X827" s="50"/>
      <c r="Y827" s="50"/>
      <c r="Z827" s="50"/>
      <c r="AA827" s="50"/>
      <c r="AB827" s="50"/>
    </row>
    <row r="828">
      <c r="A828" s="49"/>
      <c r="B828" s="49"/>
      <c r="C828" s="50"/>
      <c r="D828" s="50"/>
      <c r="E828" s="50"/>
      <c r="F828" s="50"/>
      <c r="G828" s="50"/>
      <c r="H828" s="50"/>
      <c r="I828" s="50"/>
      <c r="J828" s="50"/>
      <c r="K828" s="50"/>
      <c r="L828" s="50"/>
      <c r="M828" s="50"/>
      <c r="N828" s="50"/>
      <c r="O828" s="50"/>
      <c r="P828" s="50"/>
      <c r="Q828" s="50"/>
      <c r="R828" s="50"/>
      <c r="S828" s="50"/>
      <c r="T828" s="50"/>
      <c r="U828" s="50"/>
      <c r="V828" s="50"/>
      <c r="W828" s="50"/>
      <c r="X828" s="50"/>
      <c r="Y828" s="50"/>
      <c r="Z828" s="50"/>
      <c r="AA828" s="50"/>
      <c r="AB828" s="50"/>
    </row>
    <row r="829">
      <c r="A829" s="49"/>
      <c r="B829" s="49"/>
      <c r="C829" s="50"/>
      <c r="D829" s="50"/>
      <c r="E829" s="50"/>
      <c r="F829" s="50"/>
      <c r="G829" s="50"/>
      <c r="H829" s="50"/>
      <c r="I829" s="50"/>
      <c r="J829" s="50"/>
      <c r="K829" s="50"/>
      <c r="L829" s="50"/>
      <c r="M829" s="50"/>
      <c r="N829" s="50"/>
      <c r="O829" s="50"/>
      <c r="P829" s="50"/>
      <c r="Q829" s="50"/>
      <c r="R829" s="50"/>
      <c r="S829" s="50"/>
      <c r="T829" s="50"/>
      <c r="U829" s="50"/>
      <c r="V829" s="50"/>
      <c r="W829" s="50"/>
      <c r="X829" s="50"/>
      <c r="Y829" s="50"/>
      <c r="Z829" s="50"/>
      <c r="AA829" s="50"/>
      <c r="AB829" s="50"/>
    </row>
    <row r="830">
      <c r="A830" s="49"/>
      <c r="B830" s="49"/>
      <c r="C830" s="50"/>
      <c r="D830" s="50"/>
      <c r="E830" s="50"/>
      <c r="F830" s="50"/>
      <c r="G830" s="50"/>
      <c r="H830" s="50"/>
      <c r="I830" s="50"/>
      <c r="J830" s="50"/>
      <c r="K830" s="50"/>
      <c r="L830" s="50"/>
      <c r="M830" s="50"/>
      <c r="N830" s="50"/>
      <c r="O830" s="50"/>
      <c r="P830" s="50"/>
      <c r="Q830" s="50"/>
      <c r="R830" s="50"/>
      <c r="S830" s="50"/>
      <c r="T830" s="50"/>
      <c r="U830" s="50"/>
      <c r="V830" s="50"/>
      <c r="W830" s="50"/>
      <c r="X830" s="50"/>
      <c r="Y830" s="50"/>
      <c r="Z830" s="50"/>
      <c r="AA830" s="50"/>
      <c r="AB830" s="50"/>
    </row>
    <row r="831">
      <c r="A831" s="49"/>
      <c r="B831" s="49"/>
      <c r="C831" s="50"/>
      <c r="D831" s="50"/>
      <c r="E831" s="50"/>
      <c r="F831" s="50"/>
      <c r="G831" s="50"/>
      <c r="H831" s="50"/>
      <c r="I831" s="50"/>
      <c r="J831" s="50"/>
      <c r="K831" s="50"/>
      <c r="L831" s="50"/>
      <c r="M831" s="50"/>
      <c r="N831" s="50"/>
      <c r="O831" s="50"/>
      <c r="P831" s="50"/>
      <c r="Q831" s="50"/>
      <c r="R831" s="50"/>
      <c r="S831" s="50"/>
      <c r="T831" s="50"/>
      <c r="U831" s="50"/>
      <c r="V831" s="50"/>
      <c r="W831" s="50"/>
      <c r="X831" s="50"/>
      <c r="Y831" s="50"/>
      <c r="Z831" s="50"/>
      <c r="AA831" s="50"/>
      <c r="AB831" s="50"/>
    </row>
    <row r="832">
      <c r="A832" s="49"/>
      <c r="B832" s="49"/>
      <c r="C832" s="50"/>
      <c r="D832" s="50"/>
      <c r="E832" s="50"/>
      <c r="F832" s="50"/>
      <c r="G832" s="50"/>
      <c r="H832" s="50"/>
      <c r="I832" s="50"/>
      <c r="J832" s="50"/>
      <c r="K832" s="50"/>
      <c r="L832" s="50"/>
      <c r="M832" s="50"/>
      <c r="N832" s="50"/>
      <c r="O832" s="50"/>
      <c r="P832" s="50"/>
      <c r="Q832" s="50"/>
      <c r="R832" s="50"/>
      <c r="S832" s="50"/>
      <c r="T832" s="50"/>
      <c r="U832" s="50"/>
      <c r="V832" s="50"/>
      <c r="W832" s="50"/>
      <c r="X832" s="50"/>
      <c r="Y832" s="50"/>
      <c r="Z832" s="50"/>
      <c r="AA832" s="50"/>
      <c r="AB832" s="50"/>
    </row>
    <row r="833">
      <c r="A833" s="49"/>
      <c r="B833" s="49"/>
      <c r="C833" s="50"/>
      <c r="D833" s="50"/>
      <c r="E833" s="50"/>
      <c r="F833" s="50"/>
      <c r="G833" s="50"/>
      <c r="H833" s="50"/>
      <c r="I833" s="50"/>
      <c r="J833" s="50"/>
      <c r="K833" s="50"/>
      <c r="L833" s="50"/>
      <c r="M833" s="50"/>
      <c r="N833" s="50"/>
      <c r="O833" s="50"/>
      <c r="P833" s="50"/>
      <c r="Q833" s="50"/>
      <c r="R833" s="50"/>
      <c r="S833" s="50"/>
      <c r="T833" s="50"/>
      <c r="U833" s="50"/>
      <c r="V833" s="50"/>
      <c r="W833" s="50"/>
      <c r="X833" s="50"/>
      <c r="Y833" s="50"/>
      <c r="Z833" s="50"/>
      <c r="AA833" s="50"/>
      <c r="AB833" s="50"/>
    </row>
    <row r="834">
      <c r="A834" s="49"/>
      <c r="B834" s="49"/>
      <c r="C834" s="50"/>
      <c r="D834" s="50"/>
      <c r="E834" s="50"/>
      <c r="F834" s="50"/>
      <c r="G834" s="50"/>
      <c r="H834" s="50"/>
      <c r="I834" s="50"/>
      <c r="J834" s="50"/>
      <c r="K834" s="50"/>
      <c r="L834" s="50"/>
      <c r="M834" s="50"/>
      <c r="N834" s="50"/>
      <c r="O834" s="50"/>
      <c r="P834" s="50"/>
      <c r="Q834" s="50"/>
      <c r="R834" s="50"/>
      <c r="S834" s="50"/>
      <c r="T834" s="50"/>
      <c r="U834" s="50"/>
      <c r="V834" s="50"/>
      <c r="W834" s="50"/>
      <c r="X834" s="50"/>
      <c r="Y834" s="50"/>
      <c r="Z834" s="50"/>
      <c r="AA834" s="50"/>
      <c r="AB834" s="50"/>
    </row>
    <row r="835">
      <c r="A835" s="49"/>
      <c r="B835" s="49"/>
      <c r="C835" s="50"/>
      <c r="D835" s="50"/>
      <c r="E835" s="50"/>
      <c r="F835" s="50"/>
      <c r="G835" s="50"/>
      <c r="H835" s="50"/>
      <c r="I835" s="50"/>
      <c r="J835" s="50"/>
      <c r="K835" s="50"/>
      <c r="L835" s="50"/>
      <c r="M835" s="50"/>
      <c r="N835" s="50"/>
      <c r="O835" s="50"/>
      <c r="P835" s="50"/>
      <c r="Q835" s="50"/>
      <c r="R835" s="50"/>
      <c r="S835" s="50"/>
      <c r="T835" s="50"/>
      <c r="U835" s="50"/>
      <c r="V835" s="50"/>
      <c r="W835" s="50"/>
      <c r="X835" s="50"/>
      <c r="Y835" s="50"/>
      <c r="Z835" s="50"/>
      <c r="AA835" s="50"/>
      <c r="AB835" s="50"/>
    </row>
    <row r="836">
      <c r="A836" s="49"/>
      <c r="B836" s="49"/>
      <c r="C836" s="50"/>
      <c r="D836" s="50"/>
      <c r="E836" s="50"/>
      <c r="F836" s="50"/>
      <c r="G836" s="50"/>
      <c r="H836" s="50"/>
      <c r="I836" s="50"/>
      <c r="J836" s="50"/>
      <c r="K836" s="50"/>
      <c r="L836" s="50"/>
      <c r="M836" s="50"/>
      <c r="N836" s="50"/>
      <c r="O836" s="50"/>
      <c r="P836" s="50"/>
      <c r="Q836" s="50"/>
      <c r="R836" s="50"/>
      <c r="S836" s="50"/>
      <c r="T836" s="50"/>
      <c r="U836" s="50"/>
      <c r="V836" s="50"/>
      <c r="W836" s="50"/>
      <c r="X836" s="50"/>
      <c r="Y836" s="50"/>
      <c r="Z836" s="50"/>
      <c r="AA836" s="50"/>
      <c r="AB836" s="50"/>
    </row>
    <row r="837">
      <c r="A837" s="49"/>
      <c r="B837" s="49"/>
      <c r="C837" s="50"/>
      <c r="D837" s="50"/>
      <c r="E837" s="50"/>
      <c r="F837" s="50"/>
      <c r="G837" s="50"/>
      <c r="H837" s="50"/>
      <c r="I837" s="50"/>
      <c r="J837" s="50"/>
      <c r="K837" s="50"/>
      <c r="L837" s="50"/>
      <c r="M837" s="50"/>
      <c r="N837" s="50"/>
      <c r="O837" s="50"/>
      <c r="P837" s="50"/>
      <c r="Q837" s="50"/>
      <c r="R837" s="50"/>
      <c r="S837" s="50"/>
      <c r="T837" s="50"/>
      <c r="U837" s="50"/>
      <c r="V837" s="50"/>
      <c r="W837" s="50"/>
      <c r="X837" s="50"/>
      <c r="Y837" s="50"/>
      <c r="Z837" s="50"/>
      <c r="AA837" s="50"/>
      <c r="AB837" s="50"/>
    </row>
    <row r="838">
      <c r="A838" s="49"/>
      <c r="B838" s="49"/>
      <c r="C838" s="50"/>
      <c r="D838" s="50"/>
      <c r="E838" s="50"/>
      <c r="F838" s="50"/>
      <c r="G838" s="50"/>
      <c r="H838" s="50"/>
      <c r="I838" s="50"/>
      <c r="J838" s="50"/>
      <c r="K838" s="50"/>
      <c r="L838" s="50"/>
      <c r="M838" s="50"/>
      <c r="N838" s="50"/>
      <c r="O838" s="50"/>
      <c r="P838" s="50"/>
      <c r="Q838" s="50"/>
      <c r="R838" s="50"/>
      <c r="S838" s="50"/>
      <c r="T838" s="50"/>
      <c r="U838" s="50"/>
      <c r="V838" s="50"/>
      <c r="W838" s="50"/>
      <c r="X838" s="50"/>
      <c r="Y838" s="50"/>
      <c r="Z838" s="50"/>
      <c r="AA838" s="50"/>
      <c r="AB838" s="50"/>
    </row>
    <row r="839">
      <c r="A839" s="49"/>
      <c r="B839" s="49"/>
      <c r="C839" s="50"/>
      <c r="D839" s="50"/>
      <c r="E839" s="50"/>
      <c r="F839" s="50"/>
      <c r="G839" s="50"/>
      <c r="H839" s="50"/>
      <c r="I839" s="50"/>
      <c r="J839" s="50"/>
      <c r="K839" s="50"/>
      <c r="L839" s="50"/>
      <c r="M839" s="50"/>
      <c r="N839" s="50"/>
      <c r="O839" s="50"/>
      <c r="P839" s="50"/>
      <c r="Q839" s="50"/>
      <c r="R839" s="50"/>
      <c r="S839" s="50"/>
      <c r="T839" s="50"/>
      <c r="U839" s="50"/>
      <c r="V839" s="50"/>
      <c r="W839" s="50"/>
      <c r="X839" s="50"/>
      <c r="Y839" s="50"/>
      <c r="Z839" s="50"/>
      <c r="AA839" s="50"/>
      <c r="AB839" s="50"/>
    </row>
    <row r="840">
      <c r="A840" s="49"/>
      <c r="B840" s="49"/>
      <c r="C840" s="50"/>
      <c r="D840" s="50"/>
      <c r="E840" s="50"/>
      <c r="F840" s="50"/>
      <c r="G840" s="50"/>
      <c r="H840" s="50"/>
      <c r="I840" s="50"/>
      <c r="J840" s="50"/>
      <c r="K840" s="50"/>
      <c r="L840" s="50"/>
      <c r="M840" s="50"/>
      <c r="N840" s="50"/>
      <c r="O840" s="50"/>
      <c r="P840" s="50"/>
      <c r="Q840" s="50"/>
      <c r="R840" s="50"/>
      <c r="S840" s="50"/>
      <c r="T840" s="50"/>
      <c r="U840" s="50"/>
      <c r="V840" s="50"/>
      <c r="W840" s="50"/>
      <c r="X840" s="50"/>
      <c r="Y840" s="50"/>
      <c r="Z840" s="50"/>
      <c r="AA840" s="50"/>
      <c r="AB840" s="50"/>
    </row>
    <row r="841">
      <c r="A841" s="49"/>
      <c r="B841" s="49"/>
      <c r="C841" s="50"/>
      <c r="D841" s="50"/>
      <c r="E841" s="50"/>
      <c r="F841" s="50"/>
      <c r="G841" s="50"/>
      <c r="H841" s="50"/>
      <c r="I841" s="50"/>
      <c r="J841" s="50"/>
      <c r="K841" s="50"/>
      <c r="L841" s="50"/>
      <c r="M841" s="50"/>
      <c r="N841" s="50"/>
      <c r="O841" s="50"/>
      <c r="P841" s="50"/>
      <c r="Q841" s="50"/>
      <c r="R841" s="50"/>
      <c r="S841" s="50"/>
      <c r="T841" s="50"/>
      <c r="U841" s="50"/>
      <c r="V841" s="50"/>
      <c r="W841" s="50"/>
      <c r="X841" s="50"/>
      <c r="Y841" s="50"/>
      <c r="Z841" s="50"/>
      <c r="AA841" s="50"/>
      <c r="AB841" s="50"/>
    </row>
    <row r="842">
      <c r="A842" s="49"/>
      <c r="B842" s="49"/>
      <c r="C842" s="50"/>
      <c r="D842" s="50"/>
      <c r="E842" s="50"/>
      <c r="F842" s="50"/>
      <c r="G842" s="50"/>
      <c r="H842" s="50"/>
      <c r="I842" s="50"/>
      <c r="J842" s="50"/>
      <c r="K842" s="50"/>
      <c r="L842" s="50"/>
      <c r="M842" s="50"/>
      <c r="N842" s="50"/>
      <c r="O842" s="50"/>
      <c r="P842" s="50"/>
      <c r="Q842" s="50"/>
      <c r="R842" s="50"/>
      <c r="S842" s="50"/>
      <c r="T842" s="50"/>
      <c r="U842" s="50"/>
      <c r="V842" s="50"/>
      <c r="W842" s="50"/>
      <c r="X842" s="50"/>
      <c r="Y842" s="50"/>
      <c r="Z842" s="50"/>
      <c r="AA842" s="50"/>
      <c r="AB842" s="50"/>
    </row>
    <row r="843">
      <c r="A843" s="49"/>
      <c r="B843" s="49"/>
      <c r="C843" s="50"/>
      <c r="D843" s="50"/>
      <c r="E843" s="50"/>
      <c r="F843" s="50"/>
      <c r="G843" s="50"/>
      <c r="H843" s="50"/>
      <c r="I843" s="50"/>
      <c r="J843" s="50"/>
      <c r="K843" s="50"/>
      <c r="L843" s="50"/>
      <c r="M843" s="50"/>
      <c r="N843" s="50"/>
      <c r="O843" s="50"/>
      <c r="P843" s="50"/>
      <c r="Q843" s="50"/>
      <c r="R843" s="50"/>
      <c r="S843" s="50"/>
      <c r="T843" s="50"/>
      <c r="U843" s="50"/>
      <c r="V843" s="50"/>
      <c r="W843" s="50"/>
      <c r="X843" s="50"/>
      <c r="Y843" s="50"/>
      <c r="Z843" s="50"/>
      <c r="AA843" s="50"/>
      <c r="AB843" s="50"/>
    </row>
    <row r="844">
      <c r="A844" s="49"/>
      <c r="B844" s="49"/>
      <c r="C844" s="50"/>
      <c r="D844" s="50"/>
      <c r="E844" s="50"/>
      <c r="F844" s="50"/>
      <c r="G844" s="50"/>
      <c r="H844" s="50"/>
      <c r="I844" s="50"/>
      <c r="J844" s="50"/>
      <c r="K844" s="50"/>
      <c r="L844" s="50"/>
      <c r="M844" s="50"/>
      <c r="N844" s="50"/>
      <c r="O844" s="50"/>
      <c r="P844" s="50"/>
      <c r="Q844" s="50"/>
      <c r="R844" s="50"/>
      <c r="S844" s="50"/>
      <c r="T844" s="50"/>
      <c r="U844" s="50"/>
      <c r="V844" s="50"/>
      <c r="W844" s="50"/>
      <c r="X844" s="50"/>
      <c r="Y844" s="50"/>
      <c r="Z844" s="50"/>
      <c r="AA844" s="50"/>
      <c r="AB844" s="50"/>
    </row>
    <row r="845">
      <c r="A845" s="49"/>
      <c r="B845" s="49"/>
      <c r="C845" s="50"/>
      <c r="D845" s="50"/>
      <c r="E845" s="50"/>
      <c r="F845" s="50"/>
      <c r="G845" s="50"/>
      <c r="H845" s="50"/>
      <c r="I845" s="50"/>
      <c r="J845" s="50"/>
      <c r="K845" s="50"/>
      <c r="L845" s="50"/>
      <c r="M845" s="50"/>
      <c r="N845" s="50"/>
      <c r="O845" s="50"/>
      <c r="P845" s="50"/>
      <c r="Q845" s="50"/>
      <c r="R845" s="50"/>
      <c r="S845" s="50"/>
      <c r="T845" s="50"/>
      <c r="U845" s="50"/>
      <c r="V845" s="50"/>
      <c r="W845" s="50"/>
      <c r="X845" s="50"/>
      <c r="Y845" s="50"/>
      <c r="Z845" s="50"/>
      <c r="AA845" s="50"/>
      <c r="AB845" s="50"/>
    </row>
    <row r="846">
      <c r="A846" s="49"/>
      <c r="B846" s="49"/>
      <c r="C846" s="50"/>
      <c r="D846" s="50"/>
      <c r="E846" s="50"/>
      <c r="F846" s="50"/>
      <c r="G846" s="50"/>
      <c r="H846" s="50"/>
      <c r="I846" s="50"/>
      <c r="J846" s="50"/>
      <c r="K846" s="50"/>
      <c r="L846" s="50"/>
      <c r="M846" s="50"/>
      <c r="N846" s="50"/>
      <c r="O846" s="50"/>
      <c r="P846" s="50"/>
      <c r="Q846" s="50"/>
      <c r="R846" s="50"/>
      <c r="S846" s="50"/>
      <c r="T846" s="50"/>
      <c r="U846" s="50"/>
      <c r="V846" s="50"/>
      <c r="W846" s="50"/>
      <c r="X846" s="50"/>
      <c r="Y846" s="50"/>
      <c r="Z846" s="50"/>
      <c r="AA846" s="50"/>
      <c r="AB846" s="50"/>
    </row>
    <row r="847">
      <c r="A847" s="49"/>
      <c r="B847" s="49"/>
      <c r="C847" s="50"/>
      <c r="D847" s="50"/>
      <c r="E847" s="50"/>
      <c r="F847" s="50"/>
      <c r="G847" s="50"/>
      <c r="H847" s="50"/>
      <c r="I847" s="50"/>
      <c r="J847" s="50"/>
      <c r="K847" s="50"/>
      <c r="L847" s="50"/>
      <c r="M847" s="50"/>
      <c r="N847" s="50"/>
      <c r="O847" s="50"/>
      <c r="P847" s="50"/>
      <c r="Q847" s="50"/>
      <c r="R847" s="50"/>
      <c r="S847" s="50"/>
      <c r="T847" s="50"/>
      <c r="U847" s="50"/>
      <c r="V847" s="50"/>
      <c r="W847" s="50"/>
      <c r="X847" s="50"/>
      <c r="Y847" s="50"/>
      <c r="Z847" s="50"/>
      <c r="AA847" s="50"/>
      <c r="AB847" s="50"/>
    </row>
    <row r="848">
      <c r="A848" s="49"/>
      <c r="B848" s="49"/>
      <c r="C848" s="50"/>
      <c r="D848" s="50"/>
      <c r="E848" s="50"/>
      <c r="F848" s="50"/>
      <c r="G848" s="50"/>
      <c r="H848" s="50"/>
      <c r="I848" s="50"/>
      <c r="J848" s="50"/>
      <c r="K848" s="50"/>
      <c r="L848" s="50"/>
      <c r="M848" s="50"/>
      <c r="N848" s="50"/>
      <c r="O848" s="50"/>
      <c r="P848" s="50"/>
      <c r="Q848" s="50"/>
      <c r="R848" s="50"/>
      <c r="S848" s="50"/>
      <c r="T848" s="50"/>
      <c r="U848" s="50"/>
      <c r="V848" s="50"/>
      <c r="W848" s="50"/>
      <c r="X848" s="50"/>
      <c r="Y848" s="50"/>
      <c r="Z848" s="50"/>
      <c r="AA848" s="50"/>
      <c r="AB848" s="50"/>
    </row>
    <row r="849">
      <c r="A849" s="49"/>
      <c r="B849" s="49"/>
      <c r="C849" s="50"/>
      <c r="D849" s="50"/>
      <c r="E849" s="50"/>
      <c r="F849" s="50"/>
      <c r="G849" s="50"/>
      <c r="H849" s="50"/>
      <c r="I849" s="50"/>
      <c r="J849" s="50"/>
      <c r="K849" s="50"/>
      <c r="L849" s="50"/>
      <c r="M849" s="50"/>
      <c r="N849" s="50"/>
      <c r="O849" s="50"/>
      <c r="P849" s="50"/>
      <c r="Q849" s="50"/>
      <c r="R849" s="50"/>
      <c r="S849" s="50"/>
      <c r="T849" s="50"/>
      <c r="U849" s="50"/>
      <c r="V849" s="50"/>
      <c r="W849" s="50"/>
      <c r="X849" s="50"/>
      <c r="Y849" s="50"/>
      <c r="Z849" s="50"/>
      <c r="AA849" s="50"/>
      <c r="AB849" s="50"/>
    </row>
    <row r="850">
      <c r="A850" s="49"/>
      <c r="B850" s="49"/>
      <c r="C850" s="50"/>
      <c r="D850" s="50"/>
      <c r="E850" s="50"/>
      <c r="F850" s="50"/>
      <c r="G850" s="50"/>
      <c r="H850" s="50"/>
      <c r="I850" s="50"/>
      <c r="J850" s="50"/>
      <c r="K850" s="50"/>
      <c r="L850" s="50"/>
      <c r="M850" s="50"/>
      <c r="N850" s="50"/>
      <c r="O850" s="50"/>
      <c r="P850" s="50"/>
      <c r="Q850" s="50"/>
      <c r="R850" s="50"/>
      <c r="S850" s="50"/>
      <c r="T850" s="50"/>
      <c r="U850" s="50"/>
      <c r="V850" s="50"/>
      <c r="W850" s="50"/>
      <c r="X850" s="50"/>
      <c r="Y850" s="50"/>
      <c r="Z850" s="50"/>
      <c r="AA850" s="50"/>
      <c r="AB850" s="50"/>
    </row>
    <row r="851">
      <c r="A851" s="49"/>
      <c r="B851" s="49"/>
      <c r="C851" s="50"/>
      <c r="D851" s="50"/>
      <c r="E851" s="50"/>
      <c r="F851" s="50"/>
      <c r="G851" s="50"/>
      <c r="H851" s="50"/>
      <c r="I851" s="50"/>
      <c r="J851" s="50"/>
      <c r="K851" s="50"/>
      <c r="L851" s="50"/>
      <c r="M851" s="50"/>
      <c r="N851" s="50"/>
      <c r="O851" s="50"/>
      <c r="P851" s="50"/>
      <c r="Q851" s="50"/>
      <c r="R851" s="50"/>
      <c r="S851" s="50"/>
      <c r="T851" s="50"/>
      <c r="U851" s="50"/>
      <c r="V851" s="50"/>
      <c r="W851" s="50"/>
      <c r="X851" s="50"/>
      <c r="Y851" s="50"/>
      <c r="Z851" s="50"/>
      <c r="AA851" s="50"/>
      <c r="AB851" s="50"/>
    </row>
    <row r="852">
      <c r="A852" s="49"/>
      <c r="B852" s="49"/>
      <c r="C852" s="50"/>
      <c r="D852" s="50"/>
      <c r="E852" s="50"/>
      <c r="F852" s="50"/>
      <c r="G852" s="50"/>
      <c r="H852" s="50"/>
      <c r="I852" s="50"/>
      <c r="J852" s="50"/>
      <c r="K852" s="50"/>
      <c r="L852" s="50"/>
      <c r="M852" s="50"/>
      <c r="N852" s="50"/>
      <c r="O852" s="50"/>
      <c r="P852" s="50"/>
      <c r="Q852" s="50"/>
      <c r="R852" s="50"/>
      <c r="S852" s="50"/>
      <c r="T852" s="50"/>
      <c r="U852" s="50"/>
      <c r="V852" s="50"/>
      <c r="W852" s="50"/>
      <c r="X852" s="50"/>
      <c r="Y852" s="50"/>
      <c r="Z852" s="50"/>
      <c r="AA852" s="50"/>
      <c r="AB852" s="50"/>
    </row>
    <row r="853">
      <c r="A853" s="49"/>
      <c r="B853" s="49"/>
      <c r="C853" s="50"/>
      <c r="D853" s="50"/>
      <c r="E853" s="50"/>
      <c r="F853" s="50"/>
      <c r="G853" s="50"/>
      <c r="H853" s="50"/>
      <c r="I853" s="50"/>
      <c r="J853" s="50"/>
      <c r="K853" s="50"/>
      <c r="L853" s="50"/>
      <c r="M853" s="50"/>
      <c r="N853" s="50"/>
      <c r="O853" s="50"/>
      <c r="P853" s="50"/>
      <c r="Q853" s="50"/>
      <c r="R853" s="50"/>
      <c r="S853" s="50"/>
      <c r="T853" s="50"/>
      <c r="U853" s="50"/>
      <c r="V853" s="50"/>
      <c r="W853" s="50"/>
      <c r="X853" s="50"/>
      <c r="Y853" s="50"/>
      <c r="Z853" s="50"/>
      <c r="AA853" s="50"/>
      <c r="AB853" s="50"/>
    </row>
    <row r="854">
      <c r="A854" s="49"/>
      <c r="B854" s="49"/>
      <c r="C854" s="50"/>
      <c r="D854" s="50"/>
      <c r="E854" s="50"/>
      <c r="F854" s="50"/>
      <c r="G854" s="50"/>
      <c r="H854" s="50"/>
      <c r="I854" s="50"/>
      <c r="J854" s="50"/>
      <c r="K854" s="50"/>
      <c r="L854" s="50"/>
      <c r="M854" s="50"/>
      <c r="N854" s="50"/>
      <c r="O854" s="50"/>
      <c r="P854" s="50"/>
      <c r="Q854" s="50"/>
      <c r="R854" s="50"/>
      <c r="S854" s="50"/>
      <c r="T854" s="50"/>
      <c r="U854" s="50"/>
      <c r="V854" s="50"/>
      <c r="W854" s="50"/>
      <c r="X854" s="50"/>
      <c r="Y854" s="50"/>
      <c r="Z854" s="50"/>
      <c r="AA854" s="50"/>
      <c r="AB854" s="50"/>
    </row>
    <row r="855">
      <c r="A855" s="49"/>
      <c r="B855" s="49"/>
      <c r="C855" s="50"/>
      <c r="D855" s="50"/>
      <c r="E855" s="50"/>
      <c r="F855" s="50"/>
      <c r="G855" s="50"/>
      <c r="H855" s="50"/>
      <c r="I855" s="50"/>
      <c r="J855" s="50"/>
      <c r="K855" s="50"/>
      <c r="L855" s="50"/>
      <c r="M855" s="50"/>
      <c r="N855" s="50"/>
      <c r="O855" s="50"/>
      <c r="P855" s="50"/>
      <c r="Q855" s="50"/>
      <c r="R855" s="50"/>
      <c r="S855" s="50"/>
      <c r="T855" s="50"/>
      <c r="U855" s="50"/>
      <c r="V855" s="50"/>
      <c r="W855" s="50"/>
      <c r="X855" s="50"/>
      <c r="Y855" s="50"/>
      <c r="Z855" s="50"/>
      <c r="AA855" s="50"/>
      <c r="AB855" s="50"/>
    </row>
    <row r="856">
      <c r="A856" s="49"/>
      <c r="B856" s="49"/>
      <c r="C856" s="50"/>
      <c r="D856" s="50"/>
      <c r="E856" s="50"/>
      <c r="F856" s="50"/>
      <c r="G856" s="50"/>
      <c r="H856" s="50"/>
      <c r="I856" s="50"/>
      <c r="J856" s="50"/>
      <c r="K856" s="50"/>
      <c r="L856" s="50"/>
      <c r="M856" s="50"/>
      <c r="N856" s="50"/>
      <c r="O856" s="50"/>
      <c r="P856" s="50"/>
      <c r="Q856" s="50"/>
      <c r="R856" s="50"/>
      <c r="S856" s="50"/>
      <c r="T856" s="50"/>
      <c r="U856" s="50"/>
      <c r="V856" s="50"/>
      <c r="W856" s="50"/>
      <c r="X856" s="50"/>
      <c r="Y856" s="50"/>
      <c r="Z856" s="50"/>
      <c r="AA856" s="50"/>
      <c r="AB856" s="50"/>
    </row>
    <row r="857">
      <c r="A857" s="49"/>
      <c r="B857" s="49"/>
      <c r="C857" s="50"/>
      <c r="D857" s="50"/>
      <c r="E857" s="50"/>
      <c r="F857" s="50"/>
      <c r="G857" s="50"/>
      <c r="H857" s="50"/>
      <c r="I857" s="50"/>
      <c r="J857" s="50"/>
      <c r="K857" s="50"/>
      <c r="L857" s="50"/>
      <c r="M857" s="50"/>
      <c r="N857" s="50"/>
      <c r="O857" s="50"/>
      <c r="P857" s="50"/>
      <c r="Q857" s="50"/>
      <c r="R857" s="50"/>
      <c r="S857" s="50"/>
      <c r="T857" s="50"/>
      <c r="U857" s="50"/>
      <c r="V857" s="50"/>
      <c r="W857" s="50"/>
      <c r="X857" s="50"/>
      <c r="Y857" s="50"/>
      <c r="Z857" s="50"/>
      <c r="AA857" s="50"/>
      <c r="AB857" s="50"/>
    </row>
    <row r="858">
      <c r="A858" s="49"/>
      <c r="B858" s="49"/>
      <c r="C858" s="50"/>
      <c r="D858" s="50"/>
      <c r="E858" s="50"/>
      <c r="F858" s="50"/>
      <c r="G858" s="50"/>
      <c r="H858" s="50"/>
      <c r="I858" s="50"/>
      <c r="J858" s="50"/>
      <c r="K858" s="50"/>
      <c r="L858" s="50"/>
      <c r="M858" s="50"/>
      <c r="N858" s="50"/>
      <c r="O858" s="50"/>
      <c r="P858" s="50"/>
      <c r="Q858" s="50"/>
      <c r="R858" s="50"/>
      <c r="S858" s="50"/>
      <c r="T858" s="50"/>
      <c r="U858" s="50"/>
      <c r="V858" s="50"/>
      <c r="W858" s="50"/>
      <c r="X858" s="50"/>
      <c r="Y858" s="50"/>
      <c r="Z858" s="50"/>
      <c r="AA858" s="50"/>
      <c r="AB858" s="50"/>
    </row>
    <row r="859">
      <c r="A859" s="49"/>
      <c r="B859" s="49"/>
      <c r="C859" s="50"/>
      <c r="D859" s="50"/>
      <c r="E859" s="50"/>
      <c r="F859" s="50"/>
      <c r="G859" s="50"/>
      <c r="H859" s="50"/>
      <c r="I859" s="50"/>
      <c r="J859" s="50"/>
      <c r="K859" s="50"/>
      <c r="L859" s="50"/>
      <c r="M859" s="50"/>
      <c r="N859" s="50"/>
      <c r="O859" s="50"/>
      <c r="P859" s="50"/>
      <c r="Q859" s="50"/>
      <c r="R859" s="50"/>
      <c r="S859" s="50"/>
      <c r="T859" s="50"/>
      <c r="U859" s="50"/>
      <c r="V859" s="50"/>
      <c r="W859" s="50"/>
      <c r="X859" s="50"/>
      <c r="Y859" s="50"/>
      <c r="Z859" s="50"/>
      <c r="AA859" s="50"/>
      <c r="AB859" s="50"/>
    </row>
    <row r="860">
      <c r="A860" s="49"/>
      <c r="B860" s="49"/>
      <c r="C860" s="50"/>
      <c r="D860" s="50"/>
      <c r="E860" s="50"/>
      <c r="F860" s="50"/>
      <c r="G860" s="50"/>
      <c r="H860" s="50"/>
      <c r="I860" s="50"/>
      <c r="J860" s="50"/>
      <c r="K860" s="50"/>
      <c r="L860" s="50"/>
      <c r="M860" s="50"/>
      <c r="N860" s="50"/>
      <c r="O860" s="50"/>
      <c r="P860" s="50"/>
      <c r="Q860" s="50"/>
      <c r="R860" s="50"/>
      <c r="S860" s="50"/>
      <c r="T860" s="50"/>
      <c r="U860" s="50"/>
      <c r="V860" s="50"/>
      <c r="W860" s="50"/>
      <c r="X860" s="50"/>
      <c r="Y860" s="50"/>
      <c r="Z860" s="50"/>
      <c r="AA860" s="50"/>
      <c r="AB860" s="50"/>
    </row>
    <row r="861">
      <c r="A861" s="49"/>
      <c r="B861" s="49"/>
      <c r="C861" s="50"/>
      <c r="D861" s="50"/>
      <c r="E861" s="50"/>
      <c r="F861" s="50"/>
      <c r="G861" s="50"/>
      <c r="H861" s="50"/>
      <c r="I861" s="50"/>
      <c r="J861" s="50"/>
      <c r="K861" s="50"/>
      <c r="L861" s="50"/>
      <c r="M861" s="50"/>
      <c r="N861" s="50"/>
      <c r="O861" s="50"/>
      <c r="P861" s="50"/>
      <c r="Q861" s="50"/>
      <c r="R861" s="50"/>
      <c r="S861" s="50"/>
      <c r="T861" s="50"/>
      <c r="U861" s="50"/>
      <c r="V861" s="50"/>
      <c r="W861" s="50"/>
      <c r="X861" s="50"/>
      <c r="Y861" s="50"/>
      <c r="Z861" s="50"/>
      <c r="AA861" s="50"/>
      <c r="AB861" s="50"/>
    </row>
    <row r="862">
      <c r="A862" s="49"/>
      <c r="B862" s="49"/>
      <c r="C862" s="50"/>
      <c r="D862" s="50"/>
      <c r="E862" s="50"/>
      <c r="F862" s="50"/>
      <c r="G862" s="50"/>
      <c r="H862" s="50"/>
      <c r="I862" s="50"/>
      <c r="J862" s="50"/>
      <c r="K862" s="50"/>
      <c r="L862" s="50"/>
      <c r="M862" s="50"/>
      <c r="N862" s="50"/>
      <c r="O862" s="50"/>
      <c r="P862" s="50"/>
      <c r="Q862" s="50"/>
      <c r="R862" s="50"/>
      <c r="S862" s="50"/>
      <c r="T862" s="50"/>
      <c r="U862" s="50"/>
      <c r="V862" s="50"/>
      <c r="W862" s="50"/>
      <c r="X862" s="50"/>
      <c r="Y862" s="50"/>
      <c r="Z862" s="50"/>
      <c r="AA862" s="50"/>
      <c r="AB862" s="50"/>
    </row>
    <row r="863">
      <c r="A863" s="49"/>
      <c r="B863" s="49"/>
      <c r="C863" s="50"/>
      <c r="D863" s="50"/>
      <c r="E863" s="50"/>
      <c r="F863" s="50"/>
      <c r="G863" s="50"/>
      <c r="H863" s="50"/>
      <c r="I863" s="50"/>
      <c r="J863" s="50"/>
      <c r="K863" s="50"/>
      <c r="L863" s="50"/>
      <c r="M863" s="50"/>
      <c r="N863" s="50"/>
      <c r="O863" s="50"/>
      <c r="P863" s="50"/>
      <c r="Q863" s="50"/>
      <c r="R863" s="50"/>
      <c r="S863" s="50"/>
      <c r="T863" s="50"/>
      <c r="U863" s="50"/>
      <c r="V863" s="50"/>
      <c r="W863" s="50"/>
      <c r="X863" s="50"/>
      <c r="Y863" s="50"/>
      <c r="Z863" s="50"/>
      <c r="AA863" s="50"/>
      <c r="AB863" s="50"/>
    </row>
    <row r="864">
      <c r="A864" s="49"/>
      <c r="B864" s="49"/>
      <c r="C864" s="50"/>
      <c r="D864" s="50"/>
      <c r="E864" s="50"/>
      <c r="F864" s="50"/>
      <c r="G864" s="50"/>
      <c r="H864" s="50"/>
      <c r="I864" s="50"/>
      <c r="J864" s="50"/>
      <c r="K864" s="50"/>
      <c r="L864" s="50"/>
      <c r="M864" s="50"/>
      <c r="N864" s="50"/>
      <c r="O864" s="50"/>
      <c r="P864" s="50"/>
      <c r="Q864" s="50"/>
      <c r="R864" s="50"/>
      <c r="S864" s="50"/>
      <c r="T864" s="50"/>
      <c r="U864" s="50"/>
      <c r="V864" s="50"/>
      <c r="W864" s="50"/>
      <c r="X864" s="50"/>
      <c r="Y864" s="50"/>
      <c r="Z864" s="50"/>
      <c r="AA864" s="50"/>
      <c r="AB864" s="50"/>
    </row>
    <row r="865">
      <c r="A865" s="49"/>
      <c r="B865" s="49"/>
      <c r="C865" s="50"/>
      <c r="D865" s="50"/>
      <c r="E865" s="50"/>
      <c r="F865" s="50"/>
      <c r="G865" s="50"/>
      <c r="H865" s="50"/>
      <c r="I865" s="50"/>
      <c r="J865" s="50"/>
      <c r="K865" s="50"/>
      <c r="L865" s="50"/>
      <c r="M865" s="50"/>
      <c r="N865" s="50"/>
      <c r="O865" s="50"/>
      <c r="P865" s="50"/>
      <c r="Q865" s="50"/>
      <c r="R865" s="50"/>
      <c r="S865" s="50"/>
      <c r="T865" s="50"/>
      <c r="U865" s="50"/>
      <c r="V865" s="50"/>
      <c r="W865" s="50"/>
      <c r="X865" s="50"/>
      <c r="Y865" s="50"/>
      <c r="Z865" s="50"/>
      <c r="AA865" s="50"/>
      <c r="AB865" s="50"/>
    </row>
    <row r="866">
      <c r="A866" s="49"/>
      <c r="B866" s="49"/>
      <c r="C866" s="50"/>
      <c r="D866" s="50"/>
      <c r="E866" s="50"/>
      <c r="F866" s="50"/>
      <c r="G866" s="50"/>
      <c r="H866" s="50"/>
      <c r="I866" s="50"/>
      <c r="J866" s="50"/>
      <c r="K866" s="50"/>
      <c r="L866" s="50"/>
      <c r="M866" s="50"/>
      <c r="N866" s="50"/>
      <c r="O866" s="50"/>
      <c r="P866" s="50"/>
      <c r="Q866" s="50"/>
      <c r="R866" s="50"/>
      <c r="S866" s="50"/>
      <c r="T866" s="50"/>
      <c r="U866" s="50"/>
      <c r="V866" s="50"/>
      <c r="W866" s="50"/>
      <c r="X866" s="50"/>
      <c r="Y866" s="50"/>
      <c r="Z866" s="50"/>
      <c r="AA866" s="50"/>
      <c r="AB866" s="50"/>
    </row>
    <row r="867">
      <c r="A867" s="49"/>
      <c r="B867" s="49"/>
      <c r="C867" s="50"/>
      <c r="D867" s="50"/>
      <c r="E867" s="50"/>
      <c r="F867" s="50"/>
      <c r="G867" s="50"/>
      <c r="H867" s="50"/>
      <c r="I867" s="50"/>
      <c r="J867" s="50"/>
      <c r="K867" s="50"/>
      <c r="L867" s="50"/>
      <c r="M867" s="50"/>
      <c r="N867" s="50"/>
      <c r="O867" s="50"/>
      <c r="P867" s="50"/>
      <c r="Q867" s="50"/>
      <c r="R867" s="50"/>
      <c r="S867" s="50"/>
      <c r="T867" s="50"/>
      <c r="U867" s="50"/>
      <c r="V867" s="50"/>
      <c r="W867" s="50"/>
      <c r="X867" s="50"/>
      <c r="Y867" s="50"/>
      <c r="Z867" s="50"/>
      <c r="AA867" s="50"/>
      <c r="AB867" s="50"/>
    </row>
    <row r="868">
      <c r="A868" s="49"/>
      <c r="B868" s="49"/>
      <c r="C868" s="50"/>
      <c r="D868" s="50"/>
      <c r="E868" s="50"/>
      <c r="F868" s="50"/>
      <c r="G868" s="50"/>
      <c r="H868" s="50"/>
      <c r="I868" s="50"/>
      <c r="J868" s="50"/>
      <c r="K868" s="50"/>
      <c r="L868" s="50"/>
      <c r="M868" s="50"/>
      <c r="N868" s="50"/>
      <c r="O868" s="50"/>
      <c r="P868" s="50"/>
      <c r="Q868" s="50"/>
      <c r="R868" s="50"/>
      <c r="S868" s="50"/>
      <c r="T868" s="50"/>
      <c r="U868" s="50"/>
      <c r="V868" s="50"/>
      <c r="W868" s="50"/>
      <c r="X868" s="50"/>
      <c r="Y868" s="50"/>
      <c r="Z868" s="50"/>
      <c r="AA868" s="50"/>
      <c r="AB868" s="50"/>
    </row>
    <row r="869">
      <c r="A869" s="49"/>
      <c r="B869" s="49"/>
      <c r="C869" s="50"/>
      <c r="D869" s="50"/>
      <c r="E869" s="50"/>
      <c r="F869" s="50"/>
      <c r="G869" s="50"/>
      <c r="H869" s="50"/>
      <c r="I869" s="50"/>
      <c r="J869" s="50"/>
      <c r="K869" s="50"/>
      <c r="L869" s="50"/>
      <c r="M869" s="50"/>
      <c r="N869" s="50"/>
      <c r="O869" s="50"/>
      <c r="P869" s="50"/>
      <c r="Q869" s="50"/>
      <c r="R869" s="50"/>
      <c r="S869" s="50"/>
      <c r="T869" s="50"/>
      <c r="U869" s="50"/>
      <c r="V869" s="50"/>
      <c r="W869" s="50"/>
      <c r="X869" s="50"/>
      <c r="Y869" s="50"/>
      <c r="Z869" s="50"/>
      <c r="AA869" s="50"/>
      <c r="AB869" s="50"/>
    </row>
    <row r="870">
      <c r="A870" s="49"/>
      <c r="B870" s="49"/>
      <c r="C870" s="50"/>
      <c r="D870" s="50"/>
      <c r="E870" s="50"/>
      <c r="F870" s="50"/>
      <c r="G870" s="50"/>
      <c r="H870" s="50"/>
      <c r="I870" s="50"/>
      <c r="J870" s="50"/>
      <c r="K870" s="50"/>
      <c r="L870" s="50"/>
      <c r="M870" s="50"/>
      <c r="N870" s="50"/>
      <c r="O870" s="50"/>
      <c r="P870" s="50"/>
      <c r="Q870" s="50"/>
      <c r="R870" s="50"/>
      <c r="S870" s="50"/>
      <c r="T870" s="50"/>
      <c r="U870" s="50"/>
      <c r="V870" s="50"/>
      <c r="W870" s="50"/>
      <c r="X870" s="50"/>
      <c r="Y870" s="50"/>
      <c r="Z870" s="50"/>
      <c r="AA870" s="50"/>
      <c r="AB870" s="50"/>
    </row>
    <row r="871">
      <c r="A871" s="49"/>
      <c r="B871" s="49"/>
      <c r="C871" s="50"/>
      <c r="D871" s="50"/>
      <c r="E871" s="50"/>
      <c r="F871" s="50"/>
      <c r="G871" s="50"/>
      <c r="H871" s="50"/>
      <c r="I871" s="50"/>
      <c r="J871" s="50"/>
      <c r="K871" s="50"/>
      <c r="L871" s="50"/>
      <c r="M871" s="50"/>
      <c r="N871" s="50"/>
      <c r="O871" s="50"/>
      <c r="P871" s="50"/>
      <c r="Q871" s="50"/>
      <c r="R871" s="50"/>
      <c r="S871" s="50"/>
      <c r="T871" s="50"/>
      <c r="U871" s="50"/>
      <c r="V871" s="50"/>
      <c r="W871" s="50"/>
      <c r="X871" s="50"/>
      <c r="Y871" s="50"/>
      <c r="Z871" s="50"/>
      <c r="AA871" s="50"/>
      <c r="AB871" s="50"/>
    </row>
    <row r="872">
      <c r="A872" s="49"/>
      <c r="B872" s="49"/>
      <c r="C872" s="50"/>
      <c r="D872" s="50"/>
      <c r="E872" s="50"/>
      <c r="F872" s="50"/>
      <c r="G872" s="50"/>
      <c r="H872" s="50"/>
      <c r="I872" s="50"/>
      <c r="J872" s="50"/>
      <c r="K872" s="50"/>
      <c r="L872" s="50"/>
      <c r="M872" s="50"/>
      <c r="N872" s="50"/>
      <c r="O872" s="50"/>
      <c r="P872" s="50"/>
      <c r="Q872" s="50"/>
      <c r="R872" s="50"/>
      <c r="S872" s="50"/>
      <c r="T872" s="50"/>
      <c r="U872" s="50"/>
      <c r="V872" s="50"/>
      <c r="W872" s="50"/>
      <c r="X872" s="50"/>
      <c r="Y872" s="50"/>
      <c r="Z872" s="50"/>
      <c r="AA872" s="50"/>
      <c r="AB872" s="50"/>
    </row>
    <row r="873">
      <c r="A873" s="49"/>
      <c r="B873" s="49"/>
      <c r="C873" s="50"/>
      <c r="D873" s="50"/>
      <c r="E873" s="50"/>
      <c r="F873" s="50"/>
      <c r="G873" s="50"/>
      <c r="H873" s="50"/>
      <c r="I873" s="50"/>
      <c r="J873" s="50"/>
      <c r="K873" s="50"/>
      <c r="L873" s="50"/>
      <c r="M873" s="50"/>
      <c r="N873" s="50"/>
      <c r="O873" s="50"/>
      <c r="P873" s="50"/>
      <c r="Q873" s="50"/>
      <c r="R873" s="50"/>
      <c r="S873" s="50"/>
      <c r="T873" s="50"/>
      <c r="U873" s="50"/>
      <c r="V873" s="50"/>
      <c r="W873" s="50"/>
      <c r="X873" s="50"/>
      <c r="Y873" s="50"/>
      <c r="Z873" s="50"/>
      <c r="AA873" s="50"/>
      <c r="AB873" s="50"/>
    </row>
    <row r="874">
      <c r="A874" s="49"/>
      <c r="B874" s="49"/>
      <c r="C874" s="50"/>
      <c r="D874" s="50"/>
      <c r="E874" s="50"/>
      <c r="F874" s="50"/>
      <c r="G874" s="50"/>
      <c r="H874" s="50"/>
      <c r="I874" s="50"/>
      <c r="J874" s="50"/>
      <c r="K874" s="50"/>
      <c r="L874" s="50"/>
      <c r="M874" s="50"/>
      <c r="N874" s="50"/>
      <c r="O874" s="50"/>
      <c r="P874" s="50"/>
      <c r="Q874" s="50"/>
      <c r="R874" s="50"/>
      <c r="S874" s="50"/>
      <c r="T874" s="50"/>
      <c r="U874" s="50"/>
      <c r="V874" s="50"/>
      <c r="W874" s="50"/>
      <c r="X874" s="50"/>
      <c r="Y874" s="50"/>
      <c r="Z874" s="50"/>
      <c r="AA874" s="50"/>
      <c r="AB874" s="50"/>
    </row>
    <row r="875">
      <c r="A875" s="49"/>
      <c r="B875" s="49"/>
      <c r="C875" s="50"/>
      <c r="D875" s="50"/>
      <c r="E875" s="50"/>
      <c r="F875" s="50"/>
      <c r="G875" s="50"/>
      <c r="H875" s="50"/>
      <c r="I875" s="50"/>
      <c r="J875" s="50"/>
      <c r="K875" s="50"/>
      <c r="L875" s="50"/>
      <c r="M875" s="50"/>
      <c r="N875" s="50"/>
      <c r="O875" s="50"/>
      <c r="P875" s="50"/>
      <c r="Q875" s="50"/>
      <c r="R875" s="50"/>
      <c r="S875" s="50"/>
      <c r="T875" s="50"/>
      <c r="U875" s="50"/>
      <c r="V875" s="50"/>
      <c r="W875" s="50"/>
      <c r="X875" s="50"/>
      <c r="Y875" s="50"/>
      <c r="Z875" s="50"/>
      <c r="AA875" s="50"/>
      <c r="AB875" s="50"/>
    </row>
    <row r="876">
      <c r="A876" s="49"/>
      <c r="B876" s="49"/>
      <c r="C876" s="50"/>
      <c r="D876" s="50"/>
      <c r="E876" s="50"/>
      <c r="F876" s="50"/>
      <c r="G876" s="50"/>
      <c r="H876" s="50"/>
      <c r="I876" s="50"/>
      <c r="J876" s="50"/>
      <c r="K876" s="50"/>
      <c r="L876" s="50"/>
      <c r="M876" s="50"/>
      <c r="N876" s="50"/>
      <c r="O876" s="50"/>
      <c r="P876" s="50"/>
      <c r="Q876" s="50"/>
      <c r="R876" s="50"/>
      <c r="S876" s="50"/>
      <c r="T876" s="50"/>
      <c r="U876" s="50"/>
      <c r="V876" s="50"/>
      <c r="W876" s="50"/>
      <c r="X876" s="50"/>
      <c r="Y876" s="50"/>
      <c r="Z876" s="50"/>
      <c r="AA876" s="50"/>
      <c r="AB876" s="50"/>
    </row>
    <row r="877">
      <c r="A877" s="49"/>
      <c r="B877" s="49"/>
      <c r="C877" s="50"/>
      <c r="D877" s="50"/>
      <c r="E877" s="50"/>
      <c r="F877" s="50"/>
      <c r="G877" s="50"/>
      <c r="H877" s="50"/>
      <c r="I877" s="50"/>
      <c r="J877" s="50"/>
      <c r="K877" s="50"/>
      <c r="L877" s="50"/>
      <c r="M877" s="50"/>
      <c r="N877" s="50"/>
      <c r="O877" s="50"/>
      <c r="P877" s="50"/>
      <c r="Q877" s="50"/>
      <c r="R877" s="50"/>
      <c r="S877" s="50"/>
      <c r="T877" s="50"/>
      <c r="U877" s="50"/>
      <c r="V877" s="50"/>
      <c r="W877" s="50"/>
      <c r="X877" s="50"/>
      <c r="Y877" s="50"/>
      <c r="Z877" s="50"/>
      <c r="AA877" s="50"/>
      <c r="AB877" s="50"/>
    </row>
    <row r="878">
      <c r="A878" s="49"/>
      <c r="B878" s="49"/>
      <c r="C878" s="50"/>
      <c r="D878" s="50"/>
      <c r="E878" s="50"/>
      <c r="F878" s="50"/>
      <c r="G878" s="50"/>
      <c r="H878" s="50"/>
      <c r="I878" s="50"/>
      <c r="J878" s="50"/>
      <c r="K878" s="50"/>
      <c r="L878" s="50"/>
      <c r="M878" s="50"/>
      <c r="N878" s="50"/>
      <c r="O878" s="50"/>
      <c r="P878" s="50"/>
      <c r="Q878" s="50"/>
      <c r="R878" s="50"/>
      <c r="S878" s="50"/>
      <c r="T878" s="50"/>
      <c r="U878" s="50"/>
      <c r="V878" s="50"/>
      <c r="W878" s="50"/>
      <c r="X878" s="50"/>
      <c r="Y878" s="50"/>
      <c r="Z878" s="50"/>
      <c r="AA878" s="50"/>
      <c r="AB878" s="50"/>
    </row>
    <row r="879">
      <c r="A879" s="49"/>
      <c r="B879" s="49"/>
      <c r="C879" s="50"/>
      <c r="D879" s="50"/>
      <c r="E879" s="50"/>
      <c r="F879" s="50"/>
      <c r="G879" s="50"/>
      <c r="H879" s="50"/>
      <c r="I879" s="50"/>
      <c r="J879" s="50"/>
      <c r="K879" s="50"/>
      <c r="L879" s="50"/>
      <c r="M879" s="50"/>
      <c r="N879" s="50"/>
      <c r="O879" s="50"/>
      <c r="P879" s="50"/>
      <c r="Q879" s="50"/>
      <c r="R879" s="50"/>
      <c r="S879" s="50"/>
      <c r="T879" s="50"/>
      <c r="U879" s="50"/>
      <c r="V879" s="50"/>
      <c r="W879" s="50"/>
      <c r="X879" s="50"/>
      <c r="Y879" s="50"/>
      <c r="Z879" s="50"/>
      <c r="AA879" s="50"/>
      <c r="AB879" s="50"/>
    </row>
    <row r="880">
      <c r="A880" s="49"/>
      <c r="B880" s="49"/>
      <c r="C880" s="50"/>
      <c r="D880" s="50"/>
      <c r="E880" s="50"/>
      <c r="F880" s="50"/>
      <c r="G880" s="50"/>
      <c r="H880" s="50"/>
      <c r="I880" s="50"/>
      <c r="J880" s="50"/>
      <c r="K880" s="50"/>
      <c r="L880" s="50"/>
      <c r="M880" s="50"/>
      <c r="N880" s="50"/>
      <c r="O880" s="50"/>
      <c r="P880" s="50"/>
      <c r="Q880" s="50"/>
      <c r="R880" s="50"/>
      <c r="S880" s="50"/>
      <c r="T880" s="50"/>
      <c r="U880" s="50"/>
      <c r="V880" s="50"/>
      <c r="W880" s="50"/>
      <c r="X880" s="50"/>
      <c r="Y880" s="50"/>
      <c r="Z880" s="50"/>
      <c r="AA880" s="50"/>
      <c r="AB880" s="50"/>
    </row>
    <row r="881">
      <c r="A881" s="49"/>
      <c r="B881" s="49"/>
      <c r="C881" s="50"/>
      <c r="D881" s="50"/>
      <c r="E881" s="50"/>
      <c r="F881" s="50"/>
      <c r="G881" s="50"/>
      <c r="H881" s="50"/>
      <c r="I881" s="50"/>
      <c r="J881" s="50"/>
      <c r="K881" s="50"/>
      <c r="L881" s="50"/>
      <c r="M881" s="50"/>
      <c r="N881" s="50"/>
      <c r="O881" s="50"/>
      <c r="P881" s="50"/>
      <c r="Q881" s="50"/>
      <c r="R881" s="50"/>
      <c r="S881" s="50"/>
      <c r="T881" s="50"/>
      <c r="U881" s="50"/>
      <c r="V881" s="50"/>
      <c r="W881" s="50"/>
      <c r="X881" s="50"/>
      <c r="Y881" s="50"/>
      <c r="Z881" s="50"/>
      <c r="AA881" s="50"/>
      <c r="AB881" s="50"/>
    </row>
    <row r="882">
      <c r="A882" s="49"/>
      <c r="B882" s="49"/>
      <c r="C882" s="50"/>
      <c r="D882" s="50"/>
      <c r="E882" s="50"/>
      <c r="F882" s="50"/>
      <c r="G882" s="50"/>
      <c r="H882" s="50"/>
      <c r="I882" s="50"/>
      <c r="J882" s="50"/>
      <c r="K882" s="50"/>
      <c r="L882" s="50"/>
      <c r="M882" s="50"/>
      <c r="N882" s="50"/>
      <c r="O882" s="50"/>
      <c r="P882" s="50"/>
      <c r="Q882" s="50"/>
      <c r="R882" s="50"/>
      <c r="S882" s="50"/>
      <c r="T882" s="50"/>
      <c r="U882" s="50"/>
      <c r="V882" s="50"/>
      <c r="W882" s="50"/>
      <c r="X882" s="50"/>
      <c r="Y882" s="50"/>
      <c r="Z882" s="50"/>
      <c r="AA882" s="50"/>
      <c r="AB882" s="50"/>
    </row>
    <row r="883">
      <c r="A883" s="49"/>
      <c r="B883" s="49"/>
      <c r="C883" s="50"/>
      <c r="D883" s="50"/>
      <c r="E883" s="50"/>
      <c r="F883" s="50"/>
      <c r="G883" s="50"/>
      <c r="H883" s="50"/>
      <c r="I883" s="50"/>
      <c r="J883" s="50"/>
      <c r="K883" s="50"/>
      <c r="L883" s="50"/>
      <c r="M883" s="50"/>
      <c r="N883" s="50"/>
      <c r="O883" s="50"/>
      <c r="P883" s="50"/>
      <c r="Q883" s="50"/>
      <c r="R883" s="50"/>
      <c r="S883" s="50"/>
      <c r="T883" s="50"/>
      <c r="U883" s="50"/>
      <c r="V883" s="50"/>
      <c r="W883" s="50"/>
      <c r="X883" s="50"/>
      <c r="Y883" s="50"/>
      <c r="Z883" s="50"/>
      <c r="AA883" s="50"/>
      <c r="AB883" s="50"/>
    </row>
    <row r="884">
      <c r="A884" s="49"/>
      <c r="B884" s="49"/>
      <c r="C884" s="50"/>
      <c r="D884" s="50"/>
      <c r="E884" s="50"/>
      <c r="F884" s="50"/>
      <c r="G884" s="50"/>
      <c r="H884" s="50"/>
      <c r="I884" s="50"/>
      <c r="J884" s="50"/>
      <c r="K884" s="50"/>
      <c r="L884" s="50"/>
      <c r="M884" s="50"/>
      <c r="N884" s="50"/>
      <c r="O884" s="50"/>
      <c r="P884" s="50"/>
      <c r="Q884" s="50"/>
      <c r="R884" s="50"/>
      <c r="S884" s="50"/>
      <c r="T884" s="50"/>
      <c r="U884" s="50"/>
      <c r="V884" s="50"/>
      <c r="W884" s="50"/>
      <c r="X884" s="50"/>
      <c r="Y884" s="50"/>
      <c r="Z884" s="50"/>
      <c r="AA884" s="50"/>
      <c r="AB884" s="50"/>
    </row>
    <row r="885">
      <c r="A885" s="49"/>
      <c r="B885" s="49"/>
      <c r="C885" s="50"/>
      <c r="D885" s="50"/>
      <c r="E885" s="50"/>
      <c r="F885" s="50"/>
      <c r="G885" s="50"/>
      <c r="H885" s="50"/>
      <c r="I885" s="50"/>
      <c r="J885" s="50"/>
      <c r="K885" s="50"/>
      <c r="L885" s="50"/>
      <c r="M885" s="50"/>
      <c r="N885" s="50"/>
      <c r="O885" s="50"/>
      <c r="P885" s="50"/>
      <c r="Q885" s="50"/>
      <c r="R885" s="50"/>
      <c r="S885" s="50"/>
      <c r="T885" s="50"/>
      <c r="U885" s="50"/>
      <c r="V885" s="50"/>
      <c r="W885" s="50"/>
      <c r="X885" s="50"/>
      <c r="Y885" s="50"/>
      <c r="Z885" s="50"/>
      <c r="AA885" s="50"/>
      <c r="AB885" s="50"/>
    </row>
    <row r="886">
      <c r="A886" s="49"/>
      <c r="B886" s="49"/>
      <c r="C886" s="50"/>
      <c r="D886" s="50"/>
      <c r="E886" s="50"/>
      <c r="F886" s="50"/>
      <c r="G886" s="50"/>
      <c r="H886" s="50"/>
      <c r="I886" s="50"/>
      <c r="J886" s="50"/>
      <c r="K886" s="50"/>
      <c r="L886" s="50"/>
      <c r="M886" s="50"/>
      <c r="N886" s="50"/>
      <c r="O886" s="50"/>
      <c r="P886" s="50"/>
      <c r="Q886" s="50"/>
      <c r="R886" s="50"/>
      <c r="S886" s="50"/>
      <c r="T886" s="50"/>
      <c r="U886" s="50"/>
      <c r="V886" s="50"/>
      <c r="W886" s="50"/>
      <c r="X886" s="50"/>
      <c r="Y886" s="50"/>
      <c r="Z886" s="50"/>
      <c r="AA886" s="50"/>
      <c r="AB886" s="50"/>
    </row>
    <row r="887">
      <c r="A887" s="49"/>
      <c r="B887" s="49"/>
      <c r="C887" s="50"/>
      <c r="D887" s="50"/>
      <c r="E887" s="50"/>
      <c r="F887" s="50"/>
      <c r="G887" s="50"/>
      <c r="H887" s="50"/>
      <c r="I887" s="50"/>
      <c r="J887" s="50"/>
      <c r="K887" s="50"/>
      <c r="L887" s="50"/>
      <c r="M887" s="50"/>
      <c r="N887" s="50"/>
      <c r="O887" s="50"/>
      <c r="P887" s="50"/>
      <c r="Q887" s="50"/>
      <c r="R887" s="50"/>
      <c r="S887" s="50"/>
      <c r="T887" s="50"/>
      <c r="U887" s="50"/>
      <c r="V887" s="50"/>
      <c r="W887" s="50"/>
      <c r="X887" s="50"/>
      <c r="Y887" s="50"/>
      <c r="Z887" s="50"/>
      <c r="AA887" s="50"/>
      <c r="AB887" s="50"/>
    </row>
    <row r="888">
      <c r="A888" s="49"/>
      <c r="B888" s="49"/>
      <c r="C888" s="50"/>
      <c r="D888" s="50"/>
      <c r="E888" s="50"/>
      <c r="F888" s="50"/>
      <c r="G888" s="50"/>
      <c r="H888" s="50"/>
      <c r="I888" s="50"/>
      <c r="J888" s="50"/>
      <c r="K888" s="50"/>
      <c r="L888" s="50"/>
      <c r="M888" s="50"/>
      <c r="N888" s="50"/>
      <c r="O888" s="50"/>
      <c r="P888" s="50"/>
      <c r="Q888" s="50"/>
      <c r="R888" s="50"/>
      <c r="S888" s="50"/>
      <c r="T888" s="50"/>
      <c r="U888" s="50"/>
      <c r="V888" s="50"/>
      <c r="W888" s="50"/>
      <c r="X888" s="50"/>
      <c r="Y888" s="50"/>
      <c r="Z888" s="50"/>
      <c r="AA888" s="50"/>
      <c r="AB888" s="50"/>
    </row>
    <row r="889">
      <c r="A889" s="49"/>
      <c r="B889" s="49"/>
      <c r="C889" s="50"/>
      <c r="D889" s="50"/>
      <c r="E889" s="50"/>
      <c r="F889" s="50"/>
      <c r="G889" s="50"/>
      <c r="H889" s="50"/>
      <c r="I889" s="50"/>
      <c r="J889" s="50"/>
      <c r="K889" s="50"/>
      <c r="L889" s="50"/>
      <c r="M889" s="50"/>
      <c r="N889" s="50"/>
      <c r="O889" s="50"/>
      <c r="P889" s="50"/>
      <c r="Q889" s="50"/>
      <c r="R889" s="50"/>
      <c r="S889" s="50"/>
      <c r="T889" s="50"/>
      <c r="U889" s="50"/>
      <c r="V889" s="50"/>
      <c r="W889" s="50"/>
      <c r="X889" s="50"/>
      <c r="Y889" s="50"/>
      <c r="Z889" s="50"/>
      <c r="AA889" s="50"/>
      <c r="AB889" s="50"/>
    </row>
    <row r="890">
      <c r="A890" s="49"/>
      <c r="B890" s="49"/>
      <c r="C890" s="50"/>
      <c r="D890" s="50"/>
      <c r="E890" s="50"/>
      <c r="F890" s="50"/>
      <c r="G890" s="50"/>
      <c r="H890" s="50"/>
      <c r="I890" s="50"/>
      <c r="J890" s="50"/>
      <c r="K890" s="50"/>
      <c r="L890" s="50"/>
      <c r="M890" s="50"/>
      <c r="N890" s="50"/>
      <c r="O890" s="50"/>
      <c r="P890" s="50"/>
      <c r="Q890" s="50"/>
      <c r="R890" s="50"/>
      <c r="S890" s="50"/>
      <c r="T890" s="50"/>
      <c r="U890" s="50"/>
      <c r="V890" s="50"/>
      <c r="W890" s="50"/>
      <c r="X890" s="50"/>
      <c r="Y890" s="50"/>
      <c r="Z890" s="50"/>
      <c r="AA890" s="50"/>
      <c r="AB890" s="50"/>
    </row>
    <row r="891">
      <c r="A891" s="49"/>
      <c r="B891" s="49"/>
      <c r="C891" s="50"/>
      <c r="D891" s="50"/>
      <c r="E891" s="50"/>
      <c r="F891" s="50"/>
      <c r="G891" s="50"/>
      <c r="H891" s="50"/>
      <c r="I891" s="50"/>
      <c r="J891" s="50"/>
      <c r="K891" s="50"/>
      <c r="L891" s="50"/>
      <c r="M891" s="50"/>
      <c r="N891" s="50"/>
      <c r="O891" s="50"/>
      <c r="P891" s="50"/>
      <c r="Q891" s="50"/>
      <c r="R891" s="50"/>
      <c r="S891" s="50"/>
      <c r="T891" s="50"/>
      <c r="U891" s="50"/>
      <c r="V891" s="50"/>
      <c r="W891" s="50"/>
      <c r="X891" s="50"/>
      <c r="Y891" s="50"/>
      <c r="Z891" s="50"/>
      <c r="AA891" s="50"/>
      <c r="AB891" s="50"/>
    </row>
    <row r="892">
      <c r="A892" s="49"/>
      <c r="B892" s="49"/>
      <c r="C892" s="50"/>
      <c r="D892" s="50"/>
      <c r="E892" s="50"/>
      <c r="F892" s="50"/>
      <c r="G892" s="50"/>
      <c r="H892" s="50"/>
      <c r="I892" s="50"/>
      <c r="J892" s="50"/>
      <c r="K892" s="50"/>
      <c r="L892" s="50"/>
      <c r="M892" s="50"/>
      <c r="N892" s="50"/>
      <c r="O892" s="50"/>
      <c r="P892" s="50"/>
      <c r="Q892" s="50"/>
      <c r="R892" s="50"/>
      <c r="S892" s="50"/>
      <c r="T892" s="50"/>
      <c r="U892" s="50"/>
      <c r="V892" s="50"/>
      <c r="W892" s="50"/>
      <c r="X892" s="50"/>
      <c r="Y892" s="50"/>
      <c r="Z892" s="50"/>
      <c r="AA892" s="50"/>
      <c r="AB892" s="50"/>
    </row>
    <row r="893">
      <c r="A893" s="49"/>
      <c r="B893" s="49"/>
      <c r="C893" s="50"/>
      <c r="D893" s="50"/>
      <c r="E893" s="50"/>
      <c r="F893" s="50"/>
      <c r="G893" s="50"/>
      <c r="H893" s="50"/>
      <c r="I893" s="50"/>
      <c r="J893" s="50"/>
      <c r="K893" s="50"/>
      <c r="L893" s="50"/>
      <c r="M893" s="50"/>
      <c r="N893" s="50"/>
      <c r="O893" s="50"/>
      <c r="P893" s="50"/>
      <c r="Q893" s="50"/>
      <c r="R893" s="50"/>
      <c r="S893" s="50"/>
      <c r="T893" s="50"/>
      <c r="U893" s="50"/>
      <c r="V893" s="50"/>
      <c r="W893" s="50"/>
      <c r="X893" s="50"/>
      <c r="Y893" s="50"/>
      <c r="Z893" s="50"/>
      <c r="AA893" s="50"/>
      <c r="AB893" s="50"/>
    </row>
    <row r="894">
      <c r="A894" s="49"/>
      <c r="B894" s="49"/>
      <c r="C894" s="50"/>
      <c r="D894" s="50"/>
      <c r="E894" s="50"/>
      <c r="F894" s="50"/>
      <c r="G894" s="50"/>
      <c r="H894" s="50"/>
      <c r="I894" s="50"/>
      <c r="J894" s="50"/>
      <c r="K894" s="50"/>
      <c r="L894" s="50"/>
      <c r="M894" s="50"/>
      <c r="N894" s="50"/>
      <c r="O894" s="50"/>
      <c r="P894" s="50"/>
      <c r="Q894" s="50"/>
      <c r="R894" s="50"/>
      <c r="S894" s="50"/>
      <c r="T894" s="50"/>
      <c r="U894" s="50"/>
      <c r="V894" s="50"/>
      <c r="W894" s="50"/>
      <c r="X894" s="50"/>
      <c r="Y894" s="50"/>
      <c r="Z894" s="50"/>
      <c r="AA894" s="50"/>
      <c r="AB894" s="50"/>
    </row>
    <row r="895">
      <c r="A895" s="49"/>
      <c r="B895" s="49"/>
      <c r="C895" s="50"/>
      <c r="D895" s="50"/>
      <c r="E895" s="50"/>
      <c r="F895" s="50"/>
      <c r="G895" s="50"/>
      <c r="H895" s="50"/>
      <c r="I895" s="50"/>
      <c r="J895" s="50"/>
      <c r="K895" s="50"/>
      <c r="L895" s="50"/>
      <c r="M895" s="50"/>
      <c r="N895" s="50"/>
      <c r="O895" s="50"/>
      <c r="P895" s="50"/>
      <c r="Q895" s="50"/>
      <c r="R895" s="50"/>
      <c r="S895" s="50"/>
      <c r="T895" s="50"/>
      <c r="U895" s="50"/>
      <c r="V895" s="50"/>
      <c r="W895" s="50"/>
      <c r="X895" s="50"/>
      <c r="Y895" s="50"/>
      <c r="Z895" s="50"/>
      <c r="AA895" s="50"/>
      <c r="AB895" s="50"/>
    </row>
    <row r="896">
      <c r="A896" s="49"/>
      <c r="B896" s="49"/>
      <c r="C896" s="50"/>
      <c r="D896" s="50"/>
      <c r="E896" s="50"/>
      <c r="F896" s="50"/>
      <c r="G896" s="50"/>
      <c r="H896" s="50"/>
      <c r="I896" s="50"/>
      <c r="J896" s="50"/>
      <c r="K896" s="50"/>
      <c r="L896" s="50"/>
      <c r="M896" s="50"/>
      <c r="N896" s="50"/>
      <c r="O896" s="50"/>
      <c r="P896" s="50"/>
      <c r="Q896" s="50"/>
      <c r="R896" s="50"/>
      <c r="S896" s="50"/>
      <c r="T896" s="50"/>
      <c r="U896" s="50"/>
      <c r="V896" s="50"/>
      <c r="W896" s="50"/>
      <c r="X896" s="50"/>
      <c r="Y896" s="50"/>
      <c r="Z896" s="50"/>
      <c r="AA896" s="50"/>
      <c r="AB896" s="50"/>
    </row>
    <row r="897">
      <c r="A897" s="49"/>
      <c r="B897" s="49"/>
      <c r="C897" s="50"/>
      <c r="D897" s="50"/>
      <c r="E897" s="50"/>
      <c r="F897" s="50"/>
      <c r="G897" s="50"/>
      <c r="H897" s="50"/>
      <c r="I897" s="50"/>
      <c r="J897" s="50"/>
      <c r="K897" s="50"/>
      <c r="L897" s="50"/>
      <c r="M897" s="50"/>
      <c r="N897" s="50"/>
      <c r="O897" s="50"/>
      <c r="P897" s="50"/>
      <c r="Q897" s="50"/>
      <c r="R897" s="50"/>
      <c r="S897" s="50"/>
      <c r="T897" s="50"/>
      <c r="U897" s="50"/>
      <c r="V897" s="50"/>
      <c r="W897" s="50"/>
      <c r="X897" s="50"/>
      <c r="Y897" s="50"/>
      <c r="Z897" s="50"/>
      <c r="AA897" s="50"/>
      <c r="AB897" s="50"/>
    </row>
    <row r="898">
      <c r="A898" s="49"/>
      <c r="B898" s="49"/>
      <c r="C898" s="50"/>
      <c r="D898" s="50"/>
      <c r="E898" s="50"/>
      <c r="F898" s="50"/>
      <c r="G898" s="50"/>
      <c r="H898" s="50"/>
      <c r="I898" s="50"/>
      <c r="J898" s="50"/>
      <c r="K898" s="50"/>
      <c r="L898" s="50"/>
      <c r="M898" s="50"/>
      <c r="N898" s="50"/>
      <c r="O898" s="50"/>
      <c r="P898" s="50"/>
      <c r="Q898" s="50"/>
      <c r="R898" s="50"/>
      <c r="S898" s="50"/>
      <c r="T898" s="50"/>
      <c r="U898" s="50"/>
      <c r="V898" s="50"/>
      <c r="W898" s="50"/>
      <c r="X898" s="50"/>
      <c r="Y898" s="50"/>
      <c r="Z898" s="50"/>
      <c r="AA898" s="50"/>
      <c r="AB898" s="50"/>
    </row>
    <row r="899">
      <c r="A899" s="49"/>
      <c r="B899" s="49"/>
      <c r="C899" s="50"/>
      <c r="D899" s="50"/>
      <c r="E899" s="50"/>
      <c r="F899" s="50"/>
      <c r="G899" s="50"/>
      <c r="H899" s="50"/>
      <c r="I899" s="50"/>
      <c r="J899" s="50"/>
      <c r="K899" s="50"/>
      <c r="L899" s="50"/>
      <c r="M899" s="50"/>
      <c r="N899" s="50"/>
      <c r="O899" s="50"/>
      <c r="P899" s="50"/>
      <c r="Q899" s="50"/>
      <c r="R899" s="50"/>
      <c r="S899" s="50"/>
      <c r="T899" s="50"/>
      <c r="U899" s="50"/>
      <c r="V899" s="50"/>
      <c r="W899" s="50"/>
      <c r="X899" s="50"/>
      <c r="Y899" s="50"/>
      <c r="Z899" s="50"/>
      <c r="AA899" s="50"/>
      <c r="AB899" s="50"/>
    </row>
    <row r="900">
      <c r="A900" s="49"/>
      <c r="B900" s="49"/>
      <c r="C900" s="50"/>
      <c r="D900" s="50"/>
      <c r="E900" s="50"/>
      <c r="F900" s="50"/>
      <c r="G900" s="50"/>
      <c r="H900" s="50"/>
      <c r="I900" s="50"/>
      <c r="J900" s="50"/>
      <c r="K900" s="50"/>
      <c r="L900" s="50"/>
      <c r="M900" s="50"/>
      <c r="N900" s="50"/>
      <c r="O900" s="50"/>
      <c r="P900" s="50"/>
      <c r="Q900" s="50"/>
      <c r="R900" s="50"/>
      <c r="S900" s="50"/>
      <c r="T900" s="50"/>
      <c r="U900" s="50"/>
      <c r="V900" s="50"/>
      <c r="W900" s="50"/>
      <c r="X900" s="50"/>
      <c r="Y900" s="50"/>
      <c r="Z900" s="50"/>
      <c r="AA900" s="50"/>
      <c r="AB900" s="50"/>
    </row>
    <row r="901">
      <c r="A901" s="49"/>
      <c r="B901" s="49"/>
      <c r="C901" s="50"/>
      <c r="D901" s="50"/>
      <c r="E901" s="50"/>
      <c r="F901" s="50"/>
      <c r="G901" s="50"/>
      <c r="H901" s="50"/>
      <c r="I901" s="50"/>
      <c r="J901" s="50"/>
      <c r="K901" s="50"/>
      <c r="L901" s="50"/>
      <c r="M901" s="50"/>
      <c r="N901" s="50"/>
      <c r="O901" s="50"/>
      <c r="P901" s="50"/>
      <c r="Q901" s="50"/>
      <c r="R901" s="50"/>
      <c r="S901" s="50"/>
      <c r="T901" s="50"/>
      <c r="U901" s="50"/>
      <c r="V901" s="50"/>
      <c r="W901" s="50"/>
      <c r="X901" s="50"/>
      <c r="Y901" s="50"/>
      <c r="Z901" s="50"/>
      <c r="AA901" s="50"/>
      <c r="AB901" s="50"/>
    </row>
    <row r="902">
      <c r="A902" s="49"/>
      <c r="B902" s="49"/>
      <c r="C902" s="50"/>
      <c r="D902" s="50"/>
      <c r="E902" s="50"/>
      <c r="F902" s="50"/>
      <c r="G902" s="50"/>
      <c r="H902" s="50"/>
      <c r="I902" s="50"/>
      <c r="J902" s="50"/>
      <c r="K902" s="50"/>
      <c r="L902" s="50"/>
      <c r="M902" s="50"/>
      <c r="N902" s="50"/>
      <c r="O902" s="50"/>
      <c r="P902" s="50"/>
      <c r="Q902" s="50"/>
      <c r="R902" s="50"/>
      <c r="S902" s="50"/>
      <c r="T902" s="50"/>
      <c r="U902" s="50"/>
      <c r="V902" s="50"/>
      <c r="W902" s="50"/>
      <c r="X902" s="50"/>
      <c r="Y902" s="50"/>
      <c r="Z902" s="50"/>
      <c r="AA902" s="50"/>
      <c r="AB902" s="50"/>
    </row>
    <row r="903">
      <c r="A903" s="49"/>
      <c r="B903" s="49"/>
      <c r="C903" s="50"/>
      <c r="D903" s="50"/>
      <c r="E903" s="50"/>
      <c r="F903" s="50"/>
      <c r="G903" s="50"/>
      <c r="H903" s="50"/>
      <c r="I903" s="50"/>
      <c r="J903" s="50"/>
      <c r="K903" s="50"/>
      <c r="L903" s="50"/>
      <c r="M903" s="50"/>
      <c r="N903" s="50"/>
      <c r="O903" s="50"/>
      <c r="P903" s="50"/>
      <c r="Q903" s="50"/>
      <c r="R903" s="50"/>
      <c r="S903" s="50"/>
      <c r="T903" s="50"/>
      <c r="U903" s="50"/>
      <c r="V903" s="50"/>
      <c r="W903" s="50"/>
      <c r="X903" s="50"/>
      <c r="Y903" s="50"/>
      <c r="Z903" s="50"/>
      <c r="AA903" s="50"/>
      <c r="AB903" s="50"/>
    </row>
    <row r="904">
      <c r="A904" s="49"/>
      <c r="B904" s="49"/>
      <c r="C904" s="50"/>
      <c r="D904" s="50"/>
      <c r="E904" s="50"/>
      <c r="F904" s="50"/>
      <c r="G904" s="50"/>
      <c r="H904" s="50"/>
      <c r="I904" s="50"/>
      <c r="J904" s="50"/>
      <c r="K904" s="50"/>
      <c r="L904" s="50"/>
      <c r="M904" s="50"/>
      <c r="N904" s="50"/>
      <c r="O904" s="50"/>
      <c r="P904" s="50"/>
      <c r="Q904" s="50"/>
      <c r="R904" s="50"/>
      <c r="S904" s="50"/>
      <c r="T904" s="50"/>
      <c r="U904" s="50"/>
      <c r="V904" s="50"/>
      <c r="W904" s="50"/>
      <c r="X904" s="50"/>
      <c r="Y904" s="50"/>
      <c r="Z904" s="50"/>
      <c r="AA904" s="50"/>
      <c r="AB904" s="50"/>
    </row>
    <row r="905">
      <c r="A905" s="49"/>
      <c r="B905" s="49"/>
      <c r="C905" s="50"/>
      <c r="D905" s="50"/>
      <c r="E905" s="50"/>
      <c r="F905" s="50"/>
      <c r="G905" s="50"/>
      <c r="H905" s="50"/>
      <c r="I905" s="50"/>
      <c r="J905" s="50"/>
      <c r="K905" s="50"/>
      <c r="L905" s="50"/>
      <c r="M905" s="50"/>
      <c r="N905" s="50"/>
      <c r="O905" s="50"/>
      <c r="P905" s="50"/>
      <c r="Q905" s="50"/>
      <c r="R905" s="50"/>
      <c r="S905" s="50"/>
      <c r="T905" s="50"/>
      <c r="U905" s="50"/>
      <c r="V905" s="50"/>
      <c r="W905" s="50"/>
      <c r="X905" s="50"/>
      <c r="Y905" s="50"/>
      <c r="Z905" s="50"/>
      <c r="AA905" s="50"/>
      <c r="AB905" s="50"/>
    </row>
    <row r="906">
      <c r="A906" s="49"/>
      <c r="B906" s="49"/>
      <c r="C906" s="50"/>
      <c r="D906" s="50"/>
      <c r="E906" s="50"/>
      <c r="F906" s="50"/>
      <c r="G906" s="50"/>
      <c r="H906" s="50"/>
      <c r="I906" s="50"/>
      <c r="J906" s="50"/>
      <c r="K906" s="50"/>
      <c r="L906" s="50"/>
      <c r="M906" s="50"/>
      <c r="N906" s="50"/>
      <c r="O906" s="50"/>
      <c r="P906" s="50"/>
      <c r="Q906" s="50"/>
      <c r="R906" s="50"/>
      <c r="S906" s="50"/>
      <c r="T906" s="50"/>
      <c r="U906" s="50"/>
      <c r="V906" s="50"/>
      <c r="W906" s="50"/>
      <c r="X906" s="50"/>
      <c r="Y906" s="50"/>
      <c r="Z906" s="50"/>
      <c r="AA906" s="50"/>
      <c r="AB906" s="50"/>
    </row>
    <row r="907">
      <c r="A907" s="49"/>
      <c r="B907" s="49"/>
      <c r="C907" s="50"/>
      <c r="D907" s="50"/>
      <c r="E907" s="50"/>
      <c r="F907" s="50"/>
      <c r="G907" s="50"/>
      <c r="H907" s="50"/>
      <c r="I907" s="50"/>
      <c r="J907" s="50"/>
      <c r="K907" s="50"/>
      <c r="L907" s="50"/>
      <c r="M907" s="50"/>
      <c r="N907" s="50"/>
      <c r="O907" s="50"/>
      <c r="P907" s="50"/>
      <c r="Q907" s="50"/>
      <c r="R907" s="50"/>
      <c r="S907" s="50"/>
      <c r="T907" s="50"/>
      <c r="U907" s="50"/>
      <c r="V907" s="50"/>
      <c r="W907" s="50"/>
      <c r="X907" s="50"/>
      <c r="Y907" s="50"/>
      <c r="Z907" s="50"/>
      <c r="AA907" s="50"/>
      <c r="AB907" s="50"/>
    </row>
    <row r="908">
      <c r="A908" s="49"/>
      <c r="B908" s="49"/>
      <c r="C908" s="50"/>
      <c r="D908" s="50"/>
      <c r="E908" s="50"/>
      <c r="F908" s="50"/>
      <c r="G908" s="50"/>
      <c r="H908" s="50"/>
      <c r="I908" s="50"/>
      <c r="J908" s="50"/>
      <c r="K908" s="50"/>
      <c r="L908" s="50"/>
      <c r="M908" s="50"/>
      <c r="N908" s="50"/>
      <c r="O908" s="50"/>
      <c r="P908" s="50"/>
      <c r="Q908" s="50"/>
      <c r="R908" s="50"/>
      <c r="S908" s="50"/>
      <c r="T908" s="50"/>
      <c r="U908" s="50"/>
      <c r="V908" s="50"/>
      <c r="W908" s="50"/>
      <c r="X908" s="50"/>
      <c r="Y908" s="50"/>
      <c r="Z908" s="50"/>
      <c r="AA908" s="50"/>
      <c r="AB908" s="50"/>
    </row>
    <row r="909">
      <c r="A909" s="49"/>
      <c r="B909" s="49"/>
      <c r="C909" s="50"/>
      <c r="D909" s="50"/>
      <c r="E909" s="50"/>
      <c r="F909" s="50"/>
      <c r="G909" s="50"/>
      <c r="H909" s="50"/>
      <c r="I909" s="50"/>
      <c r="J909" s="50"/>
      <c r="K909" s="50"/>
      <c r="L909" s="50"/>
      <c r="M909" s="50"/>
      <c r="N909" s="50"/>
      <c r="O909" s="50"/>
      <c r="P909" s="50"/>
      <c r="Q909" s="50"/>
      <c r="R909" s="50"/>
      <c r="S909" s="50"/>
      <c r="T909" s="50"/>
      <c r="U909" s="50"/>
      <c r="V909" s="50"/>
      <c r="W909" s="50"/>
      <c r="X909" s="50"/>
      <c r="Y909" s="50"/>
      <c r="Z909" s="50"/>
      <c r="AA909" s="50"/>
      <c r="AB909" s="50"/>
    </row>
    <row r="910">
      <c r="A910" s="49"/>
      <c r="B910" s="49"/>
      <c r="C910" s="50"/>
      <c r="D910" s="50"/>
      <c r="E910" s="50"/>
      <c r="F910" s="50"/>
      <c r="G910" s="50"/>
      <c r="H910" s="50"/>
      <c r="I910" s="50"/>
      <c r="J910" s="50"/>
      <c r="K910" s="50"/>
      <c r="L910" s="50"/>
      <c r="M910" s="50"/>
      <c r="N910" s="50"/>
      <c r="O910" s="50"/>
      <c r="P910" s="50"/>
      <c r="Q910" s="50"/>
      <c r="R910" s="50"/>
      <c r="S910" s="50"/>
      <c r="T910" s="50"/>
      <c r="U910" s="50"/>
      <c r="V910" s="50"/>
      <c r="W910" s="50"/>
      <c r="X910" s="50"/>
      <c r="Y910" s="50"/>
      <c r="Z910" s="50"/>
      <c r="AA910" s="50"/>
      <c r="AB910" s="50"/>
    </row>
    <row r="911">
      <c r="A911" s="49"/>
      <c r="B911" s="49"/>
      <c r="C911" s="50"/>
      <c r="D911" s="50"/>
      <c r="E911" s="50"/>
      <c r="F911" s="50"/>
      <c r="G911" s="50"/>
      <c r="H911" s="50"/>
      <c r="I911" s="50"/>
      <c r="J911" s="50"/>
      <c r="K911" s="50"/>
      <c r="L911" s="50"/>
      <c r="M911" s="50"/>
      <c r="N911" s="50"/>
      <c r="O911" s="50"/>
      <c r="P911" s="50"/>
      <c r="Q911" s="50"/>
      <c r="R911" s="50"/>
      <c r="S911" s="50"/>
      <c r="T911" s="50"/>
      <c r="U911" s="50"/>
      <c r="V911" s="50"/>
      <c r="W911" s="50"/>
      <c r="X911" s="50"/>
      <c r="Y911" s="50"/>
      <c r="Z911" s="50"/>
      <c r="AA911" s="50"/>
      <c r="AB911" s="50"/>
    </row>
    <row r="912">
      <c r="A912" s="49"/>
      <c r="B912" s="49"/>
      <c r="C912" s="50"/>
      <c r="D912" s="50"/>
      <c r="E912" s="50"/>
      <c r="F912" s="50"/>
      <c r="G912" s="50"/>
      <c r="H912" s="50"/>
      <c r="I912" s="50"/>
      <c r="J912" s="50"/>
      <c r="K912" s="50"/>
      <c r="L912" s="50"/>
      <c r="M912" s="50"/>
      <c r="N912" s="50"/>
      <c r="O912" s="50"/>
      <c r="P912" s="50"/>
      <c r="Q912" s="50"/>
      <c r="R912" s="50"/>
      <c r="S912" s="50"/>
      <c r="T912" s="50"/>
      <c r="U912" s="50"/>
      <c r="V912" s="50"/>
      <c r="W912" s="50"/>
      <c r="X912" s="50"/>
      <c r="Y912" s="50"/>
      <c r="Z912" s="50"/>
      <c r="AA912" s="50"/>
      <c r="AB912" s="50"/>
    </row>
    <row r="913">
      <c r="A913" s="49"/>
      <c r="B913" s="49"/>
      <c r="C913" s="50"/>
      <c r="D913" s="50"/>
      <c r="E913" s="50"/>
      <c r="F913" s="50"/>
      <c r="G913" s="50"/>
      <c r="H913" s="50"/>
      <c r="I913" s="50"/>
      <c r="J913" s="50"/>
      <c r="K913" s="50"/>
      <c r="L913" s="50"/>
      <c r="M913" s="50"/>
      <c r="N913" s="50"/>
      <c r="O913" s="50"/>
      <c r="P913" s="50"/>
      <c r="Q913" s="50"/>
      <c r="R913" s="50"/>
      <c r="S913" s="50"/>
      <c r="T913" s="50"/>
      <c r="U913" s="50"/>
      <c r="V913" s="50"/>
      <c r="W913" s="50"/>
      <c r="X913" s="50"/>
      <c r="Y913" s="50"/>
      <c r="Z913" s="50"/>
      <c r="AA913" s="50"/>
      <c r="AB913" s="50"/>
    </row>
    <row r="914">
      <c r="A914" s="49"/>
      <c r="B914" s="49"/>
      <c r="C914" s="50"/>
      <c r="D914" s="50"/>
      <c r="E914" s="50"/>
      <c r="F914" s="50"/>
      <c r="G914" s="50"/>
      <c r="H914" s="50"/>
      <c r="I914" s="50"/>
      <c r="J914" s="50"/>
      <c r="K914" s="50"/>
      <c r="L914" s="50"/>
      <c r="M914" s="50"/>
      <c r="N914" s="50"/>
      <c r="O914" s="50"/>
      <c r="P914" s="50"/>
      <c r="Q914" s="50"/>
      <c r="R914" s="50"/>
      <c r="S914" s="50"/>
      <c r="T914" s="50"/>
      <c r="U914" s="50"/>
      <c r="V914" s="50"/>
      <c r="W914" s="50"/>
      <c r="X914" s="50"/>
      <c r="Y914" s="50"/>
      <c r="Z914" s="50"/>
      <c r="AA914" s="50"/>
      <c r="AB914" s="50"/>
    </row>
    <row r="915">
      <c r="A915" s="49"/>
      <c r="B915" s="49"/>
      <c r="C915" s="50"/>
      <c r="D915" s="50"/>
      <c r="E915" s="50"/>
      <c r="F915" s="50"/>
      <c r="G915" s="50"/>
      <c r="H915" s="50"/>
      <c r="I915" s="50"/>
      <c r="J915" s="50"/>
      <c r="K915" s="50"/>
      <c r="L915" s="50"/>
      <c r="M915" s="50"/>
      <c r="N915" s="50"/>
      <c r="O915" s="50"/>
      <c r="P915" s="50"/>
      <c r="Q915" s="50"/>
      <c r="R915" s="50"/>
      <c r="S915" s="50"/>
      <c r="T915" s="50"/>
      <c r="U915" s="50"/>
      <c r="V915" s="50"/>
      <c r="W915" s="50"/>
      <c r="X915" s="50"/>
      <c r="Y915" s="50"/>
      <c r="Z915" s="50"/>
      <c r="AA915" s="50"/>
      <c r="AB915" s="50"/>
    </row>
    <row r="916">
      <c r="A916" s="49"/>
      <c r="B916" s="49"/>
      <c r="C916" s="50"/>
      <c r="D916" s="50"/>
      <c r="E916" s="50"/>
      <c r="F916" s="50"/>
      <c r="G916" s="50"/>
      <c r="H916" s="50"/>
      <c r="I916" s="50"/>
      <c r="J916" s="50"/>
      <c r="K916" s="50"/>
      <c r="L916" s="50"/>
      <c r="M916" s="50"/>
      <c r="N916" s="50"/>
      <c r="O916" s="50"/>
      <c r="P916" s="50"/>
      <c r="Q916" s="50"/>
      <c r="R916" s="50"/>
      <c r="S916" s="50"/>
      <c r="T916" s="50"/>
      <c r="U916" s="50"/>
      <c r="V916" s="50"/>
      <c r="W916" s="50"/>
      <c r="X916" s="50"/>
      <c r="Y916" s="50"/>
      <c r="Z916" s="50"/>
      <c r="AA916" s="50"/>
      <c r="AB916" s="50"/>
    </row>
    <row r="917">
      <c r="A917" s="49"/>
      <c r="B917" s="49"/>
      <c r="C917" s="50"/>
      <c r="D917" s="50"/>
      <c r="E917" s="50"/>
      <c r="F917" s="50"/>
      <c r="G917" s="50"/>
      <c r="H917" s="50"/>
      <c r="I917" s="50"/>
      <c r="J917" s="50"/>
      <c r="K917" s="50"/>
      <c r="L917" s="50"/>
      <c r="M917" s="50"/>
      <c r="N917" s="50"/>
      <c r="O917" s="50"/>
      <c r="P917" s="50"/>
      <c r="Q917" s="50"/>
      <c r="R917" s="50"/>
      <c r="S917" s="50"/>
      <c r="T917" s="50"/>
      <c r="U917" s="50"/>
      <c r="V917" s="50"/>
      <c r="W917" s="50"/>
      <c r="X917" s="50"/>
      <c r="Y917" s="50"/>
      <c r="Z917" s="50"/>
      <c r="AA917" s="50"/>
      <c r="AB917" s="50"/>
    </row>
    <row r="918">
      <c r="A918" s="49"/>
      <c r="B918" s="49"/>
      <c r="C918" s="50"/>
      <c r="D918" s="50"/>
      <c r="E918" s="50"/>
      <c r="F918" s="50"/>
      <c r="G918" s="50"/>
      <c r="H918" s="50"/>
      <c r="I918" s="50"/>
      <c r="J918" s="50"/>
      <c r="K918" s="50"/>
      <c r="L918" s="50"/>
      <c r="M918" s="50"/>
      <c r="N918" s="50"/>
      <c r="O918" s="50"/>
      <c r="P918" s="50"/>
      <c r="Q918" s="50"/>
      <c r="R918" s="50"/>
      <c r="S918" s="50"/>
      <c r="T918" s="50"/>
      <c r="U918" s="50"/>
      <c r="V918" s="50"/>
      <c r="W918" s="50"/>
      <c r="X918" s="50"/>
      <c r="Y918" s="50"/>
      <c r="Z918" s="50"/>
      <c r="AA918" s="50"/>
      <c r="AB918" s="50"/>
    </row>
    <row r="919">
      <c r="A919" s="49"/>
      <c r="B919" s="49"/>
      <c r="C919" s="50"/>
      <c r="D919" s="50"/>
      <c r="E919" s="50"/>
      <c r="F919" s="50"/>
      <c r="G919" s="50"/>
      <c r="H919" s="50"/>
      <c r="I919" s="50"/>
      <c r="J919" s="50"/>
      <c r="K919" s="50"/>
      <c r="L919" s="50"/>
      <c r="M919" s="50"/>
      <c r="N919" s="50"/>
      <c r="O919" s="50"/>
      <c r="P919" s="50"/>
      <c r="Q919" s="50"/>
      <c r="R919" s="50"/>
      <c r="S919" s="50"/>
      <c r="T919" s="50"/>
      <c r="U919" s="50"/>
      <c r="V919" s="50"/>
      <c r="W919" s="50"/>
      <c r="X919" s="50"/>
      <c r="Y919" s="50"/>
      <c r="Z919" s="50"/>
      <c r="AA919" s="50"/>
      <c r="AB919" s="50"/>
    </row>
    <row r="920">
      <c r="A920" s="49"/>
      <c r="B920" s="49"/>
      <c r="C920" s="50"/>
      <c r="D920" s="50"/>
      <c r="E920" s="50"/>
      <c r="F920" s="50"/>
      <c r="G920" s="50"/>
      <c r="H920" s="50"/>
      <c r="I920" s="50"/>
      <c r="J920" s="50"/>
      <c r="K920" s="50"/>
      <c r="L920" s="50"/>
      <c r="M920" s="50"/>
      <c r="N920" s="50"/>
      <c r="O920" s="50"/>
      <c r="P920" s="50"/>
      <c r="Q920" s="50"/>
      <c r="R920" s="50"/>
      <c r="S920" s="50"/>
      <c r="T920" s="50"/>
      <c r="U920" s="50"/>
      <c r="V920" s="50"/>
      <c r="W920" s="50"/>
      <c r="X920" s="50"/>
      <c r="Y920" s="50"/>
      <c r="Z920" s="50"/>
      <c r="AA920" s="50"/>
      <c r="AB920" s="50"/>
    </row>
    <row r="921">
      <c r="A921" s="49"/>
      <c r="B921" s="49"/>
      <c r="C921" s="50"/>
      <c r="D921" s="50"/>
      <c r="E921" s="50"/>
      <c r="F921" s="50"/>
      <c r="G921" s="50"/>
      <c r="H921" s="50"/>
      <c r="I921" s="50"/>
      <c r="J921" s="50"/>
      <c r="K921" s="50"/>
      <c r="L921" s="50"/>
      <c r="M921" s="50"/>
      <c r="N921" s="50"/>
      <c r="O921" s="50"/>
      <c r="P921" s="50"/>
      <c r="Q921" s="50"/>
      <c r="R921" s="50"/>
      <c r="S921" s="50"/>
      <c r="T921" s="50"/>
      <c r="U921" s="50"/>
      <c r="V921" s="50"/>
      <c r="W921" s="50"/>
      <c r="X921" s="50"/>
      <c r="Y921" s="50"/>
      <c r="Z921" s="50"/>
      <c r="AA921" s="50"/>
      <c r="AB921" s="50"/>
    </row>
    <row r="922">
      <c r="A922" s="49"/>
      <c r="B922" s="49"/>
      <c r="C922" s="50"/>
      <c r="D922" s="50"/>
      <c r="E922" s="50"/>
      <c r="F922" s="50"/>
      <c r="G922" s="50"/>
      <c r="H922" s="50"/>
      <c r="I922" s="50"/>
      <c r="J922" s="50"/>
      <c r="K922" s="50"/>
      <c r="L922" s="50"/>
      <c r="M922" s="50"/>
      <c r="N922" s="50"/>
      <c r="O922" s="50"/>
      <c r="P922" s="50"/>
      <c r="Q922" s="50"/>
      <c r="R922" s="50"/>
      <c r="S922" s="50"/>
      <c r="T922" s="50"/>
      <c r="U922" s="50"/>
      <c r="V922" s="50"/>
      <c r="W922" s="50"/>
      <c r="X922" s="50"/>
      <c r="Y922" s="50"/>
      <c r="Z922" s="50"/>
      <c r="AA922" s="50"/>
      <c r="AB922" s="50"/>
    </row>
    <row r="923">
      <c r="A923" s="49"/>
      <c r="B923" s="49"/>
      <c r="C923" s="50"/>
      <c r="D923" s="50"/>
      <c r="E923" s="50"/>
      <c r="F923" s="50"/>
      <c r="G923" s="50"/>
      <c r="H923" s="50"/>
      <c r="I923" s="50"/>
      <c r="J923" s="50"/>
      <c r="K923" s="50"/>
      <c r="L923" s="50"/>
      <c r="M923" s="50"/>
      <c r="N923" s="50"/>
      <c r="O923" s="50"/>
      <c r="P923" s="50"/>
      <c r="Q923" s="50"/>
      <c r="R923" s="50"/>
      <c r="S923" s="50"/>
      <c r="T923" s="50"/>
      <c r="U923" s="50"/>
      <c r="V923" s="50"/>
      <c r="W923" s="50"/>
      <c r="X923" s="50"/>
      <c r="Y923" s="50"/>
      <c r="Z923" s="50"/>
      <c r="AA923" s="50"/>
      <c r="AB923" s="50"/>
    </row>
    <row r="924">
      <c r="A924" s="49"/>
      <c r="B924" s="49"/>
      <c r="C924" s="50"/>
      <c r="D924" s="50"/>
      <c r="E924" s="50"/>
      <c r="F924" s="50"/>
      <c r="G924" s="50"/>
      <c r="H924" s="50"/>
      <c r="I924" s="50"/>
      <c r="J924" s="50"/>
      <c r="K924" s="50"/>
      <c r="L924" s="50"/>
      <c r="M924" s="50"/>
      <c r="N924" s="50"/>
      <c r="O924" s="50"/>
      <c r="P924" s="50"/>
      <c r="Q924" s="50"/>
      <c r="R924" s="50"/>
      <c r="S924" s="50"/>
      <c r="T924" s="50"/>
      <c r="U924" s="50"/>
      <c r="V924" s="50"/>
      <c r="W924" s="50"/>
      <c r="X924" s="50"/>
      <c r="Y924" s="50"/>
      <c r="Z924" s="50"/>
      <c r="AA924" s="50"/>
      <c r="AB924" s="50"/>
    </row>
    <row r="925">
      <c r="A925" s="49"/>
      <c r="B925" s="49"/>
      <c r="C925" s="50"/>
      <c r="D925" s="50"/>
      <c r="E925" s="50"/>
      <c r="F925" s="50"/>
      <c r="G925" s="50"/>
      <c r="H925" s="50"/>
      <c r="I925" s="50"/>
      <c r="J925" s="50"/>
      <c r="K925" s="50"/>
      <c r="L925" s="50"/>
      <c r="M925" s="50"/>
      <c r="N925" s="50"/>
      <c r="O925" s="50"/>
      <c r="P925" s="50"/>
      <c r="Q925" s="50"/>
      <c r="R925" s="50"/>
      <c r="S925" s="50"/>
      <c r="T925" s="50"/>
      <c r="U925" s="50"/>
      <c r="V925" s="50"/>
      <c r="W925" s="50"/>
      <c r="X925" s="50"/>
      <c r="Y925" s="50"/>
      <c r="Z925" s="50"/>
      <c r="AA925" s="50"/>
      <c r="AB925" s="50"/>
    </row>
    <row r="926">
      <c r="A926" s="49"/>
      <c r="B926" s="49"/>
      <c r="C926" s="50"/>
      <c r="D926" s="50"/>
      <c r="E926" s="50"/>
      <c r="F926" s="50"/>
      <c r="G926" s="50"/>
      <c r="H926" s="50"/>
      <c r="I926" s="50"/>
      <c r="J926" s="50"/>
      <c r="K926" s="50"/>
      <c r="L926" s="50"/>
      <c r="M926" s="50"/>
      <c r="N926" s="50"/>
      <c r="O926" s="50"/>
      <c r="P926" s="50"/>
      <c r="Q926" s="50"/>
      <c r="R926" s="50"/>
      <c r="S926" s="50"/>
      <c r="T926" s="50"/>
      <c r="U926" s="50"/>
      <c r="V926" s="50"/>
      <c r="W926" s="50"/>
      <c r="X926" s="50"/>
      <c r="Y926" s="50"/>
      <c r="Z926" s="50"/>
      <c r="AA926" s="50"/>
      <c r="AB926" s="50"/>
    </row>
    <row r="927">
      <c r="A927" s="49"/>
      <c r="B927" s="49"/>
      <c r="C927" s="50"/>
      <c r="D927" s="50"/>
      <c r="E927" s="50"/>
      <c r="F927" s="50"/>
      <c r="G927" s="50"/>
      <c r="H927" s="50"/>
      <c r="I927" s="50"/>
      <c r="J927" s="50"/>
      <c r="K927" s="50"/>
      <c r="L927" s="50"/>
      <c r="M927" s="50"/>
      <c r="N927" s="50"/>
      <c r="O927" s="50"/>
      <c r="P927" s="50"/>
      <c r="Q927" s="50"/>
      <c r="R927" s="50"/>
      <c r="S927" s="50"/>
      <c r="T927" s="50"/>
      <c r="U927" s="50"/>
      <c r="V927" s="50"/>
      <c r="W927" s="50"/>
      <c r="X927" s="50"/>
      <c r="Y927" s="50"/>
      <c r="Z927" s="50"/>
      <c r="AA927" s="50"/>
      <c r="AB927" s="50"/>
    </row>
    <row r="928">
      <c r="A928" s="49"/>
      <c r="B928" s="49"/>
      <c r="C928" s="50"/>
      <c r="D928" s="50"/>
      <c r="E928" s="50"/>
      <c r="F928" s="50"/>
      <c r="G928" s="50"/>
      <c r="H928" s="50"/>
      <c r="I928" s="50"/>
      <c r="J928" s="50"/>
      <c r="K928" s="50"/>
      <c r="L928" s="50"/>
      <c r="M928" s="50"/>
      <c r="N928" s="50"/>
      <c r="O928" s="50"/>
      <c r="P928" s="50"/>
      <c r="Q928" s="50"/>
      <c r="R928" s="50"/>
      <c r="S928" s="50"/>
      <c r="T928" s="50"/>
      <c r="U928" s="50"/>
      <c r="V928" s="50"/>
      <c r="W928" s="50"/>
      <c r="X928" s="50"/>
      <c r="Y928" s="50"/>
      <c r="Z928" s="50"/>
      <c r="AA928" s="50"/>
      <c r="AB928" s="50"/>
    </row>
    <row r="929">
      <c r="A929" s="49"/>
      <c r="B929" s="49"/>
      <c r="C929" s="50"/>
      <c r="D929" s="50"/>
      <c r="E929" s="50"/>
      <c r="F929" s="50"/>
      <c r="G929" s="50"/>
      <c r="H929" s="50"/>
      <c r="I929" s="50"/>
      <c r="J929" s="50"/>
      <c r="K929" s="50"/>
      <c r="L929" s="50"/>
      <c r="M929" s="50"/>
      <c r="N929" s="50"/>
      <c r="O929" s="50"/>
      <c r="P929" s="50"/>
      <c r="Q929" s="50"/>
      <c r="R929" s="50"/>
      <c r="S929" s="50"/>
      <c r="T929" s="50"/>
      <c r="U929" s="50"/>
      <c r="V929" s="50"/>
      <c r="W929" s="50"/>
      <c r="X929" s="50"/>
      <c r="Y929" s="50"/>
      <c r="Z929" s="50"/>
      <c r="AA929" s="50"/>
      <c r="AB929" s="50"/>
    </row>
    <row r="930">
      <c r="A930" s="49"/>
      <c r="B930" s="49"/>
      <c r="C930" s="50"/>
      <c r="D930" s="50"/>
      <c r="E930" s="50"/>
      <c r="F930" s="50"/>
      <c r="G930" s="50"/>
      <c r="H930" s="50"/>
      <c r="I930" s="50"/>
      <c r="J930" s="50"/>
      <c r="K930" s="50"/>
      <c r="L930" s="50"/>
      <c r="M930" s="50"/>
      <c r="N930" s="50"/>
      <c r="O930" s="50"/>
      <c r="P930" s="50"/>
      <c r="Q930" s="50"/>
      <c r="R930" s="50"/>
      <c r="S930" s="50"/>
      <c r="T930" s="50"/>
      <c r="U930" s="50"/>
      <c r="V930" s="50"/>
      <c r="W930" s="50"/>
      <c r="X930" s="50"/>
      <c r="Y930" s="50"/>
      <c r="Z930" s="50"/>
      <c r="AA930" s="50"/>
      <c r="AB930" s="50"/>
    </row>
    <row r="931">
      <c r="A931" s="49"/>
      <c r="B931" s="49"/>
      <c r="C931" s="50"/>
      <c r="D931" s="50"/>
      <c r="E931" s="50"/>
      <c r="F931" s="50"/>
      <c r="G931" s="50"/>
      <c r="H931" s="50"/>
      <c r="I931" s="50"/>
      <c r="J931" s="50"/>
      <c r="K931" s="50"/>
      <c r="L931" s="50"/>
      <c r="M931" s="50"/>
      <c r="N931" s="50"/>
      <c r="O931" s="50"/>
      <c r="P931" s="50"/>
      <c r="Q931" s="50"/>
      <c r="R931" s="50"/>
      <c r="S931" s="50"/>
      <c r="T931" s="50"/>
      <c r="U931" s="50"/>
      <c r="V931" s="50"/>
      <c r="W931" s="50"/>
      <c r="X931" s="50"/>
      <c r="Y931" s="50"/>
      <c r="Z931" s="50"/>
      <c r="AA931" s="50"/>
      <c r="AB931" s="50"/>
    </row>
    <row r="932">
      <c r="A932" s="49"/>
      <c r="B932" s="49"/>
      <c r="C932" s="50"/>
      <c r="D932" s="50"/>
      <c r="E932" s="50"/>
      <c r="F932" s="50"/>
      <c r="G932" s="50"/>
      <c r="H932" s="50"/>
      <c r="I932" s="50"/>
      <c r="J932" s="50"/>
      <c r="K932" s="50"/>
      <c r="L932" s="50"/>
      <c r="M932" s="50"/>
      <c r="N932" s="50"/>
      <c r="O932" s="50"/>
      <c r="P932" s="50"/>
      <c r="Q932" s="50"/>
      <c r="R932" s="50"/>
      <c r="S932" s="50"/>
      <c r="T932" s="50"/>
      <c r="U932" s="50"/>
      <c r="V932" s="50"/>
      <c r="W932" s="50"/>
      <c r="X932" s="50"/>
      <c r="Y932" s="50"/>
      <c r="Z932" s="50"/>
      <c r="AA932" s="50"/>
      <c r="AB932" s="50"/>
    </row>
    <row r="933">
      <c r="A933" s="49"/>
      <c r="B933" s="49"/>
      <c r="C933" s="50"/>
      <c r="D933" s="50"/>
      <c r="E933" s="50"/>
      <c r="F933" s="50"/>
      <c r="G933" s="50"/>
      <c r="H933" s="50"/>
      <c r="I933" s="50"/>
      <c r="J933" s="50"/>
      <c r="K933" s="50"/>
      <c r="L933" s="50"/>
      <c r="M933" s="50"/>
      <c r="N933" s="50"/>
      <c r="O933" s="50"/>
      <c r="P933" s="50"/>
      <c r="Q933" s="50"/>
      <c r="R933" s="50"/>
      <c r="S933" s="50"/>
      <c r="T933" s="50"/>
      <c r="U933" s="50"/>
      <c r="V933" s="50"/>
      <c r="W933" s="50"/>
      <c r="X933" s="50"/>
      <c r="Y933" s="50"/>
      <c r="Z933" s="50"/>
      <c r="AA933" s="50"/>
      <c r="AB933" s="50"/>
    </row>
    <row r="934">
      <c r="A934" s="49"/>
      <c r="B934" s="49"/>
      <c r="C934" s="50"/>
      <c r="D934" s="50"/>
      <c r="E934" s="50"/>
      <c r="F934" s="50"/>
      <c r="G934" s="50"/>
      <c r="H934" s="50"/>
      <c r="I934" s="50"/>
      <c r="J934" s="50"/>
      <c r="K934" s="50"/>
      <c r="L934" s="50"/>
      <c r="M934" s="50"/>
      <c r="N934" s="50"/>
      <c r="O934" s="50"/>
      <c r="P934" s="50"/>
      <c r="Q934" s="50"/>
      <c r="R934" s="50"/>
      <c r="S934" s="50"/>
      <c r="T934" s="50"/>
      <c r="U934" s="50"/>
      <c r="V934" s="50"/>
      <c r="W934" s="50"/>
      <c r="X934" s="50"/>
      <c r="Y934" s="50"/>
      <c r="Z934" s="50"/>
      <c r="AA934" s="50"/>
      <c r="AB934" s="50"/>
    </row>
    <row r="935">
      <c r="A935" s="49"/>
      <c r="B935" s="49"/>
      <c r="C935" s="50"/>
      <c r="D935" s="50"/>
      <c r="E935" s="50"/>
      <c r="F935" s="50"/>
      <c r="G935" s="50"/>
      <c r="H935" s="50"/>
      <c r="I935" s="50"/>
      <c r="J935" s="50"/>
      <c r="K935" s="50"/>
      <c r="L935" s="50"/>
      <c r="M935" s="50"/>
      <c r="N935" s="50"/>
      <c r="O935" s="50"/>
      <c r="P935" s="50"/>
      <c r="Q935" s="50"/>
      <c r="R935" s="50"/>
      <c r="S935" s="50"/>
      <c r="T935" s="50"/>
      <c r="U935" s="50"/>
      <c r="V935" s="50"/>
      <c r="W935" s="50"/>
      <c r="X935" s="50"/>
      <c r="Y935" s="50"/>
      <c r="Z935" s="50"/>
      <c r="AA935" s="50"/>
      <c r="AB935" s="50"/>
    </row>
    <row r="936">
      <c r="A936" s="49"/>
      <c r="B936" s="49"/>
      <c r="C936" s="50"/>
      <c r="D936" s="50"/>
      <c r="E936" s="50"/>
      <c r="F936" s="50"/>
      <c r="G936" s="50"/>
      <c r="H936" s="50"/>
      <c r="I936" s="50"/>
      <c r="J936" s="50"/>
      <c r="K936" s="50"/>
      <c r="L936" s="50"/>
      <c r="M936" s="50"/>
      <c r="N936" s="50"/>
      <c r="O936" s="50"/>
      <c r="P936" s="50"/>
      <c r="Q936" s="50"/>
      <c r="R936" s="50"/>
      <c r="S936" s="50"/>
      <c r="T936" s="50"/>
      <c r="U936" s="50"/>
      <c r="V936" s="50"/>
      <c r="W936" s="50"/>
      <c r="X936" s="50"/>
      <c r="Y936" s="50"/>
      <c r="Z936" s="50"/>
      <c r="AA936" s="50"/>
      <c r="AB936" s="50"/>
    </row>
    <row r="937">
      <c r="A937" s="49"/>
      <c r="B937" s="49"/>
      <c r="C937" s="50"/>
      <c r="D937" s="50"/>
      <c r="E937" s="50"/>
      <c r="F937" s="50"/>
      <c r="G937" s="50"/>
      <c r="H937" s="50"/>
      <c r="I937" s="50"/>
      <c r="J937" s="50"/>
      <c r="K937" s="50"/>
      <c r="L937" s="50"/>
      <c r="M937" s="50"/>
      <c r="N937" s="50"/>
      <c r="O937" s="50"/>
      <c r="P937" s="50"/>
      <c r="Q937" s="50"/>
      <c r="R937" s="50"/>
      <c r="S937" s="50"/>
      <c r="T937" s="50"/>
      <c r="U937" s="50"/>
      <c r="V937" s="50"/>
      <c r="W937" s="50"/>
      <c r="X937" s="50"/>
      <c r="Y937" s="50"/>
      <c r="Z937" s="50"/>
      <c r="AA937" s="50"/>
      <c r="AB937" s="50"/>
    </row>
    <row r="938">
      <c r="A938" s="49"/>
      <c r="B938" s="49"/>
      <c r="C938" s="50"/>
      <c r="D938" s="50"/>
      <c r="E938" s="50"/>
      <c r="F938" s="50"/>
      <c r="G938" s="50"/>
      <c r="H938" s="50"/>
      <c r="I938" s="50"/>
      <c r="J938" s="50"/>
      <c r="K938" s="50"/>
      <c r="L938" s="50"/>
      <c r="M938" s="50"/>
      <c r="N938" s="50"/>
      <c r="O938" s="50"/>
      <c r="P938" s="50"/>
      <c r="Q938" s="50"/>
      <c r="R938" s="50"/>
      <c r="S938" s="50"/>
      <c r="T938" s="50"/>
      <c r="U938" s="50"/>
      <c r="V938" s="50"/>
      <c r="W938" s="50"/>
      <c r="X938" s="50"/>
      <c r="Y938" s="50"/>
      <c r="Z938" s="50"/>
      <c r="AA938" s="50"/>
      <c r="AB938" s="50"/>
    </row>
    <row r="939">
      <c r="A939" s="49"/>
      <c r="B939" s="49"/>
      <c r="C939" s="50"/>
      <c r="D939" s="50"/>
      <c r="E939" s="50"/>
      <c r="F939" s="50"/>
      <c r="G939" s="50"/>
      <c r="H939" s="50"/>
      <c r="I939" s="50"/>
      <c r="J939" s="50"/>
      <c r="K939" s="50"/>
      <c r="L939" s="50"/>
      <c r="M939" s="50"/>
      <c r="N939" s="50"/>
      <c r="O939" s="50"/>
      <c r="P939" s="50"/>
      <c r="Q939" s="50"/>
      <c r="R939" s="50"/>
      <c r="S939" s="50"/>
      <c r="T939" s="50"/>
      <c r="U939" s="50"/>
      <c r="V939" s="50"/>
      <c r="W939" s="50"/>
      <c r="X939" s="50"/>
      <c r="Y939" s="50"/>
      <c r="Z939" s="50"/>
      <c r="AA939" s="50"/>
      <c r="AB939" s="50"/>
    </row>
    <row r="940">
      <c r="A940" s="49"/>
      <c r="B940" s="49"/>
      <c r="C940" s="50"/>
      <c r="D940" s="50"/>
      <c r="E940" s="50"/>
      <c r="F940" s="50"/>
      <c r="G940" s="50"/>
      <c r="H940" s="50"/>
      <c r="I940" s="50"/>
      <c r="J940" s="50"/>
      <c r="K940" s="50"/>
      <c r="L940" s="50"/>
      <c r="M940" s="50"/>
      <c r="N940" s="50"/>
      <c r="O940" s="50"/>
      <c r="P940" s="50"/>
      <c r="Q940" s="50"/>
      <c r="R940" s="50"/>
      <c r="S940" s="50"/>
      <c r="T940" s="50"/>
      <c r="U940" s="50"/>
      <c r="V940" s="50"/>
      <c r="W940" s="50"/>
      <c r="X940" s="50"/>
      <c r="Y940" s="50"/>
      <c r="Z940" s="50"/>
      <c r="AA940" s="50"/>
      <c r="AB940" s="50"/>
    </row>
    <row r="941">
      <c r="A941" s="49"/>
      <c r="B941" s="49"/>
      <c r="C941" s="50"/>
      <c r="D941" s="50"/>
      <c r="E941" s="50"/>
      <c r="F941" s="50"/>
      <c r="G941" s="50"/>
      <c r="H941" s="50"/>
      <c r="I941" s="50"/>
      <c r="J941" s="50"/>
      <c r="K941" s="50"/>
      <c r="L941" s="50"/>
      <c r="M941" s="50"/>
      <c r="N941" s="50"/>
      <c r="O941" s="50"/>
      <c r="P941" s="50"/>
      <c r="Q941" s="50"/>
      <c r="R941" s="50"/>
      <c r="S941" s="50"/>
      <c r="T941" s="50"/>
      <c r="U941" s="50"/>
      <c r="V941" s="50"/>
      <c r="W941" s="50"/>
      <c r="X941" s="50"/>
      <c r="Y941" s="50"/>
      <c r="Z941" s="50"/>
      <c r="AA941" s="50"/>
      <c r="AB941" s="50"/>
    </row>
    <row r="942">
      <c r="A942" s="49"/>
      <c r="B942" s="49"/>
      <c r="C942" s="50"/>
      <c r="D942" s="50"/>
      <c r="E942" s="50"/>
      <c r="F942" s="50"/>
      <c r="G942" s="50"/>
      <c r="H942" s="50"/>
      <c r="I942" s="50"/>
      <c r="J942" s="50"/>
      <c r="K942" s="50"/>
      <c r="L942" s="50"/>
      <c r="M942" s="50"/>
      <c r="N942" s="50"/>
      <c r="O942" s="50"/>
      <c r="P942" s="50"/>
      <c r="Q942" s="50"/>
      <c r="R942" s="50"/>
      <c r="S942" s="50"/>
      <c r="T942" s="50"/>
      <c r="U942" s="50"/>
      <c r="V942" s="50"/>
      <c r="W942" s="50"/>
      <c r="X942" s="50"/>
      <c r="Y942" s="50"/>
      <c r="Z942" s="50"/>
      <c r="AA942" s="50"/>
      <c r="AB942" s="50"/>
    </row>
    <row r="943">
      <c r="A943" s="49"/>
      <c r="B943" s="49"/>
      <c r="C943" s="50"/>
      <c r="D943" s="50"/>
      <c r="E943" s="50"/>
      <c r="F943" s="50"/>
      <c r="G943" s="50"/>
      <c r="H943" s="50"/>
      <c r="I943" s="50"/>
      <c r="J943" s="50"/>
      <c r="K943" s="50"/>
      <c r="L943" s="50"/>
      <c r="M943" s="50"/>
      <c r="N943" s="50"/>
      <c r="O943" s="50"/>
      <c r="P943" s="50"/>
      <c r="Q943" s="50"/>
      <c r="R943" s="50"/>
      <c r="S943" s="50"/>
      <c r="T943" s="50"/>
      <c r="U943" s="50"/>
      <c r="V943" s="50"/>
      <c r="W943" s="50"/>
      <c r="X943" s="50"/>
      <c r="Y943" s="50"/>
      <c r="Z943" s="50"/>
      <c r="AA943" s="50"/>
      <c r="AB943" s="50"/>
    </row>
    <row r="944">
      <c r="A944" s="49"/>
      <c r="B944" s="49"/>
      <c r="C944" s="50"/>
      <c r="D944" s="50"/>
      <c r="E944" s="50"/>
      <c r="F944" s="50"/>
      <c r="G944" s="50"/>
      <c r="H944" s="50"/>
      <c r="I944" s="50"/>
      <c r="J944" s="50"/>
      <c r="K944" s="50"/>
      <c r="L944" s="50"/>
      <c r="M944" s="50"/>
      <c r="N944" s="50"/>
      <c r="O944" s="50"/>
      <c r="P944" s="50"/>
      <c r="Q944" s="50"/>
      <c r="R944" s="50"/>
      <c r="S944" s="50"/>
      <c r="T944" s="50"/>
      <c r="U944" s="50"/>
      <c r="V944" s="50"/>
      <c r="W944" s="50"/>
      <c r="X944" s="50"/>
      <c r="Y944" s="50"/>
      <c r="Z944" s="50"/>
      <c r="AA944" s="50"/>
      <c r="AB944" s="50"/>
    </row>
    <row r="945">
      <c r="A945" s="49"/>
      <c r="B945" s="49"/>
      <c r="C945" s="50"/>
      <c r="D945" s="50"/>
      <c r="E945" s="50"/>
      <c r="F945" s="50"/>
      <c r="G945" s="50"/>
      <c r="H945" s="50"/>
      <c r="I945" s="50"/>
      <c r="J945" s="50"/>
      <c r="K945" s="50"/>
      <c r="L945" s="50"/>
      <c r="M945" s="50"/>
      <c r="N945" s="50"/>
      <c r="O945" s="50"/>
      <c r="P945" s="50"/>
      <c r="Q945" s="50"/>
      <c r="R945" s="50"/>
      <c r="S945" s="50"/>
      <c r="T945" s="50"/>
      <c r="U945" s="50"/>
      <c r="V945" s="50"/>
      <c r="W945" s="50"/>
      <c r="X945" s="50"/>
      <c r="Y945" s="50"/>
      <c r="Z945" s="50"/>
      <c r="AA945" s="50"/>
      <c r="AB945" s="50"/>
    </row>
    <row r="946">
      <c r="A946" s="49"/>
      <c r="B946" s="49"/>
      <c r="C946" s="50"/>
      <c r="D946" s="50"/>
      <c r="E946" s="50"/>
      <c r="F946" s="50"/>
      <c r="G946" s="50"/>
      <c r="H946" s="50"/>
      <c r="I946" s="50"/>
      <c r="J946" s="50"/>
      <c r="K946" s="50"/>
      <c r="L946" s="50"/>
      <c r="M946" s="50"/>
      <c r="N946" s="50"/>
      <c r="O946" s="50"/>
      <c r="P946" s="50"/>
      <c r="Q946" s="50"/>
      <c r="R946" s="50"/>
      <c r="S946" s="50"/>
      <c r="T946" s="50"/>
      <c r="U946" s="50"/>
      <c r="V946" s="50"/>
      <c r="W946" s="50"/>
      <c r="X946" s="50"/>
      <c r="Y946" s="50"/>
      <c r="Z946" s="50"/>
      <c r="AA946" s="50"/>
      <c r="AB946" s="50"/>
    </row>
    <row r="947">
      <c r="A947" s="49"/>
      <c r="B947" s="49"/>
      <c r="C947" s="50"/>
      <c r="D947" s="50"/>
      <c r="E947" s="50"/>
      <c r="F947" s="50"/>
      <c r="G947" s="50"/>
      <c r="H947" s="50"/>
      <c r="I947" s="50"/>
      <c r="J947" s="50"/>
      <c r="K947" s="50"/>
      <c r="L947" s="50"/>
      <c r="M947" s="50"/>
      <c r="N947" s="50"/>
      <c r="O947" s="50"/>
      <c r="P947" s="50"/>
      <c r="Q947" s="50"/>
      <c r="R947" s="50"/>
      <c r="S947" s="50"/>
      <c r="T947" s="50"/>
      <c r="U947" s="50"/>
      <c r="V947" s="50"/>
      <c r="W947" s="50"/>
      <c r="X947" s="50"/>
      <c r="Y947" s="50"/>
      <c r="Z947" s="50"/>
      <c r="AA947" s="50"/>
      <c r="AB947" s="50"/>
    </row>
    <row r="948">
      <c r="A948" s="49"/>
      <c r="B948" s="49"/>
      <c r="C948" s="50"/>
      <c r="D948" s="50"/>
      <c r="E948" s="50"/>
      <c r="F948" s="50"/>
      <c r="G948" s="50"/>
      <c r="H948" s="50"/>
      <c r="I948" s="50"/>
      <c r="J948" s="50"/>
      <c r="K948" s="50"/>
      <c r="L948" s="50"/>
      <c r="M948" s="50"/>
      <c r="N948" s="50"/>
      <c r="O948" s="50"/>
      <c r="P948" s="50"/>
      <c r="Q948" s="50"/>
      <c r="R948" s="50"/>
      <c r="S948" s="50"/>
      <c r="T948" s="50"/>
      <c r="U948" s="50"/>
      <c r="V948" s="50"/>
      <c r="W948" s="50"/>
      <c r="X948" s="50"/>
      <c r="Y948" s="50"/>
      <c r="Z948" s="50"/>
      <c r="AA948" s="50"/>
      <c r="AB948" s="50"/>
    </row>
    <row r="949">
      <c r="A949" s="49"/>
      <c r="B949" s="49"/>
      <c r="C949" s="50"/>
      <c r="D949" s="50"/>
      <c r="E949" s="50"/>
      <c r="F949" s="50"/>
      <c r="G949" s="50"/>
      <c r="H949" s="50"/>
      <c r="I949" s="50"/>
      <c r="J949" s="50"/>
      <c r="K949" s="50"/>
      <c r="L949" s="50"/>
      <c r="M949" s="50"/>
      <c r="N949" s="50"/>
      <c r="O949" s="50"/>
      <c r="P949" s="50"/>
      <c r="Q949" s="50"/>
      <c r="R949" s="50"/>
      <c r="S949" s="50"/>
      <c r="T949" s="50"/>
      <c r="U949" s="50"/>
      <c r="V949" s="50"/>
      <c r="W949" s="50"/>
      <c r="X949" s="50"/>
      <c r="Y949" s="50"/>
      <c r="Z949" s="50"/>
      <c r="AA949" s="50"/>
      <c r="AB949" s="50"/>
    </row>
    <row r="950">
      <c r="A950" s="49"/>
      <c r="B950" s="49"/>
      <c r="C950" s="50"/>
      <c r="D950" s="50"/>
      <c r="E950" s="50"/>
      <c r="F950" s="50"/>
      <c r="G950" s="50"/>
      <c r="H950" s="50"/>
      <c r="I950" s="50"/>
      <c r="J950" s="50"/>
      <c r="K950" s="50"/>
      <c r="L950" s="50"/>
      <c r="M950" s="50"/>
      <c r="N950" s="50"/>
      <c r="O950" s="50"/>
      <c r="P950" s="50"/>
      <c r="Q950" s="50"/>
      <c r="R950" s="50"/>
      <c r="S950" s="50"/>
      <c r="T950" s="50"/>
      <c r="U950" s="50"/>
      <c r="V950" s="50"/>
      <c r="W950" s="50"/>
      <c r="X950" s="50"/>
      <c r="Y950" s="50"/>
      <c r="Z950" s="50"/>
      <c r="AA950" s="50"/>
      <c r="AB950" s="50"/>
    </row>
    <row r="951">
      <c r="A951" s="49"/>
      <c r="B951" s="49"/>
      <c r="C951" s="50"/>
      <c r="D951" s="50"/>
      <c r="E951" s="50"/>
      <c r="F951" s="50"/>
      <c r="G951" s="50"/>
      <c r="H951" s="50"/>
      <c r="I951" s="50"/>
      <c r="J951" s="50"/>
      <c r="K951" s="50"/>
      <c r="L951" s="50"/>
      <c r="M951" s="50"/>
      <c r="N951" s="50"/>
      <c r="O951" s="50"/>
      <c r="P951" s="50"/>
      <c r="Q951" s="50"/>
      <c r="R951" s="50"/>
      <c r="S951" s="50"/>
      <c r="T951" s="50"/>
      <c r="U951" s="50"/>
      <c r="V951" s="50"/>
      <c r="W951" s="50"/>
      <c r="X951" s="50"/>
      <c r="Y951" s="50"/>
      <c r="Z951" s="50"/>
      <c r="AA951" s="50"/>
      <c r="AB951" s="50"/>
    </row>
    <row r="952">
      <c r="A952" s="49"/>
      <c r="B952" s="49"/>
      <c r="C952" s="50"/>
      <c r="D952" s="50"/>
      <c r="E952" s="50"/>
      <c r="F952" s="50"/>
      <c r="G952" s="50"/>
      <c r="H952" s="50"/>
      <c r="I952" s="50"/>
      <c r="J952" s="50"/>
      <c r="K952" s="50"/>
      <c r="L952" s="50"/>
      <c r="M952" s="50"/>
      <c r="N952" s="50"/>
      <c r="O952" s="50"/>
      <c r="P952" s="50"/>
      <c r="Q952" s="50"/>
      <c r="R952" s="50"/>
      <c r="S952" s="50"/>
      <c r="T952" s="50"/>
      <c r="U952" s="50"/>
      <c r="V952" s="50"/>
      <c r="W952" s="50"/>
      <c r="X952" s="50"/>
      <c r="Y952" s="50"/>
      <c r="Z952" s="50"/>
      <c r="AA952" s="50"/>
      <c r="AB952" s="50"/>
    </row>
    <row r="953">
      <c r="A953" s="49"/>
      <c r="B953" s="49"/>
      <c r="C953" s="50"/>
      <c r="D953" s="50"/>
      <c r="E953" s="50"/>
      <c r="F953" s="50"/>
      <c r="G953" s="50"/>
      <c r="H953" s="50"/>
      <c r="I953" s="50"/>
      <c r="J953" s="50"/>
      <c r="K953" s="50"/>
      <c r="L953" s="50"/>
      <c r="M953" s="50"/>
      <c r="N953" s="50"/>
      <c r="O953" s="50"/>
      <c r="P953" s="50"/>
      <c r="Q953" s="50"/>
      <c r="R953" s="50"/>
      <c r="S953" s="50"/>
      <c r="T953" s="50"/>
      <c r="U953" s="50"/>
      <c r="V953" s="50"/>
      <c r="W953" s="50"/>
      <c r="X953" s="50"/>
      <c r="Y953" s="50"/>
      <c r="Z953" s="50"/>
      <c r="AA953" s="50"/>
      <c r="AB953" s="50"/>
    </row>
    <row r="954">
      <c r="A954" s="49"/>
      <c r="B954" s="49"/>
      <c r="C954" s="50"/>
      <c r="D954" s="50"/>
      <c r="E954" s="50"/>
      <c r="F954" s="50"/>
      <c r="G954" s="50"/>
      <c r="H954" s="50"/>
      <c r="I954" s="50"/>
      <c r="J954" s="50"/>
      <c r="K954" s="50"/>
      <c r="L954" s="50"/>
      <c r="M954" s="50"/>
      <c r="N954" s="50"/>
      <c r="O954" s="50"/>
      <c r="P954" s="50"/>
      <c r="Q954" s="50"/>
      <c r="R954" s="50"/>
      <c r="S954" s="50"/>
      <c r="T954" s="50"/>
      <c r="U954" s="50"/>
      <c r="V954" s="50"/>
      <c r="W954" s="50"/>
      <c r="X954" s="50"/>
      <c r="Y954" s="50"/>
      <c r="Z954" s="50"/>
      <c r="AA954" s="50"/>
      <c r="AB954" s="50"/>
    </row>
    <row r="955">
      <c r="A955" s="49"/>
      <c r="B955" s="49"/>
      <c r="C955" s="50"/>
      <c r="D955" s="50"/>
      <c r="E955" s="50"/>
      <c r="F955" s="50"/>
      <c r="G955" s="50"/>
      <c r="H955" s="50"/>
      <c r="I955" s="50"/>
      <c r="J955" s="50"/>
      <c r="K955" s="50"/>
      <c r="L955" s="50"/>
      <c r="M955" s="50"/>
      <c r="N955" s="50"/>
      <c r="O955" s="50"/>
      <c r="P955" s="50"/>
      <c r="Q955" s="50"/>
      <c r="R955" s="50"/>
      <c r="S955" s="50"/>
      <c r="T955" s="50"/>
      <c r="U955" s="50"/>
      <c r="V955" s="50"/>
      <c r="W955" s="50"/>
      <c r="X955" s="50"/>
      <c r="Y955" s="50"/>
      <c r="Z955" s="50"/>
      <c r="AA955" s="50"/>
      <c r="AB955" s="50"/>
    </row>
    <row r="956">
      <c r="A956" s="49"/>
      <c r="B956" s="49"/>
      <c r="C956" s="50"/>
      <c r="D956" s="50"/>
      <c r="E956" s="50"/>
      <c r="F956" s="50"/>
      <c r="G956" s="50"/>
      <c r="H956" s="50"/>
      <c r="I956" s="50"/>
      <c r="J956" s="50"/>
      <c r="K956" s="50"/>
      <c r="L956" s="50"/>
      <c r="M956" s="50"/>
      <c r="N956" s="50"/>
      <c r="O956" s="50"/>
      <c r="P956" s="50"/>
      <c r="Q956" s="50"/>
      <c r="R956" s="50"/>
      <c r="S956" s="50"/>
      <c r="T956" s="50"/>
      <c r="U956" s="50"/>
      <c r="V956" s="50"/>
      <c r="W956" s="50"/>
      <c r="X956" s="50"/>
      <c r="Y956" s="50"/>
      <c r="Z956" s="50"/>
      <c r="AA956" s="50"/>
      <c r="AB956" s="50"/>
    </row>
    <row r="957">
      <c r="A957" s="49"/>
      <c r="B957" s="49"/>
      <c r="C957" s="50"/>
      <c r="D957" s="50"/>
      <c r="E957" s="50"/>
      <c r="F957" s="50"/>
      <c r="G957" s="50"/>
      <c r="H957" s="50"/>
      <c r="I957" s="50"/>
      <c r="J957" s="50"/>
      <c r="K957" s="50"/>
      <c r="L957" s="50"/>
      <c r="M957" s="50"/>
      <c r="N957" s="50"/>
      <c r="O957" s="50"/>
      <c r="P957" s="50"/>
      <c r="Q957" s="50"/>
      <c r="R957" s="50"/>
      <c r="S957" s="50"/>
      <c r="T957" s="50"/>
      <c r="U957" s="50"/>
      <c r="V957" s="50"/>
      <c r="W957" s="50"/>
      <c r="X957" s="50"/>
      <c r="Y957" s="50"/>
      <c r="Z957" s="50"/>
      <c r="AA957" s="50"/>
      <c r="AB957" s="50"/>
    </row>
    <row r="958">
      <c r="A958" s="49"/>
      <c r="B958" s="49"/>
      <c r="C958" s="50"/>
      <c r="D958" s="50"/>
      <c r="E958" s="50"/>
      <c r="F958" s="50"/>
      <c r="G958" s="50"/>
      <c r="H958" s="50"/>
      <c r="I958" s="50"/>
      <c r="J958" s="50"/>
      <c r="K958" s="50"/>
      <c r="L958" s="50"/>
      <c r="M958" s="50"/>
      <c r="N958" s="50"/>
      <c r="O958" s="50"/>
      <c r="P958" s="50"/>
      <c r="Q958" s="50"/>
      <c r="R958" s="50"/>
      <c r="S958" s="50"/>
      <c r="T958" s="50"/>
      <c r="U958" s="50"/>
      <c r="V958" s="50"/>
      <c r="W958" s="50"/>
      <c r="X958" s="50"/>
      <c r="Y958" s="50"/>
      <c r="Z958" s="50"/>
      <c r="AA958" s="50"/>
      <c r="AB958" s="50"/>
    </row>
    <row r="959">
      <c r="A959" s="49"/>
      <c r="B959" s="49"/>
      <c r="C959" s="50"/>
      <c r="D959" s="50"/>
      <c r="E959" s="50"/>
      <c r="F959" s="50"/>
      <c r="G959" s="50"/>
      <c r="H959" s="50"/>
      <c r="I959" s="50"/>
      <c r="J959" s="50"/>
      <c r="K959" s="50"/>
      <c r="L959" s="50"/>
      <c r="M959" s="50"/>
      <c r="N959" s="50"/>
      <c r="O959" s="50"/>
      <c r="P959" s="50"/>
      <c r="Q959" s="50"/>
      <c r="R959" s="50"/>
      <c r="S959" s="50"/>
      <c r="T959" s="50"/>
      <c r="U959" s="50"/>
      <c r="V959" s="50"/>
      <c r="W959" s="50"/>
      <c r="X959" s="50"/>
      <c r="Y959" s="50"/>
      <c r="Z959" s="50"/>
      <c r="AA959" s="50"/>
      <c r="AB959" s="50"/>
    </row>
    <row r="960">
      <c r="A960" s="49"/>
      <c r="B960" s="49"/>
      <c r="C960" s="50"/>
      <c r="D960" s="50"/>
      <c r="E960" s="50"/>
      <c r="F960" s="50"/>
      <c r="G960" s="50"/>
      <c r="H960" s="50"/>
      <c r="I960" s="50"/>
      <c r="J960" s="50"/>
      <c r="K960" s="50"/>
      <c r="L960" s="50"/>
      <c r="M960" s="50"/>
      <c r="N960" s="50"/>
      <c r="O960" s="50"/>
      <c r="P960" s="50"/>
      <c r="Q960" s="50"/>
      <c r="R960" s="50"/>
      <c r="S960" s="50"/>
      <c r="T960" s="50"/>
      <c r="U960" s="50"/>
      <c r="V960" s="50"/>
      <c r="W960" s="50"/>
      <c r="X960" s="50"/>
      <c r="Y960" s="50"/>
      <c r="Z960" s="50"/>
      <c r="AA960" s="50"/>
      <c r="AB960" s="50"/>
    </row>
    <row r="961">
      <c r="A961" s="49"/>
      <c r="B961" s="49"/>
      <c r="C961" s="50"/>
      <c r="D961" s="50"/>
      <c r="E961" s="50"/>
      <c r="F961" s="50"/>
      <c r="G961" s="50"/>
      <c r="H961" s="50"/>
      <c r="I961" s="50"/>
      <c r="J961" s="50"/>
      <c r="K961" s="50"/>
      <c r="L961" s="50"/>
      <c r="M961" s="50"/>
      <c r="N961" s="50"/>
      <c r="O961" s="50"/>
      <c r="P961" s="50"/>
      <c r="Q961" s="50"/>
      <c r="R961" s="50"/>
      <c r="S961" s="50"/>
      <c r="T961" s="50"/>
      <c r="U961" s="50"/>
      <c r="V961" s="50"/>
      <c r="W961" s="50"/>
      <c r="X961" s="50"/>
      <c r="Y961" s="50"/>
      <c r="Z961" s="50"/>
      <c r="AA961" s="50"/>
      <c r="AB961" s="50"/>
    </row>
    <row r="962">
      <c r="A962" s="49"/>
      <c r="B962" s="49"/>
      <c r="C962" s="50"/>
      <c r="D962" s="50"/>
      <c r="E962" s="50"/>
      <c r="F962" s="50"/>
      <c r="G962" s="50"/>
      <c r="H962" s="50"/>
      <c r="I962" s="50"/>
      <c r="J962" s="50"/>
      <c r="K962" s="50"/>
      <c r="L962" s="50"/>
      <c r="M962" s="50"/>
      <c r="N962" s="50"/>
      <c r="O962" s="50"/>
      <c r="P962" s="50"/>
      <c r="Q962" s="50"/>
      <c r="R962" s="50"/>
      <c r="S962" s="50"/>
      <c r="T962" s="50"/>
      <c r="U962" s="50"/>
      <c r="V962" s="50"/>
      <c r="W962" s="50"/>
      <c r="X962" s="50"/>
      <c r="Y962" s="50"/>
      <c r="Z962" s="50"/>
      <c r="AA962" s="50"/>
      <c r="AB962" s="50"/>
    </row>
    <row r="963">
      <c r="A963" s="49"/>
      <c r="B963" s="49"/>
      <c r="C963" s="50"/>
      <c r="D963" s="50"/>
      <c r="E963" s="50"/>
      <c r="F963" s="50"/>
      <c r="G963" s="50"/>
      <c r="H963" s="50"/>
      <c r="I963" s="50"/>
      <c r="J963" s="50"/>
      <c r="K963" s="50"/>
      <c r="L963" s="50"/>
      <c r="M963" s="50"/>
      <c r="N963" s="50"/>
      <c r="O963" s="50"/>
      <c r="P963" s="50"/>
      <c r="Q963" s="50"/>
      <c r="R963" s="50"/>
      <c r="S963" s="50"/>
      <c r="T963" s="50"/>
      <c r="U963" s="50"/>
      <c r="V963" s="50"/>
      <c r="W963" s="50"/>
      <c r="X963" s="50"/>
      <c r="Y963" s="50"/>
      <c r="Z963" s="50"/>
      <c r="AA963" s="50"/>
      <c r="AB963" s="50"/>
    </row>
    <row r="964">
      <c r="A964" s="49"/>
      <c r="B964" s="49"/>
      <c r="C964" s="50"/>
      <c r="D964" s="50"/>
      <c r="E964" s="50"/>
      <c r="F964" s="50"/>
      <c r="G964" s="50"/>
      <c r="H964" s="50"/>
      <c r="I964" s="50"/>
      <c r="J964" s="50"/>
      <c r="K964" s="50"/>
      <c r="L964" s="50"/>
      <c r="M964" s="50"/>
      <c r="N964" s="50"/>
      <c r="O964" s="50"/>
      <c r="P964" s="50"/>
      <c r="Q964" s="50"/>
      <c r="R964" s="50"/>
      <c r="S964" s="50"/>
      <c r="T964" s="50"/>
      <c r="U964" s="50"/>
      <c r="V964" s="50"/>
      <c r="W964" s="50"/>
      <c r="X964" s="50"/>
      <c r="Y964" s="50"/>
      <c r="Z964" s="50"/>
      <c r="AA964" s="50"/>
      <c r="AB964" s="50"/>
    </row>
    <row r="965">
      <c r="A965" s="49"/>
      <c r="B965" s="49"/>
      <c r="C965" s="50"/>
      <c r="D965" s="50"/>
      <c r="E965" s="50"/>
      <c r="F965" s="50"/>
      <c r="G965" s="50"/>
      <c r="H965" s="50"/>
      <c r="I965" s="50"/>
      <c r="J965" s="50"/>
      <c r="K965" s="50"/>
      <c r="L965" s="50"/>
      <c r="M965" s="50"/>
      <c r="N965" s="50"/>
      <c r="O965" s="50"/>
      <c r="P965" s="50"/>
      <c r="Q965" s="50"/>
      <c r="R965" s="50"/>
      <c r="S965" s="50"/>
      <c r="T965" s="50"/>
      <c r="U965" s="50"/>
      <c r="V965" s="50"/>
      <c r="W965" s="50"/>
      <c r="X965" s="50"/>
      <c r="Y965" s="50"/>
      <c r="Z965" s="50"/>
      <c r="AA965" s="50"/>
      <c r="AB965" s="50"/>
    </row>
    <row r="966">
      <c r="A966" s="49"/>
      <c r="B966" s="49"/>
      <c r="C966" s="50"/>
      <c r="D966" s="50"/>
      <c r="E966" s="50"/>
      <c r="F966" s="50"/>
      <c r="G966" s="50"/>
      <c r="H966" s="50"/>
      <c r="I966" s="50"/>
      <c r="J966" s="50"/>
      <c r="K966" s="50"/>
      <c r="L966" s="50"/>
      <c r="M966" s="50"/>
      <c r="N966" s="50"/>
      <c r="O966" s="50"/>
      <c r="P966" s="50"/>
      <c r="Q966" s="50"/>
      <c r="R966" s="50"/>
      <c r="S966" s="50"/>
      <c r="T966" s="50"/>
      <c r="U966" s="50"/>
      <c r="V966" s="50"/>
      <c r="W966" s="50"/>
      <c r="X966" s="50"/>
      <c r="Y966" s="50"/>
      <c r="Z966" s="50"/>
      <c r="AA966" s="50"/>
      <c r="AB966" s="50"/>
    </row>
    <row r="967">
      <c r="A967" s="49"/>
      <c r="B967" s="49"/>
      <c r="C967" s="50"/>
      <c r="D967" s="50"/>
      <c r="E967" s="50"/>
      <c r="F967" s="50"/>
      <c r="G967" s="50"/>
      <c r="H967" s="50"/>
      <c r="I967" s="50"/>
      <c r="J967" s="50"/>
      <c r="K967" s="50"/>
      <c r="L967" s="50"/>
      <c r="M967" s="50"/>
      <c r="N967" s="50"/>
      <c r="O967" s="50"/>
      <c r="P967" s="50"/>
      <c r="Q967" s="50"/>
      <c r="R967" s="50"/>
      <c r="S967" s="50"/>
      <c r="T967" s="50"/>
      <c r="U967" s="50"/>
      <c r="V967" s="50"/>
      <c r="W967" s="50"/>
      <c r="X967" s="50"/>
      <c r="Y967" s="50"/>
      <c r="Z967" s="50"/>
      <c r="AA967" s="50"/>
      <c r="AB967" s="50"/>
    </row>
    <row r="968">
      <c r="A968" s="49"/>
      <c r="B968" s="49"/>
      <c r="C968" s="50"/>
      <c r="D968" s="50"/>
      <c r="E968" s="50"/>
      <c r="F968" s="50"/>
      <c r="G968" s="50"/>
      <c r="H968" s="50"/>
      <c r="I968" s="50"/>
      <c r="J968" s="50"/>
      <c r="K968" s="50"/>
      <c r="L968" s="50"/>
      <c r="M968" s="50"/>
      <c r="N968" s="50"/>
      <c r="O968" s="50"/>
      <c r="P968" s="50"/>
      <c r="Q968" s="50"/>
      <c r="R968" s="50"/>
      <c r="S968" s="50"/>
      <c r="T968" s="50"/>
      <c r="U968" s="50"/>
      <c r="V968" s="50"/>
      <c r="W968" s="50"/>
      <c r="X968" s="50"/>
      <c r="Y968" s="50"/>
      <c r="Z968" s="50"/>
      <c r="AA968" s="50"/>
      <c r="AB968" s="50"/>
    </row>
    <row r="969">
      <c r="A969" s="49"/>
      <c r="B969" s="49"/>
      <c r="C969" s="50"/>
      <c r="D969" s="50"/>
      <c r="E969" s="50"/>
      <c r="F969" s="50"/>
      <c r="G969" s="50"/>
      <c r="H969" s="50"/>
      <c r="I969" s="50"/>
      <c r="J969" s="50"/>
      <c r="K969" s="50"/>
      <c r="L969" s="50"/>
      <c r="M969" s="50"/>
      <c r="N969" s="50"/>
      <c r="O969" s="50"/>
      <c r="P969" s="50"/>
      <c r="Q969" s="50"/>
      <c r="R969" s="50"/>
      <c r="S969" s="50"/>
      <c r="T969" s="50"/>
      <c r="U969" s="50"/>
      <c r="V969" s="50"/>
      <c r="W969" s="50"/>
      <c r="X969" s="50"/>
      <c r="Y969" s="50"/>
      <c r="Z969" s="50"/>
      <c r="AA969" s="50"/>
      <c r="AB969" s="50"/>
    </row>
    <row r="970">
      <c r="A970" s="49"/>
      <c r="B970" s="49"/>
      <c r="C970" s="50"/>
      <c r="D970" s="50"/>
      <c r="E970" s="50"/>
      <c r="F970" s="50"/>
      <c r="G970" s="50"/>
      <c r="H970" s="50"/>
      <c r="I970" s="50"/>
      <c r="J970" s="50"/>
      <c r="K970" s="50"/>
      <c r="L970" s="50"/>
      <c r="M970" s="50"/>
      <c r="N970" s="50"/>
      <c r="O970" s="50"/>
      <c r="P970" s="50"/>
      <c r="Q970" s="50"/>
      <c r="R970" s="50"/>
      <c r="S970" s="50"/>
      <c r="T970" s="50"/>
      <c r="U970" s="50"/>
      <c r="V970" s="50"/>
      <c r="W970" s="50"/>
      <c r="X970" s="50"/>
      <c r="Y970" s="50"/>
      <c r="Z970" s="50"/>
      <c r="AA970" s="50"/>
      <c r="AB970" s="50"/>
    </row>
    <row r="971">
      <c r="A971" s="49"/>
      <c r="B971" s="49"/>
      <c r="C971" s="50"/>
      <c r="D971" s="50"/>
      <c r="E971" s="50"/>
      <c r="F971" s="50"/>
      <c r="G971" s="50"/>
      <c r="H971" s="50"/>
      <c r="I971" s="50"/>
      <c r="J971" s="50"/>
      <c r="K971" s="50"/>
      <c r="L971" s="50"/>
      <c r="M971" s="50"/>
      <c r="N971" s="50"/>
      <c r="O971" s="50"/>
      <c r="P971" s="50"/>
      <c r="Q971" s="50"/>
      <c r="R971" s="50"/>
      <c r="S971" s="50"/>
      <c r="T971" s="50"/>
      <c r="U971" s="50"/>
      <c r="V971" s="50"/>
      <c r="W971" s="50"/>
      <c r="X971" s="50"/>
      <c r="Y971" s="50"/>
      <c r="Z971" s="50"/>
      <c r="AA971" s="50"/>
      <c r="AB971" s="50"/>
    </row>
    <row r="972">
      <c r="A972" s="49"/>
      <c r="B972" s="49"/>
      <c r="C972" s="50"/>
      <c r="D972" s="50"/>
      <c r="E972" s="50"/>
      <c r="F972" s="50"/>
      <c r="G972" s="50"/>
      <c r="H972" s="50"/>
      <c r="I972" s="50"/>
      <c r="J972" s="50"/>
      <c r="K972" s="50"/>
      <c r="L972" s="50"/>
      <c r="M972" s="50"/>
      <c r="N972" s="50"/>
      <c r="O972" s="50"/>
      <c r="P972" s="50"/>
      <c r="Q972" s="50"/>
      <c r="R972" s="50"/>
      <c r="S972" s="50"/>
      <c r="T972" s="50"/>
      <c r="U972" s="50"/>
      <c r="V972" s="50"/>
      <c r="W972" s="50"/>
      <c r="X972" s="50"/>
      <c r="Y972" s="50"/>
      <c r="Z972" s="50"/>
      <c r="AA972" s="50"/>
      <c r="AB972" s="50"/>
    </row>
    <row r="973">
      <c r="A973" s="49"/>
      <c r="B973" s="49"/>
      <c r="C973" s="50"/>
      <c r="D973" s="50"/>
      <c r="E973" s="50"/>
      <c r="F973" s="50"/>
      <c r="G973" s="50"/>
      <c r="H973" s="50"/>
      <c r="I973" s="50"/>
      <c r="J973" s="50"/>
      <c r="K973" s="50"/>
      <c r="L973" s="50"/>
      <c r="M973" s="50"/>
      <c r="N973" s="50"/>
      <c r="O973" s="50"/>
      <c r="P973" s="50"/>
      <c r="Q973" s="50"/>
      <c r="R973" s="50"/>
      <c r="S973" s="50"/>
      <c r="T973" s="50"/>
      <c r="U973" s="50"/>
      <c r="V973" s="50"/>
      <c r="W973" s="50"/>
      <c r="X973" s="50"/>
      <c r="Y973" s="50"/>
      <c r="Z973" s="50"/>
      <c r="AA973" s="50"/>
      <c r="AB973" s="50"/>
    </row>
    <row r="974">
      <c r="A974" s="49"/>
      <c r="B974" s="49"/>
      <c r="C974" s="50"/>
      <c r="D974" s="50"/>
      <c r="E974" s="50"/>
      <c r="F974" s="50"/>
      <c r="G974" s="50"/>
      <c r="H974" s="50"/>
      <c r="I974" s="50"/>
      <c r="J974" s="50"/>
      <c r="K974" s="50"/>
      <c r="L974" s="50"/>
      <c r="M974" s="50"/>
      <c r="N974" s="50"/>
      <c r="O974" s="50"/>
      <c r="P974" s="50"/>
      <c r="Q974" s="50"/>
      <c r="R974" s="50"/>
      <c r="S974" s="50"/>
      <c r="T974" s="50"/>
      <c r="U974" s="50"/>
      <c r="V974" s="50"/>
      <c r="W974" s="50"/>
      <c r="X974" s="50"/>
      <c r="Y974" s="50"/>
      <c r="Z974" s="50"/>
      <c r="AA974" s="50"/>
      <c r="AB974" s="50"/>
    </row>
    <row r="975">
      <c r="A975" s="49"/>
      <c r="B975" s="49"/>
      <c r="C975" s="50"/>
      <c r="D975" s="50"/>
      <c r="E975" s="50"/>
      <c r="F975" s="50"/>
      <c r="G975" s="50"/>
      <c r="H975" s="50"/>
      <c r="I975" s="50"/>
      <c r="J975" s="50"/>
      <c r="K975" s="50"/>
      <c r="L975" s="50"/>
      <c r="M975" s="50"/>
      <c r="N975" s="50"/>
      <c r="O975" s="50"/>
      <c r="P975" s="50"/>
      <c r="Q975" s="50"/>
      <c r="R975" s="50"/>
      <c r="S975" s="50"/>
      <c r="T975" s="50"/>
      <c r="U975" s="50"/>
      <c r="V975" s="50"/>
      <c r="W975" s="50"/>
      <c r="X975" s="50"/>
      <c r="Y975" s="50"/>
      <c r="Z975" s="50"/>
      <c r="AA975" s="50"/>
      <c r="AB975" s="50"/>
    </row>
    <row r="976">
      <c r="A976" s="49"/>
      <c r="B976" s="49"/>
      <c r="C976" s="50"/>
      <c r="D976" s="50"/>
      <c r="E976" s="50"/>
      <c r="F976" s="50"/>
      <c r="G976" s="50"/>
      <c r="H976" s="50"/>
      <c r="I976" s="50"/>
      <c r="J976" s="50"/>
      <c r="K976" s="50"/>
      <c r="L976" s="50"/>
      <c r="M976" s="50"/>
      <c r="N976" s="50"/>
      <c r="O976" s="50"/>
      <c r="P976" s="50"/>
      <c r="Q976" s="50"/>
      <c r="R976" s="50"/>
      <c r="S976" s="50"/>
      <c r="T976" s="50"/>
      <c r="U976" s="50"/>
      <c r="V976" s="50"/>
      <c r="W976" s="50"/>
      <c r="X976" s="50"/>
      <c r="Y976" s="50"/>
      <c r="Z976" s="50"/>
      <c r="AA976" s="50"/>
      <c r="AB976" s="50"/>
    </row>
    <row r="977">
      <c r="A977" s="49"/>
      <c r="B977" s="49"/>
      <c r="C977" s="50"/>
      <c r="D977" s="50"/>
      <c r="E977" s="50"/>
      <c r="F977" s="50"/>
      <c r="G977" s="50"/>
      <c r="H977" s="50"/>
      <c r="I977" s="50"/>
      <c r="J977" s="50"/>
      <c r="K977" s="50"/>
      <c r="L977" s="50"/>
      <c r="M977" s="50"/>
      <c r="N977" s="50"/>
      <c r="O977" s="50"/>
      <c r="P977" s="50"/>
      <c r="Q977" s="50"/>
      <c r="R977" s="50"/>
      <c r="S977" s="50"/>
      <c r="T977" s="50"/>
      <c r="U977" s="50"/>
      <c r="V977" s="50"/>
      <c r="W977" s="50"/>
      <c r="X977" s="50"/>
      <c r="Y977" s="50"/>
      <c r="Z977" s="50"/>
      <c r="AA977" s="50"/>
      <c r="AB977" s="50"/>
    </row>
    <row r="978">
      <c r="A978" s="49"/>
      <c r="B978" s="49"/>
      <c r="C978" s="50"/>
      <c r="D978" s="50"/>
      <c r="E978" s="50"/>
      <c r="F978" s="50"/>
      <c r="G978" s="50"/>
      <c r="H978" s="50"/>
      <c r="I978" s="50"/>
      <c r="J978" s="50"/>
      <c r="K978" s="50"/>
      <c r="L978" s="50"/>
      <c r="M978" s="50"/>
      <c r="N978" s="50"/>
      <c r="O978" s="50"/>
      <c r="P978" s="50"/>
      <c r="Q978" s="50"/>
      <c r="R978" s="50"/>
      <c r="S978" s="50"/>
      <c r="T978" s="50"/>
      <c r="U978" s="50"/>
      <c r="V978" s="50"/>
      <c r="W978" s="50"/>
      <c r="X978" s="50"/>
      <c r="Y978" s="50"/>
      <c r="Z978" s="50"/>
      <c r="AA978" s="50"/>
      <c r="AB978" s="50"/>
    </row>
    <row r="979">
      <c r="A979" s="49"/>
      <c r="B979" s="49"/>
      <c r="C979" s="50"/>
      <c r="D979" s="50"/>
      <c r="E979" s="50"/>
      <c r="F979" s="50"/>
      <c r="G979" s="50"/>
      <c r="H979" s="50"/>
      <c r="I979" s="50"/>
      <c r="J979" s="50"/>
      <c r="K979" s="50"/>
      <c r="L979" s="50"/>
      <c r="M979" s="50"/>
      <c r="N979" s="50"/>
      <c r="O979" s="50"/>
      <c r="P979" s="50"/>
      <c r="Q979" s="50"/>
      <c r="R979" s="50"/>
      <c r="S979" s="50"/>
      <c r="T979" s="50"/>
      <c r="U979" s="50"/>
      <c r="V979" s="50"/>
      <c r="W979" s="50"/>
      <c r="X979" s="50"/>
      <c r="Y979" s="50"/>
      <c r="Z979" s="50"/>
      <c r="AA979" s="50"/>
      <c r="AB979" s="50"/>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9.0" topLeftCell="D10" activePane="bottomRight" state="frozen"/>
      <selection activeCell="D1" sqref="D1" pane="topRight"/>
      <selection activeCell="A10" sqref="A10" pane="bottomLeft"/>
      <selection activeCell="D10" sqref="D10" pane="bottomRight"/>
    </sheetView>
  </sheetViews>
  <sheetFormatPr customHeight="1" defaultColWidth="12.63" defaultRowHeight="15.75"/>
  <cols>
    <col customWidth="1" min="1" max="1" width="4.38"/>
    <col customWidth="1" min="2" max="2" width="16.88"/>
    <col customWidth="1" min="3" max="3" width="13.63"/>
    <col customWidth="1" min="4" max="4" width="13.25"/>
    <col customWidth="1" min="5" max="5" width="15.25"/>
    <col customWidth="1" min="6" max="6" width="16.5"/>
    <col customWidth="1" min="7" max="7" width="52.63"/>
    <col customWidth="1" min="8" max="8" width="12.63"/>
    <col customWidth="1" min="9" max="9" width="37.88"/>
    <col customWidth="1" min="10" max="10" width="34.13"/>
    <col customWidth="1" min="11" max="11" width="23.0"/>
    <col customWidth="1" min="12" max="12" width="16.0"/>
    <col customWidth="1" min="13" max="13" width="20.75"/>
    <col customWidth="1" min="14" max="14" width="19.0"/>
    <col customWidth="1" min="19" max="19" width="35.38"/>
    <col customWidth="1" min="20" max="20" width="15.38"/>
    <col customWidth="1" min="21" max="21" width="13.13"/>
  </cols>
  <sheetData>
    <row r="1">
      <c r="A1" s="63" t="s">
        <v>107</v>
      </c>
      <c r="B1" s="64"/>
      <c r="C1" s="64"/>
      <c r="D1" s="64"/>
      <c r="E1" s="65"/>
      <c r="F1" s="66"/>
      <c r="G1" s="67"/>
      <c r="H1" s="66"/>
      <c r="I1" s="64"/>
      <c r="J1" s="64"/>
      <c r="K1" s="64"/>
      <c r="L1" s="65"/>
      <c r="M1" s="64"/>
      <c r="N1" s="64"/>
      <c r="O1" s="64"/>
      <c r="P1" s="64"/>
      <c r="Q1" s="64"/>
      <c r="R1" s="64"/>
      <c r="S1" s="64"/>
      <c r="T1" s="65"/>
      <c r="U1" s="64"/>
      <c r="V1" s="68"/>
      <c r="W1" s="68"/>
      <c r="X1" s="64"/>
      <c r="Y1" s="64"/>
      <c r="Z1" s="64"/>
      <c r="AA1" s="64"/>
      <c r="AB1" s="64"/>
      <c r="AC1" s="64"/>
      <c r="AD1" s="64"/>
      <c r="AE1" s="64"/>
      <c r="AF1" s="64"/>
      <c r="AG1" s="64"/>
    </row>
    <row r="2">
      <c r="A2" s="64"/>
      <c r="B2" s="64"/>
      <c r="C2" s="64"/>
      <c r="D2" s="64"/>
      <c r="E2" s="65"/>
      <c r="F2" s="66"/>
      <c r="G2" s="67"/>
      <c r="H2" s="66"/>
      <c r="I2" s="64"/>
      <c r="J2" s="69"/>
      <c r="K2" s="64"/>
      <c r="L2" s="65"/>
      <c r="M2" s="64"/>
      <c r="N2" s="64"/>
      <c r="O2" s="64"/>
      <c r="P2" s="64"/>
      <c r="Q2" s="64"/>
      <c r="R2" s="64"/>
      <c r="S2" s="64"/>
      <c r="T2" s="65"/>
      <c r="U2" s="64"/>
      <c r="V2" s="68"/>
      <c r="W2" s="68"/>
      <c r="X2" s="64"/>
      <c r="Y2" s="64"/>
      <c r="Z2" s="64"/>
      <c r="AA2" s="64"/>
      <c r="AB2" s="64"/>
      <c r="AC2" s="64"/>
      <c r="AD2" s="64"/>
      <c r="AE2" s="64"/>
      <c r="AF2" s="64"/>
      <c r="AG2" s="64"/>
    </row>
    <row r="3">
      <c r="A3" s="64"/>
      <c r="B3" s="70" t="s">
        <v>108</v>
      </c>
      <c r="C3" s="71">
        <v>1.0</v>
      </c>
      <c r="D3" s="70"/>
      <c r="E3" s="65"/>
      <c r="F3" s="72"/>
      <c r="G3" s="67"/>
      <c r="H3" s="66"/>
      <c r="I3" s="64"/>
      <c r="J3" s="64"/>
      <c r="K3" s="64"/>
      <c r="L3" s="65"/>
      <c r="M3" s="64"/>
      <c r="N3" s="64"/>
      <c r="O3" s="64"/>
      <c r="P3" s="64"/>
      <c r="Q3" s="64"/>
      <c r="R3" s="64"/>
      <c r="S3" s="64"/>
      <c r="T3" s="65"/>
      <c r="U3" s="64"/>
      <c r="V3" s="68"/>
      <c r="W3" s="68"/>
      <c r="X3" s="64"/>
      <c r="Y3" s="64"/>
      <c r="Z3" s="64"/>
      <c r="AA3" s="64"/>
      <c r="AB3" s="64"/>
      <c r="AC3" s="64"/>
      <c r="AD3" s="64"/>
      <c r="AE3" s="64"/>
      <c r="AF3" s="64"/>
      <c r="AG3" s="64"/>
    </row>
    <row r="4">
      <c r="A4" s="64"/>
      <c r="B4" s="70" t="s">
        <v>109</v>
      </c>
      <c r="C4" s="73">
        <f>CountA(B10:B989)</f>
        <v>101</v>
      </c>
      <c r="D4" s="64"/>
      <c r="E4" s="65"/>
      <c r="F4" s="66"/>
      <c r="G4" s="67"/>
      <c r="H4" s="66"/>
      <c r="I4" s="64"/>
      <c r="J4" s="64"/>
      <c r="K4" s="64"/>
      <c r="L4" s="65"/>
      <c r="M4" s="64"/>
      <c r="N4" s="64"/>
      <c r="O4" s="64"/>
      <c r="P4" s="64"/>
      <c r="Q4" s="64"/>
      <c r="R4" s="64"/>
      <c r="S4" s="64"/>
      <c r="T4" s="65"/>
      <c r="U4" s="64"/>
      <c r="V4" s="68"/>
      <c r="W4" s="68"/>
      <c r="X4" s="64"/>
      <c r="Y4" s="64"/>
      <c r="Z4" s="64"/>
      <c r="AA4" s="64"/>
      <c r="AB4" s="64"/>
      <c r="AC4" s="64"/>
      <c r="AD4" s="64"/>
      <c r="AE4" s="64"/>
      <c r="AF4" s="64"/>
      <c r="AG4" s="64"/>
    </row>
    <row r="5">
      <c r="A5" s="64"/>
      <c r="B5" s="70" t="s">
        <v>110</v>
      </c>
      <c r="C5" s="73">
        <f>SUM(COUNTIF(I10:I989, "Rejected - Blacklist"),COUNTIF(I10:I989, "Rejected - Seems to conflict with what I outlined in the IIP"))</f>
        <v>22</v>
      </c>
      <c r="D5" s="64"/>
      <c r="E5" s="65"/>
      <c r="F5" s="66"/>
      <c r="G5" s="67"/>
      <c r="H5" s="66"/>
      <c r="I5" s="64"/>
      <c r="J5" s="64"/>
      <c r="K5" s="64"/>
      <c r="L5" s="65"/>
      <c r="M5" s="64"/>
      <c r="N5" s="64"/>
      <c r="O5" s="64"/>
      <c r="P5" s="64"/>
      <c r="Q5" s="64"/>
      <c r="R5" s="64"/>
      <c r="S5" s="64"/>
      <c r="T5" s="65"/>
      <c r="U5" s="64"/>
      <c r="V5" s="68"/>
      <c r="W5" s="68"/>
      <c r="X5" s="64"/>
      <c r="Y5" s="64"/>
      <c r="Z5" s="64"/>
      <c r="AA5" s="64"/>
      <c r="AB5" s="64"/>
      <c r="AC5" s="64"/>
      <c r="AD5" s="64"/>
      <c r="AE5" s="64"/>
      <c r="AF5" s="64"/>
      <c r="AG5" s="64"/>
    </row>
    <row r="6">
      <c r="A6" s="64"/>
      <c r="B6" s="70" t="s">
        <v>111</v>
      </c>
      <c r="C6" s="74">
        <f>C5/C4</f>
        <v>0.2178217822</v>
      </c>
      <c r="D6" s="64"/>
      <c r="E6" s="65"/>
      <c r="F6" s="66"/>
      <c r="G6" s="67"/>
      <c r="H6" s="66"/>
      <c r="I6" s="64"/>
      <c r="J6" s="64"/>
      <c r="K6" s="64"/>
      <c r="L6" s="65"/>
      <c r="M6" s="64"/>
      <c r="N6" s="64"/>
      <c r="O6" s="64"/>
      <c r="P6" s="64"/>
      <c r="Q6" s="64"/>
      <c r="R6" s="64"/>
      <c r="S6" s="64"/>
      <c r="T6" s="65"/>
      <c r="U6" s="64"/>
      <c r="V6" s="68"/>
      <c r="W6" s="68"/>
      <c r="X6" s="64"/>
      <c r="Y6" s="64"/>
      <c r="Z6" s="64"/>
      <c r="AA6" s="64"/>
      <c r="AB6" s="64"/>
      <c r="AC6" s="64"/>
      <c r="AD6" s="64"/>
      <c r="AE6" s="64"/>
      <c r="AF6" s="64"/>
      <c r="AG6" s="64"/>
    </row>
    <row r="7">
      <c r="A7" s="64"/>
      <c r="B7" s="70" t="s">
        <v>112</v>
      </c>
      <c r="C7" s="73" t="s">
        <v>113</v>
      </c>
      <c r="D7" s="72" t="s">
        <v>114</v>
      </c>
      <c r="E7" s="65"/>
      <c r="F7" s="72"/>
      <c r="G7" s="67"/>
      <c r="H7" s="66"/>
      <c r="I7" s="64"/>
      <c r="J7" s="64"/>
      <c r="K7" s="64"/>
      <c r="L7" s="65"/>
      <c r="M7" s="64"/>
      <c r="N7" s="64"/>
      <c r="O7" s="64"/>
      <c r="P7" s="64"/>
      <c r="Q7" s="64"/>
      <c r="R7" s="64"/>
      <c r="S7" s="64"/>
      <c r="T7" s="65"/>
      <c r="U7" s="64"/>
      <c r="V7" s="68"/>
      <c r="W7" s="68"/>
      <c r="X7" s="64"/>
      <c r="Y7" s="64"/>
      <c r="Z7" s="64"/>
      <c r="AA7" s="64"/>
      <c r="AB7" s="64"/>
      <c r="AC7" s="64"/>
      <c r="AD7" s="64"/>
      <c r="AE7" s="64"/>
      <c r="AF7" s="64"/>
      <c r="AG7" s="64"/>
    </row>
    <row r="8">
      <c r="A8" s="75"/>
      <c r="B8" s="75"/>
      <c r="C8" s="75"/>
      <c r="D8" s="75"/>
      <c r="E8" s="76"/>
      <c r="F8" s="77" t="s">
        <v>115</v>
      </c>
      <c r="G8" s="77" t="s">
        <v>116</v>
      </c>
      <c r="H8" s="77" t="s">
        <v>117</v>
      </c>
      <c r="I8" s="77" t="s">
        <v>118</v>
      </c>
      <c r="J8" s="77" t="s">
        <v>119</v>
      </c>
      <c r="K8" s="78"/>
      <c r="L8" s="77" t="s">
        <v>120</v>
      </c>
      <c r="M8" s="78"/>
      <c r="N8" s="75"/>
      <c r="O8" s="75"/>
      <c r="P8" s="75"/>
      <c r="Q8" s="75"/>
      <c r="R8" s="75"/>
      <c r="S8" s="77" t="s">
        <v>121</v>
      </c>
      <c r="T8" s="77" t="s">
        <v>120</v>
      </c>
      <c r="U8" s="75"/>
      <c r="V8" s="77" t="s">
        <v>122</v>
      </c>
      <c r="W8" s="79"/>
      <c r="X8" s="75"/>
      <c r="Y8" s="75"/>
      <c r="Z8" s="75"/>
      <c r="AA8" s="75"/>
      <c r="AB8" s="75"/>
      <c r="AC8" s="75"/>
      <c r="AD8" s="75"/>
      <c r="AE8" s="75"/>
      <c r="AF8" s="75"/>
      <c r="AG8" s="75"/>
    </row>
    <row r="9">
      <c r="A9" s="80" t="s">
        <v>123</v>
      </c>
      <c r="B9" s="81" t="s">
        <v>57</v>
      </c>
      <c r="C9" s="81" t="s">
        <v>59</v>
      </c>
      <c r="D9" s="80" t="s">
        <v>124</v>
      </c>
      <c r="E9" s="82" t="s">
        <v>125</v>
      </c>
      <c r="F9" s="83" t="s">
        <v>126</v>
      </c>
      <c r="G9" s="83" t="s">
        <v>127</v>
      </c>
      <c r="H9" s="81" t="s">
        <v>128</v>
      </c>
      <c r="I9" s="81" t="s">
        <v>129</v>
      </c>
      <c r="J9" s="81" t="s">
        <v>130</v>
      </c>
      <c r="K9" s="81" t="s">
        <v>131</v>
      </c>
      <c r="L9" s="82" t="s">
        <v>58</v>
      </c>
      <c r="M9" s="80" t="s">
        <v>132</v>
      </c>
      <c r="N9" s="80" t="s">
        <v>133</v>
      </c>
      <c r="O9" s="80" t="s">
        <v>134</v>
      </c>
      <c r="P9" s="80" t="s">
        <v>135</v>
      </c>
      <c r="Q9" s="80" t="s">
        <v>136</v>
      </c>
      <c r="R9" s="80" t="s">
        <v>137</v>
      </c>
      <c r="S9" s="84" t="s">
        <v>138</v>
      </c>
      <c r="T9" s="82" t="s">
        <v>139</v>
      </c>
      <c r="U9" s="81" t="s">
        <v>140</v>
      </c>
      <c r="V9" s="81" t="s">
        <v>141</v>
      </c>
      <c r="W9" s="81" t="s">
        <v>142</v>
      </c>
      <c r="X9" s="81" t="s">
        <v>143</v>
      </c>
      <c r="Y9" s="64"/>
      <c r="Z9" s="64"/>
      <c r="AA9" s="64"/>
      <c r="AB9" s="64"/>
      <c r="AC9" s="64"/>
      <c r="AD9" s="64"/>
      <c r="AE9" s="64"/>
      <c r="AF9" s="64"/>
      <c r="AG9" s="64"/>
    </row>
    <row r="10">
      <c r="A10" s="85">
        <f t="shared" ref="A10:A37" si="1">IF(ISBLANK(B10),"",COUNTA($B$9:B9))</f>
        <v>1</v>
      </c>
      <c r="B10" s="86" t="s">
        <v>144</v>
      </c>
      <c r="C10" s="87" t="s">
        <v>67</v>
      </c>
      <c r="D10" s="88" t="s">
        <v>145</v>
      </c>
      <c r="E10" s="89" t="s">
        <v>146</v>
      </c>
      <c r="F10" s="90" t="s">
        <v>147</v>
      </c>
      <c r="G10" s="91" t="s">
        <v>148</v>
      </c>
      <c r="H10" s="92" t="s">
        <v>149</v>
      </c>
      <c r="I10" s="93" t="s">
        <v>150</v>
      </c>
      <c r="J10" s="94" t="s">
        <v>151</v>
      </c>
      <c r="K10" s="94" t="s">
        <v>152</v>
      </c>
      <c r="L10" s="95"/>
      <c r="M10" s="96" t="s">
        <v>153</v>
      </c>
      <c r="N10" s="97" t="s">
        <v>154</v>
      </c>
      <c r="O10" s="98"/>
      <c r="P10" s="98"/>
      <c r="Q10" s="98"/>
      <c r="R10" s="98"/>
      <c r="S10" s="99"/>
      <c r="T10" s="95" t="s">
        <v>155</v>
      </c>
      <c r="U10" s="100" t="s">
        <v>156</v>
      </c>
      <c r="V10" s="101" t="s">
        <v>157</v>
      </c>
      <c r="W10" s="101" t="s">
        <v>158</v>
      </c>
      <c r="X10" s="101" t="s">
        <v>159</v>
      </c>
      <c r="Y10" s="64"/>
      <c r="Z10" s="64"/>
      <c r="AA10" s="64"/>
      <c r="AB10" s="64"/>
      <c r="AC10" s="64"/>
      <c r="AD10" s="64"/>
      <c r="AE10" s="64"/>
      <c r="AF10" s="64"/>
      <c r="AG10" s="64"/>
    </row>
    <row r="11">
      <c r="A11" s="85">
        <f t="shared" si="1"/>
        <v>2</v>
      </c>
      <c r="B11" s="102" t="s">
        <v>160</v>
      </c>
      <c r="C11" s="85" t="s">
        <v>67</v>
      </c>
      <c r="D11" s="88" t="s">
        <v>161</v>
      </c>
      <c r="E11" s="90" t="s">
        <v>162</v>
      </c>
      <c r="F11" s="90" t="s">
        <v>163</v>
      </c>
      <c r="G11" s="103" t="s">
        <v>164</v>
      </c>
      <c r="H11" s="92" t="s">
        <v>149</v>
      </c>
      <c r="I11" s="93" t="s">
        <v>165</v>
      </c>
      <c r="J11" s="104" t="s">
        <v>166</v>
      </c>
      <c r="K11" s="105" t="s">
        <v>167</v>
      </c>
      <c r="L11" s="95"/>
      <c r="M11" s="106" t="s">
        <v>168</v>
      </c>
      <c r="N11" s="107" t="s">
        <v>169</v>
      </c>
      <c r="O11" s="108" t="s">
        <v>170</v>
      </c>
      <c r="P11" s="108" t="s">
        <v>171</v>
      </c>
      <c r="Q11" s="108" t="s">
        <v>172</v>
      </c>
      <c r="R11" s="109" t="s">
        <v>173</v>
      </c>
      <c r="S11" s="99"/>
      <c r="T11" s="95" t="s">
        <v>174</v>
      </c>
      <c r="U11" s="100" t="s">
        <v>149</v>
      </c>
      <c r="V11" s="101" t="s">
        <v>157</v>
      </c>
      <c r="W11" s="101" t="s">
        <v>158</v>
      </c>
      <c r="X11" s="101" t="s">
        <v>159</v>
      </c>
      <c r="Y11" s="64"/>
      <c r="Z11" s="64"/>
      <c r="AA11" s="64"/>
      <c r="AB11" s="64"/>
      <c r="AC11" s="64"/>
      <c r="AD11" s="64"/>
      <c r="AE11" s="64"/>
      <c r="AF11" s="64"/>
      <c r="AG11" s="64"/>
    </row>
    <row r="12">
      <c r="A12" s="85">
        <f t="shared" si="1"/>
        <v>3</v>
      </c>
      <c r="B12" s="110" t="s">
        <v>175</v>
      </c>
      <c r="C12" s="87" t="s">
        <v>63</v>
      </c>
      <c r="D12" s="88" t="s">
        <v>176</v>
      </c>
      <c r="E12" s="89" t="s">
        <v>177</v>
      </c>
      <c r="F12" s="90" t="s">
        <v>124</v>
      </c>
      <c r="G12" s="103" t="s">
        <v>178</v>
      </c>
      <c r="H12" s="92" t="s">
        <v>149</v>
      </c>
      <c r="I12" s="93" t="s">
        <v>150</v>
      </c>
      <c r="J12" s="104" t="s">
        <v>179</v>
      </c>
      <c r="K12" s="111" t="s">
        <v>180</v>
      </c>
      <c r="L12" s="95"/>
      <c r="M12" s="96" t="s">
        <v>181</v>
      </c>
      <c r="N12" s="97" t="s">
        <v>154</v>
      </c>
      <c r="O12" s="98"/>
      <c r="P12" s="98"/>
      <c r="Q12" s="98"/>
      <c r="R12" s="98"/>
      <c r="S12" s="99"/>
      <c r="T12" s="95" t="s">
        <v>182</v>
      </c>
      <c r="U12" s="100" t="s">
        <v>149</v>
      </c>
      <c r="V12" s="101" t="s">
        <v>157</v>
      </c>
      <c r="W12" s="101" t="s">
        <v>158</v>
      </c>
      <c r="X12" s="101" t="s">
        <v>159</v>
      </c>
      <c r="Y12" s="64"/>
      <c r="Z12" s="64"/>
      <c r="AA12" s="64"/>
      <c r="AB12" s="64"/>
      <c r="AC12" s="64"/>
      <c r="AD12" s="64"/>
      <c r="AE12" s="64"/>
      <c r="AF12" s="64"/>
      <c r="AG12" s="64"/>
    </row>
    <row r="13">
      <c r="A13" s="85">
        <f t="shared" si="1"/>
        <v>4</v>
      </c>
      <c r="B13" s="110" t="s">
        <v>183</v>
      </c>
      <c r="C13" s="112" t="s">
        <v>67</v>
      </c>
      <c r="D13" s="88" t="s">
        <v>184</v>
      </c>
      <c r="E13" s="89" t="s">
        <v>185</v>
      </c>
      <c r="F13" s="113" t="s">
        <v>163</v>
      </c>
      <c r="G13" s="103" t="s">
        <v>186</v>
      </c>
      <c r="H13" s="92" t="s">
        <v>149</v>
      </c>
      <c r="I13" s="93" t="s">
        <v>187</v>
      </c>
      <c r="J13" s="104" t="s">
        <v>188</v>
      </c>
      <c r="K13" s="94" t="s">
        <v>152</v>
      </c>
      <c r="L13" s="95"/>
      <c r="M13" s="96" t="s">
        <v>189</v>
      </c>
      <c r="N13" s="97" t="s">
        <v>154</v>
      </c>
      <c r="O13" s="98"/>
      <c r="P13" s="98"/>
      <c r="Q13" s="98"/>
      <c r="R13" s="98"/>
      <c r="S13" s="99"/>
      <c r="T13" s="95" t="s">
        <v>190</v>
      </c>
      <c r="U13" s="100" t="s">
        <v>149</v>
      </c>
      <c r="V13" s="101" t="s">
        <v>157</v>
      </c>
      <c r="W13" s="101" t="s">
        <v>158</v>
      </c>
      <c r="X13" s="101" t="s">
        <v>159</v>
      </c>
      <c r="Y13" s="64"/>
      <c r="Z13" s="64"/>
      <c r="AA13" s="64"/>
      <c r="AB13" s="64"/>
      <c r="AC13" s="64"/>
      <c r="AD13" s="64"/>
      <c r="AE13" s="64"/>
      <c r="AF13" s="64"/>
      <c r="AG13" s="64"/>
    </row>
    <row r="14">
      <c r="A14" s="85">
        <f t="shared" si="1"/>
        <v>5</v>
      </c>
      <c r="B14" s="110" t="s">
        <v>191</v>
      </c>
      <c r="C14" s="87" t="s">
        <v>67</v>
      </c>
      <c r="D14" s="88" t="s">
        <v>192</v>
      </c>
      <c r="E14" s="89" t="s">
        <v>193</v>
      </c>
      <c r="F14" s="90" t="s">
        <v>194</v>
      </c>
      <c r="G14" s="103" t="s">
        <v>195</v>
      </c>
      <c r="H14" s="92" t="s">
        <v>149</v>
      </c>
      <c r="I14" s="93" t="s">
        <v>165</v>
      </c>
      <c r="J14" s="114"/>
      <c r="K14" s="104"/>
      <c r="L14" s="115"/>
      <c r="M14" s="87" t="s">
        <v>196</v>
      </c>
      <c r="N14" s="116" t="s">
        <v>197</v>
      </c>
      <c r="O14" s="117" t="s">
        <v>198</v>
      </c>
      <c r="P14" s="118" t="s">
        <v>199</v>
      </c>
      <c r="Q14" s="119" t="s">
        <v>200</v>
      </c>
      <c r="R14" s="120" t="s">
        <v>201</v>
      </c>
      <c r="S14" s="99"/>
      <c r="T14" s="95" t="s">
        <v>202</v>
      </c>
      <c r="U14" s="100" t="s">
        <v>149</v>
      </c>
      <c r="V14" s="101" t="s">
        <v>157</v>
      </c>
      <c r="W14" s="101" t="s">
        <v>158</v>
      </c>
      <c r="X14" s="101" t="s">
        <v>159</v>
      </c>
      <c r="Y14" s="64"/>
      <c r="Z14" s="64"/>
      <c r="AA14" s="64"/>
      <c r="AB14" s="64"/>
      <c r="AC14" s="64"/>
      <c r="AD14" s="64"/>
      <c r="AE14" s="64"/>
      <c r="AF14" s="64"/>
      <c r="AG14" s="64"/>
    </row>
    <row r="15">
      <c r="A15" s="85">
        <f t="shared" si="1"/>
        <v>6</v>
      </c>
      <c r="B15" s="121" t="s">
        <v>203</v>
      </c>
      <c r="C15" s="87" t="s">
        <v>81</v>
      </c>
      <c r="D15" s="88" t="s">
        <v>204</v>
      </c>
      <c r="E15" s="89" t="s">
        <v>146</v>
      </c>
      <c r="F15" s="89" t="s">
        <v>124</v>
      </c>
      <c r="G15" s="103" t="s">
        <v>205</v>
      </c>
      <c r="H15" s="92" t="s">
        <v>149</v>
      </c>
      <c r="I15" s="93" t="s">
        <v>165</v>
      </c>
      <c r="J15" s="114"/>
      <c r="K15" s="104"/>
      <c r="L15" s="115"/>
      <c r="M15" s="87" t="s">
        <v>196</v>
      </c>
      <c r="N15" s="116" t="s">
        <v>206</v>
      </c>
      <c r="O15" s="117" t="s">
        <v>207</v>
      </c>
      <c r="P15" s="118" t="s">
        <v>208</v>
      </c>
      <c r="Q15" s="119" t="s">
        <v>209</v>
      </c>
      <c r="R15" s="120" t="s">
        <v>210</v>
      </c>
      <c r="S15" s="99"/>
      <c r="T15" s="95" t="s">
        <v>211</v>
      </c>
      <c r="U15" s="100" t="s">
        <v>149</v>
      </c>
      <c r="V15" s="101" t="s">
        <v>157</v>
      </c>
      <c r="W15" s="101" t="s">
        <v>158</v>
      </c>
      <c r="X15" s="101" t="s">
        <v>159</v>
      </c>
      <c r="Y15" s="64"/>
      <c r="Z15" s="64"/>
      <c r="AA15" s="64"/>
      <c r="AB15" s="64"/>
      <c r="AC15" s="64"/>
      <c r="AD15" s="64"/>
      <c r="AE15" s="64"/>
      <c r="AF15" s="64"/>
      <c r="AG15" s="64"/>
    </row>
    <row r="16">
      <c r="A16" s="85">
        <f t="shared" si="1"/>
        <v>7</v>
      </c>
      <c r="B16" s="121" t="s">
        <v>212</v>
      </c>
      <c r="C16" s="87" t="s">
        <v>67</v>
      </c>
      <c r="D16" s="88" t="s">
        <v>213</v>
      </c>
      <c r="E16" s="89" t="s">
        <v>146</v>
      </c>
      <c r="F16" s="90" t="s">
        <v>147</v>
      </c>
      <c r="G16" s="103" t="s">
        <v>214</v>
      </c>
      <c r="H16" s="92" t="s">
        <v>149</v>
      </c>
      <c r="I16" s="93" t="s">
        <v>150</v>
      </c>
      <c r="J16" s="104" t="s">
        <v>215</v>
      </c>
      <c r="K16" s="105" t="s">
        <v>216</v>
      </c>
      <c r="L16" s="95"/>
      <c r="M16" s="96" t="s">
        <v>217</v>
      </c>
      <c r="N16" s="97" t="s">
        <v>154</v>
      </c>
      <c r="O16" s="98"/>
      <c r="P16" s="98"/>
      <c r="Q16" s="98"/>
      <c r="R16" s="98"/>
      <c r="S16" s="99"/>
      <c r="T16" s="95" t="s">
        <v>218</v>
      </c>
      <c r="U16" s="100" t="s">
        <v>149</v>
      </c>
      <c r="V16" s="101" t="s">
        <v>157</v>
      </c>
      <c r="W16" s="101" t="s">
        <v>158</v>
      </c>
      <c r="X16" s="101" t="s">
        <v>159</v>
      </c>
      <c r="Y16" s="64"/>
      <c r="Z16" s="64"/>
      <c r="AA16" s="64"/>
      <c r="AB16" s="64"/>
      <c r="AC16" s="64"/>
      <c r="AD16" s="64"/>
      <c r="AE16" s="64"/>
      <c r="AF16" s="64"/>
      <c r="AG16" s="64"/>
    </row>
    <row r="17">
      <c r="A17" s="85">
        <f t="shared" si="1"/>
        <v>8</v>
      </c>
      <c r="B17" s="121" t="s">
        <v>219</v>
      </c>
      <c r="C17" s="85" t="s">
        <v>63</v>
      </c>
      <c r="D17" s="88" t="s">
        <v>220</v>
      </c>
      <c r="E17" s="90" t="s">
        <v>221</v>
      </c>
      <c r="F17" s="90" t="s">
        <v>194</v>
      </c>
      <c r="G17" s="103" t="s">
        <v>222</v>
      </c>
      <c r="H17" s="92" t="s">
        <v>149</v>
      </c>
      <c r="I17" s="93" t="s">
        <v>165</v>
      </c>
      <c r="J17" s="114"/>
      <c r="K17" s="104"/>
      <c r="L17" s="115"/>
      <c r="M17" s="122" t="s">
        <v>181</v>
      </c>
      <c r="N17" s="123" t="s">
        <v>223</v>
      </c>
      <c r="O17" s="124" t="s">
        <v>224</v>
      </c>
      <c r="P17" s="108" t="s">
        <v>225</v>
      </c>
      <c r="Q17" s="119" t="s">
        <v>226</v>
      </c>
      <c r="R17" s="120" t="s">
        <v>227</v>
      </c>
      <c r="S17" s="99"/>
      <c r="T17" s="95" t="s">
        <v>228</v>
      </c>
      <c r="U17" s="100" t="s">
        <v>149</v>
      </c>
      <c r="V17" s="101" t="s">
        <v>157</v>
      </c>
      <c r="W17" s="101" t="s">
        <v>158</v>
      </c>
      <c r="X17" s="101" t="s">
        <v>159</v>
      </c>
      <c r="Y17" s="64"/>
      <c r="Z17" s="64"/>
      <c r="AA17" s="64"/>
      <c r="AB17" s="64"/>
      <c r="AC17" s="64"/>
      <c r="AD17" s="64"/>
      <c r="AE17" s="64"/>
      <c r="AF17" s="64"/>
      <c r="AG17" s="64"/>
    </row>
    <row r="18">
      <c r="A18" s="85">
        <f t="shared" si="1"/>
        <v>9</v>
      </c>
      <c r="B18" s="102" t="s">
        <v>229</v>
      </c>
      <c r="C18" s="85" t="s">
        <v>63</v>
      </c>
      <c r="D18" s="88" t="s">
        <v>230</v>
      </c>
      <c r="E18" s="90" t="s">
        <v>146</v>
      </c>
      <c r="F18" s="90" t="s">
        <v>147</v>
      </c>
      <c r="G18" s="103" t="s">
        <v>231</v>
      </c>
      <c r="H18" s="92" t="s">
        <v>149</v>
      </c>
      <c r="I18" s="93" t="s">
        <v>165</v>
      </c>
      <c r="J18" s="114"/>
      <c r="K18" s="104"/>
      <c r="L18" s="115"/>
      <c r="M18" s="122" t="s">
        <v>196</v>
      </c>
      <c r="N18" s="123" t="s">
        <v>232</v>
      </c>
      <c r="O18" s="124" t="s">
        <v>233</v>
      </c>
      <c r="P18" s="108" t="s">
        <v>234</v>
      </c>
      <c r="Q18" s="119" t="s">
        <v>235</v>
      </c>
      <c r="R18" s="120" t="s">
        <v>236</v>
      </c>
      <c r="S18" s="99"/>
      <c r="T18" s="95" t="s">
        <v>237</v>
      </c>
      <c r="U18" s="100" t="s">
        <v>149</v>
      </c>
      <c r="V18" s="101" t="s">
        <v>157</v>
      </c>
      <c r="W18" s="101" t="s">
        <v>158</v>
      </c>
      <c r="X18" s="101" t="s">
        <v>159</v>
      </c>
      <c r="Y18" s="64"/>
      <c r="Z18" s="64"/>
      <c r="AA18" s="64"/>
      <c r="AB18" s="64"/>
      <c r="AC18" s="64"/>
      <c r="AD18" s="64"/>
      <c r="AE18" s="64"/>
      <c r="AF18" s="64"/>
      <c r="AG18" s="64"/>
    </row>
    <row r="19">
      <c r="A19" s="85">
        <f t="shared" si="1"/>
        <v>10</v>
      </c>
      <c r="B19" s="121" t="s">
        <v>238</v>
      </c>
      <c r="C19" s="85" t="s">
        <v>67</v>
      </c>
      <c r="D19" s="88" t="s">
        <v>239</v>
      </c>
      <c r="E19" s="90" t="s">
        <v>240</v>
      </c>
      <c r="F19" s="90" t="s">
        <v>124</v>
      </c>
      <c r="G19" s="103" t="s">
        <v>241</v>
      </c>
      <c r="H19" s="92" t="s">
        <v>149</v>
      </c>
      <c r="I19" s="93" t="s">
        <v>150</v>
      </c>
      <c r="J19" s="104" t="s">
        <v>242</v>
      </c>
      <c r="K19" s="125" t="s">
        <v>243</v>
      </c>
      <c r="L19" s="95"/>
      <c r="M19" s="96" t="s">
        <v>244</v>
      </c>
      <c r="N19" s="97" t="s">
        <v>154</v>
      </c>
      <c r="O19" s="98"/>
      <c r="P19" s="98"/>
      <c r="Q19" s="98"/>
      <c r="R19" s="98"/>
      <c r="S19" s="99"/>
      <c r="T19" s="95" t="s">
        <v>245</v>
      </c>
      <c r="U19" s="100" t="s">
        <v>149</v>
      </c>
      <c r="V19" s="101" t="s">
        <v>157</v>
      </c>
      <c r="W19" s="101" t="s">
        <v>158</v>
      </c>
      <c r="X19" s="101" t="s">
        <v>159</v>
      </c>
      <c r="Y19" s="64"/>
      <c r="Z19" s="64"/>
      <c r="AA19" s="64"/>
      <c r="AB19" s="64"/>
      <c r="AC19" s="64"/>
      <c r="AD19" s="64"/>
      <c r="AE19" s="64"/>
      <c r="AF19" s="64"/>
      <c r="AG19" s="64"/>
    </row>
    <row r="20">
      <c r="A20" s="126">
        <f t="shared" si="1"/>
        <v>11</v>
      </c>
      <c r="B20" s="127" t="s">
        <v>246</v>
      </c>
      <c r="C20" s="126" t="s">
        <v>63</v>
      </c>
      <c r="D20" s="128" t="s">
        <v>247</v>
      </c>
      <c r="E20" s="129" t="s">
        <v>146</v>
      </c>
      <c r="F20" s="129" t="s">
        <v>248</v>
      </c>
      <c r="G20" s="130" t="s">
        <v>249</v>
      </c>
      <c r="H20" s="131" t="s">
        <v>149</v>
      </c>
      <c r="I20" s="93" t="s">
        <v>165</v>
      </c>
      <c r="J20" s="114"/>
      <c r="K20" s="104"/>
      <c r="L20" s="115"/>
      <c r="M20" s="122" t="s">
        <v>250</v>
      </c>
      <c r="N20" s="123" t="s">
        <v>251</v>
      </c>
      <c r="O20" s="124" t="s">
        <v>252</v>
      </c>
      <c r="P20" s="108" t="s">
        <v>253</v>
      </c>
      <c r="Q20" s="119" t="s">
        <v>254</v>
      </c>
      <c r="R20" s="120" t="s">
        <v>255</v>
      </c>
      <c r="S20" s="99"/>
      <c r="T20" s="95" t="s">
        <v>155</v>
      </c>
      <c r="U20" s="100" t="s">
        <v>156</v>
      </c>
      <c r="V20" s="101" t="s">
        <v>157</v>
      </c>
      <c r="W20" s="101" t="s">
        <v>158</v>
      </c>
      <c r="X20" s="101" t="s">
        <v>159</v>
      </c>
      <c r="Y20" s="64"/>
      <c r="Z20" s="64"/>
      <c r="AA20" s="64"/>
      <c r="AB20" s="64"/>
      <c r="AC20" s="64"/>
      <c r="AD20" s="64"/>
      <c r="AE20" s="64"/>
      <c r="AF20" s="64"/>
      <c r="AG20" s="64"/>
    </row>
    <row r="21">
      <c r="A21" s="126">
        <f t="shared" si="1"/>
        <v>12</v>
      </c>
      <c r="B21" s="127" t="s">
        <v>256</v>
      </c>
      <c r="C21" s="106" t="s">
        <v>257</v>
      </c>
      <c r="D21" s="128" t="s">
        <v>258</v>
      </c>
      <c r="E21" s="129" t="s">
        <v>146</v>
      </c>
      <c r="F21" s="129" t="s">
        <v>259</v>
      </c>
      <c r="G21" s="130" t="s">
        <v>260</v>
      </c>
      <c r="H21" s="131" t="s">
        <v>149</v>
      </c>
      <c r="I21" s="93" t="s">
        <v>165</v>
      </c>
      <c r="J21" s="114"/>
      <c r="K21" s="104"/>
      <c r="L21" s="115"/>
      <c r="M21" s="122" t="s">
        <v>257</v>
      </c>
      <c r="N21" s="123" t="s">
        <v>256</v>
      </c>
      <c r="O21" s="124" t="s">
        <v>261</v>
      </c>
      <c r="P21" s="108" t="s">
        <v>262</v>
      </c>
      <c r="Q21" s="119" t="s">
        <v>263</v>
      </c>
      <c r="R21" s="120" t="s">
        <v>258</v>
      </c>
      <c r="S21" s="99"/>
      <c r="T21" s="95" t="s">
        <v>174</v>
      </c>
      <c r="U21" s="100" t="s">
        <v>149</v>
      </c>
      <c r="V21" s="101" t="s">
        <v>157</v>
      </c>
      <c r="W21" s="101" t="s">
        <v>158</v>
      </c>
      <c r="X21" s="101" t="s">
        <v>159</v>
      </c>
      <c r="Y21" s="64"/>
      <c r="Z21" s="64"/>
      <c r="AA21" s="64"/>
      <c r="AB21" s="64"/>
      <c r="AC21" s="64"/>
      <c r="AD21" s="64"/>
      <c r="AE21" s="64"/>
      <c r="AF21" s="64"/>
      <c r="AG21" s="64"/>
    </row>
    <row r="22">
      <c r="A22" s="126">
        <f t="shared" si="1"/>
        <v>13</v>
      </c>
      <c r="B22" s="132" t="s">
        <v>264</v>
      </c>
      <c r="C22" s="126" t="s">
        <v>265</v>
      </c>
      <c r="D22" s="128" t="s">
        <v>266</v>
      </c>
      <c r="E22" s="129" t="s">
        <v>267</v>
      </c>
      <c r="F22" s="129" t="s">
        <v>124</v>
      </c>
      <c r="G22" s="130" t="s">
        <v>268</v>
      </c>
      <c r="H22" s="131" t="s">
        <v>149</v>
      </c>
      <c r="I22" s="93" t="s">
        <v>150</v>
      </c>
      <c r="J22" s="104" t="s">
        <v>269</v>
      </c>
      <c r="K22" s="105" t="s">
        <v>270</v>
      </c>
      <c r="L22" s="95"/>
      <c r="M22" s="96" t="s">
        <v>181</v>
      </c>
      <c r="N22" s="97" t="s">
        <v>154</v>
      </c>
      <c r="O22" s="98"/>
      <c r="P22" s="98"/>
      <c r="Q22" s="98"/>
      <c r="R22" s="98"/>
      <c r="S22" s="99"/>
      <c r="T22" s="95" t="s">
        <v>182</v>
      </c>
      <c r="U22" s="100" t="s">
        <v>149</v>
      </c>
      <c r="V22" s="101" t="s">
        <v>157</v>
      </c>
      <c r="W22" s="101" t="s">
        <v>158</v>
      </c>
      <c r="X22" s="101" t="s">
        <v>159</v>
      </c>
      <c r="Y22" s="64"/>
      <c r="Z22" s="64"/>
      <c r="AA22" s="64"/>
      <c r="AB22" s="64"/>
      <c r="AC22" s="64"/>
      <c r="AD22" s="64"/>
      <c r="AE22" s="64"/>
      <c r="AF22" s="64"/>
      <c r="AG22" s="64"/>
    </row>
    <row r="23">
      <c r="A23" s="126">
        <f t="shared" si="1"/>
        <v>14</v>
      </c>
      <c r="B23" s="133" t="s">
        <v>271</v>
      </c>
      <c r="C23" s="134" t="s">
        <v>63</v>
      </c>
      <c r="D23" s="128" t="s">
        <v>272</v>
      </c>
      <c r="E23" s="135" t="s">
        <v>146</v>
      </c>
      <c r="F23" s="129" t="s">
        <v>124</v>
      </c>
      <c r="G23" s="130" t="s">
        <v>273</v>
      </c>
      <c r="H23" s="131" t="s">
        <v>149</v>
      </c>
      <c r="I23" s="93" t="s">
        <v>165</v>
      </c>
      <c r="J23" s="114"/>
      <c r="K23" s="104"/>
      <c r="L23" s="115"/>
      <c r="M23" s="122" t="s">
        <v>274</v>
      </c>
      <c r="N23" s="123" t="s">
        <v>275</v>
      </c>
      <c r="O23" s="124" t="s">
        <v>276</v>
      </c>
      <c r="P23" s="108" t="s">
        <v>277</v>
      </c>
      <c r="Q23" s="119" t="s">
        <v>278</v>
      </c>
      <c r="R23" s="120" t="s">
        <v>279</v>
      </c>
      <c r="S23" s="99"/>
      <c r="T23" s="95" t="s">
        <v>190</v>
      </c>
      <c r="U23" s="100" t="s">
        <v>149</v>
      </c>
      <c r="V23" s="101" t="s">
        <v>157</v>
      </c>
      <c r="W23" s="101" t="s">
        <v>158</v>
      </c>
      <c r="X23" s="101" t="s">
        <v>159</v>
      </c>
      <c r="Y23" s="64"/>
      <c r="Z23" s="64"/>
      <c r="AA23" s="64"/>
      <c r="AB23" s="64"/>
      <c r="AC23" s="64"/>
      <c r="AD23" s="64"/>
      <c r="AE23" s="64"/>
      <c r="AF23" s="64"/>
      <c r="AG23" s="64"/>
    </row>
    <row r="24">
      <c r="A24" s="126">
        <f t="shared" si="1"/>
        <v>15</v>
      </c>
      <c r="B24" s="136" t="s">
        <v>280</v>
      </c>
      <c r="C24" s="134" t="s">
        <v>67</v>
      </c>
      <c r="D24" s="128" t="s">
        <v>281</v>
      </c>
      <c r="E24" s="129" t="s">
        <v>282</v>
      </c>
      <c r="F24" s="129" t="s">
        <v>124</v>
      </c>
      <c r="G24" s="130" t="s">
        <v>283</v>
      </c>
      <c r="H24" s="131" t="s">
        <v>149</v>
      </c>
      <c r="I24" s="93" t="s">
        <v>165</v>
      </c>
      <c r="J24" s="114"/>
      <c r="K24" s="104"/>
      <c r="L24" s="115"/>
      <c r="M24" s="122" t="s">
        <v>244</v>
      </c>
      <c r="N24" s="123" t="s">
        <v>284</v>
      </c>
      <c r="O24" s="124" t="s">
        <v>285</v>
      </c>
      <c r="P24" s="108" t="s">
        <v>286</v>
      </c>
      <c r="Q24" s="119" t="s">
        <v>287</v>
      </c>
      <c r="R24" s="120" t="s">
        <v>288</v>
      </c>
      <c r="S24" s="99"/>
      <c r="T24" s="95" t="s">
        <v>202</v>
      </c>
      <c r="U24" s="100" t="s">
        <v>149</v>
      </c>
      <c r="V24" s="101" t="s">
        <v>157</v>
      </c>
      <c r="W24" s="101" t="s">
        <v>158</v>
      </c>
      <c r="X24" s="101" t="s">
        <v>159</v>
      </c>
      <c r="Y24" s="64"/>
      <c r="Z24" s="64"/>
      <c r="AA24" s="64"/>
      <c r="AB24" s="64"/>
      <c r="AC24" s="64"/>
      <c r="AD24" s="64"/>
      <c r="AE24" s="64"/>
      <c r="AF24" s="64"/>
      <c r="AG24" s="64"/>
    </row>
    <row r="25">
      <c r="A25" s="126">
        <f t="shared" si="1"/>
        <v>16</v>
      </c>
      <c r="B25" s="137" t="s">
        <v>289</v>
      </c>
      <c r="C25" s="134" t="s">
        <v>67</v>
      </c>
      <c r="D25" s="128" t="s">
        <v>290</v>
      </c>
      <c r="E25" s="129" t="s">
        <v>146</v>
      </c>
      <c r="F25" s="129" t="s">
        <v>147</v>
      </c>
      <c r="G25" s="130" t="s">
        <v>291</v>
      </c>
      <c r="H25" s="131" t="s">
        <v>149</v>
      </c>
      <c r="I25" s="93" t="s">
        <v>292</v>
      </c>
      <c r="J25" s="104" t="s">
        <v>293</v>
      </c>
      <c r="K25" s="105" t="s">
        <v>294</v>
      </c>
      <c r="L25" s="95"/>
      <c r="M25" s="96" t="s">
        <v>168</v>
      </c>
      <c r="N25" s="97" t="s">
        <v>154</v>
      </c>
      <c r="O25" s="98"/>
      <c r="P25" s="98"/>
      <c r="Q25" s="98"/>
      <c r="R25" s="98"/>
      <c r="S25" s="99"/>
      <c r="T25" s="95" t="s">
        <v>211</v>
      </c>
      <c r="U25" s="100" t="s">
        <v>149</v>
      </c>
      <c r="V25" s="101" t="s">
        <v>157</v>
      </c>
      <c r="W25" s="101" t="s">
        <v>158</v>
      </c>
      <c r="X25" s="101" t="s">
        <v>159</v>
      </c>
      <c r="Y25" s="64"/>
      <c r="Z25" s="64"/>
      <c r="AA25" s="64"/>
      <c r="AB25" s="64"/>
      <c r="AC25" s="64"/>
      <c r="AD25" s="64"/>
      <c r="AE25" s="64"/>
      <c r="AF25" s="64"/>
      <c r="AG25" s="64"/>
    </row>
    <row r="26">
      <c r="A26" s="126">
        <f t="shared" si="1"/>
        <v>17</v>
      </c>
      <c r="B26" s="137" t="s">
        <v>295</v>
      </c>
      <c r="C26" s="134" t="s">
        <v>67</v>
      </c>
      <c r="D26" s="128" t="s">
        <v>296</v>
      </c>
      <c r="E26" s="135" t="s">
        <v>297</v>
      </c>
      <c r="F26" s="138" t="s">
        <v>124</v>
      </c>
      <c r="G26" s="130" t="s">
        <v>298</v>
      </c>
      <c r="H26" s="131" t="s">
        <v>149</v>
      </c>
      <c r="I26" s="93" t="s">
        <v>165</v>
      </c>
      <c r="J26" s="114"/>
      <c r="K26" s="104"/>
      <c r="L26" s="115"/>
      <c r="M26" s="122" t="s">
        <v>299</v>
      </c>
      <c r="N26" s="123" t="s">
        <v>300</v>
      </c>
      <c r="O26" s="124" t="s">
        <v>301</v>
      </c>
      <c r="P26" s="108" t="s">
        <v>302</v>
      </c>
      <c r="Q26" s="119" t="s">
        <v>303</v>
      </c>
      <c r="R26" s="120" t="s">
        <v>304</v>
      </c>
      <c r="S26" s="99"/>
      <c r="T26" s="95" t="s">
        <v>218</v>
      </c>
      <c r="U26" s="100" t="s">
        <v>149</v>
      </c>
      <c r="V26" s="101" t="s">
        <v>157</v>
      </c>
      <c r="W26" s="101" t="s">
        <v>158</v>
      </c>
      <c r="X26" s="101" t="s">
        <v>159</v>
      </c>
      <c r="Y26" s="64"/>
      <c r="Z26" s="64"/>
      <c r="AA26" s="64"/>
      <c r="AB26" s="64"/>
      <c r="AC26" s="64"/>
      <c r="AD26" s="64"/>
      <c r="AE26" s="64"/>
      <c r="AF26" s="64"/>
      <c r="AG26" s="64"/>
    </row>
    <row r="27">
      <c r="A27" s="126">
        <f t="shared" si="1"/>
        <v>18</v>
      </c>
      <c r="B27" s="133" t="s">
        <v>305</v>
      </c>
      <c r="C27" s="126" t="s">
        <v>67</v>
      </c>
      <c r="D27" s="128" t="s">
        <v>306</v>
      </c>
      <c r="E27" s="129" t="s">
        <v>146</v>
      </c>
      <c r="F27" s="129" t="s">
        <v>307</v>
      </c>
      <c r="G27" s="130" t="s">
        <v>308</v>
      </c>
      <c r="H27" s="131" t="s">
        <v>149</v>
      </c>
      <c r="I27" s="93" t="s">
        <v>150</v>
      </c>
      <c r="J27" s="104" t="s">
        <v>309</v>
      </c>
      <c r="K27" s="139" t="s">
        <v>152</v>
      </c>
      <c r="L27" s="95"/>
      <c r="M27" s="96" t="s">
        <v>310</v>
      </c>
      <c r="N27" s="97" t="s">
        <v>154</v>
      </c>
      <c r="O27" s="98"/>
      <c r="P27" s="98"/>
      <c r="Q27" s="98"/>
      <c r="R27" s="98"/>
      <c r="S27" s="99"/>
      <c r="T27" s="95" t="s">
        <v>228</v>
      </c>
      <c r="U27" s="100" t="s">
        <v>149</v>
      </c>
      <c r="V27" s="101" t="s">
        <v>157</v>
      </c>
      <c r="W27" s="101" t="s">
        <v>158</v>
      </c>
      <c r="X27" s="101" t="s">
        <v>159</v>
      </c>
      <c r="Y27" s="64"/>
      <c r="Z27" s="64"/>
      <c r="AA27" s="64"/>
      <c r="AB27" s="64"/>
      <c r="AC27" s="64"/>
      <c r="AD27" s="64"/>
      <c r="AE27" s="64"/>
      <c r="AF27" s="64"/>
      <c r="AG27" s="64"/>
    </row>
    <row r="28">
      <c r="A28" s="126">
        <f t="shared" si="1"/>
        <v>19</v>
      </c>
      <c r="B28" s="121" t="s">
        <v>311</v>
      </c>
      <c r="C28" s="126" t="s">
        <v>67</v>
      </c>
      <c r="D28" s="128" t="s">
        <v>312</v>
      </c>
      <c r="E28" s="129" t="s">
        <v>193</v>
      </c>
      <c r="F28" s="129" t="s">
        <v>124</v>
      </c>
      <c r="G28" s="130" t="s">
        <v>313</v>
      </c>
      <c r="H28" s="131" t="s">
        <v>149</v>
      </c>
      <c r="I28" s="93" t="s">
        <v>165</v>
      </c>
      <c r="J28" s="114"/>
      <c r="K28" s="104"/>
      <c r="L28" s="95"/>
      <c r="M28" s="106" t="s">
        <v>314</v>
      </c>
      <c r="N28" s="107" t="s">
        <v>315</v>
      </c>
      <c r="O28" s="108" t="s">
        <v>316</v>
      </c>
      <c r="P28" s="108" t="s">
        <v>317</v>
      </c>
      <c r="Q28" s="108" t="s">
        <v>318</v>
      </c>
      <c r="R28" s="120" t="s">
        <v>319</v>
      </c>
      <c r="S28" s="99"/>
      <c r="T28" s="95" t="s">
        <v>237</v>
      </c>
      <c r="U28" s="100" t="s">
        <v>149</v>
      </c>
      <c r="V28" s="101" t="s">
        <v>157</v>
      </c>
      <c r="W28" s="101" t="s">
        <v>158</v>
      </c>
      <c r="X28" s="101" t="s">
        <v>159</v>
      </c>
      <c r="Y28" s="64"/>
      <c r="Z28" s="64"/>
      <c r="AA28" s="64"/>
      <c r="AB28" s="64"/>
      <c r="AC28" s="64"/>
      <c r="AD28" s="64"/>
      <c r="AE28" s="64"/>
      <c r="AF28" s="64"/>
      <c r="AG28" s="64"/>
    </row>
    <row r="29">
      <c r="A29" s="126">
        <f t="shared" si="1"/>
        <v>20</v>
      </c>
      <c r="B29" s="102" t="s">
        <v>320</v>
      </c>
      <c r="C29" s="126" t="s">
        <v>67</v>
      </c>
      <c r="D29" s="128" t="s">
        <v>321</v>
      </c>
      <c r="E29" s="129" t="s">
        <v>146</v>
      </c>
      <c r="F29" s="129" t="s">
        <v>322</v>
      </c>
      <c r="G29" s="130" t="s">
        <v>323</v>
      </c>
      <c r="H29" s="131" t="s">
        <v>149</v>
      </c>
      <c r="I29" s="93" t="s">
        <v>150</v>
      </c>
      <c r="J29" s="104" t="s">
        <v>324</v>
      </c>
      <c r="K29" s="125" t="s">
        <v>325</v>
      </c>
      <c r="L29" s="95"/>
      <c r="M29" s="96" t="s">
        <v>244</v>
      </c>
      <c r="N29" s="97" t="s">
        <v>154</v>
      </c>
      <c r="O29" s="98"/>
      <c r="P29" s="98"/>
      <c r="Q29" s="98"/>
      <c r="R29" s="98"/>
      <c r="S29" s="99"/>
      <c r="T29" s="95" t="s">
        <v>245</v>
      </c>
      <c r="U29" s="100" t="s">
        <v>149</v>
      </c>
      <c r="V29" s="101" t="s">
        <v>157</v>
      </c>
      <c r="W29" s="101" t="s">
        <v>158</v>
      </c>
      <c r="X29" s="101" t="s">
        <v>159</v>
      </c>
      <c r="Y29" s="64"/>
      <c r="Z29" s="64"/>
      <c r="AA29" s="64"/>
      <c r="AB29" s="64"/>
      <c r="AC29" s="64"/>
      <c r="AD29" s="64"/>
      <c r="AE29" s="64"/>
      <c r="AF29" s="64"/>
      <c r="AG29" s="64"/>
    </row>
    <row r="30">
      <c r="A30" s="126">
        <f t="shared" si="1"/>
        <v>21</v>
      </c>
      <c r="B30" s="137" t="s">
        <v>326</v>
      </c>
      <c r="C30" s="126" t="s">
        <v>81</v>
      </c>
      <c r="D30" s="128" t="s">
        <v>327</v>
      </c>
      <c r="E30" s="140" t="s">
        <v>328</v>
      </c>
      <c r="F30" s="129" t="s">
        <v>322</v>
      </c>
      <c r="G30" s="130" t="s">
        <v>329</v>
      </c>
      <c r="H30" s="131" t="s">
        <v>149</v>
      </c>
      <c r="I30" s="93" t="s">
        <v>165</v>
      </c>
      <c r="J30" s="114"/>
      <c r="K30" s="104"/>
      <c r="L30" s="95"/>
      <c r="M30" s="106" t="s">
        <v>330</v>
      </c>
      <c r="N30" s="107" t="s">
        <v>331</v>
      </c>
      <c r="O30" s="108" t="s">
        <v>332</v>
      </c>
      <c r="P30" s="108" t="s">
        <v>333</v>
      </c>
      <c r="Q30" s="108" t="s">
        <v>334</v>
      </c>
      <c r="R30" s="120" t="s">
        <v>335</v>
      </c>
      <c r="S30" s="99"/>
      <c r="T30" s="95" t="s">
        <v>155</v>
      </c>
      <c r="U30" s="100" t="s">
        <v>156</v>
      </c>
      <c r="V30" s="101" t="s">
        <v>157</v>
      </c>
      <c r="W30" s="101" t="s">
        <v>158</v>
      </c>
      <c r="X30" s="101" t="s">
        <v>159</v>
      </c>
      <c r="Y30" s="64"/>
      <c r="Z30" s="64"/>
      <c r="AA30" s="64"/>
      <c r="AB30" s="64"/>
      <c r="AC30" s="64"/>
      <c r="AD30" s="64"/>
      <c r="AE30" s="64"/>
      <c r="AF30" s="64"/>
      <c r="AG30" s="64"/>
    </row>
    <row r="31">
      <c r="A31" s="126">
        <f t="shared" si="1"/>
        <v>22</v>
      </c>
      <c r="B31" s="141" t="s">
        <v>336</v>
      </c>
      <c r="C31" s="126" t="s">
        <v>63</v>
      </c>
      <c r="D31" s="128" t="s">
        <v>337</v>
      </c>
      <c r="E31" s="135" t="s">
        <v>267</v>
      </c>
      <c r="F31" s="129" t="s">
        <v>124</v>
      </c>
      <c r="G31" s="130" t="s">
        <v>338</v>
      </c>
      <c r="H31" s="131" t="s">
        <v>149</v>
      </c>
      <c r="I31" s="93" t="s">
        <v>165</v>
      </c>
      <c r="J31" s="114"/>
      <c r="K31" s="104"/>
      <c r="L31" s="95"/>
      <c r="M31" s="142" t="s">
        <v>339</v>
      </c>
      <c r="N31" s="107" t="s">
        <v>340</v>
      </c>
      <c r="O31" s="108" t="s">
        <v>341</v>
      </c>
      <c r="P31" s="108" t="s">
        <v>342</v>
      </c>
      <c r="Q31" s="108" t="s">
        <v>343</v>
      </c>
      <c r="R31" s="120" t="s">
        <v>344</v>
      </c>
      <c r="S31" s="99"/>
      <c r="T31" s="95" t="s">
        <v>174</v>
      </c>
      <c r="U31" s="100" t="s">
        <v>149</v>
      </c>
      <c r="V31" s="101" t="s">
        <v>157</v>
      </c>
      <c r="W31" s="101" t="s">
        <v>158</v>
      </c>
      <c r="X31" s="101" t="s">
        <v>159</v>
      </c>
      <c r="Y31" s="64"/>
      <c r="Z31" s="64"/>
      <c r="AA31" s="64"/>
      <c r="AB31" s="64"/>
      <c r="AC31" s="64"/>
      <c r="AD31" s="64"/>
      <c r="AE31" s="64"/>
      <c r="AF31" s="64"/>
      <c r="AG31" s="64"/>
    </row>
    <row r="32">
      <c r="A32" s="126">
        <f t="shared" si="1"/>
        <v>23</v>
      </c>
      <c r="B32" s="136" t="s">
        <v>345</v>
      </c>
      <c r="C32" s="126" t="s">
        <v>63</v>
      </c>
      <c r="D32" s="128" t="s">
        <v>346</v>
      </c>
      <c r="E32" s="143" t="s">
        <v>162</v>
      </c>
      <c r="F32" s="129" t="s">
        <v>322</v>
      </c>
      <c r="G32" s="130" t="s">
        <v>347</v>
      </c>
      <c r="H32" s="131" t="s">
        <v>149</v>
      </c>
      <c r="I32" s="93" t="s">
        <v>150</v>
      </c>
      <c r="J32" s="104" t="s">
        <v>269</v>
      </c>
      <c r="K32" s="105" t="s">
        <v>348</v>
      </c>
      <c r="L32" s="95"/>
      <c r="M32" s="96" t="s">
        <v>181</v>
      </c>
      <c r="N32" s="97" t="s">
        <v>154</v>
      </c>
      <c r="O32" s="98"/>
      <c r="P32" s="98"/>
      <c r="Q32" s="98"/>
      <c r="R32" s="98"/>
      <c r="S32" s="99"/>
      <c r="T32" s="95" t="s">
        <v>182</v>
      </c>
      <c r="U32" s="100" t="s">
        <v>149</v>
      </c>
      <c r="V32" s="101" t="s">
        <v>157</v>
      </c>
      <c r="W32" s="101" t="s">
        <v>158</v>
      </c>
      <c r="X32" s="101" t="s">
        <v>159</v>
      </c>
      <c r="Y32" s="64"/>
      <c r="Z32" s="64"/>
      <c r="AA32" s="64"/>
      <c r="AB32" s="64"/>
      <c r="AC32" s="64"/>
      <c r="AD32" s="64"/>
      <c r="AE32" s="64"/>
      <c r="AF32" s="64"/>
      <c r="AG32" s="64"/>
    </row>
    <row r="33">
      <c r="A33" s="126">
        <f t="shared" si="1"/>
        <v>24</v>
      </c>
      <c r="B33" s="136" t="s">
        <v>349</v>
      </c>
      <c r="C33" s="126" t="s">
        <v>63</v>
      </c>
      <c r="D33" s="128" t="s">
        <v>350</v>
      </c>
      <c r="E33" s="129" t="s">
        <v>351</v>
      </c>
      <c r="F33" s="129" t="s">
        <v>322</v>
      </c>
      <c r="G33" s="130" t="s">
        <v>352</v>
      </c>
      <c r="H33" s="131" t="s">
        <v>149</v>
      </c>
      <c r="I33" s="93" t="s">
        <v>150</v>
      </c>
      <c r="J33" s="104" t="s">
        <v>269</v>
      </c>
      <c r="K33" s="105" t="s">
        <v>353</v>
      </c>
      <c r="L33" s="95"/>
      <c r="M33" s="96" t="s">
        <v>189</v>
      </c>
      <c r="N33" s="97" t="s">
        <v>154</v>
      </c>
      <c r="O33" s="98"/>
      <c r="P33" s="98"/>
      <c r="Q33" s="98"/>
      <c r="R33" s="98"/>
      <c r="S33" s="99"/>
      <c r="T33" s="95" t="s">
        <v>190</v>
      </c>
      <c r="U33" s="100" t="s">
        <v>149</v>
      </c>
      <c r="V33" s="101" t="s">
        <v>157</v>
      </c>
      <c r="W33" s="101" t="s">
        <v>158</v>
      </c>
      <c r="X33" s="101" t="s">
        <v>159</v>
      </c>
      <c r="Y33" s="64"/>
      <c r="Z33" s="64"/>
      <c r="AA33" s="64"/>
      <c r="AB33" s="64"/>
      <c r="AC33" s="64"/>
      <c r="AD33" s="64"/>
      <c r="AE33" s="64"/>
      <c r="AF33" s="64"/>
      <c r="AG33" s="64"/>
    </row>
    <row r="34">
      <c r="A34" s="126">
        <f t="shared" si="1"/>
        <v>25</v>
      </c>
      <c r="B34" s="136" t="s">
        <v>354</v>
      </c>
      <c r="C34" s="126" t="s">
        <v>63</v>
      </c>
      <c r="D34" s="128" t="s">
        <v>355</v>
      </c>
      <c r="E34" s="129" t="s">
        <v>356</v>
      </c>
      <c r="F34" s="129" t="s">
        <v>322</v>
      </c>
      <c r="G34" s="130" t="s">
        <v>357</v>
      </c>
      <c r="H34" s="131" t="s">
        <v>149</v>
      </c>
      <c r="I34" s="93" t="s">
        <v>165</v>
      </c>
      <c r="J34" s="114"/>
      <c r="K34" s="104"/>
      <c r="L34" s="95"/>
      <c r="M34" s="106" t="s">
        <v>153</v>
      </c>
      <c r="N34" s="107" t="s">
        <v>358</v>
      </c>
      <c r="O34" s="108" t="s">
        <v>359</v>
      </c>
      <c r="P34" s="108" t="s">
        <v>360</v>
      </c>
      <c r="Q34" s="108" t="s">
        <v>361</v>
      </c>
      <c r="R34" s="120" t="s">
        <v>362</v>
      </c>
      <c r="S34" s="99"/>
      <c r="T34" s="95" t="s">
        <v>202</v>
      </c>
      <c r="U34" s="100" t="s">
        <v>149</v>
      </c>
      <c r="V34" s="101" t="s">
        <v>157</v>
      </c>
      <c r="W34" s="101" t="s">
        <v>158</v>
      </c>
      <c r="X34" s="101" t="s">
        <v>159</v>
      </c>
      <c r="Y34" s="64"/>
      <c r="Z34" s="64"/>
      <c r="AA34" s="64"/>
      <c r="AB34" s="64"/>
      <c r="AC34" s="64"/>
      <c r="AD34" s="64"/>
      <c r="AE34" s="64"/>
      <c r="AF34" s="64"/>
      <c r="AG34" s="64"/>
    </row>
    <row r="35">
      <c r="A35" s="126">
        <f t="shared" si="1"/>
        <v>26</v>
      </c>
      <c r="B35" s="136" t="s">
        <v>363</v>
      </c>
      <c r="C35" s="126" t="s">
        <v>63</v>
      </c>
      <c r="D35" s="128" t="s">
        <v>364</v>
      </c>
      <c r="E35" s="129" t="s">
        <v>365</v>
      </c>
      <c r="F35" s="129" t="s">
        <v>124</v>
      </c>
      <c r="G35" s="130" t="s">
        <v>366</v>
      </c>
      <c r="H35" s="131" t="s">
        <v>149</v>
      </c>
      <c r="I35" s="93" t="s">
        <v>165</v>
      </c>
      <c r="J35" s="114"/>
      <c r="K35" s="104"/>
      <c r="L35" s="95"/>
      <c r="M35" s="106" t="s">
        <v>367</v>
      </c>
      <c r="N35" s="107" t="s">
        <v>368</v>
      </c>
      <c r="O35" s="108" t="s">
        <v>369</v>
      </c>
      <c r="P35" s="108" t="s">
        <v>370</v>
      </c>
      <c r="Q35" s="108" t="s">
        <v>371</v>
      </c>
      <c r="R35" s="120" t="s">
        <v>372</v>
      </c>
      <c r="S35" s="99"/>
      <c r="T35" s="95" t="s">
        <v>211</v>
      </c>
      <c r="U35" s="100" t="s">
        <v>149</v>
      </c>
      <c r="V35" s="101" t="s">
        <v>157</v>
      </c>
      <c r="W35" s="101" t="s">
        <v>158</v>
      </c>
      <c r="X35" s="101" t="s">
        <v>159</v>
      </c>
      <c r="Y35" s="64"/>
      <c r="Z35" s="64"/>
      <c r="AA35" s="64"/>
      <c r="AB35" s="64"/>
      <c r="AC35" s="64"/>
      <c r="AD35" s="64"/>
      <c r="AE35" s="64"/>
      <c r="AF35" s="64"/>
      <c r="AG35" s="64"/>
    </row>
    <row r="36">
      <c r="A36" s="126">
        <f t="shared" si="1"/>
        <v>27</v>
      </c>
      <c r="B36" s="136" t="s">
        <v>373</v>
      </c>
      <c r="C36" s="126" t="s">
        <v>63</v>
      </c>
      <c r="D36" s="128" t="s">
        <v>374</v>
      </c>
      <c r="E36" s="129" t="s">
        <v>375</v>
      </c>
      <c r="F36" s="129" t="s">
        <v>376</v>
      </c>
      <c r="G36" s="130" t="s">
        <v>377</v>
      </c>
      <c r="H36" s="131" t="s">
        <v>149</v>
      </c>
      <c r="I36" s="93" t="s">
        <v>150</v>
      </c>
      <c r="J36" s="104" t="s">
        <v>378</v>
      </c>
      <c r="K36" s="105" t="s">
        <v>379</v>
      </c>
      <c r="L36" s="95"/>
      <c r="M36" s="96" t="s">
        <v>217</v>
      </c>
      <c r="N36" s="97" t="s">
        <v>154</v>
      </c>
      <c r="O36" s="98"/>
      <c r="P36" s="98"/>
      <c r="Q36" s="98"/>
      <c r="R36" s="98"/>
      <c r="S36" s="99"/>
      <c r="T36" s="95" t="s">
        <v>218</v>
      </c>
      <c r="U36" s="100" t="s">
        <v>149</v>
      </c>
      <c r="V36" s="101" t="s">
        <v>157</v>
      </c>
      <c r="W36" s="101" t="s">
        <v>158</v>
      </c>
      <c r="X36" s="101" t="s">
        <v>159</v>
      </c>
      <c r="Y36" s="64"/>
      <c r="Z36" s="64"/>
      <c r="AA36" s="64"/>
      <c r="AB36" s="64"/>
      <c r="AC36" s="64"/>
      <c r="AD36" s="64"/>
      <c r="AE36" s="64"/>
      <c r="AF36" s="64"/>
      <c r="AG36" s="64"/>
    </row>
    <row r="37">
      <c r="A37" s="126">
        <f t="shared" si="1"/>
        <v>28</v>
      </c>
      <c r="B37" s="136" t="s">
        <v>380</v>
      </c>
      <c r="C37" s="126" t="s">
        <v>63</v>
      </c>
      <c r="D37" s="128" t="s">
        <v>381</v>
      </c>
      <c r="E37" s="129" t="s">
        <v>382</v>
      </c>
      <c r="F37" s="129" t="s">
        <v>322</v>
      </c>
      <c r="G37" s="130" t="s">
        <v>383</v>
      </c>
      <c r="H37" s="131" t="s">
        <v>149</v>
      </c>
      <c r="I37" s="93" t="s">
        <v>165</v>
      </c>
      <c r="J37" s="104"/>
      <c r="K37" s="104"/>
      <c r="L37" s="95"/>
      <c r="M37" s="106" t="s">
        <v>384</v>
      </c>
      <c r="N37" s="107" t="s">
        <v>385</v>
      </c>
      <c r="O37" s="108" t="s">
        <v>386</v>
      </c>
      <c r="P37" s="108" t="s">
        <v>387</v>
      </c>
      <c r="Q37" s="108" t="s">
        <v>388</v>
      </c>
      <c r="R37" s="120" t="s">
        <v>389</v>
      </c>
      <c r="S37" s="99"/>
      <c r="T37" s="95" t="s">
        <v>228</v>
      </c>
      <c r="U37" s="100" t="s">
        <v>149</v>
      </c>
      <c r="V37" s="101" t="s">
        <v>157</v>
      </c>
      <c r="W37" s="101" t="s">
        <v>158</v>
      </c>
      <c r="X37" s="101" t="s">
        <v>159</v>
      </c>
      <c r="Y37" s="64"/>
      <c r="Z37" s="64"/>
      <c r="AA37" s="64"/>
      <c r="AB37" s="64"/>
      <c r="AC37" s="64"/>
      <c r="AD37" s="64"/>
      <c r="AE37" s="64"/>
      <c r="AF37" s="64"/>
      <c r="AG37" s="64"/>
    </row>
    <row r="38">
      <c r="A38" s="126">
        <f>IF(ISBLANK(#REF!),"",COUNTA($B$9:B37))</f>
        <v>29</v>
      </c>
      <c r="B38" s="136" t="s">
        <v>390</v>
      </c>
      <c r="C38" s="126" t="s">
        <v>63</v>
      </c>
      <c r="D38" s="128" t="s">
        <v>391</v>
      </c>
      <c r="E38" s="129" t="s">
        <v>351</v>
      </c>
      <c r="F38" s="129" t="s">
        <v>322</v>
      </c>
      <c r="G38" s="130" t="s">
        <v>392</v>
      </c>
      <c r="H38" s="131" t="s">
        <v>149</v>
      </c>
      <c r="I38" s="93" t="s">
        <v>165</v>
      </c>
      <c r="J38" s="104"/>
      <c r="K38" s="104"/>
      <c r="L38" s="95"/>
      <c r="M38" s="106" t="s">
        <v>168</v>
      </c>
      <c r="N38" s="107" t="s">
        <v>393</v>
      </c>
      <c r="O38" s="108" t="s">
        <v>394</v>
      </c>
      <c r="P38" s="108" t="s">
        <v>395</v>
      </c>
      <c r="Q38" s="108" t="s">
        <v>396</v>
      </c>
      <c r="R38" s="120" t="s">
        <v>397</v>
      </c>
      <c r="S38" s="99"/>
      <c r="T38" s="95" t="s">
        <v>237</v>
      </c>
      <c r="U38" s="100" t="s">
        <v>149</v>
      </c>
      <c r="V38" s="101" t="s">
        <v>157</v>
      </c>
      <c r="W38" s="101" t="s">
        <v>158</v>
      </c>
      <c r="X38" s="101" t="s">
        <v>159</v>
      </c>
      <c r="Y38" s="64"/>
      <c r="Z38" s="64"/>
      <c r="AA38" s="64"/>
      <c r="AB38" s="64"/>
      <c r="AC38" s="64"/>
      <c r="AD38" s="64"/>
      <c r="AE38" s="64"/>
      <c r="AF38" s="64"/>
      <c r="AG38" s="64"/>
    </row>
    <row r="39">
      <c r="A39" s="126">
        <v>31.0</v>
      </c>
      <c r="B39" s="136" t="s">
        <v>398</v>
      </c>
      <c r="C39" s="126" t="s">
        <v>63</v>
      </c>
      <c r="D39" s="128" t="s">
        <v>399</v>
      </c>
      <c r="E39" s="129" t="s">
        <v>400</v>
      </c>
      <c r="F39" s="129" t="s">
        <v>124</v>
      </c>
      <c r="G39" s="144" t="s">
        <v>401</v>
      </c>
      <c r="H39" s="131" t="s">
        <v>149</v>
      </c>
      <c r="I39" s="93" t="s">
        <v>150</v>
      </c>
      <c r="J39" s="104" t="s">
        <v>402</v>
      </c>
      <c r="K39" s="105" t="s">
        <v>403</v>
      </c>
      <c r="L39" s="95"/>
      <c r="M39" s="96" t="s">
        <v>244</v>
      </c>
      <c r="N39" s="97" t="s">
        <v>154</v>
      </c>
      <c r="O39" s="98"/>
      <c r="P39" s="98"/>
      <c r="Q39" s="98"/>
      <c r="R39" s="98"/>
      <c r="S39" s="99"/>
      <c r="T39" s="95" t="s">
        <v>245</v>
      </c>
      <c r="U39" s="100" t="s">
        <v>149</v>
      </c>
      <c r="V39" s="101" t="s">
        <v>157</v>
      </c>
      <c r="W39" s="101" t="s">
        <v>158</v>
      </c>
      <c r="X39" s="101" t="s">
        <v>159</v>
      </c>
      <c r="Y39" s="64"/>
      <c r="Z39" s="64"/>
      <c r="AA39" s="64"/>
      <c r="AB39" s="64"/>
      <c r="AC39" s="64"/>
      <c r="AD39" s="64"/>
      <c r="AE39" s="64"/>
      <c r="AF39" s="64"/>
      <c r="AG39" s="64"/>
    </row>
    <row r="40">
      <c r="A40" s="126">
        <v>32.0</v>
      </c>
      <c r="B40" s="136" t="s">
        <v>404</v>
      </c>
      <c r="C40" s="126" t="s">
        <v>63</v>
      </c>
      <c r="D40" s="128" t="s">
        <v>405</v>
      </c>
      <c r="E40" s="135" t="s">
        <v>375</v>
      </c>
      <c r="F40" s="129" t="s">
        <v>322</v>
      </c>
      <c r="G40" s="130" t="s">
        <v>406</v>
      </c>
      <c r="H40" s="131" t="s">
        <v>149</v>
      </c>
      <c r="I40" s="93" t="s">
        <v>150</v>
      </c>
      <c r="J40" s="104" t="s">
        <v>407</v>
      </c>
      <c r="K40" s="145" t="s">
        <v>408</v>
      </c>
      <c r="L40" s="95"/>
      <c r="M40" s="96" t="s">
        <v>153</v>
      </c>
      <c r="N40" s="97" t="s">
        <v>154</v>
      </c>
      <c r="O40" s="98"/>
      <c r="P40" s="98"/>
      <c r="Q40" s="98"/>
      <c r="R40" s="98"/>
      <c r="S40" s="99"/>
      <c r="T40" s="95" t="s">
        <v>155</v>
      </c>
      <c r="U40" s="100" t="s">
        <v>156</v>
      </c>
      <c r="V40" s="101" t="s">
        <v>157</v>
      </c>
      <c r="W40" s="101" t="s">
        <v>158</v>
      </c>
      <c r="X40" s="101" t="s">
        <v>159</v>
      </c>
      <c r="Y40" s="64"/>
      <c r="Z40" s="64"/>
      <c r="AA40" s="64"/>
      <c r="AB40" s="64"/>
      <c r="AC40" s="64"/>
      <c r="AD40" s="64"/>
      <c r="AE40" s="64"/>
      <c r="AF40" s="64"/>
      <c r="AG40" s="64"/>
    </row>
    <row r="41">
      <c r="A41" s="126">
        <f t="shared" ref="A41:A57" si="2">IF(ISBLANK(B41),"",COUNTA($B$9:B40))</f>
        <v>32</v>
      </c>
      <c r="B41" s="136" t="s">
        <v>409</v>
      </c>
      <c r="C41" s="126" t="s">
        <v>63</v>
      </c>
      <c r="D41" s="128" t="s">
        <v>410</v>
      </c>
      <c r="E41" s="129" t="s">
        <v>411</v>
      </c>
      <c r="F41" s="129" t="s">
        <v>248</v>
      </c>
      <c r="G41" s="130" t="s">
        <v>412</v>
      </c>
      <c r="H41" s="131" t="s">
        <v>149</v>
      </c>
      <c r="I41" s="93" t="s">
        <v>165</v>
      </c>
      <c r="J41" s="114"/>
      <c r="K41" s="104"/>
      <c r="L41" s="95"/>
      <c r="M41" s="106" t="s">
        <v>196</v>
      </c>
      <c r="N41" s="107" t="s">
        <v>413</v>
      </c>
      <c r="O41" s="108" t="s">
        <v>414</v>
      </c>
      <c r="P41" s="108" t="s">
        <v>415</v>
      </c>
      <c r="Q41" s="146" t="s">
        <v>416</v>
      </c>
      <c r="R41" s="120" t="s">
        <v>417</v>
      </c>
      <c r="S41" s="99"/>
      <c r="T41" s="95" t="s">
        <v>174</v>
      </c>
      <c r="U41" s="100" t="s">
        <v>149</v>
      </c>
      <c r="V41" s="101" t="s">
        <v>157</v>
      </c>
      <c r="W41" s="101" t="s">
        <v>158</v>
      </c>
      <c r="X41" s="101" t="s">
        <v>159</v>
      </c>
      <c r="Y41" s="64"/>
      <c r="Z41" s="64"/>
      <c r="AA41" s="64"/>
      <c r="AB41" s="64"/>
      <c r="AC41" s="64"/>
      <c r="AD41" s="64"/>
      <c r="AE41" s="64"/>
      <c r="AF41" s="64"/>
      <c r="AG41" s="64"/>
    </row>
    <row r="42">
      <c r="A42" s="126">
        <f t="shared" si="2"/>
        <v>33</v>
      </c>
      <c r="B42" s="136" t="s">
        <v>418</v>
      </c>
      <c r="C42" s="126" t="s">
        <v>63</v>
      </c>
      <c r="D42" s="128" t="s">
        <v>419</v>
      </c>
      <c r="E42" s="129" t="s">
        <v>282</v>
      </c>
      <c r="F42" s="129" t="s">
        <v>420</v>
      </c>
      <c r="G42" s="130" t="s">
        <v>421</v>
      </c>
      <c r="H42" s="131" t="s">
        <v>149</v>
      </c>
      <c r="I42" s="93" t="s">
        <v>165</v>
      </c>
      <c r="J42" s="114"/>
      <c r="K42" s="104"/>
      <c r="L42" s="95"/>
      <c r="M42" s="106" t="s">
        <v>196</v>
      </c>
      <c r="N42" s="107" t="s">
        <v>422</v>
      </c>
      <c r="O42" s="108" t="s">
        <v>423</v>
      </c>
      <c r="P42" s="108" t="s">
        <v>424</v>
      </c>
      <c r="Q42" s="108" t="s">
        <v>425</v>
      </c>
      <c r="R42" s="120" t="s">
        <v>426</v>
      </c>
      <c r="S42" s="99"/>
      <c r="T42" s="95" t="s">
        <v>182</v>
      </c>
      <c r="U42" s="100" t="s">
        <v>149</v>
      </c>
      <c r="V42" s="101" t="s">
        <v>157</v>
      </c>
      <c r="W42" s="101" t="s">
        <v>158</v>
      </c>
      <c r="X42" s="101" t="s">
        <v>159</v>
      </c>
      <c r="Y42" s="64"/>
      <c r="Z42" s="64"/>
      <c r="AA42" s="64"/>
      <c r="AB42" s="64"/>
      <c r="AC42" s="64"/>
      <c r="AD42" s="64"/>
      <c r="AE42" s="64"/>
      <c r="AF42" s="64"/>
      <c r="AG42" s="64"/>
    </row>
    <row r="43">
      <c r="A43" s="126">
        <f t="shared" si="2"/>
        <v>34</v>
      </c>
      <c r="B43" s="136" t="s">
        <v>427</v>
      </c>
      <c r="C43" s="126" t="s">
        <v>63</v>
      </c>
      <c r="D43" s="128" t="s">
        <v>428</v>
      </c>
      <c r="E43" s="129" t="s">
        <v>382</v>
      </c>
      <c r="F43" s="129" t="s">
        <v>322</v>
      </c>
      <c r="G43" s="130" t="s">
        <v>429</v>
      </c>
      <c r="H43" s="131" t="s">
        <v>149</v>
      </c>
      <c r="I43" s="93" t="s">
        <v>165</v>
      </c>
      <c r="J43" s="114"/>
      <c r="K43" s="104"/>
      <c r="L43" s="95"/>
      <c r="M43" s="142" t="s">
        <v>430</v>
      </c>
      <c r="N43" s="107" t="s">
        <v>431</v>
      </c>
      <c r="O43" s="108" t="s">
        <v>432</v>
      </c>
      <c r="P43" s="108" t="s">
        <v>433</v>
      </c>
      <c r="Q43" s="108" t="s">
        <v>434</v>
      </c>
      <c r="R43" s="120" t="s">
        <v>435</v>
      </c>
      <c r="S43" s="99"/>
      <c r="T43" s="95" t="s">
        <v>190</v>
      </c>
      <c r="U43" s="100" t="s">
        <v>149</v>
      </c>
      <c r="V43" s="101" t="s">
        <v>157</v>
      </c>
      <c r="W43" s="101" t="s">
        <v>158</v>
      </c>
      <c r="X43" s="101" t="s">
        <v>159</v>
      </c>
      <c r="Y43" s="64"/>
      <c r="Z43" s="64"/>
      <c r="AA43" s="64"/>
      <c r="AB43" s="64"/>
      <c r="AC43" s="64"/>
      <c r="AD43" s="64"/>
      <c r="AE43" s="64"/>
      <c r="AF43" s="64"/>
      <c r="AG43" s="64"/>
    </row>
    <row r="44">
      <c r="A44" s="126">
        <f t="shared" si="2"/>
        <v>35</v>
      </c>
      <c r="B44" s="136" t="s">
        <v>436</v>
      </c>
      <c r="C44" s="126" t="s">
        <v>63</v>
      </c>
      <c r="D44" s="128" t="s">
        <v>437</v>
      </c>
      <c r="E44" s="129" t="s">
        <v>282</v>
      </c>
      <c r="F44" s="129" t="s">
        <v>322</v>
      </c>
      <c r="G44" s="130" t="s">
        <v>438</v>
      </c>
      <c r="H44" s="131" t="s">
        <v>149</v>
      </c>
      <c r="I44" s="93" t="s">
        <v>165</v>
      </c>
      <c r="J44" s="114"/>
      <c r="K44" s="104"/>
      <c r="L44" s="95"/>
      <c r="M44" s="106" t="s">
        <v>439</v>
      </c>
      <c r="N44" s="107" t="s">
        <v>440</v>
      </c>
      <c r="O44" s="108" t="s">
        <v>441</v>
      </c>
      <c r="P44" s="108" t="s">
        <v>442</v>
      </c>
      <c r="Q44" s="108" t="s">
        <v>443</v>
      </c>
      <c r="R44" s="120" t="s">
        <v>444</v>
      </c>
      <c r="S44" s="99"/>
      <c r="T44" s="95" t="s">
        <v>202</v>
      </c>
      <c r="U44" s="100" t="s">
        <v>149</v>
      </c>
      <c r="V44" s="101" t="s">
        <v>157</v>
      </c>
      <c r="W44" s="101" t="s">
        <v>158</v>
      </c>
      <c r="X44" s="101" t="s">
        <v>159</v>
      </c>
      <c r="Y44" s="64"/>
      <c r="Z44" s="64"/>
      <c r="AA44" s="64"/>
      <c r="AB44" s="64"/>
      <c r="AC44" s="64"/>
      <c r="AD44" s="64"/>
      <c r="AE44" s="64"/>
      <c r="AF44" s="64"/>
      <c r="AG44" s="64"/>
    </row>
    <row r="45">
      <c r="A45" s="126">
        <f t="shared" si="2"/>
        <v>36</v>
      </c>
      <c r="B45" s="136" t="s">
        <v>445</v>
      </c>
      <c r="C45" s="126" t="s">
        <v>63</v>
      </c>
      <c r="D45" s="128" t="s">
        <v>446</v>
      </c>
      <c r="E45" s="129" t="s">
        <v>351</v>
      </c>
      <c r="F45" s="129" t="s">
        <v>322</v>
      </c>
      <c r="G45" s="130" t="s">
        <v>447</v>
      </c>
      <c r="H45" s="131" t="s">
        <v>149</v>
      </c>
      <c r="I45" s="93" t="s">
        <v>165</v>
      </c>
      <c r="J45" s="114"/>
      <c r="K45" s="104"/>
      <c r="L45" s="95"/>
      <c r="M45" s="106" t="s">
        <v>367</v>
      </c>
      <c r="N45" s="107" t="s">
        <v>448</v>
      </c>
      <c r="O45" s="108" t="s">
        <v>449</v>
      </c>
      <c r="P45" s="108" t="s">
        <v>450</v>
      </c>
      <c r="Q45" s="108" t="s">
        <v>451</v>
      </c>
      <c r="R45" s="120" t="s">
        <v>452</v>
      </c>
      <c r="S45" s="99"/>
      <c r="T45" s="95" t="s">
        <v>211</v>
      </c>
      <c r="U45" s="100" t="s">
        <v>149</v>
      </c>
      <c r="V45" s="101" t="s">
        <v>157</v>
      </c>
      <c r="W45" s="101" t="s">
        <v>158</v>
      </c>
      <c r="X45" s="101" t="s">
        <v>159</v>
      </c>
      <c r="Y45" s="64"/>
      <c r="Z45" s="64"/>
      <c r="AA45" s="64"/>
      <c r="AB45" s="64"/>
      <c r="AC45" s="64"/>
      <c r="AD45" s="64"/>
      <c r="AE45" s="64"/>
      <c r="AF45" s="64"/>
      <c r="AG45" s="64"/>
    </row>
    <row r="46">
      <c r="A46" s="126">
        <f t="shared" si="2"/>
        <v>37</v>
      </c>
      <c r="B46" s="127" t="s">
        <v>453</v>
      </c>
      <c r="C46" s="126" t="s">
        <v>63</v>
      </c>
      <c r="D46" s="128" t="s">
        <v>454</v>
      </c>
      <c r="E46" s="135" t="s">
        <v>282</v>
      </c>
      <c r="F46" s="129" t="s">
        <v>322</v>
      </c>
      <c r="G46" s="130" t="s">
        <v>455</v>
      </c>
      <c r="H46" s="131" t="s">
        <v>149</v>
      </c>
      <c r="I46" s="93" t="s">
        <v>165</v>
      </c>
      <c r="J46" s="114"/>
      <c r="K46" s="104"/>
      <c r="L46" s="95"/>
      <c r="M46" s="106" t="s">
        <v>456</v>
      </c>
      <c r="N46" s="107" t="s">
        <v>457</v>
      </c>
      <c r="O46" s="108" t="s">
        <v>458</v>
      </c>
      <c r="P46" s="108" t="s">
        <v>459</v>
      </c>
      <c r="Q46" s="108" t="s">
        <v>460</v>
      </c>
      <c r="R46" s="120" t="s">
        <v>461</v>
      </c>
      <c r="S46" s="99"/>
      <c r="T46" s="95" t="s">
        <v>218</v>
      </c>
      <c r="U46" s="100" t="s">
        <v>149</v>
      </c>
      <c r="V46" s="101" t="s">
        <v>157</v>
      </c>
      <c r="W46" s="101" t="s">
        <v>158</v>
      </c>
      <c r="X46" s="101" t="s">
        <v>159</v>
      </c>
      <c r="Y46" s="64"/>
      <c r="Z46" s="64"/>
      <c r="AA46" s="64"/>
      <c r="AB46" s="64"/>
      <c r="AC46" s="64"/>
      <c r="AD46" s="64"/>
      <c r="AE46" s="64"/>
      <c r="AF46" s="64"/>
      <c r="AG46" s="64"/>
    </row>
    <row r="47">
      <c r="A47" s="126">
        <f t="shared" si="2"/>
        <v>38</v>
      </c>
      <c r="B47" s="136" t="s">
        <v>462</v>
      </c>
      <c r="C47" s="126" t="s">
        <v>81</v>
      </c>
      <c r="D47" s="147" t="s">
        <v>463</v>
      </c>
      <c r="E47" s="148" t="s">
        <v>146</v>
      </c>
      <c r="F47" s="129" t="s">
        <v>248</v>
      </c>
      <c r="G47" s="130" t="s">
        <v>464</v>
      </c>
      <c r="H47" s="131" t="s">
        <v>149</v>
      </c>
      <c r="I47" s="93" t="s">
        <v>187</v>
      </c>
      <c r="J47" s="149" t="s">
        <v>465</v>
      </c>
      <c r="K47" s="105" t="s">
        <v>466</v>
      </c>
      <c r="L47" s="95"/>
      <c r="M47" s="96" t="s">
        <v>310</v>
      </c>
      <c r="N47" s="97" t="s">
        <v>154</v>
      </c>
      <c r="O47" s="98"/>
      <c r="P47" s="98"/>
      <c r="Q47" s="98"/>
      <c r="R47" s="98"/>
      <c r="S47" s="99"/>
      <c r="T47" s="95" t="s">
        <v>228</v>
      </c>
      <c r="U47" s="100" t="s">
        <v>149</v>
      </c>
      <c r="V47" s="101" t="s">
        <v>157</v>
      </c>
      <c r="W47" s="101" t="s">
        <v>158</v>
      </c>
      <c r="X47" s="101" t="s">
        <v>159</v>
      </c>
      <c r="Y47" s="64"/>
      <c r="Z47" s="64"/>
      <c r="AA47" s="64"/>
      <c r="AB47" s="64"/>
      <c r="AC47" s="64"/>
      <c r="AD47" s="64"/>
      <c r="AE47" s="64"/>
      <c r="AF47" s="64"/>
      <c r="AG47" s="64"/>
    </row>
    <row r="48">
      <c r="A48" s="126">
        <f t="shared" si="2"/>
        <v>39</v>
      </c>
      <c r="B48" s="136" t="s">
        <v>467</v>
      </c>
      <c r="C48" s="126" t="s">
        <v>63</v>
      </c>
      <c r="D48" s="128" t="s">
        <v>468</v>
      </c>
      <c r="E48" s="129" t="s">
        <v>328</v>
      </c>
      <c r="F48" s="129" t="s">
        <v>322</v>
      </c>
      <c r="G48" s="130" t="s">
        <v>469</v>
      </c>
      <c r="H48" s="131" t="s">
        <v>149</v>
      </c>
      <c r="I48" s="93" t="s">
        <v>165</v>
      </c>
      <c r="J48" s="114"/>
      <c r="K48" s="104"/>
      <c r="L48" s="95"/>
      <c r="M48" s="106" t="s">
        <v>470</v>
      </c>
      <c r="N48" s="107" t="s">
        <v>471</v>
      </c>
      <c r="O48" s="108" t="s">
        <v>472</v>
      </c>
      <c r="P48" s="108" t="s">
        <v>473</v>
      </c>
      <c r="Q48" s="108" t="s">
        <v>474</v>
      </c>
      <c r="R48" s="120" t="s">
        <v>475</v>
      </c>
      <c r="S48" s="99"/>
      <c r="T48" s="95" t="s">
        <v>237</v>
      </c>
      <c r="U48" s="100" t="s">
        <v>149</v>
      </c>
      <c r="V48" s="101" t="s">
        <v>157</v>
      </c>
      <c r="W48" s="101" t="s">
        <v>158</v>
      </c>
      <c r="X48" s="101" t="s">
        <v>159</v>
      </c>
      <c r="Y48" s="64"/>
      <c r="Z48" s="64"/>
      <c r="AA48" s="64"/>
      <c r="AB48" s="64"/>
      <c r="AC48" s="64"/>
      <c r="AD48" s="64"/>
      <c r="AE48" s="64"/>
      <c r="AF48" s="64"/>
      <c r="AG48" s="64"/>
    </row>
    <row r="49">
      <c r="A49" s="126">
        <f t="shared" si="2"/>
        <v>40</v>
      </c>
      <c r="B49" s="136" t="s">
        <v>476</v>
      </c>
      <c r="C49" s="126" t="s">
        <v>63</v>
      </c>
      <c r="D49" s="128" t="s">
        <v>477</v>
      </c>
      <c r="E49" s="129" t="s">
        <v>382</v>
      </c>
      <c r="F49" s="129" t="s">
        <v>478</v>
      </c>
      <c r="G49" s="130" t="s">
        <v>479</v>
      </c>
      <c r="H49" s="131" t="s">
        <v>149</v>
      </c>
      <c r="I49" s="93" t="s">
        <v>165</v>
      </c>
      <c r="J49" s="114"/>
      <c r="K49" s="104"/>
      <c r="L49" s="95"/>
      <c r="M49" s="106" t="s">
        <v>153</v>
      </c>
      <c r="N49" s="107" t="s">
        <v>480</v>
      </c>
      <c r="O49" s="108" t="s">
        <v>481</v>
      </c>
      <c r="P49" s="108" t="s">
        <v>482</v>
      </c>
      <c r="Q49" s="108" t="s">
        <v>483</v>
      </c>
      <c r="R49" s="120" t="s">
        <v>484</v>
      </c>
      <c r="S49" s="99"/>
      <c r="T49" s="95" t="s">
        <v>245</v>
      </c>
      <c r="U49" s="100" t="s">
        <v>149</v>
      </c>
      <c r="V49" s="101" t="s">
        <v>157</v>
      </c>
      <c r="W49" s="101" t="s">
        <v>158</v>
      </c>
      <c r="X49" s="101" t="s">
        <v>159</v>
      </c>
      <c r="Y49" s="64"/>
      <c r="Z49" s="64"/>
      <c r="AA49" s="64"/>
      <c r="AB49" s="64"/>
      <c r="AC49" s="64"/>
      <c r="AD49" s="64"/>
      <c r="AE49" s="64"/>
      <c r="AF49" s="64"/>
      <c r="AG49" s="64"/>
    </row>
    <row r="50">
      <c r="A50" s="126">
        <f t="shared" si="2"/>
        <v>41</v>
      </c>
      <c r="B50" s="136" t="s">
        <v>485</v>
      </c>
      <c r="C50" s="126" t="s">
        <v>63</v>
      </c>
      <c r="D50" s="128" t="s">
        <v>486</v>
      </c>
      <c r="E50" s="129" t="s">
        <v>487</v>
      </c>
      <c r="F50" s="129" t="s">
        <v>322</v>
      </c>
      <c r="G50" s="130" t="s">
        <v>488</v>
      </c>
      <c r="H50" s="131" t="s">
        <v>149</v>
      </c>
      <c r="I50" s="93" t="s">
        <v>165</v>
      </c>
      <c r="J50" s="114"/>
      <c r="K50" s="104"/>
      <c r="L50" s="95"/>
      <c r="M50" s="106" t="s">
        <v>489</v>
      </c>
      <c r="N50" s="107" t="s">
        <v>490</v>
      </c>
      <c r="O50" s="108" t="s">
        <v>491</v>
      </c>
      <c r="P50" s="108" t="s">
        <v>492</v>
      </c>
      <c r="Q50" s="108" t="s">
        <v>493</v>
      </c>
      <c r="R50" s="120" t="s">
        <v>494</v>
      </c>
      <c r="S50" s="99"/>
      <c r="T50" s="95" t="s">
        <v>155</v>
      </c>
      <c r="U50" s="100" t="s">
        <v>156</v>
      </c>
      <c r="V50" s="101" t="s">
        <v>157</v>
      </c>
      <c r="W50" s="101" t="s">
        <v>158</v>
      </c>
      <c r="X50" s="101" t="s">
        <v>159</v>
      </c>
      <c r="Y50" s="64"/>
      <c r="Z50" s="64"/>
      <c r="AA50" s="64"/>
      <c r="AB50" s="64"/>
      <c r="AC50" s="64"/>
      <c r="AD50" s="64"/>
      <c r="AE50" s="64"/>
      <c r="AF50" s="64"/>
      <c r="AG50" s="64"/>
    </row>
    <row r="51">
      <c r="A51" s="126">
        <f t="shared" si="2"/>
        <v>42</v>
      </c>
      <c r="B51" s="132" t="s">
        <v>495</v>
      </c>
      <c r="C51" s="126" t="s">
        <v>63</v>
      </c>
      <c r="D51" s="128" t="s">
        <v>496</v>
      </c>
      <c r="E51" s="129" t="s">
        <v>365</v>
      </c>
      <c r="F51" s="129" t="s">
        <v>497</v>
      </c>
      <c r="G51" s="130" t="s">
        <v>498</v>
      </c>
      <c r="H51" s="131" t="s">
        <v>149</v>
      </c>
      <c r="I51" s="93" t="s">
        <v>165</v>
      </c>
      <c r="J51" s="114"/>
      <c r="K51" s="104"/>
      <c r="L51" s="95"/>
      <c r="M51" s="106" t="s">
        <v>499</v>
      </c>
      <c r="N51" s="107" t="s">
        <v>500</v>
      </c>
      <c r="O51" s="108" t="s">
        <v>501</v>
      </c>
      <c r="P51" s="108" t="s">
        <v>502</v>
      </c>
      <c r="Q51" s="108" t="s">
        <v>503</v>
      </c>
      <c r="R51" s="120" t="s">
        <v>504</v>
      </c>
      <c r="S51" s="99"/>
      <c r="T51" s="95" t="s">
        <v>174</v>
      </c>
      <c r="U51" s="100" t="s">
        <v>149</v>
      </c>
      <c r="V51" s="101" t="s">
        <v>157</v>
      </c>
      <c r="W51" s="101" t="s">
        <v>158</v>
      </c>
      <c r="X51" s="101" t="s">
        <v>159</v>
      </c>
      <c r="Y51" s="64"/>
      <c r="Z51" s="64"/>
      <c r="AA51" s="64"/>
      <c r="AB51" s="64"/>
      <c r="AC51" s="64"/>
      <c r="AD51" s="64"/>
      <c r="AE51" s="64"/>
      <c r="AF51" s="64"/>
      <c r="AG51" s="64"/>
    </row>
    <row r="52">
      <c r="A52" s="126">
        <f t="shared" si="2"/>
        <v>43</v>
      </c>
      <c r="B52" s="127" t="s">
        <v>505</v>
      </c>
      <c r="C52" s="134" t="s">
        <v>67</v>
      </c>
      <c r="D52" s="128" t="s">
        <v>506</v>
      </c>
      <c r="E52" s="129" t="s">
        <v>146</v>
      </c>
      <c r="F52" s="129" t="s">
        <v>248</v>
      </c>
      <c r="G52" s="130" t="s">
        <v>507</v>
      </c>
      <c r="H52" s="131" t="s">
        <v>149</v>
      </c>
      <c r="I52" s="93" t="s">
        <v>165</v>
      </c>
      <c r="J52" s="114"/>
      <c r="K52" s="104"/>
      <c r="L52" s="95"/>
      <c r="M52" s="106" t="s">
        <v>339</v>
      </c>
      <c r="N52" s="107" t="s">
        <v>508</v>
      </c>
      <c r="O52" s="108" t="s">
        <v>509</v>
      </c>
      <c r="P52" s="108" t="s">
        <v>510</v>
      </c>
      <c r="Q52" s="108" t="s">
        <v>511</v>
      </c>
      <c r="R52" s="120" t="s">
        <v>512</v>
      </c>
      <c r="S52" s="99"/>
      <c r="T52" s="95" t="s">
        <v>182</v>
      </c>
      <c r="U52" s="100" t="s">
        <v>149</v>
      </c>
      <c r="V52" s="101" t="s">
        <v>157</v>
      </c>
      <c r="W52" s="101" t="s">
        <v>158</v>
      </c>
      <c r="X52" s="101" t="s">
        <v>159</v>
      </c>
      <c r="Y52" s="64"/>
      <c r="Z52" s="64"/>
      <c r="AA52" s="64"/>
      <c r="AB52" s="64"/>
      <c r="AC52" s="64"/>
      <c r="AD52" s="64"/>
      <c r="AE52" s="64"/>
      <c r="AF52" s="64"/>
      <c r="AG52" s="64"/>
    </row>
    <row r="53">
      <c r="A53" s="126">
        <f t="shared" si="2"/>
        <v>44</v>
      </c>
      <c r="B53" s="133" t="s">
        <v>513</v>
      </c>
      <c r="C53" s="126" t="s">
        <v>67</v>
      </c>
      <c r="D53" s="128" t="s">
        <v>514</v>
      </c>
      <c r="E53" s="129" t="s">
        <v>146</v>
      </c>
      <c r="F53" s="129" t="s">
        <v>478</v>
      </c>
      <c r="G53" s="130" t="s">
        <v>515</v>
      </c>
      <c r="H53" s="131" t="s">
        <v>149</v>
      </c>
      <c r="I53" s="93" t="s">
        <v>165</v>
      </c>
      <c r="J53" s="114"/>
      <c r="K53" s="104"/>
      <c r="L53" s="95"/>
      <c r="M53" s="106" t="s">
        <v>499</v>
      </c>
      <c r="N53" s="107" t="s">
        <v>516</v>
      </c>
      <c r="O53" s="108" t="s">
        <v>517</v>
      </c>
      <c r="P53" s="108" t="s">
        <v>518</v>
      </c>
      <c r="Q53" s="108" t="s">
        <v>519</v>
      </c>
      <c r="R53" s="120" t="s">
        <v>520</v>
      </c>
      <c r="S53" s="99"/>
      <c r="T53" s="95" t="s">
        <v>190</v>
      </c>
      <c r="U53" s="100" t="s">
        <v>149</v>
      </c>
      <c r="V53" s="101" t="s">
        <v>157</v>
      </c>
      <c r="W53" s="101" t="s">
        <v>158</v>
      </c>
      <c r="X53" s="101" t="s">
        <v>159</v>
      </c>
      <c r="Y53" s="64"/>
      <c r="Z53" s="64"/>
      <c r="AA53" s="64"/>
      <c r="AB53" s="64"/>
      <c r="AC53" s="64"/>
      <c r="AD53" s="64"/>
      <c r="AE53" s="64"/>
      <c r="AF53" s="64"/>
      <c r="AG53" s="64"/>
    </row>
    <row r="54">
      <c r="A54" s="126">
        <f t="shared" si="2"/>
        <v>45</v>
      </c>
      <c r="B54" s="141" t="s">
        <v>521</v>
      </c>
      <c r="C54" s="126" t="s">
        <v>63</v>
      </c>
      <c r="D54" s="128" t="s">
        <v>522</v>
      </c>
      <c r="E54" s="129" t="s">
        <v>523</v>
      </c>
      <c r="F54" s="129" t="s">
        <v>124</v>
      </c>
      <c r="G54" s="130" t="s">
        <v>524</v>
      </c>
      <c r="H54" s="131" t="s">
        <v>149</v>
      </c>
      <c r="I54" s="93" t="s">
        <v>165</v>
      </c>
      <c r="J54" s="114"/>
      <c r="K54" s="104"/>
      <c r="L54" s="95"/>
      <c r="M54" s="106" t="s">
        <v>367</v>
      </c>
      <c r="N54" s="150" t="s">
        <v>525</v>
      </c>
      <c r="O54" s="108" t="s">
        <v>526</v>
      </c>
      <c r="P54" s="108" t="s">
        <v>527</v>
      </c>
      <c r="Q54" s="108" t="s">
        <v>528</v>
      </c>
      <c r="R54" s="120" t="s">
        <v>529</v>
      </c>
      <c r="S54" s="99"/>
      <c r="T54" s="95" t="s">
        <v>202</v>
      </c>
      <c r="U54" s="100" t="s">
        <v>149</v>
      </c>
      <c r="V54" s="101" t="s">
        <v>157</v>
      </c>
      <c r="W54" s="101" t="s">
        <v>158</v>
      </c>
      <c r="X54" s="101" t="s">
        <v>159</v>
      </c>
      <c r="Y54" s="64"/>
      <c r="Z54" s="64"/>
      <c r="AA54" s="64"/>
      <c r="AB54" s="64"/>
      <c r="AC54" s="64"/>
      <c r="AD54" s="64"/>
      <c r="AE54" s="64"/>
      <c r="AF54" s="64"/>
      <c r="AG54" s="64"/>
    </row>
    <row r="55">
      <c r="A55" s="126">
        <f t="shared" si="2"/>
        <v>46</v>
      </c>
      <c r="B55" s="133" t="s">
        <v>530</v>
      </c>
      <c r="C55" s="134" t="s">
        <v>63</v>
      </c>
      <c r="D55" s="128" t="s">
        <v>531</v>
      </c>
      <c r="E55" s="129" t="s">
        <v>532</v>
      </c>
      <c r="F55" s="129" t="s">
        <v>322</v>
      </c>
      <c r="G55" s="130" t="s">
        <v>533</v>
      </c>
      <c r="H55" s="131" t="s">
        <v>149</v>
      </c>
      <c r="I55" s="93" t="s">
        <v>165</v>
      </c>
      <c r="J55" s="114"/>
      <c r="K55" s="104"/>
      <c r="L55" s="95"/>
      <c r="M55" s="106" t="s">
        <v>534</v>
      </c>
      <c r="N55" s="107" t="s">
        <v>535</v>
      </c>
      <c r="O55" s="108" t="s">
        <v>207</v>
      </c>
      <c r="P55" s="108" t="s">
        <v>536</v>
      </c>
      <c r="Q55" s="108" t="s">
        <v>537</v>
      </c>
      <c r="R55" s="120" t="s">
        <v>538</v>
      </c>
      <c r="S55" s="99"/>
      <c r="T55" s="95" t="s">
        <v>211</v>
      </c>
      <c r="U55" s="100" t="s">
        <v>149</v>
      </c>
      <c r="V55" s="101" t="s">
        <v>157</v>
      </c>
      <c r="W55" s="101" t="s">
        <v>158</v>
      </c>
      <c r="X55" s="101" t="s">
        <v>159</v>
      </c>
      <c r="Y55" s="64"/>
      <c r="Z55" s="64"/>
      <c r="AA55" s="64"/>
      <c r="AB55" s="64"/>
      <c r="AC55" s="64"/>
      <c r="AD55" s="64"/>
      <c r="AE55" s="64"/>
      <c r="AF55" s="64"/>
      <c r="AG55" s="64"/>
    </row>
    <row r="56">
      <c r="A56" s="126">
        <f t="shared" si="2"/>
        <v>47</v>
      </c>
      <c r="B56" s="133" t="s">
        <v>539</v>
      </c>
      <c r="C56" s="134" t="s">
        <v>67</v>
      </c>
      <c r="D56" s="128" t="s">
        <v>540</v>
      </c>
      <c r="E56" s="129" t="s">
        <v>146</v>
      </c>
      <c r="F56" s="129" t="s">
        <v>124</v>
      </c>
      <c r="G56" s="130" t="s">
        <v>541</v>
      </c>
      <c r="H56" s="131" t="s">
        <v>149</v>
      </c>
      <c r="I56" s="93" t="s">
        <v>187</v>
      </c>
      <c r="J56" s="104" t="s">
        <v>542</v>
      </c>
      <c r="K56" s="94" t="s">
        <v>152</v>
      </c>
      <c r="L56" s="95"/>
      <c r="M56" s="96" t="s">
        <v>217</v>
      </c>
      <c r="N56" s="97" t="s">
        <v>154</v>
      </c>
      <c r="O56" s="98"/>
      <c r="P56" s="98"/>
      <c r="Q56" s="98"/>
      <c r="R56" s="98"/>
      <c r="S56" s="99"/>
      <c r="T56" s="95" t="s">
        <v>218</v>
      </c>
      <c r="U56" s="100" t="s">
        <v>149</v>
      </c>
      <c r="V56" s="101" t="s">
        <v>157</v>
      </c>
      <c r="W56" s="101" t="s">
        <v>158</v>
      </c>
      <c r="X56" s="101" t="s">
        <v>159</v>
      </c>
      <c r="Y56" s="64"/>
      <c r="Z56" s="64"/>
      <c r="AA56" s="64"/>
      <c r="AB56" s="64"/>
      <c r="AC56" s="64"/>
      <c r="AD56" s="64"/>
      <c r="AE56" s="64"/>
      <c r="AF56" s="64"/>
      <c r="AG56" s="64"/>
    </row>
    <row r="57">
      <c r="A57" s="126">
        <f t="shared" si="2"/>
        <v>48</v>
      </c>
      <c r="B57" s="151" t="s">
        <v>543</v>
      </c>
      <c r="C57" s="134" t="s">
        <v>67</v>
      </c>
      <c r="D57" s="128" t="s">
        <v>544</v>
      </c>
      <c r="E57" s="129" t="s">
        <v>282</v>
      </c>
      <c r="F57" s="129" t="s">
        <v>147</v>
      </c>
      <c r="G57" s="130" t="s">
        <v>545</v>
      </c>
      <c r="H57" s="131" t="s">
        <v>149</v>
      </c>
      <c r="I57" s="93" t="s">
        <v>165</v>
      </c>
      <c r="J57" s="114"/>
      <c r="K57" s="104"/>
      <c r="L57" s="95"/>
      <c r="M57" s="106" t="s">
        <v>546</v>
      </c>
      <c r="N57" s="107" t="s">
        <v>547</v>
      </c>
      <c r="O57" s="108" t="s">
        <v>548</v>
      </c>
      <c r="P57" s="108" t="s">
        <v>549</v>
      </c>
      <c r="Q57" s="108" t="s">
        <v>550</v>
      </c>
      <c r="R57" s="120" t="s">
        <v>551</v>
      </c>
      <c r="S57" s="99"/>
      <c r="T57" s="95" t="s">
        <v>228</v>
      </c>
      <c r="U57" s="100" t="s">
        <v>149</v>
      </c>
      <c r="V57" s="101" t="s">
        <v>157</v>
      </c>
      <c r="W57" s="101" t="s">
        <v>158</v>
      </c>
      <c r="X57" s="101" t="s">
        <v>159</v>
      </c>
      <c r="Y57" s="64"/>
      <c r="Z57" s="64"/>
      <c r="AA57" s="64"/>
      <c r="AB57" s="64"/>
      <c r="AC57" s="64"/>
      <c r="AD57" s="64"/>
      <c r="AE57" s="64"/>
      <c r="AF57" s="64"/>
      <c r="AG57" s="64"/>
    </row>
    <row r="58">
      <c r="A58" s="126">
        <v>50.0</v>
      </c>
      <c r="B58" s="133" t="s">
        <v>552</v>
      </c>
      <c r="C58" s="126" t="s">
        <v>63</v>
      </c>
      <c r="D58" s="128" t="s">
        <v>553</v>
      </c>
      <c r="E58" s="129" t="s">
        <v>146</v>
      </c>
      <c r="F58" s="129" t="s">
        <v>554</v>
      </c>
      <c r="G58" s="130" t="s">
        <v>555</v>
      </c>
      <c r="H58" s="131" t="s">
        <v>149</v>
      </c>
      <c r="I58" s="93" t="s">
        <v>165</v>
      </c>
      <c r="J58" s="114"/>
      <c r="K58" s="104"/>
      <c r="L58" s="95"/>
      <c r="M58" s="106" t="s">
        <v>153</v>
      </c>
      <c r="N58" s="107" t="s">
        <v>556</v>
      </c>
      <c r="O58" s="108" t="s">
        <v>557</v>
      </c>
      <c r="P58" s="108" t="s">
        <v>558</v>
      </c>
      <c r="Q58" s="108" t="s">
        <v>559</v>
      </c>
      <c r="R58" s="120" t="s">
        <v>560</v>
      </c>
      <c r="S58" s="99"/>
      <c r="T58" s="95" t="s">
        <v>237</v>
      </c>
      <c r="U58" s="100" t="s">
        <v>149</v>
      </c>
      <c r="V58" s="101" t="s">
        <v>157</v>
      </c>
      <c r="W58" s="101" t="s">
        <v>158</v>
      </c>
      <c r="X58" s="101" t="s">
        <v>159</v>
      </c>
      <c r="Y58" s="64"/>
      <c r="Z58" s="64"/>
      <c r="AA58" s="64"/>
      <c r="AB58" s="64"/>
      <c r="AC58" s="64"/>
      <c r="AD58" s="64"/>
      <c r="AE58" s="64"/>
      <c r="AF58" s="64"/>
      <c r="AG58" s="64"/>
    </row>
    <row r="59">
      <c r="A59" s="126">
        <f t="shared" ref="A59:A85" si="3">IF(ISBLANK(B59),"",COUNTA($B$9:B58))</f>
        <v>50</v>
      </c>
      <c r="B59" s="141" t="s">
        <v>561</v>
      </c>
      <c r="C59" s="134" t="s">
        <v>67</v>
      </c>
      <c r="D59" s="128" t="s">
        <v>562</v>
      </c>
      <c r="E59" s="129" t="s">
        <v>185</v>
      </c>
      <c r="F59" s="129" t="s">
        <v>322</v>
      </c>
      <c r="G59" s="130" t="s">
        <v>563</v>
      </c>
      <c r="H59" s="131" t="s">
        <v>149</v>
      </c>
      <c r="I59" s="93" t="s">
        <v>165</v>
      </c>
      <c r="J59" s="114"/>
      <c r="K59" s="104"/>
      <c r="L59" s="95"/>
      <c r="M59" s="142" t="s">
        <v>564</v>
      </c>
      <c r="N59" s="107" t="s">
        <v>565</v>
      </c>
      <c r="O59" s="108" t="s">
        <v>566</v>
      </c>
      <c r="P59" s="108" t="s">
        <v>567</v>
      </c>
      <c r="Q59" s="108" t="s">
        <v>568</v>
      </c>
      <c r="R59" s="120" t="s">
        <v>569</v>
      </c>
      <c r="S59" s="99"/>
      <c r="T59" s="95" t="s">
        <v>245</v>
      </c>
      <c r="U59" s="100" t="s">
        <v>149</v>
      </c>
      <c r="V59" s="101" t="s">
        <v>157</v>
      </c>
      <c r="W59" s="101" t="s">
        <v>158</v>
      </c>
      <c r="X59" s="101" t="s">
        <v>159</v>
      </c>
      <c r="Y59" s="64"/>
      <c r="Z59" s="64"/>
      <c r="AA59" s="64"/>
      <c r="AB59" s="64"/>
      <c r="AC59" s="64"/>
      <c r="AD59" s="64"/>
      <c r="AE59" s="64"/>
      <c r="AF59" s="64"/>
      <c r="AG59" s="64"/>
    </row>
    <row r="60">
      <c r="A60" s="126">
        <f t="shared" si="3"/>
        <v>51</v>
      </c>
      <c r="B60" s="151" t="s">
        <v>570</v>
      </c>
      <c r="C60" s="126" t="s">
        <v>571</v>
      </c>
      <c r="D60" s="128" t="s">
        <v>572</v>
      </c>
      <c r="E60" s="129" t="s">
        <v>185</v>
      </c>
      <c r="F60" s="129" t="s">
        <v>573</v>
      </c>
      <c r="G60" s="130" t="s">
        <v>574</v>
      </c>
      <c r="H60" s="131" t="s">
        <v>149</v>
      </c>
      <c r="I60" s="93" t="s">
        <v>150</v>
      </c>
      <c r="J60" s="104" t="s">
        <v>575</v>
      </c>
      <c r="K60" s="94" t="s">
        <v>152</v>
      </c>
      <c r="L60" s="95"/>
      <c r="M60" s="96" t="s">
        <v>153</v>
      </c>
      <c r="N60" s="97" t="s">
        <v>154</v>
      </c>
      <c r="O60" s="98"/>
      <c r="P60" s="98"/>
      <c r="Q60" s="98"/>
      <c r="R60" s="98"/>
      <c r="S60" s="99"/>
      <c r="T60" s="95" t="s">
        <v>155</v>
      </c>
      <c r="U60" s="100" t="s">
        <v>156</v>
      </c>
      <c r="V60" s="101" t="s">
        <v>157</v>
      </c>
      <c r="W60" s="101" t="s">
        <v>158</v>
      </c>
      <c r="X60" s="101" t="s">
        <v>159</v>
      </c>
      <c r="Y60" s="64"/>
      <c r="Z60" s="64"/>
      <c r="AA60" s="64"/>
      <c r="AB60" s="64"/>
      <c r="AC60" s="64"/>
      <c r="AD60" s="64"/>
      <c r="AE60" s="64"/>
      <c r="AF60" s="64"/>
      <c r="AG60" s="64"/>
    </row>
    <row r="61">
      <c r="A61" s="126">
        <f t="shared" si="3"/>
        <v>52</v>
      </c>
      <c r="B61" s="152" t="s">
        <v>576</v>
      </c>
      <c r="C61" s="134" t="s">
        <v>63</v>
      </c>
      <c r="D61" s="128" t="s">
        <v>577</v>
      </c>
      <c r="E61" s="135" t="s">
        <v>146</v>
      </c>
      <c r="F61" s="129" t="s">
        <v>578</v>
      </c>
      <c r="G61" s="130" t="s">
        <v>579</v>
      </c>
      <c r="H61" s="131" t="s">
        <v>149</v>
      </c>
      <c r="I61" s="93" t="s">
        <v>165</v>
      </c>
      <c r="J61" s="114"/>
      <c r="K61" s="104"/>
      <c r="L61" s="95"/>
      <c r="M61" s="106" t="s">
        <v>580</v>
      </c>
      <c r="N61" s="107" t="s">
        <v>581</v>
      </c>
      <c r="O61" s="108" t="s">
        <v>582</v>
      </c>
      <c r="P61" s="108" t="s">
        <v>583</v>
      </c>
      <c r="Q61" s="108" t="s">
        <v>584</v>
      </c>
      <c r="R61" s="120" t="s">
        <v>585</v>
      </c>
      <c r="S61" s="99"/>
      <c r="T61" s="95" t="s">
        <v>174</v>
      </c>
      <c r="U61" s="100" t="s">
        <v>149</v>
      </c>
      <c r="V61" s="101" t="s">
        <v>157</v>
      </c>
      <c r="W61" s="101" t="s">
        <v>158</v>
      </c>
      <c r="X61" s="101" t="s">
        <v>159</v>
      </c>
      <c r="Y61" s="64"/>
      <c r="Z61" s="64"/>
      <c r="AA61" s="64"/>
      <c r="AB61" s="64"/>
      <c r="AC61" s="64"/>
      <c r="AD61" s="64"/>
      <c r="AE61" s="64"/>
      <c r="AF61" s="64"/>
      <c r="AG61" s="64"/>
    </row>
    <row r="62">
      <c r="A62" s="126">
        <f t="shared" si="3"/>
        <v>53</v>
      </c>
      <c r="B62" s="152" t="s">
        <v>586</v>
      </c>
      <c r="C62" s="134" t="s">
        <v>63</v>
      </c>
      <c r="D62" s="128" t="s">
        <v>587</v>
      </c>
      <c r="E62" s="135" t="s">
        <v>532</v>
      </c>
      <c r="F62" s="129" t="s">
        <v>307</v>
      </c>
      <c r="G62" s="130" t="s">
        <v>588</v>
      </c>
      <c r="H62" s="131" t="s">
        <v>149</v>
      </c>
      <c r="I62" s="93" t="s">
        <v>165</v>
      </c>
      <c r="J62" s="114"/>
      <c r="K62" s="104"/>
      <c r="L62" s="95"/>
      <c r="M62" s="142" t="s">
        <v>589</v>
      </c>
      <c r="N62" s="107" t="s">
        <v>590</v>
      </c>
      <c r="O62" s="108" t="s">
        <v>591</v>
      </c>
      <c r="P62" s="108" t="s">
        <v>592</v>
      </c>
      <c r="Q62" s="108" t="s">
        <v>593</v>
      </c>
      <c r="R62" s="120" t="s">
        <v>594</v>
      </c>
      <c r="S62" s="99"/>
      <c r="T62" s="95" t="s">
        <v>182</v>
      </c>
      <c r="U62" s="100" t="s">
        <v>149</v>
      </c>
      <c r="V62" s="101" t="s">
        <v>157</v>
      </c>
      <c r="W62" s="101" t="s">
        <v>158</v>
      </c>
      <c r="X62" s="101" t="s">
        <v>159</v>
      </c>
      <c r="Y62" s="64"/>
      <c r="Z62" s="64"/>
      <c r="AA62" s="64"/>
      <c r="AB62" s="64"/>
      <c r="AC62" s="64"/>
      <c r="AD62" s="64"/>
      <c r="AE62" s="64"/>
      <c r="AF62" s="64"/>
      <c r="AG62" s="64"/>
    </row>
    <row r="63">
      <c r="A63" s="126">
        <f t="shared" si="3"/>
        <v>54</v>
      </c>
      <c r="B63" s="141" t="s">
        <v>595</v>
      </c>
      <c r="C63" s="134" t="s">
        <v>63</v>
      </c>
      <c r="D63" s="128" t="s">
        <v>596</v>
      </c>
      <c r="E63" s="129" t="s">
        <v>328</v>
      </c>
      <c r="F63" s="129" t="s">
        <v>194</v>
      </c>
      <c r="G63" s="130" t="s">
        <v>597</v>
      </c>
      <c r="H63" s="131" t="s">
        <v>149</v>
      </c>
      <c r="I63" s="93" t="s">
        <v>165</v>
      </c>
      <c r="J63" s="114"/>
      <c r="K63" s="104"/>
      <c r="L63" s="95"/>
      <c r="M63" s="106" t="s">
        <v>153</v>
      </c>
      <c r="N63" s="107" t="s">
        <v>598</v>
      </c>
      <c r="O63" s="108" t="s">
        <v>599</v>
      </c>
      <c r="P63" s="108" t="s">
        <v>600</v>
      </c>
      <c r="Q63" s="108" t="s">
        <v>601</v>
      </c>
      <c r="R63" s="120" t="s">
        <v>602</v>
      </c>
      <c r="S63" s="99"/>
      <c r="T63" s="95" t="s">
        <v>190</v>
      </c>
      <c r="U63" s="100" t="s">
        <v>149</v>
      </c>
      <c r="V63" s="101" t="s">
        <v>157</v>
      </c>
      <c r="W63" s="101" t="s">
        <v>158</v>
      </c>
      <c r="X63" s="101" t="s">
        <v>159</v>
      </c>
      <c r="Y63" s="64"/>
      <c r="Z63" s="64"/>
      <c r="AA63" s="64"/>
      <c r="AB63" s="64"/>
      <c r="AC63" s="64"/>
      <c r="AD63" s="64"/>
      <c r="AE63" s="64"/>
      <c r="AF63" s="64"/>
      <c r="AG63" s="64"/>
    </row>
    <row r="64">
      <c r="A64" s="126">
        <f t="shared" si="3"/>
        <v>55</v>
      </c>
      <c r="B64" s="151" t="s">
        <v>603</v>
      </c>
      <c r="C64" s="134" t="s">
        <v>67</v>
      </c>
      <c r="D64" s="128" t="s">
        <v>604</v>
      </c>
      <c r="E64" s="129" t="s">
        <v>605</v>
      </c>
      <c r="F64" s="129" t="s">
        <v>147</v>
      </c>
      <c r="G64" s="130" t="s">
        <v>606</v>
      </c>
      <c r="H64" s="131" t="s">
        <v>149</v>
      </c>
      <c r="I64" s="93" t="s">
        <v>165</v>
      </c>
      <c r="J64" s="114"/>
      <c r="K64" s="104"/>
      <c r="L64" s="95"/>
      <c r="M64" s="106" t="s">
        <v>607</v>
      </c>
      <c r="N64" s="107" t="s">
        <v>608</v>
      </c>
      <c r="O64" s="108" t="s">
        <v>609</v>
      </c>
      <c r="P64" s="108" t="s">
        <v>610</v>
      </c>
      <c r="Q64" s="108" t="s">
        <v>611</v>
      </c>
      <c r="R64" s="120" t="s">
        <v>612</v>
      </c>
      <c r="S64" s="99"/>
      <c r="T64" s="95" t="s">
        <v>202</v>
      </c>
      <c r="U64" s="100" t="s">
        <v>149</v>
      </c>
      <c r="V64" s="101" t="s">
        <v>157</v>
      </c>
      <c r="W64" s="101" t="s">
        <v>158</v>
      </c>
      <c r="X64" s="101" t="s">
        <v>159</v>
      </c>
      <c r="Y64" s="64"/>
      <c r="Z64" s="64"/>
      <c r="AA64" s="64"/>
      <c r="AB64" s="64"/>
      <c r="AC64" s="64"/>
      <c r="AD64" s="64"/>
      <c r="AE64" s="64"/>
      <c r="AF64" s="64"/>
      <c r="AG64" s="64"/>
    </row>
    <row r="65">
      <c r="A65" s="126">
        <f t="shared" si="3"/>
        <v>56</v>
      </c>
      <c r="B65" s="141" t="s">
        <v>613</v>
      </c>
      <c r="C65" s="134" t="s">
        <v>67</v>
      </c>
      <c r="D65" s="128" t="s">
        <v>614</v>
      </c>
      <c r="E65" s="129" t="s">
        <v>351</v>
      </c>
      <c r="F65" s="129" t="s">
        <v>615</v>
      </c>
      <c r="G65" s="130" t="s">
        <v>616</v>
      </c>
      <c r="H65" s="131" t="s">
        <v>149</v>
      </c>
      <c r="I65" s="93" t="s">
        <v>165</v>
      </c>
      <c r="J65" s="114"/>
      <c r="K65" s="104"/>
      <c r="L65" s="95"/>
      <c r="M65" s="106" t="s">
        <v>339</v>
      </c>
      <c r="N65" s="107" t="s">
        <v>617</v>
      </c>
      <c r="O65" s="108" t="s">
        <v>618</v>
      </c>
      <c r="P65" s="108" t="s">
        <v>619</v>
      </c>
      <c r="Q65" s="108" t="s">
        <v>620</v>
      </c>
      <c r="R65" s="120" t="s">
        <v>621</v>
      </c>
      <c r="S65" s="99"/>
      <c r="T65" s="95" t="s">
        <v>211</v>
      </c>
      <c r="U65" s="100" t="s">
        <v>149</v>
      </c>
      <c r="V65" s="101" t="s">
        <v>157</v>
      </c>
      <c r="W65" s="101" t="s">
        <v>158</v>
      </c>
      <c r="X65" s="101" t="s">
        <v>159</v>
      </c>
      <c r="Y65" s="64"/>
      <c r="Z65" s="64"/>
      <c r="AA65" s="64"/>
      <c r="AB65" s="64"/>
      <c r="AC65" s="64"/>
      <c r="AD65" s="64"/>
      <c r="AE65" s="64"/>
      <c r="AF65" s="64"/>
      <c r="AG65" s="64"/>
    </row>
    <row r="66">
      <c r="A66" s="126">
        <f t="shared" si="3"/>
        <v>57</v>
      </c>
      <c r="B66" s="151" t="s">
        <v>622</v>
      </c>
      <c r="C66" s="126" t="s">
        <v>67</v>
      </c>
      <c r="D66" s="128" t="s">
        <v>623</v>
      </c>
      <c r="E66" s="135" t="s">
        <v>221</v>
      </c>
      <c r="F66" s="129" t="s">
        <v>124</v>
      </c>
      <c r="G66" s="130" t="s">
        <v>624</v>
      </c>
      <c r="H66" s="131" t="s">
        <v>149</v>
      </c>
      <c r="I66" s="93" t="s">
        <v>150</v>
      </c>
      <c r="J66" s="104" t="s">
        <v>625</v>
      </c>
      <c r="K66" s="104" t="s">
        <v>152</v>
      </c>
      <c r="L66" s="95"/>
      <c r="M66" s="96" t="s">
        <v>217</v>
      </c>
      <c r="N66" s="97" t="s">
        <v>154</v>
      </c>
      <c r="O66" s="98"/>
      <c r="P66" s="98"/>
      <c r="Q66" s="98"/>
      <c r="R66" s="98"/>
      <c r="S66" s="99"/>
      <c r="T66" s="95" t="s">
        <v>218</v>
      </c>
      <c r="U66" s="100" t="s">
        <v>149</v>
      </c>
      <c r="V66" s="101" t="s">
        <v>157</v>
      </c>
      <c r="W66" s="101" t="s">
        <v>158</v>
      </c>
      <c r="X66" s="101" t="s">
        <v>159</v>
      </c>
      <c r="Y66" s="64"/>
      <c r="Z66" s="64"/>
      <c r="AA66" s="64"/>
      <c r="AB66" s="64"/>
      <c r="AC66" s="64"/>
      <c r="AD66" s="64"/>
      <c r="AE66" s="64"/>
      <c r="AF66" s="64"/>
      <c r="AG66" s="64"/>
    </row>
    <row r="67">
      <c r="A67" s="126">
        <f t="shared" si="3"/>
        <v>58</v>
      </c>
      <c r="B67" s="151" t="s">
        <v>626</v>
      </c>
      <c r="C67" s="134" t="s">
        <v>67</v>
      </c>
      <c r="D67" s="128" t="s">
        <v>627</v>
      </c>
      <c r="E67" s="135" t="s">
        <v>146</v>
      </c>
      <c r="F67" s="129" t="s">
        <v>147</v>
      </c>
      <c r="G67" s="130" t="s">
        <v>628</v>
      </c>
      <c r="H67" s="131" t="s">
        <v>149</v>
      </c>
      <c r="I67" s="93" t="s">
        <v>165</v>
      </c>
      <c r="J67" s="114"/>
      <c r="K67" s="104"/>
      <c r="L67" s="95"/>
      <c r="M67" s="106" t="s">
        <v>168</v>
      </c>
      <c r="N67" s="107" t="s">
        <v>629</v>
      </c>
      <c r="O67" s="108" t="s">
        <v>630</v>
      </c>
      <c r="P67" s="108" t="s">
        <v>631</v>
      </c>
      <c r="Q67" s="108" t="s">
        <v>632</v>
      </c>
      <c r="R67" s="120" t="s">
        <v>633</v>
      </c>
      <c r="S67" s="99"/>
      <c r="T67" s="95" t="s">
        <v>228</v>
      </c>
      <c r="U67" s="100" t="s">
        <v>149</v>
      </c>
      <c r="V67" s="101" t="s">
        <v>157</v>
      </c>
      <c r="W67" s="101" t="s">
        <v>158</v>
      </c>
      <c r="X67" s="101" t="s">
        <v>159</v>
      </c>
      <c r="Y67" s="64"/>
      <c r="Z67" s="64"/>
      <c r="AA67" s="64"/>
      <c r="AB67" s="64"/>
      <c r="AC67" s="64"/>
      <c r="AD67" s="64"/>
      <c r="AE67" s="64"/>
      <c r="AF67" s="64"/>
      <c r="AG67" s="64"/>
    </row>
    <row r="68">
      <c r="A68" s="126">
        <f t="shared" si="3"/>
        <v>59</v>
      </c>
      <c r="B68" s="141" t="s">
        <v>634</v>
      </c>
      <c r="C68" s="134" t="s">
        <v>81</v>
      </c>
      <c r="D68" s="128" t="s">
        <v>635</v>
      </c>
      <c r="E68" s="135" t="s">
        <v>351</v>
      </c>
      <c r="F68" s="129" t="s">
        <v>636</v>
      </c>
      <c r="G68" s="130" t="s">
        <v>637</v>
      </c>
      <c r="H68" s="131" t="s">
        <v>149</v>
      </c>
      <c r="I68" s="93" t="s">
        <v>165</v>
      </c>
      <c r="J68" s="114"/>
      <c r="K68" s="104"/>
      <c r="L68" s="95"/>
      <c r="M68" s="106" t="s">
        <v>339</v>
      </c>
      <c r="N68" s="107" t="s">
        <v>638</v>
      </c>
      <c r="O68" s="108" t="s">
        <v>639</v>
      </c>
      <c r="P68" s="108" t="s">
        <v>640</v>
      </c>
      <c r="Q68" s="108" t="s">
        <v>641</v>
      </c>
      <c r="R68" s="120" t="s">
        <v>642</v>
      </c>
      <c r="S68" s="99"/>
      <c r="T68" s="95" t="s">
        <v>237</v>
      </c>
      <c r="U68" s="100" t="s">
        <v>149</v>
      </c>
      <c r="V68" s="101" t="s">
        <v>157</v>
      </c>
      <c r="W68" s="101" t="s">
        <v>158</v>
      </c>
      <c r="X68" s="101" t="s">
        <v>159</v>
      </c>
      <c r="Y68" s="64"/>
      <c r="Z68" s="64"/>
      <c r="AA68" s="64"/>
      <c r="AB68" s="64"/>
      <c r="AC68" s="64"/>
      <c r="AD68" s="64"/>
      <c r="AE68" s="64"/>
      <c r="AF68" s="64"/>
      <c r="AG68" s="64"/>
    </row>
    <row r="69">
      <c r="A69" s="126">
        <f t="shared" si="3"/>
        <v>60</v>
      </c>
      <c r="B69" s="152" t="s">
        <v>643</v>
      </c>
      <c r="C69" s="134" t="s">
        <v>67</v>
      </c>
      <c r="D69" s="128" t="s">
        <v>644</v>
      </c>
      <c r="E69" s="135" t="s">
        <v>146</v>
      </c>
      <c r="F69" s="129" t="s">
        <v>307</v>
      </c>
      <c r="G69" s="130" t="s">
        <v>645</v>
      </c>
      <c r="H69" s="131" t="s">
        <v>149</v>
      </c>
      <c r="I69" s="93" t="s">
        <v>165</v>
      </c>
      <c r="J69" s="114"/>
      <c r="K69" s="104"/>
      <c r="L69" s="95"/>
      <c r="M69" s="106" t="s">
        <v>646</v>
      </c>
      <c r="N69" s="107" t="s">
        <v>647</v>
      </c>
      <c r="O69" s="108" t="s">
        <v>648</v>
      </c>
      <c r="P69" s="108" t="s">
        <v>649</v>
      </c>
      <c r="Q69" s="108" t="s">
        <v>650</v>
      </c>
      <c r="R69" s="120" t="s">
        <v>651</v>
      </c>
      <c r="S69" s="99"/>
      <c r="T69" s="95" t="s">
        <v>245</v>
      </c>
      <c r="U69" s="100" t="s">
        <v>149</v>
      </c>
      <c r="V69" s="101" t="s">
        <v>157</v>
      </c>
      <c r="W69" s="101" t="s">
        <v>158</v>
      </c>
      <c r="X69" s="101" t="s">
        <v>159</v>
      </c>
      <c r="Y69" s="64"/>
      <c r="Z69" s="64"/>
      <c r="AA69" s="64"/>
      <c r="AB69" s="64"/>
      <c r="AC69" s="64"/>
      <c r="AD69" s="64"/>
      <c r="AE69" s="64"/>
      <c r="AF69" s="64"/>
      <c r="AG69" s="64"/>
    </row>
    <row r="70">
      <c r="A70" s="106">
        <f t="shared" si="3"/>
        <v>61</v>
      </c>
      <c r="B70" s="151" t="s">
        <v>652</v>
      </c>
      <c r="C70" s="126" t="s">
        <v>67</v>
      </c>
      <c r="D70" s="128" t="s">
        <v>653</v>
      </c>
      <c r="E70" s="129" t="s">
        <v>146</v>
      </c>
      <c r="F70" s="129" t="s">
        <v>654</v>
      </c>
      <c r="G70" s="130" t="s">
        <v>655</v>
      </c>
      <c r="H70" s="131" t="s">
        <v>149</v>
      </c>
      <c r="I70" s="93" t="s">
        <v>150</v>
      </c>
      <c r="J70" s="104" t="s">
        <v>656</v>
      </c>
      <c r="K70" s="153" t="s">
        <v>657</v>
      </c>
      <c r="L70" s="95"/>
      <c r="M70" s="96" t="s">
        <v>153</v>
      </c>
      <c r="N70" s="97" t="s">
        <v>154</v>
      </c>
      <c r="O70" s="98"/>
      <c r="P70" s="98"/>
      <c r="Q70" s="98"/>
      <c r="R70" s="98"/>
      <c r="S70" s="99"/>
      <c r="T70" s="95" t="s">
        <v>155</v>
      </c>
      <c r="U70" s="100" t="s">
        <v>156</v>
      </c>
      <c r="V70" s="101" t="s">
        <v>157</v>
      </c>
      <c r="W70" s="101" t="s">
        <v>158</v>
      </c>
      <c r="X70" s="101" t="s">
        <v>159</v>
      </c>
      <c r="Y70" s="64"/>
      <c r="Z70" s="64"/>
      <c r="AA70" s="64"/>
      <c r="AB70" s="64"/>
      <c r="AC70" s="64"/>
      <c r="AD70" s="64"/>
      <c r="AE70" s="64"/>
      <c r="AF70" s="64"/>
      <c r="AG70" s="64"/>
    </row>
    <row r="71">
      <c r="A71" s="126">
        <f t="shared" si="3"/>
        <v>62</v>
      </c>
      <c r="B71" s="151" t="s">
        <v>658</v>
      </c>
      <c r="C71" s="134" t="s">
        <v>67</v>
      </c>
      <c r="D71" s="128" t="s">
        <v>659</v>
      </c>
      <c r="E71" s="129" t="s">
        <v>185</v>
      </c>
      <c r="F71" s="129" t="s">
        <v>147</v>
      </c>
      <c r="G71" s="130" t="s">
        <v>660</v>
      </c>
      <c r="H71" s="131" t="s">
        <v>149</v>
      </c>
      <c r="I71" s="93" t="s">
        <v>165</v>
      </c>
      <c r="J71" s="114"/>
      <c r="K71" s="104"/>
      <c r="L71" s="95"/>
      <c r="M71" s="142" t="s">
        <v>661</v>
      </c>
      <c r="N71" s="107" t="s">
        <v>662</v>
      </c>
      <c r="O71" s="108" t="s">
        <v>663</v>
      </c>
      <c r="P71" s="108" t="s">
        <v>664</v>
      </c>
      <c r="Q71" s="108" t="s">
        <v>665</v>
      </c>
      <c r="R71" s="120" t="s">
        <v>666</v>
      </c>
      <c r="S71" s="99"/>
      <c r="T71" s="95" t="s">
        <v>174</v>
      </c>
      <c r="U71" s="100" t="s">
        <v>149</v>
      </c>
      <c r="V71" s="101" t="s">
        <v>157</v>
      </c>
      <c r="W71" s="101" t="s">
        <v>158</v>
      </c>
      <c r="X71" s="101" t="s">
        <v>159</v>
      </c>
      <c r="Y71" s="64"/>
      <c r="Z71" s="64"/>
      <c r="AA71" s="64"/>
      <c r="AB71" s="64"/>
      <c r="AC71" s="64"/>
      <c r="AD71" s="64"/>
      <c r="AE71" s="64"/>
      <c r="AF71" s="64"/>
      <c r="AG71" s="64"/>
    </row>
    <row r="72">
      <c r="A72" s="154">
        <f t="shared" si="3"/>
        <v>63</v>
      </c>
      <c r="B72" s="141" t="s">
        <v>667</v>
      </c>
      <c r="C72" s="134" t="s">
        <v>67</v>
      </c>
      <c r="D72" s="155" t="s">
        <v>668</v>
      </c>
      <c r="E72" s="138" t="s">
        <v>221</v>
      </c>
      <c r="F72" s="129" t="s">
        <v>194</v>
      </c>
      <c r="G72" s="130" t="s">
        <v>669</v>
      </c>
      <c r="H72" s="131" t="s">
        <v>149</v>
      </c>
      <c r="I72" s="93" t="s">
        <v>165</v>
      </c>
      <c r="J72" s="114"/>
      <c r="K72" s="104"/>
      <c r="L72" s="95"/>
      <c r="M72" s="106" t="s">
        <v>670</v>
      </c>
      <c r="N72" s="107" t="s">
        <v>671</v>
      </c>
      <c r="O72" s="108" t="s">
        <v>672</v>
      </c>
      <c r="P72" s="108" t="s">
        <v>673</v>
      </c>
      <c r="Q72" s="108" t="s">
        <v>674</v>
      </c>
      <c r="R72" s="120" t="s">
        <v>675</v>
      </c>
      <c r="S72" s="99"/>
      <c r="T72" s="95" t="s">
        <v>182</v>
      </c>
      <c r="U72" s="100" t="s">
        <v>149</v>
      </c>
      <c r="V72" s="101" t="s">
        <v>157</v>
      </c>
      <c r="W72" s="101" t="s">
        <v>158</v>
      </c>
      <c r="X72" s="101" t="s">
        <v>159</v>
      </c>
      <c r="Y72" s="64"/>
      <c r="Z72" s="64"/>
      <c r="AA72" s="64"/>
      <c r="AB72" s="64"/>
      <c r="AC72" s="64"/>
      <c r="AD72" s="64"/>
      <c r="AE72" s="64"/>
      <c r="AF72" s="64"/>
      <c r="AG72" s="64"/>
    </row>
    <row r="73">
      <c r="A73" s="126">
        <f t="shared" si="3"/>
        <v>64</v>
      </c>
      <c r="B73" s="151" t="s">
        <v>676</v>
      </c>
      <c r="C73" s="126" t="s">
        <v>67</v>
      </c>
      <c r="D73" s="128" t="s">
        <v>677</v>
      </c>
      <c r="E73" s="135" t="s">
        <v>297</v>
      </c>
      <c r="F73" s="138" t="s">
        <v>124</v>
      </c>
      <c r="G73" s="130" t="s">
        <v>678</v>
      </c>
      <c r="H73" s="131" t="s">
        <v>149</v>
      </c>
      <c r="I73" s="93" t="s">
        <v>150</v>
      </c>
      <c r="J73" s="104" t="s">
        <v>265</v>
      </c>
      <c r="K73" s="156" t="s">
        <v>679</v>
      </c>
      <c r="L73" s="95"/>
      <c r="M73" s="96" t="s">
        <v>189</v>
      </c>
      <c r="N73" s="97" t="s">
        <v>154</v>
      </c>
      <c r="O73" s="98"/>
      <c r="P73" s="98"/>
      <c r="Q73" s="98"/>
      <c r="R73" s="98"/>
      <c r="S73" s="99"/>
      <c r="T73" s="95" t="s">
        <v>190</v>
      </c>
      <c r="U73" s="100" t="s">
        <v>149</v>
      </c>
      <c r="V73" s="101" t="s">
        <v>157</v>
      </c>
      <c r="W73" s="101" t="s">
        <v>158</v>
      </c>
      <c r="X73" s="101" t="s">
        <v>159</v>
      </c>
      <c r="Y73" s="64"/>
      <c r="Z73" s="64"/>
      <c r="AA73" s="64"/>
      <c r="AB73" s="64"/>
      <c r="AC73" s="64"/>
      <c r="AD73" s="64"/>
      <c r="AE73" s="64"/>
      <c r="AF73" s="64"/>
      <c r="AG73" s="64"/>
    </row>
    <row r="74">
      <c r="A74" s="126">
        <f t="shared" si="3"/>
        <v>65</v>
      </c>
      <c r="B74" s="152" t="s">
        <v>680</v>
      </c>
      <c r="C74" s="126" t="s">
        <v>67</v>
      </c>
      <c r="D74" s="128" t="s">
        <v>681</v>
      </c>
      <c r="E74" s="135" t="s">
        <v>146</v>
      </c>
      <c r="F74" s="129" t="s">
        <v>682</v>
      </c>
      <c r="G74" s="130" t="s">
        <v>683</v>
      </c>
      <c r="H74" s="131" t="s">
        <v>149</v>
      </c>
      <c r="I74" s="93" t="s">
        <v>165</v>
      </c>
      <c r="J74" s="114"/>
      <c r="K74" s="104"/>
      <c r="L74" s="95"/>
      <c r="M74" s="106" t="s">
        <v>250</v>
      </c>
      <c r="N74" s="107" t="s">
        <v>684</v>
      </c>
      <c r="O74" s="108" t="s">
        <v>685</v>
      </c>
      <c r="P74" s="108" t="s">
        <v>686</v>
      </c>
      <c r="Q74" s="108" t="s">
        <v>687</v>
      </c>
      <c r="R74" s="120" t="s">
        <v>688</v>
      </c>
      <c r="S74" s="99"/>
      <c r="T74" s="95" t="s">
        <v>202</v>
      </c>
      <c r="U74" s="100" t="s">
        <v>149</v>
      </c>
      <c r="V74" s="101" t="s">
        <v>157</v>
      </c>
      <c r="W74" s="101" t="s">
        <v>158</v>
      </c>
      <c r="X74" s="101" t="s">
        <v>159</v>
      </c>
      <c r="Y74" s="64"/>
      <c r="Z74" s="64"/>
      <c r="AA74" s="64"/>
      <c r="AB74" s="64"/>
      <c r="AC74" s="64"/>
      <c r="AD74" s="64"/>
      <c r="AE74" s="64"/>
      <c r="AF74" s="64"/>
      <c r="AG74" s="64"/>
    </row>
    <row r="75">
      <c r="A75" s="126">
        <f t="shared" si="3"/>
        <v>66</v>
      </c>
      <c r="B75" s="141" t="s">
        <v>689</v>
      </c>
      <c r="C75" s="126" t="s">
        <v>67</v>
      </c>
      <c r="D75" s="128" t="s">
        <v>690</v>
      </c>
      <c r="E75" s="135" t="s">
        <v>146</v>
      </c>
      <c r="F75" s="129" t="s">
        <v>124</v>
      </c>
      <c r="G75" s="130" t="s">
        <v>691</v>
      </c>
      <c r="H75" s="131" t="s">
        <v>149</v>
      </c>
      <c r="I75" s="93" t="s">
        <v>165</v>
      </c>
      <c r="J75" s="114"/>
      <c r="K75" s="104"/>
      <c r="L75" s="95"/>
      <c r="M75" s="106" t="s">
        <v>692</v>
      </c>
      <c r="N75" s="107" t="s">
        <v>693</v>
      </c>
      <c r="O75" s="108" t="s">
        <v>694</v>
      </c>
      <c r="P75" s="108" t="s">
        <v>695</v>
      </c>
      <c r="Q75" s="108" t="s">
        <v>696</v>
      </c>
      <c r="R75" s="120" t="s">
        <v>697</v>
      </c>
      <c r="S75" s="99"/>
      <c r="T75" s="95" t="s">
        <v>211</v>
      </c>
      <c r="U75" s="100" t="s">
        <v>149</v>
      </c>
      <c r="V75" s="101" t="s">
        <v>157</v>
      </c>
      <c r="W75" s="101" t="s">
        <v>158</v>
      </c>
      <c r="X75" s="101" t="s">
        <v>159</v>
      </c>
      <c r="Y75" s="64"/>
      <c r="Z75" s="64"/>
      <c r="AA75" s="64"/>
      <c r="AB75" s="64"/>
      <c r="AC75" s="64"/>
      <c r="AD75" s="64"/>
      <c r="AE75" s="64"/>
      <c r="AF75" s="64"/>
      <c r="AG75" s="64"/>
    </row>
    <row r="76">
      <c r="A76" s="126">
        <f t="shared" si="3"/>
        <v>67</v>
      </c>
      <c r="B76" s="141" t="s">
        <v>698</v>
      </c>
      <c r="C76" s="126" t="s">
        <v>67</v>
      </c>
      <c r="D76" s="128" t="s">
        <v>699</v>
      </c>
      <c r="E76" s="135" t="s">
        <v>146</v>
      </c>
      <c r="F76" s="129" t="s">
        <v>307</v>
      </c>
      <c r="G76" s="130" t="s">
        <v>700</v>
      </c>
      <c r="H76" s="131" t="s">
        <v>149</v>
      </c>
      <c r="I76" s="93" t="s">
        <v>165</v>
      </c>
      <c r="J76" s="114"/>
      <c r="K76" s="104"/>
      <c r="L76" s="95"/>
      <c r="M76" s="106" t="s">
        <v>168</v>
      </c>
      <c r="N76" s="107" t="s">
        <v>701</v>
      </c>
      <c r="O76" s="108" t="s">
        <v>702</v>
      </c>
      <c r="P76" s="108" t="s">
        <v>703</v>
      </c>
      <c r="Q76" s="157" t="s">
        <v>704</v>
      </c>
      <c r="R76" s="120" t="s">
        <v>705</v>
      </c>
      <c r="S76" s="99"/>
      <c r="T76" s="95" t="s">
        <v>218</v>
      </c>
      <c r="U76" s="100" t="s">
        <v>149</v>
      </c>
      <c r="V76" s="101" t="s">
        <v>157</v>
      </c>
      <c r="W76" s="101" t="s">
        <v>158</v>
      </c>
      <c r="X76" s="101" t="s">
        <v>159</v>
      </c>
      <c r="Y76" s="64"/>
      <c r="Z76" s="64"/>
      <c r="AA76" s="64"/>
      <c r="AB76" s="64"/>
      <c r="AC76" s="64"/>
      <c r="AD76" s="64"/>
      <c r="AE76" s="64"/>
      <c r="AF76" s="64"/>
      <c r="AG76" s="64"/>
    </row>
    <row r="77">
      <c r="A77" s="126">
        <f t="shared" si="3"/>
        <v>68</v>
      </c>
      <c r="B77" s="141" t="s">
        <v>706</v>
      </c>
      <c r="C77" s="126" t="s">
        <v>63</v>
      </c>
      <c r="D77" s="128" t="s">
        <v>707</v>
      </c>
      <c r="E77" s="129" t="s">
        <v>708</v>
      </c>
      <c r="F77" s="129" t="s">
        <v>322</v>
      </c>
      <c r="G77" s="130" t="s">
        <v>709</v>
      </c>
      <c r="H77" s="131" t="s">
        <v>149</v>
      </c>
      <c r="I77" s="93" t="s">
        <v>165</v>
      </c>
      <c r="J77" s="114"/>
      <c r="K77" s="104"/>
      <c r="L77" s="95"/>
      <c r="M77" s="106" t="s">
        <v>710</v>
      </c>
      <c r="N77" s="107" t="s">
        <v>711</v>
      </c>
      <c r="O77" s="108" t="s">
        <v>712</v>
      </c>
      <c r="P77" s="108" t="s">
        <v>713</v>
      </c>
      <c r="Q77" s="108" t="s">
        <v>714</v>
      </c>
      <c r="R77" s="120" t="s">
        <v>715</v>
      </c>
      <c r="S77" s="99"/>
      <c r="T77" s="95" t="s">
        <v>228</v>
      </c>
      <c r="U77" s="100" t="s">
        <v>149</v>
      </c>
      <c r="V77" s="101" t="s">
        <v>157</v>
      </c>
      <c r="W77" s="101" t="s">
        <v>158</v>
      </c>
      <c r="X77" s="101" t="s">
        <v>159</v>
      </c>
      <c r="Y77" s="64"/>
      <c r="Z77" s="64"/>
      <c r="AA77" s="64"/>
      <c r="AB77" s="64"/>
      <c r="AC77" s="64"/>
      <c r="AD77" s="64"/>
      <c r="AE77" s="64"/>
      <c r="AF77" s="64"/>
      <c r="AG77" s="64"/>
    </row>
    <row r="78">
      <c r="A78" s="126">
        <f t="shared" si="3"/>
        <v>69</v>
      </c>
      <c r="B78" s="141" t="s">
        <v>716</v>
      </c>
      <c r="C78" s="134" t="s">
        <v>67</v>
      </c>
      <c r="D78" s="128" t="s">
        <v>717</v>
      </c>
      <c r="E78" s="135" t="s">
        <v>146</v>
      </c>
      <c r="F78" s="129" t="s">
        <v>322</v>
      </c>
      <c r="G78" s="130" t="s">
        <v>718</v>
      </c>
      <c r="H78" s="131" t="s">
        <v>149</v>
      </c>
      <c r="I78" s="93" t="s">
        <v>150</v>
      </c>
      <c r="J78" s="104" t="s">
        <v>719</v>
      </c>
      <c r="K78" s="145" t="s">
        <v>152</v>
      </c>
      <c r="L78" s="95"/>
      <c r="M78" s="96" t="s">
        <v>720</v>
      </c>
      <c r="N78" s="97" t="s">
        <v>154</v>
      </c>
      <c r="O78" s="98"/>
      <c r="P78" s="98"/>
      <c r="Q78" s="98"/>
      <c r="R78" s="98"/>
      <c r="S78" s="99"/>
      <c r="T78" s="95" t="s">
        <v>237</v>
      </c>
      <c r="U78" s="100" t="s">
        <v>149</v>
      </c>
      <c r="V78" s="101" t="s">
        <v>157</v>
      </c>
      <c r="W78" s="101" t="s">
        <v>158</v>
      </c>
      <c r="X78" s="101" t="s">
        <v>159</v>
      </c>
      <c r="Y78" s="64"/>
      <c r="Z78" s="64"/>
      <c r="AA78" s="64"/>
      <c r="AB78" s="64"/>
      <c r="AC78" s="64"/>
      <c r="AD78" s="64"/>
      <c r="AE78" s="64"/>
      <c r="AF78" s="64"/>
      <c r="AG78" s="64"/>
    </row>
    <row r="79">
      <c r="A79" s="126">
        <f t="shared" si="3"/>
        <v>70</v>
      </c>
      <c r="B79" s="141" t="s">
        <v>721</v>
      </c>
      <c r="C79" s="134" t="s">
        <v>67</v>
      </c>
      <c r="D79" s="128" t="s">
        <v>722</v>
      </c>
      <c r="E79" s="129" t="s">
        <v>351</v>
      </c>
      <c r="F79" s="129" t="s">
        <v>147</v>
      </c>
      <c r="G79" s="130" t="s">
        <v>723</v>
      </c>
      <c r="H79" s="131" t="s">
        <v>149</v>
      </c>
      <c r="I79" s="93" t="s">
        <v>165</v>
      </c>
      <c r="J79" s="114"/>
      <c r="K79" s="104"/>
      <c r="L79" s="95"/>
      <c r="M79" s="106" t="s">
        <v>196</v>
      </c>
      <c r="N79" s="107" t="s">
        <v>724</v>
      </c>
      <c r="O79" s="108" t="s">
        <v>725</v>
      </c>
      <c r="P79" s="108" t="s">
        <v>726</v>
      </c>
      <c r="Q79" s="108" t="s">
        <v>727</v>
      </c>
      <c r="R79" s="120" t="s">
        <v>728</v>
      </c>
      <c r="S79" s="99"/>
      <c r="T79" s="95" t="s">
        <v>245</v>
      </c>
      <c r="U79" s="100" t="s">
        <v>149</v>
      </c>
      <c r="V79" s="101" t="s">
        <v>157</v>
      </c>
      <c r="W79" s="101" t="s">
        <v>158</v>
      </c>
      <c r="X79" s="101" t="s">
        <v>159</v>
      </c>
      <c r="Y79" s="64"/>
      <c r="Z79" s="64"/>
      <c r="AA79" s="64"/>
      <c r="AB79" s="64"/>
      <c r="AC79" s="64"/>
      <c r="AD79" s="64"/>
      <c r="AE79" s="64"/>
      <c r="AF79" s="64"/>
      <c r="AG79" s="64"/>
    </row>
    <row r="80">
      <c r="A80" s="126">
        <f t="shared" si="3"/>
        <v>71</v>
      </c>
      <c r="B80" s="141" t="s">
        <v>729</v>
      </c>
      <c r="C80" s="134" t="s">
        <v>67</v>
      </c>
      <c r="D80" s="128" t="s">
        <v>730</v>
      </c>
      <c r="E80" s="135" t="s">
        <v>146</v>
      </c>
      <c r="F80" s="129" t="s">
        <v>731</v>
      </c>
      <c r="G80" s="130" t="s">
        <v>732</v>
      </c>
      <c r="H80" s="131" t="s">
        <v>149</v>
      </c>
      <c r="I80" s="93" t="s">
        <v>165</v>
      </c>
      <c r="J80" s="114"/>
      <c r="K80" s="104"/>
      <c r="L80" s="95"/>
      <c r="M80" s="106" t="s">
        <v>661</v>
      </c>
      <c r="N80" s="107" t="s">
        <v>733</v>
      </c>
      <c r="O80" s="108" t="s">
        <v>734</v>
      </c>
      <c r="P80" s="108" t="s">
        <v>735</v>
      </c>
      <c r="Q80" s="108" t="s">
        <v>736</v>
      </c>
      <c r="R80" s="120" t="s">
        <v>737</v>
      </c>
      <c r="S80" s="99"/>
      <c r="T80" s="95" t="s">
        <v>155</v>
      </c>
      <c r="U80" s="100" t="s">
        <v>156</v>
      </c>
      <c r="V80" s="101" t="s">
        <v>157</v>
      </c>
      <c r="W80" s="101" t="s">
        <v>158</v>
      </c>
      <c r="X80" s="101" t="s">
        <v>159</v>
      </c>
      <c r="Y80" s="64"/>
      <c r="Z80" s="64"/>
      <c r="AA80" s="64"/>
      <c r="AB80" s="64"/>
      <c r="AC80" s="64"/>
      <c r="AD80" s="64"/>
      <c r="AE80" s="64"/>
      <c r="AF80" s="64"/>
      <c r="AG80" s="64"/>
    </row>
    <row r="81">
      <c r="A81" s="126">
        <f t="shared" si="3"/>
        <v>72</v>
      </c>
      <c r="B81" s="151" t="s">
        <v>738</v>
      </c>
      <c r="C81" s="134" t="s">
        <v>67</v>
      </c>
      <c r="D81" s="128" t="s">
        <v>739</v>
      </c>
      <c r="E81" s="135" t="s">
        <v>146</v>
      </c>
      <c r="F81" s="129" t="s">
        <v>194</v>
      </c>
      <c r="G81" s="130" t="s">
        <v>740</v>
      </c>
      <c r="H81" s="131" t="s">
        <v>149</v>
      </c>
      <c r="I81" s="93" t="s">
        <v>165</v>
      </c>
      <c r="J81" s="114"/>
      <c r="K81" s="104"/>
      <c r="L81" s="95"/>
      <c r="M81" s="142" t="s">
        <v>168</v>
      </c>
      <c r="N81" s="107" t="s">
        <v>741</v>
      </c>
      <c r="O81" s="108" t="s">
        <v>333</v>
      </c>
      <c r="P81" s="108" t="s">
        <v>742</v>
      </c>
      <c r="Q81" s="108" t="s">
        <v>743</v>
      </c>
      <c r="R81" s="120" t="s">
        <v>744</v>
      </c>
      <c r="S81" s="99"/>
      <c r="T81" s="95" t="s">
        <v>174</v>
      </c>
      <c r="U81" s="100" t="s">
        <v>149</v>
      </c>
      <c r="V81" s="101" t="s">
        <v>157</v>
      </c>
      <c r="W81" s="101" t="s">
        <v>158</v>
      </c>
      <c r="X81" s="101" t="s">
        <v>159</v>
      </c>
      <c r="Y81" s="64"/>
      <c r="Z81" s="64"/>
      <c r="AA81" s="64"/>
      <c r="AB81" s="64"/>
      <c r="AC81" s="64"/>
      <c r="AD81" s="64"/>
      <c r="AE81" s="64"/>
      <c r="AF81" s="64"/>
      <c r="AG81" s="64"/>
    </row>
    <row r="82">
      <c r="A82" s="126">
        <f t="shared" si="3"/>
        <v>73</v>
      </c>
      <c r="B82" s="141" t="s">
        <v>745</v>
      </c>
      <c r="C82" s="134" t="s">
        <v>63</v>
      </c>
      <c r="D82" s="128" t="s">
        <v>746</v>
      </c>
      <c r="E82" s="129" t="s">
        <v>146</v>
      </c>
      <c r="F82" s="129" t="s">
        <v>376</v>
      </c>
      <c r="G82" s="130" t="s">
        <v>747</v>
      </c>
      <c r="H82" s="131" t="s">
        <v>149</v>
      </c>
      <c r="I82" s="93" t="s">
        <v>150</v>
      </c>
      <c r="J82" s="104" t="s">
        <v>324</v>
      </c>
      <c r="K82" s="125" t="s">
        <v>748</v>
      </c>
      <c r="L82" s="95"/>
      <c r="M82" s="96" t="s">
        <v>181</v>
      </c>
      <c r="N82" s="97" t="s">
        <v>154</v>
      </c>
      <c r="O82" s="98"/>
      <c r="P82" s="98"/>
      <c r="Q82" s="98"/>
      <c r="R82" s="98"/>
      <c r="S82" s="99"/>
      <c r="T82" s="95" t="s">
        <v>182</v>
      </c>
      <c r="U82" s="100" t="s">
        <v>149</v>
      </c>
      <c r="V82" s="101" t="s">
        <v>157</v>
      </c>
      <c r="W82" s="101" t="s">
        <v>158</v>
      </c>
      <c r="X82" s="101" t="s">
        <v>159</v>
      </c>
      <c r="Y82" s="64"/>
      <c r="Z82" s="64"/>
      <c r="AA82" s="64"/>
      <c r="AB82" s="64"/>
      <c r="AC82" s="64"/>
      <c r="AD82" s="64"/>
      <c r="AE82" s="64"/>
      <c r="AF82" s="64"/>
      <c r="AG82" s="64"/>
    </row>
    <row r="83">
      <c r="A83" s="126">
        <f t="shared" si="3"/>
        <v>74</v>
      </c>
      <c r="B83" s="141" t="s">
        <v>749</v>
      </c>
      <c r="C83" s="134" t="s">
        <v>67</v>
      </c>
      <c r="D83" s="128" t="s">
        <v>750</v>
      </c>
      <c r="E83" s="129" t="s">
        <v>146</v>
      </c>
      <c r="F83" s="129" t="s">
        <v>194</v>
      </c>
      <c r="G83" s="130" t="s">
        <v>751</v>
      </c>
      <c r="H83" s="131" t="s">
        <v>149</v>
      </c>
      <c r="I83" s="93" t="s">
        <v>165</v>
      </c>
      <c r="J83" s="114"/>
      <c r="K83" s="104"/>
      <c r="L83" s="95"/>
      <c r="M83" s="142" t="s">
        <v>499</v>
      </c>
      <c r="N83" s="107" t="s">
        <v>752</v>
      </c>
      <c r="O83" s="108" t="s">
        <v>753</v>
      </c>
      <c r="P83" s="108" t="s">
        <v>754</v>
      </c>
      <c r="Q83" s="108" t="s">
        <v>755</v>
      </c>
      <c r="R83" s="120" t="s">
        <v>756</v>
      </c>
      <c r="S83" s="99"/>
      <c r="T83" s="95" t="s">
        <v>190</v>
      </c>
      <c r="U83" s="100" t="s">
        <v>149</v>
      </c>
      <c r="V83" s="101" t="s">
        <v>157</v>
      </c>
      <c r="W83" s="101" t="s">
        <v>158</v>
      </c>
      <c r="X83" s="101" t="s">
        <v>159</v>
      </c>
      <c r="Y83" s="64"/>
      <c r="Z83" s="64"/>
      <c r="AA83" s="64"/>
      <c r="AB83" s="64"/>
      <c r="AC83" s="64"/>
      <c r="AD83" s="64"/>
      <c r="AE83" s="64"/>
      <c r="AF83" s="64"/>
      <c r="AG83" s="64"/>
    </row>
    <row r="84">
      <c r="A84" s="126">
        <f t="shared" si="3"/>
        <v>75</v>
      </c>
      <c r="B84" s="136" t="s">
        <v>757</v>
      </c>
      <c r="C84" s="126" t="s">
        <v>63</v>
      </c>
      <c r="D84" s="128" t="s">
        <v>758</v>
      </c>
      <c r="E84" s="129" t="s">
        <v>351</v>
      </c>
      <c r="F84" s="129" t="s">
        <v>124</v>
      </c>
      <c r="G84" s="130" t="s">
        <v>759</v>
      </c>
      <c r="H84" s="131" t="s">
        <v>149</v>
      </c>
      <c r="I84" s="93" t="s">
        <v>165</v>
      </c>
      <c r="J84" s="114"/>
      <c r="K84" s="104"/>
      <c r="L84" s="95"/>
      <c r="M84" s="106" t="s">
        <v>153</v>
      </c>
      <c r="N84" s="107" t="s">
        <v>760</v>
      </c>
      <c r="O84" s="108" t="str">
        <f>IFERROR(__xludf.DUMMYFUNCTION("IFERROR(REGEXEXTRACT(TRIM(N84),""^\S+""),"""")
"),"Nick")</f>
        <v>Nick</v>
      </c>
      <c r="P84" s="108" t="str">
        <f>IFERROR(__xludf.DUMMYFUNCTION("IFERROR(TRIM(REGEXREPLACE(TRIM(N84),""^\S+\s*"","""")),"""")
"),"Nigam")</f>
        <v>Nigam</v>
      </c>
      <c r="Q84" s="108" t="s">
        <v>761</v>
      </c>
      <c r="R84" s="120" t="s">
        <v>762</v>
      </c>
      <c r="S84" s="99"/>
      <c r="T84" s="95" t="s">
        <v>202</v>
      </c>
      <c r="U84" s="100" t="s">
        <v>149</v>
      </c>
      <c r="V84" s="101" t="s">
        <v>157</v>
      </c>
      <c r="W84" s="101" t="s">
        <v>158</v>
      </c>
      <c r="X84" s="101" t="s">
        <v>159</v>
      </c>
      <c r="Y84" s="64"/>
      <c r="Z84" s="64"/>
      <c r="AA84" s="64"/>
      <c r="AB84" s="64"/>
      <c r="AC84" s="64"/>
      <c r="AD84" s="64"/>
      <c r="AE84" s="64"/>
      <c r="AF84" s="64"/>
      <c r="AG84" s="64"/>
    </row>
    <row r="85">
      <c r="A85" s="126">
        <f t="shared" si="3"/>
        <v>76</v>
      </c>
      <c r="B85" s="127" t="s">
        <v>763</v>
      </c>
      <c r="C85" s="134" t="s">
        <v>67</v>
      </c>
      <c r="D85" s="155" t="s">
        <v>764</v>
      </c>
      <c r="E85" s="135" t="s">
        <v>146</v>
      </c>
      <c r="F85" s="129" t="s">
        <v>147</v>
      </c>
      <c r="G85" s="130" t="s">
        <v>765</v>
      </c>
      <c r="H85" s="131" t="s">
        <v>149</v>
      </c>
      <c r="I85" s="93" t="s">
        <v>165</v>
      </c>
      <c r="J85" s="114"/>
      <c r="K85" s="104"/>
      <c r="L85" s="95"/>
      <c r="M85" s="106" t="s">
        <v>661</v>
      </c>
      <c r="N85" s="107" t="s">
        <v>766</v>
      </c>
      <c r="O85" s="108" t="s">
        <v>767</v>
      </c>
      <c r="P85" s="108" t="s">
        <v>768</v>
      </c>
      <c r="Q85" s="108" t="s">
        <v>769</v>
      </c>
      <c r="R85" s="120" t="s">
        <v>770</v>
      </c>
      <c r="S85" s="99"/>
      <c r="T85" s="95" t="s">
        <v>211</v>
      </c>
      <c r="U85" s="100" t="s">
        <v>149</v>
      </c>
      <c r="V85" s="101" t="s">
        <v>157</v>
      </c>
      <c r="W85" s="101" t="s">
        <v>158</v>
      </c>
      <c r="X85" s="101" t="s">
        <v>159</v>
      </c>
      <c r="Y85" s="64"/>
      <c r="Z85" s="64"/>
      <c r="AA85" s="64"/>
      <c r="AB85" s="64"/>
      <c r="AC85" s="64"/>
      <c r="AD85" s="64"/>
      <c r="AE85" s="64"/>
      <c r="AF85" s="64"/>
      <c r="AG85" s="64"/>
    </row>
    <row r="86">
      <c r="A86" s="100">
        <v>77.0</v>
      </c>
      <c r="B86" s="136" t="s">
        <v>771</v>
      </c>
      <c r="C86" s="134" t="s">
        <v>67</v>
      </c>
      <c r="D86" s="128" t="s">
        <v>772</v>
      </c>
      <c r="E86" s="135" t="s">
        <v>282</v>
      </c>
      <c r="F86" s="129" t="s">
        <v>124</v>
      </c>
      <c r="G86" s="130" t="s">
        <v>773</v>
      </c>
      <c r="H86" s="131" t="s">
        <v>149</v>
      </c>
      <c r="I86" s="93" t="s">
        <v>165</v>
      </c>
      <c r="J86" s="114"/>
      <c r="K86" s="104"/>
      <c r="L86" s="95"/>
      <c r="M86" s="106" t="s">
        <v>430</v>
      </c>
      <c r="N86" s="107" t="s">
        <v>774</v>
      </c>
      <c r="O86" s="108" t="s">
        <v>775</v>
      </c>
      <c r="P86" s="108" t="s">
        <v>776</v>
      </c>
      <c r="Q86" s="108" t="s">
        <v>777</v>
      </c>
      <c r="R86" s="120" t="s">
        <v>778</v>
      </c>
      <c r="S86" s="99"/>
      <c r="T86" s="95" t="s">
        <v>218</v>
      </c>
      <c r="U86" s="100" t="s">
        <v>149</v>
      </c>
      <c r="V86" s="101" t="s">
        <v>157</v>
      </c>
      <c r="W86" s="101" t="s">
        <v>158</v>
      </c>
      <c r="X86" s="101" t="s">
        <v>159</v>
      </c>
      <c r="Y86" s="64"/>
      <c r="Z86" s="64"/>
      <c r="AA86" s="64"/>
      <c r="AB86" s="64"/>
      <c r="AC86" s="64"/>
      <c r="AD86" s="64"/>
      <c r="AE86" s="64"/>
      <c r="AF86" s="64"/>
      <c r="AG86" s="64"/>
    </row>
    <row r="87">
      <c r="A87" s="126">
        <f t="shared" ref="A87:A92" si="4">IF(ISBLANK(B87),"",COUNTA($B$9:B86))</f>
        <v>78</v>
      </c>
      <c r="B87" s="151" t="s">
        <v>779</v>
      </c>
      <c r="C87" s="134" t="s">
        <v>67</v>
      </c>
      <c r="D87" s="128" t="s">
        <v>780</v>
      </c>
      <c r="E87" s="135" t="s">
        <v>146</v>
      </c>
      <c r="F87" s="129" t="s">
        <v>194</v>
      </c>
      <c r="G87" s="130" t="s">
        <v>781</v>
      </c>
      <c r="H87" s="131" t="s">
        <v>149</v>
      </c>
      <c r="I87" s="93" t="s">
        <v>165</v>
      </c>
      <c r="J87" s="114"/>
      <c r="K87" s="104"/>
      <c r="L87" s="95"/>
      <c r="M87" s="106" t="s">
        <v>782</v>
      </c>
      <c r="N87" s="107" t="s">
        <v>783</v>
      </c>
      <c r="O87" s="108" t="s">
        <v>784</v>
      </c>
      <c r="P87" s="108" t="s">
        <v>785</v>
      </c>
      <c r="Q87" s="108" t="s">
        <v>786</v>
      </c>
      <c r="R87" s="120" t="s">
        <v>787</v>
      </c>
      <c r="S87" s="99"/>
      <c r="T87" s="95" t="s">
        <v>228</v>
      </c>
      <c r="U87" s="100" t="s">
        <v>149</v>
      </c>
      <c r="V87" s="101" t="s">
        <v>157</v>
      </c>
      <c r="W87" s="101" t="s">
        <v>158</v>
      </c>
      <c r="X87" s="101" t="s">
        <v>159</v>
      </c>
      <c r="Y87" s="64"/>
      <c r="Z87" s="64"/>
      <c r="AA87" s="64"/>
      <c r="AB87" s="64"/>
      <c r="AC87" s="64"/>
      <c r="AD87" s="64"/>
      <c r="AE87" s="64"/>
      <c r="AF87" s="64"/>
      <c r="AG87" s="64"/>
    </row>
    <row r="88">
      <c r="A88" s="126">
        <f t="shared" si="4"/>
        <v>79</v>
      </c>
      <c r="B88" s="136" t="s">
        <v>788</v>
      </c>
      <c r="C88" s="106" t="s">
        <v>63</v>
      </c>
      <c r="D88" s="158" t="s">
        <v>789</v>
      </c>
      <c r="E88" s="159" t="s">
        <v>351</v>
      </c>
      <c r="F88" s="159" t="s">
        <v>790</v>
      </c>
      <c r="G88" s="160" t="s">
        <v>791</v>
      </c>
      <c r="H88" s="131" t="s">
        <v>149</v>
      </c>
      <c r="I88" s="93" t="s">
        <v>165</v>
      </c>
      <c r="J88" s="114"/>
      <c r="K88" s="104"/>
      <c r="L88" s="95"/>
      <c r="M88" s="106" t="s">
        <v>196</v>
      </c>
      <c r="N88" s="107" t="s">
        <v>792</v>
      </c>
      <c r="O88" s="108" t="s">
        <v>793</v>
      </c>
      <c r="P88" s="108" t="s">
        <v>794</v>
      </c>
      <c r="Q88" s="108" t="s">
        <v>795</v>
      </c>
      <c r="R88" s="120" t="s">
        <v>796</v>
      </c>
      <c r="S88" s="99"/>
      <c r="T88" s="95" t="s">
        <v>237</v>
      </c>
      <c r="U88" s="100" t="s">
        <v>149</v>
      </c>
      <c r="V88" s="101" t="s">
        <v>157</v>
      </c>
      <c r="W88" s="101" t="s">
        <v>158</v>
      </c>
      <c r="X88" s="101" t="s">
        <v>159</v>
      </c>
      <c r="Y88" s="64"/>
      <c r="Z88" s="64"/>
      <c r="AA88" s="64"/>
      <c r="AB88" s="64"/>
      <c r="AC88" s="64"/>
      <c r="AD88" s="64"/>
      <c r="AE88" s="64"/>
      <c r="AF88" s="64"/>
      <c r="AG88" s="64"/>
    </row>
    <row r="89">
      <c r="A89" s="126">
        <f t="shared" si="4"/>
        <v>80</v>
      </c>
      <c r="B89" s="136" t="s">
        <v>797</v>
      </c>
      <c r="C89" s="106" t="s">
        <v>63</v>
      </c>
      <c r="D89" s="128" t="s">
        <v>798</v>
      </c>
      <c r="E89" s="129" t="s">
        <v>351</v>
      </c>
      <c r="F89" s="129" t="s">
        <v>322</v>
      </c>
      <c r="G89" s="130" t="s">
        <v>799</v>
      </c>
      <c r="H89" s="131" t="s">
        <v>149</v>
      </c>
      <c r="I89" s="93" t="s">
        <v>165</v>
      </c>
      <c r="J89" s="114"/>
      <c r="K89" s="104"/>
      <c r="L89" s="95"/>
      <c r="M89" s="106" t="s">
        <v>196</v>
      </c>
      <c r="N89" s="124" t="s">
        <v>800</v>
      </c>
      <c r="O89" s="108" t="s">
        <v>801</v>
      </c>
      <c r="P89" s="108" t="s">
        <v>802</v>
      </c>
      <c r="Q89" s="108" t="s">
        <v>803</v>
      </c>
      <c r="R89" s="120" t="s">
        <v>804</v>
      </c>
      <c r="S89" s="99"/>
      <c r="T89" s="95" t="s">
        <v>245</v>
      </c>
      <c r="U89" s="100" t="s">
        <v>149</v>
      </c>
      <c r="V89" s="101" t="s">
        <v>157</v>
      </c>
      <c r="W89" s="101" t="s">
        <v>158</v>
      </c>
      <c r="X89" s="101" t="s">
        <v>159</v>
      </c>
      <c r="Y89" s="64"/>
      <c r="Z89" s="64"/>
      <c r="AA89" s="64"/>
      <c r="AB89" s="64"/>
      <c r="AC89" s="64"/>
      <c r="AD89" s="64"/>
      <c r="AE89" s="64"/>
      <c r="AF89" s="64"/>
      <c r="AG89" s="64"/>
    </row>
    <row r="90">
      <c r="A90" s="126">
        <f t="shared" si="4"/>
        <v>81</v>
      </c>
      <c r="B90" s="136" t="s">
        <v>788</v>
      </c>
      <c r="C90" s="126" t="s">
        <v>63</v>
      </c>
      <c r="D90" s="158" t="s">
        <v>789</v>
      </c>
      <c r="E90" s="159" t="s">
        <v>351</v>
      </c>
      <c r="F90" s="159" t="s">
        <v>790</v>
      </c>
      <c r="G90" s="160" t="s">
        <v>805</v>
      </c>
      <c r="H90" s="131" t="s">
        <v>149</v>
      </c>
      <c r="I90" s="161" t="s">
        <v>165</v>
      </c>
      <c r="J90" s="114"/>
      <c r="K90" s="104"/>
      <c r="L90" s="95"/>
      <c r="M90" s="106" t="s">
        <v>196</v>
      </c>
      <c r="N90" s="107" t="s">
        <v>792</v>
      </c>
      <c r="O90" s="108" t="s">
        <v>793</v>
      </c>
      <c r="P90" s="108" t="s">
        <v>794</v>
      </c>
      <c r="Q90" s="108" t="s">
        <v>795</v>
      </c>
      <c r="R90" s="120" t="s">
        <v>796</v>
      </c>
      <c r="S90" s="99"/>
      <c r="T90" s="95" t="s">
        <v>190</v>
      </c>
      <c r="U90" s="100" t="s">
        <v>149</v>
      </c>
      <c r="V90" s="101" t="s">
        <v>157</v>
      </c>
      <c r="W90" s="101" t="s">
        <v>158</v>
      </c>
      <c r="X90" s="101" t="s">
        <v>159</v>
      </c>
      <c r="Y90" s="64"/>
      <c r="Z90" s="64"/>
      <c r="AA90" s="64"/>
      <c r="AB90" s="64"/>
      <c r="AC90" s="64"/>
      <c r="AD90" s="64"/>
      <c r="AE90" s="64"/>
      <c r="AF90" s="64"/>
      <c r="AG90" s="64"/>
    </row>
    <row r="91">
      <c r="A91" s="126">
        <f t="shared" si="4"/>
        <v>82</v>
      </c>
      <c r="B91" s="136" t="s">
        <v>797</v>
      </c>
      <c r="C91" s="126" t="s">
        <v>63</v>
      </c>
      <c r="D91" s="128" t="s">
        <v>798</v>
      </c>
      <c r="E91" s="129" t="s">
        <v>351</v>
      </c>
      <c r="F91" s="129" t="s">
        <v>322</v>
      </c>
      <c r="G91" s="130" t="s">
        <v>806</v>
      </c>
      <c r="H91" s="131" t="s">
        <v>149</v>
      </c>
      <c r="I91" s="161" t="s">
        <v>165</v>
      </c>
      <c r="J91" s="114"/>
      <c r="K91" s="104"/>
      <c r="L91" s="95"/>
      <c r="M91" s="106" t="s">
        <v>196</v>
      </c>
      <c r="N91" s="124" t="s">
        <v>800</v>
      </c>
      <c r="O91" s="108" t="s">
        <v>801</v>
      </c>
      <c r="P91" s="108" t="s">
        <v>802</v>
      </c>
      <c r="Q91" s="108" t="s">
        <v>803</v>
      </c>
      <c r="R91" s="120" t="s">
        <v>804</v>
      </c>
      <c r="S91" s="99"/>
      <c r="T91" s="95" t="s">
        <v>202</v>
      </c>
      <c r="U91" s="100" t="s">
        <v>149</v>
      </c>
      <c r="V91" s="101" t="s">
        <v>157</v>
      </c>
      <c r="W91" s="101" t="s">
        <v>158</v>
      </c>
      <c r="X91" s="101" t="s">
        <v>159</v>
      </c>
      <c r="Y91" s="64"/>
      <c r="Z91" s="64"/>
      <c r="AA91" s="64"/>
      <c r="AB91" s="64"/>
      <c r="AC91" s="64"/>
      <c r="AD91" s="64"/>
      <c r="AE91" s="64"/>
      <c r="AF91" s="64"/>
      <c r="AG91" s="64"/>
    </row>
    <row r="92">
      <c r="A92" s="126">
        <f t="shared" si="4"/>
        <v>83</v>
      </c>
      <c r="B92" s="132" t="s">
        <v>807</v>
      </c>
      <c r="C92" s="126" t="s">
        <v>265</v>
      </c>
      <c r="D92" s="128" t="s">
        <v>808</v>
      </c>
      <c r="E92" s="129" t="s">
        <v>267</v>
      </c>
      <c r="F92" s="129" t="s">
        <v>124</v>
      </c>
      <c r="G92" s="130" t="s">
        <v>809</v>
      </c>
      <c r="H92" s="131" t="s">
        <v>149</v>
      </c>
      <c r="I92" s="161" t="s">
        <v>165</v>
      </c>
      <c r="J92" s="114"/>
      <c r="K92" s="104"/>
      <c r="L92" s="95"/>
      <c r="M92" s="106" t="s">
        <v>367</v>
      </c>
      <c r="N92" s="107" t="s">
        <v>810</v>
      </c>
      <c r="O92" s="108" t="s">
        <v>811</v>
      </c>
      <c r="P92" s="108" t="s">
        <v>812</v>
      </c>
      <c r="Q92" s="108" t="s">
        <v>813</v>
      </c>
      <c r="R92" s="120" t="s">
        <v>814</v>
      </c>
      <c r="S92" s="99"/>
      <c r="T92" s="95" t="s">
        <v>211</v>
      </c>
      <c r="U92" s="100" t="s">
        <v>149</v>
      </c>
      <c r="V92" s="101" t="s">
        <v>157</v>
      </c>
      <c r="W92" s="101" t="s">
        <v>158</v>
      </c>
      <c r="X92" s="101" t="s">
        <v>159</v>
      </c>
      <c r="Y92" s="64"/>
      <c r="Z92" s="64"/>
      <c r="AA92" s="64"/>
      <c r="AB92" s="64"/>
      <c r="AC92" s="64"/>
      <c r="AD92" s="64"/>
      <c r="AE92" s="64"/>
      <c r="AF92" s="64"/>
      <c r="AG92" s="64"/>
    </row>
    <row r="93">
      <c r="A93" s="126">
        <v>84.0</v>
      </c>
      <c r="B93" s="141" t="s">
        <v>815</v>
      </c>
      <c r="C93" s="134" t="s">
        <v>63</v>
      </c>
      <c r="D93" s="128" t="s">
        <v>816</v>
      </c>
      <c r="E93" s="135" t="s">
        <v>146</v>
      </c>
      <c r="F93" s="129" t="s">
        <v>194</v>
      </c>
      <c r="G93" s="130" t="s">
        <v>817</v>
      </c>
      <c r="H93" s="131" t="s">
        <v>149</v>
      </c>
      <c r="I93" s="161" t="s">
        <v>165</v>
      </c>
      <c r="J93" s="114"/>
      <c r="K93" s="104"/>
      <c r="L93" s="95"/>
      <c r="M93" s="106" t="s">
        <v>818</v>
      </c>
      <c r="N93" s="107" t="s">
        <v>819</v>
      </c>
      <c r="O93" s="108" t="s">
        <v>820</v>
      </c>
      <c r="P93" s="108" t="s">
        <v>821</v>
      </c>
      <c r="Q93" s="108" t="s">
        <v>822</v>
      </c>
      <c r="R93" s="120" t="s">
        <v>823</v>
      </c>
      <c r="S93" s="99"/>
      <c r="T93" s="95" t="s">
        <v>218</v>
      </c>
      <c r="U93" s="100" t="s">
        <v>149</v>
      </c>
      <c r="V93" s="101" t="s">
        <v>157</v>
      </c>
      <c r="W93" s="101" t="s">
        <v>158</v>
      </c>
      <c r="X93" s="101" t="s">
        <v>159</v>
      </c>
      <c r="Y93" s="64"/>
      <c r="Z93" s="64"/>
      <c r="AA93" s="64"/>
      <c r="AB93" s="64"/>
      <c r="AC93" s="64"/>
      <c r="AD93" s="64"/>
      <c r="AE93" s="64"/>
      <c r="AF93" s="64"/>
      <c r="AG93" s="64"/>
    </row>
    <row r="94">
      <c r="A94" s="126">
        <f>IF(ISBLANK(B94),"",COUNTA($B$9:B93))</f>
        <v>85</v>
      </c>
      <c r="B94" s="136" t="s">
        <v>824</v>
      </c>
      <c r="C94" s="126" t="s">
        <v>63</v>
      </c>
      <c r="D94" s="128" t="s">
        <v>825</v>
      </c>
      <c r="E94" s="129" t="s">
        <v>146</v>
      </c>
      <c r="F94" s="129" t="s">
        <v>194</v>
      </c>
      <c r="G94" s="130" t="s">
        <v>826</v>
      </c>
      <c r="H94" s="131" t="s">
        <v>149</v>
      </c>
      <c r="I94" s="161" t="s">
        <v>165</v>
      </c>
      <c r="J94" s="114"/>
      <c r="K94" s="104"/>
      <c r="L94" s="95"/>
      <c r="M94" s="106" t="s">
        <v>827</v>
      </c>
      <c r="N94" s="107" t="s">
        <v>828</v>
      </c>
      <c r="O94" s="108" t="s">
        <v>829</v>
      </c>
      <c r="P94" s="108" t="s">
        <v>830</v>
      </c>
      <c r="Q94" s="108" t="s">
        <v>831</v>
      </c>
      <c r="R94" s="120" t="s">
        <v>832</v>
      </c>
      <c r="S94" s="99"/>
      <c r="T94" s="95" t="s">
        <v>190</v>
      </c>
      <c r="U94" s="100" t="s">
        <v>149</v>
      </c>
      <c r="V94" s="101" t="s">
        <v>157</v>
      </c>
      <c r="W94" s="101" t="s">
        <v>158</v>
      </c>
      <c r="X94" s="101" t="s">
        <v>159</v>
      </c>
      <c r="Y94" s="64"/>
      <c r="Z94" s="64"/>
      <c r="AA94" s="64"/>
      <c r="AB94" s="64"/>
      <c r="AC94" s="64"/>
      <c r="AD94" s="64"/>
      <c r="AE94" s="64"/>
      <c r="AF94" s="64"/>
      <c r="AG94" s="64"/>
    </row>
    <row r="95">
      <c r="A95" s="100">
        <v>86.0</v>
      </c>
      <c r="B95" s="136" t="s">
        <v>833</v>
      </c>
      <c r="C95" s="126" t="s">
        <v>63</v>
      </c>
      <c r="D95" s="128" t="s">
        <v>834</v>
      </c>
      <c r="E95" s="129" t="s">
        <v>835</v>
      </c>
      <c r="F95" s="129" t="s">
        <v>124</v>
      </c>
      <c r="G95" s="130" t="s">
        <v>836</v>
      </c>
      <c r="H95" s="131" t="s">
        <v>149</v>
      </c>
      <c r="I95" s="161" t="s">
        <v>165</v>
      </c>
      <c r="J95" s="114"/>
      <c r="K95" s="104"/>
      <c r="L95" s="95"/>
      <c r="M95" s="106" t="s">
        <v>153</v>
      </c>
      <c r="N95" s="107" t="s">
        <v>837</v>
      </c>
      <c r="O95" s="108" t="s">
        <v>838</v>
      </c>
      <c r="P95" s="108" t="s">
        <v>839</v>
      </c>
      <c r="Q95" s="108" t="s">
        <v>840</v>
      </c>
      <c r="R95" s="120" t="s">
        <v>841</v>
      </c>
      <c r="S95" s="99"/>
      <c r="T95" s="95" t="s">
        <v>202</v>
      </c>
      <c r="U95" s="100" t="s">
        <v>149</v>
      </c>
      <c r="V95" s="101" t="s">
        <v>157</v>
      </c>
      <c r="W95" s="101" t="s">
        <v>158</v>
      </c>
      <c r="X95" s="101" t="s">
        <v>159</v>
      </c>
      <c r="Y95" s="64"/>
      <c r="Z95" s="64"/>
      <c r="AA95" s="64"/>
      <c r="AB95" s="64"/>
      <c r="AC95" s="64"/>
      <c r="AD95" s="64"/>
      <c r="AE95" s="64"/>
      <c r="AF95" s="64"/>
      <c r="AG95" s="64"/>
    </row>
    <row r="96">
      <c r="A96" s="126">
        <f t="shared" ref="A96:A106" si="5">IF(ISBLANK(B96),"",COUNTA($B$9:B95))</f>
        <v>87</v>
      </c>
      <c r="B96" s="136" t="s">
        <v>842</v>
      </c>
      <c r="C96" s="126" t="s">
        <v>63</v>
      </c>
      <c r="D96" s="128" t="s">
        <v>843</v>
      </c>
      <c r="E96" s="129" t="s">
        <v>146</v>
      </c>
      <c r="F96" s="129" t="s">
        <v>124</v>
      </c>
      <c r="G96" s="130" t="s">
        <v>844</v>
      </c>
      <c r="H96" s="131" t="s">
        <v>149</v>
      </c>
      <c r="I96" s="161" t="s">
        <v>165</v>
      </c>
      <c r="J96" s="114"/>
      <c r="K96" s="104"/>
      <c r="L96" s="95"/>
      <c r="M96" s="159" t="s">
        <v>153</v>
      </c>
      <c r="N96" s="162" t="s">
        <v>845</v>
      </c>
      <c r="O96" s="163" t="s">
        <v>734</v>
      </c>
      <c r="P96" s="163" t="s">
        <v>846</v>
      </c>
      <c r="Q96" s="163" t="s">
        <v>847</v>
      </c>
      <c r="R96" s="164" t="s">
        <v>848</v>
      </c>
      <c r="S96" s="99"/>
      <c r="T96" s="95" t="s">
        <v>211</v>
      </c>
      <c r="U96" s="100" t="s">
        <v>149</v>
      </c>
      <c r="V96" s="101" t="s">
        <v>157</v>
      </c>
      <c r="W96" s="101" t="s">
        <v>158</v>
      </c>
      <c r="X96" s="101" t="s">
        <v>159</v>
      </c>
      <c r="Y96" s="64"/>
      <c r="Z96" s="64"/>
      <c r="AA96" s="64"/>
      <c r="AB96" s="64"/>
      <c r="AC96" s="64"/>
      <c r="AD96" s="64"/>
      <c r="AE96" s="64"/>
      <c r="AF96" s="64"/>
      <c r="AG96" s="64"/>
    </row>
    <row r="97">
      <c r="A97" s="126">
        <f t="shared" si="5"/>
        <v>88</v>
      </c>
      <c r="B97" s="136" t="s">
        <v>849</v>
      </c>
      <c r="C97" s="126" t="s">
        <v>265</v>
      </c>
      <c r="D97" s="128" t="s">
        <v>850</v>
      </c>
      <c r="E97" s="129" t="s">
        <v>351</v>
      </c>
      <c r="F97" s="129" t="s">
        <v>124</v>
      </c>
      <c r="G97" s="130" t="s">
        <v>851</v>
      </c>
      <c r="H97" s="131" t="s">
        <v>149</v>
      </c>
      <c r="I97" s="161" t="s">
        <v>165</v>
      </c>
      <c r="J97" s="114"/>
      <c r="K97" s="104"/>
      <c r="L97" s="95"/>
      <c r="M97" s="129" t="s">
        <v>852</v>
      </c>
      <c r="N97" s="162" t="s">
        <v>853</v>
      </c>
      <c r="O97" s="163" t="str">
        <f>IFERROR(__xludf.DUMMYFUNCTION("IFERROR(REGEXEXTRACT(TRIM(N97),""^\S+""),"""")
"),"Reade")</f>
        <v>Reade</v>
      </c>
      <c r="P97" s="163" t="str">
        <f>IFERROR(__xludf.DUMMYFUNCTION("IFERROR(TRIM(REGEXREPLACE(TRIM(N97),""^\S+\s*"","""")),"""")
"),"Griffith")</f>
        <v>Griffith</v>
      </c>
      <c r="Q97" s="163" t="s">
        <v>854</v>
      </c>
      <c r="R97" s="164" t="s">
        <v>855</v>
      </c>
      <c r="S97" s="99"/>
      <c r="T97" s="95" t="s">
        <v>218</v>
      </c>
      <c r="U97" s="100" t="s">
        <v>149</v>
      </c>
      <c r="V97" s="101" t="s">
        <v>157</v>
      </c>
      <c r="W97" s="101" t="s">
        <v>158</v>
      </c>
      <c r="X97" s="101" t="s">
        <v>159</v>
      </c>
      <c r="Y97" s="64"/>
      <c r="Z97" s="64"/>
      <c r="AA97" s="64"/>
      <c r="AB97" s="64"/>
      <c r="AC97" s="64"/>
      <c r="AD97" s="64"/>
      <c r="AE97" s="64"/>
      <c r="AF97" s="64"/>
      <c r="AG97" s="64"/>
    </row>
    <row r="98">
      <c r="A98" s="126">
        <f t="shared" si="5"/>
        <v>89</v>
      </c>
      <c r="B98" s="136" t="s">
        <v>856</v>
      </c>
      <c r="C98" s="126" t="s">
        <v>63</v>
      </c>
      <c r="D98" s="128" t="s">
        <v>857</v>
      </c>
      <c r="E98" s="129" t="s">
        <v>146</v>
      </c>
      <c r="F98" s="129" t="s">
        <v>376</v>
      </c>
      <c r="G98" s="130" t="s">
        <v>858</v>
      </c>
      <c r="H98" s="131" t="s">
        <v>149</v>
      </c>
      <c r="I98" s="161" t="s">
        <v>165</v>
      </c>
      <c r="J98" s="114"/>
      <c r="K98" s="104"/>
      <c r="L98" s="95"/>
      <c r="M98" s="129" t="s">
        <v>859</v>
      </c>
      <c r="N98" s="162" t="s">
        <v>860</v>
      </c>
      <c r="O98" s="163" t="str">
        <f>IFERROR(__xludf.DUMMYFUNCTION("IFERROR(REGEXEXTRACT(TRIM(N98),""^\S+""),"""")
"),"Ben")</f>
        <v>Ben</v>
      </c>
      <c r="P98" s="163" t="str">
        <f>IFERROR(__xludf.DUMMYFUNCTION("IFERROR(TRIM(REGEXREPLACE(TRIM(N98),""^\S+\s*"","""")),"""")
"),"Rifkin")</f>
        <v>Rifkin</v>
      </c>
      <c r="Q98" s="163" t="s">
        <v>861</v>
      </c>
      <c r="R98" s="164" t="s">
        <v>862</v>
      </c>
      <c r="S98" s="99"/>
      <c r="T98" s="95" t="s">
        <v>218</v>
      </c>
      <c r="U98" s="100" t="s">
        <v>149</v>
      </c>
      <c r="V98" s="101" t="s">
        <v>157</v>
      </c>
      <c r="W98" s="101" t="s">
        <v>158</v>
      </c>
      <c r="X98" s="101" t="s">
        <v>159</v>
      </c>
      <c r="Y98" s="64"/>
      <c r="Z98" s="64"/>
      <c r="AA98" s="64"/>
      <c r="AB98" s="64"/>
      <c r="AC98" s="64"/>
      <c r="AD98" s="64"/>
      <c r="AE98" s="64"/>
      <c r="AF98" s="64"/>
      <c r="AG98" s="64"/>
    </row>
    <row r="99">
      <c r="A99" s="126">
        <f t="shared" si="5"/>
        <v>90</v>
      </c>
      <c r="B99" s="136" t="s">
        <v>863</v>
      </c>
      <c r="C99" s="106" t="s">
        <v>265</v>
      </c>
      <c r="D99" s="128" t="s">
        <v>864</v>
      </c>
      <c r="E99" s="129" t="s">
        <v>865</v>
      </c>
      <c r="F99" s="129" t="s">
        <v>124</v>
      </c>
      <c r="G99" s="130" t="s">
        <v>866</v>
      </c>
      <c r="H99" s="131" t="s">
        <v>149</v>
      </c>
      <c r="I99" s="161" t="s">
        <v>187</v>
      </c>
      <c r="J99" s="165" t="s">
        <v>867</v>
      </c>
      <c r="K99" s="166"/>
      <c r="L99" s="166"/>
      <c r="M99" s="167" t="s">
        <v>217</v>
      </c>
      <c r="N99" s="97" t="s">
        <v>154</v>
      </c>
      <c r="O99" s="98"/>
      <c r="P99" s="98"/>
      <c r="Q99" s="98"/>
      <c r="R99" s="98"/>
      <c r="S99" s="99"/>
      <c r="T99" s="95" t="s">
        <v>218</v>
      </c>
      <c r="U99" s="100" t="s">
        <v>149</v>
      </c>
      <c r="V99" s="101" t="s">
        <v>157</v>
      </c>
      <c r="W99" s="101" t="s">
        <v>158</v>
      </c>
      <c r="X99" s="101" t="s">
        <v>159</v>
      </c>
      <c r="Y99" s="64"/>
      <c r="Z99" s="64"/>
      <c r="AA99" s="64"/>
      <c r="AB99" s="64"/>
      <c r="AC99" s="64"/>
      <c r="AD99" s="64"/>
      <c r="AE99" s="64"/>
      <c r="AF99" s="64"/>
      <c r="AG99" s="64"/>
    </row>
    <row r="100">
      <c r="A100" s="126">
        <f t="shared" si="5"/>
        <v>91</v>
      </c>
      <c r="B100" s="127" t="s">
        <v>868</v>
      </c>
      <c r="C100" s="106" t="s">
        <v>63</v>
      </c>
      <c r="D100" s="128" t="s">
        <v>869</v>
      </c>
      <c r="E100" s="129" t="s">
        <v>146</v>
      </c>
      <c r="F100" s="129" t="s">
        <v>870</v>
      </c>
      <c r="G100" s="168" t="s">
        <v>871</v>
      </c>
      <c r="H100" s="131" t="s">
        <v>149</v>
      </c>
      <c r="I100" s="169" t="s">
        <v>165</v>
      </c>
      <c r="J100" s="170"/>
      <c r="K100" s="170"/>
      <c r="L100" s="170"/>
      <c r="M100" s="129" t="s">
        <v>168</v>
      </c>
      <c r="N100" s="162" t="s">
        <v>872</v>
      </c>
      <c r="O100" s="163" t="s">
        <v>873</v>
      </c>
      <c r="P100" s="163" t="s">
        <v>874</v>
      </c>
      <c r="Q100" s="163" t="s">
        <v>875</v>
      </c>
      <c r="R100" s="164" t="s">
        <v>876</v>
      </c>
      <c r="S100" s="99"/>
      <c r="T100" s="95" t="s">
        <v>218</v>
      </c>
      <c r="U100" s="100" t="s">
        <v>149</v>
      </c>
      <c r="V100" s="101" t="s">
        <v>157</v>
      </c>
      <c r="W100" s="101" t="s">
        <v>158</v>
      </c>
      <c r="X100" s="101" t="s">
        <v>159</v>
      </c>
      <c r="Y100" s="64"/>
      <c r="Z100" s="64"/>
      <c r="AA100" s="64"/>
      <c r="AB100" s="64"/>
      <c r="AC100" s="64"/>
      <c r="AD100" s="64"/>
      <c r="AE100" s="64"/>
      <c r="AF100" s="64"/>
      <c r="AG100" s="64"/>
    </row>
    <row r="101">
      <c r="A101" s="126">
        <f t="shared" si="5"/>
        <v>92</v>
      </c>
      <c r="B101" s="127" t="s">
        <v>877</v>
      </c>
      <c r="C101" s="106" t="s">
        <v>63</v>
      </c>
      <c r="D101" s="158" t="s">
        <v>878</v>
      </c>
      <c r="E101" s="159" t="s">
        <v>351</v>
      </c>
      <c r="F101" s="159" t="s">
        <v>194</v>
      </c>
      <c r="G101" s="168" t="s">
        <v>879</v>
      </c>
      <c r="H101" s="131" t="s">
        <v>149</v>
      </c>
      <c r="I101" s="169" t="s">
        <v>165</v>
      </c>
      <c r="J101" s="171"/>
      <c r="K101" s="171"/>
      <c r="L101" s="171"/>
      <c r="M101" s="159" t="s">
        <v>499</v>
      </c>
      <c r="N101" s="162" t="s">
        <v>880</v>
      </c>
      <c r="O101" s="163" t="s">
        <v>881</v>
      </c>
      <c r="P101" s="163" t="s">
        <v>882</v>
      </c>
      <c r="Q101" s="163" t="s">
        <v>883</v>
      </c>
      <c r="R101" s="164" t="s">
        <v>884</v>
      </c>
      <c r="S101" s="99"/>
      <c r="T101" s="95" t="s">
        <v>218</v>
      </c>
      <c r="U101" s="100" t="s">
        <v>149</v>
      </c>
      <c r="V101" s="101" t="s">
        <v>157</v>
      </c>
      <c r="W101" s="101" t="s">
        <v>158</v>
      </c>
      <c r="X101" s="101" t="s">
        <v>159</v>
      </c>
      <c r="Y101" s="64"/>
      <c r="Z101" s="64"/>
      <c r="AA101" s="64"/>
      <c r="AB101" s="64"/>
      <c r="AC101" s="64"/>
      <c r="AD101" s="64"/>
      <c r="AE101" s="64"/>
      <c r="AF101" s="64"/>
      <c r="AG101" s="64"/>
    </row>
    <row r="102">
      <c r="A102" s="126">
        <f t="shared" si="5"/>
        <v>93</v>
      </c>
      <c r="B102" s="132" t="s">
        <v>885</v>
      </c>
      <c r="C102" s="106" t="s">
        <v>63</v>
      </c>
      <c r="D102" s="128" t="s">
        <v>886</v>
      </c>
      <c r="E102" s="129" t="s">
        <v>282</v>
      </c>
      <c r="F102" s="129" t="s">
        <v>322</v>
      </c>
      <c r="G102" s="168" t="s">
        <v>887</v>
      </c>
      <c r="H102" s="131" t="s">
        <v>149</v>
      </c>
      <c r="I102" s="169" t="s">
        <v>165</v>
      </c>
      <c r="J102" s="170"/>
      <c r="K102" s="170"/>
      <c r="L102" s="170"/>
      <c r="M102" s="129" t="s">
        <v>168</v>
      </c>
      <c r="N102" s="162" t="s">
        <v>888</v>
      </c>
      <c r="O102" s="163" t="s">
        <v>889</v>
      </c>
      <c r="P102" s="163" t="s">
        <v>890</v>
      </c>
      <c r="Q102" s="163" t="s">
        <v>891</v>
      </c>
      <c r="R102" s="164" t="s">
        <v>892</v>
      </c>
      <c r="S102" s="99"/>
      <c r="T102" s="95" t="s">
        <v>218</v>
      </c>
      <c r="U102" s="100" t="s">
        <v>149</v>
      </c>
      <c r="V102" s="101" t="s">
        <v>157</v>
      </c>
      <c r="W102" s="101" t="s">
        <v>158</v>
      </c>
      <c r="X102" s="101" t="s">
        <v>159</v>
      </c>
      <c r="Y102" s="64"/>
      <c r="Z102" s="64"/>
      <c r="AA102" s="64"/>
      <c r="AB102" s="64"/>
      <c r="AC102" s="64"/>
      <c r="AD102" s="64"/>
      <c r="AE102" s="64"/>
      <c r="AF102" s="64"/>
      <c r="AG102" s="64"/>
    </row>
    <row r="103">
      <c r="A103" s="126">
        <f t="shared" si="5"/>
        <v>94</v>
      </c>
      <c r="B103" s="133" t="s">
        <v>893</v>
      </c>
      <c r="C103" s="106" t="s">
        <v>63</v>
      </c>
      <c r="D103" s="158" t="s">
        <v>894</v>
      </c>
      <c r="E103" s="159" t="s">
        <v>895</v>
      </c>
      <c r="F103" s="159" t="s">
        <v>124</v>
      </c>
      <c r="G103" s="172" t="s">
        <v>896</v>
      </c>
      <c r="H103" s="131" t="s">
        <v>149</v>
      </c>
      <c r="I103" s="169" t="s">
        <v>165</v>
      </c>
      <c r="J103" s="171"/>
      <c r="K103" s="171"/>
      <c r="L103" s="171"/>
      <c r="M103" s="159" t="s">
        <v>897</v>
      </c>
      <c r="N103" s="162" t="s">
        <v>898</v>
      </c>
      <c r="O103" s="163" t="s">
        <v>899</v>
      </c>
      <c r="P103" s="163" t="s">
        <v>900</v>
      </c>
      <c r="Q103" s="163" t="s">
        <v>901</v>
      </c>
      <c r="R103" s="164" t="s">
        <v>902</v>
      </c>
      <c r="S103" s="99"/>
      <c r="T103" s="95" t="s">
        <v>218</v>
      </c>
      <c r="U103" s="100" t="s">
        <v>149</v>
      </c>
      <c r="V103" s="101" t="s">
        <v>157</v>
      </c>
      <c r="W103" s="101" t="s">
        <v>158</v>
      </c>
      <c r="X103" s="101" t="s">
        <v>159</v>
      </c>
      <c r="Y103" s="64"/>
      <c r="Z103" s="64"/>
      <c r="AA103" s="64"/>
      <c r="AB103" s="64"/>
      <c r="AC103" s="64"/>
      <c r="AD103" s="64"/>
      <c r="AE103" s="64"/>
      <c r="AF103" s="64"/>
      <c r="AG103" s="64"/>
    </row>
    <row r="104">
      <c r="A104" s="126">
        <f t="shared" si="5"/>
        <v>95</v>
      </c>
      <c r="B104" s="136" t="s">
        <v>903</v>
      </c>
      <c r="C104" s="106" t="s">
        <v>63</v>
      </c>
      <c r="D104" s="128" t="s">
        <v>904</v>
      </c>
      <c r="E104" s="173" t="s">
        <v>905</v>
      </c>
      <c r="F104" s="129" t="s">
        <v>124</v>
      </c>
      <c r="G104" s="168" t="s">
        <v>906</v>
      </c>
      <c r="H104" s="131" t="s">
        <v>149</v>
      </c>
      <c r="I104" s="169" t="s">
        <v>165</v>
      </c>
      <c r="J104" s="170"/>
      <c r="K104" s="170"/>
      <c r="L104" s="170"/>
      <c r="M104" s="129" t="s">
        <v>907</v>
      </c>
      <c r="N104" s="162" t="s">
        <v>908</v>
      </c>
      <c r="O104" s="163" t="s">
        <v>909</v>
      </c>
      <c r="P104" s="163" t="s">
        <v>910</v>
      </c>
      <c r="Q104" s="163" t="s">
        <v>911</v>
      </c>
      <c r="R104" s="164" t="s">
        <v>912</v>
      </c>
      <c r="S104" s="99"/>
      <c r="T104" s="95" t="s">
        <v>218</v>
      </c>
      <c r="U104" s="100" t="s">
        <v>149</v>
      </c>
      <c r="V104" s="101" t="s">
        <v>157</v>
      </c>
      <c r="W104" s="101" t="s">
        <v>158</v>
      </c>
      <c r="X104" s="101" t="s">
        <v>159</v>
      </c>
      <c r="Y104" s="64"/>
      <c r="Z104" s="64"/>
      <c r="AA104" s="64"/>
      <c r="AB104" s="64"/>
      <c r="AC104" s="64"/>
      <c r="AD104" s="64"/>
      <c r="AE104" s="64"/>
      <c r="AF104" s="64"/>
      <c r="AG104" s="64"/>
    </row>
    <row r="105">
      <c r="A105" s="126">
        <f t="shared" si="5"/>
        <v>96</v>
      </c>
      <c r="B105" s="127" t="s">
        <v>913</v>
      </c>
      <c r="C105" s="106" t="s">
        <v>63</v>
      </c>
      <c r="D105" s="158" t="s">
        <v>914</v>
      </c>
      <c r="E105" s="159" t="s">
        <v>221</v>
      </c>
      <c r="F105" s="159" t="s">
        <v>124</v>
      </c>
      <c r="G105" s="172" t="s">
        <v>915</v>
      </c>
      <c r="H105" s="131" t="s">
        <v>149</v>
      </c>
      <c r="I105" s="169" t="s">
        <v>165</v>
      </c>
      <c r="J105" s="171"/>
      <c r="K105" s="171"/>
      <c r="L105" s="171"/>
      <c r="M105" s="159" t="s">
        <v>916</v>
      </c>
      <c r="N105" s="162" t="s">
        <v>917</v>
      </c>
      <c r="O105" s="163" t="s">
        <v>918</v>
      </c>
      <c r="P105" s="163" t="s">
        <v>919</v>
      </c>
      <c r="Q105" s="163" t="s">
        <v>920</v>
      </c>
      <c r="R105" s="164" t="s">
        <v>921</v>
      </c>
      <c r="S105" s="99"/>
      <c r="T105" s="95" t="s">
        <v>218</v>
      </c>
      <c r="U105" s="100" t="s">
        <v>149</v>
      </c>
      <c r="V105" s="101" t="s">
        <v>157</v>
      </c>
      <c r="W105" s="101" t="s">
        <v>158</v>
      </c>
      <c r="X105" s="101" t="s">
        <v>159</v>
      </c>
      <c r="Y105" s="64"/>
      <c r="Z105" s="64"/>
      <c r="AA105" s="64"/>
      <c r="AB105" s="64"/>
      <c r="AC105" s="64"/>
      <c r="AD105" s="64"/>
      <c r="AE105" s="64"/>
      <c r="AF105" s="64"/>
      <c r="AG105" s="64"/>
    </row>
    <row r="106">
      <c r="A106" s="126">
        <f t="shared" si="5"/>
        <v>97</v>
      </c>
      <c r="B106" s="127" t="s">
        <v>922</v>
      </c>
      <c r="C106" s="106" t="s">
        <v>63</v>
      </c>
      <c r="D106" s="128" t="s">
        <v>923</v>
      </c>
      <c r="E106" s="129" t="s">
        <v>924</v>
      </c>
      <c r="F106" s="129" t="s">
        <v>322</v>
      </c>
      <c r="G106" s="168" t="s">
        <v>925</v>
      </c>
      <c r="H106" s="131" t="s">
        <v>149</v>
      </c>
      <c r="I106" s="169" t="s">
        <v>165</v>
      </c>
      <c r="J106" s="170"/>
      <c r="K106" s="170"/>
      <c r="L106" s="170"/>
      <c r="M106" s="129" t="s">
        <v>926</v>
      </c>
      <c r="N106" s="162" t="s">
        <v>927</v>
      </c>
      <c r="O106" s="163" t="s">
        <v>928</v>
      </c>
      <c r="P106" s="163" t="s">
        <v>929</v>
      </c>
      <c r="Q106" s="163" t="s">
        <v>930</v>
      </c>
      <c r="R106" s="164" t="s">
        <v>931</v>
      </c>
      <c r="S106" s="99"/>
      <c r="T106" s="95" t="s">
        <v>218</v>
      </c>
      <c r="U106" s="100" t="s">
        <v>149</v>
      </c>
      <c r="V106" s="101" t="s">
        <v>157</v>
      </c>
      <c r="W106" s="101" t="s">
        <v>158</v>
      </c>
      <c r="X106" s="101" t="s">
        <v>159</v>
      </c>
      <c r="Y106" s="64"/>
      <c r="Z106" s="64"/>
      <c r="AA106" s="64"/>
      <c r="AB106" s="64"/>
      <c r="AC106" s="64"/>
      <c r="AD106" s="64"/>
      <c r="AE106" s="64"/>
      <c r="AF106" s="64"/>
      <c r="AG106" s="64"/>
    </row>
    <row r="107">
      <c r="A107" s="126">
        <v>103.0</v>
      </c>
      <c r="B107" s="136" t="s">
        <v>932</v>
      </c>
      <c r="C107" s="106" t="s">
        <v>67</v>
      </c>
      <c r="D107" s="158" t="s">
        <v>933</v>
      </c>
      <c r="E107" s="159" t="s">
        <v>351</v>
      </c>
      <c r="F107" s="159" t="s">
        <v>934</v>
      </c>
      <c r="G107" s="172" t="s">
        <v>935</v>
      </c>
      <c r="H107" s="131" t="s">
        <v>149</v>
      </c>
      <c r="I107" s="169" t="s">
        <v>165</v>
      </c>
      <c r="J107" s="174"/>
      <c r="K107" s="174"/>
      <c r="L107" s="174"/>
      <c r="M107" s="159" t="s">
        <v>936</v>
      </c>
      <c r="N107" s="175" t="s">
        <v>937</v>
      </c>
      <c r="O107" s="163" t="s">
        <v>938</v>
      </c>
      <c r="P107" s="163" t="s">
        <v>939</v>
      </c>
      <c r="Q107" s="163" t="s">
        <v>940</v>
      </c>
      <c r="R107" s="164" t="s">
        <v>941</v>
      </c>
      <c r="S107" s="99"/>
      <c r="T107" s="95" t="s">
        <v>218</v>
      </c>
      <c r="U107" s="100" t="s">
        <v>149</v>
      </c>
      <c r="V107" s="101" t="s">
        <v>157</v>
      </c>
      <c r="W107" s="101" t="s">
        <v>158</v>
      </c>
      <c r="X107" s="101" t="s">
        <v>159</v>
      </c>
      <c r="Y107" s="64"/>
      <c r="Z107" s="64"/>
      <c r="AA107" s="64"/>
      <c r="AB107" s="64"/>
      <c r="AC107" s="64"/>
      <c r="AD107" s="64"/>
      <c r="AE107" s="64"/>
      <c r="AF107" s="64"/>
      <c r="AG107" s="64"/>
    </row>
    <row r="108">
      <c r="A108" s="126">
        <v>104.0</v>
      </c>
      <c r="B108" s="127" t="s">
        <v>942</v>
      </c>
      <c r="C108" s="106" t="s">
        <v>63</v>
      </c>
      <c r="D108" s="176" t="s">
        <v>943</v>
      </c>
      <c r="E108" s="106" t="s">
        <v>708</v>
      </c>
      <c r="F108" s="106" t="s">
        <v>322</v>
      </c>
      <c r="G108" s="177" t="s">
        <v>944</v>
      </c>
      <c r="H108" s="126" t="s">
        <v>149</v>
      </c>
      <c r="I108" s="178" t="s">
        <v>165</v>
      </c>
      <c r="J108" s="179"/>
      <c r="K108" s="179"/>
      <c r="L108" s="179"/>
      <c r="M108" s="106" t="s">
        <v>945</v>
      </c>
      <c r="N108" s="107" t="s">
        <v>946</v>
      </c>
      <c r="O108" s="108" t="s">
        <v>947</v>
      </c>
      <c r="P108" s="108" t="s">
        <v>948</v>
      </c>
      <c r="Q108" s="108" t="s">
        <v>949</v>
      </c>
      <c r="R108" s="120" t="s">
        <v>950</v>
      </c>
      <c r="S108" s="99"/>
      <c r="T108" s="95" t="s">
        <v>218</v>
      </c>
      <c r="U108" s="100" t="s">
        <v>149</v>
      </c>
      <c r="V108" s="101" t="s">
        <v>157</v>
      </c>
      <c r="W108" s="101" t="s">
        <v>158</v>
      </c>
      <c r="X108" s="101" t="s">
        <v>159</v>
      </c>
      <c r="Y108" s="64"/>
      <c r="Z108" s="64"/>
      <c r="AA108" s="64"/>
      <c r="AB108" s="64"/>
      <c r="AC108" s="64"/>
      <c r="AD108" s="64"/>
      <c r="AE108" s="64"/>
      <c r="AF108" s="64"/>
      <c r="AG108" s="64"/>
    </row>
    <row r="109">
      <c r="A109" s="126">
        <v>105.0</v>
      </c>
      <c r="B109" s="127" t="s">
        <v>951</v>
      </c>
      <c r="C109" s="106" t="s">
        <v>63</v>
      </c>
      <c r="D109" s="176" t="s">
        <v>952</v>
      </c>
      <c r="E109" s="106" t="s">
        <v>905</v>
      </c>
      <c r="F109" s="106" t="s">
        <v>322</v>
      </c>
      <c r="G109" s="177" t="s">
        <v>953</v>
      </c>
      <c r="H109" s="126" t="s">
        <v>149</v>
      </c>
      <c r="I109" s="178" t="s">
        <v>165</v>
      </c>
      <c r="J109" s="179"/>
      <c r="K109" s="179"/>
      <c r="L109" s="179"/>
      <c r="M109" s="106" t="s">
        <v>954</v>
      </c>
      <c r="N109" s="107" t="s">
        <v>955</v>
      </c>
      <c r="O109" s="108" t="s">
        <v>956</v>
      </c>
      <c r="P109" s="108" t="s">
        <v>957</v>
      </c>
      <c r="Q109" s="108" t="s">
        <v>958</v>
      </c>
      <c r="R109" s="120" t="s">
        <v>959</v>
      </c>
      <c r="S109" s="99"/>
      <c r="T109" s="95" t="s">
        <v>218</v>
      </c>
      <c r="U109" s="100" t="s">
        <v>149</v>
      </c>
      <c r="V109" s="101" t="s">
        <v>157</v>
      </c>
      <c r="W109" s="101" t="s">
        <v>158</v>
      </c>
      <c r="X109" s="101" t="s">
        <v>159</v>
      </c>
      <c r="Y109" s="64"/>
      <c r="Z109" s="64"/>
      <c r="AA109" s="64"/>
      <c r="AB109" s="64"/>
      <c r="AC109" s="64"/>
      <c r="AD109" s="64"/>
      <c r="AE109" s="64"/>
      <c r="AF109" s="64"/>
      <c r="AG109" s="64"/>
    </row>
    <row r="110">
      <c r="A110" s="126">
        <v>106.0</v>
      </c>
      <c r="B110" s="133" t="s">
        <v>960</v>
      </c>
      <c r="C110" s="106" t="s">
        <v>63</v>
      </c>
      <c r="D110" s="176" t="s">
        <v>961</v>
      </c>
      <c r="E110" s="106" t="s">
        <v>962</v>
      </c>
      <c r="F110" s="106" t="s">
        <v>124</v>
      </c>
      <c r="G110" s="180" t="s">
        <v>963</v>
      </c>
      <c r="H110" s="126" t="s">
        <v>149</v>
      </c>
      <c r="I110" s="178" t="s">
        <v>165</v>
      </c>
      <c r="J110" s="179"/>
      <c r="K110" s="179"/>
      <c r="L110" s="179"/>
      <c r="M110" s="106" t="s">
        <v>153</v>
      </c>
      <c r="N110" s="107" t="s">
        <v>964</v>
      </c>
      <c r="O110" s="108" t="s">
        <v>333</v>
      </c>
      <c r="P110" s="108" t="s">
        <v>965</v>
      </c>
      <c r="Q110" s="108" t="s">
        <v>966</v>
      </c>
      <c r="R110" s="120" t="s">
        <v>967</v>
      </c>
      <c r="S110" s="99"/>
      <c r="T110" s="95" t="s">
        <v>218</v>
      </c>
      <c r="U110" s="100" t="s">
        <v>149</v>
      </c>
      <c r="V110" s="101" t="s">
        <v>157</v>
      </c>
      <c r="W110" s="101" t="s">
        <v>158</v>
      </c>
      <c r="X110" s="101" t="s">
        <v>159</v>
      </c>
      <c r="Y110" s="64"/>
      <c r="Z110" s="64"/>
      <c r="AA110" s="64"/>
      <c r="AB110" s="64"/>
      <c r="AC110" s="64"/>
      <c r="AD110" s="64"/>
      <c r="AE110" s="64"/>
      <c r="AF110" s="64"/>
      <c r="AG110" s="64"/>
    </row>
    <row r="111">
      <c r="A111" s="64"/>
      <c r="B111" s="64"/>
      <c r="C111" s="64"/>
      <c r="D111" s="64"/>
      <c r="E111" s="65"/>
      <c r="F111" s="64"/>
      <c r="G111" s="67"/>
      <c r="H111" s="64"/>
      <c r="I111" s="64"/>
      <c r="J111" s="64"/>
      <c r="K111" s="64"/>
      <c r="L111" s="65"/>
      <c r="M111" s="64"/>
      <c r="N111" s="64"/>
      <c r="O111" s="64"/>
      <c r="P111" s="64"/>
      <c r="Q111" s="64"/>
      <c r="R111" s="64"/>
      <c r="S111" s="64"/>
      <c r="T111" s="65"/>
      <c r="U111" s="64"/>
      <c r="V111" s="64"/>
      <c r="W111" s="64"/>
      <c r="X111" s="64"/>
      <c r="Y111" s="64"/>
      <c r="Z111" s="64"/>
      <c r="AA111" s="64"/>
      <c r="AB111" s="64"/>
      <c r="AC111" s="64"/>
      <c r="AD111" s="64"/>
      <c r="AE111" s="64"/>
      <c r="AF111" s="64"/>
      <c r="AG111" s="64"/>
    </row>
    <row r="112">
      <c r="A112" s="64"/>
      <c r="B112" s="64"/>
      <c r="C112" s="64"/>
      <c r="D112" s="64"/>
      <c r="E112" s="65"/>
      <c r="F112" s="64"/>
      <c r="G112" s="67"/>
      <c r="H112" s="64"/>
      <c r="I112" s="64"/>
      <c r="J112" s="64"/>
      <c r="K112" s="64"/>
      <c r="L112" s="65"/>
      <c r="M112" s="64"/>
      <c r="N112" s="64"/>
      <c r="O112" s="64"/>
      <c r="P112" s="64"/>
      <c r="Q112" s="64"/>
      <c r="R112" s="64"/>
      <c r="S112" s="64"/>
      <c r="T112" s="65"/>
      <c r="U112" s="64"/>
      <c r="V112" s="64"/>
      <c r="W112" s="64"/>
      <c r="X112" s="64"/>
      <c r="Y112" s="64"/>
      <c r="Z112" s="64"/>
      <c r="AA112" s="64"/>
      <c r="AB112" s="64"/>
      <c r="AC112" s="64"/>
      <c r="AD112" s="64"/>
      <c r="AE112" s="64"/>
      <c r="AF112" s="64"/>
      <c r="AG112" s="64"/>
    </row>
    <row r="113">
      <c r="A113" s="64"/>
      <c r="B113" s="64"/>
      <c r="C113" s="64"/>
      <c r="D113" s="64"/>
      <c r="E113" s="65"/>
      <c r="F113" s="64"/>
      <c r="G113" s="67"/>
      <c r="H113" s="64"/>
      <c r="I113" s="64"/>
      <c r="J113" s="64"/>
      <c r="K113" s="64"/>
      <c r="L113" s="65"/>
      <c r="M113" s="64"/>
      <c r="N113" s="64"/>
      <c r="O113" s="64"/>
      <c r="P113" s="64"/>
      <c r="Q113" s="64"/>
      <c r="R113" s="64"/>
      <c r="S113" s="64"/>
      <c r="T113" s="65"/>
      <c r="U113" s="64"/>
      <c r="V113" s="64"/>
      <c r="W113" s="64"/>
      <c r="X113" s="64"/>
      <c r="Y113" s="64"/>
      <c r="Z113" s="64"/>
      <c r="AA113" s="64"/>
      <c r="AB113" s="64"/>
      <c r="AC113" s="64"/>
      <c r="AD113" s="64"/>
      <c r="AE113" s="64"/>
      <c r="AF113" s="64"/>
      <c r="AG113" s="64"/>
    </row>
    <row r="114">
      <c r="A114" s="64"/>
      <c r="B114" s="64"/>
      <c r="C114" s="64"/>
      <c r="D114" s="64"/>
      <c r="E114" s="65"/>
      <c r="F114" s="64"/>
      <c r="G114" s="67"/>
      <c r="H114" s="64"/>
      <c r="I114" s="64"/>
      <c r="J114" s="64"/>
      <c r="K114" s="64"/>
      <c r="L114" s="65"/>
      <c r="M114" s="64"/>
      <c r="N114" s="64"/>
      <c r="O114" s="64"/>
      <c r="P114" s="64"/>
      <c r="Q114" s="64"/>
      <c r="R114" s="64"/>
      <c r="S114" s="64"/>
      <c r="T114" s="65"/>
      <c r="U114" s="64"/>
      <c r="V114" s="64"/>
      <c r="W114" s="64"/>
      <c r="X114" s="64"/>
      <c r="Y114" s="64"/>
      <c r="Z114" s="64"/>
      <c r="AA114" s="64"/>
      <c r="AB114" s="64"/>
      <c r="AC114" s="64"/>
      <c r="AD114" s="64"/>
      <c r="AE114" s="64"/>
      <c r="AF114" s="64"/>
      <c r="AG114" s="64"/>
    </row>
    <row r="115">
      <c r="A115" s="64"/>
      <c r="B115" s="64"/>
      <c r="C115" s="64"/>
      <c r="D115" s="64"/>
      <c r="E115" s="65"/>
      <c r="F115" s="64"/>
      <c r="G115" s="67"/>
      <c r="H115" s="64"/>
      <c r="I115" s="64"/>
      <c r="J115" s="64"/>
      <c r="K115" s="64"/>
      <c r="L115" s="65"/>
      <c r="M115" s="64"/>
      <c r="N115" s="64"/>
      <c r="O115" s="64"/>
      <c r="P115" s="64"/>
      <c r="Q115" s="64"/>
      <c r="R115" s="64"/>
      <c r="S115" s="64"/>
      <c r="T115" s="65"/>
      <c r="U115" s="64"/>
      <c r="V115" s="64"/>
      <c r="W115" s="64"/>
      <c r="X115" s="64"/>
      <c r="Y115" s="64"/>
      <c r="Z115" s="64"/>
      <c r="AA115" s="64"/>
      <c r="AB115" s="64"/>
      <c r="AC115" s="64"/>
      <c r="AD115" s="64"/>
      <c r="AE115" s="64"/>
      <c r="AF115" s="64"/>
      <c r="AG115" s="64"/>
    </row>
    <row r="116">
      <c r="A116" s="64"/>
      <c r="B116" s="64"/>
      <c r="C116" s="64"/>
      <c r="D116" s="64"/>
      <c r="E116" s="65"/>
      <c r="F116" s="64"/>
      <c r="G116" s="67"/>
      <c r="H116" s="64"/>
      <c r="I116" s="64"/>
      <c r="J116" s="64"/>
      <c r="K116" s="64"/>
      <c r="L116" s="65"/>
      <c r="M116" s="64"/>
      <c r="N116" s="64"/>
      <c r="O116" s="64"/>
      <c r="P116" s="64"/>
      <c r="Q116" s="64"/>
      <c r="R116" s="64"/>
      <c r="S116" s="64"/>
      <c r="T116" s="65"/>
      <c r="U116" s="64"/>
      <c r="V116" s="64"/>
      <c r="W116" s="64"/>
      <c r="X116" s="64"/>
      <c r="Y116" s="64"/>
      <c r="Z116" s="64"/>
      <c r="AA116" s="64"/>
      <c r="AB116" s="64"/>
      <c r="AC116" s="64"/>
      <c r="AD116" s="64"/>
      <c r="AE116" s="64"/>
      <c r="AF116" s="64"/>
      <c r="AG116" s="64"/>
    </row>
    <row r="117">
      <c r="A117" s="64"/>
      <c r="B117" s="64"/>
      <c r="C117" s="64"/>
      <c r="D117" s="64"/>
      <c r="E117" s="65"/>
      <c r="F117" s="64"/>
      <c r="G117" s="67"/>
      <c r="H117" s="64"/>
      <c r="I117" s="64"/>
      <c r="J117" s="64"/>
      <c r="K117" s="64"/>
      <c r="L117" s="65"/>
      <c r="M117" s="64"/>
      <c r="N117" s="64"/>
      <c r="O117" s="64"/>
      <c r="P117" s="64"/>
      <c r="Q117" s="64"/>
      <c r="R117" s="64"/>
      <c r="S117" s="64"/>
      <c r="T117" s="65"/>
      <c r="U117" s="64"/>
      <c r="V117" s="64"/>
      <c r="W117" s="64"/>
      <c r="X117" s="64"/>
      <c r="Y117" s="64"/>
      <c r="Z117" s="64"/>
      <c r="AA117" s="64"/>
      <c r="AB117" s="64"/>
      <c r="AC117" s="64"/>
      <c r="AD117" s="64"/>
      <c r="AE117" s="64"/>
      <c r="AF117" s="64"/>
      <c r="AG117" s="64"/>
    </row>
    <row r="118">
      <c r="A118" s="64"/>
      <c r="B118" s="64"/>
      <c r="C118" s="64"/>
      <c r="D118" s="64"/>
      <c r="E118" s="65"/>
      <c r="F118" s="64"/>
      <c r="G118" s="67"/>
      <c r="H118" s="64"/>
      <c r="I118" s="64"/>
      <c r="J118" s="64"/>
      <c r="K118" s="64"/>
      <c r="L118" s="65"/>
      <c r="M118" s="64"/>
      <c r="N118" s="64"/>
      <c r="O118" s="64"/>
      <c r="P118" s="64"/>
      <c r="Q118" s="64"/>
      <c r="R118" s="64"/>
      <c r="S118" s="64"/>
      <c r="T118" s="65"/>
      <c r="U118" s="64"/>
      <c r="V118" s="64"/>
      <c r="W118" s="64"/>
      <c r="X118" s="64"/>
      <c r="Y118" s="64"/>
      <c r="Z118" s="64"/>
      <c r="AA118" s="64"/>
      <c r="AB118" s="64"/>
      <c r="AC118" s="64"/>
      <c r="AD118" s="64"/>
      <c r="AE118" s="64"/>
      <c r="AF118" s="64"/>
      <c r="AG118" s="64"/>
    </row>
    <row r="119">
      <c r="A119" s="64"/>
      <c r="B119" s="64"/>
      <c r="C119" s="64"/>
      <c r="D119" s="64"/>
      <c r="E119" s="65"/>
      <c r="F119" s="64"/>
      <c r="G119" s="67"/>
      <c r="H119" s="64"/>
      <c r="I119" s="64"/>
      <c r="J119" s="64"/>
      <c r="K119" s="64"/>
      <c r="L119" s="65"/>
      <c r="M119" s="64"/>
      <c r="N119" s="64"/>
      <c r="O119" s="64"/>
      <c r="P119" s="64"/>
      <c r="Q119" s="64"/>
      <c r="R119" s="64"/>
      <c r="S119" s="64"/>
      <c r="T119" s="65"/>
      <c r="U119" s="64"/>
      <c r="V119" s="64"/>
      <c r="W119" s="64"/>
      <c r="X119" s="64"/>
      <c r="Y119" s="64"/>
      <c r="Z119" s="64"/>
      <c r="AA119" s="64"/>
      <c r="AB119" s="64"/>
      <c r="AC119" s="64"/>
      <c r="AD119" s="64"/>
      <c r="AE119" s="64"/>
      <c r="AF119" s="64"/>
      <c r="AG119" s="64"/>
    </row>
    <row r="120">
      <c r="A120" s="64"/>
      <c r="B120" s="64"/>
      <c r="C120" s="64"/>
      <c r="D120" s="64"/>
      <c r="E120" s="65"/>
      <c r="F120" s="64"/>
      <c r="G120" s="67"/>
      <c r="H120" s="64"/>
      <c r="I120" s="64"/>
      <c r="J120" s="64"/>
      <c r="K120" s="64"/>
      <c r="L120" s="65"/>
      <c r="M120" s="64"/>
      <c r="N120" s="64"/>
      <c r="O120" s="64"/>
      <c r="P120" s="64"/>
      <c r="Q120" s="64"/>
      <c r="R120" s="64"/>
      <c r="S120" s="64"/>
      <c r="T120" s="65"/>
      <c r="U120" s="64"/>
      <c r="V120" s="64"/>
      <c r="W120" s="64"/>
      <c r="X120" s="64"/>
      <c r="Y120" s="64"/>
      <c r="Z120" s="64"/>
      <c r="AA120" s="64"/>
      <c r="AB120" s="64"/>
      <c r="AC120" s="64"/>
      <c r="AD120" s="64"/>
      <c r="AE120" s="64"/>
      <c r="AF120" s="64"/>
      <c r="AG120" s="64"/>
    </row>
    <row r="121">
      <c r="A121" s="64"/>
      <c r="B121" s="64"/>
      <c r="C121" s="64"/>
      <c r="D121" s="64"/>
      <c r="E121" s="65"/>
      <c r="F121" s="64"/>
      <c r="G121" s="67"/>
      <c r="H121" s="64"/>
      <c r="I121" s="64"/>
      <c r="J121" s="64"/>
      <c r="K121" s="64"/>
      <c r="L121" s="65"/>
      <c r="M121" s="64"/>
      <c r="N121" s="64"/>
      <c r="O121" s="64"/>
      <c r="P121" s="64"/>
      <c r="Q121" s="64"/>
      <c r="R121" s="64"/>
      <c r="S121" s="64"/>
      <c r="T121" s="65"/>
      <c r="U121" s="64"/>
      <c r="V121" s="64"/>
      <c r="W121" s="64"/>
      <c r="X121" s="64"/>
      <c r="Y121" s="64"/>
      <c r="Z121" s="64"/>
      <c r="AA121" s="64"/>
      <c r="AB121" s="64"/>
      <c r="AC121" s="64"/>
      <c r="AD121" s="64"/>
      <c r="AE121" s="64"/>
      <c r="AF121" s="64"/>
      <c r="AG121" s="64"/>
    </row>
    <row r="122">
      <c r="A122" s="64"/>
      <c r="B122" s="64"/>
      <c r="C122" s="64"/>
      <c r="D122" s="64"/>
      <c r="E122" s="65"/>
      <c r="F122" s="64"/>
      <c r="G122" s="67"/>
      <c r="H122" s="64"/>
      <c r="I122" s="64"/>
      <c r="J122" s="64"/>
      <c r="K122" s="64"/>
      <c r="L122" s="65"/>
      <c r="M122" s="64"/>
      <c r="N122" s="64"/>
      <c r="O122" s="64"/>
      <c r="P122" s="64"/>
      <c r="Q122" s="64"/>
      <c r="R122" s="64"/>
      <c r="S122" s="64"/>
      <c r="T122" s="65"/>
      <c r="U122" s="64"/>
      <c r="V122" s="64"/>
      <c r="W122" s="64"/>
      <c r="X122" s="64"/>
      <c r="Y122" s="64"/>
      <c r="Z122" s="64"/>
      <c r="AA122" s="64"/>
      <c r="AB122" s="64"/>
      <c r="AC122" s="64"/>
      <c r="AD122" s="64"/>
      <c r="AE122" s="64"/>
      <c r="AF122" s="64"/>
      <c r="AG122" s="64"/>
    </row>
    <row r="123">
      <c r="A123" s="64"/>
      <c r="B123" s="64"/>
      <c r="C123" s="64"/>
      <c r="D123" s="64"/>
      <c r="E123" s="65"/>
      <c r="F123" s="64"/>
      <c r="G123" s="67"/>
      <c r="H123" s="64"/>
      <c r="I123" s="64"/>
      <c r="J123" s="64"/>
      <c r="K123" s="64"/>
      <c r="L123" s="65"/>
      <c r="M123" s="64"/>
      <c r="N123" s="64"/>
      <c r="O123" s="64"/>
      <c r="P123" s="64"/>
      <c r="Q123" s="64"/>
      <c r="R123" s="64"/>
      <c r="S123" s="64"/>
      <c r="T123" s="65"/>
      <c r="U123" s="64"/>
      <c r="V123" s="64"/>
      <c r="W123" s="64"/>
      <c r="X123" s="64"/>
      <c r="Y123" s="64"/>
      <c r="Z123" s="64"/>
      <c r="AA123" s="64"/>
      <c r="AB123" s="64"/>
      <c r="AC123" s="64"/>
      <c r="AD123" s="64"/>
      <c r="AE123" s="64"/>
      <c r="AF123" s="64"/>
      <c r="AG123" s="64"/>
    </row>
    <row r="124">
      <c r="A124" s="64"/>
      <c r="B124" s="64"/>
      <c r="C124" s="64"/>
      <c r="D124" s="64"/>
      <c r="E124" s="65"/>
      <c r="F124" s="64"/>
      <c r="G124" s="67"/>
      <c r="H124" s="64"/>
      <c r="I124" s="64"/>
      <c r="J124" s="64"/>
      <c r="K124" s="64"/>
      <c r="L124" s="65"/>
      <c r="M124" s="64"/>
      <c r="N124" s="64"/>
      <c r="O124" s="64"/>
      <c r="P124" s="64"/>
      <c r="Q124" s="64"/>
      <c r="R124" s="64"/>
      <c r="S124" s="64"/>
      <c r="T124" s="65"/>
      <c r="U124" s="64"/>
      <c r="V124" s="64"/>
      <c r="W124" s="64"/>
      <c r="X124" s="64"/>
      <c r="Y124" s="64"/>
      <c r="Z124" s="64"/>
      <c r="AA124" s="64"/>
      <c r="AB124" s="64"/>
      <c r="AC124" s="64"/>
      <c r="AD124" s="64"/>
      <c r="AE124" s="64"/>
      <c r="AF124" s="64"/>
      <c r="AG124" s="64"/>
    </row>
    <row r="125">
      <c r="A125" s="64"/>
      <c r="B125" s="64"/>
      <c r="C125" s="64"/>
      <c r="D125" s="64"/>
      <c r="E125" s="65"/>
      <c r="F125" s="64"/>
      <c r="G125" s="67"/>
      <c r="H125" s="64"/>
      <c r="I125" s="64"/>
      <c r="J125" s="64"/>
      <c r="K125" s="64"/>
      <c r="L125" s="65"/>
      <c r="M125" s="64"/>
      <c r="N125" s="64"/>
      <c r="O125" s="64"/>
      <c r="P125" s="64"/>
      <c r="Q125" s="64"/>
      <c r="R125" s="64"/>
      <c r="S125" s="64"/>
      <c r="T125" s="65"/>
      <c r="U125" s="64"/>
      <c r="V125" s="64"/>
      <c r="W125" s="64"/>
      <c r="X125" s="64"/>
      <c r="Y125" s="64"/>
      <c r="Z125" s="64"/>
      <c r="AA125" s="64"/>
      <c r="AB125" s="64"/>
      <c r="AC125" s="64"/>
      <c r="AD125" s="64"/>
      <c r="AE125" s="64"/>
      <c r="AF125" s="64"/>
      <c r="AG125" s="64"/>
    </row>
    <row r="126">
      <c r="A126" s="64"/>
      <c r="B126" s="64"/>
      <c r="C126" s="64"/>
      <c r="D126" s="64"/>
      <c r="E126" s="65"/>
      <c r="F126" s="64"/>
      <c r="G126" s="67"/>
      <c r="H126" s="64"/>
      <c r="I126" s="64"/>
      <c r="J126" s="64"/>
      <c r="K126" s="64"/>
      <c r="L126" s="65"/>
      <c r="M126" s="64"/>
      <c r="N126" s="64"/>
      <c r="O126" s="64"/>
      <c r="P126" s="64"/>
      <c r="Q126" s="64"/>
      <c r="R126" s="64"/>
      <c r="S126" s="64"/>
      <c r="T126" s="65"/>
      <c r="U126" s="64"/>
      <c r="V126" s="64"/>
      <c r="W126" s="64"/>
      <c r="X126" s="64"/>
      <c r="Y126" s="64"/>
      <c r="Z126" s="64"/>
      <c r="AA126" s="64"/>
      <c r="AB126" s="64"/>
      <c r="AC126" s="64"/>
      <c r="AD126" s="64"/>
      <c r="AE126" s="64"/>
      <c r="AF126" s="64"/>
      <c r="AG126" s="64"/>
    </row>
    <row r="127">
      <c r="A127" s="64"/>
      <c r="B127" s="64"/>
      <c r="C127" s="64"/>
      <c r="D127" s="64"/>
      <c r="E127" s="65"/>
      <c r="F127" s="64"/>
      <c r="G127" s="67"/>
      <c r="H127" s="64"/>
      <c r="I127" s="64"/>
      <c r="J127" s="64"/>
      <c r="K127" s="64"/>
      <c r="L127" s="65"/>
      <c r="M127" s="64"/>
      <c r="N127" s="64"/>
      <c r="O127" s="64"/>
      <c r="P127" s="64"/>
      <c r="Q127" s="64"/>
      <c r="R127" s="64"/>
      <c r="S127" s="64"/>
      <c r="T127" s="65"/>
      <c r="U127" s="64"/>
      <c r="V127" s="64"/>
      <c r="W127" s="64"/>
      <c r="X127" s="64"/>
      <c r="Y127" s="64"/>
      <c r="Z127" s="64"/>
      <c r="AA127" s="64"/>
      <c r="AB127" s="64"/>
      <c r="AC127" s="64"/>
      <c r="AD127" s="64"/>
      <c r="AE127" s="64"/>
      <c r="AF127" s="64"/>
      <c r="AG127" s="64"/>
    </row>
    <row r="128">
      <c r="A128" s="64"/>
      <c r="B128" s="64"/>
      <c r="C128" s="64"/>
      <c r="D128" s="64"/>
      <c r="E128" s="65"/>
      <c r="F128" s="64"/>
      <c r="G128" s="67"/>
      <c r="H128" s="64"/>
      <c r="I128" s="64"/>
      <c r="J128" s="64"/>
      <c r="K128" s="64"/>
      <c r="L128" s="65"/>
      <c r="M128" s="64"/>
      <c r="N128" s="64"/>
      <c r="O128" s="64"/>
      <c r="P128" s="64"/>
      <c r="Q128" s="64"/>
      <c r="R128" s="64"/>
      <c r="S128" s="64"/>
      <c r="T128" s="65"/>
      <c r="U128" s="64"/>
      <c r="V128" s="64"/>
      <c r="W128" s="64"/>
      <c r="X128" s="64"/>
      <c r="Y128" s="64"/>
      <c r="Z128" s="64"/>
      <c r="AA128" s="64"/>
      <c r="AB128" s="64"/>
      <c r="AC128" s="64"/>
      <c r="AD128" s="64"/>
      <c r="AE128" s="64"/>
      <c r="AF128" s="64"/>
      <c r="AG128" s="64"/>
    </row>
    <row r="129">
      <c r="A129" s="64"/>
      <c r="B129" s="64"/>
      <c r="C129" s="64"/>
      <c r="D129" s="64"/>
      <c r="E129" s="65"/>
      <c r="F129" s="64"/>
      <c r="G129" s="67"/>
      <c r="H129" s="64"/>
      <c r="I129" s="64"/>
      <c r="J129" s="64"/>
      <c r="K129" s="64"/>
      <c r="L129" s="65"/>
      <c r="M129" s="64"/>
      <c r="N129" s="64"/>
      <c r="O129" s="64"/>
      <c r="P129" s="64"/>
      <c r="Q129" s="64"/>
      <c r="R129" s="64"/>
      <c r="S129" s="64"/>
      <c r="T129" s="65"/>
      <c r="U129" s="64"/>
      <c r="V129" s="64"/>
      <c r="W129" s="64"/>
      <c r="X129" s="64"/>
      <c r="Y129" s="64"/>
      <c r="Z129" s="64"/>
      <c r="AA129" s="64"/>
      <c r="AB129" s="64"/>
      <c r="AC129" s="64"/>
      <c r="AD129" s="64"/>
      <c r="AE129" s="64"/>
      <c r="AF129" s="64"/>
      <c r="AG129" s="64"/>
    </row>
    <row r="130">
      <c r="A130" s="64"/>
      <c r="B130" s="64"/>
      <c r="C130" s="64"/>
      <c r="D130" s="64"/>
      <c r="E130" s="65"/>
      <c r="F130" s="64"/>
      <c r="G130" s="67"/>
      <c r="H130" s="64"/>
      <c r="I130" s="64"/>
      <c r="J130" s="64"/>
      <c r="K130" s="64"/>
      <c r="L130" s="65"/>
      <c r="M130" s="64"/>
      <c r="N130" s="64"/>
      <c r="O130" s="64"/>
      <c r="P130" s="64"/>
      <c r="Q130" s="64"/>
      <c r="R130" s="64"/>
      <c r="S130" s="64"/>
      <c r="T130" s="65"/>
      <c r="U130" s="64"/>
      <c r="V130" s="64"/>
      <c r="W130" s="64"/>
      <c r="X130" s="64"/>
      <c r="Y130" s="64"/>
      <c r="Z130" s="64"/>
      <c r="AA130" s="64"/>
      <c r="AB130" s="64"/>
      <c r="AC130" s="64"/>
      <c r="AD130" s="64"/>
      <c r="AE130" s="64"/>
      <c r="AF130" s="64"/>
      <c r="AG130" s="64"/>
    </row>
    <row r="131">
      <c r="A131" s="64"/>
      <c r="B131" s="64"/>
      <c r="C131" s="64"/>
      <c r="D131" s="64"/>
      <c r="E131" s="65"/>
      <c r="F131" s="64"/>
      <c r="G131" s="67"/>
      <c r="H131" s="64"/>
      <c r="I131" s="64"/>
      <c r="J131" s="64"/>
      <c r="K131" s="64"/>
      <c r="L131" s="65"/>
      <c r="M131" s="64"/>
      <c r="N131" s="64"/>
      <c r="O131" s="64"/>
      <c r="P131" s="64"/>
      <c r="Q131" s="64"/>
      <c r="R131" s="64"/>
      <c r="S131" s="64"/>
      <c r="T131" s="65"/>
      <c r="U131" s="64"/>
      <c r="V131" s="64"/>
      <c r="W131" s="64"/>
      <c r="X131" s="64"/>
      <c r="Y131" s="64"/>
      <c r="Z131" s="64"/>
      <c r="AA131" s="64"/>
      <c r="AB131" s="64"/>
      <c r="AC131" s="64"/>
      <c r="AD131" s="64"/>
      <c r="AE131" s="64"/>
      <c r="AF131" s="64"/>
      <c r="AG131" s="64"/>
    </row>
    <row r="132">
      <c r="A132" s="64"/>
      <c r="B132" s="64"/>
      <c r="C132" s="64"/>
      <c r="D132" s="64"/>
      <c r="E132" s="65"/>
      <c r="F132" s="64"/>
      <c r="G132" s="67"/>
      <c r="H132" s="64"/>
      <c r="I132" s="64"/>
      <c r="J132" s="64"/>
      <c r="K132" s="64"/>
      <c r="L132" s="65"/>
      <c r="M132" s="64"/>
      <c r="N132" s="64"/>
      <c r="O132" s="64"/>
      <c r="P132" s="64"/>
      <c r="Q132" s="64"/>
      <c r="R132" s="64"/>
      <c r="S132" s="64"/>
      <c r="T132" s="65"/>
      <c r="U132" s="64"/>
      <c r="V132" s="64"/>
      <c r="W132" s="64"/>
      <c r="X132" s="64"/>
      <c r="Y132" s="64"/>
      <c r="Z132" s="64"/>
      <c r="AA132" s="64"/>
      <c r="AB132" s="64"/>
      <c r="AC132" s="64"/>
      <c r="AD132" s="64"/>
      <c r="AE132" s="64"/>
      <c r="AF132" s="64"/>
      <c r="AG132" s="64"/>
    </row>
    <row r="133">
      <c r="A133" s="64"/>
      <c r="B133" s="64"/>
      <c r="C133" s="64"/>
      <c r="D133" s="64"/>
      <c r="E133" s="65"/>
      <c r="F133" s="64"/>
      <c r="G133" s="67"/>
      <c r="H133" s="64"/>
      <c r="I133" s="64"/>
      <c r="J133" s="64"/>
      <c r="K133" s="64"/>
      <c r="L133" s="65"/>
      <c r="M133" s="64"/>
      <c r="N133" s="64"/>
      <c r="O133" s="64"/>
      <c r="P133" s="64"/>
      <c r="Q133" s="64"/>
      <c r="R133" s="64"/>
      <c r="S133" s="64"/>
      <c r="T133" s="65"/>
      <c r="U133" s="64"/>
      <c r="V133" s="64"/>
      <c r="W133" s="64"/>
      <c r="X133" s="64"/>
      <c r="Y133" s="64"/>
      <c r="Z133" s="64"/>
      <c r="AA133" s="64"/>
      <c r="AB133" s="64"/>
      <c r="AC133" s="64"/>
      <c r="AD133" s="64"/>
      <c r="AE133" s="64"/>
      <c r="AF133" s="64"/>
      <c r="AG133" s="64"/>
    </row>
    <row r="134">
      <c r="A134" s="64"/>
      <c r="B134" s="64"/>
      <c r="C134" s="64"/>
      <c r="D134" s="64"/>
      <c r="E134" s="65"/>
      <c r="F134" s="64"/>
      <c r="G134" s="67"/>
      <c r="H134" s="64"/>
      <c r="I134" s="64"/>
      <c r="J134" s="64"/>
      <c r="K134" s="64"/>
      <c r="L134" s="65"/>
      <c r="M134" s="64"/>
      <c r="N134" s="64"/>
      <c r="O134" s="64"/>
      <c r="P134" s="64"/>
      <c r="Q134" s="64"/>
      <c r="R134" s="64"/>
      <c r="S134" s="64"/>
      <c r="T134" s="65"/>
      <c r="U134" s="64"/>
      <c r="V134" s="64"/>
      <c r="W134" s="64"/>
      <c r="X134" s="64"/>
      <c r="Y134" s="64"/>
      <c r="Z134" s="64"/>
      <c r="AA134" s="64"/>
      <c r="AB134" s="64"/>
      <c r="AC134" s="64"/>
      <c r="AD134" s="64"/>
      <c r="AE134" s="64"/>
      <c r="AF134" s="64"/>
      <c r="AG134" s="64"/>
    </row>
    <row r="135">
      <c r="A135" s="64"/>
      <c r="B135" s="64"/>
      <c r="C135" s="64"/>
      <c r="D135" s="64"/>
      <c r="E135" s="65"/>
      <c r="F135" s="64"/>
      <c r="G135" s="67"/>
      <c r="H135" s="64"/>
      <c r="I135" s="64"/>
      <c r="J135" s="64"/>
      <c r="K135" s="64"/>
      <c r="L135" s="65"/>
      <c r="M135" s="64"/>
      <c r="N135" s="64"/>
      <c r="O135" s="64"/>
      <c r="P135" s="64"/>
      <c r="Q135" s="64"/>
      <c r="R135" s="64"/>
      <c r="S135" s="64"/>
      <c r="T135" s="65"/>
      <c r="U135" s="64"/>
      <c r="V135" s="64"/>
      <c r="W135" s="64"/>
      <c r="X135" s="64"/>
      <c r="Y135" s="64"/>
      <c r="Z135" s="64"/>
      <c r="AA135" s="64"/>
      <c r="AB135" s="64"/>
      <c r="AC135" s="64"/>
      <c r="AD135" s="64"/>
      <c r="AE135" s="64"/>
      <c r="AF135" s="64"/>
      <c r="AG135" s="64"/>
    </row>
    <row r="136">
      <c r="A136" s="64"/>
      <c r="B136" s="64"/>
      <c r="C136" s="64"/>
      <c r="D136" s="64"/>
      <c r="E136" s="65"/>
      <c r="F136" s="64"/>
      <c r="G136" s="67"/>
      <c r="H136" s="64"/>
      <c r="I136" s="64"/>
      <c r="J136" s="64"/>
      <c r="K136" s="64"/>
      <c r="L136" s="65"/>
      <c r="M136" s="64"/>
      <c r="N136" s="64"/>
      <c r="O136" s="64"/>
      <c r="P136" s="64"/>
      <c r="Q136" s="64"/>
      <c r="R136" s="64"/>
      <c r="S136" s="64"/>
      <c r="T136" s="65"/>
      <c r="U136" s="64"/>
      <c r="V136" s="64"/>
      <c r="W136" s="64"/>
      <c r="X136" s="64"/>
      <c r="Y136" s="64"/>
      <c r="Z136" s="64"/>
      <c r="AA136" s="64"/>
      <c r="AB136" s="64"/>
      <c r="AC136" s="64"/>
      <c r="AD136" s="64"/>
      <c r="AE136" s="64"/>
      <c r="AF136" s="64"/>
      <c r="AG136" s="64"/>
    </row>
    <row r="137">
      <c r="A137" s="64"/>
      <c r="B137" s="64"/>
      <c r="C137" s="64"/>
      <c r="D137" s="64"/>
      <c r="E137" s="65"/>
      <c r="F137" s="64"/>
      <c r="G137" s="67"/>
      <c r="H137" s="64"/>
      <c r="I137" s="64"/>
      <c r="J137" s="64"/>
      <c r="K137" s="64"/>
      <c r="L137" s="65"/>
      <c r="M137" s="64"/>
      <c r="N137" s="64"/>
      <c r="O137" s="64"/>
      <c r="P137" s="64"/>
      <c r="Q137" s="64"/>
      <c r="R137" s="64"/>
      <c r="S137" s="64"/>
      <c r="T137" s="65"/>
      <c r="U137" s="64"/>
      <c r="V137" s="64"/>
      <c r="W137" s="64"/>
      <c r="X137" s="64"/>
      <c r="Y137" s="64"/>
      <c r="Z137" s="64"/>
      <c r="AA137" s="64"/>
      <c r="AB137" s="64"/>
      <c r="AC137" s="64"/>
      <c r="AD137" s="64"/>
      <c r="AE137" s="64"/>
      <c r="AF137" s="64"/>
      <c r="AG137" s="64"/>
    </row>
    <row r="138">
      <c r="A138" s="64"/>
      <c r="B138" s="64"/>
      <c r="C138" s="64"/>
      <c r="D138" s="64"/>
      <c r="E138" s="65"/>
      <c r="F138" s="64"/>
      <c r="G138" s="67"/>
      <c r="H138" s="64"/>
      <c r="I138" s="64"/>
      <c r="J138" s="64"/>
      <c r="K138" s="64"/>
      <c r="L138" s="65"/>
      <c r="M138" s="64"/>
      <c r="N138" s="64"/>
      <c r="O138" s="64"/>
      <c r="P138" s="64"/>
      <c r="Q138" s="64"/>
      <c r="R138" s="64"/>
      <c r="S138" s="64"/>
      <c r="T138" s="65"/>
      <c r="U138" s="64"/>
      <c r="V138" s="64"/>
      <c r="W138" s="64"/>
      <c r="X138" s="64"/>
      <c r="Y138" s="64"/>
      <c r="Z138" s="64"/>
      <c r="AA138" s="64"/>
      <c r="AB138" s="64"/>
      <c r="AC138" s="64"/>
      <c r="AD138" s="64"/>
      <c r="AE138" s="64"/>
      <c r="AF138" s="64"/>
      <c r="AG138" s="64"/>
    </row>
    <row r="139">
      <c r="A139" s="64"/>
      <c r="B139" s="64"/>
      <c r="C139" s="64"/>
      <c r="D139" s="64"/>
      <c r="E139" s="65"/>
      <c r="F139" s="64"/>
      <c r="G139" s="67"/>
      <c r="H139" s="64"/>
      <c r="I139" s="64"/>
      <c r="J139" s="64"/>
      <c r="K139" s="64"/>
      <c r="L139" s="65"/>
      <c r="M139" s="64"/>
      <c r="N139" s="64"/>
      <c r="O139" s="64"/>
      <c r="P139" s="64"/>
      <c r="Q139" s="64"/>
      <c r="R139" s="64"/>
      <c r="S139" s="64"/>
      <c r="T139" s="65"/>
      <c r="U139" s="64"/>
      <c r="V139" s="64"/>
      <c r="W139" s="64"/>
      <c r="X139" s="64"/>
      <c r="Y139" s="64"/>
      <c r="Z139" s="64"/>
      <c r="AA139" s="64"/>
      <c r="AB139" s="64"/>
      <c r="AC139" s="64"/>
      <c r="AD139" s="64"/>
      <c r="AE139" s="64"/>
      <c r="AF139" s="64"/>
      <c r="AG139" s="64"/>
    </row>
    <row r="140">
      <c r="A140" s="64"/>
      <c r="B140" s="64"/>
      <c r="C140" s="64"/>
      <c r="D140" s="64"/>
      <c r="E140" s="65"/>
      <c r="F140" s="64"/>
      <c r="G140" s="67"/>
      <c r="H140" s="64"/>
      <c r="I140" s="64"/>
      <c r="J140" s="64"/>
      <c r="K140" s="64"/>
      <c r="L140" s="65"/>
      <c r="M140" s="64"/>
      <c r="N140" s="64"/>
      <c r="O140" s="64"/>
      <c r="P140" s="64"/>
      <c r="Q140" s="64"/>
      <c r="R140" s="64"/>
      <c r="S140" s="64"/>
      <c r="T140" s="65"/>
      <c r="U140" s="64"/>
      <c r="V140" s="64"/>
      <c r="W140" s="64"/>
      <c r="X140" s="64"/>
      <c r="Y140" s="64"/>
      <c r="Z140" s="64"/>
      <c r="AA140" s="64"/>
      <c r="AB140" s="64"/>
      <c r="AC140" s="64"/>
      <c r="AD140" s="64"/>
      <c r="AE140" s="64"/>
      <c r="AF140" s="64"/>
      <c r="AG140" s="64"/>
    </row>
    <row r="141">
      <c r="A141" s="64"/>
      <c r="B141" s="64"/>
      <c r="C141" s="64"/>
      <c r="D141" s="64"/>
      <c r="E141" s="65"/>
      <c r="F141" s="64"/>
      <c r="G141" s="67"/>
      <c r="H141" s="64"/>
      <c r="I141" s="64"/>
      <c r="J141" s="64"/>
      <c r="K141" s="64"/>
      <c r="L141" s="65"/>
      <c r="M141" s="64"/>
      <c r="N141" s="64"/>
      <c r="O141" s="64"/>
      <c r="P141" s="64"/>
      <c r="Q141" s="64"/>
      <c r="R141" s="64"/>
      <c r="S141" s="64"/>
      <c r="T141" s="65"/>
      <c r="U141" s="64"/>
      <c r="V141" s="64"/>
      <c r="W141" s="64"/>
      <c r="X141" s="64"/>
      <c r="Y141" s="64"/>
      <c r="Z141" s="64"/>
      <c r="AA141" s="64"/>
      <c r="AB141" s="64"/>
      <c r="AC141" s="64"/>
      <c r="AD141" s="64"/>
      <c r="AE141" s="64"/>
      <c r="AF141" s="64"/>
      <c r="AG141" s="64"/>
    </row>
    <row r="142">
      <c r="A142" s="64"/>
      <c r="B142" s="64"/>
      <c r="C142" s="64"/>
      <c r="D142" s="64"/>
      <c r="E142" s="65"/>
      <c r="F142" s="64"/>
      <c r="G142" s="67"/>
      <c r="H142" s="64"/>
      <c r="I142" s="64"/>
      <c r="J142" s="64"/>
      <c r="K142" s="64"/>
      <c r="L142" s="65"/>
      <c r="M142" s="64"/>
      <c r="N142" s="64"/>
      <c r="O142" s="64"/>
      <c r="P142" s="64"/>
      <c r="Q142" s="64"/>
      <c r="R142" s="64"/>
      <c r="S142" s="64"/>
      <c r="T142" s="65"/>
      <c r="U142" s="64"/>
      <c r="V142" s="64"/>
      <c r="W142" s="64"/>
      <c r="X142" s="64"/>
      <c r="Y142" s="64"/>
      <c r="Z142" s="64"/>
      <c r="AA142" s="64"/>
      <c r="AB142" s="64"/>
      <c r="AC142" s="64"/>
      <c r="AD142" s="64"/>
      <c r="AE142" s="64"/>
      <c r="AF142" s="64"/>
      <c r="AG142" s="64"/>
    </row>
    <row r="143">
      <c r="A143" s="64"/>
      <c r="B143" s="64"/>
      <c r="C143" s="64"/>
      <c r="D143" s="64"/>
      <c r="E143" s="65"/>
      <c r="F143" s="64"/>
      <c r="G143" s="67"/>
      <c r="H143" s="64"/>
      <c r="I143" s="64"/>
      <c r="J143" s="64"/>
      <c r="K143" s="64"/>
      <c r="L143" s="65"/>
      <c r="M143" s="64"/>
      <c r="N143" s="64"/>
      <c r="O143" s="64"/>
      <c r="P143" s="64"/>
      <c r="Q143" s="64"/>
      <c r="R143" s="64"/>
      <c r="S143" s="64"/>
      <c r="T143" s="65"/>
      <c r="U143" s="64"/>
      <c r="V143" s="64"/>
      <c r="W143" s="64"/>
      <c r="X143" s="64"/>
      <c r="Y143" s="64"/>
      <c r="Z143" s="64"/>
      <c r="AA143" s="64"/>
      <c r="AB143" s="64"/>
      <c r="AC143" s="64"/>
      <c r="AD143" s="64"/>
      <c r="AE143" s="64"/>
      <c r="AF143" s="64"/>
      <c r="AG143" s="64"/>
    </row>
    <row r="144">
      <c r="A144" s="64"/>
      <c r="B144" s="64"/>
      <c r="C144" s="64"/>
      <c r="D144" s="64"/>
      <c r="E144" s="65"/>
      <c r="F144" s="64"/>
      <c r="G144" s="67"/>
      <c r="H144" s="64"/>
      <c r="I144" s="64"/>
      <c r="J144" s="64"/>
      <c r="K144" s="64"/>
      <c r="L144" s="65"/>
      <c r="M144" s="64"/>
      <c r="N144" s="64"/>
      <c r="O144" s="64"/>
      <c r="P144" s="64"/>
      <c r="Q144" s="64"/>
      <c r="R144" s="64"/>
      <c r="S144" s="64"/>
      <c r="T144" s="65"/>
      <c r="U144" s="64"/>
      <c r="V144" s="64"/>
      <c r="W144" s="64"/>
      <c r="X144" s="64"/>
      <c r="Y144" s="64"/>
      <c r="Z144" s="64"/>
      <c r="AA144" s="64"/>
      <c r="AB144" s="64"/>
      <c r="AC144" s="64"/>
      <c r="AD144" s="64"/>
      <c r="AE144" s="64"/>
      <c r="AF144" s="64"/>
      <c r="AG144" s="64"/>
    </row>
    <row r="145">
      <c r="A145" s="64"/>
      <c r="B145" s="64"/>
      <c r="C145" s="64"/>
      <c r="D145" s="64"/>
      <c r="E145" s="65"/>
      <c r="F145" s="64"/>
      <c r="G145" s="67"/>
      <c r="H145" s="64"/>
      <c r="I145" s="64"/>
      <c r="J145" s="64"/>
      <c r="K145" s="64"/>
      <c r="L145" s="65"/>
      <c r="M145" s="64"/>
      <c r="N145" s="64"/>
      <c r="O145" s="64"/>
      <c r="P145" s="64"/>
      <c r="Q145" s="64"/>
      <c r="R145" s="64"/>
      <c r="S145" s="64"/>
      <c r="T145" s="65"/>
      <c r="U145" s="64"/>
      <c r="V145" s="64"/>
      <c r="W145" s="64"/>
      <c r="X145" s="64"/>
      <c r="Y145" s="64"/>
      <c r="Z145" s="64"/>
      <c r="AA145" s="64"/>
      <c r="AB145" s="64"/>
      <c r="AC145" s="64"/>
      <c r="AD145" s="64"/>
      <c r="AE145" s="64"/>
      <c r="AF145" s="64"/>
      <c r="AG145" s="64"/>
    </row>
    <row r="146">
      <c r="A146" s="64"/>
      <c r="B146" s="64"/>
      <c r="C146" s="64"/>
      <c r="D146" s="64"/>
      <c r="E146" s="65"/>
      <c r="F146" s="64"/>
      <c r="G146" s="67"/>
      <c r="H146" s="64"/>
      <c r="I146" s="64"/>
      <c r="J146" s="64"/>
      <c r="K146" s="64"/>
      <c r="L146" s="65"/>
      <c r="M146" s="64"/>
      <c r="N146" s="64"/>
      <c r="O146" s="64"/>
      <c r="P146" s="64"/>
      <c r="Q146" s="64"/>
      <c r="R146" s="64"/>
      <c r="S146" s="64"/>
      <c r="T146" s="65"/>
      <c r="U146" s="64"/>
      <c r="V146" s="64"/>
      <c r="W146" s="64"/>
      <c r="X146" s="64"/>
      <c r="Y146" s="64"/>
      <c r="Z146" s="64"/>
      <c r="AA146" s="64"/>
      <c r="AB146" s="64"/>
      <c r="AC146" s="64"/>
      <c r="AD146" s="64"/>
      <c r="AE146" s="64"/>
      <c r="AF146" s="64"/>
      <c r="AG146" s="64"/>
    </row>
    <row r="147">
      <c r="A147" s="64"/>
      <c r="B147" s="64"/>
      <c r="C147" s="64"/>
      <c r="D147" s="64"/>
      <c r="E147" s="65"/>
      <c r="F147" s="64"/>
      <c r="G147" s="67"/>
      <c r="H147" s="64"/>
      <c r="I147" s="64"/>
      <c r="J147" s="64"/>
      <c r="K147" s="64"/>
      <c r="L147" s="65"/>
      <c r="M147" s="64"/>
      <c r="N147" s="64"/>
      <c r="O147" s="64"/>
      <c r="P147" s="64"/>
      <c r="Q147" s="64"/>
      <c r="R147" s="64"/>
      <c r="S147" s="64"/>
      <c r="T147" s="65"/>
      <c r="U147" s="64"/>
      <c r="V147" s="64"/>
      <c r="W147" s="64"/>
      <c r="X147" s="64"/>
      <c r="Y147" s="64"/>
      <c r="Z147" s="64"/>
      <c r="AA147" s="64"/>
      <c r="AB147" s="64"/>
      <c r="AC147" s="64"/>
      <c r="AD147" s="64"/>
      <c r="AE147" s="64"/>
      <c r="AF147" s="64"/>
      <c r="AG147" s="64"/>
    </row>
    <row r="148">
      <c r="A148" s="64"/>
      <c r="B148" s="64"/>
      <c r="C148" s="64"/>
      <c r="D148" s="64"/>
      <c r="E148" s="65"/>
      <c r="F148" s="64"/>
      <c r="G148" s="67"/>
      <c r="H148" s="64"/>
      <c r="I148" s="64"/>
      <c r="J148" s="64"/>
      <c r="K148" s="64"/>
      <c r="L148" s="65"/>
      <c r="M148" s="64"/>
      <c r="N148" s="64"/>
      <c r="O148" s="64"/>
      <c r="P148" s="64"/>
      <c r="Q148" s="64"/>
      <c r="R148" s="64"/>
      <c r="S148" s="64"/>
      <c r="T148" s="65"/>
      <c r="U148" s="64"/>
      <c r="V148" s="64"/>
      <c r="W148" s="64"/>
      <c r="X148" s="64"/>
      <c r="Y148" s="64"/>
      <c r="Z148" s="64"/>
      <c r="AA148" s="64"/>
      <c r="AB148" s="64"/>
      <c r="AC148" s="64"/>
      <c r="AD148" s="64"/>
      <c r="AE148" s="64"/>
      <c r="AF148" s="64"/>
      <c r="AG148" s="64"/>
    </row>
    <row r="149">
      <c r="A149" s="64"/>
      <c r="B149" s="64"/>
      <c r="C149" s="64"/>
      <c r="D149" s="64"/>
      <c r="E149" s="65"/>
      <c r="F149" s="64"/>
      <c r="G149" s="67"/>
      <c r="H149" s="64"/>
      <c r="I149" s="64"/>
      <c r="J149" s="64"/>
      <c r="K149" s="64"/>
      <c r="L149" s="65"/>
      <c r="M149" s="64"/>
      <c r="N149" s="64"/>
      <c r="O149" s="64"/>
      <c r="P149" s="64"/>
      <c r="Q149" s="64"/>
      <c r="R149" s="64"/>
      <c r="S149" s="64"/>
      <c r="T149" s="65"/>
      <c r="U149" s="64"/>
      <c r="V149" s="64"/>
      <c r="W149" s="64"/>
      <c r="X149" s="64"/>
      <c r="Y149" s="64"/>
      <c r="Z149" s="64"/>
      <c r="AA149" s="64"/>
      <c r="AB149" s="64"/>
      <c r="AC149" s="64"/>
      <c r="AD149" s="64"/>
      <c r="AE149" s="64"/>
      <c r="AF149" s="64"/>
      <c r="AG149" s="64"/>
    </row>
    <row r="150">
      <c r="A150" s="64"/>
      <c r="B150" s="64"/>
      <c r="C150" s="64"/>
      <c r="D150" s="64"/>
      <c r="E150" s="65"/>
      <c r="F150" s="64"/>
      <c r="G150" s="67"/>
      <c r="H150" s="64"/>
      <c r="I150" s="64"/>
      <c r="J150" s="64"/>
      <c r="K150" s="64"/>
      <c r="L150" s="65"/>
      <c r="M150" s="64"/>
      <c r="N150" s="64"/>
      <c r="O150" s="64"/>
      <c r="P150" s="64"/>
      <c r="Q150" s="64"/>
      <c r="R150" s="64"/>
      <c r="S150" s="64"/>
      <c r="T150" s="65"/>
      <c r="U150" s="64"/>
      <c r="V150" s="64"/>
      <c r="W150" s="64"/>
      <c r="X150" s="64"/>
      <c r="Y150" s="64"/>
      <c r="Z150" s="64"/>
      <c r="AA150" s="64"/>
      <c r="AB150" s="64"/>
      <c r="AC150" s="64"/>
      <c r="AD150" s="64"/>
      <c r="AE150" s="64"/>
      <c r="AF150" s="64"/>
      <c r="AG150" s="64"/>
    </row>
    <row r="151">
      <c r="A151" s="64"/>
      <c r="B151" s="64"/>
      <c r="C151" s="64"/>
      <c r="D151" s="64"/>
      <c r="E151" s="65"/>
      <c r="F151" s="64"/>
      <c r="G151" s="67"/>
      <c r="H151" s="64"/>
      <c r="I151" s="64"/>
      <c r="J151" s="64"/>
      <c r="K151" s="64"/>
      <c r="L151" s="65"/>
      <c r="M151" s="64"/>
      <c r="N151" s="64"/>
      <c r="O151" s="64"/>
      <c r="P151" s="64"/>
      <c r="Q151" s="64"/>
      <c r="R151" s="64"/>
      <c r="S151" s="64"/>
      <c r="T151" s="65"/>
      <c r="U151" s="64"/>
      <c r="V151" s="64"/>
      <c r="W151" s="64"/>
      <c r="X151" s="64"/>
      <c r="Y151" s="64"/>
      <c r="Z151" s="64"/>
      <c r="AA151" s="64"/>
      <c r="AB151" s="64"/>
      <c r="AC151" s="64"/>
      <c r="AD151" s="64"/>
      <c r="AE151" s="64"/>
      <c r="AF151" s="64"/>
      <c r="AG151" s="64"/>
    </row>
    <row r="152">
      <c r="A152" s="64"/>
      <c r="B152" s="64"/>
      <c r="C152" s="64"/>
      <c r="D152" s="64"/>
      <c r="E152" s="65"/>
      <c r="F152" s="64"/>
      <c r="G152" s="67"/>
      <c r="H152" s="64"/>
      <c r="I152" s="64"/>
      <c r="J152" s="64"/>
      <c r="K152" s="64"/>
      <c r="L152" s="65"/>
      <c r="M152" s="64"/>
      <c r="N152" s="64"/>
      <c r="O152" s="64"/>
      <c r="P152" s="64"/>
      <c r="Q152" s="64"/>
      <c r="R152" s="64"/>
      <c r="S152" s="64"/>
      <c r="T152" s="65"/>
      <c r="U152" s="64"/>
      <c r="V152" s="64"/>
      <c r="W152" s="64"/>
      <c r="X152" s="64"/>
      <c r="Y152" s="64"/>
      <c r="Z152" s="64"/>
      <c r="AA152" s="64"/>
      <c r="AB152" s="64"/>
      <c r="AC152" s="64"/>
      <c r="AD152" s="64"/>
      <c r="AE152" s="64"/>
      <c r="AF152" s="64"/>
      <c r="AG152" s="64"/>
    </row>
    <row r="153">
      <c r="A153" s="64"/>
      <c r="B153" s="64"/>
      <c r="C153" s="64"/>
      <c r="D153" s="64"/>
      <c r="E153" s="65"/>
      <c r="F153" s="64"/>
      <c r="G153" s="67"/>
      <c r="H153" s="64"/>
      <c r="I153" s="64"/>
      <c r="J153" s="64"/>
      <c r="K153" s="64"/>
      <c r="L153" s="65"/>
      <c r="M153" s="64"/>
      <c r="N153" s="64"/>
      <c r="O153" s="64"/>
      <c r="P153" s="64"/>
      <c r="Q153" s="64"/>
      <c r="R153" s="64"/>
      <c r="S153" s="64"/>
      <c r="T153" s="65"/>
      <c r="U153" s="64"/>
      <c r="V153" s="64"/>
      <c r="W153" s="64"/>
      <c r="X153" s="64"/>
      <c r="Y153" s="64"/>
      <c r="Z153" s="64"/>
      <c r="AA153" s="64"/>
      <c r="AB153" s="64"/>
      <c r="AC153" s="64"/>
      <c r="AD153" s="64"/>
      <c r="AE153" s="64"/>
      <c r="AF153" s="64"/>
      <c r="AG153" s="64"/>
    </row>
    <row r="154">
      <c r="A154" s="64"/>
      <c r="B154" s="64"/>
      <c r="C154" s="64"/>
      <c r="D154" s="64"/>
      <c r="E154" s="65"/>
      <c r="F154" s="64"/>
      <c r="G154" s="67"/>
      <c r="H154" s="64"/>
      <c r="I154" s="64"/>
      <c r="J154" s="64"/>
      <c r="K154" s="64"/>
      <c r="L154" s="65"/>
      <c r="M154" s="64"/>
      <c r="N154" s="64"/>
      <c r="O154" s="64"/>
      <c r="P154" s="64"/>
      <c r="Q154" s="64"/>
      <c r="R154" s="64"/>
      <c r="S154" s="64"/>
      <c r="T154" s="65"/>
      <c r="U154" s="64"/>
      <c r="V154" s="64"/>
      <c r="W154" s="64"/>
      <c r="X154" s="64"/>
      <c r="Y154" s="64"/>
      <c r="Z154" s="64"/>
      <c r="AA154" s="64"/>
      <c r="AB154" s="64"/>
      <c r="AC154" s="64"/>
      <c r="AD154" s="64"/>
      <c r="AE154" s="64"/>
      <c r="AF154" s="64"/>
      <c r="AG154" s="64"/>
    </row>
    <row r="155">
      <c r="A155" s="64"/>
      <c r="B155" s="64"/>
      <c r="C155" s="64"/>
      <c r="D155" s="64"/>
      <c r="E155" s="65"/>
      <c r="F155" s="64"/>
      <c r="G155" s="67"/>
      <c r="H155" s="64"/>
      <c r="I155" s="64"/>
      <c r="J155" s="64"/>
      <c r="K155" s="64"/>
      <c r="L155" s="65"/>
      <c r="M155" s="64"/>
      <c r="N155" s="64"/>
      <c r="O155" s="64"/>
      <c r="P155" s="64"/>
      <c r="Q155" s="64"/>
      <c r="R155" s="64"/>
      <c r="S155" s="64"/>
      <c r="T155" s="65"/>
      <c r="U155" s="64"/>
      <c r="V155" s="64"/>
      <c r="W155" s="64"/>
      <c r="X155" s="64"/>
      <c r="Y155" s="64"/>
      <c r="Z155" s="64"/>
      <c r="AA155" s="64"/>
      <c r="AB155" s="64"/>
      <c r="AC155" s="64"/>
      <c r="AD155" s="64"/>
      <c r="AE155" s="64"/>
      <c r="AF155" s="64"/>
      <c r="AG155" s="64"/>
    </row>
    <row r="156">
      <c r="A156" s="64"/>
      <c r="B156" s="64"/>
      <c r="C156" s="64"/>
      <c r="D156" s="64"/>
      <c r="E156" s="65"/>
      <c r="F156" s="64"/>
      <c r="G156" s="67"/>
      <c r="H156" s="64"/>
      <c r="I156" s="64"/>
      <c r="J156" s="64"/>
      <c r="K156" s="64"/>
      <c r="L156" s="65"/>
      <c r="M156" s="64"/>
      <c r="N156" s="64"/>
      <c r="O156" s="64"/>
      <c r="P156" s="64"/>
      <c r="Q156" s="64"/>
      <c r="R156" s="64"/>
      <c r="S156" s="64"/>
      <c r="T156" s="65"/>
      <c r="U156" s="64"/>
      <c r="V156" s="64"/>
      <c r="W156" s="64"/>
      <c r="X156" s="64"/>
      <c r="Y156" s="64"/>
      <c r="Z156" s="64"/>
      <c r="AA156" s="64"/>
      <c r="AB156" s="64"/>
      <c r="AC156" s="64"/>
      <c r="AD156" s="64"/>
      <c r="AE156" s="64"/>
      <c r="AF156" s="64"/>
      <c r="AG156" s="64"/>
    </row>
    <row r="157">
      <c r="A157" s="64"/>
      <c r="B157" s="64"/>
      <c r="C157" s="64"/>
      <c r="D157" s="64"/>
      <c r="E157" s="65"/>
      <c r="F157" s="64"/>
      <c r="G157" s="67"/>
      <c r="H157" s="64"/>
      <c r="I157" s="64"/>
      <c r="J157" s="64"/>
      <c r="K157" s="64"/>
      <c r="L157" s="65"/>
      <c r="M157" s="64"/>
      <c r="N157" s="64"/>
      <c r="O157" s="64"/>
      <c r="P157" s="64"/>
      <c r="Q157" s="64"/>
      <c r="R157" s="64"/>
      <c r="S157" s="64"/>
      <c r="T157" s="65"/>
      <c r="U157" s="64"/>
      <c r="V157" s="64"/>
      <c r="W157" s="64"/>
      <c r="X157" s="64"/>
      <c r="Y157" s="64"/>
      <c r="Z157" s="64"/>
      <c r="AA157" s="64"/>
      <c r="AB157" s="64"/>
      <c r="AC157" s="64"/>
      <c r="AD157" s="64"/>
      <c r="AE157" s="64"/>
      <c r="AF157" s="64"/>
      <c r="AG157" s="64"/>
    </row>
    <row r="158">
      <c r="A158" s="64"/>
      <c r="B158" s="64"/>
      <c r="C158" s="64"/>
      <c r="D158" s="64"/>
      <c r="E158" s="65"/>
      <c r="F158" s="64"/>
      <c r="G158" s="67"/>
      <c r="H158" s="64"/>
      <c r="I158" s="64"/>
      <c r="J158" s="64"/>
      <c r="K158" s="64"/>
      <c r="L158" s="65"/>
      <c r="M158" s="64"/>
      <c r="N158" s="64"/>
      <c r="O158" s="64"/>
      <c r="P158" s="64"/>
      <c r="Q158" s="64"/>
      <c r="R158" s="64"/>
      <c r="S158" s="64"/>
      <c r="T158" s="65"/>
      <c r="U158" s="64"/>
      <c r="V158" s="64"/>
      <c r="W158" s="64"/>
      <c r="X158" s="64"/>
      <c r="Y158" s="64"/>
      <c r="Z158" s="64"/>
      <c r="AA158" s="64"/>
      <c r="AB158" s="64"/>
      <c r="AC158" s="64"/>
      <c r="AD158" s="64"/>
      <c r="AE158" s="64"/>
      <c r="AF158" s="64"/>
      <c r="AG158" s="64"/>
    </row>
    <row r="159">
      <c r="A159" s="64"/>
      <c r="B159" s="64"/>
      <c r="C159" s="64"/>
      <c r="D159" s="64"/>
      <c r="E159" s="65"/>
      <c r="F159" s="64"/>
      <c r="G159" s="67"/>
      <c r="H159" s="64"/>
      <c r="I159" s="64"/>
      <c r="J159" s="64"/>
      <c r="K159" s="64"/>
      <c r="L159" s="65"/>
      <c r="M159" s="64"/>
      <c r="N159" s="64"/>
      <c r="O159" s="64"/>
      <c r="P159" s="64"/>
      <c r="Q159" s="64"/>
      <c r="R159" s="64"/>
      <c r="S159" s="64"/>
      <c r="T159" s="65"/>
      <c r="U159" s="64"/>
      <c r="V159" s="64"/>
      <c r="W159" s="64"/>
      <c r="X159" s="64"/>
      <c r="Y159" s="64"/>
      <c r="Z159" s="64"/>
      <c r="AA159" s="64"/>
      <c r="AB159" s="64"/>
      <c r="AC159" s="64"/>
      <c r="AD159" s="64"/>
      <c r="AE159" s="64"/>
      <c r="AF159" s="64"/>
      <c r="AG159" s="64"/>
    </row>
    <row r="160">
      <c r="A160" s="64"/>
      <c r="B160" s="64"/>
      <c r="C160" s="64"/>
      <c r="D160" s="64"/>
      <c r="E160" s="65"/>
      <c r="F160" s="64"/>
      <c r="G160" s="67"/>
      <c r="H160" s="64"/>
      <c r="I160" s="64"/>
      <c r="J160" s="64"/>
      <c r="K160" s="64"/>
      <c r="L160" s="65"/>
      <c r="M160" s="64"/>
      <c r="N160" s="64"/>
      <c r="O160" s="64"/>
      <c r="P160" s="64"/>
      <c r="Q160" s="64"/>
      <c r="R160" s="64"/>
      <c r="S160" s="64"/>
      <c r="T160" s="65"/>
      <c r="U160" s="64"/>
      <c r="V160" s="64"/>
      <c r="W160" s="64"/>
      <c r="X160" s="64"/>
      <c r="Y160" s="64"/>
      <c r="Z160" s="64"/>
      <c r="AA160" s="64"/>
      <c r="AB160" s="64"/>
      <c r="AC160" s="64"/>
      <c r="AD160" s="64"/>
      <c r="AE160" s="64"/>
      <c r="AF160" s="64"/>
      <c r="AG160" s="64"/>
    </row>
    <row r="161">
      <c r="A161" s="64"/>
      <c r="B161" s="64"/>
      <c r="C161" s="64"/>
      <c r="D161" s="64"/>
      <c r="E161" s="65"/>
      <c r="F161" s="64"/>
      <c r="G161" s="67"/>
      <c r="H161" s="64"/>
      <c r="I161" s="64"/>
      <c r="J161" s="64"/>
      <c r="K161" s="64"/>
      <c r="L161" s="65"/>
      <c r="M161" s="64"/>
      <c r="N161" s="64"/>
      <c r="O161" s="64"/>
      <c r="P161" s="64"/>
      <c r="Q161" s="64"/>
      <c r="R161" s="64"/>
      <c r="S161" s="64"/>
      <c r="T161" s="65"/>
      <c r="U161" s="64"/>
      <c r="V161" s="64"/>
      <c r="W161" s="64"/>
      <c r="X161" s="64"/>
      <c r="Y161" s="64"/>
      <c r="Z161" s="64"/>
      <c r="AA161" s="64"/>
      <c r="AB161" s="64"/>
      <c r="AC161" s="64"/>
      <c r="AD161" s="64"/>
      <c r="AE161" s="64"/>
      <c r="AF161" s="64"/>
      <c r="AG161" s="64"/>
    </row>
    <row r="162">
      <c r="A162" s="64"/>
      <c r="B162" s="64"/>
      <c r="C162" s="64"/>
      <c r="D162" s="64"/>
      <c r="E162" s="65"/>
      <c r="F162" s="64"/>
      <c r="G162" s="67"/>
      <c r="H162" s="64"/>
      <c r="I162" s="64"/>
      <c r="J162" s="64"/>
      <c r="K162" s="64"/>
      <c r="L162" s="65"/>
      <c r="M162" s="64"/>
      <c r="N162" s="64"/>
      <c r="O162" s="64"/>
      <c r="P162" s="64"/>
      <c r="Q162" s="64"/>
      <c r="R162" s="64"/>
      <c r="S162" s="64"/>
      <c r="T162" s="65"/>
      <c r="U162" s="64"/>
      <c r="V162" s="64"/>
      <c r="W162" s="64"/>
      <c r="X162" s="64"/>
      <c r="Y162" s="64"/>
      <c r="Z162" s="64"/>
      <c r="AA162" s="64"/>
      <c r="AB162" s="64"/>
      <c r="AC162" s="64"/>
      <c r="AD162" s="64"/>
      <c r="AE162" s="64"/>
      <c r="AF162" s="64"/>
      <c r="AG162" s="64"/>
    </row>
    <row r="163">
      <c r="A163" s="64"/>
      <c r="B163" s="64"/>
      <c r="C163" s="64"/>
      <c r="D163" s="64"/>
      <c r="E163" s="65"/>
      <c r="F163" s="64"/>
      <c r="G163" s="67"/>
      <c r="H163" s="64"/>
      <c r="I163" s="64"/>
      <c r="J163" s="64"/>
      <c r="K163" s="64"/>
      <c r="L163" s="65"/>
      <c r="M163" s="64"/>
      <c r="N163" s="64"/>
      <c r="O163" s="64"/>
      <c r="P163" s="64"/>
      <c r="Q163" s="64"/>
      <c r="R163" s="64"/>
      <c r="S163" s="64"/>
      <c r="T163" s="65"/>
      <c r="U163" s="64"/>
      <c r="V163" s="64"/>
      <c r="W163" s="64"/>
      <c r="X163" s="64"/>
      <c r="Y163" s="64"/>
      <c r="Z163" s="64"/>
      <c r="AA163" s="64"/>
      <c r="AB163" s="64"/>
      <c r="AC163" s="64"/>
      <c r="AD163" s="64"/>
      <c r="AE163" s="64"/>
      <c r="AF163" s="64"/>
      <c r="AG163" s="64"/>
    </row>
    <row r="164">
      <c r="A164" s="64"/>
      <c r="B164" s="64"/>
      <c r="C164" s="64"/>
      <c r="D164" s="64"/>
      <c r="E164" s="65"/>
      <c r="F164" s="64"/>
      <c r="G164" s="67"/>
      <c r="H164" s="64"/>
      <c r="I164" s="64"/>
      <c r="J164" s="64"/>
      <c r="K164" s="64"/>
      <c r="L164" s="65"/>
      <c r="M164" s="64"/>
      <c r="N164" s="64"/>
      <c r="O164" s="64"/>
      <c r="P164" s="64"/>
      <c r="Q164" s="64"/>
      <c r="R164" s="64"/>
      <c r="S164" s="64"/>
      <c r="T164" s="65"/>
      <c r="U164" s="64"/>
      <c r="V164" s="64"/>
      <c r="W164" s="64"/>
      <c r="X164" s="64"/>
      <c r="Y164" s="64"/>
      <c r="Z164" s="64"/>
      <c r="AA164" s="64"/>
      <c r="AB164" s="64"/>
      <c r="AC164" s="64"/>
      <c r="AD164" s="64"/>
      <c r="AE164" s="64"/>
      <c r="AF164" s="64"/>
      <c r="AG164" s="64"/>
    </row>
    <row r="165">
      <c r="A165" s="64"/>
      <c r="B165" s="64"/>
      <c r="C165" s="64"/>
      <c r="D165" s="64"/>
      <c r="E165" s="65"/>
      <c r="F165" s="64"/>
      <c r="G165" s="67"/>
      <c r="H165" s="64"/>
      <c r="I165" s="64"/>
      <c r="J165" s="64"/>
      <c r="K165" s="64"/>
      <c r="L165" s="65"/>
      <c r="M165" s="64"/>
      <c r="N165" s="64"/>
      <c r="O165" s="64"/>
      <c r="P165" s="64"/>
      <c r="Q165" s="64"/>
      <c r="R165" s="64"/>
      <c r="S165" s="64"/>
      <c r="T165" s="65"/>
      <c r="U165" s="64"/>
      <c r="V165" s="64"/>
      <c r="W165" s="64"/>
      <c r="X165" s="64"/>
      <c r="Y165" s="64"/>
      <c r="Z165" s="64"/>
      <c r="AA165" s="64"/>
      <c r="AB165" s="64"/>
      <c r="AC165" s="64"/>
      <c r="AD165" s="64"/>
      <c r="AE165" s="64"/>
      <c r="AF165" s="64"/>
      <c r="AG165" s="64"/>
    </row>
    <row r="166">
      <c r="A166" s="64"/>
      <c r="B166" s="64"/>
      <c r="C166" s="64"/>
      <c r="D166" s="64"/>
      <c r="E166" s="65"/>
      <c r="F166" s="64"/>
      <c r="G166" s="67"/>
      <c r="H166" s="64"/>
      <c r="I166" s="64"/>
      <c r="J166" s="64"/>
      <c r="K166" s="64"/>
      <c r="L166" s="65"/>
      <c r="M166" s="64"/>
      <c r="N166" s="64"/>
      <c r="O166" s="64"/>
      <c r="P166" s="64"/>
      <c r="Q166" s="64"/>
      <c r="R166" s="64"/>
      <c r="S166" s="64"/>
      <c r="T166" s="65"/>
      <c r="U166" s="64"/>
      <c r="V166" s="64"/>
      <c r="W166" s="64"/>
      <c r="X166" s="64"/>
      <c r="Y166" s="64"/>
      <c r="Z166" s="64"/>
      <c r="AA166" s="64"/>
      <c r="AB166" s="64"/>
      <c r="AC166" s="64"/>
      <c r="AD166" s="64"/>
      <c r="AE166" s="64"/>
      <c r="AF166" s="64"/>
      <c r="AG166" s="64"/>
    </row>
    <row r="167">
      <c r="A167" s="64"/>
      <c r="B167" s="64"/>
      <c r="C167" s="64"/>
      <c r="D167" s="64"/>
      <c r="E167" s="65"/>
      <c r="F167" s="64"/>
      <c r="G167" s="67"/>
      <c r="H167" s="64"/>
      <c r="I167" s="64"/>
      <c r="J167" s="64"/>
      <c r="K167" s="64"/>
      <c r="L167" s="65"/>
      <c r="M167" s="64"/>
      <c r="N167" s="64"/>
      <c r="O167" s="64"/>
      <c r="P167" s="64"/>
      <c r="Q167" s="64"/>
      <c r="R167" s="64"/>
      <c r="S167" s="64"/>
      <c r="T167" s="65"/>
      <c r="U167" s="64"/>
      <c r="V167" s="64"/>
      <c r="W167" s="64"/>
      <c r="X167" s="64"/>
      <c r="Y167" s="64"/>
      <c r="Z167" s="64"/>
      <c r="AA167" s="64"/>
      <c r="AB167" s="64"/>
      <c r="AC167" s="64"/>
      <c r="AD167" s="64"/>
      <c r="AE167" s="64"/>
      <c r="AF167" s="64"/>
      <c r="AG167" s="64"/>
    </row>
    <row r="168">
      <c r="A168" s="64"/>
      <c r="B168" s="64"/>
      <c r="C168" s="64"/>
      <c r="D168" s="64"/>
      <c r="E168" s="65"/>
      <c r="F168" s="64"/>
      <c r="G168" s="67"/>
      <c r="H168" s="64"/>
      <c r="I168" s="64"/>
      <c r="J168" s="64"/>
      <c r="K168" s="64"/>
      <c r="L168" s="65"/>
      <c r="M168" s="64"/>
      <c r="N168" s="64"/>
      <c r="O168" s="64"/>
      <c r="P168" s="64"/>
      <c r="Q168" s="64"/>
      <c r="R168" s="64"/>
      <c r="S168" s="64"/>
      <c r="T168" s="65"/>
      <c r="U168" s="64"/>
      <c r="V168" s="64"/>
      <c r="W168" s="64"/>
      <c r="X168" s="64"/>
      <c r="Y168" s="64"/>
      <c r="Z168" s="64"/>
      <c r="AA168" s="64"/>
      <c r="AB168" s="64"/>
      <c r="AC168" s="64"/>
      <c r="AD168" s="64"/>
      <c r="AE168" s="64"/>
      <c r="AF168" s="64"/>
      <c r="AG168" s="64"/>
    </row>
    <row r="169">
      <c r="A169" s="64"/>
      <c r="B169" s="64"/>
      <c r="C169" s="64"/>
      <c r="D169" s="64"/>
      <c r="E169" s="65"/>
      <c r="F169" s="64"/>
      <c r="G169" s="67"/>
      <c r="H169" s="64"/>
      <c r="I169" s="64"/>
      <c r="J169" s="64"/>
      <c r="K169" s="64"/>
      <c r="L169" s="65"/>
      <c r="M169" s="64"/>
      <c r="N169" s="64"/>
      <c r="O169" s="64"/>
      <c r="P169" s="64"/>
      <c r="Q169" s="64"/>
      <c r="R169" s="64"/>
      <c r="S169" s="64"/>
      <c r="T169" s="65"/>
      <c r="U169" s="64"/>
      <c r="V169" s="64"/>
      <c r="W169" s="64"/>
      <c r="X169" s="64"/>
      <c r="Y169" s="64"/>
      <c r="Z169" s="64"/>
      <c r="AA169" s="64"/>
      <c r="AB169" s="64"/>
      <c r="AC169" s="64"/>
      <c r="AD169" s="64"/>
      <c r="AE169" s="64"/>
      <c r="AF169" s="64"/>
      <c r="AG169" s="64"/>
    </row>
    <row r="170">
      <c r="A170" s="64"/>
      <c r="B170" s="64"/>
      <c r="C170" s="64"/>
      <c r="D170" s="64"/>
      <c r="E170" s="65"/>
      <c r="F170" s="64"/>
      <c r="G170" s="67"/>
      <c r="H170" s="64"/>
      <c r="I170" s="64"/>
      <c r="J170" s="64"/>
      <c r="K170" s="64"/>
      <c r="L170" s="65"/>
      <c r="M170" s="64"/>
      <c r="N170" s="64"/>
      <c r="O170" s="64"/>
      <c r="P170" s="64"/>
      <c r="Q170" s="64"/>
      <c r="R170" s="64"/>
      <c r="S170" s="64"/>
      <c r="T170" s="65"/>
      <c r="U170" s="64"/>
      <c r="V170" s="64"/>
      <c r="W170" s="64"/>
      <c r="X170" s="64"/>
      <c r="Y170" s="64"/>
      <c r="Z170" s="64"/>
      <c r="AA170" s="64"/>
      <c r="AB170" s="64"/>
      <c r="AC170" s="64"/>
      <c r="AD170" s="64"/>
      <c r="AE170" s="64"/>
      <c r="AF170" s="64"/>
      <c r="AG170" s="64"/>
    </row>
    <row r="171">
      <c r="A171" s="64"/>
      <c r="B171" s="64"/>
      <c r="C171" s="64"/>
      <c r="D171" s="64"/>
      <c r="E171" s="65"/>
      <c r="F171" s="64"/>
      <c r="G171" s="67"/>
      <c r="H171" s="64"/>
      <c r="I171" s="64"/>
      <c r="J171" s="64"/>
      <c r="K171" s="64"/>
      <c r="L171" s="65"/>
      <c r="M171" s="64"/>
      <c r="N171" s="64"/>
      <c r="O171" s="64"/>
      <c r="P171" s="64"/>
      <c r="Q171" s="64"/>
      <c r="R171" s="64"/>
      <c r="S171" s="64"/>
      <c r="T171" s="65"/>
      <c r="U171" s="64"/>
      <c r="V171" s="64"/>
      <c r="W171" s="64"/>
      <c r="X171" s="64"/>
      <c r="Y171" s="64"/>
      <c r="Z171" s="64"/>
      <c r="AA171" s="64"/>
      <c r="AB171" s="64"/>
      <c r="AC171" s="64"/>
      <c r="AD171" s="64"/>
      <c r="AE171" s="64"/>
      <c r="AF171" s="64"/>
      <c r="AG171" s="64"/>
    </row>
    <row r="172">
      <c r="A172" s="64"/>
      <c r="B172" s="64"/>
      <c r="C172" s="64"/>
      <c r="D172" s="64"/>
      <c r="E172" s="65"/>
      <c r="F172" s="64"/>
      <c r="G172" s="67"/>
      <c r="H172" s="64"/>
      <c r="I172" s="64"/>
      <c r="J172" s="64"/>
      <c r="K172" s="64"/>
      <c r="L172" s="65"/>
      <c r="M172" s="64"/>
      <c r="N172" s="64"/>
      <c r="O172" s="64"/>
      <c r="P172" s="64"/>
      <c r="Q172" s="64"/>
      <c r="R172" s="64"/>
      <c r="S172" s="64"/>
      <c r="T172" s="65"/>
      <c r="U172" s="64"/>
      <c r="V172" s="64"/>
      <c r="W172" s="64"/>
      <c r="X172" s="64"/>
      <c r="Y172" s="64"/>
      <c r="Z172" s="64"/>
      <c r="AA172" s="64"/>
      <c r="AB172" s="64"/>
      <c r="AC172" s="64"/>
      <c r="AD172" s="64"/>
      <c r="AE172" s="64"/>
      <c r="AF172" s="64"/>
      <c r="AG172" s="64"/>
    </row>
    <row r="173">
      <c r="A173" s="64"/>
      <c r="B173" s="64"/>
      <c r="C173" s="64"/>
      <c r="D173" s="64"/>
      <c r="E173" s="65"/>
      <c r="F173" s="64"/>
      <c r="G173" s="67"/>
      <c r="H173" s="64"/>
      <c r="I173" s="64"/>
      <c r="J173" s="64"/>
      <c r="K173" s="64"/>
      <c r="L173" s="65"/>
      <c r="M173" s="64"/>
      <c r="N173" s="64"/>
      <c r="O173" s="64"/>
      <c r="P173" s="64"/>
      <c r="Q173" s="64"/>
      <c r="R173" s="64"/>
      <c r="S173" s="64"/>
      <c r="T173" s="65"/>
      <c r="U173" s="64"/>
      <c r="V173" s="64"/>
      <c r="W173" s="64"/>
      <c r="X173" s="64"/>
      <c r="Y173" s="64"/>
      <c r="Z173" s="64"/>
      <c r="AA173" s="64"/>
      <c r="AB173" s="64"/>
      <c r="AC173" s="64"/>
      <c r="AD173" s="64"/>
      <c r="AE173" s="64"/>
      <c r="AF173" s="64"/>
      <c r="AG173" s="64"/>
    </row>
    <row r="174">
      <c r="A174" s="64"/>
      <c r="B174" s="64"/>
      <c r="C174" s="64"/>
      <c r="D174" s="64"/>
      <c r="E174" s="65"/>
      <c r="F174" s="64"/>
      <c r="G174" s="67"/>
      <c r="H174" s="64"/>
      <c r="I174" s="64"/>
      <c r="J174" s="64"/>
      <c r="K174" s="64"/>
      <c r="L174" s="65"/>
      <c r="M174" s="64"/>
      <c r="N174" s="64"/>
      <c r="O174" s="64"/>
      <c r="P174" s="64"/>
      <c r="Q174" s="64"/>
      <c r="R174" s="64"/>
      <c r="S174" s="64"/>
      <c r="T174" s="65"/>
      <c r="U174" s="64"/>
      <c r="V174" s="64"/>
      <c r="W174" s="64"/>
      <c r="X174" s="64"/>
      <c r="Y174" s="64"/>
      <c r="Z174" s="64"/>
      <c r="AA174" s="64"/>
      <c r="AB174" s="64"/>
      <c r="AC174" s="64"/>
      <c r="AD174" s="64"/>
      <c r="AE174" s="64"/>
      <c r="AF174" s="64"/>
      <c r="AG174" s="64"/>
    </row>
    <row r="175">
      <c r="A175" s="64"/>
      <c r="B175" s="64"/>
      <c r="C175" s="64"/>
      <c r="D175" s="64"/>
      <c r="E175" s="65"/>
      <c r="F175" s="64"/>
      <c r="G175" s="67"/>
      <c r="H175" s="64"/>
      <c r="I175" s="64"/>
      <c r="J175" s="64"/>
      <c r="K175" s="64"/>
      <c r="L175" s="65"/>
      <c r="M175" s="64"/>
      <c r="N175" s="64"/>
      <c r="O175" s="64"/>
      <c r="P175" s="64"/>
      <c r="Q175" s="64"/>
      <c r="R175" s="64"/>
      <c r="S175" s="64"/>
      <c r="T175" s="65"/>
      <c r="U175" s="64"/>
      <c r="V175" s="64"/>
      <c r="W175" s="64"/>
      <c r="X175" s="64"/>
      <c r="Y175" s="64"/>
      <c r="Z175" s="64"/>
      <c r="AA175" s="64"/>
      <c r="AB175" s="64"/>
      <c r="AC175" s="64"/>
      <c r="AD175" s="64"/>
      <c r="AE175" s="64"/>
      <c r="AF175" s="64"/>
      <c r="AG175" s="64"/>
    </row>
    <row r="176">
      <c r="A176" s="64"/>
      <c r="B176" s="64"/>
      <c r="C176" s="64"/>
      <c r="D176" s="64"/>
      <c r="E176" s="65"/>
      <c r="F176" s="64"/>
      <c r="G176" s="67"/>
      <c r="H176" s="64"/>
      <c r="I176" s="64"/>
      <c r="J176" s="64"/>
      <c r="K176" s="64"/>
      <c r="L176" s="65"/>
      <c r="M176" s="64"/>
      <c r="N176" s="64"/>
      <c r="O176" s="64"/>
      <c r="P176" s="64"/>
      <c r="Q176" s="64"/>
      <c r="R176" s="64"/>
      <c r="S176" s="64"/>
      <c r="T176" s="65"/>
      <c r="U176" s="64"/>
      <c r="V176" s="64"/>
      <c r="W176" s="64"/>
      <c r="X176" s="64"/>
      <c r="Y176" s="64"/>
      <c r="Z176" s="64"/>
      <c r="AA176" s="64"/>
      <c r="AB176" s="64"/>
      <c r="AC176" s="64"/>
      <c r="AD176" s="64"/>
      <c r="AE176" s="64"/>
      <c r="AF176" s="64"/>
      <c r="AG176" s="64"/>
    </row>
    <row r="177">
      <c r="A177" s="64"/>
      <c r="B177" s="64"/>
      <c r="C177" s="64"/>
      <c r="D177" s="64"/>
      <c r="E177" s="65"/>
      <c r="F177" s="64"/>
      <c r="G177" s="67"/>
      <c r="H177" s="64"/>
      <c r="I177" s="64"/>
      <c r="J177" s="64"/>
      <c r="K177" s="64"/>
      <c r="L177" s="65"/>
      <c r="M177" s="64"/>
      <c r="N177" s="64"/>
      <c r="O177" s="64"/>
      <c r="P177" s="64"/>
      <c r="Q177" s="64"/>
      <c r="R177" s="64"/>
      <c r="S177" s="64"/>
      <c r="T177" s="65"/>
      <c r="U177" s="64"/>
      <c r="V177" s="64"/>
      <c r="W177" s="64"/>
      <c r="X177" s="64"/>
      <c r="Y177" s="64"/>
      <c r="Z177" s="64"/>
      <c r="AA177" s="64"/>
      <c r="AB177" s="64"/>
      <c r="AC177" s="64"/>
      <c r="AD177" s="64"/>
      <c r="AE177" s="64"/>
      <c r="AF177" s="64"/>
      <c r="AG177" s="64"/>
    </row>
    <row r="178">
      <c r="A178" s="64"/>
      <c r="B178" s="64"/>
      <c r="C178" s="64"/>
      <c r="D178" s="64"/>
      <c r="E178" s="65"/>
      <c r="F178" s="64"/>
      <c r="G178" s="67"/>
      <c r="H178" s="64"/>
      <c r="I178" s="64"/>
      <c r="J178" s="64"/>
      <c r="K178" s="64"/>
      <c r="L178" s="65"/>
      <c r="M178" s="64"/>
      <c r="N178" s="64"/>
      <c r="O178" s="64"/>
      <c r="P178" s="64"/>
      <c r="Q178" s="64"/>
      <c r="R178" s="64"/>
      <c r="S178" s="64"/>
      <c r="T178" s="65"/>
      <c r="U178" s="64"/>
      <c r="V178" s="64"/>
      <c r="W178" s="64"/>
      <c r="X178" s="64"/>
      <c r="Y178" s="64"/>
      <c r="Z178" s="64"/>
      <c r="AA178" s="64"/>
      <c r="AB178" s="64"/>
      <c r="AC178" s="64"/>
      <c r="AD178" s="64"/>
      <c r="AE178" s="64"/>
      <c r="AF178" s="64"/>
      <c r="AG178" s="64"/>
    </row>
    <row r="179">
      <c r="A179" s="64"/>
      <c r="B179" s="64"/>
      <c r="C179" s="64"/>
      <c r="D179" s="64"/>
      <c r="E179" s="65"/>
      <c r="F179" s="64"/>
      <c r="G179" s="67"/>
      <c r="H179" s="64"/>
      <c r="I179" s="64"/>
      <c r="J179" s="64"/>
      <c r="K179" s="64"/>
      <c r="L179" s="65"/>
      <c r="M179" s="64"/>
      <c r="N179" s="64"/>
      <c r="O179" s="64"/>
      <c r="P179" s="64"/>
      <c r="Q179" s="64"/>
      <c r="R179" s="64"/>
      <c r="S179" s="64"/>
      <c r="T179" s="65"/>
      <c r="U179" s="64"/>
      <c r="V179" s="64"/>
      <c r="W179" s="64"/>
      <c r="X179" s="64"/>
      <c r="Y179" s="64"/>
      <c r="Z179" s="64"/>
      <c r="AA179" s="64"/>
      <c r="AB179" s="64"/>
      <c r="AC179" s="64"/>
      <c r="AD179" s="64"/>
      <c r="AE179" s="64"/>
      <c r="AF179" s="64"/>
      <c r="AG179" s="64"/>
    </row>
    <row r="180">
      <c r="A180" s="64"/>
      <c r="B180" s="64"/>
      <c r="C180" s="64"/>
      <c r="D180" s="64"/>
      <c r="E180" s="65"/>
      <c r="F180" s="64"/>
      <c r="G180" s="67"/>
      <c r="H180" s="64"/>
      <c r="I180" s="64"/>
      <c r="J180" s="64"/>
      <c r="K180" s="64"/>
      <c r="L180" s="65"/>
      <c r="M180" s="64"/>
      <c r="N180" s="64"/>
      <c r="O180" s="64"/>
      <c r="P180" s="64"/>
      <c r="Q180" s="64"/>
      <c r="R180" s="64"/>
      <c r="S180" s="64"/>
      <c r="T180" s="65"/>
      <c r="U180" s="64"/>
      <c r="V180" s="64"/>
      <c r="W180" s="64"/>
      <c r="X180" s="64"/>
      <c r="Y180" s="64"/>
      <c r="Z180" s="64"/>
      <c r="AA180" s="64"/>
      <c r="AB180" s="64"/>
      <c r="AC180" s="64"/>
      <c r="AD180" s="64"/>
      <c r="AE180" s="64"/>
      <c r="AF180" s="64"/>
      <c r="AG180" s="64"/>
    </row>
    <row r="181">
      <c r="A181" s="64"/>
      <c r="B181" s="64"/>
      <c r="C181" s="64"/>
      <c r="D181" s="64"/>
      <c r="E181" s="65"/>
      <c r="F181" s="64"/>
      <c r="G181" s="67"/>
      <c r="H181" s="64"/>
      <c r="I181" s="64"/>
      <c r="J181" s="64"/>
      <c r="K181" s="64"/>
      <c r="L181" s="65"/>
      <c r="M181" s="64"/>
      <c r="N181" s="64"/>
      <c r="O181" s="64"/>
      <c r="P181" s="64"/>
      <c r="Q181" s="64"/>
      <c r="R181" s="64"/>
      <c r="S181" s="64"/>
      <c r="T181" s="65"/>
      <c r="U181" s="64"/>
      <c r="V181" s="64"/>
      <c r="W181" s="64"/>
      <c r="X181" s="64"/>
      <c r="Y181" s="64"/>
      <c r="Z181" s="64"/>
      <c r="AA181" s="64"/>
      <c r="AB181" s="64"/>
      <c r="AC181" s="64"/>
      <c r="AD181" s="64"/>
      <c r="AE181" s="64"/>
      <c r="AF181" s="64"/>
      <c r="AG181" s="64"/>
    </row>
    <row r="182">
      <c r="A182" s="64"/>
      <c r="B182" s="64"/>
      <c r="C182" s="64"/>
      <c r="D182" s="64"/>
      <c r="E182" s="65"/>
      <c r="F182" s="64"/>
      <c r="G182" s="67"/>
      <c r="H182" s="64"/>
      <c r="I182" s="64"/>
      <c r="J182" s="64"/>
      <c r="K182" s="64"/>
      <c r="L182" s="65"/>
      <c r="M182" s="64"/>
      <c r="N182" s="64"/>
      <c r="O182" s="64"/>
      <c r="P182" s="64"/>
      <c r="Q182" s="64"/>
      <c r="R182" s="64"/>
      <c r="S182" s="64"/>
      <c r="T182" s="65"/>
      <c r="U182" s="64"/>
      <c r="V182" s="64"/>
      <c r="W182" s="64"/>
      <c r="X182" s="64"/>
      <c r="Y182" s="64"/>
      <c r="Z182" s="64"/>
      <c r="AA182" s="64"/>
      <c r="AB182" s="64"/>
      <c r="AC182" s="64"/>
      <c r="AD182" s="64"/>
      <c r="AE182" s="64"/>
      <c r="AF182" s="64"/>
      <c r="AG182" s="64"/>
    </row>
    <row r="183">
      <c r="A183" s="64"/>
      <c r="B183" s="64"/>
      <c r="C183" s="64"/>
      <c r="D183" s="64"/>
      <c r="E183" s="65"/>
      <c r="F183" s="64"/>
      <c r="G183" s="67"/>
      <c r="H183" s="64"/>
      <c r="I183" s="64"/>
      <c r="J183" s="64"/>
      <c r="K183" s="64"/>
      <c r="L183" s="65"/>
      <c r="M183" s="64"/>
      <c r="N183" s="64"/>
      <c r="O183" s="64"/>
      <c r="P183" s="64"/>
      <c r="Q183" s="64"/>
      <c r="R183" s="64"/>
      <c r="S183" s="64"/>
      <c r="T183" s="65"/>
      <c r="U183" s="64"/>
      <c r="V183" s="64"/>
      <c r="W183" s="64"/>
      <c r="X183" s="64"/>
      <c r="Y183" s="64"/>
      <c r="Z183" s="64"/>
      <c r="AA183" s="64"/>
      <c r="AB183" s="64"/>
      <c r="AC183" s="64"/>
      <c r="AD183" s="64"/>
      <c r="AE183" s="64"/>
      <c r="AF183" s="64"/>
      <c r="AG183" s="64"/>
    </row>
    <row r="184">
      <c r="A184" s="64"/>
      <c r="B184" s="64"/>
      <c r="C184" s="64"/>
      <c r="D184" s="64"/>
      <c r="E184" s="65"/>
      <c r="F184" s="64"/>
      <c r="G184" s="67"/>
      <c r="H184" s="64"/>
      <c r="I184" s="64"/>
      <c r="J184" s="64"/>
      <c r="K184" s="64"/>
      <c r="L184" s="65"/>
      <c r="M184" s="64"/>
      <c r="N184" s="64"/>
      <c r="O184" s="64"/>
      <c r="P184" s="64"/>
      <c r="Q184" s="64"/>
      <c r="R184" s="64"/>
      <c r="S184" s="64"/>
      <c r="T184" s="65"/>
      <c r="U184" s="64"/>
      <c r="V184" s="64"/>
      <c r="W184" s="64"/>
      <c r="X184" s="64"/>
      <c r="Y184" s="64"/>
      <c r="Z184" s="64"/>
      <c r="AA184" s="64"/>
      <c r="AB184" s="64"/>
      <c r="AC184" s="64"/>
      <c r="AD184" s="64"/>
      <c r="AE184" s="64"/>
      <c r="AF184" s="64"/>
      <c r="AG184" s="64"/>
    </row>
    <row r="185">
      <c r="A185" s="64"/>
      <c r="B185" s="64"/>
      <c r="C185" s="64"/>
      <c r="D185" s="64"/>
      <c r="E185" s="65"/>
      <c r="F185" s="64"/>
      <c r="G185" s="67"/>
      <c r="H185" s="64"/>
      <c r="I185" s="64"/>
      <c r="J185" s="64"/>
      <c r="K185" s="64"/>
      <c r="L185" s="65"/>
      <c r="M185" s="64"/>
      <c r="N185" s="64"/>
      <c r="O185" s="64"/>
      <c r="P185" s="64"/>
      <c r="Q185" s="64"/>
      <c r="R185" s="64"/>
      <c r="S185" s="64"/>
      <c r="T185" s="65"/>
      <c r="U185" s="64"/>
      <c r="V185" s="64"/>
      <c r="W185" s="64"/>
      <c r="X185" s="64"/>
      <c r="Y185" s="64"/>
      <c r="Z185" s="64"/>
      <c r="AA185" s="64"/>
      <c r="AB185" s="64"/>
      <c r="AC185" s="64"/>
      <c r="AD185" s="64"/>
      <c r="AE185" s="64"/>
      <c r="AF185" s="64"/>
      <c r="AG185" s="64"/>
    </row>
    <row r="186">
      <c r="A186" s="64"/>
      <c r="B186" s="64"/>
      <c r="C186" s="64"/>
      <c r="D186" s="64"/>
      <c r="E186" s="65"/>
      <c r="F186" s="64"/>
      <c r="G186" s="67"/>
      <c r="H186" s="64"/>
      <c r="I186" s="64"/>
      <c r="J186" s="64"/>
      <c r="K186" s="64"/>
      <c r="L186" s="65"/>
      <c r="M186" s="64"/>
      <c r="N186" s="64"/>
      <c r="O186" s="64"/>
      <c r="P186" s="64"/>
      <c r="Q186" s="64"/>
      <c r="R186" s="64"/>
      <c r="S186" s="64"/>
      <c r="T186" s="65"/>
      <c r="U186" s="64"/>
      <c r="V186" s="64"/>
      <c r="W186" s="64"/>
      <c r="X186" s="64"/>
      <c r="Y186" s="64"/>
      <c r="Z186" s="64"/>
      <c r="AA186" s="64"/>
      <c r="AB186" s="64"/>
      <c r="AC186" s="64"/>
      <c r="AD186" s="64"/>
      <c r="AE186" s="64"/>
      <c r="AF186" s="64"/>
      <c r="AG186" s="64"/>
    </row>
    <row r="187">
      <c r="A187" s="64"/>
      <c r="B187" s="64"/>
      <c r="C187" s="64"/>
      <c r="D187" s="64"/>
      <c r="E187" s="65"/>
      <c r="F187" s="64"/>
      <c r="G187" s="67"/>
      <c r="H187" s="64"/>
      <c r="I187" s="64"/>
      <c r="J187" s="64"/>
      <c r="K187" s="64"/>
      <c r="L187" s="65"/>
      <c r="M187" s="64"/>
      <c r="N187" s="64"/>
      <c r="O187" s="64"/>
      <c r="P187" s="64"/>
      <c r="Q187" s="64"/>
      <c r="R187" s="64"/>
      <c r="S187" s="64"/>
      <c r="T187" s="65"/>
      <c r="U187" s="64"/>
      <c r="V187" s="64"/>
      <c r="W187" s="64"/>
      <c r="X187" s="64"/>
      <c r="Y187" s="64"/>
      <c r="Z187" s="64"/>
      <c r="AA187" s="64"/>
      <c r="AB187" s="64"/>
      <c r="AC187" s="64"/>
      <c r="AD187" s="64"/>
      <c r="AE187" s="64"/>
      <c r="AF187" s="64"/>
      <c r="AG187" s="64"/>
    </row>
    <row r="188">
      <c r="A188" s="64"/>
      <c r="B188" s="64"/>
      <c r="C188" s="64"/>
      <c r="D188" s="64"/>
      <c r="E188" s="65"/>
      <c r="F188" s="64"/>
      <c r="G188" s="67"/>
      <c r="H188" s="64"/>
      <c r="I188" s="64"/>
      <c r="J188" s="64"/>
      <c r="K188" s="64"/>
      <c r="L188" s="65"/>
      <c r="M188" s="64"/>
      <c r="N188" s="64"/>
      <c r="O188" s="64"/>
      <c r="P188" s="64"/>
      <c r="Q188" s="64"/>
      <c r="R188" s="64"/>
      <c r="S188" s="64"/>
      <c r="T188" s="65"/>
      <c r="U188" s="64"/>
      <c r="V188" s="64"/>
      <c r="W188" s="64"/>
      <c r="X188" s="64"/>
      <c r="Y188" s="64"/>
      <c r="Z188" s="64"/>
      <c r="AA188" s="64"/>
      <c r="AB188" s="64"/>
      <c r="AC188" s="64"/>
      <c r="AD188" s="64"/>
      <c r="AE188" s="64"/>
      <c r="AF188" s="64"/>
      <c r="AG188" s="64"/>
    </row>
    <row r="189">
      <c r="A189" s="64"/>
      <c r="B189" s="64"/>
      <c r="C189" s="64"/>
      <c r="D189" s="64"/>
      <c r="E189" s="65"/>
      <c r="F189" s="64"/>
      <c r="G189" s="67"/>
      <c r="H189" s="64"/>
      <c r="I189" s="64"/>
      <c r="J189" s="64"/>
      <c r="K189" s="64"/>
      <c r="L189" s="65"/>
      <c r="M189" s="64"/>
      <c r="N189" s="64"/>
      <c r="O189" s="64"/>
      <c r="P189" s="64"/>
      <c r="Q189" s="64"/>
      <c r="R189" s="64"/>
      <c r="S189" s="64"/>
      <c r="T189" s="65"/>
      <c r="U189" s="64"/>
      <c r="V189" s="64"/>
      <c r="W189" s="64"/>
      <c r="X189" s="64"/>
      <c r="Y189" s="64"/>
      <c r="Z189" s="64"/>
      <c r="AA189" s="64"/>
      <c r="AB189" s="64"/>
      <c r="AC189" s="64"/>
      <c r="AD189" s="64"/>
      <c r="AE189" s="64"/>
      <c r="AF189" s="64"/>
      <c r="AG189" s="64"/>
    </row>
    <row r="190">
      <c r="A190" s="64"/>
      <c r="B190" s="64"/>
      <c r="C190" s="64"/>
      <c r="D190" s="64"/>
      <c r="E190" s="65"/>
      <c r="F190" s="64"/>
      <c r="G190" s="67"/>
      <c r="H190" s="64"/>
      <c r="I190" s="64"/>
      <c r="J190" s="64"/>
      <c r="K190" s="64"/>
      <c r="L190" s="65"/>
      <c r="M190" s="64"/>
      <c r="N190" s="64"/>
      <c r="O190" s="64"/>
      <c r="P190" s="64"/>
      <c r="Q190" s="64"/>
      <c r="R190" s="64"/>
      <c r="S190" s="64"/>
      <c r="T190" s="65"/>
      <c r="U190" s="64"/>
      <c r="V190" s="64"/>
      <c r="W190" s="64"/>
      <c r="X190" s="64"/>
      <c r="Y190" s="64"/>
      <c r="Z190" s="64"/>
      <c r="AA190" s="64"/>
      <c r="AB190" s="64"/>
      <c r="AC190" s="64"/>
      <c r="AD190" s="64"/>
      <c r="AE190" s="64"/>
      <c r="AF190" s="64"/>
      <c r="AG190" s="64"/>
    </row>
    <row r="191">
      <c r="A191" s="64"/>
      <c r="B191" s="64"/>
      <c r="C191" s="64"/>
      <c r="D191" s="64"/>
      <c r="E191" s="65"/>
      <c r="F191" s="64"/>
      <c r="G191" s="67"/>
      <c r="H191" s="64"/>
      <c r="I191" s="64"/>
      <c r="J191" s="64"/>
      <c r="K191" s="64"/>
      <c r="L191" s="65"/>
      <c r="M191" s="64"/>
      <c r="N191" s="64"/>
      <c r="O191" s="64"/>
      <c r="P191" s="64"/>
      <c r="Q191" s="64"/>
      <c r="R191" s="64"/>
      <c r="S191" s="64"/>
      <c r="T191" s="65"/>
      <c r="U191" s="64"/>
      <c r="V191" s="64"/>
      <c r="W191" s="64"/>
      <c r="X191" s="64"/>
      <c r="Y191" s="64"/>
      <c r="Z191" s="64"/>
      <c r="AA191" s="64"/>
      <c r="AB191" s="64"/>
      <c r="AC191" s="64"/>
      <c r="AD191" s="64"/>
      <c r="AE191" s="64"/>
      <c r="AF191" s="64"/>
      <c r="AG191" s="64"/>
    </row>
    <row r="192">
      <c r="A192" s="64"/>
      <c r="B192" s="64"/>
      <c r="C192" s="64"/>
      <c r="D192" s="64"/>
      <c r="E192" s="65"/>
      <c r="F192" s="64"/>
      <c r="G192" s="67"/>
      <c r="H192" s="64"/>
      <c r="I192" s="64"/>
      <c r="J192" s="64"/>
      <c r="K192" s="64"/>
      <c r="L192" s="65"/>
      <c r="M192" s="64"/>
      <c r="N192" s="64"/>
      <c r="O192" s="64"/>
      <c r="P192" s="64"/>
      <c r="Q192" s="64"/>
      <c r="R192" s="64"/>
      <c r="S192" s="64"/>
      <c r="T192" s="65"/>
      <c r="U192" s="64"/>
      <c r="V192" s="64"/>
      <c r="W192" s="64"/>
      <c r="X192" s="64"/>
      <c r="Y192" s="64"/>
      <c r="Z192" s="64"/>
      <c r="AA192" s="64"/>
      <c r="AB192" s="64"/>
      <c r="AC192" s="64"/>
      <c r="AD192" s="64"/>
      <c r="AE192" s="64"/>
      <c r="AF192" s="64"/>
      <c r="AG192" s="64"/>
    </row>
    <row r="193">
      <c r="A193" s="64"/>
      <c r="B193" s="64"/>
      <c r="C193" s="64"/>
      <c r="D193" s="64"/>
      <c r="E193" s="65"/>
      <c r="F193" s="64"/>
      <c r="G193" s="67"/>
      <c r="H193" s="64"/>
      <c r="I193" s="64"/>
      <c r="J193" s="64"/>
      <c r="K193" s="64"/>
      <c r="L193" s="65"/>
      <c r="M193" s="64"/>
      <c r="N193" s="64"/>
      <c r="O193" s="64"/>
      <c r="P193" s="64"/>
      <c r="Q193" s="64"/>
      <c r="R193" s="64"/>
      <c r="S193" s="64"/>
      <c r="T193" s="65"/>
      <c r="U193" s="64"/>
      <c r="V193" s="64"/>
      <c r="W193" s="64"/>
      <c r="X193" s="64"/>
      <c r="Y193" s="64"/>
      <c r="Z193" s="64"/>
      <c r="AA193" s="64"/>
      <c r="AB193" s="64"/>
      <c r="AC193" s="64"/>
      <c r="AD193" s="64"/>
      <c r="AE193" s="64"/>
      <c r="AF193" s="64"/>
      <c r="AG193" s="64"/>
    </row>
    <row r="194">
      <c r="A194" s="64"/>
      <c r="B194" s="64"/>
      <c r="C194" s="64"/>
      <c r="D194" s="64"/>
      <c r="E194" s="65"/>
      <c r="F194" s="64"/>
      <c r="G194" s="67"/>
      <c r="H194" s="64"/>
      <c r="I194" s="64"/>
      <c r="J194" s="64"/>
      <c r="K194" s="64"/>
      <c r="L194" s="65"/>
      <c r="M194" s="64"/>
      <c r="N194" s="64"/>
      <c r="O194" s="64"/>
      <c r="P194" s="64"/>
      <c r="Q194" s="64"/>
      <c r="R194" s="64"/>
      <c r="S194" s="64"/>
      <c r="T194" s="65"/>
      <c r="U194" s="64"/>
      <c r="V194" s="64"/>
      <c r="W194" s="64"/>
      <c r="X194" s="64"/>
      <c r="Y194" s="64"/>
      <c r="Z194" s="64"/>
      <c r="AA194" s="64"/>
      <c r="AB194" s="64"/>
      <c r="AC194" s="64"/>
      <c r="AD194" s="64"/>
      <c r="AE194" s="64"/>
      <c r="AF194" s="64"/>
      <c r="AG194" s="64"/>
    </row>
    <row r="195">
      <c r="A195" s="64"/>
      <c r="B195" s="64"/>
      <c r="C195" s="64"/>
      <c r="D195" s="64"/>
      <c r="E195" s="65"/>
      <c r="F195" s="64"/>
      <c r="G195" s="67"/>
      <c r="H195" s="64"/>
      <c r="I195" s="64"/>
      <c r="J195" s="64"/>
      <c r="K195" s="64"/>
      <c r="L195" s="65"/>
      <c r="M195" s="64"/>
      <c r="N195" s="64"/>
      <c r="O195" s="64"/>
      <c r="P195" s="64"/>
      <c r="Q195" s="64"/>
      <c r="R195" s="64"/>
      <c r="S195" s="64"/>
      <c r="T195" s="65"/>
      <c r="U195" s="64"/>
      <c r="V195" s="64"/>
      <c r="W195" s="64"/>
      <c r="X195" s="64"/>
      <c r="Y195" s="64"/>
      <c r="Z195" s="64"/>
      <c r="AA195" s="64"/>
      <c r="AB195" s="64"/>
      <c r="AC195" s="64"/>
      <c r="AD195" s="64"/>
      <c r="AE195" s="64"/>
      <c r="AF195" s="64"/>
      <c r="AG195" s="64"/>
    </row>
    <row r="196">
      <c r="A196" s="64"/>
      <c r="B196" s="64"/>
      <c r="C196" s="64"/>
      <c r="D196" s="64"/>
      <c r="E196" s="65"/>
      <c r="F196" s="64"/>
      <c r="G196" s="67"/>
      <c r="H196" s="64"/>
      <c r="I196" s="64"/>
      <c r="J196" s="64"/>
      <c r="K196" s="64"/>
      <c r="L196" s="65"/>
      <c r="M196" s="64"/>
      <c r="N196" s="64"/>
      <c r="O196" s="64"/>
      <c r="P196" s="64"/>
      <c r="Q196" s="64"/>
      <c r="R196" s="64"/>
      <c r="S196" s="64"/>
      <c r="T196" s="65"/>
      <c r="U196" s="64"/>
      <c r="V196" s="64"/>
      <c r="W196" s="64"/>
      <c r="X196" s="64"/>
      <c r="Y196" s="64"/>
      <c r="Z196" s="64"/>
      <c r="AA196" s="64"/>
      <c r="AB196" s="64"/>
      <c r="AC196" s="64"/>
      <c r="AD196" s="64"/>
      <c r="AE196" s="64"/>
      <c r="AF196" s="64"/>
      <c r="AG196" s="64"/>
    </row>
    <row r="197">
      <c r="A197" s="64"/>
      <c r="B197" s="64"/>
      <c r="C197" s="64"/>
      <c r="D197" s="64"/>
      <c r="E197" s="65"/>
      <c r="F197" s="64"/>
      <c r="G197" s="67"/>
      <c r="H197" s="64"/>
      <c r="I197" s="64"/>
      <c r="J197" s="64"/>
      <c r="K197" s="64"/>
      <c r="L197" s="65"/>
      <c r="M197" s="64"/>
      <c r="N197" s="64"/>
      <c r="O197" s="64"/>
      <c r="P197" s="64"/>
      <c r="Q197" s="64"/>
      <c r="R197" s="64"/>
      <c r="S197" s="64"/>
      <c r="T197" s="65"/>
      <c r="U197" s="64"/>
      <c r="V197" s="64"/>
      <c r="W197" s="64"/>
      <c r="X197" s="64"/>
      <c r="Y197" s="64"/>
      <c r="Z197" s="64"/>
      <c r="AA197" s="64"/>
      <c r="AB197" s="64"/>
      <c r="AC197" s="64"/>
      <c r="AD197" s="64"/>
      <c r="AE197" s="64"/>
      <c r="AF197" s="64"/>
      <c r="AG197" s="64"/>
    </row>
    <row r="198">
      <c r="A198" s="64"/>
      <c r="B198" s="64"/>
      <c r="C198" s="64"/>
      <c r="D198" s="64"/>
      <c r="E198" s="65"/>
      <c r="F198" s="64"/>
      <c r="G198" s="67"/>
      <c r="H198" s="64"/>
      <c r="I198" s="64"/>
      <c r="J198" s="64"/>
      <c r="K198" s="64"/>
      <c r="L198" s="65"/>
      <c r="M198" s="64"/>
      <c r="N198" s="64"/>
      <c r="O198" s="64"/>
      <c r="P198" s="64"/>
      <c r="Q198" s="64"/>
      <c r="R198" s="64"/>
      <c r="S198" s="64"/>
      <c r="T198" s="65"/>
      <c r="U198" s="64"/>
      <c r="V198" s="64"/>
      <c r="W198" s="64"/>
      <c r="X198" s="64"/>
      <c r="Y198" s="64"/>
      <c r="Z198" s="64"/>
      <c r="AA198" s="64"/>
      <c r="AB198" s="64"/>
      <c r="AC198" s="64"/>
      <c r="AD198" s="64"/>
      <c r="AE198" s="64"/>
      <c r="AF198" s="64"/>
      <c r="AG198" s="64"/>
    </row>
    <row r="199">
      <c r="A199" s="64"/>
      <c r="B199" s="64"/>
      <c r="C199" s="64"/>
      <c r="D199" s="64"/>
      <c r="E199" s="65"/>
      <c r="F199" s="64"/>
      <c r="G199" s="67"/>
      <c r="H199" s="64"/>
      <c r="I199" s="64"/>
      <c r="J199" s="64"/>
      <c r="K199" s="64"/>
      <c r="L199" s="65"/>
      <c r="M199" s="64"/>
      <c r="N199" s="64"/>
      <c r="O199" s="64"/>
      <c r="P199" s="64"/>
      <c r="Q199" s="64"/>
      <c r="R199" s="64"/>
      <c r="S199" s="64"/>
      <c r="T199" s="65"/>
      <c r="U199" s="64"/>
      <c r="V199" s="64"/>
      <c r="W199" s="64"/>
      <c r="X199" s="64"/>
      <c r="Y199" s="64"/>
      <c r="Z199" s="64"/>
      <c r="AA199" s="64"/>
      <c r="AB199" s="64"/>
      <c r="AC199" s="64"/>
      <c r="AD199" s="64"/>
      <c r="AE199" s="64"/>
      <c r="AF199" s="64"/>
      <c r="AG199" s="64"/>
    </row>
    <row r="200">
      <c r="A200" s="64"/>
      <c r="B200" s="64"/>
      <c r="C200" s="64"/>
      <c r="D200" s="64"/>
      <c r="E200" s="65"/>
      <c r="F200" s="64"/>
      <c r="G200" s="67"/>
      <c r="H200" s="64"/>
      <c r="I200" s="64"/>
      <c r="J200" s="64"/>
      <c r="K200" s="64"/>
      <c r="L200" s="65"/>
      <c r="M200" s="64"/>
      <c r="N200" s="64"/>
      <c r="O200" s="64"/>
      <c r="P200" s="64"/>
      <c r="Q200" s="64"/>
      <c r="R200" s="64"/>
      <c r="S200" s="64"/>
      <c r="T200" s="65"/>
      <c r="U200" s="64"/>
      <c r="V200" s="64"/>
      <c r="W200" s="64"/>
      <c r="X200" s="64"/>
      <c r="Y200" s="64"/>
      <c r="Z200" s="64"/>
      <c r="AA200" s="64"/>
      <c r="AB200" s="64"/>
      <c r="AC200" s="64"/>
      <c r="AD200" s="64"/>
      <c r="AE200" s="64"/>
      <c r="AF200" s="64"/>
      <c r="AG200" s="64"/>
    </row>
    <row r="201">
      <c r="A201" s="64"/>
      <c r="B201" s="64"/>
      <c r="C201" s="64"/>
      <c r="D201" s="64"/>
      <c r="E201" s="65"/>
      <c r="F201" s="64"/>
      <c r="G201" s="67"/>
      <c r="H201" s="64"/>
      <c r="I201" s="64"/>
      <c r="J201" s="64"/>
      <c r="K201" s="64"/>
      <c r="L201" s="65"/>
      <c r="M201" s="64"/>
      <c r="N201" s="64"/>
      <c r="O201" s="64"/>
      <c r="P201" s="64"/>
      <c r="Q201" s="64"/>
      <c r="R201" s="64"/>
      <c r="S201" s="64"/>
      <c r="T201" s="65"/>
      <c r="U201" s="64"/>
      <c r="V201" s="64"/>
      <c r="W201" s="64"/>
      <c r="X201" s="64"/>
      <c r="Y201" s="64"/>
      <c r="Z201" s="64"/>
      <c r="AA201" s="64"/>
      <c r="AB201" s="64"/>
      <c r="AC201" s="64"/>
      <c r="AD201" s="64"/>
      <c r="AE201" s="64"/>
      <c r="AF201" s="64"/>
      <c r="AG201" s="64"/>
    </row>
    <row r="202">
      <c r="A202" s="64"/>
      <c r="B202" s="64"/>
      <c r="C202" s="64"/>
      <c r="D202" s="64"/>
      <c r="E202" s="65"/>
      <c r="F202" s="64"/>
      <c r="G202" s="67"/>
      <c r="H202" s="64"/>
      <c r="I202" s="64"/>
      <c r="J202" s="64"/>
      <c r="K202" s="64"/>
      <c r="L202" s="65"/>
      <c r="M202" s="64"/>
      <c r="N202" s="64"/>
      <c r="O202" s="64"/>
      <c r="P202" s="64"/>
      <c r="Q202" s="64"/>
      <c r="R202" s="64"/>
      <c r="S202" s="64"/>
      <c r="T202" s="65"/>
      <c r="U202" s="64"/>
      <c r="V202" s="64"/>
      <c r="W202" s="64"/>
      <c r="X202" s="64"/>
      <c r="Y202" s="64"/>
      <c r="Z202" s="64"/>
      <c r="AA202" s="64"/>
      <c r="AB202" s="64"/>
      <c r="AC202" s="64"/>
      <c r="AD202" s="64"/>
      <c r="AE202" s="64"/>
      <c r="AF202" s="64"/>
      <c r="AG202" s="64"/>
    </row>
    <row r="203">
      <c r="A203" s="64"/>
      <c r="B203" s="64"/>
      <c r="C203" s="64"/>
      <c r="D203" s="64"/>
      <c r="E203" s="65"/>
      <c r="F203" s="64"/>
      <c r="G203" s="67"/>
      <c r="H203" s="64"/>
      <c r="I203" s="64"/>
      <c r="J203" s="64"/>
      <c r="K203" s="64"/>
      <c r="L203" s="65"/>
      <c r="M203" s="64"/>
      <c r="N203" s="64"/>
      <c r="O203" s="64"/>
      <c r="P203" s="64"/>
      <c r="Q203" s="64"/>
      <c r="R203" s="64"/>
      <c r="S203" s="64"/>
      <c r="T203" s="65"/>
      <c r="U203" s="64"/>
      <c r="V203" s="64"/>
      <c r="W203" s="64"/>
      <c r="X203" s="64"/>
      <c r="Y203" s="64"/>
      <c r="Z203" s="64"/>
      <c r="AA203" s="64"/>
      <c r="AB203" s="64"/>
      <c r="AC203" s="64"/>
      <c r="AD203" s="64"/>
      <c r="AE203" s="64"/>
      <c r="AF203" s="64"/>
      <c r="AG203" s="64"/>
    </row>
    <row r="204">
      <c r="A204" s="64"/>
      <c r="B204" s="64"/>
      <c r="C204" s="64"/>
      <c r="D204" s="64"/>
      <c r="E204" s="65"/>
      <c r="F204" s="64"/>
      <c r="G204" s="67"/>
      <c r="H204" s="64"/>
      <c r="I204" s="64"/>
      <c r="J204" s="64"/>
      <c r="K204" s="64"/>
      <c r="L204" s="65"/>
      <c r="M204" s="64"/>
      <c r="N204" s="64"/>
      <c r="O204" s="64"/>
      <c r="P204" s="64"/>
      <c r="Q204" s="64"/>
      <c r="R204" s="64"/>
      <c r="S204" s="64"/>
      <c r="T204" s="65"/>
      <c r="U204" s="64"/>
      <c r="V204" s="64"/>
      <c r="W204" s="64"/>
      <c r="X204" s="64"/>
      <c r="Y204" s="64"/>
      <c r="Z204" s="64"/>
      <c r="AA204" s="64"/>
      <c r="AB204" s="64"/>
      <c r="AC204" s="64"/>
      <c r="AD204" s="64"/>
      <c r="AE204" s="64"/>
      <c r="AF204" s="64"/>
      <c r="AG204" s="64"/>
    </row>
    <row r="205">
      <c r="A205" s="64"/>
      <c r="B205" s="64"/>
      <c r="C205" s="64"/>
      <c r="D205" s="64"/>
      <c r="E205" s="65"/>
      <c r="F205" s="64"/>
      <c r="G205" s="67"/>
      <c r="H205" s="64"/>
      <c r="I205" s="64"/>
      <c r="J205" s="64"/>
      <c r="K205" s="64"/>
      <c r="L205" s="65"/>
      <c r="M205" s="64"/>
      <c r="N205" s="64"/>
      <c r="O205" s="64"/>
      <c r="P205" s="64"/>
      <c r="Q205" s="64"/>
      <c r="R205" s="64"/>
      <c r="S205" s="64"/>
      <c r="T205" s="65"/>
      <c r="U205" s="64"/>
      <c r="V205" s="64"/>
      <c r="W205" s="64"/>
      <c r="X205" s="64"/>
      <c r="Y205" s="64"/>
      <c r="Z205" s="64"/>
      <c r="AA205" s="64"/>
      <c r="AB205" s="64"/>
      <c r="AC205" s="64"/>
      <c r="AD205" s="64"/>
      <c r="AE205" s="64"/>
      <c r="AF205" s="64"/>
      <c r="AG205" s="64"/>
    </row>
    <row r="206">
      <c r="A206" s="64"/>
      <c r="B206" s="64"/>
      <c r="C206" s="64"/>
      <c r="D206" s="64"/>
      <c r="E206" s="65"/>
      <c r="F206" s="64"/>
      <c r="G206" s="67"/>
      <c r="H206" s="64"/>
      <c r="I206" s="64"/>
      <c r="J206" s="64"/>
      <c r="K206" s="64"/>
      <c r="L206" s="65"/>
      <c r="M206" s="64"/>
      <c r="N206" s="64"/>
      <c r="O206" s="64"/>
      <c r="P206" s="64"/>
      <c r="Q206" s="64"/>
      <c r="R206" s="64"/>
      <c r="S206" s="64"/>
      <c r="T206" s="65"/>
      <c r="U206" s="64"/>
      <c r="V206" s="64"/>
      <c r="W206" s="64"/>
      <c r="X206" s="64"/>
      <c r="Y206" s="64"/>
      <c r="Z206" s="64"/>
      <c r="AA206" s="64"/>
      <c r="AB206" s="64"/>
      <c r="AC206" s="64"/>
      <c r="AD206" s="64"/>
      <c r="AE206" s="64"/>
      <c r="AF206" s="64"/>
      <c r="AG206" s="64"/>
    </row>
    <row r="207">
      <c r="A207" s="64"/>
      <c r="B207" s="64"/>
      <c r="C207" s="64"/>
      <c r="D207" s="64"/>
      <c r="E207" s="65"/>
      <c r="F207" s="64"/>
      <c r="G207" s="67"/>
      <c r="H207" s="64"/>
      <c r="I207" s="64"/>
      <c r="J207" s="64"/>
      <c r="K207" s="64"/>
      <c r="L207" s="65"/>
      <c r="M207" s="64"/>
      <c r="N207" s="64"/>
      <c r="O207" s="64"/>
      <c r="P207" s="64"/>
      <c r="Q207" s="64"/>
      <c r="R207" s="64"/>
      <c r="S207" s="64"/>
      <c r="T207" s="65"/>
      <c r="U207" s="64"/>
      <c r="V207" s="64"/>
      <c r="W207" s="64"/>
      <c r="X207" s="64"/>
      <c r="Y207" s="64"/>
      <c r="Z207" s="64"/>
      <c r="AA207" s="64"/>
      <c r="AB207" s="64"/>
      <c r="AC207" s="64"/>
      <c r="AD207" s="64"/>
      <c r="AE207" s="64"/>
      <c r="AF207" s="64"/>
      <c r="AG207" s="64"/>
    </row>
    <row r="208">
      <c r="A208" s="64"/>
      <c r="B208" s="64"/>
      <c r="C208" s="64"/>
      <c r="D208" s="64"/>
      <c r="E208" s="65"/>
      <c r="F208" s="64"/>
      <c r="G208" s="67"/>
      <c r="H208" s="64"/>
      <c r="I208" s="64"/>
      <c r="J208" s="64"/>
      <c r="K208" s="64"/>
      <c r="L208" s="65"/>
      <c r="M208" s="64"/>
      <c r="N208" s="64"/>
      <c r="O208" s="64"/>
      <c r="P208" s="64"/>
      <c r="Q208" s="64"/>
      <c r="R208" s="64"/>
      <c r="S208" s="64"/>
      <c r="T208" s="65"/>
      <c r="U208" s="64"/>
      <c r="V208" s="64"/>
      <c r="W208" s="64"/>
      <c r="X208" s="64"/>
      <c r="Y208" s="64"/>
      <c r="Z208" s="64"/>
      <c r="AA208" s="64"/>
      <c r="AB208" s="64"/>
      <c r="AC208" s="64"/>
      <c r="AD208" s="64"/>
      <c r="AE208" s="64"/>
      <c r="AF208" s="64"/>
      <c r="AG208" s="64"/>
    </row>
    <row r="209">
      <c r="A209" s="64"/>
      <c r="B209" s="64"/>
      <c r="C209" s="64"/>
      <c r="D209" s="64"/>
      <c r="E209" s="65"/>
      <c r="F209" s="64"/>
      <c r="G209" s="67"/>
      <c r="H209" s="64"/>
      <c r="I209" s="64"/>
      <c r="J209" s="64"/>
      <c r="K209" s="64"/>
      <c r="L209" s="65"/>
      <c r="M209" s="64"/>
      <c r="N209" s="64"/>
      <c r="O209" s="64"/>
      <c r="P209" s="64"/>
      <c r="Q209" s="64"/>
      <c r="R209" s="64"/>
      <c r="S209" s="64"/>
      <c r="T209" s="65"/>
      <c r="U209" s="64"/>
      <c r="V209" s="64"/>
      <c r="W209" s="64"/>
      <c r="X209" s="64"/>
      <c r="Y209" s="64"/>
      <c r="Z209" s="64"/>
      <c r="AA209" s="64"/>
      <c r="AB209" s="64"/>
      <c r="AC209" s="64"/>
      <c r="AD209" s="64"/>
      <c r="AE209" s="64"/>
      <c r="AF209" s="64"/>
      <c r="AG209" s="64"/>
    </row>
    <row r="210">
      <c r="A210" s="64"/>
      <c r="B210" s="64"/>
      <c r="C210" s="64"/>
      <c r="D210" s="64"/>
      <c r="E210" s="65"/>
      <c r="F210" s="64"/>
      <c r="G210" s="67"/>
      <c r="H210" s="64"/>
      <c r="I210" s="64"/>
      <c r="J210" s="64"/>
      <c r="K210" s="64"/>
      <c r="L210" s="65"/>
      <c r="M210" s="64"/>
      <c r="N210" s="64"/>
      <c r="O210" s="64"/>
      <c r="P210" s="64"/>
      <c r="Q210" s="64"/>
      <c r="R210" s="64"/>
      <c r="S210" s="64"/>
      <c r="T210" s="65"/>
      <c r="U210" s="64"/>
      <c r="V210" s="64"/>
      <c r="W210" s="64"/>
      <c r="X210" s="64"/>
      <c r="Y210" s="64"/>
      <c r="Z210" s="64"/>
      <c r="AA210" s="64"/>
      <c r="AB210" s="64"/>
      <c r="AC210" s="64"/>
      <c r="AD210" s="64"/>
      <c r="AE210" s="64"/>
      <c r="AF210" s="64"/>
      <c r="AG210" s="64"/>
    </row>
    <row r="211">
      <c r="A211" s="64"/>
      <c r="B211" s="64"/>
      <c r="C211" s="64"/>
      <c r="D211" s="64"/>
      <c r="E211" s="65"/>
      <c r="F211" s="64"/>
      <c r="G211" s="67"/>
      <c r="H211" s="64"/>
      <c r="I211" s="64"/>
      <c r="J211" s="64"/>
      <c r="K211" s="64"/>
      <c r="L211" s="65"/>
      <c r="M211" s="64"/>
      <c r="N211" s="64"/>
      <c r="O211" s="64"/>
      <c r="P211" s="64"/>
      <c r="Q211" s="64"/>
      <c r="R211" s="64"/>
      <c r="S211" s="64"/>
      <c r="T211" s="65"/>
      <c r="U211" s="64"/>
      <c r="V211" s="64"/>
      <c r="W211" s="64"/>
      <c r="X211" s="64"/>
      <c r="Y211" s="64"/>
      <c r="Z211" s="64"/>
      <c r="AA211" s="64"/>
      <c r="AB211" s="64"/>
      <c r="AC211" s="64"/>
      <c r="AD211" s="64"/>
      <c r="AE211" s="64"/>
      <c r="AF211" s="64"/>
      <c r="AG211" s="64"/>
    </row>
    <row r="212">
      <c r="A212" s="64"/>
      <c r="B212" s="64"/>
      <c r="C212" s="64"/>
      <c r="D212" s="64"/>
      <c r="E212" s="65"/>
      <c r="F212" s="64"/>
      <c r="G212" s="67"/>
      <c r="H212" s="64"/>
      <c r="I212" s="64"/>
      <c r="J212" s="64"/>
      <c r="K212" s="64"/>
      <c r="L212" s="65"/>
      <c r="M212" s="64"/>
      <c r="N212" s="64"/>
      <c r="O212" s="64"/>
      <c r="P212" s="64"/>
      <c r="Q212" s="64"/>
      <c r="R212" s="64"/>
      <c r="S212" s="64"/>
      <c r="T212" s="65"/>
      <c r="U212" s="64"/>
      <c r="V212" s="64"/>
      <c r="W212" s="64"/>
      <c r="X212" s="64"/>
      <c r="Y212" s="64"/>
      <c r="Z212" s="64"/>
      <c r="AA212" s="64"/>
      <c r="AB212" s="64"/>
      <c r="AC212" s="64"/>
      <c r="AD212" s="64"/>
      <c r="AE212" s="64"/>
      <c r="AF212" s="64"/>
      <c r="AG212" s="64"/>
    </row>
    <row r="213">
      <c r="A213" s="64"/>
      <c r="B213" s="64"/>
      <c r="C213" s="64"/>
      <c r="D213" s="64"/>
      <c r="E213" s="65"/>
      <c r="F213" s="64"/>
      <c r="G213" s="67"/>
      <c r="H213" s="64"/>
      <c r="I213" s="64"/>
      <c r="J213" s="64"/>
      <c r="K213" s="64"/>
      <c r="L213" s="65"/>
      <c r="M213" s="64"/>
      <c r="N213" s="64"/>
      <c r="O213" s="64"/>
      <c r="P213" s="64"/>
      <c r="Q213" s="64"/>
      <c r="R213" s="64"/>
      <c r="S213" s="64"/>
      <c r="T213" s="65"/>
      <c r="U213" s="64"/>
      <c r="V213" s="64"/>
      <c r="W213" s="64"/>
      <c r="X213" s="64"/>
      <c r="Y213" s="64"/>
      <c r="Z213" s="64"/>
      <c r="AA213" s="64"/>
      <c r="AB213" s="64"/>
      <c r="AC213" s="64"/>
      <c r="AD213" s="64"/>
      <c r="AE213" s="64"/>
      <c r="AF213" s="64"/>
      <c r="AG213" s="64"/>
    </row>
    <row r="214">
      <c r="A214" s="64"/>
      <c r="B214" s="64"/>
      <c r="C214" s="64"/>
      <c r="D214" s="64"/>
      <c r="E214" s="65"/>
      <c r="F214" s="64"/>
      <c r="G214" s="67"/>
      <c r="H214" s="64"/>
      <c r="I214" s="64"/>
      <c r="J214" s="64"/>
      <c r="K214" s="64"/>
      <c r="L214" s="65"/>
      <c r="M214" s="64"/>
      <c r="N214" s="64"/>
      <c r="O214" s="64"/>
      <c r="P214" s="64"/>
      <c r="Q214" s="64"/>
      <c r="R214" s="64"/>
      <c r="S214" s="64"/>
      <c r="T214" s="65"/>
      <c r="U214" s="64"/>
      <c r="V214" s="64"/>
      <c r="W214" s="64"/>
      <c r="X214" s="64"/>
      <c r="Y214" s="64"/>
      <c r="Z214" s="64"/>
      <c r="AA214" s="64"/>
      <c r="AB214" s="64"/>
      <c r="AC214" s="64"/>
      <c r="AD214" s="64"/>
      <c r="AE214" s="64"/>
      <c r="AF214" s="64"/>
      <c r="AG214" s="64"/>
    </row>
    <row r="215">
      <c r="A215" s="64"/>
      <c r="B215" s="64"/>
      <c r="C215" s="64"/>
      <c r="D215" s="64"/>
      <c r="E215" s="65"/>
      <c r="F215" s="64"/>
      <c r="G215" s="67"/>
      <c r="H215" s="64"/>
      <c r="I215" s="64"/>
      <c r="J215" s="64"/>
      <c r="K215" s="64"/>
      <c r="L215" s="65"/>
      <c r="M215" s="64"/>
      <c r="N215" s="64"/>
      <c r="O215" s="64"/>
      <c r="P215" s="64"/>
      <c r="Q215" s="64"/>
      <c r="R215" s="64"/>
      <c r="S215" s="64"/>
      <c r="T215" s="65"/>
      <c r="U215" s="64"/>
      <c r="V215" s="64"/>
      <c r="W215" s="64"/>
      <c r="X215" s="64"/>
      <c r="Y215" s="64"/>
      <c r="Z215" s="64"/>
      <c r="AA215" s="64"/>
      <c r="AB215" s="64"/>
      <c r="AC215" s="64"/>
      <c r="AD215" s="64"/>
      <c r="AE215" s="64"/>
      <c r="AF215" s="64"/>
      <c r="AG215" s="64"/>
    </row>
    <row r="216">
      <c r="A216" s="64"/>
      <c r="B216" s="64"/>
      <c r="C216" s="64"/>
      <c r="D216" s="64"/>
      <c r="E216" s="65"/>
      <c r="F216" s="64"/>
      <c r="G216" s="67"/>
      <c r="H216" s="64"/>
      <c r="I216" s="64"/>
      <c r="J216" s="64"/>
      <c r="K216" s="64"/>
      <c r="L216" s="65"/>
      <c r="M216" s="64"/>
      <c r="N216" s="64"/>
      <c r="O216" s="64"/>
      <c r="P216" s="64"/>
      <c r="Q216" s="64"/>
      <c r="R216" s="64"/>
      <c r="S216" s="64"/>
      <c r="T216" s="65"/>
      <c r="U216" s="64"/>
      <c r="V216" s="64"/>
      <c r="W216" s="64"/>
      <c r="X216" s="64"/>
      <c r="Y216" s="64"/>
      <c r="Z216" s="64"/>
      <c r="AA216" s="64"/>
      <c r="AB216" s="64"/>
      <c r="AC216" s="64"/>
      <c r="AD216" s="64"/>
      <c r="AE216" s="64"/>
      <c r="AF216" s="64"/>
      <c r="AG216" s="64"/>
    </row>
    <row r="217">
      <c r="A217" s="64"/>
      <c r="B217" s="64"/>
      <c r="C217" s="64"/>
      <c r="D217" s="64"/>
      <c r="E217" s="65"/>
      <c r="F217" s="64"/>
      <c r="G217" s="67"/>
      <c r="H217" s="64"/>
      <c r="I217" s="64"/>
      <c r="J217" s="64"/>
      <c r="K217" s="64"/>
      <c r="L217" s="65"/>
      <c r="M217" s="64"/>
      <c r="N217" s="64"/>
      <c r="O217" s="64"/>
      <c r="P217" s="64"/>
      <c r="Q217" s="64"/>
      <c r="R217" s="64"/>
      <c r="S217" s="64"/>
      <c r="T217" s="65"/>
      <c r="U217" s="64"/>
      <c r="V217" s="64"/>
      <c r="W217" s="64"/>
      <c r="X217" s="64"/>
      <c r="Y217" s="64"/>
      <c r="Z217" s="64"/>
      <c r="AA217" s="64"/>
      <c r="AB217" s="64"/>
      <c r="AC217" s="64"/>
      <c r="AD217" s="64"/>
      <c r="AE217" s="64"/>
      <c r="AF217" s="64"/>
      <c r="AG217" s="64"/>
    </row>
    <row r="218">
      <c r="A218" s="64"/>
      <c r="B218" s="64"/>
      <c r="C218" s="64"/>
      <c r="D218" s="64"/>
      <c r="E218" s="65"/>
      <c r="F218" s="64"/>
      <c r="G218" s="67"/>
      <c r="H218" s="64"/>
      <c r="I218" s="64"/>
      <c r="J218" s="64"/>
      <c r="K218" s="64"/>
      <c r="L218" s="65"/>
      <c r="M218" s="64"/>
      <c r="N218" s="64"/>
      <c r="O218" s="64"/>
      <c r="P218" s="64"/>
      <c r="Q218" s="64"/>
      <c r="R218" s="64"/>
      <c r="S218" s="64"/>
      <c r="T218" s="65"/>
      <c r="U218" s="64"/>
      <c r="V218" s="64"/>
      <c r="W218" s="64"/>
      <c r="X218" s="64"/>
      <c r="Y218" s="64"/>
      <c r="Z218" s="64"/>
      <c r="AA218" s="64"/>
      <c r="AB218" s="64"/>
      <c r="AC218" s="64"/>
      <c r="AD218" s="64"/>
      <c r="AE218" s="64"/>
      <c r="AF218" s="64"/>
      <c r="AG218" s="64"/>
    </row>
    <row r="219">
      <c r="A219" s="64"/>
      <c r="B219" s="64"/>
      <c r="C219" s="64"/>
      <c r="D219" s="64"/>
      <c r="E219" s="65"/>
      <c r="F219" s="64"/>
      <c r="G219" s="67"/>
      <c r="H219" s="64"/>
      <c r="I219" s="64"/>
      <c r="J219" s="64"/>
      <c r="K219" s="64"/>
      <c r="L219" s="65"/>
      <c r="M219" s="64"/>
      <c r="N219" s="64"/>
      <c r="O219" s="64"/>
      <c r="P219" s="64"/>
      <c r="Q219" s="64"/>
      <c r="R219" s="64"/>
      <c r="S219" s="64"/>
      <c r="T219" s="65"/>
      <c r="U219" s="64"/>
      <c r="V219" s="64"/>
      <c r="W219" s="64"/>
      <c r="X219" s="64"/>
      <c r="Y219" s="64"/>
      <c r="Z219" s="64"/>
      <c r="AA219" s="64"/>
      <c r="AB219" s="64"/>
      <c r="AC219" s="64"/>
      <c r="AD219" s="64"/>
      <c r="AE219" s="64"/>
      <c r="AF219" s="64"/>
      <c r="AG219" s="64"/>
    </row>
    <row r="220">
      <c r="A220" s="64"/>
      <c r="B220" s="64"/>
      <c r="C220" s="64"/>
      <c r="D220" s="64"/>
      <c r="E220" s="65"/>
      <c r="F220" s="64"/>
      <c r="G220" s="67"/>
      <c r="H220" s="64"/>
      <c r="I220" s="64"/>
      <c r="J220" s="64"/>
      <c r="K220" s="64"/>
      <c r="L220" s="65"/>
      <c r="M220" s="64"/>
      <c r="N220" s="64"/>
      <c r="O220" s="64"/>
      <c r="P220" s="64"/>
      <c r="Q220" s="64"/>
      <c r="R220" s="64"/>
      <c r="S220" s="64"/>
      <c r="T220" s="65"/>
      <c r="U220" s="64"/>
      <c r="V220" s="64"/>
      <c r="W220" s="64"/>
      <c r="X220" s="64"/>
      <c r="Y220" s="64"/>
      <c r="Z220" s="64"/>
      <c r="AA220" s="64"/>
      <c r="AB220" s="64"/>
      <c r="AC220" s="64"/>
      <c r="AD220" s="64"/>
      <c r="AE220" s="64"/>
      <c r="AF220" s="64"/>
      <c r="AG220" s="64"/>
    </row>
    <row r="221">
      <c r="A221" s="64"/>
      <c r="B221" s="64"/>
      <c r="C221" s="64"/>
      <c r="D221" s="64"/>
      <c r="E221" s="65"/>
      <c r="F221" s="64"/>
      <c r="G221" s="67"/>
      <c r="H221" s="64"/>
      <c r="I221" s="64"/>
      <c r="J221" s="64"/>
      <c r="K221" s="64"/>
      <c r="L221" s="65"/>
      <c r="M221" s="64"/>
      <c r="N221" s="64"/>
      <c r="O221" s="64"/>
      <c r="P221" s="64"/>
      <c r="Q221" s="64"/>
      <c r="R221" s="64"/>
      <c r="S221" s="64"/>
      <c r="T221" s="65"/>
      <c r="U221" s="64"/>
      <c r="V221" s="64"/>
      <c r="W221" s="64"/>
      <c r="X221" s="64"/>
      <c r="Y221" s="64"/>
      <c r="Z221" s="64"/>
      <c r="AA221" s="64"/>
      <c r="AB221" s="64"/>
      <c r="AC221" s="64"/>
      <c r="AD221" s="64"/>
      <c r="AE221" s="64"/>
      <c r="AF221" s="64"/>
      <c r="AG221" s="64"/>
    </row>
    <row r="222">
      <c r="A222" s="64"/>
      <c r="B222" s="64"/>
      <c r="C222" s="64"/>
      <c r="D222" s="64"/>
      <c r="E222" s="65"/>
      <c r="F222" s="64"/>
      <c r="G222" s="67"/>
      <c r="H222" s="64"/>
      <c r="I222" s="64"/>
      <c r="J222" s="64"/>
      <c r="K222" s="64"/>
      <c r="L222" s="65"/>
      <c r="M222" s="64"/>
      <c r="N222" s="64"/>
      <c r="O222" s="64"/>
      <c r="P222" s="64"/>
      <c r="Q222" s="64"/>
      <c r="R222" s="64"/>
      <c r="S222" s="64"/>
      <c r="T222" s="65"/>
      <c r="U222" s="64"/>
      <c r="V222" s="64"/>
      <c r="W222" s="64"/>
      <c r="X222" s="64"/>
      <c r="Y222" s="64"/>
      <c r="Z222" s="64"/>
      <c r="AA222" s="64"/>
      <c r="AB222" s="64"/>
      <c r="AC222" s="64"/>
      <c r="AD222" s="64"/>
      <c r="AE222" s="64"/>
      <c r="AF222" s="64"/>
      <c r="AG222" s="64"/>
    </row>
    <row r="223">
      <c r="A223" s="64"/>
      <c r="B223" s="64"/>
      <c r="C223" s="64"/>
      <c r="D223" s="64"/>
      <c r="E223" s="65"/>
      <c r="F223" s="64"/>
      <c r="G223" s="67"/>
      <c r="H223" s="64"/>
      <c r="I223" s="64"/>
      <c r="J223" s="64"/>
      <c r="K223" s="64"/>
      <c r="L223" s="65"/>
      <c r="M223" s="64"/>
      <c r="N223" s="64"/>
      <c r="O223" s="64"/>
      <c r="P223" s="64"/>
      <c r="Q223" s="64"/>
      <c r="R223" s="64"/>
      <c r="S223" s="64"/>
      <c r="T223" s="65"/>
      <c r="U223" s="64"/>
      <c r="V223" s="64"/>
      <c r="W223" s="64"/>
      <c r="X223" s="64"/>
      <c r="Y223" s="64"/>
      <c r="Z223" s="64"/>
      <c r="AA223" s="64"/>
      <c r="AB223" s="64"/>
      <c r="AC223" s="64"/>
      <c r="AD223" s="64"/>
      <c r="AE223" s="64"/>
      <c r="AF223" s="64"/>
      <c r="AG223" s="64"/>
    </row>
    <row r="224">
      <c r="A224" s="64"/>
      <c r="B224" s="64"/>
      <c r="C224" s="64"/>
      <c r="D224" s="64"/>
      <c r="E224" s="65"/>
      <c r="F224" s="64"/>
      <c r="G224" s="67"/>
      <c r="H224" s="64"/>
      <c r="I224" s="64"/>
      <c r="J224" s="64"/>
      <c r="K224" s="64"/>
      <c r="L224" s="65"/>
      <c r="M224" s="64"/>
      <c r="N224" s="64"/>
      <c r="O224" s="64"/>
      <c r="P224" s="64"/>
      <c r="Q224" s="64"/>
      <c r="R224" s="64"/>
      <c r="S224" s="64"/>
      <c r="T224" s="65"/>
      <c r="U224" s="64"/>
      <c r="V224" s="64"/>
      <c r="W224" s="64"/>
      <c r="X224" s="64"/>
      <c r="Y224" s="64"/>
      <c r="Z224" s="64"/>
      <c r="AA224" s="64"/>
      <c r="AB224" s="64"/>
      <c r="AC224" s="64"/>
      <c r="AD224" s="64"/>
      <c r="AE224" s="64"/>
      <c r="AF224" s="64"/>
      <c r="AG224" s="64"/>
    </row>
    <row r="225">
      <c r="A225" s="64"/>
      <c r="B225" s="64"/>
      <c r="C225" s="64"/>
      <c r="D225" s="64"/>
      <c r="E225" s="65"/>
      <c r="F225" s="64"/>
      <c r="G225" s="67"/>
      <c r="H225" s="64"/>
      <c r="I225" s="64"/>
      <c r="J225" s="64"/>
      <c r="K225" s="64"/>
      <c r="L225" s="65"/>
      <c r="M225" s="64"/>
      <c r="N225" s="64"/>
      <c r="O225" s="64"/>
      <c r="P225" s="64"/>
      <c r="Q225" s="64"/>
      <c r="R225" s="64"/>
      <c r="S225" s="64"/>
      <c r="T225" s="65"/>
      <c r="U225" s="64"/>
      <c r="V225" s="64"/>
      <c r="W225" s="64"/>
      <c r="X225" s="64"/>
      <c r="Y225" s="64"/>
      <c r="Z225" s="64"/>
      <c r="AA225" s="64"/>
      <c r="AB225" s="64"/>
      <c r="AC225" s="64"/>
      <c r="AD225" s="64"/>
      <c r="AE225" s="64"/>
      <c r="AF225" s="64"/>
      <c r="AG225" s="64"/>
    </row>
    <row r="226">
      <c r="A226" s="64"/>
      <c r="B226" s="64"/>
      <c r="C226" s="64"/>
      <c r="D226" s="64"/>
      <c r="E226" s="65"/>
      <c r="F226" s="64"/>
      <c r="G226" s="67"/>
      <c r="H226" s="64"/>
      <c r="I226" s="64"/>
      <c r="J226" s="64"/>
      <c r="K226" s="64"/>
      <c r="L226" s="65"/>
      <c r="M226" s="64"/>
      <c r="N226" s="64"/>
      <c r="O226" s="64"/>
      <c r="P226" s="64"/>
      <c r="Q226" s="64"/>
      <c r="R226" s="64"/>
      <c r="S226" s="64"/>
      <c r="T226" s="65"/>
      <c r="U226" s="64"/>
      <c r="V226" s="64"/>
      <c r="W226" s="64"/>
      <c r="X226" s="64"/>
      <c r="Y226" s="64"/>
      <c r="Z226" s="64"/>
      <c r="AA226" s="64"/>
      <c r="AB226" s="64"/>
      <c r="AC226" s="64"/>
      <c r="AD226" s="64"/>
      <c r="AE226" s="64"/>
      <c r="AF226" s="64"/>
      <c r="AG226" s="64"/>
    </row>
    <row r="227">
      <c r="A227" s="64"/>
      <c r="B227" s="64"/>
      <c r="C227" s="64"/>
      <c r="D227" s="64"/>
      <c r="E227" s="65"/>
      <c r="F227" s="64"/>
      <c r="G227" s="67"/>
      <c r="H227" s="64"/>
      <c r="I227" s="64"/>
      <c r="J227" s="64"/>
      <c r="K227" s="64"/>
      <c r="L227" s="65"/>
      <c r="M227" s="64"/>
      <c r="N227" s="64"/>
      <c r="O227" s="64"/>
      <c r="P227" s="64"/>
      <c r="Q227" s="64"/>
      <c r="R227" s="64"/>
      <c r="S227" s="64"/>
      <c r="T227" s="65"/>
      <c r="U227" s="64"/>
      <c r="V227" s="64"/>
      <c r="W227" s="64"/>
      <c r="X227" s="64"/>
      <c r="Y227" s="64"/>
      <c r="Z227" s="64"/>
      <c r="AA227" s="64"/>
      <c r="AB227" s="64"/>
      <c r="AC227" s="64"/>
      <c r="AD227" s="64"/>
      <c r="AE227" s="64"/>
      <c r="AF227" s="64"/>
      <c r="AG227" s="64"/>
    </row>
    <row r="228">
      <c r="A228" s="64"/>
      <c r="B228" s="64"/>
      <c r="C228" s="64"/>
      <c r="D228" s="64"/>
      <c r="E228" s="65"/>
      <c r="F228" s="64"/>
      <c r="G228" s="67"/>
      <c r="H228" s="64"/>
      <c r="I228" s="64"/>
      <c r="J228" s="64"/>
      <c r="K228" s="64"/>
      <c r="L228" s="65"/>
      <c r="M228" s="64"/>
      <c r="N228" s="64"/>
      <c r="O228" s="64"/>
      <c r="P228" s="64"/>
      <c r="Q228" s="64"/>
      <c r="R228" s="64"/>
      <c r="S228" s="64"/>
      <c r="T228" s="65"/>
      <c r="U228" s="64"/>
      <c r="V228" s="64"/>
      <c r="W228" s="64"/>
      <c r="X228" s="64"/>
      <c r="Y228" s="64"/>
      <c r="Z228" s="64"/>
      <c r="AA228" s="64"/>
      <c r="AB228" s="64"/>
      <c r="AC228" s="64"/>
      <c r="AD228" s="64"/>
      <c r="AE228" s="64"/>
      <c r="AF228" s="64"/>
      <c r="AG228" s="64"/>
    </row>
    <row r="229">
      <c r="A229" s="64"/>
      <c r="B229" s="64"/>
      <c r="C229" s="64"/>
      <c r="D229" s="64"/>
      <c r="E229" s="65"/>
      <c r="F229" s="64"/>
      <c r="G229" s="67"/>
      <c r="H229" s="64"/>
      <c r="I229" s="64"/>
      <c r="J229" s="64"/>
      <c r="K229" s="64"/>
      <c r="L229" s="65"/>
      <c r="M229" s="64"/>
      <c r="N229" s="64"/>
      <c r="O229" s="64"/>
      <c r="P229" s="64"/>
      <c r="Q229" s="64"/>
      <c r="R229" s="64"/>
      <c r="S229" s="64"/>
      <c r="T229" s="65"/>
      <c r="U229" s="64"/>
      <c r="V229" s="64"/>
      <c r="W229" s="64"/>
      <c r="X229" s="64"/>
      <c r="Y229" s="64"/>
      <c r="Z229" s="64"/>
      <c r="AA229" s="64"/>
      <c r="AB229" s="64"/>
      <c r="AC229" s="64"/>
      <c r="AD229" s="64"/>
      <c r="AE229" s="64"/>
      <c r="AF229" s="64"/>
      <c r="AG229" s="64"/>
    </row>
    <row r="230">
      <c r="A230" s="64"/>
      <c r="B230" s="64"/>
      <c r="C230" s="64"/>
      <c r="D230" s="64"/>
      <c r="E230" s="65"/>
      <c r="F230" s="64"/>
      <c r="G230" s="67"/>
      <c r="H230" s="64"/>
      <c r="I230" s="64"/>
      <c r="J230" s="64"/>
      <c r="K230" s="64"/>
      <c r="L230" s="65"/>
      <c r="M230" s="64"/>
      <c r="N230" s="64"/>
      <c r="O230" s="64"/>
      <c r="P230" s="64"/>
      <c r="Q230" s="64"/>
      <c r="R230" s="64"/>
      <c r="S230" s="64"/>
      <c r="T230" s="65"/>
      <c r="U230" s="64"/>
      <c r="V230" s="64"/>
      <c r="W230" s="64"/>
      <c r="X230" s="64"/>
      <c r="Y230" s="64"/>
      <c r="Z230" s="64"/>
      <c r="AA230" s="64"/>
      <c r="AB230" s="64"/>
      <c r="AC230" s="64"/>
      <c r="AD230" s="64"/>
      <c r="AE230" s="64"/>
      <c r="AF230" s="64"/>
      <c r="AG230" s="64"/>
    </row>
    <row r="231">
      <c r="A231" s="64"/>
      <c r="B231" s="64"/>
      <c r="C231" s="64"/>
      <c r="D231" s="64"/>
      <c r="E231" s="65"/>
      <c r="F231" s="64"/>
      <c r="G231" s="67"/>
      <c r="H231" s="64"/>
      <c r="I231" s="64"/>
      <c r="J231" s="64"/>
      <c r="K231" s="64"/>
      <c r="L231" s="65"/>
      <c r="M231" s="64"/>
      <c r="N231" s="64"/>
      <c r="O231" s="64"/>
      <c r="P231" s="64"/>
      <c r="Q231" s="64"/>
      <c r="R231" s="64"/>
      <c r="S231" s="64"/>
      <c r="T231" s="65"/>
      <c r="U231" s="64"/>
      <c r="V231" s="64"/>
      <c r="W231" s="64"/>
      <c r="X231" s="64"/>
      <c r="Y231" s="64"/>
      <c r="Z231" s="64"/>
      <c r="AA231" s="64"/>
      <c r="AB231" s="64"/>
      <c r="AC231" s="64"/>
      <c r="AD231" s="64"/>
      <c r="AE231" s="64"/>
      <c r="AF231" s="64"/>
      <c r="AG231" s="64"/>
    </row>
    <row r="232">
      <c r="A232" s="64"/>
      <c r="B232" s="64"/>
      <c r="C232" s="64"/>
      <c r="D232" s="64"/>
      <c r="E232" s="65"/>
      <c r="F232" s="64"/>
      <c r="G232" s="67"/>
      <c r="H232" s="64"/>
      <c r="I232" s="64"/>
      <c r="J232" s="64"/>
      <c r="K232" s="64"/>
      <c r="L232" s="65"/>
      <c r="M232" s="64"/>
      <c r="N232" s="64"/>
      <c r="O232" s="64"/>
      <c r="P232" s="64"/>
      <c r="Q232" s="64"/>
      <c r="R232" s="64"/>
      <c r="S232" s="64"/>
      <c r="T232" s="65"/>
      <c r="U232" s="64"/>
      <c r="V232" s="64"/>
      <c r="W232" s="64"/>
      <c r="X232" s="64"/>
      <c r="Y232" s="64"/>
      <c r="Z232" s="64"/>
      <c r="AA232" s="64"/>
      <c r="AB232" s="64"/>
      <c r="AC232" s="64"/>
      <c r="AD232" s="64"/>
      <c r="AE232" s="64"/>
      <c r="AF232" s="64"/>
      <c r="AG232" s="64"/>
    </row>
    <row r="233">
      <c r="A233" s="64"/>
      <c r="B233" s="64"/>
      <c r="C233" s="64"/>
      <c r="D233" s="64"/>
      <c r="E233" s="65"/>
      <c r="F233" s="64"/>
      <c r="G233" s="67"/>
      <c r="H233" s="64"/>
      <c r="I233" s="64"/>
      <c r="J233" s="64"/>
      <c r="K233" s="64"/>
      <c r="L233" s="65"/>
      <c r="M233" s="64"/>
      <c r="N233" s="64"/>
      <c r="O233" s="64"/>
      <c r="P233" s="64"/>
      <c r="Q233" s="64"/>
      <c r="R233" s="64"/>
      <c r="S233" s="64"/>
      <c r="T233" s="65"/>
      <c r="U233" s="64"/>
      <c r="V233" s="64"/>
      <c r="W233" s="64"/>
      <c r="X233" s="64"/>
      <c r="Y233" s="64"/>
      <c r="Z233" s="64"/>
      <c r="AA233" s="64"/>
      <c r="AB233" s="64"/>
      <c r="AC233" s="64"/>
      <c r="AD233" s="64"/>
      <c r="AE233" s="64"/>
      <c r="AF233" s="64"/>
      <c r="AG233" s="64"/>
    </row>
    <row r="234">
      <c r="A234" s="64"/>
      <c r="B234" s="64"/>
      <c r="C234" s="64"/>
      <c r="D234" s="64"/>
      <c r="E234" s="65"/>
      <c r="F234" s="64"/>
      <c r="G234" s="67"/>
      <c r="H234" s="64"/>
      <c r="I234" s="64"/>
      <c r="J234" s="64"/>
      <c r="K234" s="64"/>
      <c r="L234" s="65"/>
      <c r="M234" s="64"/>
      <c r="N234" s="64"/>
      <c r="O234" s="64"/>
      <c r="P234" s="64"/>
      <c r="Q234" s="64"/>
      <c r="R234" s="64"/>
      <c r="S234" s="64"/>
      <c r="T234" s="65"/>
      <c r="U234" s="64"/>
      <c r="V234" s="64"/>
      <c r="W234" s="64"/>
      <c r="X234" s="64"/>
      <c r="Y234" s="64"/>
      <c r="Z234" s="64"/>
      <c r="AA234" s="64"/>
      <c r="AB234" s="64"/>
      <c r="AC234" s="64"/>
      <c r="AD234" s="64"/>
      <c r="AE234" s="64"/>
      <c r="AF234" s="64"/>
      <c r="AG234" s="64"/>
    </row>
    <row r="235">
      <c r="A235" s="64"/>
      <c r="B235" s="64"/>
      <c r="C235" s="64"/>
      <c r="D235" s="64"/>
      <c r="E235" s="65"/>
      <c r="F235" s="64"/>
      <c r="G235" s="67"/>
      <c r="H235" s="64"/>
      <c r="I235" s="64"/>
      <c r="J235" s="64"/>
      <c r="K235" s="64"/>
      <c r="L235" s="65"/>
      <c r="M235" s="64"/>
      <c r="N235" s="64"/>
      <c r="O235" s="64"/>
      <c r="P235" s="64"/>
      <c r="Q235" s="64"/>
      <c r="R235" s="64"/>
      <c r="S235" s="64"/>
      <c r="T235" s="65"/>
      <c r="U235" s="64"/>
      <c r="V235" s="64"/>
      <c r="W235" s="64"/>
      <c r="X235" s="64"/>
      <c r="Y235" s="64"/>
      <c r="Z235" s="64"/>
      <c r="AA235" s="64"/>
      <c r="AB235" s="64"/>
      <c r="AC235" s="64"/>
      <c r="AD235" s="64"/>
      <c r="AE235" s="64"/>
      <c r="AF235" s="64"/>
      <c r="AG235" s="64"/>
    </row>
    <row r="236">
      <c r="A236" s="64"/>
      <c r="B236" s="64"/>
      <c r="C236" s="64"/>
      <c r="D236" s="64"/>
      <c r="E236" s="65"/>
      <c r="F236" s="64"/>
      <c r="G236" s="67"/>
      <c r="H236" s="64"/>
      <c r="I236" s="64"/>
      <c r="J236" s="64"/>
      <c r="K236" s="64"/>
      <c r="L236" s="65"/>
      <c r="M236" s="64"/>
      <c r="N236" s="64"/>
      <c r="O236" s="64"/>
      <c r="P236" s="64"/>
      <c r="Q236" s="64"/>
      <c r="R236" s="64"/>
      <c r="S236" s="64"/>
      <c r="T236" s="65"/>
      <c r="U236" s="64"/>
      <c r="V236" s="64"/>
      <c r="W236" s="64"/>
      <c r="X236" s="64"/>
      <c r="Y236" s="64"/>
      <c r="Z236" s="64"/>
      <c r="AA236" s="64"/>
      <c r="AB236" s="64"/>
      <c r="AC236" s="64"/>
      <c r="AD236" s="64"/>
      <c r="AE236" s="64"/>
      <c r="AF236" s="64"/>
      <c r="AG236" s="64"/>
    </row>
    <row r="237">
      <c r="A237" s="64"/>
      <c r="B237" s="64"/>
      <c r="C237" s="64"/>
      <c r="D237" s="64"/>
      <c r="E237" s="65"/>
      <c r="F237" s="64"/>
      <c r="G237" s="67"/>
      <c r="H237" s="64"/>
      <c r="I237" s="64"/>
      <c r="J237" s="64"/>
      <c r="K237" s="64"/>
      <c r="L237" s="65"/>
      <c r="M237" s="64"/>
      <c r="N237" s="64"/>
      <c r="O237" s="64"/>
      <c r="P237" s="64"/>
      <c r="Q237" s="64"/>
      <c r="R237" s="64"/>
      <c r="S237" s="64"/>
      <c r="T237" s="65"/>
      <c r="U237" s="64"/>
      <c r="V237" s="64"/>
      <c r="W237" s="64"/>
      <c r="X237" s="64"/>
      <c r="Y237" s="64"/>
      <c r="Z237" s="64"/>
      <c r="AA237" s="64"/>
      <c r="AB237" s="64"/>
      <c r="AC237" s="64"/>
      <c r="AD237" s="64"/>
      <c r="AE237" s="64"/>
      <c r="AF237" s="64"/>
      <c r="AG237" s="64"/>
    </row>
    <row r="238">
      <c r="A238" s="64"/>
      <c r="B238" s="64"/>
      <c r="C238" s="64"/>
      <c r="D238" s="64"/>
      <c r="E238" s="65"/>
      <c r="F238" s="64"/>
      <c r="G238" s="67"/>
      <c r="H238" s="64"/>
      <c r="I238" s="64"/>
      <c r="J238" s="64"/>
      <c r="K238" s="64"/>
      <c r="L238" s="65"/>
      <c r="M238" s="64"/>
      <c r="N238" s="64"/>
      <c r="O238" s="64"/>
      <c r="P238" s="64"/>
      <c r="Q238" s="64"/>
      <c r="R238" s="64"/>
      <c r="S238" s="64"/>
      <c r="T238" s="65"/>
      <c r="U238" s="64"/>
      <c r="V238" s="64"/>
      <c r="W238" s="64"/>
      <c r="X238" s="64"/>
      <c r="Y238" s="64"/>
      <c r="Z238" s="64"/>
      <c r="AA238" s="64"/>
      <c r="AB238" s="64"/>
      <c r="AC238" s="64"/>
      <c r="AD238" s="64"/>
      <c r="AE238" s="64"/>
      <c r="AF238" s="64"/>
      <c r="AG238" s="64"/>
    </row>
    <row r="239">
      <c r="A239" s="64"/>
      <c r="B239" s="64"/>
      <c r="C239" s="64"/>
      <c r="D239" s="64"/>
      <c r="E239" s="65"/>
      <c r="F239" s="64"/>
      <c r="G239" s="67"/>
      <c r="H239" s="64"/>
      <c r="I239" s="64"/>
      <c r="J239" s="64"/>
      <c r="K239" s="64"/>
      <c r="L239" s="65"/>
      <c r="M239" s="64"/>
      <c r="N239" s="64"/>
      <c r="O239" s="64"/>
      <c r="P239" s="64"/>
      <c r="Q239" s="64"/>
      <c r="R239" s="64"/>
      <c r="S239" s="64"/>
      <c r="T239" s="65"/>
      <c r="U239" s="64"/>
      <c r="V239" s="64"/>
      <c r="W239" s="64"/>
      <c r="X239" s="64"/>
      <c r="Y239" s="64"/>
      <c r="Z239" s="64"/>
      <c r="AA239" s="64"/>
      <c r="AB239" s="64"/>
      <c r="AC239" s="64"/>
      <c r="AD239" s="64"/>
      <c r="AE239" s="64"/>
      <c r="AF239" s="64"/>
      <c r="AG239" s="64"/>
    </row>
    <row r="240">
      <c r="A240" s="64"/>
      <c r="B240" s="64"/>
      <c r="C240" s="64"/>
      <c r="D240" s="64"/>
      <c r="E240" s="65"/>
      <c r="F240" s="64"/>
      <c r="G240" s="67"/>
      <c r="H240" s="64"/>
      <c r="I240" s="64"/>
      <c r="J240" s="64"/>
      <c r="K240" s="64"/>
      <c r="L240" s="65"/>
      <c r="M240" s="64"/>
      <c r="N240" s="64"/>
      <c r="O240" s="64"/>
      <c r="P240" s="64"/>
      <c r="Q240" s="64"/>
      <c r="R240" s="64"/>
      <c r="S240" s="64"/>
      <c r="T240" s="65"/>
      <c r="U240" s="64"/>
      <c r="V240" s="64"/>
      <c r="W240" s="64"/>
      <c r="X240" s="64"/>
      <c r="Y240" s="64"/>
      <c r="Z240" s="64"/>
      <c r="AA240" s="64"/>
      <c r="AB240" s="64"/>
      <c r="AC240" s="64"/>
      <c r="AD240" s="64"/>
      <c r="AE240" s="64"/>
      <c r="AF240" s="64"/>
      <c r="AG240" s="64"/>
    </row>
    <row r="241">
      <c r="A241" s="64"/>
      <c r="B241" s="64"/>
      <c r="C241" s="64"/>
      <c r="D241" s="64"/>
      <c r="E241" s="65"/>
      <c r="F241" s="64"/>
      <c r="G241" s="67"/>
      <c r="H241" s="64"/>
      <c r="I241" s="64"/>
      <c r="J241" s="64"/>
      <c r="K241" s="64"/>
      <c r="L241" s="65"/>
      <c r="M241" s="64"/>
      <c r="N241" s="64"/>
      <c r="O241" s="64"/>
      <c r="P241" s="64"/>
      <c r="Q241" s="64"/>
      <c r="R241" s="64"/>
      <c r="S241" s="64"/>
      <c r="T241" s="65"/>
      <c r="U241" s="64"/>
      <c r="V241" s="64"/>
      <c r="W241" s="64"/>
      <c r="X241" s="64"/>
      <c r="Y241" s="64"/>
      <c r="Z241" s="64"/>
      <c r="AA241" s="64"/>
      <c r="AB241" s="64"/>
      <c r="AC241" s="64"/>
      <c r="AD241" s="64"/>
      <c r="AE241" s="64"/>
      <c r="AF241" s="64"/>
      <c r="AG241" s="64"/>
    </row>
    <row r="242">
      <c r="A242" s="64"/>
      <c r="B242" s="64"/>
      <c r="C242" s="64"/>
      <c r="D242" s="64"/>
      <c r="E242" s="65"/>
      <c r="F242" s="64"/>
      <c r="G242" s="67"/>
      <c r="H242" s="64"/>
      <c r="I242" s="64"/>
      <c r="J242" s="64"/>
      <c r="K242" s="64"/>
      <c r="L242" s="65"/>
      <c r="M242" s="64"/>
      <c r="N242" s="64"/>
      <c r="O242" s="64"/>
      <c r="P242" s="64"/>
      <c r="Q242" s="64"/>
      <c r="R242" s="64"/>
      <c r="S242" s="64"/>
      <c r="T242" s="65"/>
      <c r="U242" s="64"/>
      <c r="V242" s="64"/>
      <c r="W242" s="64"/>
      <c r="X242" s="64"/>
      <c r="Y242" s="64"/>
      <c r="Z242" s="64"/>
      <c r="AA242" s="64"/>
      <c r="AB242" s="64"/>
      <c r="AC242" s="64"/>
      <c r="AD242" s="64"/>
      <c r="AE242" s="64"/>
      <c r="AF242" s="64"/>
      <c r="AG242" s="64"/>
    </row>
    <row r="243">
      <c r="A243" s="64"/>
      <c r="B243" s="64"/>
      <c r="C243" s="64"/>
      <c r="D243" s="64"/>
      <c r="E243" s="65"/>
      <c r="F243" s="64"/>
      <c r="G243" s="67"/>
      <c r="H243" s="64"/>
      <c r="I243" s="64"/>
      <c r="J243" s="64"/>
      <c r="K243" s="64"/>
      <c r="L243" s="65"/>
      <c r="M243" s="64"/>
      <c r="N243" s="64"/>
      <c r="O243" s="64"/>
      <c r="P243" s="64"/>
      <c r="Q243" s="64"/>
      <c r="R243" s="64"/>
      <c r="S243" s="64"/>
      <c r="T243" s="65"/>
      <c r="U243" s="64"/>
      <c r="V243" s="64"/>
      <c r="W243" s="64"/>
      <c r="X243" s="64"/>
      <c r="Y243" s="64"/>
      <c r="Z243" s="64"/>
      <c r="AA243" s="64"/>
      <c r="AB243" s="64"/>
      <c r="AC243" s="64"/>
      <c r="AD243" s="64"/>
      <c r="AE243" s="64"/>
      <c r="AF243" s="64"/>
      <c r="AG243" s="64"/>
    </row>
    <row r="244">
      <c r="A244" s="64"/>
      <c r="B244" s="64"/>
      <c r="C244" s="64"/>
      <c r="D244" s="64"/>
      <c r="E244" s="65"/>
      <c r="F244" s="64"/>
      <c r="G244" s="67"/>
      <c r="H244" s="64"/>
      <c r="I244" s="64"/>
      <c r="J244" s="64"/>
      <c r="K244" s="64"/>
      <c r="L244" s="65"/>
      <c r="M244" s="64"/>
      <c r="N244" s="64"/>
      <c r="O244" s="64"/>
      <c r="P244" s="64"/>
      <c r="Q244" s="64"/>
      <c r="R244" s="64"/>
      <c r="S244" s="64"/>
      <c r="T244" s="65"/>
      <c r="U244" s="64"/>
      <c r="V244" s="64"/>
      <c r="W244" s="64"/>
      <c r="X244" s="64"/>
      <c r="Y244" s="64"/>
      <c r="Z244" s="64"/>
      <c r="AA244" s="64"/>
      <c r="AB244" s="64"/>
      <c r="AC244" s="64"/>
      <c r="AD244" s="64"/>
      <c r="AE244" s="64"/>
      <c r="AF244" s="64"/>
      <c r="AG244" s="64"/>
    </row>
    <row r="245">
      <c r="A245" s="64"/>
      <c r="B245" s="64"/>
      <c r="C245" s="64"/>
      <c r="D245" s="64"/>
      <c r="E245" s="65"/>
      <c r="F245" s="64"/>
      <c r="G245" s="67"/>
      <c r="H245" s="64"/>
      <c r="I245" s="64"/>
      <c r="J245" s="64"/>
      <c r="K245" s="64"/>
      <c r="L245" s="65"/>
      <c r="M245" s="64"/>
      <c r="N245" s="64"/>
      <c r="O245" s="64"/>
      <c r="P245" s="64"/>
      <c r="Q245" s="64"/>
      <c r="R245" s="64"/>
      <c r="S245" s="64"/>
      <c r="T245" s="65"/>
      <c r="U245" s="64"/>
      <c r="V245" s="64"/>
      <c r="W245" s="64"/>
      <c r="X245" s="64"/>
      <c r="Y245" s="64"/>
      <c r="Z245" s="64"/>
      <c r="AA245" s="64"/>
      <c r="AB245" s="64"/>
      <c r="AC245" s="64"/>
      <c r="AD245" s="64"/>
      <c r="AE245" s="64"/>
      <c r="AF245" s="64"/>
      <c r="AG245" s="64"/>
    </row>
    <row r="246">
      <c r="A246" s="64"/>
      <c r="B246" s="64"/>
      <c r="C246" s="64"/>
      <c r="D246" s="64"/>
      <c r="E246" s="65"/>
      <c r="F246" s="64"/>
      <c r="G246" s="67"/>
      <c r="H246" s="64"/>
      <c r="I246" s="64"/>
      <c r="J246" s="64"/>
      <c r="K246" s="64"/>
      <c r="L246" s="65"/>
      <c r="M246" s="64"/>
      <c r="N246" s="64"/>
      <c r="O246" s="64"/>
      <c r="P246" s="64"/>
      <c r="Q246" s="64"/>
      <c r="R246" s="64"/>
      <c r="S246" s="64"/>
      <c r="T246" s="65"/>
      <c r="U246" s="64"/>
      <c r="V246" s="64"/>
      <c r="W246" s="64"/>
      <c r="X246" s="64"/>
      <c r="Y246" s="64"/>
      <c r="Z246" s="64"/>
      <c r="AA246" s="64"/>
      <c r="AB246" s="64"/>
      <c r="AC246" s="64"/>
      <c r="AD246" s="64"/>
      <c r="AE246" s="64"/>
      <c r="AF246" s="64"/>
      <c r="AG246" s="64"/>
    </row>
    <row r="247">
      <c r="A247" s="64"/>
      <c r="B247" s="64"/>
      <c r="C247" s="64"/>
      <c r="D247" s="64"/>
      <c r="E247" s="65"/>
      <c r="F247" s="64"/>
      <c r="G247" s="67"/>
      <c r="H247" s="64"/>
      <c r="I247" s="64"/>
      <c r="J247" s="64"/>
      <c r="K247" s="64"/>
      <c r="L247" s="65"/>
      <c r="M247" s="64"/>
      <c r="N247" s="64"/>
      <c r="O247" s="64"/>
      <c r="P247" s="64"/>
      <c r="Q247" s="64"/>
      <c r="R247" s="64"/>
      <c r="S247" s="64"/>
      <c r="T247" s="65"/>
      <c r="U247" s="64"/>
      <c r="V247" s="64"/>
      <c r="W247" s="64"/>
      <c r="X247" s="64"/>
      <c r="Y247" s="64"/>
      <c r="Z247" s="64"/>
      <c r="AA247" s="64"/>
      <c r="AB247" s="64"/>
      <c r="AC247" s="64"/>
      <c r="AD247" s="64"/>
      <c r="AE247" s="64"/>
      <c r="AF247" s="64"/>
      <c r="AG247" s="64"/>
    </row>
    <row r="248">
      <c r="A248" s="64"/>
      <c r="B248" s="64"/>
      <c r="C248" s="64"/>
      <c r="D248" s="64"/>
      <c r="E248" s="65"/>
      <c r="F248" s="64"/>
      <c r="G248" s="67"/>
      <c r="H248" s="64"/>
      <c r="I248" s="64"/>
      <c r="J248" s="64"/>
      <c r="K248" s="64"/>
      <c r="L248" s="65"/>
      <c r="M248" s="64"/>
      <c r="N248" s="64"/>
      <c r="O248" s="64"/>
      <c r="P248" s="64"/>
      <c r="Q248" s="64"/>
      <c r="R248" s="64"/>
      <c r="S248" s="64"/>
      <c r="T248" s="65"/>
      <c r="U248" s="64"/>
      <c r="V248" s="64"/>
      <c r="W248" s="64"/>
      <c r="X248" s="64"/>
      <c r="Y248" s="64"/>
      <c r="Z248" s="64"/>
      <c r="AA248" s="64"/>
      <c r="AB248" s="64"/>
      <c r="AC248" s="64"/>
      <c r="AD248" s="64"/>
      <c r="AE248" s="64"/>
      <c r="AF248" s="64"/>
      <c r="AG248" s="64"/>
    </row>
    <row r="249">
      <c r="A249" s="64"/>
      <c r="B249" s="64"/>
      <c r="C249" s="64"/>
      <c r="D249" s="64"/>
      <c r="E249" s="65"/>
      <c r="F249" s="64"/>
      <c r="G249" s="67"/>
      <c r="H249" s="64"/>
      <c r="I249" s="64"/>
      <c r="J249" s="64"/>
      <c r="K249" s="64"/>
      <c r="L249" s="65"/>
      <c r="M249" s="64"/>
      <c r="N249" s="64"/>
      <c r="O249" s="64"/>
      <c r="P249" s="64"/>
      <c r="Q249" s="64"/>
      <c r="R249" s="64"/>
      <c r="S249" s="64"/>
      <c r="T249" s="65"/>
      <c r="U249" s="64"/>
      <c r="V249" s="64"/>
      <c r="W249" s="64"/>
      <c r="X249" s="64"/>
      <c r="Y249" s="64"/>
      <c r="Z249" s="64"/>
      <c r="AA249" s="64"/>
      <c r="AB249" s="64"/>
      <c r="AC249" s="64"/>
      <c r="AD249" s="64"/>
      <c r="AE249" s="64"/>
      <c r="AF249" s="64"/>
      <c r="AG249" s="64"/>
    </row>
    <row r="250">
      <c r="A250" s="64"/>
      <c r="B250" s="64"/>
      <c r="C250" s="64"/>
      <c r="D250" s="64"/>
      <c r="E250" s="65"/>
      <c r="F250" s="64"/>
      <c r="G250" s="67"/>
      <c r="H250" s="64"/>
      <c r="I250" s="64"/>
      <c r="J250" s="64"/>
      <c r="K250" s="64"/>
      <c r="L250" s="65"/>
      <c r="M250" s="64"/>
      <c r="N250" s="64"/>
      <c r="O250" s="64"/>
      <c r="P250" s="64"/>
      <c r="Q250" s="64"/>
      <c r="R250" s="64"/>
      <c r="S250" s="64"/>
      <c r="T250" s="65"/>
      <c r="U250" s="64"/>
      <c r="V250" s="64"/>
      <c r="W250" s="64"/>
      <c r="X250" s="64"/>
      <c r="Y250" s="64"/>
      <c r="Z250" s="64"/>
      <c r="AA250" s="64"/>
      <c r="AB250" s="64"/>
      <c r="AC250" s="64"/>
      <c r="AD250" s="64"/>
      <c r="AE250" s="64"/>
      <c r="AF250" s="64"/>
      <c r="AG250" s="64"/>
    </row>
    <row r="251">
      <c r="A251" s="64"/>
      <c r="B251" s="64"/>
      <c r="C251" s="64"/>
      <c r="D251" s="64"/>
      <c r="E251" s="65"/>
      <c r="F251" s="64"/>
      <c r="G251" s="67"/>
      <c r="H251" s="64"/>
      <c r="I251" s="64"/>
      <c r="J251" s="64"/>
      <c r="K251" s="64"/>
      <c r="L251" s="65"/>
      <c r="M251" s="64"/>
      <c r="N251" s="64"/>
      <c r="O251" s="64"/>
      <c r="P251" s="64"/>
      <c r="Q251" s="64"/>
      <c r="R251" s="64"/>
      <c r="S251" s="64"/>
      <c r="T251" s="65"/>
      <c r="U251" s="64"/>
      <c r="V251" s="64"/>
      <c r="W251" s="64"/>
      <c r="X251" s="64"/>
      <c r="Y251" s="64"/>
      <c r="Z251" s="64"/>
      <c r="AA251" s="64"/>
      <c r="AB251" s="64"/>
      <c r="AC251" s="64"/>
      <c r="AD251" s="64"/>
      <c r="AE251" s="64"/>
      <c r="AF251" s="64"/>
      <c r="AG251" s="64"/>
    </row>
    <row r="252">
      <c r="A252" s="64"/>
      <c r="B252" s="64"/>
      <c r="C252" s="64"/>
      <c r="D252" s="64"/>
      <c r="E252" s="65"/>
      <c r="F252" s="64"/>
      <c r="G252" s="67"/>
      <c r="H252" s="64"/>
      <c r="I252" s="64"/>
      <c r="J252" s="64"/>
      <c r="K252" s="64"/>
      <c r="L252" s="65"/>
      <c r="M252" s="64"/>
      <c r="N252" s="64"/>
      <c r="O252" s="64"/>
      <c r="P252" s="64"/>
      <c r="Q252" s="64"/>
      <c r="R252" s="64"/>
      <c r="S252" s="64"/>
      <c r="T252" s="65"/>
      <c r="U252" s="64"/>
      <c r="V252" s="64"/>
      <c r="W252" s="64"/>
      <c r="X252" s="64"/>
      <c r="Y252" s="64"/>
      <c r="Z252" s="64"/>
      <c r="AA252" s="64"/>
      <c r="AB252" s="64"/>
      <c r="AC252" s="64"/>
      <c r="AD252" s="64"/>
      <c r="AE252" s="64"/>
      <c r="AF252" s="64"/>
      <c r="AG252" s="64"/>
    </row>
    <row r="253">
      <c r="A253" s="64"/>
      <c r="B253" s="64"/>
      <c r="C253" s="64"/>
      <c r="D253" s="64"/>
      <c r="E253" s="65"/>
      <c r="F253" s="64"/>
      <c r="G253" s="67"/>
      <c r="H253" s="64"/>
      <c r="I253" s="64"/>
      <c r="J253" s="64"/>
      <c r="K253" s="64"/>
      <c r="L253" s="65"/>
      <c r="M253" s="64"/>
      <c r="N253" s="64"/>
      <c r="O253" s="64"/>
      <c r="P253" s="64"/>
      <c r="Q253" s="64"/>
      <c r="R253" s="64"/>
      <c r="S253" s="64"/>
      <c r="T253" s="65"/>
      <c r="U253" s="64"/>
      <c r="V253" s="64"/>
      <c r="W253" s="64"/>
      <c r="X253" s="64"/>
      <c r="Y253" s="64"/>
      <c r="Z253" s="64"/>
      <c r="AA253" s="64"/>
      <c r="AB253" s="64"/>
      <c r="AC253" s="64"/>
      <c r="AD253" s="64"/>
      <c r="AE253" s="64"/>
      <c r="AF253" s="64"/>
      <c r="AG253" s="64"/>
    </row>
    <row r="254">
      <c r="A254" s="64"/>
      <c r="B254" s="64"/>
      <c r="C254" s="64"/>
      <c r="D254" s="64"/>
      <c r="E254" s="65"/>
      <c r="F254" s="64"/>
      <c r="G254" s="67"/>
      <c r="H254" s="64"/>
      <c r="I254" s="64"/>
      <c r="J254" s="64"/>
      <c r="K254" s="64"/>
      <c r="L254" s="65"/>
      <c r="M254" s="64"/>
      <c r="N254" s="64"/>
      <c r="O254" s="64"/>
      <c r="P254" s="64"/>
      <c r="Q254" s="64"/>
      <c r="R254" s="64"/>
      <c r="S254" s="64"/>
      <c r="T254" s="65"/>
      <c r="U254" s="64"/>
      <c r="V254" s="64"/>
      <c r="W254" s="64"/>
      <c r="X254" s="64"/>
      <c r="Y254" s="64"/>
      <c r="Z254" s="64"/>
      <c r="AA254" s="64"/>
      <c r="AB254" s="64"/>
      <c r="AC254" s="64"/>
      <c r="AD254" s="64"/>
      <c r="AE254" s="64"/>
      <c r="AF254" s="64"/>
      <c r="AG254" s="64"/>
    </row>
    <row r="255">
      <c r="A255" s="64"/>
      <c r="B255" s="64"/>
      <c r="C255" s="64"/>
      <c r="D255" s="64"/>
      <c r="E255" s="65"/>
      <c r="F255" s="64"/>
      <c r="G255" s="67"/>
      <c r="H255" s="64"/>
      <c r="I255" s="64"/>
      <c r="J255" s="64"/>
      <c r="K255" s="64"/>
      <c r="L255" s="65"/>
      <c r="M255" s="64"/>
      <c r="N255" s="64"/>
      <c r="O255" s="64"/>
      <c r="P255" s="64"/>
      <c r="Q255" s="64"/>
      <c r="R255" s="64"/>
      <c r="S255" s="64"/>
      <c r="T255" s="65"/>
      <c r="U255" s="64"/>
      <c r="V255" s="64"/>
      <c r="W255" s="64"/>
      <c r="X255" s="64"/>
      <c r="Y255" s="64"/>
      <c r="Z255" s="64"/>
      <c r="AA255" s="64"/>
      <c r="AB255" s="64"/>
      <c r="AC255" s="64"/>
      <c r="AD255" s="64"/>
      <c r="AE255" s="64"/>
      <c r="AF255" s="64"/>
      <c r="AG255" s="64"/>
    </row>
    <row r="256">
      <c r="A256" s="64"/>
      <c r="B256" s="64"/>
      <c r="C256" s="64"/>
      <c r="D256" s="64"/>
      <c r="E256" s="65"/>
      <c r="F256" s="64"/>
      <c r="G256" s="67"/>
      <c r="H256" s="64"/>
      <c r="I256" s="64"/>
      <c r="J256" s="64"/>
      <c r="K256" s="64"/>
      <c r="L256" s="65"/>
      <c r="M256" s="64"/>
      <c r="N256" s="64"/>
      <c r="O256" s="64"/>
      <c r="P256" s="64"/>
      <c r="Q256" s="64"/>
      <c r="R256" s="64"/>
      <c r="S256" s="64"/>
      <c r="T256" s="65"/>
      <c r="U256" s="64"/>
      <c r="V256" s="64"/>
      <c r="W256" s="64"/>
      <c r="X256" s="64"/>
      <c r="Y256" s="64"/>
      <c r="Z256" s="64"/>
      <c r="AA256" s="64"/>
      <c r="AB256" s="64"/>
      <c r="AC256" s="64"/>
      <c r="AD256" s="64"/>
      <c r="AE256" s="64"/>
      <c r="AF256" s="64"/>
      <c r="AG256" s="64"/>
    </row>
    <row r="257">
      <c r="A257" s="64"/>
      <c r="B257" s="64"/>
      <c r="C257" s="64"/>
      <c r="D257" s="64"/>
      <c r="E257" s="65"/>
      <c r="F257" s="64"/>
      <c r="G257" s="67"/>
      <c r="H257" s="64"/>
      <c r="I257" s="64"/>
      <c r="J257" s="64"/>
      <c r="K257" s="64"/>
      <c r="L257" s="65"/>
      <c r="M257" s="64"/>
      <c r="N257" s="64"/>
      <c r="O257" s="64"/>
      <c r="P257" s="64"/>
      <c r="Q257" s="64"/>
      <c r="R257" s="64"/>
      <c r="S257" s="64"/>
      <c r="T257" s="65"/>
      <c r="U257" s="64"/>
      <c r="V257" s="64"/>
      <c r="W257" s="64"/>
      <c r="X257" s="64"/>
      <c r="Y257" s="64"/>
      <c r="Z257" s="64"/>
      <c r="AA257" s="64"/>
      <c r="AB257" s="64"/>
      <c r="AC257" s="64"/>
      <c r="AD257" s="64"/>
      <c r="AE257" s="64"/>
      <c r="AF257" s="64"/>
      <c r="AG257" s="64"/>
    </row>
    <row r="258">
      <c r="A258" s="64"/>
      <c r="B258" s="64"/>
      <c r="C258" s="64"/>
      <c r="D258" s="64"/>
      <c r="E258" s="65"/>
      <c r="F258" s="64"/>
      <c r="G258" s="67"/>
      <c r="H258" s="64"/>
      <c r="I258" s="64"/>
      <c r="J258" s="64"/>
      <c r="K258" s="64"/>
      <c r="L258" s="65"/>
      <c r="M258" s="64"/>
      <c r="N258" s="64"/>
      <c r="O258" s="64"/>
      <c r="P258" s="64"/>
      <c r="Q258" s="64"/>
      <c r="R258" s="64"/>
      <c r="S258" s="64"/>
      <c r="T258" s="65"/>
      <c r="U258" s="64"/>
      <c r="V258" s="64"/>
      <c r="W258" s="64"/>
      <c r="X258" s="64"/>
      <c r="Y258" s="64"/>
      <c r="Z258" s="64"/>
      <c r="AA258" s="64"/>
      <c r="AB258" s="64"/>
      <c r="AC258" s="64"/>
      <c r="AD258" s="64"/>
      <c r="AE258" s="64"/>
      <c r="AF258" s="64"/>
      <c r="AG258" s="64"/>
    </row>
    <row r="259">
      <c r="A259" s="64"/>
      <c r="B259" s="64"/>
      <c r="C259" s="64"/>
      <c r="D259" s="64"/>
      <c r="E259" s="65"/>
      <c r="F259" s="64"/>
      <c r="G259" s="67"/>
      <c r="H259" s="64"/>
      <c r="I259" s="64"/>
      <c r="J259" s="64"/>
      <c r="K259" s="64"/>
      <c r="L259" s="65"/>
      <c r="M259" s="64"/>
      <c r="N259" s="64"/>
      <c r="O259" s="64"/>
      <c r="P259" s="64"/>
      <c r="Q259" s="64"/>
      <c r="R259" s="64"/>
      <c r="S259" s="64"/>
      <c r="T259" s="65"/>
      <c r="U259" s="64"/>
      <c r="V259" s="64"/>
      <c r="W259" s="64"/>
      <c r="X259" s="64"/>
      <c r="Y259" s="64"/>
      <c r="Z259" s="64"/>
      <c r="AA259" s="64"/>
      <c r="AB259" s="64"/>
      <c r="AC259" s="64"/>
      <c r="AD259" s="64"/>
      <c r="AE259" s="64"/>
      <c r="AF259" s="64"/>
      <c r="AG259" s="64"/>
    </row>
    <row r="260">
      <c r="A260" s="64"/>
      <c r="B260" s="64"/>
      <c r="C260" s="64"/>
      <c r="D260" s="64"/>
      <c r="E260" s="65"/>
      <c r="F260" s="64"/>
      <c r="G260" s="67"/>
      <c r="H260" s="64"/>
      <c r="I260" s="64"/>
      <c r="J260" s="64"/>
      <c r="K260" s="64"/>
      <c r="L260" s="65"/>
      <c r="M260" s="64"/>
      <c r="N260" s="64"/>
      <c r="O260" s="64"/>
      <c r="P260" s="64"/>
      <c r="Q260" s="64"/>
      <c r="R260" s="64"/>
      <c r="S260" s="64"/>
      <c r="T260" s="65"/>
      <c r="U260" s="64"/>
      <c r="V260" s="64"/>
      <c r="W260" s="64"/>
      <c r="X260" s="64"/>
      <c r="Y260" s="64"/>
      <c r="Z260" s="64"/>
      <c r="AA260" s="64"/>
      <c r="AB260" s="64"/>
      <c r="AC260" s="64"/>
      <c r="AD260" s="64"/>
      <c r="AE260" s="64"/>
      <c r="AF260" s="64"/>
      <c r="AG260" s="64"/>
    </row>
    <row r="261">
      <c r="A261" s="64"/>
      <c r="B261" s="64"/>
      <c r="C261" s="64"/>
      <c r="D261" s="64"/>
      <c r="E261" s="65"/>
      <c r="F261" s="64"/>
      <c r="G261" s="67"/>
      <c r="H261" s="64"/>
      <c r="I261" s="64"/>
      <c r="J261" s="64"/>
      <c r="K261" s="64"/>
      <c r="L261" s="65"/>
      <c r="M261" s="64"/>
      <c r="N261" s="64"/>
      <c r="O261" s="64"/>
      <c r="P261" s="64"/>
      <c r="Q261" s="64"/>
      <c r="R261" s="64"/>
      <c r="S261" s="64"/>
      <c r="T261" s="65"/>
      <c r="U261" s="64"/>
      <c r="V261" s="64"/>
      <c r="W261" s="64"/>
      <c r="X261" s="64"/>
      <c r="Y261" s="64"/>
      <c r="Z261" s="64"/>
      <c r="AA261" s="64"/>
      <c r="AB261" s="64"/>
      <c r="AC261" s="64"/>
      <c r="AD261" s="64"/>
      <c r="AE261" s="64"/>
      <c r="AF261" s="64"/>
      <c r="AG261" s="64"/>
    </row>
    <row r="262">
      <c r="A262" s="64"/>
      <c r="B262" s="64"/>
      <c r="C262" s="64"/>
      <c r="D262" s="64"/>
      <c r="E262" s="65"/>
      <c r="F262" s="64"/>
      <c r="G262" s="67"/>
      <c r="H262" s="64"/>
      <c r="I262" s="64"/>
      <c r="J262" s="64"/>
      <c r="K262" s="64"/>
      <c r="L262" s="65"/>
      <c r="M262" s="64"/>
      <c r="N262" s="64"/>
      <c r="O262" s="64"/>
      <c r="P262" s="64"/>
      <c r="Q262" s="64"/>
      <c r="R262" s="64"/>
      <c r="S262" s="64"/>
      <c r="T262" s="65"/>
      <c r="U262" s="64"/>
      <c r="V262" s="64"/>
      <c r="W262" s="64"/>
      <c r="X262" s="64"/>
      <c r="Y262" s="64"/>
      <c r="Z262" s="64"/>
      <c r="AA262" s="64"/>
      <c r="AB262" s="64"/>
      <c r="AC262" s="64"/>
      <c r="AD262" s="64"/>
      <c r="AE262" s="64"/>
      <c r="AF262" s="64"/>
      <c r="AG262" s="64"/>
    </row>
    <row r="263">
      <c r="A263" s="64"/>
      <c r="B263" s="64"/>
      <c r="C263" s="64"/>
      <c r="D263" s="64"/>
      <c r="E263" s="65"/>
      <c r="F263" s="64"/>
      <c r="G263" s="67"/>
      <c r="H263" s="64"/>
      <c r="I263" s="64"/>
      <c r="J263" s="64"/>
      <c r="K263" s="64"/>
      <c r="L263" s="65"/>
      <c r="M263" s="64"/>
      <c r="N263" s="64"/>
      <c r="O263" s="64"/>
      <c r="P263" s="64"/>
      <c r="Q263" s="64"/>
      <c r="R263" s="64"/>
      <c r="S263" s="64"/>
      <c r="T263" s="65"/>
      <c r="U263" s="64"/>
      <c r="V263" s="64"/>
      <c r="W263" s="64"/>
      <c r="X263" s="64"/>
      <c r="Y263" s="64"/>
      <c r="Z263" s="64"/>
      <c r="AA263" s="64"/>
      <c r="AB263" s="64"/>
      <c r="AC263" s="64"/>
      <c r="AD263" s="64"/>
      <c r="AE263" s="64"/>
      <c r="AF263" s="64"/>
      <c r="AG263" s="64"/>
    </row>
    <row r="264">
      <c r="A264" s="64"/>
      <c r="B264" s="64"/>
      <c r="C264" s="64"/>
      <c r="D264" s="64"/>
      <c r="E264" s="65"/>
      <c r="F264" s="64"/>
      <c r="G264" s="67"/>
      <c r="H264" s="64"/>
      <c r="I264" s="64"/>
      <c r="J264" s="64"/>
      <c r="K264" s="64"/>
      <c r="L264" s="65"/>
      <c r="M264" s="64"/>
      <c r="N264" s="64"/>
      <c r="O264" s="64"/>
      <c r="P264" s="64"/>
      <c r="Q264" s="64"/>
      <c r="R264" s="64"/>
      <c r="S264" s="64"/>
      <c r="T264" s="65"/>
      <c r="U264" s="64"/>
      <c r="V264" s="64"/>
      <c r="W264" s="64"/>
      <c r="X264" s="64"/>
      <c r="Y264" s="64"/>
      <c r="Z264" s="64"/>
      <c r="AA264" s="64"/>
      <c r="AB264" s="64"/>
      <c r="AC264" s="64"/>
      <c r="AD264" s="64"/>
      <c r="AE264" s="64"/>
      <c r="AF264" s="64"/>
      <c r="AG264" s="64"/>
    </row>
    <row r="265">
      <c r="A265" s="64"/>
      <c r="B265" s="64"/>
      <c r="C265" s="64"/>
      <c r="D265" s="64"/>
      <c r="E265" s="65"/>
      <c r="F265" s="64"/>
      <c r="G265" s="67"/>
      <c r="H265" s="64"/>
      <c r="I265" s="64"/>
      <c r="J265" s="64"/>
      <c r="K265" s="64"/>
      <c r="L265" s="65"/>
      <c r="M265" s="64"/>
      <c r="N265" s="64"/>
      <c r="O265" s="64"/>
      <c r="P265" s="64"/>
      <c r="Q265" s="64"/>
      <c r="R265" s="64"/>
      <c r="S265" s="64"/>
      <c r="T265" s="65"/>
      <c r="U265" s="64"/>
      <c r="V265" s="64"/>
      <c r="W265" s="64"/>
      <c r="X265" s="64"/>
      <c r="Y265" s="64"/>
      <c r="Z265" s="64"/>
      <c r="AA265" s="64"/>
      <c r="AB265" s="64"/>
      <c r="AC265" s="64"/>
      <c r="AD265" s="64"/>
      <c r="AE265" s="64"/>
      <c r="AF265" s="64"/>
      <c r="AG265" s="64"/>
    </row>
    <row r="266">
      <c r="A266" s="64"/>
      <c r="B266" s="64"/>
      <c r="C266" s="64"/>
      <c r="D266" s="64"/>
      <c r="E266" s="65"/>
      <c r="F266" s="64"/>
      <c r="G266" s="67"/>
      <c r="H266" s="64"/>
      <c r="I266" s="64"/>
      <c r="J266" s="64"/>
      <c r="K266" s="64"/>
      <c r="L266" s="65"/>
      <c r="M266" s="64"/>
      <c r="N266" s="64"/>
      <c r="O266" s="64"/>
      <c r="P266" s="64"/>
      <c r="Q266" s="64"/>
      <c r="R266" s="64"/>
      <c r="S266" s="64"/>
      <c r="T266" s="65"/>
      <c r="U266" s="64"/>
      <c r="V266" s="64"/>
      <c r="W266" s="64"/>
      <c r="X266" s="64"/>
      <c r="Y266" s="64"/>
      <c r="Z266" s="64"/>
      <c r="AA266" s="64"/>
      <c r="AB266" s="64"/>
      <c r="AC266" s="64"/>
      <c r="AD266" s="64"/>
      <c r="AE266" s="64"/>
      <c r="AF266" s="64"/>
      <c r="AG266" s="64"/>
    </row>
    <row r="267">
      <c r="A267" s="64"/>
      <c r="B267" s="64"/>
      <c r="C267" s="64"/>
      <c r="D267" s="64"/>
      <c r="E267" s="65"/>
      <c r="F267" s="64"/>
      <c r="G267" s="67"/>
      <c r="H267" s="64"/>
      <c r="I267" s="64"/>
      <c r="J267" s="64"/>
      <c r="K267" s="64"/>
      <c r="L267" s="65"/>
      <c r="M267" s="64"/>
      <c r="N267" s="64"/>
      <c r="O267" s="64"/>
      <c r="P267" s="64"/>
      <c r="Q267" s="64"/>
      <c r="R267" s="64"/>
      <c r="S267" s="64"/>
      <c r="T267" s="65"/>
      <c r="U267" s="64"/>
      <c r="V267" s="64"/>
      <c r="W267" s="64"/>
      <c r="X267" s="64"/>
      <c r="Y267" s="64"/>
      <c r="Z267" s="64"/>
      <c r="AA267" s="64"/>
      <c r="AB267" s="64"/>
      <c r="AC267" s="64"/>
      <c r="AD267" s="64"/>
      <c r="AE267" s="64"/>
      <c r="AF267" s="64"/>
      <c r="AG267" s="64"/>
    </row>
    <row r="268">
      <c r="A268" s="64"/>
      <c r="B268" s="64"/>
      <c r="C268" s="64"/>
      <c r="D268" s="64"/>
      <c r="E268" s="65"/>
      <c r="F268" s="64"/>
      <c r="G268" s="67"/>
      <c r="H268" s="64"/>
      <c r="I268" s="64"/>
      <c r="J268" s="64"/>
      <c r="K268" s="64"/>
      <c r="L268" s="65"/>
      <c r="M268" s="64"/>
      <c r="N268" s="64"/>
      <c r="O268" s="64"/>
      <c r="P268" s="64"/>
      <c r="Q268" s="64"/>
      <c r="R268" s="64"/>
      <c r="S268" s="64"/>
      <c r="T268" s="65"/>
      <c r="U268" s="64"/>
      <c r="V268" s="64"/>
      <c r="W268" s="64"/>
      <c r="X268" s="64"/>
      <c r="Y268" s="64"/>
      <c r="Z268" s="64"/>
      <c r="AA268" s="64"/>
      <c r="AB268" s="64"/>
      <c r="AC268" s="64"/>
      <c r="AD268" s="64"/>
      <c r="AE268" s="64"/>
      <c r="AF268" s="64"/>
      <c r="AG268" s="64"/>
    </row>
    <row r="269">
      <c r="A269" s="64"/>
      <c r="B269" s="64"/>
      <c r="C269" s="64"/>
      <c r="D269" s="64"/>
      <c r="E269" s="65"/>
      <c r="F269" s="64"/>
      <c r="G269" s="67"/>
      <c r="H269" s="64"/>
      <c r="I269" s="64"/>
      <c r="J269" s="64"/>
      <c r="K269" s="64"/>
      <c r="L269" s="65"/>
      <c r="M269" s="64"/>
      <c r="N269" s="64"/>
      <c r="O269" s="64"/>
      <c r="P269" s="64"/>
      <c r="Q269" s="64"/>
      <c r="R269" s="64"/>
      <c r="S269" s="64"/>
      <c r="T269" s="65"/>
      <c r="U269" s="64"/>
      <c r="V269" s="64"/>
      <c r="W269" s="64"/>
      <c r="X269" s="64"/>
      <c r="Y269" s="64"/>
      <c r="Z269" s="64"/>
      <c r="AA269" s="64"/>
      <c r="AB269" s="64"/>
      <c r="AC269" s="64"/>
      <c r="AD269" s="64"/>
      <c r="AE269" s="64"/>
      <c r="AF269" s="64"/>
      <c r="AG269" s="64"/>
    </row>
    <row r="270">
      <c r="A270" s="64"/>
      <c r="B270" s="64"/>
      <c r="C270" s="64"/>
      <c r="D270" s="64"/>
      <c r="E270" s="65"/>
      <c r="F270" s="64"/>
      <c r="G270" s="67"/>
      <c r="H270" s="64"/>
      <c r="I270" s="64"/>
      <c r="J270" s="64"/>
      <c r="K270" s="64"/>
      <c r="L270" s="65"/>
      <c r="M270" s="64"/>
      <c r="N270" s="64"/>
      <c r="O270" s="64"/>
      <c r="P270" s="64"/>
      <c r="Q270" s="64"/>
      <c r="R270" s="64"/>
      <c r="S270" s="64"/>
      <c r="T270" s="65"/>
      <c r="U270" s="64"/>
      <c r="V270" s="64"/>
      <c r="W270" s="64"/>
      <c r="X270" s="64"/>
      <c r="Y270" s="64"/>
      <c r="Z270" s="64"/>
      <c r="AA270" s="64"/>
      <c r="AB270" s="64"/>
      <c r="AC270" s="64"/>
      <c r="AD270" s="64"/>
      <c r="AE270" s="64"/>
      <c r="AF270" s="64"/>
      <c r="AG270" s="64"/>
    </row>
    <row r="271">
      <c r="A271" s="64"/>
      <c r="B271" s="64"/>
      <c r="C271" s="64"/>
      <c r="D271" s="64"/>
      <c r="E271" s="65"/>
      <c r="F271" s="64"/>
      <c r="G271" s="67"/>
      <c r="H271" s="64"/>
      <c r="I271" s="64"/>
      <c r="J271" s="64"/>
      <c r="K271" s="64"/>
      <c r="L271" s="65"/>
      <c r="M271" s="64"/>
      <c r="N271" s="64"/>
      <c r="O271" s="64"/>
      <c r="P271" s="64"/>
      <c r="Q271" s="64"/>
      <c r="R271" s="64"/>
      <c r="S271" s="64"/>
      <c r="T271" s="65"/>
      <c r="U271" s="64"/>
      <c r="V271" s="64"/>
      <c r="W271" s="64"/>
      <c r="X271" s="64"/>
      <c r="Y271" s="64"/>
      <c r="Z271" s="64"/>
      <c r="AA271" s="64"/>
      <c r="AB271" s="64"/>
      <c r="AC271" s="64"/>
      <c r="AD271" s="64"/>
      <c r="AE271" s="64"/>
      <c r="AF271" s="64"/>
      <c r="AG271" s="64"/>
    </row>
    <row r="272">
      <c r="A272" s="64"/>
      <c r="B272" s="64"/>
      <c r="C272" s="64"/>
      <c r="D272" s="64"/>
      <c r="E272" s="65"/>
      <c r="F272" s="64"/>
      <c r="G272" s="67"/>
      <c r="H272" s="64"/>
      <c r="I272" s="64"/>
      <c r="J272" s="64"/>
      <c r="K272" s="64"/>
      <c r="L272" s="65"/>
      <c r="M272" s="64"/>
      <c r="N272" s="64"/>
      <c r="O272" s="64"/>
      <c r="P272" s="64"/>
      <c r="Q272" s="64"/>
      <c r="R272" s="64"/>
      <c r="S272" s="64"/>
      <c r="T272" s="65"/>
      <c r="U272" s="64"/>
      <c r="V272" s="64"/>
      <c r="W272" s="64"/>
      <c r="X272" s="64"/>
      <c r="Y272" s="64"/>
      <c r="Z272" s="64"/>
      <c r="AA272" s="64"/>
      <c r="AB272" s="64"/>
      <c r="AC272" s="64"/>
      <c r="AD272" s="64"/>
      <c r="AE272" s="64"/>
      <c r="AF272" s="64"/>
      <c r="AG272" s="64"/>
    </row>
    <row r="273">
      <c r="A273" s="64"/>
      <c r="B273" s="64"/>
      <c r="C273" s="64"/>
      <c r="D273" s="64"/>
      <c r="E273" s="65"/>
      <c r="F273" s="64"/>
      <c r="G273" s="67"/>
      <c r="H273" s="64"/>
      <c r="I273" s="64"/>
      <c r="J273" s="64"/>
      <c r="K273" s="64"/>
      <c r="L273" s="65"/>
      <c r="M273" s="64"/>
      <c r="N273" s="64"/>
      <c r="O273" s="64"/>
      <c r="P273" s="64"/>
      <c r="Q273" s="64"/>
      <c r="R273" s="64"/>
      <c r="S273" s="64"/>
      <c r="T273" s="65"/>
      <c r="U273" s="64"/>
      <c r="V273" s="64"/>
      <c r="W273" s="64"/>
      <c r="X273" s="64"/>
      <c r="Y273" s="64"/>
      <c r="Z273" s="64"/>
      <c r="AA273" s="64"/>
      <c r="AB273" s="64"/>
      <c r="AC273" s="64"/>
      <c r="AD273" s="64"/>
      <c r="AE273" s="64"/>
      <c r="AF273" s="64"/>
      <c r="AG273" s="64"/>
    </row>
    <row r="274">
      <c r="A274" s="64"/>
      <c r="B274" s="64"/>
      <c r="C274" s="64"/>
      <c r="D274" s="64"/>
      <c r="E274" s="65"/>
      <c r="F274" s="64"/>
      <c r="G274" s="67"/>
      <c r="H274" s="64"/>
      <c r="I274" s="64"/>
      <c r="J274" s="64"/>
      <c r="K274" s="64"/>
      <c r="L274" s="65"/>
      <c r="M274" s="64"/>
      <c r="N274" s="64"/>
      <c r="O274" s="64"/>
      <c r="P274" s="64"/>
      <c r="Q274" s="64"/>
      <c r="R274" s="64"/>
      <c r="S274" s="64"/>
      <c r="T274" s="65"/>
      <c r="U274" s="64"/>
      <c r="V274" s="64"/>
      <c r="W274" s="64"/>
      <c r="X274" s="64"/>
      <c r="Y274" s="64"/>
      <c r="Z274" s="64"/>
      <c r="AA274" s="64"/>
      <c r="AB274" s="64"/>
      <c r="AC274" s="64"/>
      <c r="AD274" s="64"/>
      <c r="AE274" s="64"/>
      <c r="AF274" s="64"/>
      <c r="AG274" s="64"/>
    </row>
    <row r="275">
      <c r="A275" s="64"/>
      <c r="B275" s="64"/>
      <c r="C275" s="64"/>
      <c r="D275" s="64"/>
      <c r="E275" s="65"/>
      <c r="F275" s="64"/>
      <c r="G275" s="67"/>
      <c r="H275" s="64"/>
      <c r="I275" s="64"/>
      <c r="J275" s="64"/>
      <c r="K275" s="64"/>
      <c r="L275" s="65"/>
      <c r="M275" s="64"/>
      <c r="N275" s="64"/>
      <c r="O275" s="64"/>
      <c r="P275" s="64"/>
      <c r="Q275" s="64"/>
      <c r="R275" s="64"/>
      <c r="S275" s="64"/>
      <c r="T275" s="65"/>
      <c r="U275" s="64"/>
      <c r="V275" s="64"/>
      <c r="W275" s="64"/>
      <c r="X275" s="64"/>
      <c r="Y275" s="64"/>
      <c r="Z275" s="64"/>
      <c r="AA275" s="64"/>
      <c r="AB275" s="64"/>
      <c r="AC275" s="64"/>
      <c r="AD275" s="64"/>
      <c r="AE275" s="64"/>
      <c r="AF275" s="64"/>
      <c r="AG275" s="64"/>
    </row>
    <row r="276">
      <c r="A276" s="64"/>
      <c r="B276" s="64"/>
      <c r="C276" s="64"/>
      <c r="D276" s="64"/>
      <c r="E276" s="65"/>
      <c r="F276" s="64"/>
      <c r="G276" s="67"/>
      <c r="H276" s="64"/>
      <c r="I276" s="64"/>
      <c r="J276" s="64"/>
      <c r="K276" s="64"/>
      <c r="L276" s="65"/>
      <c r="M276" s="64"/>
      <c r="N276" s="64"/>
      <c r="O276" s="64"/>
      <c r="P276" s="64"/>
      <c r="Q276" s="64"/>
      <c r="R276" s="64"/>
      <c r="S276" s="64"/>
      <c r="T276" s="65"/>
      <c r="U276" s="64"/>
      <c r="V276" s="64"/>
      <c r="W276" s="64"/>
      <c r="X276" s="64"/>
      <c r="Y276" s="64"/>
      <c r="Z276" s="64"/>
      <c r="AA276" s="64"/>
      <c r="AB276" s="64"/>
      <c r="AC276" s="64"/>
      <c r="AD276" s="64"/>
      <c r="AE276" s="64"/>
      <c r="AF276" s="64"/>
      <c r="AG276" s="64"/>
    </row>
    <row r="277">
      <c r="A277" s="64"/>
      <c r="B277" s="64"/>
      <c r="C277" s="64"/>
      <c r="D277" s="64"/>
      <c r="E277" s="65"/>
      <c r="F277" s="64"/>
      <c r="G277" s="67"/>
      <c r="H277" s="64"/>
      <c r="I277" s="64"/>
      <c r="J277" s="64"/>
      <c r="K277" s="64"/>
      <c r="L277" s="65"/>
      <c r="M277" s="64"/>
      <c r="N277" s="64"/>
      <c r="O277" s="64"/>
      <c r="P277" s="64"/>
      <c r="Q277" s="64"/>
      <c r="R277" s="64"/>
      <c r="S277" s="64"/>
      <c r="T277" s="65"/>
      <c r="U277" s="64"/>
      <c r="V277" s="64"/>
      <c r="W277" s="64"/>
      <c r="X277" s="64"/>
      <c r="Y277" s="64"/>
      <c r="Z277" s="64"/>
      <c r="AA277" s="64"/>
      <c r="AB277" s="64"/>
      <c r="AC277" s="64"/>
      <c r="AD277" s="64"/>
      <c r="AE277" s="64"/>
      <c r="AF277" s="64"/>
      <c r="AG277" s="64"/>
    </row>
    <row r="278">
      <c r="A278" s="64"/>
      <c r="B278" s="64"/>
      <c r="C278" s="64"/>
      <c r="D278" s="64"/>
      <c r="E278" s="65"/>
      <c r="F278" s="64"/>
      <c r="G278" s="67"/>
      <c r="H278" s="64"/>
      <c r="I278" s="64"/>
      <c r="J278" s="64"/>
      <c r="K278" s="64"/>
      <c r="L278" s="65"/>
      <c r="M278" s="64"/>
      <c r="N278" s="64"/>
      <c r="O278" s="64"/>
      <c r="P278" s="64"/>
      <c r="Q278" s="64"/>
      <c r="R278" s="64"/>
      <c r="S278" s="64"/>
      <c r="T278" s="65"/>
      <c r="U278" s="64"/>
      <c r="V278" s="64"/>
      <c r="W278" s="64"/>
      <c r="X278" s="64"/>
      <c r="Y278" s="64"/>
      <c r="Z278" s="64"/>
      <c r="AA278" s="64"/>
      <c r="AB278" s="64"/>
      <c r="AC278" s="64"/>
      <c r="AD278" s="64"/>
      <c r="AE278" s="64"/>
      <c r="AF278" s="64"/>
      <c r="AG278" s="64"/>
    </row>
    <row r="279">
      <c r="A279" s="64"/>
      <c r="B279" s="64"/>
      <c r="C279" s="64"/>
      <c r="D279" s="64"/>
      <c r="E279" s="65"/>
      <c r="F279" s="64"/>
      <c r="G279" s="67"/>
      <c r="H279" s="64"/>
      <c r="I279" s="64"/>
      <c r="J279" s="64"/>
      <c r="K279" s="64"/>
      <c r="L279" s="65"/>
      <c r="M279" s="64"/>
      <c r="N279" s="64"/>
      <c r="O279" s="64"/>
      <c r="P279" s="64"/>
      <c r="Q279" s="64"/>
      <c r="R279" s="64"/>
      <c r="S279" s="64"/>
      <c r="T279" s="65"/>
      <c r="U279" s="64"/>
      <c r="V279" s="64"/>
      <c r="W279" s="64"/>
      <c r="X279" s="64"/>
      <c r="Y279" s="64"/>
      <c r="Z279" s="64"/>
      <c r="AA279" s="64"/>
      <c r="AB279" s="64"/>
      <c r="AC279" s="64"/>
      <c r="AD279" s="64"/>
      <c r="AE279" s="64"/>
      <c r="AF279" s="64"/>
      <c r="AG279" s="64"/>
    </row>
    <row r="280">
      <c r="A280" s="64"/>
      <c r="B280" s="64"/>
      <c r="C280" s="64"/>
      <c r="D280" s="64"/>
      <c r="E280" s="65"/>
      <c r="F280" s="64"/>
      <c r="G280" s="67"/>
      <c r="H280" s="64"/>
      <c r="I280" s="64"/>
      <c r="J280" s="64"/>
      <c r="K280" s="64"/>
      <c r="L280" s="65"/>
      <c r="M280" s="64"/>
      <c r="N280" s="64"/>
      <c r="O280" s="64"/>
      <c r="P280" s="64"/>
      <c r="Q280" s="64"/>
      <c r="R280" s="64"/>
      <c r="S280" s="64"/>
      <c r="T280" s="65"/>
      <c r="U280" s="64"/>
      <c r="V280" s="64"/>
      <c r="W280" s="64"/>
      <c r="X280" s="64"/>
      <c r="Y280" s="64"/>
      <c r="Z280" s="64"/>
      <c r="AA280" s="64"/>
      <c r="AB280" s="64"/>
      <c r="AC280" s="64"/>
      <c r="AD280" s="64"/>
      <c r="AE280" s="64"/>
      <c r="AF280" s="64"/>
      <c r="AG280" s="64"/>
    </row>
    <row r="281">
      <c r="A281" s="64"/>
      <c r="B281" s="64"/>
      <c r="C281" s="64"/>
      <c r="D281" s="64"/>
      <c r="E281" s="65"/>
      <c r="F281" s="64"/>
      <c r="G281" s="67"/>
      <c r="H281" s="64"/>
      <c r="I281" s="64"/>
      <c r="J281" s="64"/>
      <c r="K281" s="64"/>
      <c r="L281" s="65"/>
      <c r="M281" s="64"/>
      <c r="N281" s="64"/>
      <c r="O281" s="64"/>
      <c r="P281" s="64"/>
      <c r="Q281" s="64"/>
      <c r="R281" s="64"/>
      <c r="S281" s="64"/>
      <c r="T281" s="65"/>
      <c r="U281" s="64"/>
      <c r="V281" s="64"/>
      <c r="W281" s="64"/>
      <c r="X281" s="64"/>
      <c r="Y281" s="64"/>
      <c r="Z281" s="64"/>
      <c r="AA281" s="64"/>
      <c r="AB281" s="64"/>
      <c r="AC281" s="64"/>
      <c r="AD281" s="64"/>
      <c r="AE281" s="64"/>
      <c r="AF281" s="64"/>
      <c r="AG281" s="64"/>
    </row>
    <row r="282">
      <c r="A282" s="64"/>
      <c r="B282" s="64"/>
      <c r="C282" s="64"/>
      <c r="D282" s="64"/>
      <c r="E282" s="65"/>
      <c r="F282" s="64"/>
      <c r="G282" s="67"/>
      <c r="H282" s="64"/>
      <c r="I282" s="64"/>
      <c r="J282" s="64"/>
      <c r="K282" s="64"/>
      <c r="L282" s="65"/>
      <c r="M282" s="64"/>
      <c r="N282" s="64"/>
      <c r="O282" s="64"/>
      <c r="P282" s="64"/>
      <c r="Q282" s="64"/>
      <c r="R282" s="64"/>
      <c r="S282" s="64"/>
      <c r="T282" s="65"/>
      <c r="U282" s="64"/>
      <c r="V282" s="64"/>
      <c r="W282" s="64"/>
      <c r="X282" s="64"/>
      <c r="Y282" s="64"/>
      <c r="Z282" s="64"/>
      <c r="AA282" s="64"/>
      <c r="AB282" s="64"/>
      <c r="AC282" s="64"/>
      <c r="AD282" s="64"/>
      <c r="AE282" s="64"/>
      <c r="AF282" s="64"/>
      <c r="AG282" s="64"/>
    </row>
    <row r="283">
      <c r="A283" s="64"/>
      <c r="B283" s="64"/>
      <c r="C283" s="64"/>
      <c r="D283" s="64"/>
      <c r="E283" s="65"/>
      <c r="F283" s="64"/>
      <c r="G283" s="67"/>
      <c r="H283" s="64"/>
      <c r="I283" s="64"/>
      <c r="J283" s="64"/>
      <c r="K283" s="64"/>
      <c r="L283" s="65"/>
      <c r="M283" s="64"/>
      <c r="N283" s="64"/>
      <c r="O283" s="64"/>
      <c r="P283" s="64"/>
      <c r="Q283" s="64"/>
      <c r="R283" s="64"/>
      <c r="S283" s="64"/>
      <c r="T283" s="65"/>
      <c r="U283" s="64"/>
      <c r="V283" s="64"/>
      <c r="W283" s="64"/>
      <c r="X283" s="64"/>
      <c r="Y283" s="64"/>
      <c r="Z283" s="64"/>
      <c r="AA283" s="64"/>
      <c r="AB283" s="64"/>
      <c r="AC283" s="64"/>
      <c r="AD283" s="64"/>
      <c r="AE283" s="64"/>
      <c r="AF283" s="64"/>
      <c r="AG283" s="64"/>
    </row>
    <row r="284">
      <c r="A284" s="64"/>
      <c r="B284" s="64"/>
      <c r="C284" s="64"/>
      <c r="D284" s="64"/>
      <c r="E284" s="65"/>
      <c r="F284" s="64"/>
      <c r="G284" s="67"/>
      <c r="H284" s="64"/>
      <c r="I284" s="64"/>
      <c r="J284" s="64"/>
      <c r="K284" s="64"/>
      <c r="L284" s="65"/>
      <c r="M284" s="64"/>
      <c r="N284" s="64"/>
      <c r="O284" s="64"/>
      <c r="P284" s="64"/>
      <c r="Q284" s="64"/>
      <c r="R284" s="64"/>
      <c r="S284" s="64"/>
      <c r="T284" s="65"/>
      <c r="U284" s="64"/>
      <c r="V284" s="64"/>
      <c r="W284" s="64"/>
      <c r="X284" s="64"/>
      <c r="Y284" s="64"/>
      <c r="Z284" s="64"/>
      <c r="AA284" s="64"/>
      <c r="AB284" s="64"/>
      <c r="AC284" s="64"/>
      <c r="AD284" s="64"/>
      <c r="AE284" s="64"/>
      <c r="AF284" s="64"/>
      <c r="AG284" s="64"/>
    </row>
    <row r="285">
      <c r="A285" s="64"/>
      <c r="B285" s="64"/>
      <c r="C285" s="64"/>
      <c r="D285" s="64"/>
      <c r="E285" s="65"/>
      <c r="F285" s="64"/>
      <c r="G285" s="67"/>
      <c r="H285" s="64"/>
      <c r="I285" s="64"/>
      <c r="J285" s="64"/>
      <c r="K285" s="64"/>
      <c r="L285" s="65"/>
      <c r="M285" s="64"/>
      <c r="N285" s="64"/>
      <c r="O285" s="64"/>
      <c r="P285" s="64"/>
      <c r="Q285" s="64"/>
      <c r="R285" s="64"/>
      <c r="S285" s="64"/>
      <c r="T285" s="65"/>
      <c r="U285" s="64"/>
      <c r="V285" s="64"/>
      <c r="W285" s="64"/>
      <c r="X285" s="64"/>
      <c r="Y285" s="64"/>
      <c r="Z285" s="64"/>
      <c r="AA285" s="64"/>
      <c r="AB285" s="64"/>
      <c r="AC285" s="64"/>
      <c r="AD285" s="64"/>
      <c r="AE285" s="64"/>
      <c r="AF285" s="64"/>
      <c r="AG285" s="64"/>
    </row>
    <row r="286">
      <c r="A286" s="64"/>
      <c r="B286" s="64"/>
      <c r="C286" s="64"/>
      <c r="D286" s="64"/>
      <c r="E286" s="65"/>
      <c r="F286" s="64"/>
      <c r="G286" s="67"/>
      <c r="H286" s="64"/>
      <c r="I286" s="64"/>
      <c r="J286" s="64"/>
      <c r="K286" s="64"/>
      <c r="L286" s="65"/>
      <c r="M286" s="64"/>
      <c r="N286" s="64"/>
      <c r="O286" s="64"/>
      <c r="P286" s="64"/>
      <c r="Q286" s="64"/>
      <c r="R286" s="64"/>
      <c r="S286" s="64"/>
      <c r="T286" s="65"/>
      <c r="U286" s="64"/>
      <c r="V286" s="64"/>
      <c r="W286" s="64"/>
      <c r="X286" s="64"/>
      <c r="Y286" s="64"/>
      <c r="Z286" s="64"/>
      <c r="AA286" s="64"/>
      <c r="AB286" s="64"/>
      <c r="AC286" s="64"/>
      <c r="AD286" s="64"/>
      <c r="AE286" s="64"/>
      <c r="AF286" s="64"/>
      <c r="AG286" s="64"/>
    </row>
    <row r="287">
      <c r="A287" s="64"/>
      <c r="B287" s="64"/>
      <c r="C287" s="64"/>
      <c r="D287" s="64"/>
      <c r="E287" s="65"/>
      <c r="F287" s="64"/>
      <c r="G287" s="67"/>
      <c r="H287" s="64"/>
      <c r="I287" s="64"/>
      <c r="J287" s="64"/>
      <c r="K287" s="64"/>
      <c r="L287" s="65"/>
      <c r="M287" s="64"/>
      <c r="N287" s="64"/>
      <c r="O287" s="64"/>
      <c r="P287" s="64"/>
      <c r="Q287" s="64"/>
      <c r="R287" s="64"/>
      <c r="S287" s="64"/>
      <c r="T287" s="65"/>
      <c r="U287" s="64"/>
      <c r="V287" s="64"/>
      <c r="W287" s="64"/>
      <c r="X287" s="64"/>
      <c r="Y287" s="64"/>
      <c r="Z287" s="64"/>
      <c r="AA287" s="64"/>
      <c r="AB287" s="64"/>
      <c r="AC287" s="64"/>
      <c r="AD287" s="64"/>
      <c r="AE287" s="64"/>
      <c r="AF287" s="64"/>
      <c r="AG287" s="64"/>
    </row>
    <row r="288">
      <c r="A288" s="64"/>
      <c r="B288" s="64"/>
      <c r="C288" s="64"/>
      <c r="D288" s="64"/>
      <c r="E288" s="65"/>
      <c r="F288" s="64"/>
      <c r="G288" s="67"/>
      <c r="H288" s="64"/>
      <c r="I288" s="64"/>
      <c r="J288" s="64"/>
      <c r="K288" s="64"/>
      <c r="L288" s="65"/>
      <c r="M288" s="64"/>
      <c r="N288" s="64"/>
      <c r="O288" s="64"/>
      <c r="P288" s="64"/>
      <c r="Q288" s="64"/>
      <c r="R288" s="64"/>
      <c r="S288" s="64"/>
      <c r="T288" s="65"/>
      <c r="U288" s="64"/>
      <c r="V288" s="64"/>
      <c r="W288" s="64"/>
      <c r="X288" s="64"/>
      <c r="Y288" s="64"/>
      <c r="Z288" s="64"/>
      <c r="AA288" s="64"/>
      <c r="AB288" s="64"/>
      <c r="AC288" s="64"/>
      <c r="AD288" s="64"/>
      <c r="AE288" s="64"/>
      <c r="AF288" s="64"/>
      <c r="AG288" s="64"/>
    </row>
    <row r="289">
      <c r="A289" s="64"/>
      <c r="B289" s="64"/>
      <c r="C289" s="64"/>
      <c r="D289" s="64"/>
      <c r="E289" s="65"/>
      <c r="F289" s="64"/>
      <c r="G289" s="67"/>
      <c r="H289" s="64"/>
      <c r="I289" s="64"/>
      <c r="J289" s="64"/>
      <c r="K289" s="64"/>
      <c r="L289" s="65"/>
      <c r="M289" s="64"/>
      <c r="N289" s="64"/>
      <c r="O289" s="64"/>
      <c r="P289" s="64"/>
      <c r="Q289" s="64"/>
      <c r="R289" s="64"/>
      <c r="S289" s="64"/>
      <c r="T289" s="65"/>
      <c r="U289" s="64"/>
      <c r="V289" s="64"/>
      <c r="W289" s="64"/>
      <c r="X289" s="64"/>
      <c r="Y289" s="64"/>
      <c r="Z289" s="64"/>
      <c r="AA289" s="64"/>
      <c r="AB289" s="64"/>
      <c r="AC289" s="64"/>
      <c r="AD289" s="64"/>
      <c r="AE289" s="64"/>
      <c r="AF289" s="64"/>
      <c r="AG289" s="64"/>
    </row>
    <row r="290">
      <c r="A290" s="64"/>
      <c r="B290" s="64"/>
      <c r="C290" s="64"/>
      <c r="D290" s="64"/>
      <c r="E290" s="65"/>
      <c r="F290" s="64"/>
      <c r="G290" s="67"/>
      <c r="H290" s="64"/>
      <c r="I290" s="64"/>
      <c r="J290" s="64"/>
      <c r="K290" s="64"/>
      <c r="L290" s="65"/>
      <c r="M290" s="64"/>
      <c r="N290" s="64"/>
      <c r="O290" s="64"/>
      <c r="P290" s="64"/>
      <c r="Q290" s="64"/>
      <c r="R290" s="64"/>
      <c r="S290" s="64"/>
      <c r="T290" s="65"/>
      <c r="U290" s="64"/>
      <c r="V290" s="64"/>
      <c r="W290" s="64"/>
      <c r="X290" s="64"/>
      <c r="Y290" s="64"/>
      <c r="Z290" s="64"/>
      <c r="AA290" s="64"/>
      <c r="AB290" s="64"/>
      <c r="AC290" s="64"/>
      <c r="AD290" s="64"/>
      <c r="AE290" s="64"/>
      <c r="AF290" s="64"/>
      <c r="AG290" s="64"/>
    </row>
    <row r="291">
      <c r="A291" s="64"/>
      <c r="B291" s="64"/>
      <c r="C291" s="64"/>
      <c r="D291" s="64"/>
      <c r="E291" s="65"/>
      <c r="F291" s="64"/>
      <c r="G291" s="67"/>
      <c r="H291" s="64"/>
      <c r="I291" s="64"/>
      <c r="J291" s="64"/>
      <c r="K291" s="64"/>
      <c r="L291" s="65"/>
      <c r="M291" s="64"/>
      <c r="N291" s="64"/>
      <c r="O291" s="64"/>
      <c r="P291" s="64"/>
      <c r="Q291" s="64"/>
      <c r="R291" s="64"/>
      <c r="S291" s="64"/>
      <c r="T291" s="65"/>
      <c r="U291" s="64"/>
      <c r="V291" s="64"/>
      <c r="W291" s="64"/>
      <c r="X291" s="64"/>
      <c r="Y291" s="64"/>
      <c r="Z291" s="64"/>
      <c r="AA291" s="64"/>
      <c r="AB291" s="64"/>
      <c r="AC291" s="64"/>
      <c r="AD291" s="64"/>
      <c r="AE291" s="64"/>
      <c r="AF291" s="64"/>
      <c r="AG291" s="64"/>
    </row>
    <row r="292">
      <c r="A292" s="64"/>
      <c r="B292" s="64"/>
      <c r="C292" s="64"/>
      <c r="D292" s="64"/>
      <c r="E292" s="65"/>
      <c r="F292" s="64"/>
      <c r="G292" s="67"/>
      <c r="H292" s="64"/>
      <c r="I292" s="64"/>
      <c r="J292" s="64"/>
      <c r="K292" s="64"/>
      <c r="L292" s="65"/>
      <c r="M292" s="64"/>
      <c r="N292" s="64"/>
      <c r="O292" s="64"/>
      <c r="P292" s="64"/>
      <c r="Q292" s="64"/>
      <c r="R292" s="64"/>
      <c r="S292" s="64"/>
      <c r="T292" s="65"/>
      <c r="U292" s="64"/>
      <c r="V292" s="64"/>
      <c r="W292" s="64"/>
      <c r="X292" s="64"/>
      <c r="Y292" s="64"/>
      <c r="Z292" s="64"/>
      <c r="AA292" s="64"/>
      <c r="AB292" s="64"/>
      <c r="AC292" s="64"/>
      <c r="AD292" s="64"/>
      <c r="AE292" s="64"/>
      <c r="AF292" s="64"/>
      <c r="AG292" s="64"/>
    </row>
    <row r="293">
      <c r="A293" s="64"/>
      <c r="B293" s="64"/>
      <c r="C293" s="64"/>
      <c r="D293" s="64"/>
      <c r="E293" s="65"/>
      <c r="F293" s="64"/>
      <c r="G293" s="67"/>
      <c r="H293" s="64"/>
      <c r="I293" s="64"/>
      <c r="J293" s="64"/>
      <c r="K293" s="64"/>
      <c r="L293" s="65"/>
      <c r="M293" s="64"/>
      <c r="N293" s="64"/>
      <c r="O293" s="64"/>
      <c r="P293" s="64"/>
      <c r="Q293" s="64"/>
      <c r="R293" s="64"/>
      <c r="S293" s="64"/>
      <c r="T293" s="65"/>
      <c r="U293" s="64"/>
      <c r="V293" s="64"/>
      <c r="W293" s="64"/>
      <c r="X293" s="64"/>
      <c r="Y293" s="64"/>
      <c r="Z293" s="64"/>
      <c r="AA293" s="64"/>
      <c r="AB293" s="64"/>
      <c r="AC293" s="64"/>
      <c r="AD293" s="64"/>
      <c r="AE293" s="64"/>
      <c r="AF293" s="64"/>
      <c r="AG293" s="64"/>
    </row>
    <row r="294">
      <c r="A294" s="64"/>
      <c r="B294" s="64"/>
      <c r="C294" s="64"/>
      <c r="D294" s="64"/>
      <c r="E294" s="65"/>
      <c r="F294" s="64"/>
      <c r="G294" s="67"/>
      <c r="H294" s="64"/>
      <c r="I294" s="64"/>
      <c r="J294" s="64"/>
      <c r="K294" s="64"/>
      <c r="L294" s="65"/>
      <c r="M294" s="64"/>
      <c r="N294" s="64"/>
      <c r="O294" s="64"/>
      <c r="P294" s="64"/>
      <c r="Q294" s="64"/>
      <c r="R294" s="64"/>
      <c r="S294" s="64"/>
      <c r="T294" s="65"/>
      <c r="U294" s="64"/>
      <c r="V294" s="64"/>
      <c r="W294" s="64"/>
      <c r="X294" s="64"/>
      <c r="Y294" s="64"/>
      <c r="Z294" s="64"/>
      <c r="AA294" s="64"/>
      <c r="AB294" s="64"/>
      <c r="AC294" s="64"/>
      <c r="AD294" s="64"/>
      <c r="AE294" s="64"/>
      <c r="AF294" s="64"/>
      <c r="AG294" s="64"/>
    </row>
    <row r="295">
      <c r="A295" s="64"/>
      <c r="B295" s="64"/>
      <c r="C295" s="64"/>
      <c r="D295" s="64"/>
      <c r="E295" s="65"/>
      <c r="F295" s="64"/>
      <c r="G295" s="67"/>
      <c r="H295" s="64"/>
      <c r="I295" s="64"/>
      <c r="J295" s="64"/>
      <c r="K295" s="64"/>
      <c r="L295" s="65"/>
      <c r="M295" s="64"/>
      <c r="N295" s="64"/>
      <c r="O295" s="64"/>
      <c r="P295" s="64"/>
      <c r="Q295" s="64"/>
      <c r="R295" s="64"/>
      <c r="S295" s="64"/>
      <c r="T295" s="65"/>
      <c r="U295" s="64"/>
      <c r="V295" s="64"/>
      <c r="W295" s="64"/>
      <c r="X295" s="64"/>
      <c r="Y295" s="64"/>
      <c r="Z295" s="64"/>
      <c r="AA295" s="64"/>
      <c r="AB295" s="64"/>
      <c r="AC295" s="64"/>
      <c r="AD295" s="64"/>
      <c r="AE295" s="64"/>
      <c r="AF295" s="64"/>
      <c r="AG295" s="64"/>
    </row>
    <row r="296">
      <c r="A296" s="64"/>
      <c r="B296" s="64"/>
      <c r="C296" s="64"/>
      <c r="D296" s="64"/>
      <c r="E296" s="65"/>
      <c r="F296" s="64"/>
      <c r="G296" s="67"/>
      <c r="H296" s="64"/>
      <c r="I296" s="64"/>
      <c r="J296" s="64"/>
      <c r="K296" s="64"/>
      <c r="L296" s="65"/>
      <c r="M296" s="64"/>
      <c r="N296" s="64"/>
      <c r="O296" s="64"/>
      <c r="P296" s="64"/>
      <c r="Q296" s="64"/>
      <c r="R296" s="64"/>
      <c r="S296" s="64"/>
      <c r="T296" s="65"/>
      <c r="U296" s="64"/>
      <c r="V296" s="64"/>
      <c r="W296" s="64"/>
      <c r="X296" s="64"/>
      <c r="Y296" s="64"/>
      <c r="Z296" s="64"/>
      <c r="AA296" s="64"/>
      <c r="AB296" s="64"/>
      <c r="AC296" s="64"/>
      <c r="AD296" s="64"/>
      <c r="AE296" s="64"/>
      <c r="AF296" s="64"/>
      <c r="AG296" s="64"/>
    </row>
    <row r="297">
      <c r="A297" s="64"/>
      <c r="B297" s="64"/>
      <c r="C297" s="64"/>
      <c r="D297" s="64"/>
      <c r="E297" s="65"/>
      <c r="F297" s="64"/>
      <c r="G297" s="67"/>
      <c r="H297" s="64"/>
      <c r="I297" s="64"/>
      <c r="J297" s="64"/>
      <c r="K297" s="64"/>
      <c r="L297" s="65"/>
      <c r="M297" s="64"/>
      <c r="N297" s="64"/>
      <c r="O297" s="64"/>
      <c r="P297" s="64"/>
      <c r="Q297" s="64"/>
      <c r="R297" s="64"/>
      <c r="S297" s="64"/>
      <c r="T297" s="65"/>
      <c r="U297" s="64"/>
      <c r="V297" s="64"/>
      <c r="W297" s="64"/>
      <c r="X297" s="64"/>
      <c r="Y297" s="64"/>
      <c r="Z297" s="64"/>
      <c r="AA297" s="64"/>
      <c r="AB297" s="64"/>
      <c r="AC297" s="64"/>
      <c r="AD297" s="64"/>
      <c r="AE297" s="64"/>
      <c r="AF297" s="64"/>
      <c r="AG297" s="64"/>
    </row>
    <row r="298">
      <c r="A298" s="64"/>
      <c r="B298" s="64"/>
      <c r="C298" s="64"/>
      <c r="D298" s="64"/>
      <c r="E298" s="65"/>
      <c r="F298" s="64"/>
      <c r="G298" s="67"/>
      <c r="H298" s="64"/>
      <c r="I298" s="64"/>
      <c r="J298" s="64"/>
      <c r="K298" s="64"/>
      <c r="L298" s="65"/>
      <c r="M298" s="64"/>
      <c r="N298" s="64"/>
      <c r="O298" s="64"/>
      <c r="P298" s="64"/>
      <c r="Q298" s="64"/>
      <c r="R298" s="64"/>
      <c r="S298" s="64"/>
      <c r="T298" s="65"/>
      <c r="U298" s="64"/>
      <c r="V298" s="64"/>
      <c r="W298" s="64"/>
      <c r="X298" s="64"/>
      <c r="Y298" s="64"/>
      <c r="Z298" s="64"/>
      <c r="AA298" s="64"/>
      <c r="AB298" s="64"/>
      <c r="AC298" s="64"/>
      <c r="AD298" s="64"/>
      <c r="AE298" s="64"/>
      <c r="AF298" s="64"/>
      <c r="AG298" s="64"/>
    </row>
    <row r="299">
      <c r="A299" s="64"/>
      <c r="B299" s="64"/>
      <c r="C299" s="64"/>
      <c r="D299" s="64"/>
      <c r="E299" s="65"/>
      <c r="F299" s="64"/>
      <c r="G299" s="67"/>
      <c r="H299" s="64"/>
      <c r="I299" s="64"/>
      <c r="J299" s="64"/>
      <c r="K299" s="64"/>
      <c r="L299" s="65"/>
      <c r="M299" s="64"/>
      <c r="N299" s="64"/>
      <c r="O299" s="64"/>
      <c r="P299" s="64"/>
      <c r="Q299" s="64"/>
      <c r="R299" s="64"/>
      <c r="S299" s="64"/>
      <c r="T299" s="65"/>
      <c r="U299" s="64"/>
      <c r="V299" s="64"/>
      <c r="W299" s="64"/>
      <c r="X299" s="64"/>
      <c r="Y299" s="64"/>
      <c r="Z299" s="64"/>
      <c r="AA299" s="64"/>
      <c r="AB299" s="64"/>
      <c r="AC299" s="64"/>
      <c r="AD299" s="64"/>
      <c r="AE299" s="64"/>
      <c r="AF299" s="64"/>
      <c r="AG299" s="64"/>
    </row>
    <row r="300">
      <c r="A300" s="64"/>
      <c r="B300" s="64"/>
      <c r="C300" s="64"/>
      <c r="D300" s="64"/>
      <c r="E300" s="65"/>
      <c r="F300" s="64"/>
      <c r="G300" s="67"/>
      <c r="H300" s="64"/>
      <c r="I300" s="64"/>
      <c r="J300" s="64"/>
      <c r="K300" s="64"/>
      <c r="L300" s="65"/>
      <c r="M300" s="64"/>
      <c r="N300" s="64"/>
      <c r="O300" s="64"/>
      <c r="P300" s="64"/>
      <c r="Q300" s="64"/>
      <c r="R300" s="64"/>
      <c r="S300" s="64"/>
      <c r="T300" s="65"/>
      <c r="U300" s="64"/>
      <c r="V300" s="64"/>
      <c r="W300" s="64"/>
      <c r="X300" s="64"/>
      <c r="Y300" s="64"/>
      <c r="Z300" s="64"/>
      <c r="AA300" s="64"/>
      <c r="AB300" s="64"/>
      <c r="AC300" s="64"/>
      <c r="AD300" s="64"/>
      <c r="AE300" s="64"/>
      <c r="AF300" s="64"/>
      <c r="AG300" s="64"/>
    </row>
    <row r="301">
      <c r="A301" s="64"/>
      <c r="B301" s="64"/>
      <c r="C301" s="64"/>
      <c r="D301" s="64"/>
      <c r="E301" s="65"/>
      <c r="F301" s="64"/>
      <c r="G301" s="67"/>
      <c r="H301" s="64"/>
      <c r="I301" s="64"/>
      <c r="J301" s="64"/>
      <c r="K301" s="64"/>
      <c r="L301" s="65"/>
      <c r="M301" s="64"/>
      <c r="N301" s="64"/>
      <c r="O301" s="64"/>
      <c r="P301" s="64"/>
      <c r="Q301" s="64"/>
      <c r="R301" s="64"/>
      <c r="S301" s="64"/>
      <c r="T301" s="65"/>
      <c r="U301" s="64"/>
      <c r="V301" s="64"/>
      <c r="W301" s="64"/>
      <c r="X301" s="64"/>
      <c r="Y301" s="64"/>
      <c r="Z301" s="64"/>
      <c r="AA301" s="64"/>
      <c r="AB301" s="64"/>
      <c r="AC301" s="64"/>
      <c r="AD301" s="64"/>
      <c r="AE301" s="64"/>
      <c r="AF301" s="64"/>
      <c r="AG301" s="64"/>
    </row>
    <row r="302">
      <c r="A302" s="64"/>
      <c r="B302" s="64"/>
      <c r="C302" s="64"/>
      <c r="D302" s="64"/>
      <c r="E302" s="65"/>
      <c r="F302" s="64"/>
      <c r="G302" s="67"/>
      <c r="H302" s="64"/>
      <c r="I302" s="64"/>
      <c r="J302" s="64"/>
      <c r="K302" s="64"/>
      <c r="L302" s="65"/>
      <c r="M302" s="64"/>
      <c r="N302" s="64"/>
      <c r="O302" s="64"/>
      <c r="P302" s="64"/>
      <c r="Q302" s="64"/>
      <c r="R302" s="64"/>
      <c r="S302" s="64"/>
      <c r="T302" s="65"/>
      <c r="U302" s="64"/>
      <c r="V302" s="64"/>
      <c r="W302" s="64"/>
      <c r="X302" s="64"/>
      <c r="Y302" s="64"/>
      <c r="Z302" s="64"/>
      <c r="AA302" s="64"/>
      <c r="AB302" s="64"/>
      <c r="AC302" s="64"/>
      <c r="AD302" s="64"/>
      <c r="AE302" s="64"/>
      <c r="AF302" s="64"/>
      <c r="AG302" s="64"/>
    </row>
    <row r="303">
      <c r="A303" s="64"/>
      <c r="B303" s="64"/>
      <c r="C303" s="64"/>
      <c r="D303" s="64"/>
      <c r="E303" s="65"/>
      <c r="F303" s="64"/>
      <c r="G303" s="67"/>
      <c r="H303" s="64"/>
      <c r="I303" s="64"/>
      <c r="J303" s="64"/>
      <c r="K303" s="64"/>
      <c r="L303" s="65"/>
      <c r="M303" s="64"/>
      <c r="N303" s="64"/>
      <c r="O303" s="64"/>
      <c r="P303" s="64"/>
      <c r="Q303" s="64"/>
      <c r="R303" s="64"/>
      <c r="S303" s="64"/>
      <c r="T303" s="65"/>
      <c r="U303" s="64"/>
      <c r="V303" s="64"/>
      <c r="W303" s="64"/>
      <c r="X303" s="64"/>
      <c r="Y303" s="64"/>
      <c r="Z303" s="64"/>
      <c r="AA303" s="64"/>
      <c r="AB303" s="64"/>
      <c r="AC303" s="64"/>
      <c r="AD303" s="64"/>
      <c r="AE303" s="64"/>
      <c r="AF303" s="64"/>
      <c r="AG303" s="64"/>
    </row>
    <row r="304">
      <c r="A304" s="64"/>
      <c r="B304" s="64"/>
      <c r="C304" s="64"/>
      <c r="D304" s="64"/>
      <c r="E304" s="65"/>
      <c r="F304" s="64"/>
      <c r="G304" s="67"/>
      <c r="H304" s="64"/>
      <c r="I304" s="64"/>
      <c r="J304" s="64"/>
      <c r="K304" s="64"/>
      <c r="L304" s="65"/>
      <c r="M304" s="64"/>
      <c r="N304" s="64"/>
      <c r="O304" s="64"/>
      <c r="P304" s="64"/>
      <c r="Q304" s="64"/>
      <c r="R304" s="64"/>
      <c r="S304" s="64"/>
      <c r="T304" s="65"/>
      <c r="U304" s="64"/>
      <c r="V304" s="64"/>
      <c r="W304" s="64"/>
      <c r="X304" s="64"/>
      <c r="Y304" s="64"/>
      <c r="Z304" s="64"/>
      <c r="AA304" s="64"/>
      <c r="AB304" s="64"/>
      <c r="AC304" s="64"/>
      <c r="AD304" s="64"/>
      <c r="AE304" s="64"/>
      <c r="AF304" s="64"/>
      <c r="AG304" s="64"/>
    </row>
    <row r="305">
      <c r="A305" s="64"/>
      <c r="B305" s="64"/>
      <c r="C305" s="64"/>
      <c r="D305" s="64"/>
      <c r="E305" s="65"/>
      <c r="F305" s="64"/>
      <c r="G305" s="67"/>
      <c r="H305" s="64"/>
      <c r="I305" s="64"/>
      <c r="J305" s="64"/>
      <c r="K305" s="64"/>
      <c r="L305" s="65"/>
      <c r="M305" s="64"/>
      <c r="N305" s="64"/>
      <c r="O305" s="64"/>
      <c r="P305" s="64"/>
      <c r="Q305" s="64"/>
      <c r="R305" s="64"/>
      <c r="S305" s="64"/>
      <c r="T305" s="65"/>
      <c r="U305" s="64"/>
      <c r="V305" s="64"/>
      <c r="W305" s="64"/>
      <c r="X305" s="64"/>
      <c r="Y305" s="64"/>
      <c r="Z305" s="64"/>
      <c r="AA305" s="64"/>
      <c r="AB305" s="64"/>
      <c r="AC305" s="64"/>
      <c r="AD305" s="64"/>
      <c r="AE305" s="64"/>
      <c r="AF305" s="64"/>
      <c r="AG305" s="64"/>
    </row>
    <row r="306">
      <c r="A306" s="64"/>
      <c r="B306" s="64"/>
      <c r="C306" s="64"/>
      <c r="D306" s="64"/>
      <c r="E306" s="65"/>
      <c r="F306" s="64"/>
      <c r="G306" s="67"/>
      <c r="H306" s="64"/>
      <c r="I306" s="64"/>
      <c r="J306" s="64"/>
      <c r="K306" s="64"/>
      <c r="L306" s="65"/>
      <c r="M306" s="64"/>
      <c r="N306" s="64"/>
      <c r="O306" s="64"/>
      <c r="P306" s="64"/>
      <c r="Q306" s="64"/>
      <c r="R306" s="64"/>
      <c r="S306" s="64"/>
      <c r="T306" s="65"/>
      <c r="U306" s="64"/>
      <c r="V306" s="64"/>
      <c r="W306" s="64"/>
      <c r="X306" s="64"/>
      <c r="Y306" s="64"/>
      <c r="Z306" s="64"/>
      <c r="AA306" s="64"/>
      <c r="AB306" s="64"/>
      <c r="AC306" s="64"/>
      <c r="AD306" s="64"/>
      <c r="AE306" s="64"/>
      <c r="AF306" s="64"/>
      <c r="AG306" s="64"/>
    </row>
    <row r="307">
      <c r="A307" s="64"/>
      <c r="B307" s="64"/>
      <c r="C307" s="64"/>
      <c r="D307" s="64"/>
      <c r="E307" s="65"/>
      <c r="F307" s="64"/>
      <c r="G307" s="67"/>
      <c r="H307" s="64"/>
      <c r="I307" s="64"/>
      <c r="J307" s="64"/>
      <c r="K307" s="64"/>
      <c r="L307" s="65"/>
      <c r="M307" s="64"/>
      <c r="N307" s="64"/>
      <c r="O307" s="64"/>
      <c r="P307" s="64"/>
      <c r="Q307" s="64"/>
      <c r="R307" s="64"/>
      <c r="S307" s="64"/>
      <c r="T307" s="65"/>
      <c r="U307" s="64"/>
      <c r="V307" s="64"/>
      <c r="W307" s="64"/>
      <c r="X307" s="64"/>
      <c r="Y307" s="64"/>
      <c r="Z307" s="64"/>
      <c r="AA307" s="64"/>
      <c r="AB307" s="64"/>
      <c r="AC307" s="64"/>
      <c r="AD307" s="64"/>
      <c r="AE307" s="64"/>
      <c r="AF307" s="64"/>
      <c r="AG307" s="64"/>
    </row>
    <row r="308">
      <c r="A308" s="64"/>
      <c r="B308" s="64"/>
      <c r="C308" s="64"/>
      <c r="D308" s="64"/>
      <c r="E308" s="65"/>
      <c r="F308" s="64"/>
      <c r="G308" s="67"/>
      <c r="H308" s="64"/>
      <c r="I308" s="64"/>
      <c r="J308" s="64"/>
      <c r="K308" s="64"/>
      <c r="L308" s="65"/>
      <c r="M308" s="64"/>
      <c r="N308" s="64"/>
      <c r="O308" s="64"/>
      <c r="P308" s="64"/>
      <c r="Q308" s="64"/>
      <c r="R308" s="64"/>
      <c r="S308" s="64"/>
      <c r="T308" s="65"/>
      <c r="U308" s="64"/>
      <c r="V308" s="64"/>
      <c r="W308" s="64"/>
      <c r="X308" s="64"/>
      <c r="Y308" s="64"/>
      <c r="Z308" s="64"/>
      <c r="AA308" s="64"/>
      <c r="AB308" s="64"/>
      <c r="AC308" s="64"/>
      <c r="AD308" s="64"/>
      <c r="AE308" s="64"/>
      <c r="AF308" s="64"/>
      <c r="AG308" s="64"/>
    </row>
    <row r="309">
      <c r="A309" s="64"/>
      <c r="B309" s="64"/>
      <c r="C309" s="64"/>
      <c r="D309" s="64"/>
      <c r="E309" s="65"/>
      <c r="F309" s="64"/>
      <c r="G309" s="67"/>
      <c r="H309" s="64"/>
      <c r="I309" s="64"/>
      <c r="J309" s="64"/>
      <c r="K309" s="64"/>
      <c r="L309" s="65"/>
      <c r="M309" s="64"/>
      <c r="N309" s="64"/>
      <c r="O309" s="64"/>
      <c r="P309" s="64"/>
      <c r="Q309" s="64"/>
      <c r="R309" s="64"/>
      <c r="S309" s="64"/>
      <c r="T309" s="65"/>
      <c r="U309" s="64"/>
      <c r="V309" s="64"/>
      <c r="W309" s="64"/>
      <c r="X309" s="64"/>
      <c r="Y309" s="64"/>
      <c r="Z309" s="64"/>
      <c r="AA309" s="64"/>
      <c r="AB309" s="64"/>
      <c r="AC309" s="64"/>
      <c r="AD309" s="64"/>
      <c r="AE309" s="64"/>
      <c r="AF309" s="64"/>
      <c r="AG309" s="64"/>
    </row>
    <row r="310">
      <c r="A310" s="64"/>
      <c r="B310" s="64"/>
      <c r="C310" s="64"/>
      <c r="D310" s="64"/>
      <c r="E310" s="65"/>
      <c r="F310" s="64"/>
      <c r="G310" s="67"/>
      <c r="H310" s="64"/>
      <c r="I310" s="64"/>
      <c r="J310" s="64"/>
      <c r="K310" s="64"/>
      <c r="L310" s="65"/>
      <c r="M310" s="64"/>
      <c r="N310" s="64"/>
      <c r="O310" s="64"/>
      <c r="P310" s="64"/>
      <c r="Q310" s="64"/>
      <c r="R310" s="64"/>
      <c r="S310" s="64"/>
      <c r="T310" s="65"/>
      <c r="U310" s="64"/>
      <c r="V310" s="64"/>
      <c r="W310" s="64"/>
      <c r="X310" s="64"/>
      <c r="Y310" s="64"/>
      <c r="Z310" s="64"/>
      <c r="AA310" s="64"/>
      <c r="AB310" s="64"/>
      <c r="AC310" s="64"/>
      <c r="AD310" s="64"/>
      <c r="AE310" s="64"/>
      <c r="AF310" s="64"/>
      <c r="AG310" s="64"/>
    </row>
    <row r="311">
      <c r="A311" s="64"/>
      <c r="B311" s="64"/>
      <c r="C311" s="64"/>
      <c r="D311" s="64"/>
      <c r="E311" s="65"/>
      <c r="F311" s="64"/>
      <c r="G311" s="67"/>
      <c r="H311" s="64"/>
      <c r="I311" s="64"/>
      <c r="J311" s="64"/>
      <c r="K311" s="64"/>
      <c r="L311" s="65"/>
      <c r="M311" s="64"/>
      <c r="N311" s="64"/>
      <c r="O311" s="64"/>
      <c r="P311" s="64"/>
      <c r="Q311" s="64"/>
      <c r="R311" s="64"/>
      <c r="S311" s="64"/>
      <c r="T311" s="65"/>
      <c r="U311" s="64"/>
      <c r="V311" s="64"/>
      <c r="W311" s="64"/>
      <c r="X311" s="64"/>
      <c r="Y311" s="64"/>
      <c r="Z311" s="64"/>
      <c r="AA311" s="64"/>
      <c r="AB311" s="64"/>
      <c r="AC311" s="64"/>
      <c r="AD311" s="64"/>
      <c r="AE311" s="64"/>
      <c r="AF311" s="64"/>
      <c r="AG311" s="64"/>
    </row>
    <row r="312">
      <c r="A312" s="64"/>
      <c r="B312" s="64"/>
      <c r="C312" s="64"/>
      <c r="D312" s="64"/>
      <c r="E312" s="65"/>
      <c r="F312" s="64"/>
      <c r="G312" s="67"/>
      <c r="H312" s="64"/>
      <c r="I312" s="64"/>
      <c r="J312" s="64"/>
      <c r="K312" s="64"/>
      <c r="L312" s="65"/>
      <c r="M312" s="64"/>
      <c r="N312" s="64"/>
      <c r="O312" s="64"/>
      <c r="P312" s="64"/>
      <c r="Q312" s="64"/>
      <c r="R312" s="64"/>
      <c r="S312" s="64"/>
      <c r="T312" s="65"/>
      <c r="U312" s="64"/>
      <c r="V312" s="64"/>
      <c r="W312" s="64"/>
      <c r="X312" s="64"/>
      <c r="Y312" s="64"/>
      <c r="Z312" s="64"/>
      <c r="AA312" s="64"/>
      <c r="AB312" s="64"/>
      <c r="AC312" s="64"/>
      <c r="AD312" s="64"/>
      <c r="AE312" s="64"/>
      <c r="AF312" s="64"/>
      <c r="AG312" s="64"/>
    </row>
    <row r="313">
      <c r="A313" s="64"/>
      <c r="B313" s="64"/>
      <c r="C313" s="64"/>
      <c r="D313" s="64"/>
      <c r="E313" s="65"/>
      <c r="F313" s="64"/>
      <c r="G313" s="67"/>
      <c r="H313" s="64"/>
      <c r="I313" s="64"/>
      <c r="J313" s="64"/>
      <c r="K313" s="64"/>
      <c r="L313" s="65"/>
      <c r="M313" s="64"/>
      <c r="N313" s="64"/>
      <c r="O313" s="64"/>
      <c r="P313" s="64"/>
      <c r="Q313" s="64"/>
      <c r="R313" s="64"/>
      <c r="S313" s="64"/>
      <c r="T313" s="65"/>
      <c r="U313" s="64"/>
      <c r="V313" s="64"/>
      <c r="W313" s="64"/>
      <c r="X313" s="64"/>
      <c r="Y313" s="64"/>
      <c r="Z313" s="64"/>
      <c r="AA313" s="64"/>
      <c r="AB313" s="64"/>
      <c r="AC313" s="64"/>
      <c r="AD313" s="64"/>
      <c r="AE313" s="64"/>
      <c r="AF313" s="64"/>
      <c r="AG313" s="64"/>
    </row>
    <row r="314">
      <c r="A314" s="64"/>
      <c r="B314" s="64"/>
      <c r="C314" s="64"/>
      <c r="D314" s="64"/>
      <c r="E314" s="65"/>
      <c r="F314" s="64"/>
      <c r="G314" s="67"/>
      <c r="H314" s="64"/>
      <c r="I314" s="64"/>
      <c r="J314" s="64"/>
      <c r="K314" s="64"/>
      <c r="L314" s="65"/>
      <c r="M314" s="64"/>
      <c r="N314" s="64"/>
      <c r="O314" s="64"/>
      <c r="P314" s="64"/>
      <c r="Q314" s="64"/>
      <c r="R314" s="64"/>
      <c r="S314" s="64"/>
      <c r="T314" s="65"/>
      <c r="U314" s="64"/>
      <c r="V314" s="64"/>
      <c r="W314" s="64"/>
      <c r="X314" s="64"/>
      <c r="Y314" s="64"/>
      <c r="Z314" s="64"/>
      <c r="AA314" s="64"/>
      <c r="AB314" s="64"/>
      <c r="AC314" s="64"/>
      <c r="AD314" s="64"/>
      <c r="AE314" s="64"/>
      <c r="AF314" s="64"/>
      <c r="AG314" s="64"/>
    </row>
    <row r="315">
      <c r="A315" s="64"/>
      <c r="B315" s="64"/>
      <c r="C315" s="64"/>
      <c r="D315" s="64"/>
      <c r="E315" s="65"/>
      <c r="F315" s="64"/>
      <c r="G315" s="67"/>
      <c r="H315" s="64"/>
      <c r="I315" s="64"/>
      <c r="J315" s="64"/>
      <c r="K315" s="64"/>
      <c r="L315" s="65"/>
      <c r="M315" s="64"/>
      <c r="N315" s="64"/>
      <c r="O315" s="64"/>
      <c r="P315" s="64"/>
      <c r="Q315" s="64"/>
      <c r="R315" s="64"/>
      <c r="S315" s="64"/>
      <c r="T315" s="65"/>
      <c r="U315" s="64"/>
      <c r="V315" s="64"/>
      <c r="W315" s="64"/>
      <c r="X315" s="64"/>
      <c r="Y315" s="64"/>
      <c r="Z315" s="64"/>
      <c r="AA315" s="64"/>
      <c r="AB315" s="64"/>
      <c r="AC315" s="64"/>
      <c r="AD315" s="64"/>
      <c r="AE315" s="64"/>
      <c r="AF315" s="64"/>
      <c r="AG315" s="64"/>
    </row>
    <row r="316">
      <c r="A316" s="64"/>
      <c r="B316" s="64"/>
      <c r="C316" s="64"/>
      <c r="D316" s="64"/>
      <c r="E316" s="65"/>
      <c r="F316" s="64"/>
      <c r="G316" s="67"/>
      <c r="H316" s="64"/>
      <c r="I316" s="64"/>
      <c r="J316" s="64"/>
      <c r="K316" s="64"/>
      <c r="L316" s="65"/>
      <c r="M316" s="64"/>
      <c r="N316" s="64"/>
      <c r="O316" s="64"/>
      <c r="P316" s="64"/>
      <c r="Q316" s="64"/>
      <c r="R316" s="64"/>
      <c r="S316" s="64"/>
      <c r="T316" s="65"/>
      <c r="U316" s="64"/>
      <c r="V316" s="64"/>
      <c r="W316" s="64"/>
      <c r="X316" s="64"/>
      <c r="Y316" s="64"/>
      <c r="Z316" s="64"/>
      <c r="AA316" s="64"/>
      <c r="AB316" s="64"/>
      <c r="AC316" s="64"/>
      <c r="AD316" s="64"/>
      <c r="AE316" s="64"/>
      <c r="AF316" s="64"/>
      <c r="AG316" s="64"/>
    </row>
    <row r="317">
      <c r="A317" s="64"/>
      <c r="B317" s="64"/>
      <c r="C317" s="64"/>
      <c r="D317" s="64"/>
      <c r="E317" s="65"/>
      <c r="F317" s="64"/>
      <c r="G317" s="67"/>
      <c r="H317" s="64"/>
      <c r="I317" s="64"/>
      <c r="J317" s="64"/>
      <c r="K317" s="64"/>
      <c r="L317" s="65"/>
      <c r="M317" s="64"/>
      <c r="N317" s="64"/>
      <c r="O317" s="64"/>
      <c r="P317" s="64"/>
      <c r="Q317" s="64"/>
      <c r="R317" s="64"/>
      <c r="S317" s="64"/>
      <c r="T317" s="65"/>
      <c r="U317" s="64"/>
      <c r="V317" s="64"/>
      <c r="W317" s="64"/>
      <c r="X317" s="64"/>
      <c r="Y317" s="64"/>
      <c r="Z317" s="64"/>
      <c r="AA317" s="64"/>
      <c r="AB317" s="64"/>
      <c r="AC317" s="64"/>
      <c r="AD317" s="64"/>
      <c r="AE317" s="64"/>
      <c r="AF317" s="64"/>
      <c r="AG317" s="64"/>
    </row>
    <row r="318">
      <c r="A318" s="64"/>
      <c r="B318" s="64"/>
      <c r="C318" s="64"/>
      <c r="D318" s="64"/>
      <c r="E318" s="65"/>
      <c r="F318" s="64"/>
      <c r="G318" s="67"/>
      <c r="H318" s="64"/>
      <c r="I318" s="64"/>
      <c r="J318" s="64"/>
      <c r="K318" s="64"/>
      <c r="L318" s="65"/>
      <c r="M318" s="64"/>
      <c r="N318" s="64"/>
      <c r="O318" s="64"/>
      <c r="P318" s="64"/>
      <c r="Q318" s="64"/>
      <c r="R318" s="64"/>
      <c r="S318" s="64"/>
      <c r="T318" s="65"/>
      <c r="U318" s="64"/>
      <c r="V318" s="64"/>
      <c r="W318" s="64"/>
      <c r="X318" s="64"/>
      <c r="Y318" s="64"/>
      <c r="Z318" s="64"/>
      <c r="AA318" s="64"/>
      <c r="AB318" s="64"/>
      <c r="AC318" s="64"/>
      <c r="AD318" s="64"/>
      <c r="AE318" s="64"/>
      <c r="AF318" s="64"/>
      <c r="AG318" s="64"/>
    </row>
    <row r="319">
      <c r="A319" s="64"/>
      <c r="B319" s="64"/>
      <c r="C319" s="64"/>
      <c r="D319" s="64"/>
      <c r="E319" s="65"/>
      <c r="F319" s="64"/>
      <c r="G319" s="67"/>
      <c r="H319" s="64"/>
      <c r="I319" s="64"/>
      <c r="J319" s="64"/>
      <c r="K319" s="64"/>
      <c r="L319" s="65"/>
      <c r="M319" s="64"/>
      <c r="N319" s="64"/>
      <c r="O319" s="64"/>
      <c r="P319" s="64"/>
      <c r="Q319" s="64"/>
      <c r="R319" s="64"/>
      <c r="S319" s="64"/>
      <c r="T319" s="65"/>
      <c r="U319" s="64"/>
      <c r="V319" s="64"/>
      <c r="W319" s="64"/>
      <c r="X319" s="64"/>
      <c r="Y319" s="64"/>
      <c r="Z319" s="64"/>
      <c r="AA319" s="64"/>
      <c r="AB319" s="64"/>
      <c r="AC319" s="64"/>
      <c r="AD319" s="64"/>
      <c r="AE319" s="64"/>
      <c r="AF319" s="64"/>
      <c r="AG319" s="64"/>
    </row>
    <row r="320">
      <c r="A320" s="64"/>
      <c r="B320" s="64"/>
      <c r="C320" s="64"/>
      <c r="D320" s="64"/>
      <c r="E320" s="65"/>
      <c r="F320" s="64"/>
      <c r="G320" s="67"/>
      <c r="H320" s="64"/>
      <c r="I320" s="64"/>
      <c r="J320" s="64"/>
      <c r="K320" s="64"/>
      <c r="L320" s="65"/>
      <c r="M320" s="64"/>
      <c r="N320" s="64"/>
      <c r="O320" s="64"/>
      <c r="P320" s="64"/>
      <c r="Q320" s="64"/>
      <c r="R320" s="64"/>
      <c r="S320" s="64"/>
      <c r="T320" s="65"/>
      <c r="U320" s="64"/>
      <c r="V320" s="64"/>
      <c r="W320" s="64"/>
      <c r="X320" s="64"/>
      <c r="Y320" s="64"/>
      <c r="Z320" s="64"/>
      <c r="AA320" s="64"/>
      <c r="AB320" s="64"/>
      <c r="AC320" s="64"/>
      <c r="AD320" s="64"/>
      <c r="AE320" s="64"/>
      <c r="AF320" s="64"/>
      <c r="AG320" s="64"/>
    </row>
    <row r="321">
      <c r="A321" s="64"/>
      <c r="B321" s="64"/>
      <c r="C321" s="64"/>
      <c r="D321" s="64"/>
      <c r="E321" s="65"/>
      <c r="F321" s="64"/>
      <c r="G321" s="67"/>
      <c r="H321" s="64"/>
      <c r="I321" s="64"/>
      <c r="J321" s="64"/>
      <c r="K321" s="64"/>
      <c r="L321" s="65"/>
      <c r="M321" s="64"/>
      <c r="N321" s="64"/>
      <c r="O321" s="64"/>
      <c r="P321" s="64"/>
      <c r="Q321" s="64"/>
      <c r="R321" s="64"/>
      <c r="S321" s="64"/>
      <c r="T321" s="65"/>
      <c r="U321" s="64"/>
      <c r="V321" s="64"/>
      <c r="W321" s="64"/>
      <c r="X321" s="64"/>
      <c r="Y321" s="64"/>
      <c r="Z321" s="64"/>
      <c r="AA321" s="64"/>
      <c r="AB321" s="64"/>
      <c r="AC321" s="64"/>
      <c r="AD321" s="64"/>
      <c r="AE321" s="64"/>
      <c r="AF321" s="64"/>
      <c r="AG321" s="64"/>
    </row>
    <row r="322">
      <c r="A322" s="64"/>
      <c r="B322" s="64"/>
      <c r="C322" s="64"/>
      <c r="D322" s="64"/>
      <c r="E322" s="65"/>
      <c r="F322" s="64"/>
      <c r="G322" s="67"/>
      <c r="H322" s="64"/>
      <c r="I322" s="64"/>
      <c r="J322" s="64"/>
      <c r="K322" s="64"/>
      <c r="L322" s="65"/>
      <c r="M322" s="64"/>
      <c r="N322" s="64"/>
      <c r="O322" s="64"/>
      <c r="P322" s="64"/>
      <c r="Q322" s="64"/>
      <c r="R322" s="64"/>
      <c r="S322" s="64"/>
      <c r="T322" s="65"/>
      <c r="U322" s="64"/>
      <c r="V322" s="64"/>
      <c r="W322" s="64"/>
      <c r="X322" s="64"/>
      <c r="Y322" s="64"/>
      <c r="Z322" s="64"/>
      <c r="AA322" s="64"/>
      <c r="AB322" s="64"/>
      <c r="AC322" s="64"/>
      <c r="AD322" s="64"/>
      <c r="AE322" s="64"/>
      <c r="AF322" s="64"/>
      <c r="AG322" s="64"/>
    </row>
    <row r="323">
      <c r="A323" s="64"/>
      <c r="B323" s="64"/>
      <c r="C323" s="64"/>
      <c r="D323" s="64"/>
      <c r="E323" s="65"/>
      <c r="F323" s="64"/>
      <c r="G323" s="67"/>
      <c r="H323" s="64"/>
      <c r="I323" s="64"/>
      <c r="J323" s="64"/>
      <c r="K323" s="64"/>
      <c r="L323" s="65"/>
      <c r="M323" s="64"/>
      <c r="N323" s="64"/>
      <c r="O323" s="64"/>
      <c r="P323" s="64"/>
      <c r="Q323" s="64"/>
      <c r="R323" s="64"/>
      <c r="S323" s="64"/>
      <c r="T323" s="65"/>
      <c r="U323" s="64"/>
      <c r="V323" s="64"/>
      <c r="W323" s="64"/>
      <c r="X323" s="64"/>
      <c r="Y323" s="64"/>
      <c r="Z323" s="64"/>
      <c r="AA323" s="64"/>
      <c r="AB323" s="64"/>
      <c r="AC323" s="64"/>
      <c r="AD323" s="64"/>
      <c r="AE323" s="64"/>
      <c r="AF323" s="64"/>
      <c r="AG323" s="64"/>
    </row>
    <row r="324">
      <c r="A324" s="64"/>
      <c r="B324" s="64"/>
      <c r="C324" s="64"/>
      <c r="D324" s="64"/>
      <c r="E324" s="65"/>
      <c r="F324" s="64"/>
      <c r="G324" s="67"/>
      <c r="H324" s="64"/>
      <c r="I324" s="64"/>
      <c r="J324" s="64"/>
      <c r="K324" s="64"/>
      <c r="L324" s="65"/>
      <c r="M324" s="64"/>
      <c r="N324" s="64"/>
      <c r="O324" s="64"/>
      <c r="P324" s="64"/>
      <c r="Q324" s="64"/>
      <c r="R324" s="64"/>
      <c r="S324" s="64"/>
      <c r="T324" s="65"/>
      <c r="U324" s="64"/>
      <c r="V324" s="64"/>
      <c r="W324" s="64"/>
      <c r="X324" s="64"/>
      <c r="Y324" s="64"/>
      <c r="Z324" s="64"/>
      <c r="AA324" s="64"/>
      <c r="AB324" s="64"/>
      <c r="AC324" s="64"/>
      <c r="AD324" s="64"/>
      <c r="AE324" s="64"/>
      <c r="AF324" s="64"/>
      <c r="AG324" s="64"/>
    </row>
    <row r="325">
      <c r="A325" s="64"/>
      <c r="B325" s="64"/>
      <c r="C325" s="64"/>
      <c r="D325" s="64"/>
      <c r="E325" s="65"/>
      <c r="F325" s="64"/>
      <c r="G325" s="67"/>
      <c r="H325" s="64"/>
      <c r="I325" s="64"/>
      <c r="J325" s="64"/>
      <c r="K325" s="64"/>
      <c r="L325" s="65"/>
      <c r="M325" s="64"/>
      <c r="N325" s="64"/>
      <c r="O325" s="64"/>
      <c r="P325" s="64"/>
      <c r="Q325" s="64"/>
      <c r="R325" s="64"/>
      <c r="S325" s="64"/>
      <c r="T325" s="65"/>
      <c r="U325" s="64"/>
      <c r="V325" s="64"/>
      <c r="W325" s="64"/>
      <c r="X325" s="64"/>
      <c r="Y325" s="64"/>
      <c r="Z325" s="64"/>
      <c r="AA325" s="64"/>
      <c r="AB325" s="64"/>
      <c r="AC325" s="64"/>
      <c r="AD325" s="64"/>
      <c r="AE325" s="64"/>
      <c r="AF325" s="64"/>
      <c r="AG325" s="64"/>
    </row>
    <row r="326">
      <c r="A326" s="64"/>
      <c r="B326" s="64"/>
      <c r="C326" s="64"/>
      <c r="D326" s="64"/>
      <c r="E326" s="65"/>
      <c r="F326" s="64"/>
      <c r="G326" s="67"/>
      <c r="H326" s="64"/>
      <c r="I326" s="64"/>
      <c r="J326" s="64"/>
      <c r="K326" s="64"/>
      <c r="L326" s="65"/>
      <c r="M326" s="64"/>
      <c r="N326" s="64"/>
      <c r="O326" s="64"/>
      <c r="P326" s="64"/>
      <c r="Q326" s="64"/>
      <c r="R326" s="64"/>
      <c r="S326" s="64"/>
      <c r="T326" s="65"/>
      <c r="U326" s="64"/>
      <c r="V326" s="64"/>
      <c r="W326" s="64"/>
      <c r="X326" s="64"/>
      <c r="Y326" s="64"/>
      <c r="Z326" s="64"/>
      <c r="AA326" s="64"/>
      <c r="AB326" s="64"/>
      <c r="AC326" s="64"/>
      <c r="AD326" s="64"/>
      <c r="AE326" s="64"/>
      <c r="AF326" s="64"/>
      <c r="AG326" s="64"/>
    </row>
    <row r="327">
      <c r="A327" s="64"/>
      <c r="B327" s="64"/>
      <c r="C327" s="64"/>
      <c r="D327" s="64"/>
      <c r="E327" s="65"/>
      <c r="F327" s="64"/>
      <c r="G327" s="67"/>
      <c r="H327" s="64"/>
      <c r="I327" s="64"/>
      <c r="J327" s="64"/>
      <c r="K327" s="64"/>
      <c r="L327" s="65"/>
      <c r="M327" s="64"/>
      <c r="N327" s="64"/>
      <c r="O327" s="64"/>
      <c r="P327" s="64"/>
      <c r="Q327" s="64"/>
      <c r="R327" s="64"/>
      <c r="S327" s="64"/>
      <c r="T327" s="65"/>
      <c r="U327" s="64"/>
      <c r="V327" s="64"/>
      <c r="W327" s="64"/>
      <c r="X327" s="64"/>
      <c r="Y327" s="64"/>
      <c r="Z327" s="64"/>
      <c r="AA327" s="64"/>
      <c r="AB327" s="64"/>
      <c r="AC327" s="64"/>
      <c r="AD327" s="64"/>
      <c r="AE327" s="64"/>
      <c r="AF327" s="64"/>
      <c r="AG327" s="64"/>
    </row>
    <row r="328">
      <c r="A328" s="64"/>
      <c r="B328" s="64"/>
      <c r="C328" s="64"/>
      <c r="D328" s="64"/>
      <c r="E328" s="65"/>
      <c r="F328" s="64"/>
      <c r="G328" s="67"/>
      <c r="H328" s="64"/>
      <c r="I328" s="64"/>
      <c r="J328" s="64"/>
      <c r="K328" s="64"/>
      <c r="L328" s="65"/>
      <c r="M328" s="64"/>
      <c r="N328" s="64"/>
      <c r="O328" s="64"/>
      <c r="P328" s="64"/>
      <c r="Q328" s="64"/>
      <c r="R328" s="64"/>
      <c r="S328" s="64"/>
      <c r="T328" s="65"/>
      <c r="U328" s="64"/>
      <c r="V328" s="64"/>
      <c r="W328" s="64"/>
      <c r="X328" s="64"/>
      <c r="Y328" s="64"/>
      <c r="Z328" s="64"/>
      <c r="AA328" s="64"/>
      <c r="AB328" s="64"/>
      <c r="AC328" s="64"/>
      <c r="AD328" s="64"/>
      <c r="AE328" s="64"/>
      <c r="AF328" s="64"/>
      <c r="AG328" s="64"/>
    </row>
    <row r="329">
      <c r="A329" s="64"/>
      <c r="B329" s="64"/>
      <c r="C329" s="64"/>
      <c r="D329" s="64"/>
      <c r="E329" s="65"/>
      <c r="F329" s="64"/>
      <c r="G329" s="67"/>
      <c r="H329" s="64"/>
      <c r="I329" s="64"/>
      <c r="J329" s="64"/>
      <c r="K329" s="64"/>
      <c r="L329" s="65"/>
      <c r="M329" s="64"/>
      <c r="N329" s="64"/>
      <c r="O329" s="64"/>
      <c r="P329" s="64"/>
      <c r="Q329" s="64"/>
      <c r="R329" s="64"/>
      <c r="S329" s="64"/>
      <c r="T329" s="65"/>
      <c r="U329" s="64"/>
      <c r="V329" s="64"/>
      <c r="W329" s="64"/>
      <c r="X329" s="64"/>
      <c r="Y329" s="64"/>
      <c r="Z329" s="64"/>
      <c r="AA329" s="64"/>
      <c r="AB329" s="64"/>
      <c r="AC329" s="64"/>
      <c r="AD329" s="64"/>
      <c r="AE329" s="64"/>
      <c r="AF329" s="64"/>
      <c r="AG329" s="64"/>
    </row>
    <row r="330">
      <c r="A330" s="64"/>
      <c r="B330" s="64"/>
      <c r="C330" s="64"/>
      <c r="D330" s="64"/>
      <c r="E330" s="65"/>
      <c r="F330" s="64"/>
      <c r="G330" s="67"/>
      <c r="H330" s="64"/>
      <c r="I330" s="64"/>
      <c r="J330" s="64"/>
      <c r="K330" s="64"/>
      <c r="L330" s="65"/>
      <c r="M330" s="64"/>
      <c r="N330" s="64"/>
      <c r="O330" s="64"/>
      <c r="P330" s="64"/>
      <c r="Q330" s="64"/>
      <c r="R330" s="64"/>
      <c r="S330" s="64"/>
      <c r="T330" s="65"/>
      <c r="U330" s="64"/>
      <c r="V330" s="64"/>
      <c r="W330" s="64"/>
      <c r="X330" s="64"/>
      <c r="Y330" s="64"/>
      <c r="Z330" s="64"/>
      <c r="AA330" s="64"/>
      <c r="AB330" s="64"/>
      <c r="AC330" s="64"/>
      <c r="AD330" s="64"/>
      <c r="AE330" s="64"/>
      <c r="AF330" s="64"/>
      <c r="AG330" s="64"/>
    </row>
    <row r="331">
      <c r="A331" s="64"/>
      <c r="B331" s="64"/>
      <c r="C331" s="64"/>
      <c r="D331" s="64"/>
      <c r="E331" s="65"/>
      <c r="F331" s="64"/>
      <c r="G331" s="67"/>
      <c r="H331" s="64"/>
      <c r="I331" s="64"/>
      <c r="J331" s="64"/>
      <c r="K331" s="64"/>
      <c r="L331" s="65"/>
      <c r="M331" s="64"/>
      <c r="N331" s="64"/>
      <c r="O331" s="64"/>
      <c r="P331" s="64"/>
      <c r="Q331" s="64"/>
      <c r="R331" s="64"/>
      <c r="S331" s="64"/>
      <c r="T331" s="65"/>
      <c r="U331" s="64"/>
      <c r="V331" s="64"/>
      <c r="W331" s="64"/>
      <c r="X331" s="64"/>
      <c r="Y331" s="64"/>
      <c r="Z331" s="64"/>
      <c r="AA331" s="64"/>
      <c r="AB331" s="64"/>
      <c r="AC331" s="64"/>
      <c r="AD331" s="64"/>
      <c r="AE331" s="64"/>
      <c r="AF331" s="64"/>
      <c r="AG331" s="64"/>
    </row>
    <row r="332">
      <c r="A332" s="64"/>
      <c r="B332" s="64"/>
      <c r="C332" s="64"/>
      <c r="D332" s="64"/>
      <c r="E332" s="65"/>
      <c r="F332" s="64"/>
      <c r="G332" s="67"/>
      <c r="H332" s="64"/>
      <c r="I332" s="64"/>
      <c r="J332" s="64"/>
      <c r="K332" s="64"/>
      <c r="L332" s="65"/>
      <c r="M332" s="64"/>
      <c r="N332" s="64"/>
      <c r="O332" s="64"/>
      <c r="P332" s="64"/>
      <c r="Q332" s="64"/>
      <c r="R332" s="64"/>
      <c r="S332" s="64"/>
      <c r="T332" s="65"/>
      <c r="U332" s="64"/>
      <c r="V332" s="64"/>
      <c r="W332" s="64"/>
      <c r="X332" s="64"/>
      <c r="Y332" s="64"/>
      <c r="Z332" s="64"/>
      <c r="AA332" s="64"/>
      <c r="AB332" s="64"/>
      <c r="AC332" s="64"/>
      <c r="AD332" s="64"/>
      <c r="AE332" s="64"/>
      <c r="AF332" s="64"/>
      <c r="AG332" s="64"/>
    </row>
    <row r="333">
      <c r="A333" s="64"/>
      <c r="B333" s="64"/>
      <c r="C333" s="64"/>
      <c r="D333" s="64"/>
      <c r="E333" s="65"/>
      <c r="F333" s="64"/>
      <c r="G333" s="67"/>
      <c r="H333" s="64"/>
      <c r="I333" s="64"/>
      <c r="J333" s="64"/>
      <c r="K333" s="64"/>
      <c r="L333" s="65"/>
      <c r="M333" s="64"/>
      <c r="N333" s="64"/>
      <c r="O333" s="64"/>
      <c r="P333" s="64"/>
      <c r="Q333" s="64"/>
      <c r="R333" s="64"/>
      <c r="S333" s="64"/>
      <c r="T333" s="65"/>
      <c r="U333" s="64"/>
      <c r="V333" s="64"/>
      <c r="W333" s="64"/>
      <c r="X333" s="64"/>
      <c r="Y333" s="64"/>
      <c r="Z333" s="64"/>
      <c r="AA333" s="64"/>
      <c r="AB333" s="64"/>
      <c r="AC333" s="64"/>
      <c r="AD333" s="64"/>
      <c r="AE333" s="64"/>
      <c r="AF333" s="64"/>
      <c r="AG333" s="64"/>
    </row>
    <row r="334">
      <c r="A334" s="64"/>
      <c r="B334" s="64"/>
      <c r="C334" s="64"/>
      <c r="D334" s="64"/>
      <c r="E334" s="65"/>
      <c r="F334" s="64"/>
      <c r="G334" s="67"/>
      <c r="H334" s="64"/>
      <c r="I334" s="64"/>
      <c r="J334" s="64"/>
      <c r="K334" s="64"/>
      <c r="L334" s="65"/>
      <c r="M334" s="64"/>
      <c r="N334" s="64"/>
      <c r="O334" s="64"/>
      <c r="P334" s="64"/>
      <c r="Q334" s="64"/>
      <c r="R334" s="64"/>
      <c r="S334" s="64"/>
      <c r="T334" s="65"/>
      <c r="U334" s="64"/>
      <c r="V334" s="64"/>
      <c r="W334" s="64"/>
      <c r="X334" s="64"/>
      <c r="Y334" s="64"/>
      <c r="Z334" s="64"/>
      <c r="AA334" s="64"/>
      <c r="AB334" s="64"/>
      <c r="AC334" s="64"/>
      <c r="AD334" s="64"/>
      <c r="AE334" s="64"/>
      <c r="AF334" s="64"/>
      <c r="AG334" s="64"/>
    </row>
    <row r="335">
      <c r="A335" s="64"/>
      <c r="B335" s="64"/>
      <c r="C335" s="64"/>
      <c r="D335" s="64"/>
      <c r="E335" s="65"/>
      <c r="F335" s="64"/>
      <c r="G335" s="67"/>
      <c r="H335" s="64"/>
      <c r="I335" s="64"/>
      <c r="J335" s="64"/>
      <c r="K335" s="64"/>
      <c r="L335" s="65"/>
      <c r="M335" s="64"/>
      <c r="N335" s="64"/>
      <c r="O335" s="64"/>
      <c r="P335" s="64"/>
      <c r="Q335" s="64"/>
      <c r="R335" s="64"/>
      <c r="S335" s="64"/>
      <c r="T335" s="65"/>
      <c r="U335" s="64"/>
      <c r="V335" s="64"/>
      <c r="W335" s="64"/>
      <c r="X335" s="64"/>
      <c r="Y335" s="64"/>
      <c r="Z335" s="64"/>
      <c r="AA335" s="64"/>
      <c r="AB335" s="64"/>
      <c r="AC335" s="64"/>
      <c r="AD335" s="64"/>
      <c r="AE335" s="64"/>
      <c r="AF335" s="64"/>
      <c r="AG335" s="64"/>
    </row>
    <row r="336">
      <c r="A336" s="64"/>
      <c r="B336" s="64"/>
      <c r="C336" s="64"/>
      <c r="D336" s="64"/>
      <c r="E336" s="65"/>
      <c r="F336" s="64"/>
      <c r="G336" s="67"/>
      <c r="H336" s="64"/>
      <c r="I336" s="64"/>
      <c r="J336" s="64"/>
      <c r="K336" s="64"/>
      <c r="L336" s="65"/>
      <c r="M336" s="64"/>
      <c r="N336" s="64"/>
      <c r="O336" s="64"/>
      <c r="P336" s="64"/>
      <c r="Q336" s="64"/>
      <c r="R336" s="64"/>
      <c r="S336" s="64"/>
      <c r="T336" s="65"/>
      <c r="U336" s="64"/>
      <c r="V336" s="64"/>
      <c r="W336" s="64"/>
      <c r="X336" s="64"/>
      <c r="Y336" s="64"/>
      <c r="Z336" s="64"/>
      <c r="AA336" s="64"/>
      <c r="AB336" s="64"/>
      <c r="AC336" s="64"/>
      <c r="AD336" s="64"/>
      <c r="AE336" s="64"/>
      <c r="AF336" s="64"/>
      <c r="AG336" s="64"/>
    </row>
    <row r="337">
      <c r="A337" s="64"/>
      <c r="B337" s="64"/>
      <c r="C337" s="64"/>
      <c r="D337" s="64"/>
      <c r="E337" s="65"/>
      <c r="F337" s="64"/>
      <c r="G337" s="67"/>
      <c r="H337" s="64"/>
      <c r="I337" s="64"/>
      <c r="J337" s="64"/>
      <c r="K337" s="64"/>
      <c r="L337" s="65"/>
      <c r="M337" s="64"/>
      <c r="N337" s="64"/>
      <c r="O337" s="64"/>
      <c r="P337" s="64"/>
      <c r="Q337" s="64"/>
      <c r="R337" s="64"/>
      <c r="S337" s="64"/>
      <c r="T337" s="65"/>
      <c r="U337" s="64"/>
      <c r="V337" s="64"/>
      <c r="W337" s="64"/>
      <c r="X337" s="64"/>
      <c r="Y337" s="64"/>
      <c r="Z337" s="64"/>
      <c r="AA337" s="64"/>
      <c r="AB337" s="64"/>
      <c r="AC337" s="64"/>
      <c r="AD337" s="64"/>
      <c r="AE337" s="64"/>
      <c r="AF337" s="64"/>
      <c r="AG337" s="64"/>
    </row>
    <row r="338">
      <c r="A338" s="64"/>
      <c r="B338" s="64"/>
      <c r="C338" s="64"/>
      <c r="D338" s="64"/>
      <c r="E338" s="65"/>
      <c r="F338" s="64"/>
      <c r="G338" s="67"/>
      <c r="H338" s="64"/>
      <c r="I338" s="64"/>
      <c r="J338" s="64"/>
      <c r="K338" s="64"/>
      <c r="L338" s="65"/>
      <c r="M338" s="64"/>
      <c r="N338" s="64"/>
      <c r="O338" s="64"/>
      <c r="P338" s="64"/>
      <c r="Q338" s="64"/>
      <c r="R338" s="64"/>
      <c r="S338" s="64"/>
      <c r="T338" s="65"/>
      <c r="U338" s="64"/>
      <c r="V338" s="64"/>
      <c r="W338" s="64"/>
      <c r="X338" s="64"/>
      <c r="Y338" s="64"/>
      <c r="Z338" s="64"/>
      <c r="AA338" s="64"/>
      <c r="AB338" s="64"/>
      <c r="AC338" s="64"/>
      <c r="AD338" s="64"/>
      <c r="AE338" s="64"/>
      <c r="AF338" s="64"/>
      <c r="AG338" s="64"/>
    </row>
    <row r="339">
      <c r="A339" s="64"/>
      <c r="B339" s="64"/>
      <c r="C339" s="64"/>
      <c r="D339" s="64"/>
      <c r="E339" s="65"/>
      <c r="F339" s="64"/>
      <c r="G339" s="67"/>
      <c r="H339" s="64"/>
      <c r="I339" s="64"/>
      <c r="J339" s="64"/>
      <c r="K339" s="64"/>
      <c r="L339" s="65"/>
      <c r="M339" s="64"/>
      <c r="N339" s="64"/>
      <c r="O339" s="64"/>
      <c r="P339" s="64"/>
      <c r="Q339" s="64"/>
      <c r="R339" s="64"/>
      <c r="S339" s="64"/>
      <c r="T339" s="65"/>
      <c r="U339" s="64"/>
      <c r="V339" s="64"/>
      <c r="W339" s="64"/>
      <c r="X339" s="64"/>
      <c r="Y339" s="64"/>
      <c r="Z339" s="64"/>
      <c r="AA339" s="64"/>
      <c r="AB339" s="64"/>
      <c r="AC339" s="64"/>
      <c r="AD339" s="64"/>
      <c r="AE339" s="64"/>
      <c r="AF339" s="64"/>
      <c r="AG339" s="64"/>
    </row>
    <row r="340">
      <c r="A340" s="64"/>
      <c r="B340" s="64"/>
      <c r="C340" s="64"/>
      <c r="D340" s="64"/>
      <c r="E340" s="65"/>
      <c r="F340" s="64"/>
      <c r="G340" s="67"/>
      <c r="H340" s="64"/>
      <c r="I340" s="64"/>
      <c r="J340" s="64"/>
      <c r="K340" s="64"/>
      <c r="L340" s="65"/>
      <c r="M340" s="64"/>
      <c r="N340" s="64"/>
      <c r="O340" s="64"/>
      <c r="P340" s="64"/>
      <c r="Q340" s="64"/>
      <c r="R340" s="64"/>
      <c r="S340" s="64"/>
      <c r="T340" s="65"/>
      <c r="U340" s="64"/>
      <c r="V340" s="64"/>
      <c r="W340" s="64"/>
      <c r="X340" s="64"/>
      <c r="Y340" s="64"/>
      <c r="Z340" s="64"/>
      <c r="AA340" s="64"/>
      <c r="AB340" s="64"/>
      <c r="AC340" s="64"/>
      <c r="AD340" s="64"/>
      <c r="AE340" s="64"/>
      <c r="AF340" s="64"/>
      <c r="AG340" s="64"/>
    </row>
    <row r="341">
      <c r="A341" s="64"/>
      <c r="B341" s="64"/>
      <c r="C341" s="64"/>
      <c r="D341" s="64"/>
      <c r="E341" s="65"/>
      <c r="F341" s="64"/>
      <c r="G341" s="67"/>
      <c r="H341" s="64"/>
      <c r="I341" s="64"/>
      <c r="J341" s="64"/>
      <c r="K341" s="64"/>
      <c r="L341" s="65"/>
      <c r="M341" s="64"/>
      <c r="N341" s="64"/>
      <c r="O341" s="64"/>
      <c r="P341" s="64"/>
      <c r="Q341" s="64"/>
      <c r="R341" s="64"/>
      <c r="S341" s="64"/>
      <c r="T341" s="65"/>
      <c r="U341" s="64"/>
      <c r="V341" s="64"/>
      <c r="W341" s="64"/>
      <c r="X341" s="64"/>
      <c r="Y341" s="64"/>
      <c r="Z341" s="64"/>
      <c r="AA341" s="64"/>
      <c r="AB341" s="64"/>
      <c r="AC341" s="64"/>
      <c r="AD341" s="64"/>
      <c r="AE341" s="64"/>
      <c r="AF341" s="64"/>
      <c r="AG341" s="64"/>
    </row>
    <row r="342">
      <c r="A342" s="64"/>
      <c r="B342" s="64"/>
      <c r="C342" s="64"/>
      <c r="D342" s="64"/>
      <c r="E342" s="65"/>
      <c r="F342" s="64"/>
      <c r="G342" s="67"/>
      <c r="H342" s="64"/>
      <c r="I342" s="64"/>
      <c r="J342" s="64"/>
      <c r="K342" s="64"/>
      <c r="L342" s="65"/>
      <c r="M342" s="64"/>
      <c r="N342" s="64"/>
      <c r="O342" s="64"/>
      <c r="P342" s="64"/>
      <c r="Q342" s="64"/>
      <c r="R342" s="64"/>
      <c r="S342" s="64"/>
      <c r="T342" s="65"/>
      <c r="U342" s="64"/>
      <c r="V342" s="64"/>
      <c r="W342" s="64"/>
      <c r="X342" s="64"/>
      <c r="Y342" s="64"/>
      <c r="Z342" s="64"/>
      <c r="AA342" s="64"/>
      <c r="AB342" s="64"/>
      <c r="AC342" s="64"/>
      <c r="AD342" s="64"/>
      <c r="AE342" s="64"/>
      <c r="AF342" s="64"/>
      <c r="AG342" s="64"/>
    </row>
    <row r="343">
      <c r="A343" s="64"/>
      <c r="B343" s="64"/>
      <c r="C343" s="64"/>
      <c r="D343" s="64"/>
      <c r="E343" s="65"/>
      <c r="F343" s="64"/>
      <c r="G343" s="67"/>
      <c r="H343" s="64"/>
      <c r="I343" s="64"/>
      <c r="J343" s="64"/>
      <c r="K343" s="64"/>
      <c r="L343" s="65"/>
      <c r="M343" s="64"/>
      <c r="N343" s="64"/>
      <c r="O343" s="64"/>
      <c r="P343" s="64"/>
      <c r="Q343" s="64"/>
      <c r="R343" s="64"/>
      <c r="S343" s="64"/>
      <c r="T343" s="65"/>
      <c r="U343" s="64"/>
      <c r="V343" s="64"/>
      <c r="W343" s="64"/>
      <c r="X343" s="64"/>
      <c r="Y343" s="64"/>
      <c r="Z343" s="64"/>
      <c r="AA343" s="64"/>
      <c r="AB343" s="64"/>
      <c r="AC343" s="64"/>
      <c r="AD343" s="64"/>
      <c r="AE343" s="64"/>
      <c r="AF343" s="64"/>
      <c r="AG343" s="64"/>
    </row>
    <row r="344">
      <c r="A344" s="64"/>
      <c r="B344" s="64"/>
      <c r="C344" s="64"/>
      <c r="D344" s="64"/>
      <c r="E344" s="65"/>
      <c r="F344" s="64"/>
      <c r="G344" s="67"/>
      <c r="H344" s="64"/>
      <c r="I344" s="64"/>
      <c r="J344" s="64"/>
      <c r="K344" s="64"/>
      <c r="L344" s="65"/>
      <c r="M344" s="64"/>
      <c r="N344" s="64"/>
      <c r="O344" s="64"/>
      <c r="P344" s="64"/>
      <c r="Q344" s="64"/>
      <c r="R344" s="64"/>
      <c r="S344" s="64"/>
      <c r="T344" s="65"/>
      <c r="U344" s="64"/>
      <c r="V344" s="64"/>
      <c r="W344" s="64"/>
      <c r="X344" s="64"/>
      <c r="Y344" s="64"/>
      <c r="Z344" s="64"/>
      <c r="AA344" s="64"/>
      <c r="AB344" s="64"/>
      <c r="AC344" s="64"/>
      <c r="AD344" s="64"/>
      <c r="AE344" s="64"/>
      <c r="AF344" s="64"/>
      <c r="AG344" s="64"/>
    </row>
    <row r="345">
      <c r="A345" s="64"/>
      <c r="B345" s="64"/>
      <c r="C345" s="64"/>
      <c r="D345" s="64"/>
      <c r="E345" s="65"/>
      <c r="F345" s="64"/>
      <c r="G345" s="67"/>
      <c r="H345" s="64"/>
      <c r="I345" s="64"/>
      <c r="J345" s="64"/>
      <c r="K345" s="64"/>
      <c r="L345" s="65"/>
      <c r="M345" s="64"/>
      <c r="N345" s="64"/>
      <c r="O345" s="64"/>
      <c r="P345" s="64"/>
      <c r="Q345" s="64"/>
      <c r="R345" s="64"/>
      <c r="S345" s="64"/>
      <c r="T345" s="65"/>
      <c r="U345" s="64"/>
      <c r="V345" s="64"/>
      <c r="W345" s="64"/>
      <c r="X345" s="64"/>
      <c r="Y345" s="64"/>
      <c r="Z345" s="64"/>
      <c r="AA345" s="64"/>
      <c r="AB345" s="64"/>
      <c r="AC345" s="64"/>
      <c r="AD345" s="64"/>
      <c r="AE345" s="64"/>
      <c r="AF345" s="64"/>
      <c r="AG345" s="64"/>
    </row>
    <row r="346">
      <c r="A346" s="64"/>
      <c r="B346" s="64"/>
      <c r="C346" s="64"/>
      <c r="D346" s="64"/>
      <c r="E346" s="65"/>
      <c r="F346" s="64"/>
      <c r="G346" s="67"/>
      <c r="H346" s="64"/>
      <c r="I346" s="64"/>
      <c r="J346" s="64"/>
      <c r="K346" s="64"/>
      <c r="L346" s="65"/>
      <c r="M346" s="64"/>
      <c r="N346" s="64"/>
      <c r="O346" s="64"/>
      <c r="P346" s="64"/>
      <c r="Q346" s="64"/>
      <c r="R346" s="64"/>
      <c r="S346" s="64"/>
      <c r="T346" s="65"/>
      <c r="U346" s="64"/>
      <c r="V346" s="64"/>
      <c r="W346" s="64"/>
      <c r="X346" s="64"/>
      <c r="Y346" s="64"/>
      <c r="Z346" s="64"/>
      <c r="AA346" s="64"/>
      <c r="AB346" s="64"/>
      <c r="AC346" s="64"/>
      <c r="AD346" s="64"/>
      <c r="AE346" s="64"/>
      <c r="AF346" s="64"/>
      <c r="AG346" s="64"/>
    </row>
    <row r="347">
      <c r="A347" s="64"/>
      <c r="B347" s="64"/>
      <c r="C347" s="64"/>
      <c r="D347" s="64"/>
      <c r="E347" s="65"/>
      <c r="F347" s="64"/>
      <c r="G347" s="67"/>
      <c r="H347" s="64"/>
      <c r="I347" s="64"/>
      <c r="J347" s="64"/>
      <c r="K347" s="64"/>
      <c r="L347" s="65"/>
      <c r="M347" s="64"/>
      <c r="N347" s="64"/>
      <c r="O347" s="64"/>
      <c r="P347" s="64"/>
      <c r="Q347" s="64"/>
      <c r="R347" s="64"/>
      <c r="S347" s="64"/>
      <c r="T347" s="65"/>
      <c r="U347" s="64"/>
      <c r="V347" s="64"/>
      <c r="W347" s="64"/>
      <c r="X347" s="64"/>
      <c r="Y347" s="64"/>
      <c r="Z347" s="64"/>
      <c r="AA347" s="64"/>
      <c r="AB347" s="64"/>
      <c r="AC347" s="64"/>
      <c r="AD347" s="64"/>
      <c r="AE347" s="64"/>
      <c r="AF347" s="64"/>
      <c r="AG347" s="64"/>
    </row>
    <row r="348">
      <c r="A348" s="64"/>
      <c r="B348" s="64"/>
      <c r="C348" s="64"/>
      <c r="D348" s="64"/>
      <c r="E348" s="65"/>
      <c r="F348" s="64"/>
      <c r="G348" s="67"/>
      <c r="H348" s="64"/>
      <c r="I348" s="64"/>
      <c r="J348" s="64"/>
      <c r="K348" s="64"/>
      <c r="L348" s="65"/>
      <c r="M348" s="64"/>
      <c r="N348" s="64"/>
      <c r="O348" s="64"/>
      <c r="P348" s="64"/>
      <c r="Q348" s="64"/>
      <c r="R348" s="64"/>
      <c r="S348" s="64"/>
      <c r="T348" s="65"/>
      <c r="U348" s="64"/>
      <c r="V348" s="64"/>
      <c r="W348" s="64"/>
      <c r="X348" s="64"/>
      <c r="Y348" s="64"/>
      <c r="Z348" s="64"/>
      <c r="AA348" s="64"/>
      <c r="AB348" s="64"/>
      <c r="AC348" s="64"/>
      <c r="AD348" s="64"/>
      <c r="AE348" s="64"/>
      <c r="AF348" s="64"/>
      <c r="AG348" s="64"/>
    </row>
    <row r="349">
      <c r="A349" s="64"/>
      <c r="B349" s="64"/>
      <c r="C349" s="64"/>
      <c r="D349" s="64"/>
      <c r="E349" s="65"/>
      <c r="F349" s="64"/>
      <c r="G349" s="67"/>
      <c r="H349" s="64"/>
      <c r="I349" s="64"/>
      <c r="J349" s="64"/>
      <c r="K349" s="64"/>
      <c r="L349" s="65"/>
      <c r="M349" s="64"/>
      <c r="N349" s="64"/>
      <c r="O349" s="64"/>
      <c r="P349" s="64"/>
      <c r="Q349" s="64"/>
      <c r="R349" s="64"/>
      <c r="S349" s="64"/>
      <c r="T349" s="65"/>
      <c r="U349" s="64"/>
      <c r="V349" s="64"/>
      <c r="W349" s="64"/>
      <c r="X349" s="64"/>
      <c r="Y349" s="64"/>
      <c r="Z349" s="64"/>
      <c r="AA349" s="64"/>
      <c r="AB349" s="64"/>
      <c r="AC349" s="64"/>
      <c r="AD349" s="64"/>
      <c r="AE349" s="64"/>
      <c r="AF349" s="64"/>
      <c r="AG349" s="64"/>
    </row>
    <row r="350">
      <c r="A350" s="64"/>
      <c r="B350" s="64"/>
      <c r="C350" s="64"/>
      <c r="D350" s="64"/>
      <c r="E350" s="65"/>
      <c r="F350" s="64"/>
      <c r="G350" s="67"/>
      <c r="H350" s="64"/>
      <c r="I350" s="64"/>
      <c r="J350" s="64"/>
      <c r="K350" s="64"/>
      <c r="L350" s="65"/>
      <c r="M350" s="64"/>
      <c r="N350" s="64"/>
      <c r="O350" s="64"/>
      <c r="P350" s="64"/>
      <c r="Q350" s="64"/>
      <c r="R350" s="64"/>
      <c r="S350" s="64"/>
      <c r="T350" s="65"/>
      <c r="U350" s="64"/>
      <c r="V350" s="64"/>
      <c r="W350" s="64"/>
      <c r="X350" s="64"/>
      <c r="Y350" s="64"/>
      <c r="Z350" s="64"/>
      <c r="AA350" s="64"/>
      <c r="AB350" s="64"/>
      <c r="AC350" s="64"/>
      <c r="AD350" s="64"/>
      <c r="AE350" s="64"/>
      <c r="AF350" s="64"/>
      <c r="AG350" s="64"/>
    </row>
    <row r="351">
      <c r="A351" s="64"/>
      <c r="B351" s="64"/>
      <c r="C351" s="64"/>
      <c r="D351" s="64"/>
      <c r="E351" s="65"/>
      <c r="F351" s="64"/>
      <c r="G351" s="67"/>
      <c r="H351" s="64"/>
      <c r="I351" s="64"/>
      <c r="J351" s="64"/>
      <c r="K351" s="64"/>
      <c r="L351" s="65"/>
      <c r="M351" s="64"/>
      <c r="N351" s="64"/>
      <c r="O351" s="64"/>
      <c r="P351" s="64"/>
      <c r="Q351" s="64"/>
      <c r="R351" s="64"/>
      <c r="S351" s="64"/>
      <c r="T351" s="65"/>
      <c r="U351" s="64"/>
      <c r="V351" s="64"/>
      <c r="W351" s="64"/>
      <c r="X351" s="64"/>
      <c r="Y351" s="64"/>
      <c r="Z351" s="64"/>
      <c r="AA351" s="64"/>
      <c r="AB351" s="64"/>
      <c r="AC351" s="64"/>
      <c r="AD351" s="64"/>
      <c r="AE351" s="64"/>
      <c r="AF351" s="64"/>
      <c r="AG351" s="64"/>
    </row>
    <row r="352">
      <c r="A352" s="64"/>
      <c r="B352" s="64"/>
      <c r="C352" s="64"/>
      <c r="D352" s="64"/>
      <c r="E352" s="65"/>
      <c r="F352" s="64"/>
      <c r="G352" s="67"/>
      <c r="H352" s="64"/>
      <c r="I352" s="64"/>
      <c r="J352" s="64"/>
      <c r="K352" s="64"/>
      <c r="L352" s="65"/>
      <c r="M352" s="64"/>
      <c r="N352" s="64"/>
      <c r="O352" s="64"/>
      <c r="P352" s="64"/>
      <c r="Q352" s="64"/>
      <c r="R352" s="64"/>
      <c r="S352" s="64"/>
      <c r="T352" s="65"/>
      <c r="U352" s="64"/>
      <c r="V352" s="64"/>
      <c r="W352" s="64"/>
      <c r="X352" s="64"/>
      <c r="Y352" s="64"/>
      <c r="Z352" s="64"/>
      <c r="AA352" s="64"/>
      <c r="AB352" s="64"/>
      <c r="AC352" s="64"/>
      <c r="AD352" s="64"/>
      <c r="AE352" s="64"/>
      <c r="AF352" s="64"/>
      <c r="AG352" s="64"/>
    </row>
    <row r="353">
      <c r="A353" s="64"/>
      <c r="B353" s="64"/>
      <c r="C353" s="64"/>
      <c r="D353" s="64"/>
      <c r="E353" s="65"/>
      <c r="F353" s="64"/>
      <c r="G353" s="67"/>
      <c r="H353" s="64"/>
      <c r="I353" s="64"/>
      <c r="J353" s="64"/>
      <c r="K353" s="64"/>
      <c r="L353" s="65"/>
      <c r="M353" s="64"/>
      <c r="N353" s="64"/>
      <c r="O353" s="64"/>
      <c r="P353" s="64"/>
      <c r="Q353" s="64"/>
      <c r="R353" s="64"/>
      <c r="S353" s="64"/>
      <c r="T353" s="65"/>
      <c r="U353" s="64"/>
      <c r="V353" s="64"/>
      <c r="W353" s="64"/>
      <c r="X353" s="64"/>
      <c r="Y353" s="64"/>
      <c r="Z353" s="64"/>
      <c r="AA353" s="64"/>
      <c r="AB353" s="64"/>
      <c r="AC353" s="64"/>
      <c r="AD353" s="64"/>
      <c r="AE353" s="64"/>
      <c r="AF353" s="64"/>
      <c r="AG353" s="64"/>
    </row>
    <row r="354">
      <c r="A354" s="64"/>
      <c r="B354" s="64"/>
      <c r="C354" s="64"/>
      <c r="D354" s="64"/>
      <c r="E354" s="65"/>
      <c r="F354" s="64"/>
      <c r="G354" s="67"/>
      <c r="H354" s="64"/>
      <c r="I354" s="64"/>
      <c r="J354" s="64"/>
      <c r="K354" s="64"/>
      <c r="L354" s="65"/>
      <c r="M354" s="64"/>
      <c r="N354" s="64"/>
      <c r="O354" s="64"/>
      <c r="P354" s="64"/>
      <c r="Q354" s="64"/>
      <c r="R354" s="64"/>
      <c r="S354" s="64"/>
      <c r="T354" s="65"/>
      <c r="U354" s="64"/>
      <c r="V354" s="64"/>
      <c r="W354" s="64"/>
      <c r="X354" s="64"/>
      <c r="Y354" s="64"/>
      <c r="Z354" s="64"/>
      <c r="AA354" s="64"/>
      <c r="AB354" s="64"/>
      <c r="AC354" s="64"/>
      <c r="AD354" s="64"/>
      <c r="AE354" s="64"/>
      <c r="AF354" s="64"/>
      <c r="AG354" s="64"/>
    </row>
    <row r="355">
      <c r="A355" s="64"/>
      <c r="B355" s="64"/>
      <c r="C355" s="64"/>
      <c r="D355" s="64"/>
      <c r="E355" s="65"/>
      <c r="F355" s="64"/>
      <c r="G355" s="67"/>
      <c r="H355" s="64"/>
      <c r="I355" s="64"/>
      <c r="J355" s="64"/>
      <c r="K355" s="64"/>
      <c r="L355" s="65"/>
      <c r="M355" s="64"/>
      <c r="N355" s="64"/>
      <c r="O355" s="64"/>
      <c r="P355" s="64"/>
      <c r="Q355" s="64"/>
      <c r="R355" s="64"/>
      <c r="S355" s="64"/>
      <c r="T355" s="65"/>
      <c r="U355" s="64"/>
      <c r="V355" s="64"/>
      <c r="W355" s="64"/>
      <c r="X355" s="64"/>
      <c r="Y355" s="64"/>
      <c r="Z355" s="64"/>
      <c r="AA355" s="64"/>
      <c r="AB355" s="64"/>
      <c r="AC355" s="64"/>
      <c r="AD355" s="64"/>
      <c r="AE355" s="64"/>
      <c r="AF355" s="64"/>
      <c r="AG355" s="64"/>
    </row>
    <row r="356">
      <c r="A356" s="64"/>
      <c r="B356" s="64"/>
      <c r="C356" s="64"/>
      <c r="D356" s="64"/>
      <c r="E356" s="65"/>
      <c r="F356" s="64"/>
      <c r="G356" s="67"/>
      <c r="H356" s="64"/>
      <c r="I356" s="64"/>
      <c r="J356" s="64"/>
      <c r="K356" s="64"/>
      <c r="L356" s="65"/>
      <c r="M356" s="64"/>
      <c r="N356" s="64"/>
      <c r="O356" s="64"/>
      <c r="P356" s="64"/>
      <c r="Q356" s="64"/>
      <c r="R356" s="64"/>
      <c r="S356" s="64"/>
      <c r="T356" s="65"/>
      <c r="U356" s="64"/>
      <c r="V356" s="64"/>
      <c r="W356" s="64"/>
      <c r="X356" s="64"/>
      <c r="Y356" s="64"/>
      <c r="Z356" s="64"/>
      <c r="AA356" s="64"/>
      <c r="AB356" s="64"/>
      <c r="AC356" s="64"/>
      <c r="AD356" s="64"/>
      <c r="AE356" s="64"/>
      <c r="AF356" s="64"/>
      <c r="AG356" s="64"/>
    </row>
    <row r="357">
      <c r="A357" s="64"/>
      <c r="B357" s="64"/>
      <c r="C357" s="64"/>
      <c r="D357" s="64"/>
      <c r="E357" s="65"/>
      <c r="F357" s="64"/>
      <c r="G357" s="67"/>
      <c r="H357" s="64"/>
      <c r="I357" s="64"/>
      <c r="J357" s="64"/>
      <c r="K357" s="64"/>
      <c r="L357" s="65"/>
      <c r="M357" s="64"/>
      <c r="N357" s="64"/>
      <c r="O357" s="64"/>
      <c r="P357" s="64"/>
      <c r="Q357" s="64"/>
      <c r="R357" s="64"/>
      <c r="S357" s="64"/>
      <c r="T357" s="65"/>
      <c r="U357" s="64"/>
      <c r="V357" s="64"/>
      <c r="W357" s="64"/>
      <c r="X357" s="64"/>
      <c r="Y357" s="64"/>
      <c r="Z357" s="64"/>
      <c r="AA357" s="64"/>
      <c r="AB357" s="64"/>
      <c r="AC357" s="64"/>
      <c r="AD357" s="64"/>
      <c r="AE357" s="64"/>
      <c r="AF357" s="64"/>
      <c r="AG357" s="64"/>
    </row>
    <row r="358">
      <c r="A358" s="64"/>
      <c r="B358" s="64"/>
      <c r="C358" s="64"/>
      <c r="D358" s="64"/>
      <c r="E358" s="65"/>
      <c r="F358" s="64"/>
      <c r="G358" s="67"/>
      <c r="H358" s="64"/>
      <c r="I358" s="64"/>
      <c r="J358" s="64"/>
      <c r="K358" s="64"/>
      <c r="L358" s="65"/>
      <c r="M358" s="64"/>
      <c r="N358" s="64"/>
      <c r="O358" s="64"/>
      <c r="P358" s="64"/>
      <c r="Q358" s="64"/>
      <c r="R358" s="64"/>
      <c r="S358" s="64"/>
      <c r="T358" s="65"/>
      <c r="U358" s="64"/>
      <c r="V358" s="64"/>
      <c r="W358" s="64"/>
      <c r="X358" s="64"/>
      <c r="Y358" s="64"/>
      <c r="Z358" s="64"/>
      <c r="AA358" s="64"/>
      <c r="AB358" s="64"/>
      <c r="AC358" s="64"/>
      <c r="AD358" s="64"/>
      <c r="AE358" s="64"/>
      <c r="AF358" s="64"/>
      <c r="AG358" s="64"/>
    </row>
    <row r="359">
      <c r="A359" s="64"/>
      <c r="B359" s="64"/>
      <c r="C359" s="64"/>
      <c r="D359" s="64"/>
      <c r="E359" s="65"/>
      <c r="F359" s="64"/>
      <c r="G359" s="67"/>
      <c r="H359" s="64"/>
      <c r="I359" s="64"/>
      <c r="J359" s="64"/>
      <c r="K359" s="64"/>
      <c r="L359" s="65"/>
      <c r="M359" s="64"/>
      <c r="N359" s="64"/>
      <c r="O359" s="64"/>
      <c r="P359" s="64"/>
      <c r="Q359" s="64"/>
      <c r="R359" s="64"/>
      <c r="S359" s="64"/>
      <c r="T359" s="65"/>
      <c r="U359" s="64"/>
      <c r="V359" s="64"/>
      <c r="W359" s="64"/>
      <c r="X359" s="64"/>
      <c r="Y359" s="64"/>
      <c r="Z359" s="64"/>
      <c r="AA359" s="64"/>
      <c r="AB359" s="64"/>
      <c r="AC359" s="64"/>
      <c r="AD359" s="64"/>
      <c r="AE359" s="64"/>
      <c r="AF359" s="64"/>
      <c r="AG359" s="64"/>
    </row>
    <row r="360">
      <c r="A360" s="64"/>
      <c r="B360" s="64"/>
      <c r="C360" s="64"/>
      <c r="D360" s="64"/>
      <c r="E360" s="65"/>
      <c r="F360" s="64"/>
      <c r="G360" s="67"/>
      <c r="H360" s="64"/>
      <c r="I360" s="64"/>
      <c r="J360" s="64"/>
      <c r="K360" s="64"/>
      <c r="L360" s="65"/>
      <c r="M360" s="64"/>
      <c r="N360" s="64"/>
      <c r="O360" s="64"/>
      <c r="P360" s="64"/>
      <c r="Q360" s="64"/>
      <c r="R360" s="64"/>
      <c r="S360" s="64"/>
      <c r="T360" s="65"/>
      <c r="U360" s="64"/>
      <c r="V360" s="64"/>
      <c r="W360" s="64"/>
      <c r="X360" s="64"/>
      <c r="Y360" s="64"/>
      <c r="Z360" s="64"/>
      <c r="AA360" s="64"/>
      <c r="AB360" s="64"/>
      <c r="AC360" s="64"/>
      <c r="AD360" s="64"/>
      <c r="AE360" s="64"/>
      <c r="AF360" s="64"/>
      <c r="AG360" s="64"/>
    </row>
    <row r="361">
      <c r="A361" s="64"/>
      <c r="B361" s="64"/>
      <c r="C361" s="64"/>
      <c r="D361" s="64"/>
      <c r="E361" s="65"/>
      <c r="F361" s="64"/>
      <c r="G361" s="67"/>
      <c r="H361" s="64"/>
      <c r="I361" s="64"/>
      <c r="J361" s="64"/>
      <c r="K361" s="64"/>
      <c r="L361" s="65"/>
      <c r="M361" s="64"/>
      <c r="N361" s="64"/>
      <c r="O361" s="64"/>
      <c r="P361" s="64"/>
      <c r="Q361" s="64"/>
      <c r="R361" s="64"/>
      <c r="S361" s="64"/>
      <c r="T361" s="65"/>
      <c r="U361" s="64"/>
      <c r="V361" s="64"/>
      <c r="W361" s="64"/>
      <c r="X361" s="64"/>
      <c r="Y361" s="64"/>
      <c r="Z361" s="64"/>
      <c r="AA361" s="64"/>
      <c r="AB361" s="64"/>
      <c r="AC361" s="64"/>
      <c r="AD361" s="64"/>
      <c r="AE361" s="64"/>
      <c r="AF361" s="64"/>
      <c r="AG361" s="64"/>
    </row>
    <row r="362">
      <c r="A362" s="64"/>
      <c r="B362" s="64"/>
      <c r="C362" s="64"/>
      <c r="D362" s="64"/>
      <c r="E362" s="65"/>
      <c r="F362" s="64"/>
      <c r="G362" s="67"/>
      <c r="H362" s="64"/>
      <c r="I362" s="64"/>
      <c r="J362" s="64"/>
      <c r="K362" s="64"/>
      <c r="L362" s="65"/>
      <c r="M362" s="64"/>
      <c r="N362" s="64"/>
      <c r="O362" s="64"/>
      <c r="P362" s="64"/>
      <c r="Q362" s="64"/>
      <c r="R362" s="64"/>
      <c r="S362" s="64"/>
      <c r="T362" s="65"/>
      <c r="U362" s="64"/>
      <c r="V362" s="64"/>
      <c r="W362" s="64"/>
      <c r="X362" s="64"/>
      <c r="Y362" s="64"/>
      <c r="Z362" s="64"/>
      <c r="AA362" s="64"/>
      <c r="AB362" s="64"/>
      <c r="AC362" s="64"/>
      <c r="AD362" s="64"/>
      <c r="AE362" s="64"/>
      <c r="AF362" s="64"/>
      <c r="AG362" s="64"/>
    </row>
    <row r="363">
      <c r="A363" s="64"/>
      <c r="B363" s="64"/>
      <c r="C363" s="64"/>
      <c r="D363" s="64"/>
      <c r="E363" s="65"/>
      <c r="F363" s="64"/>
      <c r="G363" s="67"/>
      <c r="H363" s="64"/>
      <c r="I363" s="64"/>
      <c r="J363" s="64"/>
      <c r="K363" s="64"/>
      <c r="L363" s="65"/>
      <c r="M363" s="64"/>
      <c r="N363" s="64"/>
      <c r="O363" s="64"/>
      <c r="P363" s="64"/>
      <c r="Q363" s="64"/>
      <c r="R363" s="64"/>
      <c r="S363" s="64"/>
      <c r="T363" s="65"/>
      <c r="U363" s="64"/>
      <c r="V363" s="64"/>
      <c r="W363" s="64"/>
      <c r="X363" s="64"/>
      <c r="Y363" s="64"/>
      <c r="Z363" s="64"/>
      <c r="AA363" s="64"/>
      <c r="AB363" s="64"/>
      <c r="AC363" s="64"/>
      <c r="AD363" s="64"/>
      <c r="AE363" s="64"/>
      <c r="AF363" s="64"/>
      <c r="AG363" s="64"/>
    </row>
    <row r="364">
      <c r="A364" s="64"/>
      <c r="B364" s="64"/>
      <c r="C364" s="64"/>
      <c r="D364" s="64"/>
      <c r="E364" s="65"/>
      <c r="F364" s="64"/>
      <c r="G364" s="67"/>
      <c r="H364" s="64"/>
      <c r="I364" s="64"/>
      <c r="J364" s="64"/>
      <c r="K364" s="64"/>
      <c r="L364" s="65"/>
      <c r="M364" s="64"/>
      <c r="N364" s="64"/>
      <c r="O364" s="64"/>
      <c r="P364" s="64"/>
      <c r="Q364" s="64"/>
      <c r="R364" s="64"/>
      <c r="S364" s="64"/>
      <c r="T364" s="65"/>
      <c r="U364" s="64"/>
      <c r="V364" s="64"/>
      <c r="W364" s="64"/>
      <c r="X364" s="64"/>
      <c r="Y364" s="64"/>
      <c r="Z364" s="64"/>
      <c r="AA364" s="64"/>
      <c r="AB364" s="64"/>
      <c r="AC364" s="64"/>
      <c r="AD364" s="64"/>
      <c r="AE364" s="64"/>
      <c r="AF364" s="64"/>
      <c r="AG364" s="64"/>
    </row>
    <row r="365">
      <c r="A365" s="64"/>
      <c r="B365" s="64"/>
      <c r="C365" s="64"/>
      <c r="D365" s="64"/>
      <c r="E365" s="65"/>
      <c r="F365" s="64"/>
      <c r="G365" s="67"/>
      <c r="H365" s="64"/>
      <c r="I365" s="64"/>
      <c r="J365" s="64"/>
      <c r="K365" s="64"/>
      <c r="L365" s="65"/>
      <c r="M365" s="64"/>
      <c r="N365" s="64"/>
      <c r="O365" s="64"/>
      <c r="P365" s="64"/>
      <c r="Q365" s="64"/>
      <c r="R365" s="64"/>
      <c r="S365" s="64"/>
      <c r="T365" s="65"/>
      <c r="U365" s="64"/>
      <c r="V365" s="64"/>
      <c r="W365" s="64"/>
      <c r="X365" s="64"/>
      <c r="Y365" s="64"/>
      <c r="Z365" s="64"/>
      <c r="AA365" s="64"/>
      <c r="AB365" s="64"/>
      <c r="AC365" s="64"/>
      <c r="AD365" s="64"/>
      <c r="AE365" s="64"/>
      <c r="AF365" s="64"/>
      <c r="AG365" s="64"/>
    </row>
    <row r="366">
      <c r="A366" s="64"/>
      <c r="B366" s="64"/>
      <c r="C366" s="64"/>
      <c r="D366" s="64"/>
      <c r="E366" s="65"/>
      <c r="F366" s="64"/>
      <c r="G366" s="67"/>
      <c r="H366" s="64"/>
      <c r="I366" s="64"/>
      <c r="J366" s="64"/>
      <c r="K366" s="64"/>
      <c r="L366" s="65"/>
      <c r="M366" s="64"/>
      <c r="N366" s="64"/>
      <c r="O366" s="64"/>
      <c r="P366" s="64"/>
      <c r="Q366" s="64"/>
      <c r="R366" s="64"/>
      <c r="S366" s="64"/>
      <c r="T366" s="65"/>
      <c r="U366" s="64"/>
      <c r="V366" s="64"/>
      <c r="W366" s="64"/>
      <c r="X366" s="64"/>
      <c r="Y366" s="64"/>
      <c r="Z366" s="64"/>
      <c r="AA366" s="64"/>
      <c r="AB366" s="64"/>
      <c r="AC366" s="64"/>
      <c r="AD366" s="64"/>
      <c r="AE366" s="64"/>
      <c r="AF366" s="64"/>
      <c r="AG366" s="64"/>
    </row>
    <row r="367">
      <c r="A367" s="64"/>
      <c r="B367" s="64"/>
      <c r="C367" s="64"/>
      <c r="D367" s="64"/>
      <c r="E367" s="65"/>
      <c r="F367" s="64"/>
      <c r="G367" s="67"/>
      <c r="H367" s="64"/>
      <c r="I367" s="64"/>
      <c r="J367" s="64"/>
      <c r="K367" s="64"/>
      <c r="L367" s="65"/>
      <c r="M367" s="64"/>
      <c r="N367" s="64"/>
      <c r="O367" s="64"/>
      <c r="P367" s="64"/>
      <c r="Q367" s="64"/>
      <c r="R367" s="64"/>
      <c r="S367" s="64"/>
      <c r="T367" s="65"/>
      <c r="U367" s="64"/>
      <c r="V367" s="64"/>
      <c r="W367" s="64"/>
      <c r="X367" s="64"/>
      <c r="Y367" s="64"/>
      <c r="Z367" s="64"/>
      <c r="AA367" s="64"/>
      <c r="AB367" s="64"/>
      <c r="AC367" s="64"/>
      <c r="AD367" s="64"/>
      <c r="AE367" s="64"/>
      <c r="AF367" s="64"/>
      <c r="AG367" s="64"/>
    </row>
    <row r="368">
      <c r="A368" s="64"/>
      <c r="B368" s="64"/>
      <c r="C368" s="64"/>
      <c r="D368" s="64"/>
      <c r="E368" s="65"/>
      <c r="F368" s="64"/>
      <c r="G368" s="67"/>
      <c r="H368" s="64"/>
      <c r="I368" s="64"/>
      <c r="J368" s="64"/>
      <c r="K368" s="64"/>
      <c r="L368" s="65"/>
      <c r="M368" s="64"/>
      <c r="N368" s="64"/>
      <c r="O368" s="64"/>
      <c r="P368" s="64"/>
      <c r="Q368" s="64"/>
      <c r="R368" s="64"/>
      <c r="S368" s="64"/>
      <c r="T368" s="65"/>
      <c r="U368" s="64"/>
      <c r="V368" s="64"/>
      <c r="W368" s="64"/>
      <c r="X368" s="64"/>
      <c r="Y368" s="64"/>
      <c r="Z368" s="64"/>
      <c r="AA368" s="64"/>
      <c r="AB368" s="64"/>
      <c r="AC368" s="64"/>
      <c r="AD368" s="64"/>
      <c r="AE368" s="64"/>
      <c r="AF368" s="64"/>
      <c r="AG368" s="64"/>
    </row>
    <row r="369">
      <c r="A369" s="64"/>
      <c r="B369" s="64"/>
      <c r="C369" s="64"/>
      <c r="D369" s="64"/>
      <c r="E369" s="65"/>
      <c r="F369" s="64"/>
      <c r="G369" s="67"/>
      <c r="H369" s="64"/>
      <c r="I369" s="64"/>
      <c r="J369" s="64"/>
      <c r="K369" s="64"/>
      <c r="L369" s="65"/>
      <c r="M369" s="64"/>
      <c r="N369" s="64"/>
      <c r="O369" s="64"/>
      <c r="P369" s="64"/>
      <c r="Q369" s="64"/>
      <c r="R369" s="64"/>
      <c r="S369" s="64"/>
      <c r="T369" s="65"/>
      <c r="U369" s="64"/>
      <c r="V369" s="64"/>
      <c r="W369" s="64"/>
      <c r="X369" s="64"/>
      <c r="Y369" s="64"/>
      <c r="Z369" s="64"/>
      <c r="AA369" s="64"/>
      <c r="AB369" s="64"/>
      <c r="AC369" s="64"/>
      <c r="AD369" s="64"/>
      <c r="AE369" s="64"/>
      <c r="AF369" s="64"/>
      <c r="AG369" s="64"/>
    </row>
    <row r="370">
      <c r="A370" s="64"/>
      <c r="B370" s="64"/>
      <c r="C370" s="64"/>
      <c r="D370" s="64"/>
      <c r="E370" s="65"/>
      <c r="F370" s="64"/>
      <c r="G370" s="67"/>
      <c r="H370" s="64"/>
      <c r="I370" s="64"/>
      <c r="J370" s="64"/>
      <c r="K370" s="64"/>
      <c r="L370" s="65"/>
      <c r="M370" s="64"/>
      <c r="N370" s="64"/>
      <c r="O370" s="64"/>
      <c r="P370" s="64"/>
      <c r="Q370" s="64"/>
      <c r="R370" s="64"/>
      <c r="S370" s="64"/>
      <c r="T370" s="65"/>
      <c r="U370" s="64"/>
      <c r="V370" s="64"/>
      <c r="W370" s="64"/>
      <c r="X370" s="64"/>
      <c r="Y370" s="64"/>
      <c r="Z370" s="64"/>
      <c r="AA370" s="64"/>
      <c r="AB370" s="64"/>
      <c r="AC370" s="64"/>
      <c r="AD370" s="64"/>
      <c r="AE370" s="64"/>
      <c r="AF370" s="64"/>
      <c r="AG370" s="64"/>
    </row>
    <row r="371">
      <c r="A371" s="64"/>
      <c r="B371" s="64"/>
      <c r="C371" s="64"/>
      <c r="D371" s="64"/>
      <c r="E371" s="65"/>
      <c r="F371" s="64"/>
      <c r="G371" s="67"/>
      <c r="H371" s="64"/>
      <c r="I371" s="64"/>
      <c r="J371" s="64"/>
      <c r="K371" s="64"/>
      <c r="L371" s="65"/>
      <c r="M371" s="64"/>
      <c r="N371" s="64"/>
      <c r="O371" s="64"/>
      <c r="P371" s="64"/>
      <c r="Q371" s="64"/>
      <c r="R371" s="64"/>
      <c r="S371" s="64"/>
      <c r="T371" s="65"/>
      <c r="U371" s="64"/>
      <c r="V371" s="64"/>
      <c r="W371" s="64"/>
      <c r="X371" s="64"/>
      <c r="Y371" s="64"/>
      <c r="Z371" s="64"/>
      <c r="AA371" s="64"/>
      <c r="AB371" s="64"/>
      <c r="AC371" s="64"/>
      <c r="AD371" s="64"/>
      <c r="AE371" s="64"/>
      <c r="AF371" s="64"/>
      <c r="AG371" s="64"/>
    </row>
    <row r="372">
      <c r="A372" s="64"/>
      <c r="B372" s="64"/>
      <c r="C372" s="64"/>
      <c r="D372" s="64"/>
      <c r="E372" s="65"/>
      <c r="F372" s="64"/>
      <c r="G372" s="67"/>
      <c r="H372" s="64"/>
      <c r="I372" s="64"/>
      <c r="J372" s="64"/>
      <c r="K372" s="64"/>
      <c r="L372" s="65"/>
      <c r="M372" s="64"/>
      <c r="N372" s="64"/>
      <c r="O372" s="64"/>
      <c r="P372" s="64"/>
      <c r="Q372" s="64"/>
      <c r="R372" s="64"/>
      <c r="S372" s="64"/>
      <c r="T372" s="65"/>
      <c r="U372" s="64"/>
      <c r="V372" s="64"/>
      <c r="W372" s="64"/>
      <c r="X372" s="64"/>
      <c r="Y372" s="64"/>
      <c r="Z372" s="64"/>
      <c r="AA372" s="64"/>
      <c r="AB372" s="64"/>
      <c r="AC372" s="64"/>
      <c r="AD372" s="64"/>
      <c r="AE372" s="64"/>
      <c r="AF372" s="64"/>
      <c r="AG372" s="64"/>
    </row>
    <row r="373">
      <c r="A373" s="64"/>
      <c r="B373" s="64"/>
      <c r="C373" s="64"/>
      <c r="D373" s="64"/>
      <c r="E373" s="65"/>
      <c r="F373" s="64"/>
      <c r="G373" s="67"/>
      <c r="H373" s="64"/>
      <c r="I373" s="64"/>
      <c r="J373" s="64"/>
      <c r="K373" s="64"/>
      <c r="L373" s="65"/>
      <c r="M373" s="64"/>
      <c r="N373" s="64"/>
      <c r="O373" s="64"/>
      <c r="P373" s="64"/>
      <c r="Q373" s="64"/>
      <c r="R373" s="64"/>
      <c r="S373" s="64"/>
      <c r="T373" s="65"/>
      <c r="U373" s="64"/>
      <c r="V373" s="64"/>
      <c r="W373" s="64"/>
      <c r="X373" s="64"/>
      <c r="Y373" s="64"/>
      <c r="Z373" s="64"/>
      <c r="AA373" s="64"/>
      <c r="AB373" s="64"/>
      <c r="AC373" s="64"/>
      <c r="AD373" s="64"/>
      <c r="AE373" s="64"/>
      <c r="AF373" s="64"/>
      <c r="AG373" s="64"/>
    </row>
    <row r="374">
      <c r="A374" s="64"/>
      <c r="B374" s="64"/>
      <c r="C374" s="64"/>
      <c r="D374" s="64"/>
      <c r="E374" s="65"/>
      <c r="F374" s="64"/>
      <c r="G374" s="67"/>
      <c r="H374" s="64"/>
      <c r="I374" s="64"/>
      <c r="J374" s="64"/>
      <c r="K374" s="64"/>
      <c r="L374" s="65"/>
      <c r="M374" s="64"/>
      <c r="N374" s="64"/>
      <c r="O374" s="64"/>
      <c r="P374" s="64"/>
      <c r="Q374" s="64"/>
      <c r="R374" s="64"/>
      <c r="S374" s="64"/>
      <c r="T374" s="65"/>
      <c r="U374" s="64"/>
      <c r="V374" s="64"/>
      <c r="W374" s="64"/>
      <c r="X374" s="64"/>
      <c r="Y374" s="64"/>
      <c r="Z374" s="64"/>
      <c r="AA374" s="64"/>
      <c r="AB374" s="64"/>
      <c r="AC374" s="64"/>
      <c r="AD374" s="64"/>
      <c r="AE374" s="64"/>
      <c r="AF374" s="64"/>
      <c r="AG374" s="64"/>
    </row>
    <row r="375">
      <c r="A375" s="64"/>
      <c r="B375" s="64"/>
      <c r="C375" s="64"/>
      <c r="D375" s="64"/>
      <c r="E375" s="65"/>
      <c r="F375" s="64"/>
      <c r="G375" s="67"/>
      <c r="H375" s="64"/>
      <c r="I375" s="64"/>
      <c r="J375" s="64"/>
      <c r="K375" s="64"/>
      <c r="L375" s="65"/>
      <c r="M375" s="64"/>
      <c r="N375" s="64"/>
      <c r="O375" s="64"/>
      <c r="P375" s="64"/>
      <c r="Q375" s="64"/>
      <c r="R375" s="64"/>
      <c r="S375" s="64"/>
      <c r="T375" s="65"/>
      <c r="U375" s="64"/>
      <c r="V375" s="64"/>
      <c r="W375" s="64"/>
      <c r="X375" s="64"/>
      <c r="Y375" s="64"/>
      <c r="Z375" s="64"/>
      <c r="AA375" s="64"/>
      <c r="AB375" s="64"/>
      <c r="AC375" s="64"/>
      <c r="AD375" s="64"/>
      <c r="AE375" s="64"/>
      <c r="AF375" s="64"/>
      <c r="AG375" s="64"/>
    </row>
    <row r="376">
      <c r="A376" s="64"/>
      <c r="B376" s="64"/>
      <c r="C376" s="64"/>
      <c r="D376" s="64"/>
      <c r="E376" s="65"/>
      <c r="F376" s="64"/>
      <c r="G376" s="67"/>
      <c r="H376" s="64"/>
      <c r="I376" s="64"/>
      <c r="J376" s="64"/>
      <c r="K376" s="64"/>
      <c r="L376" s="65"/>
      <c r="M376" s="64"/>
      <c r="N376" s="64"/>
      <c r="O376" s="64"/>
      <c r="P376" s="64"/>
      <c r="Q376" s="64"/>
      <c r="R376" s="64"/>
      <c r="S376" s="64"/>
      <c r="T376" s="65"/>
      <c r="U376" s="64"/>
      <c r="V376" s="64"/>
      <c r="W376" s="64"/>
      <c r="X376" s="64"/>
      <c r="Y376" s="64"/>
      <c r="Z376" s="64"/>
      <c r="AA376" s="64"/>
      <c r="AB376" s="64"/>
      <c r="AC376" s="64"/>
      <c r="AD376" s="64"/>
      <c r="AE376" s="64"/>
      <c r="AF376" s="64"/>
      <c r="AG376" s="64"/>
    </row>
    <row r="377">
      <c r="A377" s="64"/>
      <c r="B377" s="64"/>
      <c r="C377" s="64"/>
      <c r="D377" s="64"/>
      <c r="E377" s="65"/>
      <c r="F377" s="64"/>
      <c r="G377" s="67"/>
      <c r="H377" s="64"/>
      <c r="I377" s="64"/>
      <c r="J377" s="64"/>
      <c r="K377" s="64"/>
      <c r="L377" s="65"/>
      <c r="M377" s="64"/>
      <c r="N377" s="64"/>
      <c r="O377" s="64"/>
      <c r="P377" s="64"/>
      <c r="Q377" s="64"/>
      <c r="R377" s="64"/>
      <c r="S377" s="64"/>
      <c r="T377" s="65"/>
      <c r="U377" s="64"/>
      <c r="V377" s="64"/>
      <c r="W377" s="64"/>
      <c r="X377" s="64"/>
      <c r="Y377" s="64"/>
      <c r="Z377" s="64"/>
      <c r="AA377" s="64"/>
      <c r="AB377" s="64"/>
      <c r="AC377" s="64"/>
      <c r="AD377" s="64"/>
      <c r="AE377" s="64"/>
      <c r="AF377" s="64"/>
      <c r="AG377" s="64"/>
    </row>
    <row r="378">
      <c r="A378" s="64"/>
      <c r="B378" s="64"/>
      <c r="C378" s="64"/>
      <c r="D378" s="64"/>
      <c r="E378" s="65"/>
      <c r="F378" s="64"/>
      <c r="G378" s="67"/>
      <c r="H378" s="64"/>
      <c r="I378" s="64"/>
      <c r="J378" s="64"/>
      <c r="K378" s="64"/>
      <c r="L378" s="65"/>
      <c r="M378" s="64"/>
      <c r="N378" s="64"/>
      <c r="O378" s="64"/>
      <c r="P378" s="64"/>
      <c r="Q378" s="64"/>
      <c r="R378" s="64"/>
      <c r="S378" s="64"/>
      <c r="T378" s="65"/>
      <c r="U378" s="64"/>
      <c r="V378" s="64"/>
      <c r="W378" s="64"/>
      <c r="X378" s="64"/>
      <c r="Y378" s="64"/>
      <c r="Z378" s="64"/>
      <c r="AA378" s="64"/>
      <c r="AB378" s="64"/>
      <c r="AC378" s="64"/>
      <c r="AD378" s="64"/>
      <c r="AE378" s="64"/>
      <c r="AF378" s="64"/>
      <c r="AG378" s="64"/>
    </row>
    <row r="379">
      <c r="A379" s="64"/>
      <c r="B379" s="64"/>
      <c r="C379" s="64"/>
      <c r="D379" s="64"/>
      <c r="E379" s="65"/>
      <c r="F379" s="64"/>
      <c r="G379" s="67"/>
      <c r="H379" s="64"/>
      <c r="I379" s="64"/>
      <c r="J379" s="64"/>
      <c r="K379" s="64"/>
      <c r="L379" s="65"/>
      <c r="M379" s="64"/>
      <c r="N379" s="64"/>
      <c r="O379" s="64"/>
      <c r="P379" s="64"/>
      <c r="Q379" s="64"/>
      <c r="R379" s="64"/>
      <c r="S379" s="64"/>
      <c r="T379" s="65"/>
      <c r="U379" s="64"/>
      <c r="V379" s="64"/>
      <c r="W379" s="64"/>
      <c r="X379" s="64"/>
      <c r="Y379" s="64"/>
      <c r="Z379" s="64"/>
      <c r="AA379" s="64"/>
      <c r="AB379" s="64"/>
      <c r="AC379" s="64"/>
      <c r="AD379" s="64"/>
      <c r="AE379" s="64"/>
      <c r="AF379" s="64"/>
      <c r="AG379" s="64"/>
    </row>
    <row r="380">
      <c r="A380" s="64"/>
      <c r="B380" s="64"/>
      <c r="C380" s="64"/>
      <c r="D380" s="64"/>
      <c r="E380" s="65"/>
      <c r="F380" s="64"/>
      <c r="G380" s="67"/>
      <c r="H380" s="64"/>
      <c r="I380" s="64"/>
      <c r="J380" s="64"/>
      <c r="K380" s="64"/>
      <c r="L380" s="65"/>
      <c r="M380" s="64"/>
      <c r="N380" s="64"/>
      <c r="O380" s="64"/>
      <c r="P380" s="64"/>
      <c r="Q380" s="64"/>
      <c r="R380" s="64"/>
      <c r="S380" s="64"/>
      <c r="T380" s="65"/>
      <c r="U380" s="64"/>
      <c r="V380" s="64"/>
      <c r="W380" s="64"/>
      <c r="X380" s="64"/>
      <c r="Y380" s="64"/>
      <c r="Z380" s="64"/>
      <c r="AA380" s="64"/>
      <c r="AB380" s="64"/>
      <c r="AC380" s="64"/>
      <c r="AD380" s="64"/>
      <c r="AE380" s="64"/>
      <c r="AF380" s="64"/>
      <c r="AG380" s="64"/>
    </row>
    <row r="381">
      <c r="A381" s="64"/>
      <c r="B381" s="64"/>
      <c r="C381" s="64"/>
      <c r="D381" s="64"/>
      <c r="E381" s="65"/>
      <c r="F381" s="64"/>
      <c r="G381" s="67"/>
      <c r="H381" s="64"/>
      <c r="I381" s="64"/>
      <c r="J381" s="64"/>
      <c r="K381" s="64"/>
      <c r="L381" s="65"/>
      <c r="M381" s="64"/>
      <c r="N381" s="64"/>
      <c r="O381" s="64"/>
      <c r="P381" s="64"/>
      <c r="Q381" s="64"/>
      <c r="R381" s="64"/>
      <c r="S381" s="64"/>
      <c r="T381" s="65"/>
      <c r="U381" s="64"/>
      <c r="V381" s="64"/>
      <c r="W381" s="64"/>
      <c r="X381" s="64"/>
      <c r="Y381" s="64"/>
      <c r="Z381" s="64"/>
      <c r="AA381" s="64"/>
      <c r="AB381" s="64"/>
      <c r="AC381" s="64"/>
      <c r="AD381" s="64"/>
      <c r="AE381" s="64"/>
      <c r="AF381" s="64"/>
      <c r="AG381" s="64"/>
    </row>
    <row r="382">
      <c r="A382" s="64"/>
      <c r="B382" s="64"/>
      <c r="C382" s="64"/>
      <c r="D382" s="64"/>
      <c r="E382" s="65"/>
      <c r="F382" s="64"/>
      <c r="G382" s="67"/>
      <c r="H382" s="64"/>
      <c r="I382" s="64"/>
      <c r="J382" s="64"/>
      <c r="K382" s="64"/>
      <c r="L382" s="65"/>
      <c r="M382" s="64"/>
      <c r="N382" s="64"/>
      <c r="O382" s="64"/>
      <c r="P382" s="64"/>
      <c r="Q382" s="64"/>
      <c r="R382" s="64"/>
      <c r="S382" s="64"/>
      <c r="T382" s="65"/>
      <c r="U382" s="64"/>
      <c r="V382" s="64"/>
      <c r="W382" s="64"/>
      <c r="X382" s="64"/>
      <c r="Y382" s="64"/>
      <c r="Z382" s="64"/>
      <c r="AA382" s="64"/>
      <c r="AB382" s="64"/>
      <c r="AC382" s="64"/>
      <c r="AD382" s="64"/>
      <c r="AE382" s="64"/>
      <c r="AF382" s="64"/>
      <c r="AG382" s="64"/>
    </row>
    <row r="383">
      <c r="A383" s="64"/>
      <c r="B383" s="64"/>
      <c r="C383" s="64"/>
      <c r="D383" s="64"/>
      <c r="E383" s="65"/>
      <c r="F383" s="64"/>
      <c r="G383" s="67"/>
      <c r="H383" s="64"/>
      <c r="I383" s="64"/>
      <c r="J383" s="64"/>
      <c r="K383" s="64"/>
      <c r="L383" s="65"/>
      <c r="M383" s="64"/>
      <c r="N383" s="64"/>
      <c r="O383" s="64"/>
      <c r="P383" s="64"/>
      <c r="Q383" s="64"/>
      <c r="R383" s="64"/>
      <c r="S383" s="64"/>
      <c r="T383" s="65"/>
      <c r="U383" s="64"/>
      <c r="V383" s="64"/>
      <c r="W383" s="64"/>
      <c r="X383" s="64"/>
      <c r="Y383" s="64"/>
      <c r="Z383" s="64"/>
      <c r="AA383" s="64"/>
      <c r="AB383" s="64"/>
      <c r="AC383" s="64"/>
      <c r="AD383" s="64"/>
      <c r="AE383" s="64"/>
      <c r="AF383" s="64"/>
      <c r="AG383" s="64"/>
    </row>
    <row r="384">
      <c r="A384" s="64"/>
      <c r="B384" s="64"/>
      <c r="C384" s="64"/>
      <c r="D384" s="64"/>
      <c r="E384" s="65"/>
      <c r="F384" s="64"/>
      <c r="G384" s="67"/>
      <c r="H384" s="64"/>
      <c r="I384" s="64"/>
      <c r="J384" s="64"/>
      <c r="K384" s="64"/>
      <c r="L384" s="65"/>
      <c r="M384" s="64"/>
      <c r="N384" s="64"/>
      <c r="O384" s="64"/>
      <c r="P384" s="64"/>
      <c r="Q384" s="64"/>
      <c r="R384" s="64"/>
      <c r="S384" s="64"/>
      <c r="T384" s="65"/>
      <c r="U384" s="64"/>
      <c r="V384" s="64"/>
      <c r="W384" s="64"/>
      <c r="X384" s="64"/>
      <c r="Y384" s="64"/>
      <c r="Z384" s="64"/>
      <c r="AA384" s="64"/>
      <c r="AB384" s="64"/>
      <c r="AC384" s="64"/>
      <c r="AD384" s="64"/>
      <c r="AE384" s="64"/>
      <c r="AF384" s="64"/>
      <c r="AG384" s="64"/>
    </row>
    <row r="385">
      <c r="A385" s="64"/>
      <c r="B385" s="64"/>
      <c r="C385" s="64"/>
      <c r="D385" s="64"/>
      <c r="E385" s="65"/>
      <c r="F385" s="64"/>
      <c r="G385" s="67"/>
      <c r="H385" s="64"/>
      <c r="I385" s="64"/>
      <c r="J385" s="64"/>
      <c r="K385" s="64"/>
      <c r="L385" s="65"/>
      <c r="M385" s="64"/>
      <c r="N385" s="64"/>
      <c r="O385" s="64"/>
      <c r="P385" s="64"/>
      <c r="Q385" s="64"/>
      <c r="R385" s="64"/>
      <c r="S385" s="64"/>
      <c r="T385" s="65"/>
      <c r="U385" s="64"/>
      <c r="V385" s="64"/>
      <c r="W385" s="64"/>
      <c r="X385" s="64"/>
      <c r="Y385" s="64"/>
      <c r="Z385" s="64"/>
      <c r="AA385" s="64"/>
      <c r="AB385" s="64"/>
      <c r="AC385" s="64"/>
      <c r="AD385" s="64"/>
      <c r="AE385" s="64"/>
      <c r="AF385" s="64"/>
      <c r="AG385" s="64"/>
    </row>
    <row r="386">
      <c r="A386" s="64"/>
      <c r="B386" s="64"/>
      <c r="C386" s="64"/>
      <c r="D386" s="64"/>
      <c r="E386" s="65"/>
      <c r="F386" s="64"/>
      <c r="G386" s="67"/>
      <c r="H386" s="64"/>
      <c r="I386" s="64"/>
      <c r="J386" s="64"/>
      <c r="K386" s="64"/>
      <c r="L386" s="65"/>
      <c r="M386" s="64"/>
      <c r="N386" s="64"/>
      <c r="O386" s="64"/>
      <c r="P386" s="64"/>
      <c r="Q386" s="64"/>
      <c r="R386" s="64"/>
      <c r="S386" s="64"/>
      <c r="T386" s="65"/>
      <c r="U386" s="64"/>
      <c r="V386" s="64"/>
      <c r="W386" s="64"/>
      <c r="X386" s="64"/>
      <c r="Y386" s="64"/>
      <c r="Z386" s="64"/>
      <c r="AA386" s="64"/>
      <c r="AB386" s="64"/>
      <c r="AC386" s="64"/>
      <c r="AD386" s="64"/>
      <c r="AE386" s="64"/>
      <c r="AF386" s="64"/>
      <c r="AG386" s="64"/>
    </row>
    <row r="387">
      <c r="A387" s="64"/>
      <c r="B387" s="64"/>
      <c r="C387" s="64"/>
      <c r="D387" s="64"/>
      <c r="E387" s="65"/>
      <c r="F387" s="64"/>
      <c r="G387" s="67"/>
      <c r="H387" s="64"/>
      <c r="I387" s="64"/>
      <c r="J387" s="64"/>
      <c r="K387" s="64"/>
      <c r="L387" s="65"/>
      <c r="M387" s="64"/>
      <c r="N387" s="64"/>
      <c r="O387" s="64"/>
      <c r="P387" s="64"/>
      <c r="Q387" s="64"/>
      <c r="R387" s="64"/>
      <c r="S387" s="64"/>
      <c r="T387" s="65"/>
      <c r="U387" s="64"/>
      <c r="V387" s="64"/>
      <c r="W387" s="64"/>
      <c r="X387" s="64"/>
      <c r="Y387" s="64"/>
      <c r="Z387" s="64"/>
      <c r="AA387" s="64"/>
      <c r="AB387" s="64"/>
      <c r="AC387" s="64"/>
      <c r="AD387" s="64"/>
      <c r="AE387" s="64"/>
      <c r="AF387" s="64"/>
      <c r="AG387" s="64"/>
    </row>
    <row r="388">
      <c r="A388" s="64"/>
      <c r="B388" s="64"/>
      <c r="C388" s="64"/>
      <c r="D388" s="64"/>
      <c r="E388" s="65"/>
      <c r="F388" s="64"/>
      <c r="G388" s="67"/>
      <c r="H388" s="64"/>
      <c r="I388" s="64"/>
      <c r="J388" s="64"/>
      <c r="K388" s="64"/>
      <c r="L388" s="65"/>
      <c r="M388" s="64"/>
      <c r="N388" s="64"/>
      <c r="O388" s="64"/>
      <c r="P388" s="64"/>
      <c r="Q388" s="64"/>
      <c r="R388" s="64"/>
      <c r="S388" s="64"/>
      <c r="T388" s="65"/>
      <c r="U388" s="64"/>
      <c r="V388" s="64"/>
      <c r="W388" s="64"/>
      <c r="X388" s="64"/>
      <c r="Y388" s="64"/>
      <c r="Z388" s="64"/>
      <c r="AA388" s="64"/>
      <c r="AB388" s="64"/>
      <c r="AC388" s="64"/>
      <c r="AD388" s="64"/>
      <c r="AE388" s="64"/>
      <c r="AF388" s="64"/>
      <c r="AG388" s="64"/>
    </row>
    <row r="389">
      <c r="A389" s="64"/>
      <c r="B389" s="64"/>
      <c r="C389" s="64"/>
      <c r="D389" s="64"/>
      <c r="E389" s="65"/>
      <c r="F389" s="64"/>
      <c r="G389" s="67"/>
      <c r="H389" s="64"/>
      <c r="I389" s="64"/>
      <c r="J389" s="64"/>
      <c r="K389" s="64"/>
      <c r="L389" s="65"/>
      <c r="M389" s="64"/>
      <c r="N389" s="64"/>
      <c r="O389" s="64"/>
      <c r="P389" s="64"/>
      <c r="Q389" s="64"/>
      <c r="R389" s="64"/>
      <c r="S389" s="64"/>
      <c r="T389" s="65"/>
      <c r="U389" s="64"/>
      <c r="V389" s="64"/>
      <c r="W389" s="64"/>
      <c r="X389" s="64"/>
      <c r="Y389" s="64"/>
      <c r="Z389" s="64"/>
      <c r="AA389" s="64"/>
      <c r="AB389" s="64"/>
      <c r="AC389" s="64"/>
      <c r="AD389" s="64"/>
      <c r="AE389" s="64"/>
      <c r="AF389" s="64"/>
      <c r="AG389" s="64"/>
    </row>
    <row r="390">
      <c r="A390" s="64"/>
      <c r="B390" s="64"/>
      <c r="C390" s="64"/>
      <c r="D390" s="64"/>
      <c r="E390" s="65"/>
      <c r="F390" s="64"/>
      <c r="G390" s="67"/>
      <c r="H390" s="64"/>
      <c r="I390" s="64"/>
      <c r="J390" s="64"/>
      <c r="K390" s="64"/>
      <c r="L390" s="65"/>
      <c r="M390" s="64"/>
      <c r="N390" s="64"/>
      <c r="O390" s="64"/>
      <c r="P390" s="64"/>
      <c r="Q390" s="64"/>
      <c r="R390" s="64"/>
      <c r="S390" s="64"/>
      <c r="T390" s="65"/>
      <c r="U390" s="64"/>
      <c r="V390" s="64"/>
      <c r="W390" s="64"/>
      <c r="X390" s="64"/>
      <c r="Y390" s="64"/>
      <c r="Z390" s="64"/>
      <c r="AA390" s="64"/>
      <c r="AB390" s="64"/>
      <c r="AC390" s="64"/>
      <c r="AD390" s="64"/>
      <c r="AE390" s="64"/>
      <c r="AF390" s="64"/>
      <c r="AG390" s="64"/>
    </row>
    <row r="391">
      <c r="A391" s="64"/>
      <c r="B391" s="64"/>
      <c r="C391" s="64"/>
      <c r="D391" s="64"/>
      <c r="E391" s="65"/>
      <c r="F391" s="64"/>
      <c r="G391" s="67"/>
      <c r="H391" s="64"/>
      <c r="I391" s="64"/>
      <c r="J391" s="64"/>
      <c r="K391" s="64"/>
      <c r="L391" s="65"/>
      <c r="M391" s="64"/>
      <c r="N391" s="64"/>
      <c r="O391" s="64"/>
      <c r="P391" s="64"/>
      <c r="Q391" s="64"/>
      <c r="R391" s="64"/>
      <c r="S391" s="64"/>
      <c r="T391" s="65"/>
      <c r="U391" s="64"/>
      <c r="V391" s="64"/>
      <c r="W391" s="64"/>
      <c r="X391" s="64"/>
      <c r="Y391" s="64"/>
      <c r="Z391" s="64"/>
      <c r="AA391" s="64"/>
      <c r="AB391" s="64"/>
      <c r="AC391" s="64"/>
      <c r="AD391" s="64"/>
      <c r="AE391" s="64"/>
      <c r="AF391" s="64"/>
      <c r="AG391" s="64"/>
    </row>
    <row r="392">
      <c r="A392" s="64"/>
      <c r="B392" s="64"/>
      <c r="C392" s="64"/>
      <c r="D392" s="64"/>
      <c r="E392" s="65"/>
      <c r="F392" s="64"/>
      <c r="G392" s="67"/>
      <c r="H392" s="64"/>
      <c r="I392" s="64"/>
      <c r="J392" s="64"/>
      <c r="K392" s="64"/>
      <c r="L392" s="65"/>
      <c r="M392" s="64"/>
      <c r="N392" s="64"/>
      <c r="O392" s="64"/>
      <c r="P392" s="64"/>
      <c r="Q392" s="64"/>
      <c r="R392" s="64"/>
      <c r="S392" s="64"/>
      <c r="T392" s="65"/>
      <c r="U392" s="64"/>
      <c r="V392" s="64"/>
      <c r="W392" s="64"/>
      <c r="X392" s="64"/>
      <c r="Y392" s="64"/>
      <c r="Z392" s="64"/>
      <c r="AA392" s="64"/>
      <c r="AB392" s="64"/>
      <c r="AC392" s="64"/>
      <c r="AD392" s="64"/>
      <c r="AE392" s="64"/>
      <c r="AF392" s="64"/>
      <c r="AG392" s="64"/>
    </row>
    <row r="393">
      <c r="A393" s="64"/>
      <c r="B393" s="64"/>
      <c r="C393" s="64"/>
      <c r="D393" s="64"/>
      <c r="E393" s="65"/>
      <c r="F393" s="64"/>
      <c r="G393" s="67"/>
      <c r="H393" s="64"/>
      <c r="I393" s="64"/>
      <c r="J393" s="64"/>
      <c r="K393" s="64"/>
      <c r="L393" s="65"/>
      <c r="M393" s="64"/>
      <c r="N393" s="64"/>
      <c r="O393" s="64"/>
      <c r="P393" s="64"/>
      <c r="Q393" s="64"/>
      <c r="R393" s="64"/>
      <c r="S393" s="64"/>
      <c r="T393" s="65"/>
      <c r="U393" s="64"/>
      <c r="V393" s="64"/>
      <c r="W393" s="64"/>
      <c r="X393" s="64"/>
      <c r="Y393" s="64"/>
      <c r="Z393" s="64"/>
      <c r="AA393" s="64"/>
      <c r="AB393" s="64"/>
      <c r="AC393" s="64"/>
      <c r="AD393" s="64"/>
      <c r="AE393" s="64"/>
      <c r="AF393" s="64"/>
      <c r="AG393" s="64"/>
    </row>
    <row r="394">
      <c r="A394" s="64"/>
      <c r="B394" s="64"/>
      <c r="C394" s="64"/>
      <c r="D394" s="64"/>
      <c r="E394" s="65"/>
      <c r="F394" s="64"/>
      <c r="G394" s="67"/>
      <c r="H394" s="64"/>
      <c r="I394" s="64"/>
      <c r="J394" s="64"/>
      <c r="K394" s="64"/>
      <c r="L394" s="65"/>
      <c r="M394" s="64"/>
      <c r="N394" s="64"/>
      <c r="O394" s="64"/>
      <c r="P394" s="64"/>
      <c r="Q394" s="64"/>
      <c r="R394" s="64"/>
      <c r="S394" s="64"/>
      <c r="T394" s="65"/>
      <c r="U394" s="64"/>
      <c r="V394" s="64"/>
      <c r="W394" s="64"/>
      <c r="X394" s="64"/>
      <c r="Y394" s="64"/>
      <c r="Z394" s="64"/>
      <c r="AA394" s="64"/>
      <c r="AB394" s="64"/>
      <c r="AC394" s="64"/>
      <c r="AD394" s="64"/>
      <c r="AE394" s="64"/>
      <c r="AF394" s="64"/>
      <c r="AG394" s="64"/>
    </row>
    <row r="395">
      <c r="A395" s="64"/>
      <c r="B395" s="64"/>
      <c r="C395" s="64"/>
      <c r="D395" s="64"/>
      <c r="E395" s="65"/>
      <c r="F395" s="64"/>
      <c r="G395" s="67"/>
      <c r="H395" s="64"/>
      <c r="I395" s="64"/>
      <c r="J395" s="64"/>
      <c r="K395" s="64"/>
      <c r="L395" s="65"/>
      <c r="M395" s="64"/>
      <c r="N395" s="64"/>
      <c r="O395" s="64"/>
      <c r="P395" s="64"/>
      <c r="Q395" s="64"/>
      <c r="R395" s="64"/>
      <c r="S395" s="64"/>
      <c r="T395" s="65"/>
      <c r="U395" s="64"/>
      <c r="V395" s="64"/>
      <c r="W395" s="64"/>
      <c r="X395" s="64"/>
      <c r="Y395" s="64"/>
      <c r="Z395" s="64"/>
      <c r="AA395" s="64"/>
      <c r="AB395" s="64"/>
      <c r="AC395" s="64"/>
      <c r="AD395" s="64"/>
      <c r="AE395" s="64"/>
      <c r="AF395" s="64"/>
      <c r="AG395" s="64"/>
    </row>
    <row r="396">
      <c r="A396" s="64"/>
      <c r="B396" s="64"/>
      <c r="C396" s="64"/>
      <c r="D396" s="64"/>
      <c r="E396" s="65"/>
      <c r="F396" s="64"/>
      <c r="G396" s="67"/>
      <c r="H396" s="64"/>
      <c r="I396" s="64"/>
      <c r="J396" s="64"/>
      <c r="K396" s="64"/>
      <c r="L396" s="65"/>
      <c r="M396" s="64"/>
      <c r="N396" s="64"/>
      <c r="O396" s="64"/>
      <c r="P396" s="64"/>
      <c r="Q396" s="64"/>
      <c r="R396" s="64"/>
      <c r="S396" s="64"/>
      <c r="T396" s="65"/>
      <c r="U396" s="64"/>
      <c r="V396" s="64"/>
      <c r="W396" s="64"/>
      <c r="X396" s="64"/>
      <c r="Y396" s="64"/>
      <c r="Z396" s="64"/>
      <c r="AA396" s="64"/>
      <c r="AB396" s="64"/>
      <c r="AC396" s="64"/>
      <c r="AD396" s="64"/>
      <c r="AE396" s="64"/>
      <c r="AF396" s="64"/>
      <c r="AG396" s="64"/>
    </row>
    <row r="397">
      <c r="A397" s="64"/>
      <c r="B397" s="64"/>
      <c r="C397" s="64"/>
      <c r="D397" s="64"/>
      <c r="E397" s="65"/>
      <c r="F397" s="64"/>
      <c r="G397" s="67"/>
      <c r="H397" s="64"/>
      <c r="I397" s="64"/>
      <c r="J397" s="64"/>
      <c r="K397" s="64"/>
      <c r="L397" s="65"/>
      <c r="M397" s="64"/>
      <c r="N397" s="64"/>
      <c r="O397" s="64"/>
      <c r="P397" s="64"/>
      <c r="Q397" s="64"/>
      <c r="R397" s="64"/>
      <c r="S397" s="64"/>
      <c r="T397" s="65"/>
      <c r="U397" s="64"/>
      <c r="V397" s="64"/>
      <c r="W397" s="64"/>
      <c r="X397" s="64"/>
      <c r="Y397" s="64"/>
      <c r="Z397" s="64"/>
      <c r="AA397" s="64"/>
      <c r="AB397" s="64"/>
      <c r="AC397" s="64"/>
      <c r="AD397" s="64"/>
      <c r="AE397" s="64"/>
      <c r="AF397" s="64"/>
      <c r="AG397" s="64"/>
    </row>
    <row r="398">
      <c r="A398" s="64"/>
      <c r="B398" s="64"/>
      <c r="C398" s="64"/>
      <c r="D398" s="64"/>
      <c r="E398" s="65"/>
      <c r="F398" s="64"/>
      <c r="G398" s="67"/>
      <c r="H398" s="64"/>
      <c r="I398" s="64"/>
      <c r="J398" s="64"/>
      <c r="K398" s="64"/>
      <c r="L398" s="65"/>
      <c r="M398" s="64"/>
      <c r="N398" s="64"/>
      <c r="O398" s="64"/>
      <c r="P398" s="64"/>
      <c r="Q398" s="64"/>
      <c r="R398" s="64"/>
      <c r="S398" s="64"/>
      <c r="T398" s="65"/>
      <c r="U398" s="64"/>
      <c r="V398" s="64"/>
      <c r="W398" s="64"/>
      <c r="X398" s="64"/>
      <c r="Y398" s="64"/>
      <c r="Z398" s="64"/>
      <c r="AA398" s="64"/>
      <c r="AB398" s="64"/>
      <c r="AC398" s="64"/>
      <c r="AD398" s="64"/>
      <c r="AE398" s="64"/>
      <c r="AF398" s="64"/>
      <c r="AG398" s="64"/>
    </row>
    <row r="399">
      <c r="A399" s="64"/>
      <c r="B399" s="64"/>
      <c r="C399" s="64"/>
      <c r="D399" s="64"/>
      <c r="E399" s="65"/>
      <c r="F399" s="64"/>
      <c r="G399" s="67"/>
      <c r="H399" s="64"/>
      <c r="I399" s="64"/>
      <c r="J399" s="64"/>
      <c r="K399" s="64"/>
      <c r="L399" s="65"/>
      <c r="M399" s="64"/>
      <c r="N399" s="64"/>
      <c r="O399" s="64"/>
      <c r="P399" s="64"/>
      <c r="Q399" s="64"/>
      <c r="R399" s="64"/>
      <c r="S399" s="64"/>
      <c r="T399" s="65"/>
      <c r="U399" s="64"/>
      <c r="V399" s="64"/>
      <c r="W399" s="64"/>
      <c r="X399" s="64"/>
      <c r="Y399" s="64"/>
      <c r="Z399" s="64"/>
      <c r="AA399" s="64"/>
      <c r="AB399" s="64"/>
      <c r="AC399" s="64"/>
      <c r="AD399" s="64"/>
      <c r="AE399" s="64"/>
      <c r="AF399" s="64"/>
      <c r="AG399" s="64"/>
    </row>
    <row r="400">
      <c r="A400" s="64"/>
      <c r="B400" s="64"/>
      <c r="C400" s="64"/>
      <c r="D400" s="64"/>
      <c r="E400" s="65"/>
      <c r="F400" s="64"/>
      <c r="G400" s="67"/>
      <c r="H400" s="64"/>
      <c r="I400" s="64"/>
      <c r="J400" s="64"/>
      <c r="K400" s="64"/>
      <c r="L400" s="65"/>
      <c r="M400" s="64"/>
      <c r="N400" s="64"/>
      <c r="O400" s="64"/>
      <c r="P400" s="64"/>
      <c r="Q400" s="64"/>
      <c r="R400" s="64"/>
      <c r="S400" s="64"/>
      <c r="T400" s="65"/>
      <c r="U400" s="64"/>
      <c r="V400" s="64"/>
      <c r="W400" s="64"/>
      <c r="X400" s="64"/>
      <c r="Y400" s="64"/>
      <c r="Z400" s="64"/>
      <c r="AA400" s="64"/>
      <c r="AB400" s="64"/>
      <c r="AC400" s="64"/>
      <c r="AD400" s="64"/>
      <c r="AE400" s="64"/>
      <c r="AF400" s="64"/>
      <c r="AG400" s="64"/>
    </row>
    <row r="401">
      <c r="A401" s="64"/>
      <c r="B401" s="64"/>
      <c r="C401" s="64"/>
      <c r="D401" s="64"/>
      <c r="E401" s="65"/>
      <c r="F401" s="64"/>
      <c r="G401" s="67"/>
      <c r="H401" s="64"/>
      <c r="I401" s="64"/>
      <c r="J401" s="64"/>
      <c r="K401" s="64"/>
      <c r="L401" s="65"/>
      <c r="M401" s="64"/>
      <c r="N401" s="64"/>
      <c r="O401" s="64"/>
      <c r="P401" s="64"/>
      <c r="Q401" s="64"/>
      <c r="R401" s="64"/>
      <c r="S401" s="64"/>
      <c r="T401" s="65"/>
      <c r="U401" s="64"/>
      <c r="V401" s="64"/>
      <c r="W401" s="64"/>
      <c r="X401" s="64"/>
      <c r="Y401" s="64"/>
      <c r="Z401" s="64"/>
      <c r="AA401" s="64"/>
      <c r="AB401" s="64"/>
      <c r="AC401" s="64"/>
      <c r="AD401" s="64"/>
      <c r="AE401" s="64"/>
      <c r="AF401" s="64"/>
      <c r="AG401" s="64"/>
    </row>
    <row r="402">
      <c r="A402" s="64"/>
      <c r="B402" s="64"/>
      <c r="C402" s="64"/>
      <c r="D402" s="64"/>
      <c r="E402" s="65"/>
      <c r="F402" s="64"/>
      <c r="G402" s="67"/>
      <c r="H402" s="64"/>
      <c r="I402" s="64"/>
      <c r="J402" s="64"/>
      <c r="K402" s="64"/>
      <c r="L402" s="65"/>
      <c r="M402" s="64"/>
      <c r="N402" s="64"/>
      <c r="O402" s="64"/>
      <c r="P402" s="64"/>
      <c r="Q402" s="64"/>
      <c r="R402" s="64"/>
      <c r="S402" s="64"/>
      <c r="T402" s="65"/>
      <c r="U402" s="64"/>
      <c r="V402" s="64"/>
      <c r="W402" s="64"/>
      <c r="X402" s="64"/>
      <c r="Y402" s="64"/>
      <c r="Z402" s="64"/>
      <c r="AA402" s="64"/>
      <c r="AB402" s="64"/>
      <c r="AC402" s="64"/>
      <c r="AD402" s="64"/>
      <c r="AE402" s="64"/>
      <c r="AF402" s="64"/>
      <c r="AG402" s="64"/>
    </row>
    <row r="403">
      <c r="A403" s="64"/>
      <c r="B403" s="64"/>
      <c r="C403" s="64"/>
      <c r="D403" s="64"/>
      <c r="E403" s="65"/>
      <c r="F403" s="64"/>
      <c r="G403" s="67"/>
      <c r="H403" s="64"/>
      <c r="I403" s="64"/>
      <c r="J403" s="64"/>
      <c r="K403" s="64"/>
      <c r="L403" s="65"/>
      <c r="M403" s="64"/>
      <c r="N403" s="64"/>
      <c r="O403" s="64"/>
      <c r="P403" s="64"/>
      <c r="Q403" s="64"/>
      <c r="R403" s="64"/>
      <c r="S403" s="64"/>
      <c r="T403" s="65"/>
      <c r="U403" s="64"/>
      <c r="V403" s="64"/>
      <c r="W403" s="64"/>
      <c r="X403" s="64"/>
      <c r="Y403" s="64"/>
      <c r="Z403" s="64"/>
      <c r="AA403" s="64"/>
      <c r="AB403" s="64"/>
      <c r="AC403" s="64"/>
      <c r="AD403" s="64"/>
      <c r="AE403" s="64"/>
      <c r="AF403" s="64"/>
      <c r="AG403" s="64"/>
    </row>
    <row r="404">
      <c r="A404" s="64"/>
      <c r="B404" s="64"/>
      <c r="C404" s="64"/>
      <c r="D404" s="64"/>
      <c r="E404" s="65"/>
      <c r="F404" s="64"/>
      <c r="G404" s="67"/>
      <c r="H404" s="64"/>
      <c r="I404" s="64"/>
      <c r="J404" s="64"/>
      <c r="K404" s="64"/>
      <c r="L404" s="65"/>
      <c r="M404" s="64"/>
      <c r="N404" s="64"/>
      <c r="O404" s="64"/>
      <c r="P404" s="64"/>
      <c r="Q404" s="64"/>
      <c r="R404" s="64"/>
      <c r="S404" s="64"/>
      <c r="T404" s="65"/>
      <c r="U404" s="64"/>
      <c r="V404" s="64"/>
      <c r="W404" s="64"/>
      <c r="X404" s="64"/>
      <c r="Y404" s="64"/>
      <c r="Z404" s="64"/>
      <c r="AA404" s="64"/>
      <c r="AB404" s="64"/>
      <c r="AC404" s="64"/>
      <c r="AD404" s="64"/>
      <c r="AE404" s="64"/>
      <c r="AF404" s="64"/>
      <c r="AG404" s="64"/>
    </row>
    <row r="405">
      <c r="A405" s="64"/>
      <c r="B405" s="64"/>
      <c r="C405" s="64"/>
      <c r="D405" s="64"/>
      <c r="E405" s="65"/>
      <c r="F405" s="64"/>
      <c r="G405" s="67"/>
      <c r="H405" s="64"/>
      <c r="I405" s="64"/>
      <c r="J405" s="64"/>
      <c r="K405" s="64"/>
      <c r="L405" s="65"/>
      <c r="M405" s="64"/>
      <c r="N405" s="64"/>
      <c r="O405" s="64"/>
      <c r="P405" s="64"/>
      <c r="Q405" s="64"/>
      <c r="R405" s="64"/>
      <c r="S405" s="64"/>
      <c r="T405" s="65"/>
      <c r="U405" s="64"/>
      <c r="V405" s="64"/>
      <c r="W405" s="64"/>
      <c r="X405" s="64"/>
      <c r="Y405" s="64"/>
      <c r="Z405" s="64"/>
      <c r="AA405" s="64"/>
      <c r="AB405" s="64"/>
      <c r="AC405" s="64"/>
      <c r="AD405" s="64"/>
      <c r="AE405" s="64"/>
      <c r="AF405" s="64"/>
      <c r="AG405" s="64"/>
    </row>
    <row r="406">
      <c r="A406" s="64"/>
      <c r="B406" s="64"/>
      <c r="C406" s="64"/>
      <c r="D406" s="64"/>
      <c r="E406" s="65"/>
      <c r="F406" s="64"/>
      <c r="G406" s="67"/>
      <c r="H406" s="64"/>
      <c r="I406" s="64"/>
      <c r="J406" s="64"/>
      <c r="K406" s="64"/>
      <c r="L406" s="65"/>
      <c r="M406" s="64"/>
      <c r="N406" s="64"/>
      <c r="O406" s="64"/>
      <c r="P406" s="64"/>
      <c r="Q406" s="64"/>
      <c r="R406" s="64"/>
      <c r="S406" s="64"/>
      <c r="T406" s="65"/>
      <c r="U406" s="64"/>
      <c r="V406" s="64"/>
      <c r="W406" s="64"/>
      <c r="X406" s="64"/>
      <c r="Y406" s="64"/>
      <c r="Z406" s="64"/>
      <c r="AA406" s="64"/>
      <c r="AB406" s="64"/>
      <c r="AC406" s="64"/>
      <c r="AD406" s="64"/>
      <c r="AE406" s="64"/>
      <c r="AF406" s="64"/>
      <c r="AG406" s="64"/>
    </row>
    <row r="407">
      <c r="A407" s="64"/>
      <c r="B407" s="64"/>
      <c r="C407" s="64"/>
      <c r="D407" s="64"/>
      <c r="E407" s="65"/>
      <c r="F407" s="64"/>
      <c r="G407" s="67"/>
      <c r="H407" s="64"/>
      <c r="I407" s="64"/>
      <c r="J407" s="64"/>
      <c r="K407" s="64"/>
      <c r="L407" s="65"/>
      <c r="M407" s="64"/>
      <c r="N407" s="64"/>
      <c r="O407" s="64"/>
      <c r="P407" s="64"/>
      <c r="Q407" s="64"/>
      <c r="R407" s="64"/>
      <c r="S407" s="64"/>
      <c r="T407" s="65"/>
      <c r="U407" s="64"/>
      <c r="V407" s="64"/>
      <c r="W407" s="64"/>
      <c r="X407" s="64"/>
      <c r="Y407" s="64"/>
      <c r="Z407" s="64"/>
      <c r="AA407" s="64"/>
      <c r="AB407" s="64"/>
      <c r="AC407" s="64"/>
      <c r="AD407" s="64"/>
      <c r="AE407" s="64"/>
      <c r="AF407" s="64"/>
      <c r="AG407" s="64"/>
    </row>
    <row r="408">
      <c r="A408" s="64"/>
      <c r="B408" s="64"/>
      <c r="C408" s="64"/>
      <c r="D408" s="64"/>
      <c r="E408" s="65"/>
      <c r="F408" s="64"/>
      <c r="G408" s="67"/>
      <c r="H408" s="64"/>
      <c r="I408" s="64"/>
      <c r="J408" s="64"/>
      <c r="K408" s="64"/>
      <c r="L408" s="65"/>
      <c r="M408" s="64"/>
      <c r="N408" s="64"/>
      <c r="O408" s="64"/>
      <c r="P408" s="64"/>
      <c r="Q408" s="64"/>
      <c r="R408" s="64"/>
      <c r="S408" s="64"/>
      <c r="T408" s="65"/>
      <c r="U408" s="64"/>
      <c r="V408" s="64"/>
      <c r="W408" s="64"/>
      <c r="X408" s="64"/>
      <c r="Y408" s="64"/>
      <c r="Z408" s="64"/>
      <c r="AA408" s="64"/>
      <c r="AB408" s="64"/>
      <c r="AC408" s="64"/>
      <c r="AD408" s="64"/>
      <c r="AE408" s="64"/>
      <c r="AF408" s="64"/>
      <c r="AG408" s="64"/>
    </row>
    <row r="409">
      <c r="A409" s="64"/>
      <c r="B409" s="64"/>
      <c r="C409" s="64"/>
      <c r="D409" s="64"/>
      <c r="E409" s="65"/>
      <c r="F409" s="64"/>
      <c r="G409" s="67"/>
      <c r="H409" s="64"/>
      <c r="I409" s="64"/>
      <c r="J409" s="64"/>
      <c r="K409" s="64"/>
      <c r="L409" s="65"/>
      <c r="M409" s="64"/>
      <c r="N409" s="64"/>
      <c r="O409" s="64"/>
      <c r="P409" s="64"/>
      <c r="Q409" s="64"/>
      <c r="R409" s="64"/>
      <c r="S409" s="64"/>
      <c r="T409" s="65"/>
      <c r="U409" s="64"/>
      <c r="V409" s="64"/>
      <c r="W409" s="64"/>
      <c r="X409" s="64"/>
      <c r="Y409" s="64"/>
      <c r="Z409" s="64"/>
      <c r="AA409" s="64"/>
      <c r="AB409" s="64"/>
      <c r="AC409" s="64"/>
      <c r="AD409" s="64"/>
      <c r="AE409" s="64"/>
      <c r="AF409" s="64"/>
      <c r="AG409" s="64"/>
    </row>
    <row r="410">
      <c r="A410" s="64"/>
      <c r="B410" s="64"/>
      <c r="C410" s="64"/>
      <c r="D410" s="64"/>
      <c r="E410" s="65"/>
      <c r="F410" s="64"/>
      <c r="G410" s="67"/>
      <c r="H410" s="64"/>
      <c r="I410" s="64"/>
      <c r="J410" s="64"/>
      <c r="K410" s="64"/>
      <c r="L410" s="65"/>
      <c r="M410" s="64"/>
      <c r="N410" s="64"/>
      <c r="O410" s="64"/>
      <c r="P410" s="64"/>
      <c r="Q410" s="64"/>
      <c r="R410" s="64"/>
      <c r="S410" s="64"/>
      <c r="T410" s="65"/>
      <c r="U410" s="64"/>
      <c r="V410" s="64"/>
      <c r="W410" s="64"/>
      <c r="X410" s="64"/>
      <c r="Y410" s="64"/>
      <c r="Z410" s="64"/>
      <c r="AA410" s="64"/>
      <c r="AB410" s="64"/>
      <c r="AC410" s="64"/>
      <c r="AD410" s="64"/>
      <c r="AE410" s="64"/>
      <c r="AF410" s="64"/>
      <c r="AG410" s="64"/>
    </row>
    <row r="411">
      <c r="A411" s="64"/>
      <c r="B411" s="64"/>
      <c r="C411" s="64"/>
      <c r="D411" s="64"/>
      <c r="E411" s="65"/>
      <c r="F411" s="64"/>
      <c r="G411" s="67"/>
      <c r="H411" s="64"/>
      <c r="I411" s="64"/>
      <c r="J411" s="64"/>
      <c r="K411" s="64"/>
      <c r="L411" s="65"/>
      <c r="M411" s="64"/>
      <c r="N411" s="64"/>
      <c r="O411" s="64"/>
      <c r="P411" s="64"/>
      <c r="Q411" s="64"/>
      <c r="R411" s="64"/>
      <c r="S411" s="64"/>
      <c r="T411" s="65"/>
      <c r="U411" s="64"/>
      <c r="V411" s="64"/>
      <c r="W411" s="64"/>
      <c r="X411" s="64"/>
      <c r="Y411" s="64"/>
      <c r="Z411" s="64"/>
      <c r="AA411" s="64"/>
      <c r="AB411" s="64"/>
      <c r="AC411" s="64"/>
      <c r="AD411" s="64"/>
      <c r="AE411" s="64"/>
      <c r="AF411" s="64"/>
      <c r="AG411" s="64"/>
    </row>
    <row r="412">
      <c r="A412" s="64"/>
      <c r="B412" s="64"/>
      <c r="C412" s="64"/>
      <c r="D412" s="64"/>
      <c r="E412" s="65"/>
      <c r="F412" s="64"/>
      <c r="G412" s="67"/>
      <c r="H412" s="64"/>
      <c r="I412" s="64"/>
      <c r="J412" s="64"/>
      <c r="K412" s="64"/>
      <c r="L412" s="65"/>
      <c r="M412" s="64"/>
      <c r="N412" s="64"/>
      <c r="O412" s="64"/>
      <c r="P412" s="64"/>
      <c r="Q412" s="64"/>
      <c r="R412" s="64"/>
      <c r="S412" s="64"/>
      <c r="T412" s="65"/>
      <c r="U412" s="64"/>
      <c r="V412" s="64"/>
      <c r="W412" s="64"/>
      <c r="X412" s="64"/>
      <c r="Y412" s="64"/>
      <c r="Z412" s="64"/>
      <c r="AA412" s="64"/>
      <c r="AB412" s="64"/>
      <c r="AC412" s="64"/>
      <c r="AD412" s="64"/>
      <c r="AE412" s="64"/>
      <c r="AF412" s="64"/>
      <c r="AG412" s="64"/>
    </row>
    <row r="413">
      <c r="A413" s="64"/>
      <c r="B413" s="64"/>
      <c r="C413" s="64"/>
      <c r="D413" s="64"/>
      <c r="E413" s="65"/>
      <c r="F413" s="64"/>
      <c r="G413" s="67"/>
      <c r="H413" s="64"/>
      <c r="I413" s="64"/>
      <c r="J413" s="64"/>
      <c r="K413" s="64"/>
      <c r="L413" s="65"/>
      <c r="M413" s="64"/>
      <c r="N413" s="64"/>
      <c r="O413" s="64"/>
      <c r="P413" s="64"/>
      <c r="Q413" s="64"/>
      <c r="R413" s="64"/>
      <c r="S413" s="64"/>
      <c r="T413" s="65"/>
      <c r="U413" s="64"/>
      <c r="V413" s="64"/>
      <c r="W413" s="64"/>
      <c r="X413" s="64"/>
      <c r="Y413" s="64"/>
      <c r="Z413" s="64"/>
      <c r="AA413" s="64"/>
      <c r="AB413" s="64"/>
      <c r="AC413" s="64"/>
      <c r="AD413" s="64"/>
      <c r="AE413" s="64"/>
      <c r="AF413" s="64"/>
      <c r="AG413" s="64"/>
    </row>
    <row r="414">
      <c r="A414" s="64"/>
      <c r="B414" s="64"/>
      <c r="C414" s="64"/>
      <c r="D414" s="64"/>
      <c r="E414" s="65"/>
      <c r="F414" s="64"/>
      <c r="G414" s="67"/>
      <c r="H414" s="64"/>
      <c r="I414" s="64"/>
      <c r="J414" s="64"/>
      <c r="K414" s="64"/>
      <c r="L414" s="65"/>
      <c r="M414" s="64"/>
      <c r="N414" s="64"/>
      <c r="O414" s="64"/>
      <c r="P414" s="64"/>
      <c r="Q414" s="64"/>
      <c r="R414" s="64"/>
      <c r="S414" s="64"/>
      <c r="T414" s="65"/>
      <c r="U414" s="64"/>
      <c r="V414" s="64"/>
      <c r="W414" s="64"/>
      <c r="X414" s="64"/>
      <c r="Y414" s="64"/>
      <c r="Z414" s="64"/>
      <c r="AA414" s="64"/>
      <c r="AB414" s="64"/>
      <c r="AC414" s="64"/>
      <c r="AD414" s="64"/>
      <c r="AE414" s="64"/>
      <c r="AF414" s="64"/>
      <c r="AG414" s="64"/>
    </row>
    <row r="415">
      <c r="A415" s="64"/>
      <c r="B415" s="64"/>
      <c r="C415" s="64"/>
      <c r="D415" s="64"/>
      <c r="E415" s="65"/>
      <c r="F415" s="64"/>
      <c r="G415" s="67"/>
      <c r="H415" s="64"/>
      <c r="I415" s="64"/>
      <c r="J415" s="64"/>
      <c r="K415" s="64"/>
      <c r="L415" s="65"/>
      <c r="M415" s="64"/>
      <c r="N415" s="64"/>
      <c r="O415" s="64"/>
      <c r="P415" s="64"/>
      <c r="Q415" s="64"/>
      <c r="R415" s="64"/>
      <c r="S415" s="64"/>
      <c r="T415" s="65"/>
      <c r="U415" s="64"/>
      <c r="V415" s="64"/>
      <c r="W415" s="64"/>
      <c r="X415" s="64"/>
      <c r="Y415" s="64"/>
      <c r="Z415" s="64"/>
      <c r="AA415" s="64"/>
      <c r="AB415" s="64"/>
      <c r="AC415" s="64"/>
      <c r="AD415" s="64"/>
      <c r="AE415" s="64"/>
      <c r="AF415" s="64"/>
      <c r="AG415" s="64"/>
    </row>
    <row r="416">
      <c r="A416" s="64"/>
      <c r="B416" s="64"/>
      <c r="C416" s="64"/>
      <c r="D416" s="64"/>
      <c r="E416" s="65"/>
      <c r="F416" s="64"/>
      <c r="G416" s="67"/>
      <c r="H416" s="64"/>
      <c r="I416" s="64"/>
      <c r="J416" s="64"/>
      <c r="K416" s="64"/>
      <c r="L416" s="65"/>
      <c r="M416" s="64"/>
      <c r="N416" s="64"/>
      <c r="O416" s="64"/>
      <c r="P416" s="64"/>
      <c r="Q416" s="64"/>
      <c r="R416" s="64"/>
      <c r="S416" s="64"/>
      <c r="T416" s="65"/>
      <c r="U416" s="64"/>
      <c r="V416" s="64"/>
      <c r="W416" s="64"/>
      <c r="X416" s="64"/>
      <c r="Y416" s="64"/>
      <c r="Z416" s="64"/>
      <c r="AA416" s="64"/>
      <c r="AB416" s="64"/>
      <c r="AC416" s="64"/>
      <c r="AD416" s="64"/>
      <c r="AE416" s="64"/>
      <c r="AF416" s="64"/>
      <c r="AG416" s="64"/>
    </row>
    <row r="417">
      <c r="A417" s="64"/>
      <c r="B417" s="64"/>
      <c r="C417" s="64"/>
      <c r="D417" s="64"/>
      <c r="E417" s="65"/>
      <c r="F417" s="64"/>
      <c r="G417" s="67"/>
      <c r="H417" s="64"/>
      <c r="I417" s="64"/>
      <c r="J417" s="64"/>
      <c r="K417" s="64"/>
      <c r="L417" s="65"/>
      <c r="M417" s="64"/>
      <c r="N417" s="64"/>
      <c r="O417" s="64"/>
      <c r="P417" s="64"/>
      <c r="Q417" s="64"/>
      <c r="R417" s="64"/>
      <c r="S417" s="64"/>
      <c r="T417" s="65"/>
      <c r="U417" s="64"/>
      <c r="V417" s="64"/>
      <c r="W417" s="64"/>
      <c r="X417" s="64"/>
      <c r="Y417" s="64"/>
      <c r="Z417" s="64"/>
      <c r="AA417" s="64"/>
      <c r="AB417" s="64"/>
      <c r="AC417" s="64"/>
      <c r="AD417" s="64"/>
      <c r="AE417" s="64"/>
      <c r="AF417" s="64"/>
      <c r="AG417" s="64"/>
    </row>
    <row r="418">
      <c r="A418" s="64"/>
      <c r="B418" s="64"/>
      <c r="C418" s="64"/>
      <c r="D418" s="64"/>
      <c r="E418" s="65"/>
      <c r="F418" s="64"/>
      <c r="G418" s="67"/>
      <c r="H418" s="64"/>
      <c r="I418" s="64"/>
      <c r="J418" s="64"/>
      <c r="K418" s="64"/>
      <c r="L418" s="65"/>
      <c r="M418" s="64"/>
      <c r="N418" s="64"/>
      <c r="O418" s="64"/>
      <c r="P418" s="64"/>
      <c r="Q418" s="64"/>
      <c r="R418" s="64"/>
      <c r="S418" s="64"/>
      <c r="T418" s="65"/>
      <c r="U418" s="64"/>
      <c r="V418" s="64"/>
      <c r="W418" s="64"/>
      <c r="X418" s="64"/>
      <c r="Y418" s="64"/>
      <c r="Z418" s="64"/>
      <c r="AA418" s="64"/>
      <c r="AB418" s="64"/>
      <c r="AC418" s="64"/>
      <c r="AD418" s="64"/>
      <c r="AE418" s="64"/>
      <c r="AF418" s="64"/>
      <c r="AG418" s="64"/>
    </row>
    <row r="419">
      <c r="A419" s="64"/>
      <c r="B419" s="64"/>
      <c r="C419" s="64"/>
      <c r="D419" s="64"/>
      <c r="E419" s="65"/>
      <c r="F419" s="64"/>
      <c r="G419" s="67"/>
      <c r="H419" s="64"/>
      <c r="I419" s="64"/>
      <c r="J419" s="64"/>
      <c r="K419" s="64"/>
      <c r="L419" s="65"/>
      <c r="M419" s="64"/>
      <c r="N419" s="64"/>
      <c r="O419" s="64"/>
      <c r="P419" s="64"/>
      <c r="Q419" s="64"/>
      <c r="R419" s="64"/>
      <c r="S419" s="64"/>
      <c r="T419" s="65"/>
      <c r="U419" s="64"/>
      <c r="V419" s="64"/>
      <c r="W419" s="64"/>
      <c r="X419" s="64"/>
      <c r="Y419" s="64"/>
      <c r="Z419" s="64"/>
      <c r="AA419" s="64"/>
      <c r="AB419" s="64"/>
      <c r="AC419" s="64"/>
      <c r="AD419" s="64"/>
      <c r="AE419" s="64"/>
      <c r="AF419" s="64"/>
      <c r="AG419" s="64"/>
    </row>
    <row r="420">
      <c r="A420" s="64"/>
      <c r="B420" s="64"/>
      <c r="C420" s="64"/>
      <c r="D420" s="64"/>
      <c r="E420" s="65"/>
      <c r="F420" s="64"/>
      <c r="G420" s="67"/>
      <c r="H420" s="64"/>
      <c r="I420" s="64"/>
      <c r="J420" s="64"/>
      <c r="K420" s="64"/>
      <c r="L420" s="65"/>
      <c r="M420" s="64"/>
      <c r="N420" s="64"/>
      <c r="O420" s="64"/>
      <c r="P420" s="64"/>
      <c r="Q420" s="64"/>
      <c r="R420" s="64"/>
      <c r="S420" s="64"/>
      <c r="T420" s="65"/>
      <c r="U420" s="64"/>
      <c r="V420" s="64"/>
      <c r="W420" s="64"/>
      <c r="X420" s="64"/>
      <c r="Y420" s="64"/>
      <c r="Z420" s="64"/>
      <c r="AA420" s="64"/>
      <c r="AB420" s="64"/>
      <c r="AC420" s="64"/>
      <c r="AD420" s="64"/>
      <c r="AE420" s="64"/>
      <c r="AF420" s="64"/>
      <c r="AG420" s="64"/>
    </row>
    <row r="421">
      <c r="A421" s="64"/>
      <c r="B421" s="64"/>
      <c r="C421" s="64"/>
      <c r="D421" s="64"/>
      <c r="E421" s="65"/>
      <c r="F421" s="64"/>
      <c r="G421" s="67"/>
      <c r="H421" s="64"/>
      <c r="I421" s="64"/>
      <c r="J421" s="64"/>
      <c r="K421" s="64"/>
      <c r="L421" s="65"/>
      <c r="M421" s="64"/>
      <c r="N421" s="64"/>
      <c r="O421" s="64"/>
      <c r="P421" s="64"/>
      <c r="Q421" s="64"/>
      <c r="R421" s="64"/>
      <c r="S421" s="64"/>
      <c r="T421" s="65"/>
      <c r="U421" s="64"/>
      <c r="V421" s="64"/>
      <c r="W421" s="64"/>
      <c r="X421" s="64"/>
      <c r="Y421" s="64"/>
      <c r="Z421" s="64"/>
      <c r="AA421" s="64"/>
      <c r="AB421" s="64"/>
      <c r="AC421" s="64"/>
      <c r="AD421" s="64"/>
      <c r="AE421" s="64"/>
      <c r="AF421" s="64"/>
      <c r="AG421" s="64"/>
    </row>
    <row r="422">
      <c r="A422" s="64"/>
      <c r="B422" s="64"/>
      <c r="C422" s="64"/>
      <c r="D422" s="64"/>
      <c r="E422" s="65"/>
      <c r="F422" s="64"/>
      <c r="G422" s="67"/>
      <c r="H422" s="64"/>
      <c r="I422" s="64"/>
      <c r="J422" s="64"/>
      <c r="K422" s="64"/>
      <c r="L422" s="65"/>
      <c r="M422" s="64"/>
      <c r="N422" s="64"/>
      <c r="O422" s="64"/>
      <c r="P422" s="64"/>
      <c r="Q422" s="64"/>
      <c r="R422" s="64"/>
      <c r="S422" s="64"/>
      <c r="T422" s="65"/>
      <c r="U422" s="64"/>
      <c r="V422" s="64"/>
      <c r="W422" s="64"/>
      <c r="X422" s="64"/>
      <c r="Y422" s="64"/>
      <c r="Z422" s="64"/>
      <c r="AA422" s="64"/>
      <c r="AB422" s="64"/>
      <c r="AC422" s="64"/>
      <c r="AD422" s="64"/>
      <c r="AE422" s="64"/>
      <c r="AF422" s="64"/>
      <c r="AG422" s="64"/>
    </row>
    <row r="423">
      <c r="A423" s="64"/>
      <c r="B423" s="64"/>
      <c r="C423" s="64"/>
      <c r="D423" s="64"/>
      <c r="E423" s="65"/>
      <c r="F423" s="64"/>
      <c r="G423" s="67"/>
      <c r="H423" s="64"/>
      <c r="I423" s="64"/>
      <c r="J423" s="64"/>
      <c r="K423" s="64"/>
      <c r="L423" s="65"/>
      <c r="M423" s="64"/>
      <c r="N423" s="64"/>
      <c r="O423" s="64"/>
      <c r="P423" s="64"/>
      <c r="Q423" s="64"/>
      <c r="R423" s="64"/>
      <c r="S423" s="64"/>
      <c r="T423" s="65"/>
      <c r="U423" s="64"/>
      <c r="V423" s="64"/>
      <c r="W423" s="64"/>
      <c r="X423" s="64"/>
      <c r="Y423" s="64"/>
      <c r="Z423" s="64"/>
      <c r="AA423" s="64"/>
      <c r="AB423" s="64"/>
      <c r="AC423" s="64"/>
      <c r="AD423" s="64"/>
      <c r="AE423" s="64"/>
      <c r="AF423" s="64"/>
      <c r="AG423" s="64"/>
    </row>
    <row r="424">
      <c r="A424" s="64"/>
      <c r="B424" s="64"/>
      <c r="C424" s="64"/>
      <c r="D424" s="64"/>
      <c r="E424" s="65"/>
      <c r="F424" s="64"/>
      <c r="G424" s="67"/>
      <c r="H424" s="64"/>
      <c r="I424" s="64"/>
      <c r="J424" s="64"/>
      <c r="K424" s="64"/>
      <c r="L424" s="65"/>
      <c r="M424" s="64"/>
      <c r="N424" s="64"/>
      <c r="O424" s="64"/>
      <c r="P424" s="64"/>
      <c r="Q424" s="64"/>
      <c r="R424" s="64"/>
      <c r="S424" s="64"/>
      <c r="T424" s="65"/>
      <c r="U424" s="64"/>
      <c r="V424" s="64"/>
      <c r="W424" s="64"/>
      <c r="X424" s="64"/>
      <c r="Y424" s="64"/>
      <c r="Z424" s="64"/>
      <c r="AA424" s="64"/>
      <c r="AB424" s="64"/>
      <c r="AC424" s="64"/>
      <c r="AD424" s="64"/>
      <c r="AE424" s="64"/>
      <c r="AF424" s="64"/>
      <c r="AG424" s="64"/>
    </row>
    <row r="425">
      <c r="A425" s="64"/>
      <c r="B425" s="64"/>
      <c r="C425" s="64"/>
      <c r="D425" s="64"/>
      <c r="E425" s="65"/>
      <c r="F425" s="64"/>
      <c r="G425" s="67"/>
      <c r="H425" s="64"/>
      <c r="I425" s="64"/>
      <c r="J425" s="64"/>
      <c r="K425" s="64"/>
      <c r="L425" s="65"/>
      <c r="M425" s="64"/>
      <c r="N425" s="64"/>
      <c r="O425" s="64"/>
      <c r="P425" s="64"/>
      <c r="Q425" s="64"/>
      <c r="R425" s="64"/>
      <c r="S425" s="64"/>
      <c r="T425" s="65"/>
      <c r="U425" s="64"/>
      <c r="V425" s="64"/>
      <c r="W425" s="64"/>
      <c r="X425" s="64"/>
      <c r="Y425" s="64"/>
      <c r="Z425" s="64"/>
      <c r="AA425" s="64"/>
      <c r="AB425" s="64"/>
      <c r="AC425" s="64"/>
      <c r="AD425" s="64"/>
      <c r="AE425" s="64"/>
      <c r="AF425" s="64"/>
      <c r="AG425" s="64"/>
    </row>
    <row r="426">
      <c r="A426" s="64"/>
      <c r="B426" s="64"/>
      <c r="C426" s="64"/>
      <c r="D426" s="64"/>
      <c r="E426" s="65"/>
      <c r="F426" s="64"/>
      <c r="G426" s="67"/>
      <c r="H426" s="64"/>
      <c r="I426" s="64"/>
      <c r="J426" s="64"/>
      <c r="K426" s="64"/>
      <c r="L426" s="65"/>
      <c r="M426" s="64"/>
      <c r="N426" s="64"/>
      <c r="O426" s="64"/>
      <c r="P426" s="64"/>
      <c r="Q426" s="64"/>
      <c r="R426" s="64"/>
      <c r="S426" s="64"/>
      <c r="T426" s="65"/>
      <c r="U426" s="64"/>
      <c r="V426" s="64"/>
      <c r="W426" s="64"/>
      <c r="X426" s="64"/>
      <c r="Y426" s="64"/>
      <c r="Z426" s="64"/>
      <c r="AA426" s="64"/>
      <c r="AB426" s="64"/>
      <c r="AC426" s="64"/>
      <c r="AD426" s="64"/>
      <c r="AE426" s="64"/>
      <c r="AF426" s="64"/>
      <c r="AG426" s="64"/>
    </row>
    <row r="427">
      <c r="A427" s="64"/>
      <c r="B427" s="64"/>
      <c r="C427" s="64"/>
      <c r="D427" s="64"/>
      <c r="E427" s="65"/>
      <c r="F427" s="64"/>
      <c r="G427" s="67"/>
      <c r="H427" s="64"/>
      <c r="I427" s="64"/>
      <c r="J427" s="64"/>
      <c r="K427" s="64"/>
      <c r="L427" s="65"/>
      <c r="M427" s="64"/>
      <c r="N427" s="64"/>
      <c r="O427" s="64"/>
      <c r="P427" s="64"/>
      <c r="Q427" s="64"/>
      <c r="R427" s="64"/>
      <c r="S427" s="64"/>
      <c r="T427" s="65"/>
      <c r="U427" s="64"/>
      <c r="V427" s="64"/>
      <c r="W427" s="64"/>
      <c r="X427" s="64"/>
      <c r="Y427" s="64"/>
      <c r="Z427" s="64"/>
      <c r="AA427" s="64"/>
      <c r="AB427" s="64"/>
      <c r="AC427" s="64"/>
      <c r="AD427" s="64"/>
      <c r="AE427" s="64"/>
      <c r="AF427" s="64"/>
      <c r="AG427" s="64"/>
    </row>
    <row r="428">
      <c r="A428" s="64"/>
      <c r="B428" s="64"/>
      <c r="C428" s="64"/>
      <c r="D428" s="64"/>
      <c r="E428" s="65"/>
      <c r="F428" s="64"/>
      <c r="G428" s="67"/>
      <c r="H428" s="64"/>
      <c r="I428" s="64"/>
      <c r="J428" s="64"/>
      <c r="K428" s="64"/>
      <c r="L428" s="65"/>
      <c r="M428" s="64"/>
      <c r="N428" s="64"/>
      <c r="O428" s="64"/>
      <c r="P428" s="64"/>
      <c r="Q428" s="64"/>
      <c r="R428" s="64"/>
      <c r="S428" s="64"/>
      <c r="T428" s="65"/>
      <c r="U428" s="64"/>
      <c r="V428" s="64"/>
      <c r="W428" s="64"/>
      <c r="X428" s="64"/>
      <c r="Y428" s="64"/>
      <c r="Z428" s="64"/>
      <c r="AA428" s="64"/>
      <c r="AB428" s="64"/>
      <c r="AC428" s="64"/>
      <c r="AD428" s="64"/>
      <c r="AE428" s="64"/>
      <c r="AF428" s="64"/>
      <c r="AG428" s="64"/>
    </row>
    <row r="429">
      <c r="A429" s="64"/>
      <c r="B429" s="64"/>
      <c r="C429" s="64"/>
      <c r="D429" s="64"/>
      <c r="E429" s="65"/>
      <c r="F429" s="64"/>
      <c r="G429" s="67"/>
      <c r="H429" s="64"/>
      <c r="I429" s="64"/>
      <c r="J429" s="64"/>
      <c r="K429" s="64"/>
      <c r="L429" s="65"/>
      <c r="M429" s="64"/>
      <c r="N429" s="64"/>
      <c r="O429" s="64"/>
      <c r="P429" s="64"/>
      <c r="Q429" s="64"/>
      <c r="R429" s="64"/>
      <c r="S429" s="64"/>
      <c r="T429" s="65"/>
      <c r="U429" s="64"/>
      <c r="V429" s="64"/>
      <c r="W429" s="64"/>
      <c r="X429" s="64"/>
      <c r="Y429" s="64"/>
      <c r="Z429" s="64"/>
      <c r="AA429" s="64"/>
      <c r="AB429" s="64"/>
      <c r="AC429" s="64"/>
      <c r="AD429" s="64"/>
      <c r="AE429" s="64"/>
      <c r="AF429" s="64"/>
      <c r="AG429" s="64"/>
    </row>
    <row r="430">
      <c r="A430" s="64"/>
      <c r="B430" s="64"/>
      <c r="C430" s="64"/>
      <c r="D430" s="64"/>
      <c r="E430" s="65"/>
      <c r="F430" s="64"/>
      <c r="G430" s="67"/>
      <c r="H430" s="64"/>
      <c r="I430" s="64"/>
      <c r="J430" s="64"/>
      <c r="K430" s="64"/>
      <c r="L430" s="65"/>
      <c r="M430" s="64"/>
      <c r="N430" s="64"/>
      <c r="O430" s="64"/>
      <c r="P430" s="64"/>
      <c r="Q430" s="64"/>
      <c r="R430" s="64"/>
      <c r="S430" s="64"/>
      <c r="T430" s="65"/>
      <c r="U430" s="64"/>
      <c r="V430" s="64"/>
      <c r="W430" s="64"/>
      <c r="X430" s="64"/>
      <c r="Y430" s="64"/>
      <c r="Z430" s="64"/>
      <c r="AA430" s="64"/>
      <c r="AB430" s="64"/>
      <c r="AC430" s="64"/>
      <c r="AD430" s="64"/>
      <c r="AE430" s="64"/>
      <c r="AF430" s="64"/>
      <c r="AG430" s="64"/>
    </row>
    <row r="431">
      <c r="A431" s="64"/>
      <c r="B431" s="64"/>
      <c r="C431" s="64"/>
      <c r="D431" s="64"/>
      <c r="E431" s="65"/>
      <c r="F431" s="64"/>
      <c r="G431" s="67"/>
      <c r="H431" s="64"/>
      <c r="I431" s="64"/>
      <c r="J431" s="64"/>
      <c r="K431" s="64"/>
      <c r="L431" s="65"/>
      <c r="M431" s="64"/>
      <c r="N431" s="64"/>
      <c r="O431" s="64"/>
      <c r="P431" s="64"/>
      <c r="Q431" s="64"/>
      <c r="R431" s="64"/>
      <c r="S431" s="64"/>
      <c r="T431" s="65"/>
      <c r="U431" s="64"/>
      <c r="V431" s="64"/>
      <c r="W431" s="64"/>
      <c r="X431" s="64"/>
      <c r="Y431" s="64"/>
      <c r="Z431" s="64"/>
      <c r="AA431" s="64"/>
      <c r="AB431" s="64"/>
      <c r="AC431" s="64"/>
      <c r="AD431" s="64"/>
      <c r="AE431" s="64"/>
      <c r="AF431" s="64"/>
      <c r="AG431" s="64"/>
    </row>
    <row r="432">
      <c r="A432" s="64"/>
      <c r="B432" s="64"/>
      <c r="C432" s="64"/>
      <c r="D432" s="64"/>
      <c r="E432" s="65"/>
      <c r="F432" s="64"/>
      <c r="G432" s="67"/>
      <c r="H432" s="64"/>
      <c r="I432" s="64"/>
      <c r="J432" s="64"/>
      <c r="K432" s="64"/>
      <c r="L432" s="65"/>
      <c r="M432" s="64"/>
      <c r="N432" s="64"/>
      <c r="O432" s="64"/>
      <c r="P432" s="64"/>
      <c r="Q432" s="64"/>
      <c r="R432" s="64"/>
      <c r="S432" s="64"/>
      <c r="T432" s="65"/>
      <c r="U432" s="64"/>
      <c r="V432" s="64"/>
      <c r="W432" s="64"/>
      <c r="X432" s="64"/>
      <c r="Y432" s="64"/>
      <c r="Z432" s="64"/>
      <c r="AA432" s="64"/>
      <c r="AB432" s="64"/>
      <c r="AC432" s="64"/>
      <c r="AD432" s="64"/>
      <c r="AE432" s="64"/>
      <c r="AF432" s="64"/>
      <c r="AG432" s="64"/>
    </row>
    <row r="433">
      <c r="A433" s="64"/>
      <c r="B433" s="64"/>
      <c r="C433" s="64"/>
      <c r="D433" s="64"/>
      <c r="E433" s="65"/>
      <c r="F433" s="64"/>
      <c r="G433" s="67"/>
      <c r="H433" s="64"/>
      <c r="I433" s="64"/>
      <c r="J433" s="64"/>
      <c r="K433" s="64"/>
      <c r="L433" s="65"/>
      <c r="M433" s="64"/>
      <c r="N433" s="64"/>
      <c r="O433" s="64"/>
      <c r="P433" s="64"/>
      <c r="Q433" s="64"/>
      <c r="R433" s="64"/>
      <c r="S433" s="64"/>
      <c r="T433" s="65"/>
      <c r="U433" s="64"/>
      <c r="V433" s="64"/>
      <c r="W433" s="64"/>
      <c r="X433" s="64"/>
      <c r="Y433" s="64"/>
      <c r="Z433" s="64"/>
      <c r="AA433" s="64"/>
      <c r="AB433" s="64"/>
      <c r="AC433" s="64"/>
      <c r="AD433" s="64"/>
      <c r="AE433" s="64"/>
      <c r="AF433" s="64"/>
      <c r="AG433" s="64"/>
    </row>
    <row r="434">
      <c r="A434" s="64"/>
      <c r="B434" s="64"/>
      <c r="C434" s="64"/>
      <c r="D434" s="64"/>
      <c r="E434" s="65"/>
      <c r="F434" s="64"/>
      <c r="G434" s="67"/>
      <c r="H434" s="64"/>
      <c r="I434" s="64"/>
      <c r="J434" s="64"/>
      <c r="K434" s="64"/>
      <c r="L434" s="65"/>
      <c r="M434" s="64"/>
      <c r="N434" s="64"/>
      <c r="O434" s="64"/>
      <c r="P434" s="64"/>
      <c r="Q434" s="64"/>
      <c r="R434" s="64"/>
      <c r="S434" s="64"/>
      <c r="T434" s="65"/>
      <c r="U434" s="64"/>
      <c r="V434" s="64"/>
      <c r="W434" s="64"/>
      <c r="X434" s="64"/>
      <c r="Y434" s="64"/>
      <c r="Z434" s="64"/>
      <c r="AA434" s="64"/>
      <c r="AB434" s="64"/>
      <c r="AC434" s="64"/>
      <c r="AD434" s="64"/>
      <c r="AE434" s="64"/>
      <c r="AF434" s="64"/>
      <c r="AG434" s="64"/>
    </row>
    <row r="435">
      <c r="A435" s="64"/>
      <c r="B435" s="64"/>
      <c r="C435" s="64"/>
      <c r="D435" s="64"/>
      <c r="E435" s="65"/>
      <c r="F435" s="64"/>
      <c r="G435" s="67"/>
      <c r="H435" s="64"/>
      <c r="I435" s="64"/>
      <c r="J435" s="64"/>
      <c r="K435" s="64"/>
      <c r="L435" s="65"/>
      <c r="M435" s="64"/>
      <c r="N435" s="64"/>
      <c r="O435" s="64"/>
      <c r="P435" s="64"/>
      <c r="Q435" s="64"/>
      <c r="R435" s="64"/>
      <c r="S435" s="64"/>
      <c r="T435" s="65"/>
      <c r="U435" s="64"/>
      <c r="V435" s="64"/>
      <c r="W435" s="64"/>
      <c r="X435" s="64"/>
      <c r="Y435" s="64"/>
      <c r="Z435" s="64"/>
      <c r="AA435" s="64"/>
      <c r="AB435" s="64"/>
      <c r="AC435" s="64"/>
      <c r="AD435" s="64"/>
      <c r="AE435" s="64"/>
      <c r="AF435" s="64"/>
      <c r="AG435" s="64"/>
    </row>
    <row r="436">
      <c r="A436" s="64"/>
      <c r="B436" s="64"/>
      <c r="C436" s="64"/>
      <c r="D436" s="64"/>
      <c r="E436" s="65"/>
      <c r="F436" s="64"/>
      <c r="G436" s="67"/>
      <c r="H436" s="64"/>
      <c r="I436" s="64"/>
      <c r="J436" s="64"/>
      <c r="K436" s="64"/>
      <c r="L436" s="65"/>
      <c r="M436" s="64"/>
      <c r="N436" s="64"/>
      <c r="O436" s="64"/>
      <c r="P436" s="64"/>
      <c r="Q436" s="64"/>
      <c r="R436" s="64"/>
      <c r="S436" s="64"/>
      <c r="T436" s="65"/>
      <c r="U436" s="64"/>
      <c r="V436" s="64"/>
      <c r="W436" s="64"/>
      <c r="X436" s="64"/>
      <c r="Y436" s="64"/>
      <c r="Z436" s="64"/>
      <c r="AA436" s="64"/>
      <c r="AB436" s="64"/>
      <c r="AC436" s="64"/>
      <c r="AD436" s="64"/>
      <c r="AE436" s="64"/>
      <c r="AF436" s="64"/>
      <c r="AG436" s="64"/>
    </row>
    <row r="437">
      <c r="A437" s="64"/>
      <c r="B437" s="64"/>
      <c r="C437" s="64"/>
      <c r="D437" s="64"/>
      <c r="E437" s="65"/>
      <c r="F437" s="64"/>
      <c r="G437" s="67"/>
      <c r="H437" s="64"/>
      <c r="I437" s="64"/>
      <c r="J437" s="64"/>
      <c r="K437" s="64"/>
      <c r="L437" s="65"/>
      <c r="M437" s="64"/>
      <c r="N437" s="64"/>
      <c r="O437" s="64"/>
      <c r="P437" s="64"/>
      <c r="Q437" s="64"/>
      <c r="R437" s="64"/>
      <c r="S437" s="64"/>
      <c r="T437" s="65"/>
      <c r="U437" s="64"/>
      <c r="V437" s="64"/>
      <c r="W437" s="64"/>
      <c r="X437" s="64"/>
      <c r="Y437" s="64"/>
      <c r="Z437" s="64"/>
      <c r="AA437" s="64"/>
      <c r="AB437" s="64"/>
      <c r="AC437" s="64"/>
      <c r="AD437" s="64"/>
      <c r="AE437" s="64"/>
      <c r="AF437" s="64"/>
      <c r="AG437" s="64"/>
    </row>
    <row r="438">
      <c r="A438" s="64"/>
      <c r="B438" s="64"/>
      <c r="C438" s="64"/>
      <c r="D438" s="64"/>
      <c r="E438" s="65"/>
      <c r="F438" s="64"/>
      <c r="G438" s="67"/>
      <c r="H438" s="64"/>
      <c r="I438" s="64"/>
      <c r="J438" s="64"/>
      <c r="K438" s="64"/>
      <c r="L438" s="65"/>
      <c r="M438" s="64"/>
      <c r="N438" s="64"/>
      <c r="O438" s="64"/>
      <c r="P438" s="64"/>
      <c r="Q438" s="64"/>
      <c r="R438" s="64"/>
      <c r="S438" s="64"/>
      <c r="T438" s="65"/>
      <c r="U438" s="64"/>
      <c r="V438" s="64"/>
      <c r="W438" s="64"/>
      <c r="X438" s="64"/>
      <c r="Y438" s="64"/>
      <c r="Z438" s="64"/>
      <c r="AA438" s="64"/>
      <c r="AB438" s="64"/>
      <c r="AC438" s="64"/>
      <c r="AD438" s="64"/>
      <c r="AE438" s="64"/>
      <c r="AF438" s="64"/>
      <c r="AG438" s="64"/>
    </row>
    <row r="439">
      <c r="A439" s="64"/>
      <c r="B439" s="64"/>
      <c r="C439" s="64"/>
      <c r="D439" s="64"/>
      <c r="E439" s="65"/>
      <c r="F439" s="64"/>
      <c r="G439" s="67"/>
      <c r="H439" s="64"/>
      <c r="I439" s="64"/>
      <c r="J439" s="64"/>
      <c r="K439" s="64"/>
      <c r="L439" s="65"/>
      <c r="M439" s="64"/>
      <c r="N439" s="64"/>
      <c r="O439" s="64"/>
      <c r="P439" s="64"/>
      <c r="Q439" s="64"/>
      <c r="R439" s="64"/>
      <c r="S439" s="64"/>
      <c r="T439" s="65"/>
      <c r="U439" s="64"/>
      <c r="V439" s="64"/>
      <c r="W439" s="64"/>
      <c r="X439" s="64"/>
      <c r="Y439" s="64"/>
      <c r="Z439" s="64"/>
      <c r="AA439" s="64"/>
      <c r="AB439" s="64"/>
      <c r="AC439" s="64"/>
      <c r="AD439" s="64"/>
      <c r="AE439" s="64"/>
      <c r="AF439" s="64"/>
      <c r="AG439" s="64"/>
    </row>
    <row r="440">
      <c r="A440" s="64"/>
      <c r="B440" s="64"/>
      <c r="C440" s="64"/>
      <c r="D440" s="64"/>
      <c r="E440" s="65"/>
      <c r="F440" s="64"/>
      <c r="G440" s="67"/>
      <c r="H440" s="64"/>
      <c r="I440" s="64"/>
      <c r="J440" s="64"/>
      <c r="K440" s="64"/>
      <c r="L440" s="65"/>
      <c r="M440" s="64"/>
      <c r="N440" s="64"/>
      <c r="O440" s="64"/>
      <c r="P440" s="64"/>
      <c r="Q440" s="64"/>
      <c r="R440" s="64"/>
      <c r="S440" s="64"/>
      <c r="T440" s="65"/>
      <c r="U440" s="64"/>
      <c r="V440" s="64"/>
      <c r="W440" s="64"/>
      <c r="X440" s="64"/>
      <c r="Y440" s="64"/>
      <c r="Z440" s="64"/>
      <c r="AA440" s="64"/>
      <c r="AB440" s="64"/>
      <c r="AC440" s="64"/>
      <c r="AD440" s="64"/>
      <c r="AE440" s="64"/>
      <c r="AF440" s="64"/>
      <c r="AG440" s="64"/>
    </row>
    <row r="441">
      <c r="A441" s="64"/>
      <c r="B441" s="64"/>
      <c r="C441" s="64"/>
      <c r="D441" s="64"/>
      <c r="E441" s="65"/>
      <c r="F441" s="64"/>
      <c r="G441" s="67"/>
      <c r="H441" s="64"/>
      <c r="I441" s="64"/>
      <c r="J441" s="64"/>
      <c r="K441" s="64"/>
      <c r="L441" s="65"/>
      <c r="M441" s="64"/>
      <c r="N441" s="64"/>
      <c r="O441" s="64"/>
      <c r="P441" s="64"/>
      <c r="Q441" s="64"/>
      <c r="R441" s="64"/>
      <c r="S441" s="64"/>
      <c r="T441" s="65"/>
      <c r="U441" s="64"/>
      <c r="V441" s="64"/>
      <c r="W441" s="64"/>
      <c r="X441" s="64"/>
      <c r="Y441" s="64"/>
      <c r="Z441" s="64"/>
      <c r="AA441" s="64"/>
      <c r="AB441" s="64"/>
      <c r="AC441" s="64"/>
      <c r="AD441" s="64"/>
      <c r="AE441" s="64"/>
      <c r="AF441" s="64"/>
      <c r="AG441" s="64"/>
    </row>
    <row r="442">
      <c r="A442" s="64"/>
      <c r="B442" s="64"/>
      <c r="C442" s="64"/>
      <c r="D442" s="64"/>
      <c r="E442" s="65"/>
      <c r="F442" s="64"/>
      <c r="G442" s="67"/>
      <c r="H442" s="64"/>
      <c r="I442" s="64"/>
      <c r="J442" s="64"/>
      <c r="K442" s="64"/>
      <c r="L442" s="65"/>
      <c r="M442" s="64"/>
      <c r="N442" s="64"/>
      <c r="O442" s="64"/>
      <c r="P442" s="64"/>
      <c r="Q442" s="64"/>
      <c r="R442" s="64"/>
      <c r="S442" s="64"/>
      <c r="T442" s="65"/>
      <c r="U442" s="64"/>
      <c r="V442" s="64"/>
      <c r="W442" s="64"/>
      <c r="X442" s="64"/>
      <c r="Y442" s="64"/>
      <c r="Z442" s="64"/>
      <c r="AA442" s="64"/>
      <c r="AB442" s="64"/>
      <c r="AC442" s="64"/>
      <c r="AD442" s="64"/>
      <c r="AE442" s="64"/>
      <c r="AF442" s="64"/>
      <c r="AG442" s="64"/>
    </row>
    <row r="443">
      <c r="A443" s="64"/>
      <c r="B443" s="64"/>
      <c r="C443" s="64"/>
      <c r="D443" s="64"/>
      <c r="E443" s="65"/>
      <c r="F443" s="64"/>
      <c r="G443" s="67"/>
      <c r="H443" s="64"/>
      <c r="I443" s="64"/>
      <c r="J443" s="64"/>
      <c r="K443" s="64"/>
      <c r="L443" s="65"/>
      <c r="M443" s="64"/>
      <c r="N443" s="64"/>
      <c r="O443" s="64"/>
      <c r="P443" s="64"/>
      <c r="Q443" s="64"/>
      <c r="R443" s="64"/>
      <c r="S443" s="64"/>
      <c r="T443" s="65"/>
      <c r="U443" s="64"/>
      <c r="V443" s="64"/>
      <c r="W443" s="64"/>
      <c r="X443" s="64"/>
      <c r="Y443" s="64"/>
      <c r="Z443" s="64"/>
      <c r="AA443" s="64"/>
      <c r="AB443" s="64"/>
      <c r="AC443" s="64"/>
      <c r="AD443" s="64"/>
      <c r="AE443" s="64"/>
      <c r="AF443" s="64"/>
      <c r="AG443" s="64"/>
    </row>
    <row r="444">
      <c r="A444" s="64"/>
      <c r="B444" s="64"/>
      <c r="C444" s="64"/>
      <c r="D444" s="64"/>
      <c r="E444" s="65"/>
      <c r="F444" s="64"/>
      <c r="G444" s="67"/>
      <c r="H444" s="64"/>
      <c r="I444" s="64"/>
      <c r="J444" s="64"/>
      <c r="K444" s="64"/>
      <c r="L444" s="65"/>
      <c r="M444" s="64"/>
      <c r="N444" s="64"/>
      <c r="O444" s="64"/>
      <c r="P444" s="64"/>
      <c r="Q444" s="64"/>
      <c r="R444" s="64"/>
      <c r="S444" s="64"/>
      <c r="T444" s="65"/>
      <c r="U444" s="64"/>
      <c r="V444" s="64"/>
      <c r="W444" s="64"/>
      <c r="X444" s="64"/>
      <c r="Y444" s="64"/>
      <c r="Z444" s="64"/>
      <c r="AA444" s="64"/>
      <c r="AB444" s="64"/>
      <c r="AC444" s="64"/>
      <c r="AD444" s="64"/>
      <c r="AE444" s="64"/>
      <c r="AF444" s="64"/>
      <c r="AG444" s="64"/>
    </row>
    <row r="445">
      <c r="A445" s="64"/>
      <c r="B445" s="64"/>
      <c r="C445" s="64"/>
      <c r="D445" s="64"/>
      <c r="E445" s="65"/>
      <c r="F445" s="64"/>
      <c r="G445" s="67"/>
      <c r="H445" s="64"/>
      <c r="I445" s="64"/>
      <c r="J445" s="64"/>
      <c r="K445" s="64"/>
      <c r="L445" s="65"/>
      <c r="M445" s="64"/>
      <c r="N445" s="64"/>
      <c r="O445" s="64"/>
      <c r="P445" s="64"/>
      <c r="Q445" s="64"/>
      <c r="R445" s="64"/>
      <c r="S445" s="64"/>
      <c r="T445" s="65"/>
      <c r="U445" s="64"/>
      <c r="V445" s="64"/>
      <c r="W445" s="64"/>
      <c r="X445" s="64"/>
      <c r="Y445" s="64"/>
      <c r="Z445" s="64"/>
      <c r="AA445" s="64"/>
      <c r="AB445" s="64"/>
      <c r="AC445" s="64"/>
      <c r="AD445" s="64"/>
      <c r="AE445" s="64"/>
      <c r="AF445" s="64"/>
      <c r="AG445" s="64"/>
    </row>
    <row r="446">
      <c r="A446" s="64"/>
      <c r="B446" s="64"/>
      <c r="C446" s="64"/>
      <c r="D446" s="64"/>
      <c r="E446" s="65"/>
      <c r="F446" s="64"/>
      <c r="G446" s="67"/>
      <c r="H446" s="64"/>
      <c r="I446" s="64"/>
      <c r="J446" s="64"/>
      <c r="K446" s="64"/>
      <c r="L446" s="65"/>
      <c r="M446" s="64"/>
      <c r="N446" s="64"/>
      <c r="O446" s="64"/>
      <c r="P446" s="64"/>
      <c r="Q446" s="64"/>
      <c r="R446" s="64"/>
      <c r="S446" s="64"/>
      <c r="T446" s="65"/>
      <c r="U446" s="64"/>
      <c r="V446" s="64"/>
      <c r="W446" s="64"/>
      <c r="X446" s="64"/>
      <c r="Y446" s="64"/>
      <c r="Z446" s="64"/>
      <c r="AA446" s="64"/>
      <c r="AB446" s="64"/>
      <c r="AC446" s="64"/>
      <c r="AD446" s="64"/>
      <c r="AE446" s="64"/>
      <c r="AF446" s="64"/>
      <c r="AG446" s="64"/>
    </row>
    <row r="447">
      <c r="A447" s="64"/>
      <c r="B447" s="64"/>
      <c r="C447" s="64"/>
      <c r="D447" s="64"/>
      <c r="E447" s="65"/>
      <c r="F447" s="64"/>
      <c r="G447" s="67"/>
      <c r="H447" s="64"/>
      <c r="I447" s="64"/>
      <c r="J447" s="64"/>
      <c r="K447" s="64"/>
      <c r="L447" s="65"/>
      <c r="M447" s="64"/>
      <c r="N447" s="64"/>
      <c r="O447" s="64"/>
      <c r="P447" s="64"/>
      <c r="Q447" s="64"/>
      <c r="R447" s="64"/>
      <c r="S447" s="64"/>
      <c r="T447" s="65"/>
      <c r="U447" s="64"/>
      <c r="V447" s="64"/>
      <c r="W447" s="64"/>
      <c r="X447" s="64"/>
      <c r="Y447" s="64"/>
      <c r="Z447" s="64"/>
      <c r="AA447" s="64"/>
      <c r="AB447" s="64"/>
      <c r="AC447" s="64"/>
      <c r="AD447" s="64"/>
      <c r="AE447" s="64"/>
      <c r="AF447" s="64"/>
      <c r="AG447" s="64"/>
    </row>
    <row r="448">
      <c r="A448" s="64"/>
      <c r="B448" s="64"/>
      <c r="C448" s="64"/>
      <c r="D448" s="64"/>
      <c r="E448" s="65"/>
      <c r="F448" s="64"/>
      <c r="G448" s="67"/>
      <c r="H448" s="64"/>
      <c r="I448" s="64"/>
      <c r="J448" s="64"/>
      <c r="K448" s="64"/>
      <c r="L448" s="65"/>
      <c r="M448" s="64"/>
      <c r="N448" s="64"/>
      <c r="O448" s="64"/>
      <c r="P448" s="64"/>
      <c r="Q448" s="64"/>
      <c r="R448" s="64"/>
      <c r="S448" s="64"/>
      <c r="T448" s="65"/>
      <c r="U448" s="64"/>
      <c r="V448" s="64"/>
      <c r="W448" s="64"/>
      <c r="X448" s="64"/>
      <c r="Y448" s="64"/>
      <c r="Z448" s="64"/>
      <c r="AA448" s="64"/>
      <c r="AB448" s="64"/>
      <c r="AC448" s="64"/>
      <c r="AD448" s="64"/>
      <c r="AE448" s="64"/>
      <c r="AF448" s="64"/>
      <c r="AG448" s="64"/>
    </row>
    <row r="449">
      <c r="A449" s="64"/>
      <c r="B449" s="64"/>
      <c r="C449" s="64"/>
      <c r="D449" s="64"/>
      <c r="E449" s="65"/>
      <c r="F449" s="64"/>
      <c r="G449" s="67"/>
      <c r="H449" s="64"/>
      <c r="I449" s="64"/>
      <c r="J449" s="64"/>
      <c r="K449" s="64"/>
      <c r="L449" s="65"/>
      <c r="M449" s="64"/>
      <c r="N449" s="64"/>
      <c r="O449" s="64"/>
      <c r="P449" s="64"/>
      <c r="Q449" s="64"/>
      <c r="R449" s="64"/>
      <c r="S449" s="64"/>
      <c r="T449" s="65"/>
      <c r="U449" s="64"/>
      <c r="V449" s="64"/>
      <c r="W449" s="64"/>
      <c r="X449" s="64"/>
      <c r="Y449" s="64"/>
      <c r="Z449" s="64"/>
      <c r="AA449" s="64"/>
      <c r="AB449" s="64"/>
      <c r="AC449" s="64"/>
      <c r="AD449" s="64"/>
      <c r="AE449" s="64"/>
      <c r="AF449" s="64"/>
      <c r="AG449" s="64"/>
    </row>
    <row r="450">
      <c r="A450" s="64"/>
      <c r="B450" s="64"/>
      <c r="C450" s="64"/>
      <c r="D450" s="64"/>
      <c r="E450" s="65"/>
      <c r="F450" s="64"/>
      <c r="G450" s="67"/>
      <c r="H450" s="64"/>
      <c r="I450" s="64"/>
      <c r="J450" s="64"/>
      <c r="K450" s="64"/>
      <c r="L450" s="65"/>
      <c r="M450" s="64"/>
      <c r="N450" s="64"/>
      <c r="O450" s="64"/>
      <c r="P450" s="64"/>
      <c r="Q450" s="64"/>
      <c r="R450" s="64"/>
      <c r="S450" s="64"/>
      <c r="T450" s="65"/>
      <c r="U450" s="64"/>
      <c r="V450" s="64"/>
      <c r="W450" s="64"/>
      <c r="X450" s="64"/>
      <c r="Y450" s="64"/>
      <c r="Z450" s="64"/>
      <c r="AA450" s="64"/>
      <c r="AB450" s="64"/>
      <c r="AC450" s="64"/>
      <c r="AD450" s="64"/>
      <c r="AE450" s="64"/>
      <c r="AF450" s="64"/>
      <c r="AG450" s="64"/>
    </row>
    <row r="451">
      <c r="A451" s="64"/>
      <c r="B451" s="64"/>
      <c r="C451" s="64"/>
      <c r="D451" s="64"/>
      <c r="E451" s="65"/>
      <c r="F451" s="64"/>
      <c r="G451" s="67"/>
      <c r="H451" s="64"/>
      <c r="I451" s="64"/>
      <c r="J451" s="64"/>
      <c r="K451" s="64"/>
      <c r="L451" s="65"/>
      <c r="M451" s="64"/>
      <c r="N451" s="64"/>
      <c r="O451" s="64"/>
      <c r="P451" s="64"/>
      <c r="Q451" s="64"/>
      <c r="R451" s="64"/>
      <c r="S451" s="64"/>
      <c r="T451" s="65"/>
      <c r="U451" s="64"/>
      <c r="V451" s="64"/>
      <c r="W451" s="64"/>
      <c r="X451" s="64"/>
      <c r="Y451" s="64"/>
      <c r="Z451" s="64"/>
      <c r="AA451" s="64"/>
      <c r="AB451" s="64"/>
      <c r="AC451" s="64"/>
      <c r="AD451" s="64"/>
      <c r="AE451" s="64"/>
      <c r="AF451" s="64"/>
      <c r="AG451" s="64"/>
    </row>
    <row r="452">
      <c r="A452" s="64"/>
      <c r="B452" s="64"/>
      <c r="C452" s="64"/>
      <c r="D452" s="64"/>
      <c r="E452" s="65"/>
      <c r="F452" s="64"/>
      <c r="G452" s="67"/>
      <c r="H452" s="64"/>
      <c r="I452" s="64"/>
      <c r="J452" s="64"/>
      <c r="K452" s="64"/>
      <c r="L452" s="65"/>
      <c r="M452" s="64"/>
      <c r="N452" s="64"/>
      <c r="O452" s="64"/>
      <c r="P452" s="64"/>
      <c r="Q452" s="64"/>
      <c r="R452" s="64"/>
      <c r="S452" s="64"/>
      <c r="T452" s="65"/>
      <c r="U452" s="64"/>
      <c r="V452" s="64"/>
      <c r="W452" s="64"/>
      <c r="X452" s="64"/>
      <c r="Y452" s="64"/>
      <c r="Z452" s="64"/>
      <c r="AA452" s="64"/>
      <c r="AB452" s="64"/>
      <c r="AC452" s="64"/>
      <c r="AD452" s="64"/>
      <c r="AE452" s="64"/>
      <c r="AF452" s="64"/>
      <c r="AG452" s="64"/>
    </row>
    <row r="453">
      <c r="A453" s="64"/>
      <c r="B453" s="64"/>
      <c r="C453" s="64"/>
      <c r="D453" s="64"/>
      <c r="E453" s="65"/>
      <c r="F453" s="64"/>
      <c r="G453" s="67"/>
      <c r="H453" s="64"/>
      <c r="I453" s="64"/>
      <c r="J453" s="64"/>
      <c r="K453" s="64"/>
      <c r="L453" s="65"/>
      <c r="M453" s="64"/>
      <c r="N453" s="64"/>
      <c r="O453" s="64"/>
      <c r="P453" s="64"/>
      <c r="Q453" s="64"/>
      <c r="R453" s="64"/>
      <c r="S453" s="64"/>
      <c r="T453" s="65"/>
      <c r="U453" s="64"/>
      <c r="V453" s="64"/>
      <c r="W453" s="64"/>
      <c r="X453" s="64"/>
      <c r="Y453" s="64"/>
      <c r="Z453" s="64"/>
      <c r="AA453" s="64"/>
      <c r="AB453" s="64"/>
      <c r="AC453" s="64"/>
      <c r="AD453" s="64"/>
      <c r="AE453" s="64"/>
      <c r="AF453" s="64"/>
      <c r="AG453" s="64"/>
    </row>
    <row r="454">
      <c r="A454" s="64"/>
      <c r="B454" s="64"/>
      <c r="C454" s="64"/>
      <c r="D454" s="64"/>
      <c r="E454" s="65"/>
      <c r="F454" s="64"/>
      <c r="G454" s="67"/>
      <c r="H454" s="64"/>
      <c r="I454" s="64"/>
      <c r="J454" s="64"/>
      <c r="K454" s="64"/>
      <c r="L454" s="65"/>
      <c r="M454" s="64"/>
      <c r="N454" s="64"/>
      <c r="O454" s="64"/>
      <c r="P454" s="64"/>
      <c r="Q454" s="64"/>
      <c r="R454" s="64"/>
      <c r="S454" s="64"/>
      <c r="T454" s="65"/>
      <c r="U454" s="64"/>
      <c r="V454" s="64"/>
      <c r="W454" s="64"/>
      <c r="X454" s="64"/>
      <c r="Y454" s="64"/>
      <c r="Z454" s="64"/>
      <c r="AA454" s="64"/>
      <c r="AB454" s="64"/>
      <c r="AC454" s="64"/>
      <c r="AD454" s="64"/>
      <c r="AE454" s="64"/>
      <c r="AF454" s="64"/>
      <c r="AG454" s="64"/>
    </row>
    <row r="455">
      <c r="A455" s="64"/>
      <c r="B455" s="64"/>
      <c r="C455" s="64"/>
      <c r="D455" s="64"/>
      <c r="E455" s="65"/>
      <c r="F455" s="64"/>
      <c r="G455" s="67"/>
      <c r="H455" s="64"/>
      <c r="I455" s="64"/>
      <c r="J455" s="64"/>
      <c r="K455" s="64"/>
      <c r="L455" s="65"/>
      <c r="M455" s="64"/>
      <c r="N455" s="64"/>
      <c r="O455" s="64"/>
      <c r="P455" s="64"/>
      <c r="Q455" s="64"/>
      <c r="R455" s="64"/>
      <c r="S455" s="64"/>
      <c r="T455" s="65"/>
      <c r="U455" s="64"/>
      <c r="V455" s="64"/>
      <c r="W455" s="64"/>
      <c r="X455" s="64"/>
      <c r="Y455" s="64"/>
      <c r="Z455" s="64"/>
      <c r="AA455" s="64"/>
      <c r="AB455" s="64"/>
      <c r="AC455" s="64"/>
      <c r="AD455" s="64"/>
      <c r="AE455" s="64"/>
      <c r="AF455" s="64"/>
      <c r="AG455" s="64"/>
    </row>
    <row r="456">
      <c r="A456" s="64"/>
      <c r="B456" s="64"/>
      <c r="C456" s="64"/>
      <c r="D456" s="64"/>
      <c r="E456" s="65"/>
      <c r="F456" s="64"/>
      <c r="G456" s="67"/>
      <c r="H456" s="64"/>
      <c r="I456" s="64"/>
      <c r="J456" s="64"/>
      <c r="K456" s="64"/>
      <c r="L456" s="65"/>
      <c r="M456" s="64"/>
      <c r="N456" s="64"/>
      <c r="O456" s="64"/>
      <c r="P456" s="64"/>
      <c r="Q456" s="64"/>
      <c r="R456" s="64"/>
      <c r="S456" s="64"/>
      <c r="T456" s="65"/>
      <c r="U456" s="64"/>
      <c r="V456" s="64"/>
      <c r="W456" s="64"/>
      <c r="X456" s="64"/>
      <c r="Y456" s="64"/>
      <c r="Z456" s="64"/>
      <c r="AA456" s="64"/>
      <c r="AB456" s="64"/>
      <c r="AC456" s="64"/>
      <c r="AD456" s="64"/>
      <c r="AE456" s="64"/>
      <c r="AF456" s="64"/>
      <c r="AG456" s="64"/>
    </row>
    <row r="457">
      <c r="A457" s="64"/>
      <c r="B457" s="64"/>
      <c r="C457" s="64"/>
      <c r="D457" s="64"/>
      <c r="E457" s="65"/>
      <c r="F457" s="64"/>
      <c r="G457" s="67"/>
      <c r="H457" s="64"/>
      <c r="I457" s="64"/>
      <c r="J457" s="64"/>
      <c r="K457" s="64"/>
      <c r="L457" s="65"/>
      <c r="M457" s="64"/>
      <c r="N457" s="64"/>
      <c r="O457" s="64"/>
      <c r="P457" s="64"/>
      <c r="Q457" s="64"/>
      <c r="R457" s="64"/>
      <c r="S457" s="64"/>
      <c r="T457" s="65"/>
      <c r="U457" s="64"/>
      <c r="V457" s="64"/>
      <c r="W457" s="64"/>
      <c r="X457" s="64"/>
      <c r="Y457" s="64"/>
      <c r="Z457" s="64"/>
      <c r="AA457" s="64"/>
      <c r="AB457" s="64"/>
      <c r="AC457" s="64"/>
      <c r="AD457" s="64"/>
      <c r="AE457" s="64"/>
      <c r="AF457" s="64"/>
      <c r="AG457" s="64"/>
    </row>
    <row r="458">
      <c r="A458" s="64"/>
      <c r="B458" s="64"/>
      <c r="C458" s="64"/>
      <c r="D458" s="64"/>
      <c r="E458" s="65"/>
      <c r="F458" s="64"/>
      <c r="G458" s="67"/>
      <c r="H458" s="64"/>
      <c r="I458" s="64"/>
      <c r="J458" s="64"/>
      <c r="K458" s="64"/>
      <c r="L458" s="65"/>
      <c r="M458" s="64"/>
      <c r="N458" s="64"/>
      <c r="O458" s="64"/>
      <c r="P458" s="64"/>
      <c r="Q458" s="64"/>
      <c r="R458" s="64"/>
      <c r="S458" s="64"/>
      <c r="T458" s="65"/>
      <c r="U458" s="64"/>
      <c r="V458" s="64"/>
      <c r="W458" s="64"/>
      <c r="X458" s="64"/>
      <c r="Y458" s="64"/>
      <c r="Z458" s="64"/>
      <c r="AA458" s="64"/>
      <c r="AB458" s="64"/>
      <c r="AC458" s="64"/>
      <c r="AD458" s="64"/>
      <c r="AE458" s="64"/>
      <c r="AF458" s="64"/>
      <c r="AG458" s="64"/>
    </row>
    <row r="459">
      <c r="A459" s="64"/>
      <c r="B459" s="64"/>
      <c r="C459" s="64"/>
      <c r="D459" s="64"/>
      <c r="E459" s="65"/>
      <c r="F459" s="64"/>
      <c r="G459" s="67"/>
      <c r="H459" s="64"/>
      <c r="I459" s="64"/>
      <c r="J459" s="64"/>
      <c r="K459" s="64"/>
      <c r="L459" s="65"/>
      <c r="M459" s="64"/>
      <c r="N459" s="64"/>
      <c r="O459" s="64"/>
      <c r="P459" s="64"/>
      <c r="Q459" s="64"/>
      <c r="R459" s="64"/>
      <c r="S459" s="64"/>
      <c r="T459" s="65"/>
      <c r="U459" s="64"/>
      <c r="V459" s="64"/>
      <c r="W459" s="64"/>
      <c r="X459" s="64"/>
      <c r="Y459" s="64"/>
      <c r="Z459" s="64"/>
      <c r="AA459" s="64"/>
      <c r="AB459" s="64"/>
      <c r="AC459" s="64"/>
      <c r="AD459" s="64"/>
      <c r="AE459" s="64"/>
      <c r="AF459" s="64"/>
      <c r="AG459" s="64"/>
    </row>
    <row r="460">
      <c r="A460" s="64"/>
      <c r="B460" s="64"/>
      <c r="C460" s="64"/>
      <c r="D460" s="64"/>
      <c r="E460" s="65"/>
      <c r="F460" s="64"/>
      <c r="G460" s="67"/>
      <c r="H460" s="64"/>
      <c r="I460" s="64"/>
      <c r="J460" s="64"/>
      <c r="K460" s="64"/>
      <c r="L460" s="65"/>
      <c r="M460" s="64"/>
      <c r="N460" s="64"/>
      <c r="O460" s="64"/>
      <c r="P460" s="64"/>
      <c r="Q460" s="64"/>
      <c r="R460" s="64"/>
      <c r="S460" s="64"/>
      <c r="T460" s="65"/>
      <c r="U460" s="64"/>
      <c r="V460" s="64"/>
      <c r="W460" s="64"/>
      <c r="X460" s="64"/>
      <c r="Y460" s="64"/>
      <c r="Z460" s="64"/>
      <c r="AA460" s="64"/>
      <c r="AB460" s="64"/>
      <c r="AC460" s="64"/>
      <c r="AD460" s="64"/>
      <c r="AE460" s="64"/>
      <c r="AF460" s="64"/>
      <c r="AG460" s="64"/>
    </row>
    <row r="461">
      <c r="A461" s="64"/>
      <c r="B461" s="64"/>
      <c r="C461" s="64"/>
      <c r="D461" s="64"/>
      <c r="E461" s="65"/>
      <c r="F461" s="64"/>
      <c r="G461" s="67"/>
      <c r="H461" s="64"/>
      <c r="I461" s="64"/>
      <c r="J461" s="64"/>
      <c r="K461" s="64"/>
      <c r="L461" s="65"/>
      <c r="M461" s="64"/>
      <c r="N461" s="64"/>
      <c r="O461" s="64"/>
      <c r="P461" s="64"/>
      <c r="Q461" s="64"/>
      <c r="R461" s="64"/>
      <c r="S461" s="64"/>
      <c r="T461" s="65"/>
      <c r="U461" s="64"/>
      <c r="V461" s="64"/>
      <c r="W461" s="64"/>
      <c r="X461" s="64"/>
      <c r="Y461" s="64"/>
      <c r="Z461" s="64"/>
      <c r="AA461" s="64"/>
      <c r="AB461" s="64"/>
      <c r="AC461" s="64"/>
      <c r="AD461" s="64"/>
      <c r="AE461" s="64"/>
      <c r="AF461" s="64"/>
      <c r="AG461" s="64"/>
    </row>
    <row r="462">
      <c r="A462" s="64"/>
      <c r="B462" s="64"/>
      <c r="C462" s="64"/>
      <c r="D462" s="64"/>
      <c r="E462" s="65"/>
      <c r="F462" s="64"/>
      <c r="G462" s="67"/>
      <c r="H462" s="64"/>
      <c r="I462" s="64"/>
      <c r="J462" s="64"/>
      <c r="K462" s="64"/>
      <c r="L462" s="65"/>
      <c r="M462" s="64"/>
      <c r="N462" s="64"/>
      <c r="O462" s="64"/>
      <c r="P462" s="64"/>
      <c r="Q462" s="64"/>
      <c r="R462" s="64"/>
      <c r="S462" s="64"/>
      <c r="T462" s="65"/>
      <c r="U462" s="64"/>
      <c r="V462" s="64"/>
      <c r="W462" s="64"/>
      <c r="X462" s="64"/>
      <c r="Y462" s="64"/>
      <c r="Z462" s="64"/>
      <c r="AA462" s="64"/>
      <c r="AB462" s="64"/>
      <c r="AC462" s="64"/>
      <c r="AD462" s="64"/>
      <c r="AE462" s="64"/>
      <c r="AF462" s="64"/>
      <c r="AG462" s="64"/>
    </row>
    <row r="463">
      <c r="A463" s="64"/>
      <c r="B463" s="64"/>
      <c r="C463" s="64"/>
      <c r="D463" s="64"/>
      <c r="E463" s="65"/>
      <c r="F463" s="64"/>
      <c r="G463" s="67"/>
      <c r="H463" s="64"/>
      <c r="I463" s="64"/>
      <c r="J463" s="64"/>
      <c r="K463" s="64"/>
      <c r="L463" s="65"/>
      <c r="M463" s="64"/>
      <c r="N463" s="64"/>
      <c r="O463" s="64"/>
      <c r="P463" s="64"/>
      <c r="Q463" s="64"/>
      <c r="R463" s="64"/>
      <c r="S463" s="64"/>
      <c r="T463" s="65"/>
      <c r="U463" s="64"/>
      <c r="V463" s="64"/>
      <c r="W463" s="64"/>
      <c r="X463" s="64"/>
      <c r="Y463" s="64"/>
      <c r="Z463" s="64"/>
      <c r="AA463" s="64"/>
      <c r="AB463" s="64"/>
      <c r="AC463" s="64"/>
      <c r="AD463" s="64"/>
      <c r="AE463" s="64"/>
      <c r="AF463" s="64"/>
      <c r="AG463" s="64"/>
    </row>
    <row r="464">
      <c r="A464" s="64"/>
      <c r="B464" s="64"/>
      <c r="C464" s="64"/>
      <c r="D464" s="64"/>
      <c r="E464" s="65"/>
      <c r="F464" s="64"/>
      <c r="G464" s="67"/>
      <c r="H464" s="64"/>
      <c r="I464" s="64"/>
      <c r="J464" s="64"/>
      <c r="K464" s="64"/>
      <c r="L464" s="65"/>
      <c r="M464" s="64"/>
      <c r="N464" s="64"/>
      <c r="O464" s="64"/>
      <c r="P464" s="64"/>
      <c r="Q464" s="64"/>
      <c r="R464" s="64"/>
      <c r="S464" s="64"/>
      <c r="T464" s="65"/>
      <c r="U464" s="64"/>
      <c r="V464" s="64"/>
      <c r="W464" s="64"/>
      <c r="X464" s="64"/>
      <c r="Y464" s="64"/>
      <c r="Z464" s="64"/>
      <c r="AA464" s="64"/>
      <c r="AB464" s="64"/>
      <c r="AC464" s="64"/>
      <c r="AD464" s="64"/>
      <c r="AE464" s="64"/>
      <c r="AF464" s="64"/>
      <c r="AG464" s="64"/>
    </row>
    <row r="465">
      <c r="A465" s="64"/>
      <c r="B465" s="64"/>
      <c r="C465" s="64"/>
      <c r="D465" s="64"/>
      <c r="E465" s="65"/>
      <c r="F465" s="64"/>
      <c r="G465" s="67"/>
      <c r="H465" s="64"/>
      <c r="I465" s="64"/>
      <c r="J465" s="64"/>
      <c r="K465" s="64"/>
      <c r="L465" s="65"/>
      <c r="M465" s="64"/>
      <c r="N465" s="64"/>
      <c r="O465" s="64"/>
      <c r="P465" s="64"/>
      <c r="Q465" s="64"/>
      <c r="R465" s="64"/>
      <c r="S465" s="64"/>
      <c r="T465" s="65"/>
      <c r="U465" s="64"/>
      <c r="V465" s="64"/>
      <c r="W465" s="64"/>
      <c r="X465" s="64"/>
      <c r="Y465" s="64"/>
      <c r="Z465" s="64"/>
      <c r="AA465" s="64"/>
      <c r="AB465" s="64"/>
      <c r="AC465" s="64"/>
      <c r="AD465" s="64"/>
      <c r="AE465" s="64"/>
      <c r="AF465" s="64"/>
      <c r="AG465" s="64"/>
    </row>
    <row r="466">
      <c r="A466" s="64"/>
      <c r="B466" s="64"/>
      <c r="C466" s="64"/>
      <c r="D466" s="64"/>
      <c r="E466" s="65"/>
      <c r="F466" s="64"/>
      <c r="G466" s="67"/>
      <c r="H466" s="64"/>
      <c r="I466" s="64"/>
      <c r="J466" s="64"/>
      <c r="K466" s="64"/>
      <c r="L466" s="65"/>
      <c r="M466" s="64"/>
      <c r="N466" s="64"/>
      <c r="O466" s="64"/>
      <c r="P466" s="64"/>
      <c r="Q466" s="64"/>
      <c r="R466" s="64"/>
      <c r="S466" s="64"/>
      <c r="T466" s="65"/>
      <c r="U466" s="64"/>
      <c r="V466" s="64"/>
      <c r="W466" s="64"/>
      <c r="X466" s="64"/>
      <c r="Y466" s="64"/>
      <c r="Z466" s="64"/>
      <c r="AA466" s="64"/>
      <c r="AB466" s="64"/>
      <c r="AC466" s="64"/>
      <c r="AD466" s="64"/>
      <c r="AE466" s="64"/>
      <c r="AF466" s="64"/>
      <c r="AG466" s="64"/>
    </row>
    <row r="467">
      <c r="A467" s="64"/>
      <c r="B467" s="64"/>
      <c r="C467" s="64"/>
      <c r="D467" s="64"/>
      <c r="E467" s="65"/>
      <c r="F467" s="64"/>
      <c r="G467" s="67"/>
      <c r="H467" s="64"/>
      <c r="I467" s="64"/>
      <c r="J467" s="64"/>
      <c r="K467" s="64"/>
      <c r="L467" s="65"/>
      <c r="M467" s="64"/>
      <c r="N467" s="64"/>
      <c r="O467" s="64"/>
      <c r="P467" s="64"/>
      <c r="Q467" s="64"/>
      <c r="R467" s="64"/>
      <c r="S467" s="64"/>
      <c r="T467" s="65"/>
      <c r="U467" s="64"/>
      <c r="V467" s="64"/>
      <c r="W467" s="64"/>
      <c r="X467" s="64"/>
      <c r="Y467" s="64"/>
      <c r="Z467" s="64"/>
      <c r="AA467" s="64"/>
      <c r="AB467" s="64"/>
      <c r="AC467" s="64"/>
      <c r="AD467" s="64"/>
      <c r="AE467" s="64"/>
      <c r="AF467" s="64"/>
      <c r="AG467" s="64"/>
    </row>
    <row r="468">
      <c r="A468" s="64"/>
      <c r="B468" s="64"/>
      <c r="C468" s="64"/>
      <c r="D468" s="64"/>
      <c r="E468" s="65"/>
      <c r="F468" s="64"/>
      <c r="G468" s="67"/>
      <c r="H468" s="64"/>
      <c r="I468" s="64"/>
      <c r="J468" s="64"/>
      <c r="K468" s="64"/>
      <c r="L468" s="65"/>
      <c r="M468" s="64"/>
      <c r="N468" s="64"/>
      <c r="O468" s="64"/>
      <c r="P468" s="64"/>
      <c r="Q468" s="64"/>
      <c r="R468" s="64"/>
      <c r="S468" s="64"/>
      <c r="T468" s="65"/>
      <c r="U468" s="64"/>
      <c r="V468" s="64"/>
      <c r="W468" s="64"/>
      <c r="X468" s="64"/>
      <c r="Y468" s="64"/>
      <c r="Z468" s="64"/>
      <c r="AA468" s="64"/>
      <c r="AB468" s="64"/>
      <c r="AC468" s="64"/>
      <c r="AD468" s="64"/>
      <c r="AE468" s="64"/>
      <c r="AF468" s="64"/>
      <c r="AG468" s="64"/>
    </row>
    <row r="469">
      <c r="A469" s="64"/>
      <c r="B469" s="64"/>
      <c r="C469" s="64"/>
      <c r="D469" s="64"/>
      <c r="E469" s="65"/>
      <c r="F469" s="64"/>
      <c r="G469" s="67"/>
      <c r="H469" s="64"/>
      <c r="I469" s="64"/>
      <c r="J469" s="64"/>
      <c r="K469" s="64"/>
      <c r="L469" s="65"/>
      <c r="M469" s="64"/>
      <c r="N469" s="64"/>
      <c r="O469" s="64"/>
      <c r="P469" s="64"/>
      <c r="Q469" s="64"/>
      <c r="R469" s="64"/>
      <c r="S469" s="64"/>
      <c r="T469" s="65"/>
      <c r="U469" s="64"/>
      <c r="V469" s="64"/>
      <c r="W469" s="64"/>
      <c r="X469" s="64"/>
      <c r="Y469" s="64"/>
      <c r="Z469" s="64"/>
      <c r="AA469" s="64"/>
      <c r="AB469" s="64"/>
      <c r="AC469" s="64"/>
      <c r="AD469" s="64"/>
      <c r="AE469" s="64"/>
      <c r="AF469" s="64"/>
      <c r="AG469" s="64"/>
    </row>
    <row r="470">
      <c r="A470" s="64"/>
      <c r="B470" s="64"/>
      <c r="C470" s="64"/>
      <c r="D470" s="64"/>
      <c r="E470" s="65"/>
      <c r="F470" s="64"/>
      <c r="G470" s="67"/>
      <c r="H470" s="64"/>
      <c r="I470" s="64"/>
      <c r="J470" s="64"/>
      <c r="K470" s="64"/>
      <c r="L470" s="65"/>
      <c r="M470" s="64"/>
      <c r="N470" s="64"/>
      <c r="O470" s="64"/>
      <c r="P470" s="64"/>
      <c r="Q470" s="64"/>
      <c r="R470" s="64"/>
      <c r="S470" s="64"/>
      <c r="T470" s="65"/>
      <c r="U470" s="64"/>
      <c r="V470" s="64"/>
      <c r="W470" s="64"/>
      <c r="X470" s="64"/>
      <c r="Y470" s="64"/>
      <c r="Z470" s="64"/>
      <c r="AA470" s="64"/>
      <c r="AB470" s="64"/>
      <c r="AC470" s="64"/>
      <c r="AD470" s="64"/>
      <c r="AE470" s="64"/>
      <c r="AF470" s="64"/>
      <c r="AG470" s="64"/>
    </row>
    <row r="471">
      <c r="A471" s="64"/>
      <c r="B471" s="64"/>
      <c r="C471" s="64"/>
      <c r="D471" s="64"/>
      <c r="E471" s="65"/>
      <c r="F471" s="64"/>
      <c r="G471" s="67"/>
      <c r="H471" s="64"/>
      <c r="I471" s="64"/>
      <c r="J471" s="64"/>
      <c r="K471" s="64"/>
      <c r="L471" s="65"/>
      <c r="M471" s="64"/>
      <c r="N471" s="64"/>
      <c r="O471" s="64"/>
      <c r="P471" s="64"/>
      <c r="Q471" s="64"/>
      <c r="R471" s="64"/>
      <c r="S471" s="64"/>
      <c r="T471" s="65"/>
      <c r="U471" s="64"/>
      <c r="V471" s="64"/>
      <c r="W471" s="64"/>
      <c r="X471" s="64"/>
      <c r="Y471" s="64"/>
      <c r="Z471" s="64"/>
      <c r="AA471" s="64"/>
      <c r="AB471" s="64"/>
      <c r="AC471" s="64"/>
      <c r="AD471" s="64"/>
      <c r="AE471" s="64"/>
      <c r="AF471" s="64"/>
      <c r="AG471" s="64"/>
    </row>
    <row r="472">
      <c r="A472" s="64"/>
      <c r="B472" s="64"/>
      <c r="C472" s="64"/>
      <c r="D472" s="64"/>
      <c r="E472" s="65"/>
      <c r="F472" s="64"/>
      <c r="G472" s="67"/>
      <c r="H472" s="64"/>
      <c r="I472" s="64"/>
      <c r="J472" s="64"/>
      <c r="K472" s="64"/>
      <c r="L472" s="65"/>
      <c r="M472" s="64"/>
      <c r="N472" s="64"/>
      <c r="O472" s="64"/>
      <c r="P472" s="64"/>
      <c r="Q472" s="64"/>
      <c r="R472" s="64"/>
      <c r="S472" s="64"/>
      <c r="T472" s="65"/>
      <c r="U472" s="64"/>
      <c r="V472" s="64"/>
      <c r="W472" s="64"/>
      <c r="X472" s="64"/>
      <c r="Y472" s="64"/>
      <c r="Z472" s="64"/>
      <c r="AA472" s="64"/>
      <c r="AB472" s="64"/>
      <c r="AC472" s="64"/>
      <c r="AD472" s="64"/>
      <c r="AE472" s="64"/>
      <c r="AF472" s="64"/>
      <c r="AG472" s="64"/>
    </row>
    <row r="473">
      <c r="A473" s="64"/>
      <c r="B473" s="64"/>
      <c r="C473" s="64"/>
      <c r="D473" s="64"/>
      <c r="E473" s="65"/>
      <c r="F473" s="64"/>
      <c r="G473" s="67"/>
      <c r="H473" s="64"/>
      <c r="I473" s="64"/>
      <c r="J473" s="64"/>
      <c r="K473" s="64"/>
      <c r="L473" s="65"/>
      <c r="M473" s="64"/>
      <c r="N473" s="64"/>
      <c r="O473" s="64"/>
      <c r="P473" s="64"/>
      <c r="Q473" s="64"/>
      <c r="R473" s="64"/>
      <c r="S473" s="64"/>
      <c r="T473" s="65"/>
      <c r="U473" s="64"/>
      <c r="V473" s="64"/>
      <c r="W473" s="64"/>
      <c r="X473" s="64"/>
      <c r="Y473" s="64"/>
      <c r="Z473" s="64"/>
      <c r="AA473" s="64"/>
      <c r="AB473" s="64"/>
      <c r="AC473" s="64"/>
      <c r="AD473" s="64"/>
      <c r="AE473" s="64"/>
      <c r="AF473" s="64"/>
      <c r="AG473" s="64"/>
    </row>
    <row r="474">
      <c r="A474" s="64"/>
      <c r="B474" s="64"/>
      <c r="C474" s="64"/>
      <c r="D474" s="64"/>
      <c r="E474" s="65"/>
      <c r="F474" s="64"/>
      <c r="G474" s="67"/>
      <c r="H474" s="64"/>
      <c r="I474" s="64"/>
      <c r="J474" s="64"/>
      <c r="K474" s="64"/>
      <c r="L474" s="65"/>
      <c r="M474" s="64"/>
      <c r="N474" s="64"/>
      <c r="O474" s="64"/>
      <c r="P474" s="64"/>
      <c r="Q474" s="64"/>
      <c r="R474" s="64"/>
      <c r="S474" s="64"/>
      <c r="T474" s="65"/>
      <c r="U474" s="64"/>
      <c r="V474" s="64"/>
      <c r="W474" s="64"/>
      <c r="X474" s="64"/>
      <c r="Y474" s="64"/>
      <c r="Z474" s="64"/>
      <c r="AA474" s="64"/>
      <c r="AB474" s="64"/>
      <c r="AC474" s="64"/>
      <c r="AD474" s="64"/>
      <c r="AE474" s="64"/>
      <c r="AF474" s="64"/>
      <c r="AG474" s="64"/>
    </row>
    <row r="475">
      <c r="A475" s="64"/>
      <c r="B475" s="64"/>
      <c r="C475" s="64"/>
      <c r="D475" s="64"/>
      <c r="E475" s="65"/>
      <c r="F475" s="64"/>
      <c r="G475" s="67"/>
      <c r="H475" s="64"/>
      <c r="I475" s="64"/>
      <c r="J475" s="64"/>
      <c r="K475" s="64"/>
      <c r="L475" s="65"/>
      <c r="M475" s="64"/>
      <c r="N475" s="64"/>
      <c r="O475" s="64"/>
      <c r="P475" s="64"/>
      <c r="Q475" s="64"/>
      <c r="R475" s="64"/>
      <c r="S475" s="64"/>
      <c r="T475" s="65"/>
      <c r="U475" s="64"/>
      <c r="V475" s="64"/>
      <c r="W475" s="64"/>
      <c r="X475" s="64"/>
      <c r="Y475" s="64"/>
      <c r="Z475" s="64"/>
      <c r="AA475" s="64"/>
      <c r="AB475" s="64"/>
      <c r="AC475" s="64"/>
      <c r="AD475" s="64"/>
      <c r="AE475" s="64"/>
      <c r="AF475" s="64"/>
      <c r="AG475" s="64"/>
    </row>
    <row r="476">
      <c r="A476" s="64"/>
      <c r="B476" s="64"/>
      <c r="C476" s="64"/>
      <c r="D476" s="64"/>
      <c r="E476" s="65"/>
      <c r="F476" s="64"/>
      <c r="G476" s="67"/>
      <c r="H476" s="64"/>
      <c r="I476" s="64"/>
      <c r="J476" s="64"/>
      <c r="K476" s="64"/>
      <c r="L476" s="65"/>
      <c r="M476" s="64"/>
      <c r="N476" s="64"/>
      <c r="O476" s="64"/>
      <c r="P476" s="64"/>
      <c r="Q476" s="64"/>
      <c r="R476" s="64"/>
      <c r="S476" s="64"/>
      <c r="T476" s="65"/>
      <c r="U476" s="64"/>
      <c r="V476" s="64"/>
      <c r="W476" s="64"/>
      <c r="X476" s="64"/>
      <c r="Y476" s="64"/>
      <c r="Z476" s="64"/>
      <c r="AA476" s="64"/>
      <c r="AB476" s="64"/>
      <c r="AC476" s="64"/>
      <c r="AD476" s="64"/>
      <c r="AE476" s="64"/>
      <c r="AF476" s="64"/>
      <c r="AG476" s="64"/>
    </row>
    <row r="477">
      <c r="A477" s="64"/>
      <c r="B477" s="64"/>
      <c r="C477" s="64"/>
      <c r="D477" s="64"/>
      <c r="E477" s="65"/>
      <c r="F477" s="64"/>
      <c r="G477" s="67"/>
      <c r="H477" s="64"/>
      <c r="I477" s="64"/>
      <c r="J477" s="64"/>
      <c r="K477" s="64"/>
      <c r="L477" s="65"/>
      <c r="M477" s="64"/>
      <c r="N477" s="64"/>
      <c r="O477" s="64"/>
      <c r="P477" s="64"/>
      <c r="Q477" s="64"/>
      <c r="R477" s="64"/>
      <c r="S477" s="64"/>
      <c r="T477" s="65"/>
      <c r="U477" s="64"/>
      <c r="V477" s="64"/>
      <c r="W477" s="64"/>
      <c r="X477" s="64"/>
      <c r="Y477" s="64"/>
      <c r="Z477" s="64"/>
      <c r="AA477" s="64"/>
      <c r="AB477" s="64"/>
      <c r="AC477" s="64"/>
      <c r="AD477" s="64"/>
      <c r="AE477" s="64"/>
      <c r="AF477" s="64"/>
      <c r="AG477" s="64"/>
    </row>
    <row r="478">
      <c r="A478" s="64"/>
      <c r="B478" s="64"/>
      <c r="C478" s="64"/>
      <c r="D478" s="64"/>
      <c r="E478" s="65"/>
      <c r="F478" s="64"/>
      <c r="G478" s="67"/>
      <c r="H478" s="64"/>
      <c r="I478" s="64"/>
      <c r="J478" s="64"/>
      <c r="K478" s="64"/>
      <c r="L478" s="65"/>
      <c r="M478" s="64"/>
      <c r="N478" s="64"/>
      <c r="O478" s="64"/>
      <c r="P478" s="64"/>
      <c r="Q478" s="64"/>
      <c r="R478" s="64"/>
      <c r="S478" s="64"/>
      <c r="T478" s="65"/>
      <c r="U478" s="64"/>
      <c r="V478" s="64"/>
      <c r="W478" s="64"/>
      <c r="X478" s="64"/>
      <c r="Y478" s="64"/>
      <c r="Z478" s="64"/>
      <c r="AA478" s="64"/>
      <c r="AB478" s="64"/>
      <c r="AC478" s="64"/>
      <c r="AD478" s="64"/>
      <c r="AE478" s="64"/>
      <c r="AF478" s="64"/>
      <c r="AG478" s="64"/>
    </row>
    <row r="479">
      <c r="A479" s="64"/>
      <c r="B479" s="64"/>
      <c r="C479" s="64"/>
      <c r="D479" s="64"/>
      <c r="E479" s="65"/>
      <c r="F479" s="64"/>
      <c r="G479" s="67"/>
      <c r="H479" s="64"/>
      <c r="I479" s="64"/>
      <c r="J479" s="64"/>
      <c r="K479" s="64"/>
      <c r="L479" s="65"/>
      <c r="M479" s="64"/>
      <c r="N479" s="64"/>
      <c r="O479" s="64"/>
      <c r="P479" s="64"/>
      <c r="Q479" s="64"/>
      <c r="R479" s="64"/>
      <c r="S479" s="64"/>
      <c r="T479" s="65"/>
      <c r="U479" s="64"/>
      <c r="V479" s="64"/>
      <c r="W479" s="64"/>
      <c r="X479" s="64"/>
      <c r="Y479" s="64"/>
      <c r="Z479" s="64"/>
      <c r="AA479" s="64"/>
      <c r="AB479" s="64"/>
      <c r="AC479" s="64"/>
      <c r="AD479" s="64"/>
      <c r="AE479" s="64"/>
      <c r="AF479" s="64"/>
      <c r="AG479" s="64"/>
    </row>
    <row r="480">
      <c r="A480" s="64"/>
      <c r="B480" s="64"/>
      <c r="C480" s="64"/>
      <c r="D480" s="64"/>
      <c r="E480" s="65"/>
      <c r="F480" s="64"/>
      <c r="G480" s="67"/>
      <c r="H480" s="64"/>
      <c r="I480" s="64"/>
      <c r="J480" s="64"/>
      <c r="K480" s="64"/>
      <c r="L480" s="65"/>
      <c r="M480" s="64"/>
      <c r="N480" s="64"/>
      <c r="O480" s="64"/>
      <c r="P480" s="64"/>
      <c r="Q480" s="64"/>
      <c r="R480" s="64"/>
      <c r="S480" s="64"/>
      <c r="T480" s="65"/>
      <c r="U480" s="64"/>
      <c r="V480" s="64"/>
      <c r="W480" s="64"/>
      <c r="X480" s="64"/>
      <c r="Y480" s="64"/>
      <c r="Z480" s="64"/>
      <c r="AA480" s="64"/>
      <c r="AB480" s="64"/>
      <c r="AC480" s="64"/>
      <c r="AD480" s="64"/>
      <c r="AE480" s="64"/>
      <c r="AF480" s="64"/>
      <c r="AG480" s="64"/>
    </row>
    <row r="481">
      <c r="A481" s="64"/>
      <c r="B481" s="64"/>
      <c r="C481" s="64"/>
      <c r="D481" s="64"/>
      <c r="E481" s="65"/>
      <c r="F481" s="64"/>
      <c r="G481" s="67"/>
      <c r="H481" s="64"/>
      <c r="I481" s="64"/>
      <c r="J481" s="64"/>
      <c r="K481" s="64"/>
      <c r="L481" s="65"/>
      <c r="M481" s="64"/>
      <c r="N481" s="64"/>
      <c r="O481" s="64"/>
      <c r="P481" s="64"/>
      <c r="Q481" s="64"/>
      <c r="R481" s="64"/>
      <c r="S481" s="64"/>
      <c r="T481" s="65"/>
      <c r="U481" s="64"/>
      <c r="V481" s="64"/>
      <c r="W481" s="64"/>
      <c r="X481" s="64"/>
      <c r="Y481" s="64"/>
      <c r="Z481" s="64"/>
      <c r="AA481" s="64"/>
      <c r="AB481" s="64"/>
      <c r="AC481" s="64"/>
      <c r="AD481" s="64"/>
      <c r="AE481" s="64"/>
      <c r="AF481" s="64"/>
      <c r="AG481" s="64"/>
    </row>
    <row r="482">
      <c r="A482" s="64"/>
      <c r="B482" s="64"/>
      <c r="C482" s="64"/>
      <c r="D482" s="64"/>
      <c r="E482" s="65"/>
      <c r="F482" s="64"/>
      <c r="G482" s="67"/>
      <c r="H482" s="64"/>
      <c r="I482" s="64"/>
      <c r="J482" s="64"/>
      <c r="K482" s="64"/>
      <c r="L482" s="65"/>
      <c r="M482" s="64"/>
      <c r="N482" s="64"/>
      <c r="O482" s="64"/>
      <c r="P482" s="64"/>
      <c r="Q482" s="64"/>
      <c r="R482" s="64"/>
      <c r="S482" s="64"/>
      <c r="T482" s="65"/>
      <c r="U482" s="64"/>
      <c r="V482" s="64"/>
      <c r="W482" s="64"/>
      <c r="X482" s="64"/>
      <c r="Y482" s="64"/>
      <c r="Z482" s="64"/>
      <c r="AA482" s="64"/>
      <c r="AB482" s="64"/>
      <c r="AC482" s="64"/>
      <c r="AD482" s="64"/>
      <c r="AE482" s="64"/>
      <c r="AF482" s="64"/>
      <c r="AG482" s="64"/>
    </row>
    <row r="483">
      <c r="A483" s="64"/>
      <c r="B483" s="64"/>
      <c r="C483" s="64"/>
      <c r="D483" s="64"/>
      <c r="E483" s="65"/>
      <c r="F483" s="64"/>
      <c r="G483" s="67"/>
      <c r="H483" s="64"/>
      <c r="I483" s="64"/>
      <c r="J483" s="64"/>
      <c r="K483" s="64"/>
      <c r="L483" s="65"/>
      <c r="M483" s="64"/>
      <c r="N483" s="64"/>
      <c r="O483" s="64"/>
      <c r="P483" s="64"/>
      <c r="Q483" s="64"/>
      <c r="R483" s="64"/>
      <c r="S483" s="64"/>
      <c r="T483" s="65"/>
      <c r="U483" s="64"/>
      <c r="V483" s="64"/>
      <c r="W483" s="64"/>
      <c r="X483" s="64"/>
      <c r="Y483" s="64"/>
      <c r="Z483" s="64"/>
      <c r="AA483" s="64"/>
      <c r="AB483" s="64"/>
      <c r="AC483" s="64"/>
      <c r="AD483" s="64"/>
      <c r="AE483" s="64"/>
      <c r="AF483" s="64"/>
      <c r="AG483" s="64"/>
    </row>
    <row r="484">
      <c r="A484" s="64"/>
      <c r="B484" s="64"/>
      <c r="C484" s="64"/>
      <c r="D484" s="64"/>
      <c r="E484" s="65"/>
      <c r="F484" s="64"/>
      <c r="G484" s="67"/>
      <c r="H484" s="64"/>
      <c r="I484" s="64"/>
      <c r="J484" s="64"/>
      <c r="K484" s="64"/>
      <c r="L484" s="65"/>
      <c r="M484" s="64"/>
      <c r="N484" s="64"/>
      <c r="O484" s="64"/>
      <c r="P484" s="64"/>
      <c r="Q484" s="64"/>
      <c r="R484" s="64"/>
      <c r="S484" s="64"/>
      <c r="T484" s="65"/>
      <c r="U484" s="64"/>
      <c r="V484" s="64"/>
      <c r="W484" s="64"/>
      <c r="X484" s="64"/>
      <c r="Y484" s="64"/>
      <c r="Z484" s="64"/>
      <c r="AA484" s="64"/>
      <c r="AB484" s="64"/>
      <c r="AC484" s="64"/>
      <c r="AD484" s="64"/>
      <c r="AE484" s="64"/>
      <c r="AF484" s="64"/>
      <c r="AG484" s="64"/>
    </row>
    <row r="485">
      <c r="A485" s="64"/>
      <c r="B485" s="64"/>
      <c r="C485" s="64"/>
      <c r="D485" s="64"/>
      <c r="E485" s="65"/>
      <c r="F485" s="64"/>
      <c r="G485" s="67"/>
      <c r="H485" s="64"/>
      <c r="I485" s="64"/>
      <c r="J485" s="64"/>
      <c r="K485" s="64"/>
      <c r="L485" s="65"/>
      <c r="M485" s="64"/>
      <c r="N485" s="64"/>
      <c r="O485" s="64"/>
      <c r="P485" s="64"/>
      <c r="Q485" s="64"/>
      <c r="R485" s="64"/>
      <c r="S485" s="64"/>
      <c r="T485" s="65"/>
      <c r="U485" s="64"/>
      <c r="V485" s="64"/>
      <c r="W485" s="64"/>
      <c r="X485" s="64"/>
      <c r="Y485" s="64"/>
      <c r="Z485" s="64"/>
      <c r="AA485" s="64"/>
      <c r="AB485" s="64"/>
      <c r="AC485" s="64"/>
      <c r="AD485" s="64"/>
      <c r="AE485" s="64"/>
      <c r="AF485" s="64"/>
      <c r="AG485" s="64"/>
    </row>
    <row r="486">
      <c r="A486" s="64"/>
      <c r="B486" s="64"/>
      <c r="C486" s="64"/>
      <c r="D486" s="64"/>
      <c r="E486" s="65"/>
      <c r="F486" s="64"/>
      <c r="G486" s="67"/>
      <c r="H486" s="64"/>
      <c r="I486" s="64"/>
      <c r="J486" s="64"/>
      <c r="K486" s="64"/>
      <c r="L486" s="65"/>
      <c r="M486" s="64"/>
      <c r="N486" s="64"/>
      <c r="O486" s="64"/>
      <c r="P486" s="64"/>
      <c r="Q486" s="64"/>
      <c r="R486" s="64"/>
      <c r="S486" s="64"/>
      <c r="T486" s="65"/>
      <c r="U486" s="64"/>
      <c r="V486" s="64"/>
      <c r="W486" s="64"/>
      <c r="X486" s="64"/>
      <c r="Y486" s="64"/>
      <c r="Z486" s="64"/>
      <c r="AA486" s="64"/>
      <c r="AB486" s="64"/>
      <c r="AC486" s="64"/>
      <c r="AD486" s="64"/>
      <c r="AE486" s="64"/>
      <c r="AF486" s="64"/>
      <c r="AG486" s="64"/>
    </row>
    <row r="487">
      <c r="A487" s="64"/>
      <c r="B487" s="64"/>
      <c r="C487" s="64"/>
      <c r="D487" s="64"/>
      <c r="E487" s="65"/>
      <c r="F487" s="64"/>
      <c r="G487" s="67"/>
      <c r="H487" s="64"/>
      <c r="I487" s="64"/>
      <c r="J487" s="64"/>
      <c r="K487" s="64"/>
      <c r="L487" s="65"/>
      <c r="M487" s="64"/>
      <c r="N487" s="64"/>
      <c r="O487" s="64"/>
      <c r="P487" s="64"/>
      <c r="Q487" s="64"/>
      <c r="R487" s="64"/>
      <c r="S487" s="64"/>
      <c r="T487" s="65"/>
      <c r="U487" s="64"/>
      <c r="V487" s="64"/>
      <c r="W487" s="64"/>
      <c r="X487" s="64"/>
      <c r="Y487" s="64"/>
      <c r="Z487" s="64"/>
      <c r="AA487" s="64"/>
      <c r="AB487" s="64"/>
      <c r="AC487" s="64"/>
      <c r="AD487" s="64"/>
      <c r="AE487" s="64"/>
      <c r="AF487" s="64"/>
      <c r="AG487" s="64"/>
    </row>
    <row r="488">
      <c r="A488" s="64"/>
      <c r="B488" s="64"/>
      <c r="C488" s="64"/>
      <c r="D488" s="64"/>
      <c r="E488" s="65"/>
      <c r="F488" s="64"/>
      <c r="G488" s="67"/>
      <c r="H488" s="64"/>
      <c r="I488" s="64"/>
      <c r="J488" s="64"/>
      <c r="K488" s="64"/>
      <c r="L488" s="65"/>
      <c r="M488" s="64"/>
      <c r="N488" s="64"/>
      <c r="O488" s="64"/>
      <c r="P488" s="64"/>
      <c r="Q488" s="64"/>
      <c r="R488" s="64"/>
      <c r="S488" s="64"/>
      <c r="T488" s="65"/>
      <c r="U488" s="64"/>
      <c r="V488" s="64"/>
      <c r="W488" s="64"/>
      <c r="X488" s="64"/>
      <c r="Y488" s="64"/>
      <c r="Z488" s="64"/>
      <c r="AA488" s="64"/>
      <c r="AB488" s="64"/>
      <c r="AC488" s="64"/>
      <c r="AD488" s="64"/>
      <c r="AE488" s="64"/>
      <c r="AF488" s="64"/>
      <c r="AG488" s="64"/>
    </row>
    <row r="489">
      <c r="A489" s="64"/>
      <c r="B489" s="64"/>
      <c r="C489" s="64"/>
      <c r="D489" s="64"/>
      <c r="E489" s="65"/>
      <c r="F489" s="64"/>
      <c r="G489" s="67"/>
      <c r="H489" s="64"/>
      <c r="I489" s="64"/>
      <c r="J489" s="64"/>
      <c r="K489" s="64"/>
      <c r="L489" s="65"/>
      <c r="M489" s="64"/>
      <c r="N489" s="64"/>
      <c r="O489" s="64"/>
      <c r="P489" s="64"/>
      <c r="Q489" s="64"/>
      <c r="R489" s="64"/>
      <c r="S489" s="64"/>
      <c r="T489" s="65"/>
      <c r="U489" s="64"/>
      <c r="V489" s="64"/>
      <c r="W489" s="64"/>
      <c r="X489" s="64"/>
      <c r="Y489" s="64"/>
      <c r="Z489" s="64"/>
      <c r="AA489" s="64"/>
      <c r="AB489" s="64"/>
      <c r="AC489" s="64"/>
      <c r="AD489" s="64"/>
      <c r="AE489" s="64"/>
      <c r="AF489" s="64"/>
      <c r="AG489" s="64"/>
    </row>
    <row r="490">
      <c r="A490" s="64"/>
      <c r="B490" s="64"/>
      <c r="C490" s="64"/>
      <c r="D490" s="64"/>
      <c r="E490" s="65"/>
      <c r="F490" s="64"/>
      <c r="G490" s="67"/>
      <c r="H490" s="64"/>
      <c r="I490" s="64"/>
      <c r="J490" s="64"/>
      <c r="K490" s="64"/>
      <c r="L490" s="65"/>
      <c r="M490" s="64"/>
      <c r="N490" s="64"/>
      <c r="O490" s="64"/>
      <c r="P490" s="64"/>
      <c r="Q490" s="64"/>
      <c r="R490" s="64"/>
      <c r="S490" s="64"/>
      <c r="T490" s="65"/>
      <c r="U490" s="64"/>
      <c r="V490" s="64"/>
      <c r="W490" s="64"/>
      <c r="X490" s="64"/>
      <c r="Y490" s="64"/>
      <c r="Z490" s="64"/>
      <c r="AA490" s="64"/>
      <c r="AB490" s="64"/>
      <c r="AC490" s="64"/>
      <c r="AD490" s="64"/>
      <c r="AE490" s="64"/>
      <c r="AF490" s="64"/>
      <c r="AG490" s="64"/>
    </row>
    <row r="491">
      <c r="A491" s="64"/>
      <c r="B491" s="64"/>
      <c r="C491" s="64"/>
      <c r="D491" s="64"/>
      <c r="E491" s="65"/>
      <c r="F491" s="64"/>
      <c r="G491" s="67"/>
      <c r="H491" s="64"/>
      <c r="I491" s="64"/>
      <c r="J491" s="64"/>
      <c r="K491" s="64"/>
      <c r="L491" s="65"/>
      <c r="M491" s="64"/>
      <c r="N491" s="64"/>
      <c r="O491" s="64"/>
      <c r="P491" s="64"/>
      <c r="Q491" s="64"/>
      <c r="R491" s="64"/>
      <c r="S491" s="64"/>
      <c r="T491" s="65"/>
      <c r="U491" s="64"/>
      <c r="V491" s="64"/>
      <c r="W491" s="64"/>
      <c r="X491" s="64"/>
      <c r="Y491" s="64"/>
      <c r="Z491" s="64"/>
      <c r="AA491" s="64"/>
      <c r="AB491" s="64"/>
      <c r="AC491" s="64"/>
      <c r="AD491" s="64"/>
      <c r="AE491" s="64"/>
      <c r="AF491" s="64"/>
      <c r="AG491" s="64"/>
    </row>
    <row r="492">
      <c r="A492" s="64"/>
      <c r="B492" s="64"/>
      <c r="C492" s="64"/>
      <c r="D492" s="64"/>
      <c r="E492" s="65"/>
      <c r="F492" s="64"/>
      <c r="G492" s="67"/>
      <c r="H492" s="64"/>
      <c r="I492" s="64"/>
      <c r="J492" s="64"/>
      <c r="K492" s="64"/>
      <c r="L492" s="65"/>
      <c r="M492" s="64"/>
      <c r="N492" s="64"/>
      <c r="O492" s="64"/>
      <c r="P492" s="64"/>
      <c r="Q492" s="64"/>
      <c r="R492" s="64"/>
      <c r="S492" s="64"/>
      <c r="T492" s="65"/>
      <c r="U492" s="64"/>
      <c r="V492" s="64"/>
      <c r="W492" s="64"/>
      <c r="X492" s="64"/>
      <c r="Y492" s="64"/>
      <c r="Z492" s="64"/>
      <c r="AA492" s="64"/>
      <c r="AB492" s="64"/>
      <c r="AC492" s="64"/>
      <c r="AD492" s="64"/>
      <c r="AE492" s="64"/>
      <c r="AF492" s="64"/>
      <c r="AG492" s="64"/>
    </row>
    <row r="493">
      <c r="A493" s="64"/>
      <c r="B493" s="64"/>
      <c r="C493" s="64"/>
      <c r="D493" s="64"/>
      <c r="E493" s="65"/>
      <c r="F493" s="64"/>
      <c r="G493" s="67"/>
      <c r="H493" s="64"/>
      <c r="I493" s="64"/>
      <c r="J493" s="64"/>
      <c r="K493" s="64"/>
      <c r="L493" s="65"/>
      <c r="M493" s="64"/>
      <c r="N493" s="64"/>
      <c r="O493" s="64"/>
      <c r="P493" s="64"/>
      <c r="Q493" s="64"/>
      <c r="R493" s="64"/>
      <c r="S493" s="64"/>
      <c r="T493" s="65"/>
      <c r="U493" s="64"/>
      <c r="V493" s="64"/>
      <c r="W493" s="64"/>
      <c r="X493" s="64"/>
      <c r="Y493" s="64"/>
      <c r="Z493" s="64"/>
      <c r="AA493" s="64"/>
      <c r="AB493" s="64"/>
      <c r="AC493" s="64"/>
      <c r="AD493" s="64"/>
      <c r="AE493" s="64"/>
      <c r="AF493" s="64"/>
      <c r="AG493" s="64"/>
    </row>
    <row r="494">
      <c r="A494" s="64"/>
      <c r="B494" s="64"/>
      <c r="C494" s="64"/>
      <c r="D494" s="64"/>
      <c r="E494" s="65"/>
      <c r="F494" s="64"/>
      <c r="G494" s="67"/>
      <c r="H494" s="64"/>
      <c r="I494" s="64"/>
      <c r="J494" s="64"/>
      <c r="K494" s="64"/>
      <c r="L494" s="65"/>
      <c r="M494" s="64"/>
      <c r="N494" s="64"/>
      <c r="O494" s="64"/>
      <c r="P494" s="64"/>
      <c r="Q494" s="64"/>
      <c r="R494" s="64"/>
      <c r="S494" s="64"/>
      <c r="T494" s="65"/>
      <c r="U494" s="64"/>
      <c r="V494" s="64"/>
      <c r="W494" s="64"/>
      <c r="X494" s="64"/>
      <c r="Y494" s="64"/>
      <c r="Z494" s="64"/>
      <c r="AA494" s="64"/>
      <c r="AB494" s="64"/>
      <c r="AC494" s="64"/>
      <c r="AD494" s="64"/>
      <c r="AE494" s="64"/>
      <c r="AF494" s="64"/>
      <c r="AG494" s="64"/>
    </row>
    <row r="495">
      <c r="A495" s="64"/>
      <c r="B495" s="64"/>
      <c r="C495" s="64"/>
      <c r="D495" s="64"/>
      <c r="E495" s="65"/>
      <c r="F495" s="64"/>
      <c r="G495" s="67"/>
      <c r="H495" s="64"/>
      <c r="I495" s="64"/>
      <c r="J495" s="64"/>
      <c r="K495" s="64"/>
      <c r="L495" s="65"/>
      <c r="M495" s="64"/>
      <c r="N495" s="64"/>
      <c r="O495" s="64"/>
      <c r="P495" s="64"/>
      <c r="Q495" s="64"/>
      <c r="R495" s="64"/>
      <c r="S495" s="64"/>
      <c r="T495" s="65"/>
      <c r="U495" s="64"/>
      <c r="V495" s="64"/>
      <c r="W495" s="64"/>
      <c r="X495" s="64"/>
      <c r="Y495" s="64"/>
      <c r="Z495" s="64"/>
      <c r="AA495" s="64"/>
      <c r="AB495" s="64"/>
      <c r="AC495" s="64"/>
      <c r="AD495" s="64"/>
      <c r="AE495" s="64"/>
      <c r="AF495" s="64"/>
      <c r="AG495" s="64"/>
    </row>
    <row r="496">
      <c r="A496" s="64"/>
      <c r="B496" s="64"/>
      <c r="C496" s="64"/>
      <c r="D496" s="64"/>
      <c r="E496" s="65"/>
      <c r="F496" s="64"/>
      <c r="G496" s="67"/>
      <c r="H496" s="64"/>
      <c r="I496" s="64"/>
      <c r="J496" s="64"/>
      <c r="K496" s="64"/>
      <c r="L496" s="65"/>
      <c r="M496" s="64"/>
      <c r="N496" s="64"/>
      <c r="O496" s="64"/>
      <c r="P496" s="64"/>
      <c r="Q496" s="64"/>
      <c r="R496" s="64"/>
      <c r="S496" s="64"/>
      <c r="T496" s="65"/>
      <c r="U496" s="64"/>
      <c r="V496" s="64"/>
      <c r="W496" s="64"/>
      <c r="X496" s="64"/>
      <c r="Y496" s="64"/>
      <c r="Z496" s="64"/>
      <c r="AA496" s="64"/>
      <c r="AB496" s="64"/>
      <c r="AC496" s="64"/>
      <c r="AD496" s="64"/>
      <c r="AE496" s="64"/>
      <c r="AF496" s="64"/>
      <c r="AG496" s="64"/>
    </row>
    <row r="497">
      <c r="A497" s="64"/>
      <c r="B497" s="64"/>
      <c r="C497" s="64"/>
      <c r="D497" s="64"/>
      <c r="E497" s="65"/>
      <c r="F497" s="64"/>
      <c r="G497" s="67"/>
      <c r="H497" s="64"/>
      <c r="I497" s="64"/>
      <c r="J497" s="64"/>
      <c r="K497" s="64"/>
      <c r="L497" s="65"/>
      <c r="M497" s="64"/>
      <c r="N497" s="64"/>
      <c r="O497" s="64"/>
      <c r="P497" s="64"/>
      <c r="Q497" s="64"/>
      <c r="R497" s="64"/>
      <c r="S497" s="64"/>
      <c r="T497" s="65"/>
      <c r="U497" s="64"/>
      <c r="V497" s="64"/>
      <c r="W497" s="64"/>
      <c r="X497" s="64"/>
      <c r="Y497" s="64"/>
      <c r="Z497" s="64"/>
      <c r="AA497" s="64"/>
      <c r="AB497" s="64"/>
      <c r="AC497" s="64"/>
      <c r="AD497" s="64"/>
      <c r="AE497" s="64"/>
      <c r="AF497" s="64"/>
      <c r="AG497" s="64"/>
    </row>
    <row r="498">
      <c r="A498" s="64"/>
      <c r="B498" s="64"/>
      <c r="C498" s="64"/>
      <c r="D498" s="64"/>
      <c r="E498" s="65"/>
      <c r="F498" s="64"/>
      <c r="G498" s="67"/>
      <c r="H498" s="64"/>
      <c r="I498" s="64"/>
      <c r="J498" s="64"/>
      <c r="K498" s="64"/>
      <c r="L498" s="65"/>
      <c r="M498" s="64"/>
      <c r="N498" s="64"/>
      <c r="O498" s="64"/>
      <c r="P498" s="64"/>
      <c r="Q498" s="64"/>
      <c r="R498" s="64"/>
      <c r="S498" s="64"/>
      <c r="T498" s="65"/>
      <c r="U498" s="64"/>
      <c r="V498" s="64"/>
      <c r="W498" s="64"/>
      <c r="X498" s="64"/>
      <c r="Y498" s="64"/>
      <c r="Z498" s="64"/>
      <c r="AA498" s="64"/>
      <c r="AB498" s="64"/>
      <c r="AC498" s="64"/>
      <c r="AD498" s="64"/>
      <c r="AE498" s="64"/>
      <c r="AF498" s="64"/>
      <c r="AG498" s="64"/>
    </row>
    <row r="499">
      <c r="A499" s="64"/>
      <c r="B499" s="64"/>
      <c r="C499" s="64"/>
      <c r="D499" s="64"/>
      <c r="E499" s="65"/>
      <c r="F499" s="64"/>
      <c r="G499" s="67"/>
      <c r="H499" s="64"/>
      <c r="I499" s="64"/>
      <c r="J499" s="64"/>
      <c r="K499" s="64"/>
      <c r="L499" s="65"/>
      <c r="M499" s="64"/>
      <c r="N499" s="64"/>
      <c r="O499" s="64"/>
      <c r="P499" s="64"/>
      <c r="Q499" s="64"/>
      <c r="R499" s="64"/>
      <c r="S499" s="64"/>
      <c r="T499" s="65"/>
      <c r="U499" s="64"/>
      <c r="V499" s="64"/>
      <c r="W499" s="64"/>
      <c r="X499" s="64"/>
      <c r="Y499" s="64"/>
      <c r="Z499" s="64"/>
      <c r="AA499" s="64"/>
      <c r="AB499" s="64"/>
      <c r="AC499" s="64"/>
      <c r="AD499" s="64"/>
      <c r="AE499" s="64"/>
      <c r="AF499" s="64"/>
      <c r="AG499" s="64"/>
    </row>
    <row r="500">
      <c r="A500" s="64"/>
      <c r="B500" s="64"/>
      <c r="C500" s="64"/>
      <c r="D500" s="64"/>
      <c r="E500" s="65"/>
      <c r="F500" s="64"/>
      <c r="G500" s="67"/>
      <c r="H500" s="64"/>
      <c r="I500" s="64"/>
      <c r="J500" s="64"/>
      <c r="K500" s="64"/>
      <c r="L500" s="65"/>
      <c r="M500" s="64"/>
      <c r="N500" s="64"/>
      <c r="O500" s="64"/>
      <c r="P500" s="64"/>
      <c r="Q500" s="64"/>
      <c r="R500" s="64"/>
      <c r="S500" s="64"/>
      <c r="T500" s="65"/>
      <c r="U500" s="64"/>
      <c r="V500" s="64"/>
      <c r="W500" s="64"/>
      <c r="X500" s="64"/>
      <c r="Y500" s="64"/>
      <c r="Z500" s="64"/>
      <c r="AA500" s="64"/>
      <c r="AB500" s="64"/>
      <c r="AC500" s="64"/>
      <c r="AD500" s="64"/>
      <c r="AE500" s="64"/>
      <c r="AF500" s="64"/>
      <c r="AG500" s="64"/>
    </row>
    <row r="501">
      <c r="A501" s="64"/>
      <c r="B501" s="64"/>
      <c r="C501" s="64"/>
      <c r="D501" s="64"/>
      <c r="E501" s="65"/>
      <c r="F501" s="64"/>
      <c r="G501" s="67"/>
      <c r="H501" s="64"/>
      <c r="I501" s="64"/>
      <c r="J501" s="64"/>
      <c r="K501" s="64"/>
      <c r="L501" s="65"/>
      <c r="M501" s="64"/>
      <c r="N501" s="64"/>
      <c r="O501" s="64"/>
      <c r="P501" s="64"/>
      <c r="Q501" s="64"/>
      <c r="R501" s="64"/>
      <c r="S501" s="64"/>
      <c r="T501" s="65"/>
      <c r="U501" s="64"/>
      <c r="V501" s="64"/>
      <c r="W501" s="64"/>
      <c r="X501" s="64"/>
      <c r="Y501" s="64"/>
      <c r="Z501" s="64"/>
      <c r="AA501" s="64"/>
      <c r="AB501" s="64"/>
      <c r="AC501" s="64"/>
      <c r="AD501" s="64"/>
      <c r="AE501" s="64"/>
      <c r="AF501" s="64"/>
      <c r="AG501" s="64"/>
    </row>
    <row r="502">
      <c r="A502" s="64"/>
      <c r="B502" s="64"/>
      <c r="C502" s="64"/>
      <c r="D502" s="64"/>
      <c r="E502" s="65"/>
      <c r="F502" s="64"/>
      <c r="G502" s="67"/>
      <c r="H502" s="64"/>
      <c r="I502" s="64"/>
      <c r="J502" s="64"/>
      <c r="K502" s="64"/>
      <c r="L502" s="65"/>
      <c r="M502" s="64"/>
      <c r="N502" s="64"/>
      <c r="O502" s="64"/>
      <c r="P502" s="64"/>
      <c r="Q502" s="64"/>
      <c r="R502" s="64"/>
      <c r="S502" s="64"/>
      <c r="T502" s="65"/>
      <c r="U502" s="64"/>
      <c r="V502" s="64"/>
      <c r="W502" s="64"/>
      <c r="X502" s="64"/>
      <c r="Y502" s="64"/>
      <c r="Z502" s="64"/>
      <c r="AA502" s="64"/>
      <c r="AB502" s="64"/>
      <c r="AC502" s="64"/>
      <c r="AD502" s="64"/>
      <c r="AE502" s="64"/>
      <c r="AF502" s="64"/>
      <c r="AG502" s="64"/>
    </row>
    <row r="503">
      <c r="A503" s="64"/>
      <c r="B503" s="64"/>
      <c r="C503" s="64"/>
      <c r="D503" s="64"/>
      <c r="E503" s="65"/>
      <c r="F503" s="64"/>
      <c r="G503" s="67"/>
      <c r="H503" s="64"/>
      <c r="I503" s="64"/>
      <c r="J503" s="64"/>
      <c r="K503" s="64"/>
      <c r="L503" s="65"/>
      <c r="M503" s="64"/>
      <c r="N503" s="64"/>
      <c r="O503" s="64"/>
      <c r="P503" s="64"/>
      <c r="Q503" s="64"/>
      <c r="R503" s="64"/>
      <c r="S503" s="64"/>
      <c r="T503" s="65"/>
      <c r="U503" s="64"/>
      <c r="V503" s="64"/>
      <c r="W503" s="64"/>
      <c r="X503" s="64"/>
      <c r="Y503" s="64"/>
      <c r="Z503" s="64"/>
      <c r="AA503" s="64"/>
      <c r="AB503" s="64"/>
      <c r="AC503" s="64"/>
      <c r="AD503" s="64"/>
      <c r="AE503" s="64"/>
      <c r="AF503" s="64"/>
      <c r="AG503" s="64"/>
    </row>
    <row r="504">
      <c r="A504" s="64"/>
      <c r="B504" s="64"/>
      <c r="C504" s="64"/>
      <c r="D504" s="64"/>
      <c r="E504" s="65"/>
      <c r="F504" s="64"/>
      <c r="G504" s="67"/>
      <c r="H504" s="64"/>
      <c r="I504" s="64"/>
      <c r="J504" s="64"/>
      <c r="K504" s="64"/>
      <c r="L504" s="65"/>
      <c r="M504" s="64"/>
      <c r="N504" s="64"/>
      <c r="O504" s="64"/>
      <c r="P504" s="64"/>
      <c r="Q504" s="64"/>
      <c r="R504" s="64"/>
      <c r="S504" s="64"/>
      <c r="T504" s="65"/>
      <c r="U504" s="64"/>
      <c r="V504" s="64"/>
      <c r="W504" s="64"/>
      <c r="X504" s="64"/>
      <c r="Y504" s="64"/>
      <c r="Z504" s="64"/>
      <c r="AA504" s="64"/>
      <c r="AB504" s="64"/>
      <c r="AC504" s="64"/>
      <c r="AD504" s="64"/>
      <c r="AE504" s="64"/>
      <c r="AF504" s="64"/>
      <c r="AG504" s="64"/>
    </row>
    <row r="505">
      <c r="A505" s="64"/>
      <c r="B505" s="64"/>
      <c r="C505" s="64"/>
      <c r="D505" s="64"/>
      <c r="E505" s="65"/>
      <c r="F505" s="64"/>
      <c r="G505" s="67"/>
      <c r="H505" s="64"/>
      <c r="I505" s="64"/>
      <c r="J505" s="64"/>
      <c r="K505" s="64"/>
      <c r="L505" s="65"/>
      <c r="M505" s="64"/>
      <c r="N505" s="64"/>
      <c r="O505" s="64"/>
      <c r="P505" s="64"/>
      <c r="Q505" s="64"/>
      <c r="R505" s="64"/>
      <c r="S505" s="64"/>
      <c r="T505" s="65"/>
      <c r="U505" s="64"/>
      <c r="V505" s="64"/>
      <c r="W505" s="64"/>
      <c r="X505" s="64"/>
      <c r="Y505" s="64"/>
      <c r="Z505" s="64"/>
      <c r="AA505" s="64"/>
      <c r="AB505" s="64"/>
      <c r="AC505" s="64"/>
      <c r="AD505" s="64"/>
      <c r="AE505" s="64"/>
      <c r="AF505" s="64"/>
      <c r="AG505" s="64"/>
    </row>
    <row r="506">
      <c r="A506" s="64"/>
      <c r="B506" s="64"/>
      <c r="C506" s="64"/>
      <c r="D506" s="64"/>
      <c r="E506" s="65"/>
      <c r="F506" s="64"/>
      <c r="G506" s="67"/>
      <c r="H506" s="64"/>
      <c r="I506" s="64"/>
      <c r="J506" s="64"/>
      <c r="K506" s="64"/>
      <c r="L506" s="65"/>
      <c r="M506" s="64"/>
      <c r="N506" s="64"/>
      <c r="O506" s="64"/>
      <c r="P506" s="64"/>
      <c r="Q506" s="64"/>
      <c r="R506" s="64"/>
      <c r="S506" s="64"/>
      <c r="T506" s="65"/>
      <c r="U506" s="64"/>
      <c r="V506" s="64"/>
      <c r="W506" s="64"/>
      <c r="X506" s="64"/>
      <c r="Y506" s="64"/>
      <c r="Z506" s="64"/>
      <c r="AA506" s="64"/>
      <c r="AB506" s="64"/>
      <c r="AC506" s="64"/>
      <c r="AD506" s="64"/>
      <c r="AE506" s="64"/>
      <c r="AF506" s="64"/>
      <c r="AG506" s="64"/>
    </row>
    <row r="507">
      <c r="A507" s="64"/>
      <c r="B507" s="64"/>
      <c r="C507" s="64"/>
      <c r="D507" s="64"/>
      <c r="E507" s="65"/>
      <c r="F507" s="64"/>
      <c r="G507" s="67"/>
      <c r="H507" s="64"/>
      <c r="I507" s="64"/>
      <c r="J507" s="64"/>
      <c r="K507" s="64"/>
      <c r="L507" s="65"/>
      <c r="M507" s="64"/>
      <c r="N507" s="64"/>
      <c r="O507" s="64"/>
      <c r="P507" s="64"/>
      <c r="Q507" s="64"/>
      <c r="R507" s="64"/>
      <c r="S507" s="64"/>
      <c r="T507" s="65"/>
      <c r="U507" s="64"/>
      <c r="V507" s="64"/>
      <c r="W507" s="64"/>
      <c r="X507" s="64"/>
      <c r="Y507" s="64"/>
      <c r="Z507" s="64"/>
      <c r="AA507" s="64"/>
      <c r="AB507" s="64"/>
      <c r="AC507" s="64"/>
      <c r="AD507" s="64"/>
      <c r="AE507" s="64"/>
      <c r="AF507" s="64"/>
      <c r="AG507" s="64"/>
    </row>
    <row r="508">
      <c r="A508" s="64"/>
      <c r="B508" s="64"/>
      <c r="C508" s="64"/>
      <c r="D508" s="64"/>
      <c r="E508" s="65"/>
      <c r="F508" s="64"/>
      <c r="G508" s="67"/>
      <c r="H508" s="64"/>
      <c r="I508" s="64"/>
      <c r="J508" s="64"/>
      <c r="K508" s="64"/>
      <c r="L508" s="65"/>
      <c r="M508" s="64"/>
      <c r="N508" s="64"/>
      <c r="O508" s="64"/>
      <c r="P508" s="64"/>
      <c r="Q508" s="64"/>
      <c r="R508" s="64"/>
      <c r="S508" s="64"/>
      <c r="T508" s="65"/>
      <c r="U508" s="64"/>
      <c r="V508" s="64"/>
      <c r="W508" s="64"/>
      <c r="X508" s="64"/>
      <c r="Y508" s="64"/>
      <c r="Z508" s="64"/>
      <c r="AA508" s="64"/>
      <c r="AB508" s="64"/>
      <c r="AC508" s="64"/>
      <c r="AD508" s="64"/>
      <c r="AE508" s="64"/>
      <c r="AF508" s="64"/>
      <c r="AG508" s="64"/>
    </row>
    <row r="509">
      <c r="A509" s="64"/>
      <c r="B509" s="64"/>
      <c r="C509" s="64"/>
      <c r="D509" s="64"/>
      <c r="E509" s="65"/>
      <c r="F509" s="64"/>
      <c r="G509" s="67"/>
      <c r="H509" s="64"/>
      <c r="I509" s="64"/>
      <c r="J509" s="64"/>
      <c r="K509" s="64"/>
      <c r="L509" s="65"/>
      <c r="M509" s="64"/>
      <c r="N509" s="64"/>
      <c r="O509" s="64"/>
      <c r="P509" s="64"/>
      <c r="Q509" s="64"/>
      <c r="R509" s="64"/>
      <c r="S509" s="64"/>
      <c r="T509" s="65"/>
      <c r="U509" s="64"/>
      <c r="V509" s="64"/>
      <c r="W509" s="64"/>
      <c r="X509" s="64"/>
      <c r="Y509" s="64"/>
      <c r="Z509" s="64"/>
      <c r="AA509" s="64"/>
      <c r="AB509" s="64"/>
      <c r="AC509" s="64"/>
      <c r="AD509" s="64"/>
      <c r="AE509" s="64"/>
      <c r="AF509" s="64"/>
      <c r="AG509" s="64"/>
    </row>
    <row r="510">
      <c r="A510" s="64"/>
      <c r="B510" s="64"/>
      <c r="C510" s="64"/>
      <c r="D510" s="64"/>
      <c r="E510" s="65"/>
      <c r="F510" s="64"/>
      <c r="G510" s="67"/>
      <c r="H510" s="64"/>
      <c r="I510" s="64"/>
      <c r="J510" s="64"/>
      <c r="K510" s="64"/>
      <c r="L510" s="65"/>
      <c r="M510" s="64"/>
      <c r="N510" s="64"/>
      <c r="O510" s="64"/>
      <c r="P510" s="64"/>
      <c r="Q510" s="64"/>
      <c r="R510" s="64"/>
      <c r="S510" s="64"/>
      <c r="T510" s="65"/>
      <c r="U510" s="64"/>
      <c r="V510" s="64"/>
      <c r="W510" s="64"/>
      <c r="X510" s="64"/>
      <c r="Y510" s="64"/>
      <c r="Z510" s="64"/>
      <c r="AA510" s="64"/>
      <c r="AB510" s="64"/>
      <c r="AC510" s="64"/>
      <c r="AD510" s="64"/>
      <c r="AE510" s="64"/>
      <c r="AF510" s="64"/>
      <c r="AG510" s="64"/>
    </row>
    <row r="511">
      <c r="A511" s="64"/>
      <c r="B511" s="64"/>
      <c r="C511" s="64"/>
      <c r="D511" s="64"/>
      <c r="E511" s="65"/>
      <c r="F511" s="64"/>
      <c r="G511" s="67"/>
      <c r="H511" s="64"/>
      <c r="I511" s="64"/>
      <c r="J511" s="64"/>
      <c r="K511" s="64"/>
      <c r="L511" s="65"/>
      <c r="M511" s="64"/>
      <c r="N511" s="64"/>
      <c r="O511" s="64"/>
      <c r="P511" s="64"/>
      <c r="Q511" s="64"/>
      <c r="R511" s="64"/>
      <c r="S511" s="64"/>
      <c r="T511" s="65"/>
      <c r="U511" s="64"/>
      <c r="V511" s="64"/>
      <c r="W511" s="64"/>
      <c r="X511" s="64"/>
      <c r="Y511" s="64"/>
      <c r="Z511" s="64"/>
      <c r="AA511" s="64"/>
      <c r="AB511" s="64"/>
      <c r="AC511" s="64"/>
      <c r="AD511" s="64"/>
      <c r="AE511" s="64"/>
      <c r="AF511" s="64"/>
      <c r="AG511" s="64"/>
    </row>
    <row r="512">
      <c r="A512" s="64"/>
      <c r="B512" s="64"/>
      <c r="C512" s="64"/>
      <c r="D512" s="64"/>
      <c r="E512" s="65"/>
      <c r="F512" s="64"/>
      <c r="G512" s="67"/>
      <c r="H512" s="64"/>
      <c r="I512" s="64"/>
      <c r="J512" s="64"/>
      <c r="K512" s="64"/>
      <c r="L512" s="65"/>
      <c r="M512" s="64"/>
      <c r="N512" s="64"/>
      <c r="O512" s="64"/>
      <c r="P512" s="64"/>
      <c r="Q512" s="64"/>
      <c r="R512" s="64"/>
      <c r="S512" s="64"/>
      <c r="T512" s="65"/>
      <c r="U512" s="64"/>
      <c r="V512" s="64"/>
      <c r="W512" s="64"/>
      <c r="X512" s="64"/>
      <c r="Y512" s="64"/>
      <c r="Z512" s="64"/>
      <c r="AA512" s="64"/>
      <c r="AB512" s="64"/>
      <c r="AC512" s="64"/>
      <c r="AD512" s="64"/>
      <c r="AE512" s="64"/>
      <c r="AF512" s="64"/>
      <c r="AG512" s="64"/>
    </row>
    <row r="513">
      <c r="A513" s="64"/>
      <c r="B513" s="64"/>
      <c r="C513" s="64"/>
      <c r="D513" s="64"/>
      <c r="E513" s="65"/>
      <c r="F513" s="64"/>
      <c r="G513" s="67"/>
      <c r="H513" s="64"/>
      <c r="I513" s="64"/>
      <c r="J513" s="64"/>
      <c r="K513" s="64"/>
      <c r="L513" s="65"/>
      <c r="M513" s="64"/>
      <c r="N513" s="64"/>
      <c r="O513" s="64"/>
      <c r="P513" s="64"/>
      <c r="Q513" s="64"/>
      <c r="R513" s="64"/>
      <c r="S513" s="64"/>
      <c r="T513" s="65"/>
      <c r="U513" s="64"/>
      <c r="V513" s="64"/>
      <c r="W513" s="64"/>
      <c r="X513" s="64"/>
      <c r="Y513" s="64"/>
      <c r="Z513" s="64"/>
      <c r="AA513" s="64"/>
      <c r="AB513" s="64"/>
      <c r="AC513" s="64"/>
      <c r="AD513" s="64"/>
      <c r="AE513" s="64"/>
      <c r="AF513" s="64"/>
      <c r="AG513" s="64"/>
    </row>
    <row r="514">
      <c r="A514" s="64"/>
      <c r="B514" s="64"/>
      <c r="C514" s="64"/>
      <c r="D514" s="64"/>
      <c r="E514" s="65"/>
      <c r="F514" s="64"/>
      <c r="G514" s="67"/>
      <c r="H514" s="64"/>
      <c r="I514" s="64"/>
      <c r="J514" s="64"/>
      <c r="K514" s="64"/>
      <c r="L514" s="65"/>
      <c r="M514" s="64"/>
      <c r="N514" s="64"/>
      <c r="O514" s="64"/>
      <c r="P514" s="64"/>
      <c r="Q514" s="64"/>
      <c r="R514" s="64"/>
      <c r="S514" s="64"/>
      <c r="T514" s="65"/>
      <c r="U514" s="64"/>
      <c r="V514" s="64"/>
      <c r="W514" s="64"/>
      <c r="X514" s="64"/>
      <c r="Y514" s="64"/>
      <c r="Z514" s="64"/>
      <c r="AA514" s="64"/>
      <c r="AB514" s="64"/>
      <c r="AC514" s="64"/>
      <c r="AD514" s="64"/>
      <c r="AE514" s="64"/>
      <c r="AF514" s="64"/>
      <c r="AG514" s="64"/>
    </row>
    <row r="515">
      <c r="A515" s="64"/>
      <c r="B515" s="64"/>
      <c r="C515" s="64"/>
      <c r="D515" s="64"/>
      <c r="E515" s="65"/>
      <c r="F515" s="64"/>
      <c r="G515" s="67"/>
      <c r="H515" s="64"/>
      <c r="I515" s="64"/>
      <c r="J515" s="64"/>
      <c r="K515" s="64"/>
      <c r="L515" s="65"/>
      <c r="M515" s="64"/>
      <c r="N515" s="64"/>
      <c r="O515" s="64"/>
      <c r="P515" s="64"/>
      <c r="Q515" s="64"/>
      <c r="R515" s="64"/>
      <c r="S515" s="64"/>
      <c r="T515" s="65"/>
      <c r="U515" s="64"/>
      <c r="V515" s="64"/>
      <c r="W515" s="64"/>
      <c r="X515" s="64"/>
      <c r="Y515" s="64"/>
      <c r="Z515" s="64"/>
      <c r="AA515" s="64"/>
      <c r="AB515" s="64"/>
      <c r="AC515" s="64"/>
      <c r="AD515" s="64"/>
      <c r="AE515" s="64"/>
      <c r="AF515" s="64"/>
      <c r="AG515" s="64"/>
    </row>
    <row r="516">
      <c r="A516" s="64"/>
      <c r="B516" s="64"/>
      <c r="C516" s="64"/>
      <c r="D516" s="64"/>
      <c r="E516" s="65"/>
      <c r="F516" s="64"/>
      <c r="G516" s="67"/>
      <c r="H516" s="64"/>
      <c r="I516" s="64"/>
      <c r="J516" s="64"/>
      <c r="K516" s="64"/>
      <c r="L516" s="65"/>
      <c r="M516" s="64"/>
      <c r="N516" s="64"/>
      <c r="O516" s="64"/>
      <c r="P516" s="64"/>
      <c r="Q516" s="64"/>
      <c r="R516" s="64"/>
      <c r="S516" s="64"/>
      <c r="T516" s="65"/>
      <c r="U516" s="64"/>
      <c r="V516" s="64"/>
      <c r="W516" s="64"/>
      <c r="X516" s="64"/>
      <c r="Y516" s="64"/>
      <c r="Z516" s="64"/>
      <c r="AA516" s="64"/>
      <c r="AB516" s="64"/>
      <c r="AC516" s="64"/>
      <c r="AD516" s="64"/>
      <c r="AE516" s="64"/>
      <c r="AF516" s="64"/>
      <c r="AG516" s="64"/>
    </row>
    <row r="517">
      <c r="A517" s="64"/>
      <c r="B517" s="64"/>
      <c r="C517" s="64"/>
      <c r="D517" s="64"/>
      <c r="E517" s="65"/>
      <c r="F517" s="64"/>
      <c r="G517" s="67"/>
      <c r="H517" s="64"/>
      <c r="I517" s="64"/>
      <c r="J517" s="64"/>
      <c r="K517" s="64"/>
      <c r="L517" s="65"/>
      <c r="M517" s="64"/>
      <c r="N517" s="64"/>
      <c r="O517" s="64"/>
      <c r="P517" s="64"/>
      <c r="Q517" s="64"/>
      <c r="R517" s="64"/>
      <c r="S517" s="64"/>
      <c r="T517" s="65"/>
      <c r="U517" s="64"/>
      <c r="V517" s="64"/>
      <c r="W517" s="64"/>
      <c r="X517" s="64"/>
      <c r="Y517" s="64"/>
      <c r="Z517" s="64"/>
      <c r="AA517" s="64"/>
      <c r="AB517" s="64"/>
      <c r="AC517" s="64"/>
      <c r="AD517" s="64"/>
      <c r="AE517" s="64"/>
      <c r="AF517" s="64"/>
      <c r="AG517" s="64"/>
    </row>
    <row r="518">
      <c r="A518" s="64"/>
      <c r="B518" s="64"/>
      <c r="C518" s="64"/>
      <c r="D518" s="64"/>
      <c r="E518" s="65"/>
      <c r="F518" s="64"/>
      <c r="G518" s="67"/>
      <c r="H518" s="64"/>
      <c r="I518" s="64"/>
      <c r="J518" s="64"/>
      <c r="K518" s="64"/>
      <c r="L518" s="65"/>
      <c r="M518" s="64"/>
      <c r="N518" s="64"/>
      <c r="O518" s="64"/>
      <c r="P518" s="64"/>
      <c r="Q518" s="64"/>
      <c r="R518" s="64"/>
      <c r="S518" s="64"/>
      <c r="T518" s="65"/>
      <c r="U518" s="64"/>
      <c r="V518" s="64"/>
      <c r="W518" s="64"/>
      <c r="X518" s="64"/>
      <c r="Y518" s="64"/>
      <c r="Z518" s="64"/>
      <c r="AA518" s="64"/>
      <c r="AB518" s="64"/>
      <c r="AC518" s="64"/>
      <c r="AD518" s="64"/>
      <c r="AE518" s="64"/>
      <c r="AF518" s="64"/>
      <c r="AG518" s="64"/>
    </row>
    <row r="519">
      <c r="A519" s="64"/>
      <c r="B519" s="64"/>
      <c r="C519" s="64"/>
      <c r="D519" s="64"/>
      <c r="E519" s="65"/>
      <c r="F519" s="64"/>
      <c r="G519" s="67"/>
      <c r="H519" s="64"/>
      <c r="I519" s="64"/>
      <c r="J519" s="64"/>
      <c r="K519" s="64"/>
      <c r="L519" s="65"/>
      <c r="M519" s="64"/>
      <c r="N519" s="64"/>
      <c r="O519" s="64"/>
      <c r="P519" s="64"/>
      <c r="Q519" s="64"/>
      <c r="R519" s="64"/>
      <c r="S519" s="64"/>
      <c r="T519" s="65"/>
      <c r="U519" s="64"/>
      <c r="V519" s="64"/>
      <c r="W519" s="64"/>
      <c r="X519" s="64"/>
      <c r="Y519" s="64"/>
      <c r="Z519" s="64"/>
      <c r="AA519" s="64"/>
      <c r="AB519" s="64"/>
      <c r="AC519" s="64"/>
      <c r="AD519" s="64"/>
      <c r="AE519" s="64"/>
      <c r="AF519" s="64"/>
      <c r="AG519" s="64"/>
    </row>
    <row r="520">
      <c r="A520" s="64"/>
      <c r="B520" s="64"/>
      <c r="C520" s="64"/>
      <c r="D520" s="64"/>
      <c r="E520" s="65"/>
      <c r="F520" s="64"/>
      <c r="G520" s="67"/>
      <c r="H520" s="64"/>
      <c r="I520" s="64"/>
      <c r="J520" s="64"/>
      <c r="K520" s="64"/>
      <c r="L520" s="65"/>
      <c r="M520" s="64"/>
      <c r="N520" s="64"/>
      <c r="O520" s="64"/>
      <c r="P520" s="64"/>
      <c r="Q520" s="64"/>
      <c r="R520" s="64"/>
      <c r="S520" s="64"/>
      <c r="T520" s="65"/>
      <c r="U520" s="64"/>
      <c r="V520" s="64"/>
      <c r="W520" s="64"/>
      <c r="X520" s="64"/>
      <c r="Y520" s="64"/>
      <c r="Z520" s="64"/>
      <c r="AA520" s="64"/>
      <c r="AB520" s="64"/>
      <c r="AC520" s="64"/>
      <c r="AD520" s="64"/>
      <c r="AE520" s="64"/>
      <c r="AF520" s="64"/>
      <c r="AG520" s="64"/>
    </row>
    <row r="521">
      <c r="A521" s="64"/>
      <c r="B521" s="64"/>
      <c r="C521" s="64"/>
      <c r="D521" s="64"/>
      <c r="E521" s="65"/>
      <c r="F521" s="64"/>
      <c r="G521" s="67"/>
      <c r="H521" s="64"/>
      <c r="I521" s="64"/>
      <c r="J521" s="64"/>
      <c r="K521" s="64"/>
      <c r="L521" s="65"/>
      <c r="M521" s="64"/>
      <c r="N521" s="64"/>
      <c r="O521" s="64"/>
      <c r="P521" s="64"/>
      <c r="Q521" s="64"/>
      <c r="R521" s="64"/>
      <c r="S521" s="64"/>
      <c r="T521" s="65"/>
      <c r="U521" s="64"/>
      <c r="V521" s="64"/>
      <c r="W521" s="64"/>
      <c r="X521" s="64"/>
      <c r="Y521" s="64"/>
      <c r="Z521" s="64"/>
      <c r="AA521" s="64"/>
      <c r="AB521" s="64"/>
      <c r="AC521" s="64"/>
      <c r="AD521" s="64"/>
      <c r="AE521" s="64"/>
      <c r="AF521" s="64"/>
      <c r="AG521" s="64"/>
    </row>
    <row r="522">
      <c r="A522" s="64"/>
      <c r="B522" s="64"/>
      <c r="C522" s="64"/>
      <c r="D522" s="64"/>
      <c r="E522" s="65"/>
      <c r="F522" s="64"/>
      <c r="G522" s="67"/>
      <c r="H522" s="64"/>
      <c r="I522" s="64"/>
      <c r="J522" s="64"/>
      <c r="K522" s="64"/>
      <c r="L522" s="65"/>
      <c r="M522" s="64"/>
      <c r="N522" s="64"/>
      <c r="O522" s="64"/>
      <c r="P522" s="64"/>
      <c r="Q522" s="64"/>
      <c r="R522" s="64"/>
      <c r="S522" s="64"/>
      <c r="T522" s="65"/>
      <c r="U522" s="64"/>
      <c r="V522" s="64"/>
      <c r="W522" s="64"/>
      <c r="X522" s="64"/>
      <c r="Y522" s="64"/>
      <c r="Z522" s="64"/>
      <c r="AA522" s="64"/>
      <c r="AB522" s="64"/>
      <c r="AC522" s="64"/>
      <c r="AD522" s="64"/>
      <c r="AE522" s="64"/>
      <c r="AF522" s="64"/>
      <c r="AG522" s="64"/>
    </row>
    <row r="523">
      <c r="A523" s="64"/>
      <c r="B523" s="64"/>
      <c r="C523" s="64"/>
      <c r="D523" s="64"/>
      <c r="E523" s="65"/>
      <c r="F523" s="64"/>
      <c r="G523" s="67"/>
      <c r="H523" s="64"/>
      <c r="I523" s="64"/>
      <c r="J523" s="64"/>
      <c r="K523" s="64"/>
      <c r="L523" s="65"/>
      <c r="M523" s="64"/>
      <c r="N523" s="64"/>
      <c r="O523" s="64"/>
      <c r="P523" s="64"/>
      <c r="Q523" s="64"/>
      <c r="R523" s="64"/>
      <c r="S523" s="64"/>
      <c r="T523" s="65"/>
      <c r="U523" s="64"/>
      <c r="V523" s="64"/>
      <c r="W523" s="64"/>
      <c r="X523" s="64"/>
      <c r="Y523" s="64"/>
      <c r="Z523" s="64"/>
      <c r="AA523" s="64"/>
      <c r="AB523" s="64"/>
      <c r="AC523" s="64"/>
      <c r="AD523" s="64"/>
      <c r="AE523" s="64"/>
      <c r="AF523" s="64"/>
      <c r="AG523" s="64"/>
    </row>
    <row r="524">
      <c r="A524" s="64"/>
      <c r="B524" s="64"/>
      <c r="C524" s="64"/>
      <c r="D524" s="64"/>
      <c r="E524" s="65"/>
      <c r="F524" s="64"/>
      <c r="G524" s="67"/>
      <c r="H524" s="64"/>
      <c r="I524" s="64"/>
      <c r="J524" s="64"/>
      <c r="K524" s="64"/>
      <c r="L524" s="65"/>
      <c r="M524" s="64"/>
      <c r="N524" s="64"/>
      <c r="O524" s="64"/>
      <c r="P524" s="64"/>
      <c r="Q524" s="64"/>
      <c r="R524" s="64"/>
      <c r="S524" s="64"/>
      <c r="T524" s="65"/>
      <c r="U524" s="64"/>
      <c r="V524" s="64"/>
      <c r="W524" s="64"/>
      <c r="X524" s="64"/>
      <c r="Y524" s="64"/>
      <c r="Z524" s="64"/>
      <c r="AA524" s="64"/>
      <c r="AB524" s="64"/>
      <c r="AC524" s="64"/>
      <c r="AD524" s="64"/>
      <c r="AE524" s="64"/>
      <c r="AF524" s="64"/>
      <c r="AG524" s="64"/>
    </row>
    <row r="525">
      <c r="A525" s="64"/>
      <c r="B525" s="64"/>
      <c r="C525" s="64"/>
      <c r="D525" s="64"/>
      <c r="E525" s="65"/>
      <c r="F525" s="64"/>
      <c r="G525" s="67"/>
      <c r="H525" s="64"/>
      <c r="I525" s="64"/>
      <c r="J525" s="64"/>
      <c r="K525" s="64"/>
      <c r="L525" s="65"/>
      <c r="M525" s="64"/>
      <c r="N525" s="64"/>
      <c r="O525" s="64"/>
      <c r="P525" s="64"/>
      <c r="Q525" s="64"/>
      <c r="R525" s="64"/>
      <c r="S525" s="64"/>
      <c r="T525" s="65"/>
      <c r="U525" s="64"/>
      <c r="V525" s="64"/>
      <c r="W525" s="64"/>
      <c r="X525" s="64"/>
      <c r="Y525" s="64"/>
      <c r="Z525" s="64"/>
      <c r="AA525" s="64"/>
      <c r="AB525" s="64"/>
      <c r="AC525" s="64"/>
      <c r="AD525" s="64"/>
      <c r="AE525" s="64"/>
      <c r="AF525" s="64"/>
      <c r="AG525" s="64"/>
    </row>
    <row r="526">
      <c r="A526" s="64"/>
      <c r="B526" s="64"/>
      <c r="C526" s="64"/>
      <c r="D526" s="64"/>
      <c r="E526" s="65"/>
      <c r="F526" s="64"/>
      <c r="G526" s="67"/>
      <c r="H526" s="64"/>
      <c r="I526" s="64"/>
      <c r="J526" s="64"/>
      <c r="K526" s="64"/>
      <c r="L526" s="65"/>
      <c r="M526" s="64"/>
      <c r="N526" s="64"/>
      <c r="O526" s="64"/>
      <c r="P526" s="64"/>
      <c r="Q526" s="64"/>
      <c r="R526" s="64"/>
      <c r="S526" s="64"/>
      <c r="T526" s="65"/>
      <c r="U526" s="64"/>
      <c r="V526" s="64"/>
      <c r="W526" s="64"/>
      <c r="X526" s="64"/>
      <c r="Y526" s="64"/>
      <c r="Z526" s="64"/>
      <c r="AA526" s="64"/>
      <c r="AB526" s="64"/>
      <c r="AC526" s="64"/>
      <c r="AD526" s="64"/>
      <c r="AE526" s="64"/>
      <c r="AF526" s="64"/>
      <c r="AG526" s="64"/>
    </row>
    <row r="527">
      <c r="A527" s="64"/>
      <c r="B527" s="64"/>
      <c r="C527" s="64"/>
      <c r="D527" s="64"/>
      <c r="E527" s="65"/>
      <c r="F527" s="64"/>
      <c r="G527" s="67"/>
      <c r="H527" s="64"/>
      <c r="I527" s="64"/>
      <c r="J527" s="64"/>
      <c r="K527" s="64"/>
      <c r="L527" s="65"/>
      <c r="M527" s="64"/>
      <c r="N527" s="64"/>
      <c r="O527" s="64"/>
      <c r="P527" s="64"/>
      <c r="Q527" s="64"/>
      <c r="R527" s="64"/>
      <c r="S527" s="64"/>
      <c r="T527" s="65"/>
      <c r="U527" s="64"/>
      <c r="V527" s="64"/>
      <c r="W527" s="64"/>
      <c r="X527" s="64"/>
      <c r="Y527" s="64"/>
      <c r="Z527" s="64"/>
      <c r="AA527" s="64"/>
      <c r="AB527" s="64"/>
      <c r="AC527" s="64"/>
      <c r="AD527" s="64"/>
      <c r="AE527" s="64"/>
      <c r="AF527" s="64"/>
      <c r="AG527" s="64"/>
    </row>
    <row r="528">
      <c r="A528" s="64"/>
      <c r="B528" s="64"/>
      <c r="C528" s="64"/>
      <c r="D528" s="64"/>
      <c r="E528" s="65"/>
      <c r="F528" s="64"/>
      <c r="G528" s="67"/>
      <c r="H528" s="64"/>
      <c r="I528" s="64"/>
      <c r="J528" s="64"/>
      <c r="K528" s="64"/>
      <c r="L528" s="65"/>
      <c r="M528" s="64"/>
      <c r="N528" s="64"/>
      <c r="O528" s="64"/>
      <c r="P528" s="64"/>
      <c r="Q528" s="64"/>
      <c r="R528" s="64"/>
      <c r="S528" s="64"/>
      <c r="T528" s="65"/>
      <c r="U528" s="64"/>
      <c r="V528" s="64"/>
      <c r="W528" s="64"/>
      <c r="X528" s="64"/>
      <c r="Y528" s="64"/>
      <c r="Z528" s="64"/>
      <c r="AA528" s="64"/>
      <c r="AB528" s="64"/>
      <c r="AC528" s="64"/>
      <c r="AD528" s="64"/>
      <c r="AE528" s="64"/>
      <c r="AF528" s="64"/>
      <c r="AG528" s="64"/>
    </row>
    <row r="529">
      <c r="A529" s="64"/>
      <c r="B529" s="64"/>
      <c r="C529" s="64"/>
      <c r="D529" s="64"/>
      <c r="E529" s="65"/>
      <c r="F529" s="64"/>
      <c r="G529" s="67"/>
      <c r="H529" s="64"/>
      <c r="I529" s="64"/>
      <c r="J529" s="64"/>
      <c r="K529" s="64"/>
      <c r="L529" s="65"/>
      <c r="M529" s="64"/>
      <c r="N529" s="64"/>
      <c r="O529" s="64"/>
      <c r="P529" s="64"/>
      <c r="Q529" s="64"/>
      <c r="R529" s="64"/>
      <c r="S529" s="64"/>
      <c r="T529" s="65"/>
      <c r="U529" s="64"/>
      <c r="V529" s="64"/>
      <c r="W529" s="64"/>
      <c r="X529" s="64"/>
      <c r="Y529" s="64"/>
      <c r="Z529" s="64"/>
      <c r="AA529" s="64"/>
      <c r="AB529" s="64"/>
      <c r="AC529" s="64"/>
      <c r="AD529" s="64"/>
      <c r="AE529" s="64"/>
      <c r="AF529" s="64"/>
      <c r="AG529" s="64"/>
    </row>
    <row r="530">
      <c r="A530" s="64"/>
      <c r="B530" s="64"/>
      <c r="C530" s="64"/>
      <c r="D530" s="64"/>
      <c r="E530" s="65"/>
      <c r="F530" s="64"/>
      <c r="G530" s="67"/>
      <c r="H530" s="64"/>
      <c r="I530" s="64"/>
      <c r="J530" s="64"/>
      <c r="K530" s="64"/>
      <c r="L530" s="65"/>
      <c r="M530" s="64"/>
      <c r="N530" s="64"/>
      <c r="O530" s="64"/>
      <c r="P530" s="64"/>
      <c r="Q530" s="64"/>
      <c r="R530" s="64"/>
      <c r="S530" s="64"/>
      <c r="T530" s="65"/>
      <c r="U530" s="64"/>
      <c r="V530" s="64"/>
      <c r="W530" s="64"/>
      <c r="X530" s="64"/>
      <c r="Y530" s="64"/>
      <c r="Z530" s="64"/>
      <c r="AA530" s="64"/>
      <c r="AB530" s="64"/>
      <c r="AC530" s="64"/>
      <c r="AD530" s="64"/>
      <c r="AE530" s="64"/>
      <c r="AF530" s="64"/>
      <c r="AG530" s="64"/>
    </row>
    <row r="531">
      <c r="A531" s="64"/>
      <c r="B531" s="64"/>
      <c r="C531" s="64"/>
      <c r="D531" s="64"/>
      <c r="E531" s="65"/>
      <c r="F531" s="64"/>
      <c r="G531" s="67"/>
      <c r="H531" s="64"/>
      <c r="I531" s="64"/>
      <c r="J531" s="64"/>
      <c r="K531" s="64"/>
      <c r="L531" s="65"/>
      <c r="M531" s="64"/>
      <c r="N531" s="64"/>
      <c r="O531" s="64"/>
      <c r="P531" s="64"/>
      <c r="Q531" s="64"/>
      <c r="R531" s="64"/>
      <c r="S531" s="64"/>
      <c r="T531" s="65"/>
      <c r="U531" s="64"/>
      <c r="V531" s="64"/>
      <c r="W531" s="64"/>
      <c r="X531" s="64"/>
      <c r="Y531" s="64"/>
      <c r="Z531" s="64"/>
      <c r="AA531" s="64"/>
      <c r="AB531" s="64"/>
      <c r="AC531" s="64"/>
      <c r="AD531" s="64"/>
      <c r="AE531" s="64"/>
      <c r="AF531" s="64"/>
      <c r="AG531" s="64"/>
    </row>
    <row r="532">
      <c r="A532" s="64"/>
      <c r="B532" s="64"/>
      <c r="C532" s="64"/>
      <c r="D532" s="64"/>
      <c r="E532" s="65"/>
      <c r="F532" s="64"/>
      <c r="G532" s="67"/>
      <c r="H532" s="64"/>
      <c r="I532" s="64"/>
      <c r="J532" s="64"/>
      <c r="K532" s="64"/>
      <c r="L532" s="65"/>
      <c r="M532" s="64"/>
      <c r="N532" s="64"/>
      <c r="O532" s="64"/>
      <c r="P532" s="64"/>
      <c r="Q532" s="64"/>
      <c r="R532" s="64"/>
      <c r="S532" s="64"/>
      <c r="T532" s="65"/>
      <c r="U532" s="64"/>
      <c r="V532" s="64"/>
      <c r="W532" s="64"/>
      <c r="X532" s="64"/>
      <c r="Y532" s="64"/>
      <c r="Z532" s="64"/>
      <c r="AA532" s="64"/>
      <c r="AB532" s="64"/>
      <c r="AC532" s="64"/>
      <c r="AD532" s="64"/>
      <c r="AE532" s="64"/>
      <c r="AF532" s="64"/>
      <c r="AG532" s="64"/>
    </row>
    <row r="533">
      <c r="A533" s="64"/>
      <c r="B533" s="64"/>
      <c r="C533" s="64"/>
      <c r="D533" s="64"/>
      <c r="E533" s="65"/>
      <c r="F533" s="64"/>
      <c r="G533" s="67"/>
      <c r="H533" s="64"/>
      <c r="I533" s="64"/>
      <c r="J533" s="64"/>
      <c r="K533" s="64"/>
      <c r="L533" s="65"/>
      <c r="M533" s="64"/>
      <c r="N533" s="64"/>
      <c r="O533" s="64"/>
      <c r="P533" s="64"/>
      <c r="Q533" s="64"/>
      <c r="R533" s="64"/>
      <c r="S533" s="64"/>
      <c r="T533" s="65"/>
      <c r="U533" s="64"/>
      <c r="V533" s="64"/>
      <c r="W533" s="64"/>
      <c r="X533" s="64"/>
      <c r="Y533" s="64"/>
      <c r="Z533" s="64"/>
      <c r="AA533" s="64"/>
      <c r="AB533" s="64"/>
      <c r="AC533" s="64"/>
      <c r="AD533" s="64"/>
      <c r="AE533" s="64"/>
      <c r="AF533" s="64"/>
      <c r="AG533" s="64"/>
    </row>
    <row r="534">
      <c r="A534" s="64"/>
      <c r="B534" s="64"/>
      <c r="C534" s="64"/>
      <c r="D534" s="64"/>
      <c r="E534" s="65"/>
      <c r="F534" s="64"/>
      <c r="G534" s="67"/>
      <c r="H534" s="64"/>
      <c r="I534" s="64"/>
      <c r="J534" s="64"/>
      <c r="K534" s="64"/>
      <c r="L534" s="65"/>
      <c r="M534" s="64"/>
      <c r="N534" s="64"/>
      <c r="O534" s="64"/>
      <c r="P534" s="64"/>
      <c r="Q534" s="64"/>
      <c r="R534" s="64"/>
      <c r="S534" s="64"/>
      <c r="T534" s="65"/>
      <c r="U534" s="64"/>
      <c r="V534" s="64"/>
      <c r="W534" s="64"/>
      <c r="X534" s="64"/>
      <c r="Y534" s="64"/>
      <c r="Z534" s="64"/>
      <c r="AA534" s="64"/>
      <c r="AB534" s="64"/>
      <c r="AC534" s="64"/>
      <c r="AD534" s="64"/>
      <c r="AE534" s="64"/>
      <c r="AF534" s="64"/>
      <c r="AG534" s="64"/>
    </row>
    <row r="535">
      <c r="A535" s="64"/>
      <c r="B535" s="64"/>
      <c r="C535" s="64"/>
      <c r="D535" s="64"/>
      <c r="E535" s="65"/>
      <c r="F535" s="64"/>
      <c r="G535" s="67"/>
      <c r="H535" s="64"/>
      <c r="I535" s="64"/>
      <c r="J535" s="64"/>
      <c r="K535" s="64"/>
      <c r="L535" s="65"/>
      <c r="M535" s="64"/>
      <c r="N535" s="64"/>
      <c r="O535" s="64"/>
      <c r="P535" s="64"/>
      <c r="Q535" s="64"/>
      <c r="R535" s="64"/>
      <c r="S535" s="64"/>
      <c r="T535" s="65"/>
      <c r="U535" s="64"/>
      <c r="V535" s="64"/>
      <c r="W535" s="64"/>
      <c r="X535" s="64"/>
      <c r="Y535" s="64"/>
      <c r="Z535" s="64"/>
      <c r="AA535" s="64"/>
      <c r="AB535" s="64"/>
      <c r="AC535" s="64"/>
      <c r="AD535" s="64"/>
      <c r="AE535" s="64"/>
      <c r="AF535" s="64"/>
      <c r="AG535" s="64"/>
    </row>
    <row r="536">
      <c r="A536" s="64"/>
      <c r="B536" s="64"/>
      <c r="C536" s="64"/>
      <c r="D536" s="64"/>
      <c r="E536" s="65"/>
      <c r="F536" s="64"/>
      <c r="G536" s="67"/>
      <c r="H536" s="64"/>
      <c r="I536" s="64"/>
      <c r="J536" s="64"/>
      <c r="K536" s="64"/>
      <c r="L536" s="65"/>
      <c r="M536" s="64"/>
      <c r="N536" s="64"/>
      <c r="O536" s="64"/>
      <c r="P536" s="64"/>
      <c r="Q536" s="64"/>
      <c r="R536" s="64"/>
      <c r="S536" s="64"/>
      <c r="T536" s="65"/>
      <c r="U536" s="64"/>
      <c r="V536" s="64"/>
      <c r="W536" s="64"/>
      <c r="X536" s="64"/>
      <c r="Y536" s="64"/>
      <c r="Z536" s="64"/>
      <c r="AA536" s="64"/>
      <c r="AB536" s="64"/>
      <c r="AC536" s="64"/>
      <c r="AD536" s="64"/>
      <c r="AE536" s="64"/>
      <c r="AF536" s="64"/>
      <c r="AG536" s="64"/>
    </row>
    <row r="537">
      <c r="A537" s="64"/>
      <c r="B537" s="64"/>
      <c r="C537" s="64"/>
      <c r="D537" s="64"/>
      <c r="E537" s="65"/>
      <c r="F537" s="64"/>
      <c r="G537" s="67"/>
      <c r="H537" s="64"/>
      <c r="I537" s="64"/>
      <c r="J537" s="64"/>
      <c r="K537" s="64"/>
      <c r="L537" s="65"/>
      <c r="M537" s="64"/>
      <c r="N537" s="64"/>
      <c r="O537" s="64"/>
      <c r="P537" s="64"/>
      <c r="Q537" s="64"/>
      <c r="R537" s="64"/>
      <c r="S537" s="64"/>
      <c r="T537" s="65"/>
      <c r="U537" s="64"/>
      <c r="V537" s="64"/>
      <c r="W537" s="64"/>
      <c r="X537" s="64"/>
      <c r="Y537" s="64"/>
      <c r="Z537" s="64"/>
      <c r="AA537" s="64"/>
      <c r="AB537" s="64"/>
      <c r="AC537" s="64"/>
      <c r="AD537" s="64"/>
      <c r="AE537" s="64"/>
      <c r="AF537" s="64"/>
      <c r="AG537" s="64"/>
    </row>
    <row r="538">
      <c r="A538" s="64"/>
      <c r="B538" s="64"/>
      <c r="C538" s="64"/>
      <c r="D538" s="64"/>
      <c r="E538" s="65"/>
      <c r="F538" s="64"/>
      <c r="G538" s="67"/>
      <c r="H538" s="64"/>
      <c r="I538" s="64"/>
      <c r="J538" s="64"/>
      <c r="K538" s="64"/>
      <c r="L538" s="65"/>
      <c r="M538" s="64"/>
      <c r="N538" s="64"/>
      <c r="O538" s="64"/>
      <c r="P538" s="64"/>
      <c r="Q538" s="64"/>
      <c r="R538" s="64"/>
      <c r="S538" s="64"/>
      <c r="T538" s="65"/>
      <c r="U538" s="64"/>
      <c r="V538" s="64"/>
      <c r="W538" s="64"/>
      <c r="X538" s="64"/>
      <c r="Y538" s="64"/>
      <c r="Z538" s="64"/>
      <c r="AA538" s="64"/>
      <c r="AB538" s="64"/>
      <c r="AC538" s="64"/>
      <c r="AD538" s="64"/>
      <c r="AE538" s="64"/>
      <c r="AF538" s="64"/>
      <c r="AG538" s="64"/>
    </row>
    <row r="539">
      <c r="A539" s="64"/>
      <c r="B539" s="64"/>
      <c r="C539" s="64"/>
      <c r="D539" s="64"/>
      <c r="E539" s="65"/>
      <c r="F539" s="64"/>
      <c r="G539" s="67"/>
      <c r="H539" s="64"/>
      <c r="I539" s="64"/>
      <c r="J539" s="64"/>
      <c r="K539" s="64"/>
      <c r="L539" s="65"/>
      <c r="M539" s="64"/>
      <c r="N539" s="64"/>
      <c r="O539" s="64"/>
      <c r="P539" s="64"/>
      <c r="Q539" s="64"/>
      <c r="R539" s="64"/>
      <c r="S539" s="64"/>
      <c r="T539" s="65"/>
      <c r="U539" s="64"/>
      <c r="V539" s="64"/>
      <c r="W539" s="64"/>
      <c r="X539" s="64"/>
      <c r="Y539" s="64"/>
      <c r="Z539" s="64"/>
      <c r="AA539" s="64"/>
      <c r="AB539" s="64"/>
      <c r="AC539" s="64"/>
      <c r="AD539" s="64"/>
      <c r="AE539" s="64"/>
      <c r="AF539" s="64"/>
      <c r="AG539" s="64"/>
    </row>
    <row r="540">
      <c r="A540" s="64"/>
      <c r="B540" s="64"/>
      <c r="C540" s="64"/>
      <c r="D540" s="64"/>
      <c r="E540" s="65"/>
      <c r="F540" s="64"/>
      <c r="G540" s="67"/>
      <c r="H540" s="64"/>
      <c r="I540" s="64"/>
      <c r="J540" s="64"/>
      <c r="K540" s="64"/>
      <c r="L540" s="65"/>
      <c r="M540" s="64"/>
      <c r="N540" s="64"/>
      <c r="O540" s="64"/>
      <c r="P540" s="64"/>
      <c r="Q540" s="64"/>
      <c r="R540" s="64"/>
      <c r="S540" s="64"/>
      <c r="T540" s="65"/>
      <c r="U540" s="64"/>
      <c r="V540" s="64"/>
      <c r="W540" s="64"/>
      <c r="X540" s="64"/>
      <c r="Y540" s="64"/>
      <c r="Z540" s="64"/>
      <c r="AA540" s="64"/>
      <c r="AB540" s="64"/>
      <c r="AC540" s="64"/>
      <c r="AD540" s="64"/>
      <c r="AE540" s="64"/>
      <c r="AF540" s="64"/>
      <c r="AG540" s="64"/>
    </row>
    <row r="541">
      <c r="A541" s="64"/>
      <c r="B541" s="64"/>
      <c r="C541" s="64"/>
      <c r="D541" s="64"/>
      <c r="E541" s="65"/>
      <c r="F541" s="64"/>
      <c r="G541" s="67"/>
      <c r="H541" s="64"/>
      <c r="I541" s="64"/>
      <c r="J541" s="64"/>
      <c r="K541" s="64"/>
      <c r="L541" s="65"/>
      <c r="M541" s="64"/>
      <c r="N541" s="64"/>
      <c r="O541" s="64"/>
      <c r="P541" s="64"/>
      <c r="Q541" s="64"/>
      <c r="R541" s="64"/>
      <c r="S541" s="64"/>
      <c r="T541" s="65"/>
      <c r="U541" s="64"/>
      <c r="V541" s="64"/>
      <c r="W541" s="64"/>
      <c r="X541" s="64"/>
      <c r="Y541" s="64"/>
      <c r="Z541" s="64"/>
      <c r="AA541" s="64"/>
      <c r="AB541" s="64"/>
      <c r="AC541" s="64"/>
      <c r="AD541" s="64"/>
      <c r="AE541" s="64"/>
      <c r="AF541" s="64"/>
      <c r="AG541" s="64"/>
    </row>
    <row r="542">
      <c r="A542" s="64"/>
      <c r="B542" s="64"/>
      <c r="C542" s="64"/>
      <c r="D542" s="64"/>
      <c r="E542" s="65"/>
      <c r="F542" s="64"/>
      <c r="G542" s="67"/>
      <c r="H542" s="64"/>
      <c r="I542" s="64"/>
      <c r="J542" s="64"/>
      <c r="K542" s="64"/>
      <c r="L542" s="65"/>
      <c r="M542" s="64"/>
      <c r="N542" s="64"/>
      <c r="O542" s="64"/>
      <c r="P542" s="64"/>
      <c r="Q542" s="64"/>
      <c r="R542" s="64"/>
      <c r="S542" s="64"/>
      <c r="T542" s="65"/>
      <c r="U542" s="64"/>
      <c r="V542" s="64"/>
      <c r="W542" s="64"/>
      <c r="X542" s="64"/>
      <c r="Y542" s="64"/>
      <c r="Z542" s="64"/>
      <c r="AA542" s="64"/>
      <c r="AB542" s="64"/>
      <c r="AC542" s="64"/>
      <c r="AD542" s="64"/>
      <c r="AE542" s="64"/>
      <c r="AF542" s="64"/>
      <c r="AG542" s="64"/>
    </row>
    <row r="543">
      <c r="A543" s="64"/>
      <c r="B543" s="64"/>
      <c r="C543" s="64"/>
      <c r="D543" s="64"/>
      <c r="E543" s="65"/>
      <c r="F543" s="64"/>
      <c r="G543" s="67"/>
      <c r="H543" s="64"/>
      <c r="I543" s="64"/>
      <c r="J543" s="64"/>
      <c r="K543" s="64"/>
      <c r="L543" s="65"/>
      <c r="M543" s="64"/>
      <c r="N543" s="64"/>
      <c r="O543" s="64"/>
      <c r="P543" s="64"/>
      <c r="Q543" s="64"/>
      <c r="R543" s="64"/>
      <c r="S543" s="64"/>
      <c r="T543" s="65"/>
      <c r="U543" s="64"/>
      <c r="V543" s="64"/>
      <c r="W543" s="64"/>
      <c r="X543" s="64"/>
      <c r="Y543" s="64"/>
      <c r="Z543" s="64"/>
      <c r="AA543" s="64"/>
      <c r="AB543" s="64"/>
      <c r="AC543" s="64"/>
      <c r="AD543" s="64"/>
      <c r="AE543" s="64"/>
      <c r="AF543" s="64"/>
      <c r="AG543" s="64"/>
    </row>
    <row r="544">
      <c r="A544" s="64"/>
      <c r="B544" s="64"/>
      <c r="C544" s="64"/>
      <c r="D544" s="64"/>
      <c r="E544" s="65"/>
      <c r="F544" s="64"/>
      <c r="G544" s="67"/>
      <c r="H544" s="64"/>
      <c r="I544" s="64"/>
      <c r="J544" s="64"/>
      <c r="K544" s="64"/>
      <c r="L544" s="65"/>
      <c r="M544" s="64"/>
      <c r="N544" s="64"/>
      <c r="O544" s="64"/>
      <c r="P544" s="64"/>
      <c r="Q544" s="64"/>
      <c r="R544" s="64"/>
      <c r="S544" s="64"/>
      <c r="T544" s="65"/>
      <c r="U544" s="64"/>
      <c r="V544" s="64"/>
      <c r="W544" s="64"/>
      <c r="X544" s="64"/>
      <c r="Y544" s="64"/>
      <c r="Z544" s="64"/>
      <c r="AA544" s="64"/>
      <c r="AB544" s="64"/>
      <c r="AC544" s="64"/>
      <c r="AD544" s="64"/>
      <c r="AE544" s="64"/>
      <c r="AF544" s="64"/>
      <c r="AG544" s="64"/>
    </row>
    <row r="545">
      <c r="A545" s="64"/>
      <c r="B545" s="64"/>
      <c r="C545" s="64"/>
      <c r="D545" s="64"/>
      <c r="E545" s="65"/>
      <c r="F545" s="64"/>
      <c r="G545" s="67"/>
      <c r="H545" s="64"/>
      <c r="I545" s="64"/>
      <c r="J545" s="64"/>
      <c r="K545" s="64"/>
      <c r="L545" s="65"/>
      <c r="M545" s="64"/>
      <c r="N545" s="64"/>
      <c r="O545" s="64"/>
      <c r="P545" s="64"/>
      <c r="Q545" s="64"/>
      <c r="R545" s="64"/>
      <c r="S545" s="64"/>
      <c r="T545" s="65"/>
      <c r="U545" s="64"/>
      <c r="V545" s="64"/>
      <c r="W545" s="64"/>
      <c r="X545" s="64"/>
      <c r="Y545" s="64"/>
      <c r="Z545" s="64"/>
      <c r="AA545" s="64"/>
      <c r="AB545" s="64"/>
      <c r="AC545" s="64"/>
      <c r="AD545" s="64"/>
      <c r="AE545" s="64"/>
      <c r="AF545" s="64"/>
      <c r="AG545" s="64"/>
    </row>
    <row r="546">
      <c r="A546" s="64"/>
      <c r="B546" s="64"/>
      <c r="C546" s="64"/>
      <c r="D546" s="64"/>
      <c r="E546" s="65"/>
      <c r="F546" s="64"/>
      <c r="G546" s="67"/>
      <c r="H546" s="64"/>
      <c r="I546" s="64"/>
      <c r="J546" s="64"/>
      <c r="K546" s="64"/>
      <c r="L546" s="65"/>
      <c r="M546" s="64"/>
      <c r="N546" s="64"/>
      <c r="O546" s="64"/>
      <c r="P546" s="64"/>
      <c r="Q546" s="64"/>
      <c r="R546" s="64"/>
      <c r="S546" s="64"/>
      <c r="T546" s="65"/>
      <c r="U546" s="64"/>
      <c r="V546" s="64"/>
      <c r="W546" s="64"/>
      <c r="X546" s="64"/>
      <c r="Y546" s="64"/>
      <c r="Z546" s="64"/>
      <c r="AA546" s="64"/>
      <c r="AB546" s="64"/>
      <c r="AC546" s="64"/>
      <c r="AD546" s="64"/>
      <c r="AE546" s="64"/>
      <c r="AF546" s="64"/>
      <c r="AG546" s="64"/>
    </row>
    <row r="547">
      <c r="A547" s="64"/>
      <c r="B547" s="64"/>
      <c r="C547" s="64"/>
      <c r="D547" s="64"/>
      <c r="E547" s="65"/>
      <c r="F547" s="64"/>
      <c r="G547" s="67"/>
      <c r="H547" s="64"/>
      <c r="I547" s="64"/>
      <c r="J547" s="64"/>
      <c r="K547" s="64"/>
      <c r="L547" s="65"/>
      <c r="M547" s="64"/>
      <c r="N547" s="64"/>
      <c r="O547" s="64"/>
      <c r="P547" s="64"/>
      <c r="Q547" s="64"/>
      <c r="R547" s="64"/>
      <c r="S547" s="64"/>
      <c r="T547" s="65"/>
      <c r="U547" s="64"/>
      <c r="V547" s="64"/>
      <c r="W547" s="64"/>
      <c r="X547" s="64"/>
      <c r="Y547" s="64"/>
      <c r="Z547" s="64"/>
      <c r="AA547" s="64"/>
      <c r="AB547" s="64"/>
      <c r="AC547" s="64"/>
      <c r="AD547" s="64"/>
      <c r="AE547" s="64"/>
      <c r="AF547" s="64"/>
      <c r="AG547" s="64"/>
    </row>
    <row r="548">
      <c r="A548" s="64"/>
      <c r="B548" s="64"/>
      <c r="C548" s="64"/>
      <c r="D548" s="64"/>
      <c r="E548" s="65"/>
      <c r="F548" s="64"/>
      <c r="G548" s="67"/>
      <c r="H548" s="64"/>
      <c r="I548" s="64"/>
      <c r="J548" s="64"/>
      <c r="K548" s="64"/>
      <c r="L548" s="65"/>
      <c r="M548" s="64"/>
      <c r="N548" s="64"/>
      <c r="O548" s="64"/>
      <c r="P548" s="64"/>
      <c r="Q548" s="64"/>
      <c r="R548" s="64"/>
      <c r="S548" s="64"/>
      <c r="T548" s="65"/>
      <c r="U548" s="64"/>
      <c r="V548" s="64"/>
      <c r="W548" s="64"/>
      <c r="X548" s="64"/>
      <c r="Y548" s="64"/>
      <c r="Z548" s="64"/>
      <c r="AA548" s="64"/>
      <c r="AB548" s="64"/>
      <c r="AC548" s="64"/>
      <c r="AD548" s="64"/>
      <c r="AE548" s="64"/>
      <c r="AF548" s="64"/>
      <c r="AG548" s="64"/>
    </row>
    <row r="549">
      <c r="A549" s="64"/>
      <c r="B549" s="64"/>
      <c r="C549" s="64"/>
      <c r="D549" s="64"/>
      <c r="E549" s="65"/>
      <c r="F549" s="64"/>
      <c r="G549" s="67"/>
      <c r="H549" s="64"/>
      <c r="I549" s="64"/>
      <c r="J549" s="64"/>
      <c r="K549" s="64"/>
      <c r="L549" s="65"/>
      <c r="M549" s="64"/>
      <c r="N549" s="64"/>
      <c r="O549" s="64"/>
      <c r="P549" s="64"/>
      <c r="Q549" s="64"/>
      <c r="R549" s="64"/>
      <c r="S549" s="64"/>
      <c r="T549" s="65"/>
      <c r="U549" s="64"/>
      <c r="V549" s="64"/>
      <c r="W549" s="64"/>
      <c r="X549" s="64"/>
      <c r="Y549" s="64"/>
      <c r="Z549" s="64"/>
      <c r="AA549" s="64"/>
      <c r="AB549" s="64"/>
      <c r="AC549" s="64"/>
      <c r="AD549" s="64"/>
      <c r="AE549" s="64"/>
      <c r="AF549" s="64"/>
      <c r="AG549" s="64"/>
    </row>
    <row r="550">
      <c r="A550" s="64"/>
      <c r="B550" s="64"/>
      <c r="C550" s="64"/>
      <c r="D550" s="64"/>
      <c r="E550" s="65"/>
      <c r="F550" s="64"/>
      <c r="G550" s="67"/>
      <c r="H550" s="64"/>
      <c r="I550" s="64"/>
      <c r="J550" s="64"/>
      <c r="K550" s="64"/>
      <c r="L550" s="65"/>
      <c r="M550" s="64"/>
      <c r="N550" s="64"/>
      <c r="O550" s="64"/>
      <c r="P550" s="64"/>
      <c r="Q550" s="64"/>
      <c r="R550" s="64"/>
      <c r="S550" s="64"/>
      <c r="T550" s="65"/>
      <c r="U550" s="64"/>
      <c r="V550" s="64"/>
      <c r="W550" s="64"/>
      <c r="X550" s="64"/>
      <c r="Y550" s="64"/>
      <c r="Z550" s="64"/>
      <c r="AA550" s="64"/>
      <c r="AB550" s="64"/>
      <c r="AC550" s="64"/>
      <c r="AD550" s="64"/>
      <c r="AE550" s="64"/>
      <c r="AF550" s="64"/>
      <c r="AG550" s="64"/>
    </row>
    <row r="551">
      <c r="A551" s="64"/>
      <c r="B551" s="64"/>
      <c r="C551" s="64"/>
      <c r="D551" s="64"/>
      <c r="E551" s="65"/>
      <c r="F551" s="64"/>
      <c r="G551" s="67"/>
      <c r="H551" s="64"/>
      <c r="I551" s="64"/>
      <c r="J551" s="64"/>
      <c r="K551" s="64"/>
      <c r="L551" s="65"/>
      <c r="M551" s="64"/>
      <c r="N551" s="64"/>
      <c r="O551" s="64"/>
      <c r="P551" s="64"/>
      <c r="Q551" s="64"/>
      <c r="R551" s="64"/>
      <c r="S551" s="64"/>
      <c r="T551" s="65"/>
      <c r="U551" s="64"/>
      <c r="V551" s="64"/>
      <c r="W551" s="64"/>
      <c r="X551" s="64"/>
      <c r="Y551" s="64"/>
      <c r="Z551" s="64"/>
      <c r="AA551" s="64"/>
      <c r="AB551" s="64"/>
      <c r="AC551" s="64"/>
      <c r="AD551" s="64"/>
      <c r="AE551" s="64"/>
      <c r="AF551" s="64"/>
      <c r="AG551" s="64"/>
    </row>
    <row r="552">
      <c r="A552" s="64"/>
      <c r="B552" s="64"/>
      <c r="C552" s="64"/>
      <c r="D552" s="64"/>
      <c r="E552" s="65"/>
      <c r="F552" s="64"/>
      <c r="G552" s="67"/>
      <c r="H552" s="64"/>
      <c r="I552" s="64"/>
      <c r="J552" s="64"/>
      <c r="K552" s="64"/>
      <c r="L552" s="65"/>
      <c r="M552" s="64"/>
      <c r="N552" s="64"/>
      <c r="O552" s="64"/>
      <c r="P552" s="64"/>
      <c r="Q552" s="64"/>
      <c r="R552" s="64"/>
      <c r="S552" s="64"/>
      <c r="T552" s="65"/>
      <c r="U552" s="64"/>
      <c r="V552" s="64"/>
      <c r="W552" s="64"/>
      <c r="X552" s="64"/>
      <c r="Y552" s="64"/>
      <c r="Z552" s="64"/>
      <c r="AA552" s="64"/>
      <c r="AB552" s="64"/>
      <c r="AC552" s="64"/>
      <c r="AD552" s="64"/>
      <c r="AE552" s="64"/>
      <c r="AF552" s="64"/>
      <c r="AG552" s="64"/>
    </row>
    <row r="553">
      <c r="A553" s="64"/>
      <c r="B553" s="64"/>
      <c r="C553" s="64"/>
      <c r="D553" s="64"/>
      <c r="E553" s="65"/>
      <c r="F553" s="64"/>
      <c r="G553" s="67"/>
      <c r="H553" s="64"/>
      <c r="I553" s="64"/>
      <c r="J553" s="64"/>
      <c r="K553" s="64"/>
      <c r="L553" s="65"/>
      <c r="M553" s="64"/>
      <c r="N553" s="64"/>
      <c r="O553" s="64"/>
      <c r="P553" s="64"/>
      <c r="Q553" s="64"/>
      <c r="R553" s="64"/>
      <c r="S553" s="64"/>
      <c r="T553" s="65"/>
      <c r="U553" s="64"/>
      <c r="V553" s="64"/>
      <c r="W553" s="64"/>
      <c r="X553" s="64"/>
      <c r="Y553" s="64"/>
      <c r="Z553" s="64"/>
      <c r="AA553" s="64"/>
      <c r="AB553" s="64"/>
      <c r="AC553" s="64"/>
      <c r="AD553" s="64"/>
      <c r="AE553" s="64"/>
      <c r="AF553" s="64"/>
      <c r="AG553" s="64"/>
    </row>
    <row r="554">
      <c r="A554" s="64"/>
      <c r="B554" s="64"/>
      <c r="C554" s="64"/>
      <c r="D554" s="64"/>
      <c r="E554" s="65"/>
      <c r="F554" s="64"/>
      <c r="G554" s="67"/>
      <c r="H554" s="64"/>
      <c r="I554" s="64"/>
      <c r="J554" s="64"/>
      <c r="K554" s="64"/>
      <c r="L554" s="65"/>
      <c r="M554" s="64"/>
      <c r="N554" s="64"/>
      <c r="O554" s="64"/>
      <c r="P554" s="64"/>
      <c r="Q554" s="64"/>
      <c r="R554" s="64"/>
      <c r="S554" s="64"/>
      <c r="T554" s="65"/>
      <c r="U554" s="64"/>
      <c r="V554" s="64"/>
      <c r="W554" s="64"/>
      <c r="X554" s="64"/>
      <c r="Y554" s="64"/>
      <c r="Z554" s="64"/>
      <c r="AA554" s="64"/>
      <c r="AB554" s="64"/>
      <c r="AC554" s="64"/>
      <c r="AD554" s="64"/>
      <c r="AE554" s="64"/>
      <c r="AF554" s="64"/>
      <c r="AG554" s="64"/>
    </row>
    <row r="555">
      <c r="A555" s="64"/>
      <c r="B555" s="64"/>
      <c r="C555" s="64"/>
      <c r="D555" s="64"/>
      <c r="E555" s="65"/>
      <c r="F555" s="64"/>
      <c r="G555" s="67"/>
      <c r="H555" s="64"/>
      <c r="I555" s="64"/>
      <c r="J555" s="64"/>
      <c r="K555" s="64"/>
      <c r="L555" s="65"/>
      <c r="M555" s="64"/>
      <c r="N555" s="64"/>
      <c r="O555" s="64"/>
      <c r="P555" s="64"/>
      <c r="Q555" s="64"/>
      <c r="R555" s="64"/>
      <c r="S555" s="64"/>
      <c r="T555" s="65"/>
      <c r="U555" s="64"/>
      <c r="V555" s="64"/>
      <c r="W555" s="64"/>
      <c r="X555" s="64"/>
      <c r="Y555" s="64"/>
      <c r="Z555" s="64"/>
      <c r="AA555" s="64"/>
      <c r="AB555" s="64"/>
      <c r="AC555" s="64"/>
      <c r="AD555" s="64"/>
      <c r="AE555" s="64"/>
      <c r="AF555" s="64"/>
      <c r="AG555" s="64"/>
    </row>
    <row r="556">
      <c r="A556" s="64"/>
      <c r="B556" s="64"/>
      <c r="C556" s="64"/>
      <c r="D556" s="64"/>
      <c r="E556" s="65"/>
      <c r="F556" s="64"/>
      <c r="G556" s="67"/>
      <c r="H556" s="64"/>
      <c r="I556" s="64"/>
      <c r="J556" s="64"/>
      <c r="K556" s="64"/>
      <c r="L556" s="65"/>
      <c r="M556" s="64"/>
      <c r="N556" s="64"/>
      <c r="O556" s="64"/>
      <c r="P556" s="64"/>
      <c r="Q556" s="64"/>
      <c r="R556" s="64"/>
      <c r="S556" s="64"/>
      <c r="T556" s="65"/>
      <c r="U556" s="64"/>
      <c r="V556" s="64"/>
      <c r="W556" s="64"/>
      <c r="X556" s="64"/>
      <c r="Y556" s="64"/>
      <c r="Z556" s="64"/>
      <c r="AA556" s="64"/>
      <c r="AB556" s="64"/>
      <c r="AC556" s="64"/>
      <c r="AD556" s="64"/>
      <c r="AE556" s="64"/>
      <c r="AF556" s="64"/>
      <c r="AG556" s="64"/>
    </row>
    <row r="557">
      <c r="A557" s="64"/>
      <c r="B557" s="64"/>
      <c r="C557" s="64"/>
      <c r="D557" s="64"/>
      <c r="E557" s="65"/>
      <c r="F557" s="64"/>
      <c r="G557" s="67"/>
      <c r="H557" s="64"/>
      <c r="I557" s="64"/>
      <c r="J557" s="64"/>
      <c r="K557" s="64"/>
      <c r="L557" s="65"/>
      <c r="M557" s="64"/>
      <c r="N557" s="64"/>
      <c r="O557" s="64"/>
      <c r="P557" s="64"/>
      <c r="Q557" s="64"/>
      <c r="R557" s="64"/>
      <c r="S557" s="64"/>
      <c r="T557" s="65"/>
      <c r="U557" s="64"/>
      <c r="V557" s="64"/>
      <c r="W557" s="64"/>
      <c r="X557" s="64"/>
      <c r="Y557" s="64"/>
      <c r="Z557" s="64"/>
      <c r="AA557" s="64"/>
      <c r="AB557" s="64"/>
      <c r="AC557" s="64"/>
      <c r="AD557" s="64"/>
      <c r="AE557" s="64"/>
      <c r="AF557" s="64"/>
      <c r="AG557" s="64"/>
    </row>
    <row r="558">
      <c r="A558" s="64"/>
      <c r="B558" s="64"/>
      <c r="C558" s="64"/>
      <c r="D558" s="64"/>
      <c r="E558" s="65"/>
      <c r="F558" s="64"/>
      <c r="G558" s="67"/>
      <c r="H558" s="64"/>
      <c r="I558" s="64"/>
      <c r="J558" s="64"/>
      <c r="K558" s="64"/>
      <c r="L558" s="65"/>
      <c r="M558" s="64"/>
      <c r="N558" s="64"/>
      <c r="O558" s="64"/>
      <c r="P558" s="64"/>
      <c r="Q558" s="64"/>
      <c r="R558" s="64"/>
      <c r="S558" s="64"/>
      <c r="T558" s="65"/>
      <c r="U558" s="64"/>
      <c r="V558" s="64"/>
      <c r="W558" s="64"/>
      <c r="X558" s="64"/>
      <c r="Y558" s="64"/>
      <c r="Z558" s="64"/>
      <c r="AA558" s="64"/>
      <c r="AB558" s="64"/>
      <c r="AC558" s="64"/>
      <c r="AD558" s="64"/>
      <c r="AE558" s="64"/>
      <c r="AF558" s="64"/>
      <c r="AG558" s="64"/>
    </row>
    <row r="559">
      <c r="A559" s="64"/>
      <c r="B559" s="64"/>
      <c r="C559" s="64"/>
      <c r="D559" s="64"/>
      <c r="E559" s="65"/>
      <c r="F559" s="64"/>
      <c r="G559" s="67"/>
      <c r="H559" s="64"/>
      <c r="I559" s="64"/>
      <c r="J559" s="64"/>
      <c r="K559" s="64"/>
      <c r="L559" s="65"/>
      <c r="M559" s="64"/>
      <c r="N559" s="64"/>
      <c r="O559" s="64"/>
      <c r="P559" s="64"/>
      <c r="Q559" s="64"/>
      <c r="R559" s="64"/>
      <c r="S559" s="64"/>
      <c r="T559" s="65"/>
      <c r="U559" s="64"/>
      <c r="V559" s="64"/>
      <c r="W559" s="64"/>
      <c r="X559" s="64"/>
      <c r="Y559" s="64"/>
      <c r="Z559" s="64"/>
      <c r="AA559" s="64"/>
      <c r="AB559" s="64"/>
      <c r="AC559" s="64"/>
      <c r="AD559" s="64"/>
      <c r="AE559" s="64"/>
      <c r="AF559" s="64"/>
      <c r="AG559" s="64"/>
    </row>
    <row r="560">
      <c r="A560" s="64"/>
      <c r="B560" s="64"/>
      <c r="C560" s="64"/>
      <c r="D560" s="64"/>
      <c r="E560" s="65"/>
      <c r="F560" s="64"/>
      <c r="G560" s="67"/>
      <c r="H560" s="64"/>
      <c r="I560" s="64"/>
      <c r="J560" s="64"/>
      <c r="K560" s="64"/>
      <c r="L560" s="65"/>
      <c r="M560" s="64"/>
      <c r="N560" s="64"/>
      <c r="O560" s="64"/>
      <c r="P560" s="64"/>
      <c r="Q560" s="64"/>
      <c r="R560" s="64"/>
      <c r="S560" s="64"/>
      <c r="T560" s="65"/>
      <c r="U560" s="64"/>
      <c r="V560" s="64"/>
      <c r="W560" s="64"/>
      <c r="X560" s="64"/>
      <c r="Y560" s="64"/>
      <c r="Z560" s="64"/>
      <c r="AA560" s="64"/>
      <c r="AB560" s="64"/>
      <c r="AC560" s="64"/>
      <c r="AD560" s="64"/>
      <c r="AE560" s="64"/>
      <c r="AF560" s="64"/>
      <c r="AG560" s="64"/>
    </row>
    <row r="561">
      <c r="A561" s="64"/>
      <c r="B561" s="64"/>
      <c r="C561" s="64"/>
      <c r="D561" s="64"/>
      <c r="E561" s="65"/>
      <c r="F561" s="64"/>
      <c r="G561" s="67"/>
      <c r="H561" s="64"/>
      <c r="I561" s="64"/>
      <c r="J561" s="64"/>
      <c r="K561" s="64"/>
      <c r="L561" s="65"/>
      <c r="M561" s="64"/>
      <c r="N561" s="64"/>
      <c r="O561" s="64"/>
      <c r="P561" s="64"/>
      <c r="Q561" s="64"/>
      <c r="R561" s="64"/>
      <c r="S561" s="64"/>
      <c r="T561" s="65"/>
      <c r="U561" s="64"/>
      <c r="V561" s="64"/>
      <c r="W561" s="64"/>
      <c r="X561" s="64"/>
      <c r="Y561" s="64"/>
      <c r="Z561" s="64"/>
      <c r="AA561" s="64"/>
      <c r="AB561" s="64"/>
      <c r="AC561" s="64"/>
      <c r="AD561" s="64"/>
      <c r="AE561" s="64"/>
      <c r="AF561" s="64"/>
      <c r="AG561" s="64"/>
    </row>
    <row r="562">
      <c r="A562" s="64"/>
      <c r="B562" s="64"/>
      <c r="C562" s="64"/>
      <c r="D562" s="64"/>
      <c r="E562" s="65"/>
      <c r="F562" s="64"/>
      <c r="G562" s="67"/>
      <c r="H562" s="64"/>
      <c r="I562" s="64"/>
      <c r="J562" s="64"/>
      <c r="K562" s="64"/>
      <c r="L562" s="65"/>
      <c r="M562" s="64"/>
      <c r="N562" s="64"/>
      <c r="O562" s="64"/>
      <c r="P562" s="64"/>
      <c r="Q562" s="64"/>
      <c r="R562" s="64"/>
      <c r="S562" s="64"/>
      <c r="T562" s="65"/>
      <c r="U562" s="64"/>
      <c r="V562" s="64"/>
      <c r="W562" s="64"/>
      <c r="X562" s="64"/>
      <c r="Y562" s="64"/>
      <c r="Z562" s="64"/>
      <c r="AA562" s="64"/>
      <c r="AB562" s="64"/>
      <c r="AC562" s="64"/>
      <c r="AD562" s="64"/>
      <c r="AE562" s="64"/>
      <c r="AF562" s="64"/>
      <c r="AG562" s="64"/>
    </row>
    <row r="563">
      <c r="A563" s="64"/>
      <c r="B563" s="64"/>
      <c r="C563" s="64"/>
      <c r="D563" s="64"/>
      <c r="E563" s="65"/>
      <c r="F563" s="64"/>
      <c r="G563" s="67"/>
      <c r="H563" s="64"/>
      <c r="I563" s="64"/>
      <c r="J563" s="64"/>
      <c r="K563" s="64"/>
      <c r="L563" s="65"/>
      <c r="M563" s="64"/>
      <c r="N563" s="64"/>
      <c r="O563" s="64"/>
      <c r="P563" s="64"/>
      <c r="Q563" s="64"/>
      <c r="R563" s="64"/>
      <c r="S563" s="64"/>
      <c r="T563" s="65"/>
      <c r="U563" s="64"/>
      <c r="V563" s="64"/>
      <c r="W563" s="64"/>
      <c r="X563" s="64"/>
      <c r="Y563" s="64"/>
      <c r="Z563" s="64"/>
      <c r="AA563" s="64"/>
      <c r="AB563" s="64"/>
      <c r="AC563" s="64"/>
      <c r="AD563" s="64"/>
      <c r="AE563" s="64"/>
      <c r="AF563" s="64"/>
      <c r="AG563" s="64"/>
    </row>
    <row r="564">
      <c r="A564" s="64"/>
      <c r="B564" s="64"/>
      <c r="C564" s="64"/>
      <c r="D564" s="64"/>
      <c r="E564" s="65"/>
      <c r="F564" s="64"/>
      <c r="G564" s="67"/>
      <c r="H564" s="64"/>
      <c r="I564" s="64"/>
      <c r="J564" s="64"/>
      <c r="K564" s="64"/>
      <c r="L564" s="65"/>
      <c r="M564" s="64"/>
      <c r="N564" s="64"/>
      <c r="O564" s="64"/>
      <c r="P564" s="64"/>
      <c r="Q564" s="64"/>
      <c r="R564" s="64"/>
      <c r="S564" s="64"/>
      <c r="T564" s="65"/>
      <c r="U564" s="64"/>
      <c r="V564" s="64"/>
      <c r="W564" s="64"/>
      <c r="X564" s="64"/>
      <c r="Y564" s="64"/>
      <c r="Z564" s="64"/>
      <c r="AA564" s="64"/>
      <c r="AB564" s="64"/>
      <c r="AC564" s="64"/>
      <c r="AD564" s="64"/>
      <c r="AE564" s="64"/>
      <c r="AF564" s="64"/>
      <c r="AG564" s="64"/>
    </row>
    <row r="565">
      <c r="A565" s="64"/>
      <c r="B565" s="64"/>
      <c r="C565" s="64"/>
      <c r="D565" s="64"/>
      <c r="E565" s="65"/>
      <c r="F565" s="64"/>
      <c r="G565" s="67"/>
      <c r="H565" s="64"/>
      <c r="I565" s="64"/>
      <c r="J565" s="64"/>
      <c r="K565" s="64"/>
      <c r="L565" s="65"/>
      <c r="M565" s="64"/>
      <c r="N565" s="64"/>
      <c r="O565" s="64"/>
      <c r="P565" s="64"/>
      <c r="Q565" s="64"/>
      <c r="R565" s="64"/>
      <c r="S565" s="64"/>
      <c r="T565" s="65"/>
      <c r="U565" s="64"/>
      <c r="V565" s="64"/>
      <c r="W565" s="64"/>
      <c r="X565" s="64"/>
      <c r="Y565" s="64"/>
      <c r="Z565" s="64"/>
      <c r="AA565" s="64"/>
      <c r="AB565" s="64"/>
      <c r="AC565" s="64"/>
      <c r="AD565" s="64"/>
      <c r="AE565" s="64"/>
      <c r="AF565" s="64"/>
      <c r="AG565" s="64"/>
    </row>
    <row r="566">
      <c r="A566" s="64"/>
      <c r="B566" s="64"/>
      <c r="C566" s="64"/>
      <c r="D566" s="64"/>
      <c r="E566" s="65"/>
      <c r="F566" s="64"/>
      <c r="G566" s="67"/>
      <c r="H566" s="64"/>
      <c r="I566" s="64"/>
      <c r="J566" s="64"/>
      <c r="K566" s="64"/>
      <c r="L566" s="65"/>
      <c r="M566" s="64"/>
      <c r="N566" s="64"/>
      <c r="O566" s="64"/>
      <c r="P566" s="64"/>
      <c r="Q566" s="64"/>
      <c r="R566" s="64"/>
      <c r="S566" s="64"/>
      <c r="T566" s="65"/>
      <c r="U566" s="64"/>
      <c r="V566" s="64"/>
      <c r="W566" s="64"/>
      <c r="X566" s="64"/>
      <c r="Y566" s="64"/>
      <c r="Z566" s="64"/>
      <c r="AA566" s="64"/>
      <c r="AB566" s="64"/>
      <c r="AC566" s="64"/>
      <c r="AD566" s="64"/>
      <c r="AE566" s="64"/>
      <c r="AF566" s="64"/>
      <c r="AG566" s="64"/>
    </row>
    <row r="567">
      <c r="A567" s="64"/>
      <c r="B567" s="64"/>
      <c r="C567" s="64"/>
      <c r="D567" s="64"/>
      <c r="E567" s="65"/>
      <c r="F567" s="64"/>
      <c r="G567" s="67"/>
      <c r="H567" s="64"/>
      <c r="I567" s="64"/>
      <c r="J567" s="64"/>
      <c r="K567" s="64"/>
      <c r="L567" s="65"/>
      <c r="M567" s="64"/>
      <c r="N567" s="64"/>
      <c r="O567" s="64"/>
      <c r="P567" s="64"/>
      <c r="Q567" s="64"/>
      <c r="R567" s="64"/>
      <c r="S567" s="64"/>
      <c r="T567" s="65"/>
      <c r="U567" s="64"/>
      <c r="V567" s="64"/>
      <c r="W567" s="64"/>
      <c r="X567" s="64"/>
      <c r="Y567" s="64"/>
      <c r="Z567" s="64"/>
      <c r="AA567" s="64"/>
      <c r="AB567" s="64"/>
      <c r="AC567" s="64"/>
      <c r="AD567" s="64"/>
      <c r="AE567" s="64"/>
      <c r="AF567" s="64"/>
      <c r="AG567" s="64"/>
    </row>
    <row r="568">
      <c r="A568" s="64"/>
      <c r="B568" s="64"/>
      <c r="C568" s="64"/>
      <c r="D568" s="64"/>
      <c r="E568" s="65"/>
      <c r="F568" s="64"/>
      <c r="G568" s="67"/>
      <c r="H568" s="64"/>
      <c r="I568" s="64"/>
      <c r="J568" s="64"/>
      <c r="K568" s="64"/>
      <c r="L568" s="65"/>
      <c r="M568" s="64"/>
      <c r="N568" s="64"/>
      <c r="O568" s="64"/>
      <c r="P568" s="64"/>
      <c r="Q568" s="64"/>
      <c r="R568" s="64"/>
      <c r="S568" s="64"/>
      <c r="T568" s="65"/>
      <c r="U568" s="64"/>
      <c r="V568" s="64"/>
      <c r="W568" s="64"/>
      <c r="X568" s="64"/>
      <c r="Y568" s="64"/>
      <c r="Z568" s="64"/>
      <c r="AA568" s="64"/>
      <c r="AB568" s="64"/>
      <c r="AC568" s="64"/>
      <c r="AD568" s="64"/>
      <c r="AE568" s="64"/>
      <c r="AF568" s="64"/>
      <c r="AG568" s="64"/>
    </row>
    <row r="569">
      <c r="A569" s="64"/>
      <c r="B569" s="64"/>
      <c r="C569" s="64"/>
      <c r="D569" s="64"/>
      <c r="E569" s="65"/>
      <c r="F569" s="64"/>
      <c r="G569" s="67"/>
      <c r="H569" s="64"/>
      <c r="I569" s="64"/>
      <c r="J569" s="64"/>
      <c r="K569" s="64"/>
      <c r="L569" s="65"/>
      <c r="M569" s="64"/>
      <c r="N569" s="64"/>
      <c r="O569" s="64"/>
      <c r="P569" s="64"/>
      <c r="Q569" s="64"/>
      <c r="R569" s="64"/>
      <c r="S569" s="64"/>
      <c r="T569" s="65"/>
      <c r="U569" s="64"/>
      <c r="V569" s="64"/>
      <c r="W569" s="64"/>
      <c r="X569" s="64"/>
      <c r="Y569" s="64"/>
      <c r="Z569" s="64"/>
      <c r="AA569" s="64"/>
      <c r="AB569" s="64"/>
      <c r="AC569" s="64"/>
      <c r="AD569" s="64"/>
      <c r="AE569" s="64"/>
      <c r="AF569" s="64"/>
      <c r="AG569" s="64"/>
    </row>
    <row r="570">
      <c r="A570" s="64"/>
      <c r="B570" s="64"/>
      <c r="C570" s="64"/>
      <c r="D570" s="64"/>
      <c r="E570" s="65"/>
      <c r="F570" s="64"/>
      <c r="G570" s="67"/>
      <c r="H570" s="64"/>
      <c r="I570" s="64"/>
      <c r="J570" s="64"/>
      <c r="K570" s="64"/>
      <c r="L570" s="65"/>
      <c r="M570" s="64"/>
      <c r="N570" s="64"/>
      <c r="O570" s="64"/>
      <c r="P570" s="64"/>
      <c r="Q570" s="64"/>
      <c r="R570" s="64"/>
      <c r="S570" s="64"/>
      <c r="T570" s="65"/>
      <c r="U570" s="64"/>
      <c r="V570" s="64"/>
      <c r="W570" s="64"/>
      <c r="X570" s="64"/>
      <c r="Y570" s="64"/>
      <c r="Z570" s="64"/>
      <c r="AA570" s="64"/>
      <c r="AB570" s="64"/>
      <c r="AC570" s="64"/>
      <c r="AD570" s="64"/>
      <c r="AE570" s="64"/>
      <c r="AF570" s="64"/>
      <c r="AG570" s="64"/>
    </row>
    <row r="571">
      <c r="A571" s="64"/>
      <c r="B571" s="64"/>
      <c r="C571" s="64"/>
      <c r="D571" s="64"/>
      <c r="E571" s="65"/>
      <c r="F571" s="64"/>
      <c r="G571" s="67"/>
      <c r="H571" s="64"/>
      <c r="I571" s="64"/>
      <c r="J571" s="64"/>
      <c r="K571" s="64"/>
      <c r="L571" s="65"/>
      <c r="M571" s="64"/>
      <c r="N571" s="64"/>
      <c r="O571" s="64"/>
      <c r="P571" s="64"/>
      <c r="Q571" s="64"/>
      <c r="R571" s="64"/>
      <c r="S571" s="64"/>
      <c r="T571" s="65"/>
      <c r="U571" s="64"/>
      <c r="V571" s="64"/>
      <c r="W571" s="64"/>
      <c r="X571" s="64"/>
      <c r="Y571" s="64"/>
      <c r="Z571" s="64"/>
      <c r="AA571" s="64"/>
      <c r="AB571" s="64"/>
      <c r="AC571" s="64"/>
      <c r="AD571" s="64"/>
      <c r="AE571" s="64"/>
      <c r="AF571" s="64"/>
      <c r="AG571" s="64"/>
    </row>
    <row r="572">
      <c r="A572" s="64"/>
      <c r="B572" s="64"/>
      <c r="C572" s="64"/>
      <c r="D572" s="64"/>
      <c r="E572" s="65"/>
      <c r="F572" s="64"/>
      <c r="G572" s="67"/>
      <c r="H572" s="64"/>
      <c r="I572" s="64"/>
      <c r="J572" s="64"/>
      <c r="K572" s="64"/>
      <c r="L572" s="65"/>
      <c r="M572" s="64"/>
      <c r="N572" s="64"/>
      <c r="O572" s="64"/>
      <c r="P572" s="64"/>
      <c r="Q572" s="64"/>
      <c r="R572" s="64"/>
      <c r="S572" s="64"/>
      <c r="T572" s="65"/>
      <c r="U572" s="64"/>
      <c r="V572" s="64"/>
      <c r="W572" s="64"/>
      <c r="X572" s="64"/>
      <c r="Y572" s="64"/>
      <c r="Z572" s="64"/>
      <c r="AA572" s="64"/>
      <c r="AB572" s="64"/>
      <c r="AC572" s="64"/>
      <c r="AD572" s="64"/>
      <c r="AE572" s="64"/>
      <c r="AF572" s="64"/>
      <c r="AG572" s="64"/>
    </row>
    <row r="573">
      <c r="A573" s="64"/>
      <c r="B573" s="64"/>
      <c r="C573" s="64"/>
      <c r="D573" s="64"/>
      <c r="E573" s="65"/>
      <c r="F573" s="64"/>
      <c r="G573" s="67"/>
      <c r="H573" s="64"/>
      <c r="I573" s="64"/>
      <c r="J573" s="64"/>
      <c r="K573" s="64"/>
      <c r="L573" s="65"/>
      <c r="M573" s="64"/>
      <c r="N573" s="64"/>
      <c r="O573" s="64"/>
      <c r="P573" s="64"/>
      <c r="Q573" s="64"/>
      <c r="R573" s="64"/>
      <c r="S573" s="64"/>
      <c r="T573" s="65"/>
      <c r="U573" s="64"/>
      <c r="V573" s="64"/>
      <c r="W573" s="64"/>
      <c r="X573" s="64"/>
      <c r="Y573" s="64"/>
      <c r="Z573" s="64"/>
      <c r="AA573" s="64"/>
      <c r="AB573" s="64"/>
      <c r="AC573" s="64"/>
      <c r="AD573" s="64"/>
      <c r="AE573" s="64"/>
      <c r="AF573" s="64"/>
      <c r="AG573" s="64"/>
    </row>
    <row r="574">
      <c r="A574" s="64"/>
      <c r="B574" s="64"/>
      <c r="C574" s="64"/>
      <c r="D574" s="64"/>
      <c r="E574" s="65"/>
      <c r="F574" s="64"/>
      <c r="G574" s="67"/>
      <c r="H574" s="64"/>
      <c r="I574" s="64"/>
      <c r="J574" s="64"/>
      <c r="K574" s="64"/>
      <c r="L574" s="65"/>
      <c r="M574" s="64"/>
      <c r="N574" s="64"/>
      <c r="O574" s="64"/>
      <c r="P574" s="64"/>
      <c r="Q574" s="64"/>
      <c r="R574" s="64"/>
      <c r="S574" s="64"/>
      <c r="T574" s="65"/>
      <c r="U574" s="64"/>
      <c r="V574" s="64"/>
      <c r="W574" s="64"/>
      <c r="X574" s="64"/>
      <c r="Y574" s="64"/>
      <c r="Z574" s="64"/>
      <c r="AA574" s="64"/>
      <c r="AB574" s="64"/>
      <c r="AC574" s="64"/>
      <c r="AD574" s="64"/>
      <c r="AE574" s="64"/>
      <c r="AF574" s="64"/>
      <c r="AG574" s="64"/>
    </row>
    <row r="575">
      <c r="A575" s="64"/>
      <c r="B575" s="64"/>
      <c r="C575" s="64"/>
      <c r="D575" s="64"/>
      <c r="E575" s="65"/>
      <c r="F575" s="64"/>
      <c r="G575" s="67"/>
      <c r="H575" s="64"/>
      <c r="I575" s="64"/>
      <c r="J575" s="64"/>
      <c r="K575" s="64"/>
      <c r="L575" s="65"/>
      <c r="M575" s="64"/>
      <c r="N575" s="64"/>
      <c r="O575" s="64"/>
      <c r="P575" s="64"/>
      <c r="Q575" s="64"/>
      <c r="R575" s="64"/>
      <c r="S575" s="64"/>
      <c r="T575" s="65"/>
      <c r="U575" s="64"/>
      <c r="V575" s="64"/>
      <c r="W575" s="64"/>
      <c r="X575" s="64"/>
      <c r="Y575" s="64"/>
      <c r="Z575" s="64"/>
      <c r="AA575" s="64"/>
      <c r="AB575" s="64"/>
      <c r="AC575" s="64"/>
      <c r="AD575" s="64"/>
      <c r="AE575" s="64"/>
      <c r="AF575" s="64"/>
      <c r="AG575" s="64"/>
    </row>
    <row r="576">
      <c r="A576" s="64"/>
      <c r="B576" s="64"/>
      <c r="C576" s="64"/>
      <c r="D576" s="64"/>
      <c r="E576" s="65"/>
      <c r="F576" s="64"/>
      <c r="G576" s="67"/>
      <c r="H576" s="64"/>
      <c r="I576" s="64"/>
      <c r="J576" s="64"/>
      <c r="K576" s="64"/>
      <c r="L576" s="65"/>
      <c r="M576" s="64"/>
      <c r="N576" s="64"/>
      <c r="O576" s="64"/>
      <c r="P576" s="64"/>
      <c r="Q576" s="64"/>
      <c r="R576" s="64"/>
      <c r="S576" s="64"/>
      <c r="T576" s="65"/>
      <c r="U576" s="64"/>
      <c r="V576" s="64"/>
      <c r="W576" s="64"/>
      <c r="X576" s="64"/>
      <c r="Y576" s="64"/>
      <c r="Z576" s="64"/>
      <c r="AA576" s="64"/>
      <c r="AB576" s="64"/>
      <c r="AC576" s="64"/>
      <c r="AD576" s="64"/>
      <c r="AE576" s="64"/>
      <c r="AF576" s="64"/>
      <c r="AG576" s="64"/>
    </row>
    <row r="577">
      <c r="A577" s="64"/>
      <c r="B577" s="64"/>
      <c r="C577" s="64"/>
      <c r="D577" s="64"/>
      <c r="E577" s="65"/>
      <c r="F577" s="64"/>
      <c r="G577" s="67"/>
      <c r="H577" s="64"/>
      <c r="I577" s="64"/>
      <c r="J577" s="64"/>
      <c r="K577" s="64"/>
      <c r="L577" s="65"/>
      <c r="M577" s="64"/>
      <c r="N577" s="64"/>
      <c r="O577" s="64"/>
      <c r="P577" s="64"/>
      <c r="Q577" s="64"/>
      <c r="R577" s="64"/>
      <c r="S577" s="64"/>
      <c r="T577" s="65"/>
      <c r="U577" s="64"/>
      <c r="V577" s="64"/>
      <c r="W577" s="64"/>
      <c r="X577" s="64"/>
      <c r="Y577" s="64"/>
      <c r="Z577" s="64"/>
      <c r="AA577" s="64"/>
      <c r="AB577" s="64"/>
      <c r="AC577" s="64"/>
      <c r="AD577" s="64"/>
      <c r="AE577" s="64"/>
      <c r="AF577" s="64"/>
      <c r="AG577" s="64"/>
    </row>
    <row r="578">
      <c r="A578" s="64"/>
      <c r="B578" s="64"/>
      <c r="C578" s="64"/>
      <c r="D578" s="64"/>
      <c r="E578" s="65"/>
      <c r="F578" s="64"/>
      <c r="G578" s="67"/>
      <c r="H578" s="64"/>
      <c r="I578" s="64"/>
      <c r="J578" s="64"/>
      <c r="K578" s="64"/>
      <c r="L578" s="65"/>
      <c r="M578" s="64"/>
      <c r="N578" s="64"/>
      <c r="O578" s="64"/>
      <c r="P578" s="64"/>
      <c r="Q578" s="64"/>
      <c r="R578" s="64"/>
      <c r="S578" s="64"/>
      <c r="T578" s="65"/>
      <c r="U578" s="64"/>
      <c r="V578" s="64"/>
      <c r="W578" s="64"/>
      <c r="X578" s="64"/>
      <c r="Y578" s="64"/>
      <c r="Z578" s="64"/>
      <c r="AA578" s="64"/>
      <c r="AB578" s="64"/>
      <c r="AC578" s="64"/>
      <c r="AD578" s="64"/>
      <c r="AE578" s="64"/>
      <c r="AF578" s="64"/>
      <c r="AG578" s="64"/>
    </row>
    <row r="579">
      <c r="A579" s="64"/>
      <c r="B579" s="64"/>
      <c r="C579" s="64"/>
      <c r="D579" s="64"/>
      <c r="E579" s="65"/>
      <c r="F579" s="64"/>
      <c r="G579" s="67"/>
      <c r="H579" s="64"/>
      <c r="I579" s="64"/>
      <c r="J579" s="64"/>
      <c r="K579" s="64"/>
      <c r="L579" s="65"/>
      <c r="M579" s="64"/>
      <c r="N579" s="64"/>
      <c r="O579" s="64"/>
      <c r="P579" s="64"/>
      <c r="Q579" s="64"/>
      <c r="R579" s="64"/>
      <c r="S579" s="64"/>
      <c r="T579" s="65"/>
      <c r="U579" s="64"/>
      <c r="V579" s="64"/>
      <c r="W579" s="64"/>
      <c r="X579" s="64"/>
      <c r="Y579" s="64"/>
      <c r="Z579" s="64"/>
      <c r="AA579" s="64"/>
      <c r="AB579" s="64"/>
      <c r="AC579" s="64"/>
      <c r="AD579" s="64"/>
      <c r="AE579" s="64"/>
      <c r="AF579" s="64"/>
      <c r="AG579" s="64"/>
    </row>
    <row r="580">
      <c r="A580" s="64"/>
      <c r="B580" s="64"/>
      <c r="C580" s="64"/>
      <c r="D580" s="64"/>
      <c r="E580" s="65"/>
      <c r="F580" s="64"/>
      <c r="G580" s="67"/>
      <c r="H580" s="64"/>
      <c r="I580" s="64"/>
      <c r="J580" s="64"/>
      <c r="K580" s="64"/>
      <c r="L580" s="65"/>
      <c r="M580" s="64"/>
      <c r="N580" s="64"/>
      <c r="O580" s="64"/>
      <c r="P580" s="64"/>
      <c r="Q580" s="64"/>
      <c r="R580" s="64"/>
      <c r="S580" s="64"/>
      <c r="T580" s="65"/>
      <c r="U580" s="64"/>
      <c r="V580" s="64"/>
      <c r="W580" s="64"/>
      <c r="X580" s="64"/>
      <c r="Y580" s="64"/>
      <c r="Z580" s="64"/>
      <c r="AA580" s="64"/>
      <c r="AB580" s="64"/>
      <c r="AC580" s="64"/>
      <c r="AD580" s="64"/>
      <c r="AE580" s="64"/>
      <c r="AF580" s="64"/>
      <c r="AG580" s="64"/>
    </row>
    <row r="581">
      <c r="A581" s="64"/>
      <c r="B581" s="64"/>
      <c r="C581" s="64"/>
      <c r="D581" s="64"/>
      <c r="E581" s="65"/>
      <c r="F581" s="64"/>
      <c r="G581" s="67"/>
      <c r="H581" s="64"/>
      <c r="I581" s="64"/>
      <c r="J581" s="64"/>
      <c r="K581" s="64"/>
      <c r="L581" s="65"/>
      <c r="M581" s="64"/>
      <c r="N581" s="64"/>
      <c r="O581" s="64"/>
      <c r="P581" s="64"/>
      <c r="Q581" s="64"/>
      <c r="R581" s="64"/>
      <c r="S581" s="64"/>
      <c r="T581" s="65"/>
      <c r="U581" s="64"/>
      <c r="V581" s="64"/>
      <c r="W581" s="64"/>
      <c r="X581" s="64"/>
      <c r="Y581" s="64"/>
      <c r="Z581" s="64"/>
      <c r="AA581" s="64"/>
      <c r="AB581" s="64"/>
      <c r="AC581" s="64"/>
      <c r="AD581" s="64"/>
      <c r="AE581" s="64"/>
      <c r="AF581" s="64"/>
      <c r="AG581" s="64"/>
    </row>
    <row r="582">
      <c r="A582" s="64"/>
      <c r="B582" s="64"/>
      <c r="C582" s="64"/>
      <c r="D582" s="64"/>
      <c r="E582" s="65"/>
      <c r="F582" s="64"/>
      <c r="G582" s="67"/>
      <c r="H582" s="64"/>
      <c r="I582" s="64"/>
      <c r="J582" s="64"/>
      <c r="K582" s="64"/>
      <c r="L582" s="65"/>
      <c r="M582" s="64"/>
      <c r="N582" s="64"/>
      <c r="O582" s="64"/>
      <c r="P582" s="64"/>
      <c r="Q582" s="64"/>
      <c r="R582" s="64"/>
      <c r="S582" s="64"/>
      <c r="T582" s="65"/>
      <c r="U582" s="64"/>
      <c r="V582" s="64"/>
      <c r="W582" s="64"/>
      <c r="X582" s="64"/>
      <c r="Y582" s="64"/>
      <c r="Z582" s="64"/>
      <c r="AA582" s="64"/>
      <c r="AB582" s="64"/>
      <c r="AC582" s="64"/>
      <c r="AD582" s="64"/>
      <c r="AE582" s="64"/>
      <c r="AF582" s="64"/>
      <c r="AG582" s="64"/>
    </row>
    <row r="583">
      <c r="A583" s="64"/>
      <c r="B583" s="64"/>
      <c r="C583" s="64"/>
      <c r="D583" s="64"/>
      <c r="E583" s="65"/>
      <c r="F583" s="64"/>
      <c r="G583" s="67"/>
      <c r="H583" s="64"/>
      <c r="I583" s="64"/>
      <c r="J583" s="64"/>
      <c r="K583" s="64"/>
      <c r="L583" s="65"/>
      <c r="M583" s="64"/>
      <c r="N583" s="64"/>
      <c r="O583" s="64"/>
      <c r="P583" s="64"/>
      <c r="Q583" s="64"/>
      <c r="R583" s="64"/>
      <c r="S583" s="64"/>
      <c r="T583" s="65"/>
      <c r="U583" s="64"/>
      <c r="V583" s="64"/>
      <c r="W583" s="64"/>
      <c r="X583" s="64"/>
      <c r="Y583" s="64"/>
      <c r="Z583" s="64"/>
      <c r="AA583" s="64"/>
      <c r="AB583" s="64"/>
      <c r="AC583" s="64"/>
      <c r="AD583" s="64"/>
      <c r="AE583" s="64"/>
      <c r="AF583" s="64"/>
      <c r="AG583" s="64"/>
    </row>
    <row r="584">
      <c r="A584" s="64"/>
      <c r="B584" s="64"/>
      <c r="C584" s="64"/>
      <c r="D584" s="64"/>
      <c r="E584" s="65"/>
      <c r="F584" s="64"/>
      <c r="G584" s="67"/>
      <c r="H584" s="64"/>
      <c r="I584" s="64"/>
      <c r="J584" s="64"/>
      <c r="K584" s="64"/>
      <c r="L584" s="65"/>
      <c r="M584" s="64"/>
      <c r="N584" s="64"/>
      <c r="O584" s="64"/>
      <c r="P584" s="64"/>
      <c r="Q584" s="64"/>
      <c r="R584" s="64"/>
      <c r="S584" s="64"/>
      <c r="T584" s="65"/>
      <c r="U584" s="64"/>
      <c r="V584" s="64"/>
      <c r="W584" s="64"/>
      <c r="X584" s="64"/>
      <c r="Y584" s="64"/>
      <c r="Z584" s="64"/>
      <c r="AA584" s="64"/>
      <c r="AB584" s="64"/>
      <c r="AC584" s="64"/>
      <c r="AD584" s="64"/>
      <c r="AE584" s="64"/>
      <c r="AF584" s="64"/>
      <c r="AG584" s="64"/>
    </row>
    <row r="585">
      <c r="A585" s="64"/>
      <c r="B585" s="64"/>
      <c r="C585" s="64"/>
      <c r="D585" s="64"/>
      <c r="E585" s="65"/>
      <c r="F585" s="64"/>
      <c r="G585" s="67"/>
      <c r="H585" s="64"/>
      <c r="I585" s="64"/>
      <c r="J585" s="64"/>
      <c r="K585" s="64"/>
      <c r="L585" s="65"/>
      <c r="M585" s="64"/>
      <c r="N585" s="64"/>
      <c r="O585" s="64"/>
      <c r="P585" s="64"/>
      <c r="Q585" s="64"/>
      <c r="R585" s="64"/>
      <c r="S585" s="64"/>
      <c r="T585" s="65"/>
      <c r="U585" s="64"/>
      <c r="V585" s="64"/>
      <c r="W585" s="64"/>
      <c r="X585" s="64"/>
      <c r="Y585" s="64"/>
      <c r="Z585" s="64"/>
      <c r="AA585" s="64"/>
      <c r="AB585" s="64"/>
      <c r="AC585" s="64"/>
      <c r="AD585" s="64"/>
      <c r="AE585" s="64"/>
      <c r="AF585" s="64"/>
      <c r="AG585" s="64"/>
    </row>
    <row r="586">
      <c r="A586" s="64"/>
      <c r="B586" s="64"/>
      <c r="C586" s="64"/>
      <c r="D586" s="64"/>
      <c r="E586" s="65"/>
      <c r="F586" s="64"/>
      <c r="G586" s="67"/>
      <c r="H586" s="64"/>
      <c r="I586" s="64"/>
      <c r="J586" s="64"/>
      <c r="K586" s="64"/>
      <c r="L586" s="65"/>
      <c r="M586" s="64"/>
      <c r="N586" s="64"/>
      <c r="O586" s="64"/>
      <c r="P586" s="64"/>
      <c r="Q586" s="64"/>
      <c r="R586" s="64"/>
      <c r="S586" s="64"/>
      <c r="T586" s="65"/>
      <c r="U586" s="64"/>
      <c r="V586" s="64"/>
      <c r="W586" s="64"/>
      <c r="X586" s="64"/>
      <c r="Y586" s="64"/>
      <c r="Z586" s="64"/>
      <c r="AA586" s="64"/>
      <c r="AB586" s="64"/>
      <c r="AC586" s="64"/>
      <c r="AD586" s="64"/>
      <c r="AE586" s="64"/>
      <c r="AF586" s="64"/>
      <c r="AG586" s="64"/>
    </row>
    <row r="587">
      <c r="A587" s="64"/>
      <c r="B587" s="64"/>
      <c r="C587" s="64"/>
      <c r="D587" s="64"/>
      <c r="E587" s="65"/>
      <c r="F587" s="64"/>
      <c r="G587" s="67"/>
      <c r="H587" s="64"/>
      <c r="I587" s="64"/>
      <c r="J587" s="64"/>
      <c r="K587" s="64"/>
      <c r="L587" s="65"/>
      <c r="M587" s="64"/>
      <c r="N587" s="64"/>
      <c r="O587" s="64"/>
      <c r="P587" s="64"/>
      <c r="Q587" s="64"/>
      <c r="R587" s="64"/>
      <c r="S587" s="64"/>
      <c r="T587" s="65"/>
      <c r="U587" s="64"/>
      <c r="V587" s="64"/>
      <c r="W587" s="64"/>
      <c r="X587" s="64"/>
      <c r="Y587" s="64"/>
      <c r="Z587" s="64"/>
      <c r="AA587" s="64"/>
      <c r="AB587" s="64"/>
      <c r="AC587" s="64"/>
      <c r="AD587" s="64"/>
      <c r="AE587" s="64"/>
      <c r="AF587" s="64"/>
      <c r="AG587" s="64"/>
    </row>
    <row r="588">
      <c r="A588" s="64"/>
      <c r="B588" s="64"/>
      <c r="C588" s="64"/>
      <c r="D588" s="64"/>
      <c r="E588" s="65"/>
      <c r="F588" s="64"/>
      <c r="G588" s="67"/>
      <c r="H588" s="64"/>
      <c r="I588" s="64"/>
      <c r="J588" s="64"/>
      <c r="K588" s="64"/>
      <c r="L588" s="65"/>
      <c r="M588" s="64"/>
      <c r="N588" s="64"/>
      <c r="O588" s="64"/>
      <c r="P588" s="64"/>
      <c r="Q588" s="64"/>
      <c r="R588" s="64"/>
      <c r="S588" s="64"/>
      <c r="T588" s="65"/>
      <c r="U588" s="64"/>
      <c r="V588" s="64"/>
      <c r="W588" s="64"/>
      <c r="X588" s="64"/>
      <c r="Y588" s="64"/>
      <c r="Z588" s="64"/>
      <c r="AA588" s="64"/>
      <c r="AB588" s="64"/>
      <c r="AC588" s="64"/>
      <c r="AD588" s="64"/>
      <c r="AE588" s="64"/>
      <c r="AF588" s="64"/>
      <c r="AG588" s="64"/>
    </row>
    <row r="589">
      <c r="A589" s="64"/>
      <c r="B589" s="64"/>
      <c r="C589" s="64"/>
      <c r="D589" s="64"/>
      <c r="E589" s="65"/>
      <c r="F589" s="64"/>
      <c r="G589" s="67"/>
      <c r="H589" s="64"/>
      <c r="I589" s="64"/>
      <c r="J589" s="64"/>
      <c r="K589" s="64"/>
      <c r="L589" s="65"/>
      <c r="M589" s="64"/>
      <c r="N589" s="64"/>
      <c r="O589" s="64"/>
      <c r="P589" s="64"/>
      <c r="Q589" s="64"/>
      <c r="R589" s="64"/>
      <c r="S589" s="64"/>
      <c r="T589" s="65"/>
      <c r="U589" s="64"/>
      <c r="V589" s="64"/>
      <c r="W589" s="64"/>
      <c r="X589" s="64"/>
      <c r="Y589" s="64"/>
      <c r="Z589" s="64"/>
      <c r="AA589" s="64"/>
      <c r="AB589" s="64"/>
      <c r="AC589" s="64"/>
      <c r="AD589" s="64"/>
      <c r="AE589" s="64"/>
      <c r="AF589" s="64"/>
      <c r="AG589" s="64"/>
    </row>
    <row r="590">
      <c r="A590" s="64"/>
      <c r="B590" s="64"/>
      <c r="C590" s="64"/>
      <c r="D590" s="64"/>
      <c r="E590" s="65"/>
      <c r="F590" s="64"/>
      <c r="G590" s="67"/>
      <c r="H590" s="64"/>
      <c r="I590" s="64"/>
      <c r="J590" s="64"/>
      <c r="K590" s="64"/>
      <c r="L590" s="65"/>
      <c r="M590" s="64"/>
      <c r="N590" s="64"/>
      <c r="O590" s="64"/>
      <c r="P590" s="64"/>
      <c r="Q590" s="64"/>
      <c r="R590" s="64"/>
      <c r="S590" s="64"/>
      <c r="T590" s="65"/>
      <c r="U590" s="64"/>
      <c r="V590" s="64"/>
      <c r="W590" s="64"/>
      <c r="X590" s="64"/>
      <c r="Y590" s="64"/>
      <c r="Z590" s="64"/>
      <c r="AA590" s="64"/>
      <c r="AB590" s="64"/>
      <c r="AC590" s="64"/>
      <c r="AD590" s="64"/>
      <c r="AE590" s="64"/>
      <c r="AF590" s="64"/>
      <c r="AG590" s="64"/>
    </row>
    <row r="591">
      <c r="A591" s="64"/>
      <c r="B591" s="64"/>
      <c r="C591" s="64"/>
      <c r="D591" s="64"/>
      <c r="E591" s="65"/>
      <c r="F591" s="64"/>
      <c r="G591" s="67"/>
      <c r="H591" s="64"/>
      <c r="I591" s="64"/>
      <c r="J591" s="64"/>
      <c r="K591" s="64"/>
      <c r="L591" s="65"/>
      <c r="M591" s="64"/>
      <c r="N591" s="64"/>
      <c r="O591" s="64"/>
      <c r="P591" s="64"/>
      <c r="Q591" s="64"/>
      <c r="R591" s="64"/>
      <c r="S591" s="64"/>
      <c r="T591" s="65"/>
      <c r="U591" s="64"/>
      <c r="V591" s="64"/>
      <c r="W591" s="64"/>
      <c r="X591" s="64"/>
      <c r="Y591" s="64"/>
      <c r="Z591" s="64"/>
      <c r="AA591" s="64"/>
      <c r="AB591" s="64"/>
      <c r="AC591" s="64"/>
      <c r="AD591" s="64"/>
      <c r="AE591" s="64"/>
      <c r="AF591" s="64"/>
      <c r="AG591" s="64"/>
    </row>
    <row r="592">
      <c r="A592" s="64"/>
      <c r="B592" s="64"/>
      <c r="C592" s="64"/>
      <c r="D592" s="64"/>
      <c r="E592" s="65"/>
      <c r="F592" s="64"/>
      <c r="G592" s="67"/>
      <c r="H592" s="64"/>
      <c r="I592" s="64"/>
      <c r="J592" s="64"/>
      <c r="K592" s="64"/>
      <c r="L592" s="65"/>
      <c r="M592" s="64"/>
      <c r="N592" s="64"/>
      <c r="O592" s="64"/>
      <c r="P592" s="64"/>
      <c r="Q592" s="64"/>
      <c r="R592" s="64"/>
      <c r="S592" s="64"/>
      <c r="T592" s="65"/>
      <c r="U592" s="64"/>
      <c r="V592" s="64"/>
      <c r="W592" s="64"/>
      <c r="X592" s="64"/>
      <c r="Y592" s="64"/>
      <c r="Z592" s="64"/>
      <c r="AA592" s="64"/>
      <c r="AB592" s="64"/>
      <c r="AC592" s="64"/>
      <c r="AD592" s="64"/>
      <c r="AE592" s="64"/>
      <c r="AF592" s="64"/>
      <c r="AG592" s="64"/>
    </row>
    <row r="593">
      <c r="A593" s="64"/>
      <c r="B593" s="64"/>
      <c r="C593" s="64"/>
      <c r="D593" s="64"/>
      <c r="E593" s="65"/>
      <c r="F593" s="64"/>
      <c r="G593" s="67"/>
      <c r="H593" s="64"/>
      <c r="I593" s="64"/>
      <c r="J593" s="64"/>
      <c r="K593" s="64"/>
      <c r="L593" s="65"/>
      <c r="M593" s="64"/>
      <c r="N593" s="64"/>
      <c r="O593" s="64"/>
      <c r="P593" s="64"/>
      <c r="Q593" s="64"/>
      <c r="R593" s="64"/>
      <c r="S593" s="64"/>
      <c r="T593" s="65"/>
      <c r="U593" s="64"/>
      <c r="V593" s="64"/>
      <c r="W593" s="64"/>
      <c r="X593" s="64"/>
      <c r="Y593" s="64"/>
      <c r="Z593" s="64"/>
      <c r="AA593" s="64"/>
      <c r="AB593" s="64"/>
      <c r="AC593" s="64"/>
      <c r="AD593" s="64"/>
      <c r="AE593" s="64"/>
      <c r="AF593" s="64"/>
      <c r="AG593" s="64"/>
    </row>
    <row r="594">
      <c r="A594" s="64"/>
      <c r="B594" s="64"/>
      <c r="C594" s="64"/>
      <c r="D594" s="64"/>
      <c r="E594" s="65"/>
      <c r="F594" s="64"/>
      <c r="G594" s="67"/>
      <c r="H594" s="64"/>
      <c r="I594" s="64"/>
      <c r="J594" s="64"/>
      <c r="K594" s="64"/>
      <c r="L594" s="65"/>
      <c r="M594" s="64"/>
      <c r="N594" s="64"/>
      <c r="O594" s="64"/>
      <c r="P594" s="64"/>
      <c r="Q594" s="64"/>
      <c r="R594" s="64"/>
      <c r="S594" s="64"/>
      <c r="T594" s="65"/>
      <c r="U594" s="64"/>
      <c r="V594" s="64"/>
      <c r="W594" s="64"/>
      <c r="X594" s="64"/>
      <c r="Y594" s="64"/>
      <c r="Z594" s="64"/>
      <c r="AA594" s="64"/>
      <c r="AB594" s="64"/>
      <c r="AC594" s="64"/>
      <c r="AD594" s="64"/>
      <c r="AE594" s="64"/>
      <c r="AF594" s="64"/>
      <c r="AG594" s="64"/>
    </row>
    <row r="595">
      <c r="A595" s="64"/>
      <c r="B595" s="64"/>
      <c r="C595" s="64"/>
      <c r="D595" s="64"/>
      <c r="E595" s="65"/>
      <c r="F595" s="64"/>
      <c r="G595" s="67"/>
      <c r="H595" s="64"/>
      <c r="I595" s="64"/>
      <c r="J595" s="64"/>
      <c r="K595" s="64"/>
      <c r="L595" s="65"/>
      <c r="M595" s="64"/>
      <c r="N595" s="64"/>
      <c r="O595" s="64"/>
      <c r="P595" s="64"/>
      <c r="Q595" s="64"/>
      <c r="R595" s="64"/>
      <c r="S595" s="64"/>
      <c r="T595" s="65"/>
      <c r="U595" s="64"/>
      <c r="V595" s="64"/>
      <c r="W595" s="64"/>
      <c r="X595" s="64"/>
      <c r="Y595" s="64"/>
      <c r="Z595" s="64"/>
      <c r="AA595" s="64"/>
      <c r="AB595" s="64"/>
      <c r="AC595" s="64"/>
      <c r="AD595" s="64"/>
      <c r="AE595" s="64"/>
      <c r="AF595" s="64"/>
      <c r="AG595" s="64"/>
    </row>
    <row r="596">
      <c r="A596" s="64"/>
      <c r="B596" s="64"/>
      <c r="C596" s="64"/>
      <c r="D596" s="64"/>
      <c r="E596" s="65"/>
      <c r="F596" s="64"/>
      <c r="G596" s="67"/>
      <c r="H596" s="64"/>
      <c r="I596" s="64"/>
      <c r="J596" s="64"/>
      <c r="K596" s="64"/>
      <c r="L596" s="65"/>
      <c r="M596" s="64"/>
      <c r="N596" s="64"/>
      <c r="O596" s="64"/>
      <c r="P596" s="64"/>
      <c r="Q596" s="64"/>
      <c r="R596" s="64"/>
      <c r="S596" s="64"/>
      <c r="T596" s="65"/>
      <c r="U596" s="64"/>
      <c r="V596" s="64"/>
      <c r="W596" s="64"/>
      <c r="X596" s="64"/>
      <c r="Y596" s="64"/>
      <c r="Z596" s="64"/>
      <c r="AA596" s="64"/>
      <c r="AB596" s="64"/>
      <c r="AC596" s="64"/>
      <c r="AD596" s="64"/>
      <c r="AE596" s="64"/>
      <c r="AF596" s="64"/>
      <c r="AG596" s="64"/>
    </row>
    <row r="597">
      <c r="A597" s="64"/>
      <c r="B597" s="64"/>
      <c r="C597" s="64"/>
      <c r="D597" s="64"/>
      <c r="E597" s="65"/>
      <c r="F597" s="64"/>
      <c r="G597" s="67"/>
      <c r="H597" s="64"/>
      <c r="I597" s="64"/>
      <c r="J597" s="64"/>
      <c r="K597" s="64"/>
      <c r="L597" s="65"/>
      <c r="M597" s="64"/>
      <c r="N597" s="64"/>
      <c r="O597" s="64"/>
      <c r="P597" s="64"/>
      <c r="Q597" s="64"/>
      <c r="R597" s="64"/>
      <c r="S597" s="64"/>
      <c r="T597" s="65"/>
      <c r="U597" s="64"/>
      <c r="V597" s="64"/>
      <c r="W597" s="64"/>
      <c r="X597" s="64"/>
      <c r="Y597" s="64"/>
      <c r="Z597" s="64"/>
      <c r="AA597" s="64"/>
      <c r="AB597" s="64"/>
      <c r="AC597" s="64"/>
      <c r="AD597" s="64"/>
      <c r="AE597" s="64"/>
      <c r="AF597" s="64"/>
      <c r="AG597" s="64"/>
    </row>
    <row r="598">
      <c r="A598" s="64"/>
      <c r="B598" s="64"/>
      <c r="C598" s="64"/>
      <c r="D598" s="64"/>
      <c r="E598" s="65"/>
      <c r="F598" s="64"/>
      <c r="G598" s="67"/>
      <c r="H598" s="64"/>
      <c r="I598" s="64"/>
      <c r="J598" s="64"/>
      <c r="K598" s="64"/>
      <c r="L598" s="65"/>
      <c r="M598" s="64"/>
      <c r="N598" s="64"/>
      <c r="O598" s="64"/>
      <c r="P598" s="64"/>
      <c r="Q598" s="64"/>
      <c r="R598" s="64"/>
      <c r="S598" s="64"/>
      <c r="T598" s="65"/>
      <c r="U598" s="64"/>
      <c r="V598" s="64"/>
      <c r="W598" s="64"/>
      <c r="X598" s="64"/>
      <c r="Y598" s="64"/>
      <c r="Z598" s="64"/>
      <c r="AA598" s="64"/>
      <c r="AB598" s="64"/>
      <c r="AC598" s="64"/>
      <c r="AD598" s="64"/>
      <c r="AE598" s="64"/>
      <c r="AF598" s="64"/>
      <c r="AG598" s="64"/>
    </row>
    <row r="599">
      <c r="A599" s="64"/>
      <c r="B599" s="64"/>
      <c r="C599" s="64"/>
      <c r="D599" s="64"/>
      <c r="E599" s="65"/>
      <c r="F599" s="64"/>
      <c r="G599" s="67"/>
      <c r="H599" s="64"/>
      <c r="I599" s="64"/>
      <c r="J599" s="64"/>
      <c r="K599" s="64"/>
      <c r="L599" s="65"/>
      <c r="M599" s="64"/>
      <c r="N599" s="64"/>
      <c r="O599" s="64"/>
      <c r="P599" s="64"/>
      <c r="Q599" s="64"/>
      <c r="R599" s="64"/>
      <c r="S599" s="64"/>
      <c r="T599" s="65"/>
      <c r="U599" s="64"/>
      <c r="V599" s="64"/>
      <c r="W599" s="64"/>
      <c r="X599" s="64"/>
      <c r="Y599" s="64"/>
      <c r="Z599" s="64"/>
      <c r="AA599" s="64"/>
      <c r="AB599" s="64"/>
      <c r="AC599" s="64"/>
      <c r="AD599" s="64"/>
      <c r="AE599" s="64"/>
      <c r="AF599" s="64"/>
      <c r="AG599" s="64"/>
    </row>
    <row r="600">
      <c r="A600" s="64"/>
      <c r="B600" s="64"/>
      <c r="C600" s="64"/>
      <c r="D600" s="64"/>
      <c r="E600" s="65"/>
      <c r="F600" s="64"/>
      <c r="G600" s="67"/>
      <c r="H600" s="64"/>
      <c r="I600" s="64"/>
      <c r="J600" s="64"/>
      <c r="K600" s="64"/>
      <c r="L600" s="65"/>
      <c r="M600" s="64"/>
      <c r="N600" s="64"/>
      <c r="O600" s="64"/>
      <c r="P600" s="64"/>
      <c r="Q600" s="64"/>
      <c r="R600" s="64"/>
      <c r="S600" s="64"/>
      <c r="T600" s="65"/>
      <c r="U600" s="64"/>
      <c r="V600" s="64"/>
      <c r="W600" s="64"/>
      <c r="X600" s="64"/>
      <c r="Y600" s="64"/>
      <c r="Z600" s="64"/>
      <c r="AA600" s="64"/>
      <c r="AB600" s="64"/>
      <c r="AC600" s="64"/>
      <c r="AD600" s="64"/>
      <c r="AE600" s="64"/>
      <c r="AF600" s="64"/>
      <c r="AG600" s="64"/>
    </row>
    <row r="601">
      <c r="A601" s="64"/>
      <c r="B601" s="64"/>
      <c r="C601" s="64"/>
      <c r="D601" s="64"/>
      <c r="E601" s="65"/>
      <c r="F601" s="64"/>
      <c r="G601" s="67"/>
      <c r="H601" s="64"/>
      <c r="I601" s="64"/>
      <c r="J601" s="64"/>
      <c r="K601" s="64"/>
      <c r="L601" s="65"/>
      <c r="M601" s="64"/>
      <c r="N601" s="64"/>
      <c r="O601" s="64"/>
      <c r="P601" s="64"/>
      <c r="Q601" s="64"/>
      <c r="R601" s="64"/>
      <c r="S601" s="64"/>
      <c r="T601" s="65"/>
      <c r="U601" s="64"/>
      <c r="V601" s="64"/>
      <c r="W601" s="64"/>
      <c r="X601" s="64"/>
      <c r="Y601" s="64"/>
      <c r="Z601" s="64"/>
      <c r="AA601" s="64"/>
      <c r="AB601" s="64"/>
      <c r="AC601" s="64"/>
      <c r="AD601" s="64"/>
      <c r="AE601" s="64"/>
      <c r="AF601" s="64"/>
      <c r="AG601" s="64"/>
    </row>
    <row r="602">
      <c r="A602" s="64"/>
      <c r="B602" s="64"/>
      <c r="C602" s="64"/>
      <c r="D602" s="64"/>
      <c r="E602" s="65"/>
      <c r="F602" s="64"/>
      <c r="G602" s="67"/>
      <c r="H602" s="64"/>
      <c r="I602" s="64"/>
      <c r="J602" s="64"/>
      <c r="K602" s="64"/>
      <c r="L602" s="65"/>
      <c r="M602" s="64"/>
      <c r="N602" s="64"/>
      <c r="O602" s="64"/>
      <c r="P602" s="64"/>
      <c r="Q602" s="64"/>
      <c r="R602" s="64"/>
      <c r="S602" s="64"/>
      <c r="T602" s="65"/>
      <c r="U602" s="64"/>
      <c r="V602" s="64"/>
      <c r="W602" s="64"/>
      <c r="X602" s="64"/>
      <c r="Y602" s="64"/>
      <c r="Z602" s="64"/>
      <c r="AA602" s="64"/>
      <c r="AB602" s="64"/>
      <c r="AC602" s="64"/>
      <c r="AD602" s="64"/>
      <c r="AE602" s="64"/>
      <c r="AF602" s="64"/>
      <c r="AG602" s="64"/>
    </row>
    <row r="603">
      <c r="A603" s="64"/>
      <c r="B603" s="64"/>
      <c r="C603" s="64"/>
      <c r="D603" s="64"/>
      <c r="E603" s="65"/>
      <c r="F603" s="64"/>
      <c r="G603" s="67"/>
      <c r="H603" s="64"/>
      <c r="I603" s="64"/>
      <c r="J603" s="64"/>
      <c r="K603" s="64"/>
      <c r="L603" s="65"/>
      <c r="M603" s="64"/>
      <c r="N603" s="64"/>
      <c r="O603" s="64"/>
      <c r="P603" s="64"/>
      <c r="Q603" s="64"/>
      <c r="R603" s="64"/>
      <c r="S603" s="64"/>
      <c r="T603" s="65"/>
      <c r="U603" s="64"/>
      <c r="V603" s="64"/>
      <c r="W603" s="64"/>
      <c r="X603" s="64"/>
      <c r="Y603" s="64"/>
      <c r="Z603" s="64"/>
      <c r="AA603" s="64"/>
      <c r="AB603" s="64"/>
      <c r="AC603" s="64"/>
      <c r="AD603" s="64"/>
      <c r="AE603" s="64"/>
      <c r="AF603" s="64"/>
      <c r="AG603" s="64"/>
    </row>
    <row r="604">
      <c r="A604" s="64"/>
      <c r="B604" s="64"/>
      <c r="C604" s="64"/>
      <c r="D604" s="64"/>
      <c r="E604" s="65"/>
      <c r="F604" s="64"/>
      <c r="G604" s="67"/>
      <c r="H604" s="64"/>
      <c r="I604" s="64"/>
      <c r="J604" s="64"/>
      <c r="K604" s="64"/>
      <c r="L604" s="65"/>
      <c r="M604" s="64"/>
      <c r="N604" s="64"/>
      <c r="O604" s="64"/>
      <c r="P604" s="64"/>
      <c r="Q604" s="64"/>
      <c r="R604" s="64"/>
      <c r="S604" s="64"/>
      <c r="T604" s="65"/>
      <c r="U604" s="64"/>
      <c r="V604" s="64"/>
      <c r="W604" s="64"/>
      <c r="X604" s="64"/>
      <c r="Y604" s="64"/>
      <c r="Z604" s="64"/>
      <c r="AA604" s="64"/>
      <c r="AB604" s="64"/>
      <c r="AC604" s="64"/>
      <c r="AD604" s="64"/>
      <c r="AE604" s="64"/>
      <c r="AF604" s="64"/>
      <c r="AG604" s="64"/>
    </row>
    <row r="605">
      <c r="A605" s="64"/>
      <c r="B605" s="64"/>
      <c r="C605" s="64"/>
      <c r="D605" s="64"/>
      <c r="E605" s="65"/>
      <c r="F605" s="64"/>
      <c r="G605" s="67"/>
      <c r="H605" s="64"/>
      <c r="I605" s="64"/>
      <c r="J605" s="64"/>
      <c r="K605" s="64"/>
      <c r="L605" s="65"/>
      <c r="M605" s="64"/>
      <c r="N605" s="64"/>
      <c r="O605" s="64"/>
      <c r="P605" s="64"/>
      <c r="Q605" s="64"/>
      <c r="R605" s="64"/>
      <c r="S605" s="64"/>
      <c r="T605" s="65"/>
      <c r="U605" s="64"/>
      <c r="V605" s="64"/>
      <c r="W605" s="64"/>
      <c r="X605" s="64"/>
      <c r="Y605" s="64"/>
      <c r="Z605" s="64"/>
      <c r="AA605" s="64"/>
      <c r="AB605" s="64"/>
      <c r="AC605" s="64"/>
      <c r="AD605" s="64"/>
      <c r="AE605" s="64"/>
      <c r="AF605" s="64"/>
      <c r="AG605" s="64"/>
    </row>
    <row r="606">
      <c r="A606" s="64"/>
      <c r="B606" s="64"/>
      <c r="C606" s="64"/>
      <c r="D606" s="64"/>
      <c r="E606" s="65"/>
      <c r="F606" s="64"/>
      <c r="G606" s="67"/>
      <c r="H606" s="64"/>
      <c r="I606" s="64"/>
      <c r="J606" s="64"/>
      <c r="K606" s="64"/>
      <c r="L606" s="65"/>
      <c r="M606" s="64"/>
      <c r="N606" s="64"/>
      <c r="O606" s="64"/>
      <c r="P606" s="64"/>
      <c r="Q606" s="64"/>
      <c r="R606" s="64"/>
      <c r="S606" s="64"/>
      <c r="T606" s="65"/>
      <c r="U606" s="64"/>
      <c r="V606" s="64"/>
      <c r="W606" s="64"/>
      <c r="X606" s="64"/>
      <c r="Y606" s="64"/>
      <c r="Z606" s="64"/>
      <c r="AA606" s="64"/>
      <c r="AB606" s="64"/>
      <c r="AC606" s="64"/>
      <c r="AD606" s="64"/>
      <c r="AE606" s="64"/>
      <c r="AF606" s="64"/>
      <c r="AG606" s="64"/>
    </row>
    <row r="607">
      <c r="A607" s="64"/>
      <c r="B607" s="64"/>
      <c r="C607" s="64"/>
      <c r="D607" s="64"/>
      <c r="E607" s="65"/>
      <c r="F607" s="64"/>
      <c r="G607" s="67"/>
      <c r="H607" s="64"/>
      <c r="I607" s="64"/>
      <c r="J607" s="64"/>
      <c r="K607" s="64"/>
      <c r="L607" s="65"/>
      <c r="M607" s="64"/>
      <c r="N607" s="64"/>
      <c r="O607" s="64"/>
      <c r="P607" s="64"/>
      <c r="Q607" s="64"/>
      <c r="R607" s="64"/>
      <c r="S607" s="64"/>
      <c r="T607" s="65"/>
      <c r="U607" s="64"/>
      <c r="V607" s="64"/>
      <c r="W607" s="64"/>
      <c r="X607" s="64"/>
      <c r="Y607" s="64"/>
      <c r="Z607" s="64"/>
      <c r="AA607" s="64"/>
      <c r="AB607" s="64"/>
      <c r="AC607" s="64"/>
      <c r="AD607" s="64"/>
      <c r="AE607" s="64"/>
      <c r="AF607" s="64"/>
      <c r="AG607" s="64"/>
    </row>
    <row r="608">
      <c r="A608" s="64"/>
      <c r="B608" s="64"/>
      <c r="C608" s="64"/>
      <c r="D608" s="64"/>
      <c r="E608" s="65"/>
      <c r="F608" s="64"/>
      <c r="G608" s="67"/>
      <c r="H608" s="64"/>
      <c r="I608" s="64"/>
      <c r="J608" s="64"/>
      <c r="K608" s="64"/>
      <c r="L608" s="65"/>
      <c r="M608" s="64"/>
      <c r="N608" s="64"/>
      <c r="O608" s="64"/>
      <c r="P608" s="64"/>
      <c r="Q608" s="64"/>
      <c r="R608" s="64"/>
      <c r="S608" s="64"/>
      <c r="T608" s="65"/>
      <c r="U608" s="64"/>
      <c r="V608" s="64"/>
      <c r="W608" s="64"/>
      <c r="X608" s="64"/>
      <c r="Y608" s="64"/>
      <c r="Z608" s="64"/>
      <c r="AA608" s="64"/>
      <c r="AB608" s="64"/>
      <c r="AC608" s="64"/>
      <c r="AD608" s="64"/>
      <c r="AE608" s="64"/>
      <c r="AF608" s="64"/>
      <c r="AG608" s="64"/>
    </row>
    <row r="609">
      <c r="A609" s="64"/>
      <c r="B609" s="64"/>
      <c r="C609" s="64"/>
      <c r="D609" s="64"/>
      <c r="E609" s="65"/>
      <c r="F609" s="64"/>
      <c r="G609" s="67"/>
      <c r="H609" s="64"/>
      <c r="I609" s="64"/>
      <c r="J609" s="64"/>
      <c r="K609" s="64"/>
      <c r="L609" s="65"/>
      <c r="M609" s="64"/>
      <c r="N609" s="64"/>
      <c r="O609" s="64"/>
      <c r="P609" s="64"/>
      <c r="Q609" s="64"/>
      <c r="R609" s="64"/>
      <c r="S609" s="64"/>
      <c r="T609" s="65"/>
      <c r="U609" s="64"/>
      <c r="V609" s="64"/>
      <c r="W609" s="64"/>
      <c r="X609" s="64"/>
      <c r="Y609" s="64"/>
      <c r="Z609" s="64"/>
      <c r="AA609" s="64"/>
      <c r="AB609" s="64"/>
      <c r="AC609" s="64"/>
      <c r="AD609" s="64"/>
      <c r="AE609" s="64"/>
      <c r="AF609" s="64"/>
      <c r="AG609" s="64"/>
    </row>
    <row r="610">
      <c r="A610" s="64"/>
      <c r="B610" s="64"/>
      <c r="C610" s="64"/>
      <c r="D610" s="64"/>
      <c r="E610" s="65"/>
      <c r="F610" s="64"/>
      <c r="G610" s="67"/>
      <c r="H610" s="64"/>
      <c r="I610" s="64"/>
      <c r="J610" s="64"/>
      <c r="K610" s="64"/>
      <c r="L610" s="65"/>
      <c r="M610" s="64"/>
      <c r="N610" s="64"/>
      <c r="O610" s="64"/>
      <c r="P610" s="64"/>
      <c r="Q610" s="64"/>
      <c r="R610" s="64"/>
      <c r="S610" s="64"/>
      <c r="T610" s="65"/>
      <c r="U610" s="64"/>
      <c r="V610" s="64"/>
      <c r="W610" s="64"/>
      <c r="X610" s="64"/>
      <c r="Y610" s="64"/>
      <c r="Z610" s="64"/>
      <c r="AA610" s="64"/>
      <c r="AB610" s="64"/>
      <c r="AC610" s="64"/>
      <c r="AD610" s="64"/>
      <c r="AE610" s="64"/>
      <c r="AF610" s="64"/>
      <c r="AG610" s="64"/>
    </row>
    <row r="611">
      <c r="A611" s="64"/>
      <c r="B611" s="64"/>
      <c r="C611" s="64"/>
      <c r="D611" s="64"/>
      <c r="E611" s="65"/>
      <c r="F611" s="64"/>
      <c r="G611" s="67"/>
      <c r="H611" s="64"/>
      <c r="I611" s="64"/>
      <c r="J611" s="64"/>
      <c r="K611" s="64"/>
      <c r="L611" s="65"/>
      <c r="M611" s="64"/>
      <c r="N611" s="64"/>
      <c r="O611" s="64"/>
      <c r="P611" s="64"/>
      <c r="Q611" s="64"/>
      <c r="R611" s="64"/>
      <c r="S611" s="64"/>
      <c r="T611" s="65"/>
      <c r="U611" s="64"/>
      <c r="V611" s="64"/>
      <c r="W611" s="64"/>
      <c r="X611" s="64"/>
      <c r="Y611" s="64"/>
      <c r="Z611" s="64"/>
      <c r="AA611" s="64"/>
      <c r="AB611" s="64"/>
      <c r="AC611" s="64"/>
      <c r="AD611" s="64"/>
      <c r="AE611" s="64"/>
      <c r="AF611" s="64"/>
      <c r="AG611" s="64"/>
    </row>
    <row r="612">
      <c r="A612" s="64"/>
      <c r="B612" s="64"/>
      <c r="C612" s="64"/>
      <c r="D612" s="64"/>
      <c r="E612" s="65"/>
      <c r="F612" s="64"/>
      <c r="G612" s="67"/>
      <c r="H612" s="64"/>
      <c r="I612" s="64"/>
      <c r="J612" s="64"/>
      <c r="K612" s="64"/>
      <c r="L612" s="65"/>
      <c r="M612" s="64"/>
      <c r="N612" s="64"/>
      <c r="O612" s="64"/>
      <c r="P612" s="64"/>
      <c r="Q612" s="64"/>
      <c r="R612" s="64"/>
      <c r="S612" s="64"/>
      <c r="T612" s="65"/>
      <c r="U612" s="64"/>
      <c r="V612" s="64"/>
      <c r="W612" s="64"/>
      <c r="X612" s="64"/>
      <c r="Y612" s="64"/>
      <c r="Z612" s="64"/>
      <c r="AA612" s="64"/>
      <c r="AB612" s="64"/>
      <c r="AC612" s="64"/>
      <c r="AD612" s="64"/>
      <c r="AE612" s="64"/>
      <c r="AF612" s="64"/>
      <c r="AG612" s="64"/>
    </row>
    <row r="613">
      <c r="A613" s="64"/>
      <c r="B613" s="64"/>
      <c r="C613" s="64"/>
      <c r="D613" s="64"/>
      <c r="E613" s="65"/>
      <c r="F613" s="64"/>
      <c r="G613" s="67"/>
      <c r="H613" s="64"/>
      <c r="I613" s="64"/>
      <c r="J613" s="64"/>
      <c r="K613" s="64"/>
      <c r="L613" s="65"/>
      <c r="M613" s="64"/>
      <c r="N613" s="64"/>
      <c r="O613" s="64"/>
      <c r="P613" s="64"/>
      <c r="Q613" s="64"/>
      <c r="R613" s="64"/>
      <c r="S613" s="64"/>
      <c r="T613" s="65"/>
      <c r="U613" s="64"/>
      <c r="V613" s="64"/>
      <c r="W613" s="64"/>
      <c r="X613" s="64"/>
      <c r="Y613" s="64"/>
      <c r="Z613" s="64"/>
      <c r="AA613" s="64"/>
      <c r="AB613" s="64"/>
      <c r="AC613" s="64"/>
      <c r="AD613" s="64"/>
      <c r="AE613" s="64"/>
      <c r="AF613" s="64"/>
      <c r="AG613" s="64"/>
    </row>
    <row r="614">
      <c r="A614" s="64"/>
      <c r="B614" s="64"/>
      <c r="C614" s="64"/>
      <c r="D614" s="64"/>
      <c r="E614" s="65"/>
      <c r="F614" s="64"/>
      <c r="G614" s="67"/>
      <c r="H614" s="64"/>
      <c r="I614" s="64"/>
      <c r="J614" s="64"/>
      <c r="K614" s="64"/>
      <c r="L614" s="65"/>
      <c r="M614" s="64"/>
      <c r="N614" s="64"/>
      <c r="O614" s="64"/>
      <c r="P614" s="64"/>
      <c r="Q614" s="64"/>
      <c r="R614" s="64"/>
      <c r="S614" s="64"/>
      <c r="T614" s="65"/>
      <c r="U614" s="64"/>
      <c r="V614" s="64"/>
      <c r="W614" s="64"/>
      <c r="X614" s="64"/>
      <c r="Y614" s="64"/>
      <c r="Z614" s="64"/>
      <c r="AA614" s="64"/>
      <c r="AB614" s="64"/>
      <c r="AC614" s="64"/>
      <c r="AD614" s="64"/>
      <c r="AE614" s="64"/>
      <c r="AF614" s="64"/>
      <c r="AG614" s="64"/>
    </row>
    <row r="615">
      <c r="A615" s="64"/>
      <c r="B615" s="64"/>
      <c r="C615" s="64"/>
      <c r="D615" s="64"/>
      <c r="E615" s="65"/>
      <c r="F615" s="64"/>
      <c r="G615" s="67"/>
      <c r="H615" s="64"/>
      <c r="I615" s="64"/>
      <c r="J615" s="64"/>
      <c r="K615" s="64"/>
      <c r="L615" s="65"/>
      <c r="M615" s="64"/>
      <c r="N615" s="64"/>
      <c r="O615" s="64"/>
      <c r="P615" s="64"/>
      <c r="Q615" s="64"/>
      <c r="R615" s="64"/>
      <c r="S615" s="64"/>
      <c r="T615" s="65"/>
      <c r="U615" s="64"/>
      <c r="V615" s="64"/>
      <c r="W615" s="64"/>
      <c r="X615" s="64"/>
      <c r="Y615" s="64"/>
      <c r="Z615" s="64"/>
      <c r="AA615" s="64"/>
      <c r="AB615" s="64"/>
      <c r="AC615" s="64"/>
      <c r="AD615" s="64"/>
      <c r="AE615" s="64"/>
      <c r="AF615" s="64"/>
      <c r="AG615" s="64"/>
    </row>
    <row r="616">
      <c r="A616" s="64"/>
      <c r="B616" s="64"/>
      <c r="C616" s="64"/>
      <c r="D616" s="64"/>
      <c r="E616" s="65"/>
      <c r="F616" s="64"/>
      <c r="G616" s="67"/>
      <c r="H616" s="64"/>
      <c r="I616" s="64"/>
      <c r="J616" s="64"/>
      <c r="K616" s="64"/>
      <c r="L616" s="65"/>
      <c r="M616" s="64"/>
      <c r="N616" s="64"/>
      <c r="O616" s="64"/>
      <c r="P616" s="64"/>
      <c r="Q616" s="64"/>
      <c r="R616" s="64"/>
      <c r="S616" s="64"/>
      <c r="T616" s="65"/>
      <c r="U616" s="64"/>
      <c r="V616" s="64"/>
      <c r="W616" s="64"/>
      <c r="X616" s="64"/>
      <c r="Y616" s="64"/>
      <c r="Z616" s="64"/>
      <c r="AA616" s="64"/>
      <c r="AB616" s="64"/>
      <c r="AC616" s="64"/>
      <c r="AD616" s="64"/>
      <c r="AE616" s="64"/>
      <c r="AF616" s="64"/>
      <c r="AG616" s="64"/>
    </row>
    <row r="617">
      <c r="A617" s="64"/>
      <c r="B617" s="64"/>
      <c r="C617" s="64"/>
      <c r="D617" s="64"/>
      <c r="E617" s="65"/>
      <c r="F617" s="64"/>
      <c r="G617" s="67"/>
      <c r="H617" s="64"/>
      <c r="I617" s="64"/>
      <c r="J617" s="64"/>
      <c r="K617" s="64"/>
      <c r="L617" s="65"/>
      <c r="M617" s="64"/>
      <c r="N617" s="64"/>
      <c r="O617" s="64"/>
      <c r="P617" s="64"/>
      <c r="Q617" s="64"/>
      <c r="R617" s="64"/>
      <c r="S617" s="64"/>
      <c r="T617" s="65"/>
      <c r="U617" s="64"/>
      <c r="V617" s="64"/>
      <c r="W617" s="64"/>
      <c r="X617" s="64"/>
      <c r="Y617" s="64"/>
      <c r="Z617" s="64"/>
      <c r="AA617" s="64"/>
      <c r="AB617" s="64"/>
      <c r="AC617" s="64"/>
      <c r="AD617" s="64"/>
      <c r="AE617" s="64"/>
      <c r="AF617" s="64"/>
      <c r="AG617" s="64"/>
    </row>
    <row r="618">
      <c r="A618" s="64"/>
      <c r="B618" s="64"/>
      <c r="C618" s="64"/>
      <c r="D618" s="64"/>
      <c r="E618" s="65"/>
      <c r="F618" s="64"/>
      <c r="G618" s="67"/>
      <c r="H618" s="64"/>
      <c r="I618" s="64"/>
      <c r="J618" s="64"/>
      <c r="K618" s="64"/>
      <c r="L618" s="65"/>
      <c r="M618" s="64"/>
      <c r="N618" s="64"/>
      <c r="O618" s="64"/>
      <c r="P618" s="64"/>
      <c r="Q618" s="64"/>
      <c r="R618" s="64"/>
      <c r="S618" s="64"/>
      <c r="T618" s="65"/>
      <c r="U618" s="64"/>
      <c r="V618" s="64"/>
      <c r="W618" s="64"/>
      <c r="X618" s="64"/>
      <c r="Y618" s="64"/>
      <c r="Z618" s="64"/>
      <c r="AA618" s="64"/>
      <c r="AB618" s="64"/>
      <c r="AC618" s="64"/>
      <c r="AD618" s="64"/>
      <c r="AE618" s="64"/>
      <c r="AF618" s="64"/>
      <c r="AG618" s="64"/>
    </row>
    <row r="619">
      <c r="A619" s="64"/>
      <c r="B619" s="64"/>
      <c r="C619" s="64"/>
      <c r="D619" s="64"/>
      <c r="E619" s="65"/>
      <c r="F619" s="64"/>
      <c r="G619" s="67"/>
      <c r="H619" s="64"/>
      <c r="I619" s="64"/>
      <c r="J619" s="64"/>
      <c r="K619" s="64"/>
      <c r="L619" s="65"/>
      <c r="M619" s="64"/>
      <c r="N619" s="64"/>
      <c r="O619" s="64"/>
      <c r="P619" s="64"/>
      <c r="Q619" s="64"/>
      <c r="R619" s="64"/>
      <c r="S619" s="64"/>
      <c r="T619" s="65"/>
      <c r="U619" s="64"/>
      <c r="V619" s="64"/>
      <c r="W619" s="64"/>
      <c r="X619" s="64"/>
      <c r="Y619" s="64"/>
      <c r="Z619" s="64"/>
      <c r="AA619" s="64"/>
      <c r="AB619" s="64"/>
      <c r="AC619" s="64"/>
      <c r="AD619" s="64"/>
      <c r="AE619" s="64"/>
      <c r="AF619" s="64"/>
      <c r="AG619" s="64"/>
    </row>
    <row r="620">
      <c r="A620" s="64"/>
      <c r="B620" s="64"/>
      <c r="C620" s="64"/>
      <c r="D620" s="64"/>
      <c r="E620" s="65"/>
      <c r="F620" s="64"/>
      <c r="G620" s="67"/>
      <c r="H620" s="64"/>
      <c r="I620" s="64"/>
      <c r="J620" s="64"/>
      <c r="K620" s="64"/>
      <c r="L620" s="65"/>
      <c r="M620" s="64"/>
      <c r="N620" s="64"/>
      <c r="O620" s="64"/>
      <c r="P620" s="64"/>
      <c r="Q620" s="64"/>
      <c r="R620" s="64"/>
      <c r="S620" s="64"/>
      <c r="T620" s="65"/>
      <c r="U620" s="64"/>
      <c r="V620" s="64"/>
      <c r="W620" s="64"/>
      <c r="X620" s="64"/>
      <c r="Y620" s="64"/>
      <c r="Z620" s="64"/>
      <c r="AA620" s="64"/>
      <c r="AB620" s="64"/>
      <c r="AC620" s="64"/>
      <c r="AD620" s="64"/>
      <c r="AE620" s="64"/>
      <c r="AF620" s="64"/>
      <c r="AG620" s="64"/>
    </row>
    <row r="621">
      <c r="A621" s="64"/>
      <c r="B621" s="64"/>
      <c r="C621" s="64"/>
      <c r="D621" s="64"/>
      <c r="E621" s="65"/>
      <c r="F621" s="64"/>
      <c r="G621" s="67"/>
      <c r="H621" s="64"/>
      <c r="I621" s="64"/>
      <c r="J621" s="64"/>
      <c r="K621" s="64"/>
      <c r="L621" s="65"/>
      <c r="M621" s="64"/>
      <c r="N621" s="64"/>
      <c r="O621" s="64"/>
      <c r="P621" s="64"/>
      <c r="Q621" s="64"/>
      <c r="R621" s="64"/>
      <c r="S621" s="64"/>
      <c r="T621" s="65"/>
      <c r="U621" s="64"/>
      <c r="V621" s="64"/>
      <c r="W621" s="64"/>
      <c r="X621" s="64"/>
      <c r="Y621" s="64"/>
      <c r="Z621" s="64"/>
      <c r="AA621" s="64"/>
      <c r="AB621" s="64"/>
      <c r="AC621" s="64"/>
      <c r="AD621" s="64"/>
      <c r="AE621" s="64"/>
      <c r="AF621" s="64"/>
      <c r="AG621" s="64"/>
    </row>
    <row r="622">
      <c r="A622" s="64"/>
      <c r="B622" s="64"/>
      <c r="C622" s="64"/>
      <c r="D622" s="64"/>
      <c r="E622" s="65"/>
      <c r="F622" s="64"/>
      <c r="G622" s="67"/>
      <c r="H622" s="64"/>
      <c r="I622" s="64"/>
      <c r="J622" s="64"/>
      <c r="K622" s="64"/>
      <c r="L622" s="65"/>
      <c r="M622" s="64"/>
      <c r="N622" s="64"/>
      <c r="O622" s="64"/>
      <c r="P622" s="64"/>
      <c r="Q622" s="64"/>
      <c r="R622" s="64"/>
      <c r="S622" s="64"/>
      <c r="T622" s="65"/>
      <c r="U622" s="64"/>
      <c r="V622" s="64"/>
      <c r="W622" s="64"/>
      <c r="X622" s="64"/>
      <c r="Y622" s="64"/>
      <c r="Z622" s="64"/>
      <c r="AA622" s="64"/>
      <c r="AB622" s="64"/>
      <c r="AC622" s="64"/>
      <c r="AD622" s="64"/>
      <c r="AE622" s="64"/>
      <c r="AF622" s="64"/>
      <c r="AG622" s="64"/>
    </row>
    <row r="623">
      <c r="A623" s="64"/>
      <c r="B623" s="64"/>
      <c r="C623" s="64"/>
      <c r="D623" s="64"/>
      <c r="E623" s="65"/>
      <c r="F623" s="64"/>
      <c r="G623" s="67"/>
      <c r="H623" s="64"/>
      <c r="I623" s="64"/>
      <c r="J623" s="64"/>
      <c r="K623" s="64"/>
      <c r="L623" s="65"/>
      <c r="M623" s="64"/>
      <c r="N623" s="64"/>
      <c r="O623" s="64"/>
      <c r="P623" s="64"/>
      <c r="Q623" s="64"/>
      <c r="R623" s="64"/>
      <c r="S623" s="64"/>
      <c r="T623" s="65"/>
      <c r="U623" s="64"/>
      <c r="V623" s="64"/>
      <c r="W623" s="64"/>
      <c r="X623" s="64"/>
      <c r="Y623" s="64"/>
      <c r="Z623" s="64"/>
      <c r="AA623" s="64"/>
      <c r="AB623" s="64"/>
      <c r="AC623" s="64"/>
      <c r="AD623" s="64"/>
      <c r="AE623" s="64"/>
      <c r="AF623" s="64"/>
      <c r="AG623" s="64"/>
    </row>
    <row r="624">
      <c r="A624" s="64"/>
      <c r="B624" s="64"/>
      <c r="C624" s="64"/>
      <c r="D624" s="64"/>
      <c r="E624" s="65"/>
      <c r="F624" s="64"/>
      <c r="G624" s="67"/>
      <c r="H624" s="64"/>
      <c r="I624" s="64"/>
      <c r="J624" s="64"/>
      <c r="K624" s="64"/>
      <c r="L624" s="65"/>
      <c r="M624" s="64"/>
      <c r="N624" s="64"/>
      <c r="O624" s="64"/>
      <c r="P624" s="64"/>
      <c r="Q624" s="64"/>
      <c r="R624" s="64"/>
      <c r="S624" s="64"/>
      <c r="T624" s="65"/>
      <c r="U624" s="64"/>
      <c r="V624" s="64"/>
      <c r="W624" s="64"/>
      <c r="X624" s="64"/>
      <c r="Y624" s="64"/>
      <c r="Z624" s="64"/>
      <c r="AA624" s="64"/>
      <c r="AB624" s="64"/>
      <c r="AC624" s="64"/>
      <c r="AD624" s="64"/>
      <c r="AE624" s="64"/>
      <c r="AF624" s="64"/>
      <c r="AG624" s="64"/>
    </row>
    <row r="625">
      <c r="A625" s="64"/>
      <c r="B625" s="64"/>
      <c r="C625" s="64"/>
      <c r="D625" s="64"/>
      <c r="E625" s="65"/>
      <c r="F625" s="64"/>
      <c r="G625" s="67"/>
      <c r="H625" s="64"/>
      <c r="I625" s="64"/>
      <c r="J625" s="64"/>
      <c r="K625" s="64"/>
      <c r="L625" s="65"/>
      <c r="M625" s="64"/>
      <c r="N625" s="64"/>
      <c r="O625" s="64"/>
      <c r="P625" s="64"/>
      <c r="Q625" s="64"/>
      <c r="R625" s="64"/>
      <c r="S625" s="64"/>
      <c r="T625" s="65"/>
      <c r="U625" s="64"/>
      <c r="V625" s="64"/>
      <c r="W625" s="64"/>
      <c r="X625" s="64"/>
      <c r="Y625" s="64"/>
      <c r="Z625" s="64"/>
      <c r="AA625" s="64"/>
      <c r="AB625" s="64"/>
      <c r="AC625" s="64"/>
      <c r="AD625" s="64"/>
      <c r="AE625" s="64"/>
      <c r="AF625" s="64"/>
      <c r="AG625" s="64"/>
    </row>
    <row r="626">
      <c r="A626" s="64"/>
      <c r="B626" s="64"/>
      <c r="C626" s="64"/>
      <c r="D626" s="64"/>
      <c r="E626" s="65"/>
      <c r="F626" s="64"/>
      <c r="G626" s="67"/>
      <c r="H626" s="64"/>
      <c r="I626" s="64"/>
      <c r="J626" s="64"/>
      <c r="K626" s="64"/>
      <c r="L626" s="65"/>
      <c r="M626" s="64"/>
      <c r="N626" s="64"/>
      <c r="O626" s="64"/>
      <c r="P626" s="64"/>
      <c r="Q626" s="64"/>
      <c r="R626" s="64"/>
      <c r="S626" s="64"/>
      <c r="T626" s="65"/>
      <c r="U626" s="64"/>
      <c r="V626" s="64"/>
      <c r="W626" s="64"/>
      <c r="X626" s="64"/>
      <c r="Y626" s="64"/>
      <c r="Z626" s="64"/>
      <c r="AA626" s="64"/>
      <c r="AB626" s="64"/>
      <c r="AC626" s="64"/>
      <c r="AD626" s="64"/>
      <c r="AE626" s="64"/>
      <c r="AF626" s="64"/>
      <c r="AG626" s="64"/>
    </row>
    <row r="627">
      <c r="A627" s="64"/>
      <c r="B627" s="64"/>
      <c r="C627" s="64"/>
      <c r="D627" s="64"/>
      <c r="E627" s="65"/>
      <c r="F627" s="64"/>
      <c r="G627" s="67"/>
      <c r="H627" s="64"/>
      <c r="I627" s="64"/>
      <c r="J627" s="64"/>
      <c r="K627" s="64"/>
      <c r="L627" s="65"/>
      <c r="M627" s="64"/>
      <c r="N627" s="64"/>
      <c r="O627" s="64"/>
      <c r="P627" s="64"/>
      <c r="Q627" s="64"/>
      <c r="R627" s="64"/>
      <c r="S627" s="64"/>
      <c r="T627" s="65"/>
      <c r="U627" s="64"/>
      <c r="V627" s="64"/>
      <c r="W627" s="64"/>
      <c r="X627" s="64"/>
      <c r="Y627" s="64"/>
      <c r="Z627" s="64"/>
      <c r="AA627" s="64"/>
      <c r="AB627" s="64"/>
      <c r="AC627" s="64"/>
      <c r="AD627" s="64"/>
      <c r="AE627" s="64"/>
      <c r="AF627" s="64"/>
      <c r="AG627" s="64"/>
    </row>
    <row r="628">
      <c r="A628" s="64"/>
      <c r="B628" s="64"/>
      <c r="C628" s="64"/>
      <c r="D628" s="64"/>
      <c r="E628" s="65"/>
      <c r="F628" s="64"/>
      <c r="G628" s="67"/>
      <c r="H628" s="64"/>
      <c r="I628" s="64"/>
      <c r="J628" s="64"/>
      <c r="K628" s="64"/>
      <c r="L628" s="65"/>
      <c r="M628" s="64"/>
      <c r="N628" s="64"/>
      <c r="O628" s="64"/>
      <c r="P628" s="64"/>
      <c r="Q628" s="64"/>
      <c r="R628" s="64"/>
      <c r="S628" s="64"/>
      <c r="T628" s="65"/>
      <c r="U628" s="64"/>
      <c r="V628" s="64"/>
      <c r="W628" s="64"/>
      <c r="X628" s="64"/>
      <c r="Y628" s="64"/>
      <c r="Z628" s="64"/>
      <c r="AA628" s="64"/>
      <c r="AB628" s="64"/>
      <c r="AC628" s="64"/>
      <c r="AD628" s="64"/>
      <c r="AE628" s="64"/>
      <c r="AF628" s="64"/>
      <c r="AG628" s="64"/>
    </row>
    <row r="629">
      <c r="A629" s="64"/>
      <c r="B629" s="64"/>
      <c r="C629" s="64"/>
      <c r="D629" s="64"/>
      <c r="E629" s="65"/>
      <c r="F629" s="64"/>
      <c r="G629" s="67"/>
      <c r="H629" s="64"/>
      <c r="I629" s="64"/>
      <c r="J629" s="64"/>
      <c r="K629" s="64"/>
      <c r="L629" s="65"/>
      <c r="M629" s="64"/>
      <c r="N629" s="64"/>
      <c r="O629" s="64"/>
      <c r="P629" s="64"/>
      <c r="Q629" s="64"/>
      <c r="R629" s="64"/>
      <c r="S629" s="64"/>
      <c r="T629" s="65"/>
      <c r="U629" s="64"/>
      <c r="V629" s="64"/>
      <c r="W629" s="64"/>
      <c r="X629" s="64"/>
      <c r="Y629" s="64"/>
      <c r="Z629" s="64"/>
      <c r="AA629" s="64"/>
      <c r="AB629" s="64"/>
      <c r="AC629" s="64"/>
      <c r="AD629" s="64"/>
      <c r="AE629" s="64"/>
      <c r="AF629" s="64"/>
      <c r="AG629" s="64"/>
    </row>
    <row r="630">
      <c r="A630" s="64"/>
      <c r="B630" s="64"/>
      <c r="C630" s="64"/>
      <c r="D630" s="64"/>
      <c r="E630" s="65"/>
      <c r="F630" s="64"/>
      <c r="G630" s="67"/>
      <c r="H630" s="64"/>
      <c r="I630" s="64"/>
      <c r="J630" s="64"/>
      <c r="K630" s="64"/>
      <c r="L630" s="65"/>
      <c r="M630" s="64"/>
      <c r="N630" s="64"/>
      <c r="O630" s="64"/>
      <c r="P630" s="64"/>
      <c r="Q630" s="64"/>
      <c r="R630" s="64"/>
      <c r="S630" s="64"/>
      <c r="T630" s="65"/>
      <c r="U630" s="64"/>
      <c r="V630" s="64"/>
      <c r="W630" s="64"/>
      <c r="X630" s="64"/>
      <c r="Y630" s="64"/>
      <c r="Z630" s="64"/>
      <c r="AA630" s="64"/>
      <c r="AB630" s="64"/>
      <c r="AC630" s="64"/>
      <c r="AD630" s="64"/>
      <c r="AE630" s="64"/>
      <c r="AF630" s="64"/>
      <c r="AG630" s="64"/>
    </row>
    <row r="631">
      <c r="A631" s="64"/>
      <c r="B631" s="64"/>
      <c r="C631" s="64"/>
      <c r="D631" s="64"/>
      <c r="E631" s="65"/>
      <c r="F631" s="64"/>
      <c r="G631" s="67"/>
      <c r="H631" s="64"/>
      <c r="I631" s="64"/>
      <c r="J631" s="64"/>
      <c r="K631" s="64"/>
      <c r="L631" s="65"/>
      <c r="M631" s="64"/>
      <c r="N631" s="64"/>
      <c r="O631" s="64"/>
      <c r="P631" s="64"/>
      <c r="Q631" s="64"/>
      <c r="R631" s="64"/>
      <c r="S631" s="64"/>
      <c r="T631" s="65"/>
      <c r="U631" s="64"/>
      <c r="V631" s="64"/>
      <c r="W631" s="64"/>
      <c r="X631" s="64"/>
      <c r="Y631" s="64"/>
      <c r="Z631" s="64"/>
      <c r="AA631" s="64"/>
      <c r="AB631" s="64"/>
      <c r="AC631" s="64"/>
      <c r="AD631" s="64"/>
      <c r="AE631" s="64"/>
      <c r="AF631" s="64"/>
      <c r="AG631" s="64"/>
    </row>
    <row r="632">
      <c r="A632" s="64"/>
      <c r="B632" s="64"/>
      <c r="C632" s="64"/>
      <c r="D632" s="64"/>
      <c r="E632" s="65"/>
      <c r="F632" s="64"/>
      <c r="G632" s="67"/>
      <c r="H632" s="64"/>
      <c r="I632" s="64"/>
      <c r="J632" s="64"/>
      <c r="K632" s="64"/>
      <c r="L632" s="65"/>
      <c r="M632" s="64"/>
      <c r="N632" s="64"/>
      <c r="O632" s="64"/>
      <c r="P632" s="64"/>
      <c r="Q632" s="64"/>
      <c r="R632" s="64"/>
      <c r="S632" s="64"/>
      <c r="T632" s="65"/>
      <c r="U632" s="64"/>
      <c r="V632" s="64"/>
      <c r="W632" s="64"/>
      <c r="X632" s="64"/>
      <c r="Y632" s="64"/>
      <c r="Z632" s="64"/>
      <c r="AA632" s="64"/>
      <c r="AB632" s="64"/>
      <c r="AC632" s="64"/>
      <c r="AD632" s="64"/>
      <c r="AE632" s="64"/>
      <c r="AF632" s="64"/>
      <c r="AG632" s="64"/>
    </row>
    <row r="633">
      <c r="A633" s="64"/>
      <c r="B633" s="64"/>
      <c r="C633" s="64"/>
      <c r="D633" s="64"/>
      <c r="E633" s="65"/>
      <c r="F633" s="64"/>
      <c r="G633" s="67"/>
      <c r="H633" s="64"/>
      <c r="I633" s="64"/>
      <c r="J633" s="64"/>
      <c r="K633" s="64"/>
      <c r="L633" s="65"/>
      <c r="M633" s="64"/>
      <c r="N633" s="64"/>
      <c r="O633" s="64"/>
      <c r="P633" s="64"/>
      <c r="Q633" s="64"/>
      <c r="R633" s="64"/>
      <c r="S633" s="64"/>
      <c r="T633" s="65"/>
      <c r="U633" s="64"/>
      <c r="V633" s="64"/>
      <c r="W633" s="64"/>
      <c r="X633" s="64"/>
      <c r="Y633" s="64"/>
      <c r="Z633" s="64"/>
      <c r="AA633" s="64"/>
      <c r="AB633" s="64"/>
      <c r="AC633" s="64"/>
      <c r="AD633" s="64"/>
      <c r="AE633" s="64"/>
      <c r="AF633" s="64"/>
      <c r="AG633" s="64"/>
    </row>
    <row r="634">
      <c r="A634" s="64"/>
      <c r="B634" s="64"/>
      <c r="C634" s="64"/>
      <c r="D634" s="64"/>
      <c r="E634" s="65"/>
      <c r="F634" s="64"/>
      <c r="G634" s="67"/>
      <c r="H634" s="64"/>
      <c r="I634" s="64"/>
      <c r="J634" s="64"/>
      <c r="K634" s="64"/>
      <c r="L634" s="65"/>
      <c r="M634" s="64"/>
      <c r="N634" s="64"/>
      <c r="O634" s="64"/>
      <c r="P634" s="64"/>
      <c r="Q634" s="64"/>
      <c r="R634" s="64"/>
      <c r="S634" s="64"/>
      <c r="T634" s="65"/>
      <c r="U634" s="64"/>
      <c r="V634" s="64"/>
      <c r="W634" s="64"/>
      <c r="X634" s="64"/>
      <c r="Y634" s="64"/>
      <c r="Z634" s="64"/>
      <c r="AA634" s="64"/>
      <c r="AB634" s="64"/>
      <c r="AC634" s="64"/>
      <c r="AD634" s="64"/>
      <c r="AE634" s="64"/>
      <c r="AF634" s="64"/>
      <c r="AG634" s="64"/>
    </row>
    <row r="635">
      <c r="A635" s="64"/>
      <c r="B635" s="64"/>
      <c r="C635" s="64"/>
      <c r="D635" s="64"/>
      <c r="E635" s="65"/>
      <c r="F635" s="64"/>
      <c r="G635" s="67"/>
      <c r="H635" s="64"/>
      <c r="I635" s="64"/>
      <c r="J635" s="64"/>
      <c r="K635" s="64"/>
      <c r="L635" s="65"/>
      <c r="M635" s="64"/>
      <c r="N635" s="64"/>
      <c r="O635" s="64"/>
      <c r="P635" s="64"/>
      <c r="Q635" s="64"/>
      <c r="R635" s="64"/>
      <c r="S635" s="64"/>
      <c r="T635" s="65"/>
      <c r="U635" s="64"/>
      <c r="V635" s="64"/>
      <c r="W635" s="64"/>
      <c r="X635" s="64"/>
      <c r="Y635" s="64"/>
      <c r="Z635" s="64"/>
      <c r="AA635" s="64"/>
      <c r="AB635" s="64"/>
      <c r="AC635" s="64"/>
      <c r="AD635" s="64"/>
      <c r="AE635" s="64"/>
      <c r="AF635" s="64"/>
      <c r="AG635" s="64"/>
    </row>
    <row r="636">
      <c r="A636" s="64"/>
      <c r="B636" s="64"/>
      <c r="C636" s="64"/>
      <c r="D636" s="64"/>
      <c r="E636" s="65"/>
      <c r="F636" s="64"/>
      <c r="G636" s="67"/>
      <c r="H636" s="64"/>
      <c r="I636" s="64"/>
      <c r="J636" s="64"/>
      <c r="K636" s="64"/>
      <c r="L636" s="65"/>
      <c r="M636" s="64"/>
      <c r="N636" s="64"/>
      <c r="O636" s="64"/>
      <c r="P636" s="64"/>
      <c r="Q636" s="64"/>
      <c r="R636" s="64"/>
      <c r="S636" s="64"/>
      <c r="T636" s="65"/>
      <c r="U636" s="64"/>
      <c r="V636" s="64"/>
      <c r="W636" s="64"/>
      <c r="X636" s="64"/>
      <c r="Y636" s="64"/>
      <c r="Z636" s="64"/>
      <c r="AA636" s="64"/>
      <c r="AB636" s="64"/>
      <c r="AC636" s="64"/>
      <c r="AD636" s="64"/>
      <c r="AE636" s="64"/>
      <c r="AF636" s="64"/>
      <c r="AG636" s="64"/>
    </row>
    <row r="637">
      <c r="A637" s="64"/>
      <c r="B637" s="64"/>
      <c r="C637" s="64"/>
      <c r="D637" s="64"/>
      <c r="E637" s="65"/>
      <c r="F637" s="64"/>
      <c r="G637" s="67"/>
      <c r="H637" s="64"/>
      <c r="I637" s="64"/>
      <c r="J637" s="64"/>
      <c r="K637" s="64"/>
      <c r="L637" s="65"/>
      <c r="M637" s="64"/>
      <c r="N637" s="64"/>
      <c r="O637" s="64"/>
      <c r="P637" s="64"/>
      <c r="Q637" s="64"/>
      <c r="R637" s="64"/>
      <c r="S637" s="64"/>
      <c r="T637" s="65"/>
      <c r="U637" s="64"/>
      <c r="V637" s="64"/>
      <c r="W637" s="64"/>
      <c r="X637" s="64"/>
      <c r="Y637" s="64"/>
      <c r="Z637" s="64"/>
      <c r="AA637" s="64"/>
      <c r="AB637" s="64"/>
      <c r="AC637" s="64"/>
      <c r="AD637" s="64"/>
      <c r="AE637" s="64"/>
      <c r="AF637" s="64"/>
      <c r="AG637" s="64"/>
    </row>
    <row r="638">
      <c r="A638" s="64"/>
      <c r="B638" s="64"/>
      <c r="C638" s="64"/>
      <c r="D638" s="64"/>
      <c r="E638" s="65"/>
      <c r="F638" s="64"/>
      <c r="G638" s="67"/>
      <c r="H638" s="64"/>
      <c r="I638" s="64"/>
      <c r="J638" s="64"/>
      <c r="K638" s="64"/>
      <c r="L638" s="65"/>
      <c r="M638" s="64"/>
      <c r="N638" s="64"/>
      <c r="O638" s="64"/>
      <c r="P638" s="64"/>
      <c r="Q638" s="64"/>
      <c r="R638" s="64"/>
      <c r="S638" s="64"/>
      <c r="T638" s="65"/>
      <c r="U638" s="64"/>
      <c r="V638" s="64"/>
      <c r="W638" s="64"/>
      <c r="X638" s="64"/>
      <c r="Y638" s="64"/>
      <c r="Z638" s="64"/>
      <c r="AA638" s="64"/>
      <c r="AB638" s="64"/>
      <c r="AC638" s="64"/>
      <c r="AD638" s="64"/>
      <c r="AE638" s="64"/>
      <c r="AF638" s="64"/>
      <c r="AG638" s="64"/>
    </row>
    <row r="639">
      <c r="A639" s="64"/>
      <c r="B639" s="64"/>
      <c r="C639" s="64"/>
      <c r="D639" s="64"/>
      <c r="E639" s="65"/>
      <c r="F639" s="64"/>
      <c r="G639" s="67"/>
      <c r="H639" s="64"/>
      <c r="I639" s="64"/>
      <c r="J639" s="64"/>
      <c r="K639" s="64"/>
      <c r="L639" s="65"/>
      <c r="M639" s="64"/>
      <c r="N639" s="64"/>
      <c r="O639" s="64"/>
      <c r="P639" s="64"/>
      <c r="Q639" s="64"/>
      <c r="R639" s="64"/>
      <c r="S639" s="64"/>
      <c r="T639" s="65"/>
      <c r="U639" s="64"/>
      <c r="V639" s="64"/>
      <c r="W639" s="64"/>
      <c r="X639" s="64"/>
      <c r="Y639" s="64"/>
      <c r="Z639" s="64"/>
      <c r="AA639" s="64"/>
      <c r="AB639" s="64"/>
      <c r="AC639" s="64"/>
      <c r="AD639" s="64"/>
      <c r="AE639" s="64"/>
      <c r="AF639" s="64"/>
      <c r="AG639" s="64"/>
    </row>
    <row r="640">
      <c r="A640" s="64"/>
      <c r="B640" s="64"/>
      <c r="C640" s="64"/>
      <c r="D640" s="64"/>
      <c r="E640" s="65"/>
      <c r="F640" s="64"/>
      <c r="G640" s="67"/>
      <c r="H640" s="64"/>
      <c r="I640" s="64"/>
      <c r="J640" s="64"/>
      <c r="K640" s="64"/>
      <c r="L640" s="65"/>
      <c r="M640" s="64"/>
      <c r="N640" s="64"/>
      <c r="O640" s="64"/>
      <c r="P640" s="64"/>
      <c r="Q640" s="64"/>
      <c r="R640" s="64"/>
      <c r="S640" s="64"/>
      <c r="T640" s="65"/>
      <c r="U640" s="64"/>
      <c r="V640" s="64"/>
      <c r="W640" s="64"/>
      <c r="X640" s="64"/>
      <c r="Y640" s="64"/>
      <c r="Z640" s="64"/>
      <c r="AA640" s="64"/>
      <c r="AB640" s="64"/>
      <c r="AC640" s="64"/>
      <c r="AD640" s="64"/>
      <c r="AE640" s="64"/>
      <c r="AF640" s="64"/>
      <c r="AG640" s="64"/>
    </row>
    <row r="641">
      <c r="A641" s="64"/>
      <c r="B641" s="64"/>
      <c r="C641" s="64"/>
      <c r="D641" s="64"/>
      <c r="E641" s="65"/>
      <c r="F641" s="64"/>
      <c r="G641" s="67"/>
      <c r="H641" s="64"/>
      <c r="I641" s="64"/>
      <c r="J641" s="64"/>
      <c r="K641" s="64"/>
      <c r="L641" s="65"/>
      <c r="M641" s="64"/>
      <c r="N641" s="64"/>
      <c r="O641" s="64"/>
      <c r="P641" s="64"/>
      <c r="Q641" s="64"/>
      <c r="R641" s="64"/>
      <c r="S641" s="64"/>
      <c r="T641" s="65"/>
      <c r="U641" s="64"/>
      <c r="V641" s="64"/>
      <c r="W641" s="64"/>
      <c r="X641" s="64"/>
      <c r="Y641" s="64"/>
      <c r="Z641" s="64"/>
      <c r="AA641" s="64"/>
      <c r="AB641" s="64"/>
      <c r="AC641" s="64"/>
      <c r="AD641" s="64"/>
      <c r="AE641" s="64"/>
      <c r="AF641" s="64"/>
      <c r="AG641" s="64"/>
    </row>
    <row r="642">
      <c r="A642" s="64"/>
      <c r="B642" s="64"/>
      <c r="C642" s="64"/>
      <c r="D642" s="64"/>
      <c r="E642" s="65"/>
      <c r="F642" s="64"/>
      <c r="G642" s="67"/>
      <c r="H642" s="64"/>
      <c r="I642" s="64"/>
      <c r="J642" s="64"/>
      <c r="K642" s="64"/>
      <c r="L642" s="65"/>
      <c r="M642" s="64"/>
      <c r="N642" s="64"/>
      <c r="O642" s="64"/>
      <c r="P642" s="64"/>
      <c r="Q642" s="64"/>
      <c r="R642" s="64"/>
      <c r="S642" s="64"/>
      <c r="T642" s="65"/>
      <c r="U642" s="64"/>
      <c r="V642" s="64"/>
      <c r="W642" s="64"/>
      <c r="X642" s="64"/>
      <c r="Y642" s="64"/>
      <c r="Z642" s="64"/>
      <c r="AA642" s="64"/>
      <c r="AB642" s="64"/>
      <c r="AC642" s="64"/>
      <c r="AD642" s="64"/>
      <c r="AE642" s="64"/>
      <c r="AF642" s="64"/>
      <c r="AG642" s="64"/>
    </row>
    <row r="643">
      <c r="A643" s="64"/>
      <c r="B643" s="64"/>
      <c r="C643" s="64"/>
      <c r="D643" s="64"/>
      <c r="E643" s="65"/>
      <c r="F643" s="64"/>
      <c r="G643" s="67"/>
      <c r="H643" s="64"/>
      <c r="I643" s="64"/>
      <c r="J643" s="64"/>
      <c r="K643" s="64"/>
      <c r="L643" s="65"/>
      <c r="M643" s="64"/>
      <c r="N643" s="64"/>
      <c r="O643" s="64"/>
      <c r="P643" s="64"/>
      <c r="Q643" s="64"/>
      <c r="R643" s="64"/>
      <c r="S643" s="64"/>
      <c r="T643" s="65"/>
      <c r="U643" s="64"/>
      <c r="V643" s="64"/>
      <c r="W643" s="64"/>
      <c r="X643" s="64"/>
      <c r="Y643" s="64"/>
      <c r="Z643" s="64"/>
      <c r="AA643" s="64"/>
      <c r="AB643" s="64"/>
      <c r="AC643" s="64"/>
      <c r="AD643" s="64"/>
      <c r="AE643" s="64"/>
      <c r="AF643" s="64"/>
      <c r="AG643" s="64"/>
    </row>
    <row r="644">
      <c r="A644" s="64"/>
      <c r="B644" s="64"/>
      <c r="C644" s="64"/>
      <c r="D644" s="64"/>
      <c r="E644" s="65"/>
      <c r="F644" s="64"/>
      <c r="G644" s="67"/>
      <c r="H644" s="64"/>
      <c r="I644" s="64"/>
      <c r="J644" s="64"/>
      <c r="K644" s="64"/>
      <c r="L644" s="65"/>
      <c r="M644" s="64"/>
      <c r="N644" s="64"/>
      <c r="O644" s="64"/>
      <c r="P644" s="64"/>
      <c r="Q644" s="64"/>
      <c r="R644" s="64"/>
      <c r="S644" s="64"/>
      <c r="T644" s="65"/>
      <c r="U644" s="64"/>
      <c r="V644" s="64"/>
      <c r="W644" s="64"/>
      <c r="X644" s="64"/>
      <c r="Y644" s="64"/>
      <c r="Z644" s="64"/>
      <c r="AA644" s="64"/>
      <c r="AB644" s="64"/>
      <c r="AC644" s="64"/>
      <c r="AD644" s="64"/>
      <c r="AE644" s="64"/>
      <c r="AF644" s="64"/>
      <c r="AG644" s="64"/>
    </row>
    <row r="645">
      <c r="A645" s="64"/>
      <c r="B645" s="64"/>
      <c r="C645" s="64"/>
      <c r="D645" s="64"/>
      <c r="E645" s="65"/>
      <c r="F645" s="64"/>
      <c r="G645" s="67"/>
      <c r="H645" s="64"/>
      <c r="I645" s="64"/>
      <c r="J645" s="64"/>
      <c r="K645" s="64"/>
      <c r="L645" s="65"/>
      <c r="M645" s="64"/>
      <c r="N645" s="64"/>
      <c r="O645" s="64"/>
      <c r="P645" s="64"/>
      <c r="Q645" s="64"/>
      <c r="R645" s="64"/>
      <c r="S645" s="64"/>
      <c r="T645" s="65"/>
      <c r="U645" s="64"/>
      <c r="V645" s="64"/>
      <c r="W645" s="64"/>
      <c r="X645" s="64"/>
      <c r="Y645" s="64"/>
      <c r="Z645" s="64"/>
      <c r="AA645" s="64"/>
      <c r="AB645" s="64"/>
      <c r="AC645" s="64"/>
      <c r="AD645" s="64"/>
      <c r="AE645" s="64"/>
      <c r="AF645" s="64"/>
      <c r="AG645" s="64"/>
    </row>
    <row r="646">
      <c r="A646" s="64"/>
      <c r="B646" s="64"/>
      <c r="C646" s="64"/>
      <c r="D646" s="64"/>
      <c r="E646" s="65"/>
      <c r="F646" s="64"/>
      <c r="G646" s="67"/>
      <c r="H646" s="64"/>
      <c r="I646" s="64"/>
      <c r="J646" s="64"/>
      <c r="K646" s="64"/>
      <c r="L646" s="65"/>
      <c r="M646" s="64"/>
      <c r="N646" s="64"/>
      <c r="O646" s="64"/>
      <c r="P646" s="64"/>
      <c r="Q646" s="64"/>
      <c r="R646" s="64"/>
      <c r="S646" s="64"/>
      <c r="T646" s="65"/>
      <c r="U646" s="64"/>
      <c r="V646" s="64"/>
      <c r="W646" s="64"/>
      <c r="X646" s="64"/>
      <c r="Y646" s="64"/>
      <c r="Z646" s="64"/>
      <c r="AA646" s="64"/>
      <c r="AB646" s="64"/>
      <c r="AC646" s="64"/>
      <c r="AD646" s="64"/>
      <c r="AE646" s="64"/>
      <c r="AF646" s="64"/>
      <c r="AG646" s="64"/>
    </row>
    <row r="647">
      <c r="A647" s="64"/>
      <c r="B647" s="64"/>
      <c r="C647" s="64"/>
      <c r="D647" s="64"/>
      <c r="E647" s="65"/>
      <c r="F647" s="64"/>
      <c r="G647" s="67"/>
      <c r="H647" s="64"/>
      <c r="I647" s="64"/>
      <c r="J647" s="64"/>
      <c r="K647" s="64"/>
      <c r="L647" s="65"/>
      <c r="M647" s="64"/>
      <c r="N647" s="64"/>
      <c r="O647" s="64"/>
      <c r="P647" s="64"/>
      <c r="Q647" s="64"/>
      <c r="R647" s="64"/>
      <c r="S647" s="64"/>
      <c r="T647" s="65"/>
      <c r="U647" s="64"/>
      <c r="V647" s="64"/>
      <c r="W647" s="64"/>
      <c r="X647" s="64"/>
      <c r="Y647" s="64"/>
      <c r="Z647" s="64"/>
      <c r="AA647" s="64"/>
      <c r="AB647" s="64"/>
      <c r="AC647" s="64"/>
      <c r="AD647" s="64"/>
      <c r="AE647" s="64"/>
      <c r="AF647" s="64"/>
      <c r="AG647" s="64"/>
    </row>
    <row r="648">
      <c r="A648" s="64"/>
      <c r="B648" s="64"/>
      <c r="C648" s="64"/>
      <c r="D648" s="64"/>
      <c r="E648" s="65"/>
      <c r="F648" s="64"/>
      <c r="G648" s="67"/>
      <c r="H648" s="64"/>
      <c r="I648" s="64"/>
      <c r="J648" s="64"/>
      <c r="K648" s="64"/>
      <c r="L648" s="65"/>
      <c r="M648" s="64"/>
      <c r="N648" s="64"/>
      <c r="O648" s="64"/>
      <c r="P648" s="64"/>
      <c r="Q648" s="64"/>
      <c r="R648" s="64"/>
      <c r="S648" s="64"/>
      <c r="T648" s="65"/>
      <c r="U648" s="64"/>
      <c r="V648" s="64"/>
      <c r="W648" s="64"/>
      <c r="X648" s="64"/>
      <c r="Y648" s="64"/>
      <c r="Z648" s="64"/>
      <c r="AA648" s="64"/>
      <c r="AB648" s="64"/>
      <c r="AC648" s="64"/>
      <c r="AD648" s="64"/>
      <c r="AE648" s="64"/>
      <c r="AF648" s="64"/>
      <c r="AG648" s="64"/>
    </row>
    <row r="649">
      <c r="A649" s="64"/>
      <c r="B649" s="64"/>
      <c r="C649" s="64"/>
      <c r="D649" s="64"/>
      <c r="E649" s="65"/>
      <c r="F649" s="64"/>
      <c r="G649" s="67"/>
      <c r="H649" s="64"/>
      <c r="I649" s="64"/>
      <c r="J649" s="64"/>
      <c r="K649" s="64"/>
      <c r="L649" s="65"/>
      <c r="M649" s="64"/>
      <c r="N649" s="64"/>
      <c r="O649" s="64"/>
      <c r="P649" s="64"/>
      <c r="Q649" s="64"/>
      <c r="R649" s="64"/>
      <c r="S649" s="64"/>
      <c r="T649" s="65"/>
      <c r="U649" s="64"/>
      <c r="V649" s="64"/>
      <c r="W649" s="64"/>
      <c r="X649" s="64"/>
      <c r="Y649" s="64"/>
      <c r="Z649" s="64"/>
      <c r="AA649" s="64"/>
      <c r="AB649" s="64"/>
      <c r="AC649" s="64"/>
      <c r="AD649" s="64"/>
      <c r="AE649" s="64"/>
      <c r="AF649" s="64"/>
      <c r="AG649" s="64"/>
    </row>
    <row r="650">
      <c r="A650" s="64"/>
      <c r="B650" s="64"/>
      <c r="C650" s="64"/>
      <c r="D650" s="64"/>
      <c r="E650" s="65"/>
      <c r="F650" s="64"/>
      <c r="G650" s="67"/>
      <c r="H650" s="64"/>
      <c r="I650" s="64"/>
      <c r="J650" s="64"/>
      <c r="K650" s="64"/>
      <c r="L650" s="65"/>
      <c r="M650" s="64"/>
      <c r="N650" s="64"/>
      <c r="O650" s="64"/>
      <c r="P650" s="64"/>
      <c r="Q650" s="64"/>
      <c r="R650" s="64"/>
      <c r="S650" s="64"/>
      <c r="T650" s="65"/>
      <c r="U650" s="64"/>
      <c r="V650" s="64"/>
      <c r="W650" s="64"/>
      <c r="X650" s="64"/>
      <c r="Y650" s="64"/>
      <c r="Z650" s="64"/>
      <c r="AA650" s="64"/>
      <c r="AB650" s="64"/>
      <c r="AC650" s="64"/>
      <c r="AD650" s="64"/>
      <c r="AE650" s="64"/>
      <c r="AF650" s="64"/>
      <c r="AG650" s="64"/>
    </row>
    <row r="651">
      <c r="A651" s="64"/>
      <c r="B651" s="64"/>
      <c r="C651" s="64"/>
      <c r="D651" s="64"/>
      <c r="E651" s="65"/>
      <c r="F651" s="64"/>
      <c r="G651" s="67"/>
      <c r="H651" s="64"/>
      <c r="I651" s="64"/>
      <c r="J651" s="64"/>
      <c r="K651" s="64"/>
      <c r="L651" s="65"/>
      <c r="M651" s="64"/>
      <c r="N651" s="64"/>
      <c r="O651" s="64"/>
      <c r="P651" s="64"/>
      <c r="Q651" s="64"/>
      <c r="R651" s="64"/>
      <c r="S651" s="64"/>
      <c r="T651" s="65"/>
      <c r="U651" s="64"/>
      <c r="V651" s="64"/>
      <c r="W651" s="64"/>
      <c r="X651" s="64"/>
      <c r="Y651" s="64"/>
      <c r="Z651" s="64"/>
      <c r="AA651" s="64"/>
      <c r="AB651" s="64"/>
      <c r="AC651" s="64"/>
      <c r="AD651" s="64"/>
      <c r="AE651" s="64"/>
      <c r="AF651" s="64"/>
      <c r="AG651" s="64"/>
    </row>
    <row r="652">
      <c r="A652" s="64"/>
      <c r="B652" s="64"/>
      <c r="C652" s="64"/>
      <c r="D652" s="64"/>
      <c r="E652" s="65"/>
      <c r="F652" s="64"/>
      <c r="G652" s="67"/>
      <c r="H652" s="64"/>
      <c r="I652" s="64"/>
      <c r="J652" s="64"/>
      <c r="K652" s="64"/>
      <c r="L652" s="65"/>
      <c r="M652" s="64"/>
      <c r="N652" s="64"/>
      <c r="O652" s="64"/>
      <c r="P652" s="64"/>
      <c r="Q652" s="64"/>
      <c r="R652" s="64"/>
      <c r="S652" s="64"/>
      <c r="T652" s="65"/>
      <c r="U652" s="64"/>
      <c r="V652" s="64"/>
      <c r="W652" s="64"/>
      <c r="X652" s="64"/>
      <c r="Y652" s="64"/>
      <c r="Z652" s="64"/>
      <c r="AA652" s="64"/>
      <c r="AB652" s="64"/>
      <c r="AC652" s="64"/>
      <c r="AD652" s="64"/>
      <c r="AE652" s="64"/>
      <c r="AF652" s="64"/>
      <c r="AG652" s="64"/>
    </row>
    <row r="653">
      <c r="A653" s="64"/>
      <c r="B653" s="64"/>
      <c r="C653" s="64"/>
      <c r="D653" s="64"/>
      <c r="E653" s="65"/>
      <c r="F653" s="64"/>
      <c r="G653" s="67"/>
      <c r="H653" s="64"/>
      <c r="I653" s="64"/>
      <c r="J653" s="64"/>
      <c r="K653" s="64"/>
      <c r="L653" s="65"/>
      <c r="M653" s="64"/>
      <c r="N653" s="64"/>
      <c r="O653" s="64"/>
      <c r="P653" s="64"/>
      <c r="Q653" s="64"/>
      <c r="R653" s="64"/>
      <c r="S653" s="64"/>
      <c r="T653" s="65"/>
      <c r="U653" s="64"/>
      <c r="V653" s="64"/>
      <c r="W653" s="64"/>
      <c r="X653" s="64"/>
      <c r="Y653" s="64"/>
      <c r="Z653" s="64"/>
      <c r="AA653" s="64"/>
      <c r="AB653" s="64"/>
      <c r="AC653" s="64"/>
      <c r="AD653" s="64"/>
      <c r="AE653" s="64"/>
      <c r="AF653" s="64"/>
      <c r="AG653" s="64"/>
    </row>
    <row r="654">
      <c r="A654" s="64"/>
      <c r="B654" s="64"/>
      <c r="C654" s="64"/>
      <c r="D654" s="64"/>
      <c r="E654" s="65"/>
      <c r="F654" s="64"/>
      <c r="G654" s="67"/>
      <c r="H654" s="64"/>
      <c r="I654" s="64"/>
      <c r="J654" s="64"/>
      <c r="K654" s="64"/>
      <c r="L654" s="65"/>
      <c r="M654" s="64"/>
      <c r="N654" s="64"/>
      <c r="O654" s="64"/>
      <c r="P654" s="64"/>
      <c r="Q654" s="64"/>
      <c r="R654" s="64"/>
      <c r="S654" s="64"/>
      <c r="T654" s="65"/>
      <c r="U654" s="64"/>
      <c r="V654" s="64"/>
      <c r="W654" s="64"/>
      <c r="X654" s="64"/>
      <c r="Y654" s="64"/>
      <c r="Z654" s="64"/>
      <c r="AA654" s="64"/>
      <c r="AB654" s="64"/>
      <c r="AC654" s="64"/>
      <c r="AD654" s="64"/>
      <c r="AE654" s="64"/>
      <c r="AF654" s="64"/>
      <c r="AG654" s="64"/>
    </row>
    <row r="655">
      <c r="A655" s="64"/>
      <c r="B655" s="64"/>
      <c r="C655" s="64"/>
      <c r="D655" s="64"/>
      <c r="E655" s="65"/>
      <c r="F655" s="64"/>
      <c r="G655" s="67"/>
      <c r="H655" s="64"/>
      <c r="I655" s="64"/>
      <c r="J655" s="64"/>
      <c r="K655" s="64"/>
      <c r="L655" s="65"/>
      <c r="M655" s="64"/>
      <c r="N655" s="64"/>
      <c r="O655" s="64"/>
      <c r="P655" s="64"/>
      <c r="Q655" s="64"/>
      <c r="R655" s="64"/>
      <c r="S655" s="64"/>
      <c r="T655" s="65"/>
      <c r="U655" s="64"/>
      <c r="V655" s="64"/>
      <c r="W655" s="64"/>
      <c r="X655" s="64"/>
      <c r="Y655" s="64"/>
      <c r="Z655" s="64"/>
      <c r="AA655" s="64"/>
      <c r="AB655" s="64"/>
      <c r="AC655" s="64"/>
      <c r="AD655" s="64"/>
      <c r="AE655" s="64"/>
      <c r="AF655" s="64"/>
      <c r="AG655" s="64"/>
    </row>
    <row r="656">
      <c r="A656" s="64"/>
      <c r="B656" s="64"/>
      <c r="C656" s="64"/>
      <c r="D656" s="64"/>
      <c r="E656" s="65"/>
      <c r="F656" s="64"/>
      <c r="G656" s="67"/>
      <c r="H656" s="64"/>
      <c r="I656" s="64"/>
      <c r="J656" s="64"/>
      <c r="K656" s="64"/>
      <c r="L656" s="65"/>
      <c r="M656" s="64"/>
      <c r="N656" s="64"/>
      <c r="O656" s="64"/>
      <c r="P656" s="64"/>
      <c r="Q656" s="64"/>
      <c r="R656" s="64"/>
      <c r="S656" s="64"/>
      <c r="T656" s="65"/>
      <c r="U656" s="64"/>
      <c r="V656" s="64"/>
      <c r="W656" s="64"/>
      <c r="X656" s="64"/>
      <c r="Y656" s="64"/>
      <c r="Z656" s="64"/>
      <c r="AA656" s="64"/>
      <c r="AB656" s="64"/>
      <c r="AC656" s="64"/>
      <c r="AD656" s="64"/>
      <c r="AE656" s="64"/>
      <c r="AF656" s="64"/>
      <c r="AG656" s="64"/>
    </row>
    <row r="657">
      <c r="A657" s="64"/>
      <c r="B657" s="64"/>
      <c r="C657" s="64"/>
      <c r="D657" s="64"/>
      <c r="E657" s="65"/>
      <c r="F657" s="64"/>
      <c r="G657" s="67"/>
      <c r="H657" s="64"/>
      <c r="I657" s="64"/>
      <c r="J657" s="64"/>
      <c r="K657" s="64"/>
      <c r="L657" s="65"/>
      <c r="M657" s="64"/>
      <c r="N657" s="64"/>
      <c r="O657" s="64"/>
      <c r="P657" s="64"/>
      <c r="Q657" s="64"/>
      <c r="R657" s="64"/>
      <c r="S657" s="64"/>
      <c r="T657" s="65"/>
      <c r="U657" s="64"/>
      <c r="V657" s="64"/>
      <c r="W657" s="64"/>
      <c r="X657" s="64"/>
      <c r="Y657" s="64"/>
      <c r="Z657" s="64"/>
      <c r="AA657" s="64"/>
      <c r="AB657" s="64"/>
      <c r="AC657" s="64"/>
      <c r="AD657" s="64"/>
      <c r="AE657" s="64"/>
      <c r="AF657" s="64"/>
      <c r="AG657" s="64"/>
    </row>
    <row r="658">
      <c r="A658" s="64"/>
      <c r="B658" s="64"/>
      <c r="C658" s="64"/>
      <c r="D658" s="64"/>
      <c r="E658" s="65"/>
      <c r="F658" s="64"/>
      <c r="G658" s="67"/>
      <c r="H658" s="64"/>
      <c r="I658" s="64"/>
      <c r="J658" s="64"/>
      <c r="K658" s="64"/>
      <c r="L658" s="65"/>
      <c r="M658" s="64"/>
      <c r="N658" s="64"/>
      <c r="O658" s="64"/>
      <c r="P658" s="64"/>
      <c r="Q658" s="64"/>
      <c r="R658" s="64"/>
      <c r="S658" s="64"/>
      <c r="T658" s="65"/>
      <c r="U658" s="64"/>
      <c r="V658" s="64"/>
      <c r="W658" s="64"/>
      <c r="X658" s="64"/>
      <c r="Y658" s="64"/>
      <c r="Z658" s="64"/>
      <c r="AA658" s="64"/>
      <c r="AB658" s="64"/>
      <c r="AC658" s="64"/>
      <c r="AD658" s="64"/>
      <c r="AE658" s="64"/>
      <c r="AF658" s="64"/>
      <c r="AG658" s="64"/>
    </row>
    <row r="659">
      <c r="A659" s="64"/>
      <c r="B659" s="64"/>
      <c r="C659" s="64"/>
      <c r="D659" s="64"/>
      <c r="E659" s="65"/>
      <c r="F659" s="64"/>
      <c r="G659" s="67"/>
      <c r="H659" s="64"/>
      <c r="I659" s="64"/>
      <c r="J659" s="64"/>
      <c r="K659" s="64"/>
      <c r="L659" s="65"/>
      <c r="M659" s="64"/>
      <c r="N659" s="64"/>
      <c r="O659" s="64"/>
      <c r="P659" s="64"/>
      <c r="Q659" s="64"/>
      <c r="R659" s="64"/>
      <c r="S659" s="64"/>
      <c r="T659" s="65"/>
      <c r="U659" s="64"/>
      <c r="V659" s="64"/>
      <c r="W659" s="64"/>
      <c r="X659" s="64"/>
      <c r="Y659" s="64"/>
      <c r="Z659" s="64"/>
      <c r="AA659" s="64"/>
      <c r="AB659" s="64"/>
      <c r="AC659" s="64"/>
      <c r="AD659" s="64"/>
      <c r="AE659" s="64"/>
      <c r="AF659" s="64"/>
      <c r="AG659" s="64"/>
    </row>
    <row r="660">
      <c r="A660" s="64"/>
      <c r="B660" s="64"/>
      <c r="C660" s="64"/>
      <c r="D660" s="64"/>
      <c r="E660" s="65"/>
      <c r="F660" s="64"/>
      <c r="G660" s="67"/>
      <c r="H660" s="64"/>
      <c r="I660" s="64"/>
      <c r="J660" s="64"/>
      <c r="K660" s="64"/>
      <c r="L660" s="65"/>
      <c r="M660" s="64"/>
      <c r="N660" s="64"/>
      <c r="O660" s="64"/>
      <c r="P660" s="64"/>
      <c r="Q660" s="64"/>
      <c r="R660" s="64"/>
      <c r="S660" s="64"/>
      <c r="T660" s="65"/>
      <c r="U660" s="64"/>
      <c r="V660" s="64"/>
      <c r="W660" s="64"/>
      <c r="X660" s="64"/>
      <c r="Y660" s="64"/>
      <c r="Z660" s="64"/>
      <c r="AA660" s="64"/>
      <c r="AB660" s="64"/>
      <c r="AC660" s="64"/>
      <c r="AD660" s="64"/>
      <c r="AE660" s="64"/>
      <c r="AF660" s="64"/>
      <c r="AG660" s="64"/>
    </row>
    <row r="661">
      <c r="A661" s="64"/>
      <c r="B661" s="64"/>
      <c r="C661" s="64"/>
      <c r="D661" s="64"/>
      <c r="E661" s="65"/>
      <c r="F661" s="64"/>
      <c r="G661" s="67"/>
      <c r="H661" s="64"/>
      <c r="I661" s="64"/>
      <c r="J661" s="64"/>
      <c r="K661" s="64"/>
      <c r="L661" s="65"/>
      <c r="M661" s="64"/>
      <c r="N661" s="64"/>
      <c r="O661" s="64"/>
      <c r="P661" s="64"/>
      <c r="Q661" s="64"/>
      <c r="R661" s="64"/>
      <c r="S661" s="64"/>
      <c r="T661" s="65"/>
      <c r="U661" s="64"/>
      <c r="V661" s="64"/>
      <c r="W661" s="64"/>
      <c r="X661" s="64"/>
      <c r="Y661" s="64"/>
      <c r="Z661" s="64"/>
      <c r="AA661" s="64"/>
      <c r="AB661" s="64"/>
      <c r="AC661" s="64"/>
      <c r="AD661" s="64"/>
      <c r="AE661" s="64"/>
      <c r="AF661" s="64"/>
      <c r="AG661" s="64"/>
    </row>
    <row r="662">
      <c r="A662" s="64"/>
      <c r="B662" s="64"/>
      <c r="C662" s="64"/>
      <c r="D662" s="64"/>
      <c r="E662" s="65"/>
      <c r="F662" s="64"/>
      <c r="G662" s="67"/>
      <c r="H662" s="64"/>
      <c r="I662" s="64"/>
      <c r="J662" s="64"/>
      <c r="K662" s="64"/>
      <c r="L662" s="65"/>
      <c r="M662" s="64"/>
      <c r="N662" s="64"/>
      <c r="O662" s="64"/>
      <c r="P662" s="64"/>
      <c r="Q662" s="64"/>
      <c r="R662" s="64"/>
      <c r="S662" s="64"/>
      <c r="T662" s="65"/>
      <c r="U662" s="64"/>
      <c r="V662" s="64"/>
      <c r="W662" s="64"/>
      <c r="X662" s="64"/>
      <c r="Y662" s="64"/>
      <c r="Z662" s="64"/>
      <c r="AA662" s="64"/>
      <c r="AB662" s="64"/>
      <c r="AC662" s="64"/>
      <c r="AD662" s="64"/>
      <c r="AE662" s="64"/>
      <c r="AF662" s="64"/>
      <c r="AG662" s="64"/>
    </row>
    <row r="663">
      <c r="A663" s="64"/>
      <c r="B663" s="64"/>
      <c r="C663" s="64"/>
      <c r="D663" s="64"/>
      <c r="E663" s="65"/>
      <c r="F663" s="64"/>
      <c r="G663" s="67"/>
      <c r="H663" s="64"/>
      <c r="I663" s="64"/>
      <c r="J663" s="64"/>
      <c r="K663" s="64"/>
      <c r="L663" s="65"/>
      <c r="M663" s="64"/>
      <c r="N663" s="64"/>
      <c r="O663" s="64"/>
      <c r="P663" s="64"/>
      <c r="Q663" s="64"/>
      <c r="R663" s="64"/>
      <c r="S663" s="64"/>
      <c r="T663" s="65"/>
      <c r="U663" s="64"/>
      <c r="V663" s="64"/>
      <c r="W663" s="64"/>
      <c r="X663" s="64"/>
      <c r="Y663" s="64"/>
      <c r="Z663" s="64"/>
      <c r="AA663" s="64"/>
      <c r="AB663" s="64"/>
      <c r="AC663" s="64"/>
      <c r="AD663" s="64"/>
      <c r="AE663" s="64"/>
      <c r="AF663" s="64"/>
      <c r="AG663" s="64"/>
    </row>
    <row r="664">
      <c r="A664" s="64"/>
      <c r="B664" s="64"/>
      <c r="C664" s="64"/>
      <c r="D664" s="64"/>
      <c r="E664" s="65"/>
      <c r="F664" s="64"/>
      <c r="G664" s="67"/>
      <c r="H664" s="64"/>
      <c r="I664" s="64"/>
      <c r="J664" s="64"/>
      <c r="K664" s="64"/>
      <c r="L664" s="65"/>
      <c r="M664" s="64"/>
      <c r="N664" s="64"/>
      <c r="O664" s="64"/>
      <c r="P664" s="64"/>
      <c r="Q664" s="64"/>
      <c r="R664" s="64"/>
      <c r="S664" s="64"/>
      <c r="T664" s="65"/>
      <c r="U664" s="64"/>
      <c r="V664" s="64"/>
      <c r="W664" s="64"/>
      <c r="X664" s="64"/>
      <c r="Y664" s="64"/>
      <c r="Z664" s="64"/>
      <c r="AA664" s="64"/>
      <c r="AB664" s="64"/>
      <c r="AC664" s="64"/>
      <c r="AD664" s="64"/>
      <c r="AE664" s="64"/>
      <c r="AF664" s="64"/>
      <c r="AG664" s="64"/>
    </row>
    <row r="665">
      <c r="A665" s="64"/>
      <c r="B665" s="64"/>
      <c r="C665" s="64"/>
      <c r="D665" s="64"/>
      <c r="E665" s="65"/>
      <c r="F665" s="64"/>
      <c r="G665" s="67"/>
      <c r="H665" s="64"/>
      <c r="I665" s="64"/>
      <c r="J665" s="64"/>
      <c r="K665" s="64"/>
      <c r="L665" s="65"/>
      <c r="M665" s="64"/>
      <c r="N665" s="64"/>
      <c r="O665" s="64"/>
      <c r="P665" s="64"/>
      <c r="Q665" s="64"/>
      <c r="R665" s="64"/>
      <c r="S665" s="64"/>
      <c r="T665" s="65"/>
      <c r="U665" s="64"/>
      <c r="V665" s="64"/>
      <c r="W665" s="64"/>
      <c r="X665" s="64"/>
      <c r="Y665" s="64"/>
      <c r="Z665" s="64"/>
      <c r="AA665" s="64"/>
      <c r="AB665" s="64"/>
      <c r="AC665" s="64"/>
      <c r="AD665" s="64"/>
      <c r="AE665" s="64"/>
      <c r="AF665" s="64"/>
      <c r="AG665" s="64"/>
    </row>
    <row r="666">
      <c r="A666" s="64"/>
      <c r="B666" s="64"/>
      <c r="C666" s="64"/>
      <c r="D666" s="64"/>
      <c r="E666" s="65"/>
      <c r="F666" s="64"/>
      <c r="G666" s="67"/>
      <c r="H666" s="64"/>
      <c r="I666" s="64"/>
      <c r="J666" s="64"/>
      <c r="K666" s="64"/>
      <c r="L666" s="65"/>
      <c r="M666" s="64"/>
      <c r="N666" s="64"/>
      <c r="O666" s="64"/>
      <c r="P666" s="64"/>
      <c r="Q666" s="64"/>
      <c r="R666" s="64"/>
      <c r="S666" s="64"/>
      <c r="T666" s="65"/>
      <c r="U666" s="64"/>
      <c r="V666" s="64"/>
      <c r="W666" s="64"/>
      <c r="X666" s="64"/>
      <c r="Y666" s="64"/>
      <c r="Z666" s="64"/>
      <c r="AA666" s="64"/>
      <c r="AB666" s="64"/>
      <c r="AC666" s="64"/>
      <c r="AD666" s="64"/>
      <c r="AE666" s="64"/>
      <c r="AF666" s="64"/>
      <c r="AG666" s="64"/>
    </row>
    <row r="667">
      <c r="A667" s="64"/>
      <c r="B667" s="64"/>
      <c r="C667" s="64"/>
      <c r="D667" s="64"/>
      <c r="E667" s="65"/>
      <c r="F667" s="64"/>
      <c r="G667" s="67"/>
      <c r="H667" s="64"/>
      <c r="I667" s="64"/>
      <c r="J667" s="64"/>
      <c r="K667" s="64"/>
      <c r="L667" s="65"/>
      <c r="M667" s="64"/>
      <c r="N667" s="64"/>
      <c r="O667" s="64"/>
      <c r="P667" s="64"/>
      <c r="Q667" s="64"/>
      <c r="R667" s="64"/>
      <c r="S667" s="64"/>
      <c r="T667" s="65"/>
      <c r="U667" s="64"/>
      <c r="V667" s="64"/>
      <c r="W667" s="64"/>
      <c r="X667" s="64"/>
      <c r="Y667" s="64"/>
      <c r="Z667" s="64"/>
      <c r="AA667" s="64"/>
      <c r="AB667" s="64"/>
      <c r="AC667" s="64"/>
      <c r="AD667" s="64"/>
      <c r="AE667" s="64"/>
      <c r="AF667" s="64"/>
      <c r="AG667" s="64"/>
    </row>
    <row r="668">
      <c r="A668" s="64"/>
      <c r="B668" s="64"/>
      <c r="C668" s="64"/>
      <c r="D668" s="64"/>
      <c r="E668" s="65"/>
      <c r="F668" s="64"/>
      <c r="G668" s="67"/>
      <c r="H668" s="64"/>
      <c r="I668" s="64"/>
      <c r="J668" s="64"/>
      <c r="K668" s="64"/>
      <c r="L668" s="65"/>
      <c r="M668" s="64"/>
      <c r="N668" s="64"/>
      <c r="O668" s="64"/>
      <c r="P668" s="64"/>
      <c r="Q668" s="64"/>
      <c r="R668" s="64"/>
      <c r="S668" s="64"/>
      <c r="T668" s="65"/>
      <c r="U668" s="64"/>
      <c r="V668" s="64"/>
      <c r="W668" s="64"/>
      <c r="X668" s="64"/>
      <c r="Y668" s="64"/>
      <c r="Z668" s="64"/>
      <c r="AA668" s="64"/>
      <c r="AB668" s="64"/>
      <c r="AC668" s="64"/>
      <c r="AD668" s="64"/>
      <c r="AE668" s="64"/>
      <c r="AF668" s="64"/>
      <c r="AG668" s="64"/>
    </row>
    <row r="669">
      <c r="A669" s="64"/>
      <c r="B669" s="64"/>
      <c r="C669" s="64"/>
      <c r="D669" s="64"/>
      <c r="E669" s="65"/>
      <c r="F669" s="64"/>
      <c r="G669" s="67"/>
      <c r="H669" s="64"/>
      <c r="I669" s="64"/>
      <c r="J669" s="64"/>
      <c r="K669" s="64"/>
      <c r="L669" s="65"/>
      <c r="M669" s="64"/>
      <c r="N669" s="64"/>
      <c r="O669" s="64"/>
      <c r="P669" s="64"/>
      <c r="Q669" s="64"/>
      <c r="R669" s="64"/>
      <c r="S669" s="64"/>
      <c r="T669" s="65"/>
      <c r="U669" s="64"/>
      <c r="V669" s="64"/>
      <c r="W669" s="64"/>
      <c r="X669" s="64"/>
      <c r="Y669" s="64"/>
      <c r="Z669" s="64"/>
      <c r="AA669" s="64"/>
      <c r="AB669" s="64"/>
      <c r="AC669" s="64"/>
      <c r="AD669" s="64"/>
      <c r="AE669" s="64"/>
      <c r="AF669" s="64"/>
      <c r="AG669" s="64"/>
    </row>
    <row r="670">
      <c r="A670" s="64"/>
      <c r="B670" s="64"/>
      <c r="C670" s="64"/>
      <c r="D670" s="64"/>
      <c r="E670" s="65"/>
      <c r="F670" s="64"/>
      <c r="G670" s="67"/>
      <c r="H670" s="64"/>
      <c r="I670" s="64"/>
      <c r="J670" s="64"/>
      <c r="K670" s="64"/>
      <c r="L670" s="65"/>
      <c r="M670" s="64"/>
      <c r="N670" s="64"/>
      <c r="O670" s="64"/>
      <c r="P670" s="64"/>
      <c r="Q670" s="64"/>
      <c r="R670" s="64"/>
      <c r="S670" s="64"/>
      <c r="T670" s="65"/>
      <c r="U670" s="64"/>
      <c r="V670" s="64"/>
      <c r="W670" s="64"/>
      <c r="X670" s="64"/>
      <c r="Y670" s="64"/>
      <c r="Z670" s="64"/>
      <c r="AA670" s="64"/>
      <c r="AB670" s="64"/>
      <c r="AC670" s="64"/>
      <c r="AD670" s="64"/>
      <c r="AE670" s="64"/>
      <c r="AF670" s="64"/>
      <c r="AG670" s="64"/>
    </row>
    <row r="671">
      <c r="A671" s="64"/>
      <c r="B671" s="64"/>
      <c r="C671" s="64"/>
      <c r="D671" s="64"/>
      <c r="E671" s="65"/>
      <c r="F671" s="64"/>
      <c r="G671" s="67"/>
      <c r="H671" s="64"/>
      <c r="I671" s="64"/>
      <c r="J671" s="64"/>
      <c r="K671" s="64"/>
      <c r="L671" s="65"/>
      <c r="M671" s="64"/>
      <c r="N671" s="64"/>
      <c r="O671" s="64"/>
      <c r="P671" s="64"/>
      <c r="Q671" s="64"/>
      <c r="R671" s="64"/>
      <c r="S671" s="64"/>
      <c r="T671" s="65"/>
      <c r="U671" s="64"/>
      <c r="V671" s="64"/>
      <c r="W671" s="64"/>
      <c r="X671" s="64"/>
      <c r="Y671" s="64"/>
      <c r="Z671" s="64"/>
      <c r="AA671" s="64"/>
      <c r="AB671" s="64"/>
      <c r="AC671" s="64"/>
      <c r="AD671" s="64"/>
      <c r="AE671" s="64"/>
      <c r="AF671" s="64"/>
      <c r="AG671" s="64"/>
    </row>
    <row r="672">
      <c r="A672" s="64"/>
      <c r="B672" s="64"/>
      <c r="C672" s="64"/>
      <c r="D672" s="64"/>
      <c r="E672" s="65"/>
      <c r="F672" s="64"/>
      <c r="G672" s="67"/>
      <c r="H672" s="64"/>
      <c r="I672" s="64"/>
      <c r="J672" s="64"/>
      <c r="K672" s="64"/>
      <c r="L672" s="65"/>
      <c r="M672" s="64"/>
      <c r="N672" s="64"/>
      <c r="O672" s="64"/>
      <c r="P672" s="64"/>
      <c r="Q672" s="64"/>
      <c r="R672" s="64"/>
      <c r="S672" s="64"/>
      <c r="T672" s="65"/>
      <c r="U672" s="64"/>
      <c r="V672" s="64"/>
      <c r="W672" s="64"/>
      <c r="X672" s="64"/>
      <c r="Y672" s="64"/>
      <c r="Z672" s="64"/>
      <c r="AA672" s="64"/>
      <c r="AB672" s="64"/>
      <c r="AC672" s="64"/>
      <c r="AD672" s="64"/>
      <c r="AE672" s="64"/>
      <c r="AF672" s="64"/>
      <c r="AG672" s="64"/>
    </row>
    <row r="673">
      <c r="A673" s="64"/>
      <c r="B673" s="64"/>
      <c r="C673" s="64"/>
      <c r="D673" s="64"/>
      <c r="E673" s="65"/>
      <c r="F673" s="64"/>
      <c r="G673" s="67"/>
      <c r="H673" s="64"/>
      <c r="I673" s="64"/>
      <c r="J673" s="64"/>
      <c r="K673" s="64"/>
      <c r="L673" s="65"/>
      <c r="M673" s="64"/>
      <c r="N673" s="64"/>
      <c r="O673" s="64"/>
      <c r="P673" s="64"/>
      <c r="Q673" s="64"/>
      <c r="R673" s="64"/>
      <c r="S673" s="64"/>
      <c r="T673" s="65"/>
      <c r="U673" s="64"/>
      <c r="V673" s="64"/>
      <c r="W673" s="64"/>
      <c r="X673" s="64"/>
      <c r="Y673" s="64"/>
      <c r="Z673" s="64"/>
      <c r="AA673" s="64"/>
      <c r="AB673" s="64"/>
      <c r="AC673" s="64"/>
      <c r="AD673" s="64"/>
      <c r="AE673" s="64"/>
      <c r="AF673" s="64"/>
      <c r="AG673" s="64"/>
    </row>
    <row r="674">
      <c r="A674" s="64"/>
      <c r="B674" s="64"/>
      <c r="C674" s="64"/>
      <c r="D674" s="64"/>
      <c r="E674" s="65"/>
      <c r="F674" s="64"/>
      <c r="G674" s="67"/>
      <c r="H674" s="64"/>
      <c r="I674" s="64"/>
      <c r="J674" s="64"/>
      <c r="K674" s="64"/>
      <c r="L674" s="65"/>
      <c r="M674" s="64"/>
      <c r="N674" s="64"/>
      <c r="O674" s="64"/>
      <c r="P674" s="64"/>
      <c r="Q674" s="64"/>
      <c r="R674" s="64"/>
      <c r="S674" s="64"/>
      <c r="T674" s="65"/>
      <c r="U674" s="64"/>
      <c r="V674" s="64"/>
      <c r="W674" s="64"/>
      <c r="X674" s="64"/>
      <c r="Y674" s="64"/>
      <c r="Z674" s="64"/>
      <c r="AA674" s="64"/>
      <c r="AB674" s="64"/>
      <c r="AC674" s="64"/>
      <c r="AD674" s="64"/>
      <c r="AE674" s="64"/>
      <c r="AF674" s="64"/>
      <c r="AG674" s="64"/>
    </row>
    <row r="675">
      <c r="A675" s="64"/>
      <c r="B675" s="64"/>
      <c r="C675" s="64"/>
      <c r="D675" s="64"/>
      <c r="E675" s="65"/>
      <c r="F675" s="64"/>
      <c r="G675" s="67"/>
      <c r="H675" s="64"/>
      <c r="I675" s="64"/>
      <c r="J675" s="64"/>
      <c r="K675" s="64"/>
      <c r="L675" s="65"/>
      <c r="M675" s="64"/>
      <c r="N675" s="64"/>
      <c r="O675" s="64"/>
      <c r="P675" s="64"/>
      <c r="Q675" s="64"/>
      <c r="R675" s="64"/>
      <c r="S675" s="64"/>
      <c r="T675" s="65"/>
      <c r="U675" s="64"/>
      <c r="V675" s="64"/>
      <c r="W675" s="64"/>
      <c r="X675" s="64"/>
      <c r="Y675" s="64"/>
      <c r="Z675" s="64"/>
      <c r="AA675" s="64"/>
      <c r="AB675" s="64"/>
      <c r="AC675" s="64"/>
      <c r="AD675" s="64"/>
      <c r="AE675" s="64"/>
      <c r="AF675" s="64"/>
      <c r="AG675" s="64"/>
    </row>
    <row r="676">
      <c r="A676" s="64"/>
      <c r="B676" s="64"/>
      <c r="C676" s="64"/>
      <c r="D676" s="64"/>
      <c r="E676" s="65"/>
      <c r="F676" s="64"/>
      <c r="G676" s="67"/>
      <c r="H676" s="64"/>
      <c r="I676" s="64"/>
      <c r="J676" s="64"/>
      <c r="K676" s="64"/>
      <c r="L676" s="65"/>
      <c r="M676" s="64"/>
      <c r="N676" s="64"/>
      <c r="O676" s="64"/>
      <c r="P676" s="64"/>
      <c r="Q676" s="64"/>
      <c r="R676" s="64"/>
      <c r="S676" s="64"/>
      <c r="T676" s="65"/>
      <c r="U676" s="64"/>
      <c r="V676" s="64"/>
      <c r="W676" s="64"/>
      <c r="X676" s="64"/>
      <c r="Y676" s="64"/>
      <c r="Z676" s="64"/>
      <c r="AA676" s="64"/>
      <c r="AB676" s="64"/>
      <c r="AC676" s="64"/>
      <c r="AD676" s="64"/>
      <c r="AE676" s="64"/>
      <c r="AF676" s="64"/>
      <c r="AG676" s="64"/>
    </row>
    <row r="677">
      <c r="A677" s="64"/>
      <c r="B677" s="64"/>
      <c r="C677" s="64"/>
      <c r="D677" s="64"/>
      <c r="E677" s="65"/>
      <c r="F677" s="64"/>
      <c r="G677" s="67"/>
      <c r="H677" s="64"/>
      <c r="I677" s="64"/>
      <c r="J677" s="64"/>
      <c r="K677" s="64"/>
      <c r="L677" s="65"/>
      <c r="M677" s="64"/>
      <c r="N677" s="64"/>
      <c r="O677" s="64"/>
      <c r="P677" s="64"/>
      <c r="Q677" s="64"/>
      <c r="R677" s="64"/>
      <c r="S677" s="64"/>
      <c r="T677" s="65"/>
      <c r="U677" s="64"/>
      <c r="V677" s="64"/>
      <c r="W677" s="64"/>
      <c r="X677" s="64"/>
      <c r="Y677" s="64"/>
      <c r="Z677" s="64"/>
      <c r="AA677" s="64"/>
      <c r="AB677" s="64"/>
      <c r="AC677" s="64"/>
      <c r="AD677" s="64"/>
      <c r="AE677" s="64"/>
      <c r="AF677" s="64"/>
      <c r="AG677" s="64"/>
    </row>
    <row r="678">
      <c r="A678" s="64"/>
      <c r="B678" s="64"/>
      <c r="C678" s="64"/>
      <c r="D678" s="64"/>
      <c r="E678" s="65"/>
      <c r="F678" s="64"/>
      <c r="G678" s="67"/>
      <c r="H678" s="64"/>
      <c r="I678" s="64"/>
      <c r="J678" s="64"/>
      <c r="K678" s="64"/>
      <c r="L678" s="65"/>
      <c r="M678" s="64"/>
      <c r="N678" s="64"/>
      <c r="O678" s="64"/>
      <c r="P678" s="64"/>
      <c r="Q678" s="64"/>
      <c r="R678" s="64"/>
      <c r="S678" s="64"/>
      <c r="T678" s="65"/>
      <c r="U678" s="64"/>
      <c r="V678" s="64"/>
      <c r="W678" s="64"/>
      <c r="X678" s="64"/>
      <c r="Y678" s="64"/>
      <c r="Z678" s="64"/>
      <c r="AA678" s="64"/>
      <c r="AB678" s="64"/>
      <c r="AC678" s="64"/>
      <c r="AD678" s="64"/>
      <c r="AE678" s="64"/>
      <c r="AF678" s="64"/>
      <c r="AG678" s="64"/>
    </row>
    <row r="679">
      <c r="A679" s="64"/>
      <c r="B679" s="64"/>
      <c r="C679" s="64"/>
      <c r="D679" s="64"/>
      <c r="E679" s="65"/>
      <c r="F679" s="64"/>
      <c r="G679" s="67"/>
      <c r="H679" s="64"/>
      <c r="I679" s="64"/>
      <c r="J679" s="64"/>
      <c r="K679" s="64"/>
      <c r="L679" s="65"/>
      <c r="M679" s="64"/>
      <c r="N679" s="64"/>
      <c r="O679" s="64"/>
      <c r="P679" s="64"/>
      <c r="Q679" s="64"/>
      <c r="R679" s="64"/>
      <c r="S679" s="64"/>
      <c r="T679" s="65"/>
      <c r="U679" s="64"/>
      <c r="V679" s="64"/>
      <c r="W679" s="64"/>
      <c r="X679" s="64"/>
      <c r="Y679" s="64"/>
      <c r="Z679" s="64"/>
      <c r="AA679" s="64"/>
      <c r="AB679" s="64"/>
      <c r="AC679" s="64"/>
      <c r="AD679" s="64"/>
      <c r="AE679" s="64"/>
      <c r="AF679" s="64"/>
      <c r="AG679" s="64"/>
    </row>
    <row r="680">
      <c r="A680" s="64"/>
      <c r="B680" s="64"/>
      <c r="C680" s="64"/>
      <c r="D680" s="64"/>
      <c r="E680" s="65"/>
      <c r="F680" s="64"/>
      <c r="G680" s="67"/>
      <c r="H680" s="64"/>
      <c r="I680" s="64"/>
      <c r="J680" s="64"/>
      <c r="K680" s="64"/>
      <c r="L680" s="65"/>
      <c r="M680" s="64"/>
      <c r="N680" s="64"/>
      <c r="O680" s="64"/>
      <c r="P680" s="64"/>
      <c r="Q680" s="64"/>
      <c r="R680" s="64"/>
      <c r="S680" s="64"/>
      <c r="T680" s="65"/>
      <c r="U680" s="64"/>
      <c r="V680" s="64"/>
      <c r="W680" s="64"/>
      <c r="X680" s="64"/>
      <c r="Y680" s="64"/>
      <c r="Z680" s="64"/>
      <c r="AA680" s="64"/>
      <c r="AB680" s="64"/>
      <c r="AC680" s="64"/>
      <c r="AD680" s="64"/>
      <c r="AE680" s="64"/>
      <c r="AF680" s="64"/>
      <c r="AG680" s="64"/>
    </row>
    <row r="681">
      <c r="A681" s="64"/>
      <c r="B681" s="64"/>
      <c r="C681" s="64"/>
      <c r="D681" s="64"/>
      <c r="E681" s="65"/>
      <c r="F681" s="64"/>
      <c r="G681" s="67"/>
      <c r="H681" s="64"/>
      <c r="I681" s="64"/>
      <c r="J681" s="64"/>
      <c r="K681" s="64"/>
      <c r="L681" s="65"/>
      <c r="M681" s="64"/>
      <c r="N681" s="64"/>
      <c r="O681" s="64"/>
      <c r="P681" s="64"/>
      <c r="Q681" s="64"/>
      <c r="R681" s="64"/>
      <c r="S681" s="64"/>
      <c r="T681" s="65"/>
      <c r="U681" s="64"/>
      <c r="V681" s="64"/>
      <c r="W681" s="64"/>
      <c r="X681" s="64"/>
      <c r="Y681" s="64"/>
      <c r="Z681" s="64"/>
      <c r="AA681" s="64"/>
      <c r="AB681" s="64"/>
      <c r="AC681" s="64"/>
      <c r="AD681" s="64"/>
      <c r="AE681" s="64"/>
      <c r="AF681" s="64"/>
      <c r="AG681" s="64"/>
    </row>
    <row r="682">
      <c r="A682" s="64"/>
      <c r="B682" s="64"/>
      <c r="C682" s="64"/>
      <c r="D682" s="64"/>
      <c r="E682" s="65"/>
      <c r="F682" s="64"/>
      <c r="G682" s="67"/>
      <c r="H682" s="64"/>
      <c r="I682" s="64"/>
      <c r="J682" s="64"/>
      <c r="K682" s="64"/>
      <c r="L682" s="65"/>
      <c r="M682" s="64"/>
      <c r="N682" s="64"/>
      <c r="O682" s="64"/>
      <c r="P682" s="64"/>
      <c r="Q682" s="64"/>
      <c r="R682" s="64"/>
      <c r="S682" s="64"/>
      <c r="T682" s="65"/>
      <c r="U682" s="64"/>
      <c r="V682" s="64"/>
      <c r="W682" s="64"/>
      <c r="X682" s="64"/>
      <c r="Y682" s="64"/>
      <c r="Z682" s="64"/>
      <c r="AA682" s="64"/>
      <c r="AB682" s="64"/>
      <c r="AC682" s="64"/>
      <c r="AD682" s="64"/>
      <c r="AE682" s="64"/>
      <c r="AF682" s="64"/>
      <c r="AG682" s="64"/>
    </row>
    <row r="683">
      <c r="A683" s="64"/>
      <c r="B683" s="64"/>
      <c r="C683" s="64"/>
      <c r="D683" s="64"/>
      <c r="E683" s="65"/>
      <c r="F683" s="64"/>
      <c r="G683" s="67"/>
      <c r="H683" s="64"/>
      <c r="I683" s="64"/>
      <c r="J683" s="64"/>
      <c r="K683" s="64"/>
      <c r="L683" s="65"/>
      <c r="M683" s="64"/>
      <c r="N683" s="64"/>
      <c r="O683" s="64"/>
      <c r="P683" s="64"/>
      <c r="Q683" s="64"/>
      <c r="R683" s="64"/>
      <c r="S683" s="64"/>
      <c r="T683" s="65"/>
      <c r="U683" s="64"/>
      <c r="V683" s="64"/>
      <c r="W683" s="64"/>
      <c r="X683" s="64"/>
      <c r="Y683" s="64"/>
      <c r="Z683" s="64"/>
      <c r="AA683" s="64"/>
      <c r="AB683" s="64"/>
      <c r="AC683" s="64"/>
      <c r="AD683" s="64"/>
      <c r="AE683" s="64"/>
      <c r="AF683" s="64"/>
      <c r="AG683" s="64"/>
    </row>
    <row r="684">
      <c r="A684" s="64"/>
      <c r="B684" s="64"/>
      <c r="C684" s="64"/>
      <c r="D684" s="64"/>
      <c r="E684" s="65"/>
      <c r="F684" s="64"/>
      <c r="G684" s="67"/>
      <c r="H684" s="64"/>
      <c r="I684" s="64"/>
      <c r="J684" s="64"/>
      <c r="K684" s="64"/>
      <c r="L684" s="65"/>
      <c r="M684" s="64"/>
      <c r="N684" s="64"/>
      <c r="O684" s="64"/>
      <c r="P684" s="64"/>
      <c r="Q684" s="64"/>
      <c r="R684" s="64"/>
      <c r="S684" s="64"/>
      <c r="T684" s="65"/>
      <c r="U684" s="64"/>
      <c r="V684" s="64"/>
      <c r="W684" s="64"/>
      <c r="X684" s="64"/>
      <c r="Y684" s="64"/>
      <c r="Z684" s="64"/>
      <c r="AA684" s="64"/>
      <c r="AB684" s="64"/>
      <c r="AC684" s="64"/>
      <c r="AD684" s="64"/>
      <c r="AE684" s="64"/>
      <c r="AF684" s="64"/>
      <c r="AG684" s="64"/>
    </row>
    <row r="685">
      <c r="A685" s="64"/>
      <c r="B685" s="64"/>
      <c r="C685" s="64"/>
      <c r="D685" s="64"/>
      <c r="E685" s="65"/>
      <c r="F685" s="64"/>
      <c r="G685" s="67"/>
      <c r="H685" s="64"/>
      <c r="I685" s="64"/>
      <c r="J685" s="64"/>
      <c r="K685" s="64"/>
      <c r="L685" s="65"/>
      <c r="M685" s="64"/>
      <c r="N685" s="64"/>
      <c r="O685" s="64"/>
      <c r="P685" s="64"/>
      <c r="Q685" s="64"/>
      <c r="R685" s="64"/>
      <c r="S685" s="64"/>
      <c r="T685" s="65"/>
      <c r="U685" s="64"/>
      <c r="V685" s="64"/>
      <c r="W685" s="64"/>
      <c r="X685" s="64"/>
      <c r="Y685" s="64"/>
      <c r="Z685" s="64"/>
      <c r="AA685" s="64"/>
      <c r="AB685" s="64"/>
      <c r="AC685" s="64"/>
      <c r="AD685" s="64"/>
      <c r="AE685" s="64"/>
      <c r="AF685" s="64"/>
      <c r="AG685" s="64"/>
    </row>
    <row r="686">
      <c r="A686" s="64"/>
      <c r="B686" s="64"/>
      <c r="C686" s="64"/>
      <c r="D686" s="64"/>
      <c r="E686" s="65"/>
      <c r="F686" s="64"/>
      <c r="G686" s="67"/>
      <c r="H686" s="64"/>
      <c r="I686" s="64"/>
      <c r="J686" s="64"/>
      <c r="K686" s="64"/>
      <c r="L686" s="65"/>
      <c r="M686" s="64"/>
      <c r="N686" s="64"/>
      <c r="O686" s="64"/>
      <c r="P686" s="64"/>
      <c r="Q686" s="64"/>
      <c r="R686" s="64"/>
      <c r="S686" s="64"/>
      <c r="T686" s="65"/>
      <c r="U686" s="64"/>
      <c r="V686" s="64"/>
      <c r="W686" s="64"/>
      <c r="X686" s="64"/>
      <c r="Y686" s="64"/>
      <c r="Z686" s="64"/>
      <c r="AA686" s="64"/>
      <c r="AB686" s="64"/>
      <c r="AC686" s="64"/>
      <c r="AD686" s="64"/>
      <c r="AE686" s="64"/>
      <c r="AF686" s="64"/>
      <c r="AG686" s="64"/>
    </row>
    <row r="687">
      <c r="A687" s="64"/>
      <c r="B687" s="64"/>
      <c r="C687" s="64"/>
      <c r="D687" s="64"/>
      <c r="E687" s="65"/>
      <c r="F687" s="64"/>
      <c r="G687" s="67"/>
      <c r="H687" s="64"/>
      <c r="I687" s="64"/>
      <c r="J687" s="64"/>
      <c r="K687" s="64"/>
      <c r="L687" s="65"/>
      <c r="M687" s="64"/>
      <c r="N687" s="64"/>
      <c r="O687" s="64"/>
      <c r="P687" s="64"/>
      <c r="Q687" s="64"/>
      <c r="R687" s="64"/>
      <c r="S687" s="64"/>
      <c r="T687" s="65"/>
      <c r="U687" s="64"/>
      <c r="V687" s="64"/>
      <c r="W687" s="64"/>
      <c r="X687" s="64"/>
      <c r="Y687" s="64"/>
      <c r="Z687" s="64"/>
      <c r="AA687" s="64"/>
      <c r="AB687" s="64"/>
      <c r="AC687" s="64"/>
      <c r="AD687" s="64"/>
      <c r="AE687" s="64"/>
      <c r="AF687" s="64"/>
      <c r="AG687" s="64"/>
    </row>
    <row r="688">
      <c r="A688" s="64"/>
      <c r="B688" s="64"/>
      <c r="C688" s="64"/>
      <c r="D688" s="64"/>
      <c r="E688" s="65"/>
      <c r="F688" s="64"/>
      <c r="G688" s="67"/>
      <c r="H688" s="64"/>
      <c r="I688" s="64"/>
      <c r="J688" s="64"/>
      <c r="K688" s="64"/>
      <c r="L688" s="65"/>
      <c r="M688" s="64"/>
      <c r="N688" s="64"/>
      <c r="O688" s="64"/>
      <c r="P688" s="64"/>
      <c r="Q688" s="64"/>
      <c r="R688" s="64"/>
      <c r="S688" s="64"/>
      <c r="T688" s="65"/>
      <c r="U688" s="64"/>
      <c r="V688" s="64"/>
      <c r="W688" s="64"/>
      <c r="X688" s="64"/>
      <c r="Y688" s="64"/>
      <c r="Z688" s="64"/>
      <c r="AA688" s="64"/>
      <c r="AB688" s="64"/>
      <c r="AC688" s="64"/>
      <c r="AD688" s="64"/>
      <c r="AE688" s="64"/>
      <c r="AF688" s="64"/>
      <c r="AG688" s="64"/>
    </row>
    <row r="689">
      <c r="A689" s="64"/>
      <c r="B689" s="64"/>
      <c r="C689" s="64"/>
      <c r="D689" s="64"/>
      <c r="E689" s="65"/>
      <c r="F689" s="64"/>
      <c r="G689" s="67"/>
      <c r="H689" s="64"/>
      <c r="I689" s="64"/>
      <c r="J689" s="64"/>
      <c r="K689" s="64"/>
      <c r="L689" s="65"/>
      <c r="M689" s="64"/>
      <c r="N689" s="64"/>
      <c r="O689" s="64"/>
      <c r="P689" s="64"/>
      <c r="Q689" s="64"/>
      <c r="R689" s="64"/>
      <c r="S689" s="64"/>
      <c r="T689" s="65"/>
      <c r="U689" s="64"/>
      <c r="V689" s="64"/>
      <c r="W689" s="64"/>
      <c r="X689" s="64"/>
      <c r="Y689" s="64"/>
      <c r="Z689" s="64"/>
      <c r="AA689" s="64"/>
      <c r="AB689" s="64"/>
      <c r="AC689" s="64"/>
      <c r="AD689" s="64"/>
      <c r="AE689" s="64"/>
      <c r="AF689" s="64"/>
      <c r="AG689" s="64"/>
    </row>
    <row r="690">
      <c r="A690" s="64"/>
      <c r="B690" s="64"/>
      <c r="C690" s="64"/>
      <c r="D690" s="64"/>
      <c r="E690" s="65"/>
      <c r="F690" s="64"/>
      <c r="G690" s="67"/>
      <c r="H690" s="64"/>
      <c r="I690" s="64"/>
      <c r="J690" s="64"/>
      <c r="K690" s="64"/>
      <c r="L690" s="65"/>
      <c r="M690" s="64"/>
      <c r="N690" s="64"/>
      <c r="O690" s="64"/>
      <c r="P690" s="64"/>
      <c r="Q690" s="64"/>
      <c r="R690" s="64"/>
      <c r="S690" s="64"/>
      <c r="T690" s="65"/>
      <c r="U690" s="64"/>
      <c r="V690" s="64"/>
      <c r="W690" s="64"/>
      <c r="X690" s="64"/>
      <c r="Y690" s="64"/>
      <c r="Z690" s="64"/>
      <c r="AA690" s="64"/>
      <c r="AB690" s="64"/>
      <c r="AC690" s="64"/>
      <c r="AD690" s="64"/>
      <c r="AE690" s="64"/>
      <c r="AF690" s="64"/>
      <c r="AG690" s="64"/>
    </row>
    <row r="691">
      <c r="A691" s="64"/>
      <c r="B691" s="64"/>
      <c r="C691" s="64"/>
      <c r="D691" s="64"/>
      <c r="E691" s="65"/>
      <c r="F691" s="64"/>
      <c r="G691" s="67"/>
      <c r="H691" s="64"/>
      <c r="I691" s="64"/>
      <c r="J691" s="64"/>
      <c r="K691" s="64"/>
      <c r="L691" s="65"/>
      <c r="M691" s="64"/>
      <c r="N691" s="64"/>
      <c r="O691" s="64"/>
      <c r="P691" s="64"/>
      <c r="Q691" s="64"/>
      <c r="R691" s="64"/>
      <c r="S691" s="64"/>
      <c r="T691" s="65"/>
      <c r="U691" s="64"/>
      <c r="V691" s="64"/>
      <c r="W691" s="64"/>
      <c r="X691" s="64"/>
      <c r="Y691" s="64"/>
      <c r="Z691" s="64"/>
      <c r="AA691" s="64"/>
      <c r="AB691" s="64"/>
      <c r="AC691" s="64"/>
      <c r="AD691" s="64"/>
      <c r="AE691" s="64"/>
      <c r="AF691" s="64"/>
      <c r="AG691" s="64"/>
    </row>
    <row r="692">
      <c r="A692" s="64"/>
      <c r="B692" s="64"/>
      <c r="C692" s="64"/>
      <c r="D692" s="64"/>
      <c r="E692" s="65"/>
      <c r="F692" s="64"/>
      <c r="G692" s="67"/>
      <c r="H692" s="64"/>
      <c r="I692" s="64"/>
      <c r="J692" s="64"/>
      <c r="K692" s="64"/>
      <c r="L692" s="65"/>
      <c r="M692" s="64"/>
      <c r="N692" s="64"/>
      <c r="O692" s="64"/>
      <c r="P692" s="64"/>
      <c r="Q692" s="64"/>
      <c r="R692" s="64"/>
      <c r="S692" s="64"/>
      <c r="T692" s="65"/>
      <c r="U692" s="64"/>
      <c r="V692" s="64"/>
      <c r="W692" s="64"/>
      <c r="X692" s="64"/>
      <c r="Y692" s="64"/>
      <c r="Z692" s="64"/>
      <c r="AA692" s="64"/>
      <c r="AB692" s="64"/>
      <c r="AC692" s="64"/>
      <c r="AD692" s="64"/>
      <c r="AE692" s="64"/>
      <c r="AF692" s="64"/>
      <c r="AG692" s="64"/>
    </row>
    <row r="693">
      <c r="A693" s="64"/>
      <c r="B693" s="64"/>
      <c r="C693" s="64"/>
      <c r="D693" s="64"/>
      <c r="E693" s="65"/>
      <c r="F693" s="64"/>
      <c r="G693" s="67"/>
      <c r="H693" s="64"/>
      <c r="I693" s="64"/>
      <c r="J693" s="64"/>
      <c r="K693" s="64"/>
      <c r="L693" s="65"/>
      <c r="M693" s="64"/>
      <c r="N693" s="64"/>
      <c r="O693" s="64"/>
      <c r="P693" s="64"/>
      <c r="Q693" s="64"/>
      <c r="R693" s="64"/>
      <c r="S693" s="64"/>
      <c r="T693" s="65"/>
      <c r="U693" s="64"/>
      <c r="V693" s="64"/>
      <c r="W693" s="64"/>
      <c r="X693" s="64"/>
      <c r="Y693" s="64"/>
      <c r="Z693" s="64"/>
      <c r="AA693" s="64"/>
      <c r="AB693" s="64"/>
      <c r="AC693" s="64"/>
      <c r="AD693" s="64"/>
      <c r="AE693" s="64"/>
      <c r="AF693" s="64"/>
      <c r="AG693" s="64"/>
    </row>
    <row r="694">
      <c r="A694" s="64"/>
      <c r="B694" s="64"/>
      <c r="C694" s="64"/>
      <c r="D694" s="64"/>
      <c r="E694" s="65"/>
      <c r="F694" s="64"/>
      <c r="G694" s="67"/>
      <c r="H694" s="64"/>
      <c r="I694" s="64"/>
      <c r="J694" s="64"/>
      <c r="K694" s="64"/>
      <c r="L694" s="65"/>
      <c r="M694" s="64"/>
      <c r="N694" s="64"/>
      <c r="O694" s="64"/>
      <c r="P694" s="64"/>
      <c r="Q694" s="64"/>
      <c r="R694" s="64"/>
      <c r="S694" s="64"/>
      <c r="T694" s="65"/>
      <c r="U694" s="64"/>
      <c r="V694" s="64"/>
      <c r="W694" s="64"/>
      <c r="X694" s="64"/>
      <c r="Y694" s="64"/>
      <c r="Z694" s="64"/>
      <c r="AA694" s="64"/>
      <c r="AB694" s="64"/>
      <c r="AC694" s="64"/>
      <c r="AD694" s="64"/>
      <c r="AE694" s="64"/>
      <c r="AF694" s="64"/>
      <c r="AG694" s="64"/>
    </row>
    <row r="695">
      <c r="A695" s="64"/>
      <c r="B695" s="64"/>
      <c r="C695" s="64"/>
      <c r="D695" s="64"/>
      <c r="E695" s="65"/>
      <c r="F695" s="64"/>
      <c r="G695" s="67"/>
      <c r="H695" s="64"/>
      <c r="I695" s="64"/>
      <c r="J695" s="64"/>
      <c r="K695" s="64"/>
      <c r="L695" s="65"/>
      <c r="M695" s="64"/>
      <c r="N695" s="64"/>
      <c r="O695" s="64"/>
      <c r="P695" s="64"/>
      <c r="Q695" s="64"/>
      <c r="R695" s="64"/>
      <c r="S695" s="64"/>
      <c r="T695" s="65"/>
      <c r="U695" s="64"/>
      <c r="V695" s="64"/>
      <c r="W695" s="64"/>
      <c r="X695" s="64"/>
      <c r="Y695" s="64"/>
      <c r="Z695" s="64"/>
      <c r="AA695" s="64"/>
      <c r="AB695" s="64"/>
      <c r="AC695" s="64"/>
      <c r="AD695" s="64"/>
      <c r="AE695" s="64"/>
      <c r="AF695" s="64"/>
      <c r="AG695" s="64"/>
    </row>
    <row r="696">
      <c r="A696" s="64"/>
      <c r="B696" s="64"/>
      <c r="C696" s="64"/>
      <c r="D696" s="64"/>
      <c r="E696" s="65"/>
      <c r="F696" s="64"/>
      <c r="G696" s="67"/>
      <c r="H696" s="64"/>
      <c r="I696" s="64"/>
      <c r="J696" s="64"/>
      <c r="K696" s="64"/>
      <c r="L696" s="65"/>
      <c r="M696" s="64"/>
      <c r="N696" s="64"/>
      <c r="O696" s="64"/>
      <c r="P696" s="64"/>
      <c r="Q696" s="64"/>
      <c r="R696" s="64"/>
      <c r="S696" s="64"/>
      <c r="T696" s="65"/>
      <c r="U696" s="64"/>
      <c r="V696" s="64"/>
      <c r="W696" s="64"/>
      <c r="X696" s="64"/>
      <c r="Y696" s="64"/>
      <c r="Z696" s="64"/>
      <c r="AA696" s="64"/>
      <c r="AB696" s="64"/>
      <c r="AC696" s="64"/>
      <c r="AD696" s="64"/>
      <c r="AE696" s="64"/>
      <c r="AF696" s="64"/>
      <c r="AG696" s="64"/>
    </row>
    <row r="697">
      <c r="A697" s="64"/>
      <c r="B697" s="64"/>
      <c r="C697" s="64"/>
      <c r="D697" s="64"/>
      <c r="E697" s="65"/>
      <c r="F697" s="64"/>
      <c r="G697" s="67"/>
      <c r="H697" s="64"/>
      <c r="I697" s="64"/>
      <c r="J697" s="64"/>
      <c r="K697" s="64"/>
      <c r="L697" s="65"/>
      <c r="M697" s="64"/>
      <c r="N697" s="64"/>
      <c r="O697" s="64"/>
      <c r="P697" s="64"/>
      <c r="Q697" s="64"/>
      <c r="R697" s="64"/>
      <c r="S697" s="64"/>
      <c r="T697" s="65"/>
      <c r="U697" s="64"/>
      <c r="V697" s="64"/>
      <c r="W697" s="64"/>
      <c r="X697" s="64"/>
      <c r="Y697" s="64"/>
      <c r="Z697" s="64"/>
      <c r="AA697" s="64"/>
      <c r="AB697" s="64"/>
      <c r="AC697" s="64"/>
      <c r="AD697" s="64"/>
      <c r="AE697" s="64"/>
      <c r="AF697" s="64"/>
      <c r="AG697" s="64"/>
    </row>
    <row r="698">
      <c r="A698" s="64"/>
      <c r="B698" s="64"/>
      <c r="C698" s="64"/>
      <c r="D698" s="64"/>
      <c r="E698" s="65"/>
      <c r="F698" s="64"/>
      <c r="G698" s="67"/>
      <c r="H698" s="64"/>
      <c r="I698" s="64"/>
      <c r="J698" s="64"/>
      <c r="K698" s="64"/>
      <c r="L698" s="65"/>
      <c r="M698" s="64"/>
      <c r="N698" s="64"/>
      <c r="O698" s="64"/>
      <c r="P698" s="64"/>
      <c r="Q698" s="64"/>
      <c r="R698" s="64"/>
      <c r="S698" s="64"/>
      <c r="T698" s="65"/>
      <c r="U698" s="64"/>
      <c r="V698" s="64"/>
      <c r="W698" s="64"/>
      <c r="X698" s="64"/>
      <c r="Y698" s="64"/>
      <c r="Z698" s="64"/>
      <c r="AA698" s="64"/>
      <c r="AB698" s="64"/>
      <c r="AC698" s="64"/>
      <c r="AD698" s="64"/>
      <c r="AE698" s="64"/>
      <c r="AF698" s="64"/>
      <c r="AG698" s="64"/>
    </row>
    <row r="699">
      <c r="A699" s="64"/>
      <c r="B699" s="64"/>
      <c r="C699" s="64"/>
      <c r="D699" s="64"/>
      <c r="E699" s="65"/>
      <c r="F699" s="64"/>
      <c r="G699" s="67"/>
      <c r="H699" s="64"/>
      <c r="I699" s="64"/>
      <c r="J699" s="64"/>
      <c r="K699" s="64"/>
      <c r="L699" s="65"/>
      <c r="M699" s="64"/>
      <c r="N699" s="64"/>
      <c r="O699" s="64"/>
      <c r="P699" s="64"/>
      <c r="Q699" s="64"/>
      <c r="R699" s="64"/>
      <c r="S699" s="64"/>
      <c r="T699" s="65"/>
      <c r="U699" s="64"/>
      <c r="V699" s="64"/>
      <c r="W699" s="64"/>
      <c r="X699" s="64"/>
      <c r="Y699" s="64"/>
      <c r="Z699" s="64"/>
      <c r="AA699" s="64"/>
      <c r="AB699" s="64"/>
      <c r="AC699" s="64"/>
      <c r="AD699" s="64"/>
      <c r="AE699" s="64"/>
      <c r="AF699" s="64"/>
      <c r="AG699" s="64"/>
    </row>
    <row r="700">
      <c r="A700" s="64"/>
      <c r="B700" s="64"/>
      <c r="C700" s="64"/>
      <c r="D700" s="64"/>
      <c r="E700" s="65"/>
      <c r="F700" s="64"/>
      <c r="G700" s="67"/>
      <c r="H700" s="64"/>
      <c r="I700" s="64"/>
      <c r="J700" s="64"/>
      <c r="K700" s="64"/>
      <c r="L700" s="65"/>
      <c r="M700" s="64"/>
      <c r="N700" s="64"/>
      <c r="O700" s="64"/>
      <c r="P700" s="64"/>
      <c r="Q700" s="64"/>
      <c r="R700" s="64"/>
      <c r="S700" s="64"/>
      <c r="T700" s="65"/>
      <c r="U700" s="64"/>
      <c r="V700" s="64"/>
      <c r="W700" s="64"/>
      <c r="X700" s="64"/>
      <c r="Y700" s="64"/>
      <c r="Z700" s="64"/>
      <c r="AA700" s="64"/>
      <c r="AB700" s="64"/>
      <c r="AC700" s="64"/>
      <c r="AD700" s="64"/>
      <c r="AE700" s="64"/>
      <c r="AF700" s="64"/>
      <c r="AG700" s="64"/>
    </row>
    <row r="701">
      <c r="A701" s="64"/>
      <c r="B701" s="64"/>
      <c r="C701" s="64"/>
      <c r="D701" s="64"/>
      <c r="E701" s="65"/>
      <c r="F701" s="64"/>
      <c r="G701" s="67"/>
      <c r="H701" s="64"/>
      <c r="I701" s="64"/>
      <c r="J701" s="64"/>
      <c r="K701" s="64"/>
      <c r="L701" s="65"/>
      <c r="M701" s="64"/>
      <c r="N701" s="64"/>
      <c r="O701" s="64"/>
      <c r="P701" s="64"/>
      <c r="Q701" s="64"/>
      <c r="R701" s="64"/>
      <c r="S701" s="64"/>
      <c r="T701" s="65"/>
      <c r="U701" s="64"/>
      <c r="V701" s="64"/>
      <c r="W701" s="64"/>
      <c r="X701" s="64"/>
      <c r="Y701" s="64"/>
      <c r="Z701" s="64"/>
      <c r="AA701" s="64"/>
      <c r="AB701" s="64"/>
      <c r="AC701" s="64"/>
      <c r="AD701" s="64"/>
      <c r="AE701" s="64"/>
      <c r="AF701" s="64"/>
      <c r="AG701" s="64"/>
    </row>
    <row r="702">
      <c r="A702" s="64"/>
      <c r="B702" s="64"/>
      <c r="C702" s="64"/>
      <c r="D702" s="64"/>
      <c r="E702" s="65"/>
      <c r="F702" s="64"/>
      <c r="G702" s="67"/>
      <c r="H702" s="64"/>
      <c r="I702" s="64"/>
      <c r="J702" s="64"/>
      <c r="K702" s="64"/>
      <c r="L702" s="65"/>
      <c r="M702" s="64"/>
      <c r="N702" s="64"/>
      <c r="O702" s="64"/>
      <c r="P702" s="64"/>
      <c r="Q702" s="64"/>
      <c r="R702" s="64"/>
      <c r="S702" s="64"/>
      <c r="T702" s="65"/>
      <c r="U702" s="64"/>
      <c r="V702" s="64"/>
      <c r="W702" s="64"/>
      <c r="X702" s="64"/>
      <c r="Y702" s="64"/>
      <c r="Z702" s="64"/>
      <c r="AA702" s="64"/>
      <c r="AB702" s="64"/>
      <c r="AC702" s="64"/>
      <c r="AD702" s="64"/>
      <c r="AE702" s="64"/>
      <c r="AF702" s="64"/>
      <c r="AG702" s="64"/>
    </row>
    <row r="703">
      <c r="A703" s="64"/>
      <c r="B703" s="64"/>
      <c r="C703" s="64"/>
      <c r="D703" s="64"/>
      <c r="E703" s="65"/>
      <c r="F703" s="64"/>
      <c r="G703" s="67"/>
      <c r="H703" s="64"/>
      <c r="I703" s="64"/>
      <c r="J703" s="64"/>
      <c r="K703" s="64"/>
      <c r="L703" s="65"/>
      <c r="M703" s="64"/>
      <c r="N703" s="64"/>
      <c r="O703" s="64"/>
      <c r="P703" s="64"/>
      <c r="Q703" s="64"/>
      <c r="R703" s="64"/>
      <c r="S703" s="64"/>
      <c r="T703" s="65"/>
      <c r="U703" s="64"/>
      <c r="V703" s="64"/>
      <c r="W703" s="64"/>
      <c r="X703" s="64"/>
      <c r="Y703" s="64"/>
      <c r="Z703" s="64"/>
      <c r="AA703" s="64"/>
      <c r="AB703" s="64"/>
      <c r="AC703" s="64"/>
      <c r="AD703" s="64"/>
      <c r="AE703" s="64"/>
      <c r="AF703" s="64"/>
      <c r="AG703" s="64"/>
    </row>
    <row r="704">
      <c r="A704" s="64"/>
      <c r="B704" s="64"/>
      <c r="C704" s="64"/>
      <c r="D704" s="64"/>
      <c r="E704" s="65"/>
      <c r="F704" s="64"/>
      <c r="G704" s="67"/>
      <c r="H704" s="64"/>
      <c r="I704" s="64"/>
      <c r="J704" s="64"/>
      <c r="K704" s="64"/>
      <c r="L704" s="65"/>
      <c r="M704" s="64"/>
      <c r="N704" s="64"/>
      <c r="O704" s="64"/>
      <c r="P704" s="64"/>
      <c r="Q704" s="64"/>
      <c r="R704" s="64"/>
      <c r="S704" s="64"/>
      <c r="T704" s="65"/>
      <c r="U704" s="64"/>
      <c r="V704" s="64"/>
      <c r="W704" s="64"/>
      <c r="X704" s="64"/>
      <c r="Y704" s="64"/>
      <c r="Z704" s="64"/>
      <c r="AA704" s="64"/>
      <c r="AB704" s="64"/>
      <c r="AC704" s="64"/>
      <c r="AD704" s="64"/>
      <c r="AE704" s="64"/>
      <c r="AF704" s="64"/>
      <c r="AG704" s="64"/>
    </row>
    <row r="705">
      <c r="A705" s="64"/>
      <c r="B705" s="64"/>
      <c r="C705" s="64"/>
      <c r="D705" s="64"/>
      <c r="E705" s="65"/>
      <c r="F705" s="64"/>
      <c r="G705" s="67"/>
      <c r="H705" s="64"/>
      <c r="I705" s="64"/>
      <c r="J705" s="64"/>
      <c r="K705" s="64"/>
      <c r="L705" s="65"/>
      <c r="M705" s="64"/>
      <c r="N705" s="64"/>
      <c r="O705" s="64"/>
      <c r="P705" s="64"/>
      <c r="Q705" s="64"/>
      <c r="R705" s="64"/>
      <c r="S705" s="64"/>
      <c r="T705" s="65"/>
      <c r="U705" s="64"/>
      <c r="V705" s="64"/>
      <c r="W705" s="64"/>
      <c r="X705" s="64"/>
      <c r="Y705" s="64"/>
      <c r="Z705" s="64"/>
      <c r="AA705" s="64"/>
      <c r="AB705" s="64"/>
      <c r="AC705" s="64"/>
      <c r="AD705" s="64"/>
      <c r="AE705" s="64"/>
      <c r="AF705" s="64"/>
      <c r="AG705" s="64"/>
    </row>
    <row r="706">
      <c r="A706" s="64"/>
      <c r="B706" s="64"/>
      <c r="C706" s="64"/>
      <c r="D706" s="64"/>
      <c r="E706" s="65"/>
      <c r="F706" s="64"/>
      <c r="G706" s="67"/>
      <c r="H706" s="64"/>
      <c r="I706" s="64"/>
      <c r="J706" s="64"/>
      <c r="K706" s="64"/>
      <c r="L706" s="65"/>
      <c r="M706" s="64"/>
      <c r="N706" s="64"/>
      <c r="O706" s="64"/>
      <c r="P706" s="64"/>
      <c r="Q706" s="64"/>
      <c r="R706" s="64"/>
      <c r="S706" s="64"/>
      <c r="T706" s="65"/>
      <c r="U706" s="64"/>
      <c r="V706" s="64"/>
      <c r="W706" s="64"/>
      <c r="X706" s="64"/>
      <c r="Y706" s="64"/>
      <c r="Z706" s="64"/>
      <c r="AA706" s="64"/>
      <c r="AB706" s="64"/>
      <c r="AC706" s="64"/>
      <c r="AD706" s="64"/>
      <c r="AE706" s="64"/>
      <c r="AF706" s="64"/>
      <c r="AG706" s="64"/>
    </row>
    <row r="707">
      <c r="A707" s="64"/>
      <c r="B707" s="64"/>
      <c r="C707" s="64"/>
      <c r="D707" s="64"/>
      <c r="E707" s="65"/>
      <c r="F707" s="64"/>
      <c r="G707" s="67"/>
      <c r="H707" s="64"/>
      <c r="I707" s="64"/>
      <c r="J707" s="64"/>
      <c r="K707" s="64"/>
      <c r="L707" s="65"/>
      <c r="M707" s="64"/>
      <c r="N707" s="64"/>
      <c r="O707" s="64"/>
      <c r="P707" s="64"/>
      <c r="Q707" s="64"/>
      <c r="R707" s="64"/>
      <c r="S707" s="64"/>
      <c r="T707" s="65"/>
      <c r="U707" s="64"/>
      <c r="V707" s="64"/>
      <c r="W707" s="64"/>
      <c r="X707" s="64"/>
      <c r="Y707" s="64"/>
      <c r="Z707" s="64"/>
      <c r="AA707" s="64"/>
      <c r="AB707" s="64"/>
      <c r="AC707" s="64"/>
      <c r="AD707" s="64"/>
      <c r="AE707" s="64"/>
      <c r="AF707" s="64"/>
      <c r="AG707" s="64"/>
    </row>
    <row r="708">
      <c r="A708" s="64"/>
      <c r="B708" s="64"/>
      <c r="C708" s="64"/>
      <c r="D708" s="64"/>
      <c r="E708" s="65"/>
      <c r="F708" s="64"/>
      <c r="G708" s="67"/>
      <c r="H708" s="64"/>
      <c r="I708" s="64"/>
      <c r="J708" s="64"/>
      <c r="K708" s="64"/>
      <c r="L708" s="65"/>
      <c r="M708" s="64"/>
      <c r="N708" s="64"/>
      <c r="O708" s="64"/>
      <c r="P708" s="64"/>
      <c r="Q708" s="64"/>
      <c r="R708" s="64"/>
      <c r="S708" s="64"/>
      <c r="T708" s="65"/>
      <c r="U708" s="64"/>
      <c r="V708" s="64"/>
      <c r="W708" s="64"/>
      <c r="X708" s="64"/>
      <c r="Y708" s="64"/>
      <c r="Z708" s="64"/>
      <c r="AA708" s="64"/>
      <c r="AB708" s="64"/>
      <c r="AC708" s="64"/>
      <c r="AD708" s="64"/>
      <c r="AE708" s="64"/>
      <c r="AF708" s="64"/>
      <c r="AG708" s="64"/>
    </row>
    <row r="709">
      <c r="A709" s="64"/>
      <c r="B709" s="64"/>
      <c r="C709" s="64"/>
      <c r="D709" s="64"/>
      <c r="E709" s="65"/>
      <c r="F709" s="64"/>
      <c r="G709" s="67"/>
      <c r="H709" s="64"/>
      <c r="I709" s="64"/>
      <c r="J709" s="64"/>
      <c r="K709" s="64"/>
      <c r="L709" s="65"/>
      <c r="M709" s="64"/>
      <c r="N709" s="64"/>
      <c r="O709" s="64"/>
      <c r="P709" s="64"/>
      <c r="Q709" s="64"/>
      <c r="R709" s="64"/>
      <c r="S709" s="64"/>
      <c r="T709" s="65"/>
      <c r="U709" s="64"/>
      <c r="V709" s="64"/>
      <c r="W709" s="64"/>
      <c r="X709" s="64"/>
      <c r="Y709" s="64"/>
      <c r="Z709" s="64"/>
      <c r="AA709" s="64"/>
      <c r="AB709" s="64"/>
      <c r="AC709" s="64"/>
      <c r="AD709" s="64"/>
      <c r="AE709" s="64"/>
      <c r="AF709" s="64"/>
      <c r="AG709" s="64"/>
    </row>
    <row r="710">
      <c r="A710" s="64"/>
      <c r="B710" s="64"/>
      <c r="C710" s="64"/>
      <c r="D710" s="64"/>
      <c r="E710" s="65"/>
      <c r="F710" s="64"/>
      <c r="G710" s="67"/>
      <c r="H710" s="64"/>
      <c r="I710" s="64"/>
      <c r="J710" s="64"/>
      <c r="K710" s="64"/>
      <c r="L710" s="65"/>
      <c r="M710" s="64"/>
      <c r="N710" s="64"/>
      <c r="O710" s="64"/>
      <c r="P710" s="64"/>
      <c r="Q710" s="64"/>
      <c r="R710" s="64"/>
      <c r="S710" s="64"/>
      <c r="T710" s="65"/>
      <c r="U710" s="64"/>
      <c r="V710" s="64"/>
      <c r="W710" s="64"/>
      <c r="X710" s="64"/>
      <c r="Y710" s="64"/>
      <c r="Z710" s="64"/>
      <c r="AA710" s="64"/>
      <c r="AB710" s="64"/>
      <c r="AC710" s="64"/>
      <c r="AD710" s="64"/>
      <c r="AE710" s="64"/>
      <c r="AF710" s="64"/>
      <c r="AG710" s="64"/>
    </row>
    <row r="711">
      <c r="A711" s="64"/>
      <c r="B711" s="64"/>
      <c r="C711" s="64"/>
      <c r="D711" s="64"/>
      <c r="E711" s="65"/>
      <c r="F711" s="64"/>
      <c r="G711" s="67"/>
      <c r="H711" s="64"/>
      <c r="I711" s="64"/>
      <c r="J711" s="64"/>
      <c r="K711" s="64"/>
      <c r="L711" s="65"/>
      <c r="M711" s="64"/>
      <c r="N711" s="64"/>
      <c r="O711" s="64"/>
      <c r="P711" s="64"/>
      <c r="Q711" s="64"/>
      <c r="R711" s="64"/>
      <c r="S711" s="64"/>
      <c r="T711" s="65"/>
      <c r="U711" s="64"/>
      <c r="V711" s="64"/>
      <c r="W711" s="64"/>
      <c r="X711" s="64"/>
      <c r="Y711" s="64"/>
      <c r="Z711" s="64"/>
      <c r="AA711" s="64"/>
      <c r="AB711" s="64"/>
      <c r="AC711" s="64"/>
      <c r="AD711" s="64"/>
      <c r="AE711" s="64"/>
      <c r="AF711" s="64"/>
      <c r="AG711" s="64"/>
    </row>
    <row r="712">
      <c r="A712" s="64"/>
      <c r="B712" s="64"/>
      <c r="C712" s="64"/>
      <c r="D712" s="64"/>
      <c r="E712" s="65"/>
      <c r="F712" s="64"/>
      <c r="G712" s="67"/>
      <c r="H712" s="64"/>
      <c r="I712" s="64"/>
      <c r="J712" s="64"/>
      <c r="K712" s="64"/>
      <c r="L712" s="65"/>
      <c r="M712" s="64"/>
      <c r="N712" s="64"/>
      <c r="O712" s="64"/>
      <c r="P712" s="64"/>
      <c r="Q712" s="64"/>
      <c r="R712" s="64"/>
      <c r="S712" s="64"/>
      <c r="T712" s="65"/>
      <c r="U712" s="64"/>
      <c r="V712" s="64"/>
      <c r="W712" s="64"/>
      <c r="X712" s="64"/>
      <c r="Y712" s="64"/>
      <c r="Z712" s="64"/>
      <c r="AA712" s="64"/>
      <c r="AB712" s="64"/>
      <c r="AC712" s="64"/>
      <c r="AD712" s="64"/>
      <c r="AE712" s="64"/>
      <c r="AF712" s="64"/>
      <c r="AG712" s="64"/>
    </row>
    <row r="713">
      <c r="A713" s="64"/>
      <c r="B713" s="64"/>
      <c r="C713" s="64"/>
      <c r="D713" s="64"/>
      <c r="E713" s="65"/>
      <c r="F713" s="64"/>
      <c r="G713" s="67"/>
      <c r="H713" s="64"/>
      <c r="I713" s="64"/>
      <c r="J713" s="64"/>
      <c r="K713" s="64"/>
      <c r="L713" s="65"/>
      <c r="M713" s="64"/>
      <c r="N713" s="64"/>
      <c r="O713" s="64"/>
      <c r="P713" s="64"/>
      <c r="Q713" s="64"/>
      <c r="R713" s="64"/>
      <c r="S713" s="64"/>
      <c r="T713" s="65"/>
      <c r="U713" s="64"/>
      <c r="V713" s="64"/>
      <c r="W713" s="64"/>
      <c r="X713" s="64"/>
      <c r="Y713" s="64"/>
      <c r="Z713" s="64"/>
      <c r="AA713" s="64"/>
      <c r="AB713" s="64"/>
      <c r="AC713" s="64"/>
      <c r="AD713" s="64"/>
      <c r="AE713" s="64"/>
      <c r="AF713" s="64"/>
      <c r="AG713" s="64"/>
    </row>
    <row r="714">
      <c r="A714" s="64"/>
      <c r="B714" s="64"/>
      <c r="C714" s="64"/>
      <c r="D714" s="64"/>
      <c r="E714" s="65"/>
      <c r="F714" s="64"/>
      <c r="G714" s="67"/>
      <c r="H714" s="64"/>
      <c r="I714" s="64"/>
      <c r="J714" s="64"/>
      <c r="K714" s="64"/>
      <c r="L714" s="65"/>
      <c r="M714" s="64"/>
      <c r="N714" s="64"/>
      <c r="O714" s="64"/>
      <c r="P714" s="64"/>
      <c r="Q714" s="64"/>
      <c r="R714" s="64"/>
      <c r="S714" s="64"/>
      <c r="T714" s="65"/>
      <c r="U714" s="64"/>
      <c r="V714" s="64"/>
      <c r="W714" s="64"/>
      <c r="X714" s="64"/>
      <c r="Y714" s="64"/>
      <c r="Z714" s="64"/>
      <c r="AA714" s="64"/>
      <c r="AB714" s="64"/>
      <c r="AC714" s="64"/>
      <c r="AD714" s="64"/>
      <c r="AE714" s="64"/>
      <c r="AF714" s="64"/>
      <c r="AG714" s="64"/>
    </row>
    <row r="715">
      <c r="A715" s="64"/>
      <c r="B715" s="64"/>
      <c r="C715" s="64"/>
      <c r="D715" s="64"/>
      <c r="E715" s="65"/>
      <c r="F715" s="64"/>
      <c r="G715" s="67"/>
      <c r="H715" s="64"/>
      <c r="I715" s="64"/>
      <c r="J715" s="64"/>
      <c r="K715" s="64"/>
      <c r="L715" s="65"/>
      <c r="M715" s="64"/>
      <c r="N715" s="64"/>
      <c r="O715" s="64"/>
      <c r="P715" s="64"/>
      <c r="Q715" s="64"/>
      <c r="R715" s="64"/>
      <c r="S715" s="64"/>
      <c r="T715" s="65"/>
      <c r="U715" s="64"/>
      <c r="V715" s="64"/>
      <c r="W715" s="64"/>
      <c r="X715" s="64"/>
      <c r="Y715" s="64"/>
      <c r="Z715" s="64"/>
      <c r="AA715" s="64"/>
      <c r="AB715" s="64"/>
      <c r="AC715" s="64"/>
      <c r="AD715" s="64"/>
      <c r="AE715" s="64"/>
      <c r="AF715" s="64"/>
      <c r="AG715" s="64"/>
    </row>
    <row r="716">
      <c r="A716" s="64"/>
      <c r="B716" s="64"/>
      <c r="C716" s="64"/>
      <c r="D716" s="64"/>
      <c r="E716" s="65"/>
      <c r="F716" s="64"/>
      <c r="G716" s="67"/>
      <c r="H716" s="64"/>
      <c r="I716" s="64"/>
      <c r="J716" s="64"/>
      <c r="K716" s="64"/>
      <c r="L716" s="65"/>
      <c r="M716" s="64"/>
      <c r="N716" s="64"/>
      <c r="O716" s="64"/>
      <c r="P716" s="64"/>
      <c r="Q716" s="64"/>
      <c r="R716" s="64"/>
      <c r="S716" s="64"/>
      <c r="T716" s="65"/>
      <c r="U716" s="64"/>
      <c r="V716" s="64"/>
      <c r="W716" s="64"/>
      <c r="X716" s="64"/>
      <c r="Y716" s="64"/>
      <c r="Z716" s="64"/>
      <c r="AA716" s="64"/>
      <c r="AB716" s="64"/>
      <c r="AC716" s="64"/>
      <c r="AD716" s="64"/>
      <c r="AE716" s="64"/>
      <c r="AF716" s="64"/>
      <c r="AG716" s="64"/>
    </row>
    <row r="717">
      <c r="A717" s="64"/>
      <c r="B717" s="64"/>
      <c r="C717" s="64"/>
      <c r="D717" s="64"/>
      <c r="E717" s="65"/>
      <c r="F717" s="64"/>
      <c r="G717" s="67"/>
      <c r="H717" s="64"/>
      <c r="I717" s="64"/>
      <c r="J717" s="64"/>
      <c r="K717" s="64"/>
      <c r="L717" s="65"/>
      <c r="M717" s="64"/>
      <c r="N717" s="64"/>
      <c r="O717" s="64"/>
      <c r="P717" s="64"/>
      <c r="Q717" s="64"/>
      <c r="R717" s="64"/>
      <c r="S717" s="64"/>
      <c r="T717" s="65"/>
      <c r="U717" s="64"/>
      <c r="V717" s="64"/>
      <c r="W717" s="64"/>
      <c r="X717" s="64"/>
      <c r="Y717" s="64"/>
      <c r="Z717" s="64"/>
      <c r="AA717" s="64"/>
      <c r="AB717" s="64"/>
      <c r="AC717" s="64"/>
      <c r="AD717" s="64"/>
      <c r="AE717" s="64"/>
      <c r="AF717" s="64"/>
      <c r="AG717" s="64"/>
    </row>
    <row r="718">
      <c r="A718" s="64"/>
      <c r="B718" s="64"/>
      <c r="C718" s="64"/>
      <c r="D718" s="64"/>
      <c r="E718" s="65"/>
      <c r="F718" s="64"/>
      <c r="G718" s="67"/>
      <c r="H718" s="64"/>
      <c r="I718" s="64"/>
      <c r="J718" s="64"/>
      <c r="K718" s="64"/>
      <c r="L718" s="65"/>
      <c r="M718" s="64"/>
      <c r="N718" s="64"/>
      <c r="O718" s="64"/>
      <c r="P718" s="64"/>
      <c r="Q718" s="64"/>
      <c r="R718" s="64"/>
      <c r="S718" s="64"/>
      <c r="T718" s="65"/>
      <c r="U718" s="64"/>
      <c r="V718" s="64"/>
      <c r="W718" s="64"/>
      <c r="X718" s="64"/>
      <c r="Y718" s="64"/>
      <c r="Z718" s="64"/>
      <c r="AA718" s="64"/>
      <c r="AB718" s="64"/>
      <c r="AC718" s="64"/>
      <c r="AD718" s="64"/>
      <c r="AE718" s="64"/>
      <c r="AF718" s="64"/>
      <c r="AG718" s="64"/>
    </row>
    <row r="719">
      <c r="A719" s="64"/>
      <c r="B719" s="64"/>
      <c r="C719" s="64"/>
      <c r="D719" s="64"/>
      <c r="E719" s="65"/>
      <c r="F719" s="64"/>
      <c r="G719" s="67"/>
      <c r="H719" s="64"/>
      <c r="I719" s="64"/>
      <c r="J719" s="64"/>
      <c r="K719" s="64"/>
      <c r="L719" s="65"/>
      <c r="M719" s="64"/>
      <c r="N719" s="64"/>
      <c r="O719" s="64"/>
      <c r="P719" s="64"/>
      <c r="Q719" s="64"/>
      <c r="R719" s="64"/>
      <c r="S719" s="64"/>
      <c r="T719" s="65"/>
      <c r="U719" s="64"/>
      <c r="V719" s="64"/>
      <c r="W719" s="64"/>
      <c r="X719" s="64"/>
      <c r="Y719" s="64"/>
      <c r="Z719" s="64"/>
      <c r="AA719" s="64"/>
      <c r="AB719" s="64"/>
      <c r="AC719" s="64"/>
      <c r="AD719" s="64"/>
      <c r="AE719" s="64"/>
      <c r="AF719" s="64"/>
      <c r="AG719" s="64"/>
    </row>
    <row r="720">
      <c r="A720" s="64"/>
      <c r="B720" s="64"/>
      <c r="C720" s="64"/>
      <c r="D720" s="64"/>
      <c r="E720" s="65"/>
      <c r="F720" s="64"/>
      <c r="G720" s="67"/>
      <c r="H720" s="64"/>
      <c r="I720" s="64"/>
      <c r="J720" s="64"/>
      <c r="K720" s="64"/>
      <c r="L720" s="65"/>
      <c r="M720" s="64"/>
      <c r="N720" s="64"/>
      <c r="O720" s="64"/>
      <c r="P720" s="64"/>
      <c r="Q720" s="64"/>
      <c r="R720" s="64"/>
      <c r="S720" s="64"/>
      <c r="T720" s="65"/>
      <c r="U720" s="64"/>
      <c r="V720" s="64"/>
      <c r="W720" s="64"/>
      <c r="X720" s="64"/>
      <c r="Y720" s="64"/>
      <c r="Z720" s="64"/>
      <c r="AA720" s="64"/>
      <c r="AB720" s="64"/>
      <c r="AC720" s="64"/>
      <c r="AD720" s="64"/>
      <c r="AE720" s="64"/>
      <c r="AF720" s="64"/>
      <c r="AG720" s="64"/>
    </row>
    <row r="721">
      <c r="A721" s="64"/>
      <c r="B721" s="64"/>
      <c r="C721" s="64"/>
      <c r="D721" s="64"/>
      <c r="E721" s="65"/>
      <c r="F721" s="64"/>
      <c r="G721" s="67"/>
      <c r="H721" s="64"/>
      <c r="I721" s="64"/>
      <c r="J721" s="64"/>
      <c r="K721" s="64"/>
      <c r="L721" s="65"/>
      <c r="M721" s="64"/>
      <c r="N721" s="64"/>
      <c r="O721" s="64"/>
      <c r="P721" s="64"/>
      <c r="Q721" s="64"/>
      <c r="R721" s="64"/>
      <c r="S721" s="64"/>
      <c r="T721" s="65"/>
      <c r="U721" s="64"/>
      <c r="V721" s="64"/>
      <c r="W721" s="64"/>
      <c r="X721" s="64"/>
      <c r="Y721" s="64"/>
      <c r="Z721" s="64"/>
      <c r="AA721" s="64"/>
      <c r="AB721" s="64"/>
      <c r="AC721" s="64"/>
      <c r="AD721" s="64"/>
      <c r="AE721" s="64"/>
      <c r="AF721" s="64"/>
      <c r="AG721" s="64"/>
    </row>
    <row r="722">
      <c r="A722" s="64"/>
      <c r="B722" s="64"/>
      <c r="C722" s="64"/>
      <c r="D722" s="64"/>
      <c r="E722" s="65"/>
      <c r="F722" s="64"/>
      <c r="G722" s="67"/>
      <c r="H722" s="64"/>
      <c r="I722" s="64"/>
      <c r="J722" s="64"/>
      <c r="K722" s="64"/>
      <c r="L722" s="65"/>
      <c r="M722" s="64"/>
      <c r="N722" s="64"/>
      <c r="O722" s="64"/>
      <c r="P722" s="64"/>
      <c r="Q722" s="64"/>
      <c r="R722" s="64"/>
      <c r="S722" s="64"/>
      <c r="T722" s="65"/>
      <c r="U722" s="64"/>
      <c r="V722" s="64"/>
      <c r="W722" s="64"/>
      <c r="X722" s="64"/>
      <c r="Y722" s="64"/>
      <c r="Z722" s="64"/>
      <c r="AA722" s="64"/>
      <c r="AB722" s="64"/>
      <c r="AC722" s="64"/>
      <c r="AD722" s="64"/>
      <c r="AE722" s="64"/>
      <c r="AF722" s="64"/>
      <c r="AG722" s="64"/>
    </row>
    <row r="723">
      <c r="A723" s="64"/>
      <c r="B723" s="64"/>
      <c r="C723" s="64"/>
      <c r="D723" s="64"/>
      <c r="E723" s="65"/>
      <c r="F723" s="64"/>
      <c r="G723" s="67"/>
      <c r="H723" s="64"/>
      <c r="I723" s="64"/>
      <c r="J723" s="64"/>
      <c r="K723" s="64"/>
      <c r="L723" s="65"/>
      <c r="M723" s="64"/>
      <c r="N723" s="64"/>
      <c r="O723" s="64"/>
      <c r="P723" s="64"/>
      <c r="Q723" s="64"/>
      <c r="R723" s="64"/>
      <c r="S723" s="64"/>
      <c r="T723" s="65"/>
      <c r="U723" s="64"/>
      <c r="V723" s="64"/>
      <c r="W723" s="64"/>
      <c r="X723" s="64"/>
      <c r="Y723" s="64"/>
      <c r="Z723" s="64"/>
      <c r="AA723" s="64"/>
      <c r="AB723" s="64"/>
      <c r="AC723" s="64"/>
      <c r="AD723" s="64"/>
      <c r="AE723" s="64"/>
      <c r="AF723" s="64"/>
      <c r="AG723" s="64"/>
    </row>
    <row r="724">
      <c r="A724" s="64"/>
      <c r="B724" s="64"/>
      <c r="C724" s="64"/>
      <c r="D724" s="64"/>
      <c r="E724" s="65"/>
      <c r="F724" s="64"/>
      <c r="G724" s="67"/>
      <c r="H724" s="64"/>
      <c r="I724" s="64"/>
      <c r="J724" s="64"/>
      <c r="K724" s="64"/>
      <c r="L724" s="65"/>
      <c r="M724" s="64"/>
      <c r="N724" s="64"/>
      <c r="O724" s="64"/>
      <c r="P724" s="64"/>
      <c r="Q724" s="64"/>
      <c r="R724" s="64"/>
      <c r="S724" s="64"/>
      <c r="T724" s="65"/>
      <c r="U724" s="64"/>
      <c r="V724" s="64"/>
      <c r="W724" s="64"/>
      <c r="X724" s="64"/>
      <c r="Y724" s="64"/>
      <c r="Z724" s="64"/>
      <c r="AA724" s="64"/>
      <c r="AB724" s="64"/>
      <c r="AC724" s="64"/>
      <c r="AD724" s="64"/>
      <c r="AE724" s="64"/>
      <c r="AF724" s="64"/>
      <c r="AG724" s="64"/>
    </row>
    <row r="725">
      <c r="A725" s="64"/>
      <c r="B725" s="64"/>
      <c r="C725" s="64"/>
      <c r="D725" s="64"/>
      <c r="E725" s="65"/>
      <c r="F725" s="64"/>
      <c r="G725" s="67"/>
      <c r="H725" s="64"/>
      <c r="I725" s="64"/>
      <c r="J725" s="64"/>
      <c r="K725" s="64"/>
      <c r="L725" s="65"/>
      <c r="M725" s="64"/>
      <c r="N725" s="64"/>
      <c r="O725" s="64"/>
      <c r="P725" s="64"/>
      <c r="Q725" s="64"/>
      <c r="R725" s="64"/>
      <c r="S725" s="64"/>
      <c r="T725" s="65"/>
      <c r="U725" s="64"/>
      <c r="V725" s="64"/>
      <c r="W725" s="64"/>
      <c r="X725" s="64"/>
      <c r="Y725" s="64"/>
      <c r="Z725" s="64"/>
      <c r="AA725" s="64"/>
      <c r="AB725" s="64"/>
      <c r="AC725" s="64"/>
      <c r="AD725" s="64"/>
      <c r="AE725" s="64"/>
      <c r="AF725" s="64"/>
      <c r="AG725" s="64"/>
    </row>
    <row r="726">
      <c r="A726" s="64"/>
      <c r="B726" s="64"/>
      <c r="C726" s="64"/>
      <c r="D726" s="64"/>
      <c r="E726" s="65"/>
      <c r="F726" s="64"/>
      <c r="G726" s="67"/>
      <c r="H726" s="64"/>
      <c r="I726" s="64"/>
      <c r="J726" s="64"/>
      <c r="K726" s="64"/>
      <c r="L726" s="65"/>
      <c r="M726" s="64"/>
      <c r="N726" s="64"/>
      <c r="O726" s="64"/>
      <c r="P726" s="64"/>
      <c r="Q726" s="64"/>
      <c r="R726" s="64"/>
      <c r="S726" s="64"/>
      <c r="T726" s="65"/>
      <c r="U726" s="64"/>
      <c r="V726" s="64"/>
      <c r="W726" s="64"/>
      <c r="X726" s="64"/>
      <c r="Y726" s="64"/>
      <c r="Z726" s="64"/>
      <c r="AA726" s="64"/>
      <c r="AB726" s="64"/>
      <c r="AC726" s="64"/>
      <c r="AD726" s="64"/>
      <c r="AE726" s="64"/>
      <c r="AF726" s="64"/>
      <c r="AG726" s="64"/>
    </row>
    <row r="727">
      <c r="A727" s="64"/>
      <c r="B727" s="64"/>
      <c r="C727" s="64"/>
      <c r="D727" s="64"/>
      <c r="E727" s="65"/>
      <c r="F727" s="64"/>
      <c r="G727" s="67"/>
      <c r="H727" s="64"/>
      <c r="I727" s="64"/>
      <c r="J727" s="64"/>
      <c r="K727" s="64"/>
      <c r="L727" s="65"/>
      <c r="M727" s="64"/>
      <c r="N727" s="64"/>
      <c r="O727" s="64"/>
      <c r="P727" s="64"/>
      <c r="Q727" s="64"/>
      <c r="R727" s="64"/>
      <c r="S727" s="64"/>
      <c r="T727" s="65"/>
      <c r="U727" s="64"/>
      <c r="V727" s="64"/>
      <c r="W727" s="64"/>
      <c r="X727" s="64"/>
      <c r="Y727" s="64"/>
      <c r="Z727" s="64"/>
      <c r="AA727" s="64"/>
      <c r="AB727" s="64"/>
      <c r="AC727" s="64"/>
      <c r="AD727" s="64"/>
      <c r="AE727" s="64"/>
      <c r="AF727" s="64"/>
      <c r="AG727" s="64"/>
    </row>
    <row r="728">
      <c r="A728" s="64"/>
      <c r="B728" s="64"/>
      <c r="C728" s="64"/>
      <c r="D728" s="64"/>
      <c r="E728" s="65"/>
      <c r="F728" s="64"/>
      <c r="G728" s="67"/>
      <c r="H728" s="64"/>
      <c r="I728" s="64"/>
      <c r="J728" s="64"/>
      <c r="K728" s="64"/>
      <c r="L728" s="65"/>
      <c r="M728" s="64"/>
      <c r="N728" s="64"/>
      <c r="O728" s="64"/>
      <c r="P728" s="64"/>
      <c r="Q728" s="64"/>
      <c r="R728" s="64"/>
      <c r="S728" s="64"/>
      <c r="T728" s="65"/>
      <c r="U728" s="64"/>
      <c r="V728" s="64"/>
      <c r="W728" s="64"/>
      <c r="X728" s="64"/>
      <c r="Y728" s="64"/>
      <c r="Z728" s="64"/>
      <c r="AA728" s="64"/>
      <c r="AB728" s="64"/>
      <c r="AC728" s="64"/>
      <c r="AD728" s="64"/>
      <c r="AE728" s="64"/>
      <c r="AF728" s="64"/>
      <c r="AG728" s="64"/>
    </row>
    <row r="729">
      <c r="A729" s="64"/>
      <c r="B729" s="64"/>
      <c r="C729" s="64"/>
      <c r="D729" s="64"/>
      <c r="E729" s="65"/>
      <c r="F729" s="64"/>
      <c r="G729" s="67"/>
      <c r="H729" s="64"/>
      <c r="I729" s="64"/>
      <c r="J729" s="64"/>
      <c r="K729" s="64"/>
      <c r="L729" s="65"/>
      <c r="M729" s="64"/>
      <c r="N729" s="64"/>
      <c r="O729" s="64"/>
      <c r="P729" s="64"/>
      <c r="Q729" s="64"/>
      <c r="R729" s="64"/>
      <c r="S729" s="64"/>
      <c r="T729" s="65"/>
      <c r="U729" s="64"/>
      <c r="V729" s="64"/>
      <c r="W729" s="64"/>
      <c r="X729" s="64"/>
      <c r="Y729" s="64"/>
      <c r="Z729" s="64"/>
      <c r="AA729" s="64"/>
      <c r="AB729" s="64"/>
      <c r="AC729" s="64"/>
      <c r="AD729" s="64"/>
      <c r="AE729" s="64"/>
      <c r="AF729" s="64"/>
      <c r="AG729" s="64"/>
    </row>
    <row r="730">
      <c r="A730" s="64"/>
      <c r="B730" s="64"/>
      <c r="C730" s="64"/>
      <c r="D730" s="64"/>
      <c r="E730" s="65"/>
      <c r="F730" s="64"/>
      <c r="G730" s="67"/>
      <c r="H730" s="64"/>
      <c r="I730" s="64"/>
      <c r="J730" s="64"/>
      <c r="K730" s="64"/>
      <c r="L730" s="65"/>
      <c r="M730" s="64"/>
      <c r="N730" s="64"/>
      <c r="O730" s="64"/>
      <c r="P730" s="64"/>
      <c r="Q730" s="64"/>
      <c r="R730" s="64"/>
      <c r="S730" s="64"/>
      <c r="T730" s="65"/>
      <c r="U730" s="64"/>
      <c r="V730" s="64"/>
      <c r="W730" s="64"/>
      <c r="X730" s="64"/>
      <c r="Y730" s="64"/>
      <c r="Z730" s="64"/>
      <c r="AA730" s="64"/>
      <c r="AB730" s="64"/>
      <c r="AC730" s="64"/>
      <c r="AD730" s="64"/>
      <c r="AE730" s="64"/>
      <c r="AF730" s="64"/>
      <c r="AG730" s="64"/>
    </row>
    <row r="731">
      <c r="A731" s="64"/>
      <c r="B731" s="64"/>
      <c r="C731" s="64"/>
      <c r="D731" s="64"/>
      <c r="E731" s="65"/>
      <c r="F731" s="64"/>
      <c r="G731" s="67"/>
      <c r="H731" s="64"/>
      <c r="I731" s="64"/>
      <c r="J731" s="64"/>
      <c r="K731" s="64"/>
      <c r="L731" s="65"/>
      <c r="M731" s="64"/>
      <c r="N731" s="64"/>
      <c r="O731" s="64"/>
      <c r="P731" s="64"/>
      <c r="Q731" s="64"/>
      <c r="R731" s="64"/>
      <c r="S731" s="64"/>
      <c r="T731" s="65"/>
      <c r="U731" s="64"/>
      <c r="V731" s="64"/>
      <c r="W731" s="64"/>
      <c r="X731" s="64"/>
      <c r="Y731" s="64"/>
      <c r="Z731" s="64"/>
      <c r="AA731" s="64"/>
      <c r="AB731" s="64"/>
      <c r="AC731" s="64"/>
      <c r="AD731" s="64"/>
      <c r="AE731" s="64"/>
      <c r="AF731" s="64"/>
      <c r="AG731" s="64"/>
    </row>
    <row r="732">
      <c r="A732" s="64"/>
      <c r="B732" s="64"/>
      <c r="C732" s="64"/>
      <c r="D732" s="64"/>
      <c r="E732" s="65"/>
      <c r="F732" s="64"/>
      <c r="G732" s="67"/>
      <c r="H732" s="64"/>
      <c r="I732" s="64"/>
      <c r="J732" s="64"/>
      <c r="K732" s="64"/>
      <c r="L732" s="65"/>
      <c r="M732" s="64"/>
      <c r="N732" s="64"/>
      <c r="O732" s="64"/>
      <c r="P732" s="64"/>
      <c r="Q732" s="64"/>
      <c r="R732" s="64"/>
      <c r="S732" s="64"/>
      <c r="T732" s="65"/>
      <c r="U732" s="64"/>
      <c r="V732" s="64"/>
      <c r="W732" s="64"/>
      <c r="X732" s="64"/>
      <c r="Y732" s="64"/>
      <c r="Z732" s="64"/>
      <c r="AA732" s="64"/>
      <c r="AB732" s="64"/>
      <c r="AC732" s="64"/>
      <c r="AD732" s="64"/>
      <c r="AE732" s="64"/>
      <c r="AF732" s="64"/>
      <c r="AG732" s="64"/>
    </row>
    <row r="733">
      <c r="A733" s="64"/>
      <c r="B733" s="64"/>
      <c r="C733" s="64"/>
      <c r="D733" s="64"/>
      <c r="E733" s="65"/>
      <c r="F733" s="64"/>
      <c r="G733" s="67"/>
      <c r="H733" s="64"/>
      <c r="I733" s="64"/>
      <c r="J733" s="64"/>
      <c r="K733" s="64"/>
      <c r="L733" s="65"/>
      <c r="M733" s="64"/>
      <c r="N733" s="64"/>
      <c r="O733" s="64"/>
      <c r="P733" s="64"/>
      <c r="Q733" s="64"/>
      <c r="R733" s="64"/>
      <c r="S733" s="64"/>
      <c r="T733" s="65"/>
      <c r="U733" s="64"/>
      <c r="V733" s="64"/>
      <c r="W733" s="64"/>
      <c r="X733" s="64"/>
      <c r="Y733" s="64"/>
      <c r="Z733" s="64"/>
      <c r="AA733" s="64"/>
      <c r="AB733" s="64"/>
      <c r="AC733" s="64"/>
      <c r="AD733" s="64"/>
      <c r="AE733" s="64"/>
      <c r="AF733" s="64"/>
      <c r="AG733" s="64"/>
    </row>
    <row r="734">
      <c r="A734" s="64"/>
      <c r="B734" s="64"/>
      <c r="C734" s="64"/>
      <c r="D734" s="64"/>
      <c r="E734" s="65"/>
      <c r="F734" s="64"/>
      <c r="G734" s="67"/>
      <c r="H734" s="64"/>
      <c r="I734" s="64"/>
      <c r="J734" s="64"/>
      <c r="K734" s="64"/>
      <c r="L734" s="65"/>
      <c r="M734" s="64"/>
      <c r="N734" s="64"/>
      <c r="O734" s="64"/>
      <c r="P734" s="64"/>
      <c r="Q734" s="64"/>
      <c r="R734" s="64"/>
      <c r="S734" s="64"/>
      <c r="T734" s="65"/>
      <c r="U734" s="64"/>
      <c r="V734" s="64"/>
      <c r="W734" s="64"/>
      <c r="X734" s="64"/>
      <c r="Y734" s="64"/>
      <c r="Z734" s="64"/>
      <c r="AA734" s="64"/>
      <c r="AB734" s="64"/>
      <c r="AC734" s="64"/>
      <c r="AD734" s="64"/>
      <c r="AE734" s="64"/>
      <c r="AF734" s="64"/>
      <c r="AG734" s="64"/>
    </row>
    <row r="735">
      <c r="A735" s="64"/>
      <c r="B735" s="64"/>
      <c r="C735" s="64"/>
      <c r="D735" s="64"/>
      <c r="E735" s="65"/>
      <c r="F735" s="64"/>
      <c r="G735" s="67"/>
      <c r="H735" s="64"/>
      <c r="I735" s="64"/>
      <c r="J735" s="64"/>
      <c r="K735" s="64"/>
      <c r="L735" s="65"/>
      <c r="M735" s="64"/>
      <c r="N735" s="64"/>
      <c r="O735" s="64"/>
      <c r="P735" s="64"/>
      <c r="Q735" s="64"/>
      <c r="R735" s="64"/>
      <c r="S735" s="64"/>
      <c r="T735" s="65"/>
      <c r="U735" s="64"/>
      <c r="V735" s="64"/>
      <c r="W735" s="64"/>
      <c r="X735" s="64"/>
      <c r="Y735" s="64"/>
      <c r="Z735" s="64"/>
      <c r="AA735" s="64"/>
      <c r="AB735" s="64"/>
      <c r="AC735" s="64"/>
      <c r="AD735" s="64"/>
      <c r="AE735" s="64"/>
      <c r="AF735" s="64"/>
      <c r="AG735" s="64"/>
    </row>
    <row r="736">
      <c r="A736" s="64"/>
      <c r="B736" s="64"/>
      <c r="C736" s="64"/>
      <c r="D736" s="64"/>
      <c r="E736" s="65"/>
      <c r="F736" s="64"/>
      <c r="G736" s="67"/>
      <c r="H736" s="64"/>
      <c r="I736" s="64"/>
      <c r="J736" s="64"/>
      <c r="K736" s="64"/>
      <c r="L736" s="65"/>
      <c r="M736" s="64"/>
      <c r="N736" s="64"/>
      <c r="O736" s="64"/>
      <c r="P736" s="64"/>
      <c r="Q736" s="64"/>
      <c r="R736" s="64"/>
      <c r="S736" s="64"/>
      <c r="T736" s="65"/>
      <c r="U736" s="64"/>
      <c r="V736" s="64"/>
      <c r="W736" s="64"/>
      <c r="X736" s="64"/>
      <c r="Y736" s="64"/>
      <c r="Z736" s="64"/>
      <c r="AA736" s="64"/>
      <c r="AB736" s="64"/>
      <c r="AC736" s="64"/>
      <c r="AD736" s="64"/>
      <c r="AE736" s="64"/>
      <c r="AF736" s="64"/>
      <c r="AG736" s="64"/>
    </row>
    <row r="737">
      <c r="A737" s="64"/>
      <c r="B737" s="64"/>
      <c r="C737" s="64"/>
      <c r="D737" s="64"/>
      <c r="E737" s="65"/>
      <c r="F737" s="64"/>
      <c r="G737" s="67"/>
      <c r="H737" s="64"/>
      <c r="I737" s="64"/>
      <c r="J737" s="64"/>
      <c r="K737" s="64"/>
      <c r="L737" s="65"/>
      <c r="M737" s="64"/>
      <c r="N737" s="64"/>
      <c r="O737" s="64"/>
      <c r="P737" s="64"/>
      <c r="Q737" s="64"/>
      <c r="R737" s="64"/>
      <c r="S737" s="64"/>
      <c r="T737" s="65"/>
      <c r="U737" s="64"/>
      <c r="V737" s="64"/>
      <c r="W737" s="64"/>
      <c r="X737" s="64"/>
      <c r="Y737" s="64"/>
      <c r="Z737" s="64"/>
      <c r="AA737" s="64"/>
      <c r="AB737" s="64"/>
      <c r="AC737" s="64"/>
      <c r="AD737" s="64"/>
      <c r="AE737" s="64"/>
      <c r="AF737" s="64"/>
      <c r="AG737" s="64"/>
    </row>
    <row r="738">
      <c r="A738" s="64"/>
      <c r="B738" s="64"/>
      <c r="C738" s="64"/>
      <c r="D738" s="64"/>
      <c r="E738" s="65"/>
      <c r="F738" s="64"/>
      <c r="G738" s="67"/>
      <c r="H738" s="64"/>
      <c r="I738" s="64"/>
      <c r="J738" s="64"/>
      <c r="K738" s="64"/>
      <c r="L738" s="65"/>
      <c r="M738" s="64"/>
      <c r="N738" s="64"/>
      <c r="O738" s="64"/>
      <c r="P738" s="64"/>
      <c r="Q738" s="64"/>
      <c r="R738" s="64"/>
      <c r="S738" s="64"/>
      <c r="T738" s="65"/>
      <c r="U738" s="64"/>
      <c r="V738" s="64"/>
      <c r="W738" s="64"/>
      <c r="X738" s="64"/>
      <c r="Y738" s="64"/>
      <c r="Z738" s="64"/>
      <c r="AA738" s="64"/>
      <c r="AB738" s="64"/>
      <c r="AC738" s="64"/>
      <c r="AD738" s="64"/>
      <c r="AE738" s="64"/>
      <c r="AF738" s="64"/>
      <c r="AG738" s="64"/>
    </row>
    <row r="739">
      <c r="A739" s="64"/>
      <c r="B739" s="64"/>
      <c r="C739" s="64"/>
      <c r="D739" s="64"/>
      <c r="E739" s="65"/>
      <c r="F739" s="64"/>
      <c r="G739" s="67"/>
      <c r="H739" s="64"/>
      <c r="I739" s="64"/>
      <c r="J739" s="64"/>
      <c r="K739" s="64"/>
      <c r="L739" s="65"/>
      <c r="M739" s="64"/>
      <c r="N739" s="64"/>
      <c r="O739" s="64"/>
      <c r="P739" s="64"/>
      <c r="Q739" s="64"/>
      <c r="R739" s="64"/>
      <c r="S739" s="64"/>
      <c r="T739" s="65"/>
      <c r="U739" s="64"/>
      <c r="V739" s="64"/>
      <c r="W739" s="64"/>
      <c r="X739" s="64"/>
      <c r="Y739" s="64"/>
      <c r="Z739" s="64"/>
      <c r="AA739" s="64"/>
      <c r="AB739" s="64"/>
      <c r="AC739" s="64"/>
      <c r="AD739" s="64"/>
      <c r="AE739" s="64"/>
      <c r="AF739" s="64"/>
      <c r="AG739" s="64"/>
    </row>
    <row r="740">
      <c r="A740" s="64"/>
      <c r="B740" s="64"/>
      <c r="C740" s="64"/>
      <c r="D740" s="64"/>
      <c r="E740" s="65"/>
      <c r="F740" s="64"/>
      <c r="G740" s="67"/>
      <c r="H740" s="64"/>
      <c r="I740" s="64"/>
      <c r="J740" s="64"/>
      <c r="K740" s="64"/>
      <c r="L740" s="65"/>
      <c r="M740" s="64"/>
      <c r="N740" s="64"/>
      <c r="O740" s="64"/>
      <c r="P740" s="64"/>
      <c r="Q740" s="64"/>
      <c r="R740" s="64"/>
      <c r="S740" s="64"/>
      <c r="T740" s="65"/>
      <c r="U740" s="64"/>
      <c r="V740" s="64"/>
      <c r="W740" s="64"/>
      <c r="X740" s="64"/>
      <c r="Y740" s="64"/>
      <c r="Z740" s="64"/>
      <c r="AA740" s="64"/>
      <c r="AB740" s="64"/>
      <c r="AC740" s="64"/>
      <c r="AD740" s="64"/>
      <c r="AE740" s="64"/>
      <c r="AF740" s="64"/>
      <c r="AG740" s="64"/>
    </row>
    <row r="741">
      <c r="A741" s="64"/>
      <c r="B741" s="64"/>
      <c r="C741" s="64"/>
      <c r="D741" s="64"/>
      <c r="E741" s="65"/>
      <c r="F741" s="64"/>
      <c r="G741" s="67"/>
      <c r="H741" s="64"/>
      <c r="I741" s="64"/>
      <c r="J741" s="64"/>
      <c r="K741" s="64"/>
      <c r="L741" s="65"/>
      <c r="M741" s="64"/>
      <c r="N741" s="64"/>
      <c r="O741" s="64"/>
      <c r="P741" s="64"/>
      <c r="Q741" s="64"/>
      <c r="R741" s="64"/>
      <c r="S741" s="64"/>
      <c r="T741" s="65"/>
      <c r="U741" s="64"/>
      <c r="V741" s="64"/>
      <c r="W741" s="64"/>
      <c r="X741" s="64"/>
      <c r="Y741" s="64"/>
      <c r="Z741" s="64"/>
      <c r="AA741" s="64"/>
      <c r="AB741" s="64"/>
      <c r="AC741" s="64"/>
      <c r="AD741" s="64"/>
      <c r="AE741" s="64"/>
      <c r="AF741" s="64"/>
      <c r="AG741" s="64"/>
    </row>
    <row r="742">
      <c r="A742" s="64"/>
      <c r="B742" s="64"/>
      <c r="C742" s="64"/>
      <c r="D742" s="64"/>
      <c r="E742" s="65"/>
      <c r="F742" s="64"/>
      <c r="G742" s="67"/>
      <c r="H742" s="64"/>
      <c r="I742" s="64"/>
      <c r="J742" s="64"/>
      <c r="K742" s="64"/>
      <c r="L742" s="65"/>
      <c r="M742" s="64"/>
      <c r="N742" s="64"/>
      <c r="O742" s="64"/>
      <c r="P742" s="64"/>
      <c r="Q742" s="64"/>
      <c r="R742" s="64"/>
      <c r="S742" s="64"/>
      <c r="T742" s="65"/>
      <c r="U742" s="64"/>
      <c r="V742" s="64"/>
      <c r="W742" s="64"/>
      <c r="X742" s="64"/>
      <c r="Y742" s="64"/>
      <c r="Z742" s="64"/>
      <c r="AA742" s="64"/>
      <c r="AB742" s="64"/>
      <c r="AC742" s="64"/>
      <c r="AD742" s="64"/>
      <c r="AE742" s="64"/>
      <c r="AF742" s="64"/>
      <c r="AG742" s="64"/>
    </row>
    <row r="743">
      <c r="A743" s="64"/>
      <c r="B743" s="64"/>
      <c r="C743" s="64"/>
      <c r="D743" s="64"/>
      <c r="E743" s="65"/>
      <c r="F743" s="64"/>
      <c r="G743" s="67"/>
      <c r="H743" s="64"/>
      <c r="I743" s="64"/>
      <c r="J743" s="64"/>
      <c r="K743" s="64"/>
      <c r="L743" s="65"/>
      <c r="M743" s="64"/>
      <c r="N743" s="64"/>
      <c r="O743" s="64"/>
      <c r="P743" s="64"/>
      <c r="Q743" s="64"/>
      <c r="R743" s="64"/>
      <c r="S743" s="64"/>
      <c r="T743" s="65"/>
      <c r="U743" s="64"/>
      <c r="V743" s="64"/>
      <c r="W743" s="64"/>
      <c r="X743" s="64"/>
      <c r="Y743" s="64"/>
      <c r="Z743" s="64"/>
      <c r="AA743" s="64"/>
      <c r="AB743" s="64"/>
      <c r="AC743" s="64"/>
      <c r="AD743" s="64"/>
      <c r="AE743" s="64"/>
      <c r="AF743" s="64"/>
      <c r="AG743" s="64"/>
    </row>
    <row r="744">
      <c r="A744" s="64"/>
      <c r="B744" s="64"/>
      <c r="C744" s="64"/>
      <c r="D744" s="64"/>
      <c r="E744" s="65"/>
      <c r="F744" s="64"/>
      <c r="G744" s="67"/>
      <c r="H744" s="64"/>
      <c r="I744" s="64"/>
      <c r="J744" s="64"/>
      <c r="K744" s="64"/>
      <c r="L744" s="65"/>
      <c r="M744" s="64"/>
      <c r="N744" s="64"/>
      <c r="O744" s="64"/>
      <c r="P744" s="64"/>
      <c r="Q744" s="64"/>
      <c r="R744" s="64"/>
      <c r="S744" s="64"/>
      <c r="T744" s="65"/>
      <c r="U744" s="64"/>
      <c r="V744" s="64"/>
      <c r="W744" s="64"/>
      <c r="X744" s="64"/>
      <c r="Y744" s="64"/>
      <c r="Z744" s="64"/>
      <c r="AA744" s="64"/>
      <c r="AB744" s="64"/>
      <c r="AC744" s="64"/>
      <c r="AD744" s="64"/>
      <c r="AE744" s="64"/>
      <c r="AF744" s="64"/>
      <c r="AG744" s="64"/>
    </row>
    <row r="745">
      <c r="A745" s="64"/>
      <c r="B745" s="64"/>
      <c r="C745" s="64"/>
      <c r="D745" s="64"/>
      <c r="E745" s="65"/>
      <c r="F745" s="64"/>
      <c r="G745" s="67"/>
      <c r="H745" s="64"/>
      <c r="I745" s="64"/>
      <c r="J745" s="64"/>
      <c r="K745" s="64"/>
      <c r="L745" s="65"/>
      <c r="M745" s="64"/>
      <c r="N745" s="64"/>
      <c r="O745" s="64"/>
      <c r="P745" s="64"/>
      <c r="Q745" s="64"/>
      <c r="R745" s="64"/>
      <c r="S745" s="64"/>
      <c r="T745" s="65"/>
      <c r="U745" s="64"/>
      <c r="V745" s="64"/>
      <c r="W745" s="64"/>
      <c r="X745" s="64"/>
      <c r="Y745" s="64"/>
      <c r="Z745" s="64"/>
      <c r="AA745" s="64"/>
      <c r="AB745" s="64"/>
      <c r="AC745" s="64"/>
      <c r="AD745" s="64"/>
      <c r="AE745" s="64"/>
      <c r="AF745" s="64"/>
      <c r="AG745" s="64"/>
    </row>
    <row r="746">
      <c r="A746" s="64"/>
      <c r="B746" s="64"/>
      <c r="C746" s="64"/>
      <c r="D746" s="64"/>
      <c r="E746" s="65"/>
      <c r="F746" s="64"/>
      <c r="G746" s="67"/>
      <c r="H746" s="64"/>
      <c r="I746" s="64"/>
      <c r="J746" s="64"/>
      <c r="K746" s="64"/>
      <c r="L746" s="65"/>
      <c r="M746" s="64"/>
      <c r="N746" s="64"/>
      <c r="O746" s="64"/>
      <c r="P746" s="64"/>
      <c r="Q746" s="64"/>
      <c r="R746" s="64"/>
      <c r="S746" s="64"/>
      <c r="T746" s="65"/>
      <c r="U746" s="64"/>
      <c r="V746" s="64"/>
      <c r="W746" s="64"/>
      <c r="X746" s="64"/>
      <c r="Y746" s="64"/>
      <c r="Z746" s="64"/>
      <c r="AA746" s="64"/>
      <c r="AB746" s="64"/>
      <c r="AC746" s="64"/>
      <c r="AD746" s="64"/>
      <c r="AE746" s="64"/>
      <c r="AF746" s="64"/>
      <c r="AG746" s="64"/>
    </row>
    <row r="747">
      <c r="A747" s="64"/>
      <c r="B747" s="64"/>
      <c r="C747" s="64"/>
      <c r="D747" s="64"/>
      <c r="E747" s="65"/>
      <c r="F747" s="64"/>
      <c r="G747" s="67"/>
      <c r="H747" s="64"/>
      <c r="I747" s="64"/>
      <c r="J747" s="64"/>
      <c r="K747" s="64"/>
      <c r="L747" s="65"/>
      <c r="M747" s="64"/>
      <c r="N747" s="64"/>
      <c r="O747" s="64"/>
      <c r="P747" s="64"/>
      <c r="Q747" s="64"/>
      <c r="R747" s="64"/>
      <c r="S747" s="64"/>
      <c r="T747" s="65"/>
      <c r="U747" s="64"/>
      <c r="V747" s="64"/>
      <c r="W747" s="64"/>
      <c r="X747" s="64"/>
      <c r="Y747" s="64"/>
      <c r="Z747" s="64"/>
      <c r="AA747" s="64"/>
      <c r="AB747" s="64"/>
      <c r="AC747" s="64"/>
      <c r="AD747" s="64"/>
      <c r="AE747" s="64"/>
      <c r="AF747" s="64"/>
      <c r="AG747" s="64"/>
    </row>
    <row r="748">
      <c r="A748" s="64"/>
      <c r="B748" s="64"/>
      <c r="C748" s="64"/>
      <c r="D748" s="64"/>
      <c r="E748" s="65"/>
      <c r="F748" s="64"/>
      <c r="G748" s="67"/>
      <c r="H748" s="64"/>
      <c r="I748" s="64"/>
      <c r="J748" s="64"/>
      <c r="K748" s="64"/>
      <c r="L748" s="65"/>
      <c r="M748" s="64"/>
      <c r="N748" s="64"/>
      <c r="O748" s="64"/>
      <c r="P748" s="64"/>
      <c r="Q748" s="64"/>
      <c r="R748" s="64"/>
      <c r="S748" s="64"/>
      <c r="T748" s="65"/>
      <c r="U748" s="64"/>
      <c r="V748" s="64"/>
      <c r="W748" s="64"/>
      <c r="X748" s="64"/>
      <c r="Y748" s="64"/>
      <c r="Z748" s="64"/>
      <c r="AA748" s="64"/>
      <c r="AB748" s="64"/>
      <c r="AC748" s="64"/>
      <c r="AD748" s="64"/>
      <c r="AE748" s="64"/>
      <c r="AF748" s="64"/>
      <c r="AG748" s="64"/>
    </row>
    <row r="749">
      <c r="A749" s="64"/>
      <c r="B749" s="64"/>
      <c r="C749" s="64"/>
      <c r="D749" s="64"/>
      <c r="E749" s="65"/>
      <c r="F749" s="64"/>
      <c r="G749" s="67"/>
      <c r="H749" s="64"/>
      <c r="I749" s="64"/>
      <c r="J749" s="64"/>
      <c r="K749" s="64"/>
      <c r="L749" s="65"/>
      <c r="M749" s="64"/>
      <c r="N749" s="64"/>
      <c r="O749" s="64"/>
      <c r="P749" s="64"/>
      <c r="Q749" s="64"/>
      <c r="R749" s="64"/>
      <c r="S749" s="64"/>
      <c r="T749" s="65"/>
      <c r="U749" s="64"/>
      <c r="V749" s="64"/>
      <c r="W749" s="64"/>
      <c r="X749" s="64"/>
      <c r="Y749" s="64"/>
      <c r="Z749" s="64"/>
      <c r="AA749" s="64"/>
      <c r="AB749" s="64"/>
      <c r="AC749" s="64"/>
      <c r="AD749" s="64"/>
      <c r="AE749" s="64"/>
      <c r="AF749" s="64"/>
      <c r="AG749" s="64"/>
    </row>
    <row r="750">
      <c r="A750" s="64"/>
      <c r="B750" s="64"/>
      <c r="C750" s="64"/>
      <c r="D750" s="64"/>
      <c r="E750" s="65"/>
      <c r="F750" s="64"/>
      <c r="G750" s="67"/>
      <c r="H750" s="64"/>
      <c r="I750" s="64"/>
      <c r="J750" s="64"/>
      <c r="K750" s="64"/>
      <c r="L750" s="65"/>
      <c r="M750" s="64"/>
      <c r="N750" s="64"/>
      <c r="O750" s="64"/>
      <c r="P750" s="64"/>
      <c r="Q750" s="64"/>
      <c r="R750" s="64"/>
      <c r="S750" s="64"/>
      <c r="T750" s="65"/>
      <c r="U750" s="64"/>
      <c r="V750" s="64"/>
      <c r="W750" s="64"/>
      <c r="X750" s="64"/>
      <c r="Y750" s="64"/>
      <c r="Z750" s="64"/>
      <c r="AA750" s="64"/>
      <c r="AB750" s="64"/>
      <c r="AC750" s="64"/>
      <c r="AD750" s="64"/>
      <c r="AE750" s="64"/>
      <c r="AF750" s="64"/>
      <c r="AG750" s="64"/>
    </row>
    <row r="751">
      <c r="A751" s="64"/>
      <c r="B751" s="64"/>
      <c r="C751" s="64"/>
      <c r="D751" s="64"/>
      <c r="E751" s="65"/>
      <c r="F751" s="64"/>
      <c r="G751" s="67"/>
      <c r="H751" s="64"/>
      <c r="I751" s="64"/>
      <c r="J751" s="64"/>
      <c r="K751" s="64"/>
      <c r="L751" s="65"/>
      <c r="M751" s="64"/>
      <c r="N751" s="64"/>
      <c r="O751" s="64"/>
      <c r="P751" s="64"/>
      <c r="Q751" s="64"/>
      <c r="R751" s="64"/>
      <c r="S751" s="64"/>
      <c r="T751" s="65"/>
      <c r="U751" s="64"/>
      <c r="V751" s="64"/>
      <c r="W751" s="64"/>
      <c r="X751" s="64"/>
      <c r="Y751" s="64"/>
      <c r="Z751" s="64"/>
      <c r="AA751" s="64"/>
      <c r="AB751" s="64"/>
      <c r="AC751" s="64"/>
      <c r="AD751" s="64"/>
      <c r="AE751" s="64"/>
      <c r="AF751" s="64"/>
      <c r="AG751" s="64"/>
    </row>
    <row r="752">
      <c r="A752" s="64"/>
      <c r="B752" s="64"/>
      <c r="C752" s="64"/>
      <c r="D752" s="64"/>
      <c r="E752" s="65"/>
      <c r="F752" s="64"/>
      <c r="G752" s="67"/>
      <c r="H752" s="64"/>
      <c r="I752" s="64"/>
      <c r="J752" s="64"/>
      <c r="K752" s="64"/>
      <c r="L752" s="65"/>
      <c r="M752" s="64"/>
      <c r="N752" s="64"/>
      <c r="O752" s="64"/>
      <c r="P752" s="64"/>
      <c r="Q752" s="64"/>
      <c r="R752" s="64"/>
      <c r="S752" s="64"/>
      <c r="T752" s="65"/>
      <c r="U752" s="64"/>
      <c r="V752" s="64"/>
      <c r="W752" s="64"/>
      <c r="X752" s="64"/>
      <c r="Y752" s="64"/>
      <c r="Z752" s="64"/>
      <c r="AA752" s="64"/>
      <c r="AB752" s="64"/>
      <c r="AC752" s="64"/>
      <c r="AD752" s="64"/>
      <c r="AE752" s="64"/>
      <c r="AF752" s="64"/>
      <c r="AG752" s="64"/>
    </row>
    <row r="753">
      <c r="A753" s="64"/>
      <c r="B753" s="64"/>
      <c r="C753" s="64"/>
      <c r="D753" s="64"/>
      <c r="E753" s="65"/>
      <c r="F753" s="64"/>
      <c r="G753" s="67"/>
      <c r="H753" s="64"/>
      <c r="I753" s="64"/>
      <c r="J753" s="64"/>
      <c r="K753" s="64"/>
      <c r="L753" s="65"/>
      <c r="M753" s="64"/>
      <c r="N753" s="64"/>
      <c r="O753" s="64"/>
      <c r="P753" s="64"/>
      <c r="Q753" s="64"/>
      <c r="R753" s="64"/>
      <c r="S753" s="64"/>
      <c r="T753" s="65"/>
      <c r="U753" s="64"/>
      <c r="V753" s="64"/>
      <c r="W753" s="64"/>
      <c r="X753" s="64"/>
      <c r="Y753" s="64"/>
      <c r="Z753" s="64"/>
      <c r="AA753" s="64"/>
      <c r="AB753" s="64"/>
      <c r="AC753" s="64"/>
      <c r="AD753" s="64"/>
      <c r="AE753" s="64"/>
      <c r="AF753" s="64"/>
      <c r="AG753" s="64"/>
    </row>
    <row r="754">
      <c r="A754" s="64"/>
      <c r="B754" s="64"/>
      <c r="C754" s="64"/>
      <c r="D754" s="64"/>
      <c r="E754" s="65"/>
      <c r="F754" s="64"/>
      <c r="G754" s="67"/>
      <c r="H754" s="64"/>
      <c r="I754" s="64"/>
      <c r="J754" s="64"/>
      <c r="K754" s="64"/>
      <c r="L754" s="65"/>
      <c r="M754" s="64"/>
      <c r="N754" s="64"/>
      <c r="O754" s="64"/>
      <c r="P754" s="64"/>
      <c r="Q754" s="64"/>
      <c r="R754" s="64"/>
      <c r="S754" s="64"/>
      <c r="T754" s="65"/>
      <c r="U754" s="64"/>
      <c r="V754" s="64"/>
      <c r="W754" s="64"/>
      <c r="X754" s="64"/>
      <c r="Y754" s="64"/>
      <c r="Z754" s="64"/>
      <c r="AA754" s="64"/>
      <c r="AB754" s="64"/>
      <c r="AC754" s="64"/>
      <c r="AD754" s="64"/>
      <c r="AE754" s="64"/>
      <c r="AF754" s="64"/>
      <c r="AG754" s="64"/>
    </row>
    <row r="755">
      <c r="A755" s="64"/>
      <c r="B755" s="64"/>
      <c r="C755" s="64"/>
      <c r="D755" s="64"/>
      <c r="E755" s="65"/>
      <c r="F755" s="64"/>
      <c r="G755" s="67"/>
      <c r="H755" s="64"/>
      <c r="I755" s="64"/>
      <c r="J755" s="64"/>
      <c r="K755" s="64"/>
      <c r="L755" s="65"/>
      <c r="M755" s="64"/>
      <c r="N755" s="64"/>
      <c r="O755" s="64"/>
      <c r="P755" s="64"/>
      <c r="Q755" s="64"/>
      <c r="R755" s="64"/>
      <c r="S755" s="64"/>
      <c r="T755" s="65"/>
      <c r="U755" s="64"/>
      <c r="V755" s="64"/>
      <c r="W755" s="64"/>
      <c r="X755" s="64"/>
      <c r="Y755" s="64"/>
      <c r="Z755" s="64"/>
      <c r="AA755" s="64"/>
      <c r="AB755" s="64"/>
      <c r="AC755" s="64"/>
      <c r="AD755" s="64"/>
      <c r="AE755" s="64"/>
      <c r="AF755" s="64"/>
      <c r="AG755" s="64"/>
    </row>
    <row r="756">
      <c r="A756" s="64"/>
      <c r="B756" s="64"/>
      <c r="C756" s="64"/>
      <c r="D756" s="64"/>
      <c r="E756" s="65"/>
      <c r="F756" s="64"/>
      <c r="G756" s="67"/>
      <c r="H756" s="64"/>
      <c r="I756" s="64"/>
      <c r="J756" s="64"/>
      <c r="K756" s="64"/>
      <c r="L756" s="65"/>
      <c r="M756" s="64"/>
      <c r="N756" s="64"/>
      <c r="O756" s="64"/>
      <c r="P756" s="64"/>
      <c r="Q756" s="64"/>
      <c r="R756" s="64"/>
      <c r="S756" s="64"/>
      <c r="T756" s="65"/>
      <c r="U756" s="64"/>
      <c r="V756" s="64"/>
      <c r="W756" s="64"/>
      <c r="X756" s="64"/>
      <c r="Y756" s="64"/>
      <c r="Z756" s="64"/>
      <c r="AA756" s="64"/>
      <c r="AB756" s="64"/>
      <c r="AC756" s="64"/>
      <c r="AD756" s="64"/>
      <c r="AE756" s="64"/>
      <c r="AF756" s="64"/>
      <c r="AG756" s="64"/>
    </row>
    <row r="757">
      <c r="A757" s="64"/>
      <c r="B757" s="64"/>
      <c r="C757" s="64"/>
      <c r="D757" s="64"/>
      <c r="E757" s="65"/>
      <c r="F757" s="64"/>
      <c r="G757" s="67"/>
      <c r="H757" s="64"/>
      <c r="I757" s="64"/>
      <c r="J757" s="64"/>
      <c r="K757" s="64"/>
      <c r="L757" s="65"/>
      <c r="M757" s="64"/>
      <c r="N757" s="64"/>
      <c r="O757" s="64"/>
      <c r="P757" s="64"/>
      <c r="Q757" s="64"/>
      <c r="R757" s="64"/>
      <c r="S757" s="64"/>
      <c r="T757" s="65"/>
      <c r="U757" s="64"/>
      <c r="V757" s="64"/>
      <c r="W757" s="64"/>
      <c r="X757" s="64"/>
      <c r="Y757" s="64"/>
      <c r="Z757" s="64"/>
      <c r="AA757" s="64"/>
      <c r="AB757" s="64"/>
      <c r="AC757" s="64"/>
      <c r="AD757" s="64"/>
      <c r="AE757" s="64"/>
      <c r="AF757" s="64"/>
      <c r="AG757" s="64"/>
    </row>
    <row r="758">
      <c r="A758" s="64"/>
      <c r="B758" s="64"/>
      <c r="C758" s="64"/>
      <c r="D758" s="64"/>
      <c r="E758" s="65"/>
      <c r="F758" s="64"/>
      <c r="G758" s="67"/>
      <c r="H758" s="64"/>
      <c r="I758" s="64"/>
      <c r="J758" s="64"/>
      <c r="K758" s="64"/>
      <c r="L758" s="65"/>
      <c r="M758" s="64"/>
      <c r="N758" s="64"/>
      <c r="O758" s="64"/>
      <c r="P758" s="64"/>
      <c r="Q758" s="64"/>
      <c r="R758" s="64"/>
      <c r="S758" s="64"/>
      <c r="T758" s="65"/>
      <c r="U758" s="64"/>
      <c r="V758" s="64"/>
      <c r="W758" s="64"/>
      <c r="X758" s="64"/>
      <c r="Y758" s="64"/>
      <c r="Z758" s="64"/>
      <c r="AA758" s="64"/>
      <c r="AB758" s="64"/>
      <c r="AC758" s="64"/>
      <c r="AD758" s="64"/>
      <c r="AE758" s="64"/>
      <c r="AF758" s="64"/>
      <c r="AG758" s="64"/>
    </row>
    <row r="759">
      <c r="A759" s="64"/>
      <c r="B759" s="64"/>
      <c r="C759" s="64"/>
      <c r="D759" s="64"/>
      <c r="E759" s="65"/>
      <c r="F759" s="64"/>
      <c r="G759" s="67"/>
      <c r="H759" s="64"/>
      <c r="I759" s="64"/>
      <c r="J759" s="64"/>
      <c r="K759" s="64"/>
      <c r="L759" s="65"/>
      <c r="M759" s="64"/>
      <c r="N759" s="64"/>
      <c r="O759" s="64"/>
      <c r="P759" s="64"/>
      <c r="Q759" s="64"/>
      <c r="R759" s="64"/>
      <c r="S759" s="64"/>
      <c r="T759" s="65"/>
      <c r="U759" s="64"/>
      <c r="V759" s="64"/>
      <c r="W759" s="64"/>
      <c r="X759" s="64"/>
      <c r="Y759" s="64"/>
      <c r="Z759" s="64"/>
      <c r="AA759" s="64"/>
      <c r="AB759" s="64"/>
      <c r="AC759" s="64"/>
      <c r="AD759" s="64"/>
      <c r="AE759" s="64"/>
      <c r="AF759" s="64"/>
      <c r="AG759" s="64"/>
    </row>
    <row r="760">
      <c r="A760" s="64"/>
      <c r="B760" s="64"/>
      <c r="C760" s="64"/>
      <c r="D760" s="64"/>
      <c r="E760" s="65"/>
      <c r="F760" s="64"/>
      <c r="G760" s="67"/>
      <c r="H760" s="64"/>
      <c r="I760" s="64"/>
      <c r="J760" s="64"/>
      <c r="K760" s="64"/>
      <c r="L760" s="65"/>
      <c r="M760" s="64"/>
      <c r="N760" s="64"/>
      <c r="O760" s="64"/>
      <c r="P760" s="64"/>
      <c r="Q760" s="64"/>
      <c r="R760" s="64"/>
      <c r="S760" s="64"/>
      <c r="T760" s="65"/>
      <c r="U760" s="64"/>
      <c r="V760" s="64"/>
      <c r="W760" s="64"/>
      <c r="X760" s="64"/>
      <c r="Y760" s="64"/>
      <c r="Z760" s="64"/>
      <c r="AA760" s="64"/>
      <c r="AB760" s="64"/>
      <c r="AC760" s="64"/>
      <c r="AD760" s="64"/>
      <c r="AE760" s="64"/>
      <c r="AF760" s="64"/>
      <c r="AG760" s="64"/>
    </row>
    <row r="761">
      <c r="A761" s="64"/>
      <c r="B761" s="64"/>
      <c r="C761" s="64"/>
      <c r="D761" s="64"/>
      <c r="E761" s="65"/>
      <c r="F761" s="64"/>
      <c r="G761" s="67"/>
      <c r="H761" s="64"/>
      <c r="I761" s="64"/>
      <c r="J761" s="64"/>
      <c r="K761" s="64"/>
      <c r="L761" s="65"/>
      <c r="M761" s="64"/>
      <c r="N761" s="64"/>
      <c r="O761" s="64"/>
      <c r="P761" s="64"/>
      <c r="Q761" s="64"/>
      <c r="R761" s="64"/>
      <c r="S761" s="64"/>
      <c r="T761" s="65"/>
      <c r="U761" s="64"/>
      <c r="V761" s="64"/>
      <c r="W761" s="64"/>
      <c r="X761" s="64"/>
      <c r="Y761" s="64"/>
      <c r="Z761" s="64"/>
      <c r="AA761" s="64"/>
      <c r="AB761" s="64"/>
      <c r="AC761" s="64"/>
      <c r="AD761" s="64"/>
      <c r="AE761" s="64"/>
      <c r="AF761" s="64"/>
      <c r="AG761" s="64"/>
    </row>
    <row r="762">
      <c r="A762" s="64"/>
      <c r="B762" s="64"/>
      <c r="C762" s="64"/>
      <c r="D762" s="64"/>
      <c r="E762" s="65"/>
      <c r="F762" s="64"/>
      <c r="G762" s="67"/>
      <c r="H762" s="64"/>
      <c r="I762" s="64"/>
      <c r="J762" s="64"/>
      <c r="K762" s="64"/>
      <c r="L762" s="65"/>
      <c r="M762" s="64"/>
      <c r="N762" s="64"/>
      <c r="O762" s="64"/>
      <c r="P762" s="64"/>
      <c r="Q762" s="64"/>
      <c r="R762" s="64"/>
      <c r="S762" s="64"/>
      <c r="T762" s="65"/>
      <c r="U762" s="64"/>
      <c r="V762" s="64"/>
      <c r="W762" s="64"/>
      <c r="X762" s="64"/>
      <c r="Y762" s="64"/>
      <c r="Z762" s="64"/>
      <c r="AA762" s="64"/>
      <c r="AB762" s="64"/>
      <c r="AC762" s="64"/>
      <c r="AD762" s="64"/>
      <c r="AE762" s="64"/>
      <c r="AF762" s="64"/>
      <c r="AG762" s="64"/>
    </row>
    <row r="763">
      <c r="A763" s="64"/>
      <c r="B763" s="64"/>
      <c r="C763" s="64"/>
      <c r="D763" s="64"/>
      <c r="E763" s="65"/>
      <c r="F763" s="64"/>
      <c r="G763" s="67"/>
      <c r="H763" s="64"/>
      <c r="I763" s="64"/>
      <c r="J763" s="64"/>
      <c r="K763" s="64"/>
      <c r="L763" s="65"/>
      <c r="M763" s="64"/>
      <c r="N763" s="64"/>
      <c r="O763" s="64"/>
      <c r="P763" s="64"/>
      <c r="Q763" s="64"/>
      <c r="R763" s="64"/>
      <c r="S763" s="64"/>
      <c r="T763" s="65"/>
      <c r="U763" s="64"/>
      <c r="V763" s="64"/>
      <c r="W763" s="64"/>
      <c r="X763" s="64"/>
      <c r="Y763" s="64"/>
      <c r="Z763" s="64"/>
      <c r="AA763" s="64"/>
      <c r="AB763" s="64"/>
      <c r="AC763" s="64"/>
      <c r="AD763" s="64"/>
      <c r="AE763" s="64"/>
      <c r="AF763" s="64"/>
      <c r="AG763" s="64"/>
    </row>
    <row r="764">
      <c r="A764" s="64"/>
      <c r="B764" s="64"/>
      <c r="C764" s="64"/>
      <c r="D764" s="64"/>
      <c r="E764" s="65"/>
      <c r="F764" s="64"/>
      <c r="G764" s="67"/>
      <c r="H764" s="64"/>
      <c r="I764" s="64"/>
      <c r="J764" s="64"/>
      <c r="K764" s="64"/>
      <c r="L764" s="65"/>
      <c r="M764" s="64"/>
      <c r="N764" s="64"/>
      <c r="O764" s="64"/>
      <c r="P764" s="64"/>
      <c r="Q764" s="64"/>
      <c r="R764" s="64"/>
      <c r="S764" s="64"/>
      <c r="T764" s="65"/>
      <c r="U764" s="64"/>
      <c r="V764" s="64"/>
      <c r="W764" s="64"/>
      <c r="X764" s="64"/>
      <c r="Y764" s="64"/>
      <c r="Z764" s="64"/>
      <c r="AA764" s="64"/>
      <c r="AB764" s="64"/>
      <c r="AC764" s="64"/>
      <c r="AD764" s="64"/>
      <c r="AE764" s="64"/>
      <c r="AF764" s="64"/>
      <c r="AG764" s="64"/>
    </row>
    <row r="765">
      <c r="A765" s="64"/>
      <c r="B765" s="64"/>
      <c r="C765" s="64"/>
      <c r="D765" s="64"/>
      <c r="E765" s="65"/>
      <c r="F765" s="64"/>
      <c r="G765" s="67"/>
      <c r="H765" s="64"/>
      <c r="I765" s="64"/>
      <c r="J765" s="64"/>
      <c r="K765" s="64"/>
      <c r="L765" s="65"/>
      <c r="M765" s="64"/>
      <c r="N765" s="64"/>
      <c r="O765" s="64"/>
      <c r="P765" s="64"/>
      <c r="Q765" s="64"/>
      <c r="R765" s="64"/>
      <c r="S765" s="64"/>
      <c r="T765" s="65"/>
      <c r="U765" s="64"/>
      <c r="V765" s="64"/>
      <c r="W765" s="64"/>
      <c r="X765" s="64"/>
      <c r="Y765" s="64"/>
      <c r="Z765" s="64"/>
      <c r="AA765" s="64"/>
      <c r="AB765" s="64"/>
      <c r="AC765" s="64"/>
      <c r="AD765" s="64"/>
      <c r="AE765" s="64"/>
      <c r="AF765" s="64"/>
      <c r="AG765" s="64"/>
    </row>
    <row r="766">
      <c r="A766" s="64"/>
      <c r="B766" s="64"/>
      <c r="C766" s="64"/>
      <c r="D766" s="64"/>
      <c r="E766" s="65"/>
      <c r="F766" s="64"/>
      <c r="G766" s="67"/>
      <c r="H766" s="64"/>
      <c r="I766" s="64"/>
      <c r="J766" s="64"/>
      <c r="K766" s="64"/>
      <c r="L766" s="65"/>
      <c r="M766" s="64"/>
      <c r="N766" s="64"/>
      <c r="O766" s="64"/>
      <c r="P766" s="64"/>
      <c r="Q766" s="64"/>
      <c r="R766" s="64"/>
      <c r="S766" s="64"/>
      <c r="T766" s="65"/>
      <c r="U766" s="64"/>
      <c r="V766" s="64"/>
      <c r="W766" s="64"/>
      <c r="X766" s="64"/>
      <c r="Y766" s="64"/>
      <c r="Z766" s="64"/>
      <c r="AA766" s="64"/>
      <c r="AB766" s="64"/>
      <c r="AC766" s="64"/>
      <c r="AD766" s="64"/>
      <c r="AE766" s="64"/>
      <c r="AF766" s="64"/>
      <c r="AG766" s="64"/>
    </row>
    <row r="767">
      <c r="A767" s="64"/>
      <c r="B767" s="64"/>
      <c r="C767" s="64"/>
      <c r="D767" s="64"/>
      <c r="E767" s="65"/>
      <c r="F767" s="64"/>
      <c r="G767" s="67"/>
      <c r="H767" s="64"/>
      <c r="I767" s="64"/>
      <c r="J767" s="64"/>
      <c r="K767" s="64"/>
      <c r="L767" s="65"/>
      <c r="M767" s="64"/>
      <c r="N767" s="64"/>
      <c r="O767" s="64"/>
      <c r="P767" s="64"/>
      <c r="Q767" s="64"/>
      <c r="R767" s="64"/>
      <c r="S767" s="64"/>
      <c r="T767" s="65"/>
      <c r="U767" s="64"/>
      <c r="V767" s="64"/>
      <c r="W767" s="64"/>
      <c r="X767" s="64"/>
      <c r="Y767" s="64"/>
      <c r="Z767" s="64"/>
      <c r="AA767" s="64"/>
      <c r="AB767" s="64"/>
      <c r="AC767" s="64"/>
      <c r="AD767" s="64"/>
      <c r="AE767" s="64"/>
      <c r="AF767" s="64"/>
      <c r="AG767" s="64"/>
    </row>
    <row r="768">
      <c r="A768" s="64"/>
      <c r="B768" s="64"/>
      <c r="C768" s="64"/>
      <c r="D768" s="64"/>
      <c r="E768" s="65"/>
      <c r="F768" s="64"/>
      <c r="G768" s="67"/>
      <c r="H768" s="64"/>
      <c r="I768" s="64"/>
      <c r="J768" s="64"/>
      <c r="K768" s="64"/>
      <c r="L768" s="65"/>
      <c r="M768" s="64"/>
      <c r="N768" s="64"/>
      <c r="O768" s="64"/>
      <c r="P768" s="64"/>
      <c r="Q768" s="64"/>
      <c r="R768" s="64"/>
      <c r="S768" s="64"/>
      <c r="T768" s="65"/>
      <c r="U768" s="64"/>
      <c r="V768" s="64"/>
      <c r="W768" s="64"/>
      <c r="X768" s="64"/>
      <c r="Y768" s="64"/>
      <c r="Z768" s="64"/>
      <c r="AA768" s="64"/>
      <c r="AB768" s="64"/>
      <c r="AC768" s="64"/>
      <c r="AD768" s="64"/>
      <c r="AE768" s="64"/>
      <c r="AF768" s="64"/>
      <c r="AG768" s="64"/>
    </row>
    <row r="769">
      <c r="A769" s="64"/>
      <c r="B769" s="64"/>
      <c r="C769" s="64"/>
      <c r="D769" s="64"/>
      <c r="E769" s="65"/>
      <c r="F769" s="64"/>
      <c r="G769" s="67"/>
      <c r="H769" s="64"/>
      <c r="I769" s="64"/>
      <c r="J769" s="64"/>
      <c r="K769" s="64"/>
      <c r="L769" s="65"/>
      <c r="M769" s="64"/>
      <c r="N769" s="64"/>
      <c r="O769" s="64"/>
      <c r="P769" s="64"/>
      <c r="Q769" s="64"/>
      <c r="R769" s="64"/>
      <c r="S769" s="64"/>
      <c r="T769" s="65"/>
      <c r="U769" s="64"/>
      <c r="V769" s="64"/>
      <c r="W769" s="64"/>
      <c r="X769" s="64"/>
      <c r="Y769" s="64"/>
      <c r="Z769" s="64"/>
      <c r="AA769" s="64"/>
      <c r="AB769" s="64"/>
      <c r="AC769" s="64"/>
      <c r="AD769" s="64"/>
      <c r="AE769" s="64"/>
      <c r="AF769" s="64"/>
      <c r="AG769" s="64"/>
    </row>
    <row r="770">
      <c r="A770" s="64"/>
      <c r="B770" s="64"/>
      <c r="C770" s="64"/>
      <c r="D770" s="64"/>
      <c r="E770" s="65"/>
      <c r="F770" s="64"/>
      <c r="G770" s="67"/>
      <c r="H770" s="64"/>
      <c r="I770" s="64"/>
      <c r="J770" s="64"/>
      <c r="K770" s="64"/>
      <c r="L770" s="65"/>
      <c r="M770" s="64"/>
      <c r="N770" s="64"/>
      <c r="O770" s="64"/>
      <c r="P770" s="64"/>
      <c r="Q770" s="64"/>
      <c r="R770" s="64"/>
      <c r="S770" s="64"/>
      <c r="T770" s="65"/>
      <c r="U770" s="64"/>
      <c r="V770" s="64"/>
      <c r="W770" s="64"/>
      <c r="X770" s="64"/>
      <c r="Y770" s="64"/>
      <c r="Z770" s="64"/>
      <c r="AA770" s="64"/>
      <c r="AB770" s="64"/>
      <c r="AC770" s="64"/>
      <c r="AD770" s="64"/>
      <c r="AE770" s="64"/>
      <c r="AF770" s="64"/>
      <c r="AG770" s="64"/>
    </row>
    <row r="771">
      <c r="A771" s="64"/>
      <c r="B771" s="64"/>
      <c r="C771" s="64"/>
      <c r="D771" s="64"/>
      <c r="E771" s="65"/>
      <c r="F771" s="64"/>
      <c r="G771" s="67"/>
      <c r="H771" s="64"/>
      <c r="I771" s="64"/>
      <c r="J771" s="64"/>
      <c r="K771" s="64"/>
      <c r="L771" s="65"/>
      <c r="M771" s="64"/>
      <c r="N771" s="64"/>
      <c r="O771" s="64"/>
      <c r="P771" s="64"/>
      <c r="Q771" s="64"/>
      <c r="R771" s="64"/>
      <c r="S771" s="64"/>
      <c r="T771" s="65"/>
      <c r="U771" s="64"/>
      <c r="V771" s="64"/>
      <c r="W771" s="64"/>
      <c r="X771" s="64"/>
      <c r="Y771" s="64"/>
      <c r="Z771" s="64"/>
      <c r="AA771" s="64"/>
      <c r="AB771" s="64"/>
      <c r="AC771" s="64"/>
      <c r="AD771" s="64"/>
      <c r="AE771" s="64"/>
      <c r="AF771" s="64"/>
      <c r="AG771" s="64"/>
    </row>
    <row r="772">
      <c r="A772" s="64"/>
      <c r="B772" s="64"/>
      <c r="C772" s="64"/>
      <c r="D772" s="64"/>
      <c r="E772" s="65"/>
      <c r="F772" s="64"/>
      <c r="G772" s="67"/>
      <c r="H772" s="64"/>
      <c r="I772" s="64"/>
      <c r="J772" s="64"/>
      <c r="K772" s="64"/>
      <c r="L772" s="65"/>
      <c r="M772" s="64"/>
      <c r="N772" s="64"/>
      <c r="O772" s="64"/>
      <c r="P772" s="64"/>
      <c r="Q772" s="64"/>
      <c r="R772" s="64"/>
      <c r="S772" s="64"/>
      <c r="T772" s="65"/>
      <c r="U772" s="64"/>
      <c r="V772" s="64"/>
      <c r="W772" s="64"/>
      <c r="X772" s="64"/>
      <c r="Y772" s="64"/>
      <c r="Z772" s="64"/>
      <c r="AA772" s="64"/>
      <c r="AB772" s="64"/>
      <c r="AC772" s="64"/>
      <c r="AD772" s="64"/>
      <c r="AE772" s="64"/>
      <c r="AF772" s="64"/>
      <c r="AG772" s="64"/>
    </row>
    <row r="773">
      <c r="A773" s="64"/>
      <c r="B773" s="64"/>
      <c r="C773" s="64"/>
      <c r="D773" s="64"/>
      <c r="E773" s="65"/>
      <c r="F773" s="64"/>
      <c r="G773" s="67"/>
      <c r="H773" s="64"/>
      <c r="I773" s="64"/>
      <c r="J773" s="64"/>
      <c r="K773" s="64"/>
      <c r="L773" s="65"/>
      <c r="M773" s="64"/>
      <c r="N773" s="64"/>
      <c r="O773" s="64"/>
      <c r="P773" s="64"/>
      <c r="Q773" s="64"/>
      <c r="R773" s="64"/>
      <c r="S773" s="64"/>
      <c r="T773" s="65"/>
      <c r="U773" s="64"/>
      <c r="V773" s="64"/>
      <c r="W773" s="64"/>
      <c r="X773" s="64"/>
      <c r="Y773" s="64"/>
      <c r="Z773" s="64"/>
      <c r="AA773" s="64"/>
      <c r="AB773" s="64"/>
      <c r="AC773" s="64"/>
      <c r="AD773" s="64"/>
      <c r="AE773" s="64"/>
      <c r="AF773" s="64"/>
      <c r="AG773" s="64"/>
    </row>
    <row r="774">
      <c r="A774" s="64"/>
      <c r="B774" s="64"/>
      <c r="C774" s="64"/>
      <c r="D774" s="64"/>
      <c r="E774" s="65"/>
      <c r="F774" s="64"/>
      <c r="G774" s="67"/>
      <c r="H774" s="64"/>
      <c r="I774" s="64"/>
      <c r="J774" s="64"/>
      <c r="K774" s="64"/>
      <c r="L774" s="65"/>
      <c r="M774" s="64"/>
      <c r="N774" s="64"/>
      <c r="O774" s="64"/>
      <c r="P774" s="64"/>
      <c r="Q774" s="64"/>
      <c r="R774" s="64"/>
      <c r="S774" s="64"/>
      <c r="T774" s="65"/>
      <c r="U774" s="64"/>
      <c r="V774" s="64"/>
      <c r="W774" s="64"/>
      <c r="X774" s="64"/>
      <c r="Y774" s="64"/>
      <c r="Z774" s="64"/>
      <c r="AA774" s="64"/>
      <c r="AB774" s="64"/>
      <c r="AC774" s="64"/>
      <c r="AD774" s="64"/>
      <c r="AE774" s="64"/>
      <c r="AF774" s="64"/>
      <c r="AG774" s="64"/>
    </row>
    <row r="775">
      <c r="A775" s="64"/>
      <c r="B775" s="64"/>
      <c r="C775" s="64"/>
      <c r="D775" s="64"/>
      <c r="E775" s="65"/>
      <c r="F775" s="64"/>
      <c r="G775" s="67"/>
      <c r="H775" s="64"/>
      <c r="I775" s="64"/>
      <c r="J775" s="64"/>
      <c r="K775" s="64"/>
      <c r="L775" s="65"/>
      <c r="M775" s="64"/>
      <c r="N775" s="64"/>
      <c r="O775" s="64"/>
      <c r="P775" s="64"/>
      <c r="Q775" s="64"/>
      <c r="R775" s="64"/>
      <c r="S775" s="64"/>
      <c r="T775" s="65"/>
      <c r="U775" s="64"/>
      <c r="V775" s="64"/>
      <c r="W775" s="64"/>
      <c r="X775" s="64"/>
      <c r="Y775" s="64"/>
      <c r="Z775" s="64"/>
      <c r="AA775" s="64"/>
      <c r="AB775" s="64"/>
      <c r="AC775" s="64"/>
      <c r="AD775" s="64"/>
      <c r="AE775" s="64"/>
      <c r="AF775" s="64"/>
      <c r="AG775" s="64"/>
    </row>
    <row r="776">
      <c r="A776" s="64"/>
      <c r="B776" s="64"/>
      <c r="C776" s="64"/>
      <c r="D776" s="64"/>
      <c r="E776" s="65"/>
      <c r="F776" s="64"/>
      <c r="G776" s="67"/>
      <c r="H776" s="64"/>
      <c r="I776" s="64"/>
      <c r="J776" s="64"/>
      <c r="K776" s="64"/>
      <c r="L776" s="65"/>
      <c r="M776" s="64"/>
      <c r="N776" s="64"/>
      <c r="O776" s="64"/>
      <c r="P776" s="64"/>
      <c r="Q776" s="64"/>
      <c r="R776" s="64"/>
      <c r="S776" s="64"/>
      <c r="T776" s="65"/>
      <c r="U776" s="64"/>
      <c r="V776" s="64"/>
      <c r="W776" s="64"/>
      <c r="X776" s="64"/>
      <c r="Y776" s="64"/>
      <c r="Z776" s="64"/>
      <c r="AA776" s="64"/>
      <c r="AB776" s="64"/>
      <c r="AC776" s="64"/>
      <c r="AD776" s="64"/>
      <c r="AE776" s="64"/>
      <c r="AF776" s="64"/>
      <c r="AG776" s="64"/>
    </row>
    <row r="777">
      <c r="A777" s="64"/>
      <c r="B777" s="64"/>
      <c r="C777" s="64"/>
      <c r="D777" s="64"/>
      <c r="E777" s="65"/>
      <c r="F777" s="64"/>
      <c r="G777" s="67"/>
      <c r="H777" s="64"/>
      <c r="I777" s="64"/>
      <c r="J777" s="64"/>
      <c r="K777" s="64"/>
      <c r="L777" s="65"/>
      <c r="M777" s="64"/>
      <c r="N777" s="64"/>
      <c r="O777" s="64"/>
      <c r="P777" s="64"/>
      <c r="Q777" s="64"/>
      <c r="R777" s="64"/>
      <c r="S777" s="64"/>
      <c r="T777" s="65"/>
      <c r="U777" s="64"/>
      <c r="V777" s="64"/>
      <c r="W777" s="64"/>
      <c r="X777" s="64"/>
      <c r="Y777" s="64"/>
      <c r="Z777" s="64"/>
      <c r="AA777" s="64"/>
      <c r="AB777" s="64"/>
      <c r="AC777" s="64"/>
      <c r="AD777" s="64"/>
      <c r="AE777" s="64"/>
      <c r="AF777" s="64"/>
      <c r="AG777" s="64"/>
    </row>
    <row r="778">
      <c r="A778" s="64"/>
      <c r="B778" s="64"/>
      <c r="C778" s="64"/>
      <c r="D778" s="64"/>
      <c r="E778" s="65"/>
      <c r="F778" s="64"/>
      <c r="G778" s="67"/>
      <c r="H778" s="64"/>
      <c r="I778" s="64"/>
      <c r="J778" s="64"/>
      <c r="K778" s="64"/>
      <c r="L778" s="65"/>
      <c r="M778" s="64"/>
      <c r="N778" s="64"/>
      <c r="O778" s="64"/>
      <c r="P778" s="64"/>
      <c r="Q778" s="64"/>
      <c r="R778" s="64"/>
      <c r="S778" s="64"/>
      <c r="T778" s="65"/>
      <c r="U778" s="64"/>
      <c r="V778" s="64"/>
      <c r="W778" s="64"/>
      <c r="X778" s="64"/>
      <c r="Y778" s="64"/>
      <c r="Z778" s="64"/>
      <c r="AA778" s="64"/>
      <c r="AB778" s="64"/>
      <c r="AC778" s="64"/>
      <c r="AD778" s="64"/>
      <c r="AE778" s="64"/>
      <c r="AF778" s="64"/>
      <c r="AG778" s="64"/>
    </row>
    <row r="779">
      <c r="A779" s="64"/>
      <c r="B779" s="64"/>
      <c r="C779" s="64"/>
      <c r="D779" s="64"/>
      <c r="E779" s="65"/>
      <c r="F779" s="64"/>
      <c r="G779" s="67"/>
      <c r="H779" s="64"/>
      <c r="I779" s="64"/>
      <c r="J779" s="64"/>
      <c r="K779" s="64"/>
      <c r="L779" s="65"/>
      <c r="M779" s="64"/>
      <c r="N779" s="64"/>
      <c r="O779" s="64"/>
      <c r="P779" s="64"/>
      <c r="Q779" s="64"/>
      <c r="R779" s="64"/>
      <c r="S779" s="64"/>
      <c r="T779" s="65"/>
      <c r="U779" s="64"/>
      <c r="V779" s="64"/>
      <c r="W779" s="64"/>
      <c r="X779" s="64"/>
      <c r="Y779" s="64"/>
      <c r="Z779" s="64"/>
      <c r="AA779" s="64"/>
      <c r="AB779" s="64"/>
      <c r="AC779" s="64"/>
      <c r="AD779" s="64"/>
      <c r="AE779" s="64"/>
      <c r="AF779" s="64"/>
      <c r="AG779" s="64"/>
    </row>
    <row r="780">
      <c r="A780" s="64"/>
      <c r="B780" s="64"/>
      <c r="C780" s="64"/>
      <c r="D780" s="64"/>
      <c r="E780" s="65"/>
      <c r="F780" s="64"/>
      <c r="G780" s="67"/>
      <c r="H780" s="64"/>
      <c r="I780" s="64"/>
      <c r="J780" s="64"/>
      <c r="K780" s="64"/>
      <c r="L780" s="65"/>
      <c r="M780" s="64"/>
      <c r="N780" s="64"/>
      <c r="O780" s="64"/>
      <c r="P780" s="64"/>
      <c r="Q780" s="64"/>
      <c r="R780" s="64"/>
      <c r="S780" s="64"/>
      <c r="T780" s="65"/>
      <c r="U780" s="64"/>
      <c r="V780" s="64"/>
      <c r="W780" s="64"/>
      <c r="X780" s="64"/>
      <c r="Y780" s="64"/>
      <c r="Z780" s="64"/>
      <c r="AA780" s="64"/>
      <c r="AB780" s="64"/>
      <c r="AC780" s="64"/>
      <c r="AD780" s="64"/>
      <c r="AE780" s="64"/>
      <c r="AF780" s="64"/>
      <c r="AG780" s="64"/>
    </row>
    <row r="781">
      <c r="A781" s="64"/>
      <c r="B781" s="64"/>
      <c r="C781" s="64"/>
      <c r="D781" s="64"/>
      <c r="E781" s="65"/>
      <c r="F781" s="64"/>
      <c r="G781" s="67"/>
      <c r="H781" s="64"/>
      <c r="I781" s="64"/>
      <c r="J781" s="64"/>
      <c r="K781" s="64"/>
      <c r="L781" s="65"/>
      <c r="M781" s="64"/>
      <c r="N781" s="64"/>
      <c r="O781" s="64"/>
      <c r="P781" s="64"/>
      <c r="Q781" s="64"/>
      <c r="R781" s="64"/>
      <c r="S781" s="64"/>
      <c r="T781" s="65"/>
      <c r="U781" s="64"/>
      <c r="V781" s="64"/>
      <c r="W781" s="64"/>
      <c r="X781" s="64"/>
      <c r="Y781" s="64"/>
      <c r="Z781" s="64"/>
      <c r="AA781" s="64"/>
      <c r="AB781" s="64"/>
      <c r="AC781" s="64"/>
      <c r="AD781" s="64"/>
      <c r="AE781" s="64"/>
      <c r="AF781" s="64"/>
      <c r="AG781" s="64"/>
    </row>
    <row r="782">
      <c r="A782" s="64"/>
      <c r="B782" s="64"/>
      <c r="C782" s="64"/>
      <c r="D782" s="64"/>
      <c r="E782" s="65"/>
      <c r="F782" s="64"/>
      <c r="G782" s="67"/>
      <c r="H782" s="64"/>
      <c r="I782" s="64"/>
      <c r="J782" s="64"/>
      <c r="K782" s="64"/>
      <c r="L782" s="65"/>
      <c r="M782" s="64"/>
      <c r="N782" s="64"/>
      <c r="O782" s="64"/>
      <c r="P782" s="64"/>
      <c r="Q782" s="64"/>
      <c r="R782" s="64"/>
      <c r="S782" s="64"/>
      <c r="T782" s="65"/>
      <c r="U782" s="64"/>
      <c r="V782" s="64"/>
      <c r="W782" s="64"/>
      <c r="X782" s="64"/>
      <c r="Y782" s="64"/>
      <c r="Z782" s="64"/>
      <c r="AA782" s="64"/>
      <c r="AB782" s="64"/>
      <c r="AC782" s="64"/>
      <c r="AD782" s="64"/>
      <c r="AE782" s="64"/>
      <c r="AF782" s="64"/>
      <c r="AG782" s="64"/>
    </row>
    <row r="783">
      <c r="A783" s="64"/>
      <c r="B783" s="64"/>
      <c r="C783" s="64"/>
      <c r="D783" s="64"/>
      <c r="E783" s="65"/>
      <c r="F783" s="64"/>
      <c r="G783" s="67"/>
      <c r="H783" s="64"/>
      <c r="I783" s="64"/>
      <c r="J783" s="64"/>
      <c r="K783" s="64"/>
      <c r="L783" s="65"/>
      <c r="M783" s="64"/>
      <c r="N783" s="64"/>
      <c r="O783" s="64"/>
      <c r="P783" s="64"/>
      <c r="Q783" s="64"/>
      <c r="R783" s="64"/>
      <c r="S783" s="64"/>
      <c r="T783" s="65"/>
      <c r="U783" s="64"/>
      <c r="V783" s="64"/>
      <c r="W783" s="64"/>
      <c r="X783" s="64"/>
      <c r="Y783" s="64"/>
      <c r="Z783" s="64"/>
      <c r="AA783" s="64"/>
      <c r="AB783" s="64"/>
      <c r="AC783" s="64"/>
      <c r="AD783" s="64"/>
      <c r="AE783" s="64"/>
      <c r="AF783" s="64"/>
      <c r="AG783" s="64"/>
    </row>
    <row r="784">
      <c r="A784" s="64"/>
      <c r="B784" s="64"/>
      <c r="C784" s="64"/>
      <c r="D784" s="64"/>
      <c r="E784" s="65"/>
      <c r="F784" s="64"/>
      <c r="G784" s="67"/>
      <c r="H784" s="64"/>
      <c r="I784" s="64"/>
      <c r="J784" s="64"/>
      <c r="K784" s="64"/>
      <c r="L784" s="65"/>
      <c r="M784" s="64"/>
      <c r="N784" s="64"/>
      <c r="O784" s="64"/>
      <c r="P784" s="64"/>
      <c r="Q784" s="64"/>
      <c r="R784" s="64"/>
      <c r="S784" s="64"/>
      <c r="T784" s="65"/>
      <c r="U784" s="64"/>
      <c r="V784" s="64"/>
      <c r="W784" s="64"/>
      <c r="X784" s="64"/>
      <c r="Y784" s="64"/>
      <c r="Z784" s="64"/>
      <c r="AA784" s="64"/>
      <c r="AB784" s="64"/>
      <c r="AC784" s="64"/>
      <c r="AD784" s="64"/>
      <c r="AE784" s="64"/>
      <c r="AF784" s="64"/>
      <c r="AG784" s="64"/>
    </row>
    <row r="785">
      <c r="A785" s="64"/>
      <c r="B785" s="64"/>
      <c r="C785" s="64"/>
      <c r="D785" s="64"/>
      <c r="E785" s="65"/>
      <c r="F785" s="64"/>
      <c r="G785" s="67"/>
      <c r="H785" s="64"/>
      <c r="I785" s="64"/>
      <c r="J785" s="64"/>
      <c r="K785" s="64"/>
      <c r="L785" s="65"/>
      <c r="M785" s="64"/>
      <c r="N785" s="64"/>
      <c r="O785" s="64"/>
      <c r="P785" s="64"/>
      <c r="Q785" s="64"/>
      <c r="R785" s="64"/>
      <c r="S785" s="64"/>
      <c r="T785" s="65"/>
      <c r="U785" s="64"/>
      <c r="V785" s="64"/>
      <c r="W785" s="64"/>
      <c r="X785" s="64"/>
      <c r="Y785" s="64"/>
      <c r="Z785" s="64"/>
      <c r="AA785" s="64"/>
      <c r="AB785" s="64"/>
      <c r="AC785" s="64"/>
      <c r="AD785" s="64"/>
      <c r="AE785" s="64"/>
      <c r="AF785" s="64"/>
      <c r="AG785" s="64"/>
    </row>
    <row r="786">
      <c r="A786" s="64"/>
      <c r="B786" s="64"/>
      <c r="C786" s="64"/>
      <c r="D786" s="64"/>
      <c r="E786" s="65"/>
      <c r="F786" s="64"/>
      <c r="G786" s="67"/>
      <c r="H786" s="64"/>
      <c r="I786" s="64"/>
      <c r="J786" s="64"/>
      <c r="K786" s="64"/>
      <c r="L786" s="65"/>
      <c r="M786" s="64"/>
      <c r="N786" s="64"/>
      <c r="O786" s="64"/>
      <c r="P786" s="64"/>
      <c r="Q786" s="64"/>
      <c r="R786" s="64"/>
      <c r="S786" s="64"/>
      <c r="T786" s="65"/>
      <c r="U786" s="64"/>
      <c r="V786" s="64"/>
      <c r="W786" s="64"/>
      <c r="X786" s="64"/>
      <c r="Y786" s="64"/>
      <c r="Z786" s="64"/>
      <c r="AA786" s="64"/>
      <c r="AB786" s="64"/>
      <c r="AC786" s="64"/>
      <c r="AD786" s="64"/>
      <c r="AE786" s="64"/>
      <c r="AF786" s="64"/>
      <c r="AG786" s="64"/>
    </row>
    <row r="787">
      <c r="A787" s="64"/>
      <c r="B787" s="64"/>
      <c r="C787" s="64"/>
      <c r="D787" s="64"/>
      <c r="E787" s="65"/>
      <c r="F787" s="64"/>
      <c r="G787" s="67"/>
      <c r="H787" s="64"/>
      <c r="I787" s="64"/>
      <c r="J787" s="64"/>
      <c r="K787" s="64"/>
      <c r="L787" s="65"/>
      <c r="M787" s="64"/>
      <c r="N787" s="64"/>
      <c r="O787" s="64"/>
      <c r="P787" s="64"/>
      <c r="Q787" s="64"/>
      <c r="R787" s="64"/>
      <c r="S787" s="64"/>
      <c r="T787" s="65"/>
      <c r="U787" s="64"/>
      <c r="V787" s="64"/>
      <c r="W787" s="64"/>
      <c r="X787" s="64"/>
      <c r="Y787" s="64"/>
      <c r="Z787" s="64"/>
      <c r="AA787" s="64"/>
      <c r="AB787" s="64"/>
      <c r="AC787" s="64"/>
      <c r="AD787" s="64"/>
      <c r="AE787" s="64"/>
      <c r="AF787" s="64"/>
      <c r="AG787" s="64"/>
    </row>
    <row r="788">
      <c r="A788" s="64"/>
      <c r="B788" s="64"/>
      <c r="C788" s="64"/>
      <c r="D788" s="64"/>
      <c r="E788" s="65"/>
      <c r="F788" s="64"/>
      <c r="G788" s="67"/>
      <c r="H788" s="64"/>
      <c r="I788" s="64"/>
      <c r="J788" s="64"/>
      <c r="K788" s="64"/>
      <c r="L788" s="65"/>
      <c r="M788" s="64"/>
      <c r="N788" s="64"/>
      <c r="O788" s="64"/>
      <c r="P788" s="64"/>
      <c r="Q788" s="64"/>
      <c r="R788" s="64"/>
      <c r="S788" s="64"/>
      <c r="T788" s="65"/>
      <c r="U788" s="64"/>
      <c r="V788" s="64"/>
      <c r="W788" s="64"/>
      <c r="X788" s="64"/>
      <c r="Y788" s="64"/>
      <c r="Z788" s="64"/>
      <c r="AA788" s="64"/>
      <c r="AB788" s="64"/>
      <c r="AC788" s="64"/>
      <c r="AD788" s="64"/>
      <c r="AE788" s="64"/>
      <c r="AF788" s="64"/>
      <c r="AG788" s="64"/>
    </row>
    <row r="789">
      <c r="A789" s="64"/>
      <c r="B789" s="64"/>
      <c r="C789" s="64"/>
      <c r="D789" s="64"/>
      <c r="E789" s="65"/>
      <c r="F789" s="64"/>
      <c r="G789" s="67"/>
      <c r="H789" s="64"/>
      <c r="I789" s="64"/>
      <c r="J789" s="64"/>
      <c r="K789" s="64"/>
      <c r="L789" s="65"/>
      <c r="M789" s="64"/>
      <c r="N789" s="64"/>
      <c r="O789" s="64"/>
      <c r="P789" s="64"/>
      <c r="Q789" s="64"/>
      <c r="R789" s="64"/>
      <c r="S789" s="64"/>
      <c r="T789" s="65"/>
      <c r="U789" s="64"/>
      <c r="V789" s="64"/>
      <c r="W789" s="64"/>
      <c r="X789" s="64"/>
      <c r="Y789" s="64"/>
      <c r="Z789" s="64"/>
      <c r="AA789" s="64"/>
      <c r="AB789" s="64"/>
      <c r="AC789" s="64"/>
      <c r="AD789" s="64"/>
      <c r="AE789" s="64"/>
      <c r="AF789" s="64"/>
      <c r="AG789" s="64"/>
    </row>
    <row r="790">
      <c r="A790" s="64"/>
      <c r="B790" s="64"/>
      <c r="C790" s="64"/>
      <c r="D790" s="64"/>
      <c r="E790" s="65"/>
      <c r="F790" s="64"/>
      <c r="G790" s="67"/>
      <c r="H790" s="64"/>
      <c r="I790" s="64"/>
      <c r="J790" s="64"/>
      <c r="K790" s="64"/>
      <c r="L790" s="65"/>
      <c r="M790" s="64"/>
      <c r="N790" s="64"/>
      <c r="O790" s="64"/>
      <c r="P790" s="64"/>
      <c r="Q790" s="64"/>
      <c r="R790" s="64"/>
      <c r="S790" s="64"/>
      <c r="T790" s="65"/>
      <c r="U790" s="64"/>
      <c r="V790" s="64"/>
      <c r="W790" s="64"/>
      <c r="X790" s="64"/>
      <c r="Y790" s="64"/>
      <c r="Z790" s="64"/>
      <c r="AA790" s="64"/>
      <c r="AB790" s="64"/>
      <c r="AC790" s="64"/>
      <c r="AD790" s="64"/>
      <c r="AE790" s="64"/>
      <c r="AF790" s="64"/>
      <c r="AG790" s="64"/>
    </row>
    <row r="791">
      <c r="A791" s="64"/>
      <c r="B791" s="64"/>
      <c r="C791" s="64"/>
      <c r="D791" s="64"/>
      <c r="E791" s="65"/>
      <c r="F791" s="64"/>
      <c r="G791" s="67"/>
      <c r="H791" s="64"/>
      <c r="I791" s="64"/>
      <c r="J791" s="64"/>
      <c r="K791" s="64"/>
      <c r="L791" s="65"/>
      <c r="M791" s="64"/>
      <c r="N791" s="64"/>
      <c r="O791" s="64"/>
      <c r="P791" s="64"/>
      <c r="Q791" s="64"/>
      <c r="R791" s="64"/>
      <c r="S791" s="64"/>
      <c r="T791" s="65"/>
      <c r="U791" s="64"/>
      <c r="V791" s="64"/>
      <c r="W791" s="64"/>
      <c r="X791" s="64"/>
      <c r="Y791" s="64"/>
      <c r="Z791" s="64"/>
      <c r="AA791" s="64"/>
      <c r="AB791" s="64"/>
      <c r="AC791" s="64"/>
      <c r="AD791" s="64"/>
      <c r="AE791" s="64"/>
      <c r="AF791" s="64"/>
      <c r="AG791" s="64"/>
    </row>
    <row r="792">
      <c r="A792" s="64"/>
      <c r="B792" s="64"/>
      <c r="C792" s="64"/>
      <c r="D792" s="64"/>
      <c r="E792" s="65"/>
      <c r="F792" s="64"/>
      <c r="G792" s="67"/>
      <c r="H792" s="64"/>
      <c r="I792" s="64"/>
      <c r="J792" s="64"/>
      <c r="K792" s="64"/>
      <c r="L792" s="65"/>
      <c r="M792" s="64"/>
      <c r="N792" s="64"/>
      <c r="O792" s="64"/>
      <c r="P792" s="64"/>
      <c r="Q792" s="64"/>
      <c r="R792" s="64"/>
      <c r="S792" s="64"/>
      <c r="T792" s="65"/>
      <c r="U792" s="64"/>
      <c r="V792" s="64"/>
      <c r="W792" s="64"/>
      <c r="X792" s="64"/>
      <c r="Y792" s="64"/>
      <c r="Z792" s="64"/>
      <c r="AA792" s="64"/>
      <c r="AB792" s="64"/>
      <c r="AC792" s="64"/>
      <c r="AD792" s="64"/>
      <c r="AE792" s="64"/>
      <c r="AF792" s="64"/>
      <c r="AG792" s="64"/>
    </row>
    <row r="793">
      <c r="A793" s="64"/>
      <c r="B793" s="64"/>
      <c r="C793" s="64"/>
      <c r="D793" s="64"/>
      <c r="E793" s="65"/>
      <c r="F793" s="64"/>
      <c r="G793" s="67"/>
      <c r="H793" s="64"/>
      <c r="I793" s="64"/>
      <c r="J793" s="64"/>
      <c r="K793" s="64"/>
      <c r="L793" s="65"/>
      <c r="M793" s="64"/>
      <c r="N793" s="64"/>
      <c r="O793" s="64"/>
      <c r="P793" s="64"/>
      <c r="Q793" s="64"/>
      <c r="R793" s="64"/>
      <c r="S793" s="64"/>
      <c r="T793" s="65"/>
      <c r="U793" s="64"/>
      <c r="V793" s="64"/>
      <c r="W793" s="64"/>
      <c r="X793" s="64"/>
      <c r="Y793" s="64"/>
      <c r="Z793" s="64"/>
      <c r="AA793" s="64"/>
      <c r="AB793" s="64"/>
      <c r="AC793" s="64"/>
      <c r="AD793" s="64"/>
      <c r="AE793" s="64"/>
      <c r="AF793" s="64"/>
      <c r="AG793" s="64"/>
    </row>
    <row r="794">
      <c r="A794" s="64"/>
      <c r="B794" s="64"/>
      <c r="C794" s="64"/>
      <c r="D794" s="64"/>
      <c r="E794" s="65"/>
      <c r="F794" s="64"/>
      <c r="G794" s="67"/>
      <c r="H794" s="64"/>
      <c r="I794" s="64"/>
      <c r="J794" s="64"/>
      <c r="K794" s="64"/>
      <c r="L794" s="65"/>
      <c r="M794" s="64"/>
      <c r="N794" s="64"/>
      <c r="O794" s="64"/>
      <c r="P794" s="64"/>
      <c r="Q794" s="64"/>
      <c r="R794" s="64"/>
      <c r="S794" s="64"/>
      <c r="T794" s="65"/>
      <c r="U794" s="64"/>
      <c r="V794" s="64"/>
      <c r="W794" s="64"/>
      <c r="X794" s="64"/>
      <c r="Y794" s="64"/>
      <c r="Z794" s="64"/>
      <c r="AA794" s="64"/>
      <c r="AB794" s="64"/>
      <c r="AC794" s="64"/>
      <c r="AD794" s="64"/>
      <c r="AE794" s="64"/>
      <c r="AF794" s="64"/>
      <c r="AG794" s="64"/>
    </row>
    <row r="795">
      <c r="A795" s="64"/>
      <c r="B795" s="64"/>
      <c r="C795" s="64"/>
      <c r="D795" s="64"/>
      <c r="E795" s="65"/>
      <c r="F795" s="64"/>
      <c r="G795" s="67"/>
      <c r="H795" s="64"/>
      <c r="I795" s="64"/>
      <c r="J795" s="64"/>
      <c r="K795" s="64"/>
      <c r="L795" s="65"/>
      <c r="M795" s="64"/>
      <c r="N795" s="64"/>
      <c r="O795" s="64"/>
      <c r="P795" s="64"/>
      <c r="Q795" s="64"/>
      <c r="R795" s="64"/>
      <c r="S795" s="64"/>
      <c r="T795" s="65"/>
      <c r="U795" s="64"/>
      <c r="V795" s="64"/>
      <c r="W795" s="64"/>
      <c r="X795" s="64"/>
      <c r="Y795" s="64"/>
      <c r="Z795" s="64"/>
      <c r="AA795" s="64"/>
      <c r="AB795" s="64"/>
      <c r="AC795" s="64"/>
      <c r="AD795" s="64"/>
      <c r="AE795" s="64"/>
      <c r="AF795" s="64"/>
      <c r="AG795" s="64"/>
    </row>
    <row r="796">
      <c r="A796" s="64"/>
      <c r="B796" s="64"/>
      <c r="C796" s="64"/>
      <c r="D796" s="64"/>
      <c r="E796" s="65"/>
      <c r="F796" s="64"/>
      <c r="G796" s="67"/>
      <c r="H796" s="64"/>
      <c r="I796" s="64"/>
      <c r="J796" s="64"/>
      <c r="K796" s="64"/>
      <c r="L796" s="65"/>
      <c r="M796" s="64"/>
      <c r="N796" s="64"/>
      <c r="O796" s="64"/>
      <c r="P796" s="64"/>
      <c r="Q796" s="64"/>
      <c r="R796" s="64"/>
      <c r="S796" s="64"/>
      <c r="T796" s="65"/>
      <c r="U796" s="64"/>
      <c r="V796" s="64"/>
      <c r="W796" s="64"/>
      <c r="X796" s="64"/>
      <c r="Y796" s="64"/>
      <c r="Z796" s="64"/>
      <c r="AA796" s="64"/>
      <c r="AB796" s="64"/>
      <c r="AC796" s="64"/>
      <c r="AD796" s="64"/>
      <c r="AE796" s="64"/>
      <c r="AF796" s="64"/>
      <c r="AG796" s="64"/>
    </row>
    <row r="797">
      <c r="A797" s="64"/>
      <c r="B797" s="64"/>
      <c r="C797" s="64"/>
      <c r="D797" s="64"/>
      <c r="E797" s="65"/>
      <c r="F797" s="64"/>
      <c r="G797" s="67"/>
      <c r="H797" s="64"/>
      <c r="I797" s="64"/>
      <c r="J797" s="64"/>
      <c r="K797" s="64"/>
      <c r="L797" s="65"/>
      <c r="M797" s="64"/>
      <c r="N797" s="64"/>
      <c r="O797" s="64"/>
      <c r="P797" s="64"/>
      <c r="Q797" s="64"/>
      <c r="R797" s="64"/>
      <c r="S797" s="64"/>
      <c r="T797" s="65"/>
      <c r="U797" s="64"/>
      <c r="V797" s="64"/>
      <c r="W797" s="64"/>
      <c r="X797" s="64"/>
      <c r="Y797" s="64"/>
      <c r="Z797" s="64"/>
      <c r="AA797" s="64"/>
      <c r="AB797" s="64"/>
      <c r="AC797" s="64"/>
      <c r="AD797" s="64"/>
      <c r="AE797" s="64"/>
      <c r="AF797" s="64"/>
      <c r="AG797" s="64"/>
    </row>
    <row r="798">
      <c r="A798" s="64"/>
      <c r="B798" s="64"/>
      <c r="C798" s="64"/>
      <c r="D798" s="64"/>
      <c r="E798" s="65"/>
      <c r="F798" s="64"/>
      <c r="G798" s="67"/>
      <c r="H798" s="64"/>
      <c r="I798" s="64"/>
      <c r="J798" s="64"/>
      <c r="K798" s="64"/>
      <c r="L798" s="65"/>
      <c r="M798" s="64"/>
      <c r="N798" s="64"/>
      <c r="O798" s="64"/>
      <c r="P798" s="64"/>
      <c r="Q798" s="64"/>
      <c r="R798" s="64"/>
      <c r="S798" s="64"/>
      <c r="T798" s="65"/>
      <c r="U798" s="64"/>
      <c r="V798" s="64"/>
      <c r="W798" s="64"/>
      <c r="X798" s="64"/>
      <c r="Y798" s="64"/>
      <c r="Z798" s="64"/>
      <c r="AA798" s="64"/>
      <c r="AB798" s="64"/>
      <c r="AC798" s="64"/>
      <c r="AD798" s="64"/>
      <c r="AE798" s="64"/>
      <c r="AF798" s="64"/>
      <c r="AG798" s="64"/>
    </row>
    <row r="799">
      <c r="A799" s="64"/>
      <c r="B799" s="64"/>
      <c r="C799" s="64"/>
      <c r="D799" s="64"/>
      <c r="E799" s="65"/>
      <c r="F799" s="64"/>
      <c r="G799" s="67"/>
      <c r="H799" s="64"/>
      <c r="I799" s="64"/>
      <c r="J799" s="64"/>
      <c r="K799" s="64"/>
      <c r="L799" s="65"/>
      <c r="M799" s="64"/>
      <c r="N799" s="64"/>
      <c r="O799" s="64"/>
      <c r="P799" s="64"/>
      <c r="Q799" s="64"/>
      <c r="R799" s="64"/>
      <c r="S799" s="64"/>
      <c r="T799" s="65"/>
      <c r="U799" s="64"/>
      <c r="V799" s="64"/>
      <c r="W799" s="64"/>
      <c r="X799" s="64"/>
      <c r="Y799" s="64"/>
      <c r="Z799" s="64"/>
      <c r="AA799" s="64"/>
      <c r="AB799" s="64"/>
      <c r="AC799" s="64"/>
      <c r="AD799" s="64"/>
      <c r="AE799" s="64"/>
      <c r="AF799" s="64"/>
      <c r="AG799" s="64"/>
    </row>
    <row r="800">
      <c r="A800" s="64"/>
      <c r="B800" s="64"/>
      <c r="C800" s="64"/>
      <c r="D800" s="64"/>
      <c r="E800" s="65"/>
      <c r="F800" s="64"/>
      <c r="G800" s="67"/>
      <c r="H800" s="64"/>
      <c r="I800" s="64"/>
      <c r="J800" s="64"/>
      <c r="K800" s="64"/>
      <c r="L800" s="65"/>
      <c r="M800" s="64"/>
      <c r="N800" s="64"/>
      <c r="O800" s="64"/>
      <c r="P800" s="64"/>
      <c r="Q800" s="64"/>
      <c r="R800" s="64"/>
      <c r="S800" s="64"/>
      <c r="T800" s="65"/>
      <c r="U800" s="64"/>
      <c r="V800" s="64"/>
      <c r="W800" s="64"/>
      <c r="X800" s="64"/>
      <c r="Y800" s="64"/>
      <c r="Z800" s="64"/>
      <c r="AA800" s="64"/>
      <c r="AB800" s="64"/>
      <c r="AC800" s="64"/>
      <c r="AD800" s="64"/>
      <c r="AE800" s="64"/>
      <c r="AF800" s="64"/>
      <c r="AG800" s="64"/>
    </row>
    <row r="801">
      <c r="A801" s="64"/>
      <c r="B801" s="64"/>
      <c r="C801" s="64"/>
      <c r="D801" s="64"/>
      <c r="E801" s="65"/>
      <c r="F801" s="64"/>
      <c r="G801" s="67"/>
      <c r="H801" s="64"/>
      <c r="I801" s="64"/>
      <c r="J801" s="64"/>
      <c r="K801" s="64"/>
      <c r="L801" s="65"/>
      <c r="M801" s="64"/>
      <c r="N801" s="64"/>
      <c r="O801" s="64"/>
      <c r="P801" s="64"/>
      <c r="Q801" s="64"/>
      <c r="R801" s="64"/>
      <c r="S801" s="64"/>
      <c r="T801" s="65"/>
      <c r="U801" s="64"/>
      <c r="V801" s="64"/>
      <c r="W801" s="64"/>
      <c r="X801" s="64"/>
      <c r="Y801" s="64"/>
      <c r="Z801" s="64"/>
      <c r="AA801" s="64"/>
      <c r="AB801" s="64"/>
      <c r="AC801" s="64"/>
      <c r="AD801" s="64"/>
      <c r="AE801" s="64"/>
      <c r="AF801" s="64"/>
      <c r="AG801" s="64"/>
    </row>
    <row r="802">
      <c r="A802" s="64"/>
      <c r="B802" s="64"/>
      <c r="C802" s="64"/>
      <c r="D802" s="64"/>
      <c r="E802" s="65"/>
      <c r="F802" s="64"/>
      <c r="G802" s="67"/>
      <c r="H802" s="64"/>
      <c r="I802" s="64"/>
      <c r="J802" s="64"/>
      <c r="K802" s="64"/>
      <c r="L802" s="65"/>
      <c r="M802" s="64"/>
      <c r="N802" s="64"/>
      <c r="O802" s="64"/>
      <c r="P802" s="64"/>
      <c r="Q802" s="64"/>
      <c r="R802" s="64"/>
      <c r="S802" s="64"/>
      <c r="T802" s="65"/>
      <c r="U802" s="64"/>
      <c r="V802" s="64"/>
      <c r="W802" s="64"/>
      <c r="X802" s="64"/>
      <c r="Y802" s="64"/>
      <c r="Z802" s="64"/>
      <c r="AA802" s="64"/>
      <c r="AB802" s="64"/>
      <c r="AC802" s="64"/>
      <c r="AD802" s="64"/>
      <c r="AE802" s="64"/>
      <c r="AF802" s="64"/>
      <c r="AG802" s="64"/>
    </row>
    <row r="803">
      <c r="A803" s="64"/>
      <c r="B803" s="64"/>
      <c r="C803" s="64"/>
      <c r="D803" s="64"/>
      <c r="E803" s="65"/>
      <c r="F803" s="64"/>
      <c r="G803" s="67"/>
      <c r="H803" s="64"/>
      <c r="I803" s="64"/>
      <c r="J803" s="64"/>
      <c r="K803" s="64"/>
      <c r="L803" s="65"/>
      <c r="M803" s="64"/>
      <c r="N803" s="64"/>
      <c r="O803" s="64"/>
      <c r="P803" s="64"/>
      <c r="Q803" s="64"/>
      <c r="R803" s="64"/>
      <c r="S803" s="64"/>
      <c r="T803" s="65"/>
      <c r="U803" s="64"/>
      <c r="V803" s="64"/>
      <c r="W803" s="64"/>
      <c r="X803" s="64"/>
      <c r="Y803" s="64"/>
      <c r="Z803" s="64"/>
      <c r="AA803" s="64"/>
      <c r="AB803" s="64"/>
      <c r="AC803" s="64"/>
      <c r="AD803" s="64"/>
      <c r="AE803" s="64"/>
      <c r="AF803" s="64"/>
      <c r="AG803" s="64"/>
    </row>
    <row r="804">
      <c r="A804" s="64"/>
      <c r="B804" s="64"/>
      <c r="C804" s="64"/>
      <c r="D804" s="64"/>
      <c r="E804" s="65"/>
      <c r="F804" s="64"/>
      <c r="G804" s="67"/>
      <c r="H804" s="64"/>
      <c r="I804" s="64"/>
      <c r="J804" s="64"/>
      <c r="K804" s="64"/>
      <c r="L804" s="65"/>
      <c r="M804" s="64"/>
      <c r="N804" s="64"/>
      <c r="O804" s="64"/>
      <c r="P804" s="64"/>
      <c r="Q804" s="64"/>
      <c r="R804" s="64"/>
      <c r="S804" s="64"/>
      <c r="T804" s="65"/>
      <c r="U804" s="64"/>
      <c r="V804" s="64"/>
      <c r="W804" s="64"/>
      <c r="X804" s="64"/>
      <c r="Y804" s="64"/>
      <c r="Z804" s="64"/>
      <c r="AA804" s="64"/>
      <c r="AB804" s="64"/>
      <c r="AC804" s="64"/>
      <c r="AD804" s="64"/>
      <c r="AE804" s="64"/>
      <c r="AF804" s="64"/>
      <c r="AG804" s="64"/>
    </row>
    <row r="805">
      <c r="A805" s="64"/>
      <c r="B805" s="64"/>
      <c r="C805" s="64"/>
      <c r="D805" s="64"/>
      <c r="E805" s="65"/>
      <c r="F805" s="64"/>
      <c r="G805" s="67"/>
      <c r="H805" s="64"/>
      <c r="I805" s="64"/>
      <c r="J805" s="64"/>
      <c r="K805" s="64"/>
      <c r="L805" s="65"/>
      <c r="M805" s="64"/>
      <c r="N805" s="64"/>
      <c r="O805" s="64"/>
      <c r="P805" s="64"/>
      <c r="Q805" s="64"/>
      <c r="R805" s="64"/>
      <c r="S805" s="64"/>
      <c r="T805" s="65"/>
      <c r="U805" s="64"/>
      <c r="V805" s="64"/>
      <c r="W805" s="64"/>
      <c r="X805" s="64"/>
      <c r="Y805" s="64"/>
      <c r="Z805" s="64"/>
      <c r="AA805" s="64"/>
      <c r="AB805" s="64"/>
      <c r="AC805" s="64"/>
      <c r="AD805" s="64"/>
      <c r="AE805" s="64"/>
      <c r="AF805" s="64"/>
      <c r="AG805" s="64"/>
    </row>
    <row r="806">
      <c r="A806" s="64"/>
      <c r="B806" s="64"/>
      <c r="C806" s="64"/>
      <c r="D806" s="64"/>
      <c r="E806" s="65"/>
      <c r="F806" s="64"/>
      <c r="G806" s="67"/>
      <c r="H806" s="64"/>
      <c r="I806" s="64"/>
      <c r="J806" s="64"/>
      <c r="K806" s="64"/>
      <c r="L806" s="65"/>
      <c r="M806" s="64"/>
      <c r="N806" s="64"/>
      <c r="O806" s="64"/>
      <c r="P806" s="64"/>
      <c r="Q806" s="64"/>
      <c r="R806" s="64"/>
      <c r="S806" s="64"/>
      <c r="T806" s="65"/>
      <c r="U806" s="64"/>
      <c r="V806" s="64"/>
      <c r="W806" s="64"/>
      <c r="X806" s="64"/>
      <c r="Y806" s="64"/>
      <c r="Z806" s="64"/>
      <c r="AA806" s="64"/>
      <c r="AB806" s="64"/>
      <c r="AC806" s="64"/>
      <c r="AD806" s="64"/>
      <c r="AE806" s="64"/>
      <c r="AF806" s="64"/>
      <c r="AG806" s="64"/>
    </row>
    <row r="807">
      <c r="A807" s="64"/>
      <c r="B807" s="64"/>
      <c r="C807" s="64"/>
      <c r="D807" s="64"/>
      <c r="E807" s="65"/>
      <c r="F807" s="64"/>
      <c r="G807" s="67"/>
      <c r="H807" s="64"/>
      <c r="I807" s="64"/>
      <c r="J807" s="64"/>
      <c r="K807" s="64"/>
      <c r="L807" s="65"/>
      <c r="M807" s="64"/>
      <c r="N807" s="64"/>
      <c r="O807" s="64"/>
      <c r="P807" s="64"/>
      <c r="Q807" s="64"/>
      <c r="R807" s="64"/>
      <c r="S807" s="64"/>
      <c r="T807" s="65"/>
      <c r="U807" s="64"/>
      <c r="V807" s="64"/>
      <c r="W807" s="64"/>
      <c r="X807" s="64"/>
      <c r="Y807" s="64"/>
      <c r="Z807" s="64"/>
      <c r="AA807" s="64"/>
      <c r="AB807" s="64"/>
      <c r="AC807" s="64"/>
      <c r="AD807" s="64"/>
      <c r="AE807" s="64"/>
      <c r="AF807" s="64"/>
      <c r="AG807" s="64"/>
    </row>
    <row r="808">
      <c r="A808" s="64"/>
      <c r="B808" s="64"/>
      <c r="C808" s="64"/>
      <c r="D808" s="64"/>
      <c r="E808" s="65"/>
      <c r="F808" s="64"/>
      <c r="G808" s="67"/>
      <c r="H808" s="64"/>
      <c r="I808" s="64"/>
      <c r="J808" s="64"/>
      <c r="K808" s="64"/>
      <c r="L808" s="65"/>
      <c r="M808" s="64"/>
      <c r="N808" s="64"/>
      <c r="O808" s="64"/>
      <c r="P808" s="64"/>
      <c r="Q808" s="64"/>
      <c r="R808" s="64"/>
      <c r="S808" s="64"/>
      <c r="T808" s="65"/>
      <c r="U808" s="64"/>
      <c r="V808" s="64"/>
      <c r="W808" s="64"/>
      <c r="X808" s="64"/>
      <c r="Y808" s="64"/>
      <c r="Z808" s="64"/>
      <c r="AA808" s="64"/>
      <c r="AB808" s="64"/>
      <c r="AC808" s="64"/>
      <c r="AD808" s="64"/>
      <c r="AE808" s="64"/>
      <c r="AF808" s="64"/>
      <c r="AG808" s="64"/>
    </row>
    <row r="809">
      <c r="A809" s="64"/>
      <c r="B809" s="64"/>
      <c r="C809" s="64"/>
      <c r="D809" s="64"/>
      <c r="E809" s="65"/>
      <c r="F809" s="64"/>
      <c r="G809" s="67"/>
      <c r="H809" s="64"/>
      <c r="I809" s="64"/>
      <c r="J809" s="64"/>
      <c r="K809" s="64"/>
      <c r="L809" s="65"/>
      <c r="M809" s="64"/>
      <c r="N809" s="64"/>
      <c r="O809" s="64"/>
      <c r="P809" s="64"/>
      <c r="Q809" s="64"/>
      <c r="R809" s="64"/>
      <c r="S809" s="64"/>
      <c r="T809" s="65"/>
      <c r="U809" s="64"/>
      <c r="V809" s="64"/>
      <c r="W809" s="64"/>
      <c r="X809" s="64"/>
      <c r="Y809" s="64"/>
      <c r="Z809" s="64"/>
      <c r="AA809" s="64"/>
      <c r="AB809" s="64"/>
      <c r="AC809" s="64"/>
      <c r="AD809" s="64"/>
      <c r="AE809" s="64"/>
      <c r="AF809" s="64"/>
      <c r="AG809" s="64"/>
    </row>
    <row r="810">
      <c r="A810" s="64"/>
      <c r="B810" s="64"/>
      <c r="C810" s="64"/>
      <c r="D810" s="64"/>
      <c r="E810" s="65"/>
      <c r="F810" s="64"/>
      <c r="G810" s="67"/>
      <c r="H810" s="64"/>
      <c r="I810" s="64"/>
      <c r="J810" s="64"/>
      <c r="K810" s="64"/>
      <c r="L810" s="65"/>
      <c r="M810" s="64"/>
      <c r="N810" s="64"/>
      <c r="O810" s="64"/>
      <c r="P810" s="64"/>
      <c r="Q810" s="64"/>
      <c r="R810" s="64"/>
      <c r="S810" s="64"/>
      <c r="T810" s="65"/>
      <c r="U810" s="64"/>
      <c r="V810" s="64"/>
      <c r="W810" s="64"/>
      <c r="X810" s="64"/>
      <c r="Y810" s="64"/>
      <c r="Z810" s="64"/>
      <c r="AA810" s="64"/>
      <c r="AB810" s="64"/>
      <c r="AC810" s="64"/>
      <c r="AD810" s="64"/>
      <c r="AE810" s="64"/>
      <c r="AF810" s="64"/>
      <c r="AG810" s="64"/>
    </row>
    <row r="811">
      <c r="A811" s="64"/>
      <c r="B811" s="64"/>
      <c r="C811" s="64"/>
      <c r="D811" s="64"/>
      <c r="E811" s="65"/>
      <c r="F811" s="64"/>
      <c r="G811" s="67"/>
      <c r="H811" s="64"/>
      <c r="I811" s="64"/>
      <c r="J811" s="64"/>
      <c r="K811" s="64"/>
      <c r="L811" s="65"/>
      <c r="M811" s="64"/>
      <c r="N811" s="64"/>
      <c r="O811" s="64"/>
      <c r="P811" s="64"/>
      <c r="Q811" s="64"/>
      <c r="R811" s="64"/>
      <c r="S811" s="64"/>
      <c r="T811" s="65"/>
      <c r="U811" s="64"/>
      <c r="V811" s="64"/>
      <c r="W811" s="64"/>
      <c r="X811" s="64"/>
      <c r="Y811" s="64"/>
      <c r="Z811" s="64"/>
      <c r="AA811" s="64"/>
      <c r="AB811" s="64"/>
      <c r="AC811" s="64"/>
      <c r="AD811" s="64"/>
      <c r="AE811" s="64"/>
      <c r="AF811" s="64"/>
      <c r="AG811" s="64"/>
    </row>
    <row r="812">
      <c r="A812" s="64"/>
      <c r="B812" s="64"/>
      <c r="C812" s="64"/>
      <c r="D812" s="64"/>
      <c r="E812" s="65"/>
      <c r="F812" s="64"/>
      <c r="G812" s="67"/>
      <c r="H812" s="64"/>
      <c r="I812" s="64"/>
      <c r="J812" s="64"/>
      <c r="K812" s="64"/>
      <c r="L812" s="65"/>
      <c r="M812" s="64"/>
      <c r="N812" s="64"/>
      <c r="O812" s="64"/>
      <c r="P812" s="64"/>
      <c r="Q812" s="64"/>
      <c r="R812" s="64"/>
      <c r="S812" s="64"/>
      <c r="T812" s="65"/>
      <c r="U812" s="64"/>
      <c r="V812" s="64"/>
      <c r="W812" s="64"/>
      <c r="X812" s="64"/>
      <c r="Y812" s="64"/>
      <c r="Z812" s="64"/>
      <c r="AA812" s="64"/>
      <c r="AB812" s="64"/>
      <c r="AC812" s="64"/>
      <c r="AD812" s="64"/>
      <c r="AE812" s="64"/>
      <c r="AF812" s="64"/>
      <c r="AG812" s="64"/>
    </row>
    <row r="813">
      <c r="A813" s="64"/>
      <c r="B813" s="64"/>
      <c r="C813" s="64"/>
      <c r="D813" s="64"/>
      <c r="E813" s="65"/>
      <c r="F813" s="64"/>
      <c r="G813" s="67"/>
      <c r="H813" s="64"/>
      <c r="I813" s="64"/>
      <c r="J813" s="64"/>
      <c r="K813" s="64"/>
      <c r="L813" s="65"/>
      <c r="M813" s="64"/>
      <c r="N813" s="64"/>
      <c r="O813" s="64"/>
      <c r="P813" s="64"/>
      <c r="Q813" s="64"/>
      <c r="R813" s="64"/>
      <c r="S813" s="64"/>
      <c r="T813" s="65"/>
      <c r="U813" s="64"/>
      <c r="V813" s="64"/>
      <c r="W813" s="64"/>
      <c r="X813" s="64"/>
      <c r="Y813" s="64"/>
      <c r="Z813" s="64"/>
      <c r="AA813" s="64"/>
      <c r="AB813" s="64"/>
      <c r="AC813" s="64"/>
      <c r="AD813" s="64"/>
      <c r="AE813" s="64"/>
      <c r="AF813" s="64"/>
      <c r="AG813" s="64"/>
    </row>
    <row r="814">
      <c r="A814" s="64"/>
      <c r="B814" s="64"/>
      <c r="C814" s="64"/>
      <c r="D814" s="64"/>
      <c r="E814" s="65"/>
      <c r="F814" s="64"/>
      <c r="G814" s="67"/>
      <c r="H814" s="64"/>
      <c r="I814" s="64"/>
      <c r="J814" s="64"/>
      <c r="K814" s="64"/>
      <c r="L814" s="65"/>
      <c r="M814" s="64"/>
      <c r="N814" s="64"/>
      <c r="O814" s="64"/>
      <c r="P814" s="64"/>
      <c r="Q814" s="64"/>
      <c r="R814" s="64"/>
      <c r="S814" s="64"/>
      <c r="T814" s="65"/>
      <c r="U814" s="64"/>
      <c r="V814" s="64"/>
      <c r="W814" s="64"/>
      <c r="X814" s="64"/>
      <c r="Y814" s="64"/>
      <c r="Z814" s="64"/>
      <c r="AA814" s="64"/>
      <c r="AB814" s="64"/>
      <c r="AC814" s="64"/>
      <c r="AD814" s="64"/>
      <c r="AE814" s="64"/>
      <c r="AF814" s="64"/>
      <c r="AG814" s="64"/>
    </row>
    <row r="815">
      <c r="A815" s="64"/>
      <c r="B815" s="64"/>
      <c r="C815" s="64"/>
      <c r="D815" s="64"/>
      <c r="E815" s="65"/>
      <c r="F815" s="64"/>
      <c r="G815" s="67"/>
      <c r="H815" s="64"/>
      <c r="I815" s="64"/>
      <c r="J815" s="64"/>
      <c r="K815" s="64"/>
      <c r="L815" s="65"/>
      <c r="M815" s="64"/>
      <c r="N815" s="64"/>
      <c r="O815" s="64"/>
      <c r="P815" s="64"/>
      <c r="Q815" s="64"/>
      <c r="R815" s="64"/>
      <c r="S815" s="64"/>
      <c r="T815" s="65"/>
      <c r="U815" s="64"/>
      <c r="V815" s="64"/>
      <c r="W815" s="64"/>
      <c r="X815" s="64"/>
      <c r="Y815" s="64"/>
      <c r="Z815" s="64"/>
      <c r="AA815" s="64"/>
      <c r="AB815" s="64"/>
      <c r="AC815" s="64"/>
      <c r="AD815" s="64"/>
      <c r="AE815" s="64"/>
      <c r="AF815" s="64"/>
      <c r="AG815" s="64"/>
    </row>
    <row r="816">
      <c r="A816" s="64"/>
      <c r="B816" s="64"/>
      <c r="C816" s="64"/>
      <c r="D816" s="64"/>
      <c r="E816" s="65"/>
      <c r="F816" s="64"/>
      <c r="G816" s="67"/>
      <c r="H816" s="64"/>
      <c r="I816" s="64"/>
      <c r="J816" s="64"/>
      <c r="K816" s="64"/>
      <c r="L816" s="65"/>
      <c r="M816" s="64"/>
      <c r="N816" s="64"/>
      <c r="O816" s="64"/>
      <c r="P816" s="64"/>
      <c r="Q816" s="64"/>
      <c r="R816" s="64"/>
      <c r="S816" s="64"/>
      <c r="T816" s="65"/>
      <c r="U816" s="64"/>
      <c r="V816" s="64"/>
      <c r="W816" s="64"/>
      <c r="X816" s="64"/>
      <c r="Y816" s="64"/>
      <c r="Z816" s="64"/>
      <c r="AA816" s="64"/>
      <c r="AB816" s="64"/>
      <c r="AC816" s="64"/>
      <c r="AD816" s="64"/>
      <c r="AE816" s="64"/>
      <c r="AF816" s="64"/>
      <c r="AG816" s="64"/>
    </row>
    <row r="817">
      <c r="A817" s="64"/>
      <c r="B817" s="64"/>
      <c r="C817" s="64"/>
      <c r="D817" s="64"/>
      <c r="E817" s="65"/>
      <c r="F817" s="64"/>
      <c r="G817" s="67"/>
      <c r="H817" s="64"/>
      <c r="I817" s="64"/>
      <c r="J817" s="64"/>
      <c r="K817" s="64"/>
      <c r="L817" s="65"/>
      <c r="M817" s="64"/>
      <c r="N817" s="64"/>
      <c r="O817" s="64"/>
      <c r="P817" s="64"/>
      <c r="Q817" s="64"/>
      <c r="R817" s="64"/>
      <c r="S817" s="64"/>
      <c r="T817" s="65"/>
      <c r="U817" s="64"/>
      <c r="V817" s="64"/>
      <c r="W817" s="64"/>
      <c r="X817" s="64"/>
      <c r="Y817" s="64"/>
      <c r="Z817" s="64"/>
      <c r="AA817" s="64"/>
      <c r="AB817" s="64"/>
      <c r="AC817" s="64"/>
      <c r="AD817" s="64"/>
      <c r="AE817" s="64"/>
      <c r="AF817" s="64"/>
      <c r="AG817" s="64"/>
    </row>
    <row r="818">
      <c r="A818" s="64"/>
      <c r="B818" s="64"/>
      <c r="C818" s="64"/>
      <c r="D818" s="64"/>
      <c r="E818" s="65"/>
      <c r="F818" s="64"/>
      <c r="G818" s="67"/>
      <c r="H818" s="64"/>
      <c r="I818" s="64"/>
      <c r="J818" s="64"/>
      <c r="K818" s="64"/>
      <c r="L818" s="65"/>
      <c r="M818" s="64"/>
      <c r="N818" s="64"/>
      <c r="O818" s="64"/>
      <c r="P818" s="64"/>
      <c r="Q818" s="64"/>
      <c r="R818" s="64"/>
      <c r="S818" s="64"/>
      <c r="T818" s="65"/>
      <c r="U818" s="64"/>
      <c r="V818" s="64"/>
      <c r="W818" s="64"/>
      <c r="X818" s="64"/>
      <c r="Y818" s="64"/>
      <c r="Z818" s="64"/>
      <c r="AA818" s="64"/>
      <c r="AB818" s="64"/>
      <c r="AC818" s="64"/>
      <c r="AD818" s="64"/>
      <c r="AE818" s="64"/>
      <c r="AF818" s="64"/>
      <c r="AG818" s="64"/>
    </row>
    <row r="819">
      <c r="A819" s="64"/>
      <c r="B819" s="64"/>
      <c r="C819" s="64"/>
      <c r="D819" s="64"/>
      <c r="E819" s="65"/>
      <c r="F819" s="64"/>
      <c r="G819" s="67"/>
      <c r="H819" s="64"/>
      <c r="I819" s="64"/>
      <c r="J819" s="64"/>
      <c r="K819" s="64"/>
      <c r="L819" s="65"/>
      <c r="M819" s="64"/>
      <c r="N819" s="64"/>
      <c r="O819" s="64"/>
      <c r="P819" s="64"/>
      <c r="Q819" s="64"/>
      <c r="R819" s="64"/>
      <c r="S819" s="64"/>
      <c r="T819" s="65"/>
      <c r="U819" s="64"/>
      <c r="V819" s="64"/>
      <c r="W819" s="64"/>
      <c r="X819" s="64"/>
      <c r="Y819" s="64"/>
      <c r="Z819" s="64"/>
      <c r="AA819" s="64"/>
      <c r="AB819" s="64"/>
      <c r="AC819" s="64"/>
      <c r="AD819" s="64"/>
      <c r="AE819" s="64"/>
      <c r="AF819" s="64"/>
      <c r="AG819" s="64"/>
    </row>
    <row r="820">
      <c r="A820" s="64"/>
      <c r="B820" s="64"/>
      <c r="C820" s="64"/>
      <c r="D820" s="64"/>
      <c r="E820" s="65"/>
      <c r="F820" s="64"/>
      <c r="G820" s="67"/>
      <c r="H820" s="64"/>
      <c r="I820" s="64"/>
      <c r="J820" s="64"/>
      <c r="K820" s="64"/>
      <c r="L820" s="65"/>
      <c r="M820" s="64"/>
      <c r="N820" s="64"/>
      <c r="O820" s="64"/>
      <c r="P820" s="64"/>
      <c r="Q820" s="64"/>
      <c r="R820" s="64"/>
      <c r="S820" s="64"/>
      <c r="T820" s="65"/>
      <c r="U820" s="64"/>
      <c r="V820" s="64"/>
      <c r="W820" s="64"/>
      <c r="X820" s="64"/>
      <c r="Y820" s="64"/>
      <c r="Z820" s="64"/>
      <c r="AA820" s="64"/>
      <c r="AB820" s="64"/>
      <c r="AC820" s="64"/>
      <c r="AD820" s="64"/>
      <c r="AE820" s="64"/>
      <c r="AF820" s="64"/>
      <c r="AG820" s="64"/>
    </row>
    <row r="821">
      <c r="A821" s="64"/>
      <c r="B821" s="64"/>
      <c r="C821" s="64"/>
      <c r="D821" s="64"/>
      <c r="E821" s="65"/>
      <c r="F821" s="64"/>
      <c r="G821" s="67"/>
      <c r="H821" s="64"/>
      <c r="I821" s="64"/>
      <c r="J821" s="64"/>
      <c r="K821" s="64"/>
      <c r="L821" s="65"/>
      <c r="M821" s="64"/>
      <c r="N821" s="64"/>
      <c r="O821" s="64"/>
      <c r="P821" s="64"/>
      <c r="Q821" s="64"/>
      <c r="R821" s="64"/>
      <c r="S821" s="64"/>
      <c r="T821" s="65"/>
      <c r="U821" s="64"/>
      <c r="V821" s="64"/>
      <c r="W821" s="64"/>
      <c r="X821" s="64"/>
      <c r="Y821" s="64"/>
      <c r="Z821" s="64"/>
      <c r="AA821" s="64"/>
      <c r="AB821" s="64"/>
      <c r="AC821" s="64"/>
      <c r="AD821" s="64"/>
      <c r="AE821" s="64"/>
      <c r="AF821" s="64"/>
      <c r="AG821" s="64"/>
    </row>
    <row r="822">
      <c r="A822" s="64"/>
      <c r="B822" s="64"/>
      <c r="C822" s="64"/>
      <c r="D822" s="64"/>
      <c r="E822" s="65"/>
      <c r="F822" s="64"/>
      <c r="G822" s="67"/>
      <c r="H822" s="64"/>
      <c r="I822" s="64"/>
      <c r="J822" s="64"/>
      <c r="K822" s="64"/>
      <c r="L822" s="65"/>
      <c r="M822" s="64"/>
      <c r="N822" s="64"/>
      <c r="O822" s="64"/>
      <c r="P822" s="64"/>
      <c r="Q822" s="64"/>
      <c r="R822" s="64"/>
      <c r="S822" s="64"/>
      <c r="T822" s="65"/>
      <c r="U822" s="64"/>
      <c r="V822" s="64"/>
      <c r="W822" s="64"/>
      <c r="X822" s="64"/>
      <c r="Y822" s="64"/>
      <c r="Z822" s="64"/>
      <c r="AA822" s="64"/>
      <c r="AB822" s="64"/>
      <c r="AC822" s="64"/>
      <c r="AD822" s="64"/>
      <c r="AE822" s="64"/>
      <c r="AF822" s="64"/>
      <c r="AG822" s="64"/>
    </row>
    <row r="823">
      <c r="A823" s="64"/>
      <c r="B823" s="64"/>
      <c r="C823" s="64"/>
      <c r="D823" s="64"/>
      <c r="E823" s="65"/>
      <c r="F823" s="64"/>
      <c r="G823" s="67"/>
      <c r="H823" s="64"/>
      <c r="I823" s="64"/>
      <c r="J823" s="64"/>
      <c r="K823" s="64"/>
      <c r="L823" s="65"/>
      <c r="M823" s="64"/>
      <c r="N823" s="64"/>
      <c r="O823" s="64"/>
      <c r="P823" s="64"/>
      <c r="Q823" s="64"/>
      <c r="R823" s="64"/>
      <c r="S823" s="64"/>
      <c r="T823" s="65"/>
      <c r="U823" s="64"/>
      <c r="V823" s="64"/>
      <c r="W823" s="64"/>
      <c r="X823" s="64"/>
      <c r="Y823" s="64"/>
      <c r="Z823" s="64"/>
      <c r="AA823" s="64"/>
      <c r="AB823" s="64"/>
      <c r="AC823" s="64"/>
      <c r="AD823" s="64"/>
      <c r="AE823" s="64"/>
      <c r="AF823" s="64"/>
      <c r="AG823" s="64"/>
    </row>
    <row r="824">
      <c r="A824" s="64"/>
      <c r="B824" s="64"/>
      <c r="C824" s="64"/>
      <c r="D824" s="64"/>
      <c r="E824" s="65"/>
      <c r="F824" s="64"/>
      <c r="G824" s="67"/>
      <c r="H824" s="64"/>
      <c r="I824" s="64"/>
      <c r="J824" s="64"/>
      <c r="K824" s="64"/>
      <c r="L824" s="65"/>
      <c r="M824" s="64"/>
      <c r="N824" s="64"/>
      <c r="O824" s="64"/>
      <c r="P824" s="64"/>
      <c r="Q824" s="64"/>
      <c r="R824" s="64"/>
      <c r="S824" s="64"/>
      <c r="T824" s="65"/>
      <c r="U824" s="64"/>
      <c r="V824" s="64"/>
      <c r="W824" s="64"/>
      <c r="X824" s="64"/>
      <c r="Y824" s="64"/>
      <c r="Z824" s="64"/>
      <c r="AA824" s="64"/>
      <c r="AB824" s="64"/>
      <c r="AC824" s="64"/>
      <c r="AD824" s="64"/>
      <c r="AE824" s="64"/>
      <c r="AF824" s="64"/>
      <c r="AG824" s="64"/>
    </row>
    <row r="825">
      <c r="A825" s="64"/>
      <c r="B825" s="64"/>
      <c r="C825" s="64"/>
      <c r="D825" s="64"/>
      <c r="E825" s="65"/>
      <c r="F825" s="64"/>
      <c r="G825" s="67"/>
      <c r="H825" s="64"/>
      <c r="I825" s="64"/>
      <c r="J825" s="64"/>
      <c r="K825" s="64"/>
      <c r="L825" s="65"/>
      <c r="M825" s="64"/>
      <c r="N825" s="64"/>
      <c r="O825" s="64"/>
      <c r="P825" s="64"/>
      <c r="Q825" s="64"/>
      <c r="R825" s="64"/>
      <c r="S825" s="64"/>
      <c r="T825" s="65"/>
      <c r="U825" s="64"/>
      <c r="V825" s="64"/>
      <c r="W825" s="64"/>
      <c r="X825" s="64"/>
      <c r="Y825" s="64"/>
      <c r="Z825" s="64"/>
      <c r="AA825" s="64"/>
      <c r="AB825" s="64"/>
      <c r="AC825" s="64"/>
      <c r="AD825" s="64"/>
      <c r="AE825" s="64"/>
      <c r="AF825" s="64"/>
      <c r="AG825" s="64"/>
    </row>
    <row r="826">
      <c r="A826" s="64"/>
      <c r="B826" s="64"/>
      <c r="C826" s="64"/>
      <c r="D826" s="64"/>
      <c r="E826" s="65"/>
      <c r="F826" s="64"/>
      <c r="G826" s="67"/>
      <c r="H826" s="64"/>
      <c r="I826" s="64"/>
      <c r="J826" s="64"/>
      <c r="K826" s="64"/>
      <c r="L826" s="65"/>
      <c r="M826" s="64"/>
      <c r="N826" s="64"/>
      <c r="O826" s="64"/>
      <c r="P826" s="64"/>
      <c r="Q826" s="64"/>
      <c r="R826" s="64"/>
      <c r="S826" s="64"/>
      <c r="T826" s="65"/>
      <c r="U826" s="64"/>
      <c r="V826" s="64"/>
      <c r="W826" s="64"/>
      <c r="X826" s="64"/>
      <c r="Y826" s="64"/>
      <c r="Z826" s="64"/>
      <c r="AA826" s="64"/>
      <c r="AB826" s="64"/>
      <c r="AC826" s="64"/>
      <c r="AD826" s="64"/>
      <c r="AE826" s="64"/>
      <c r="AF826" s="64"/>
      <c r="AG826" s="64"/>
    </row>
    <row r="827">
      <c r="A827" s="64"/>
      <c r="B827" s="64"/>
      <c r="C827" s="64"/>
      <c r="D827" s="64"/>
      <c r="E827" s="65"/>
      <c r="F827" s="64"/>
      <c r="G827" s="67"/>
      <c r="H827" s="64"/>
      <c r="I827" s="64"/>
      <c r="J827" s="64"/>
      <c r="K827" s="64"/>
      <c r="L827" s="65"/>
      <c r="M827" s="64"/>
      <c r="N827" s="64"/>
      <c r="O827" s="64"/>
      <c r="P827" s="64"/>
      <c r="Q827" s="64"/>
      <c r="R827" s="64"/>
      <c r="S827" s="64"/>
      <c r="T827" s="65"/>
      <c r="U827" s="64"/>
      <c r="V827" s="64"/>
      <c r="W827" s="64"/>
      <c r="X827" s="64"/>
      <c r="Y827" s="64"/>
      <c r="Z827" s="64"/>
      <c r="AA827" s="64"/>
      <c r="AB827" s="64"/>
      <c r="AC827" s="64"/>
      <c r="AD827" s="64"/>
      <c r="AE827" s="64"/>
      <c r="AF827" s="64"/>
      <c r="AG827" s="64"/>
    </row>
    <row r="828">
      <c r="A828" s="64"/>
      <c r="B828" s="64"/>
      <c r="C828" s="64"/>
      <c r="D828" s="64"/>
      <c r="E828" s="65"/>
      <c r="F828" s="64"/>
      <c r="G828" s="67"/>
      <c r="H828" s="64"/>
      <c r="I828" s="64"/>
      <c r="J828" s="64"/>
      <c r="K828" s="64"/>
      <c r="L828" s="65"/>
      <c r="M828" s="64"/>
      <c r="N828" s="64"/>
      <c r="O828" s="64"/>
      <c r="P828" s="64"/>
      <c r="Q828" s="64"/>
      <c r="R828" s="64"/>
      <c r="S828" s="64"/>
      <c r="T828" s="65"/>
      <c r="U828" s="64"/>
      <c r="V828" s="64"/>
      <c r="W828" s="64"/>
      <c r="X828" s="64"/>
      <c r="Y828" s="64"/>
      <c r="Z828" s="64"/>
      <c r="AA828" s="64"/>
      <c r="AB828" s="64"/>
      <c r="AC828" s="64"/>
      <c r="AD828" s="64"/>
      <c r="AE828" s="64"/>
      <c r="AF828" s="64"/>
      <c r="AG828" s="64"/>
    </row>
    <row r="829">
      <c r="A829" s="64"/>
      <c r="B829" s="64"/>
      <c r="C829" s="64"/>
      <c r="D829" s="64"/>
      <c r="E829" s="65"/>
      <c r="F829" s="64"/>
      <c r="G829" s="67"/>
      <c r="H829" s="64"/>
      <c r="I829" s="64"/>
      <c r="J829" s="64"/>
      <c r="K829" s="64"/>
      <c r="L829" s="65"/>
      <c r="M829" s="64"/>
      <c r="N829" s="64"/>
      <c r="O829" s="64"/>
      <c r="P829" s="64"/>
      <c r="Q829" s="64"/>
      <c r="R829" s="64"/>
      <c r="S829" s="64"/>
      <c r="T829" s="65"/>
      <c r="U829" s="64"/>
      <c r="V829" s="64"/>
      <c r="W829" s="64"/>
      <c r="X829" s="64"/>
      <c r="Y829" s="64"/>
      <c r="Z829" s="64"/>
      <c r="AA829" s="64"/>
      <c r="AB829" s="64"/>
      <c r="AC829" s="64"/>
      <c r="AD829" s="64"/>
      <c r="AE829" s="64"/>
      <c r="AF829" s="64"/>
      <c r="AG829" s="64"/>
    </row>
    <row r="830">
      <c r="A830" s="64"/>
      <c r="B830" s="64"/>
      <c r="C830" s="64"/>
      <c r="D830" s="64"/>
      <c r="E830" s="65"/>
      <c r="F830" s="64"/>
      <c r="G830" s="67"/>
      <c r="H830" s="64"/>
      <c r="I830" s="64"/>
      <c r="J830" s="64"/>
      <c r="K830" s="64"/>
      <c r="L830" s="65"/>
      <c r="M830" s="64"/>
      <c r="N830" s="64"/>
      <c r="O830" s="64"/>
      <c r="P830" s="64"/>
      <c r="Q830" s="64"/>
      <c r="R830" s="64"/>
      <c r="S830" s="64"/>
      <c r="T830" s="65"/>
      <c r="U830" s="64"/>
      <c r="V830" s="64"/>
      <c r="W830" s="64"/>
      <c r="X830" s="64"/>
      <c r="Y830" s="64"/>
      <c r="Z830" s="64"/>
      <c r="AA830" s="64"/>
      <c r="AB830" s="64"/>
      <c r="AC830" s="64"/>
      <c r="AD830" s="64"/>
      <c r="AE830" s="64"/>
      <c r="AF830" s="64"/>
      <c r="AG830" s="64"/>
    </row>
    <row r="831">
      <c r="A831" s="64"/>
      <c r="B831" s="64"/>
      <c r="C831" s="64"/>
      <c r="D831" s="64"/>
      <c r="E831" s="65"/>
      <c r="F831" s="64"/>
      <c r="G831" s="67"/>
      <c r="H831" s="64"/>
      <c r="I831" s="64"/>
      <c r="J831" s="64"/>
      <c r="K831" s="64"/>
      <c r="L831" s="65"/>
      <c r="M831" s="64"/>
      <c r="N831" s="64"/>
      <c r="O831" s="64"/>
      <c r="P831" s="64"/>
      <c r="Q831" s="64"/>
      <c r="R831" s="64"/>
      <c r="S831" s="64"/>
      <c r="T831" s="65"/>
      <c r="U831" s="64"/>
      <c r="V831" s="64"/>
      <c r="W831" s="64"/>
      <c r="X831" s="64"/>
      <c r="Y831" s="64"/>
      <c r="Z831" s="64"/>
      <c r="AA831" s="64"/>
      <c r="AB831" s="64"/>
      <c r="AC831" s="64"/>
      <c r="AD831" s="64"/>
      <c r="AE831" s="64"/>
      <c r="AF831" s="64"/>
      <c r="AG831" s="64"/>
    </row>
    <row r="832">
      <c r="A832" s="64"/>
      <c r="B832" s="64"/>
      <c r="C832" s="64"/>
      <c r="D832" s="64"/>
      <c r="E832" s="65"/>
      <c r="F832" s="64"/>
      <c r="G832" s="67"/>
      <c r="H832" s="64"/>
      <c r="I832" s="64"/>
      <c r="J832" s="64"/>
      <c r="K832" s="64"/>
      <c r="L832" s="65"/>
      <c r="M832" s="64"/>
      <c r="N832" s="64"/>
      <c r="O832" s="64"/>
      <c r="P832" s="64"/>
      <c r="Q832" s="64"/>
      <c r="R832" s="64"/>
      <c r="S832" s="64"/>
      <c r="T832" s="65"/>
      <c r="U832" s="64"/>
      <c r="V832" s="64"/>
      <c r="W832" s="64"/>
      <c r="X832" s="64"/>
      <c r="Y832" s="64"/>
      <c r="Z832" s="64"/>
      <c r="AA832" s="64"/>
      <c r="AB832" s="64"/>
      <c r="AC832" s="64"/>
      <c r="AD832" s="64"/>
      <c r="AE832" s="64"/>
      <c r="AF832" s="64"/>
      <c r="AG832" s="64"/>
    </row>
    <row r="833">
      <c r="A833" s="64"/>
      <c r="B833" s="64"/>
      <c r="C833" s="64"/>
      <c r="D833" s="64"/>
      <c r="E833" s="65"/>
      <c r="F833" s="64"/>
      <c r="G833" s="67"/>
      <c r="H833" s="64"/>
      <c r="I833" s="64"/>
      <c r="J833" s="64"/>
      <c r="K833" s="64"/>
      <c r="L833" s="65"/>
      <c r="M833" s="64"/>
      <c r="N833" s="64"/>
      <c r="O833" s="64"/>
      <c r="P833" s="64"/>
      <c r="Q833" s="64"/>
      <c r="R833" s="64"/>
      <c r="S833" s="64"/>
      <c r="T833" s="65"/>
      <c r="U833" s="64"/>
      <c r="V833" s="64"/>
      <c r="W833" s="64"/>
      <c r="X833" s="64"/>
      <c r="Y833" s="64"/>
      <c r="Z833" s="64"/>
      <c r="AA833" s="64"/>
      <c r="AB833" s="64"/>
      <c r="AC833" s="64"/>
      <c r="AD833" s="64"/>
      <c r="AE833" s="64"/>
      <c r="AF833" s="64"/>
      <c r="AG833" s="64"/>
    </row>
    <row r="834">
      <c r="A834" s="64"/>
      <c r="B834" s="64"/>
      <c r="C834" s="64"/>
      <c r="D834" s="64"/>
      <c r="E834" s="65"/>
      <c r="F834" s="64"/>
      <c r="G834" s="67"/>
      <c r="H834" s="64"/>
      <c r="I834" s="64"/>
      <c r="J834" s="64"/>
      <c r="K834" s="64"/>
      <c r="L834" s="65"/>
      <c r="M834" s="64"/>
      <c r="N834" s="64"/>
      <c r="O834" s="64"/>
      <c r="P834" s="64"/>
      <c r="Q834" s="64"/>
      <c r="R834" s="64"/>
      <c r="S834" s="64"/>
      <c r="T834" s="65"/>
      <c r="U834" s="64"/>
      <c r="V834" s="64"/>
      <c r="W834" s="64"/>
      <c r="X834" s="64"/>
      <c r="Y834" s="64"/>
      <c r="Z834" s="64"/>
      <c r="AA834" s="64"/>
      <c r="AB834" s="64"/>
      <c r="AC834" s="64"/>
      <c r="AD834" s="64"/>
      <c r="AE834" s="64"/>
      <c r="AF834" s="64"/>
      <c r="AG834" s="64"/>
    </row>
    <row r="835">
      <c r="A835" s="64"/>
      <c r="B835" s="64"/>
      <c r="C835" s="64"/>
      <c r="D835" s="64"/>
      <c r="E835" s="65"/>
      <c r="F835" s="64"/>
      <c r="G835" s="67"/>
      <c r="H835" s="64"/>
      <c r="I835" s="64"/>
      <c r="J835" s="64"/>
      <c r="K835" s="64"/>
      <c r="L835" s="65"/>
      <c r="M835" s="64"/>
      <c r="N835" s="64"/>
      <c r="O835" s="64"/>
      <c r="P835" s="64"/>
      <c r="Q835" s="64"/>
      <c r="R835" s="64"/>
      <c r="S835" s="64"/>
      <c r="T835" s="65"/>
      <c r="U835" s="64"/>
      <c r="V835" s="64"/>
      <c r="W835" s="64"/>
      <c r="X835" s="64"/>
      <c r="Y835" s="64"/>
      <c r="Z835" s="64"/>
      <c r="AA835" s="64"/>
      <c r="AB835" s="64"/>
      <c r="AC835" s="64"/>
      <c r="AD835" s="64"/>
      <c r="AE835" s="64"/>
      <c r="AF835" s="64"/>
      <c r="AG835" s="64"/>
    </row>
    <row r="836">
      <c r="A836" s="64"/>
      <c r="B836" s="64"/>
      <c r="C836" s="64"/>
      <c r="D836" s="64"/>
      <c r="E836" s="65"/>
      <c r="F836" s="64"/>
      <c r="G836" s="67"/>
      <c r="H836" s="64"/>
      <c r="I836" s="64"/>
      <c r="J836" s="64"/>
      <c r="K836" s="64"/>
      <c r="L836" s="65"/>
      <c r="M836" s="64"/>
      <c r="N836" s="64"/>
      <c r="O836" s="64"/>
      <c r="P836" s="64"/>
      <c r="Q836" s="64"/>
      <c r="R836" s="64"/>
      <c r="S836" s="64"/>
      <c r="T836" s="65"/>
      <c r="U836" s="64"/>
      <c r="V836" s="64"/>
      <c r="W836" s="64"/>
      <c r="X836" s="64"/>
      <c r="Y836" s="64"/>
      <c r="Z836" s="64"/>
      <c r="AA836" s="64"/>
      <c r="AB836" s="64"/>
      <c r="AC836" s="64"/>
      <c r="AD836" s="64"/>
      <c r="AE836" s="64"/>
      <c r="AF836" s="64"/>
      <c r="AG836" s="64"/>
    </row>
    <row r="837">
      <c r="A837" s="64"/>
      <c r="B837" s="64"/>
      <c r="C837" s="64"/>
      <c r="D837" s="64"/>
      <c r="E837" s="65"/>
      <c r="F837" s="64"/>
      <c r="G837" s="67"/>
      <c r="H837" s="64"/>
      <c r="I837" s="64"/>
      <c r="J837" s="64"/>
      <c r="K837" s="64"/>
      <c r="L837" s="65"/>
      <c r="M837" s="64"/>
      <c r="N837" s="64"/>
      <c r="O837" s="64"/>
      <c r="P837" s="64"/>
      <c r="Q837" s="64"/>
      <c r="R837" s="64"/>
      <c r="S837" s="64"/>
      <c r="T837" s="65"/>
      <c r="U837" s="64"/>
      <c r="V837" s="64"/>
      <c r="W837" s="64"/>
      <c r="X837" s="64"/>
      <c r="Y837" s="64"/>
      <c r="Z837" s="64"/>
      <c r="AA837" s="64"/>
      <c r="AB837" s="64"/>
      <c r="AC837" s="64"/>
      <c r="AD837" s="64"/>
      <c r="AE837" s="64"/>
      <c r="AF837" s="64"/>
      <c r="AG837" s="64"/>
    </row>
    <row r="838">
      <c r="A838" s="64"/>
      <c r="B838" s="64"/>
      <c r="C838" s="64"/>
      <c r="D838" s="64"/>
      <c r="E838" s="65"/>
      <c r="F838" s="64"/>
      <c r="G838" s="67"/>
      <c r="H838" s="64"/>
      <c r="I838" s="64"/>
      <c r="J838" s="64"/>
      <c r="K838" s="64"/>
      <c r="L838" s="65"/>
      <c r="M838" s="64"/>
      <c r="N838" s="64"/>
      <c r="O838" s="64"/>
      <c r="P838" s="64"/>
      <c r="Q838" s="64"/>
      <c r="R838" s="64"/>
      <c r="S838" s="64"/>
      <c r="T838" s="65"/>
      <c r="U838" s="64"/>
      <c r="V838" s="64"/>
      <c r="W838" s="64"/>
      <c r="X838" s="64"/>
      <c r="Y838" s="64"/>
      <c r="Z838" s="64"/>
      <c r="AA838" s="64"/>
      <c r="AB838" s="64"/>
      <c r="AC838" s="64"/>
      <c r="AD838" s="64"/>
      <c r="AE838" s="64"/>
      <c r="AF838" s="64"/>
      <c r="AG838" s="64"/>
    </row>
    <row r="839">
      <c r="A839" s="64"/>
      <c r="B839" s="64"/>
      <c r="C839" s="64"/>
      <c r="D839" s="64"/>
      <c r="E839" s="65"/>
      <c r="F839" s="64"/>
      <c r="G839" s="67"/>
      <c r="H839" s="64"/>
      <c r="I839" s="64"/>
      <c r="J839" s="64"/>
      <c r="K839" s="64"/>
      <c r="L839" s="65"/>
      <c r="M839" s="64"/>
      <c r="N839" s="64"/>
      <c r="O839" s="64"/>
      <c r="P839" s="64"/>
      <c r="Q839" s="64"/>
      <c r="R839" s="64"/>
      <c r="S839" s="64"/>
      <c r="T839" s="65"/>
      <c r="U839" s="64"/>
      <c r="V839" s="64"/>
      <c r="W839" s="64"/>
      <c r="X839" s="64"/>
      <c r="Y839" s="64"/>
      <c r="Z839" s="64"/>
      <c r="AA839" s="64"/>
      <c r="AB839" s="64"/>
      <c r="AC839" s="64"/>
      <c r="AD839" s="64"/>
      <c r="AE839" s="64"/>
      <c r="AF839" s="64"/>
      <c r="AG839" s="64"/>
    </row>
    <row r="840">
      <c r="A840" s="64"/>
      <c r="B840" s="64"/>
      <c r="C840" s="64"/>
      <c r="D840" s="64"/>
      <c r="E840" s="65"/>
      <c r="F840" s="64"/>
      <c r="G840" s="67"/>
      <c r="H840" s="64"/>
      <c r="I840" s="64"/>
      <c r="J840" s="64"/>
      <c r="K840" s="64"/>
      <c r="L840" s="65"/>
      <c r="M840" s="64"/>
      <c r="N840" s="64"/>
      <c r="O840" s="64"/>
      <c r="P840" s="64"/>
      <c r="Q840" s="64"/>
      <c r="R840" s="64"/>
      <c r="S840" s="64"/>
      <c r="T840" s="65"/>
      <c r="U840" s="64"/>
      <c r="V840" s="64"/>
      <c r="W840" s="64"/>
      <c r="X840" s="64"/>
      <c r="Y840" s="64"/>
      <c r="Z840" s="64"/>
      <c r="AA840" s="64"/>
      <c r="AB840" s="64"/>
      <c r="AC840" s="64"/>
      <c r="AD840" s="64"/>
      <c r="AE840" s="64"/>
      <c r="AF840" s="64"/>
      <c r="AG840" s="64"/>
    </row>
    <row r="841">
      <c r="A841" s="64"/>
      <c r="B841" s="64"/>
      <c r="C841" s="64"/>
      <c r="D841" s="64"/>
      <c r="E841" s="65"/>
      <c r="F841" s="64"/>
      <c r="G841" s="67"/>
      <c r="H841" s="64"/>
      <c r="I841" s="64"/>
      <c r="J841" s="64"/>
      <c r="K841" s="64"/>
      <c r="L841" s="65"/>
      <c r="M841" s="64"/>
      <c r="N841" s="64"/>
      <c r="O841" s="64"/>
      <c r="P841" s="64"/>
      <c r="Q841" s="64"/>
      <c r="R841" s="64"/>
      <c r="S841" s="64"/>
      <c r="T841" s="65"/>
      <c r="U841" s="64"/>
      <c r="V841" s="64"/>
      <c r="W841" s="64"/>
      <c r="X841" s="64"/>
      <c r="Y841" s="64"/>
      <c r="Z841" s="64"/>
      <c r="AA841" s="64"/>
      <c r="AB841" s="64"/>
      <c r="AC841" s="64"/>
      <c r="AD841" s="64"/>
      <c r="AE841" s="64"/>
      <c r="AF841" s="64"/>
      <c r="AG841" s="64"/>
    </row>
    <row r="842">
      <c r="A842" s="64"/>
      <c r="B842" s="64"/>
      <c r="C842" s="64"/>
      <c r="D842" s="64"/>
      <c r="E842" s="65"/>
      <c r="F842" s="64"/>
      <c r="G842" s="67"/>
      <c r="H842" s="64"/>
      <c r="I842" s="64"/>
      <c r="J842" s="64"/>
      <c r="K842" s="64"/>
      <c r="L842" s="65"/>
      <c r="M842" s="64"/>
      <c r="N842" s="64"/>
      <c r="O842" s="64"/>
      <c r="P842" s="64"/>
      <c r="Q842" s="64"/>
      <c r="R842" s="64"/>
      <c r="S842" s="64"/>
      <c r="T842" s="65"/>
      <c r="U842" s="64"/>
      <c r="V842" s="64"/>
      <c r="W842" s="64"/>
      <c r="X842" s="64"/>
      <c r="Y842" s="64"/>
      <c r="Z842" s="64"/>
      <c r="AA842" s="64"/>
      <c r="AB842" s="64"/>
      <c r="AC842" s="64"/>
      <c r="AD842" s="64"/>
      <c r="AE842" s="64"/>
      <c r="AF842" s="64"/>
      <c r="AG842" s="64"/>
    </row>
    <row r="843">
      <c r="A843" s="64"/>
      <c r="B843" s="64"/>
      <c r="C843" s="64"/>
      <c r="D843" s="64"/>
      <c r="E843" s="65"/>
      <c r="F843" s="64"/>
      <c r="G843" s="67"/>
      <c r="H843" s="64"/>
      <c r="I843" s="64"/>
      <c r="J843" s="64"/>
      <c r="K843" s="64"/>
      <c r="L843" s="65"/>
      <c r="M843" s="64"/>
      <c r="N843" s="64"/>
      <c r="O843" s="64"/>
      <c r="P843" s="64"/>
      <c r="Q843" s="64"/>
      <c r="R843" s="64"/>
      <c r="S843" s="64"/>
      <c r="T843" s="65"/>
      <c r="U843" s="64"/>
      <c r="V843" s="64"/>
      <c r="W843" s="64"/>
      <c r="X843" s="64"/>
      <c r="Y843" s="64"/>
      <c r="Z843" s="64"/>
      <c r="AA843" s="64"/>
      <c r="AB843" s="64"/>
      <c r="AC843" s="64"/>
      <c r="AD843" s="64"/>
      <c r="AE843" s="64"/>
      <c r="AF843" s="64"/>
      <c r="AG843" s="64"/>
    </row>
    <row r="844">
      <c r="A844" s="64"/>
      <c r="B844" s="64"/>
      <c r="C844" s="64"/>
      <c r="D844" s="64"/>
      <c r="E844" s="65"/>
      <c r="F844" s="64"/>
      <c r="G844" s="67"/>
      <c r="H844" s="64"/>
      <c r="I844" s="64"/>
      <c r="J844" s="64"/>
      <c r="K844" s="64"/>
      <c r="L844" s="65"/>
      <c r="M844" s="64"/>
      <c r="N844" s="64"/>
      <c r="O844" s="64"/>
      <c r="P844" s="64"/>
      <c r="Q844" s="64"/>
      <c r="R844" s="64"/>
      <c r="S844" s="64"/>
      <c r="T844" s="65"/>
      <c r="U844" s="64"/>
      <c r="V844" s="64"/>
      <c r="W844" s="64"/>
      <c r="X844" s="64"/>
      <c r="Y844" s="64"/>
      <c r="Z844" s="64"/>
      <c r="AA844" s="64"/>
      <c r="AB844" s="64"/>
      <c r="AC844" s="64"/>
      <c r="AD844" s="64"/>
      <c r="AE844" s="64"/>
      <c r="AF844" s="64"/>
      <c r="AG844" s="64"/>
    </row>
    <row r="845">
      <c r="A845" s="64"/>
      <c r="B845" s="64"/>
      <c r="C845" s="64"/>
      <c r="D845" s="64"/>
      <c r="E845" s="65"/>
      <c r="F845" s="64"/>
      <c r="G845" s="67"/>
      <c r="H845" s="64"/>
      <c r="I845" s="64"/>
      <c r="J845" s="64"/>
      <c r="K845" s="64"/>
      <c r="L845" s="65"/>
      <c r="M845" s="64"/>
      <c r="N845" s="64"/>
      <c r="O845" s="64"/>
      <c r="P845" s="64"/>
      <c r="Q845" s="64"/>
      <c r="R845" s="64"/>
      <c r="S845" s="64"/>
      <c r="T845" s="65"/>
      <c r="U845" s="64"/>
      <c r="V845" s="64"/>
      <c r="W845" s="64"/>
      <c r="X845" s="64"/>
      <c r="Y845" s="64"/>
      <c r="Z845" s="64"/>
      <c r="AA845" s="64"/>
      <c r="AB845" s="64"/>
      <c r="AC845" s="64"/>
      <c r="AD845" s="64"/>
      <c r="AE845" s="64"/>
      <c r="AF845" s="64"/>
      <c r="AG845" s="64"/>
    </row>
    <row r="846">
      <c r="A846" s="64"/>
      <c r="B846" s="64"/>
      <c r="C846" s="64"/>
      <c r="D846" s="64"/>
      <c r="E846" s="65"/>
      <c r="F846" s="64"/>
      <c r="G846" s="67"/>
      <c r="H846" s="64"/>
      <c r="I846" s="64"/>
      <c r="J846" s="64"/>
      <c r="K846" s="64"/>
      <c r="L846" s="65"/>
      <c r="M846" s="64"/>
      <c r="N846" s="64"/>
      <c r="O846" s="64"/>
      <c r="P846" s="64"/>
      <c r="Q846" s="64"/>
      <c r="R846" s="64"/>
      <c r="S846" s="64"/>
      <c r="T846" s="65"/>
      <c r="U846" s="64"/>
      <c r="V846" s="64"/>
      <c r="W846" s="64"/>
      <c r="X846" s="64"/>
      <c r="Y846" s="64"/>
      <c r="Z846" s="64"/>
      <c r="AA846" s="64"/>
      <c r="AB846" s="64"/>
      <c r="AC846" s="64"/>
      <c r="AD846" s="64"/>
      <c r="AE846" s="64"/>
      <c r="AF846" s="64"/>
      <c r="AG846" s="64"/>
    </row>
    <row r="847">
      <c r="A847" s="64"/>
      <c r="B847" s="64"/>
      <c r="C847" s="64"/>
      <c r="D847" s="64"/>
      <c r="E847" s="65"/>
      <c r="F847" s="64"/>
      <c r="G847" s="67"/>
      <c r="H847" s="64"/>
      <c r="I847" s="64"/>
      <c r="J847" s="64"/>
      <c r="K847" s="64"/>
      <c r="L847" s="65"/>
      <c r="M847" s="64"/>
      <c r="N847" s="64"/>
      <c r="O847" s="64"/>
      <c r="P847" s="64"/>
      <c r="Q847" s="64"/>
      <c r="R847" s="64"/>
      <c r="S847" s="64"/>
      <c r="T847" s="65"/>
      <c r="U847" s="64"/>
      <c r="V847" s="64"/>
      <c r="W847" s="64"/>
      <c r="X847" s="64"/>
      <c r="Y847" s="64"/>
      <c r="Z847" s="64"/>
      <c r="AA847" s="64"/>
      <c r="AB847" s="64"/>
      <c r="AC847" s="64"/>
      <c r="AD847" s="64"/>
      <c r="AE847" s="64"/>
      <c r="AF847" s="64"/>
      <c r="AG847" s="64"/>
    </row>
    <row r="848">
      <c r="A848" s="64"/>
      <c r="B848" s="64"/>
      <c r="C848" s="64"/>
      <c r="D848" s="64"/>
      <c r="E848" s="65"/>
      <c r="F848" s="64"/>
      <c r="G848" s="67"/>
      <c r="H848" s="64"/>
      <c r="I848" s="64"/>
      <c r="J848" s="64"/>
      <c r="K848" s="64"/>
      <c r="L848" s="65"/>
      <c r="M848" s="64"/>
      <c r="N848" s="64"/>
      <c r="O848" s="64"/>
      <c r="P848" s="64"/>
      <c r="Q848" s="64"/>
      <c r="R848" s="64"/>
      <c r="S848" s="64"/>
      <c r="T848" s="65"/>
      <c r="U848" s="64"/>
      <c r="V848" s="64"/>
      <c r="W848" s="64"/>
      <c r="X848" s="64"/>
      <c r="Y848" s="64"/>
      <c r="Z848" s="64"/>
      <c r="AA848" s="64"/>
      <c r="AB848" s="64"/>
      <c r="AC848" s="64"/>
      <c r="AD848" s="64"/>
      <c r="AE848" s="64"/>
      <c r="AF848" s="64"/>
      <c r="AG848" s="64"/>
    </row>
    <row r="849">
      <c r="A849" s="64"/>
      <c r="B849" s="64"/>
      <c r="C849" s="64"/>
      <c r="D849" s="64"/>
      <c r="E849" s="65"/>
      <c r="F849" s="64"/>
      <c r="G849" s="67"/>
      <c r="H849" s="64"/>
      <c r="I849" s="64"/>
      <c r="J849" s="64"/>
      <c r="K849" s="64"/>
      <c r="L849" s="65"/>
      <c r="M849" s="64"/>
      <c r="N849" s="64"/>
      <c r="O849" s="64"/>
      <c r="P849" s="64"/>
      <c r="Q849" s="64"/>
      <c r="R849" s="64"/>
      <c r="S849" s="64"/>
      <c r="T849" s="65"/>
      <c r="U849" s="64"/>
      <c r="V849" s="64"/>
      <c r="W849" s="64"/>
      <c r="X849" s="64"/>
      <c r="Y849" s="64"/>
      <c r="Z849" s="64"/>
      <c r="AA849" s="64"/>
      <c r="AB849" s="64"/>
      <c r="AC849" s="64"/>
      <c r="AD849" s="64"/>
      <c r="AE849" s="64"/>
      <c r="AF849" s="64"/>
      <c r="AG849" s="64"/>
    </row>
    <row r="850">
      <c r="A850" s="64"/>
      <c r="B850" s="64"/>
      <c r="C850" s="64"/>
      <c r="D850" s="64"/>
      <c r="E850" s="65"/>
      <c r="F850" s="64"/>
      <c r="G850" s="67"/>
      <c r="H850" s="64"/>
      <c r="I850" s="64"/>
      <c r="J850" s="64"/>
      <c r="K850" s="64"/>
      <c r="L850" s="65"/>
      <c r="M850" s="64"/>
      <c r="N850" s="64"/>
      <c r="O850" s="64"/>
      <c r="P850" s="64"/>
      <c r="Q850" s="64"/>
      <c r="R850" s="64"/>
      <c r="S850" s="64"/>
      <c r="T850" s="65"/>
      <c r="U850" s="64"/>
      <c r="V850" s="64"/>
      <c r="W850" s="64"/>
      <c r="X850" s="64"/>
      <c r="Y850" s="64"/>
      <c r="Z850" s="64"/>
      <c r="AA850" s="64"/>
      <c r="AB850" s="64"/>
      <c r="AC850" s="64"/>
      <c r="AD850" s="64"/>
      <c r="AE850" s="64"/>
      <c r="AF850" s="64"/>
      <c r="AG850" s="64"/>
    </row>
    <row r="851">
      <c r="A851" s="64"/>
      <c r="B851" s="64"/>
      <c r="C851" s="64"/>
      <c r="D851" s="64"/>
      <c r="E851" s="65"/>
      <c r="F851" s="64"/>
      <c r="G851" s="67"/>
      <c r="H851" s="64"/>
      <c r="I851" s="64"/>
      <c r="J851" s="64"/>
      <c r="K851" s="64"/>
      <c r="L851" s="65"/>
      <c r="M851" s="64"/>
      <c r="N851" s="64"/>
      <c r="O851" s="64"/>
      <c r="P851" s="64"/>
      <c r="Q851" s="64"/>
      <c r="R851" s="64"/>
      <c r="S851" s="64"/>
      <c r="T851" s="65"/>
      <c r="U851" s="64"/>
      <c r="V851" s="64"/>
      <c r="W851" s="64"/>
      <c r="X851" s="64"/>
      <c r="Y851" s="64"/>
      <c r="Z851" s="64"/>
      <c r="AA851" s="64"/>
      <c r="AB851" s="64"/>
      <c r="AC851" s="64"/>
      <c r="AD851" s="64"/>
      <c r="AE851" s="64"/>
      <c r="AF851" s="64"/>
      <c r="AG851" s="64"/>
    </row>
    <row r="852">
      <c r="A852" s="64"/>
      <c r="B852" s="64"/>
      <c r="C852" s="64"/>
      <c r="D852" s="64"/>
      <c r="E852" s="65"/>
      <c r="F852" s="64"/>
      <c r="G852" s="67"/>
      <c r="H852" s="64"/>
      <c r="I852" s="64"/>
      <c r="J852" s="64"/>
      <c r="K852" s="64"/>
      <c r="L852" s="65"/>
      <c r="M852" s="64"/>
      <c r="N852" s="64"/>
      <c r="O852" s="64"/>
      <c r="P852" s="64"/>
      <c r="Q852" s="64"/>
      <c r="R852" s="64"/>
      <c r="S852" s="64"/>
      <c r="T852" s="65"/>
      <c r="U852" s="64"/>
      <c r="V852" s="64"/>
      <c r="W852" s="64"/>
      <c r="X852" s="64"/>
      <c r="Y852" s="64"/>
      <c r="Z852" s="64"/>
      <c r="AA852" s="64"/>
      <c r="AB852" s="64"/>
      <c r="AC852" s="64"/>
      <c r="AD852" s="64"/>
      <c r="AE852" s="64"/>
      <c r="AF852" s="64"/>
      <c r="AG852" s="64"/>
    </row>
    <row r="853">
      <c r="A853" s="64"/>
      <c r="B853" s="64"/>
      <c r="C853" s="64"/>
      <c r="D853" s="64"/>
      <c r="E853" s="65"/>
      <c r="F853" s="64"/>
      <c r="G853" s="67"/>
      <c r="H853" s="64"/>
      <c r="I853" s="64"/>
      <c r="J853" s="64"/>
      <c r="K853" s="64"/>
      <c r="L853" s="65"/>
      <c r="M853" s="64"/>
      <c r="N853" s="64"/>
      <c r="O853" s="64"/>
      <c r="P853" s="64"/>
      <c r="Q853" s="64"/>
      <c r="R853" s="64"/>
      <c r="S853" s="64"/>
      <c r="T853" s="65"/>
      <c r="U853" s="64"/>
      <c r="V853" s="64"/>
      <c r="W853" s="64"/>
      <c r="X853" s="64"/>
      <c r="Y853" s="64"/>
      <c r="Z853" s="64"/>
      <c r="AA853" s="64"/>
      <c r="AB853" s="64"/>
      <c r="AC853" s="64"/>
      <c r="AD853" s="64"/>
      <c r="AE853" s="64"/>
      <c r="AF853" s="64"/>
      <c r="AG853" s="64"/>
    </row>
    <row r="854">
      <c r="A854" s="64"/>
      <c r="B854" s="64"/>
      <c r="C854" s="64"/>
      <c r="D854" s="64"/>
      <c r="E854" s="65"/>
      <c r="F854" s="64"/>
      <c r="G854" s="67"/>
      <c r="H854" s="64"/>
      <c r="I854" s="64"/>
      <c r="J854" s="64"/>
      <c r="K854" s="64"/>
      <c r="L854" s="65"/>
      <c r="M854" s="64"/>
      <c r="N854" s="64"/>
      <c r="O854" s="64"/>
      <c r="P854" s="64"/>
      <c r="Q854" s="64"/>
      <c r="R854" s="64"/>
      <c r="S854" s="64"/>
      <c r="T854" s="65"/>
      <c r="U854" s="64"/>
      <c r="V854" s="64"/>
      <c r="W854" s="64"/>
      <c r="X854" s="64"/>
      <c r="Y854" s="64"/>
      <c r="Z854" s="64"/>
      <c r="AA854" s="64"/>
      <c r="AB854" s="64"/>
      <c r="AC854" s="64"/>
      <c r="AD854" s="64"/>
      <c r="AE854" s="64"/>
      <c r="AF854" s="64"/>
      <c r="AG854" s="64"/>
    </row>
    <row r="855">
      <c r="A855" s="64"/>
      <c r="B855" s="64"/>
      <c r="C855" s="64"/>
      <c r="D855" s="64"/>
      <c r="E855" s="65"/>
      <c r="F855" s="64"/>
      <c r="G855" s="67"/>
      <c r="H855" s="64"/>
      <c r="I855" s="64"/>
      <c r="J855" s="64"/>
      <c r="K855" s="64"/>
      <c r="L855" s="65"/>
      <c r="M855" s="64"/>
      <c r="N855" s="64"/>
      <c r="O855" s="64"/>
      <c r="P855" s="64"/>
      <c r="Q855" s="64"/>
      <c r="R855" s="64"/>
      <c r="S855" s="64"/>
      <c r="T855" s="65"/>
      <c r="U855" s="64"/>
      <c r="V855" s="64"/>
      <c r="W855" s="64"/>
      <c r="X855" s="64"/>
      <c r="Y855" s="64"/>
      <c r="Z855" s="64"/>
      <c r="AA855" s="64"/>
      <c r="AB855" s="64"/>
      <c r="AC855" s="64"/>
      <c r="AD855" s="64"/>
      <c r="AE855" s="64"/>
      <c r="AF855" s="64"/>
      <c r="AG855" s="64"/>
    </row>
    <row r="856">
      <c r="A856" s="64"/>
      <c r="B856" s="64"/>
      <c r="C856" s="64"/>
      <c r="D856" s="64"/>
      <c r="E856" s="65"/>
      <c r="F856" s="64"/>
      <c r="G856" s="67"/>
      <c r="H856" s="64"/>
      <c r="I856" s="64"/>
      <c r="J856" s="64"/>
      <c r="K856" s="64"/>
      <c r="L856" s="65"/>
      <c r="M856" s="64"/>
      <c r="N856" s="64"/>
      <c r="O856" s="64"/>
      <c r="P856" s="64"/>
      <c r="Q856" s="64"/>
      <c r="R856" s="64"/>
      <c r="S856" s="64"/>
      <c r="T856" s="65"/>
      <c r="U856" s="64"/>
      <c r="V856" s="64"/>
      <c r="W856" s="64"/>
      <c r="X856" s="64"/>
      <c r="Y856" s="64"/>
      <c r="Z856" s="64"/>
      <c r="AA856" s="64"/>
      <c r="AB856" s="64"/>
      <c r="AC856" s="64"/>
      <c r="AD856" s="64"/>
      <c r="AE856" s="64"/>
      <c r="AF856" s="64"/>
      <c r="AG856" s="64"/>
    </row>
    <row r="857">
      <c r="A857" s="64"/>
      <c r="B857" s="64"/>
      <c r="C857" s="64"/>
      <c r="D857" s="64"/>
      <c r="E857" s="65"/>
      <c r="F857" s="64"/>
      <c r="G857" s="67"/>
      <c r="H857" s="64"/>
      <c r="I857" s="64"/>
      <c r="J857" s="64"/>
      <c r="K857" s="64"/>
      <c r="L857" s="65"/>
      <c r="M857" s="64"/>
      <c r="N857" s="64"/>
      <c r="O857" s="64"/>
      <c r="P857" s="64"/>
      <c r="Q857" s="64"/>
      <c r="R857" s="64"/>
      <c r="S857" s="64"/>
      <c r="T857" s="65"/>
      <c r="U857" s="64"/>
      <c r="V857" s="64"/>
      <c r="W857" s="64"/>
      <c r="X857" s="64"/>
      <c r="Y857" s="64"/>
      <c r="Z857" s="64"/>
      <c r="AA857" s="64"/>
      <c r="AB857" s="64"/>
      <c r="AC857" s="64"/>
      <c r="AD857" s="64"/>
      <c r="AE857" s="64"/>
      <c r="AF857" s="64"/>
      <c r="AG857" s="64"/>
    </row>
    <row r="858">
      <c r="A858" s="64"/>
      <c r="B858" s="64"/>
      <c r="C858" s="64"/>
      <c r="D858" s="64"/>
      <c r="E858" s="65"/>
      <c r="F858" s="64"/>
      <c r="G858" s="67"/>
      <c r="H858" s="64"/>
      <c r="I858" s="64"/>
      <c r="J858" s="64"/>
      <c r="K858" s="64"/>
      <c r="L858" s="65"/>
      <c r="M858" s="64"/>
      <c r="N858" s="64"/>
      <c r="O858" s="64"/>
      <c r="P858" s="64"/>
      <c r="Q858" s="64"/>
      <c r="R858" s="64"/>
      <c r="S858" s="64"/>
      <c r="T858" s="65"/>
      <c r="U858" s="64"/>
      <c r="V858" s="64"/>
      <c r="W858" s="64"/>
      <c r="X858" s="64"/>
      <c r="Y858" s="64"/>
      <c r="Z858" s="64"/>
      <c r="AA858" s="64"/>
      <c r="AB858" s="64"/>
      <c r="AC858" s="64"/>
      <c r="AD858" s="64"/>
      <c r="AE858" s="64"/>
      <c r="AF858" s="64"/>
      <c r="AG858" s="64"/>
    </row>
    <row r="859">
      <c r="A859" s="64"/>
      <c r="B859" s="64"/>
      <c r="C859" s="64"/>
      <c r="D859" s="64"/>
      <c r="E859" s="65"/>
      <c r="F859" s="64"/>
      <c r="G859" s="67"/>
      <c r="H859" s="64"/>
      <c r="I859" s="64"/>
      <c r="J859" s="64"/>
      <c r="K859" s="64"/>
      <c r="L859" s="65"/>
      <c r="M859" s="64"/>
      <c r="N859" s="64"/>
      <c r="O859" s="64"/>
      <c r="P859" s="64"/>
      <c r="Q859" s="64"/>
      <c r="R859" s="64"/>
      <c r="S859" s="64"/>
      <c r="T859" s="65"/>
      <c r="U859" s="64"/>
      <c r="V859" s="64"/>
      <c r="W859" s="64"/>
      <c r="X859" s="64"/>
      <c r="Y859" s="64"/>
      <c r="Z859" s="64"/>
      <c r="AA859" s="64"/>
      <c r="AB859" s="64"/>
      <c r="AC859" s="64"/>
      <c r="AD859" s="64"/>
      <c r="AE859" s="64"/>
      <c r="AF859" s="64"/>
      <c r="AG859" s="64"/>
    </row>
    <row r="860">
      <c r="A860" s="64"/>
      <c r="B860" s="64"/>
      <c r="C860" s="64"/>
      <c r="D860" s="64"/>
      <c r="E860" s="65"/>
      <c r="F860" s="64"/>
      <c r="G860" s="67"/>
      <c r="H860" s="64"/>
      <c r="I860" s="64"/>
      <c r="J860" s="64"/>
      <c r="K860" s="64"/>
      <c r="L860" s="65"/>
      <c r="M860" s="64"/>
      <c r="N860" s="64"/>
      <c r="O860" s="64"/>
      <c r="P860" s="64"/>
      <c r="Q860" s="64"/>
      <c r="R860" s="64"/>
      <c r="S860" s="64"/>
      <c r="T860" s="65"/>
      <c r="U860" s="64"/>
      <c r="V860" s="64"/>
      <c r="W860" s="64"/>
      <c r="X860" s="64"/>
      <c r="Y860" s="64"/>
      <c r="Z860" s="64"/>
      <c r="AA860" s="64"/>
      <c r="AB860" s="64"/>
      <c r="AC860" s="64"/>
      <c r="AD860" s="64"/>
      <c r="AE860" s="64"/>
      <c r="AF860" s="64"/>
      <c r="AG860" s="64"/>
    </row>
    <row r="861">
      <c r="A861" s="64"/>
      <c r="B861" s="64"/>
      <c r="C861" s="64"/>
      <c r="D861" s="64"/>
      <c r="E861" s="65"/>
      <c r="F861" s="64"/>
      <c r="G861" s="67"/>
      <c r="H861" s="64"/>
      <c r="I861" s="64"/>
      <c r="J861" s="64"/>
      <c r="K861" s="64"/>
      <c r="L861" s="65"/>
      <c r="M861" s="64"/>
      <c r="N861" s="64"/>
      <c r="O861" s="64"/>
      <c r="P861" s="64"/>
      <c r="Q861" s="64"/>
      <c r="R861" s="64"/>
      <c r="S861" s="64"/>
      <c r="T861" s="65"/>
      <c r="U861" s="64"/>
      <c r="V861" s="64"/>
      <c r="W861" s="64"/>
      <c r="X861" s="64"/>
      <c r="Y861" s="64"/>
      <c r="Z861" s="64"/>
      <c r="AA861" s="64"/>
      <c r="AB861" s="64"/>
      <c r="AC861" s="64"/>
      <c r="AD861" s="64"/>
      <c r="AE861" s="64"/>
      <c r="AF861" s="64"/>
      <c r="AG861" s="64"/>
    </row>
    <row r="862">
      <c r="A862" s="64"/>
      <c r="B862" s="64"/>
      <c r="C862" s="64"/>
      <c r="D862" s="64"/>
      <c r="E862" s="65"/>
      <c r="F862" s="64"/>
      <c r="G862" s="67"/>
      <c r="H862" s="64"/>
      <c r="I862" s="64"/>
      <c r="J862" s="64"/>
      <c r="K862" s="64"/>
      <c r="L862" s="65"/>
      <c r="M862" s="64"/>
      <c r="N862" s="64"/>
      <c r="O862" s="64"/>
      <c r="P862" s="64"/>
      <c r="Q862" s="64"/>
      <c r="R862" s="64"/>
      <c r="S862" s="64"/>
      <c r="T862" s="65"/>
      <c r="U862" s="64"/>
      <c r="V862" s="64"/>
      <c r="W862" s="64"/>
      <c r="X862" s="64"/>
      <c r="Y862" s="64"/>
      <c r="Z862" s="64"/>
      <c r="AA862" s="64"/>
      <c r="AB862" s="64"/>
      <c r="AC862" s="64"/>
      <c r="AD862" s="64"/>
      <c r="AE862" s="64"/>
      <c r="AF862" s="64"/>
      <c r="AG862" s="64"/>
    </row>
    <row r="863">
      <c r="A863" s="64"/>
      <c r="B863" s="64"/>
      <c r="C863" s="64"/>
      <c r="D863" s="64"/>
      <c r="E863" s="65"/>
      <c r="F863" s="64"/>
      <c r="G863" s="67"/>
      <c r="H863" s="64"/>
      <c r="I863" s="64"/>
      <c r="J863" s="64"/>
      <c r="K863" s="64"/>
      <c r="L863" s="65"/>
      <c r="M863" s="64"/>
      <c r="N863" s="64"/>
      <c r="O863" s="64"/>
      <c r="P863" s="64"/>
      <c r="Q863" s="64"/>
      <c r="R863" s="64"/>
      <c r="S863" s="64"/>
      <c r="T863" s="65"/>
      <c r="U863" s="64"/>
      <c r="V863" s="64"/>
      <c r="W863" s="64"/>
      <c r="X863" s="64"/>
      <c r="Y863" s="64"/>
      <c r="Z863" s="64"/>
      <c r="AA863" s="64"/>
      <c r="AB863" s="64"/>
      <c r="AC863" s="64"/>
      <c r="AD863" s="64"/>
      <c r="AE863" s="64"/>
      <c r="AF863" s="64"/>
      <c r="AG863" s="64"/>
    </row>
    <row r="864">
      <c r="A864" s="64"/>
      <c r="B864" s="64"/>
      <c r="C864" s="64"/>
      <c r="D864" s="64"/>
      <c r="E864" s="65"/>
      <c r="F864" s="64"/>
      <c r="G864" s="67"/>
      <c r="H864" s="64"/>
      <c r="I864" s="64"/>
      <c r="J864" s="64"/>
      <c r="K864" s="64"/>
      <c r="L864" s="65"/>
      <c r="M864" s="64"/>
      <c r="N864" s="64"/>
      <c r="O864" s="64"/>
      <c r="P864" s="64"/>
      <c r="Q864" s="64"/>
      <c r="R864" s="64"/>
      <c r="S864" s="64"/>
      <c r="T864" s="65"/>
      <c r="U864" s="64"/>
      <c r="V864" s="64"/>
      <c r="W864" s="64"/>
      <c r="X864" s="64"/>
      <c r="Y864" s="64"/>
      <c r="Z864" s="64"/>
      <c r="AA864" s="64"/>
      <c r="AB864" s="64"/>
      <c r="AC864" s="64"/>
      <c r="AD864" s="64"/>
      <c r="AE864" s="64"/>
      <c r="AF864" s="64"/>
      <c r="AG864" s="64"/>
    </row>
    <row r="865">
      <c r="A865" s="64"/>
      <c r="B865" s="64"/>
      <c r="C865" s="64"/>
      <c r="D865" s="64"/>
      <c r="E865" s="65"/>
      <c r="F865" s="64"/>
      <c r="G865" s="67"/>
      <c r="H865" s="64"/>
      <c r="I865" s="64"/>
      <c r="J865" s="64"/>
      <c r="K865" s="64"/>
      <c r="L865" s="65"/>
      <c r="M865" s="64"/>
      <c r="N865" s="64"/>
      <c r="O865" s="64"/>
      <c r="P865" s="64"/>
      <c r="Q865" s="64"/>
      <c r="R865" s="64"/>
      <c r="S865" s="64"/>
      <c r="T865" s="65"/>
      <c r="U865" s="64"/>
      <c r="V865" s="64"/>
      <c r="W865" s="64"/>
      <c r="X865" s="64"/>
      <c r="Y865" s="64"/>
      <c r="Z865" s="64"/>
      <c r="AA865" s="64"/>
      <c r="AB865" s="64"/>
      <c r="AC865" s="64"/>
      <c r="AD865" s="64"/>
      <c r="AE865" s="64"/>
      <c r="AF865" s="64"/>
      <c r="AG865" s="64"/>
    </row>
    <row r="866">
      <c r="A866" s="64"/>
      <c r="B866" s="64"/>
      <c r="C866" s="64"/>
      <c r="D866" s="64"/>
      <c r="E866" s="65"/>
      <c r="F866" s="64"/>
      <c r="G866" s="67"/>
      <c r="H866" s="64"/>
      <c r="I866" s="64"/>
      <c r="J866" s="64"/>
      <c r="K866" s="64"/>
      <c r="L866" s="65"/>
      <c r="M866" s="64"/>
      <c r="N866" s="64"/>
      <c r="O866" s="64"/>
      <c r="P866" s="64"/>
      <c r="Q866" s="64"/>
      <c r="R866" s="64"/>
      <c r="S866" s="64"/>
      <c r="T866" s="65"/>
      <c r="U866" s="64"/>
      <c r="V866" s="64"/>
      <c r="W866" s="64"/>
      <c r="X866" s="64"/>
      <c r="Y866" s="64"/>
      <c r="Z866" s="64"/>
      <c r="AA866" s="64"/>
      <c r="AB866" s="64"/>
      <c r="AC866" s="64"/>
      <c r="AD866" s="64"/>
      <c r="AE866" s="64"/>
      <c r="AF866" s="64"/>
      <c r="AG866" s="64"/>
    </row>
    <row r="867">
      <c r="A867" s="64"/>
      <c r="B867" s="64"/>
      <c r="C867" s="64"/>
      <c r="D867" s="64"/>
      <c r="E867" s="65"/>
      <c r="F867" s="64"/>
      <c r="G867" s="67"/>
      <c r="H867" s="64"/>
      <c r="I867" s="64"/>
      <c r="J867" s="64"/>
      <c r="K867" s="64"/>
      <c r="L867" s="65"/>
      <c r="M867" s="64"/>
      <c r="N867" s="64"/>
      <c r="O867" s="64"/>
      <c r="P867" s="64"/>
      <c r="Q867" s="64"/>
      <c r="R867" s="64"/>
      <c r="S867" s="64"/>
      <c r="T867" s="65"/>
      <c r="U867" s="64"/>
      <c r="V867" s="64"/>
      <c r="W867" s="64"/>
      <c r="X867" s="64"/>
      <c r="Y867" s="64"/>
      <c r="Z867" s="64"/>
      <c r="AA867" s="64"/>
      <c r="AB867" s="64"/>
      <c r="AC867" s="64"/>
      <c r="AD867" s="64"/>
      <c r="AE867" s="64"/>
      <c r="AF867" s="64"/>
      <c r="AG867" s="64"/>
    </row>
    <row r="868">
      <c r="A868" s="64"/>
      <c r="B868" s="64"/>
      <c r="C868" s="64"/>
      <c r="D868" s="64"/>
      <c r="E868" s="65"/>
      <c r="F868" s="64"/>
      <c r="G868" s="67"/>
      <c r="H868" s="64"/>
      <c r="I868" s="64"/>
      <c r="J868" s="64"/>
      <c r="K868" s="64"/>
      <c r="L868" s="65"/>
      <c r="M868" s="64"/>
      <c r="N868" s="64"/>
      <c r="O868" s="64"/>
      <c r="P868" s="64"/>
      <c r="Q868" s="64"/>
      <c r="R868" s="64"/>
      <c r="S868" s="64"/>
      <c r="T868" s="65"/>
      <c r="U868" s="64"/>
      <c r="V868" s="64"/>
      <c r="W868" s="64"/>
      <c r="X868" s="64"/>
      <c r="Y868" s="64"/>
      <c r="Z868" s="64"/>
      <c r="AA868" s="64"/>
      <c r="AB868" s="64"/>
      <c r="AC868" s="64"/>
      <c r="AD868" s="64"/>
      <c r="AE868" s="64"/>
      <c r="AF868" s="64"/>
      <c r="AG868" s="64"/>
    </row>
    <row r="869">
      <c r="A869" s="64"/>
      <c r="B869" s="64"/>
      <c r="C869" s="64"/>
      <c r="D869" s="64"/>
      <c r="E869" s="65"/>
      <c r="F869" s="64"/>
      <c r="G869" s="67"/>
      <c r="H869" s="64"/>
      <c r="I869" s="64"/>
      <c r="J869" s="64"/>
      <c r="K869" s="64"/>
      <c r="L869" s="65"/>
      <c r="M869" s="64"/>
      <c r="N869" s="64"/>
      <c r="O869" s="64"/>
      <c r="P869" s="64"/>
      <c r="Q869" s="64"/>
      <c r="R869" s="64"/>
      <c r="S869" s="64"/>
      <c r="T869" s="65"/>
      <c r="U869" s="64"/>
      <c r="V869" s="64"/>
      <c r="W869" s="64"/>
      <c r="X869" s="64"/>
      <c r="Y869" s="64"/>
      <c r="Z869" s="64"/>
      <c r="AA869" s="64"/>
      <c r="AB869" s="64"/>
      <c r="AC869" s="64"/>
      <c r="AD869" s="64"/>
      <c r="AE869" s="64"/>
      <c r="AF869" s="64"/>
      <c r="AG869" s="64"/>
    </row>
    <row r="870">
      <c r="A870" s="64"/>
      <c r="B870" s="64"/>
      <c r="C870" s="64"/>
      <c r="D870" s="64"/>
      <c r="E870" s="65"/>
      <c r="F870" s="64"/>
      <c r="G870" s="67"/>
      <c r="H870" s="64"/>
      <c r="I870" s="64"/>
      <c r="J870" s="64"/>
      <c r="K870" s="64"/>
      <c r="L870" s="65"/>
      <c r="M870" s="64"/>
      <c r="N870" s="64"/>
      <c r="O870" s="64"/>
      <c r="P870" s="64"/>
      <c r="Q870" s="64"/>
      <c r="R870" s="64"/>
      <c r="S870" s="64"/>
      <c r="T870" s="65"/>
      <c r="U870" s="64"/>
      <c r="V870" s="64"/>
      <c r="W870" s="64"/>
      <c r="X870" s="64"/>
      <c r="Y870" s="64"/>
      <c r="Z870" s="64"/>
      <c r="AA870" s="64"/>
      <c r="AB870" s="64"/>
      <c r="AC870" s="64"/>
      <c r="AD870" s="64"/>
      <c r="AE870" s="64"/>
      <c r="AF870" s="64"/>
      <c r="AG870" s="64"/>
    </row>
    <row r="871">
      <c r="A871" s="64"/>
      <c r="B871" s="64"/>
      <c r="C871" s="64"/>
      <c r="D871" s="64"/>
      <c r="E871" s="65"/>
      <c r="F871" s="64"/>
      <c r="G871" s="67"/>
      <c r="H871" s="64"/>
      <c r="I871" s="64"/>
      <c r="J871" s="64"/>
      <c r="K871" s="64"/>
      <c r="L871" s="65"/>
      <c r="M871" s="64"/>
      <c r="N871" s="64"/>
      <c r="O871" s="64"/>
      <c r="P871" s="64"/>
      <c r="Q871" s="64"/>
      <c r="R871" s="64"/>
      <c r="S871" s="64"/>
      <c r="T871" s="65"/>
      <c r="U871" s="64"/>
      <c r="V871" s="64"/>
      <c r="W871" s="64"/>
      <c r="X871" s="64"/>
      <c r="Y871" s="64"/>
      <c r="Z871" s="64"/>
      <c r="AA871" s="64"/>
      <c r="AB871" s="64"/>
      <c r="AC871" s="64"/>
      <c r="AD871" s="64"/>
      <c r="AE871" s="64"/>
      <c r="AF871" s="64"/>
      <c r="AG871" s="64"/>
    </row>
    <row r="872">
      <c r="A872" s="64"/>
      <c r="B872" s="64"/>
      <c r="C872" s="64"/>
      <c r="D872" s="64"/>
      <c r="E872" s="65"/>
      <c r="F872" s="64"/>
      <c r="G872" s="67"/>
      <c r="H872" s="64"/>
      <c r="I872" s="64"/>
      <c r="J872" s="64"/>
      <c r="K872" s="64"/>
      <c r="L872" s="65"/>
      <c r="M872" s="64"/>
      <c r="N872" s="64"/>
      <c r="O872" s="64"/>
      <c r="P872" s="64"/>
      <c r="Q872" s="64"/>
      <c r="R872" s="64"/>
      <c r="S872" s="64"/>
      <c r="T872" s="65"/>
      <c r="U872" s="64"/>
      <c r="V872" s="64"/>
      <c r="W872" s="64"/>
      <c r="X872" s="64"/>
      <c r="Y872" s="64"/>
      <c r="Z872" s="64"/>
      <c r="AA872" s="64"/>
      <c r="AB872" s="64"/>
      <c r="AC872" s="64"/>
      <c r="AD872" s="64"/>
      <c r="AE872" s="64"/>
      <c r="AF872" s="64"/>
      <c r="AG872" s="64"/>
    </row>
    <row r="873">
      <c r="A873" s="64"/>
      <c r="B873" s="64"/>
      <c r="C873" s="64"/>
      <c r="D873" s="64"/>
      <c r="E873" s="65"/>
      <c r="F873" s="64"/>
      <c r="G873" s="67"/>
      <c r="H873" s="64"/>
      <c r="I873" s="64"/>
      <c r="J873" s="64"/>
      <c r="K873" s="64"/>
      <c r="L873" s="65"/>
      <c r="M873" s="64"/>
      <c r="N873" s="64"/>
      <c r="O873" s="64"/>
      <c r="P873" s="64"/>
      <c r="Q873" s="64"/>
      <c r="R873" s="64"/>
      <c r="S873" s="64"/>
      <c r="T873" s="65"/>
      <c r="U873" s="64"/>
      <c r="V873" s="64"/>
      <c r="W873" s="64"/>
      <c r="X873" s="64"/>
      <c r="Y873" s="64"/>
      <c r="Z873" s="64"/>
      <c r="AA873" s="64"/>
      <c r="AB873" s="64"/>
      <c r="AC873" s="64"/>
      <c r="AD873" s="64"/>
      <c r="AE873" s="64"/>
      <c r="AF873" s="64"/>
      <c r="AG873" s="64"/>
    </row>
    <row r="874">
      <c r="A874" s="64"/>
      <c r="B874" s="64"/>
      <c r="C874" s="64"/>
      <c r="D874" s="64"/>
      <c r="E874" s="65"/>
      <c r="F874" s="64"/>
      <c r="G874" s="67"/>
      <c r="H874" s="64"/>
      <c r="I874" s="64"/>
      <c r="J874" s="64"/>
      <c r="K874" s="64"/>
      <c r="L874" s="65"/>
      <c r="M874" s="64"/>
      <c r="N874" s="64"/>
      <c r="O874" s="64"/>
      <c r="P874" s="64"/>
      <c r="Q874" s="64"/>
      <c r="R874" s="64"/>
      <c r="S874" s="64"/>
      <c r="T874" s="65"/>
      <c r="U874" s="64"/>
      <c r="V874" s="64"/>
      <c r="W874" s="64"/>
      <c r="X874" s="64"/>
      <c r="Y874" s="64"/>
      <c r="Z874" s="64"/>
      <c r="AA874" s="64"/>
      <c r="AB874" s="64"/>
      <c r="AC874" s="64"/>
      <c r="AD874" s="64"/>
      <c r="AE874" s="64"/>
      <c r="AF874" s="64"/>
      <c r="AG874" s="64"/>
    </row>
    <row r="875">
      <c r="A875" s="64"/>
      <c r="B875" s="64"/>
      <c r="C875" s="64"/>
      <c r="D875" s="64"/>
      <c r="E875" s="65"/>
      <c r="F875" s="64"/>
      <c r="G875" s="67"/>
      <c r="H875" s="64"/>
      <c r="I875" s="64"/>
      <c r="J875" s="64"/>
      <c r="K875" s="64"/>
      <c r="L875" s="65"/>
      <c r="M875" s="64"/>
      <c r="N875" s="64"/>
      <c r="O875" s="64"/>
      <c r="P875" s="64"/>
      <c r="Q875" s="64"/>
      <c r="R875" s="64"/>
      <c r="S875" s="64"/>
      <c r="T875" s="65"/>
      <c r="U875" s="64"/>
      <c r="V875" s="64"/>
      <c r="W875" s="64"/>
      <c r="X875" s="64"/>
      <c r="Y875" s="64"/>
      <c r="Z875" s="64"/>
      <c r="AA875" s="64"/>
      <c r="AB875" s="64"/>
      <c r="AC875" s="64"/>
      <c r="AD875" s="64"/>
      <c r="AE875" s="64"/>
      <c r="AF875" s="64"/>
      <c r="AG875" s="64"/>
    </row>
    <row r="876">
      <c r="A876" s="64"/>
      <c r="B876" s="64"/>
      <c r="C876" s="64"/>
      <c r="D876" s="64"/>
      <c r="E876" s="65"/>
      <c r="F876" s="64"/>
      <c r="G876" s="67"/>
      <c r="H876" s="64"/>
      <c r="I876" s="64"/>
      <c r="J876" s="64"/>
      <c r="K876" s="64"/>
      <c r="L876" s="65"/>
      <c r="M876" s="64"/>
      <c r="N876" s="64"/>
      <c r="O876" s="64"/>
      <c r="P876" s="64"/>
      <c r="Q876" s="64"/>
      <c r="R876" s="64"/>
      <c r="S876" s="64"/>
      <c r="T876" s="65"/>
      <c r="U876" s="64"/>
      <c r="V876" s="64"/>
      <c r="W876" s="64"/>
      <c r="X876" s="64"/>
      <c r="Y876" s="64"/>
      <c r="Z876" s="64"/>
      <c r="AA876" s="64"/>
      <c r="AB876" s="64"/>
      <c r="AC876" s="64"/>
      <c r="AD876" s="64"/>
      <c r="AE876" s="64"/>
      <c r="AF876" s="64"/>
      <c r="AG876" s="64"/>
    </row>
    <row r="877">
      <c r="A877" s="64"/>
      <c r="B877" s="64"/>
      <c r="C877" s="64"/>
      <c r="D877" s="64"/>
      <c r="E877" s="65"/>
      <c r="F877" s="64"/>
      <c r="G877" s="67"/>
      <c r="H877" s="64"/>
      <c r="I877" s="64"/>
      <c r="J877" s="64"/>
      <c r="K877" s="64"/>
      <c r="L877" s="65"/>
      <c r="M877" s="64"/>
      <c r="N877" s="64"/>
      <c r="O877" s="64"/>
      <c r="P877" s="64"/>
      <c r="Q877" s="64"/>
      <c r="R877" s="64"/>
      <c r="S877" s="64"/>
      <c r="T877" s="65"/>
      <c r="U877" s="64"/>
      <c r="V877" s="64"/>
      <c r="W877" s="64"/>
      <c r="X877" s="64"/>
      <c r="Y877" s="64"/>
      <c r="Z877" s="64"/>
      <c r="AA877" s="64"/>
      <c r="AB877" s="64"/>
      <c r="AC877" s="64"/>
      <c r="AD877" s="64"/>
      <c r="AE877" s="64"/>
      <c r="AF877" s="64"/>
      <c r="AG877" s="64"/>
    </row>
    <row r="878">
      <c r="A878" s="64"/>
      <c r="B878" s="64"/>
      <c r="C878" s="64"/>
      <c r="D878" s="64"/>
      <c r="E878" s="65"/>
      <c r="F878" s="64"/>
      <c r="G878" s="67"/>
      <c r="H878" s="64"/>
      <c r="I878" s="64"/>
      <c r="J878" s="64"/>
      <c r="K878" s="64"/>
      <c r="L878" s="65"/>
      <c r="M878" s="64"/>
      <c r="N878" s="64"/>
      <c r="O878" s="64"/>
      <c r="P878" s="64"/>
      <c r="Q878" s="64"/>
      <c r="R878" s="64"/>
      <c r="S878" s="64"/>
      <c r="T878" s="65"/>
      <c r="U878" s="64"/>
      <c r="V878" s="64"/>
      <c r="W878" s="64"/>
      <c r="X878" s="64"/>
      <c r="Y878" s="64"/>
      <c r="Z878" s="64"/>
      <c r="AA878" s="64"/>
      <c r="AB878" s="64"/>
      <c r="AC878" s="64"/>
      <c r="AD878" s="64"/>
      <c r="AE878" s="64"/>
      <c r="AF878" s="64"/>
      <c r="AG878" s="64"/>
    </row>
    <row r="879">
      <c r="A879" s="64"/>
      <c r="B879" s="64"/>
      <c r="C879" s="64"/>
      <c r="D879" s="64"/>
      <c r="E879" s="65"/>
      <c r="F879" s="64"/>
      <c r="G879" s="67"/>
      <c r="H879" s="64"/>
      <c r="I879" s="64"/>
      <c r="J879" s="64"/>
      <c r="K879" s="64"/>
      <c r="L879" s="65"/>
      <c r="M879" s="64"/>
      <c r="N879" s="64"/>
      <c r="O879" s="64"/>
      <c r="P879" s="64"/>
      <c r="Q879" s="64"/>
      <c r="R879" s="64"/>
      <c r="S879" s="64"/>
      <c r="T879" s="65"/>
      <c r="U879" s="64"/>
      <c r="V879" s="64"/>
      <c r="W879" s="64"/>
      <c r="X879" s="64"/>
      <c r="Y879" s="64"/>
      <c r="Z879" s="64"/>
      <c r="AA879" s="64"/>
      <c r="AB879" s="64"/>
      <c r="AC879" s="64"/>
      <c r="AD879" s="64"/>
      <c r="AE879" s="64"/>
      <c r="AF879" s="64"/>
      <c r="AG879" s="64"/>
    </row>
    <row r="880">
      <c r="A880" s="64"/>
      <c r="B880" s="64"/>
      <c r="C880" s="64"/>
      <c r="D880" s="64"/>
      <c r="E880" s="65"/>
      <c r="F880" s="64"/>
      <c r="G880" s="67"/>
      <c r="H880" s="64"/>
      <c r="I880" s="64"/>
      <c r="J880" s="64"/>
      <c r="K880" s="64"/>
      <c r="L880" s="65"/>
      <c r="M880" s="64"/>
      <c r="N880" s="64"/>
      <c r="O880" s="64"/>
      <c r="P880" s="64"/>
      <c r="Q880" s="64"/>
      <c r="R880" s="64"/>
      <c r="S880" s="64"/>
      <c r="T880" s="65"/>
      <c r="U880" s="64"/>
      <c r="V880" s="64"/>
      <c r="W880" s="64"/>
      <c r="X880" s="64"/>
      <c r="Y880" s="64"/>
      <c r="Z880" s="64"/>
      <c r="AA880" s="64"/>
      <c r="AB880" s="64"/>
      <c r="AC880" s="64"/>
      <c r="AD880" s="64"/>
      <c r="AE880" s="64"/>
      <c r="AF880" s="64"/>
      <c r="AG880" s="64"/>
    </row>
    <row r="881">
      <c r="A881" s="64"/>
      <c r="B881" s="64"/>
      <c r="C881" s="64"/>
      <c r="D881" s="64"/>
      <c r="E881" s="65"/>
      <c r="F881" s="64"/>
      <c r="G881" s="67"/>
      <c r="H881" s="64"/>
      <c r="I881" s="64"/>
      <c r="J881" s="64"/>
      <c r="K881" s="64"/>
      <c r="L881" s="65"/>
      <c r="M881" s="64"/>
      <c r="N881" s="64"/>
      <c r="O881" s="64"/>
      <c r="P881" s="64"/>
      <c r="Q881" s="64"/>
      <c r="R881" s="64"/>
      <c r="S881" s="64"/>
      <c r="T881" s="65"/>
      <c r="U881" s="64"/>
      <c r="V881" s="64"/>
      <c r="W881" s="64"/>
      <c r="X881" s="64"/>
      <c r="Y881" s="64"/>
      <c r="Z881" s="64"/>
      <c r="AA881" s="64"/>
      <c r="AB881" s="64"/>
      <c r="AC881" s="64"/>
      <c r="AD881" s="64"/>
      <c r="AE881" s="64"/>
      <c r="AF881" s="64"/>
      <c r="AG881" s="64"/>
    </row>
    <row r="882">
      <c r="A882" s="64"/>
      <c r="B882" s="64"/>
      <c r="C882" s="64"/>
      <c r="D882" s="64"/>
      <c r="E882" s="65"/>
      <c r="F882" s="64"/>
      <c r="G882" s="67"/>
      <c r="H882" s="64"/>
      <c r="I882" s="64"/>
      <c r="J882" s="64"/>
      <c r="K882" s="64"/>
      <c r="L882" s="65"/>
      <c r="M882" s="64"/>
      <c r="N882" s="64"/>
      <c r="O882" s="64"/>
      <c r="P882" s="64"/>
      <c r="Q882" s="64"/>
      <c r="R882" s="64"/>
      <c r="S882" s="64"/>
      <c r="T882" s="65"/>
      <c r="U882" s="64"/>
      <c r="V882" s="64"/>
      <c r="W882" s="64"/>
      <c r="X882" s="64"/>
      <c r="Y882" s="64"/>
      <c r="Z882" s="64"/>
      <c r="AA882" s="64"/>
      <c r="AB882" s="64"/>
      <c r="AC882" s="64"/>
      <c r="AD882" s="64"/>
      <c r="AE882" s="64"/>
      <c r="AF882" s="64"/>
      <c r="AG882" s="64"/>
    </row>
    <row r="883">
      <c r="A883" s="64"/>
      <c r="B883" s="64"/>
      <c r="C883" s="64"/>
      <c r="D883" s="64"/>
      <c r="E883" s="65"/>
      <c r="F883" s="64"/>
      <c r="G883" s="67"/>
      <c r="H883" s="64"/>
      <c r="I883" s="64"/>
      <c r="J883" s="64"/>
      <c r="K883" s="64"/>
      <c r="L883" s="65"/>
      <c r="M883" s="64"/>
      <c r="N883" s="64"/>
      <c r="O883" s="64"/>
      <c r="P883" s="64"/>
      <c r="Q883" s="64"/>
      <c r="R883" s="64"/>
      <c r="S883" s="64"/>
      <c r="T883" s="65"/>
      <c r="U883" s="64"/>
      <c r="V883" s="64"/>
      <c r="W883" s="64"/>
      <c r="X883" s="64"/>
      <c r="Y883" s="64"/>
      <c r="Z883" s="64"/>
      <c r="AA883" s="64"/>
      <c r="AB883" s="64"/>
      <c r="AC883" s="64"/>
      <c r="AD883" s="64"/>
      <c r="AE883" s="64"/>
      <c r="AF883" s="64"/>
      <c r="AG883" s="64"/>
    </row>
    <row r="884">
      <c r="A884" s="64"/>
      <c r="B884" s="64"/>
      <c r="C884" s="64"/>
      <c r="D884" s="64"/>
      <c r="E884" s="65"/>
      <c r="F884" s="64"/>
      <c r="G884" s="67"/>
      <c r="H884" s="64"/>
      <c r="I884" s="64"/>
      <c r="J884" s="64"/>
      <c r="K884" s="64"/>
      <c r="L884" s="65"/>
      <c r="M884" s="64"/>
      <c r="N884" s="64"/>
      <c r="O884" s="64"/>
      <c r="P884" s="64"/>
      <c r="Q884" s="64"/>
      <c r="R884" s="64"/>
      <c r="S884" s="64"/>
      <c r="T884" s="65"/>
      <c r="U884" s="64"/>
      <c r="V884" s="64"/>
      <c r="W884" s="64"/>
      <c r="X884" s="64"/>
      <c r="Y884" s="64"/>
      <c r="Z884" s="64"/>
      <c r="AA884" s="64"/>
      <c r="AB884" s="64"/>
      <c r="AC884" s="64"/>
      <c r="AD884" s="64"/>
      <c r="AE884" s="64"/>
      <c r="AF884" s="64"/>
      <c r="AG884" s="64"/>
    </row>
    <row r="885">
      <c r="A885" s="64"/>
      <c r="B885" s="64"/>
      <c r="C885" s="64"/>
      <c r="D885" s="64"/>
      <c r="E885" s="65"/>
      <c r="F885" s="64"/>
      <c r="G885" s="67"/>
      <c r="H885" s="64"/>
      <c r="I885" s="64"/>
      <c r="J885" s="64"/>
      <c r="K885" s="64"/>
      <c r="L885" s="65"/>
      <c r="M885" s="64"/>
      <c r="N885" s="64"/>
      <c r="O885" s="64"/>
      <c r="P885" s="64"/>
      <c r="Q885" s="64"/>
      <c r="R885" s="64"/>
      <c r="S885" s="64"/>
      <c r="T885" s="65"/>
      <c r="U885" s="64"/>
      <c r="V885" s="64"/>
      <c r="W885" s="64"/>
      <c r="X885" s="64"/>
      <c r="Y885" s="64"/>
      <c r="Z885" s="64"/>
      <c r="AA885" s="64"/>
      <c r="AB885" s="64"/>
      <c r="AC885" s="64"/>
      <c r="AD885" s="64"/>
      <c r="AE885" s="64"/>
      <c r="AF885" s="64"/>
      <c r="AG885" s="64"/>
    </row>
    <row r="886">
      <c r="A886" s="64"/>
      <c r="B886" s="64"/>
      <c r="C886" s="64"/>
      <c r="D886" s="64"/>
      <c r="E886" s="65"/>
      <c r="F886" s="64"/>
      <c r="G886" s="67"/>
      <c r="H886" s="64"/>
      <c r="I886" s="64"/>
      <c r="J886" s="64"/>
      <c r="K886" s="64"/>
      <c r="L886" s="65"/>
      <c r="M886" s="64"/>
      <c r="N886" s="64"/>
      <c r="O886" s="64"/>
      <c r="P886" s="64"/>
      <c r="Q886" s="64"/>
      <c r="R886" s="64"/>
      <c r="S886" s="64"/>
      <c r="T886" s="65"/>
      <c r="U886" s="64"/>
      <c r="V886" s="64"/>
      <c r="W886" s="64"/>
      <c r="X886" s="64"/>
      <c r="Y886" s="64"/>
      <c r="Z886" s="64"/>
      <c r="AA886" s="64"/>
      <c r="AB886" s="64"/>
      <c r="AC886" s="64"/>
      <c r="AD886" s="64"/>
      <c r="AE886" s="64"/>
      <c r="AF886" s="64"/>
      <c r="AG886" s="64"/>
    </row>
    <row r="887">
      <c r="A887" s="64"/>
      <c r="B887" s="64"/>
      <c r="C887" s="64"/>
      <c r="D887" s="64"/>
      <c r="E887" s="65"/>
      <c r="F887" s="64"/>
      <c r="G887" s="67"/>
      <c r="H887" s="64"/>
      <c r="I887" s="64"/>
      <c r="J887" s="64"/>
      <c r="K887" s="64"/>
      <c r="L887" s="65"/>
      <c r="M887" s="64"/>
      <c r="N887" s="64"/>
      <c r="O887" s="64"/>
      <c r="P887" s="64"/>
      <c r="Q887" s="64"/>
      <c r="R887" s="64"/>
      <c r="S887" s="64"/>
      <c r="T887" s="65"/>
      <c r="U887" s="64"/>
      <c r="V887" s="64"/>
      <c r="W887" s="64"/>
      <c r="X887" s="64"/>
      <c r="Y887" s="64"/>
      <c r="Z887" s="64"/>
      <c r="AA887" s="64"/>
      <c r="AB887" s="64"/>
      <c r="AC887" s="64"/>
      <c r="AD887" s="64"/>
      <c r="AE887" s="64"/>
      <c r="AF887" s="64"/>
      <c r="AG887" s="64"/>
    </row>
    <row r="888">
      <c r="A888" s="64"/>
      <c r="B888" s="64"/>
      <c r="C888" s="64"/>
      <c r="D888" s="64"/>
      <c r="E888" s="65"/>
      <c r="F888" s="64"/>
      <c r="G888" s="67"/>
      <c r="H888" s="64"/>
      <c r="I888" s="64"/>
      <c r="J888" s="64"/>
      <c r="K888" s="64"/>
      <c r="L888" s="65"/>
      <c r="M888" s="64"/>
      <c r="N888" s="64"/>
      <c r="O888" s="64"/>
      <c r="P888" s="64"/>
      <c r="Q888" s="64"/>
      <c r="R888" s="64"/>
      <c r="S888" s="64"/>
      <c r="T888" s="65"/>
      <c r="U888" s="64"/>
      <c r="V888" s="64"/>
      <c r="W888" s="64"/>
      <c r="X888" s="64"/>
      <c r="Y888" s="64"/>
      <c r="Z888" s="64"/>
      <c r="AA888" s="64"/>
      <c r="AB888" s="64"/>
      <c r="AC888" s="64"/>
      <c r="AD888" s="64"/>
      <c r="AE888" s="64"/>
      <c r="AF888" s="64"/>
      <c r="AG888" s="64"/>
    </row>
    <row r="889">
      <c r="A889" s="64"/>
      <c r="B889" s="64"/>
      <c r="C889" s="64"/>
      <c r="D889" s="64"/>
      <c r="E889" s="65"/>
      <c r="F889" s="64"/>
      <c r="G889" s="67"/>
      <c r="H889" s="64"/>
      <c r="I889" s="64"/>
      <c r="J889" s="64"/>
      <c r="K889" s="64"/>
      <c r="L889" s="65"/>
      <c r="M889" s="64"/>
      <c r="N889" s="64"/>
      <c r="O889" s="64"/>
      <c r="P889" s="64"/>
      <c r="Q889" s="64"/>
      <c r="R889" s="64"/>
      <c r="S889" s="64"/>
      <c r="T889" s="65"/>
      <c r="U889" s="64"/>
      <c r="V889" s="64"/>
      <c r="W889" s="64"/>
      <c r="X889" s="64"/>
      <c r="Y889" s="64"/>
      <c r="Z889" s="64"/>
      <c r="AA889" s="64"/>
      <c r="AB889" s="64"/>
      <c r="AC889" s="64"/>
      <c r="AD889" s="64"/>
      <c r="AE889" s="64"/>
      <c r="AF889" s="64"/>
      <c r="AG889" s="64"/>
    </row>
    <row r="890">
      <c r="A890" s="64"/>
      <c r="B890" s="64"/>
      <c r="C890" s="64"/>
      <c r="D890" s="64"/>
      <c r="E890" s="65"/>
      <c r="F890" s="64"/>
      <c r="G890" s="67"/>
      <c r="H890" s="64"/>
      <c r="I890" s="64"/>
      <c r="J890" s="64"/>
      <c r="K890" s="64"/>
      <c r="L890" s="65"/>
      <c r="M890" s="64"/>
      <c r="N890" s="64"/>
      <c r="O890" s="64"/>
      <c r="P890" s="64"/>
      <c r="Q890" s="64"/>
      <c r="R890" s="64"/>
      <c r="S890" s="64"/>
      <c r="T890" s="65"/>
      <c r="U890" s="64"/>
      <c r="V890" s="64"/>
      <c r="W890" s="64"/>
      <c r="X890" s="64"/>
      <c r="Y890" s="64"/>
      <c r="Z890" s="64"/>
      <c r="AA890" s="64"/>
      <c r="AB890" s="64"/>
      <c r="AC890" s="64"/>
      <c r="AD890" s="64"/>
      <c r="AE890" s="64"/>
      <c r="AF890" s="64"/>
      <c r="AG890" s="64"/>
    </row>
    <row r="891">
      <c r="A891" s="64"/>
      <c r="B891" s="64"/>
      <c r="C891" s="64"/>
      <c r="D891" s="64"/>
      <c r="E891" s="65"/>
      <c r="F891" s="64"/>
      <c r="G891" s="67"/>
      <c r="H891" s="64"/>
      <c r="I891" s="64"/>
      <c r="J891" s="64"/>
      <c r="K891" s="64"/>
      <c r="L891" s="65"/>
      <c r="M891" s="64"/>
      <c r="N891" s="64"/>
      <c r="O891" s="64"/>
      <c r="P891" s="64"/>
      <c r="Q891" s="64"/>
      <c r="R891" s="64"/>
      <c r="S891" s="64"/>
      <c r="T891" s="65"/>
      <c r="U891" s="64"/>
      <c r="V891" s="64"/>
      <c r="W891" s="64"/>
      <c r="X891" s="64"/>
      <c r="Y891" s="64"/>
      <c r="Z891" s="64"/>
      <c r="AA891" s="64"/>
      <c r="AB891" s="64"/>
      <c r="AC891" s="64"/>
      <c r="AD891" s="64"/>
      <c r="AE891" s="64"/>
      <c r="AF891" s="64"/>
      <c r="AG891" s="64"/>
    </row>
    <row r="892">
      <c r="A892" s="64"/>
      <c r="B892" s="64"/>
      <c r="C892" s="64"/>
      <c r="D892" s="64"/>
      <c r="E892" s="65"/>
      <c r="F892" s="64"/>
      <c r="G892" s="67"/>
      <c r="H892" s="64"/>
      <c r="I892" s="64"/>
      <c r="J892" s="64"/>
      <c r="K892" s="64"/>
      <c r="L892" s="65"/>
      <c r="M892" s="64"/>
      <c r="N892" s="64"/>
      <c r="O892" s="64"/>
      <c r="P892" s="64"/>
      <c r="Q892" s="64"/>
      <c r="R892" s="64"/>
      <c r="S892" s="64"/>
      <c r="T892" s="65"/>
      <c r="U892" s="64"/>
      <c r="V892" s="64"/>
      <c r="W892" s="64"/>
      <c r="X892" s="64"/>
      <c r="Y892" s="64"/>
      <c r="Z892" s="64"/>
      <c r="AA892" s="64"/>
      <c r="AB892" s="64"/>
      <c r="AC892" s="64"/>
      <c r="AD892" s="64"/>
      <c r="AE892" s="64"/>
      <c r="AF892" s="64"/>
      <c r="AG892" s="64"/>
    </row>
    <row r="893">
      <c r="A893" s="64"/>
      <c r="B893" s="64"/>
      <c r="C893" s="64"/>
      <c r="D893" s="64"/>
      <c r="E893" s="65"/>
      <c r="F893" s="64"/>
      <c r="G893" s="67"/>
      <c r="H893" s="64"/>
      <c r="I893" s="64"/>
      <c r="J893" s="64"/>
      <c r="K893" s="64"/>
      <c r="L893" s="65"/>
      <c r="M893" s="64"/>
      <c r="N893" s="64"/>
      <c r="O893" s="64"/>
      <c r="P893" s="64"/>
      <c r="Q893" s="64"/>
      <c r="R893" s="64"/>
      <c r="S893" s="64"/>
      <c r="T893" s="65"/>
      <c r="U893" s="64"/>
      <c r="V893" s="64"/>
      <c r="W893" s="64"/>
      <c r="X893" s="64"/>
      <c r="Y893" s="64"/>
      <c r="Z893" s="64"/>
      <c r="AA893" s="64"/>
      <c r="AB893" s="64"/>
      <c r="AC893" s="64"/>
      <c r="AD893" s="64"/>
      <c r="AE893" s="64"/>
      <c r="AF893" s="64"/>
      <c r="AG893" s="64"/>
    </row>
    <row r="894">
      <c r="A894" s="64"/>
      <c r="B894" s="64"/>
      <c r="C894" s="64"/>
      <c r="D894" s="64"/>
      <c r="E894" s="65"/>
      <c r="F894" s="64"/>
      <c r="G894" s="67"/>
      <c r="H894" s="64"/>
      <c r="I894" s="64"/>
      <c r="J894" s="64"/>
      <c r="K894" s="64"/>
      <c r="L894" s="65"/>
      <c r="M894" s="64"/>
      <c r="N894" s="64"/>
      <c r="O894" s="64"/>
      <c r="P894" s="64"/>
      <c r="Q894" s="64"/>
      <c r="R894" s="64"/>
      <c r="S894" s="64"/>
      <c r="T894" s="65"/>
      <c r="U894" s="64"/>
      <c r="V894" s="64"/>
      <c r="W894" s="64"/>
      <c r="X894" s="64"/>
      <c r="Y894" s="64"/>
      <c r="Z894" s="64"/>
      <c r="AA894" s="64"/>
      <c r="AB894" s="64"/>
      <c r="AC894" s="64"/>
      <c r="AD894" s="64"/>
      <c r="AE894" s="64"/>
      <c r="AF894" s="64"/>
      <c r="AG894" s="64"/>
    </row>
    <row r="895">
      <c r="A895" s="64"/>
      <c r="B895" s="64"/>
      <c r="C895" s="64"/>
      <c r="D895" s="64"/>
      <c r="E895" s="65"/>
      <c r="F895" s="64"/>
      <c r="G895" s="67"/>
      <c r="H895" s="64"/>
      <c r="I895" s="64"/>
      <c r="J895" s="64"/>
      <c r="K895" s="64"/>
      <c r="L895" s="65"/>
      <c r="M895" s="64"/>
      <c r="N895" s="64"/>
      <c r="O895" s="64"/>
      <c r="P895" s="64"/>
      <c r="Q895" s="64"/>
      <c r="R895" s="64"/>
      <c r="S895" s="64"/>
      <c r="T895" s="65"/>
      <c r="U895" s="64"/>
      <c r="V895" s="64"/>
      <c r="W895" s="64"/>
      <c r="X895" s="64"/>
      <c r="Y895" s="64"/>
      <c r="Z895" s="64"/>
      <c r="AA895" s="64"/>
      <c r="AB895" s="64"/>
      <c r="AC895" s="64"/>
      <c r="AD895" s="64"/>
      <c r="AE895" s="64"/>
      <c r="AF895" s="64"/>
      <c r="AG895" s="64"/>
    </row>
    <row r="896">
      <c r="A896" s="64"/>
      <c r="B896" s="64"/>
      <c r="C896" s="64"/>
      <c r="D896" s="64"/>
      <c r="E896" s="65"/>
      <c r="F896" s="64"/>
      <c r="G896" s="67"/>
      <c r="H896" s="64"/>
      <c r="I896" s="64"/>
      <c r="J896" s="64"/>
      <c r="K896" s="64"/>
      <c r="L896" s="65"/>
      <c r="M896" s="64"/>
      <c r="N896" s="64"/>
      <c r="O896" s="64"/>
      <c r="P896" s="64"/>
      <c r="Q896" s="64"/>
      <c r="R896" s="64"/>
      <c r="S896" s="64"/>
      <c r="T896" s="65"/>
      <c r="U896" s="64"/>
      <c r="V896" s="64"/>
      <c r="W896" s="64"/>
      <c r="X896" s="64"/>
      <c r="Y896" s="64"/>
      <c r="Z896" s="64"/>
      <c r="AA896" s="64"/>
      <c r="AB896" s="64"/>
      <c r="AC896" s="64"/>
      <c r="AD896" s="64"/>
      <c r="AE896" s="64"/>
      <c r="AF896" s="64"/>
      <c r="AG896" s="64"/>
    </row>
    <row r="897">
      <c r="A897" s="64"/>
      <c r="B897" s="64"/>
      <c r="C897" s="64"/>
      <c r="D897" s="64"/>
      <c r="E897" s="65"/>
      <c r="F897" s="64"/>
      <c r="G897" s="67"/>
      <c r="H897" s="64"/>
      <c r="I897" s="64"/>
      <c r="J897" s="64"/>
      <c r="K897" s="64"/>
      <c r="L897" s="65"/>
      <c r="M897" s="64"/>
      <c r="N897" s="64"/>
      <c r="O897" s="64"/>
      <c r="P897" s="64"/>
      <c r="Q897" s="64"/>
      <c r="R897" s="64"/>
      <c r="S897" s="64"/>
      <c r="T897" s="65"/>
      <c r="U897" s="64"/>
      <c r="V897" s="64"/>
      <c r="W897" s="64"/>
      <c r="X897" s="64"/>
      <c r="Y897" s="64"/>
      <c r="Z897" s="64"/>
      <c r="AA897" s="64"/>
      <c r="AB897" s="64"/>
      <c r="AC897" s="64"/>
      <c r="AD897" s="64"/>
      <c r="AE897" s="64"/>
      <c r="AF897" s="64"/>
      <c r="AG897" s="64"/>
    </row>
    <row r="898">
      <c r="A898" s="64"/>
      <c r="B898" s="64"/>
      <c r="C898" s="64"/>
      <c r="D898" s="64"/>
      <c r="E898" s="65"/>
      <c r="F898" s="64"/>
      <c r="G898" s="67"/>
      <c r="H898" s="64"/>
      <c r="I898" s="64"/>
      <c r="J898" s="64"/>
      <c r="K898" s="64"/>
      <c r="L898" s="65"/>
      <c r="M898" s="64"/>
      <c r="N898" s="64"/>
      <c r="O898" s="64"/>
      <c r="P898" s="64"/>
      <c r="Q898" s="64"/>
      <c r="R898" s="64"/>
      <c r="S898" s="64"/>
      <c r="T898" s="65"/>
      <c r="U898" s="64"/>
      <c r="V898" s="64"/>
      <c r="W898" s="64"/>
      <c r="X898" s="64"/>
      <c r="Y898" s="64"/>
      <c r="Z898" s="64"/>
      <c r="AA898" s="64"/>
      <c r="AB898" s="64"/>
      <c r="AC898" s="64"/>
      <c r="AD898" s="64"/>
      <c r="AE898" s="64"/>
      <c r="AF898" s="64"/>
      <c r="AG898" s="64"/>
    </row>
    <row r="899">
      <c r="A899" s="64"/>
      <c r="B899" s="64"/>
      <c r="C899" s="64"/>
      <c r="D899" s="64"/>
      <c r="E899" s="65"/>
      <c r="F899" s="64"/>
      <c r="G899" s="67"/>
      <c r="H899" s="64"/>
      <c r="I899" s="64"/>
      <c r="J899" s="64"/>
      <c r="K899" s="64"/>
      <c r="L899" s="65"/>
      <c r="M899" s="64"/>
      <c r="N899" s="64"/>
      <c r="O899" s="64"/>
      <c r="P899" s="64"/>
      <c r="Q899" s="64"/>
      <c r="R899" s="64"/>
      <c r="S899" s="64"/>
      <c r="T899" s="65"/>
      <c r="U899" s="64"/>
      <c r="V899" s="64"/>
      <c r="W899" s="64"/>
      <c r="X899" s="64"/>
      <c r="Y899" s="64"/>
      <c r="Z899" s="64"/>
      <c r="AA899" s="64"/>
      <c r="AB899" s="64"/>
      <c r="AC899" s="64"/>
      <c r="AD899" s="64"/>
      <c r="AE899" s="64"/>
      <c r="AF899" s="64"/>
      <c r="AG899" s="64"/>
    </row>
    <row r="900">
      <c r="A900" s="64"/>
      <c r="B900" s="64"/>
      <c r="C900" s="64"/>
      <c r="D900" s="64"/>
      <c r="E900" s="65"/>
      <c r="F900" s="64"/>
      <c r="G900" s="67"/>
      <c r="H900" s="64"/>
      <c r="I900" s="64"/>
      <c r="J900" s="64"/>
      <c r="K900" s="64"/>
      <c r="L900" s="65"/>
      <c r="M900" s="64"/>
      <c r="N900" s="64"/>
      <c r="O900" s="64"/>
      <c r="P900" s="64"/>
      <c r="Q900" s="64"/>
      <c r="R900" s="64"/>
      <c r="S900" s="64"/>
      <c r="T900" s="65"/>
      <c r="U900" s="64"/>
      <c r="V900" s="64"/>
      <c r="W900" s="64"/>
      <c r="X900" s="64"/>
      <c r="Y900" s="64"/>
      <c r="Z900" s="64"/>
      <c r="AA900" s="64"/>
      <c r="AB900" s="64"/>
      <c r="AC900" s="64"/>
      <c r="AD900" s="64"/>
      <c r="AE900" s="64"/>
      <c r="AF900" s="64"/>
      <c r="AG900" s="64"/>
    </row>
    <row r="901">
      <c r="A901" s="64"/>
      <c r="B901" s="64"/>
      <c r="C901" s="64"/>
      <c r="D901" s="64"/>
      <c r="E901" s="65"/>
      <c r="F901" s="64"/>
      <c r="G901" s="67"/>
      <c r="H901" s="64"/>
      <c r="I901" s="64"/>
      <c r="J901" s="64"/>
      <c r="K901" s="64"/>
      <c r="L901" s="65"/>
      <c r="M901" s="64"/>
      <c r="N901" s="64"/>
      <c r="O901" s="64"/>
      <c r="P901" s="64"/>
      <c r="Q901" s="64"/>
      <c r="R901" s="64"/>
      <c r="S901" s="64"/>
      <c r="T901" s="65"/>
      <c r="U901" s="64"/>
      <c r="V901" s="64"/>
      <c r="W901" s="64"/>
      <c r="X901" s="64"/>
      <c r="Y901" s="64"/>
      <c r="Z901" s="64"/>
      <c r="AA901" s="64"/>
      <c r="AB901" s="64"/>
      <c r="AC901" s="64"/>
      <c r="AD901" s="64"/>
      <c r="AE901" s="64"/>
      <c r="AF901" s="64"/>
      <c r="AG901" s="64"/>
    </row>
    <row r="902">
      <c r="A902" s="64"/>
      <c r="B902" s="64"/>
      <c r="C902" s="64"/>
      <c r="D902" s="64"/>
      <c r="E902" s="65"/>
      <c r="F902" s="64"/>
      <c r="G902" s="67"/>
      <c r="H902" s="64"/>
      <c r="I902" s="64"/>
      <c r="J902" s="64"/>
      <c r="K902" s="64"/>
      <c r="L902" s="65"/>
      <c r="M902" s="64"/>
      <c r="N902" s="64"/>
      <c r="O902" s="64"/>
      <c r="P902" s="64"/>
      <c r="Q902" s="64"/>
      <c r="R902" s="64"/>
      <c r="S902" s="64"/>
      <c r="T902" s="65"/>
      <c r="U902" s="64"/>
      <c r="V902" s="64"/>
      <c r="W902" s="64"/>
      <c r="X902" s="64"/>
      <c r="Y902" s="64"/>
      <c r="Z902" s="64"/>
      <c r="AA902" s="64"/>
      <c r="AB902" s="64"/>
      <c r="AC902" s="64"/>
      <c r="AD902" s="64"/>
      <c r="AE902" s="64"/>
      <c r="AF902" s="64"/>
      <c r="AG902" s="64"/>
    </row>
    <row r="903">
      <c r="A903" s="64"/>
      <c r="B903" s="64"/>
      <c r="C903" s="64"/>
      <c r="D903" s="64"/>
      <c r="E903" s="65"/>
      <c r="F903" s="64"/>
      <c r="G903" s="67"/>
      <c r="H903" s="64"/>
      <c r="I903" s="64"/>
      <c r="J903" s="64"/>
      <c r="K903" s="64"/>
      <c r="L903" s="65"/>
      <c r="M903" s="64"/>
      <c r="N903" s="64"/>
      <c r="O903" s="64"/>
      <c r="P903" s="64"/>
      <c r="Q903" s="64"/>
      <c r="R903" s="64"/>
      <c r="S903" s="64"/>
      <c r="T903" s="65"/>
      <c r="U903" s="64"/>
      <c r="V903" s="64"/>
      <c r="W903" s="64"/>
      <c r="X903" s="64"/>
      <c r="Y903" s="64"/>
      <c r="Z903" s="64"/>
      <c r="AA903" s="64"/>
      <c r="AB903" s="64"/>
      <c r="AC903" s="64"/>
      <c r="AD903" s="64"/>
      <c r="AE903" s="64"/>
      <c r="AF903" s="64"/>
      <c r="AG903" s="64"/>
    </row>
    <row r="904">
      <c r="A904" s="64"/>
      <c r="B904" s="64"/>
      <c r="C904" s="64"/>
      <c r="D904" s="64"/>
      <c r="E904" s="65"/>
      <c r="F904" s="64"/>
      <c r="G904" s="67"/>
      <c r="H904" s="64"/>
      <c r="I904" s="64"/>
      <c r="J904" s="64"/>
      <c r="K904" s="64"/>
      <c r="L904" s="65"/>
      <c r="M904" s="64"/>
      <c r="N904" s="64"/>
      <c r="O904" s="64"/>
      <c r="P904" s="64"/>
      <c r="Q904" s="64"/>
      <c r="R904" s="64"/>
      <c r="S904" s="64"/>
      <c r="T904" s="65"/>
      <c r="U904" s="64"/>
      <c r="V904" s="64"/>
      <c r="W904" s="64"/>
      <c r="X904" s="64"/>
      <c r="Y904" s="64"/>
      <c r="Z904" s="64"/>
      <c r="AA904" s="64"/>
      <c r="AB904" s="64"/>
      <c r="AC904" s="64"/>
      <c r="AD904" s="64"/>
      <c r="AE904" s="64"/>
      <c r="AF904" s="64"/>
      <c r="AG904" s="64"/>
    </row>
    <row r="905">
      <c r="A905" s="64"/>
      <c r="B905" s="64"/>
      <c r="C905" s="64"/>
      <c r="D905" s="64"/>
      <c r="E905" s="65"/>
      <c r="F905" s="64"/>
      <c r="G905" s="67"/>
      <c r="H905" s="64"/>
      <c r="I905" s="64"/>
      <c r="J905" s="64"/>
      <c r="K905" s="64"/>
      <c r="L905" s="65"/>
      <c r="M905" s="64"/>
      <c r="N905" s="64"/>
      <c r="O905" s="64"/>
      <c r="P905" s="64"/>
      <c r="Q905" s="64"/>
      <c r="R905" s="64"/>
      <c r="S905" s="64"/>
      <c r="T905" s="65"/>
      <c r="U905" s="64"/>
      <c r="V905" s="64"/>
      <c r="W905" s="64"/>
      <c r="X905" s="64"/>
      <c r="Y905" s="64"/>
      <c r="Z905" s="64"/>
      <c r="AA905" s="64"/>
      <c r="AB905" s="64"/>
      <c r="AC905" s="64"/>
      <c r="AD905" s="64"/>
      <c r="AE905" s="64"/>
      <c r="AF905" s="64"/>
      <c r="AG905" s="64"/>
    </row>
    <row r="906">
      <c r="A906" s="64"/>
      <c r="B906" s="64"/>
      <c r="C906" s="64"/>
      <c r="D906" s="64"/>
      <c r="E906" s="65"/>
      <c r="F906" s="64"/>
      <c r="G906" s="67"/>
      <c r="H906" s="64"/>
      <c r="I906" s="64"/>
      <c r="J906" s="64"/>
      <c r="K906" s="64"/>
      <c r="L906" s="65"/>
      <c r="M906" s="64"/>
      <c r="N906" s="64"/>
      <c r="O906" s="64"/>
      <c r="P906" s="64"/>
      <c r="Q906" s="64"/>
      <c r="R906" s="64"/>
      <c r="S906" s="64"/>
      <c r="T906" s="65"/>
      <c r="U906" s="64"/>
      <c r="V906" s="64"/>
      <c r="W906" s="64"/>
      <c r="X906" s="64"/>
      <c r="Y906" s="64"/>
      <c r="Z906" s="64"/>
      <c r="AA906" s="64"/>
      <c r="AB906" s="64"/>
      <c r="AC906" s="64"/>
      <c r="AD906" s="64"/>
      <c r="AE906" s="64"/>
      <c r="AF906" s="64"/>
      <c r="AG906" s="64"/>
    </row>
    <row r="907">
      <c r="A907" s="64"/>
      <c r="B907" s="64"/>
      <c r="C907" s="64"/>
      <c r="D907" s="64"/>
      <c r="E907" s="65"/>
      <c r="F907" s="64"/>
      <c r="G907" s="67"/>
      <c r="H907" s="64"/>
      <c r="I907" s="64"/>
      <c r="J907" s="64"/>
      <c r="K907" s="64"/>
      <c r="L907" s="65"/>
      <c r="M907" s="64"/>
      <c r="N907" s="64"/>
      <c r="O907" s="64"/>
      <c r="P907" s="64"/>
      <c r="Q907" s="64"/>
      <c r="R907" s="64"/>
      <c r="S907" s="64"/>
      <c r="T907" s="65"/>
      <c r="U907" s="64"/>
      <c r="V907" s="64"/>
      <c r="W907" s="64"/>
      <c r="X907" s="64"/>
      <c r="Y907" s="64"/>
      <c r="Z907" s="64"/>
      <c r="AA907" s="64"/>
      <c r="AB907" s="64"/>
      <c r="AC907" s="64"/>
      <c r="AD907" s="64"/>
      <c r="AE907" s="64"/>
      <c r="AF907" s="64"/>
      <c r="AG907" s="64"/>
    </row>
    <row r="908">
      <c r="A908" s="64"/>
      <c r="B908" s="64"/>
      <c r="C908" s="64"/>
      <c r="D908" s="64"/>
      <c r="E908" s="65"/>
      <c r="F908" s="64"/>
      <c r="G908" s="67"/>
      <c r="H908" s="64"/>
      <c r="I908" s="64"/>
      <c r="J908" s="64"/>
      <c r="K908" s="64"/>
      <c r="L908" s="65"/>
      <c r="M908" s="64"/>
      <c r="N908" s="64"/>
      <c r="O908" s="64"/>
      <c r="P908" s="64"/>
      <c r="Q908" s="64"/>
      <c r="R908" s="64"/>
      <c r="S908" s="64"/>
      <c r="T908" s="65"/>
      <c r="U908" s="64"/>
      <c r="V908" s="64"/>
      <c r="W908" s="64"/>
      <c r="X908" s="64"/>
      <c r="Y908" s="64"/>
      <c r="Z908" s="64"/>
      <c r="AA908" s="64"/>
      <c r="AB908" s="64"/>
      <c r="AC908" s="64"/>
      <c r="AD908" s="64"/>
      <c r="AE908" s="64"/>
      <c r="AF908" s="64"/>
      <c r="AG908" s="64"/>
    </row>
    <row r="909">
      <c r="A909" s="64"/>
      <c r="B909" s="64"/>
      <c r="C909" s="64"/>
      <c r="D909" s="64"/>
      <c r="E909" s="65"/>
      <c r="F909" s="64"/>
      <c r="G909" s="67"/>
      <c r="H909" s="64"/>
      <c r="I909" s="64"/>
      <c r="J909" s="64"/>
      <c r="K909" s="64"/>
      <c r="L909" s="65"/>
      <c r="M909" s="64"/>
      <c r="N909" s="64"/>
      <c r="O909" s="64"/>
      <c r="P909" s="64"/>
      <c r="Q909" s="64"/>
      <c r="R909" s="64"/>
      <c r="S909" s="64"/>
      <c r="T909" s="65"/>
      <c r="U909" s="64"/>
      <c r="V909" s="64"/>
      <c r="W909" s="64"/>
      <c r="X909" s="64"/>
      <c r="Y909" s="64"/>
      <c r="Z909" s="64"/>
      <c r="AA909" s="64"/>
      <c r="AB909" s="64"/>
      <c r="AC909" s="64"/>
      <c r="AD909" s="64"/>
      <c r="AE909" s="64"/>
      <c r="AF909" s="64"/>
      <c r="AG909" s="64"/>
    </row>
    <row r="910">
      <c r="A910" s="64"/>
      <c r="B910" s="64"/>
      <c r="C910" s="64"/>
      <c r="D910" s="64"/>
      <c r="E910" s="65"/>
      <c r="F910" s="64"/>
      <c r="G910" s="67"/>
      <c r="H910" s="64"/>
      <c r="I910" s="64"/>
      <c r="J910" s="64"/>
      <c r="K910" s="64"/>
      <c r="L910" s="65"/>
      <c r="M910" s="64"/>
      <c r="N910" s="64"/>
      <c r="O910" s="64"/>
      <c r="P910" s="64"/>
      <c r="Q910" s="64"/>
      <c r="R910" s="64"/>
      <c r="S910" s="64"/>
      <c r="T910" s="65"/>
      <c r="U910" s="64"/>
      <c r="V910" s="64"/>
      <c r="W910" s="64"/>
      <c r="X910" s="64"/>
      <c r="Y910" s="64"/>
      <c r="Z910" s="64"/>
      <c r="AA910" s="64"/>
      <c r="AB910" s="64"/>
      <c r="AC910" s="64"/>
      <c r="AD910" s="64"/>
      <c r="AE910" s="64"/>
      <c r="AF910" s="64"/>
      <c r="AG910" s="64"/>
    </row>
    <row r="911">
      <c r="A911" s="64"/>
      <c r="B911" s="64"/>
      <c r="C911" s="64"/>
      <c r="D911" s="64"/>
      <c r="E911" s="65"/>
      <c r="F911" s="64"/>
      <c r="G911" s="67"/>
      <c r="H911" s="64"/>
      <c r="I911" s="64"/>
      <c r="J911" s="64"/>
      <c r="K911" s="64"/>
      <c r="L911" s="65"/>
      <c r="M911" s="64"/>
      <c r="N911" s="64"/>
      <c r="O911" s="64"/>
      <c r="P911" s="64"/>
      <c r="Q911" s="64"/>
      <c r="R911" s="64"/>
      <c r="S911" s="64"/>
      <c r="T911" s="65"/>
      <c r="U911" s="64"/>
      <c r="V911" s="64"/>
      <c r="W911" s="64"/>
      <c r="X911" s="64"/>
      <c r="Y911" s="64"/>
      <c r="Z911" s="64"/>
      <c r="AA911" s="64"/>
      <c r="AB911" s="64"/>
      <c r="AC911" s="64"/>
      <c r="AD911" s="64"/>
      <c r="AE911" s="64"/>
      <c r="AF911" s="64"/>
      <c r="AG911" s="64"/>
    </row>
    <row r="912">
      <c r="A912" s="64"/>
      <c r="B912" s="64"/>
      <c r="C912" s="64"/>
      <c r="D912" s="64"/>
      <c r="E912" s="65"/>
      <c r="F912" s="64"/>
      <c r="G912" s="67"/>
      <c r="H912" s="64"/>
      <c r="I912" s="64"/>
      <c r="J912" s="64"/>
      <c r="K912" s="64"/>
      <c r="L912" s="65"/>
      <c r="M912" s="64"/>
      <c r="N912" s="64"/>
      <c r="O912" s="64"/>
      <c r="P912" s="64"/>
      <c r="Q912" s="64"/>
      <c r="R912" s="64"/>
      <c r="S912" s="64"/>
      <c r="T912" s="65"/>
      <c r="U912" s="64"/>
      <c r="V912" s="64"/>
      <c r="W912" s="64"/>
      <c r="X912" s="64"/>
      <c r="Y912" s="64"/>
      <c r="Z912" s="64"/>
      <c r="AA912" s="64"/>
      <c r="AB912" s="64"/>
      <c r="AC912" s="64"/>
      <c r="AD912" s="64"/>
      <c r="AE912" s="64"/>
      <c r="AF912" s="64"/>
      <c r="AG912" s="64"/>
    </row>
    <row r="913">
      <c r="A913" s="64"/>
      <c r="B913" s="64"/>
      <c r="C913" s="64"/>
      <c r="D913" s="64"/>
      <c r="E913" s="65"/>
      <c r="F913" s="64"/>
      <c r="G913" s="67"/>
      <c r="H913" s="64"/>
      <c r="I913" s="64"/>
      <c r="J913" s="64"/>
      <c r="K913" s="64"/>
      <c r="L913" s="65"/>
      <c r="M913" s="64"/>
      <c r="N913" s="64"/>
      <c r="O913" s="64"/>
      <c r="P913" s="64"/>
      <c r="Q913" s="64"/>
      <c r="R913" s="64"/>
      <c r="S913" s="64"/>
      <c r="T913" s="65"/>
      <c r="U913" s="64"/>
      <c r="V913" s="64"/>
      <c r="W913" s="64"/>
      <c r="X913" s="64"/>
      <c r="Y913" s="64"/>
      <c r="Z913" s="64"/>
      <c r="AA913" s="64"/>
      <c r="AB913" s="64"/>
      <c r="AC913" s="64"/>
      <c r="AD913" s="64"/>
      <c r="AE913" s="64"/>
      <c r="AF913" s="64"/>
      <c r="AG913" s="64"/>
    </row>
    <row r="914">
      <c r="A914" s="64"/>
      <c r="B914" s="64"/>
      <c r="C914" s="64"/>
      <c r="D914" s="64"/>
      <c r="E914" s="65"/>
      <c r="F914" s="64"/>
      <c r="G914" s="67"/>
      <c r="H914" s="64"/>
      <c r="I914" s="64"/>
      <c r="J914" s="64"/>
      <c r="K914" s="64"/>
      <c r="L914" s="65"/>
      <c r="M914" s="64"/>
      <c r="N914" s="64"/>
      <c r="O914" s="64"/>
      <c r="P914" s="64"/>
      <c r="Q914" s="64"/>
      <c r="R914" s="64"/>
      <c r="S914" s="64"/>
      <c r="T914" s="65"/>
      <c r="U914" s="64"/>
      <c r="V914" s="64"/>
      <c r="W914" s="64"/>
      <c r="X914" s="64"/>
      <c r="Y914" s="64"/>
      <c r="Z914" s="64"/>
      <c r="AA914" s="64"/>
      <c r="AB914" s="64"/>
      <c r="AC914" s="64"/>
      <c r="AD914" s="64"/>
      <c r="AE914" s="64"/>
      <c r="AF914" s="64"/>
      <c r="AG914" s="64"/>
    </row>
    <row r="915">
      <c r="A915" s="64"/>
      <c r="B915" s="64"/>
      <c r="C915" s="64"/>
      <c r="D915" s="64"/>
      <c r="E915" s="65"/>
      <c r="F915" s="64"/>
      <c r="G915" s="67"/>
      <c r="H915" s="64"/>
      <c r="I915" s="64"/>
      <c r="J915" s="64"/>
      <c r="K915" s="64"/>
      <c r="L915" s="65"/>
      <c r="M915" s="64"/>
      <c r="N915" s="64"/>
      <c r="O915" s="64"/>
      <c r="P915" s="64"/>
      <c r="Q915" s="64"/>
      <c r="R915" s="64"/>
      <c r="S915" s="64"/>
      <c r="T915" s="65"/>
      <c r="U915" s="64"/>
      <c r="V915" s="64"/>
      <c r="W915" s="64"/>
      <c r="X915" s="64"/>
      <c r="Y915" s="64"/>
      <c r="Z915" s="64"/>
      <c r="AA915" s="64"/>
      <c r="AB915" s="64"/>
      <c r="AC915" s="64"/>
      <c r="AD915" s="64"/>
      <c r="AE915" s="64"/>
      <c r="AF915" s="64"/>
      <c r="AG915" s="64"/>
    </row>
    <row r="916">
      <c r="A916" s="64"/>
      <c r="B916" s="64"/>
      <c r="C916" s="64"/>
      <c r="D916" s="64"/>
      <c r="E916" s="65"/>
      <c r="F916" s="64"/>
      <c r="G916" s="67"/>
      <c r="H916" s="64"/>
      <c r="I916" s="64"/>
      <c r="J916" s="64"/>
      <c r="K916" s="64"/>
      <c r="L916" s="65"/>
      <c r="M916" s="64"/>
      <c r="N916" s="64"/>
      <c r="O916" s="64"/>
      <c r="P916" s="64"/>
      <c r="Q916" s="64"/>
      <c r="R916" s="64"/>
      <c r="S916" s="64"/>
      <c r="T916" s="65"/>
      <c r="U916" s="64"/>
      <c r="V916" s="64"/>
      <c r="W916" s="64"/>
      <c r="X916" s="64"/>
      <c r="Y916" s="64"/>
      <c r="Z916" s="64"/>
      <c r="AA916" s="64"/>
      <c r="AB916" s="64"/>
      <c r="AC916" s="64"/>
      <c r="AD916" s="64"/>
      <c r="AE916" s="64"/>
      <c r="AF916" s="64"/>
      <c r="AG916" s="64"/>
    </row>
    <row r="917">
      <c r="A917" s="64"/>
      <c r="B917" s="64"/>
      <c r="C917" s="64"/>
      <c r="D917" s="64"/>
      <c r="E917" s="65"/>
      <c r="F917" s="64"/>
      <c r="G917" s="67"/>
      <c r="H917" s="64"/>
      <c r="I917" s="64"/>
      <c r="J917" s="64"/>
      <c r="K917" s="64"/>
      <c r="L917" s="65"/>
      <c r="M917" s="64"/>
      <c r="N917" s="64"/>
      <c r="O917" s="64"/>
      <c r="P917" s="64"/>
      <c r="Q917" s="64"/>
      <c r="R917" s="64"/>
      <c r="S917" s="64"/>
      <c r="T917" s="65"/>
      <c r="U917" s="64"/>
      <c r="V917" s="64"/>
      <c r="W917" s="64"/>
      <c r="X917" s="64"/>
      <c r="Y917" s="64"/>
      <c r="Z917" s="64"/>
      <c r="AA917" s="64"/>
      <c r="AB917" s="64"/>
      <c r="AC917" s="64"/>
      <c r="AD917" s="64"/>
      <c r="AE917" s="64"/>
      <c r="AF917" s="64"/>
      <c r="AG917" s="64"/>
    </row>
    <row r="918">
      <c r="A918" s="64"/>
      <c r="B918" s="64"/>
      <c r="C918" s="64"/>
      <c r="D918" s="64"/>
      <c r="E918" s="65"/>
      <c r="F918" s="64"/>
      <c r="G918" s="67"/>
      <c r="H918" s="64"/>
      <c r="I918" s="64"/>
      <c r="J918" s="64"/>
      <c r="K918" s="64"/>
      <c r="L918" s="65"/>
      <c r="M918" s="64"/>
      <c r="N918" s="64"/>
      <c r="O918" s="64"/>
      <c r="P918" s="64"/>
      <c r="Q918" s="64"/>
      <c r="R918" s="64"/>
      <c r="S918" s="64"/>
      <c r="T918" s="65"/>
      <c r="U918" s="64"/>
      <c r="V918" s="64"/>
      <c r="W918" s="64"/>
      <c r="X918" s="64"/>
      <c r="Y918" s="64"/>
      <c r="Z918" s="64"/>
      <c r="AA918" s="64"/>
      <c r="AB918" s="64"/>
      <c r="AC918" s="64"/>
      <c r="AD918" s="64"/>
      <c r="AE918" s="64"/>
      <c r="AF918" s="64"/>
      <c r="AG918" s="64"/>
    </row>
    <row r="919">
      <c r="A919" s="64"/>
      <c r="B919" s="64"/>
      <c r="C919" s="64"/>
      <c r="D919" s="64"/>
      <c r="E919" s="65"/>
      <c r="F919" s="64"/>
      <c r="G919" s="67"/>
      <c r="H919" s="64"/>
      <c r="I919" s="64"/>
      <c r="J919" s="64"/>
      <c r="K919" s="64"/>
      <c r="L919" s="65"/>
      <c r="M919" s="64"/>
      <c r="N919" s="64"/>
      <c r="O919" s="64"/>
      <c r="P919" s="64"/>
      <c r="Q919" s="64"/>
      <c r="R919" s="64"/>
      <c r="S919" s="64"/>
      <c r="T919" s="65"/>
      <c r="U919" s="64"/>
      <c r="V919" s="64"/>
      <c r="W919" s="64"/>
      <c r="X919" s="64"/>
      <c r="Y919" s="64"/>
      <c r="Z919" s="64"/>
      <c r="AA919" s="64"/>
      <c r="AB919" s="64"/>
      <c r="AC919" s="64"/>
      <c r="AD919" s="64"/>
      <c r="AE919" s="64"/>
      <c r="AF919" s="64"/>
      <c r="AG919" s="64"/>
    </row>
    <row r="920">
      <c r="A920" s="64"/>
      <c r="B920" s="64"/>
      <c r="C920" s="64"/>
      <c r="D920" s="64"/>
      <c r="E920" s="65"/>
      <c r="F920" s="64"/>
      <c r="G920" s="67"/>
      <c r="H920" s="64"/>
      <c r="I920" s="64"/>
      <c r="J920" s="64"/>
      <c r="K920" s="64"/>
      <c r="L920" s="65"/>
      <c r="M920" s="64"/>
      <c r="N920" s="64"/>
      <c r="O920" s="64"/>
      <c r="P920" s="64"/>
      <c r="Q920" s="64"/>
      <c r="R920" s="64"/>
      <c r="S920" s="64"/>
      <c r="T920" s="65"/>
      <c r="U920" s="64"/>
      <c r="V920" s="64"/>
      <c r="W920" s="64"/>
      <c r="X920" s="64"/>
      <c r="Y920" s="64"/>
      <c r="Z920" s="64"/>
      <c r="AA920" s="64"/>
      <c r="AB920" s="64"/>
      <c r="AC920" s="64"/>
      <c r="AD920" s="64"/>
      <c r="AE920" s="64"/>
      <c r="AF920" s="64"/>
      <c r="AG920" s="64"/>
    </row>
    <row r="921">
      <c r="A921" s="64"/>
      <c r="B921" s="64"/>
      <c r="C921" s="64"/>
      <c r="D921" s="64"/>
      <c r="E921" s="65"/>
      <c r="F921" s="64"/>
      <c r="G921" s="67"/>
      <c r="H921" s="64"/>
      <c r="I921" s="64"/>
      <c r="J921" s="64"/>
      <c r="K921" s="64"/>
      <c r="L921" s="65"/>
      <c r="M921" s="64"/>
      <c r="N921" s="64"/>
      <c r="O921" s="64"/>
      <c r="P921" s="64"/>
      <c r="Q921" s="64"/>
      <c r="R921" s="64"/>
      <c r="S921" s="64"/>
      <c r="T921" s="65"/>
      <c r="U921" s="64"/>
      <c r="V921" s="64"/>
      <c r="W921" s="64"/>
      <c r="X921" s="64"/>
      <c r="Y921" s="64"/>
      <c r="Z921" s="64"/>
      <c r="AA921" s="64"/>
      <c r="AB921" s="64"/>
      <c r="AC921" s="64"/>
      <c r="AD921" s="64"/>
      <c r="AE921" s="64"/>
      <c r="AF921" s="64"/>
      <c r="AG921" s="64"/>
    </row>
    <row r="922">
      <c r="A922" s="64"/>
      <c r="B922" s="64"/>
      <c r="C922" s="64"/>
      <c r="D922" s="64"/>
      <c r="E922" s="65"/>
      <c r="F922" s="64"/>
      <c r="G922" s="67"/>
      <c r="H922" s="64"/>
      <c r="I922" s="64"/>
      <c r="J922" s="64"/>
      <c r="K922" s="64"/>
      <c r="L922" s="65"/>
      <c r="M922" s="64"/>
      <c r="N922" s="64"/>
      <c r="O922" s="64"/>
      <c r="P922" s="64"/>
      <c r="Q922" s="64"/>
      <c r="R922" s="64"/>
      <c r="S922" s="64"/>
      <c r="T922" s="65"/>
      <c r="U922" s="64"/>
      <c r="V922" s="64"/>
      <c r="W922" s="64"/>
      <c r="X922" s="64"/>
      <c r="Y922" s="64"/>
      <c r="Z922" s="64"/>
      <c r="AA922" s="64"/>
      <c r="AB922" s="64"/>
      <c r="AC922" s="64"/>
      <c r="AD922" s="64"/>
      <c r="AE922" s="64"/>
      <c r="AF922" s="64"/>
      <c r="AG922" s="64"/>
    </row>
    <row r="923">
      <c r="A923" s="64"/>
      <c r="B923" s="64"/>
      <c r="C923" s="64"/>
      <c r="D923" s="64"/>
      <c r="E923" s="65"/>
      <c r="F923" s="64"/>
      <c r="G923" s="67"/>
      <c r="H923" s="64"/>
      <c r="I923" s="64"/>
      <c r="J923" s="64"/>
      <c r="K923" s="64"/>
      <c r="L923" s="65"/>
      <c r="M923" s="64"/>
      <c r="N923" s="64"/>
      <c r="O923" s="64"/>
      <c r="P923" s="64"/>
      <c r="Q923" s="64"/>
      <c r="R923" s="64"/>
      <c r="S923" s="64"/>
      <c r="T923" s="65"/>
      <c r="U923" s="64"/>
      <c r="V923" s="64"/>
      <c r="W923" s="64"/>
      <c r="X923" s="64"/>
      <c r="Y923" s="64"/>
      <c r="Z923" s="64"/>
      <c r="AA923" s="64"/>
      <c r="AB923" s="64"/>
      <c r="AC923" s="64"/>
      <c r="AD923" s="64"/>
      <c r="AE923" s="64"/>
      <c r="AF923" s="64"/>
      <c r="AG923" s="64"/>
    </row>
    <row r="924">
      <c r="A924" s="64"/>
      <c r="B924" s="64"/>
      <c r="C924" s="64"/>
      <c r="D924" s="64"/>
      <c r="E924" s="65"/>
      <c r="F924" s="64"/>
      <c r="G924" s="67"/>
      <c r="H924" s="64"/>
      <c r="I924" s="64"/>
      <c r="J924" s="64"/>
      <c r="K924" s="64"/>
      <c r="L924" s="65"/>
      <c r="M924" s="64"/>
      <c r="N924" s="64"/>
      <c r="O924" s="64"/>
      <c r="P924" s="64"/>
      <c r="Q924" s="64"/>
      <c r="R924" s="64"/>
      <c r="S924" s="64"/>
      <c r="T924" s="65"/>
      <c r="U924" s="64"/>
      <c r="V924" s="64"/>
      <c r="W924" s="64"/>
      <c r="X924" s="64"/>
      <c r="Y924" s="64"/>
      <c r="Z924" s="64"/>
      <c r="AA924" s="64"/>
      <c r="AB924" s="64"/>
      <c r="AC924" s="64"/>
      <c r="AD924" s="64"/>
      <c r="AE924" s="64"/>
      <c r="AF924" s="64"/>
      <c r="AG924" s="64"/>
    </row>
    <row r="925">
      <c r="A925" s="64"/>
      <c r="B925" s="64"/>
      <c r="C925" s="64"/>
      <c r="D925" s="64"/>
      <c r="E925" s="65"/>
      <c r="F925" s="64"/>
      <c r="G925" s="67"/>
      <c r="H925" s="64"/>
      <c r="I925" s="64"/>
      <c r="J925" s="64"/>
      <c r="K925" s="64"/>
      <c r="L925" s="65"/>
      <c r="M925" s="64"/>
      <c r="N925" s="64"/>
      <c r="O925" s="64"/>
      <c r="P925" s="64"/>
      <c r="Q925" s="64"/>
      <c r="R925" s="64"/>
      <c r="S925" s="64"/>
      <c r="T925" s="65"/>
      <c r="U925" s="64"/>
      <c r="V925" s="64"/>
      <c r="W925" s="64"/>
      <c r="X925" s="64"/>
      <c r="Y925" s="64"/>
      <c r="Z925" s="64"/>
      <c r="AA925" s="64"/>
      <c r="AB925" s="64"/>
      <c r="AC925" s="64"/>
      <c r="AD925" s="64"/>
      <c r="AE925" s="64"/>
      <c r="AF925" s="64"/>
      <c r="AG925" s="64"/>
    </row>
    <row r="926">
      <c r="A926" s="64"/>
      <c r="B926" s="64"/>
      <c r="C926" s="64"/>
      <c r="D926" s="64"/>
      <c r="E926" s="65"/>
      <c r="F926" s="64"/>
      <c r="G926" s="67"/>
      <c r="H926" s="64"/>
      <c r="I926" s="64"/>
      <c r="J926" s="64"/>
      <c r="K926" s="64"/>
      <c r="L926" s="65"/>
      <c r="M926" s="64"/>
      <c r="N926" s="64"/>
      <c r="O926" s="64"/>
      <c r="P926" s="64"/>
      <c r="Q926" s="64"/>
      <c r="R926" s="64"/>
      <c r="S926" s="64"/>
      <c r="T926" s="65"/>
      <c r="U926" s="64"/>
      <c r="V926" s="64"/>
      <c r="W926" s="64"/>
      <c r="X926" s="64"/>
      <c r="Y926" s="64"/>
      <c r="Z926" s="64"/>
      <c r="AA926" s="64"/>
      <c r="AB926" s="64"/>
      <c r="AC926" s="64"/>
      <c r="AD926" s="64"/>
      <c r="AE926" s="64"/>
      <c r="AF926" s="64"/>
      <c r="AG926" s="64"/>
    </row>
    <row r="927">
      <c r="A927" s="64"/>
      <c r="B927" s="64"/>
      <c r="C927" s="64"/>
      <c r="D927" s="64"/>
      <c r="E927" s="65"/>
      <c r="F927" s="64"/>
      <c r="G927" s="67"/>
      <c r="H927" s="64"/>
      <c r="I927" s="64"/>
      <c r="J927" s="64"/>
      <c r="K927" s="64"/>
      <c r="L927" s="65"/>
      <c r="M927" s="64"/>
      <c r="N927" s="64"/>
      <c r="O927" s="64"/>
      <c r="P927" s="64"/>
      <c r="Q927" s="64"/>
      <c r="R927" s="64"/>
      <c r="S927" s="64"/>
      <c r="T927" s="65"/>
      <c r="U927" s="64"/>
      <c r="V927" s="64"/>
      <c r="W927" s="64"/>
      <c r="X927" s="64"/>
      <c r="Y927" s="64"/>
      <c r="Z927" s="64"/>
      <c r="AA927" s="64"/>
      <c r="AB927" s="64"/>
      <c r="AC927" s="64"/>
      <c r="AD927" s="64"/>
      <c r="AE927" s="64"/>
      <c r="AF927" s="64"/>
      <c r="AG927" s="64"/>
    </row>
    <row r="928">
      <c r="A928" s="64"/>
      <c r="B928" s="64"/>
      <c r="C928" s="64"/>
      <c r="D928" s="64"/>
      <c r="E928" s="65"/>
      <c r="F928" s="64"/>
      <c r="G928" s="67"/>
      <c r="H928" s="64"/>
      <c r="I928" s="64"/>
      <c r="J928" s="64"/>
      <c r="K928" s="64"/>
      <c r="L928" s="65"/>
      <c r="M928" s="64"/>
      <c r="N928" s="64"/>
      <c r="O928" s="64"/>
      <c r="P928" s="64"/>
      <c r="Q928" s="64"/>
      <c r="R928" s="64"/>
      <c r="S928" s="64"/>
      <c r="T928" s="65"/>
      <c r="U928" s="64"/>
      <c r="V928" s="64"/>
      <c r="W928" s="64"/>
      <c r="X928" s="64"/>
      <c r="Y928" s="64"/>
      <c r="Z928" s="64"/>
      <c r="AA928" s="64"/>
      <c r="AB928" s="64"/>
      <c r="AC928" s="64"/>
      <c r="AD928" s="64"/>
      <c r="AE928" s="64"/>
      <c r="AF928" s="64"/>
      <c r="AG928" s="64"/>
    </row>
    <row r="929">
      <c r="A929" s="64"/>
      <c r="B929" s="64"/>
      <c r="C929" s="64"/>
      <c r="D929" s="64"/>
      <c r="E929" s="65"/>
      <c r="F929" s="64"/>
      <c r="G929" s="67"/>
      <c r="H929" s="64"/>
      <c r="I929" s="64"/>
      <c r="J929" s="64"/>
      <c r="K929" s="64"/>
      <c r="L929" s="65"/>
      <c r="M929" s="64"/>
      <c r="N929" s="64"/>
      <c r="O929" s="64"/>
      <c r="P929" s="64"/>
      <c r="Q929" s="64"/>
      <c r="R929" s="64"/>
      <c r="S929" s="64"/>
      <c r="T929" s="65"/>
      <c r="U929" s="64"/>
      <c r="V929" s="64"/>
      <c r="W929" s="64"/>
      <c r="X929" s="64"/>
      <c r="Y929" s="64"/>
      <c r="Z929" s="64"/>
      <c r="AA929" s="64"/>
      <c r="AB929" s="64"/>
      <c r="AC929" s="64"/>
      <c r="AD929" s="64"/>
      <c r="AE929" s="64"/>
      <c r="AF929" s="64"/>
      <c r="AG929" s="64"/>
    </row>
    <row r="930">
      <c r="A930" s="64"/>
      <c r="B930" s="64"/>
      <c r="C930" s="64"/>
      <c r="D930" s="64"/>
      <c r="E930" s="65"/>
      <c r="F930" s="64"/>
      <c r="G930" s="67"/>
      <c r="H930" s="64"/>
      <c r="I930" s="64"/>
      <c r="J930" s="64"/>
      <c r="K930" s="64"/>
      <c r="L930" s="65"/>
      <c r="M930" s="64"/>
      <c r="N930" s="64"/>
      <c r="O930" s="64"/>
      <c r="P930" s="64"/>
      <c r="Q930" s="64"/>
      <c r="R930" s="64"/>
      <c r="S930" s="64"/>
      <c r="T930" s="65"/>
      <c r="U930" s="64"/>
      <c r="V930" s="64"/>
      <c r="W930" s="64"/>
      <c r="X930" s="64"/>
      <c r="Y930" s="64"/>
      <c r="Z930" s="64"/>
      <c r="AA930" s="64"/>
      <c r="AB930" s="64"/>
      <c r="AC930" s="64"/>
      <c r="AD930" s="64"/>
      <c r="AE930" s="64"/>
      <c r="AF930" s="64"/>
      <c r="AG930" s="64"/>
    </row>
    <row r="931">
      <c r="A931" s="64"/>
      <c r="B931" s="64"/>
      <c r="C931" s="64"/>
      <c r="D931" s="64"/>
      <c r="E931" s="65"/>
      <c r="F931" s="64"/>
      <c r="G931" s="67"/>
      <c r="H931" s="64"/>
      <c r="I931" s="64"/>
      <c r="J931" s="64"/>
      <c r="K931" s="64"/>
      <c r="L931" s="65"/>
      <c r="M931" s="64"/>
      <c r="N931" s="64"/>
      <c r="O931" s="64"/>
      <c r="P931" s="64"/>
      <c r="Q931" s="64"/>
      <c r="R931" s="64"/>
      <c r="S931" s="64"/>
      <c r="T931" s="65"/>
      <c r="U931" s="64"/>
      <c r="V931" s="64"/>
      <c r="W931" s="64"/>
      <c r="X931" s="64"/>
      <c r="Y931" s="64"/>
      <c r="Z931" s="64"/>
      <c r="AA931" s="64"/>
      <c r="AB931" s="64"/>
      <c r="AC931" s="64"/>
      <c r="AD931" s="64"/>
      <c r="AE931" s="64"/>
      <c r="AF931" s="64"/>
      <c r="AG931" s="64"/>
    </row>
    <row r="932">
      <c r="A932" s="64"/>
      <c r="B932" s="64"/>
      <c r="C932" s="64"/>
      <c r="D932" s="64"/>
      <c r="E932" s="65"/>
      <c r="F932" s="64"/>
      <c r="G932" s="67"/>
      <c r="H932" s="64"/>
      <c r="I932" s="64"/>
      <c r="J932" s="64"/>
      <c r="K932" s="64"/>
      <c r="L932" s="65"/>
      <c r="M932" s="64"/>
      <c r="N932" s="64"/>
      <c r="O932" s="64"/>
      <c r="P932" s="64"/>
      <c r="Q932" s="64"/>
      <c r="R932" s="64"/>
      <c r="S932" s="64"/>
      <c r="T932" s="65"/>
      <c r="U932" s="64"/>
      <c r="V932" s="64"/>
      <c r="W932" s="64"/>
      <c r="X932" s="64"/>
      <c r="Y932" s="64"/>
      <c r="Z932" s="64"/>
      <c r="AA932" s="64"/>
      <c r="AB932" s="64"/>
      <c r="AC932" s="64"/>
      <c r="AD932" s="64"/>
      <c r="AE932" s="64"/>
      <c r="AF932" s="64"/>
      <c r="AG932" s="64"/>
    </row>
    <row r="933">
      <c r="A933" s="64"/>
      <c r="B933" s="64"/>
      <c r="C933" s="64"/>
      <c r="D933" s="64"/>
      <c r="E933" s="65"/>
      <c r="F933" s="64"/>
      <c r="G933" s="67"/>
      <c r="H933" s="64"/>
      <c r="I933" s="64"/>
      <c r="J933" s="64"/>
      <c r="K933" s="64"/>
      <c r="L933" s="65"/>
      <c r="M933" s="64"/>
      <c r="N933" s="64"/>
      <c r="O933" s="64"/>
      <c r="P933" s="64"/>
      <c r="Q933" s="64"/>
      <c r="R933" s="64"/>
      <c r="S933" s="64"/>
      <c r="T933" s="65"/>
      <c r="U933" s="64"/>
      <c r="V933" s="64"/>
      <c r="W933" s="64"/>
      <c r="X933" s="64"/>
      <c r="Y933" s="64"/>
      <c r="Z933" s="64"/>
      <c r="AA933" s="64"/>
      <c r="AB933" s="64"/>
      <c r="AC933" s="64"/>
      <c r="AD933" s="64"/>
      <c r="AE933" s="64"/>
      <c r="AF933" s="64"/>
      <c r="AG933" s="64"/>
    </row>
    <row r="934">
      <c r="A934" s="64"/>
      <c r="B934" s="64"/>
      <c r="C934" s="64"/>
      <c r="D934" s="64"/>
      <c r="E934" s="65"/>
      <c r="F934" s="64"/>
      <c r="G934" s="67"/>
      <c r="H934" s="64"/>
      <c r="I934" s="64"/>
      <c r="J934" s="64"/>
      <c r="K934" s="64"/>
      <c r="L934" s="65"/>
      <c r="M934" s="64"/>
      <c r="N934" s="64"/>
      <c r="O934" s="64"/>
      <c r="P934" s="64"/>
      <c r="Q934" s="64"/>
      <c r="R934" s="64"/>
      <c r="S934" s="64"/>
      <c r="T934" s="65"/>
      <c r="U934" s="64"/>
      <c r="V934" s="64"/>
      <c r="W934" s="64"/>
      <c r="X934" s="64"/>
      <c r="Y934" s="64"/>
      <c r="Z934" s="64"/>
      <c r="AA934" s="64"/>
      <c r="AB934" s="64"/>
      <c r="AC934" s="64"/>
      <c r="AD934" s="64"/>
      <c r="AE934" s="64"/>
      <c r="AF934" s="64"/>
      <c r="AG934" s="64"/>
    </row>
    <row r="935">
      <c r="A935" s="64"/>
      <c r="B935" s="64"/>
      <c r="C935" s="64"/>
      <c r="D935" s="64"/>
      <c r="E935" s="65"/>
      <c r="F935" s="64"/>
      <c r="G935" s="67"/>
      <c r="H935" s="64"/>
      <c r="I935" s="64"/>
      <c r="J935" s="64"/>
      <c r="K935" s="64"/>
      <c r="L935" s="65"/>
      <c r="M935" s="64"/>
      <c r="N935" s="64"/>
      <c r="O935" s="64"/>
      <c r="P935" s="64"/>
      <c r="Q935" s="64"/>
      <c r="R935" s="64"/>
      <c r="S935" s="64"/>
      <c r="T935" s="65"/>
      <c r="U935" s="64"/>
      <c r="V935" s="64"/>
      <c r="W935" s="64"/>
      <c r="X935" s="64"/>
      <c r="Y935" s="64"/>
      <c r="Z935" s="64"/>
      <c r="AA935" s="64"/>
      <c r="AB935" s="64"/>
      <c r="AC935" s="64"/>
      <c r="AD935" s="64"/>
      <c r="AE935" s="64"/>
      <c r="AF935" s="64"/>
      <c r="AG935" s="64"/>
    </row>
    <row r="936">
      <c r="A936" s="64"/>
      <c r="B936" s="64"/>
      <c r="C936" s="64"/>
      <c r="D936" s="64"/>
      <c r="E936" s="65"/>
      <c r="F936" s="64"/>
      <c r="G936" s="67"/>
      <c r="H936" s="64"/>
      <c r="I936" s="64"/>
      <c r="J936" s="64"/>
      <c r="K936" s="64"/>
      <c r="L936" s="65"/>
      <c r="M936" s="64"/>
      <c r="N936" s="64"/>
      <c r="O936" s="64"/>
      <c r="P936" s="64"/>
      <c r="Q936" s="64"/>
      <c r="R936" s="64"/>
      <c r="S936" s="64"/>
      <c r="T936" s="65"/>
      <c r="U936" s="64"/>
      <c r="V936" s="64"/>
      <c r="W936" s="64"/>
      <c r="X936" s="64"/>
      <c r="Y936" s="64"/>
      <c r="Z936" s="64"/>
      <c r="AA936" s="64"/>
      <c r="AB936" s="64"/>
      <c r="AC936" s="64"/>
      <c r="AD936" s="64"/>
      <c r="AE936" s="64"/>
      <c r="AF936" s="64"/>
      <c r="AG936" s="64"/>
    </row>
    <row r="937">
      <c r="A937" s="64"/>
      <c r="B937" s="64"/>
      <c r="C937" s="64"/>
      <c r="D937" s="64"/>
      <c r="E937" s="65"/>
      <c r="F937" s="64"/>
      <c r="G937" s="67"/>
      <c r="H937" s="64"/>
      <c r="I937" s="64"/>
      <c r="J937" s="64"/>
      <c r="K937" s="64"/>
      <c r="L937" s="65"/>
      <c r="M937" s="64"/>
      <c r="N937" s="64"/>
      <c r="O937" s="64"/>
      <c r="P937" s="64"/>
      <c r="Q937" s="64"/>
      <c r="R937" s="64"/>
      <c r="S937" s="64"/>
      <c r="T937" s="65"/>
      <c r="U937" s="64"/>
      <c r="V937" s="64"/>
      <c r="W937" s="64"/>
      <c r="X937" s="64"/>
      <c r="Y937" s="64"/>
      <c r="Z937" s="64"/>
      <c r="AA937" s="64"/>
      <c r="AB937" s="64"/>
      <c r="AC937" s="64"/>
      <c r="AD937" s="64"/>
      <c r="AE937" s="64"/>
      <c r="AF937" s="64"/>
      <c r="AG937" s="64"/>
    </row>
    <row r="938">
      <c r="A938" s="64"/>
      <c r="B938" s="64"/>
      <c r="C938" s="64"/>
      <c r="D938" s="64"/>
      <c r="E938" s="65"/>
      <c r="F938" s="64"/>
      <c r="G938" s="67"/>
      <c r="H938" s="64"/>
      <c r="I938" s="64"/>
      <c r="J938" s="64"/>
      <c r="K938" s="64"/>
      <c r="L938" s="65"/>
      <c r="M938" s="64"/>
      <c r="N938" s="64"/>
      <c r="O938" s="64"/>
      <c r="P938" s="64"/>
      <c r="Q938" s="64"/>
      <c r="R938" s="64"/>
      <c r="S938" s="64"/>
      <c r="T938" s="65"/>
      <c r="U938" s="64"/>
      <c r="V938" s="64"/>
      <c r="W938" s="64"/>
      <c r="X938" s="64"/>
      <c r="Y938" s="64"/>
      <c r="Z938" s="64"/>
      <c r="AA938" s="64"/>
      <c r="AB938" s="64"/>
      <c r="AC938" s="64"/>
      <c r="AD938" s="64"/>
      <c r="AE938" s="64"/>
      <c r="AF938" s="64"/>
      <c r="AG938" s="64"/>
    </row>
    <row r="939">
      <c r="A939" s="64"/>
      <c r="B939" s="64"/>
      <c r="C939" s="64"/>
      <c r="D939" s="64"/>
      <c r="E939" s="65"/>
      <c r="F939" s="64"/>
      <c r="G939" s="67"/>
      <c r="H939" s="64"/>
      <c r="I939" s="64"/>
      <c r="J939" s="64"/>
      <c r="K939" s="64"/>
      <c r="L939" s="65"/>
      <c r="M939" s="64"/>
      <c r="N939" s="64"/>
      <c r="O939" s="64"/>
      <c r="P939" s="64"/>
      <c r="Q939" s="64"/>
      <c r="R939" s="64"/>
      <c r="S939" s="64"/>
      <c r="T939" s="65"/>
      <c r="U939" s="64"/>
      <c r="V939" s="64"/>
      <c r="W939" s="64"/>
      <c r="X939" s="64"/>
      <c r="Y939" s="64"/>
      <c r="Z939" s="64"/>
      <c r="AA939" s="64"/>
      <c r="AB939" s="64"/>
      <c r="AC939" s="64"/>
      <c r="AD939" s="64"/>
      <c r="AE939" s="64"/>
      <c r="AF939" s="64"/>
      <c r="AG939" s="64"/>
    </row>
    <row r="940">
      <c r="A940" s="64"/>
      <c r="B940" s="64"/>
      <c r="C940" s="64"/>
      <c r="D940" s="64"/>
      <c r="E940" s="65"/>
      <c r="F940" s="64"/>
      <c r="G940" s="67"/>
      <c r="H940" s="64"/>
      <c r="I940" s="64"/>
      <c r="J940" s="64"/>
      <c r="K940" s="64"/>
      <c r="L940" s="65"/>
      <c r="M940" s="64"/>
      <c r="N940" s="64"/>
      <c r="O940" s="64"/>
      <c r="P940" s="64"/>
      <c r="Q940" s="64"/>
      <c r="R940" s="64"/>
      <c r="S940" s="64"/>
      <c r="T940" s="65"/>
      <c r="U940" s="64"/>
      <c r="V940" s="64"/>
      <c r="W940" s="64"/>
      <c r="X940" s="64"/>
      <c r="Y940" s="64"/>
      <c r="Z940" s="64"/>
      <c r="AA940" s="64"/>
      <c r="AB940" s="64"/>
      <c r="AC940" s="64"/>
      <c r="AD940" s="64"/>
      <c r="AE940" s="64"/>
      <c r="AF940" s="64"/>
      <c r="AG940" s="64"/>
    </row>
    <row r="941">
      <c r="A941" s="64"/>
      <c r="B941" s="64"/>
      <c r="C941" s="64"/>
      <c r="D941" s="64"/>
      <c r="E941" s="65"/>
      <c r="F941" s="64"/>
      <c r="G941" s="67"/>
      <c r="H941" s="64"/>
      <c r="I941" s="64"/>
      <c r="J941" s="64"/>
      <c r="K941" s="64"/>
      <c r="L941" s="65"/>
      <c r="M941" s="64"/>
      <c r="N941" s="64"/>
      <c r="O941" s="64"/>
      <c r="P941" s="64"/>
      <c r="Q941" s="64"/>
      <c r="R941" s="64"/>
      <c r="S941" s="64"/>
      <c r="T941" s="65"/>
      <c r="U941" s="64"/>
      <c r="V941" s="64"/>
      <c r="W941" s="64"/>
      <c r="X941" s="64"/>
      <c r="Y941" s="64"/>
      <c r="Z941" s="64"/>
      <c r="AA941" s="64"/>
      <c r="AB941" s="64"/>
      <c r="AC941" s="64"/>
      <c r="AD941" s="64"/>
      <c r="AE941" s="64"/>
      <c r="AF941" s="64"/>
      <c r="AG941" s="64"/>
    </row>
    <row r="942">
      <c r="A942" s="64"/>
      <c r="B942" s="64"/>
      <c r="C942" s="64"/>
      <c r="D942" s="64"/>
      <c r="E942" s="65"/>
      <c r="F942" s="64"/>
      <c r="G942" s="67"/>
      <c r="H942" s="64"/>
      <c r="I942" s="64"/>
      <c r="J942" s="64"/>
      <c r="K942" s="64"/>
      <c r="L942" s="65"/>
      <c r="M942" s="64"/>
      <c r="N942" s="64"/>
      <c r="O942" s="64"/>
      <c r="P942" s="64"/>
      <c r="Q942" s="64"/>
      <c r="R942" s="64"/>
      <c r="S942" s="64"/>
      <c r="T942" s="65"/>
      <c r="U942" s="64"/>
      <c r="V942" s="64"/>
      <c r="W942" s="64"/>
      <c r="X942" s="64"/>
      <c r="Y942" s="64"/>
      <c r="Z942" s="64"/>
      <c r="AA942" s="64"/>
      <c r="AB942" s="64"/>
      <c r="AC942" s="64"/>
      <c r="AD942" s="64"/>
      <c r="AE942" s="64"/>
      <c r="AF942" s="64"/>
      <c r="AG942" s="64"/>
    </row>
    <row r="943">
      <c r="A943" s="64"/>
      <c r="B943" s="64"/>
      <c r="C943" s="64"/>
      <c r="D943" s="64"/>
      <c r="E943" s="65"/>
      <c r="F943" s="64"/>
      <c r="G943" s="67"/>
      <c r="H943" s="64"/>
      <c r="I943" s="64"/>
      <c r="J943" s="64"/>
      <c r="K943" s="64"/>
      <c r="L943" s="65"/>
      <c r="M943" s="64"/>
      <c r="N943" s="64"/>
      <c r="O943" s="64"/>
      <c r="P943" s="64"/>
      <c r="Q943" s="64"/>
      <c r="R943" s="64"/>
      <c r="S943" s="64"/>
      <c r="T943" s="65"/>
      <c r="U943" s="64"/>
      <c r="V943" s="64"/>
      <c r="W943" s="64"/>
      <c r="X943" s="64"/>
      <c r="Y943" s="64"/>
      <c r="Z943" s="64"/>
      <c r="AA943" s="64"/>
      <c r="AB943" s="64"/>
      <c r="AC943" s="64"/>
      <c r="AD943" s="64"/>
      <c r="AE943" s="64"/>
      <c r="AF943" s="64"/>
      <c r="AG943" s="64"/>
    </row>
    <row r="944">
      <c r="A944" s="64"/>
      <c r="B944" s="64"/>
      <c r="C944" s="64"/>
      <c r="D944" s="64"/>
      <c r="E944" s="65"/>
      <c r="F944" s="64"/>
      <c r="G944" s="67"/>
      <c r="H944" s="64"/>
      <c r="I944" s="64"/>
      <c r="J944" s="64"/>
      <c r="K944" s="64"/>
      <c r="L944" s="65"/>
      <c r="M944" s="64"/>
      <c r="N944" s="64"/>
      <c r="O944" s="64"/>
      <c r="P944" s="64"/>
      <c r="Q944" s="64"/>
      <c r="R944" s="64"/>
      <c r="S944" s="64"/>
      <c r="T944" s="65"/>
      <c r="U944" s="64"/>
      <c r="V944" s="64"/>
      <c r="W944" s="64"/>
      <c r="X944" s="64"/>
      <c r="Y944" s="64"/>
      <c r="Z944" s="64"/>
      <c r="AA944" s="64"/>
      <c r="AB944" s="64"/>
      <c r="AC944" s="64"/>
      <c r="AD944" s="64"/>
      <c r="AE944" s="64"/>
      <c r="AF944" s="64"/>
      <c r="AG944" s="64"/>
    </row>
    <row r="945">
      <c r="A945" s="64"/>
      <c r="B945" s="64"/>
      <c r="C945" s="64"/>
      <c r="D945" s="64"/>
      <c r="E945" s="65"/>
      <c r="F945" s="64"/>
      <c r="G945" s="67"/>
      <c r="H945" s="64"/>
      <c r="I945" s="64"/>
      <c r="J945" s="64"/>
      <c r="K945" s="64"/>
      <c r="L945" s="65"/>
      <c r="M945" s="64"/>
      <c r="N945" s="64"/>
      <c r="O945" s="64"/>
      <c r="P945" s="64"/>
      <c r="Q945" s="64"/>
      <c r="R945" s="64"/>
      <c r="S945" s="64"/>
      <c r="T945" s="65"/>
      <c r="U945" s="64"/>
      <c r="V945" s="64"/>
      <c r="W945" s="64"/>
      <c r="X945" s="64"/>
      <c r="Y945" s="64"/>
      <c r="Z945" s="64"/>
      <c r="AA945" s="64"/>
      <c r="AB945" s="64"/>
      <c r="AC945" s="64"/>
      <c r="AD945" s="64"/>
      <c r="AE945" s="64"/>
      <c r="AF945" s="64"/>
      <c r="AG945" s="64"/>
    </row>
    <row r="946">
      <c r="A946" s="64"/>
      <c r="B946" s="64"/>
      <c r="C946" s="64"/>
      <c r="D946" s="64"/>
      <c r="E946" s="65"/>
      <c r="F946" s="64"/>
      <c r="G946" s="67"/>
      <c r="H946" s="64"/>
      <c r="I946" s="64"/>
      <c r="J946" s="64"/>
      <c r="K946" s="64"/>
      <c r="L946" s="65"/>
      <c r="M946" s="64"/>
      <c r="N946" s="64"/>
      <c r="O946" s="64"/>
      <c r="P946" s="64"/>
      <c r="Q946" s="64"/>
      <c r="R946" s="64"/>
      <c r="S946" s="64"/>
      <c r="T946" s="65"/>
      <c r="U946" s="64"/>
      <c r="V946" s="64"/>
      <c r="W946" s="64"/>
      <c r="X946" s="64"/>
      <c r="Y946" s="64"/>
      <c r="Z946" s="64"/>
      <c r="AA946" s="64"/>
      <c r="AB946" s="64"/>
      <c r="AC946" s="64"/>
      <c r="AD946" s="64"/>
      <c r="AE946" s="64"/>
      <c r="AF946" s="64"/>
      <c r="AG946" s="64"/>
    </row>
    <row r="947">
      <c r="A947" s="64"/>
      <c r="B947" s="64"/>
      <c r="C947" s="64"/>
      <c r="D947" s="64"/>
      <c r="E947" s="65"/>
      <c r="F947" s="64"/>
      <c r="G947" s="67"/>
      <c r="H947" s="64"/>
      <c r="I947" s="64"/>
      <c r="J947" s="64"/>
      <c r="K947" s="64"/>
      <c r="L947" s="65"/>
      <c r="M947" s="64"/>
      <c r="N947" s="64"/>
      <c r="O947" s="64"/>
      <c r="P947" s="64"/>
      <c r="Q947" s="64"/>
      <c r="R947" s="64"/>
      <c r="S947" s="64"/>
      <c r="T947" s="65"/>
      <c r="U947" s="64"/>
      <c r="V947" s="64"/>
      <c r="W947" s="64"/>
      <c r="X947" s="64"/>
      <c r="Y947" s="64"/>
      <c r="Z947" s="64"/>
      <c r="AA947" s="64"/>
      <c r="AB947" s="64"/>
      <c r="AC947" s="64"/>
      <c r="AD947" s="64"/>
      <c r="AE947" s="64"/>
      <c r="AF947" s="64"/>
      <c r="AG947" s="64"/>
    </row>
    <row r="948">
      <c r="A948" s="64"/>
      <c r="B948" s="64"/>
      <c r="C948" s="64"/>
      <c r="D948" s="64"/>
      <c r="E948" s="65"/>
      <c r="F948" s="64"/>
      <c r="G948" s="67"/>
      <c r="H948" s="64"/>
      <c r="I948" s="64"/>
      <c r="J948" s="64"/>
      <c r="K948" s="64"/>
      <c r="L948" s="65"/>
      <c r="M948" s="64"/>
      <c r="N948" s="64"/>
      <c r="O948" s="64"/>
      <c r="P948" s="64"/>
      <c r="Q948" s="64"/>
      <c r="R948" s="64"/>
      <c r="S948" s="64"/>
      <c r="T948" s="65"/>
      <c r="U948" s="64"/>
      <c r="V948" s="64"/>
      <c r="W948" s="64"/>
      <c r="X948" s="64"/>
      <c r="Y948" s="64"/>
      <c r="Z948" s="64"/>
      <c r="AA948" s="64"/>
      <c r="AB948" s="64"/>
      <c r="AC948" s="64"/>
      <c r="AD948" s="64"/>
      <c r="AE948" s="64"/>
      <c r="AF948" s="64"/>
      <c r="AG948" s="64"/>
    </row>
    <row r="949">
      <c r="A949" s="64"/>
      <c r="B949" s="64"/>
      <c r="C949" s="64"/>
      <c r="D949" s="64"/>
      <c r="E949" s="65"/>
      <c r="F949" s="64"/>
      <c r="G949" s="67"/>
      <c r="H949" s="64"/>
      <c r="I949" s="64"/>
      <c r="J949" s="64"/>
      <c r="K949" s="64"/>
      <c r="L949" s="65"/>
      <c r="M949" s="64"/>
      <c r="N949" s="64"/>
      <c r="O949" s="64"/>
      <c r="P949" s="64"/>
      <c r="Q949" s="64"/>
      <c r="R949" s="64"/>
      <c r="S949" s="64"/>
      <c r="T949" s="65"/>
      <c r="U949" s="64"/>
      <c r="V949" s="64"/>
      <c r="W949" s="64"/>
      <c r="X949" s="64"/>
      <c r="Y949" s="64"/>
      <c r="Z949" s="64"/>
      <c r="AA949" s="64"/>
      <c r="AB949" s="64"/>
      <c r="AC949" s="64"/>
      <c r="AD949" s="64"/>
      <c r="AE949" s="64"/>
      <c r="AF949" s="64"/>
      <c r="AG949" s="64"/>
    </row>
    <row r="950">
      <c r="A950" s="64"/>
      <c r="B950" s="64"/>
      <c r="C950" s="64"/>
      <c r="D950" s="64"/>
      <c r="E950" s="65"/>
      <c r="F950" s="64"/>
      <c r="G950" s="67"/>
      <c r="H950" s="64"/>
      <c r="I950" s="64"/>
      <c r="J950" s="64"/>
      <c r="K950" s="64"/>
      <c r="L950" s="65"/>
      <c r="M950" s="64"/>
      <c r="N950" s="64"/>
      <c r="O950" s="64"/>
      <c r="P950" s="64"/>
      <c r="Q950" s="64"/>
      <c r="R950" s="64"/>
      <c r="S950" s="64"/>
      <c r="T950" s="65"/>
      <c r="U950" s="64"/>
      <c r="V950" s="64"/>
      <c r="W950" s="64"/>
      <c r="X950" s="64"/>
      <c r="Y950" s="64"/>
      <c r="Z950" s="64"/>
      <c r="AA950" s="64"/>
      <c r="AB950" s="64"/>
      <c r="AC950" s="64"/>
      <c r="AD950" s="64"/>
      <c r="AE950" s="64"/>
      <c r="AF950" s="64"/>
      <c r="AG950" s="64"/>
    </row>
    <row r="951">
      <c r="A951" s="64"/>
      <c r="B951" s="64"/>
      <c r="C951" s="64"/>
      <c r="D951" s="64"/>
      <c r="E951" s="65"/>
      <c r="F951" s="64"/>
      <c r="G951" s="67"/>
      <c r="H951" s="64"/>
      <c r="I951" s="64"/>
      <c r="J951" s="64"/>
      <c r="K951" s="64"/>
      <c r="L951" s="65"/>
      <c r="M951" s="64"/>
      <c r="N951" s="64"/>
      <c r="O951" s="64"/>
      <c r="P951" s="64"/>
      <c r="Q951" s="64"/>
      <c r="R951" s="64"/>
      <c r="S951" s="64"/>
      <c r="T951" s="65"/>
      <c r="U951" s="64"/>
      <c r="V951" s="64"/>
      <c r="W951" s="64"/>
      <c r="X951" s="64"/>
      <c r="Y951" s="64"/>
      <c r="Z951" s="64"/>
      <c r="AA951" s="64"/>
      <c r="AB951" s="64"/>
      <c r="AC951" s="64"/>
      <c r="AD951" s="64"/>
      <c r="AE951" s="64"/>
      <c r="AF951" s="64"/>
      <c r="AG951" s="64"/>
    </row>
    <row r="952">
      <c r="A952" s="64"/>
      <c r="B952" s="64"/>
      <c r="C952" s="64"/>
      <c r="D952" s="64"/>
      <c r="E952" s="65"/>
      <c r="F952" s="64"/>
      <c r="G952" s="67"/>
      <c r="H952" s="64"/>
      <c r="I952" s="64"/>
      <c r="J952" s="64"/>
      <c r="K952" s="64"/>
      <c r="L952" s="65"/>
      <c r="M952" s="64"/>
      <c r="N952" s="64"/>
      <c r="O952" s="64"/>
      <c r="P952" s="64"/>
      <c r="Q952" s="64"/>
      <c r="R952" s="64"/>
      <c r="S952" s="64"/>
      <c r="T952" s="65"/>
      <c r="U952" s="64"/>
      <c r="V952" s="64"/>
      <c r="W952" s="64"/>
      <c r="X952" s="64"/>
      <c r="Y952" s="64"/>
      <c r="Z952" s="64"/>
      <c r="AA952" s="64"/>
      <c r="AB952" s="64"/>
      <c r="AC952" s="64"/>
      <c r="AD952" s="64"/>
      <c r="AE952" s="64"/>
      <c r="AF952" s="64"/>
      <c r="AG952" s="64"/>
    </row>
    <row r="953">
      <c r="A953" s="64"/>
      <c r="B953" s="64"/>
      <c r="C953" s="64"/>
      <c r="D953" s="64"/>
      <c r="E953" s="65"/>
      <c r="F953" s="64"/>
      <c r="G953" s="67"/>
      <c r="H953" s="64"/>
      <c r="I953" s="64"/>
      <c r="J953" s="64"/>
      <c r="K953" s="64"/>
      <c r="L953" s="65"/>
      <c r="M953" s="64"/>
      <c r="N953" s="64"/>
      <c r="O953" s="64"/>
      <c r="P953" s="64"/>
      <c r="Q953" s="64"/>
      <c r="R953" s="64"/>
      <c r="S953" s="64"/>
      <c r="T953" s="65"/>
      <c r="U953" s="64"/>
      <c r="V953" s="64"/>
      <c r="W953" s="64"/>
      <c r="X953" s="64"/>
      <c r="Y953" s="64"/>
      <c r="Z953" s="64"/>
      <c r="AA953" s="64"/>
      <c r="AB953" s="64"/>
      <c r="AC953" s="64"/>
      <c r="AD953" s="64"/>
      <c r="AE953" s="64"/>
      <c r="AF953" s="64"/>
      <c r="AG953" s="64"/>
    </row>
    <row r="954">
      <c r="A954" s="64"/>
      <c r="B954" s="64"/>
      <c r="C954" s="64"/>
      <c r="D954" s="64"/>
      <c r="E954" s="65"/>
      <c r="F954" s="64"/>
      <c r="G954" s="67"/>
      <c r="H954" s="64"/>
      <c r="I954" s="64"/>
      <c r="J954" s="64"/>
      <c r="K954" s="64"/>
      <c r="L954" s="65"/>
      <c r="M954" s="64"/>
      <c r="N954" s="64"/>
      <c r="O954" s="64"/>
      <c r="P954" s="64"/>
      <c r="Q954" s="64"/>
      <c r="R954" s="64"/>
      <c r="S954" s="64"/>
      <c r="T954" s="65"/>
      <c r="U954" s="64"/>
      <c r="V954" s="64"/>
      <c r="W954" s="64"/>
      <c r="X954" s="64"/>
      <c r="Y954" s="64"/>
      <c r="Z954" s="64"/>
      <c r="AA954" s="64"/>
      <c r="AB954" s="64"/>
      <c r="AC954" s="64"/>
      <c r="AD954" s="64"/>
      <c r="AE954" s="64"/>
      <c r="AF954" s="64"/>
      <c r="AG954" s="64"/>
    </row>
    <row r="955">
      <c r="A955" s="64"/>
      <c r="B955" s="64"/>
      <c r="C955" s="64"/>
      <c r="D955" s="64"/>
      <c r="E955" s="65"/>
      <c r="F955" s="64"/>
      <c r="G955" s="67"/>
      <c r="H955" s="64"/>
      <c r="I955" s="64"/>
      <c r="J955" s="64"/>
      <c r="K955" s="64"/>
      <c r="L955" s="65"/>
      <c r="M955" s="64"/>
      <c r="N955" s="64"/>
      <c r="O955" s="64"/>
      <c r="P955" s="64"/>
      <c r="Q955" s="64"/>
      <c r="R955" s="64"/>
      <c r="S955" s="64"/>
      <c r="T955" s="65"/>
      <c r="U955" s="64"/>
      <c r="V955" s="64"/>
      <c r="W955" s="64"/>
      <c r="X955" s="64"/>
      <c r="Y955" s="64"/>
      <c r="Z955" s="64"/>
      <c r="AA955" s="64"/>
      <c r="AB955" s="64"/>
      <c r="AC955" s="64"/>
      <c r="AD955" s="64"/>
      <c r="AE955" s="64"/>
      <c r="AF955" s="64"/>
      <c r="AG955" s="64"/>
    </row>
    <row r="956">
      <c r="A956" s="64"/>
      <c r="B956" s="64"/>
      <c r="C956" s="64"/>
      <c r="D956" s="64"/>
      <c r="E956" s="65"/>
      <c r="F956" s="64"/>
      <c r="G956" s="67"/>
      <c r="H956" s="64"/>
      <c r="I956" s="64"/>
      <c r="J956" s="64"/>
      <c r="K956" s="64"/>
      <c r="L956" s="65"/>
      <c r="M956" s="64"/>
      <c r="N956" s="64"/>
      <c r="O956" s="64"/>
      <c r="P956" s="64"/>
      <c r="Q956" s="64"/>
      <c r="R956" s="64"/>
      <c r="S956" s="64"/>
      <c r="T956" s="65"/>
      <c r="U956" s="64"/>
      <c r="V956" s="64"/>
      <c r="W956" s="64"/>
      <c r="X956" s="64"/>
      <c r="Y956" s="64"/>
      <c r="Z956" s="64"/>
      <c r="AA956" s="64"/>
      <c r="AB956" s="64"/>
      <c r="AC956" s="64"/>
      <c r="AD956" s="64"/>
      <c r="AE956" s="64"/>
      <c r="AF956" s="64"/>
      <c r="AG956" s="64"/>
    </row>
    <row r="957">
      <c r="A957" s="64"/>
      <c r="B957" s="64"/>
      <c r="C957" s="64"/>
      <c r="D957" s="64"/>
      <c r="E957" s="65"/>
      <c r="F957" s="64"/>
      <c r="G957" s="67"/>
      <c r="H957" s="64"/>
      <c r="I957" s="64"/>
      <c r="J957" s="64"/>
      <c r="K957" s="64"/>
      <c r="L957" s="65"/>
      <c r="M957" s="64"/>
      <c r="N957" s="64"/>
      <c r="O957" s="64"/>
      <c r="P957" s="64"/>
      <c r="Q957" s="64"/>
      <c r="R957" s="64"/>
      <c r="S957" s="64"/>
      <c r="T957" s="65"/>
      <c r="U957" s="64"/>
      <c r="V957" s="64"/>
      <c r="W957" s="64"/>
      <c r="X957" s="64"/>
      <c r="Y957" s="64"/>
      <c r="Z957" s="64"/>
      <c r="AA957" s="64"/>
      <c r="AB957" s="64"/>
      <c r="AC957" s="64"/>
      <c r="AD957" s="64"/>
      <c r="AE957" s="64"/>
      <c r="AF957" s="64"/>
      <c r="AG957" s="64"/>
    </row>
    <row r="958">
      <c r="A958" s="64"/>
      <c r="B958" s="64"/>
      <c r="C958" s="64"/>
      <c r="D958" s="64"/>
      <c r="E958" s="65"/>
      <c r="F958" s="64"/>
      <c r="G958" s="67"/>
      <c r="H958" s="64"/>
      <c r="I958" s="64"/>
      <c r="J958" s="64"/>
      <c r="K958" s="64"/>
      <c r="L958" s="65"/>
      <c r="M958" s="64"/>
      <c r="N958" s="64"/>
      <c r="O958" s="64"/>
      <c r="P958" s="64"/>
      <c r="Q958" s="64"/>
      <c r="R958" s="64"/>
      <c r="S958" s="64"/>
      <c r="T958" s="65"/>
      <c r="U958" s="64"/>
      <c r="V958" s="64"/>
      <c r="W958" s="64"/>
      <c r="X958" s="64"/>
      <c r="Y958" s="64"/>
      <c r="Z958" s="64"/>
      <c r="AA958" s="64"/>
      <c r="AB958" s="64"/>
      <c r="AC958" s="64"/>
      <c r="AD958" s="64"/>
      <c r="AE958" s="64"/>
      <c r="AF958" s="64"/>
      <c r="AG958" s="64"/>
    </row>
    <row r="959">
      <c r="A959" s="64"/>
      <c r="B959" s="64"/>
      <c r="C959" s="64"/>
      <c r="D959" s="64"/>
      <c r="E959" s="65"/>
      <c r="F959" s="64"/>
      <c r="G959" s="67"/>
      <c r="H959" s="64"/>
      <c r="I959" s="64"/>
      <c r="J959" s="64"/>
      <c r="K959" s="64"/>
      <c r="L959" s="65"/>
      <c r="M959" s="64"/>
      <c r="N959" s="64"/>
      <c r="O959" s="64"/>
      <c r="P959" s="64"/>
      <c r="Q959" s="64"/>
      <c r="R959" s="64"/>
      <c r="S959" s="64"/>
      <c r="T959" s="65"/>
      <c r="U959" s="64"/>
      <c r="V959" s="64"/>
      <c r="W959" s="64"/>
      <c r="X959" s="64"/>
      <c r="Y959" s="64"/>
      <c r="Z959" s="64"/>
      <c r="AA959" s="64"/>
      <c r="AB959" s="64"/>
      <c r="AC959" s="64"/>
      <c r="AD959" s="64"/>
      <c r="AE959" s="64"/>
      <c r="AF959" s="64"/>
      <c r="AG959" s="64"/>
    </row>
    <row r="960">
      <c r="A960" s="64"/>
      <c r="B960" s="64"/>
      <c r="C960" s="64"/>
      <c r="D960" s="64"/>
      <c r="E960" s="65"/>
      <c r="F960" s="64"/>
      <c r="G960" s="67"/>
      <c r="H960" s="64"/>
      <c r="I960" s="64"/>
      <c r="J960" s="64"/>
      <c r="K960" s="64"/>
      <c r="L960" s="65"/>
      <c r="M960" s="64"/>
      <c r="N960" s="64"/>
      <c r="O960" s="64"/>
      <c r="P960" s="64"/>
      <c r="Q960" s="64"/>
      <c r="R960" s="64"/>
      <c r="S960" s="64"/>
      <c r="T960" s="65"/>
      <c r="U960" s="64"/>
      <c r="V960" s="64"/>
      <c r="W960" s="64"/>
      <c r="X960" s="64"/>
      <c r="Y960" s="64"/>
      <c r="Z960" s="64"/>
      <c r="AA960" s="64"/>
      <c r="AB960" s="64"/>
      <c r="AC960" s="64"/>
      <c r="AD960" s="64"/>
      <c r="AE960" s="64"/>
      <c r="AF960" s="64"/>
      <c r="AG960" s="64"/>
    </row>
    <row r="961">
      <c r="A961" s="64"/>
      <c r="B961" s="64"/>
      <c r="C961" s="64"/>
      <c r="D961" s="64"/>
      <c r="E961" s="65"/>
      <c r="F961" s="64"/>
      <c r="G961" s="67"/>
      <c r="H961" s="64"/>
      <c r="I961" s="64"/>
      <c r="J961" s="64"/>
      <c r="K961" s="64"/>
      <c r="L961" s="65"/>
      <c r="M961" s="64"/>
      <c r="N961" s="64"/>
      <c r="O961" s="64"/>
      <c r="P961" s="64"/>
      <c r="Q961" s="64"/>
      <c r="R961" s="64"/>
      <c r="S961" s="64"/>
      <c r="T961" s="65"/>
      <c r="U961" s="64"/>
      <c r="V961" s="64"/>
      <c r="W961" s="64"/>
      <c r="X961" s="64"/>
      <c r="Y961" s="64"/>
      <c r="Z961" s="64"/>
      <c r="AA961" s="64"/>
      <c r="AB961" s="64"/>
      <c r="AC961" s="64"/>
      <c r="AD961" s="64"/>
      <c r="AE961" s="64"/>
      <c r="AF961" s="64"/>
      <c r="AG961" s="64"/>
    </row>
    <row r="962">
      <c r="A962" s="64"/>
      <c r="B962" s="64"/>
      <c r="C962" s="64"/>
      <c r="D962" s="64"/>
      <c r="E962" s="65"/>
      <c r="F962" s="64"/>
      <c r="G962" s="67"/>
      <c r="H962" s="64"/>
      <c r="I962" s="64"/>
      <c r="J962" s="64"/>
      <c r="K962" s="64"/>
      <c r="L962" s="65"/>
      <c r="M962" s="64"/>
      <c r="N962" s="64"/>
      <c r="O962" s="64"/>
      <c r="P962" s="64"/>
      <c r="Q962" s="64"/>
      <c r="R962" s="64"/>
      <c r="S962" s="64"/>
      <c r="T962" s="65"/>
      <c r="U962" s="64"/>
      <c r="V962" s="64"/>
      <c r="W962" s="64"/>
      <c r="X962" s="64"/>
      <c r="Y962" s="64"/>
      <c r="Z962" s="64"/>
      <c r="AA962" s="64"/>
      <c r="AB962" s="64"/>
      <c r="AC962" s="64"/>
      <c r="AD962" s="64"/>
      <c r="AE962" s="64"/>
      <c r="AF962" s="64"/>
      <c r="AG962" s="64"/>
    </row>
    <row r="963">
      <c r="A963" s="64"/>
      <c r="B963" s="64"/>
      <c r="C963" s="64"/>
      <c r="D963" s="64"/>
      <c r="E963" s="65"/>
      <c r="F963" s="64"/>
      <c r="G963" s="67"/>
      <c r="H963" s="64"/>
      <c r="I963" s="64"/>
      <c r="J963" s="64"/>
      <c r="K963" s="64"/>
      <c r="L963" s="65"/>
      <c r="M963" s="64"/>
      <c r="N963" s="64"/>
      <c r="O963" s="64"/>
      <c r="P963" s="64"/>
      <c r="Q963" s="64"/>
      <c r="R963" s="64"/>
      <c r="S963" s="64"/>
      <c r="T963" s="65"/>
      <c r="U963" s="64"/>
      <c r="V963" s="64"/>
      <c r="W963" s="64"/>
      <c r="X963" s="64"/>
      <c r="Y963" s="64"/>
      <c r="Z963" s="64"/>
      <c r="AA963" s="64"/>
      <c r="AB963" s="64"/>
      <c r="AC963" s="64"/>
      <c r="AD963" s="64"/>
      <c r="AE963" s="64"/>
      <c r="AF963" s="64"/>
      <c r="AG963" s="64"/>
    </row>
    <row r="964">
      <c r="A964" s="64"/>
      <c r="B964" s="64"/>
      <c r="C964" s="64"/>
      <c r="D964" s="64"/>
      <c r="E964" s="65"/>
      <c r="F964" s="64"/>
      <c r="G964" s="67"/>
      <c r="H964" s="64"/>
      <c r="I964" s="64"/>
      <c r="J964" s="64"/>
      <c r="K964" s="64"/>
      <c r="L964" s="65"/>
      <c r="M964" s="64"/>
      <c r="N964" s="64"/>
      <c r="O964" s="64"/>
      <c r="P964" s="64"/>
      <c r="Q964" s="64"/>
      <c r="R964" s="64"/>
      <c r="S964" s="64"/>
      <c r="T964" s="65"/>
      <c r="U964" s="64"/>
      <c r="V964" s="64"/>
      <c r="W964" s="64"/>
      <c r="X964" s="64"/>
      <c r="Y964" s="64"/>
      <c r="Z964" s="64"/>
      <c r="AA964" s="64"/>
      <c r="AB964" s="64"/>
      <c r="AC964" s="64"/>
      <c r="AD964" s="64"/>
      <c r="AE964" s="64"/>
      <c r="AF964" s="64"/>
      <c r="AG964" s="64"/>
    </row>
    <row r="965">
      <c r="A965" s="64"/>
      <c r="B965" s="64"/>
      <c r="C965" s="64"/>
      <c r="D965" s="64"/>
      <c r="E965" s="65"/>
      <c r="F965" s="64"/>
      <c r="G965" s="67"/>
      <c r="H965" s="64"/>
      <c r="I965" s="64"/>
      <c r="J965" s="64"/>
      <c r="K965" s="64"/>
      <c r="L965" s="65"/>
      <c r="M965" s="64"/>
      <c r="N965" s="64"/>
      <c r="O965" s="64"/>
      <c r="P965" s="64"/>
      <c r="Q965" s="64"/>
      <c r="R965" s="64"/>
      <c r="S965" s="64"/>
      <c r="T965" s="65"/>
      <c r="U965" s="64"/>
      <c r="V965" s="64"/>
      <c r="W965" s="64"/>
      <c r="X965" s="64"/>
      <c r="Y965" s="64"/>
      <c r="Z965" s="64"/>
      <c r="AA965" s="64"/>
      <c r="AB965" s="64"/>
      <c r="AC965" s="64"/>
      <c r="AD965" s="64"/>
      <c r="AE965" s="64"/>
      <c r="AF965" s="64"/>
      <c r="AG965" s="64"/>
    </row>
    <row r="966">
      <c r="A966" s="64"/>
      <c r="B966" s="64"/>
      <c r="C966" s="64"/>
      <c r="D966" s="64"/>
      <c r="E966" s="65"/>
      <c r="F966" s="64"/>
      <c r="G966" s="67"/>
      <c r="H966" s="64"/>
      <c r="I966" s="64"/>
      <c r="J966" s="64"/>
      <c r="K966" s="64"/>
      <c r="L966" s="65"/>
      <c r="M966" s="64"/>
      <c r="N966" s="64"/>
      <c r="O966" s="64"/>
      <c r="P966" s="64"/>
      <c r="Q966" s="64"/>
      <c r="R966" s="64"/>
      <c r="S966" s="64"/>
      <c r="T966" s="65"/>
      <c r="U966" s="64"/>
      <c r="V966" s="64"/>
      <c r="W966" s="64"/>
      <c r="X966" s="64"/>
      <c r="Y966" s="64"/>
      <c r="Z966" s="64"/>
      <c r="AA966" s="64"/>
      <c r="AB966" s="64"/>
      <c r="AC966" s="64"/>
      <c r="AD966" s="64"/>
      <c r="AE966" s="64"/>
      <c r="AF966" s="64"/>
      <c r="AG966" s="64"/>
    </row>
    <row r="967">
      <c r="A967" s="64"/>
      <c r="B967" s="64"/>
      <c r="C967" s="64"/>
      <c r="D967" s="64"/>
      <c r="E967" s="65"/>
      <c r="F967" s="64"/>
      <c r="G967" s="67"/>
      <c r="H967" s="64"/>
      <c r="I967" s="64"/>
      <c r="J967" s="64"/>
      <c r="K967" s="64"/>
      <c r="L967" s="65"/>
      <c r="M967" s="64"/>
      <c r="N967" s="64"/>
      <c r="O967" s="64"/>
      <c r="P967" s="64"/>
      <c r="Q967" s="64"/>
      <c r="R967" s="64"/>
      <c r="S967" s="64"/>
      <c r="T967" s="65"/>
      <c r="U967" s="64"/>
      <c r="V967" s="64"/>
      <c r="W967" s="64"/>
      <c r="X967" s="64"/>
      <c r="Y967" s="64"/>
      <c r="Z967" s="64"/>
      <c r="AA967" s="64"/>
      <c r="AB967" s="64"/>
      <c r="AC967" s="64"/>
      <c r="AD967" s="64"/>
      <c r="AE967" s="64"/>
      <c r="AF967" s="64"/>
      <c r="AG967" s="64"/>
    </row>
    <row r="968">
      <c r="A968" s="64"/>
      <c r="B968" s="64"/>
      <c r="C968" s="64"/>
      <c r="D968" s="64"/>
      <c r="E968" s="65"/>
      <c r="F968" s="64"/>
      <c r="G968" s="67"/>
      <c r="H968" s="64"/>
      <c r="I968" s="64"/>
      <c r="J968" s="64"/>
      <c r="K968" s="64"/>
      <c r="L968" s="65"/>
      <c r="M968" s="64"/>
      <c r="N968" s="64"/>
      <c r="O968" s="64"/>
      <c r="P968" s="64"/>
      <c r="Q968" s="64"/>
      <c r="R968" s="64"/>
      <c r="S968" s="64"/>
      <c r="T968" s="65"/>
      <c r="U968" s="64"/>
      <c r="V968" s="64"/>
      <c r="W968" s="64"/>
      <c r="X968" s="64"/>
      <c r="Y968" s="64"/>
      <c r="Z968" s="64"/>
      <c r="AA968" s="64"/>
      <c r="AB968" s="64"/>
      <c r="AC968" s="64"/>
      <c r="AD968" s="64"/>
      <c r="AE968" s="64"/>
      <c r="AF968" s="64"/>
      <c r="AG968" s="64"/>
    </row>
    <row r="969">
      <c r="A969" s="64"/>
      <c r="B969" s="64"/>
      <c r="C969" s="64"/>
      <c r="D969" s="64"/>
      <c r="E969" s="65"/>
      <c r="F969" s="64"/>
      <c r="G969" s="67"/>
      <c r="H969" s="64"/>
      <c r="I969" s="64"/>
      <c r="J969" s="64"/>
      <c r="K969" s="64"/>
      <c r="L969" s="65"/>
      <c r="M969" s="64"/>
      <c r="N969" s="64"/>
      <c r="O969" s="64"/>
      <c r="P969" s="64"/>
      <c r="Q969" s="64"/>
      <c r="R969" s="64"/>
      <c r="S969" s="64"/>
      <c r="T969" s="65"/>
      <c r="U969" s="64"/>
      <c r="V969" s="64"/>
      <c r="W969" s="64"/>
      <c r="X969" s="64"/>
      <c r="Y969" s="64"/>
      <c r="Z969" s="64"/>
      <c r="AA969" s="64"/>
      <c r="AB969" s="64"/>
      <c r="AC969" s="64"/>
      <c r="AD969" s="64"/>
      <c r="AE969" s="64"/>
      <c r="AF969" s="64"/>
      <c r="AG969" s="64"/>
    </row>
    <row r="970">
      <c r="A970" s="64"/>
      <c r="B970" s="64"/>
      <c r="C970" s="64"/>
      <c r="D970" s="64"/>
      <c r="E970" s="65"/>
      <c r="F970" s="64"/>
      <c r="G970" s="67"/>
      <c r="H970" s="64"/>
      <c r="I970" s="64"/>
      <c r="J970" s="64"/>
      <c r="K970" s="64"/>
      <c r="L970" s="65"/>
      <c r="M970" s="64"/>
      <c r="N970" s="64"/>
      <c r="O970" s="64"/>
      <c r="P970" s="64"/>
      <c r="Q970" s="64"/>
      <c r="R970" s="64"/>
      <c r="S970" s="64"/>
      <c r="T970" s="65"/>
      <c r="U970" s="64"/>
      <c r="V970" s="64"/>
      <c r="W970" s="64"/>
      <c r="X970" s="64"/>
      <c r="Y970" s="64"/>
      <c r="Z970" s="64"/>
      <c r="AA970" s="64"/>
      <c r="AB970" s="64"/>
      <c r="AC970" s="64"/>
      <c r="AD970" s="64"/>
      <c r="AE970" s="64"/>
      <c r="AF970" s="64"/>
      <c r="AG970" s="64"/>
    </row>
    <row r="971">
      <c r="A971" s="64"/>
      <c r="B971" s="64"/>
      <c r="C971" s="64"/>
      <c r="D971" s="64"/>
      <c r="E971" s="65"/>
      <c r="F971" s="64"/>
      <c r="G971" s="67"/>
      <c r="H971" s="64"/>
      <c r="I971" s="64"/>
      <c r="J971" s="64"/>
      <c r="K971" s="64"/>
      <c r="L971" s="65"/>
      <c r="M971" s="64"/>
      <c r="N971" s="64"/>
      <c r="O971" s="64"/>
      <c r="P971" s="64"/>
      <c r="Q971" s="64"/>
      <c r="R971" s="64"/>
      <c r="S971" s="64"/>
      <c r="T971" s="65"/>
      <c r="U971" s="64"/>
      <c r="V971" s="64"/>
      <c r="W971" s="64"/>
      <c r="X971" s="64"/>
      <c r="Y971" s="64"/>
      <c r="Z971" s="64"/>
      <c r="AA971" s="64"/>
      <c r="AB971" s="64"/>
      <c r="AC971" s="64"/>
      <c r="AD971" s="64"/>
      <c r="AE971" s="64"/>
      <c r="AF971" s="64"/>
      <c r="AG971" s="64"/>
    </row>
    <row r="972">
      <c r="A972" s="64"/>
      <c r="B972" s="64"/>
      <c r="C972" s="64"/>
      <c r="D972" s="64"/>
      <c r="E972" s="65"/>
      <c r="F972" s="64"/>
      <c r="G972" s="67"/>
      <c r="H972" s="64"/>
      <c r="I972" s="64"/>
      <c r="J972" s="64"/>
      <c r="K972" s="64"/>
      <c r="L972" s="65"/>
      <c r="M972" s="64"/>
      <c r="N972" s="64"/>
      <c r="O972" s="64"/>
      <c r="P972" s="64"/>
      <c r="Q972" s="64"/>
      <c r="R972" s="64"/>
      <c r="S972" s="64"/>
      <c r="T972" s="65"/>
      <c r="U972" s="64"/>
      <c r="V972" s="64"/>
      <c r="W972" s="64"/>
      <c r="X972" s="64"/>
      <c r="Y972" s="64"/>
      <c r="Z972" s="64"/>
      <c r="AA972" s="64"/>
      <c r="AB972" s="64"/>
      <c r="AC972" s="64"/>
      <c r="AD972" s="64"/>
      <c r="AE972" s="64"/>
      <c r="AF972" s="64"/>
      <c r="AG972" s="64"/>
    </row>
    <row r="973">
      <c r="A973" s="64"/>
      <c r="B973" s="64"/>
      <c r="C973" s="64"/>
      <c r="D973" s="64"/>
      <c r="E973" s="65"/>
      <c r="F973" s="64"/>
      <c r="G973" s="67"/>
      <c r="H973" s="64"/>
      <c r="I973" s="64"/>
      <c r="J973" s="64"/>
      <c r="K973" s="64"/>
      <c r="L973" s="65"/>
      <c r="M973" s="64"/>
      <c r="N973" s="64"/>
      <c r="O973" s="64"/>
      <c r="P973" s="64"/>
      <c r="Q973" s="64"/>
      <c r="R973" s="64"/>
      <c r="S973" s="64"/>
      <c r="T973" s="65"/>
      <c r="U973" s="64"/>
      <c r="V973" s="64"/>
      <c r="W973" s="64"/>
      <c r="X973" s="64"/>
      <c r="Y973" s="64"/>
      <c r="Z973" s="64"/>
      <c r="AA973" s="64"/>
      <c r="AB973" s="64"/>
      <c r="AC973" s="64"/>
      <c r="AD973" s="64"/>
      <c r="AE973" s="64"/>
      <c r="AF973" s="64"/>
      <c r="AG973" s="64"/>
    </row>
    <row r="974">
      <c r="A974" s="64"/>
      <c r="B974" s="64"/>
      <c r="C974" s="64"/>
      <c r="D974" s="64"/>
      <c r="E974" s="65"/>
      <c r="F974" s="64"/>
      <c r="G974" s="67"/>
      <c r="H974" s="64"/>
      <c r="I974" s="64"/>
      <c r="J974" s="64"/>
      <c r="K974" s="64"/>
      <c r="L974" s="65"/>
      <c r="M974" s="64"/>
      <c r="N974" s="64"/>
      <c r="O974" s="64"/>
      <c r="P974" s="64"/>
      <c r="Q974" s="64"/>
      <c r="R974" s="64"/>
      <c r="S974" s="64"/>
      <c r="T974" s="65"/>
      <c r="U974" s="64"/>
      <c r="V974" s="64"/>
      <c r="W974" s="64"/>
      <c r="X974" s="64"/>
      <c r="Y974" s="64"/>
      <c r="Z974" s="64"/>
      <c r="AA974" s="64"/>
      <c r="AB974" s="64"/>
      <c r="AC974" s="64"/>
      <c r="AD974" s="64"/>
      <c r="AE974" s="64"/>
      <c r="AF974" s="64"/>
      <c r="AG974" s="64"/>
    </row>
    <row r="975">
      <c r="A975" s="64"/>
      <c r="B975" s="64"/>
      <c r="C975" s="64"/>
      <c r="D975" s="64"/>
      <c r="E975" s="65"/>
      <c r="F975" s="64"/>
      <c r="G975" s="67"/>
      <c r="H975" s="64"/>
      <c r="I975" s="64"/>
      <c r="J975" s="64"/>
      <c r="K975" s="64"/>
      <c r="L975" s="65"/>
      <c r="M975" s="64"/>
      <c r="N975" s="64"/>
      <c r="O975" s="64"/>
      <c r="P975" s="64"/>
      <c r="Q975" s="64"/>
      <c r="R975" s="64"/>
      <c r="S975" s="64"/>
      <c r="T975" s="65"/>
      <c r="U975" s="64"/>
      <c r="V975" s="64"/>
      <c r="W975" s="64"/>
      <c r="X975" s="64"/>
      <c r="Y975" s="64"/>
      <c r="Z975" s="64"/>
      <c r="AA975" s="64"/>
      <c r="AB975" s="64"/>
      <c r="AC975" s="64"/>
      <c r="AD975" s="64"/>
      <c r="AE975" s="64"/>
      <c r="AF975" s="64"/>
      <c r="AG975" s="64"/>
    </row>
    <row r="976">
      <c r="A976" s="64"/>
      <c r="B976" s="64"/>
      <c r="C976" s="64"/>
      <c r="D976" s="64"/>
      <c r="E976" s="65"/>
      <c r="F976" s="64"/>
      <c r="G976" s="67"/>
      <c r="H976" s="64"/>
      <c r="I976" s="64"/>
      <c r="J976" s="64"/>
      <c r="K976" s="64"/>
      <c r="L976" s="65"/>
      <c r="M976" s="64"/>
      <c r="N976" s="64"/>
      <c r="O976" s="64"/>
      <c r="P976" s="64"/>
      <c r="Q976" s="64"/>
      <c r="R976" s="64"/>
      <c r="S976" s="64"/>
      <c r="T976" s="65"/>
      <c r="U976" s="64"/>
      <c r="V976" s="64"/>
      <c r="W976" s="64"/>
      <c r="X976" s="64"/>
      <c r="Y976" s="64"/>
      <c r="Z976" s="64"/>
      <c r="AA976" s="64"/>
      <c r="AB976" s="64"/>
      <c r="AC976" s="64"/>
      <c r="AD976" s="64"/>
      <c r="AE976" s="64"/>
      <c r="AF976" s="64"/>
      <c r="AG976" s="64"/>
    </row>
    <row r="977">
      <c r="A977" s="64"/>
      <c r="B977" s="64"/>
      <c r="C977" s="64"/>
      <c r="D977" s="64"/>
      <c r="E977" s="65"/>
      <c r="F977" s="64"/>
      <c r="G977" s="67"/>
      <c r="H977" s="64"/>
      <c r="I977" s="64"/>
      <c r="J977" s="64"/>
      <c r="K977" s="64"/>
      <c r="L977" s="65"/>
      <c r="M977" s="64"/>
      <c r="N977" s="64"/>
      <c r="O977" s="64"/>
      <c r="P977" s="64"/>
      <c r="Q977" s="64"/>
      <c r="R977" s="64"/>
      <c r="S977" s="64"/>
      <c r="T977" s="65"/>
      <c r="U977" s="64"/>
      <c r="V977" s="64"/>
      <c r="W977" s="64"/>
      <c r="X977" s="64"/>
      <c r="Y977" s="64"/>
      <c r="Z977" s="64"/>
      <c r="AA977" s="64"/>
      <c r="AB977" s="64"/>
      <c r="AC977" s="64"/>
      <c r="AD977" s="64"/>
      <c r="AE977" s="64"/>
      <c r="AF977" s="64"/>
      <c r="AG977" s="64"/>
    </row>
    <row r="978">
      <c r="A978" s="64"/>
      <c r="B978" s="64"/>
      <c r="C978" s="64"/>
      <c r="D978" s="64"/>
      <c r="E978" s="65"/>
      <c r="F978" s="64"/>
      <c r="G978" s="67"/>
      <c r="H978" s="64"/>
      <c r="I978" s="64"/>
      <c r="J978" s="64"/>
      <c r="K978" s="64"/>
      <c r="L978" s="65"/>
      <c r="M978" s="64"/>
      <c r="N978" s="64"/>
      <c r="O978" s="64"/>
      <c r="P978" s="64"/>
      <c r="Q978" s="64"/>
      <c r="R978" s="64"/>
      <c r="S978" s="64"/>
      <c r="T978" s="65"/>
      <c r="U978" s="64"/>
      <c r="V978" s="64"/>
      <c r="W978" s="64"/>
      <c r="X978" s="64"/>
      <c r="Y978" s="64"/>
      <c r="Z978" s="64"/>
      <c r="AA978" s="64"/>
      <c r="AB978" s="64"/>
      <c r="AC978" s="64"/>
      <c r="AD978" s="64"/>
      <c r="AE978" s="64"/>
      <c r="AF978" s="64"/>
      <c r="AG978" s="64"/>
    </row>
    <row r="979">
      <c r="A979" s="64"/>
      <c r="B979" s="64"/>
      <c r="C979" s="64"/>
      <c r="D979" s="64"/>
      <c r="E979" s="65"/>
      <c r="F979" s="64"/>
      <c r="G979" s="67"/>
      <c r="H979" s="64"/>
      <c r="I979" s="64"/>
      <c r="J979" s="64"/>
      <c r="K979" s="64"/>
      <c r="L979" s="65"/>
      <c r="M979" s="64"/>
      <c r="N979" s="64"/>
      <c r="O979" s="64"/>
      <c r="P979" s="64"/>
      <c r="Q979" s="64"/>
      <c r="R979" s="64"/>
      <c r="S979" s="64"/>
      <c r="T979" s="65"/>
      <c r="U979" s="64"/>
      <c r="V979" s="64"/>
      <c r="W979" s="64"/>
      <c r="X979" s="64"/>
      <c r="Y979" s="64"/>
      <c r="Z979" s="64"/>
      <c r="AA979" s="64"/>
      <c r="AB979" s="64"/>
      <c r="AC979" s="64"/>
      <c r="AD979" s="64"/>
      <c r="AE979" s="64"/>
      <c r="AF979" s="64"/>
      <c r="AG979" s="64"/>
    </row>
    <row r="980">
      <c r="A980" s="64"/>
      <c r="B980" s="64"/>
      <c r="C980" s="64"/>
      <c r="D980" s="64"/>
      <c r="E980" s="65"/>
      <c r="F980" s="64"/>
      <c r="G980" s="67"/>
      <c r="H980" s="64"/>
      <c r="I980" s="64"/>
      <c r="J980" s="64"/>
      <c r="K980" s="64"/>
      <c r="L980" s="65"/>
      <c r="M980" s="64"/>
      <c r="N980" s="64"/>
      <c r="O980" s="64"/>
      <c r="P980" s="64"/>
      <c r="Q980" s="64"/>
      <c r="R980" s="64"/>
      <c r="S980" s="64"/>
      <c r="T980" s="65"/>
      <c r="U980" s="64"/>
      <c r="V980" s="64"/>
      <c r="W980" s="64"/>
      <c r="X980" s="64"/>
      <c r="Y980" s="64"/>
      <c r="Z980" s="64"/>
      <c r="AA980" s="64"/>
      <c r="AB980" s="64"/>
      <c r="AC980" s="64"/>
      <c r="AD980" s="64"/>
      <c r="AE980" s="64"/>
      <c r="AF980" s="64"/>
      <c r="AG980" s="64"/>
    </row>
    <row r="981">
      <c r="A981" s="64"/>
      <c r="B981" s="64"/>
      <c r="C981" s="64"/>
      <c r="D981" s="64"/>
      <c r="E981" s="65"/>
      <c r="F981" s="64"/>
      <c r="G981" s="67"/>
      <c r="H981" s="64"/>
      <c r="I981" s="64"/>
      <c r="J981" s="64"/>
      <c r="K981" s="64"/>
      <c r="L981" s="65"/>
      <c r="M981" s="64"/>
      <c r="N981" s="64"/>
      <c r="O981" s="64"/>
      <c r="P981" s="64"/>
      <c r="Q981" s="64"/>
      <c r="R981" s="64"/>
      <c r="S981" s="64"/>
      <c r="T981" s="65"/>
      <c r="U981" s="64"/>
      <c r="V981" s="64"/>
      <c r="W981" s="64"/>
      <c r="X981" s="64"/>
      <c r="Y981" s="64"/>
      <c r="Z981" s="64"/>
      <c r="AA981" s="64"/>
      <c r="AB981" s="64"/>
      <c r="AC981" s="64"/>
      <c r="AD981" s="64"/>
      <c r="AE981" s="64"/>
      <c r="AF981" s="64"/>
      <c r="AG981" s="64"/>
    </row>
    <row r="982">
      <c r="A982" s="64"/>
      <c r="B982" s="64"/>
      <c r="C982" s="64"/>
      <c r="D982" s="64"/>
      <c r="E982" s="65"/>
      <c r="F982" s="64"/>
      <c r="G982" s="67"/>
      <c r="H982" s="64"/>
      <c r="I982" s="64"/>
      <c r="J982" s="64"/>
      <c r="K982" s="64"/>
      <c r="L982" s="65"/>
      <c r="M982" s="64"/>
      <c r="N982" s="64"/>
      <c r="O982" s="64"/>
      <c r="P982" s="64"/>
      <c r="Q982" s="64"/>
      <c r="R982" s="64"/>
      <c r="S982" s="64"/>
      <c r="T982" s="65"/>
      <c r="U982" s="64"/>
      <c r="V982" s="64"/>
      <c r="W982" s="64"/>
      <c r="X982" s="64"/>
      <c r="Y982" s="64"/>
      <c r="Z982" s="64"/>
      <c r="AA982" s="64"/>
      <c r="AB982" s="64"/>
      <c r="AC982" s="64"/>
      <c r="AD982" s="64"/>
      <c r="AE982" s="64"/>
      <c r="AF982" s="64"/>
      <c r="AG982" s="64"/>
    </row>
    <row r="983">
      <c r="A983" s="64"/>
      <c r="B983" s="64"/>
      <c r="C983" s="64"/>
      <c r="D983" s="64"/>
      <c r="E983" s="65"/>
      <c r="F983" s="64"/>
      <c r="G983" s="67"/>
      <c r="H983" s="64"/>
      <c r="I983" s="64"/>
      <c r="J983" s="64"/>
      <c r="K983" s="64"/>
      <c r="L983" s="65"/>
      <c r="M983" s="64"/>
      <c r="N983" s="64"/>
      <c r="O983" s="64"/>
      <c r="P983" s="64"/>
      <c r="Q983" s="64"/>
      <c r="R983" s="64"/>
      <c r="S983" s="64"/>
      <c r="T983" s="65"/>
      <c r="U983" s="64"/>
      <c r="V983" s="64"/>
      <c r="W983" s="64"/>
      <c r="X983" s="64"/>
      <c r="Y983" s="64"/>
      <c r="Z983" s="64"/>
      <c r="AA983" s="64"/>
      <c r="AB983" s="64"/>
      <c r="AC983" s="64"/>
      <c r="AD983" s="64"/>
      <c r="AE983" s="64"/>
      <c r="AF983" s="64"/>
      <c r="AG983" s="64"/>
    </row>
    <row r="984">
      <c r="A984" s="64"/>
      <c r="B984" s="64"/>
      <c r="C984" s="64"/>
      <c r="D984" s="64"/>
      <c r="E984" s="65"/>
      <c r="F984" s="64"/>
      <c r="G984" s="67"/>
      <c r="H984" s="64"/>
      <c r="I984" s="64"/>
      <c r="J984" s="64"/>
      <c r="K984" s="64"/>
      <c r="L984" s="65"/>
      <c r="M984" s="64"/>
      <c r="N984" s="64"/>
      <c r="O984" s="64"/>
      <c r="P984" s="64"/>
      <c r="Q984" s="64"/>
      <c r="R984" s="64"/>
      <c r="S984" s="64"/>
      <c r="T984" s="65"/>
      <c r="U984" s="64"/>
      <c r="V984" s="64"/>
      <c r="W984" s="64"/>
      <c r="X984" s="64"/>
      <c r="Y984" s="64"/>
      <c r="Z984" s="64"/>
      <c r="AA984" s="64"/>
      <c r="AB984" s="64"/>
      <c r="AC984" s="64"/>
      <c r="AD984" s="64"/>
      <c r="AE984" s="64"/>
      <c r="AF984" s="64"/>
      <c r="AG984" s="64"/>
    </row>
    <row r="985">
      <c r="A985" s="64"/>
      <c r="B985" s="64"/>
      <c r="C985" s="64"/>
      <c r="D985" s="64"/>
      <c r="E985" s="65"/>
      <c r="F985" s="64"/>
      <c r="G985" s="67"/>
      <c r="H985" s="64"/>
      <c r="I985" s="64"/>
      <c r="J985" s="64"/>
      <c r="K985" s="64"/>
      <c r="L985" s="65"/>
      <c r="M985" s="64"/>
      <c r="N985" s="64"/>
      <c r="O985" s="64"/>
      <c r="P985" s="64"/>
      <c r="Q985" s="64"/>
      <c r="R985" s="64"/>
      <c r="S985" s="64"/>
      <c r="T985" s="65"/>
      <c r="U985" s="64"/>
      <c r="V985" s="64"/>
      <c r="W985" s="64"/>
      <c r="X985" s="64"/>
      <c r="Y985" s="64"/>
      <c r="Z985" s="64"/>
      <c r="AA985" s="64"/>
      <c r="AB985" s="64"/>
      <c r="AC985" s="64"/>
      <c r="AD985" s="64"/>
      <c r="AE985" s="64"/>
      <c r="AF985" s="64"/>
      <c r="AG985" s="64"/>
    </row>
    <row r="986">
      <c r="A986" s="64"/>
      <c r="B986" s="64"/>
      <c r="C986" s="64"/>
      <c r="D986" s="64"/>
      <c r="E986" s="65"/>
      <c r="F986" s="64"/>
      <c r="G986" s="67"/>
      <c r="H986" s="64"/>
      <c r="I986" s="64"/>
      <c r="J986" s="64"/>
      <c r="K986" s="64"/>
      <c r="L986" s="65"/>
      <c r="M986" s="64"/>
      <c r="N986" s="64"/>
      <c r="O986" s="64"/>
      <c r="P986" s="64"/>
      <c r="Q986" s="64"/>
      <c r="R986" s="64"/>
      <c r="S986" s="64"/>
      <c r="T986" s="65"/>
      <c r="U986" s="64"/>
      <c r="V986" s="64"/>
      <c r="W986" s="64"/>
      <c r="X986" s="64"/>
      <c r="Y986" s="64"/>
      <c r="Z986" s="64"/>
      <c r="AA986" s="64"/>
      <c r="AB986" s="64"/>
      <c r="AC986" s="64"/>
      <c r="AD986" s="64"/>
      <c r="AE986" s="64"/>
      <c r="AF986" s="64"/>
      <c r="AG986" s="64"/>
    </row>
    <row r="987">
      <c r="A987" s="64"/>
      <c r="B987" s="64"/>
      <c r="C987" s="64"/>
      <c r="D987" s="64"/>
      <c r="E987" s="65"/>
      <c r="F987" s="64"/>
      <c r="G987" s="67"/>
      <c r="H987" s="64"/>
      <c r="I987" s="64"/>
      <c r="J987" s="64"/>
      <c r="K987" s="64"/>
      <c r="L987" s="65"/>
      <c r="M987" s="64"/>
      <c r="N987" s="64"/>
      <c r="O987" s="64"/>
      <c r="P987" s="64"/>
      <c r="Q987" s="64"/>
      <c r="R987" s="64"/>
      <c r="S987" s="64"/>
      <c r="T987" s="65"/>
      <c r="U987" s="64"/>
      <c r="V987" s="64"/>
      <c r="W987" s="64"/>
      <c r="X987" s="64"/>
      <c r="Y987" s="64"/>
      <c r="Z987" s="64"/>
      <c r="AA987" s="64"/>
      <c r="AB987" s="64"/>
      <c r="AC987" s="64"/>
      <c r="AD987" s="64"/>
      <c r="AE987" s="64"/>
      <c r="AF987" s="64"/>
      <c r="AG987" s="64"/>
    </row>
    <row r="988">
      <c r="A988" s="64"/>
      <c r="B988" s="64"/>
      <c r="C988" s="64"/>
      <c r="D988" s="64"/>
      <c r="E988" s="65"/>
      <c r="F988" s="64"/>
      <c r="G988" s="67"/>
      <c r="H988" s="64"/>
      <c r="I988" s="64"/>
      <c r="J988" s="64"/>
      <c r="K988" s="64"/>
      <c r="L988" s="65"/>
      <c r="M988" s="64"/>
      <c r="N988" s="64"/>
      <c r="O988" s="64"/>
      <c r="P988" s="64"/>
      <c r="Q988" s="64"/>
      <c r="R988" s="64"/>
      <c r="S988" s="64"/>
      <c r="T988" s="65"/>
      <c r="U988" s="64"/>
      <c r="V988" s="64"/>
      <c r="W988" s="64"/>
      <c r="X988" s="64"/>
      <c r="Y988" s="64"/>
      <c r="Z988" s="64"/>
      <c r="AA988" s="64"/>
      <c r="AB988" s="64"/>
      <c r="AC988" s="64"/>
      <c r="AD988" s="64"/>
      <c r="AE988" s="64"/>
      <c r="AF988" s="64"/>
      <c r="AG988" s="64"/>
    </row>
    <row r="989">
      <c r="A989" s="64"/>
      <c r="B989" s="64"/>
      <c r="C989" s="64"/>
      <c r="D989" s="64"/>
      <c r="E989" s="65"/>
      <c r="F989" s="64"/>
      <c r="G989" s="67"/>
      <c r="H989" s="64"/>
      <c r="I989" s="64"/>
      <c r="J989" s="64"/>
      <c r="K989" s="64"/>
      <c r="L989" s="65"/>
      <c r="M989" s="64"/>
      <c r="N989" s="64"/>
      <c r="O989" s="64"/>
      <c r="P989" s="64"/>
      <c r="Q989" s="64"/>
      <c r="R989" s="64"/>
      <c r="S989" s="64"/>
      <c r="T989" s="65"/>
      <c r="U989" s="64"/>
      <c r="V989" s="64"/>
      <c r="W989" s="64"/>
      <c r="X989" s="64"/>
      <c r="Y989" s="64"/>
      <c r="Z989" s="64"/>
      <c r="AA989" s="64"/>
      <c r="AB989" s="64"/>
      <c r="AC989" s="64"/>
      <c r="AD989" s="64"/>
      <c r="AE989" s="64"/>
      <c r="AF989" s="64"/>
      <c r="AG989" s="64"/>
    </row>
  </sheetData>
  <dataValidations>
    <dataValidation type="list" allowBlank="1" sqref="C10:C28 C30:C42 C44 C46 C48:C60 C64:C65 C67:C80 C84:C110">
      <formula1>"Family Office,Fund of Funds,Multi-family Office,Government,Pension Fund,Insurance,Bank,Charitable Organization,Endowment,Utility Provider,Technology,Religious,Asset Manager,Union,Property Investment,Corporate,Angel,Incubator,HNWI,Other"</formula1>
    </dataValidation>
    <dataValidation type="list" allowBlank="1" sqref="C29 C43 C45 C47 C61:C63">
      <formula1>"Family Office,Fund of Funds,Multi-family Office,Government,Pension Fund,Insurance,Bank,Charitable Organization,Endowment,Utility Provider,Technology,Religious,Asset Manager,Union,Property Investment,Corporate,Angel,Incubator,HNWI,Other,Investment Firm"</formula1>
    </dataValidation>
    <dataValidation type="list" allowBlank="1" showErrorMessage="1" sqref="F10:F58 F60:F62 F64:F65 F67:F70 F73:F74 F79:F81 F83:F92 F94:F110">
      <formula1>"Website,Private data provider,Public data provider,Internal data,LinkedIn,News article,Portfolio,Data manager judgement"</formula1>
    </dataValidation>
    <dataValidation type="list" allowBlank="1" showErrorMessage="1" sqref="C7">
      <formula1>"Green,Yellow,Red"</formula1>
    </dataValidation>
    <dataValidation type="list" allowBlank="1" showErrorMessage="1" sqref="U11:U19 U21:U29 U31:U39 U41:U49 U51:U59 U61:U69 U71:U79 H10:H110 U81:U110">
      <formula1>"Under review,Validated,Declined"</formula1>
    </dataValidation>
    <dataValidation type="list" allowBlank="1" showErrorMessage="1" sqref="I10:I110">
      <formula1>"Approved - Campaign,Approved - Don't campaign,Rejected - Seems to conflict with what I outlined in the IIP,Rejected - Blacklist"</formula1>
    </dataValidation>
    <dataValidation type="list" allowBlank="1" showErrorMessage="1" sqref="V10:V110">
      <formula1>"No response,Response - positive,Response - meeting scheduled,Response - not interested"</formula1>
    </dataValidation>
    <dataValidation type="list" allowBlank="1" showErrorMessage="1" sqref="U10 U20 U30 U40 U50 U60 U70 U80">
      <formula1>"Valid,Catch-all,Invalid"</formula1>
    </dataValidation>
    <dataValidation type="list" allowBlank="1" showErrorMessage="1" sqref="F59 F63 F66 F71:F72 F75:F78 F82 F93">
      <formula1>"Website,Private data provider,Public data provider,Internal data,News article,Portfolio,Data manager judgement,LinkedIn"</formula1>
    </dataValidation>
    <dataValidation type="list" allowBlank="1" sqref="C66 C81:C83">
      <formula1>"Family Office,Fund of Funds,Multi-family Office,Government,Pension Fund,Insurance,Bank,Charitable Organization,Endowment,Utility Provider,Technology,Religious,Asset Manager,Union,Property Investment,Corporate,Angel,Incubator,HNWI,Other,Investment firm"</formula1>
    </dataValidation>
  </dataValidations>
  <hyperlinks>
    <hyperlink r:id="rId4" ref="D10"/>
    <hyperlink r:id="rId5" ref="G10"/>
    <hyperlink r:id="rId6" ref="D11"/>
    <hyperlink r:id="rId7" ref="G11"/>
    <hyperlink r:id="rId8" ref="K11"/>
    <hyperlink r:id="rId9" ref="R11"/>
    <hyperlink r:id="rId10" ref="D12"/>
    <hyperlink r:id="rId11" ref="G12"/>
    <hyperlink r:id="rId12" ref="K12"/>
    <hyperlink r:id="rId13" ref="D13"/>
    <hyperlink r:id="rId14" ref="G13"/>
    <hyperlink r:id="rId15" location="strategy" ref="D14"/>
    <hyperlink r:id="rId16" location="strategy" ref="G14"/>
    <hyperlink r:id="rId17" ref="Q14"/>
    <hyperlink r:id="rId18" ref="R14"/>
    <hyperlink r:id="rId19" ref="D15"/>
    <hyperlink r:id="rId20" ref="G15"/>
    <hyperlink r:id="rId21" ref="Q15"/>
    <hyperlink r:id="rId22" ref="R15"/>
    <hyperlink r:id="rId23" ref="D16"/>
    <hyperlink r:id="rId24" ref="G16"/>
    <hyperlink r:id="rId25" ref="K16"/>
    <hyperlink r:id="rId26" ref="D17"/>
    <hyperlink r:id="rId27" ref="G17"/>
    <hyperlink r:id="rId28" ref="Q17"/>
    <hyperlink r:id="rId29" ref="R17"/>
    <hyperlink r:id="rId30" ref="D18"/>
    <hyperlink r:id="rId31" location="our-portfolio" ref="G18"/>
    <hyperlink r:id="rId32" ref="Q18"/>
    <hyperlink r:id="rId33" ref="R18"/>
    <hyperlink r:id="rId34" ref="D19"/>
    <hyperlink r:id="rId35" ref="G19"/>
    <hyperlink r:id="rId36" ref="K19"/>
    <hyperlink r:id="rId37" ref="D20"/>
    <hyperlink r:id="rId38" ref="G20"/>
    <hyperlink r:id="rId39" ref="Q20"/>
    <hyperlink r:id="rId40" ref="R20"/>
    <hyperlink r:id="rId41" ref="D21"/>
    <hyperlink r:id="rId42" ref="G21"/>
    <hyperlink r:id="rId43" ref="Q21"/>
    <hyperlink r:id="rId44" ref="R21"/>
    <hyperlink r:id="rId45" ref="D22"/>
    <hyperlink r:id="rId46" ref="G22"/>
    <hyperlink r:id="rId47" ref="K22"/>
    <hyperlink r:id="rId48" ref="D23"/>
    <hyperlink r:id="rId49" ref="G23"/>
    <hyperlink r:id="rId50" ref="Q23"/>
    <hyperlink r:id="rId51" ref="R23"/>
    <hyperlink r:id="rId52" ref="D24"/>
    <hyperlink r:id="rId53" ref="G24"/>
    <hyperlink r:id="rId54" ref="Q24"/>
    <hyperlink r:id="rId55" ref="R24"/>
    <hyperlink r:id="rId56" ref="D25"/>
    <hyperlink r:id="rId57" ref="G25"/>
    <hyperlink r:id="rId58" location="overview" ref="K25"/>
    <hyperlink r:id="rId59" ref="D26"/>
    <hyperlink r:id="rId60" ref="G26"/>
    <hyperlink r:id="rId61" ref="Q26"/>
    <hyperlink r:id="rId62" ref="R26"/>
    <hyperlink r:id="rId63" ref="D27"/>
    <hyperlink r:id="rId64" ref="G27"/>
    <hyperlink r:id="rId65" ref="D28"/>
    <hyperlink r:id="rId66" ref="G28"/>
    <hyperlink r:id="rId67" ref="R28"/>
    <hyperlink r:id="rId68" ref="D29"/>
    <hyperlink r:id="rId69" ref="G29"/>
    <hyperlink r:id="rId70" ref="K29"/>
    <hyperlink r:id="rId71" ref="D30"/>
    <hyperlink r:id="rId72" ref="G30"/>
    <hyperlink r:id="rId73" ref="R30"/>
    <hyperlink r:id="rId74" ref="D31"/>
    <hyperlink r:id="rId75" ref="G31"/>
    <hyperlink r:id="rId76" ref="R31"/>
    <hyperlink r:id="rId77" ref="D32"/>
    <hyperlink r:id="rId78" ref="G32"/>
    <hyperlink r:id="rId79" location="anchor-portfolio" ref="K32"/>
    <hyperlink r:id="rId80" ref="D33"/>
    <hyperlink r:id="rId81" ref="G33"/>
    <hyperlink r:id="rId82" ref="K33"/>
    <hyperlink r:id="rId83" ref="D34"/>
    <hyperlink r:id="rId84" ref="G34"/>
    <hyperlink r:id="rId85" ref="R34"/>
    <hyperlink r:id="rId86" ref="D35"/>
    <hyperlink r:id="rId87" ref="G35"/>
    <hyperlink r:id="rId88" ref="R35"/>
    <hyperlink r:id="rId89" ref="D36"/>
    <hyperlink r:id="rId90" ref="G36"/>
    <hyperlink r:id="rId91" ref="K36"/>
    <hyperlink r:id="rId92" ref="D37"/>
    <hyperlink r:id="rId93" ref="G37"/>
    <hyperlink r:id="rId94" ref="R37"/>
    <hyperlink r:id="rId95" ref="D38"/>
    <hyperlink r:id="rId96" location="Portfolio." ref="G38"/>
    <hyperlink r:id="rId97" ref="R38"/>
    <hyperlink r:id="rId98" ref="D39"/>
    <hyperlink r:id="rId99" ref="G39"/>
    <hyperlink r:id="rId100" ref="K39"/>
    <hyperlink r:id="rId101" ref="D40"/>
    <hyperlink r:id="rId102" ref="G40"/>
    <hyperlink r:id="rId103" ref="D41"/>
    <hyperlink r:id="rId104" ref="G41"/>
    <hyperlink r:id="rId105" ref="R41"/>
    <hyperlink r:id="rId106" ref="D42"/>
    <hyperlink r:id="rId107" ref="G42"/>
    <hyperlink r:id="rId108" ref="R42"/>
    <hyperlink r:id="rId109" ref="D43"/>
    <hyperlink r:id="rId110" ref="G43"/>
    <hyperlink r:id="rId111" ref="R43"/>
    <hyperlink r:id="rId112" ref="D44"/>
    <hyperlink r:id="rId113" ref="G44"/>
    <hyperlink r:id="rId114" ref="R44"/>
    <hyperlink r:id="rId115" ref="D45"/>
    <hyperlink r:id="rId116" ref="G45"/>
    <hyperlink r:id="rId117" ref="R45"/>
    <hyperlink r:id="rId118" ref="D46"/>
    <hyperlink r:id="rId119" ref="G46"/>
    <hyperlink r:id="rId120" ref="R46"/>
    <hyperlink r:id="rId121" ref="D47"/>
    <hyperlink r:id="rId122" ref="G47"/>
    <hyperlink r:id="rId123" location="overview" ref="K47"/>
    <hyperlink r:id="rId124" ref="D48"/>
    <hyperlink r:id="rId125" ref="G48"/>
    <hyperlink r:id="rId126" ref="R48"/>
    <hyperlink r:id="rId127" ref="D49"/>
    <hyperlink r:id="rId128" ref="G49"/>
    <hyperlink r:id="rId129" ref="R49"/>
    <hyperlink r:id="rId130" ref="D50"/>
    <hyperlink r:id="rId131" ref="G50"/>
    <hyperlink r:id="rId132" ref="R50"/>
    <hyperlink r:id="rId133" ref="D51"/>
    <hyperlink r:id="rId134" ref="G51"/>
    <hyperlink r:id="rId135" ref="R51"/>
    <hyperlink r:id="rId136" ref="D52"/>
    <hyperlink r:id="rId137" ref="G52"/>
    <hyperlink r:id="rId138" ref="R52"/>
    <hyperlink r:id="rId139" ref="D53"/>
    <hyperlink r:id="rId140" ref="G53"/>
    <hyperlink r:id="rId141" ref="R53"/>
    <hyperlink r:id="rId142" ref="D54"/>
    <hyperlink r:id="rId143" ref="G54"/>
    <hyperlink r:id="rId144" ref="R54"/>
    <hyperlink r:id="rId145" ref="D55"/>
    <hyperlink r:id="rId146" ref="G55"/>
    <hyperlink r:id="rId147" ref="R55"/>
    <hyperlink r:id="rId148" ref="D56"/>
    <hyperlink r:id="rId149" ref="G56"/>
    <hyperlink r:id="rId150" ref="D57"/>
    <hyperlink r:id="rId151" ref="G57"/>
    <hyperlink r:id="rId152" ref="R57"/>
    <hyperlink r:id="rId153" ref="D58"/>
    <hyperlink r:id="rId154" ref="G58"/>
    <hyperlink r:id="rId155" ref="R58"/>
    <hyperlink r:id="rId156" ref="D59"/>
    <hyperlink r:id="rId157" ref="G59"/>
    <hyperlink r:id="rId158" ref="R59"/>
    <hyperlink r:id="rId159" ref="D60"/>
    <hyperlink r:id="rId160" location="overview" ref="G60"/>
    <hyperlink r:id="rId161" ref="D61"/>
    <hyperlink r:id="rId162" ref="G61"/>
    <hyperlink r:id="rId163" ref="R61"/>
    <hyperlink r:id="rId164" ref="D62"/>
    <hyperlink r:id="rId165" ref="G62"/>
    <hyperlink r:id="rId166" ref="R62"/>
    <hyperlink r:id="rId167" ref="D63"/>
    <hyperlink r:id="rId168" ref="G63"/>
    <hyperlink r:id="rId169" ref="R63"/>
    <hyperlink r:id="rId170" location="approach" ref="D64"/>
    <hyperlink r:id="rId171" ref="G64"/>
    <hyperlink r:id="rId172" ref="R64"/>
    <hyperlink r:id="rId173" ref="D65"/>
    <hyperlink r:id="rId174" ref="G65"/>
    <hyperlink r:id="rId175" ref="R65"/>
    <hyperlink r:id="rId176" ref="D66"/>
    <hyperlink r:id="rId177" ref="G66"/>
    <hyperlink r:id="rId178" ref="D67"/>
    <hyperlink r:id="rId179" ref="G67"/>
    <hyperlink r:id="rId180" ref="R67"/>
    <hyperlink r:id="rId181" ref="D68"/>
    <hyperlink r:id="rId182" location="overview" ref="G68"/>
    <hyperlink r:id="rId183" ref="R68"/>
    <hyperlink r:id="rId184" ref="D69"/>
    <hyperlink r:id="rId185" ref="G69"/>
    <hyperlink r:id="rId186" ref="R69"/>
    <hyperlink r:id="rId187" ref="D70"/>
    <hyperlink r:id="rId188" ref="G70"/>
    <hyperlink r:id="rId189" ref="K70"/>
    <hyperlink r:id="rId190" ref="D71"/>
    <hyperlink r:id="rId191" ref="G71"/>
    <hyperlink r:id="rId192" ref="R71"/>
    <hyperlink r:id="rId193" ref="D72"/>
    <hyperlink r:id="rId194" location="funds" ref="G72"/>
    <hyperlink r:id="rId195" ref="R72"/>
    <hyperlink r:id="rId196" ref="D73"/>
    <hyperlink r:id="rId197" ref="G73"/>
    <hyperlink r:id="rId198" ref="D74"/>
    <hyperlink r:id="rId199" ref="G74"/>
    <hyperlink r:id="rId200" ref="R74"/>
    <hyperlink r:id="rId201" ref="D75"/>
    <hyperlink r:id="rId202" ref="G75"/>
    <hyperlink r:id="rId203" ref="R75"/>
    <hyperlink r:id="rId204" ref="D76"/>
    <hyperlink r:id="rId205" ref="G76"/>
    <hyperlink r:id="rId206" ref="R76"/>
    <hyperlink r:id="rId207" ref="D77"/>
    <hyperlink r:id="rId208" location="t3" ref="G77"/>
    <hyperlink r:id="rId209" ref="R77"/>
    <hyperlink r:id="rId210" ref="D78"/>
    <hyperlink r:id="rId211" ref="G78"/>
    <hyperlink r:id="rId212" ref="D79"/>
    <hyperlink r:id="rId213" ref="G79"/>
    <hyperlink r:id="rId214" ref="R79"/>
    <hyperlink r:id="rId215" ref="D80"/>
    <hyperlink r:id="rId216" ref="G80"/>
    <hyperlink r:id="rId217" ref="R80"/>
    <hyperlink r:id="rId218" ref="D81"/>
    <hyperlink r:id="rId219" ref="G81"/>
    <hyperlink r:id="rId220" ref="R81"/>
    <hyperlink r:id="rId221" ref="D82"/>
    <hyperlink r:id="rId222" ref="G82"/>
    <hyperlink r:id="rId223" ref="K82"/>
    <hyperlink r:id="rId224" ref="D83"/>
    <hyperlink r:id="rId225" ref="G83"/>
    <hyperlink r:id="rId226" ref="R83"/>
    <hyperlink r:id="rId227" ref="D84"/>
    <hyperlink r:id="rId228" ref="G84"/>
    <hyperlink r:id="rId229" ref="R84"/>
    <hyperlink r:id="rId230" ref="D85"/>
    <hyperlink r:id="rId231" ref="G85"/>
    <hyperlink r:id="rId232" ref="R85"/>
    <hyperlink r:id="rId233" ref="D86"/>
    <hyperlink r:id="rId234" ref="G86"/>
    <hyperlink r:id="rId235" ref="R86"/>
    <hyperlink r:id="rId236" ref="D87"/>
    <hyperlink r:id="rId237" ref="G87"/>
    <hyperlink r:id="rId238" ref="R87"/>
    <hyperlink r:id="rId239" ref="D88"/>
    <hyperlink r:id="rId240" ref="G88"/>
    <hyperlink r:id="rId241" ref="R88"/>
    <hyperlink r:id="rId242" ref="D89"/>
    <hyperlink r:id="rId243" ref="G89"/>
    <hyperlink r:id="rId244" ref="R89"/>
    <hyperlink r:id="rId245" ref="D90"/>
    <hyperlink r:id="rId246" ref="G90"/>
    <hyperlink r:id="rId247" ref="R90"/>
    <hyperlink r:id="rId248" ref="D91"/>
    <hyperlink r:id="rId249" ref="G91"/>
    <hyperlink r:id="rId250" ref="R91"/>
    <hyperlink r:id="rId251" ref="D92"/>
    <hyperlink r:id="rId252" ref="G92"/>
    <hyperlink r:id="rId253" ref="R92"/>
    <hyperlink r:id="rId254" ref="D93"/>
    <hyperlink r:id="rId255" ref="G93"/>
    <hyperlink r:id="rId256" ref="R93"/>
    <hyperlink r:id="rId257" ref="D94"/>
    <hyperlink r:id="rId258" ref="G94"/>
    <hyperlink r:id="rId259" ref="R94"/>
    <hyperlink r:id="rId260" ref="D95"/>
    <hyperlink r:id="rId261" ref="G95"/>
    <hyperlink r:id="rId262" ref="R95"/>
    <hyperlink r:id="rId263" ref="D96"/>
    <hyperlink r:id="rId264" location="thesis" ref="G96"/>
    <hyperlink r:id="rId265" ref="R96"/>
    <hyperlink r:id="rId266" ref="D97"/>
    <hyperlink r:id="rId267" ref="G97"/>
    <hyperlink r:id="rId268" ref="R97"/>
    <hyperlink r:id="rId269" ref="D98"/>
    <hyperlink r:id="rId270" ref="G98"/>
    <hyperlink r:id="rId271" ref="R98"/>
    <hyperlink r:id="rId272" ref="D99"/>
    <hyperlink r:id="rId273" ref="G99"/>
    <hyperlink r:id="rId274" ref="D100"/>
    <hyperlink r:id="rId275" ref="G100"/>
    <hyperlink r:id="rId276" ref="R100"/>
    <hyperlink r:id="rId277" ref="D101"/>
    <hyperlink r:id="rId278" ref="G101"/>
    <hyperlink r:id="rId279" ref="R101"/>
    <hyperlink r:id="rId280" ref="D102"/>
    <hyperlink r:id="rId281" ref="G102"/>
    <hyperlink r:id="rId282" ref="R102"/>
    <hyperlink r:id="rId283" ref="D103"/>
    <hyperlink r:id="rId284" ref="G103"/>
    <hyperlink r:id="rId285" ref="R103"/>
    <hyperlink r:id="rId286" ref="D104"/>
    <hyperlink r:id="rId287" ref="G104"/>
    <hyperlink r:id="rId288" ref="R104"/>
    <hyperlink r:id="rId289" ref="D105"/>
    <hyperlink r:id="rId290" ref="G105"/>
    <hyperlink r:id="rId291" ref="R105"/>
    <hyperlink r:id="rId292" ref="D106"/>
    <hyperlink r:id="rId293" ref="G106"/>
    <hyperlink r:id="rId294" ref="R106"/>
    <hyperlink r:id="rId295" ref="D107"/>
    <hyperlink r:id="rId296" ref="G107"/>
    <hyperlink r:id="rId297" ref="R107"/>
    <hyperlink r:id="rId298" ref="D108"/>
    <hyperlink r:id="rId299" ref="G108"/>
    <hyperlink r:id="rId300" ref="R108"/>
    <hyperlink r:id="rId301" ref="D109"/>
    <hyperlink r:id="rId302" ref="G109"/>
    <hyperlink r:id="rId303" ref="R109"/>
    <hyperlink r:id="rId304" ref="D110"/>
    <hyperlink r:id="rId305" location="investments" ref="G110"/>
    <hyperlink r:id="rId306" ref="R110"/>
  </hyperlinks>
  <drawing r:id="rId307"/>
  <legacyDrawing r:id="rId308"/>
  <tableParts count="3">
    <tablePart r:id="rId312"/>
    <tablePart r:id="rId313"/>
    <tablePart r:id="rId314"/>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9.0" topLeftCell="D10" activePane="bottomRight" state="frozen"/>
      <selection activeCell="D1" sqref="D1" pane="topRight"/>
      <selection activeCell="A10" sqref="A10" pane="bottomLeft"/>
      <selection activeCell="D10" sqref="D10" pane="bottomRight"/>
    </sheetView>
  </sheetViews>
  <sheetFormatPr customHeight="1" defaultColWidth="12.63" defaultRowHeight="15.75"/>
  <cols>
    <col customWidth="1" min="1" max="1" width="4.38"/>
    <col customWidth="1" min="2" max="2" width="16.88"/>
    <col customWidth="1" min="3" max="3" width="13.63"/>
    <col customWidth="1" min="4" max="4" width="13.25"/>
    <col customWidth="1" min="5" max="5" width="15.25"/>
    <col customWidth="1" min="6" max="6" width="16.5"/>
    <col customWidth="1" min="7" max="7" width="52.63"/>
    <col customWidth="1" min="8" max="8" width="12.63"/>
    <col customWidth="1" min="9" max="9" width="37.88"/>
    <col customWidth="1" min="10" max="10" width="34.13"/>
    <col customWidth="1" min="11" max="11" width="23.0"/>
    <col customWidth="1" min="12" max="12" width="16.0"/>
    <col customWidth="1" min="13" max="13" width="20.75"/>
    <col customWidth="1" min="14" max="14" width="19.0"/>
    <col customWidth="1" min="19" max="19" width="35.38"/>
    <col customWidth="1" min="20" max="20" width="15.38"/>
    <col customWidth="1" min="21" max="21" width="13.13"/>
  </cols>
  <sheetData>
    <row r="1">
      <c r="A1" s="63" t="s">
        <v>107</v>
      </c>
      <c r="B1" s="64"/>
      <c r="C1" s="64"/>
      <c r="D1" s="64"/>
      <c r="E1" s="65"/>
      <c r="F1" s="66"/>
      <c r="G1" s="67"/>
      <c r="H1" s="66"/>
      <c r="I1" s="64"/>
      <c r="J1" s="64"/>
      <c r="K1" s="64"/>
      <c r="L1" s="65"/>
      <c r="M1" s="64"/>
      <c r="N1" s="64"/>
      <c r="O1" s="64"/>
      <c r="P1" s="64"/>
      <c r="Q1" s="64"/>
      <c r="R1" s="64"/>
      <c r="S1" s="64"/>
      <c r="T1" s="65"/>
      <c r="U1" s="64"/>
      <c r="V1" s="68"/>
      <c r="W1" s="68"/>
      <c r="X1" s="64"/>
      <c r="Y1" s="64"/>
      <c r="Z1" s="64"/>
      <c r="AA1" s="64"/>
      <c r="AB1" s="64"/>
      <c r="AC1" s="64"/>
      <c r="AD1" s="64"/>
      <c r="AE1" s="64"/>
      <c r="AF1" s="64"/>
      <c r="AG1" s="64"/>
    </row>
    <row r="2">
      <c r="A2" s="64"/>
      <c r="B2" s="64"/>
      <c r="C2" s="64"/>
      <c r="D2" s="64"/>
      <c r="E2" s="65"/>
      <c r="F2" s="66"/>
      <c r="G2" s="67"/>
      <c r="H2" s="66"/>
      <c r="I2" s="64"/>
      <c r="J2" s="69"/>
      <c r="K2" s="64"/>
      <c r="L2" s="65"/>
      <c r="M2" s="64"/>
      <c r="N2" s="64"/>
      <c r="O2" s="64"/>
      <c r="P2" s="64"/>
      <c r="Q2" s="64"/>
      <c r="R2" s="64"/>
      <c r="S2" s="64"/>
      <c r="T2" s="65"/>
      <c r="U2" s="64"/>
      <c r="V2" s="68"/>
      <c r="W2" s="68"/>
      <c r="X2" s="64"/>
      <c r="Y2" s="64"/>
      <c r="Z2" s="64"/>
      <c r="AA2" s="64"/>
      <c r="AB2" s="64"/>
      <c r="AC2" s="64"/>
      <c r="AD2" s="64"/>
      <c r="AE2" s="64"/>
      <c r="AF2" s="64"/>
      <c r="AG2" s="64"/>
    </row>
    <row r="3">
      <c r="A3" s="64"/>
      <c r="B3" s="70" t="s">
        <v>108</v>
      </c>
      <c r="C3" s="71">
        <v>2.0</v>
      </c>
      <c r="D3" s="70"/>
      <c r="E3" s="65"/>
      <c r="F3" s="72"/>
      <c r="G3" s="67"/>
      <c r="H3" s="66"/>
      <c r="I3" s="64"/>
      <c r="J3" s="64"/>
      <c r="K3" s="64"/>
      <c r="L3" s="65"/>
      <c r="M3" s="64"/>
      <c r="N3" s="64"/>
      <c r="O3" s="64"/>
      <c r="P3" s="64"/>
      <c r="Q3" s="64"/>
      <c r="R3" s="64"/>
      <c r="S3" s="64"/>
      <c r="T3" s="65"/>
      <c r="U3" s="64"/>
      <c r="V3" s="68"/>
      <c r="W3" s="68"/>
      <c r="X3" s="64"/>
      <c r="Y3" s="64"/>
      <c r="Z3" s="64"/>
      <c r="AA3" s="64"/>
      <c r="AB3" s="64"/>
      <c r="AC3" s="64"/>
      <c r="AD3" s="64"/>
      <c r="AE3" s="64"/>
      <c r="AF3" s="64"/>
      <c r="AG3" s="64"/>
    </row>
    <row r="4">
      <c r="A4" s="64"/>
      <c r="B4" s="70" t="s">
        <v>109</v>
      </c>
      <c r="C4" s="73">
        <f>CountA(B10:B989)</f>
        <v>109</v>
      </c>
      <c r="D4" s="64"/>
      <c r="E4" s="65"/>
      <c r="F4" s="66"/>
      <c r="G4" s="67"/>
      <c r="H4" s="66"/>
      <c r="I4" s="64"/>
      <c r="J4" s="64"/>
      <c r="K4" s="64"/>
      <c r="L4" s="65"/>
      <c r="M4" s="64"/>
      <c r="N4" s="64"/>
      <c r="O4" s="64"/>
      <c r="P4" s="64"/>
      <c r="Q4" s="64"/>
      <c r="R4" s="64"/>
      <c r="S4" s="64"/>
      <c r="T4" s="65"/>
      <c r="U4" s="64"/>
      <c r="V4" s="68"/>
      <c r="W4" s="68"/>
      <c r="X4" s="64"/>
      <c r="Y4" s="64"/>
      <c r="Z4" s="64"/>
      <c r="AA4" s="64"/>
      <c r="AB4" s="64"/>
      <c r="AC4" s="64"/>
      <c r="AD4" s="64"/>
      <c r="AE4" s="64"/>
      <c r="AF4" s="64"/>
      <c r="AG4" s="64"/>
    </row>
    <row r="5">
      <c r="A5" s="64"/>
      <c r="B5" s="70" t="s">
        <v>110</v>
      </c>
      <c r="C5" s="73">
        <f>SUM(COUNTIF(I10:I989, "Rejected - Blacklist"),COUNTIF(I10:I989, "Rejected - Seems to conflict with what I outlined in the IIP"))</f>
        <v>26</v>
      </c>
      <c r="D5" s="64"/>
      <c r="E5" s="65"/>
      <c r="F5" s="66"/>
      <c r="G5" s="67"/>
      <c r="H5" s="66"/>
      <c r="I5" s="64"/>
      <c r="J5" s="64"/>
      <c r="K5" s="64"/>
      <c r="L5" s="65"/>
      <c r="M5" s="64"/>
      <c r="N5" s="64"/>
      <c r="O5" s="64"/>
      <c r="P5" s="64"/>
      <c r="Q5" s="64"/>
      <c r="R5" s="64"/>
      <c r="S5" s="64"/>
      <c r="T5" s="65"/>
      <c r="U5" s="64"/>
      <c r="V5" s="68"/>
      <c r="W5" s="68"/>
      <c r="X5" s="64"/>
      <c r="Y5" s="64"/>
      <c r="Z5" s="64"/>
      <c r="AA5" s="64"/>
      <c r="AB5" s="64"/>
      <c r="AC5" s="64"/>
      <c r="AD5" s="64"/>
      <c r="AE5" s="64"/>
      <c r="AF5" s="64"/>
      <c r="AG5" s="64"/>
    </row>
    <row r="6">
      <c r="A6" s="64"/>
      <c r="B6" s="70" t="s">
        <v>111</v>
      </c>
      <c r="C6" s="74">
        <f>C5/C4</f>
        <v>0.2385321101</v>
      </c>
      <c r="D6" s="64"/>
      <c r="E6" s="65"/>
      <c r="F6" s="66"/>
      <c r="G6" s="67"/>
      <c r="H6" s="66"/>
      <c r="I6" s="64"/>
      <c r="J6" s="64"/>
      <c r="K6" s="64"/>
      <c r="L6" s="65"/>
      <c r="M6" s="64"/>
      <c r="N6" s="64"/>
      <c r="O6" s="64"/>
      <c r="P6" s="64"/>
      <c r="Q6" s="64"/>
      <c r="R6" s="64"/>
      <c r="S6" s="64"/>
      <c r="T6" s="65"/>
      <c r="U6" s="64"/>
      <c r="V6" s="68"/>
      <c r="W6" s="68"/>
      <c r="X6" s="64"/>
      <c r="Y6" s="64"/>
      <c r="Z6" s="64"/>
      <c r="AA6" s="64"/>
      <c r="AB6" s="64"/>
      <c r="AC6" s="64"/>
      <c r="AD6" s="64"/>
      <c r="AE6" s="64"/>
      <c r="AF6" s="64"/>
      <c r="AG6" s="64"/>
    </row>
    <row r="7">
      <c r="A7" s="64"/>
      <c r="B7" s="70" t="s">
        <v>112</v>
      </c>
      <c r="C7" s="73" t="s">
        <v>113</v>
      </c>
      <c r="D7" s="72" t="s">
        <v>114</v>
      </c>
      <c r="E7" s="65"/>
      <c r="F7" s="72"/>
      <c r="G7" s="67"/>
      <c r="H7" s="66"/>
      <c r="I7" s="64"/>
      <c r="J7" s="64"/>
      <c r="K7" s="64"/>
      <c r="L7" s="65"/>
      <c r="M7" s="64"/>
      <c r="N7" s="64"/>
      <c r="O7" s="64"/>
      <c r="P7" s="64"/>
      <c r="Q7" s="64"/>
      <c r="R7" s="64"/>
      <c r="S7" s="64"/>
      <c r="T7" s="65"/>
      <c r="U7" s="64"/>
      <c r="V7" s="68"/>
      <c r="W7" s="68"/>
      <c r="X7" s="64"/>
      <c r="Y7" s="64"/>
      <c r="Z7" s="64"/>
      <c r="AA7" s="64"/>
      <c r="AB7" s="64"/>
      <c r="AC7" s="64"/>
      <c r="AD7" s="64"/>
      <c r="AE7" s="64"/>
      <c r="AF7" s="64"/>
      <c r="AG7" s="64"/>
    </row>
    <row r="8">
      <c r="A8" s="75"/>
      <c r="B8" s="75"/>
      <c r="C8" s="75"/>
      <c r="D8" s="75"/>
      <c r="E8" s="76"/>
      <c r="F8" s="77" t="s">
        <v>115</v>
      </c>
      <c r="G8" s="77" t="s">
        <v>116</v>
      </c>
      <c r="H8" s="77" t="s">
        <v>117</v>
      </c>
      <c r="I8" s="77" t="s">
        <v>118</v>
      </c>
      <c r="J8" s="77" t="s">
        <v>968</v>
      </c>
      <c r="K8" s="78"/>
      <c r="L8" s="77" t="s">
        <v>120</v>
      </c>
      <c r="M8" s="78"/>
      <c r="N8" s="75"/>
      <c r="O8" s="75"/>
      <c r="P8" s="75"/>
      <c r="Q8" s="75"/>
      <c r="R8" s="75"/>
      <c r="S8" s="77" t="s">
        <v>969</v>
      </c>
      <c r="T8" s="77" t="s">
        <v>120</v>
      </c>
      <c r="U8" s="75"/>
      <c r="V8" s="77" t="s">
        <v>122</v>
      </c>
      <c r="W8" s="79"/>
      <c r="X8" s="75"/>
      <c r="Y8" s="75"/>
      <c r="Z8" s="75"/>
      <c r="AA8" s="75"/>
      <c r="AB8" s="75"/>
      <c r="AC8" s="75"/>
      <c r="AD8" s="75"/>
      <c r="AE8" s="75"/>
      <c r="AF8" s="75"/>
      <c r="AG8" s="75"/>
    </row>
    <row r="9">
      <c r="A9" s="80" t="s">
        <v>123</v>
      </c>
      <c r="B9" s="81" t="s">
        <v>57</v>
      </c>
      <c r="C9" s="81" t="s">
        <v>59</v>
      </c>
      <c r="D9" s="80" t="s">
        <v>124</v>
      </c>
      <c r="E9" s="82" t="s">
        <v>125</v>
      </c>
      <c r="F9" s="83" t="s">
        <v>126</v>
      </c>
      <c r="G9" s="83" t="s">
        <v>127</v>
      </c>
      <c r="H9" s="81" t="s">
        <v>128</v>
      </c>
      <c r="I9" s="81" t="s">
        <v>129</v>
      </c>
      <c r="J9" s="81" t="s">
        <v>130</v>
      </c>
      <c r="K9" s="81" t="s">
        <v>131</v>
      </c>
      <c r="L9" s="82" t="s">
        <v>58</v>
      </c>
      <c r="M9" s="80" t="s">
        <v>132</v>
      </c>
      <c r="N9" s="80" t="s">
        <v>133</v>
      </c>
      <c r="O9" s="80" t="s">
        <v>134</v>
      </c>
      <c r="P9" s="80" t="s">
        <v>135</v>
      </c>
      <c r="Q9" s="80" t="s">
        <v>136</v>
      </c>
      <c r="R9" s="80" t="s">
        <v>137</v>
      </c>
      <c r="S9" s="84" t="s">
        <v>138</v>
      </c>
      <c r="T9" s="82" t="s">
        <v>139</v>
      </c>
      <c r="U9" s="81" t="s">
        <v>140</v>
      </c>
      <c r="V9" s="81" t="s">
        <v>141</v>
      </c>
      <c r="W9" s="81" t="s">
        <v>142</v>
      </c>
      <c r="X9" s="81" t="s">
        <v>143</v>
      </c>
      <c r="Y9" s="64"/>
      <c r="Z9" s="64"/>
      <c r="AA9" s="64"/>
      <c r="AB9" s="64"/>
      <c r="AC9" s="64"/>
      <c r="AD9" s="64"/>
      <c r="AE9" s="64"/>
      <c r="AF9" s="64"/>
      <c r="AG9" s="64"/>
    </row>
    <row r="10">
      <c r="A10" s="85">
        <f t="shared" ref="A10:A23" si="1">IF(ISBLANK(B10),"",COUNTA($B$9:B9))</f>
        <v>1</v>
      </c>
      <c r="B10" s="121" t="s">
        <v>970</v>
      </c>
      <c r="C10" s="122" t="s">
        <v>63</v>
      </c>
      <c r="D10" s="88" t="s">
        <v>971</v>
      </c>
      <c r="E10" s="90" t="s">
        <v>146</v>
      </c>
      <c r="F10" s="90" t="s">
        <v>972</v>
      </c>
      <c r="G10" s="103" t="s">
        <v>973</v>
      </c>
      <c r="H10" s="92" t="s">
        <v>149</v>
      </c>
      <c r="I10" s="93" t="s">
        <v>165</v>
      </c>
      <c r="J10" s="94"/>
      <c r="K10" s="94"/>
      <c r="L10" s="95"/>
      <c r="M10" s="106" t="s">
        <v>974</v>
      </c>
      <c r="N10" s="107" t="s">
        <v>975</v>
      </c>
      <c r="O10" s="108" t="s">
        <v>976</v>
      </c>
      <c r="P10" s="108" t="s">
        <v>977</v>
      </c>
      <c r="Q10" s="108" t="s">
        <v>978</v>
      </c>
      <c r="R10" s="120" t="s">
        <v>979</v>
      </c>
      <c r="S10" s="181"/>
      <c r="T10" s="182"/>
      <c r="U10" s="182"/>
      <c r="V10" s="182"/>
      <c r="W10" s="85" t="s">
        <v>980</v>
      </c>
      <c r="X10" s="85" t="s">
        <v>981</v>
      </c>
      <c r="Y10" s="64"/>
      <c r="Z10" s="64"/>
      <c r="AA10" s="64"/>
      <c r="AB10" s="64"/>
      <c r="AC10" s="64"/>
      <c r="AD10" s="64"/>
      <c r="AE10" s="64"/>
      <c r="AF10" s="64"/>
      <c r="AG10" s="64"/>
    </row>
    <row r="11">
      <c r="A11" s="85">
        <f t="shared" si="1"/>
        <v>2</v>
      </c>
      <c r="B11" s="121" t="s">
        <v>982</v>
      </c>
      <c r="C11" s="122" t="s">
        <v>63</v>
      </c>
      <c r="D11" s="88" t="s">
        <v>983</v>
      </c>
      <c r="E11" s="90" t="s">
        <v>146</v>
      </c>
      <c r="F11" s="90" t="s">
        <v>194</v>
      </c>
      <c r="G11" s="183" t="s">
        <v>984</v>
      </c>
      <c r="H11" s="92" t="s">
        <v>149</v>
      </c>
      <c r="I11" s="93" t="s">
        <v>165</v>
      </c>
      <c r="J11" s="104"/>
      <c r="K11" s="184"/>
      <c r="L11" s="95"/>
      <c r="M11" s="142" t="s">
        <v>907</v>
      </c>
      <c r="N11" s="107" t="s">
        <v>985</v>
      </c>
      <c r="O11" s="108" t="s">
        <v>986</v>
      </c>
      <c r="P11" s="108" t="s">
        <v>987</v>
      </c>
      <c r="Q11" s="108" t="s">
        <v>988</v>
      </c>
      <c r="R11" s="120" t="s">
        <v>989</v>
      </c>
      <c r="S11" s="181"/>
      <c r="T11" s="182"/>
      <c r="U11" s="182"/>
      <c r="V11" s="182"/>
      <c r="W11" s="85" t="s">
        <v>980</v>
      </c>
      <c r="X11" s="85" t="s">
        <v>981</v>
      </c>
      <c r="Y11" s="64"/>
      <c r="Z11" s="64"/>
      <c r="AA11" s="64"/>
      <c r="AB11" s="64"/>
      <c r="AC11" s="64"/>
      <c r="AD11" s="64"/>
      <c r="AE11" s="64"/>
      <c r="AF11" s="64"/>
      <c r="AG11" s="64"/>
    </row>
    <row r="12">
      <c r="A12" s="85">
        <f t="shared" si="1"/>
        <v>3</v>
      </c>
      <c r="B12" s="121" t="s">
        <v>990</v>
      </c>
      <c r="C12" s="122" t="s">
        <v>63</v>
      </c>
      <c r="D12" s="88" t="s">
        <v>991</v>
      </c>
      <c r="E12" s="90" t="s">
        <v>146</v>
      </c>
      <c r="F12" s="90" t="s">
        <v>194</v>
      </c>
      <c r="G12" s="103" t="s">
        <v>992</v>
      </c>
      <c r="H12" s="92" t="s">
        <v>149</v>
      </c>
      <c r="I12" s="93" t="s">
        <v>165</v>
      </c>
      <c r="J12" s="104"/>
      <c r="K12" s="185"/>
      <c r="L12" s="95"/>
      <c r="M12" s="106" t="s">
        <v>993</v>
      </c>
      <c r="N12" s="107" t="s">
        <v>994</v>
      </c>
      <c r="O12" s="108" t="str">
        <f>IFERROR(__xludf.DUMMYFUNCTION("IFERROR(REGEXEXTRACT(TRIM(N12),""^\S+""),"""")
"),"Chris")</f>
        <v>Chris</v>
      </c>
      <c r="P12" s="108" t="str">
        <f>IFERROR(__xludf.DUMMYFUNCTION("IFERROR(TRIM(REGEXREPLACE(TRIM(N12),""^\S+\s*"","""")),"""")
"),"Y.")</f>
        <v>Y.</v>
      </c>
      <c r="Q12" s="108" t="s">
        <v>995</v>
      </c>
      <c r="R12" s="120" t="s">
        <v>996</v>
      </c>
      <c r="S12" s="181"/>
      <c r="T12" s="182"/>
      <c r="U12" s="182"/>
      <c r="V12" s="182"/>
      <c r="W12" s="85" t="s">
        <v>980</v>
      </c>
      <c r="X12" s="85" t="s">
        <v>981</v>
      </c>
      <c r="Y12" s="64"/>
      <c r="Z12" s="64"/>
      <c r="AA12" s="64"/>
      <c r="AB12" s="64"/>
      <c r="AC12" s="64"/>
      <c r="AD12" s="64"/>
      <c r="AE12" s="64"/>
      <c r="AF12" s="64"/>
      <c r="AG12" s="64"/>
    </row>
    <row r="13">
      <c r="A13" s="85">
        <f t="shared" si="1"/>
        <v>4</v>
      </c>
      <c r="B13" s="121" t="s">
        <v>997</v>
      </c>
      <c r="C13" s="186" t="s">
        <v>63</v>
      </c>
      <c r="D13" s="88" t="s">
        <v>998</v>
      </c>
      <c r="E13" s="90" t="s">
        <v>282</v>
      </c>
      <c r="F13" s="113" t="s">
        <v>194</v>
      </c>
      <c r="G13" s="183" t="s">
        <v>999</v>
      </c>
      <c r="H13" s="92" t="s">
        <v>149</v>
      </c>
      <c r="I13" s="93" t="s">
        <v>150</v>
      </c>
      <c r="J13" s="104" t="s">
        <v>1000</v>
      </c>
      <c r="K13" s="94"/>
      <c r="L13" s="95"/>
      <c r="M13" s="96"/>
      <c r="N13" s="97"/>
      <c r="O13" s="98"/>
      <c r="P13" s="98"/>
      <c r="Q13" s="98"/>
      <c r="R13" s="98"/>
      <c r="S13" s="99"/>
      <c r="T13" s="95"/>
      <c r="U13" s="100"/>
      <c r="V13" s="101"/>
      <c r="W13" s="101"/>
      <c r="X13" s="101"/>
      <c r="Y13" s="64"/>
      <c r="Z13" s="64"/>
      <c r="AA13" s="64"/>
      <c r="AB13" s="64"/>
      <c r="AC13" s="64"/>
      <c r="AD13" s="64"/>
      <c r="AE13" s="64"/>
      <c r="AF13" s="64"/>
      <c r="AG13" s="64"/>
    </row>
    <row r="14">
      <c r="A14" s="85">
        <f t="shared" si="1"/>
        <v>5</v>
      </c>
      <c r="B14" s="121" t="s">
        <v>1001</v>
      </c>
      <c r="C14" s="122" t="s">
        <v>265</v>
      </c>
      <c r="D14" s="88" t="s">
        <v>1002</v>
      </c>
      <c r="E14" s="89" t="s">
        <v>146</v>
      </c>
      <c r="F14" s="90" t="s">
        <v>194</v>
      </c>
      <c r="G14" s="103" t="s">
        <v>1003</v>
      </c>
      <c r="H14" s="92" t="s">
        <v>149</v>
      </c>
      <c r="I14" s="93" t="s">
        <v>150</v>
      </c>
      <c r="J14" s="104" t="s">
        <v>1004</v>
      </c>
      <c r="K14" s="187" t="s">
        <v>1005</v>
      </c>
      <c r="L14" s="115"/>
      <c r="M14" s="87"/>
      <c r="N14" s="116"/>
      <c r="O14" s="117"/>
      <c r="P14" s="118"/>
      <c r="Q14" s="108"/>
      <c r="R14" s="120"/>
      <c r="S14" s="99"/>
      <c r="T14" s="95"/>
      <c r="U14" s="100"/>
      <c r="V14" s="101"/>
      <c r="W14" s="101"/>
      <c r="X14" s="101"/>
      <c r="Y14" s="64"/>
      <c r="Z14" s="64"/>
      <c r="AA14" s="64"/>
      <c r="AB14" s="64"/>
      <c r="AC14" s="64"/>
      <c r="AD14" s="64"/>
      <c r="AE14" s="64"/>
      <c r="AF14" s="64"/>
      <c r="AG14" s="64"/>
    </row>
    <row r="15">
      <c r="A15" s="85">
        <f t="shared" si="1"/>
        <v>6</v>
      </c>
      <c r="B15" s="121" t="s">
        <v>1006</v>
      </c>
      <c r="C15" s="122" t="s">
        <v>63</v>
      </c>
      <c r="D15" s="88" t="s">
        <v>1007</v>
      </c>
      <c r="E15" s="90" t="s">
        <v>146</v>
      </c>
      <c r="F15" s="90" t="s">
        <v>194</v>
      </c>
      <c r="G15" s="183" t="s">
        <v>1008</v>
      </c>
      <c r="H15" s="92" t="s">
        <v>149</v>
      </c>
      <c r="I15" s="93" t="s">
        <v>150</v>
      </c>
      <c r="J15" s="104" t="s">
        <v>1004</v>
      </c>
      <c r="K15" s="188" t="s">
        <v>1005</v>
      </c>
      <c r="L15" s="115"/>
      <c r="M15" s="87"/>
      <c r="N15" s="116"/>
      <c r="O15" s="117"/>
      <c r="P15" s="118"/>
      <c r="Q15" s="108"/>
      <c r="R15" s="120"/>
      <c r="S15" s="99"/>
      <c r="T15" s="95"/>
      <c r="U15" s="100"/>
      <c r="V15" s="101"/>
      <c r="W15" s="101"/>
      <c r="X15" s="101"/>
      <c r="Y15" s="64"/>
      <c r="Z15" s="64"/>
      <c r="AA15" s="64"/>
      <c r="AB15" s="64"/>
      <c r="AC15" s="64"/>
      <c r="AD15" s="64"/>
      <c r="AE15" s="64"/>
      <c r="AF15" s="64"/>
      <c r="AG15" s="64"/>
    </row>
    <row r="16">
      <c r="A16" s="85">
        <f t="shared" si="1"/>
        <v>7</v>
      </c>
      <c r="B16" s="121" t="s">
        <v>1009</v>
      </c>
      <c r="C16" s="122" t="s">
        <v>63</v>
      </c>
      <c r="D16" s="88" t="s">
        <v>1010</v>
      </c>
      <c r="E16" s="90" t="s">
        <v>146</v>
      </c>
      <c r="F16" s="90" t="s">
        <v>682</v>
      </c>
      <c r="G16" s="103" t="s">
        <v>1011</v>
      </c>
      <c r="H16" s="92" t="s">
        <v>149</v>
      </c>
      <c r="I16" s="93" t="s">
        <v>150</v>
      </c>
      <c r="J16" s="104" t="s">
        <v>1012</v>
      </c>
      <c r="K16" s="187" t="s">
        <v>1005</v>
      </c>
      <c r="L16" s="95"/>
      <c r="M16" s="96"/>
      <c r="N16" s="97"/>
      <c r="O16" s="98"/>
      <c r="P16" s="98"/>
      <c r="Q16" s="98"/>
      <c r="R16" s="98"/>
      <c r="S16" s="99"/>
      <c r="T16" s="95"/>
      <c r="U16" s="100"/>
      <c r="V16" s="101"/>
      <c r="W16" s="101"/>
      <c r="X16" s="101"/>
      <c r="Y16" s="64"/>
      <c r="Z16" s="64"/>
      <c r="AA16" s="64"/>
      <c r="AB16" s="64"/>
      <c r="AC16" s="64"/>
      <c r="AD16" s="64"/>
      <c r="AE16" s="64"/>
      <c r="AF16" s="64"/>
      <c r="AG16" s="64"/>
    </row>
    <row r="17">
      <c r="A17" s="85">
        <f t="shared" si="1"/>
        <v>8</v>
      </c>
      <c r="B17" s="121" t="s">
        <v>1013</v>
      </c>
      <c r="C17" s="122" t="s">
        <v>63</v>
      </c>
      <c r="D17" s="189" t="s">
        <v>1014</v>
      </c>
      <c r="E17" s="190" t="s">
        <v>605</v>
      </c>
      <c r="F17" s="190" t="s">
        <v>194</v>
      </c>
      <c r="G17" s="183" t="s">
        <v>1015</v>
      </c>
      <c r="H17" s="92" t="s">
        <v>149</v>
      </c>
      <c r="I17" s="93" t="s">
        <v>165</v>
      </c>
      <c r="J17" s="114"/>
      <c r="K17" s="104"/>
      <c r="L17" s="115"/>
      <c r="M17" s="122" t="s">
        <v>330</v>
      </c>
      <c r="N17" s="123" t="s">
        <v>1016</v>
      </c>
      <c r="O17" s="124" t="s">
        <v>1017</v>
      </c>
      <c r="P17" s="108" t="s">
        <v>1018</v>
      </c>
      <c r="Q17" s="108" t="s">
        <v>1019</v>
      </c>
      <c r="R17" s="120" t="s">
        <v>1020</v>
      </c>
      <c r="S17" s="181"/>
      <c r="T17" s="182"/>
      <c r="U17" s="182"/>
      <c r="V17" s="182"/>
      <c r="W17" s="85" t="s">
        <v>980</v>
      </c>
      <c r="X17" s="85" t="s">
        <v>981</v>
      </c>
      <c r="Y17" s="64"/>
      <c r="Z17" s="64"/>
      <c r="AA17" s="64"/>
      <c r="AB17" s="64"/>
      <c r="AC17" s="64"/>
      <c r="AD17" s="64"/>
      <c r="AE17" s="64"/>
      <c r="AF17" s="64"/>
      <c r="AG17" s="64"/>
    </row>
    <row r="18">
      <c r="A18" s="85">
        <f t="shared" si="1"/>
        <v>9</v>
      </c>
      <c r="B18" s="121" t="s">
        <v>1021</v>
      </c>
      <c r="C18" s="122" t="s">
        <v>265</v>
      </c>
      <c r="D18" s="88" t="s">
        <v>1022</v>
      </c>
      <c r="E18" s="90" t="s">
        <v>297</v>
      </c>
      <c r="F18" s="90" t="s">
        <v>124</v>
      </c>
      <c r="G18" s="103" t="s">
        <v>1023</v>
      </c>
      <c r="H18" s="92" t="s">
        <v>149</v>
      </c>
      <c r="I18" s="93" t="s">
        <v>187</v>
      </c>
      <c r="J18" s="104" t="s">
        <v>1024</v>
      </c>
      <c r="K18" s="191" t="s">
        <v>1005</v>
      </c>
      <c r="L18" s="115"/>
      <c r="M18" s="122"/>
      <c r="N18" s="123"/>
      <c r="O18" s="124"/>
      <c r="P18" s="108"/>
      <c r="Q18" s="108"/>
      <c r="R18" s="120"/>
      <c r="S18" s="99"/>
      <c r="T18" s="95"/>
      <c r="U18" s="100"/>
      <c r="V18" s="101"/>
      <c r="W18" s="101"/>
      <c r="X18" s="101"/>
      <c r="Y18" s="64"/>
      <c r="Z18" s="64"/>
      <c r="AA18" s="64"/>
      <c r="AB18" s="64"/>
      <c r="AC18" s="64"/>
      <c r="AD18" s="64"/>
      <c r="AE18" s="64"/>
      <c r="AF18" s="64"/>
      <c r="AG18" s="64"/>
    </row>
    <row r="19">
      <c r="A19" s="85">
        <f t="shared" si="1"/>
        <v>10</v>
      </c>
      <c r="B19" s="121" t="s">
        <v>1025</v>
      </c>
      <c r="C19" s="122" t="s">
        <v>63</v>
      </c>
      <c r="D19" s="88" t="s">
        <v>1026</v>
      </c>
      <c r="E19" s="90" t="s">
        <v>1027</v>
      </c>
      <c r="F19" s="90" t="s">
        <v>194</v>
      </c>
      <c r="G19" s="183" t="s">
        <v>1028</v>
      </c>
      <c r="H19" s="92" t="s">
        <v>149</v>
      </c>
      <c r="I19" s="93" t="s">
        <v>165</v>
      </c>
      <c r="J19" s="104"/>
      <c r="K19" s="145"/>
      <c r="L19" s="95"/>
      <c r="M19" s="106" t="s">
        <v>1029</v>
      </c>
      <c r="N19" s="107" t="s">
        <v>1030</v>
      </c>
      <c r="O19" s="108" t="s">
        <v>1031</v>
      </c>
      <c r="P19" s="108" t="s">
        <v>1032</v>
      </c>
      <c r="Q19" s="108" t="s">
        <v>1033</v>
      </c>
      <c r="R19" s="120" t="s">
        <v>1034</v>
      </c>
      <c r="S19" s="181"/>
      <c r="T19" s="182"/>
      <c r="U19" s="182"/>
      <c r="V19" s="182"/>
      <c r="W19" s="85" t="s">
        <v>980</v>
      </c>
      <c r="X19" s="85" t="s">
        <v>981</v>
      </c>
      <c r="Y19" s="64"/>
      <c r="Z19" s="64"/>
      <c r="AA19" s="64"/>
      <c r="AB19" s="64"/>
      <c r="AC19" s="64"/>
      <c r="AD19" s="64"/>
      <c r="AE19" s="64"/>
      <c r="AF19" s="64"/>
      <c r="AG19" s="64"/>
    </row>
    <row r="20">
      <c r="A20" s="126">
        <f t="shared" si="1"/>
        <v>11</v>
      </c>
      <c r="B20" s="136" t="s">
        <v>1035</v>
      </c>
      <c r="C20" s="106" t="s">
        <v>265</v>
      </c>
      <c r="D20" s="128" t="s">
        <v>1036</v>
      </c>
      <c r="E20" s="129" t="s">
        <v>146</v>
      </c>
      <c r="F20" s="129" t="s">
        <v>124</v>
      </c>
      <c r="G20" s="130" t="s">
        <v>1037</v>
      </c>
      <c r="H20" s="131" t="s">
        <v>149</v>
      </c>
      <c r="I20" s="93" t="s">
        <v>165</v>
      </c>
      <c r="J20" s="114"/>
      <c r="K20" s="104"/>
      <c r="L20" s="115"/>
      <c r="M20" s="122" t="s">
        <v>546</v>
      </c>
      <c r="N20" s="123" t="s">
        <v>1038</v>
      </c>
      <c r="O20" s="124" t="str">
        <f>IFERROR(__xludf.DUMMYFUNCTION("IFERROR(REGEXEXTRACT(TRIM(N20),""^\S+""),"""")
"),"Matthew")</f>
        <v>Matthew</v>
      </c>
      <c r="P20" s="108" t="str">
        <f>IFERROR(__xludf.DUMMYFUNCTION("IFERROR(TRIM(REGEXREPLACE(TRIM(N20),""^\S+\s*"","""")),"""")
"),"Le Merle")</f>
        <v>Le Merle</v>
      </c>
      <c r="Q20" s="108" t="s">
        <v>1039</v>
      </c>
      <c r="R20" s="120" t="s">
        <v>1040</v>
      </c>
      <c r="S20" s="181"/>
      <c r="T20" s="182"/>
      <c r="U20" s="182"/>
      <c r="V20" s="182"/>
      <c r="W20" s="85" t="s">
        <v>980</v>
      </c>
      <c r="X20" s="85" t="s">
        <v>981</v>
      </c>
      <c r="Y20" s="64"/>
      <c r="Z20" s="64"/>
      <c r="AA20" s="64"/>
      <c r="AB20" s="64"/>
      <c r="AC20" s="64"/>
      <c r="AD20" s="64"/>
      <c r="AE20" s="64"/>
      <c r="AF20" s="64"/>
      <c r="AG20" s="64"/>
    </row>
    <row r="21">
      <c r="A21" s="126">
        <f t="shared" si="1"/>
        <v>12</v>
      </c>
      <c r="B21" s="136" t="s">
        <v>1041</v>
      </c>
      <c r="C21" s="106" t="s">
        <v>265</v>
      </c>
      <c r="D21" s="128" t="s">
        <v>1042</v>
      </c>
      <c r="E21" s="129" t="s">
        <v>895</v>
      </c>
      <c r="F21" s="129" t="s">
        <v>124</v>
      </c>
      <c r="G21" s="160" t="s">
        <v>1043</v>
      </c>
      <c r="H21" s="131" t="s">
        <v>149</v>
      </c>
      <c r="I21" s="93" t="s">
        <v>165</v>
      </c>
      <c r="J21" s="114"/>
      <c r="K21" s="104"/>
      <c r="L21" s="115"/>
      <c r="M21" s="122" t="s">
        <v>1044</v>
      </c>
      <c r="N21" s="123" t="s">
        <v>1045</v>
      </c>
      <c r="O21" s="124" t="s">
        <v>1046</v>
      </c>
      <c r="P21" s="108" t="s">
        <v>1047</v>
      </c>
      <c r="Q21" s="108" t="s">
        <v>1048</v>
      </c>
      <c r="R21" s="120" t="s">
        <v>1049</v>
      </c>
      <c r="S21" s="181"/>
      <c r="T21" s="182"/>
      <c r="U21" s="182"/>
      <c r="V21" s="182"/>
      <c r="W21" s="85" t="s">
        <v>980</v>
      </c>
      <c r="X21" s="85" t="s">
        <v>981</v>
      </c>
      <c r="Y21" s="64"/>
      <c r="Z21" s="64"/>
      <c r="AA21" s="64"/>
      <c r="AB21" s="64"/>
      <c r="AC21" s="64"/>
      <c r="AD21" s="64"/>
      <c r="AE21" s="64"/>
      <c r="AF21" s="64"/>
      <c r="AG21" s="64"/>
    </row>
    <row r="22">
      <c r="A22" s="126">
        <f t="shared" si="1"/>
        <v>13</v>
      </c>
      <c r="B22" s="136" t="s">
        <v>1050</v>
      </c>
      <c r="C22" s="106" t="s">
        <v>63</v>
      </c>
      <c r="D22" s="128" t="s">
        <v>1051</v>
      </c>
      <c r="E22" s="129" t="s">
        <v>924</v>
      </c>
      <c r="F22" s="129" t="s">
        <v>1052</v>
      </c>
      <c r="G22" s="130" t="s">
        <v>1053</v>
      </c>
      <c r="H22" s="131" t="s">
        <v>149</v>
      </c>
      <c r="I22" s="93" t="s">
        <v>165</v>
      </c>
      <c r="J22" s="104"/>
      <c r="K22" s="184"/>
      <c r="L22" s="95"/>
      <c r="M22" s="106" t="s">
        <v>499</v>
      </c>
      <c r="N22" s="107" t="s">
        <v>1054</v>
      </c>
      <c r="O22" s="108" t="str">
        <f>IFERROR(__xludf.DUMMYFUNCTION("IFERROR(REGEXEXTRACT(TRIM(N22),""^\S+""),"""")
"),"Ziyad")</f>
        <v>Ziyad</v>
      </c>
      <c r="P22" s="108" t="str">
        <f>IFERROR(__xludf.DUMMYFUNCTION("IFERROR(TRIM(REGEXREPLACE(TRIM(N22),""^\S+\s*"","""")),"""")
"),"Alajlan")</f>
        <v>Alajlan</v>
      </c>
      <c r="Q22" s="192" t="s">
        <v>1055</v>
      </c>
      <c r="R22" s="120" t="s">
        <v>1056</v>
      </c>
      <c r="S22" s="181"/>
      <c r="T22" s="182"/>
      <c r="U22" s="182"/>
      <c r="V22" s="182"/>
      <c r="W22" s="85" t="s">
        <v>980</v>
      </c>
      <c r="X22" s="85" t="s">
        <v>981</v>
      </c>
      <c r="Y22" s="64"/>
      <c r="Z22" s="64"/>
      <c r="AA22" s="64"/>
      <c r="AB22" s="64"/>
      <c r="AC22" s="64"/>
      <c r="AD22" s="64"/>
      <c r="AE22" s="64"/>
      <c r="AF22" s="64"/>
      <c r="AG22" s="64"/>
    </row>
    <row r="23">
      <c r="A23" s="126">
        <f t="shared" si="1"/>
        <v>14</v>
      </c>
      <c r="B23" s="136" t="s">
        <v>1057</v>
      </c>
      <c r="C23" s="106" t="s">
        <v>63</v>
      </c>
      <c r="D23" s="128" t="s">
        <v>1058</v>
      </c>
      <c r="E23" s="193" t="s">
        <v>146</v>
      </c>
      <c r="F23" s="129" t="s">
        <v>194</v>
      </c>
      <c r="G23" s="160" t="s">
        <v>1059</v>
      </c>
      <c r="H23" s="131" t="s">
        <v>149</v>
      </c>
      <c r="I23" s="93" t="s">
        <v>165</v>
      </c>
      <c r="J23" s="114"/>
      <c r="K23" s="104"/>
      <c r="L23" s="115"/>
      <c r="M23" s="122" t="s">
        <v>1060</v>
      </c>
      <c r="N23" s="123" t="s">
        <v>1061</v>
      </c>
      <c r="O23" s="124" t="str">
        <f>IFERROR(__xludf.DUMMYFUNCTION("IFERROR(REGEXEXTRACT(TRIM(N23),""^\S+""),"""")
"),"Amit")</f>
        <v>Amit</v>
      </c>
      <c r="P23" s="108" t="str">
        <f>IFERROR(__xludf.DUMMYFUNCTION("IFERROR(TRIM(REGEXREPLACE(TRIM(N23),""^\S+\s*"","""")),"""")
"),"Kumar")</f>
        <v>Kumar</v>
      </c>
      <c r="Q23" s="108" t="s">
        <v>1062</v>
      </c>
      <c r="R23" s="120" t="s">
        <v>1063</v>
      </c>
      <c r="S23" s="181"/>
      <c r="T23" s="182"/>
      <c r="U23" s="182"/>
      <c r="V23" s="182"/>
      <c r="W23" s="85" t="s">
        <v>980</v>
      </c>
      <c r="X23" s="85" t="s">
        <v>981</v>
      </c>
      <c r="Y23" s="64"/>
      <c r="Z23" s="64"/>
      <c r="AA23" s="64"/>
      <c r="AB23" s="64"/>
      <c r="AC23" s="64"/>
      <c r="AD23" s="64"/>
      <c r="AE23" s="64"/>
      <c r="AF23" s="64"/>
      <c r="AG23" s="64"/>
    </row>
    <row r="24">
      <c r="A24" s="126">
        <v>16.0</v>
      </c>
      <c r="B24" s="136" t="s">
        <v>1064</v>
      </c>
      <c r="C24" s="106" t="s">
        <v>63</v>
      </c>
      <c r="D24" s="128" t="s">
        <v>1065</v>
      </c>
      <c r="E24" s="129" t="s">
        <v>185</v>
      </c>
      <c r="F24" s="129" t="s">
        <v>1052</v>
      </c>
      <c r="G24" s="130" t="s">
        <v>1066</v>
      </c>
      <c r="H24" s="131" t="s">
        <v>149</v>
      </c>
      <c r="I24" s="93" t="s">
        <v>165</v>
      </c>
      <c r="J24" s="114"/>
      <c r="K24" s="104"/>
      <c r="L24" s="115"/>
      <c r="M24" s="194" t="s">
        <v>1067</v>
      </c>
      <c r="N24" s="123" t="s">
        <v>1068</v>
      </c>
      <c r="O24" s="124" t="str">
        <f>IFERROR(__xludf.DUMMYFUNCTION("IFERROR(REGEXEXTRACT(TRIM(N24),""^\S+""),"""")
"),"Gregory")</f>
        <v>Gregory</v>
      </c>
      <c r="P24" s="108" t="str">
        <f>IFERROR(__xludf.DUMMYFUNCTION("IFERROR(TRIM(REGEXREPLACE(TRIM(N24),""^\S+\s*"","""")),"""")
"),"Walfish")</f>
        <v>Walfish</v>
      </c>
      <c r="Q24" s="108" t="s">
        <v>1069</v>
      </c>
      <c r="R24" s="120" t="s">
        <v>1070</v>
      </c>
      <c r="S24" s="181"/>
      <c r="T24" s="182"/>
      <c r="U24" s="182"/>
      <c r="V24" s="182"/>
      <c r="W24" s="85" t="s">
        <v>980</v>
      </c>
      <c r="X24" s="85" t="s">
        <v>981</v>
      </c>
      <c r="Y24" s="64"/>
      <c r="Z24" s="64"/>
      <c r="AA24" s="64"/>
      <c r="AB24" s="64"/>
      <c r="AC24" s="64"/>
      <c r="AD24" s="64"/>
      <c r="AE24" s="64"/>
      <c r="AF24" s="64"/>
      <c r="AG24" s="64"/>
    </row>
    <row r="25">
      <c r="A25" s="126">
        <v>17.0</v>
      </c>
      <c r="B25" s="121" t="s">
        <v>1071</v>
      </c>
      <c r="C25" s="106" t="s">
        <v>63</v>
      </c>
      <c r="D25" s="128" t="s">
        <v>1072</v>
      </c>
      <c r="E25" s="129" t="s">
        <v>146</v>
      </c>
      <c r="F25" s="129" t="s">
        <v>124</v>
      </c>
      <c r="G25" s="160" t="s">
        <v>1073</v>
      </c>
      <c r="H25" s="131" t="s">
        <v>149</v>
      </c>
      <c r="I25" s="93" t="s">
        <v>150</v>
      </c>
      <c r="J25" s="104" t="s">
        <v>1074</v>
      </c>
      <c r="K25" s="191" t="s">
        <v>1005</v>
      </c>
      <c r="L25" s="95"/>
      <c r="M25" s="96"/>
      <c r="N25" s="97"/>
      <c r="O25" s="98"/>
      <c r="P25" s="98"/>
      <c r="Q25" s="98"/>
      <c r="R25" s="98"/>
      <c r="S25" s="99"/>
      <c r="T25" s="95"/>
      <c r="U25" s="100"/>
      <c r="V25" s="101"/>
      <c r="W25" s="101"/>
      <c r="X25" s="101"/>
      <c r="Y25" s="64"/>
      <c r="Z25" s="64"/>
      <c r="AA25" s="64"/>
      <c r="AB25" s="64"/>
      <c r="AC25" s="64"/>
      <c r="AD25" s="64"/>
      <c r="AE25" s="64"/>
      <c r="AF25" s="64"/>
      <c r="AG25" s="64"/>
    </row>
    <row r="26">
      <c r="A26" s="126">
        <v>18.0</v>
      </c>
      <c r="B26" s="121" t="s">
        <v>1075</v>
      </c>
      <c r="C26" s="106" t="s">
        <v>63</v>
      </c>
      <c r="D26" s="128" t="s">
        <v>1076</v>
      </c>
      <c r="E26" s="129" t="s">
        <v>905</v>
      </c>
      <c r="F26" s="129" t="s">
        <v>554</v>
      </c>
      <c r="G26" s="130" t="s">
        <v>1077</v>
      </c>
      <c r="H26" s="131" t="s">
        <v>149</v>
      </c>
      <c r="I26" s="93" t="s">
        <v>165</v>
      </c>
      <c r="J26" s="114"/>
      <c r="K26" s="104"/>
      <c r="L26" s="115"/>
      <c r="M26" s="194" t="s">
        <v>196</v>
      </c>
      <c r="N26" s="123" t="s">
        <v>1078</v>
      </c>
      <c r="O26" s="124" t="s">
        <v>1079</v>
      </c>
      <c r="P26" s="108" t="s">
        <v>1080</v>
      </c>
      <c r="Q26" s="108" t="s">
        <v>1081</v>
      </c>
      <c r="R26" s="120" t="s">
        <v>1082</v>
      </c>
      <c r="S26" s="181"/>
      <c r="T26" s="182"/>
      <c r="U26" s="182"/>
      <c r="V26" s="182"/>
      <c r="W26" s="85" t="s">
        <v>980</v>
      </c>
      <c r="X26" s="85" t="s">
        <v>981</v>
      </c>
      <c r="Y26" s="64"/>
      <c r="Z26" s="64"/>
      <c r="AA26" s="64"/>
      <c r="AB26" s="64"/>
      <c r="AC26" s="64"/>
      <c r="AD26" s="64"/>
      <c r="AE26" s="64"/>
      <c r="AF26" s="64"/>
      <c r="AG26" s="64"/>
    </row>
    <row r="27">
      <c r="A27" s="126">
        <f t="shared" ref="A27:A36" si="2">IF(ISBLANK(B27),"",COUNTA($B$9:B26))</f>
        <v>18</v>
      </c>
      <c r="B27" s="136" t="s">
        <v>1083</v>
      </c>
      <c r="C27" s="106" t="s">
        <v>63</v>
      </c>
      <c r="D27" s="128" t="s">
        <v>1084</v>
      </c>
      <c r="E27" s="129" t="s">
        <v>1085</v>
      </c>
      <c r="F27" s="129" t="s">
        <v>1086</v>
      </c>
      <c r="G27" s="130" t="s">
        <v>1087</v>
      </c>
      <c r="H27" s="131" t="s">
        <v>149</v>
      </c>
      <c r="I27" s="161" t="s">
        <v>150</v>
      </c>
      <c r="J27" s="104" t="s">
        <v>1088</v>
      </c>
      <c r="K27" s="191" t="s">
        <v>1005</v>
      </c>
      <c r="L27" s="95"/>
      <c r="M27" s="96"/>
      <c r="N27" s="97"/>
      <c r="O27" s="98"/>
      <c r="P27" s="98"/>
      <c r="Q27" s="98"/>
      <c r="R27" s="98"/>
      <c r="S27" s="99"/>
      <c r="T27" s="95"/>
      <c r="U27" s="100"/>
      <c r="V27" s="101"/>
      <c r="W27" s="101"/>
      <c r="X27" s="101"/>
      <c r="Y27" s="64"/>
      <c r="Z27" s="64"/>
      <c r="AA27" s="64"/>
      <c r="AB27" s="64"/>
      <c r="AC27" s="64"/>
      <c r="AD27" s="64"/>
      <c r="AE27" s="64"/>
      <c r="AF27" s="64"/>
      <c r="AG27" s="64"/>
    </row>
    <row r="28">
      <c r="A28" s="126">
        <f t="shared" si="2"/>
        <v>19</v>
      </c>
      <c r="B28" s="121" t="s">
        <v>1089</v>
      </c>
      <c r="C28" s="106" t="s">
        <v>63</v>
      </c>
      <c r="D28" s="158" t="s">
        <v>1090</v>
      </c>
      <c r="E28" s="159" t="s">
        <v>146</v>
      </c>
      <c r="F28" s="159" t="s">
        <v>376</v>
      </c>
      <c r="G28" s="160" t="s">
        <v>1091</v>
      </c>
      <c r="H28" s="131" t="s">
        <v>149</v>
      </c>
      <c r="I28" s="161" t="s">
        <v>165</v>
      </c>
      <c r="J28" s="114"/>
      <c r="K28" s="104"/>
      <c r="L28" s="95"/>
      <c r="M28" s="106" t="s">
        <v>907</v>
      </c>
      <c r="N28" s="107" t="s">
        <v>1092</v>
      </c>
      <c r="O28" s="108" t="s">
        <v>1093</v>
      </c>
      <c r="P28" s="108" t="s">
        <v>1094</v>
      </c>
      <c r="Q28" s="108" t="s">
        <v>1095</v>
      </c>
      <c r="R28" s="120" t="s">
        <v>1096</v>
      </c>
      <c r="S28" s="181"/>
      <c r="T28" s="182"/>
      <c r="U28" s="182"/>
      <c r="V28" s="182"/>
      <c r="W28" s="85" t="s">
        <v>980</v>
      </c>
      <c r="X28" s="85" t="s">
        <v>981</v>
      </c>
      <c r="Y28" s="64"/>
      <c r="Z28" s="64"/>
      <c r="AA28" s="64"/>
      <c r="AB28" s="64"/>
      <c r="AC28" s="64"/>
      <c r="AD28" s="64"/>
      <c r="AE28" s="64"/>
      <c r="AF28" s="64"/>
      <c r="AG28" s="64"/>
    </row>
    <row r="29">
      <c r="A29" s="126">
        <f t="shared" si="2"/>
        <v>20</v>
      </c>
      <c r="B29" s="121" t="s">
        <v>1097</v>
      </c>
      <c r="C29" s="106" t="s">
        <v>63</v>
      </c>
      <c r="D29" s="128" t="s">
        <v>1098</v>
      </c>
      <c r="E29" s="129" t="s">
        <v>895</v>
      </c>
      <c r="F29" s="129" t="s">
        <v>194</v>
      </c>
      <c r="G29" s="130" t="s">
        <v>1099</v>
      </c>
      <c r="H29" s="131" t="s">
        <v>149</v>
      </c>
      <c r="I29" s="161" t="s">
        <v>165</v>
      </c>
      <c r="J29" s="104"/>
      <c r="K29" s="145"/>
      <c r="L29" s="95"/>
      <c r="M29" s="106" t="s">
        <v>1100</v>
      </c>
      <c r="N29" s="107" t="s">
        <v>1101</v>
      </c>
      <c r="O29" s="108" t="str">
        <f>IFERROR(__xludf.DUMMYFUNCTION("IFERROR(REGEXEXTRACT(TRIM(N29),""^\S+""),"""")
"),"Arpit")</f>
        <v>Arpit</v>
      </c>
      <c r="P29" s="108" t="str">
        <f>IFERROR(__xludf.DUMMYFUNCTION("IFERROR(TRIM(REGEXREPLACE(TRIM(N29),""^\S+\s*"","""")),"""")
"),"Ramsisaria")</f>
        <v>Ramsisaria</v>
      </c>
      <c r="Q29" s="108" t="s">
        <v>1102</v>
      </c>
      <c r="R29" s="120" t="s">
        <v>1103</v>
      </c>
      <c r="S29" s="181"/>
      <c r="T29" s="182"/>
      <c r="U29" s="182"/>
      <c r="V29" s="182"/>
      <c r="W29" s="85" t="s">
        <v>980</v>
      </c>
      <c r="X29" s="85" t="s">
        <v>981</v>
      </c>
      <c r="Y29" s="64"/>
      <c r="Z29" s="64"/>
      <c r="AA29" s="64"/>
      <c r="AB29" s="64"/>
      <c r="AC29" s="64"/>
      <c r="AD29" s="64"/>
      <c r="AE29" s="64"/>
      <c r="AF29" s="64"/>
      <c r="AG29" s="64"/>
    </row>
    <row r="30">
      <c r="A30" s="126">
        <f t="shared" si="2"/>
        <v>21</v>
      </c>
      <c r="B30" s="121" t="s">
        <v>1104</v>
      </c>
      <c r="C30" s="106" t="s">
        <v>63</v>
      </c>
      <c r="D30" s="158" t="s">
        <v>1105</v>
      </c>
      <c r="E30" s="159" t="s">
        <v>146</v>
      </c>
      <c r="F30" s="159" t="s">
        <v>1106</v>
      </c>
      <c r="G30" s="160" t="s">
        <v>1107</v>
      </c>
      <c r="H30" s="131" t="s">
        <v>149</v>
      </c>
      <c r="I30" s="161" t="s">
        <v>165</v>
      </c>
      <c r="J30" s="114"/>
      <c r="K30" s="104"/>
      <c r="L30" s="95"/>
      <c r="M30" s="106" t="s">
        <v>1108</v>
      </c>
      <c r="N30" s="107" t="s">
        <v>1109</v>
      </c>
      <c r="O30" s="108" t="s">
        <v>1110</v>
      </c>
      <c r="P30" s="108" t="s">
        <v>1111</v>
      </c>
      <c r="Q30" s="108" t="s">
        <v>1112</v>
      </c>
      <c r="R30" s="120" t="s">
        <v>1113</v>
      </c>
      <c r="S30" s="181"/>
      <c r="T30" s="182"/>
      <c r="U30" s="182"/>
      <c r="V30" s="182"/>
      <c r="W30" s="85" t="s">
        <v>980</v>
      </c>
      <c r="X30" s="85" t="s">
        <v>981</v>
      </c>
      <c r="Y30" s="64"/>
      <c r="Z30" s="64"/>
      <c r="AA30" s="64"/>
      <c r="AB30" s="64"/>
      <c r="AC30" s="64"/>
      <c r="AD30" s="64"/>
      <c r="AE30" s="64"/>
      <c r="AF30" s="64"/>
      <c r="AG30" s="64"/>
    </row>
    <row r="31">
      <c r="A31" s="126">
        <f t="shared" si="2"/>
        <v>22</v>
      </c>
      <c r="B31" s="136" t="s">
        <v>1114</v>
      </c>
      <c r="C31" s="134" t="s">
        <v>63</v>
      </c>
      <c r="D31" s="128" t="s">
        <v>1115</v>
      </c>
      <c r="E31" s="129" t="s">
        <v>1116</v>
      </c>
      <c r="F31" s="129" t="s">
        <v>322</v>
      </c>
      <c r="G31" s="130" t="s">
        <v>1117</v>
      </c>
      <c r="H31" s="131" t="s">
        <v>149</v>
      </c>
      <c r="I31" s="161" t="s">
        <v>165</v>
      </c>
      <c r="J31" s="114"/>
      <c r="K31" s="104"/>
      <c r="L31" s="95"/>
      <c r="M31" s="106" t="s">
        <v>1118</v>
      </c>
      <c r="N31" s="107" t="s">
        <v>1119</v>
      </c>
      <c r="O31" s="108" t="s">
        <v>1120</v>
      </c>
      <c r="P31" s="108" t="s">
        <v>1121</v>
      </c>
      <c r="Q31" s="108" t="s">
        <v>1122</v>
      </c>
      <c r="R31" s="120" t="s">
        <v>1123</v>
      </c>
      <c r="S31" s="181"/>
      <c r="T31" s="182"/>
      <c r="U31" s="182"/>
      <c r="V31" s="182"/>
      <c r="W31" s="85" t="s">
        <v>980</v>
      </c>
      <c r="X31" s="85" t="s">
        <v>981</v>
      </c>
      <c r="Y31" s="64"/>
      <c r="Z31" s="64"/>
      <c r="AA31" s="64"/>
      <c r="AB31" s="64"/>
      <c r="AC31" s="64"/>
      <c r="AD31" s="64"/>
      <c r="AE31" s="64"/>
      <c r="AF31" s="64"/>
      <c r="AG31" s="64"/>
    </row>
    <row r="32">
      <c r="A32" s="126">
        <f t="shared" si="2"/>
        <v>23</v>
      </c>
      <c r="B32" s="136" t="s">
        <v>1124</v>
      </c>
      <c r="C32" s="106" t="s">
        <v>63</v>
      </c>
      <c r="D32" s="158" t="s">
        <v>1125</v>
      </c>
      <c r="E32" s="159" t="s">
        <v>351</v>
      </c>
      <c r="F32" s="159" t="s">
        <v>124</v>
      </c>
      <c r="G32" s="160" t="s">
        <v>1126</v>
      </c>
      <c r="H32" s="131" t="s">
        <v>149</v>
      </c>
      <c r="I32" s="161" t="s">
        <v>150</v>
      </c>
      <c r="J32" s="104" t="s">
        <v>1074</v>
      </c>
      <c r="K32" s="191" t="s">
        <v>1005</v>
      </c>
      <c r="L32" s="95"/>
      <c r="M32" s="96"/>
      <c r="N32" s="97"/>
      <c r="O32" s="98"/>
      <c r="P32" s="98"/>
      <c r="Q32" s="98"/>
      <c r="R32" s="98"/>
      <c r="S32" s="99"/>
      <c r="T32" s="95"/>
      <c r="U32" s="100"/>
      <c r="V32" s="101"/>
      <c r="W32" s="101"/>
      <c r="X32" s="101"/>
      <c r="Y32" s="64"/>
      <c r="Z32" s="64"/>
      <c r="AA32" s="64"/>
      <c r="AB32" s="64"/>
      <c r="AC32" s="64"/>
      <c r="AD32" s="64"/>
      <c r="AE32" s="64"/>
      <c r="AF32" s="64"/>
      <c r="AG32" s="64"/>
    </row>
    <row r="33">
      <c r="A33" s="126">
        <f t="shared" si="2"/>
        <v>24</v>
      </c>
      <c r="B33" s="136" t="s">
        <v>1127</v>
      </c>
      <c r="C33" s="106" t="s">
        <v>63</v>
      </c>
      <c r="D33" s="128" t="s">
        <v>1128</v>
      </c>
      <c r="E33" s="129" t="s">
        <v>351</v>
      </c>
      <c r="F33" s="129" t="s">
        <v>322</v>
      </c>
      <c r="G33" s="130" t="s">
        <v>1129</v>
      </c>
      <c r="H33" s="131" t="s">
        <v>149</v>
      </c>
      <c r="I33" s="161" t="s">
        <v>165</v>
      </c>
      <c r="J33" s="104"/>
      <c r="K33" s="184"/>
      <c r="L33" s="95"/>
      <c r="M33" s="106" t="s">
        <v>439</v>
      </c>
      <c r="N33" s="107" t="s">
        <v>1130</v>
      </c>
      <c r="O33" s="108" t="s">
        <v>1131</v>
      </c>
      <c r="P33" s="108" t="s">
        <v>1132</v>
      </c>
      <c r="Q33" s="108" t="s">
        <v>1133</v>
      </c>
      <c r="R33" s="120" t="s">
        <v>1134</v>
      </c>
      <c r="S33" s="181"/>
      <c r="T33" s="182"/>
      <c r="U33" s="182"/>
      <c r="V33" s="182"/>
      <c r="W33" s="85" t="s">
        <v>980</v>
      </c>
      <c r="X33" s="85" t="s">
        <v>981</v>
      </c>
      <c r="Y33" s="64"/>
      <c r="Z33" s="64"/>
      <c r="AA33" s="64"/>
      <c r="AB33" s="64"/>
      <c r="AC33" s="64"/>
      <c r="AD33" s="64"/>
      <c r="AE33" s="64"/>
      <c r="AF33" s="64"/>
      <c r="AG33" s="64"/>
    </row>
    <row r="34">
      <c r="A34" s="126">
        <f t="shared" si="2"/>
        <v>25</v>
      </c>
      <c r="B34" s="136" t="s">
        <v>1135</v>
      </c>
      <c r="C34" s="106" t="s">
        <v>63</v>
      </c>
      <c r="D34" s="158" t="s">
        <v>1136</v>
      </c>
      <c r="E34" s="159" t="s">
        <v>351</v>
      </c>
      <c r="F34" s="159" t="s">
        <v>194</v>
      </c>
      <c r="G34" s="160" t="s">
        <v>1137</v>
      </c>
      <c r="H34" s="131" t="s">
        <v>149</v>
      </c>
      <c r="I34" s="161" t="s">
        <v>165</v>
      </c>
      <c r="J34" s="114"/>
      <c r="K34" s="104"/>
      <c r="L34" s="95"/>
      <c r="M34" s="106" t="s">
        <v>196</v>
      </c>
      <c r="N34" s="107" t="s">
        <v>1138</v>
      </c>
      <c r="O34" s="108" t="str">
        <f>IFERROR(__xludf.DUMMYFUNCTION("IFERROR(REGEXEXTRACT(TRIM(N34),""^\S+""),"""")
"),"Alistair")</f>
        <v>Alistair</v>
      </c>
      <c r="P34" s="108" t="str">
        <f>IFERROR(__xludf.DUMMYFUNCTION("IFERROR(TRIM(REGEXREPLACE(TRIM(N34),""^\S+\s*"","""")),"""")
"),"Cairns")</f>
        <v>Cairns</v>
      </c>
      <c r="Q34" s="108" t="s">
        <v>1139</v>
      </c>
      <c r="R34" s="120" t="s">
        <v>1140</v>
      </c>
      <c r="S34" s="181"/>
      <c r="T34" s="182"/>
      <c r="U34" s="182"/>
      <c r="V34" s="182"/>
      <c r="W34" s="85" t="s">
        <v>980</v>
      </c>
      <c r="X34" s="85" t="s">
        <v>981</v>
      </c>
      <c r="Y34" s="64"/>
      <c r="Z34" s="64"/>
      <c r="AA34" s="64"/>
      <c r="AB34" s="64"/>
      <c r="AC34" s="64"/>
      <c r="AD34" s="64"/>
      <c r="AE34" s="64"/>
      <c r="AF34" s="64"/>
      <c r="AG34" s="64"/>
    </row>
    <row r="35">
      <c r="A35" s="126">
        <f t="shared" si="2"/>
        <v>26</v>
      </c>
      <c r="B35" s="136" t="s">
        <v>1141</v>
      </c>
      <c r="C35" s="106" t="s">
        <v>63</v>
      </c>
      <c r="D35" s="128" t="s">
        <v>1142</v>
      </c>
      <c r="E35" s="129" t="s">
        <v>1143</v>
      </c>
      <c r="F35" s="129" t="s">
        <v>124</v>
      </c>
      <c r="G35" s="130" t="s">
        <v>1144</v>
      </c>
      <c r="H35" s="131" t="s">
        <v>149</v>
      </c>
      <c r="I35" s="161" t="s">
        <v>150</v>
      </c>
      <c r="J35" s="104" t="s">
        <v>1145</v>
      </c>
      <c r="K35" s="191" t="s">
        <v>1005</v>
      </c>
      <c r="L35" s="95"/>
      <c r="M35" s="106"/>
      <c r="N35" s="107"/>
      <c r="O35" s="108"/>
      <c r="P35" s="108"/>
      <c r="Q35" s="108"/>
      <c r="R35" s="120"/>
      <c r="S35" s="99"/>
      <c r="T35" s="95"/>
      <c r="U35" s="100"/>
      <c r="V35" s="101"/>
      <c r="W35" s="101"/>
      <c r="X35" s="101"/>
      <c r="Y35" s="64"/>
      <c r="Z35" s="64"/>
      <c r="AA35" s="64"/>
      <c r="AB35" s="64"/>
      <c r="AC35" s="64"/>
      <c r="AD35" s="64"/>
      <c r="AE35" s="64"/>
      <c r="AF35" s="64"/>
      <c r="AG35" s="64"/>
    </row>
    <row r="36">
      <c r="A36" s="126">
        <f t="shared" si="2"/>
        <v>27</v>
      </c>
      <c r="B36" s="136" t="s">
        <v>1146</v>
      </c>
      <c r="C36" s="106" t="s">
        <v>265</v>
      </c>
      <c r="D36" s="158" t="s">
        <v>1147</v>
      </c>
      <c r="E36" s="159" t="s">
        <v>351</v>
      </c>
      <c r="F36" s="159" t="s">
        <v>194</v>
      </c>
      <c r="G36" s="130" t="s">
        <v>1148</v>
      </c>
      <c r="H36" s="131" t="s">
        <v>149</v>
      </c>
      <c r="I36" s="161" t="s">
        <v>187</v>
      </c>
      <c r="J36" s="104" t="s">
        <v>1149</v>
      </c>
      <c r="K36" s="191" t="s">
        <v>1005</v>
      </c>
      <c r="L36" s="95"/>
      <c r="M36" s="96"/>
      <c r="N36" s="97"/>
      <c r="O36" s="98"/>
      <c r="P36" s="98"/>
      <c r="Q36" s="98"/>
      <c r="R36" s="98"/>
      <c r="S36" s="99"/>
      <c r="T36" s="95"/>
      <c r="U36" s="100"/>
      <c r="V36" s="101"/>
      <c r="W36" s="101"/>
      <c r="X36" s="101"/>
      <c r="Y36" s="64"/>
      <c r="Z36" s="64"/>
      <c r="AA36" s="64"/>
      <c r="AB36" s="64"/>
      <c r="AC36" s="64"/>
      <c r="AD36" s="64"/>
      <c r="AE36" s="64"/>
      <c r="AF36" s="64"/>
      <c r="AG36" s="64"/>
    </row>
    <row r="37">
      <c r="A37" s="126">
        <v>32.0</v>
      </c>
      <c r="B37" s="132" t="s">
        <v>1150</v>
      </c>
      <c r="C37" s="106" t="s">
        <v>265</v>
      </c>
      <c r="D37" s="128" t="s">
        <v>1151</v>
      </c>
      <c r="E37" s="129" t="s">
        <v>267</v>
      </c>
      <c r="F37" s="129" t="s">
        <v>124</v>
      </c>
      <c r="G37" s="130" t="s">
        <v>1152</v>
      </c>
      <c r="H37" s="131" t="s">
        <v>149</v>
      </c>
      <c r="I37" s="161" t="s">
        <v>187</v>
      </c>
      <c r="J37" s="104" t="s">
        <v>1153</v>
      </c>
      <c r="K37" s="191" t="s">
        <v>1005</v>
      </c>
      <c r="L37" s="95"/>
      <c r="M37" s="106"/>
      <c r="N37" s="107"/>
      <c r="O37" s="108"/>
      <c r="P37" s="108"/>
      <c r="Q37" s="108"/>
      <c r="R37" s="120"/>
      <c r="S37" s="99"/>
      <c r="T37" s="95"/>
      <c r="U37" s="100"/>
      <c r="V37" s="101"/>
      <c r="W37" s="101"/>
      <c r="X37" s="101"/>
      <c r="Y37" s="64"/>
      <c r="Z37" s="64"/>
      <c r="AA37" s="64"/>
      <c r="AB37" s="64"/>
      <c r="AC37" s="64"/>
      <c r="AD37" s="64"/>
      <c r="AE37" s="64"/>
      <c r="AF37" s="64"/>
      <c r="AG37" s="64"/>
    </row>
    <row r="38">
      <c r="A38" s="126">
        <f t="shared" ref="A38:A53" si="3">IF(ISBLANK(B38),"",COUNTA($B$9:B37))</f>
        <v>29</v>
      </c>
      <c r="B38" s="133" t="s">
        <v>1154</v>
      </c>
      <c r="C38" s="106" t="s">
        <v>265</v>
      </c>
      <c r="D38" s="158" t="s">
        <v>1155</v>
      </c>
      <c r="E38" s="159" t="s">
        <v>267</v>
      </c>
      <c r="F38" s="159" t="s">
        <v>124</v>
      </c>
      <c r="G38" s="130" t="s">
        <v>1156</v>
      </c>
      <c r="H38" s="131" t="s">
        <v>149</v>
      </c>
      <c r="I38" s="161" t="s">
        <v>165</v>
      </c>
      <c r="J38" s="104"/>
      <c r="K38" s="104"/>
      <c r="L38" s="95"/>
      <c r="M38" s="106" t="s">
        <v>456</v>
      </c>
      <c r="N38" s="107" t="s">
        <v>1157</v>
      </c>
      <c r="O38" s="108" t="s">
        <v>1158</v>
      </c>
      <c r="P38" s="108" t="s">
        <v>1159</v>
      </c>
      <c r="Q38" s="108" t="s">
        <v>1160</v>
      </c>
      <c r="R38" s="120" t="s">
        <v>1161</v>
      </c>
      <c r="S38" s="181"/>
      <c r="T38" s="182"/>
      <c r="U38" s="182"/>
      <c r="V38" s="182"/>
      <c r="W38" s="85" t="s">
        <v>980</v>
      </c>
      <c r="X38" s="85" t="s">
        <v>981</v>
      </c>
      <c r="Y38" s="64"/>
      <c r="Z38" s="64"/>
      <c r="AA38" s="64"/>
      <c r="AB38" s="64"/>
      <c r="AC38" s="64"/>
      <c r="AD38" s="64"/>
      <c r="AE38" s="64"/>
      <c r="AF38" s="64"/>
      <c r="AG38" s="64"/>
    </row>
    <row r="39">
      <c r="A39" s="126">
        <f t="shared" si="3"/>
        <v>30</v>
      </c>
      <c r="B39" s="136" t="s">
        <v>1162</v>
      </c>
      <c r="C39" s="106" t="s">
        <v>265</v>
      </c>
      <c r="D39" s="128" t="s">
        <v>1163</v>
      </c>
      <c r="E39" s="129" t="s">
        <v>351</v>
      </c>
      <c r="F39" s="129" t="s">
        <v>376</v>
      </c>
      <c r="G39" s="103" t="s">
        <v>1164</v>
      </c>
      <c r="H39" s="131" t="s">
        <v>149</v>
      </c>
      <c r="I39" s="161" t="s">
        <v>187</v>
      </c>
      <c r="J39" s="104" t="s">
        <v>1165</v>
      </c>
      <c r="K39" s="191" t="s">
        <v>1005</v>
      </c>
      <c r="L39" s="95"/>
      <c r="M39" s="96"/>
      <c r="N39" s="97"/>
      <c r="O39" s="98"/>
      <c r="P39" s="98"/>
      <c r="Q39" s="98"/>
      <c r="R39" s="98"/>
      <c r="S39" s="99"/>
      <c r="T39" s="95"/>
      <c r="U39" s="100"/>
      <c r="V39" s="101"/>
      <c r="W39" s="101"/>
      <c r="X39" s="101"/>
      <c r="Y39" s="64"/>
      <c r="Z39" s="64"/>
      <c r="AA39" s="64"/>
      <c r="AB39" s="64"/>
      <c r="AC39" s="64"/>
      <c r="AD39" s="64"/>
      <c r="AE39" s="64"/>
      <c r="AF39" s="64"/>
      <c r="AG39" s="64"/>
    </row>
    <row r="40">
      <c r="A40" s="126">
        <f t="shared" si="3"/>
        <v>31</v>
      </c>
      <c r="B40" s="136" t="s">
        <v>1166</v>
      </c>
      <c r="C40" s="106" t="s">
        <v>265</v>
      </c>
      <c r="D40" s="158" t="s">
        <v>1167</v>
      </c>
      <c r="E40" s="159" t="s">
        <v>351</v>
      </c>
      <c r="F40" s="159" t="s">
        <v>124</v>
      </c>
      <c r="G40" s="160" t="s">
        <v>1168</v>
      </c>
      <c r="H40" s="131" t="s">
        <v>149</v>
      </c>
      <c r="I40" s="161" t="s">
        <v>187</v>
      </c>
      <c r="J40" s="104" t="s">
        <v>1165</v>
      </c>
      <c r="K40" s="191" t="s">
        <v>1005</v>
      </c>
      <c r="L40" s="95"/>
      <c r="M40" s="96"/>
      <c r="N40" s="97"/>
      <c r="O40" s="98"/>
      <c r="P40" s="98"/>
      <c r="Q40" s="98"/>
      <c r="R40" s="98"/>
      <c r="S40" s="99"/>
      <c r="T40" s="95"/>
      <c r="U40" s="100"/>
      <c r="V40" s="101"/>
      <c r="W40" s="101"/>
      <c r="X40" s="101"/>
      <c r="Y40" s="64"/>
      <c r="Z40" s="64"/>
      <c r="AA40" s="64"/>
      <c r="AB40" s="64"/>
      <c r="AC40" s="64"/>
      <c r="AD40" s="64"/>
      <c r="AE40" s="64"/>
      <c r="AF40" s="64"/>
      <c r="AG40" s="64"/>
    </row>
    <row r="41">
      <c r="A41" s="126">
        <f t="shared" si="3"/>
        <v>32</v>
      </c>
      <c r="B41" s="136" t="s">
        <v>1169</v>
      </c>
      <c r="C41" s="106" t="s">
        <v>63</v>
      </c>
      <c r="D41" s="128" t="s">
        <v>1170</v>
      </c>
      <c r="E41" s="129" t="s">
        <v>282</v>
      </c>
      <c r="F41" s="129" t="s">
        <v>322</v>
      </c>
      <c r="G41" s="130" t="s">
        <v>1171</v>
      </c>
      <c r="H41" s="131" t="s">
        <v>149</v>
      </c>
      <c r="I41" s="161" t="s">
        <v>165</v>
      </c>
      <c r="J41" s="114"/>
      <c r="K41" s="104"/>
      <c r="L41" s="95"/>
      <c r="M41" s="106" t="s">
        <v>1172</v>
      </c>
      <c r="N41" s="107" t="s">
        <v>1173</v>
      </c>
      <c r="O41" s="108" t="s">
        <v>1174</v>
      </c>
      <c r="P41" s="108" t="s">
        <v>1175</v>
      </c>
      <c r="Q41" s="108" t="s">
        <v>1176</v>
      </c>
      <c r="R41" s="120" t="s">
        <v>1177</v>
      </c>
      <c r="S41" s="181"/>
      <c r="T41" s="182"/>
      <c r="U41" s="182"/>
      <c r="V41" s="182"/>
      <c r="W41" s="85" t="s">
        <v>980</v>
      </c>
      <c r="X41" s="85" t="s">
        <v>981</v>
      </c>
      <c r="Y41" s="64"/>
      <c r="Z41" s="64"/>
      <c r="AA41" s="64"/>
      <c r="AB41" s="64"/>
      <c r="AC41" s="64"/>
      <c r="AD41" s="64"/>
      <c r="AE41" s="64"/>
      <c r="AF41" s="64"/>
      <c r="AG41" s="64"/>
    </row>
    <row r="42">
      <c r="A42" s="126">
        <f t="shared" si="3"/>
        <v>33</v>
      </c>
      <c r="B42" s="136" t="s">
        <v>1178</v>
      </c>
      <c r="C42" s="106" t="s">
        <v>63</v>
      </c>
      <c r="D42" s="158" t="s">
        <v>1179</v>
      </c>
      <c r="E42" s="159" t="s">
        <v>146</v>
      </c>
      <c r="F42" s="159" t="s">
        <v>322</v>
      </c>
      <c r="G42" s="160" t="s">
        <v>1180</v>
      </c>
      <c r="H42" s="131" t="s">
        <v>149</v>
      </c>
      <c r="I42" s="161" t="s">
        <v>165</v>
      </c>
      <c r="J42" s="114"/>
      <c r="K42" s="104"/>
      <c r="L42" s="95"/>
      <c r="M42" s="106" t="s">
        <v>1181</v>
      </c>
      <c r="N42" s="107" t="s">
        <v>1182</v>
      </c>
      <c r="O42" s="108" t="s">
        <v>1183</v>
      </c>
      <c r="P42" s="108" t="s">
        <v>1184</v>
      </c>
      <c r="Q42" s="108" t="s">
        <v>1185</v>
      </c>
      <c r="R42" s="120" t="s">
        <v>1186</v>
      </c>
      <c r="S42" s="181"/>
      <c r="T42" s="182"/>
      <c r="U42" s="182"/>
      <c r="V42" s="182"/>
      <c r="W42" s="85" t="s">
        <v>980</v>
      </c>
      <c r="X42" s="85" t="s">
        <v>981</v>
      </c>
      <c r="Y42" s="64"/>
      <c r="Z42" s="64"/>
      <c r="AA42" s="64"/>
      <c r="AB42" s="64"/>
      <c r="AC42" s="64"/>
      <c r="AD42" s="64"/>
      <c r="AE42" s="64"/>
      <c r="AF42" s="64"/>
      <c r="AG42" s="64"/>
    </row>
    <row r="43">
      <c r="A43" s="126">
        <f t="shared" si="3"/>
        <v>34</v>
      </c>
      <c r="B43" s="136" t="s">
        <v>1187</v>
      </c>
      <c r="C43" s="106" t="s">
        <v>63</v>
      </c>
      <c r="D43" s="128" t="s">
        <v>1188</v>
      </c>
      <c r="E43" s="129" t="s">
        <v>1189</v>
      </c>
      <c r="F43" s="129" t="s">
        <v>124</v>
      </c>
      <c r="G43" s="130" t="s">
        <v>1190</v>
      </c>
      <c r="H43" s="131" t="s">
        <v>149</v>
      </c>
      <c r="I43" s="161" t="s">
        <v>187</v>
      </c>
      <c r="J43" s="104" t="s">
        <v>1191</v>
      </c>
      <c r="K43" s="191" t="s">
        <v>1005</v>
      </c>
      <c r="L43" s="95"/>
      <c r="M43" s="142"/>
      <c r="N43" s="107"/>
      <c r="O43" s="108"/>
      <c r="P43" s="108"/>
      <c r="Q43" s="108"/>
      <c r="R43" s="120"/>
      <c r="S43" s="99"/>
      <c r="T43" s="95"/>
      <c r="U43" s="100"/>
      <c r="V43" s="101"/>
      <c r="W43" s="101"/>
      <c r="X43" s="101"/>
      <c r="Y43" s="64"/>
      <c r="Z43" s="64"/>
      <c r="AA43" s="64"/>
      <c r="AB43" s="64"/>
      <c r="AC43" s="64"/>
      <c r="AD43" s="64"/>
      <c r="AE43" s="64"/>
      <c r="AF43" s="64"/>
      <c r="AG43" s="64"/>
    </row>
    <row r="44">
      <c r="A44" s="126">
        <f t="shared" si="3"/>
        <v>35</v>
      </c>
      <c r="B44" s="136" t="s">
        <v>1192</v>
      </c>
      <c r="C44" s="106" t="s">
        <v>63</v>
      </c>
      <c r="D44" s="158" t="s">
        <v>1193</v>
      </c>
      <c r="E44" s="159" t="s">
        <v>221</v>
      </c>
      <c r="F44" s="159" t="s">
        <v>1052</v>
      </c>
      <c r="G44" s="160" t="s">
        <v>1194</v>
      </c>
      <c r="H44" s="131" t="s">
        <v>149</v>
      </c>
      <c r="I44" s="161" t="s">
        <v>187</v>
      </c>
      <c r="J44" s="104" t="s">
        <v>1195</v>
      </c>
      <c r="K44" s="191" t="s">
        <v>1005</v>
      </c>
      <c r="L44" s="95"/>
      <c r="M44" s="106"/>
      <c r="N44" s="107"/>
      <c r="O44" s="108"/>
      <c r="P44" s="108"/>
      <c r="Q44" s="108"/>
      <c r="R44" s="120"/>
      <c r="S44" s="99"/>
      <c r="T44" s="95"/>
      <c r="U44" s="100"/>
      <c r="V44" s="101"/>
      <c r="W44" s="101"/>
      <c r="X44" s="101"/>
      <c r="Y44" s="64"/>
      <c r="Z44" s="64"/>
      <c r="AA44" s="64"/>
      <c r="AB44" s="64"/>
      <c r="AC44" s="64"/>
      <c r="AD44" s="64"/>
      <c r="AE44" s="64"/>
      <c r="AF44" s="64"/>
      <c r="AG44" s="64"/>
    </row>
    <row r="45">
      <c r="A45" s="126">
        <f t="shared" si="3"/>
        <v>36</v>
      </c>
      <c r="B45" s="136" t="s">
        <v>1196</v>
      </c>
      <c r="C45" s="106" t="s">
        <v>63</v>
      </c>
      <c r="D45" s="128" t="s">
        <v>1197</v>
      </c>
      <c r="E45" s="129" t="s">
        <v>905</v>
      </c>
      <c r="F45" s="129" t="s">
        <v>307</v>
      </c>
      <c r="G45" s="130" t="s">
        <v>1198</v>
      </c>
      <c r="H45" s="131" t="s">
        <v>149</v>
      </c>
      <c r="I45" s="161" t="s">
        <v>165</v>
      </c>
      <c r="J45" s="114"/>
      <c r="K45" s="104"/>
      <c r="L45" s="95"/>
      <c r="M45" s="106" t="s">
        <v>196</v>
      </c>
      <c r="N45" s="107" t="s">
        <v>1199</v>
      </c>
      <c r="O45" s="108" t="s">
        <v>1200</v>
      </c>
      <c r="P45" s="108" t="s">
        <v>1201</v>
      </c>
      <c r="Q45" s="108" t="s">
        <v>1202</v>
      </c>
      <c r="R45" s="120" t="s">
        <v>1203</v>
      </c>
      <c r="S45" s="181"/>
      <c r="T45" s="182"/>
      <c r="U45" s="182"/>
      <c r="V45" s="182"/>
      <c r="W45" s="85" t="s">
        <v>980</v>
      </c>
      <c r="X45" s="85" t="s">
        <v>981</v>
      </c>
      <c r="Y45" s="64"/>
      <c r="Z45" s="64"/>
      <c r="AA45" s="64"/>
      <c r="AB45" s="64"/>
      <c r="AC45" s="64"/>
      <c r="AD45" s="64"/>
      <c r="AE45" s="64"/>
      <c r="AF45" s="64"/>
      <c r="AG45" s="64"/>
    </row>
    <row r="46">
      <c r="A46" s="126">
        <f t="shared" si="3"/>
        <v>37</v>
      </c>
      <c r="B46" s="136" t="s">
        <v>1204</v>
      </c>
      <c r="C46" s="106" t="s">
        <v>265</v>
      </c>
      <c r="D46" s="158" t="s">
        <v>1205</v>
      </c>
      <c r="E46" s="159" t="s">
        <v>351</v>
      </c>
      <c r="F46" s="159" t="s">
        <v>124</v>
      </c>
      <c r="G46" s="130" t="s">
        <v>1206</v>
      </c>
      <c r="H46" s="131" t="s">
        <v>149</v>
      </c>
      <c r="I46" s="161" t="s">
        <v>150</v>
      </c>
      <c r="J46" s="104" t="s">
        <v>1207</v>
      </c>
      <c r="K46" s="191" t="s">
        <v>1005</v>
      </c>
      <c r="L46" s="95"/>
      <c r="M46" s="106"/>
      <c r="N46" s="107"/>
      <c r="O46" s="108"/>
      <c r="P46" s="108"/>
      <c r="Q46" s="108"/>
      <c r="R46" s="120"/>
      <c r="S46" s="99"/>
      <c r="T46" s="95"/>
      <c r="U46" s="100"/>
      <c r="V46" s="101"/>
      <c r="W46" s="101"/>
      <c r="X46" s="101"/>
      <c r="Y46" s="64"/>
      <c r="Z46" s="64"/>
      <c r="AA46" s="64"/>
      <c r="AB46" s="64"/>
      <c r="AC46" s="64"/>
      <c r="AD46" s="64"/>
      <c r="AE46" s="64"/>
      <c r="AF46" s="64"/>
      <c r="AG46" s="64"/>
    </row>
    <row r="47">
      <c r="A47" s="126">
        <f t="shared" si="3"/>
        <v>38</v>
      </c>
      <c r="B47" s="136" t="s">
        <v>1208</v>
      </c>
      <c r="C47" s="106" t="s">
        <v>63</v>
      </c>
      <c r="D47" s="147" t="s">
        <v>1209</v>
      </c>
      <c r="E47" s="90" t="s">
        <v>351</v>
      </c>
      <c r="F47" s="129" t="s">
        <v>259</v>
      </c>
      <c r="G47" s="130" t="s">
        <v>1210</v>
      </c>
      <c r="H47" s="131" t="s">
        <v>149</v>
      </c>
      <c r="I47" s="161" t="s">
        <v>292</v>
      </c>
      <c r="J47" s="149" t="s">
        <v>1211</v>
      </c>
      <c r="K47" s="191" t="s">
        <v>1005</v>
      </c>
      <c r="L47" s="95"/>
      <c r="M47" s="96"/>
      <c r="N47" s="97"/>
      <c r="O47" s="98"/>
      <c r="P47" s="98"/>
      <c r="Q47" s="98"/>
      <c r="R47" s="98"/>
      <c r="S47" s="99"/>
      <c r="T47" s="95"/>
      <c r="U47" s="100"/>
      <c r="V47" s="101"/>
      <c r="W47" s="101"/>
      <c r="X47" s="101"/>
      <c r="Y47" s="64"/>
      <c r="Z47" s="64"/>
      <c r="AA47" s="64"/>
      <c r="AB47" s="64"/>
      <c r="AC47" s="64"/>
      <c r="AD47" s="64"/>
      <c r="AE47" s="64"/>
      <c r="AF47" s="64"/>
      <c r="AG47" s="64"/>
    </row>
    <row r="48">
      <c r="A48" s="126">
        <f t="shared" si="3"/>
        <v>39</v>
      </c>
      <c r="B48" s="136" t="s">
        <v>1212</v>
      </c>
      <c r="C48" s="106" t="s">
        <v>63</v>
      </c>
      <c r="D48" s="158" t="s">
        <v>1213</v>
      </c>
      <c r="E48" s="159" t="s">
        <v>146</v>
      </c>
      <c r="F48" s="159" t="s">
        <v>573</v>
      </c>
      <c r="G48" s="160" t="s">
        <v>1214</v>
      </c>
      <c r="H48" s="131" t="s">
        <v>149</v>
      </c>
      <c r="I48" s="161" t="s">
        <v>165</v>
      </c>
      <c r="J48" s="114"/>
      <c r="K48" s="104"/>
      <c r="L48" s="95"/>
      <c r="M48" s="106" t="s">
        <v>168</v>
      </c>
      <c r="N48" s="107" t="s">
        <v>1215</v>
      </c>
      <c r="O48" s="108" t="s">
        <v>1216</v>
      </c>
      <c r="P48" s="108" t="s">
        <v>1217</v>
      </c>
      <c r="Q48" s="108" t="s">
        <v>1218</v>
      </c>
      <c r="R48" s="120" t="s">
        <v>1219</v>
      </c>
      <c r="S48" s="181"/>
      <c r="T48" s="182"/>
      <c r="U48" s="182"/>
      <c r="V48" s="182"/>
      <c r="W48" s="85" t="s">
        <v>980</v>
      </c>
      <c r="X48" s="85" t="s">
        <v>981</v>
      </c>
      <c r="Y48" s="64"/>
      <c r="Z48" s="64"/>
      <c r="AA48" s="64"/>
      <c r="AB48" s="64"/>
      <c r="AC48" s="64"/>
      <c r="AD48" s="64"/>
      <c r="AE48" s="64"/>
      <c r="AF48" s="64"/>
      <c r="AG48" s="64"/>
    </row>
    <row r="49">
      <c r="A49" s="106">
        <f t="shared" si="3"/>
        <v>40</v>
      </c>
      <c r="B49" s="136" t="s">
        <v>1220</v>
      </c>
      <c r="C49" s="106" t="s">
        <v>63</v>
      </c>
      <c r="D49" s="128" t="s">
        <v>1221</v>
      </c>
      <c r="E49" s="129" t="s">
        <v>146</v>
      </c>
      <c r="F49" s="129" t="s">
        <v>194</v>
      </c>
      <c r="G49" s="130" t="s">
        <v>1222</v>
      </c>
      <c r="H49" s="131" t="s">
        <v>149</v>
      </c>
      <c r="I49" s="161" t="s">
        <v>165</v>
      </c>
      <c r="J49" s="114"/>
      <c r="K49" s="104"/>
      <c r="L49" s="95"/>
      <c r="M49" s="106" t="s">
        <v>168</v>
      </c>
      <c r="N49" s="107" t="s">
        <v>1223</v>
      </c>
      <c r="O49" s="108" t="s">
        <v>1224</v>
      </c>
      <c r="P49" s="108" t="s">
        <v>1225</v>
      </c>
      <c r="Q49" s="108" t="s">
        <v>1226</v>
      </c>
      <c r="R49" s="120" t="s">
        <v>1227</v>
      </c>
      <c r="S49" s="181"/>
      <c r="T49" s="182"/>
      <c r="U49" s="182"/>
      <c r="V49" s="182"/>
      <c r="W49" s="85" t="s">
        <v>980</v>
      </c>
      <c r="X49" s="85" t="s">
        <v>981</v>
      </c>
      <c r="Y49" s="64"/>
      <c r="Z49" s="64"/>
      <c r="AA49" s="64"/>
      <c r="AB49" s="64"/>
      <c r="AC49" s="64"/>
      <c r="AD49" s="64"/>
      <c r="AE49" s="64"/>
      <c r="AF49" s="64"/>
      <c r="AG49" s="64"/>
    </row>
    <row r="50">
      <c r="A50" s="106">
        <f t="shared" si="3"/>
        <v>41</v>
      </c>
      <c r="B50" s="136" t="s">
        <v>1228</v>
      </c>
      <c r="C50" s="106" t="s">
        <v>63</v>
      </c>
      <c r="D50" s="158" t="s">
        <v>1229</v>
      </c>
      <c r="E50" s="159" t="s">
        <v>146</v>
      </c>
      <c r="F50" s="159" t="s">
        <v>248</v>
      </c>
      <c r="G50" s="130" t="s">
        <v>1230</v>
      </c>
      <c r="H50" s="131" t="s">
        <v>149</v>
      </c>
      <c r="I50" s="161" t="s">
        <v>165</v>
      </c>
      <c r="J50" s="114"/>
      <c r="K50" s="104"/>
      <c r="L50" s="95"/>
      <c r="M50" s="106" t="s">
        <v>168</v>
      </c>
      <c r="N50" s="107" t="s">
        <v>1231</v>
      </c>
      <c r="O50" s="108" t="s">
        <v>1232</v>
      </c>
      <c r="P50" s="108" t="s">
        <v>1233</v>
      </c>
      <c r="Q50" s="108" t="s">
        <v>1234</v>
      </c>
      <c r="R50" s="120" t="s">
        <v>1235</v>
      </c>
      <c r="S50" s="181"/>
      <c r="T50" s="182"/>
      <c r="U50" s="182"/>
      <c r="V50" s="182"/>
      <c r="W50" s="85" t="s">
        <v>980</v>
      </c>
      <c r="X50" s="85" t="s">
        <v>981</v>
      </c>
      <c r="Y50" s="64"/>
      <c r="Z50" s="64"/>
      <c r="AA50" s="64"/>
      <c r="AB50" s="64"/>
      <c r="AC50" s="64"/>
      <c r="AD50" s="64"/>
      <c r="AE50" s="64"/>
      <c r="AF50" s="64"/>
      <c r="AG50" s="64"/>
    </row>
    <row r="51">
      <c r="A51" s="126">
        <f t="shared" si="3"/>
        <v>42</v>
      </c>
      <c r="B51" s="136" t="s">
        <v>1236</v>
      </c>
      <c r="C51" s="106" t="s">
        <v>63</v>
      </c>
      <c r="D51" s="128" t="s">
        <v>1237</v>
      </c>
      <c r="E51" s="129" t="s">
        <v>146</v>
      </c>
      <c r="F51" s="129" t="s">
        <v>194</v>
      </c>
      <c r="G51" s="130" t="s">
        <v>1238</v>
      </c>
      <c r="H51" s="131" t="s">
        <v>149</v>
      </c>
      <c r="I51" s="161" t="s">
        <v>150</v>
      </c>
      <c r="J51" s="104" t="s">
        <v>1239</v>
      </c>
      <c r="K51" s="191" t="s">
        <v>1005</v>
      </c>
      <c r="L51" s="95"/>
      <c r="M51" s="106"/>
      <c r="N51" s="107"/>
      <c r="O51" s="108"/>
      <c r="P51" s="108"/>
      <c r="Q51" s="108"/>
      <c r="R51" s="120"/>
      <c r="S51" s="99"/>
      <c r="T51" s="95"/>
      <c r="U51" s="100"/>
      <c r="V51" s="101"/>
      <c r="W51" s="101"/>
      <c r="X51" s="101"/>
      <c r="Y51" s="64"/>
      <c r="Z51" s="64"/>
      <c r="AA51" s="64"/>
      <c r="AB51" s="64"/>
      <c r="AC51" s="64"/>
      <c r="AD51" s="64"/>
      <c r="AE51" s="64"/>
      <c r="AF51" s="64"/>
      <c r="AG51" s="64"/>
    </row>
    <row r="52">
      <c r="A52" s="154">
        <f t="shared" si="3"/>
        <v>43</v>
      </c>
      <c r="B52" s="136" t="s">
        <v>1240</v>
      </c>
      <c r="C52" s="106" t="s">
        <v>63</v>
      </c>
      <c r="D52" s="158" t="s">
        <v>1241</v>
      </c>
      <c r="E52" s="159" t="s">
        <v>895</v>
      </c>
      <c r="F52" s="159" t="s">
        <v>654</v>
      </c>
      <c r="G52" s="160" t="s">
        <v>1242</v>
      </c>
      <c r="H52" s="131" t="s">
        <v>149</v>
      </c>
      <c r="I52" s="161" t="s">
        <v>165</v>
      </c>
      <c r="J52" s="114"/>
      <c r="K52" s="104"/>
      <c r="L52" s="95"/>
      <c r="M52" s="106" t="s">
        <v>897</v>
      </c>
      <c r="N52" s="107" t="s">
        <v>1243</v>
      </c>
      <c r="O52" s="108" t="s">
        <v>1244</v>
      </c>
      <c r="P52" s="108" t="s">
        <v>1245</v>
      </c>
      <c r="Q52" s="108" t="s">
        <v>1246</v>
      </c>
      <c r="R52" s="120" t="s">
        <v>1247</v>
      </c>
      <c r="S52" s="181"/>
      <c r="T52" s="182"/>
      <c r="U52" s="182"/>
      <c r="V52" s="182"/>
      <c r="W52" s="85" t="s">
        <v>980</v>
      </c>
      <c r="X52" s="85" t="s">
        <v>981</v>
      </c>
      <c r="Y52" s="64"/>
      <c r="Z52" s="64"/>
      <c r="AA52" s="64"/>
      <c r="AB52" s="64"/>
      <c r="AC52" s="64"/>
      <c r="AD52" s="64"/>
      <c r="AE52" s="64"/>
      <c r="AF52" s="64"/>
      <c r="AG52" s="64"/>
    </row>
    <row r="53">
      <c r="A53" s="126">
        <f t="shared" si="3"/>
        <v>44</v>
      </c>
      <c r="B53" s="133" t="s">
        <v>1248</v>
      </c>
      <c r="C53" s="106" t="s">
        <v>63</v>
      </c>
      <c r="D53" s="128" t="s">
        <v>1249</v>
      </c>
      <c r="E53" s="129" t="s">
        <v>411</v>
      </c>
      <c r="F53" s="129" t="s">
        <v>124</v>
      </c>
      <c r="G53" s="130" t="s">
        <v>1250</v>
      </c>
      <c r="H53" s="131" t="s">
        <v>149</v>
      </c>
      <c r="I53" s="161" t="s">
        <v>165</v>
      </c>
      <c r="J53" s="114"/>
      <c r="K53" s="104"/>
      <c r="L53" s="95"/>
      <c r="M53" s="142" t="s">
        <v>168</v>
      </c>
      <c r="N53" s="107" t="s">
        <v>1251</v>
      </c>
      <c r="O53" s="108" t="s">
        <v>582</v>
      </c>
      <c r="P53" s="108" t="s">
        <v>1252</v>
      </c>
      <c r="Q53" s="108" t="s">
        <v>1253</v>
      </c>
      <c r="R53" s="120" t="s">
        <v>1254</v>
      </c>
      <c r="S53" s="181"/>
      <c r="T53" s="182"/>
      <c r="U53" s="182"/>
      <c r="V53" s="182"/>
      <c r="W53" s="85" t="s">
        <v>980</v>
      </c>
      <c r="X53" s="85" t="s">
        <v>981</v>
      </c>
      <c r="Y53" s="64"/>
      <c r="Z53" s="64"/>
      <c r="AA53" s="64"/>
      <c r="AB53" s="64"/>
      <c r="AC53" s="64"/>
      <c r="AD53" s="64"/>
      <c r="AE53" s="64"/>
      <c r="AF53" s="64"/>
      <c r="AG53" s="64"/>
    </row>
    <row r="54">
      <c r="A54" s="126">
        <v>49.0</v>
      </c>
      <c r="B54" s="136" t="s">
        <v>1255</v>
      </c>
      <c r="C54" s="106" t="s">
        <v>67</v>
      </c>
      <c r="D54" s="158" t="s">
        <v>1256</v>
      </c>
      <c r="E54" s="159" t="s">
        <v>895</v>
      </c>
      <c r="F54" s="159" t="s">
        <v>124</v>
      </c>
      <c r="G54" s="160" t="s">
        <v>1257</v>
      </c>
      <c r="H54" s="131" t="s">
        <v>149</v>
      </c>
      <c r="I54" s="161" t="s">
        <v>165</v>
      </c>
      <c r="J54" s="114"/>
      <c r="K54" s="104"/>
      <c r="L54" s="95"/>
      <c r="M54" s="106" t="s">
        <v>661</v>
      </c>
      <c r="N54" s="150" t="s">
        <v>1258</v>
      </c>
      <c r="O54" s="108" t="s">
        <v>526</v>
      </c>
      <c r="P54" s="108" t="s">
        <v>1259</v>
      </c>
      <c r="Q54" s="108" t="s">
        <v>1260</v>
      </c>
      <c r="R54" s="120" t="s">
        <v>1261</v>
      </c>
      <c r="S54" s="181"/>
      <c r="T54" s="182"/>
      <c r="U54" s="182"/>
      <c r="V54" s="182"/>
      <c r="W54" s="85" t="s">
        <v>980</v>
      </c>
      <c r="X54" s="85" t="s">
        <v>981</v>
      </c>
      <c r="Y54" s="64"/>
      <c r="Z54" s="64"/>
      <c r="AA54" s="64"/>
      <c r="AB54" s="64"/>
      <c r="AC54" s="64"/>
      <c r="AD54" s="64"/>
      <c r="AE54" s="64"/>
      <c r="AF54" s="64"/>
      <c r="AG54" s="64"/>
    </row>
    <row r="55">
      <c r="A55" s="126">
        <f t="shared" ref="A55:A63" si="4">IF(ISBLANK(B55),"",COUNTA($B$9:B54))</f>
        <v>46</v>
      </c>
      <c r="B55" s="136" t="s">
        <v>1262</v>
      </c>
      <c r="C55" s="106" t="s">
        <v>63</v>
      </c>
      <c r="D55" s="128" t="s">
        <v>1263</v>
      </c>
      <c r="E55" s="129" t="s">
        <v>1085</v>
      </c>
      <c r="F55" s="129" t="s">
        <v>124</v>
      </c>
      <c r="G55" s="130" t="s">
        <v>1264</v>
      </c>
      <c r="H55" s="131" t="s">
        <v>149</v>
      </c>
      <c r="I55" s="161" t="s">
        <v>150</v>
      </c>
      <c r="J55" s="104" t="s">
        <v>1265</v>
      </c>
      <c r="K55" s="191" t="s">
        <v>1005</v>
      </c>
      <c r="L55" s="95"/>
      <c r="M55" s="106"/>
      <c r="N55" s="107"/>
      <c r="O55" s="108"/>
      <c r="P55" s="108"/>
      <c r="Q55" s="108"/>
      <c r="R55" s="120"/>
      <c r="S55" s="99"/>
      <c r="T55" s="95"/>
      <c r="U55" s="100"/>
      <c r="V55" s="101"/>
      <c r="W55" s="101"/>
      <c r="X55" s="101"/>
      <c r="Y55" s="64"/>
      <c r="Z55" s="64"/>
      <c r="AA55" s="64"/>
      <c r="AB55" s="64"/>
      <c r="AC55" s="64"/>
      <c r="AD55" s="64"/>
      <c r="AE55" s="64"/>
      <c r="AF55" s="64"/>
      <c r="AG55" s="64"/>
    </row>
    <row r="56">
      <c r="A56" s="126">
        <f t="shared" si="4"/>
        <v>47</v>
      </c>
      <c r="B56" s="136" t="s">
        <v>1266</v>
      </c>
      <c r="C56" s="106" t="s">
        <v>63</v>
      </c>
      <c r="D56" s="128" t="s">
        <v>1267</v>
      </c>
      <c r="E56" s="129" t="s">
        <v>351</v>
      </c>
      <c r="F56" s="129" t="s">
        <v>1052</v>
      </c>
      <c r="G56" s="130" t="s">
        <v>1268</v>
      </c>
      <c r="H56" s="131" t="s">
        <v>149</v>
      </c>
      <c r="I56" s="93" t="s">
        <v>165</v>
      </c>
      <c r="J56" s="104"/>
      <c r="K56" s="94"/>
      <c r="L56" s="95"/>
      <c r="M56" s="106" t="s">
        <v>499</v>
      </c>
      <c r="N56" s="107" t="s">
        <v>1269</v>
      </c>
      <c r="O56" s="108" t="s">
        <v>1270</v>
      </c>
      <c r="P56" s="108" t="s">
        <v>1271</v>
      </c>
      <c r="Q56" s="192" t="s">
        <v>1272</v>
      </c>
      <c r="R56" s="120" t="s">
        <v>1273</v>
      </c>
      <c r="S56" s="181"/>
      <c r="T56" s="182"/>
      <c r="U56" s="182"/>
      <c r="V56" s="182"/>
      <c r="W56" s="182"/>
      <c r="X56" s="182"/>
      <c r="Y56" s="64"/>
      <c r="Z56" s="64"/>
      <c r="AA56" s="64"/>
      <c r="AB56" s="64"/>
      <c r="AC56" s="64"/>
      <c r="AD56" s="64"/>
      <c r="AE56" s="64"/>
      <c r="AF56" s="64"/>
      <c r="AG56" s="64"/>
    </row>
    <row r="57">
      <c r="A57" s="126">
        <f t="shared" si="4"/>
        <v>48</v>
      </c>
      <c r="B57" s="141" t="s">
        <v>1274</v>
      </c>
      <c r="C57" s="106" t="s">
        <v>63</v>
      </c>
      <c r="D57" s="158" t="s">
        <v>1275</v>
      </c>
      <c r="E57" s="159" t="s">
        <v>351</v>
      </c>
      <c r="F57" s="159" t="s">
        <v>376</v>
      </c>
      <c r="G57" s="160" t="s">
        <v>1276</v>
      </c>
      <c r="H57" s="131" t="s">
        <v>149</v>
      </c>
      <c r="I57" s="93" t="s">
        <v>165</v>
      </c>
      <c r="J57" s="114"/>
      <c r="K57" s="104"/>
      <c r="L57" s="95"/>
      <c r="M57" s="106" t="s">
        <v>1277</v>
      </c>
      <c r="N57" s="107" t="s">
        <v>1278</v>
      </c>
      <c r="O57" s="108" t="s">
        <v>1279</v>
      </c>
      <c r="P57" s="108" t="s">
        <v>1280</v>
      </c>
      <c r="Q57" s="108" t="s">
        <v>1281</v>
      </c>
      <c r="R57" s="120" t="s">
        <v>1282</v>
      </c>
      <c r="S57" s="181"/>
      <c r="T57" s="182"/>
      <c r="U57" s="182"/>
      <c r="V57" s="182"/>
      <c r="W57" s="182"/>
      <c r="X57" s="182"/>
      <c r="Y57" s="64"/>
      <c r="Z57" s="64"/>
      <c r="AA57" s="64"/>
      <c r="AB57" s="64"/>
      <c r="AC57" s="64"/>
      <c r="AD57" s="64"/>
      <c r="AE57" s="64"/>
      <c r="AF57" s="64"/>
      <c r="AG57" s="64"/>
    </row>
    <row r="58">
      <c r="A58" s="126">
        <f t="shared" si="4"/>
        <v>49</v>
      </c>
      <c r="B58" s="195" t="s">
        <v>1283</v>
      </c>
      <c r="C58" s="134" t="s">
        <v>63</v>
      </c>
      <c r="D58" s="128" t="s">
        <v>1284</v>
      </c>
      <c r="E58" s="135" t="s">
        <v>905</v>
      </c>
      <c r="F58" s="129" t="s">
        <v>1285</v>
      </c>
      <c r="G58" s="130" t="s">
        <v>1286</v>
      </c>
      <c r="H58" s="131" t="s">
        <v>149</v>
      </c>
      <c r="I58" s="93" t="s">
        <v>165</v>
      </c>
      <c r="J58" s="114"/>
      <c r="K58" s="104"/>
      <c r="L58" s="95"/>
      <c r="M58" s="106" t="s">
        <v>897</v>
      </c>
      <c r="N58" s="107" t="s">
        <v>1287</v>
      </c>
      <c r="O58" s="108" t="s">
        <v>1288</v>
      </c>
      <c r="P58" s="108" t="s">
        <v>1289</v>
      </c>
      <c r="Q58" s="108" t="s">
        <v>1290</v>
      </c>
      <c r="R58" s="120" t="s">
        <v>1291</v>
      </c>
      <c r="S58" s="181"/>
      <c r="T58" s="182"/>
      <c r="U58" s="182"/>
      <c r="V58" s="182"/>
      <c r="W58" s="182"/>
      <c r="X58" s="182"/>
      <c r="Y58" s="64"/>
      <c r="Z58" s="64"/>
      <c r="AA58" s="64"/>
      <c r="AB58" s="64"/>
      <c r="AC58" s="64"/>
      <c r="AD58" s="64"/>
      <c r="AE58" s="64"/>
      <c r="AF58" s="64"/>
      <c r="AG58" s="64"/>
    </row>
    <row r="59">
      <c r="A59" s="126">
        <f t="shared" si="4"/>
        <v>50</v>
      </c>
      <c r="B59" s="141" t="s">
        <v>1292</v>
      </c>
      <c r="C59" s="106" t="s">
        <v>63</v>
      </c>
      <c r="D59" s="158" t="s">
        <v>1293</v>
      </c>
      <c r="E59" s="159" t="s">
        <v>895</v>
      </c>
      <c r="F59" s="159" t="s">
        <v>420</v>
      </c>
      <c r="G59" s="160" t="s">
        <v>1294</v>
      </c>
      <c r="H59" s="131" t="s">
        <v>149</v>
      </c>
      <c r="I59" s="93" t="s">
        <v>165</v>
      </c>
      <c r="J59" s="114"/>
      <c r="K59" s="104"/>
      <c r="L59" s="95"/>
      <c r="M59" s="142" t="s">
        <v>153</v>
      </c>
      <c r="N59" s="107" t="s">
        <v>1295</v>
      </c>
      <c r="O59" s="108" t="s">
        <v>1296</v>
      </c>
      <c r="P59" s="108" t="s">
        <v>1297</v>
      </c>
      <c r="Q59" s="108" t="s">
        <v>1298</v>
      </c>
      <c r="R59" s="120" t="s">
        <v>1299</v>
      </c>
      <c r="S59" s="181"/>
      <c r="T59" s="182"/>
      <c r="U59" s="182"/>
      <c r="V59" s="182"/>
      <c r="W59" s="182"/>
      <c r="X59" s="182"/>
      <c r="Y59" s="64"/>
      <c r="Z59" s="64"/>
      <c r="AA59" s="64"/>
      <c r="AB59" s="64"/>
      <c r="AC59" s="64"/>
      <c r="AD59" s="64"/>
      <c r="AE59" s="64"/>
      <c r="AF59" s="64"/>
      <c r="AG59" s="64"/>
    </row>
    <row r="60">
      <c r="A60" s="126">
        <f t="shared" si="4"/>
        <v>51</v>
      </c>
      <c r="B60" s="133" t="s">
        <v>1300</v>
      </c>
      <c r="C60" s="106" t="s">
        <v>81</v>
      </c>
      <c r="D60" s="128" t="s">
        <v>1301</v>
      </c>
      <c r="E60" s="129" t="s">
        <v>267</v>
      </c>
      <c r="F60" s="129" t="s">
        <v>376</v>
      </c>
      <c r="G60" s="130" t="s">
        <v>1302</v>
      </c>
      <c r="H60" s="131" t="s">
        <v>149</v>
      </c>
      <c r="I60" s="93" t="s">
        <v>187</v>
      </c>
      <c r="J60" s="104" t="s">
        <v>1303</v>
      </c>
      <c r="K60" s="191" t="s">
        <v>1005</v>
      </c>
      <c r="L60" s="95"/>
      <c r="M60" s="96"/>
      <c r="N60" s="97"/>
      <c r="O60" s="98"/>
      <c r="P60" s="98"/>
      <c r="Q60" s="98"/>
      <c r="R60" s="98"/>
      <c r="S60" s="99"/>
      <c r="T60" s="95"/>
      <c r="U60" s="100"/>
      <c r="V60" s="101"/>
      <c r="W60" s="101"/>
      <c r="X60" s="101"/>
      <c r="Y60" s="64"/>
      <c r="Z60" s="64"/>
      <c r="AA60" s="64"/>
      <c r="AB60" s="64"/>
      <c r="AC60" s="64"/>
      <c r="AD60" s="64"/>
      <c r="AE60" s="64"/>
      <c r="AF60" s="64"/>
      <c r="AG60" s="64"/>
    </row>
    <row r="61">
      <c r="A61" s="126">
        <f t="shared" si="4"/>
        <v>52</v>
      </c>
      <c r="B61" s="136" t="s">
        <v>1304</v>
      </c>
      <c r="C61" s="106" t="s">
        <v>63</v>
      </c>
      <c r="D61" s="158" t="s">
        <v>1305</v>
      </c>
      <c r="E61" s="159" t="s">
        <v>1306</v>
      </c>
      <c r="F61" s="159" t="s">
        <v>194</v>
      </c>
      <c r="G61" s="160" t="s">
        <v>1307</v>
      </c>
      <c r="H61" s="131" t="s">
        <v>149</v>
      </c>
      <c r="I61" s="93" t="s">
        <v>165</v>
      </c>
      <c r="J61" s="114"/>
      <c r="K61" s="104"/>
      <c r="L61" s="95"/>
      <c r="M61" s="142" t="s">
        <v>250</v>
      </c>
      <c r="N61" s="107" t="s">
        <v>1308</v>
      </c>
      <c r="O61" s="108" t="s">
        <v>1309</v>
      </c>
      <c r="P61" s="108" t="s">
        <v>1310</v>
      </c>
      <c r="Q61" s="163" t="s">
        <v>1311</v>
      </c>
      <c r="R61" s="164" t="s">
        <v>1312</v>
      </c>
      <c r="S61" s="181"/>
      <c r="T61" s="182"/>
      <c r="U61" s="182"/>
      <c r="V61" s="182"/>
      <c r="W61" s="182"/>
      <c r="X61" s="182"/>
      <c r="Y61" s="64"/>
      <c r="Z61" s="64"/>
      <c r="AA61" s="64"/>
      <c r="AB61" s="64"/>
      <c r="AC61" s="64"/>
      <c r="AD61" s="64"/>
      <c r="AE61" s="64"/>
      <c r="AF61" s="64"/>
      <c r="AG61" s="64"/>
    </row>
    <row r="62">
      <c r="A62" s="126">
        <f t="shared" si="4"/>
        <v>53</v>
      </c>
      <c r="B62" s="141" t="s">
        <v>1313</v>
      </c>
      <c r="C62" s="126" t="s">
        <v>67</v>
      </c>
      <c r="D62" s="128" t="s">
        <v>1314</v>
      </c>
      <c r="E62" s="135" t="s">
        <v>605</v>
      </c>
      <c r="F62" s="129" t="s">
        <v>194</v>
      </c>
      <c r="G62" s="130" t="s">
        <v>1315</v>
      </c>
      <c r="H62" s="131" t="s">
        <v>149</v>
      </c>
      <c r="I62" s="93" t="s">
        <v>165</v>
      </c>
      <c r="J62" s="114"/>
      <c r="K62" s="104"/>
      <c r="L62" s="95"/>
      <c r="M62" s="106" t="s">
        <v>499</v>
      </c>
      <c r="N62" s="107" t="s">
        <v>1316</v>
      </c>
      <c r="O62" s="108" t="s">
        <v>1317</v>
      </c>
      <c r="P62" s="108" t="s">
        <v>1318</v>
      </c>
      <c r="Q62" s="163" t="s">
        <v>1319</v>
      </c>
      <c r="R62" s="164" t="s">
        <v>1320</v>
      </c>
      <c r="S62" s="181"/>
      <c r="T62" s="182"/>
      <c r="U62" s="182"/>
      <c r="V62" s="182"/>
      <c r="W62" s="182"/>
      <c r="X62" s="182"/>
      <c r="Y62" s="64"/>
      <c r="Z62" s="64"/>
      <c r="AA62" s="64"/>
      <c r="AB62" s="64"/>
      <c r="AC62" s="64"/>
      <c r="AD62" s="64"/>
      <c r="AE62" s="64"/>
      <c r="AF62" s="64"/>
      <c r="AG62" s="64"/>
    </row>
    <row r="63">
      <c r="A63" s="126">
        <f t="shared" si="4"/>
        <v>54</v>
      </c>
      <c r="B63" s="141" t="s">
        <v>1321</v>
      </c>
      <c r="C63" s="134" t="s">
        <v>67</v>
      </c>
      <c r="D63" s="158" t="s">
        <v>1322</v>
      </c>
      <c r="E63" s="159" t="s">
        <v>962</v>
      </c>
      <c r="F63" s="159" t="s">
        <v>1323</v>
      </c>
      <c r="G63" s="160" t="s">
        <v>1324</v>
      </c>
      <c r="H63" s="131" t="s">
        <v>149</v>
      </c>
      <c r="I63" s="93" t="s">
        <v>165</v>
      </c>
      <c r="J63" s="114"/>
      <c r="K63" s="104"/>
      <c r="L63" s="95"/>
      <c r="M63" s="142" t="s">
        <v>367</v>
      </c>
      <c r="N63" s="107" t="s">
        <v>1325</v>
      </c>
      <c r="O63" s="108" t="s">
        <v>1326</v>
      </c>
      <c r="P63" s="108" t="s">
        <v>1327</v>
      </c>
      <c r="Q63" s="163" t="s">
        <v>1328</v>
      </c>
      <c r="R63" s="164" t="s">
        <v>1329</v>
      </c>
      <c r="S63" s="181"/>
      <c r="T63" s="182"/>
      <c r="U63" s="182"/>
      <c r="V63" s="182"/>
      <c r="W63" s="182"/>
      <c r="X63" s="182"/>
      <c r="Y63" s="64"/>
      <c r="Z63" s="64"/>
      <c r="AA63" s="64"/>
      <c r="AB63" s="64"/>
      <c r="AC63" s="64"/>
      <c r="AD63" s="64"/>
      <c r="AE63" s="64"/>
      <c r="AF63" s="64"/>
      <c r="AG63" s="64"/>
    </row>
    <row r="64">
      <c r="A64" s="126">
        <v>60.0</v>
      </c>
      <c r="B64" s="141" t="s">
        <v>1330</v>
      </c>
      <c r="C64" s="106" t="s">
        <v>63</v>
      </c>
      <c r="D64" s="128" t="s">
        <v>1331</v>
      </c>
      <c r="E64" s="129" t="s">
        <v>382</v>
      </c>
      <c r="F64" s="129" t="s">
        <v>1332</v>
      </c>
      <c r="G64" s="130" t="s">
        <v>1333</v>
      </c>
      <c r="H64" s="131" t="s">
        <v>149</v>
      </c>
      <c r="I64" s="93" t="s">
        <v>165</v>
      </c>
      <c r="J64" s="114"/>
      <c r="K64" s="104"/>
      <c r="L64" s="95"/>
      <c r="M64" s="142" t="s">
        <v>661</v>
      </c>
      <c r="N64" s="107" t="s">
        <v>1334</v>
      </c>
      <c r="O64" s="108" t="s">
        <v>1335</v>
      </c>
      <c r="P64" s="108" t="s">
        <v>1336</v>
      </c>
      <c r="Q64" s="163" t="s">
        <v>1337</v>
      </c>
      <c r="R64" s="164" t="s">
        <v>1338</v>
      </c>
      <c r="S64" s="181"/>
      <c r="T64" s="182"/>
      <c r="U64" s="182"/>
      <c r="V64" s="182"/>
      <c r="W64" s="182"/>
      <c r="X64" s="182"/>
      <c r="Y64" s="64"/>
      <c r="Z64" s="64"/>
      <c r="AA64" s="64"/>
      <c r="AB64" s="64"/>
      <c r="AC64" s="64"/>
      <c r="AD64" s="64"/>
      <c r="AE64" s="64"/>
      <c r="AF64" s="64"/>
      <c r="AG64" s="64"/>
    </row>
    <row r="65">
      <c r="A65" s="126">
        <f t="shared" ref="A65:A72" si="5">IF(ISBLANK(B65),"",COUNTA($B$9:B64))</f>
        <v>56</v>
      </c>
      <c r="B65" s="136" t="s">
        <v>1339</v>
      </c>
      <c r="C65" s="134" t="s">
        <v>63</v>
      </c>
      <c r="D65" s="158" t="s">
        <v>1340</v>
      </c>
      <c r="E65" s="159" t="s">
        <v>221</v>
      </c>
      <c r="F65" s="159" t="s">
        <v>194</v>
      </c>
      <c r="G65" s="160" t="s">
        <v>1341</v>
      </c>
      <c r="H65" s="131" t="s">
        <v>149</v>
      </c>
      <c r="I65" s="93" t="s">
        <v>150</v>
      </c>
      <c r="J65" s="104" t="s">
        <v>269</v>
      </c>
      <c r="K65" s="191" t="s">
        <v>1005</v>
      </c>
      <c r="L65" s="95"/>
      <c r="M65" s="106"/>
      <c r="N65" s="107"/>
      <c r="O65" s="108"/>
      <c r="P65" s="108"/>
      <c r="Q65" s="108"/>
      <c r="R65" s="120"/>
      <c r="S65" s="99"/>
      <c r="T65" s="95"/>
      <c r="U65" s="100"/>
      <c r="V65" s="101"/>
      <c r="W65" s="101"/>
      <c r="X65" s="101"/>
      <c r="Y65" s="64"/>
      <c r="Z65" s="64"/>
      <c r="AA65" s="64"/>
      <c r="AB65" s="64"/>
      <c r="AC65" s="64"/>
      <c r="AD65" s="64"/>
      <c r="AE65" s="64"/>
      <c r="AF65" s="64"/>
      <c r="AG65" s="64"/>
    </row>
    <row r="66">
      <c r="A66" s="126">
        <f t="shared" si="5"/>
        <v>57</v>
      </c>
      <c r="B66" s="141" t="s">
        <v>1342</v>
      </c>
      <c r="C66" s="106" t="s">
        <v>67</v>
      </c>
      <c r="D66" s="128" t="s">
        <v>1343</v>
      </c>
      <c r="E66" s="129" t="s">
        <v>162</v>
      </c>
      <c r="F66" s="129" t="s">
        <v>682</v>
      </c>
      <c r="G66" s="130" t="s">
        <v>1344</v>
      </c>
      <c r="H66" s="131" t="s">
        <v>149</v>
      </c>
      <c r="I66" s="93" t="s">
        <v>187</v>
      </c>
      <c r="J66" s="104" t="s">
        <v>1345</v>
      </c>
      <c r="K66" s="191" t="s">
        <v>1005</v>
      </c>
      <c r="L66" s="95"/>
      <c r="M66" s="96"/>
      <c r="N66" s="97"/>
      <c r="O66" s="98"/>
      <c r="P66" s="98"/>
      <c r="Q66" s="98"/>
      <c r="R66" s="98"/>
      <c r="S66" s="99"/>
      <c r="T66" s="95"/>
      <c r="U66" s="100"/>
      <c r="V66" s="101"/>
      <c r="W66" s="101"/>
      <c r="X66" s="101"/>
      <c r="Y66" s="64"/>
      <c r="Z66" s="64"/>
      <c r="AA66" s="64"/>
      <c r="AB66" s="64"/>
      <c r="AC66" s="64"/>
      <c r="AD66" s="64"/>
      <c r="AE66" s="64"/>
      <c r="AF66" s="64"/>
      <c r="AG66" s="64"/>
    </row>
    <row r="67">
      <c r="A67" s="126">
        <f t="shared" si="5"/>
        <v>58</v>
      </c>
      <c r="B67" s="141" t="s">
        <v>1346</v>
      </c>
      <c r="C67" s="106" t="s">
        <v>63</v>
      </c>
      <c r="D67" s="158" t="s">
        <v>1347</v>
      </c>
      <c r="E67" s="159" t="s">
        <v>351</v>
      </c>
      <c r="F67" s="159" t="s">
        <v>194</v>
      </c>
      <c r="G67" s="160" t="s">
        <v>1348</v>
      </c>
      <c r="H67" s="131" t="s">
        <v>149</v>
      </c>
      <c r="I67" s="93" t="s">
        <v>165</v>
      </c>
      <c r="J67" s="114"/>
      <c r="K67" s="104"/>
      <c r="L67" s="95"/>
      <c r="M67" s="142" t="s">
        <v>1349</v>
      </c>
      <c r="N67" s="107" t="s">
        <v>1350</v>
      </c>
      <c r="O67" s="108" t="s">
        <v>1351</v>
      </c>
      <c r="P67" s="108" t="s">
        <v>1352</v>
      </c>
      <c r="Q67" s="163" t="s">
        <v>1353</v>
      </c>
      <c r="R67" s="164" t="s">
        <v>1354</v>
      </c>
      <c r="S67" s="181"/>
      <c r="T67" s="182"/>
      <c r="U67" s="182"/>
      <c r="V67" s="182"/>
      <c r="W67" s="182"/>
      <c r="X67" s="182"/>
      <c r="Y67" s="64"/>
      <c r="Z67" s="64"/>
      <c r="AA67" s="64"/>
      <c r="AB67" s="64"/>
      <c r="AC67" s="64"/>
      <c r="AD67" s="64"/>
      <c r="AE67" s="64"/>
      <c r="AF67" s="64"/>
      <c r="AG67" s="64"/>
    </row>
    <row r="68">
      <c r="A68" s="126">
        <f t="shared" si="5"/>
        <v>59</v>
      </c>
      <c r="B68" s="133" t="s">
        <v>1355</v>
      </c>
      <c r="C68" s="106" t="s">
        <v>63</v>
      </c>
      <c r="D68" s="128" t="s">
        <v>1356</v>
      </c>
      <c r="E68" s="129" t="s">
        <v>487</v>
      </c>
      <c r="F68" s="129" t="s">
        <v>259</v>
      </c>
      <c r="G68" s="130" t="s">
        <v>1357</v>
      </c>
      <c r="H68" s="131" t="s">
        <v>149</v>
      </c>
      <c r="I68" s="161" t="s">
        <v>187</v>
      </c>
      <c r="J68" s="104" t="s">
        <v>1358</v>
      </c>
      <c r="K68" s="191" t="s">
        <v>1005</v>
      </c>
      <c r="L68" s="95"/>
      <c r="M68" s="106"/>
      <c r="N68" s="107"/>
      <c r="O68" s="108"/>
      <c r="P68" s="108"/>
      <c r="Q68" s="108"/>
      <c r="R68" s="120"/>
      <c r="S68" s="99"/>
      <c r="T68" s="95"/>
      <c r="U68" s="100"/>
      <c r="V68" s="101"/>
      <c r="W68" s="101"/>
      <c r="X68" s="101"/>
      <c r="Y68" s="64"/>
      <c r="Z68" s="64"/>
      <c r="AA68" s="64"/>
      <c r="AB68" s="64"/>
      <c r="AC68" s="64"/>
      <c r="AD68" s="64"/>
      <c r="AE68" s="64"/>
      <c r="AF68" s="64"/>
      <c r="AG68" s="64"/>
    </row>
    <row r="69">
      <c r="A69" s="126">
        <f t="shared" si="5"/>
        <v>60</v>
      </c>
      <c r="B69" s="133" t="s">
        <v>1359</v>
      </c>
      <c r="C69" s="106" t="s">
        <v>63</v>
      </c>
      <c r="D69" s="158" t="s">
        <v>1360</v>
      </c>
      <c r="E69" s="159" t="s">
        <v>411</v>
      </c>
      <c r="F69" s="159" t="s">
        <v>194</v>
      </c>
      <c r="G69" s="160" t="s">
        <v>1361</v>
      </c>
      <c r="H69" s="131" t="s">
        <v>149</v>
      </c>
      <c r="I69" s="93" t="s">
        <v>165</v>
      </c>
      <c r="J69" s="114"/>
      <c r="K69" s="104"/>
      <c r="L69" s="95"/>
      <c r="M69" s="106" t="s">
        <v>1362</v>
      </c>
      <c r="N69" s="107" t="s">
        <v>1363</v>
      </c>
      <c r="O69" s="108" t="s">
        <v>1364</v>
      </c>
      <c r="P69" s="108" t="s">
        <v>1365</v>
      </c>
      <c r="Q69" s="163" t="s">
        <v>1366</v>
      </c>
      <c r="R69" s="164" t="s">
        <v>1367</v>
      </c>
      <c r="S69" s="181"/>
      <c r="T69" s="182"/>
      <c r="U69" s="182"/>
      <c r="V69" s="182"/>
      <c r="W69" s="182"/>
      <c r="X69" s="182"/>
      <c r="Y69" s="64"/>
      <c r="Z69" s="64"/>
      <c r="AA69" s="64"/>
      <c r="AB69" s="64"/>
      <c r="AC69" s="64"/>
      <c r="AD69" s="64"/>
      <c r="AE69" s="64"/>
      <c r="AF69" s="64"/>
      <c r="AG69" s="64"/>
    </row>
    <row r="70">
      <c r="A70" s="126">
        <f t="shared" si="5"/>
        <v>61</v>
      </c>
      <c r="B70" s="141" t="s">
        <v>1368</v>
      </c>
      <c r="C70" s="106" t="s">
        <v>67</v>
      </c>
      <c r="D70" s="128" t="s">
        <v>1369</v>
      </c>
      <c r="E70" s="129" t="s">
        <v>1370</v>
      </c>
      <c r="F70" s="129" t="s">
        <v>573</v>
      </c>
      <c r="G70" s="130" t="s">
        <v>1371</v>
      </c>
      <c r="H70" s="131" t="s">
        <v>149</v>
      </c>
      <c r="I70" s="93" t="s">
        <v>165</v>
      </c>
      <c r="J70" s="104"/>
      <c r="K70" s="196"/>
      <c r="L70" s="95"/>
      <c r="M70" s="142" t="s">
        <v>250</v>
      </c>
      <c r="N70" s="107" t="s">
        <v>1372</v>
      </c>
      <c r="O70" s="108" t="s">
        <v>1373</v>
      </c>
      <c r="P70" s="108" t="s">
        <v>1374</v>
      </c>
      <c r="Q70" s="163" t="s">
        <v>1375</v>
      </c>
      <c r="R70" s="164" t="s">
        <v>1376</v>
      </c>
      <c r="S70" s="181"/>
      <c r="T70" s="182"/>
      <c r="U70" s="182"/>
      <c r="V70" s="182"/>
      <c r="W70" s="182"/>
      <c r="X70" s="182"/>
      <c r="Y70" s="64"/>
      <c r="Z70" s="64"/>
      <c r="AA70" s="64"/>
      <c r="AB70" s="64"/>
      <c r="AC70" s="64"/>
      <c r="AD70" s="64"/>
      <c r="AE70" s="64"/>
      <c r="AF70" s="64"/>
      <c r="AG70" s="64"/>
    </row>
    <row r="71">
      <c r="A71" s="126">
        <f t="shared" si="5"/>
        <v>62</v>
      </c>
      <c r="B71" s="136" t="s">
        <v>1377</v>
      </c>
      <c r="C71" s="106" t="s">
        <v>67</v>
      </c>
      <c r="D71" s="158" t="s">
        <v>1378</v>
      </c>
      <c r="E71" s="159" t="s">
        <v>297</v>
      </c>
      <c r="F71" s="159" t="s">
        <v>1052</v>
      </c>
      <c r="G71" s="160" t="s">
        <v>1379</v>
      </c>
      <c r="H71" s="131" t="s">
        <v>149</v>
      </c>
      <c r="I71" s="93" t="s">
        <v>165</v>
      </c>
      <c r="J71" s="114"/>
      <c r="K71" s="104"/>
      <c r="L71" s="95"/>
      <c r="M71" s="106" t="s">
        <v>196</v>
      </c>
      <c r="N71" s="150" t="s">
        <v>1380</v>
      </c>
      <c r="O71" s="108" t="s">
        <v>1381</v>
      </c>
      <c r="P71" s="108" t="s">
        <v>1382</v>
      </c>
      <c r="Q71" s="163" t="s">
        <v>1383</v>
      </c>
      <c r="R71" s="164" t="s">
        <v>1384</v>
      </c>
      <c r="S71" s="181"/>
      <c r="T71" s="182"/>
      <c r="U71" s="182"/>
      <c r="V71" s="182"/>
      <c r="W71" s="182"/>
      <c r="X71" s="182"/>
      <c r="Y71" s="64"/>
      <c r="Z71" s="64"/>
      <c r="AA71" s="64"/>
      <c r="AB71" s="64"/>
      <c r="AC71" s="64"/>
      <c r="AD71" s="64"/>
      <c r="AE71" s="64"/>
      <c r="AF71" s="64"/>
      <c r="AG71" s="64"/>
    </row>
    <row r="72">
      <c r="A72" s="126">
        <f t="shared" si="5"/>
        <v>63</v>
      </c>
      <c r="B72" s="136" t="s">
        <v>1385</v>
      </c>
      <c r="C72" s="134" t="s">
        <v>67</v>
      </c>
      <c r="D72" s="197" t="s">
        <v>1386</v>
      </c>
      <c r="E72" s="135" t="s">
        <v>1387</v>
      </c>
      <c r="F72" s="129" t="s">
        <v>376</v>
      </c>
      <c r="G72" s="130" t="s">
        <v>1388</v>
      </c>
      <c r="H72" s="131" t="s">
        <v>149</v>
      </c>
      <c r="I72" s="93" t="s">
        <v>165</v>
      </c>
      <c r="J72" s="114"/>
      <c r="K72" s="104"/>
      <c r="L72" s="95"/>
      <c r="M72" s="106" t="s">
        <v>1389</v>
      </c>
      <c r="N72" s="198" t="s">
        <v>1390</v>
      </c>
      <c r="O72" s="118" t="s">
        <v>1391</v>
      </c>
      <c r="P72" s="118" t="s">
        <v>1392</v>
      </c>
      <c r="Q72" s="163" t="s">
        <v>1393</v>
      </c>
      <c r="R72" s="164" t="s">
        <v>1394</v>
      </c>
      <c r="S72" s="181"/>
      <c r="T72" s="182"/>
      <c r="U72" s="182"/>
      <c r="V72" s="182"/>
      <c r="W72" s="182"/>
      <c r="X72" s="182"/>
      <c r="Y72" s="64"/>
      <c r="Z72" s="64"/>
      <c r="AA72" s="64"/>
      <c r="AB72" s="64"/>
      <c r="AC72" s="64"/>
      <c r="AD72" s="64"/>
      <c r="AE72" s="64"/>
      <c r="AF72" s="64"/>
      <c r="AG72" s="64"/>
    </row>
    <row r="73">
      <c r="A73" s="126">
        <v>71.0</v>
      </c>
      <c r="B73" s="133" t="s">
        <v>1395</v>
      </c>
      <c r="C73" s="134" t="s">
        <v>67</v>
      </c>
      <c r="D73" s="158" t="s">
        <v>1396</v>
      </c>
      <c r="E73" s="159" t="s">
        <v>146</v>
      </c>
      <c r="F73" s="159" t="s">
        <v>124</v>
      </c>
      <c r="G73" s="160" t="s">
        <v>1397</v>
      </c>
      <c r="H73" s="131" t="s">
        <v>149</v>
      </c>
      <c r="I73" s="93" t="s">
        <v>187</v>
      </c>
      <c r="J73" s="104" t="s">
        <v>1398</v>
      </c>
      <c r="K73" s="191" t="s">
        <v>1005</v>
      </c>
      <c r="L73" s="95"/>
      <c r="M73" s="96"/>
      <c r="N73" s="97"/>
      <c r="O73" s="98"/>
      <c r="P73" s="98"/>
      <c r="Q73" s="98"/>
      <c r="R73" s="98"/>
      <c r="S73" s="99"/>
      <c r="T73" s="95"/>
      <c r="U73" s="100"/>
      <c r="V73" s="101"/>
      <c r="W73" s="101"/>
      <c r="X73" s="101"/>
      <c r="Y73" s="64"/>
      <c r="Z73" s="64"/>
      <c r="AA73" s="64"/>
      <c r="AB73" s="64"/>
      <c r="AC73" s="64"/>
      <c r="AD73" s="64"/>
      <c r="AE73" s="64"/>
      <c r="AF73" s="64"/>
      <c r="AG73" s="64"/>
    </row>
    <row r="74">
      <c r="A74" s="126">
        <f t="shared" ref="A74:A83" si="6">IF(ISBLANK(B74),"",COUNTA($B$9:B73))</f>
        <v>65</v>
      </c>
      <c r="B74" s="141" t="s">
        <v>1399</v>
      </c>
      <c r="C74" s="126" t="s">
        <v>63</v>
      </c>
      <c r="D74" s="158" t="s">
        <v>1400</v>
      </c>
      <c r="E74" s="159" t="s">
        <v>267</v>
      </c>
      <c r="F74" s="159" t="s">
        <v>322</v>
      </c>
      <c r="G74" s="160" t="s">
        <v>1401</v>
      </c>
      <c r="H74" s="131" t="s">
        <v>149</v>
      </c>
      <c r="I74" s="93" t="s">
        <v>150</v>
      </c>
      <c r="J74" s="104" t="s">
        <v>1402</v>
      </c>
      <c r="K74" s="191" t="s">
        <v>1005</v>
      </c>
      <c r="L74" s="95"/>
      <c r="M74" s="106"/>
      <c r="N74" s="107"/>
      <c r="O74" s="108"/>
      <c r="P74" s="108"/>
      <c r="Q74" s="108"/>
      <c r="R74" s="120"/>
      <c r="S74" s="99"/>
      <c r="T74" s="95"/>
      <c r="U74" s="100"/>
      <c r="V74" s="101"/>
      <c r="W74" s="101"/>
      <c r="X74" s="101"/>
      <c r="Y74" s="64"/>
      <c r="Z74" s="64"/>
      <c r="AA74" s="64"/>
      <c r="AB74" s="64"/>
      <c r="AC74" s="64"/>
      <c r="AD74" s="64"/>
      <c r="AE74" s="64"/>
      <c r="AF74" s="64"/>
      <c r="AG74" s="64"/>
    </row>
    <row r="75">
      <c r="A75" s="126">
        <f t="shared" si="6"/>
        <v>66</v>
      </c>
      <c r="B75" s="199" t="s">
        <v>1403</v>
      </c>
      <c r="C75" s="126" t="s">
        <v>67</v>
      </c>
      <c r="D75" s="155" t="s">
        <v>1404</v>
      </c>
      <c r="E75" s="129" t="s">
        <v>382</v>
      </c>
      <c r="F75" s="129" t="s">
        <v>322</v>
      </c>
      <c r="G75" s="130" t="s">
        <v>1405</v>
      </c>
      <c r="H75" s="131" t="s">
        <v>149</v>
      </c>
      <c r="I75" s="93" t="s">
        <v>165</v>
      </c>
      <c r="J75" s="114"/>
      <c r="K75" s="104"/>
      <c r="L75" s="95"/>
      <c r="M75" s="129" t="s">
        <v>661</v>
      </c>
      <c r="N75" s="162" t="s">
        <v>1406</v>
      </c>
      <c r="O75" s="163" t="s">
        <v>1407</v>
      </c>
      <c r="P75" s="163" t="s">
        <v>1408</v>
      </c>
      <c r="Q75" s="163" t="s">
        <v>1409</v>
      </c>
      <c r="R75" s="164" t="s">
        <v>1410</v>
      </c>
      <c r="S75" s="200"/>
      <c r="T75" s="201"/>
      <c r="U75" s="202"/>
      <c r="V75" s="202"/>
      <c r="W75" s="201"/>
      <c r="X75" s="201"/>
      <c r="Y75" s="64"/>
      <c r="Z75" s="64"/>
      <c r="AA75" s="64"/>
      <c r="AB75" s="64"/>
      <c r="AC75" s="64"/>
      <c r="AD75" s="64"/>
      <c r="AE75" s="64"/>
      <c r="AF75" s="64"/>
      <c r="AG75" s="64"/>
    </row>
    <row r="76">
      <c r="A76" s="126">
        <f t="shared" si="6"/>
        <v>67</v>
      </c>
      <c r="B76" s="199" t="s">
        <v>1411</v>
      </c>
      <c r="C76" s="126" t="s">
        <v>67</v>
      </c>
      <c r="D76" s="158" t="s">
        <v>1412</v>
      </c>
      <c r="E76" s="159" t="s">
        <v>351</v>
      </c>
      <c r="F76" s="159" t="s">
        <v>194</v>
      </c>
      <c r="G76" s="160" t="s">
        <v>1413</v>
      </c>
      <c r="H76" s="131" t="s">
        <v>149</v>
      </c>
      <c r="I76" s="93" t="s">
        <v>165</v>
      </c>
      <c r="J76" s="114"/>
      <c r="K76" s="104"/>
      <c r="L76" s="95"/>
      <c r="M76" s="129" t="s">
        <v>1414</v>
      </c>
      <c r="N76" s="162" t="s">
        <v>1415</v>
      </c>
      <c r="O76" s="163" t="s">
        <v>1416</v>
      </c>
      <c r="P76" s="163" t="s">
        <v>1417</v>
      </c>
      <c r="Q76" s="163" t="s">
        <v>1418</v>
      </c>
      <c r="R76" s="164" t="s">
        <v>1419</v>
      </c>
      <c r="S76" s="200"/>
      <c r="T76" s="203"/>
      <c r="U76" s="202"/>
      <c r="V76" s="202"/>
      <c r="W76" s="203"/>
      <c r="X76" s="203"/>
      <c r="Y76" s="64"/>
      <c r="Z76" s="64"/>
      <c r="AA76" s="64"/>
      <c r="AB76" s="64"/>
      <c r="AC76" s="64"/>
      <c r="AD76" s="64"/>
      <c r="AE76" s="64"/>
      <c r="AF76" s="64"/>
      <c r="AG76" s="64"/>
    </row>
    <row r="77">
      <c r="A77" s="126">
        <f t="shared" si="6"/>
        <v>68</v>
      </c>
      <c r="B77" s="141" t="s">
        <v>1420</v>
      </c>
      <c r="C77" s="126" t="s">
        <v>67</v>
      </c>
      <c r="D77" s="128" t="s">
        <v>1421</v>
      </c>
      <c r="E77" s="129" t="s">
        <v>282</v>
      </c>
      <c r="F77" s="129" t="s">
        <v>376</v>
      </c>
      <c r="G77" s="130" t="s">
        <v>1422</v>
      </c>
      <c r="H77" s="131" t="s">
        <v>149</v>
      </c>
      <c r="I77" s="93" t="s">
        <v>165</v>
      </c>
      <c r="J77" s="114"/>
      <c r="K77" s="104"/>
      <c r="L77" s="95"/>
      <c r="M77" s="129" t="s">
        <v>196</v>
      </c>
      <c r="N77" s="162" t="s">
        <v>1423</v>
      </c>
      <c r="O77" s="163" t="s">
        <v>1424</v>
      </c>
      <c r="P77" s="163" t="s">
        <v>1425</v>
      </c>
      <c r="Q77" s="163" t="s">
        <v>1426</v>
      </c>
      <c r="R77" s="164" t="s">
        <v>1427</v>
      </c>
      <c r="S77" s="200"/>
      <c r="T77" s="201"/>
      <c r="U77" s="202"/>
      <c r="V77" s="202"/>
      <c r="W77" s="201"/>
      <c r="X77" s="202"/>
      <c r="Y77" s="64"/>
      <c r="Z77" s="64"/>
      <c r="AA77" s="64"/>
      <c r="AB77" s="64"/>
      <c r="AC77" s="64"/>
      <c r="AD77" s="64"/>
      <c r="AE77" s="64"/>
      <c r="AF77" s="64"/>
      <c r="AG77" s="64"/>
    </row>
    <row r="78">
      <c r="A78" s="126">
        <f t="shared" si="6"/>
        <v>69</v>
      </c>
      <c r="B78" s="127" t="s">
        <v>1428</v>
      </c>
      <c r="C78" s="126" t="s">
        <v>63</v>
      </c>
      <c r="D78" s="128" t="s">
        <v>1429</v>
      </c>
      <c r="E78" s="129" t="s">
        <v>282</v>
      </c>
      <c r="F78" s="129" t="s">
        <v>376</v>
      </c>
      <c r="G78" s="130" t="s">
        <v>1430</v>
      </c>
      <c r="H78" s="131" t="s">
        <v>149</v>
      </c>
      <c r="I78" s="93" t="s">
        <v>165</v>
      </c>
      <c r="J78" s="104"/>
      <c r="K78" s="145"/>
      <c r="L78" s="95"/>
      <c r="M78" s="129" t="s">
        <v>1431</v>
      </c>
      <c r="N78" s="162" t="s">
        <v>1432</v>
      </c>
      <c r="O78" s="163" t="s">
        <v>1120</v>
      </c>
      <c r="P78" s="163" t="s">
        <v>1433</v>
      </c>
      <c r="Q78" s="163" t="s">
        <v>1434</v>
      </c>
      <c r="R78" s="164" t="s">
        <v>1435</v>
      </c>
      <c r="S78" s="200"/>
      <c r="T78" s="201"/>
      <c r="U78" s="202"/>
      <c r="V78" s="202"/>
      <c r="W78" s="201"/>
      <c r="X78" s="202"/>
      <c r="Y78" s="64"/>
      <c r="Z78" s="64"/>
      <c r="AA78" s="64"/>
      <c r="AB78" s="64"/>
      <c r="AC78" s="64"/>
      <c r="AD78" s="64"/>
      <c r="AE78" s="64"/>
      <c r="AF78" s="64"/>
      <c r="AG78" s="64"/>
    </row>
    <row r="79">
      <c r="A79" s="126">
        <f t="shared" si="6"/>
        <v>70</v>
      </c>
      <c r="B79" s="136" t="s">
        <v>1436</v>
      </c>
      <c r="C79" s="126" t="s">
        <v>63</v>
      </c>
      <c r="D79" s="204" t="s">
        <v>1437</v>
      </c>
      <c r="E79" s="159" t="s">
        <v>1438</v>
      </c>
      <c r="F79" s="159" t="s">
        <v>322</v>
      </c>
      <c r="G79" s="160" t="s">
        <v>1439</v>
      </c>
      <c r="H79" s="131" t="s">
        <v>149</v>
      </c>
      <c r="I79" s="93" t="s">
        <v>165</v>
      </c>
      <c r="J79" s="114"/>
      <c r="K79" s="104"/>
      <c r="L79" s="95"/>
      <c r="M79" s="129" t="s">
        <v>367</v>
      </c>
      <c r="N79" s="162" t="s">
        <v>1440</v>
      </c>
      <c r="O79" s="163" t="s">
        <v>793</v>
      </c>
      <c r="P79" s="163" t="s">
        <v>1441</v>
      </c>
      <c r="Q79" s="163" t="s">
        <v>1442</v>
      </c>
      <c r="R79" s="164" t="s">
        <v>1443</v>
      </c>
      <c r="S79" s="200"/>
      <c r="T79" s="203"/>
      <c r="U79" s="202"/>
      <c r="V79" s="202"/>
      <c r="W79" s="203"/>
      <c r="X79" s="202"/>
      <c r="Y79" s="64"/>
      <c r="Z79" s="64"/>
      <c r="AA79" s="64"/>
      <c r="AB79" s="64"/>
      <c r="AC79" s="64"/>
      <c r="AD79" s="64"/>
      <c r="AE79" s="64"/>
      <c r="AF79" s="64"/>
      <c r="AG79" s="64"/>
    </row>
    <row r="80">
      <c r="A80" s="126">
        <f t="shared" si="6"/>
        <v>71</v>
      </c>
      <c r="B80" s="151" t="s">
        <v>1444</v>
      </c>
      <c r="C80" s="134" t="s">
        <v>63</v>
      </c>
      <c r="D80" s="128" t="s">
        <v>1445</v>
      </c>
      <c r="E80" s="129" t="s">
        <v>193</v>
      </c>
      <c r="F80" s="129" t="s">
        <v>194</v>
      </c>
      <c r="G80" s="130" t="s">
        <v>1446</v>
      </c>
      <c r="H80" s="131" t="s">
        <v>149</v>
      </c>
      <c r="I80" s="93" t="s">
        <v>165</v>
      </c>
      <c r="J80" s="114"/>
      <c r="K80" s="104"/>
      <c r="L80" s="95"/>
      <c r="M80" s="129" t="s">
        <v>456</v>
      </c>
      <c r="N80" s="162" t="s">
        <v>1447</v>
      </c>
      <c r="O80" s="163" t="s">
        <v>1448</v>
      </c>
      <c r="P80" s="163" t="s">
        <v>1449</v>
      </c>
      <c r="Q80" s="163" t="s">
        <v>1450</v>
      </c>
      <c r="R80" s="164" t="s">
        <v>1451</v>
      </c>
      <c r="S80" s="200"/>
      <c r="T80" s="201"/>
      <c r="U80" s="202"/>
      <c r="V80" s="202"/>
      <c r="W80" s="201"/>
      <c r="X80" s="202"/>
      <c r="Y80" s="64"/>
      <c r="Z80" s="64"/>
      <c r="AA80" s="64"/>
      <c r="AB80" s="64"/>
      <c r="AC80" s="64"/>
      <c r="AD80" s="64"/>
      <c r="AE80" s="64"/>
      <c r="AF80" s="64"/>
      <c r="AG80" s="64"/>
    </row>
    <row r="81">
      <c r="A81" s="126">
        <f t="shared" si="6"/>
        <v>72</v>
      </c>
      <c r="B81" s="141" t="s">
        <v>1452</v>
      </c>
      <c r="C81" s="106" t="s">
        <v>63</v>
      </c>
      <c r="D81" s="158" t="s">
        <v>1453</v>
      </c>
      <c r="E81" s="159" t="s">
        <v>1306</v>
      </c>
      <c r="F81" s="159" t="s">
        <v>124</v>
      </c>
      <c r="G81" s="160" t="s">
        <v>1454</v>
      </c>
      <c r="H81" s="131" t="s">
        <v>149</v>
      </c>
      <c r="I81" s="93" t="s">
        <v>165</v>
      </c>
      <c r="J81" s="114"/>
      <c r="K81" s="104"/>
      <c r="L81" s="95"/>
      <c r="M81" s="129" t="s">
        <v>1455</v>
      </c>
      <c r="N81" s="162" t="s">
        <v>1456</v>
      </c>
      <c r="O81" s="163" t="s">
        <v>1457</v>
      </c>
      <c r="P81" s="163" t="s">
        <v>1458</v>
      </c>
      <c r="Q81" s="163" t="s">
        <v>1459</v>
      </c>
      <c r="R81" s="164" t="s">
        <v>1460</v>
      </c>
      <c r="S81" s="200"/>
      <c r="T81" s="203"/>
      <c r="U81" s="202"/>
      <c r="V81" s="202"/>
      <c r="W81" s="203"/>
      <c r="X81" s="202"/>
      <c r="Y81" s="64"/>
      <c r="Z81" s="64"/>
      <c r="AA81" s="64"/>
      <c r="AB81" s="64"/>
      <c r="AC81" s="64"/>
      <c r="AD81" s="64"/>
      <c r="AE81" s="64"/>
      <c r="AF81" s="64"/>
      <c r="AG81" s="64"/>
    </row>
    <row r="82">
      <c r="A82" s="126">
        <f t="shared" si="6"/>
        <v>73</v>
      </c>
      <c r="B82" s="151" t="s">
        <v>1461</v>
      </c>
      <c r="C82" s="134" t="s">
        <v>63</v>
      </c>
      <c r="D82" s="128" t="s">
        <v>1462</v>
      </c>
      <c r="E82" s="135" t="s">
        <v>282</v>
      </c>
      <c r="F82" s="129" t="s">
        <v>1052</v>
      </c>
      <c r="G82" s="130" t="s">
        <v>1463</v>
      </c>
      <c r="H82" s="131" t="s">
        <v>149</v>
      </c>
      <c r="I82" s="93" t="s">
        <v>165</v>
      </c>
      <c r="J82" s="104"/>
      <c r="K82" s="145"/>
      <c r="L82" s="95"/>
      <c r="M82" s="129" t="s">
        <v>827</v>
      </c>
      <c r="N82" s="162" t="s">
        <v>1464</v>
      </c>
      <c r="O82" s="163" t="s">
        <v>1465</v>
      </c>
      <c r="P82" s="163" t="s">
        <v>1466</v>
      </c>
      <c r="Q82" s="205" t="s">
        <v>1467</v>
      </c>
      <c r="R82" s="164" t="s">
        <v>1468</v>
      </c>
      <c r="S82" s="200"/>
      <c r="T82" s="201"/>
      <c r="U82" s="202"/>
      <c r="V82" s="202"/>
      <c r="W82" s="201"/>
      <c r="X82" s="202"/>
      <c r="Y82" s="64"/>
      <c r="Z82" s="64"/>
      <c r="AA82" s="64"/>
      <c r="AB82" s="64"/>
      <c r="AC82" s="64"/>
      <c r="AD82" s="64"/>
      <c r="AE82" s="64"/>
      <c r="AF82" s="64"/>
      <c r="AG82" s="64"/>
    </row>
    <row r="83">
      <c r="A83" s="126">
        <f t="shared" si="6"/>
        <v>74</v>
      </c>
      <c r="B83" s="127" t="s">
        <v>1469</v>
      </c>
      <c r="C83" s="106" t="s">
        <v>63</v>
      </c>
      <c r="D83" s="158" t="s">
        <v>1470</v>
      </c>
      <c r="E83" s="159" t="s">
        <v>523</v>
      </c>
      <c r="F83" s="159" t="s">
        <v>1471</v>
      </c>
      <c r="G83" s="160" t="s">
        <v>1472</v>
      </c>
      <c r="H83" s="131" t="s">
        <v>149</v>
      </c>
      <c r="I83" s="93" t="s">
        <v>165</v>
      </c>
      <c r="J83" s="114"/>
      <c r="K83" s="104"/>
      <c r="L83" s="95"/>
      <c r="M83" s="159" t="s">
        <v>196</v>
      </c>
      <c r="N83" s="162" t="s">
        <v>1473</v>
      </c>
      <c r="O83" s="163" t="s">
        <v>1474</v>
      </c>
      <c r="P83" s="163" t="s">
        <v>1475</v>
      </c>
      <c r="Q83" s="163" t="s">
        <v>1476</v>
      </c>
      <c r="R83" s="164" t="s">
        <v>1477</v>
      </c>
      <c r="S83" s="200"/>
      <c r="T83" s="203"/>
      <c r="U83" s="202"/>
      <c r="V83" s="202"/>
      <c r="W83" s="203"/>
      <c r="X83" s="202"/>
      <c r="Y83" s="64"/>
      <c r="Z83" s="64"/>
      <c r="AA83" s="64"/>
      <c r="AB83" s="64"/>
      <c r="AC83" s="64"/>
      <c r="AD83" s="64"/>
      <c r="AE83" s="64"/>
      <c r="AF83" s="64"/>
      <c r="AG83" s="64"/>
    </row>
    <row r="84">
      <c r="A84" s="126">
        <v>83.0</v>
      </c>
      <c r="B84" s="136" t="s">
        <v>1478</v>
      </c>
      <c r="C84" s="106" t="s">
        <v>63</v>
      </c>
      <c r="D84" s="128" t="s">
        <v>1479</v>
      </c>
      <c r="E84" s="129" t="s">
        <v>1480</v>
      </c>
      <c r="F84" s="129" t="s">
        <v>554</v>
      </c>
      <c r="G84" s="130" t="s">
        <v>1481</v>
      </c>
      <c r="H84" s="206" t="s">
        <v>149</v>
      </c>
      <c r="I84" s="93" t="s">
        <v>165</v>
      </c>
      <c r="J84" s="114"/>
      <c r="K84" s="104"/>
      <c r="L84" s="95"/>
      <c r="M84" s="159" t="s">
        <v>168</v>
      </c>
      <c r="N84" s="162" t="s">
        <v>1482</v>
      </c>
      <c r="O84" s="163" t="str">
        <f>IFERROR(__xludf.DUMMYFUNCTION("IFERROR(REGEXEXTRACT(TRIM(N84),""^\S+""),"""")
"),"Jesus")</f>
        <v>Jesus</v>
      </c>
      <c r="P84" s="163" t="str">
        <f>IFERROR(__xludf.DUMMYFUNCTION("IFERROR(TRIM(REGEXREPLACE(TRIM(N84),""^\S+\s*"","""")),"""")
"),"F.")</f>
        <v>F.</v>
      </c>
      <c r="Q84" s="163" t="s">
        <v>1483</v>
      </c>
      <c r="R84" s="164" t="s">
        <v>1484</v>
      </c>
      <c r="S84" s="200"/>
      <c r="T84" s="203"/>
      <c r="U84" s="202"/>
      <c r="V84" s="202"/>
      <c r="W84" s="203"/>
      <c r="X84" s="202"/>
      <c r="Y84" s="64"/>
      <c r="Z84" s="64"/>
      <c r="AA84" s="64"/>
      <c r="AB84" s="64"/>
      <c r="AC84" s="64"/>
      <c r="AD84" s="64"/>
      <c r="AE84" s="64"/>
      <c r="AF84" s="64"/>
      <c r="AG84" s="64"/>
    </row>
    <row r="85">
      <c r="A85" s="126">
        <f t="shared" ref="A85:A86" si="7">IF(ISBLANK(B85),"",COUNTA($B$9:B84))</f>
        <v>76</v>
      </c>
      <c r="B85" s="141" t="s">
        <v>1485</v>
      </c>
      <c r="C85" s="106" t="s">
        <v>63</v>
      </c>
      <c r="D85" s="128" t="s">
        <v>1486</v>
      </c>
      <c r="E85" s="207" t="s">
        <v>351</v>
      </c>
      <c r="F85" s="129" t="s">
        <v>1487</v>
      </c>
      <c r="G85" s="130" t="s">
        <v>1488</v>
      </c>
      <c r="H85" s="206" t="s">
        <v>149</v>
      </c>
      <c r="I85" s="93" t="s">
        <v>165</v>
      </c>
      <c r="J85" s="114"/>
      <c r="K85" s="104"/>
      <c r="L85" s="95"/>
      <c r="M85" s="129" t="s">
        <v>499</v>
      </c>
      <c r="N85" s="162" t="s">
        <v>1489</v>
      </c>
      <c r="O85" s="163" t="s">
        <v>1490</v>
      </c>
      <c r="P85" s="163" t="s">
        <v>1491</v>
      </c>
      <c r="Q85" s="163" t="s">
        <v>1492</v>
      </c>
      <c r="R85" s="164" t="s">
        <v>1493</v>
      </c>
      <c r="S85" s="200"/>
      <c r="T85" s="201"/>
      <c r="U85" s="202"/>
      <c r="V85" s="202"/>
      <c r="W85" s="201"/>
      <c r="X85" s="202"/>
      <c r="Y85" s="64"/>
      <c r="Z85" s="64"/>
      <c r="AA85" s="64"/>
      <c r="AB85" s="64"/>
      <c r="AC85" s="64"/>
      <c r="AD85" s="64"/>
      <c r="AE85" s="64"/>
      <c r="AF85" s="64"/>
      <c r="AG85" s="64"/>
    </row>
    <row r="86">
      <c r="A86" s="85">
        <f t="shared" si="7"/>
        <v>77</v>
      </c>
      <c r="B86" s="136" t="s">
        <v>1494</v>
      </c>
      <c r="C86" s="106" t="s">
        <v>63</v>
      </c>
      <c r="D86" s="158" t="s">
        <v>1495</v>
      </c>
      <c r="E86" s="159" t="s">
        <v>605</v>
      </c>
      <c r="F86" s="159" t="s">
        <v>1106</v>
      </c>
      <c r="G86" s="160" t="s">
        <v>1496</v>
      </c>
      <c r="H86" s="206" t="s">
        <v>149</v>
      </c>
      <c r="I86" s="93" t="s">
        <v>150</v>
      </c>
      <c r="J86" s="104" t="s">
        <v>1497</v>
      </c>
      <c r="K86" s="208" t="s">
        <v>1498</v>
      </c>
      <c r="L86" s="95"/>
      <c r="M86" s="106"/>
      <c r="N86" s="107"/>
      <c r="O86" s="108"/>
      <c r="P86" s="108"/>
      <c r="Q86" s="108"/>
      <c r="R86" s="120"/>
      <c r="S86" s="99"/>
      <c r="T86" s="95"/>
      <c r="U86" s="100"/>
      <c r="V86" s="101"/>
      <c r="W86" s="101"/>
      <c r="X86" s="101"/>
      <c r="Y86" s="64"/>
      <c r="Z86" s="64"/>
      <c r="AA86" s="64"/>
      <c r="AB86" s="64"/>
      <c r="AC86" s="64"/>
      <c r="AD86" s="64"/>
      <c r="AE86" s="64"/>
      <c r="AF86" s="64"/>
      <c r="AG86" s="64"/>
    </row>
    <row r="87">
      <c r="A87" s="126">
        <v>88.0</v>
      </c>
      <c r="B87" s="136" t="s">
        <v>1499</v>
      </c>
      <c r="C87" s="106" t="s">
        <v>63</v>
      </c>
      <c r="D87" s="128" t="s">
        <v>1500</v>
      </c>
      <c r="E87" s="129" t="s">
        <v>375</v>
      </c>
      <c r="F87" s="129" t="s">
        <v>376</v>
      </c>
      <c r="G87" s="130" t="s">
        <v>1501</v>
      </c>
      <c r="H87" s="206" t="s">
        <v>149</v>
      </c>
      <c r="I87" s="161" t="s">
        <v>187</v>
      </c>
      <c r="J87" s="104" t="s">
        <v>1502</v>
      </c>
      <c r="K87" s="191" t="s">
        <v>1005</v>
      </c>
      <c r="L87" s="95"/>
      <c r="M87" s="106"/>
      <c r="N87" s="107"/>
      <c r="O87" s="108"/>
      <c r="P87" s="108"/>
      <c r="Q87" s="108"/>
      <c r="R87" s="120"/>
      <c r="S87" s="99"/>
      <c r="T87" s="95"/>
      <c r="U87" s="100"/>
      <c r="V87" s="101"/>
      <c r="W87" s="101"/>
      <c r="X87" s="101"/>
      <c r="Y87" s="64"/>
      <c r="Z87" s="64"/>
      <c r="AA87" s="64"/>
      <c r="AB87" s="64"/>
      <c r="AC87" s="64"/>
      <c r="AD87" s="64"/>
      <c r="AE87" s="64"/>
      <c r="AF87" s="64"/>
      <c r="AG87" s="64"/>
    </row>
    <row r="88">
      <c r="A88" s="126">
        <f t="shared" ref="A88:A91" si="8">IF(ISBLANK(B88),"",COUNTA($B$9:B87))</f>
        <v>79</v>
      </c>
      <c r="B88" s="127" t="s">
        <v>1503</v>
      </c>
      <c r="C88" s="106" t="s">
        <v>63</v>
      </c>
      <c r="D88" s="158" t="s">
        <v>1504</v>
      </c>
      <c r="E88" s="159" t="s">
        <v>962</v>
      </c>
      <c r="F88" s="159" t="s">
        <v>1505</v>
      </c>
      <c r="G88" s="130" t="s">
        <v>1506</v>
      </c>
      <c r="H88" s="131" t="s">
        <v>149</v>
      </c>
      <c r="I88" s="161" t="s">
        <v>165</v>
      </c>
      <c r="J88" s="114"/>
      <c r="K88" s="104"/>
      <c r="L88" s="95"/>
      <c r="M88" s="159" t="s">
        <v>661</v>
      </c>
      <c r="N88" s="162" t="s">
        <v>1507</v>
      </c>
      <c r="O88" s="163" t="s">
        <v>1508</v>
      </c>
      <c r="P88" s="163" t="s">
        <v>1509</v>
      </c>
      <c r="Q88" s="163" t="s">
        <v>1510</v>
      </c>
      <c r="R88" s="164" t="s">
        <v>1511</v>
      </c>
      <c r="S88" s="200"/>
      <c r="T88" s="203"/>
      <c r="U88" s="202"/>
      <c r="V88" s="202"/>
      <c r="W88" s="203"/>
      <c r="X88" s="202"/>
      <c r="Y88" s="64"/>
      <c r="Z88" s="64"/>
      <c r="AA88" s="64"/>
      <c r="AB88" s="64"/>
      <c r="AC88" s="64"/>
      <c r="AD88" s="64"/>
      <c r="AE88" s="64"/>
      <c r="AF88" s="64"/>
      <c r="AG88" s="64"/>
    </row>
    <row r="89">
      <c r="A89" s="126">
        <f t="shared" si="8"/>
        <v>80</v>
      </c>
      <c r="B89" s="136" t="s">
        <v>1512</v>
      </c>
      <c r="C89" s="106" t="s">
        <v>63</v>
      </c>
      <c r="D89" s="128" t="s">
        <v>1513</v>
      </c>
      <c r="E89" s="129" t="s">
        <v>282</v>
      </c>
      <c r="F89" s="129" t="s">
        <v>194</v>
      </c>
      <c r="G89" s="130" t="s">
        <v>1514</v>
      </c>
      <c r="H89" s="206" t="s">
        <v>149</v>
      </c>
      <c r="I89" s="161" t="s">
        <v>165</v>
      </c>
      <c r="J89" s="114"/>
      <c r="K89" s="104"/>
      <c r="L89" s="95"/>
      <c r="M89" s="129" t="s">
        <v>330</v>
      </c>
      <c r="N89" s="162" t="s">
        <v>1515</v>
      </c>
      <c r="O89" s="163" t="s">
        <v>1516</v>
      </c>
      <c r="P89" s="163" t="s">
        <v>1517</v>
      </c>
      <c r="Q89" s="163" t="s">
        <v>1518</v>
      </c>
      <c r="R89" s="164" t="s">
        <v>1519</v>
      </c>
      <c r="S89" s="200"/>
      <c r="T89" s="201"/>
      <c r="U89" s="202"/>
      <c r="V89" s="202"/>
      <c r="W89" s="201"/>
      <c r="X89" s="202"/>
      <c r="Y89" s="64"/>
      <c r="Z89" s="64"/>
      <c r="AA89" s="64"/>
      <c r="AB89" s="64"/>
      <c r="AC89" s="64"/>
      <c r="AD89" s="64"/>
      <c r="AE89" s="64"/>
      <c r="AF89" s="64"/>
      <c r="AG89" s="64"/>
    </row>
    <row r="90">
      <c r="A90" s="126">
        <f t="shared" si="8"/>
        <v>81</v>
      </c>
      <c r="B90" s="136" t="s">
        <v>1520</v>
      </c>
      <c r="C90" s="106" t="s">
        <v>257</v>
      </c>
      <c r="D90" s="158" t="s">
        <v>1521</v>
      </c>
      <c r="E90" s="159" t="s">
        <v>351</v>
      </c>
      <c r="F90" s="159" t="s">
        <v>259</v>
      </c>
      <c r="G90" s="160" t="s">
        <v>1522</v>
      </c>
      <c r="H90" s="131" t="s">
        <v>149</v>
      </c>
      <c r="I90" s="161" t="s">
        <v>165</v>
      </c>
      <c r="J90" s="114"/>
      <c r="K90" s="104"/>
      <c r="L90" s="95"/>
      <c r="M90" s="159" t="s">
        <v>257</v>
      </c>
      <c r="N90" s="162" t="s">
        <v>1520</v>
      </c>
      <c r="O90" s="163" t="str">
        <f>IFERROR(__xludf.DUMMYFUNCTION("IFERROR(REGEXEXTRACT(TRIM(N90),""^\S+""),"""")
"),"Ivailo")</f>
        <v>Ivailo</v>
      </c>
      <c r="P90" s="163" t="str">
        <f>IFERROR(__xludf.DUMMYFUNCTION("IFERROR(TRIM(REGEXREPLACE(TRIM(N90),""^\S+\s*"","""")),"""")
"),"Jordanov")</f>
        <v>Jordanov</v>
      </c>
      <c r="Q90" s="163" t="s">
        <v>1523</v>
      </c>
      <c r="R90" s="164" t="s">
        <v>1521</v>
      </c>
      <c r="S90" s="200"/>
      <c r="T90" s="203"/>
      <c r="U90" s="202"/>
      <c r="V90" s="202"/>
      <c r="W90" s="203"/>
      <c r="X90" s="202"/>
      <c r="Y90" s="64"/>
      <c r="Z90" s="64"/>
      <c r="AA90" s="64"/>
      <c r="AB90" s="64"/>
      <c r="AC90" s="64"/>
      <c r="AD90" s="64"/>
      <c r="AE90" s="64"/>
      <c r="AF90" s="64"/>
      <c r="AG90" s="64"/>
    </row>
    <row r="91">
      <c r="A91" s="126">
        <f t="shared" si="8"/>
        <v>82</v>
      </c>
      <c r="B91" s="136" t="s">
        <v>1524</v>
      </c>
      <c r="C91" s="106" t="s">
        <v>63</v>
      </c>
      <c r="D91" s="128" t="s">
        <v>1525</v>
      </c>
      <c r="E91" s="129" t="s">
        <v>351</v>
      </c>
      <c r="F91" s="129" t="s">
        <v>194</v>
      </c>
      <c r="G91" s="130" t="s">
        <v>1526</v>
      </c>
      <c r="H91" s="131" t="s">
        <v>149</v>
      </c>
      <c r="I91" s="161" t="s">
        <v>165</v>
      </c>
      <c r="J91" s="114"/>
      <c r="K91" s="104"/>
      <c r="L91" s="95"/>
      <c r="M91" s="159" t="s">
        <v>168</v>
      </c>
      <c r="N91" s="162" t="s">
        <v>1251</v>
      </c>
      <c r="O91" s="163" t="s">
        <v>582</v>
      </c>
      <c r="P91" s="163" t="s">
        <v>1252</v>
      </c>
      <c r="Q91" s="163" t="s">
        <v>1253</v>
      </c>
      <c r="R91" s="164" t="s">
        <v>1254</v>
      </c>
      <c r="S91" s="200"/>
      <c r="T91" s="201"/>
      <c r="U91" s="202"/>
      <c r="V91" s="202"/>
      <c r="W91" s="201"/>
      <c r="X91" s="202"/>
      <c r="Y91" s="64"/>
      <c r="Z91" s="64"/>
      <c r="AA91" s="64"/>
      <c r="AB91" s="64"/>
      <c r="AC91" s="64"/>
      <c r="AD91" s="64"/>
      <c r="AE91" s="64"/>
      <c r="AF91" s="64"/>
      <c r="AG91" s="64"/>
    </row>
    <row r="92">
      <c r="A92" s="126">
        <v>93.0</v>
      </c>
      <c r="B92" s="136" t="s">
        <v>1527</v>
      </c>
      <c r="C92" s="106" t="s">
        <v>63</v>
      </c>
      <c r="D92" s="128" t="s">
        <v>1528</v>
      </c>
      <c r="E92" s="129" t="s">
        <v>351</v>
      </c>
      <c r="F92" s="129" t="s">
        <v>322</v>
      </c>
      <c r="G92" s="130" t="s">
        <v>1529</v>
      </c>
      <c r="H92" s="131" t="s">
        <v>149</v>
      </c>
      <c r="I92" s="161" t="s">
        <v>165</v>
      </c>
      <c r="J92" s="114"/>
      <c r="K92" s="104"/>
      <c r="L92" s="95"/>
      <c r="M92" s="159" t="s">
        <v>367</v>
      </c>
      <c r="N92" s="162" t="s">
        <v>1530</v>
      </c>
      <c r="O92" s="163" t="s">
        <v>1531</v>
      </c>
      <c r="P92" s="163" t="s">
        <v>1532</v>
      </c>
      <c r="Q92" s="163" t="s">
        <v>1533</v>
      </c>
      <c r="R92" s="164" t="s">
        <v>1534</v>
      </c>
      <c r="S92" s="200"/>
      <c r="T92" s="203"/>
      <c r="U92" s="202"/>
      <c r="V92" s="202"/>
      <c r="W92" s="203"/>
      <c r="X92" s="202"/>
      <c r="Y92" s="64"/>
      <c r="Z92" s="64"/>
      <c r="AA92" s="64"/>
      <c r="AB92" s="64"/>
      <c r="AC92" s="64"/>
      <c r="AD92" s="64"/>
      <c r="AE92" s="64"/>
      <c r="AF92" s="64"/>
      <c r="AG92" s="64"/>
    </row>
    <row r="93">
      <c r="A93" s="126">
        <v>94.0</v>
      </c>
      <c r="B93" s="199" t="s">
        <v>1535</v>
      </c>
      <c r="C93" s="126" t="s">
        <v>257</v>
      </c>
      <c r="D93" s="128" t="s">
        <v>1536</v>
      </c>
      <c r="E93" s="129" t="s">
        <v>1537</v>
      </c>
      <c r="F93" s="129" t="s">
        <v>1538</v>
      </c>
      <c r="G93" s="130" t="s">
        <v>1539</v>
      </c>
      <c r="H93" s="131" t="s">
        <v>149</v>
      </c>
      <c r="I93" s="161" t="s">
        <v>165</v>
      </c>
      <c r="J93" s="114"/>
      <c r="K93" s="104"/>
      <c r="L93" s="95"/>
      <c r="M93" s="129" t="s">
        <v>257</v>
      </c>
      <c r="N93" s="162" t="s">
        <v>1535</v>
      </c>
      <c r="O93" s="163" t="s">
        <v>1540</v>
      </c>
      <c r="P93" s="163" t="s">
        <v>1541</v>
      </c>
      <c r="Q93" s="163" t="s">
        <v>1542</v>
      </c>
      <c r="R93" s="164" t="s">
        <v>1536</v>
      </c>
      <c r="S93" s="200"/>
      <c r="T93" s="201"/>
      <c r="U93" s="202"/>
      <c r="V93" s="202"/>
      <c r="W93" s="201"/>
      <c r="X93" s="202"/>
      <c r="Y93" s="64"/>
      <c r="Z93" s="64"/>
      <c r="AA93" s="64"/>
      <c r="AB93" s="64"/>
      <c r="AC93" s="64"/>
      <c r="AD93" s="64"/>
      <c r="AE93" s="64"/>
      <c r="AF93" s="64"/>
      <c r="AG93" s="64"/>
    </row>
    <row r="94">
      <c r="A94" s="126">
        <v>96.0</v>
      </c>
      <c r="B94" s="127" t="s">
        <v>1543</v>
      </c>
      <c r="C94" s="126" t="s">
        <v>257</v>
      </c>
      <c r="D94" s="128" t="s">
        <v>1544</v>
      </c>
      <c r="E94" s="129" t="s">
        <v>962</v>
      </c>
      <c r="F94" s="129" t="s">
        <v>1538</v>
      </c>
      <c r="G94" s="130" t="s">
        <v>1545</v>
      </c>
      <c r="H94" s="131" t="s">
        <v>149</v>
      </c>
      <c r="I94" s="161" t="s">
        <v>165</v>
      </c>
      <c r="J94" s="114"/>
      <c r="K94" s="104"/>
      <c r="L94" s="95"/>
      <c r="M94" s="129" t="s">
        <v>257</v>
      </c>
      <c r="N94" s="162" t="s">
        <v>1543</v>
      </c>
      <c r="O94" s="163" t="s">
        <v>1546</v>
      </c>
      <c r="P94" s="163" t="s">
        <v>1547</v>
      </c>
      <c r="Q94" s="163" t="s">
        <v>1548</v>
      </c>
      <c r="R94" s="164" t="s">
        <v>1544</v>
      </c>
      <c r="S94" s="99"/>
      <c r="T94" s="95"/>
      <c r="U94" s="100"/>
      <c r="V94" s="101"/>
      <c r="W94" s="101"/>
      <c r="X94" s="101"/>
      <c r="Y94" s="64"/>
      <c r="Z94" s="64"/>
      <c r="AA94" s="64"/>
      <c r="AB94" s="64"/>
      <c r="AC94" s="64"/>
      <c r="AD94" s="64"/>
      <c r="AE94" s="64"/>
      <c r="AF94" s="64"/>
      <c r="AG94" s="64"/>
    </row>
    <row r="95">
      <c r="A95" s="85">
        <v>97.0</v>
      </c>
      <c r="B95" s="132" t="s">
        <v>1549</v>
      </c>
      <c r="C95" s="126" t="s">
        <v>257</v>
      </c>
      <c r="D95" s="158" t="s">
        <v>1550</v>
      </c>
      <c r="E95" s="159" t="s">
        <v>905</v>
      </c>
      <c r="F95" s="159" t="s">
        <v>259</v>
      </c>
      <c r="G95" s="160" t="s">
        <v>1551</v>
      </c>
      <c r="H95" s="131" t="s">
        <v>149</v>
      </c>
      <c r="I95" s="161" t="s">
        <v>165</v>
      </c>
      <c r="J95" s="114"/>
      <c r="K95" s="104"/>
      <c r="L95" s="95"/>
      <c r="M95" s="159" t="s">
        <v>257</v>
      </c>
      <c r="N95" s="162" t="s">
        <v>1549</v>
      </c>
      <c r="O95" s="163" t="s">
        <v>1552</v>
      </c>
      <c r="P95" s="163" t="s">
        <v>1553</v>
      </c>
      <c r="Q95" s="163" t="s">
        <v>1554</v>
      </c>
      <c r="R95" s="164" t="s">
        <v>1550</v>
      </c>
      <c r="S95" s="99"/>
      <c r="T95" s="95"/>
      <c r="U95" s="100"/>
      <c r="V95" s="101"/>
      <c r="W95" s="101"/>
      <c r="X95" s="101"/>
      <c r="Y95" s="64"/>
      <c r="Z95" s="64"/>
      <c r="AA95" s="64"/>
      <c r="AB95" s="64"/>
      <c r="AC95" s="64"/>
      <c r="AD95" s="64"/>
      <c r="AE95" s="64"/>
      <c r="AF95" s="64"/>
      <c r="AG95" s="64"/>
    </row>
    <row r="96">
      <c r="A96" s="126">
        <v>98.0</v>
      </c>
      <c r="B96" s="132" t="s">
        <v>1555</v>
      </c>
      <c r="C96" s="126" t="s">
        <v>257</v>
      </c>
      <c r="D96" s="128" t="s">
        <v>1556</v>
      </c>
      <c r="E96" s="129" t="s">
        <v>282</v>
      </c>
      <c r="F96" s="129" t="s">
        <v>1538</v>
      </c>
      <c r="G96" s="130" t="s">
        <v>1557</v>
      </c>
      <c r="H96" s="131" t="s">
        <v>149</v>
      </c>
      <c r="I96" s="161" t="s">
        <v>165</v>
      </c>
      <c r="J96" s="114"/>
      <c r="K96" s="104"/>
      <c r="L96" s="95"/>
      <c r="M96" s="129" t="s">
        <v>257</v>
      </c>
      <c r="N96" s="162" t="s">
        <v>1555</v>
      </c>
      <c r="O96" s="163" t="s">
        <v>1558</v>
      </c>
      <c r="P96" s="163" t="s">
        <v>1559</v>
      </c>
      <c r="Q96" s="163" t="s">
        <v>1560</v>
      </c>
      <c r="R96" s="164" t="s">
        <v>1556</v>
      </c>
      <c r="S96" s="99"/>
      <c r="T96" s="95"/>
      <c r="U96" s="100"/>
      <c r="V96" s="101"/>
      <c r="W96" s="101"/>
      <c r="X96" s="101"/>
      <c r="Y96" s="64"/>
      <c r="Z96" s="64"/>
      <c r="AA96" s="64"/>
      <c r="AB96" s="64"/>
      <c r="AC96" s="64"/>
      <c r="AD96" s="64"/>
      <c r="AE96" s="64"/>
      <c r="AF96" s="64"/>
      <c r="AG96" s="64"/>
    </row>
    <row r="97">
      <c r="A97" s="126">
        <v>99.0</v>
      </c>
      <c r="B97" s="141" t="s">
        <v>1561</v>
      </c>
      <c r="C97" s="126" t="s">
        <v>257</v>
      </c>
      <c r="D97" s="158" t="s">
        <v>1562</v>
      </c>
      <c r="E97" s="129" t="s">
        <v>351</v>
      </c>
      <c r="F97" s="159" t="s">
        <v>1538</v>
      </c>
      <c r="G97" s="160" t="s">
        <v>1563</v>
      </c>
      <c r="H97" s="131" t="s">
        <v>149</v>
      </c>
      <c r="I97" s="161" t="s">
        <v>165</v>
      </c>
      <c r="J97" s="114"/>
      <c r="K97" s="104"/>
      <c r="L97" s="95"/>
      <c r="M97" s="159" t="s">
        <v>257</v>
      </c>
      <c r="N97" s="162" t="s">
        <v>1561</v>
      </c>
      <c r="O97" s="163" t="s">
        <v>1564</v>
      </c>
      <c r="P97" s="163" t="s">
        <v>1565</v>
      </c>
      <c r="Q97" s="163" t="s">
        <v>1566</v>
      </c>
      <c r="R97" s="164" t="s">
        <v>1562</v>
      </c>
      <c r="S97" s="99"/>
      <c r="T97" s="95"/>
      <c r="U97" s="100"/>
      <c r="V97" s="101"/>
      <c r="W97" s="101"/>
      <c r="X97" s="101"/>
      <c r="Y97" s="64"/>
      <c r="Z97" s="64"/>
      <c r="AA97" s="64"/>
      <c r="AB97" s="64"/>
      <c r="AC97" s="64"/>
      <c r="AD97" s="64"/>
      <c r="AE97" s="64"/>
      <c r="AF97" s="64"/>
      <c r="AG97" s="64"/>
    </row>
    <row r="98">
      <c r="A98" s="126">
        <v>100.0</v>
      </c>
      <c r="B98" s="132" t="s">
        <v>1567</v>
      </c>
      <c r="C98" s="126" t="s">
        <v>257</v>
      </c>
      <c r="D98" s="128" t="s">
        <v>1568</v>
      </c>
      <c r="E98" s="129" t="s">
        <v>1569</v>
      </c>
      <c r="F98" s="129" t="s">
        <v>259</v>
      </c>
      <c r="G98" s="130" t="s">
        <v>1570</v>
      </c>
      <c r="H98" s="131" t="s">
        <v>149</v>
      </c>
      <c r="I98" s="161" t="s">
        <v>165</v>
      </c>
      <c r="J98" s="114"/>
      <c r="K98" s="104"/>
      <c r="L98" s="95"/>
      <c r="M98" s="129" t="s">
        <v>257</v>
      </c>
      <c r="N98" s="162" t="s">
        <v>1567</v>
      </c>
      <c r="O98" s="163" t="s">
        <v>1571</v>
      </c>
      <c r="P98" s="163" t="s">
        <v>1572</v>
      </c>
      <c r="Q98" s="163" t="s">
        <v>1573</v>
      </c>
      <c r="R98" s="164" t="s">
        <v>1568</v>
      </c>
      <c r="S98" s="99"/>
      <c r="T98" s="95"/>
      <c r="U98" s="100"/>
      <c r="V98" s="101"/>
      <c r="W98" s="101"/>
      <c r="X98" s="101"/>
      <c r="Y98" s="64"/>
      <c r="Z98" s="64"/>
      <c r="AA98" s="64"/>
      <c r="AB98" s="64"/>
      <c r="AC98" s="64"/>
      <c r="AD98" s="64"/>
      <c r="AE98" s="64"/>
      <c r="AF98" s="64"/>
      <c r="AG98" s="64"/>
    </row>
    <row r="99">
      <c r="A99" s="126">
        <v>101.0</v>
      </c>
      <c r="B99" s="141" t="s">
        <v>1574</v>
      </c>
      <c r="C99" s="106" t="s">
        <v>257</v>
      </c>
      <c r="D99" s="158" t="s">
        <v>1575</v>
      </c>
      <c r="E99" s="159" t="s">
        <v>282</v>
      </c>
      <c r="F99" s="159" t="s">
        <v>259</v>
      </c>
      <c r="G99" s="160" t="s">
        <v>1576</v>
      </c>
      <c r="H99" s="131" t="s">
        <v>149</v>
      </c>
      <c r="I99" s="161" t="s">
        <v>165</v>
      </c>
      <c r="J99" s="165"/>
      <c r="K99" s="166"/>
      <c r="L99" s="166"/>
      <c r="M99" s="129" t="s">
        <v>257</v>
      </c>
      <c r="N99" s="162" t="s">
        <v>1574</v>
      </c>
      <c r="O99" s="163" t="s">
        <v>1577</v>
      </c>
      <c r="P99" s="163" t="s">
        <v>1578</v>
      </c>
      <c r="Q99" s="163" t="s">
        <v>1579</v>
      </c>
      <c r="R99" s="164" t="s">
        <v>1575</v>
      </c>
      <c r="S99" s="99"/>
      <c r="T99" s="95"/>
      <c r="U99" s="100"/>
      <c r="V99" s="101"/>
      <c r="W99" s="101"/>
      <c r="X99" s="101"/>
      <c r="Y99" s="64"/>
      <c r="Z99" s="64"/>
      <c r="AA99" s="64"/>
      <c r="AB99" s="64"/>
      <c r="AC99" s="64"/>
      <c r="AD99" s="64"/>
      <c r="AE99" s="64"/>
      <c r="AF99" s="64"/>
      <c r="AG99" s="64"/>
    </row>
    <row r="100">
      <c r="A100" s="126">
        <v>102.0</v>
      </c>
      <c r="B100" s="133" t="s">
        <v>1580</v>
      </c>
      <c r="C100" s="126" t="s">
        <v>63</v>
      </c>
      <c r="D100" s="128" t="s">
        <v>1581</v>
      </c>
      <c r="E100" s="129" t="s">
        <v>282</v>
      </c>
      <c r="F100" s="129" t="s">
        <v>124</v>
      </c>
      <c r="G100" s="130" t="s">
        <v>1582</v>
      </c>
      <c r="H100" s="131" t="s">
        <v>149</v>
      </c>
      <c r="I100" s="161" t="s">
        <v>165</v>
      </c>
      <c r="J100" s="170"/>
      <c r="K100" s="170"/>
      <c r="L100" s="170"/>
      <c r="M100" s="129" t="s">
        <v>196</v>
      </c>
      <c r="N100" s="162" t="s">
        <v>1583</v>
      </c>
      <c r="O100" s="163" t="s">
        <v>1584</v>
      </c>
      <c r="P100" s="209" t="s">
        <v>1585</v>
      </c>
      <c r="Q100" s="163" t="s">
        <v>1586</v>
      </c>
      <c r="R100" s="164" t="s">
        <v>1587</v>
      </c>
      <c r="S100" s="99"/>
      <c r="T100" s="95"/>
      <c r="U100" s="100"/>
      <c r="V100" s="101"/>
      <c r="W100" s="101"/>
      <c r="X100" s="101"/>
      <c r="Y100" s="64"/>
      <c r="Z100" s="64"/>
      <c r="AA100" s="64"/>
      <c r="AB100" s="64"/>
      <c r="AC100" s="64"/>
      <c r="AD100" s="64"/>
      <c r="AE100" s="64"/>
      <c r="AF100" s="64"/>
      <c r="AG100" s="64"/>
    </row>
    <row r="101">
      <c r="A101" s="126">
        <v>104.0</v>
      </c>
      <c r="B101" s="151" t="s">
        <v>1588</v>
      </c>
      <c r="C101" s="106" t="s">
        <v>257</v>
      </c>
      <c r="D101" s="128" t="s">
        <v>1589</v>
      </c>
      <c r="E101" s="129" t="s">
        <v>1590</v>
      </c>
      <c r="F101" s="129" t="s">
        <v>1538</v>
      </c>
      <c r="G101" s="130" t="s">
        <v>1591</v>
      </c>
      <c r="H101" s="131" t="s">
        <v>149</v>
      </c>
      <c r="I101" s="161" t="s">
        <v>165</v>
      </c>
      <c r="J101" s="171"/>
      <c r="K101" s="171"/>
      <c r="L101" s="171"/>
      <c r="M101" s="129" t="s">
        <v>257</v>
      </c>
      <c r="N101" s="162" t="s">
        <v>1588</v>
      </c>
      <c r="O101" s="163" t="s">
        <v>449</v>
      </c>
      <c r="P101" s="163" t="s">
        <v>1592</v>
      </c>
      <c r="Q101" s="163" t="s">
        <v>1593</v>
      </c>
      <c r="R101" s="164" t="s">
        <v>1589</v>
      </c>
      <c r="S101" s="99"/>
      <c r="T101" s="95"/>
      <c r="U101" s="100"/>
      <c r="V101" s="101"/>
      <c r="W101" s="101"/>
      <c r="X101" s="101"/>
      <c r="Y101" s="64"/>
      <c r="Z101" s="64"/>
      <c r="AA101" s="64"/>
      <c r="AB101" s="64"/>
      <c r="AC101" s="64"/>
      <c r="AD101" s="64"/>
      <c r="AE101" s="64"/>
      <c r="AF101" s="64"/>
      <c r="AG101" s="64"/>
    </row>
    <row r="102">
      <c r="A102" s="126">
        <v>105.0</v>
      </c>
      <c r="B102" s="141" t="s">
        <v>1594</v>
      </c>
      <c r="C102" s="106" t="s">
        <v>257</v>
      </c>
      <c r="D102" s="158" t="s">
        <v>1595</v>
      </c>
      <c r="E102" s="159" t="s">
        <v>282</v>
      </c>
      <c r="F102" s="159" t="s">
        <v>259</v>
      </c>
      <c r="G102" s="160" t="s">
        <v>1596</v>
      </c>
      <c r="H102" s="131" t="s">
        <v>149</v>
      </c>
      <c r="I102" s="161" t="s">
        <v>165</v>
      </c>
      <c r="J102" s="170"/>
      <c r="K102" s="170"/>
      <c r="L102" s="170"/>
      <c r="M102" s="193" t="s">
        <v>257</v>
      </c>
      <c r="N102" s="210" t="s">
        <v>1594</v>
      </c>
      <c r="O102" s="211" t="s">
        <v>1597</v>
      </c>
      <c r="P102" s="211" t="s">
        <v>1598</v>
      </c>
      <c r="Q102" s="211" t="s">
        <v>1599</v>
      </c>
      <c r="R102" s="212" t="s">
        <v>1595</v>
      </c>
      <c r="S102" s="99"/>
      <c r="T102" s="95"/>
      <c r="U102" s="100"/>
      <c r="V102" s="101"/>
      <c r="W102" s="101"/>
      <c r="X102" s="101"/>
      <c r="Y102" s="64"/>
      <c r="Z102" s="64"/>
      <c r="AA102" s="64"/>
      <c r="AB102" s="64"/>
      <c r="AC102" s="64"/>
      <c r="AD102" s="64"/>
      <c r="AE102" s="64"/>
      <c r="AF102" s="64"/>
      <c r="AG102" s="64"/>
    </row>
    <row r="103">
      <c r="A103" s="126">
        <v>106.0</v>
      </c>
      <c r="B103" s="141" t="s">
        <v>1600</v>
      </c>
      <c r="C103" s="106" t="s">
        <v>257</v>
      </c>
      <c r="D103" s="128" t="s">
        <v>1601</v>
      </c>
      <c r="E103" s="129" t="s">
        <v>282</v>
      </c>
      <c r="F103" s="129" t="s">
        <v>259</v>
      </c>
      <c r="G103" s="130" t="s">
        <v>1602</v>
      </c>
      <c r="H103" s="131" t="s">
        <v>149</v>
      </c>
      <c r="I103" s="161" t="s">
        <v>165</v>
      </c>
      <c r="J103" s="171"/>
      <c r="K103" s="171"/>
      <c r="L103" s="171"/>
      <c r="M103" s="129" t="s">
        <v>257</v>
      </c>
      <c r="N103" s="162" t="s">
        <v>1600</v>
      </c>
      <c r="O103" s="163" t="s">
        <v>1603</v>
      </c>
      <c r="P103" s="163" t="s">
        <v>1604</v>
      </c>
      <c r="Q103" s="163" t="s">
        <v>1605</v>
      </c>
      <c r="R103" s="164" t="s">
        <v>1601</v>
      </c>
      <c r="S103" s="99"/>
      <c r="T103" s="95"/>
      <c r="U103" s="100"/>
      <c r="V103" s="101"/>
      <c r="W103" s="101"/>
      <c r="X103" s="101"/>
      <c r="Y103" s="64"/>
      <c r="Z103" s="64"/>
      <c r="AA103" s="64"/>
      <c r="AB103" s="64"/>
      <c r="AC103" s="64"/>
      <c r="AD103" s="64"/>
      <c r="AE103" s="64"/>
      <c r="AF103" s="64"/>
      <c r="AG103" s="64"/>
    </row>
    <row r="104">
      <c r="A104" s="126">
        <v>107.0</v>
      </c>
      <c r="B104" s="141" t="s">
        <v>1606</v>
      </c>
      <c r="C104" s="106" t="s">
        <v>257</v>
      </c>
      <c r="D104" s="158" t="s">
        <v>1607</v>
      </c>
      <c r="E104" s="159" t="s">
        <v>1608</v>
      </c>
      <c r="F104" s="159" t="s">
        <v>1538</v>
      </c>
      <c r="G104" s="160" t="s">
        <v>1609</v>
      </c>
      <c r="H104" s="131" t="s">
        <v>149</v>
      </c>
      <c r="I104" s="161" t="s">
        <v>165</v>
      </c>
      <c r="J104" s="170"/>
      <c r="K104" s="170"/>
      <c r="L104" s="170"/>
      <c r="M104" s="159" t="s">
        <v>257</v>
      </c>
      <c r="N104" s="162" t="s">
        <v>1606</v>
      </c>
      <c r="O104" s="163" t="str">
        <f>IFERROR(__xludf.DUMMYFUNCTION("IFERROR(REGEXEXTRACT(TRIM(N104),""^\S+""),"""")
"),"Aleksei")</f>
        <v>Aleksei</v>
      </c>
      <c r="P104" s="163" t="str">
        <f>IFERROR(__xludf.DUMMYFUNCTION("IFERROR(TRIM(REGEXREPLACE(TRIM(N104),""^\S+\s*"","""")),"""")
"),"Dovzhikov")</f>
        <v>Dovzhikov</v>
      </c>
      <c r="Q104" s="163" t="s">
        <v>1610</v>
      </c>
      <c r="R104" s="164" t="s">
        <v>1607</v>
      </c>
      <c r="S104" s="99"/>
      <c r="T104" s="95"/>
      <c r="U104" s="100"/>
      <c r="V104" s="101"/>
      <c r="W104" s="101"/>
      <c r="X104" s="101"/>
      <c r="Y104" s="64"/>
      <c r="Z104" s="64"/>
      <c r="AA104" s="64"/>
      <c r="AB104" s="64"/>
      <c r="AC104" s="64"/>
      <c r="AD104" s="64"/>
      <c r="AE104" s="64"/>
      <c r="AF104" s="64"/>
      <c r="AG104" s="64"/>
    </row>
    <row r="105">
      <c r="A105" s="126">
        <v>108.0</v>
      </c>
      <c r="B105" s="141" t="s">
        <v>1611</v>
      </c>
      <c r="C105" s="106" t="s">
        <v>257</v>
      </c>
      <c r="D105" s="128" t="s">
        <v>1612</v>
      </c>
      <c r="E105" s="129" t="s">
        <v>193</v>
      </c>
      <c r="F105" s="129" t="s">
        <v>1538</v>
      </c>
      <c r="G105" s="130" t="s">
        <v>1613</v>
      </c>
      <c r="H105" s="131" t="s">
        <v>149</v>
      </c>
      <c r="I105" s="161" t="s">
        <v>165</v>
      </c>
      <c r="J105" s="171"/>
      <c r="K105" s="171"/>
      <c r="L105" s="171"/>
      <c r="M105" s="129" t="s">
        <v>257</v>
      </c>
      <c r="N105" s="162" t="s">
        <v>1611</v>
      </c>
      <c r="O105" s="163" t="s">
        <v>1614</v>
      </c>
      <c r="P105" s="163" t="s">
        <v>1615</v>
      </c>
      <c r="Q105" s="163" t="s">
        <v>1616</v>
      </c>
      <c r="R105" s="164" t="s">
        <v>1612</v>
      </c>
      <c r="S105" s="99"/>
      <c r="T105" s="95"/>
      <c r="U105" s="100"/>
      <c r="V105" s="101"/>
      <c r="W105" s="101"/>
      <c r="X105" s="101"/>
      <c r="Y105" s="64"/>
      <c r="Z105" s="64"/>
      <c r="AA105" s="64"/>
      <c r="AB105" s="64"/>
      <c r="AC105" s="64"/>
      <c r="AD105" s="64"/>
      <c r="AE105" s="64"/>
      <c r="AF105" s="64"/>
      <c r="AG105" s="64"/>
    </row>
    <row r="106">
      <c r="A106" s="126">
        <v>109.0</v>
      </c>
      <c r="B106" s="141" t="s">
        <v>1617</v>
      </c>
      <c r="C106" s="106" t="s">
        <v>257</v>
      </c>
      <c r="D106" s="158" t="s">
        <v>1618</v>
      </c>
      <c r="E106" s="159" t="s">
        <v>297</v>
      </c>
      <c r="F106" s="159" t="s">
        <v>259</v>
      </c>
      <c r="G106" s="160" t="s">
        <v>1619</v>
      </c>
      <c r="H106" s="131" t="s">
        <v>149</v>
      </c>
      <c r="I106" s="161" t="s">
        <v>165</v>
      </c>
      <c r="J106" s="170"/>
      <c r="K106" s="170"/>
      <c r="L106" s="170"/>
      <c r="M106" s="159" t="s">
        <v>257</v>
      </c>
      <c r="N106" s="162" t="s">
        <v>1617</v>
      </c>
      <c r="O106" s="163" t="str">
        <f>IFERROR(__xludf.DUMMYFUNCTION("IFERROR(REGEXEXTRACT(TRIM(N106),""^\S+""),"""")
"),"Cyril")</f>
        <v>Cyril</v>
      </c>
      <c r="P106" s="163" t="str">
        <f>IFERROR(__xludf.DUMMYFUNCTION("IFERROR(TRIM(REGEXREPLACE(TRIM(N106),""^\S+\s*"","""")),"""")
"),"Vermeulen")</f>
        <v>Vermeulen</v>
      </c>
      <c r="Q106" s="163" t="s">
        <v>1620</v>
      </c>
      <c r="R106" s="164" t="s">
        <v>1618</v>
      </c>
      <c r="S106" s="99"/>
      <c r="T106" s="95"/>
      <c r="U106" s="100"/>
      <c r="V106" s="101"/>
      <c r="W106" s="101"/>
      <c r="X106" s="101"/>
      <c r="Y106" s="64"/>
      <c r="Z106" s="64"/>
      <c r="AA106" s="64"/>
      <c r="AB106" s="64"/>
      <c r="AC106" s="64"/>
      <c r="AD106" s="64"/>
      <c r="AE106" s="64"/>
      <c r="AF106" s="64"/>
      <c r="AG106" s="64"/>
    </row>
    <row r="107">
      <c r="A107" s="126">
        <v>110.0</v>
      </c>
      <c r="B107" s="141" t="s">
        <v>1621</v>
      </c>
      <c r="C107" s="106" t="s">
        <v>257</v>
      </c>
      <c r="D107" s="128" t="s">
        <v>1622</v>
      </c>
      <c r="E107" s="129" t="s">
        <v>1306</v>
      </c>
      <c r="F107" s="129" t="s">
        <v>1538</v>
      </c>
      <c r="G107" s="130" t="s">
        <v>1623</v>
      </c>
      <c r="H107" s="131" t="s">
        <v>149</v>
      </c>
      <c r="I107" s="161" t="s">
        <v>165</v>
      </c>
      <c r="J107" s="174"/>
      <c r="K107" s="174"/>
      <c r="L107" s="174"/>
      <c r="M107" s="129" t="s">
        <v>257</v>
      </c>
      <c r="N107" s="162" t="s">
        <v>1621</v>
      </c>
      <c r="O107" s="163" t="str">
        <f>IFERROR(__xludf.DUMMYFUNCTION("IFERROR(REGEXEXTRACT(TRIM(N107),""^\S+""),"""")
"),"Mike")</f>
        <v>Mike</v>
      </c>
      <c r="P107" s="163" t="str">
        <f>IFERROR(__xludf.DUMMYFUNCTION("IFERROR(TRIM(REGEXREPLACE(TRIM(N107),""^\S+\s*"","""")),"""")
"),"Zarin")</f>
        <v>Zarin</v>
      </c>
      <c r="Q107" s="163" t="s">
        <v>1624</v>
      </c>
      <c r="R107" s="164" t="s">
        <v>1622</v>
      </c>
      <c r="S107" s="99"/>
      <c r="T107" s="95"/>
      <c r="U107" s="100"/>
      <c r="V107" s="101"/>
      <c r="W107" s="101"/>
      <c r="X107" s="101"/>
      <c r="Y107" s="64"/>
      <c r="Z107" s="64"/>
      <c r="AA107" s="64"/>
      <c r="AB107" s="64"/>
      <c r="AC107" s="64"/>
      <c r="AD107" s="64"/>
      <c r="AE107" s="64"/>
      <c r="AF107" s="64"/>
      <c r="AG107" s="64"/>
    </row>
    <row r="108">
      <c r="A108" s="126">
        <v>111.0</v>
      </c>
      <c r="B108" s="151" t="s">
        <v>1625</v>
      </c>
      <c r="C108" s="106" t="s">
        <v>257</v>
      </c>
      <c r="D108" s="158" t="s">
        <v>1626</v>
      </c>
      <c r="E108" s="159" t="s">
        <v>282</v>
      </c>
      <c r="F108" s="159" t="s">
        <v>1627</v>
      </c>
      <c r="G108" s="160" t="s">
        <v>1628</v>
      </c>
      <c r="H108" s="131" t="s">
        <v>149</v>
      </c>
      <c r="I108" s="161" t="s">
        <v>165</v>
      </c>
      <c r="J108" s="179"/>
      <c r="K108" s="179"/>
      <c r="L108" s="179"/>
      <c r="M108" s="129" t="s">
        <v>257</v>
      </c>
      <c r="N108" s="213" t="s">
        <v>1625</v>
      </c>
      <c r="O108" s="129" t="s">
        <v>1629</v>
      </c>
      <c r="P108" s="129" t="s">
        <v>1630</v>
      </c>
      <c r="Q108" s="129" t="s">
        <v>1631</v>
      </c>
      <c r="R108" s="128" t="s">
        <v>1632</v>
      </c>
      <c r="S108" s="99"/>
      <c r="T108" s="95"/>
      <c r="U108" s="100"/>
      <c r="V108" s="101"/>
      <c r="W108" s="101"/>
      <c r="X108" s="101"/>
      <c r="Y108" s="64"/>
      <c r="Z108" s="64"/>
      <c r="AA108" s="64"/>
      <c r="AB108" s="64"/>
      <c r="AC108" s="64"/>
      <c r="AD108" s="64"/>
      <c r="AE108" s="64"/>
      <c r="AF108" s="64"/>
      <c r="AG108" s="64"/>
    </row>
    <row r="109">
      <c r="A109" s="126">
        <v>112.0</v>
      </c>
      <c r="B109" s="136" t="s">
        <v>1633</v>
      </c>
      <c r="C109" s="106" t="s">
        <v>257</v>
      </c>
      <c r="D109" s="128" t="s">
        <v>1634</v>
      </c>
      <c r="E109" s="129" t="s">
        <v>605</v>
      </c>
      <c r="F109" s="129" t="s">
        <v>259</v>
      </c>
      <c r="G109" s="130" t="s">
        <v>1635</v>
      </c>
      <c r="H109" s="131" t="s">
        <v>149</v>
      </c>
      <c r="I109" s="161" t="s">
        <v>165</v>
      </c>
      <c r="J109" s="179"/>
      <c r="K109" s="179"/>
      <c r="L109" s="179"/>
      <c r="M109" s="214" t="s">
        <v>257</v>
      </c>
      <c r="N109" s="162" t="s">
        <v>1633</v>
      </c>
      <c r="O109" s="163" t="s">
        <v>1636</v>
      </c>
      <c r="P109" s="163" t="s">
        <v>1637</v>
      </c>
      <c r="Q109" s="163" t="s">
        <v>1638</v>
      </c>
      <c r="R109" s="164" t="s">
        <v>1639</v>
      </c>
      <c r="S109" s="99"/>
      <c r="T109" s="95"/>
      <c r="U109" s="100"/>
      <c r="V109" s="101"/>
      <c r="W109" s="101"/>
      <c r="X109" s="101"/>
      <c r="Y109" s="64"/>
      <c r="Z109" s="64"/>
      <c r="AA109" s="64"/>
      <c r="AB109" s="64"/>
      <c r="AC109" s="64"/>
      <c r="AD109" s="64"/>
      <c r="AE109" s="64"/>
      <c r="AF109" s="64"/>
      <c r="AG109" s="64"/>
    </row>
    <row r="110">
      <c r="A110" s="126">
        <v>113.0</v>
      </c>
      <c r="B110" s="141" t="s">
        <v>1640</v>
      </c>
      <c r="C110" s="106" t="s">
        <v>257</v>
      </c>
      <c r="D110" s="158" t="s">
        <v>1641</v>
      </c>
      <c r="E110" s="159" t="s">
        <v>351</v>
      </c>
      <c r="F110" s="159" t="s">
        <v>259</v>
      </c>
      <c r="G110" s="160" t="s">
        <v>1642</v>
      </c>
      <c r="H110" s="131" t="s">
        <v>149</v>
      </c>
      <c r="I110" s="161" t="s">
        <v>165</v>
      </c>
      <c r="J110" s="179"/>
      <c r="K110" s="179"/>
      <c r="L110" s="179"/>
      <c r="M110" s="159" t="s">
        <v>257</v>
      </c>
      <c r="N110" s="162" t="s">
        <v>1640</v>
      </c>
      <c r="O110" s="163" t="str">
        <f>IFERROR(__xludf.DUMMYFUNCTION("IFERROR(REGEXEXTRACT(TRIM(N110),""^\S+""),"""")
"),"Natalia")</f>
        <v>Natalia</v>
      </c>
      <c r="P110" s="163" t="str">
        <f>IFERROR(__xludf.DUMMYFUNCTION("IFERROR(TRIM(REGEXREPLACE(TRIM(N110),""^\S+\s*"","""")),"""")
"),"Simonenko")</f>
        <v>Simonenko</v>
      </c>
      <c r="Q110" s="163" t="s">
        <v>1643</v>
      </c>
      <c r="R110" s="164" t="s">
        <v>1641</v>
      </c>
      <c r="S110" s="99"/>
      <c r="T110" s="95"/>
      <c r="U110" s="100"/>
      <c r="V110" s="101"/>
      <c r="W110" s="101"/>
      <c r="X110" s="101"/>
      <c r="Y110" s="64"/>
      <c r="Z110" s="64"/>
      <c r="AA110" s="64"/>
      <c r="AB110" s="64"/>
      <c r="AC110" s="64"/>
      <c r="AD110" s="64"/>
      <c r="AE110" s="64"/>
      <c r="AF110" s="64"/>
      <c r="AG110" s="64"/>
    </row>
    <row r="111">
      <c r="A111" s="126">
        <v>114.0</v>
      </c>
      <c r="B111" s="151" t="s">
        <v>1644</v>
      </c>
      <c r="C111" s="106" t="s">
        <v>257</v>
      </c>
      <c r="D111" s="128" t="s">
        <v>1645</v>
      </c>
      <c r="E111" s="129" t="s">
        <v>605</v>
      </c>
      <c r="F111" s="129" t="s">
        <v>259</v>
      </c>
      <c r="G111" s="130" t="s">
        <v>1646</v>
      </c>
      <c r="H111" s="131" t="s">
        <v>149</v>
      </c>
      <c r="I111" s="161" t="s">
        <v>165</v>
      </c>
      <c r="J111" s="179"/>
      <c r="K111" s="179"/>
      <c r="L111" s="179"/>
      <c r="M111" s="129" t="s">
        <v>257</v>
      </c>
      <c r="N111" s="162" t="s">
        <v>1644</v>
      </c>
      <c r="O111" s="163" t="s">
        <v>1647</v>
      </c>
      <c r="P111" s="163" t="s">
        <v>1648</v>
      </c>
      <c r="Q111" s="163" t="s">
        <v>1649</v>
      </c>
      <c r="R111" s="164" t="s">
        <v>1645</v>
      </c>
      <c r="S111" s="99"/>
      <c r="T111" s="95"/>
      <c r="U111" s="100"/>
      <c r="V111" s="101"/>
      <c r="W111" s="101"/>
      <c r="X111" s="101"/>
      <c r="Y111" s="64"/>
      <c r="Z111" s="64"/>
      <c r="AA111" s="64"/>
      <c r="AB111" s="64"/>
      <c r="AC111" s="64"/>
      <c r="AD111" s="64"/>
      <c r="AE111" s="64"/>
      <c r="AF111" s="64"/>
      <c r="AG111" s="64"/>
    </row>
    <row r="112">
      <c r="A112" s="126">
        <v>115.0</v>
      </c>
      <c r="B112" s="141" t="s">
        <v>1650</v>
      </c>
      <c r="C112" s="106" t="s">
        <v>257</v>
      </c>
      <c r="D112" s="158" t="s">
        <v>1651</v>
      </c>
      <c r="E112" s="159" t="s">
        <v>351</v>
      </c>
      <c r="F112" s="159" t="s">
        <v>259</v>
      </c>
      <c r="G112" s="160" t="s">
        <v>1652</v>
      </c>
      <c r="H112" s="131" t="s">
        <v>149</v>
      </c>
      <c r="I112" s="161" t="s">
        <v>165</v>
      </c>
      <c r="J112" s="179"/>
      <c r="K112" s="179"/>
      <c r="L112" s="179"/>
      <c r="M112" s="159" t="s">
        <v>257</v>
      </c>
      <c r="N112" s="162" t="s">
        <v>1650</v>
      </c>
      <c r="O112" s="163" t="str">
        <f>IFERROR(__xludf.DUMMYFUNCTION("IFERROR(REGEXEXTRACT(TRIM(N112),""^\S+""),"""")
"),"Andrey")</f>
        <v>Andrey</v>
      </c>
      <c r="P112" s="163" t="str">
        <f>IFERROR(__xludf.DUMMYFUNCTION("IFERROR(TRIM(REGEXREPLACE(TRIM(N112),""^\S+\s*"","""")),"""")
"),"Anishchenko")</f>
        <v>Anishchenko</v>
      </c>
      <c r="Q112" s="163" t="s">
        <v>1653</v>
      </c>
      <c r="R112" s="164" t="s">
        <v>1651</v>
      </c>
      <c r="S112" s="99"/>
      <c r="T112" s="95"/>
      <c r="U112" s="100"/>
      <c r="V112" s="101"/>
      <c r="W112" s="101"/>
      <c r="X112" s="101"/>
      <c r="Y112" s="64"/>
      <c r="Z112" s="64"/>
      <c r="AA112" s="64"/>
      <c r="AB112" s="64"/>
      <c r="AC112" s="64"/>
      <c r="AD112" s="64"/>
      <c r="AE112" s="64"/>
      <c r="AF112" s="64"/>
      <c r="AG112" s="64"/>
    </row>
    <row r="113">
      <c r="A113" s="126">
        <v>116.0</v>
      </c>
      <c r="B113" s="141" t="s">
        <v>1654</v>
      </c>
      <c r="C113" s="106" t="s">
        <v>257</v>
      </c>
      <c r="D113" s="128" t="s">
        <v>1655</v>
      </c>
      <c r="E113" s="129" t="s">
        <v>351</v>
      </c>
      <c r="F113" s="129" t="s">
        <v>259</v>
      </c>
      <c r="G113" s="130" t="s">
        <v>1656</v>
      </c>
      <c r="H113" s="131" t="s">
        <v>149</v>
      </c>
      <c r="I113" s="161" t="s">
        <v>165</v>
      </c>
      <c r="J113" s="179"/>
      <c r="K113" s="179"/>
      <c r="L113" s="179"/>
      <c r="M113" s="129" t="s">
        <v>257</v>
      </c>
      <c r="N113" s="162" t="s">
        <v>1654</v>
      </c>
      <c r="O113" s="163" t="str">
        <f>IFERROR(__xludf.DUMMYFUNCTION("IFERROR(REGEXEXTRACT(TRIM(N113),""^\S+""),"""")
"),"Roberto")</f>
        <v>Roberto</v>
      </c>
      <c r="P113" s="163" t="str">
        <f>IFERROR(__xludf.DUMMYFUNCTION("IFERROR(TRIM(REGEXREPLACE(TRIM(N113),""^\S+\s*"","""")),"""")
"),"Ricci")</f>
        <v>Ricci</v>
      </c>
      <c r="Q113" s="163" t="s">
        <v>1657</v>
      </c>
      <c r="R113" s="164" t="s">
        <v>1655</v>
      </c>
      <c r="S113" s="99"/>
      <c r="T113" s="95"/>
      <c r="U113" s="100"/>
      <c r="V113" s="101"/>
      <c r="W113" s="101"/>
      <c r="X113" s="101"/>
      <c r="Y113" s="64"/>
      <c r="Z113" s="64"/>
      <c r="AA113" s="64"/>
      <c r="AB113" s="64"/>
      <c r="AC113" s="64"/>
      <c r="AD113" s="64"/>
      <c r="AE113" s="64"/>
      <c r="AF113" s="64"/>
      <c r="AG113" s="64"/>
    </row>
    <row r="114">
      <c r="A114" s="126">
        <v>117.0</v>
      </c>
      <c r="B114" s="141" t="s">
        <v>1658</v>
      </c>
      <c r="C114" s="106" t="s">
        <v>257</v>
      </c>
      <c r="D114" s="158" t="s">
        <v>1659</v>
      </c>
      <c r="E114" s="159" t="s">
        <v>351</v>
      </c>
      <c r="F114" s="159" t="s">
        <v>259</v>
      </c>
      <c r="G114" s="160" t="s">
        <v>1660</v>
      </c>
      <c r="H114" s="131" t="s">
        <v>149</v>
      </c>
      <c r="I114" s="161" t="s">
        <v>165</v>
      </c>
      <c r="J114" s="179"/>
      <c r="K114" s="179"/>
      <c r="L114" s="179"/>
      <c r="M114" s="159" t="s">
        <v>257</v>
      </c>
      <c r="N114" s="162" t="s">
        <v>1658</v>
      </c>
      <c r="O114" s="163" t="s">
        <v>1661</v>
      </c>
      <c r="P114" s="163" t="s">
        <v>987</v>
      </c>
      <c r="Q114" s="163" t="s">
        <v>1662</v>
      </c>
      <c r="R114" s="164" t="s">
        <v>1659</v>
      </c>
      <c r="S114" s="99"/>
      <c r="T114" s="95"/>
      <c r="U114" s="100"/>
      <c r="V114" s="101"/>
      <c r="W114" s="101"/>
      <c r="X114" s="101"/>
      <c r="Y114" s="64"/>
      <c r="Z114" s="64"/>
      <c r="AA114" s="64"/>
      <c r="AB114" s="64"/>
      <c r="AC114" s="64"/>
      <c r="AD114" s="64"/>
      <c r="AE114" s="64"/>
      <c r="AF114" s="64"/>
      <c r="AG114" s="64"/>
    </row>
    <row r="115">
      <c r="A115" s="126">
        <v>118.0</v>
      </c>
      <c r="B115" s="136" t="s">
        <v>1663</v>
      </c>
      <c r="C115" s="134" t="s">
        <v>257</v>
      </c>
      <c r="D115" s="128" t="s">
        <v>1664</v>
      </c>
      <c r="E115" s="129" t="s">
        <v>351</v>
      </c>
      <c r="F115" s="129" t="s">
        <v>259</v>
      </c>
      <c r="G115" s="130" t="s">
        <v>1665</v>
      </c>
      <c r="H115" s="131" t="s">
        <v>149</v>
      </c>
      <c r="I115" s="161" t="s">
        <v>165</v>
      </c>
      <c r="J115" s="179"/>
      <c r="K115" s="179"/>
      <c r="L115" s="179"/>
      <c r="M115" s="129" t="s">
        <v>257</v>
      </c>
      <c r="N115" s="162" t="s">
        <v>1663</v>
      </c>
      <c r="O115" s="163" t="s">
        <v>1666</v>
      </c>
      <c r="P115" s="163" t="s">
        <v>1667</v>
      </c>
      <c r="Q115" s="163" t="s">
        <v>1668</v>
      </c>
      <c r="R115" s="164" t="s">
        <v>1664</v>
      </c>
      <c r="S115" s="99"/>
      <c r="T115" s="95"/>
      <c r="U115" s="100"/>
      <c r="V115" s="101"/>
      <c r="W115" s="101"/>
      <c r="X115" s="101"/>
      <c r="Y115" s="64"/>
      <c r="Z115" s="64"/>
      <c r="AA115" s="64"/>
      <c r="AB115" s="64"/>
      <c r="AC115" s="64"/>
      <c r="AD115" s="64"/>
      <c r="AE115" s="64"/>
      <c r="AF115" s="64"/>
      <c r="AG115" s="64"/>
    </row>
    <row r="116">
      <c r="A116" s="126">
        <v>119.0</v>
      </c>
      <c r="B116" s="136" t="s">
        <v>1669</v>
      </c>
      <c r="C116" s="126" t="s">
        <v>63</v>
      </c>
      <c r="D116" s="128" t="s">
        <v>1670</v>
      </c>
      <c r="E116" s="129" t="s">
        <v>282</v>
      </c>
      <c r="F116" s="129" t="s">
        <v>1538</v>
      </c>
      <c r="G116" s="160" t="s">
        <v>1671</v>
      </c>
      <c r="H116" s="131" t="s">
        <v>149</v>
      </c>
      <c r="I116" s="161" t="s">
        <v>165</v>
      </c>
      <c r="J116" s="179"/>
      <c r="K116" s="179"/>
      <c r="L116" s="179"/>
      <c r="M116" s="159" t="s">
        <v>153</v>
      </c>
      <c r="N116" s="162" t="s">
        <v>1672</v>
      </c>
      <c r="O116" s="163" t="s">
        <v>1584</v>
      </c>
      <c r="P116" s="163" t="s">
        <v>1673</v>
      </c>
      <c r="Q116" s="163" t="s">
        <v>1674</v>
      </c>
      <c r="R116" s="164" t="s">
        <v>1675</v>
      </c>
      <c r="S116" s="99"/>
      <c r="T116" s="95"/>
      <c r="U116" s="100"/>
      <c r="V116" s="101"/>
      <c r="W116" s="101"/>
      <c r="X116" s="101"/>
      <c r="Y116" s="64"/>
      <c r="Z116" s="64"/>
      <c r="AA116" s="64"/>
      <c r="AB116" s="64"/>
      <c r="AC116" s="64"/>
      <c r="AD116" s="64"/>
      <c r="AE116" s="64"/>
      <c r="AF116" s="64"/>
      <c r="AG116" s="64"/>
    </row>
    <row r="117">
      <c r="A117" s="126">
        <v>120.0</v>
      </c>
      <c r="B117" s="132" t="s">
        <v>1676</v>
      </c>
      <c r="C117" s="126" t="s">
        <v>63</v>
      </c>
      <c r="D117" s="128" t="s">
        <v>1677</v>
      </c>
      <c r="E117" s="129" t="s">
        <v>282</v>
      </c>
      <c r="F117" s="129" t="s">
        <v>124</v>
      </c>
      <c r="G117" s="130" t="s">
        <v>1678</v>
      </c>
      <c r="H117" s="131" t="s">
        <v>149</v>
      </c>
      <c r="I117" s="161" t="s">
        <v>165</v>
      </c>
      <c r="J117" s="179"/>
      <c r="K117" s="179"/>
      <c r="L117" s="179"/>
      <c r="M117" s="129" t="s">
        <v>1679</v>
      </c>
      <c r="N117" s="162" t="s">
        <v>1680</v>
      </c>
      <c r="O117" s="163" t="s">
        <v>1681</v>
      </c>
      <c r="P117" s="163" t="s">
        <v>1682</v>
      </c>
      <c r="Q117" s="163" t="s">
        <v>1683</v>
      </c>
      <c r="R117" s="164" t="s">
        <v>1684</v>
      </c>
      <c r="S117" s="99"/>
      <c r="T117" s="95"/>
      <c r="U117" s="100"/>
      <c r="V117" s="101"/>
      <c r="W117" s="101"/>
      <c r="X117" s="101"/>
      <c r="Y117" s="64"/>
      <c r="Z117" s="64"/>
      <c r="AA117" s="64"/>
      <c r="AB117" s="64"/>
      <c r="AC117" s="64"/>
      <c r="AD117" s="64"/>
      <c r="AE117" s="64"/>
      <c r="AF117" s="64"/>
      <c r="AG117" s="64"/>
    </row>
    <row r="118">
      <c r="A118" s="126">
        <v>121.0</v>
      </c>
      <c r="B118" s="136" t="s">
        <v>1685</v>
      </c>
      <c r="C118" s="126" t="s">
        <v>257</v>
      </c>
      <c r="D118" s="158" t="s">
        <v>1686</v>
      </c>
      <c r="E118" s="159" t="s">
        <v>297</v>
      </c>
      <c r="F118" s="159" t="s">
        <v>259</v>
      </c>
      <c r="G118" s="160" t="s">
        <v>1687</v>
      </c>
      <c r="H118" s="131" t="s">
        <v>149</v>
      </c>
      <c r="I118" s="161" t="s">
        <v>165</v>
      </c>
      <c r="J118" s="179"/>
      <c r="K118" s="179"/>
      <c r="L118" s="179"/>
      <c r="M118" s="159" t="s">
        <v>257</v>
      </c>
      <c r="N118" s="162" t="s">
        <v>1685</v>
      </c>
      <c r="O118" s="163" t="s">
        <v>1688</v>
      </c>
      <c r="P118" s="163" t="s">
        <v>1689</v>
      </c>
      <c r="Q118" s="163" t="s">
        <v>1690</v>
      </c>
      <c r="R118" s="164" t="s">
        <v>1686</v>
      </c>
      <c r="S118" s="99"/>
      <c r="T118" s="95"/>
      <c r="U118" s="100"/>
      <c r="V118" s="101"/>
      <c r="W118" s="101"/>
      <c r="X118" s="101"/>
      <c r="Y118" s="64"/>
      <c r="Z118" s="64"/>
      <c r="AA118" s="64"/>
      <c r="AB118" s="64"/>
      <c r="AC118" s="64"/>
      <c r="AD118" s="64"/>
      <c r="AE118" s="64"/>
      <c r="AF118" s="64"/>
      <c r="AG118" s="64"/>
    </row>
    <row r="119">
      <c r="A119" s="64"/>
      <c r="B119" s="64"/>
      <c r="C119" s="64"/>
      <c r="D119" s="64"/>
      <c r="E119" s="65"/>
      <c r="F119" s="64"/>
      <c r="G119" s="67"/>
      <c r="H119" s="64"/>
      <c r="I119" s="64"/>
      <c r="J119" s="64"/>
      <c r="K119" s="64"/>
      <c r="L119" s="65"/>
      <c r="M119" s="64"/>
      <c r="N119" s="64"/>
      <c r="O119" s="64"/>
      <c r="P119" s="64"/>
      <c r="Q119" s="64"/>
      <c r="R119" s="64"/>
      <c r="S119" s="64"/>
      <c r="T119" s="65"/>
      <c r="U119" s="64"/>
      <c r="V119" s="64"/>
      <c r="W119" s="64"/>
      <c r="X119" s="64"/>
      <c r="Y119" s="64"/>
      <c r="Z119" s="64"/>
      <c r="AA119" s="64"/>
      <c r="AB119" s="64"/>
      <c r="AC119" s="64"/>
      <c r="AD119" s="64"/>
      <c r="AE119" s="64"/>
      <c r="AF119" s="64"/>
      <c r="AG119" s="64"/>
    </row>
    <row r="120">
      <c r="A120" s="64"/>
      <c r="B120" s="64"/>
      <c r="C120" s="64"/>
      <c r="D120" s="64"/>
      <c r="E120" s="65"/>
      <c r="F120" s="64"/>
      <c r="G120" s="67"/>
      <c r="H120" s="64"/>
      <c r="I120" s="64"/>
      <c r="J120" s="64"/>
      <c r="K120" s="64"/>
      <c r="L120" s="65"/>
      <c r="M120" s="64"/>
      <c r="N120" s="64"/>
      <c r="O120" s="64"/>
      <c r="P120" s="64"/>
      <c r="Q120" s="64"/>
      <c r="R120" s="64"/>
      <c r="S120" s="64"/>
      <c r="T120" s="65"/>
      <c r="U120" s="64"/>
      <c r="V120" s="64"/>
      <c r="W120" s="64"/>
      <c r="X120" s="64"/>
      <c r="Y120" s="64"/>
      <c r="Z120" s="64"/>
      <c r="AA120" s="64"/>
      <c r="AB120" s="64"/>
      <c r="AC120" s="64"/>
      <c r="AD120" s="64"/>
      <c r="AE120" s="64"/>
      <c r="AF120" s="64"/>
      <c r="AG120" s="64"/>
    </row>
    <row r="121">
      <c r="A121" s="64"/>
      <c r="B121" s="64"/>
      <c r="C121" s="64"/>
      <c r="D121" s="64"/>
      <c r="E121" s="65"/>
      <c r="F121" s="64"/>
      <c r="G121" s="67"/>
      <c r="H121" s="64"/>
      <c r="I121" s="64"/>
      <c r="J121" s="64"/>
      <c r="K121" s="64"/>
      <c r="L121" s="65"/>
      <c r="M121" s="64"/>
      <c r="N121" s="64"/>
      <c r="O121" s="64"/>
      <c r="P121" s="64"/>
      <c r="Q121" s="64"/>
      <c r="R121" s="64"/>
      <c r="S121" s="64"/>
      <c r="T121" s="65"/>
      <c r="U121" s="64"/>
      <c r="V121" s="64"/>
      <c r="W121" s="64"/>
      <c r="X121" s="64"/>
      <c r="Y121" s="64"/>
      <c r="Z121" s="64"/>
      <c r="AA121" s="64"/>
      <c r="AB121" s="64"/>
      <c r="AC121" s="64"/>
      <c r="AD121" s="64"/>
      <c r="AE121" s="64"/>
      <c r="AF121" s="64"/>
      <c r="AG121" s="64"/>
    </row>
    <row r="122">
      <c r="A122" s="64"/>
      <c r="B122" s="64"/>
      <c r="C122" s="64"/>
      <c r="D122" s="64"/>
      <c r="E122" s="65"/>
      <c r="F122" s="64"/>
      <c r="G122" s="67"/>
      <c r="H122" s="64"/>
      <c r="I122" s="64"/>
      <c r="J122" s="64"/>
      <c r="K122" s="64"/>
      <c r="L122" s="65"/>
      <c r="M122" s="64"/>
      <c r="N122" s="64"/>
      <c r="O122" s="64"/>
      <c r="P122" s="64"/>
      <c r="Q122" s="64"/>
      <c r="R122" s="64"/>
      <c r="S122" s="64"/>
      <c r="T122" s="65"/>
      <c r="U122" s="64"/>
      <c r="V122" s="64"/>
      <c r="W122" s="64"/>
      <c r="X122" s="64"/>
      <c r="Y122" s="64"/>
      <c r="Z122" s="64"/>
      <c r="AA122" s="64"/>
      <c r="AB122" s="64"/>
      <c r="AC122" s="64"/>
      <c r="AD122" s="64"/>
      <c r="AE122" s="64"/>
      <c r="AF122" s="64"/>
      <c r="AG122" s="64"/>
    </row>
    <row r="123">
      <c r="A123" s="64"/>
      <c r="B123" s="64"/>
      <c r="C123" s="64"/>
      <c r="D123" s="64"/>
      <c r="E123" s="65"/>
      <c r="F123" s="64"/>
      <c r="G123" s="67"/>
      <c r="H123" s="64"/>
      <c r="I123" s="64"/>
      <c r="J123" s="64"/>
      <c r="K123" s="64"/>
      <c r="L123" s="65"/>
      <c r="M123" s="64"/>
      <c r="N123" s="64"/>
      <c r="O123" s="64"/>
      <c r="P123" s="64"/>
      <c r="Q123" s="64"/>
      <c r="R123" s="64"/>
      <c r="S123" s="64"/>
      <c r="T123" s="65"/>
      <c r="U123" s="64"/>
      <c r="V123" s="64"/>
      <c r="W123" s="64"/>
      <c r="X123" s="64"/>
      <c r="Y123" s="64"/>
      <c r="Z123" s="64"/>
      <c r="AA123" s="64"/>
      <c r="AB123" s="64"/>
      <c r="AC123" s="64"/>
      <c r="AD123" s="64"/>
      <c r="AE123" s="64"/>
      <c r="AF123" s="64"/>
      <c r="AG123" s="64"/>
    </row>
    <row r="124">
      <c r="A124" s="64"/>
      <c r="B124" s="64"/>
      <c r="C124" s="64"/>
      <c r="D124" s="64"/>
      <c r="E124" s="65"/>
      <c r="F124" s="64"/>
      <c r="G124" s="67"/>
      <c r="H124" s="64"/>
      <c r="I124" s="64"/>
      <c r="J124" s="64"/>
      <c r="K124" s="64"/>
      <c r="L124" s="65"/>
      <c r="M124" s="64"/>
      <c r="N124" s="64"/>
      <c r="O124" s="64"/>
      <c r="P124" s="64"/>
      <c r="Q124" s="64"/>
      <c r="R124" s="64"/>
      <c r="S124" s="64"/>
      <c r="T124" s="65"/>
      <c r="U124" s="64"/>
      <c r="V124" s="64"/>
      <c r="W124" s="64"/>
      <c r="X124" s="64"/>
      <c r="Y124" s="64"/>
      <c r="Z124" s="64"/>
      <c r="AA124" s="64"/>
      <c r="AB124" s="64"/>
      <c r="AC124" s="64"/>
      <c r="AD124" s="64"/>
      <c r="AE124" s="64"/>
      <c r="AF124" s="64"/>
      <c r="AG124" s="64"/>
    </row>
    <row r="125">
      <c r="A125" s="64"/>
      <c r="B125" s="64"/>
      <c r="C125" s="64"/>
      <c r="D125" s="64"/>
      <c r="E125" s="65"/>
      <c r="F125" s="64"/>
      <c r="G125" s="67"/>
      <c r="H125" s="64"/>
      <c r="I125" s="64"/>
      <c r="J125" s="64"/>
      <c r="K125" s="64"/>
      <c r="L125" s="65"/>
      <c r="M125" s="64"/>
      <c r="N125" s="64"/>
      <c r="O125" s="64"/>
      <c r="P125" s="64"/>
      <c r="Q125" s="64"/>
      <c r="R125" s="64"/>
      <c r="S125" s="64"/>
      <c r="T125" s="65"/>
      <c r="U125" s="64"/>
      <c r="V125" s="64"/>
      <c r="W125" s="64"/>
      <c r="X125" s="64"/>
      <c r="Y125" s="64"/>
      <c r="Z125" s="64"/>
      <c r="AA125" s="64"/>
      <c r="AB125" s="64"/>
      <c r="AC125" s="64"/>
      <c r="AD125" s="64"/>
      <c r="AE125" s="64"/>
      <c r="AF125" s="64"/>
      <c r="AG125" s="64"/>
    </row>
    <row r="126">
      <c r="A126" s="64"/>
      <c r="B126" s="64"/>
      <c r="C126" s="64"/>
      <c r="D126" s="64"/>
      <c r="E126" s="65"/>
      <c r="F126" s="64"/>
      <c r="G126" s="67"/>
      <c r="H126" s="64"/>
      <c r="I126" s="64"/>
      <c r="J126" s="64"/>
      <c r="K126" s="64"/>
      <c r="L126" s="65"/>
      <c r="M126" s="64"/>
      <c r="N126" s="64"/>
      <c r="O126" s="64"/>
      <c r="P126" s="64"/>
      <c r="Q126" s="64"/>
      <c r="R126" s="64"/>
      <c r="S126" s="64"/>
      <c r="T126" s="65"/>
      <c r="U126" s="64"/>
      <c r="V126" s="64"/>
      <c r="W126" s="64"/>
      <c r="X126" s="64"/>
      <c r="Y126" s="64"/>
      <c r="Z126" s="64"/>
      <c r="AA126" s="64"/>
      <c r="AB126" s="64"/>
      <c r="AC126" s="64"/>
      <c r="AD126" s="64"/>
      <c r="AE126" s="64"/>
      <c r="AF126" s="64"/>
      <c r="AG126" s="64"/>
    </row>
    <row r="127">
      <c r="A127" s="64"/>
      <c r="B127" s="64"/>
      <c r="C127" s="64"/>
      <c r="D127" s="64"/>
      <c r="E127" s="65"/>
      <c r="F127" s="64"/>
      <c r="G127" s="67"/>
      <c r="H127" s="64"/>
      <c r="I127" s="64"/>
      <c r="J127" s="64"/>
      <c r="K127" s="64"/>
      <c r="L127" s="65"/>
      <c r="M127" s="64"/>
      <c r="N127" s="64"/>
      <c r="O127" s="64"/>
      <c r="P127" s="64"/>
      <c r="Q127" s="64"/>
      <c r="R127" s="64"/>
      <c r="S127" s="64"/>
      <c r="T127" s="65"/>
      <c r="U127" s="64"/>
      <c r="V127" s="64"/>
      <c r="W127" s="64"/>
      <c r="X127" s="64"/>
      <c r="Y127" s="64"/>
      <c r="Z127" s="64"/>
      <c r="AA127" s="64"/>
      <c r="AB127" s="64"/>
      <c r="AC127" s="64"/>
      <c r="AD127" s="64"/>
      <c r="AE127" s="64"/>
      <c r="AF127" s="64"/>
      <c r="AG127" s="64"/>
    </row>
    <row r="128">
      <c r="A128" s="64"/>
      <c r="B128" s="64"/>
      <c r="C128" s="64"/>
      <c r="D128" s="64"/>
      <c r="E128" s="65"/>
      <c r="F128" s="64"/>
      <c r="G128" s="67"/>
      <c r="H128" s="64"/>
      <c r="I128" s="64"/>
      <c r="J128" s="64"/>
      <c r="K128" s="64"/>
      <c r="L128" s="65"/>
      <c r="M128" s="64"/>
      <c r="N128" s="64"/>
      <c r="O128" s="64"/>
      <c r="P128" s="64"/>
      <c r="Q128" s="64"/>
      <c r="R128" s="64"/>
      <c r="S128" s="64"/>
      <c r="T128" s="65"/>
      <c r="U128" s="64"/>
      <c r="V128" s="64"/>
      <c r="W128" s="64"/>
      <c r="X128" s="64"/>
      <c r="Y128" s="64"/>
      <c r="Z128" s="64"/>
      <c r="AA128" s="64"/>
      <c r="AB128" s="64"/>
      <c r="AC128" s="64"/>
      <c r="AD128" s="64"/>
      <c r="AE128" s="64"/>
      <c r="AF128" s="64"/>
      <c r="AG128" s="64"/>
    </row>
    <row r="129">
      <c r="A129" s="64"/>
      <c r="B129" s="64"/>
      <c r="C129" s="64"/>
      <c r="D129" s="64"/>
      <c r="E129" s="65"/>
      <c r="F129" s="64"/>
      <c r="G129" s="67"/>
      <c r="H129" s="64"/>
      <c r="I129" s="64"/>
      <c r="J129" s="64"/>
      <c r="K129" s="64"/>
      <c r="L129" s="65"/>
      <c r="M129" s="64"/>
      <c r="N129" s="64"/>
      <c r="O129" s="64"/>
      <c r="P129" s="64"/>
      <c r="Q129" s="64"/>
      <c r="R129" s="64"/>
      <c r="S129" s="64"/>
      <c r="T129" s="65"/>
      <c r="U129" s="64"/>
      <c r="V129" s="64"/>
      <c r="W129" s="64"/>
      <c r="X129" s="64"/>
      <c r="Y129" s="64"/>
      <c r="Z129" s="64"/>
      <c r="AA129" s="64"/>
      <c r="AB129" s="64"/>
      <c r="AC129" s="64"/>
      <c r="AD129" s="64"/>
      <c r="AE129" s="64"/>
      <c r="AF129" s="64"/>
      <c r="AG129" s="64"/>
    </row>
    <row r="130">
      <c r="A130" s="64"/>
      <c r="B130" s="64"/>
      <c r="C130" s="64"/>
      <c r="D130" s="64"/>
      <c r="E130" s="65"/>
      <c r="F130" s="64"/>
      <c r="G130" s="67"/>
      <c r="H130" s="64"/>
      <c r="I130" s="64"/>
      <c r="J130" s="64"/>
      <c r="K130" s="64"/>
      <c r="L130" s="65"/>
      <c r="M130" s="64"/>
      <c r="N130" s="64"/>
      <c r="O130" s="64"/>
      <c r="P130" s="64"/>
      <c r="Q130" s="64"/>
      <c r="R130" s="64"/>
      <c r="S130" s="64"/>
      <c r="T130" s="65"/>
      <c r="U130" s="64"/>
      <c r="V130" s="64"/>
      <c r="W130" s="64"/>
      <c r="X130" s="64"/>
      <c r="Y130" s="64"/>
      <c r="Z130" s="64"/>
      <c r="AA130" s="64"/>
      <c r="AB130" s="64"/>
      <c r="AC130" s="64"/>
      <c r="AD130" s="64"/>
      <c r="AE130" s="64"/>
      <c r="AF130" s="64"/>
      <c r="AG130" s="64"/>
    </row>
    <row r="131">
      <c r="A131" s="64"/>
      <c r="B131" s="64"/>
      <c r="C131" s="64"/>
      <c r="D131" s="64"/>
      <c r="E131" s="65"/>
      <c r="F131" s="64"/>
      <c r="G131" s="67"/>
      <c r="H131" s="64"/>
      <c r="I131" s="64"/>
      <c r="J131" s="64"/>
      <c r="K131" s="64"/>
      <c r="L131" s="65"/>
      <c r="M131" s="64"/>
      <c r="N131" s="64"/>
      <c r="O131" s="64"/>
      <c r="P131" s="64"/>
      <c r="Q131" s="64"/>
      <c r="R131" s="64"/>
      <c r="S131" s="64"/>
      <c r="T131" s="65"/>
      <c r="U131" s="64"/>
      <c r="V131" s="64"/>
      <c r="W131" s="64"/>
      <c r="X131" s="64"/>
      <c r="Y131" s="64"/>
      <c r="Z131" s="64"/>
      <c r="AA131" s="64"/>
      <c r="AB131" s="64"/>
      <c r="AC131" s="64"/>
      <c r="AD131" s="64"/>
      <c r="AE131" s="64"/>
      <c r="AF131" s="64"/>
      <c r="AG131" s="64"/>
    </row>
    <row r="132">
      <c r="A132" s="64"/>
      <c r="B132" s="64"/>
      <c r="C132" s="64"/>
      <c r="D132" s="64"/>
      <c r="E132" s="65"/>
      <c r="F132" s="64"/>
      <c r="G132" s="67"/>
      <c r="H132" s="64"/>
      <c r="I132" s="64"/>
      <c r="J132" s="64"/>
      <c r="K132" s="64"/>
      <c r="L132" s="65"/>
      <c r="M132" s="64"/>
      <c r="N132" s="64"/>
      <c r="O132" s="64"/>
      <c r="P132" s="64"/>
      <c r="Q132" s="64"/>
      <c r="R132" s="64"/>
      <c r="S132" s="64"/>
      <c r="T132" s="65"/>
      <c r="U132" s="64"/>
      <c r="V132" s="64"/>
      <c r="W132" s="64"/>
      <c r="X132" s="64"/>
      <c r="Y132" s="64"/>
      <c r="Z132" s="64"/>
      <c r="AA132" s="64"/>
      <c r="AB132" s="64"/>
      <c r="AC132" s="64"/>
      <c r="AD132" s="64"/>
      <c r="AE132" s="64"/>
      <c r="AF132" s="64"/>
      <c r="AG132" s="64"/>
    </row>
    <row r="133">
      <c r="A133" s="64"/>
      <c r="B133" s="64"/>
      <c r="C133" s="64"/>
      <c r="D133" s="64"/>
      <c r="E133" s="65"/>
      <c r="F133" s="64"/>
      <c r="G133" s="67"/>
      <c r="H133" s="64"/>
      <c r="I133" s="64"/>
      <c r="J133" s="64"/>
      <c r="K133" s="64"/>
      <c r="L133" s="65"/>
      <c r="M133" s="64"/>
      <c r="N133" s="64"/>
      <c r="O133" s="64"/>
      <c r="P133" s="64"/>
      <c r="Q133" s="64"/>
      <c r="R133" s="64"/>
      <c r="S133" s="64"/>
      <c r="T133" s="65"/>
      <c r="U133" s="64"/>
      <c r="V133" s="64"/>
      <c r="W133" s="64"/>
      <c r="X133" s="64"/>
      <c r="Y133" s="64"/>
      <c r="Z133" s="64"/>
      <c r="AA133" s="64"/>
      <c r="AB133" s="64"/>
      <c r="AC133" s="64"/>
      <c r="AD133" s="64"/>
      <c r="AE133" s="64"/>
      <c r="AF133" s="64"/>
      <c r="AG133" s="64"/>
    </row>
    <row r="134">
      <c r="A134" s="64"/>
      <c r="B134" s="64"/>
      <c r="C134" s="64"/>
      <c r="D134" s="64"/>
      <c r="E134" s="65"/>
      <c r="F134" s="64"/>
      <c r="G134" s="67"/>
      <c r="H134" s="64"/>
      <c r="I134" s="64"/>
      <c r="J134" s="64"/>
      <c r="K134" s="64"/>
      <c r="L134" s="65"/>
      <c r="M134" s="64"/>
      <c r="N134" s="64"/>
      <c r="O134" s="64"/>
      <c r="P134" s="64"/>
      <c r="Q134" s="64"/>
      <c r="R134" s="64"/>
      <c r="S134" s="64"/>
      <c r="T134" s="65"/>
      <c r="U134" s="64"/>
      <c r="V134" s="64"/>
      <c r="W134" s="64"/>
      <c r="X134" s="64"/>
      <c r="Y134" s="64"/>
      <c r="Z134" s="64"/>
      <c r="AA134" s="64"/>
      <c r="AB134" s="64"/>
      <c r="AC134" s="64"/>
      <c r="AD134" s="64"/>
      <c r="AE134" s="64"/>
      <c r="AF134" s="64"/>
      <c r="AG134" s="64"/>
    </row>
    <row r="135">
      <c r="A135" s="64"/>
      <c r="B135" s="64"/>
      <c r="C135" s="64"/>
      <c r="D135" s="64"/>
      <c r="E135" s="65"/>
      <c r="F135" s="64"/>
      <c r="G135" s="67"/>
      <c r="H135" s="64"/>
      <c r="I135" s="64"/>
      <c r="J135" s="64"/>
      <c r="K135" s="64"/>
      <c r="L135" s="65"/>
      <c r="M135" s="64"/>
      <c r="N135" s="64"/>
      <c r="O135" s="64"/>
      <c r="P135" s="64"/>
      <c r="Q135" s="64"/>
      <c r="R135" s="64"/>
      <c r="S135" s="64"/>
      <c r="T135" s="65"/>
      <c r="U135" s="64"/>
      <c r="V135" s="64"/>
      <c r="W135" s="64"/>
      <c r="X135" s="64"/>
      <c r="Y135" s="64"/>
      <c r="Z135" s="64"/>
      <c r="AA135" s="64"/>
      <c r="AB135" s="64"/>
      <c r="AC135" s="64"/>
      <c r="AD135" s="64"/>
      <c r="AE135" s="64"/>
      <c r="AF135" s="64"/>
      <c r="AG135" s="64"/>
    </row>
    <row r="136">
      <c r="A136" s="64"/>
      <c r="B136" s="64"/>
      <c r="C136" s="64"/>
      <c r="D136" s="64"/>
      <c r="E136" s="65"/>
      <c r="F136" s="64"/>
      <c r="G136" s="67"/>
      <c r="H136" s="64"/>
      <c r="I136" s="64"/>
      <c r="J136" s="64"/>
      <c r="K136" s="64"/>
      <c r="L136" s="65"/>
      <c r="M136" s="64"/>
      <c r="N136" s="64"/>
      <c r="O136" s="64"/>
      <c r="P136" s="64"/>
      <c r="Q136" s="64"/>
      <c r="R136" s="64"/>
      <c r="S136" s="64"/>
      <c r="T136" s="65"/>
      <c r="U136" s="64"/>
      <c r="V136" s="64"/>
      <c r="W136" s="64"/>
      <c r="X136" s="64"/>
      <c r="Y136" s="64"/>
      <c r="Z136" s="64"/>
      <c r="AA136" s="64"/>
      <c r="AB136" s="64"/>
      <c r="AC136" s="64"/>
      <c r="AD136" s="64"/>
      <c r="AE136" s="64"/>
      <c r="AF136" s="64"/>
      <c r="AG136" s="64"/>
    </row>
    <row r="137">
      <c r="A137" s="64"/>
      <c r="B137" s="64"/>
      <c r="C137" s="64"/>
      <c r="D137" s="64"/>
      <c r="E137" s="65"/>
      <c r="F137" s="64"/>
      <c r="G137" s="67"/>
      <c r="H137" s="64"/>
      <c r="I137" s="64"/>
      <c r="J137" s="64"/>
      <c r="K137" s="64"/>
      <c r="L137" s="65"/>
      <c r="M137" s="64"/>
      <c r="N137" s="64"/>
      <c r="O137" s="64"/>
      <c r="P137" s="64"/>
      <c r="Q137" s="64"/>
      <c r="R137" s="64"/>
      <c r="S137" s="64"/>
      <c r="T137" s="65"/>
      <c r="U137" s="64"/>
      <c r="V137" s="64"/>
      <c r="W137" s="64"/>
      <c r="X137" s="64"/>
      <c r="Y137" s="64"/>
      <c r="Z137" s="64"/>
      <c r="AA137" s="64"/>
      <c r="AB137" s="64"/>
      <c r="AC137" s="64"/>
      <c r="AD137" s="64"/>
      <c r="AE137" s="64"/>
      <c r="AF137" s="64"/>
      <c r="AG137" s="64"/>
    </row>
    <row r="138">
      <c r="A138" s="64"/>
      <c r="B138" s="64"/>
      <c r="C138" s="64"/>
      <c r="D138" s="64"/>
      <c r="E138" s="65"/>
      <c r="F138" s="64"/>
      <c r="G138" s="67"/>
      <c r="H138" s="64"/>
      <c r="I138" s="64"/>
      <c r="J138" s="64"/>
      <c r="K138" s="64"/>
      <c r="L138" s="65"/>
      <c r="M138" s="64"/>
      <c r="N138" s="64"/>
      <c r="O138" s="64"/>
      <c r="P138" s="64"/>
      <c r="Q138" s="64"/>
      <c r="R138" s="64"/>
      <c r="S138" s="64"/>
      <c r="T138" s="65"/>
      <c r="U138" s="64"/>
      <c r="V138" s="64"/>
      <c r="W138" s="64"/>
      <c r="X138" s="64"/>
      <c r="Y138" s="64"/>
      <c r="Z138" s="64"/>
      <c r="AA138" s="64"/>
      <c r="AB138" s="64"/>
      <c r="AC138" s="64"/>
      <c r="AD138" s="64"/>
      <c r="AE138" s="64"/>
      <c r="AF138" s="64"/>
      <c r="AG138" s="64"/>
    </row>
    <row r="139">
      <c r="A139" s="64"/>
      <c r="B139" s="64"/>
      <c r="C139" s="64"/>
      <c r="D139" s="64"/>
      <c r="E139" s="65"/>
      <c r="F139" s="64"/>
      <c r="G139" s="67"/>
      <c r="H139" s="64"/>
      <c r="I139" s="64"/>
      <c r="J139" s="64"/>
      <c r="K139" s="64"/>
      <c r="L139" s="65"/>
      <c r="M139" s="64"/>
      <c r="N139" s="64"/>
      <c r="O139" s="64"/>
      <c r="P139" s="64"/>
      <c r="Q139" s="64"/>
      <c r="R139" s="64"/>
      <c r="S139" s="64"/>
      <c r="T139" s="65"/>
      <c r="U139" s="64"/>
      <c r="V139" s="64"/>
      <c r="W139" s="64"/>
      <c r="X139" s="64"/>
      <c r="Y139" s="64"/>
      <c r="Z139" s="64"/>
      <c r="AA139" s="64"/>
      <c r="AB139" s="64"/>
      <c r="AC139" s="64"/>
      <c r="AD139" s="64"/>
      <c r="AE139" s="64"/>
      <c r="AF139" s="64"/>
      <c r="AG139" s="64"/>
    </row>
    <row r="140">
      <c r="A140" s="64"/>
      <c r="B140" s="64"/>
      <c r="C140" s="64"/>
      <c r="D140" s="64"/>
      <c r="E140" s="65"/>
      <c r="F140" s="64"/>
      <c r="G140" s="67"/>
      <c r="H140" s="64"/>
      <c r="I140" s="64"/>
      <c r="J140" s="64"/>
      <c r="K140" s="64"/>
      <c r="L140" s="65"/>
      <c r="M140" s="64"/>
      <c r="N140" s="64"/>
      <c r="O140" s="64"/>
      <c r="P140" s="64"/>
      <c r="Q140" s="64"/>
      <c r="R140" s="64"/>
      <c r="S140" s="64"/>
      <c r="T140" s="65"/>
      <c r="U140" s="64"/>
      <c r="V140" s="64"/>
      <c r="W140" s="64"/>
      <c r="X140" s="64"/>
      <c r="Y140" s="64"/>
      <c r="Z140" s="64"/>
      <c r="AA140" s="64"/>
      <c r="AB140" s="64"/>
      <c r="AC140" s="64"/>
      <c r="AD140" s="64"/>
      <c r="AE140" s="64"/>
      <c r="AF140" s="64"/>
      <c r="AG140" s="64"/>
    </row>
    <row r="141">
      <c r="A141" s="64"/>
      <c r="B141" s="64"/>
      <c r="C141" s="64"/>
      <c r="D141" s="64"/>
      <c r="E141" s="65"/>
      <c r="F141" s="64"/>
      <c r="G141" s="67"/>
      <c r="H141" s="64"/>
      <c r="I141" s="64"/>
      <c r="J141" s="64"/>
      <c r="K141" s="64"/>
      <c r="L141" s="65"/>
      <c r="M141" s="64"/>
      <c r="N141" s="64"/>
      <c r="O141" s="64"/>
      <c r="P141" s="64"/>
      <c r="Q141" s="64"/>
      <c r="R141" s="64"/>
      <c r="S141" s="64"/>
      <c r="T141" s="65"/>
      <c r="U141" s="64"/>
      <c r="V141" s="64"/>
      <c r="W141" s="64"/>
      <c r="X141" s="64"/>
      <c r="Y141" s="64"/>
      <c r="Z141" s="64"/>
      <c r="AA141" s="64"/>
      <c r="AB141" s="64"/>
      <c r="AC141" s="64"/>
      <c r="AD141" s="64"/>
      <c r="AE141" s="64"/>
      <c r="AF141" s="64"/>
      <c r="AG141" s="64"/>
    </row>
    <row r="142">
      <c r="A142" s="64"/>
      <c r="B142" s="64"/>
      <c r="C142" s="64"/>
      <c r="D142" s="64"/>
      <c r="E142" s="65"/>
      <c r="F142" s="64"/>
      <c r="G142" s="67"/>
      <c r="H142" s="64"/>
      <c r="I142" s="64"/>
      <c r="J142" s="64"/>
      <c r="K142" s="64"/>
      <c r="L142" s="65"/>
      <c r="M142" s="64"/>
      <c r="N142" s="64"/>
      <c r="O142" s="64"/>
      <c r="P142" s="64"/>
      <c r="Q142" s="64"/>
      <c r="R142" s="64"/>
      <c r="S142" s="64"/>
      <c r="T142" s="65"/>
      <c r="U142" s="64"/>
      <c r="V142" s="64"/>
      <c r="W142" s="64"/>
      <c r="X142" s="64"/>
      <c r="Y142" s="64"/>
      <c r="Z142" s="64"/>
      <c r="AA142" s="64"/>
      <c r="AB142" s="64"/>
      <c r="AC142" s="64"/>
      <c r="AD142" s="64"/>
      <c r="AE142" s="64"/>
      <c r="AF142" s="64"/>
      <c r="AG142" s="64"/>
    </row>
    <row r="143">
      <c r="A143" s="64"/>
      <c r="B143" s="64"/>
      <c r="C143" s="64"/>
      <c r="D143" s="64"/>
      <c r="E143" s="65"/>
      <c r="F143" s="64"/>
      <c r="G143" s="67"/>
      <c r="H143" s="64"/>
      <c r="I143" s="64"/>
      <c r="J143" s="64"/>
      <c r="K143" s="64"/>
      <c r="L143" s="65"/>
      <c r="M143" s="64"/>
      <c r="N143" s="64"/>
      <c r="O143" s="64"/>
      <c r="P143" s="64"/>
      <c r="Q143" s="64"/>
      <c r="R143" s="64"/>
      <c r="S143" s="64"/>
      <c r="T143" s="65"/>
      <c r="U143" s="64"/>
      <c r="V143" s="64"/>
      <c r="W143" s="64"/>
      <c r="X143" s="64"/>
      <c r="Y143" s="64"/>
      <c r="Z143" s="64"/>
      <c r="AA143" s="64"/>
      <c r="AB143" s="64"/>
      <c r="AC143" s="64"/>
      <c r="AD143" s="64"/>
      <c r="AE143" s="64"/>
      <c r="AF143" s="64"/>
      <c r="AG143" s="64"/>
    </row>
    <row r="144">
      <c r="A144" s="64"/>
      <c r="B144" s="64"/>
      <c r="C144" s="64"/>
      <c r="D144" s="64"/>
      <c r="E144" s="65"/>
      <c r="F144" s="64"/>
      <c r="G144" s="67"/>
      <c r="H144" s="64"/>
      <c r="I144" s="64"/>
      <c r="J144" s="64"/>
      <c r="K144" s="64"/>
      <c r="L144" s="65"/>
      <c r="M144" s="64"/>
      <c r="N144" s="64"/>
      <c r="O144" s="64"/>
      <c r="P144" s="64"/>
      <c r="Q144" s="64"/>
      <c r="R144" s="64"/>
      <c r="S144" s="64"/>
      <c r="T144" s="65"/>
      <c r="U144" s="64"/>
      <c r="V144" s="64"/>
      <c r="W144" s="64"/>
      <c r="X144" s="64"/>
      <c r="Y144" s="64"/>
      <c r="Z144" s="64"/>
      <c r="AA144" s="64"/>
      <c r="AB144" s="64"/>
      <c r="AC144" s="64"/>
      <c r="AD144" s="64"/>
      <c r="AE144" s="64"/>
      <c r="AF144" s="64"/>
      <c r="AG144" s="64"/>
    </row>
    <row r="145">
      <c r="A145" s="64"/>
      <c r="B145" s="64"/>
      <c r="C145" s="64"/>
      <c r="D145" s="64"/>
      <c r="E145" s="65"/>
      <c r="F145" s="64"/>
      <c r="G145" s="67"/>
      <c r="H145" s="64"/>
      <c r="I145" s="64"/>
      <c r="J145" s="64"/>
      <c r="K145" s="64"/>
      <c r="L145" s="65"/>
      <c r="M145" s="64"/>
      <c r="N145" s="64"/>
      <c r="O145" s="64"/>
      <c r="P145" s="64"/>
      <c r="Q145" s="64"/>
      <c r="R145" s="64"/>
      <c r="S145" s="64"/>
      <c r="T145" s="65"/>
      <c r="U145" s="64"/>
      <c r="V145" s="64"/>
      <c r="W145" s="64"/>
      <c r="X145" s="64"/>
      <c r="Y145" s="64"/>
      <c r="Z145" s="64"/>
      <c r="AA145" s="64"/>
      <c r="AB145" s="64"/>
      <c r="AC145" s="64"/>
      <c r="AD145" s="64"/>
      <c r="AE145" s="64"/>
      <c r="AF145" s="64"/>
      <c r="AG145" s="64"/>
    </row>
    <row r="146">
      <c r="A146" s="64"/>
      <c r="B146" s="64"/>
      <c r="C146" s="64"/>
      <c r="D146" s="64"/>
      <c r="E146" s="65"/>
      <c r="F146" s="64"/>
      <c r="G146" s="67"/>
      <c r="H146" s="64"/>
      <c r="I146" s="64"/>
      <c r="J146" s="64"/>
      <c r="K146" s="64"/>
      <c r="L146" s="65"/>
      <c r="M146" s="64"/>
      <c r="N146" s="64"/>
      <c r="O146" s="64"/>
      <c r="P146" s="64"/>
      <c r="Q146" s="64"/>
      <c r="R146" s="64"/>
      <c r="S146" s="64"/>
      <c r="T146" s="65"/>
      <c r="U146" s="64"/>
      <c r="V146" s="64"/>
      <c r="W146" s="64"/>
      <c r="X146" s="64"/>
      <c r="Y146" s="64"/>
      <c r="Z146" s="64"/>
      <c r="AA146" s="64"/>
      <c r="AB146" s="64"/>
      <c r="AC146" s="64"/>
      <c r="AD146" s="64"/>
      <c r="AE146" s="64"/>
      <c r="AF146" s="64"/>
      <c r="AG146" s="64"/>
    </row>
    <row r="147">
      <c r="A147" s="64"/>
      <c r="B147" s="64"/>
      <c r="C147" s="64"/>
      <c r="D147" s="64"/>
      <c r="E147" s="65"/>
      <c r="F147" s="64"/>
      <c r="G147" s="67"/>
      <c r="H147" s="64"/>
      <c r="I147" s="64"/>
      <c r="J147" s="64"/>
      <c r="K147" s="64"/>
      <c r="L147" s="65"/>
      <c r="M147" s="64"/>
      <c r="N147" s="64"/>
      <c r="O147" s="64"/>
      <c r="P147" s="64"/>
      <c r="Q147" s="64"/>
      <c r="R147" s="64"/>
      <c r="S147" s="64"/>
      <c r="T147" s="65"/>
      <c r="U147" s="64"/>
      <c r="V147" s="64"/>
      <c r="W147" s="64"/>
      <c r="X147" s="64"/>
      <c r="Y147" s="64"/>
      <c r="Z147" s="64"/>
      <c r="AA147" s="64"/>
      <c r="AB147" s="64"/>
      <c r="AC147" s="64"/>
      <c r="AD147" s="64"/>
      <c r="AE147" s="64"/>
      <c r="AF147" s="64"/>
      <c r="AG147" s="64"/>
    </row>
    <row r="148">
      <c r="A148" s="64"/>
      <c r="B148" s="64"/>
      <c r="C148" s="64"/>
      <c r="D148" s="64"/>
      <c r="E148" s="65"/>
      <c r="F148" s="64"/>
      <c r="G148" s="67"/>
      <c r="H148" s="64"/>
      <c r="I148" s="64"/>
      <c r="J148" s="64"/>
      <c r="K148" s="64"/>
      <c r="L148" s="65"/>
      <c r="M148" s="64"/>
      <c r="N148" s="64"/>
      <c r="O148" s="64"/>
      <c r="P148" s="64"/>
      <c r="Q148" s="64"/>
      <c r="R148" s="64"/>
      <c r="S148" s="64"/>
      <c r="T148" s="65"/>
      <c r="U148" s="64"/>
      <c r="V148" s="64"/>
      <c r="W148" s="64"/>
      <c r="X148" s="64"/>
      <c r="Y148" s="64"/>
      <c r="Z148" s="64"/>
      <c r="AA148" s="64"/>
      <c r="AB148" s="64"/>
      <c r="AC148" s="64"/>
      <c r="AD148" s="64"/>
      <c r="AE148" s="64"/>
      <c r="AF148" s="64"/>
      <c r="AG148" s="64"/>
    </row>
    <row r="149">
      <c r="A149" s="64"/>
      <c r="B149" s="64"/>
      <c r="C149" s="64"/>
      <c r="D149" s="64"/>
      <c r="E149" s="65"/>
      <c r="F149" s="64"/>
      <c r="G149" s="67"/>
      <c r="H149" s="64"/>
      <c r="I149" s="64"/>
      <c r="J149" s="64"/>
      <c r="K149" s="64"/>
      <c r="L149" s="65"/>
      <c r="M149" s="64"/>
      <c r="N149" s="64"/>
      <c r="O149" s="64"/>
      <c r="P149" s="64"/>
      <c r="Q149" s="64"/>
      <c r="R149" s="64"/>
      <c r="S149" s="64"/>
      <c r="T149" s="65"/>
      <c r="U149" s="64"/>
      <c r="V149" s="64"/>
      <c r="W149" s="64"/>
      <c r="X149" s="64"/>
      <c r="Y149" s="64"/>
      <c r="Z149" s="64"/>
      <c r="AA149" s="64"/>
      <c r="AB149" s="64"/>
      <c r="AC149" s="64"/>
      <c r="AD149" s="64"/>
      <c r="AE149" s="64"/>
      <c r="AF149" s="64"/>
      <c r="AG149" s="64"/>
    </row>
    <row r="150">
      <c r="A150" s="64"/>
      <c r="B150" s="64"/>
      <c r="C150" s="64"/>
      <c r="D150" s="64"/>
      <c r="E150" s="65"/>
      <c r="F150" s="64"/>
      <c r="G150" s="67"/>
      <c r="H150" s="64"/>
      <c r="I150" s="64"/>
      <c r="J150" s="64"/>
      <c r="K150" s="64"/>
      <c r="L150" s="65"/>
      <c r="M150" s="64"/>
      <c r="N150" s="64"/>
      <c r="O150" s="64"/>
      <c r="P150" s="64"/>
      <c r="Q150" s="64"/>
      <c r="R150" s="64"/>
      <c r="S150" s="64"/>
      <c r="T150" s="65"/>
      <c r="U150" s="64"/>
      <c r="V150" s="64"/>
      <c r="W150" s="64"/>
      <c r="X150" s="64"/>
      <c r="Y150" s="64"/>
      <c r="Z150" s="64"/>
      <c r="AA150" s="64"/>
      <c r="AB150" s="64"/>
      <c r="AC150" s="64"/>
      <c r="AD150" s="64"/>
      <c r="AE150" s="64"/>
      <c r="AF150" s="64"/>
      <c r="AG150" s="64"/>
    </row>
    <row r="151">
      <c r="A151" s="64"/>
      <c r="B151" s="64"/>
      <c r="C151" s="64"/>
      <c r="D151" s="64"/>
      <c r="E151" s="65"/>
      <c r="F151" s="64"/>
      <c r="G151" s="67"/>
      <c r="H151" s="64"/>
      <c r="I151" s="64"/>
      <c r="J151" s="64"/>
      <c r="K151" s="64"/>
      <c r="L151" s="65"/>
      <c r="M151" s="64"/>
      <c r="N151" s="64"/>
      <c r="O151" s="64"/>
      <c r="P151" s="64"/>
      <c r="Q151" s="64"/>
      <c r="R151" s="64"/>
      <c r="S151" s="64"/>
      <c r="T151" s="65"/>
      <c r="U151" s="64"/>
      <c r="V151" s="64"/>
      <c r="W151" s="64"/>
      <c r="X151" s="64"/>
      <c r="Y151" s="64"/>
      <c r="Z151" s="64"/>
      <c r="AA151" s="64"/>
      <c r="AB151" s="64"/>
      <c r="AC151" s="64"/>
      <c r="AD151" s="64"/>
      <c r="AE151" s="64"/>
      <c r="AF151" s="64"/>
      <c r="AG151" s="64"/>
    </row>
    <row r="152">
      <c r="A152" s="64"/>
      <c r="B152" s="64"/>
      <c r="C152" s="64"/>
      <c r="D152" s="64"/>
      <c r="E152" s="65"/>
      <c r="F152" s="64"/>
      <c r="G152" s="67"/>
      <c r="H152" s="64"/>
      <c r="I152" s="64"/>
      <c r="J152" s="64"/>
      <c r="K152" s="64"/>
      <c r="L152" s="65"/>
      <c r="M152" s="64"/>
      <c r="N152" s="64"/>
      <c r="O152" s="64"/>
      <c r="P152" s="64"/>
      <c r="Q152" s="64"/>
      <c r="R152" s="64"/>
      <c r="S152" s="64"/>
      <c r="T152" s="65"/>
      <c r="U152" s="64"/>
      <c r="V152" s="64"/>
      <c r="W152" s="64"/>
      <c r="X152" s="64"/>
      <c r="Y152" s="64"/>
      <c r="Z152" s="64"/>
      <c r="AA152" s="64"/>
      <c r="AB152" s="64"/>
      <c r="AC152" s="64"/>
      <c r="AD152" s="64"/>
      <c r="AE152" s="64"/>
      <c r="AF152" s="64"/>
      <c r="AG152" s="64"/>
    </row>
    <row r="153">
      <c r="A153" s="64"/>
      <c r="B153" s="64"/>
      <c r="C153" s="64"/>
      <c r="D153" s="64"/>
      <c r="E153" s="65"/>
      <c r="F153" s="64"/>
      <c r="G153" s="67"/>
      <c r="H153" s="64"/>
      <c r="I153" s="64"/>
      <c r="J153" s="64"/>
      <c r="K153" s="64"/>
      <c r="L153" s="65"/>
      <c r="M153" s="64"/>
      <c r="N153" s="64"/>
      <c r="O153" s="64"/>
      <c r="P153" s="64"/>
      <c r="Q153" s="64"/>
      <c r="R153" s="64"/>
      <c r="S153" s="64"/>
      <c r="T153" s="65"/>
      <c r="U153" s="64"/>
      <c r="V153" s="64"/>
      <c r="W153" s="64"/>
      <c r="X153" s="64"/>
      <c r="Y153" s="64"/>
      <c r="Z153" s="64"/>
      <c r="AA153" s="64"/>
      <c r="AB153" s="64"/>
      <c r="AC153" s="64"/>
      <c r="AD153" s="64"/>
      <c r="AE153" s="64"/>
      <c r="AF153" s="64"/>
      <c r="AG153" s="64"/>
    </row>
    <row r="154">
      <c r="A154" s="64"/>
      <c r="B154" s="64"/>
      <c r="C154" s="64"/>
      <c r="D154" s="64"/>
      <c r="E154" s="65"/>
      <c r="F154" s="64"/>
      <c r="G154" s="67"/>
      <c r="H154" s="64"/>
      <c r="I154" s="64"/>
      <c r="J154" s="64"/>
      <c r="K154" s="64"/>
      <c r="L154" s="65"/>
      <c r="M154" s="64"/>
      <c r="N154" s="64"/>
      <c r="O154" s="64"/>
      <c r="P154" s="64"/>
      <c r="Q154" s="64"/>
      <c r="R154" s="64"/>
      <c r="S154" s="64"/>
      <c r="T154" s="65"/>
      <c r="U154" s="64"/>
      <c r="V154" s="64"/>
      <c r="W154" s="64"/>
      <c r="X154" s="64"/>
      <c r="Y154" s="64"/>
      <c r="Z154" s="64"/>
      <c r="AA154" s="64"/>
      <c r="AB154" s="64"/>
      <c r="AC154" s="64"/>
      <c r="AD154" s="64"/>
      <c r="AE154" s="64"/>
      <c r="AF154" s="64"/>
      <c r="AG154" s="64"/>
    </row>
    <row r="155">
      <c r="A155" s="64"/>
      <c r="B155" s="64"/>
      <c r="C155" s="64"/>
      <c r="D155" s="64"/>
      <c r="E155" s="65"/>
      <c r="F155" s="64"/>
      <c r="G155" s="67"/>
      <c r="H155" s="64"/>
      <c r="I155" s="64"/>
      <c r="J155" s="64"/>
      <c r="K155" s="64"/>
      <c r="L155" s="65"/>
      <c r="M155" s="64"/>
      <c r="N155" s="64"/>
      <c r="O155" s="64"/>
      <c r="P155" s="64"/>
      <c r="Q155" s="64"/>
      <c r="R155" s="64"/>
      <c r="S155" s="64"/>
      <c r="T155" s="65"/>
      <c r="U155" s="64"/>
      <c r="V155" s="64"/>
      <c r="W155" s="64"/>
      <c r="X155" s="64"/>
      <c r="Y155" s="64"/>
      <c r="Z155" s="64"/>
      <c r="AA155" s="64"/>
      <c r="AB155" s="64"/>
      <c r="AC155" s="64"/>
      <c r="AD155" s="64"/>
      <c r="AE155" s="64"/>
      <c r="AF155" s="64"/>
      <c r="AG155" s="64"/>
    </row>
    <row r="156">
      <c r="A156" s="64"/>
      <c r="B156" s="64"/>
      <c r="C156" s="64"/>
      <c r="D156" s="64"/>
      <c r="E156" s="65"/>
      <c r="F156" s="64"/>
      <c r="G156" s="67"/>
      <c r="H156" s="64"/>
      <c r="I156" s="64"/>
      <c r="J156" s="64"/>
      <c r="K156" s="64"/>
      <c r="L156" s="65"/>
      <c r="M156" s="64"/>
      <c r="N156" s="64"/>
      <c r="O156" s="64"/>
      <c r="P156" s="64"/>
      <c r="Q156" s="64"/>
      <c r="R156" s="64"/>
      <c r="S156" s="64"/>
      <c r="T156" s="65"/>
      <c r="U156" s="64"/>
      <c r="V156" s="64"/>
      <c r="W156" s="64"/>
      <c r="X156" s="64"/>
      <c r="Y156" s="64"/>
      <c r="Z156" s="64"/>
      <c r="AA156" s="64"/>
      <c r="AB156" s="64"/>
      <c r="AC156" s="64"/>
      <c r="AD156" s="64"/>
      <c r="AE156" s="64"/>
      <c r="AF156" s="64"/>
      <c r="AG156" s="64"/>
    </row>
    <row r="157">
      <c r="A157" s="64"/>
      <c r="B157" s="64"/>
      <c r="C157" s="64"/>
      <c r="D157" s="64"/>
      <c r="E157" s="65"/>
      <c r="F157" s="64"/>
      <c r="G157" s="67"/>
      <c r="H157" s="64"/>
      <c r="I157" s="64"/>
      <c r="J157" s="64"/>
      <c r="K157" s="64"/>
      <c r="L157" s="65"/>
      <c r="M157" s="64"/>
      <c r="N157" s="64"/>
      <c r="O157" s="64"/>
      <c r="P157" s="64"/>
      <c r="Q157" s="64"/>
      <c r="R157" s="64"/>
      <c r="S157" s="64"/>
      <c r="T157" s="65"/>
      <c r="U157" s="64"/>
      <c r="V157" s="64"/>
      <c r="W157" s="64"/>
      <c r="X157" s="64"/>
      <c r="Y157" s="64"/>
      <c r="Z157" s="64"/>
      <c r="AA157" s="64"/>
      <c r="AB157" s="64"/>
      <c r="AC157" s="64"/>
      <c r="AD157" s="64"/>
      <c r="AE157" s="64"/>
      <c r="AF157" s="64"/>
      <c r="AG157" s="64"/>
    </row>
    <row r="158">
      <c r="A158" s="64"/>
      <c r="B158" s="64"/>
      <c r="C158" s="64"/>
      <c r="D158" s="64"/>
      <c r="E158" s="65"/>
      <c r="F158" s="64"/>
      <c r="G158" s="67"/>
      <c r="H158" s="64"/>
      <c r="I158" s="64"/>
      <c r="J158" s="64"/>
      <c r="K158" s="64"/>
      <c r="L158" s="65"/>
      <c r="M158" s="64"/>
      <c r="N158" s="64"/>
      <c r="O158" s="64"/>
      <c r="P158" s="64"/>
      <c r="Q158" s="64"/>
      <c r="R158" s="64"/>
      <c r="S158" s="64"/>
      <c r="T158" s="65"/>
      <c r="U158" s="64"/>
      <c r="V158" s="64"/>
      <c r="W158" s="64"/>
      <c r="X158" s="64"/>
      <c r="Y158" s="64"/>
      <c r="Z158" s="64"/>
      <c r="AA158" s="64"/>
      <c r="AB158" s="64"/>
      <c r="AC158" s="64"/>
      <c r="AD158" s="64"/>
      <c r="AE158" s="64"/>
      <c r="AF158" s="64"/>
      <c r="AG158" s="64"/>
    </row>
    <row r="159">
      <c r="A159" s="64"/>
      <c r="B159" s="64"/>
      <c r="C159" s="64"/>
      <c r="D159" s="64"/>
      <c r="E159" s="65"/>
      <c r="F159" s="64"/>
      <c r="G159" s="67"/>
      <c r="H159" s="64"/>
      <c r="I159" s="64"/>
      <c r="J159" s="64"/>
      <c r="K159" s="64"/>
      <c r="L159" s="65"/>
      <c r="M159" s="64"/>
      <c r="N159" s="64"/>
      <c r="O159" s="64"/>
      <c r="P159" s="64"/>
      <c r="Q159" s="64"/>
      <c r="R159" s="64"/>
      <c r="S159" s="64"/>
      <c r="T159" s="65"/>
      <c r="U159" s="64"/>
      <c r="V159" s="64"/>
      <c r="W159" s="64"/>
      <c r="X159" s="64"/>
      <c r="Y159" s="64"/>
      <c r="Z159" s="64"/>
      <c r="AA159" s="64"/>
      <c r="AB159" s="64"/>
      <c r="AC159" s="64"/>
      <c r="AD159" s="64"/>
      <c r="AE159" s="64"/>
      <c r="AF159" s="64"/>
      <c r="AG159" s="64"/>
    </row>
    <row r="160">
      <c r="A160" s="64"/>
      <c r="B160" s="64"/>
      <c r="C160" s="64"/>
      <c r="D160" s="64"/>
      <c r="E160" s="65"/>
      <c r="F160" s="64"/>
      <c r="G160" s="67"/>
      <c r="H160" s="64"/>
      <c r="I160" s="64"/>
      <c r="J160" s="64"/>
      <c r="K160" s="64"/>
      <c r="L160" s="65"/>
      <c r="M160" s="64"/>
      <c r="N160" s="64"/>
      <c r="O160" s="64"/>
      <c r="P160" s="64"/>
      <c r="Q160" s="64"/>
      <c r="R160" s="64"/>
      <c r="S160" s="64"/>
      <c r="T160" s="65"/>
      <c r="U160" s="64"/>
      <c r="V160" s="64"/>
      <c r="W160" s="64"/>
      <c r="X160" s="64"/>
      <c r="Y160" s="64"/>
      <c r="Z160" s="64"/>
      <c r="AA160" s="64"/>
      <c r="AB160" s="64"/>
      <c r="AC160" s="64"/>
      <c r="AD160" s="64"/>
      <c r="AE160" s="64"/>
      <c r="AF160" s="64"/>
      <c r="AG160" s="64"/>
    </row>
    <row r="161">
      <c r="A161" s="64"/>
      <c r="B161" s="64"/>
      <c r="C161" s="64"/>
      <c r="D161" s="64"/>
      <c r="E161" s="65"/>
      <c r="F161" s="64"/>
      <c r="G161" s="67"/>
      <c r="H161" s="64"/>
      <c r="I161" s="64"/>
      <c r="J161" s="64"/>
      <c r="K161" s="64"/>
      <c r="L161" s="65"/>
      <c r="M161" s="64"/>
      <c r="N161" s="64"/>
      <c r="O161" s="64"/>
      <c r="P161" s="64"/>
      <c r="Q161" s="64"/>
      <c r="R161" s="64"/>
      <c r="S161" s="64"/>
      <c r="T161" s="65"/>
      <c r="U161" s="64"/>
      <c r="V161" s="64"/>
      <c r="W161" s="64"/>
      <c r="X161" s="64"/>
      <c r="Y161" s="64"/>
      <c r="Z161" s="64"/>
      <c r="AA161" s="64"/>
      <c r="AB161" s="64"/>
      <c r="AC161" s="64"/>
      <c r="AD161" s="64"/>
      <c r="AE161" s="64"/>
      <c r="AF161" s="64"/>
      <c r="AG161" s="64"/>
    </row>
    <row r="162">
      <c r="A162" s="64"/>
      <c r="B162" s="64"/>
      <c r="C162" s="64"/>
      <c r="D162" s="64"/>
      <c r="E162" s="65"/>
      <c r="F162" s="64"/>
      <c r="G162" s="67"/>
      <c r="H162" s="64"/>
      <c r="I162" s="64"/>
      <c r="J162" s="64"/>
      <c r="K162" s="64"/>
      <c r="L162" s="65"/>
      <c r="M162" s="64"/>
      <c r="N162" s="64"/>
      <c r="O162" s="64"/>
      <c r="P162" s="64"/>
      <c r="Q162" s="64"/>
      <c r="R162" s="64"/>
      <c r="S162" s="64"/>
      <c r="T162" s="65"/>
      <c r="U162" s="64"/>
      <c r="V162" s="64"/>
      <c r="W162" s="64"/>
      <c r="X162" s="64"/>
      <c r="Y162" s="64"/>
      <c r="Z162" s="64"/>
      <c r="AA162" s="64"/>
      <c r="AB162" s="64"/>
      <c r="AC162" s="64"/>
      <c r="AD162" s="64"/>
      <c r="AE162" s="64"/>
      <c r="AF162" s="64"/>
      <c r="AG162" s="64"/>
    </row>
    <row r="163">
      <c r="A163" s="64"/>
      <c r="B163" s="64"/>
      <c r="C163" s="64"/>
      <c r="D163" s="64"/>
      <c r="E163" s="65"/>
      <c r="F163" s="64"/>
      <c r="G163" s="67"/>
      <c r="H163" s="64"/>
      <c r="I163" s="64"/>
      <c r="J163" s="64"/>
      <c r="K163" s="64"/>
      <c r="L163" s="65"/>
      <c r="M163" s="64"/>
      <c r="N163" s="64"/>
      <c r="O163" s="64"/>
      <c r="P163" s="64"/>
      <c r="Q163" s="64"/>
      <c r="R163" s="64"/>
      <c r="S163" s="64"/>
      <c r="T163" s="65"/>
      <c r="U163" s="64"/>
      <c r="V163" s="64"/>
      <c r="W163" s="64"/>
      <c r="X163" s="64"/>
      <c r="Y163" s="64"/>
      <c r="Z163" s="64"/>
      <c r="AA163" s="64"/>
      <c r="AB163" s="64"/>
      <c r="AC163" s="64"/>
      <c r="AD163" s="64"/>
      <c r="AE163" s="64"/>
      <c r="AF163" s="64"/>
      <c r="AG163" s="64"/>
    </row>
    <row r="164">
      <c r="A164" s="64"/>
      <c r="B164" s="64"/>
      <c r="C164" s="64"/>
      <c r="D164" s="64"/>
      <c r="E164" s="65"/>
      <c r="F164" s="64"/>
      <c r="G164" s="67"/>
      <c r="H164" s="64"/>
      <c r="I164" s="64"/>
      <c r="J164" s="64"/>
      <c r="K164" s="64"/>
      <c r="L164" s="65"/>
      <c r="M164" s="64"/>
      <c r="N164" s="64"/>
      <c r="O164" s="64"/>
      <c r="P164" s="64"/>
      <c r="Q164" s="64"/>
      <c r="R164" s="64"/>
      <c r="S164" s="64"/>
      <c r="T164" s="65"/>
      <c r="U164" s="64"/>
      <c r="V164" s="64"/>
      <c r="W164" s="64"/>
      <c r="X164" s="64"/>
      <c r="Y164" s="64"/>
      <c r="Z164" s="64"/>
      <c r="AA164" s="64"/>
      <c r="AB164" s="64"/>
      <c r="AC164" s="64"/>
      <c r="AD164" s="64"/>
      <c r="AE164" s="64"/>
      <c r="AF164" s="64"/>
      <c r="AG164" s="64"/>
    </row>
    <row r="165">
      <c r="A165" s="64"/>
      <c r="B165" s="64"/>
      <c r="C165" s="64"/>
      <c r="D165" s="64"/>
      <c r="E165" s="65"/>
      <c r="F165" s="64"/>
      <c r="G165" s="67"/>
      <c r="H165" s="64"/>
      <c r="I165" s="64"/>
      <c r="J165" s="64"/>
      <c r="K165" s="64"/>
      <c r="L165" s="65"/>
      <c r="M165" s="64"/>
      <c r="N165" s="64"/>
      <c r="O165" s="64"/>
      <c r="P165" s="64"/>
      <c r="Q165" s="64"/>
      <c r="R165" s="64"/>
      <c r="S165" s="64"/>
      <c r="T165" s="65"/>
      <c r="U165" s="64"/>
      <c r="V165" s="64"/>
      <c r="W165" s="64"/>
      <c r="X165" s="64"/>
      <c r="Y165" s="64"/>
      <c r="Z165" s="64"/>
      <c r="AA165" s="64"/>
      <c r="AB165" s="64"/>
      <c r="AC165" s="64"/>
      <c r="AD165" s="64"/>
      <c r="AE165" s="64"/>
      <c r="AF165" s="64"/>
      <c r="AG165" s="64"/>
    </row>
    <row r="166">
      <c r="A166" s="64"/>
      <c r="B166" s="64"/>
      <c r="C166" s="64"/>
      <c r="D166" s="64"/>
      <c r="E166" s="65"/>
      <c r="F166" s="64"/>
      <c r="G166" s="67"/>
      <c r="H166" s="64"/>
      <c r="I166" s="64"/>
      <c r="J166" s="64"/>
      <c r="K166" s="64"/>
      <c r="L166" s="65"/>
      <c r="M166" s="64"/>
      <c r="N166" s="64"/>
      <c r="O166" s="64"/>
      <c r="P166" s="64"/>
      <c r="Q166" s="64"/>
      <c r="R166" s="64"/>
      <c r="S166" s="64"/>
      <c r="T166" s="65"/>
      <c r="U166" s="64"/>
      <c r="V166" s="64"/>
      <c r="W166" s="64"/>
      <c r="X166" s="64"/>
      <c r="Y166" s="64"/>
      <c r="Z166" s="64"/>
      <c r="AA166" s="64"/>
      <c r="AB166" s="64"/>
      <c r="AC166" s="64"/>
      <c r="AD166" s="64"/>
      <c r="AE166" s="64"/>
      <c r="AF166" s="64"/>
      <c r="AG166" s="64"/>
    </row>
    <row r="167">
      <c r="A167" s="64"/>
      <c r="B167" s="64"/>
      <c r="C167" s="64"/>
      <c r="D167" s="64"/>
      <c r="E167" s="65"/>
      <c r="F167" s="64"/>
      <c r="G167" s="67"/>
      <c r="H167" s="64"/>
      <c r="I167" s="64"/>
      <c r="J167" s="64"/>
      <c r="K167" s="64"/>
      <c r="L167" s="65"/>
      <c r="M167" s="64"/>
      <c r="N167" s="64"/>
      <c r="O167" s="64"/>
      <c r="P167" s="64"/>
      <c r="Q167" s="64"/>
      <c r="R167" s="64"/>
      <c r="S167" s="64"/>
      <c r="T167" s="65"/>
      <c r="U167" s="64"/>
      <c r="V167" s="64"/>
      <c r="W167" s="64"/>
      <c r="X167" s="64"/>
      <c r="Y167" s="64"/>
      <c r="Z167" s="64"/>
      <c r="AA167" s="64"/>
      <c r="AB167" s="64"/>
      <c r="AC167" s="64"/>
      <c r="AD167" s="64"/>
      <c r="AE167" s="64"/>
      <c r="AF167" s="64"/>
      <c r="AG167" s="64"/>
    </row>
    <row r="168">
      <c r="A168" s="64"/>
      <c r="B168" s="64"/>
      <c r="C168" s="64"/>
      <c r="D168" s="64"/>
      <c r="E168" s="65"/>
      <c r="F168" s="64"/>
      <c r="G168" s="67"/>
      <c r="H168" s="64"/>
      <c r="I168" s="64"/>
      <c r="J168" s="64"/>
      <c r="K168" s="64"/>
      <c r="L168" s="65"/>
      <c r="M168" s="64"/>
      <c r="N168" s="64"/>
      <c r="O168" s="64"/>
      <c r="P168" s="64"/>
      <c r="Q168" s="64"/>
      <c r="R168" s="64"/>
      <c r="S168" s="64"/>
      <c r="T168" s="65"/>
      <c r="U168" s="64"/>
      <c r="V168" s="64"/>
      <c r="W168" s="64"/>
      <c r="X168" s="64"/>
      <c r="Y168" s="64"/>
      <c r="Z168" s="64"/>
      <c r="AA168" s="64"/>
      <c r="AB168" s="64"/>
      <c r="AC168" s="64"/>
      <c r="AD168" s="64"/>
      <c r="AE168" s="64"/>
      <c r="AF168" s="64"/>
      <c r="AG168" s="64"/>
    </row>
    <row r="169">
      <c r="A169" s="64"/>
      <c r="B169" s="64"/>
      <c r="C169" s="64"/>
      <c r="D169" s="64"/>
      <c r="E169" s="65"/>
      <c r="F169" s="64"/>
      <c r="G169" s="67"/>
      <c r="H169" s="64"/>
      <c r="I169" s="64"/>
      <c r="J169" s="64"/>
      <c r="K169" s="64"/>
      <c r="L169" s="65"/>
      <c r="M169" s="64"/>
      <c r="N169" s="64"/>
      <c r="O169" s="64"/>
      <c r="P169" s="64"/>
      <c r="Q169" s="64"/>
      <c r="R169" s="64"/>
      <c r="S169" s="64"/>
      <c r="T169" s="65"/>
      <c r="U169" s="64"/>
      <c r="V169" s="64"/>
      <c r="W169" s="64"/>
      <c r="X169" s="64"/>
      <c r="Y169" s="64"/>
      <c r="Z169" s="64"/>
      <c r="AA169" s="64"/>
      <c r="AB169" s="64"/>
      <c r="AC169" s="64"/>
      <c r="AD169" s="64"/>
      <c r="AE169" s="64"/>
      <c r="AF169" s="64"/>
      <c r="AG169" s="64"/>
    </row>
    <row r="170">
      <c r="A170" s="64"/>
      <c r="B170" s="64"/>
      <c r="C170" s="64"/>
      <c r="D170" s="64"/>
      <c r="E170" s="65"/>
      <c r="F170" s="64"/>
      <c r="G170" s="67"/>
      <c r="H170" s="64"/>
      <c r="I170" s="64"/>
      <c r="J170" s="64"/>
      <c r="K170" s="64"/>
      <c r="L170" s="65"/>
      <c r="M170" s="64"/>
      <c r="N170" s="64"/>
      <c r="O170" s="64"/>
      <c r="P170" s="64"/>
      <c r="Q170" s="64"/>
      <c r="R170" s="64"/>
      <c r="S170" s="64"/>
      <c r="T170" s="65"/>
      <c r="U170" s="64"/>
      <c r="V170" s="64"/>
      <c r="W170" s="64"/>
      <c r="X170" s="64"/>
      <c r="Y170" s="64"/>
      <c r="Z170" s="64"/>
      <c r="AA170" s="64"/>
      <c r="AB170" s="64"/>
      <c r="AC170" s="64"/>
      <c r="AD170" s="64"/>
      <c r="AE170" s="64"/>
      <c r="AF170" s="64"/>
      <c r="AG170" s="64"/>
    </row>
    <row r="171">
      <c r="A171" s="64"/>
      <c r="B171" s="64"/>
      <c r="C171" s="64"/>
      <c r="D171" s="64"/>
      <c r="E171" s="65"/>
      <c r="F171" s="64"/>
      <c r="G171" s="67"/>
      <c r="H171" s="64"/>
      <c r="I171" s="64"/>
      <c r="J171" s="64"/>
      <c r="K171" s="64"/>
      <c r="L171" s="65"/>
      <c r="M171" s="64"/>
      <c r="N171" s="64"/>
      <c r="O171" s="64"/>
      <c r="P171" s="64"/>
      <c r="Q171" s="64"/>
      <c r="R171" s="64"/>
      <c r="S171" s="64"/>
      <c r="T171" s="65"/>
      <c r="U171" s="64"/>
      <c r="V171" s="64"/>
      <c r="W171" s="64"/>
      <c r="X171" s="64"/>
      <c r="Y171" s="64"/>
      <c r="Z171" s="64"/>
      <c r="AA171" s="64"/>
      <c r="AB171" s="64"/>
      <c r="AC171" s="64"/>
      <c r="AD171" s="64"/>
      <c r="AE171" s="64"/>
      <c r="AF171" s="64"/>
      <c r="AG171" s="64"/>
    </row>
    <row r="172">
      <c r="A172" s="64"/>
      <c r="B172" s="64"/>
      <c r="C172" s="64"/>
      <c r="D172" s="64"/>
      <c r="E172" s="65"/>
      <c r="F172" s="64"/>
      <c r="G172" s="67"/>
      <c r="H172" s="64"/>
      <c r="I172" s="64"/>
      <c r="J172" s="64"/>
      <c r="K172" s="64"/>
      <c r="L172" s="65"/>
      <c r="M172" s="64"/>
      <c r="N172" s="64"/>
      <c r="O172" s="64"/>
      <c r="P172" s="64"/>
      <c r="Q172" s="64"/>
      <c r="R172" s="64"/>
      <c r="S172" s="64"/>
      <c r="T172" s="65"/>
      <c r="U172" s="64"/>
      <c r="V172" s="64"/>
      <c r="W172" s="64"/>
      <c r="X172" s="64"/>
      <c r="Y172" s="64"/>
      <c r="Z172" s="64"/>
      <c r="AA172" s="64"/>
      <c r="AB172" s="64"/>
      <c r="AC172" s="64"/>
      <c r="AD172" s="64"/>
      <c r="AE172" s="64"/>
      <c r="AF172" s="64"/>
      <c r="AG172" s="64"/>
    </row>
    <row r="173">
      <c r="A173" s="64"/>
      <c r="B173" s="64"/>
      <c r="C173" s="64"/>
      <c r="D173" s="64"/>
      <c r="E173" s="65"/>
      <c r="F173" s="64"/>
      <c r="G173" s="67"/>
      <c r="H173" s="64"/>
      <c r="I173" s="64"/>
      <c r="J173" s="64"/>
      <c r="K173" s="64"/>
      <c r="L173" s="65"/>
      <c r="M173" s="64"/>
      <c r="N173" s="64"/>
      <c r="O173" s="64"/>
      <c r="P173" s="64"/>
      <c r="Q173" s="64"/>
      <c r="R173" s="64"/>
      <c r="S173" s="64"/>
      <c r="T173" s="65"/>
      <c r="U173" s="64"/>
      <c r="V173" s="64"/>
      <c r="W173" s="64"/>
      <c r="X173" s="64"/>
      <c r="Y173" s="64"/>
      <c r="Z173" s="64"/>
      <c r="AA173" s="64"/>
      <c r="AB173" s="64"/>
      <c r="AC173" s="64"/>
      <c r="AD173" s="64"/>
      <c r="AE173" s="64"/>
      <c r="AF173" s="64"/>
      <c r="AG173" s="64"/>
    </row>
    <row r="174">
      <c r="A174" s="64"/>
      <c r="B174" s="64"/>
      <c r="C174" s="64"/>
      <c r="D174" s="64"/>
      <c r="E174" s="65"/>
      <c r="F174" s="64"/>
      <c r="G174" s="67"/>
      <c r="H174" s="64"/>
      <c r="I174" s="64"/>
      <c r="J174" s="64"/>
      <c r="K174" s="64"/>
      <c r="L174" s="65"/>
      <c r="M174" s="64"/>
      <c r="N174" s="64"/>
      <c r="O174" s="64"/>
      <c r="P174" s="64"/>
      <c r="Q174" s="64"/>
      <c r="R174" s="64"/>
      <c r="S174" s="64"/>
      <c r="T174" s="65"/>
      <c r="U174" s="64"/>
      <c r="V174" s="64"/>
      <c r="W174" s="64"/>
      <c r="X174" s="64"/>
      <c r="Y174" s="64"/>
      <c r="Z174" s="64"/>
      <c r="AA174" s="64"/>
      <c r="AB174" s="64"/>
      <c r="AC174" s="64"/>
      <c r="AD174" s="64"/>
      <c r="AE174" s="64"/>
      <c r="AF174" s="64"/>
      <c r="AG174" s="64"/>
    </row>
    <row r="175">
      <c r="A175" s="64"/>
      <c r="B175" s="64"/>
      <c r="C175" s="64"/>
      <c r="D175" s="64"/>
      <c r="E175" s="65"/>
      <c r="F175" s="64"/>
      <c r="G175" s="67"/>
      <c r="H175" s="64"/>
      <c r="I175" s="64"/>
      <c r="J175" s="64"/>
      <c r="K175" s="64"/>
      <c r="L175" s="65"/>
      <c r="M175" s="64"/>
      <c r="N175" s="64"/>
      <c r="O175" s="64"/>
      <c r="P175" s="64"/>
      <c r="Q175" s="64"/>
      <c r="R175" s="64"/>
      <c r="S175" s="64"/>
      <c r="T175" s="65"/>
      <c r="U175" s="64"/>
      <c r="V175" s="64"/>
      <c r="W175" s="64"/>
      <c r="X175" s="64"/>
      <c r="Y175" s="64"/>
      <c r="Z175" s="64"/>
      <c r="AA175" s="64"/>
      <c r="AB175" s="64"/>
      <c r="AC175" s="64"/>
      <c r="AD175" s="64"/>
      <c r="AE175" s="64"/>
      <c r="AF175" s="64"/>
      <c r="AG175" s="64"/>
    </row>
    <row r="176">
      <c r="A176" s="64"/>
      <c r="B176" s="64"/>
      <c r="C176" s="64"/>
      <c r="D176" s="64"/>
      <c r="E176" s="65"/>
      <c r="F176" s="64"/>
      <c r="G176" s="67"/>
      <c r="H176" s="64"/>
      <c r="I176" s="64"/>
      <c r="J176" s="64"/>
      <c r="K176" s="64"/>
      <c r="L176" s="65"/>
      <c r="M176" s="64"/>
      <c r="N176" s="64"/>
      <c r="O176" s="64"/>
      <c r="P176" s="64"/>
      <c r="Q176" s="64"/>
      <c r="R176" s="64"/>
      <c r="S176" s="64"/>
      <c r="T176" s="65"/>
      <c r="U176" s="64"/>
      <c r="V176" s="64"/>
      <c r="W176" s="64"/>
      <c r="X176" s="64"/>
      <c r="Y176" s="64"/>
      <c r="Z176" s="64"/>
      <c r="AA176" s="64"/>
      <c r="AB176" s="64"/>
      <c r="AC176" s="64"/>
      <c r="AD176" s="64"/>
      <c r="AE176" s="64"/>
      <c r="AF176" s="64"/>
      <c r="AG176" s="64"/>
    </row>
    <row r="177">
      <c r="A177" s="64"/>
      <c r="B177" s="64"/>
      <c r="C177" s="64"/>
      <c r="D177" s="64"/>
      <c r="E177" s="65"/>
      <c r="F177" s="64"/>
      <c r="G177" s="67"/>
      <c r="H177" s="64"/>
      <c r="I177" s="64"/>
      <c r="J177" s="64"/>
      <c r="K177" s="64"/>
      <c r="L177" s="65"/>
      <c r="M177" s="64"/>
      <c r="N177" s="64"/>
      <c r="O177" s="64"/>
      <c r="P177" s="64"/>
      <c r="Q177" s="64"/>
      <c r="R177" s="64"/>
      <c r="S177" s="64"/>
      <c r="T177" s="65"/>
      <c r="U177" s="64"/>
      <c r="V177" s="64"/>
      <c r="W177" s="64"/>
      <c r="X177" s="64"/>
      <c r="Y177" s="64"/>
      <c r="Z177" s="64"/>
      <c r="AA177" s="64"/>
      <c r="AB177" s="64"/>
      <c r="AC177" s="64"/>
      <c r="AD177" s="64"/>
      <c r="AE177" s="64"/>
      <c r="AF177" s="64"/>
      <c r="AG177" s="64"/>
    </row>
    <row r="178">
      <c r="A178" s="64"/>
      <c r="B178" s="64"/>
      <c r="C178" s="64"/>
      <c r="D178" s="64"/>
      <c r="E178" s="65"/>
      <c r="F178" s="64"/>
      <c r="G178" s="67"/>
      <c r="H178" s="64"/>
      <c r="I178" s="64"/>
      <c r="J178" s="64"/>
      <c r="K178" s="64"/>
      <c r="L178" s="65"/>
      <c r="M178" s="64"/>
      <c r="N178" s="64"/>
      <c r="O178" s="64"/>
      <c r="P178" s="64"/>
      <c r="Q178" s="64"/>
      <c r="R178" s="64"/>
      <c r="S178" s="64"/>
      <c r="T178" s="65"/>
      <c r="U178" s="64"/>
      <c r="V178" s="64"/>
      <c r="W178" s="64"/>
      <c r="X178" s="64"/>
      <c r="Y178" s="64"/>
      <c r="Z178" s="64"/>
      <c r="AA178" s="64"/>
      <c r="AB178" s="64"/>
      <c r="AC178" s="64"/>
      <c r="AD178" s="64"/>
      <c r="AE178" s="64"/>
      <c r="AF178" s="64"/>
      <c r="AG178" s="64"/>
    </row>
    <row r="179">
      <c r="A179" s="64"/>
      <c r="B179" s="64"/>
      <c r="C179" s="64"/>
      <c r="D179" s="64"/>
      <c r="E179" s="65"/>
      <c r="F179" s="64"/>
      <c r="G179" s="67"/>
      <c r="H179" s="64"/>
      <c r="I179" s="64"/>
      <c r="J179" s="64"/>
      <c r="K179" s="64"/>
      <c r="L179" s="65"/>
      <c r="M179" s="64"/>
      <c r="N179" s="64"/>
      <c r="O179" s="64"/>
      <c r="P179" s="64"/>
      <c r="Q179" s="64"/>
      <c r="R179" s="64"/>
      <c r="S179" s="64"/>
      <c r="T179" s="65"/>
      <c r="U179" s="64"/>
      <c r="V179" s="64"/>
      <c r="W179" s="64"/>
      <c r="X179" s="64"/>
      <c r="Y179" s="64"/>
      <c r="Z179" s="64"/>
      <c r="AA179" s="64"/>
      <c r="AB179" s="64"/>
      <c r="AC179" s="64"/>
      <c r="AD179" s="64"/>
      <c r="AE179" s="64"/>
      <c r="AF179" s="64"/>
      <c r="AG179" s="64"/>
    </row>
    <row r="180">
      <c r="A180" s="64"/>
      <c r="B180" s="64"/>
      <c r="C180" s="64"/>
      <c r="D180" s="64"/>
      <c r="E180" s="65"/>
      <c r="F180" s="64"/>
      <c r="G180" s="67"/>
      <c r="H180" s="64"/>
      <c r="I180" s="64"/>
      <c r="J180" s="64"/>
      <c r="K180" s="64"/>
      <c r="L180" s="65"/>
      <c r="M180" s="64"/>
      <c r="N180" s="64"/>
      <c r="O180" s="64"/>
      <c r="P180" s="64"/>
      <c r="Q180" s="64"/>
      <c r="R180" s="64"/>
      <c r="S180" s="64"/>
      <c r="T180" s="65"/>
      <c r="U180" s="64"/>
      <c r="V180" s="64"/>
      <c r="W180" s="64"/>
      <c r="X180" s="64"/>
      <c r="Y180" s="64"/>
      <c r="Z180" s="64"/>
      <c r="AA180" s="64"/>
      <c r="AB180" s="64"/>
      <c r="AC180" s="64"/>
      <c r="AD180" s="64"/>
      <c r="AE180" s="64"/>
      <c r="AF180" s="64"/>
      <c r="AG180" s="64"/>
    </row>
    <row r="181">
      <c r="A181" s="64"/>
      <c r="B181" s="64"/>
      <c r="C181" s="64"/>
      <c r="D181" s="64"/>
      <c r="E181" s="65"/>
      <c r="F181" s="64"/>
      <c r="G181" s="67"/>
      <c r="H181" s="64"/>
      <c r="I181" s="64"/>
      <c r="J181" s="64"/>
      <c r="K181" s="64"/>
      <c r="L181" s="65"/>
      <c r="M181" s="64"/>
      <c r="N181" s="64"/>
      <c r="O181" s="64"/>
      <c r="P181" s="64"/>
      <c r="Q181" s="64"/>
      <c r="R181" s="64"/>
      <c r="S181" s="64"/>
      <c r="T181" s="65"/>
      <c r="U181" s="64"/>
      <c r="V181" s="64"/>
      <c r="W181" s="64"/>
      <c r="X181" s="64"/>
      <c r="Y181" s="64"/>
      <c r="Z181" s="64"/>
      <c r="AA181" s="64"/>
      <c r="AB181" s="64"/>
      <c r="AC181" s="64"/>
      <c r="AD181" s="64"/>
      <c r="AE181" s="64"/>
      <c r="AF181" s="64"/>
      <c r="AG181" s="64"/>
    </row>
    <row r="182">
      <c r="A182" s="64"/>
      <c r="B182" s="64"/>
      <c r="C182" s="64"/>
      <c r="D182" s="64"/>
      <c r="E182" s="65"/>
      <c r="F182" s="64"/>
      <c r="G182" s="67"/>
      <c r="H182" s="64"/>
      <c r="I182" s="64"/>
      <c r="J182" s="64"/>
      <c r="K182" s="64"/>
      <c r="L182" s="65"/>
      <c r="M182" s="64"/>
      <c r="N182" s="64"/>
      <c r="O182" s="64"/>
      <c r="P182" s="64"/>
      <c r="Q182" s="64"/>
      <c r="R182" s="64"/>
      <c r="S182" s="64"/>
      <c r="T182" s="65"/>
      <c r="U182" s="64"/>
      <c r="V182" s="64"/>
      <c r="W182" s="64"/>
      <c r="X182" s="64"/>
      <c r="Y182" s="64"/>
      <c r="Z182" s="64"/>
      <c r="AA182" s="64"/>
      <c r="AB182" s="64"/>
      <c r="AC182" s="64"/>
      <c r="AD182" s="64"/>
      <c r="AE182" s="64"/>
      <c r="AF182" s="64"/>
      <c r="AG182" s="64"/>
    </row>
    <row r="183">
      <c r="A183" s="64"/>
      <c r="B183" s="64"/>
      <c r="C183" s="64"/>
      <c r="D183" s="64"/>
      <c r="E183" s="65"/>
      <c r="F183" s="64"/>
      <c r="G183" s="67"/>
      <c r="H183" s="64"/>
      <c r="I183" s="64"/>
      <c r="J183" s="64"/>
      <c r="K183" s="64"/>
      <c r="L183" s="65"/>
      <c r="M183" s="64"/>
      <c r="N183" s="64"/>
      <c r="O183" s="64"/>
      <c r="P183" s="64"/>
      <c r="Q183" s="64"/>
      <c r="R183" s="64"/>
      <c r="S183" s="64"/>
      <c r="T183" s="65"/>
      <c r="U183" s="64"/>
      <c r="V183" s="64"/>
      <c r="W183" s="64"/>
      <c r="X183" s="64"/>
      <c r="Y183" s="64"/>
      <c r="Z183" s="64"/>
      <c r="AA183" s="64"/>
      <c r="AB183" s="64"/>
      <c r="AC183" s="64"/>
      <c r="AD183" s="64"/>
      <c r="AE183" s="64"/>
      <c r="AF183" s="64"/>
      <c r="AG183" s="64"/>
    </row>
    <row r="184">
      <c r="A184" s="64"/>
      <c r="B184" s="64"/>
      <c r="C184" s="64"/>
      <c r="D184" s="64"/>
      <c r="E184" s="65"/>
      <c r="F184" s="64"/>
      <c r="G184" s="67"/>
      <c r="H184" s="64"/>
      <c r="I184" s="64"/>
      <c r="J184" s="64"/>
      <c r="K184" s="64"/>
      <c r="L184" s="65"/>
      <c r="M184" s="64"/>
      <c r="N184" s="64"/>
      <c r="O184" s="64"/>
      <c r="P184" s="64"/>
      <c r="Q184" s="64"/>
      <c r="R184" s="64"/>
      <c r="S184" s="64"/>
      <c r="T184" s="65"/>
      <c r="U184" s="64"/>
      <c r="V184" s="64"/>
      <c r="W184" s="64"/>
      <c r="X184" s="64"/>
      <c r="Y184" s="64"/>
      <c r="Z184" s="64"/>
      <c r="AA184" s="64"/>
      <c r="AB184" s="64"/>
      <c r="AC184" s="64"/>
      <c r="AD184" s="64"/>
      <c r="AE184" s="64"/>
      <c r="AF184" s="64"/>
      <c r="AG184" s="64"/>
    </row>
    <row r="185">
      <c r="A185" s="64"/>
      <c r="B185" s="64"/>
      <c r="C185" s="64"/>
      <c r="D185" s="64"/>
      <c r="E185" s="65"/>
      <c r="F185" s="64"/>
      <c r="G185" s="67"/>
      <c r="H185" s="64"/>
      <c r="I185" s="64"/>
      <c r="J185" s="64"/>
      <c r="K185" s="64"/>
      <c r="L185" s="65"/>
      <c r="M185" s="64"/>
      <c r="N185" s="64"/>
      <c r="O185" s="64"/>
      <c r="P185" s="64"/>
      <c r="Q185" s="64"/>
      <c r="R185" s="64"/>
      <c r="S185" s="64"/>
      <c r="T185" s="65"/>
      <c r="U185" s="64"/>
      <c r="V185" s="64"/>
      <c r="W185" s="64"/>
      <c r="X185" s="64"/>
      <c r="Y185" s="64"/>
      <c r="Z185" s="64"/>
      <c r="AA185" s="64"/>
      <c r="AB185" s="64"/>
      <c r="AC185" s="64"/>
      <c r="AD185" s="64"/>
      <c r="AE185" s="64"/>
      <c r="AF185" s="64"/>
      <c r="AG185" s="64"/>
    </row>
    <row r="186">
      <c r="A186" s="64"/>
      <c r="B186" s="64"/>
      <c r="C186" s="64"/>
      <c r="D186" s="64"/>
      <c r="E186" s="65"/>
      <c r="F186" s="64"/>
      <c r="G186" s="67"/>
      <c r="H186" s="64"/>
      <c r="I186" s="64"/>
      <c r="J186" s="64"/>
      <c r="K186" s="64"/>
      <c r="L186" s="65"/>
      <c r="M186" s="64"/>
      <c r="N186" s="64"/>
      <c r="O186" s="64"/>
      <c r="P186" s="64"/>
      <c r="Q186" s="64"/>
      <c r="R186" s="64"/>
      <c r="S186" s="64"/>
      <c r="T186" s="65"/>
      <c r="U186" s="64"/>
      <c r="V186" s="64"/>
      <c r="W186" s="64"/>
      <c r="X186" s="64"/>
      <c r="Y186" s="64"/>
      <c r="Z186" s="64"/>
      <c r="AA186" s="64"/>
      <c r="AB186" s="64"/>
      <c r="AC186" s="64"/>
      <c r="AD186" s="64"/>
      <c r="AE186" s="64"/>
      <c r="AF186" s="64"/>
      <c r="AG186" s="64"/>
    </row>
    <row r="187">
      <c r="A187" s="64"/>
      <c r="B187" s="64"/>
      <c r="C187" s="64"/>
      <c r="D187" s="64"/>
      <c r="E187" s="65"/>
      <c r="F187" s="64"/>
      <c r="G187" s="67"/>
      <c r="H187" s="64"/>
      <c r="I187" s="64"/>
      <c r="J187" s="64"/>
      <c r="K187" s="64"/>
      <c r="L187" s="65"/>
      <c r="M187" s="64"/>
      <c r="N187" s="64"/>
      <c r="O187" s="64"/>
      <c r="P187" s="64"/>
      <c r="Q187" s="64"/>
      <c r="R187" s="64"/>
      <c r="S187" s="64"/>
      <c r="T187" s="65"/>
      <c r="U187" s="64"/>
      <c r="V187" s="64"/>
      <c r="W187" s="64"/>
      <c r="X187" s="64"/>
      <c r="Y187" s="64"/>
      <c r="Z187" s="64"/>
      <c r="AA187" s="64"/>
      <c r="AB187" s="64"/>
      <c r="AC187" s="64"/>
      <c r="AD187" s="64"/>
      <c r="AE187" s="64"/>
      <c r="AF187" s="64"/>
      <c r="AG187" s="64"/>
    </row>
    <row r="188">
      <c r="A188" s="64"/>
      <c r="B188" s="64"/>
      <c r="C188" s="64"/>
      <c r="D188" s="64"/>
      <c r="E188" s="65"/>
      <c r="F188" s="64"/>
      <c r="G188" s="67"/>
      <c r="H188" s="64"/>
      <c r="I188" s="64"/>
      <c r="J188" s="64"/>
      <c r="K188" s="64"/>
      <c r="L188" s="65"/>
      <c r="M188" s="64"/>
      <c r="N188" s="64"/>
      <c r="O188" s="64"/>
      <c r="P188" s="64"/>
      <c r="Q188" s="64"/>
      <c r="R188" s="64"/>
      <c r="S188" s="64"/>
      <c r="T188" s="65"/>
      <c r="U188" s="64"/>
      <c r="V188" s="64"/>
      <c r="W188" s="64"/>
      <c r="X188" s="64"/>
      <c r="Y188" s="64"/>
      <c r="Z188" s="64"/>
      <c r="AA188" s="64"/>
      <c r="AB188" s="64"/>
      <c r="AC188" s="64"/>
      <c r="AD188" s="64"/>
      <c r="AE188" s="64"/>
      <c r="AF188" s="64"/>
      <c r="AG188" s="64"/>
    </row>
    <row r="189">
      <c r="A189" s="64"/>
      <c r="B189" s="64"/>
      <c r="C189" s="64"/>
      <c r="D189" s="64"/>
      <c r="E189" s="65"/>
      <c r="F189" s="64"/>
      <c r="G189" s="67"/>
      <c r="H189" s="64"/>
      <c r="I189" s="64"/>
      <c r="J189" s="64"/>
      <c r="K189" s="64"/>
      <c r="L189" s="65"/>
      <c r="M189" s="64"/>
      <c r="N189" s="64"/>
      <c r="O189" s="64"/>
      <c r="P189" s="64"/>
      <c r="Q189" s="64"/>
      <c r="R189" s="64"/>
      <c r="S189" s="64"/>
      <c r="T189" s="65"/>
      <c r="U189" s="64"/>
      <c r="V189" s="64"/>
      <c r="W189" s="64"/>
      <c r="X189" s="64"/>
      <c r="Y189" s="64"/>
      <c r="Z189" s="64"/>
      <c r="AA189" s="64"/>
      <c r="AB189" s="64"/>
      <c r="AC189" s="64"/>
      <c r="AD189" s="64"/>
      <c r="AE189" s="64"/>
      <c r="AF189" s="64"/>
      <c r="AG189" s="64"/>
    </row>
    <row r="190">
      <c r="A190" s="64"/>
      <c r="B190" s="64"/>
      <c r="C190" s="64"/>
      <c r="D190" s="64"/>
      <c r="E190" s="65"/>
      <c r="F190" s="64"/>
      <c r="G190" s="67"/>
      <c r="H190" s="64"/>
      <c r="I190" s="64"/>
      <c r="J190" s="64"/>
      <c r="K190" s="64"/>
      <c r="L190" s="65"/>
      <c r="M190" s="64"/>
      <c r="N190" s="64"/>
      <c r="O190" s="64"/>
      <c r="P190" s="64"/>
      <c r="Q190" s="64"/>
      <c r="R190" s="64"/>
      <c r="S190" s="64"/>
      <c r="T190" s="65"/>
      <c r="U190" s="64"/>
      <c r="V190" s="64"/>
      <c r="W190" s="64"/>
      <c r="X190" s="64"/>
      <c r="Y190" s="64"/>
      <c r="Z190" s="64"/>
      <c r="AA190" s="64"/>
      <c r="AB190" s="64"/>
      <c r="AC190" s="64"/>
      <c r="AD190" s="64"/>
      <c r="AE190" s="64"/>
      <c r="AF190" s="64"/>
      <c r="AG190" s="64"/>
    </row>
    <row r="191">
      <c r="A191" s="64"/>
      <c r="B191" s="64"/>
      <c r="C191" s="64"/>
      <c r="D191" s="64"/>
      <c r="E191" s="65"/>
      <c r="F191" s="64"/>
      <c r="G191" s="67"/>
      <c r="H191" s="64"/>
      <c r="I191" s="64"/>
      <c r="J191" s="64"/>
      <c r="K191" s="64"/>
      <c r="L191" s="65"/>
      <c r="M191" s="64"/>
      <c r="N191" s="64"/>
      <c r="O191" s="64"/>
      <c r="P191" s="64"/>
      <c r="Q191" s="64"/>
      <c r="R191" s="64"/>
      <c r="S191" s="64"/>
      <c r="T191" s="65"/>
      <c r="U191" s="64"/>
      <c r="V191" s="64"/>
      <c r="W191" s="64"/>
      <c r="X191" s="64"/>
      <c r="Y191" s="64"/>
      <c r="Z191" s="64"/>
      <c r="AA191" s="64"/>
      <c r="AB191" s="64"/>
      <c r="AC191" s="64"/>
      <c r="AD191" s="64"/>
      <c r="AE191" s="64"/>
      <c r="AF191" s="64"/>
      <c r="AG191" s="64"/>
    </row>
    <row r="192">
      <c r="A192" s="64"/>
      <c r="B192" s="64"/>
      <c r="C192" s="64"/>
      <c r="D192" s="64"/>
      <c r="E192" s="65"/>
      <c r="F192" s="64"/>
      <c r="G192" s="67"/>
      <c r="H192" s="64"/>
      <c r="I192" s="64"/>
      <c r="J192" s="64"/>
      <c r="K192" s="64"/>
      <c r="L192" s="65"/>
      <c r="M192" s="64"/>
      <c r="N192" s="64"/>
      <c r="O192" s="64"/>
      <c r="P192" s="64"/>
      <c r="Q192" s="64"/>
      <c r="R192" s="64"/>
      <c r="S192" s="64"/>
      <c r="T192" s="65"/>
      <c r="U192" s="64"/>
      <c r="V192" s="64"/>
      <c r="W192" s="64"/>
      <c r="X192" s="64"/>
      <c r="Y192" s="64"/>
      <c r="Z192" s="64"/>
      <c r="AA192" s="64"/>
      <c r="AB192" s="64"/>
      <c r="AC192" s="64"/>
      <c r="AD192" s="64"/>
      <c r="AE192" s="64"/>
      <c r="AF192" s="64"/>
      <c r="AG192" s="64"/>
    </row>
    <row r="193">
      <c r="A193" s="64"/>
      <c r="B193" s="64"/>
      <c r="C193" s="64"/>
      <c r="D193" s="64"/>
      <c r="E193" s="65"/>
      <c r="F193" s="64"/>
      <c r="G193" s="67"/>
      <c r="H193" s="64"/>
      <c r="I193" s="64"/>
      <c r="J193" s="64"/>
      <c r="K193" s="64"/>
      <c r="L193" s="65"/>
      <c r="M193" s="64"/>
      <c r="N193" s="64"/>
      <c r="O193" s="64"/>
      <c r="P193" s="64"/>
      <c r="Q193" s="64"/>
      <c r="R193" s="64"/>
      <c r="S193" s="64"/>
      <c r="T193" s="65"/>
      <c r="U193" s="64"/>
      <c r="V193" s="64"/>
      <c r="W193" s="64"/>
      <c r="X193" s="64"/>
      <c r="Y193" s="64"/>
      <c r="Z193" s="64"/>
      <c r="AA193" s="64"/>
      <c r="AB193" s="64"/>
      <c r="AC193" s="64"/>
      <c r="AD193" s="64"/>
      <c r="AE193" s="64"/>
      <c r="AF193" s="64"/>
      <c r="AG193" s="64"/>
    </row>
    <row r="194">
      <c r="A194" s="64"/>
      <c r="B194" s="64"/>
      <c r="C194" s="64"/>
      <c r="D194" s="64"/>
      <c r="E194" s="65"/>
      <c r="F194" s="64"/>
      <c r="G194" s="67"/>
      <c r="H194" s="64"/>
      <c r="I194" s="64"/>
      <c r="J194" s="64"/>
      <c r="K194" s="64"/>
      <c r="L194" s="65"/>
      <c r="M194" s="64"/>
      <c r="N194" s="64"/>
      <c r="O194" s="64"/>
      <c r="P194" s="64"/>
      <c r="Q194" s="64"/>
      <c r="R194" s="64"/>
      <c r="S194" s="64"/>
      <c r="T194" s="65"/>
      <c r="U194" s="64"/>
      <c r="V194" s="64"/>
      <c r="W194" s="64"/>
      <c r="X194" s="64"/>
      <c r="Y194" s="64"/>
      <c r="Z194" s="64"/>
      <c r="AA194" s="64"/>
      <c r="AB194" s="64"/>
      <c r="AC194" s="64"/>
      <c r="AD194" s="64"/>
      <c r="AE194" s="64"/>
      <c r="AF194" s="64"/>
      <c r="AG194" s="64"/>
    </row>
    <row r="195">
      <c r="A195" s="64"/>
      <c r="B195" s="64"/>
      <c r="C195" s="64"/>
      <c r="D195" s="64"/>
      <c r="E195" s="65"/>
      <c r="F195" s="64"/>
      <c r="G195" s="67"/>
      <c r="H195" s="64"/>
      <c r="I195" s="64"/>
      <c r="J195" s="64"/>
      <c r="K195" s="64"/>
      <c r="L195" s="65"/>
      <c r="M195" s="64"/>
      <c r="N195" s="64"/>
      <c r="O195" s="64"/>
      <c r="P195" s="64"/>
      <c r="Q195" s="64"/>
      <c r="R195" s="64"/>
      <c r="S195" s="64"/>
      <c r="T195" s="65"/>
      <c r="U195" s="64"/>
      <c r="V195" s="64"/>
      <c r="W195" s="64"/>
      <c r="X195" s="64"/>
      <c r="Y195" s="64"/>
      <c r="Z195" s="64"/>
      <c r="AA195" s="64"/>
      <c r="AB195" s="64"/>
      <c r="AC195" s="64"/>
      <c r="AD195" s="64"/>
      <c r="AE195" s="64"/>
      <c r="AF195" s="64"/>
      <c r="AG195" s="64"/>
    </row>
    <row r="196">
      <c r="A196" s="64"/>
      <c r="B196" s="64"/>
      <c r="C196" s="64"/>
      <c r="D196" s="64"/>
      <c r="E196" s="65"/>
      <c r="F196" s="64"/>
      <c r="G196" s="67"/>
      <c r="H196" s="64"/>
      <c r="I196" s="64"/>
      <c r="J196" s="64"/>
      <c r="K196" s="64"/>
      <c r="L196" s="65"/>
      <c r="M196" s="64"/>
      <c r="N196" s="64"/>
      <c r="O196" s="64"/>
      <c r="P196" s="64"/>
      <c r="Q196" s="64"/>
      <c r="R196" s="64"/>
      <c r="S196" s="64"/>
      <c r="T196" s="65"/>
      <c r="U196" s="64"/>
      <c r="V196" s="64"/>
      <c r="W196" s="64"/>
      <c r="X196" s="64"/>
      <c r="Y196" s="64"/>
      <c r="Z196" s="64"/>
      <c r="AA196" s="64"/>
      <c r="AB196" s="64"/>
      <c r="AC196" s="64"/>
      <c r="AD196" s="64"/>
      <c r="AE196" s="64"/>
      <c r="AF196" s="64"/>
      <c r="AG196" s="64"/>
    </row>
    <row r="197">
      <c r="A197" s="64"/>
      <c r="B197" s="64"/>
      <c r="C197" s="64"/>
      <c r="D197" s="64"/>
      <c r="E197" s="65"/>
      <c r="F197" s="64"/>
      <c r="G197" s="67"/>
      <c r="H197" s="64"/>
      <c r="I197" s="64"/>
      <c r="J197" s="64"/>
      <c r="K197" s="64"/>
      <c r="L197" s="65"/>
      <c r="M197" s="64"/>
      <c r="N197" s="64"/>
      <c r="O197" s="64"/>
      <c r="P197" s="64"/>
      <c r="Q197" s="64"/>
      <c r="R197" s="64"/>
      <c r="S197" s="64"/>
      <c r="T197" s="65"/>
      <c r="U197" s="64"/>
      <c r="V197" s="64"/>
      <c r="W197" s="64"/>
      <c r="X197" s="64"/>
      <c r="Y197" s="64"/>
      <c r="Z197" s="64"/>
      <c r="AA197" s="64"/>
      <c r="AB197" s="64"/>
      <c r="AC197" s="64"/>
      <c r="AD197" s="64"/>
      <c r="AE197" s="64"/>
      <c r="AF197" s="64"/>
      <c r="AG197" s="64"/>
    </row>
    <row r="198">
      <c r="A198" s="64"/>
      <c r="B198" s="64"/>
      <c r="C198" s="64"/>
      <c r="D198" s="64"/>
      <c r="E198" s="65"/>
      <c r="F198" s="64"/>
      <c r="G198" s="67"/>
      <c r="H198" s="64"/>
      <c r="I198" s="64"/>
      <c r="J198" s="64"/>
      <c r="K198" s="64"/>
      <c r="L198" s="65"/>
      <c r="M198" s="64"/>
      <c r="N198" s="64"/>
      <c r="O198" s="64"/>
      <c r="P198" s="64"/>
      <c r="Q198" s="64"/>
      <c r="R198" s="64"/>
      <c r="S198" s="64"/>
      <c r="T198" s="65"/>
      <c r="U198" s="64"/>
      <c r="V198" s="64"/>
      <c r="W198" s="64"/>
      <c r="X198" s="64"/>
      <c r="Y198" s="64"/>
      <c r="Z198" s="64"/>
      <c r="AA198" s="64"/>
      <c r="AB198" s="64"/>
      <c r="AC198" s="64"/>
      <c r="AD198" s="64"/>
      <c r="AE198" s="64"/>
      <c r="AF198" s="64"/>
      <c r="AG198" s="64"/>
    </row>
    <row r="199">
      <c r="A199" s="64"/>
      <c r="B199" s="64"/>
      <c r="C199" s="64"/>
      <c r="D199" s="64"/>
      <c r="E199" s="65"/>
      <c r="F199" s="64"/>
      <c r="G199" s="67"/>
      <c r="H199" s="64"/>
      <c r="I199" s="64"/>
      <c r="J199" s="64"/>
      <c r="K199" s="64"/>
      <c r="L199" s="65"/>
      <c r="M199" s="64"/>
      <c r="N199" s="64"/>
      <c r="O199" s="64"/>
      <c r="P199" s="64"/>
      <c r="Q199" s="64"/>
      <c r="R199" s="64"/>
      <c r="S199" s="64"/>
      <c r="T199" s="65"/>
      <c r="U199" s="64"/>
      <c r="V199" s="64"/>
      <c r="W199" s="64"/>
      <c r="X199" s="64"/>
      <c r="Y199" s="64"/>
      <c r="Z199" s="64"/>
      <c r="AA199" s="64"/>
      <c r="AB199" s="64"/>
      <c r="AC199" s="64"/>
      <c r="AD199" s="64"/>
      <c r="AE199" s="64"/>
      <c r="AF199" s="64"/>
      <c r="AG199" s="64"/>
    </row>
    <row r="200">
      <c r="A200" s="64"/>
      <c r="B200" s="64"/>
      <c r="C200" s="64"/>
      <c r="D200" s="64"/>
      <c r="E200" s="65"/>
      <c r="F200" s="64"/>
      <c r="G200" s="67"/>
      <c r="H200" s="64"/>
      <c r="I200" s="64"/>
      <c r="J200" s="64"/>
      <c r="K200" s="64"/>
      <c r="L200" s="65"/>
      <c r="M200" s="64"/>
      <c r="N200" s="64"/>
      <c r="O200" s="64"/>
      <c r="P200" s="64"/>
      <c r="Q200" s="64"/>
      <c r="R200" s="64"/>
      <c r="S200" s="64"/>
      <c r="T200" s="65"/>
      <c r="U200" s="64"/>
      <c r="V200" s="64"/>
      <c r="W200" s="64"/>
      <c r="X200" s="64"/>
      <c r="Y200" s="64"/>
      <c r="Z200" s="64"/>
      <c r="AA200" s="64"/>
      <c r="AB200" s="64"/>
      <c r="AC200" s="64"/>
      <c r="AD200" s="64"/>
      <c r="AE200" s="64"/>
      <c r="AF200" s="64"/>
      <c r="AG200" s="64"/>
    </row>
    <row r="201">
      <c r="A201" s="64"/>
      <c r="B201" s="64"/>
      <c r="C201" s="64"/>
      <c r="D201" s="64"/>
      <c r="E201" s="65"/>
      <c r="F201" s="64"/>
      <c r="G201" s="67"/>
      <c r="H201" s="64"/>
      <c r="I201" s="64"/>
      <c r="J201" s="64"/>
      <c r="K201" s="64"/>
      <c r="L201" s="65"/>
      <c r="M201" s="64"/>
      <c r="N201" s="64"/>
      <c r="O201" s="64"/>
      <c r="P201" s="64"/>
      <c r="Q201" s="64"/>
      <c r="R201" s="64"/>
      <c r="S201" s="64"/>
      <c r="T201" s="65"/>
      <c r="U201" s="64"/>
      <c r="V201" s="64"/>
      <c r="W201" s="64"/>
      <c r="X201" s="64"/>
      <c r="Y201" s="64"/>
      <c r="Z201" s="64"/>
      <c r="AA201" s="64"/>
      <c r="AB201" s="64"/>
      <c r="AC201" s="64"/>
      <c r="AD201" s="64"/>
      <c r="AE201" s="64"/>
      <c r="AF201" s="64"/>
      <c r="AG201" s="64"/>
    </row>
    <row r="202">
      <c r="A202" s="64"/>
      <c r="B202" s="64"/>
      <c r="C202" s="64"/>
      <c r="D202" s="64"/>
      <c r="E202" s="65"/>
      <c r="F202" s="64"/>
      <c r="G202" s="67"/>
      <c r="H202" s="64"/>
      <c r="I202" s="64"/>
      <c r="J202" s="64"/>
      <c r="K202" s="64"/>
      <c r="L202" s="65"/>
      <c r="M202" s="64"/>
      <c r="N202" s="64"/>
      <c r="O202" s="64"/>
      <c r="P202" s="64"/>
      <c r="Q202" s="64"/>
      <c r="R202" s="64"/>
      <c r="S202" s="64"/>
      <c r="T202" s="65"/>
      <c r="U202" s="64"/>
      <c r="V202" s="64"/>
      <c r="W202" s="64"/>
      <c r="X202" s="64"/>
      <c r="Y202" s="64"/>
      <c r="Z202" s="64"/>
      <c r="AA202" s="64"/>
      <c r="AB202" s="64"/>
      <c r="AC202" s="64"/>
      <c r="AD202" s="64"/>
      <c r="AE202" s="64"/>
      <c r="AF202" s="64"/>
      <c r="AG202" s="64"/>
    </row>
    <row r="203">
      <c r="A203" s="64"/>
      <c r="B203" s="64"/>
      <c r="C203" s="64"/>
      <c r="D203" s="64"/>
      <c r="E203" s="65"/>
      <c r="F203" s="64"/>
      <c r="G203" s="67"/>
      <c r="H203" s="64"/>
      <c r="I203" s="64"/>
      <c r="J203" s="64"/>
      <c r="K203" s="64"/>
      <c r="L203" s="65"/>
      <c r="M203" s="64"/>
      <c r="N203" s="64"/>
      <c r="O203" s="64"/>
      <c r="P203" s="64"/>
      <c r="Q203" s="64"/>
      <c r="R203" s="64"/>
      <c r="S203" s="64"/>
      <c r="T203" s="65"/>
      <c r="U203" s="64"/>
      <c r="V203" s="64"/>
      <c r="W203" s="64"/>
      <c r="X203" s="64"/>
      <c r="Y203" s="64"/>
      <c r="Z203" s="64"/>
      <c r="AA203" s="64"/>
      <c r="AB203" s="64"/>
      <c r="AC203" s="64"/>
      <c r="AD203" s="64"/>
      <c r="AE203" s="64"/>
      <c r="AF203" s="64"/>
      <c r="AG203" s="64"/>
    </row>
    <row r="204">
      <c r="A204" s="64"/>
      <c r="B204" s="64"/>
      <c r="C204" s="64"/>
      <c r="D204" s="64"/>
      <c r="E204" s="65"/>
      <c r="F204" s="64"/>
      <c r="G204" s="67"/>
      <c r="H204" s="64"/>
      <c r="I204" s="64"/>
      <c r="J204" s="64"/>
      <c r="K204" s="64"/>
      <c r="L204" s="65"/>
      <c r="M204" s="64"/>
      <c r="N204" s="64"/>
      <c r="O204" s="64"/>
      <c r="P204" s="64"/>
      <c r="Q204" s="64"/>
      <c r="R204" s="64"/>
      <c r="S204" s="64"/>
      <c r="T204" s="65"/>
      <c r="U204" s="64"/>
      <c r="V204" s="64"/>
      <c r="W204" s="64"/>
      <c r="X204" s="64"/>
      <c r="Y204" s="64"/>
      <c r="Z204" s="64"/>
      <c r="AA204" s="64"/>
      <c r="AB204" s="64"/>
      <c r="AC204" s="64"/>
      <c r="AD204" s="64"/>
      <c r="AE204" s="64"/>
      <c r="AF204" s="64"/>
      <c r="AG204" s="64"/>
    </row>
    <row r="205">
      <c r="A205" s="64"/>
      <c r="B205" s="64"/>
      <c r="C205" s="64"/>
      <c r="D205" s="64"/>
      <c r="E205" s="65"/>
      <c r="F205" s="64"/>
      <c r="G205" s="67"/>
      <c r="H205" s="64"/>
      <c r="I205" s="64"/>
      <c r="J205" s="64"/>
      <c r="K205" s="64"/>
      <c r="L205" s="65"/>
      <c r="M205" s="64"/>
      <c r="N205" s="64"/>
      <c r="O205" s="64"/>
      <c r="P205" s="64"/>
      <c r="Q205" s="64"/>
      <c r="R205" s="64"/>
      <c r="S205" s="64"/>
      <c r="T205" s="65"/>
      <c r="U205" s="64"/>
      <c r="V205" s="64"/>
      <c r="W205" s="64"/>
      <c r="X205" s="64"/>
      <c r="Y205" s="64"/>
      <c r="Z205" s="64"/>
      <c r="AA205" s="64"/>
      <c r="AB205" s="64"/>
      <c r="AC205" s="64"/>
      <c r="AD205" s="64"/>
      <c r="AE205" s="64"/>
      <c r="AF205" s="64"/>
      <c r="AG205" s="64"/>
    </row>
    <row r="206">
      <c r="A206" s="64"/>
      <c r="B206" s="64"/>
      <c r="C206" s="64"/>
      <c r="D206" s="64"/>
      <c r="E206" s="65"/>
      <c r="F206" s="64"/>
      <c r="G206" s="67"/>
      <c r="H206" s="64"/>
      <c r="I206" s="64"/>
      <c r="J206" s="64"/>
      <c r="K206" s="64"/>
      <c r="L206" s="65"/>
      <c r="M206" s="64"/>
      <c r="N206" s="64"/>
      <c r="O206" s="64"/>
      <c r="P206" s="64"/>
      <c r="Q206" s="64"/>
      <c r="R206" s="64"/>
      <c r="S206" s="64"/>
      <c r="T206" s="65"/>
      <c r="U206" s="64"/>
      <c r="V206" s="64"/>
      <c r="W206" s="64"/>
      <c r="X206" s="64"/>
      <c r="Y206" s="64"/>
      <c r="Z206" s="64"/>
      <c r="AA206" s="64"/>
      <c r="AB206" s="64"/>
      <c r="AC206" s="64"/>
      <c r="AD206" s="64"/>
      <c r="AE206" s="64"/>
      <c r="AF206" s="64"/>
      <c r="AG206" s="64"/>
    </row>
    <row r="207">
      <c r="A207" s="64"/>
      <c r="B207" s="64"/>
      <c r="C207" s="64"/>
      <c r="D207" s="64"/>
      <c r="E207" s="65"/>
      <c r="F207" s="64"/>
      <c r="G207" s="67"/>
      <c r="H207" s="64"/>
      <c r="I207" s="64"/>
      <c r="J207" s="64"/>
      <c r="K207" s="64"/>
      <c r="L207" s="65"/>
      <c r="M207" s="64"/>
      <c r="N207" s="64"/>
      <c r="O207" s="64"/>
      <c r="P207" s="64"/>
      <c r="Q207" s="64"/>
      <c r="R207" s="64"/>
      <c r="S207" s="64"/>
      <c r="T207" s="65"/>
      <c r="U207" s="64"/>
      <c r="V207" s="64"/>
      <c r="W207" s="64"/>
      <c r="X207" s="64"/>
      <c r="Y207" s="64"/>
      <c r="Z207" s="64"/>
      <c r="AA207" s="64"/>
      <c r="AB207" s="64"/>
      <c r="AC207" s="64"/>
      <c r="AD207" s="64"/>
      <c r="AE207" s="64"/>
      <c r="AF207" s="64"/>
      <c r="AG207" s="64"/>
    </row>
    <row r="208">
      <c r="A208" s="64"/>
      <c r="B208" s="64"/>
      <c r="C208" s="64"/>
      <c r="D208" s="64"/>
      <c r="E208" s="65"/>
      <c r="F208" s="64"/>
      <c r="G208" s="67"/>
      <c r="H208" s="64"/>
      <c r="I208" s="64"/>
      <c r="J208" s="64"/>
      <c r="K208" s="64"/>
      <c r="L208" s="65"/>
      <c r="M208" s="64"/>
      <c r="N208" s="64"/>
      <c r="O208" s="64"/>
      <c r="P208" s="64"/>
      <c r="Q208" s="64"/>
      <c r="R208" s="64"/>
      <c r="S208" s="64"/>
      <c r="T208" s="65"/>
      <c r="U208" s="64"/>
      <c r="V208" s="64"/>
      <c r="W208" s="64"/>
      <c r="X208" s="64"/>
      <c r="Y208" s="64"/>
      <c r="Z208" s="64"/>
      <c r="AA208" s="64"/>
      <c r="AB208" s="64"/>
      <c r="AC208" s="64"/>
      <c r="AD208" s="64"/>
      <c r="AE208" s="64"/>
      <c r="AF208" s="64"/>
      <c r="AG208" s="64"/>
    </row>
    <row r="209">
      <c r="A209" s="64"/>
      <c r="B209" s="64"/>
      <c r="C209" s="64"/>
      <c r="D209" s="64"/>
      <c r="E209" s="65"/>
      <c r="F209" s="64"/>
      <c r="G209" s="67"/>
      <c r="H209" s="64"/>
      <c r="I209" s="64"/>
      <c r="J209" s="64"/>
      <c r="K209" s="64"/>
      <c r="L209" s="65"/>
      <c r="M209" s="64"/>
      <c r="N209" s="64"/>
      <c r="O209" s="64"/>
      <c r="P209" s="64"/>
      <c r="Q209" s="64"/>
      <c r="R209" s="64"/>
      <c r="S209" s="64"/>
      <c r="T209" s="65"/>
      <c r="U209" s="64"/>
      <c r="V209" s="64"/>
      <c r="W209" s="64"/>
      <c r="X209" s="64"/>
      <c r="Y209" s="64"/>
      <c r="Z209" s="64"/>
      <c r="AA209" s="64"/>
      <c r="AB209" s="64"/>
      <c r="AC209" s="64"/>
      <c r="AD209" s="64"/>
      <c r="AE209" s="64"/>
      <c r="AF209" s="64"/>
      <c r="AG209" s="64"/>
    </row>
    <row r="210">
      <c r="A210" s="64"/>
      <c r="B210" s="64"/>
      <c r="C210" s="64"/>
      <c r="D210" s="64"/>
      <c r="E210" s="65"/>
      <c r="F210" s="64"/>
      <c r="G210" s="67"/>
      <c r="H210" s="64"/>
      <c r="I210" s="64"/>
      <c r="J210" s="64"/>
      <c r="K210" s="64"/>
      <c r="L210" s="65"/>
      <c r="M210" s="64"/>
      <c r="N210" s="64"/>
      <c r="O210" s="64"/>
      <c r="P210" s="64"/>
      <c r="Q210" s="64"/>
      <c r="R210" s="64"/>
      <c r="S210" s="64"/>
      <c r="T210" s="65"/>
      <c r="U210" s="64"/>
      <c r="V210" s="64"/>
      <c r="W210" s="64"/>
      <c r="X210" s="64"/>
      <c r="Y210" s="64"/>
      <c r="Z210" s="64"/>
      <c r="AA210" s="64"/>
      <c r="AB210" s="64"/>
      <c r="AC210" s="64"/>
      <c r="AD210" s="64"/>
      <c r="AE210" s="64"/>
      <c r="AF210" s="64"/>
      <c r="AG210" s="64"/>
    </row>
    <row r="211">
      <c r="A211" s="64"/>
      <c r="B211" s="64"/>
      <c r="C211" s="64"/>
      <c r="D211" s="64"/>
      <c r="E211" s="65"/>
      <c r="F211" s="64"/>
      <c r="G211" s="67"/>
      <c r="H211" s="64"/>
      <c r="I211" s="64"/>
      <c r="J211" s="64"/>
      <c r="K211" s="64"/>
      <c r="L211" s="65"/>
      <c r="M211" s="64"/>
      <c r="N211" s="64"/>
      <c r="O211" s="64"/>
      <c r="P211" s="64"/>
      <c r="Q211" s="64"/>
      <c r="R211" s="64"/>
      <c r="S211" s="64"/>
      <c r="T211" s="65"/>
      <c r="U211" s="64"/>
      <c r="V211" s="64"/>
      <c r="W211" s="64"/>
      <c r="X211" s="64"/>
      <c r="Y211" s="64"/>
      <c r="Z211" s="64"/>
      <c r="AA211" s="64"/>
      <c r="AB211" s="64"/>
      <c r="AC211" s="64"/>
      <c r="AD211" s="64"/>
      <c r="AE211" s="64"/>
      <c r="AF211" s="64"/>
      <c r="AG211" s="64"/>
    </row>
    <row r="212">
      <c r="A212" s="64"/>
      <c r="B212" s="64"/>
      <c r="C212" s="64"/>
      <c r="D212" s="64"/>
      <c r="E212" s="65"/>
      <c r="F212" s="64"/>
      <c r="G212" s="67"/>
      <c r="H212" s="64"/>
      <c r="I212" s="64"/>
      <c r="J212" s="64"/>
      <c r="K212" s="64"/>
      <c r="L212" s="65"/>
      <c r="M212" s="64"/>
      <c r="N212" s="64"/>
      <c r="O212" s="64"/>
      <c r="P212" s="64"/>
      <c r="Q212" s="64"/>
      <c r="R212" s="64"/>
      <c r="S212" s="64"/>
      <c r="T212" s="65"/>
      <c r="U212" s="64"/>
      <c r="V212" s="64"/>
      <c r="W212" s="64"/>
      <c r="X212" s="64"/>
      <c r="Y212" s="64"/>
      <c r="Z212" s="64"/>
      <c r="AA212" s="64"/>
      <c r="AB212" s="64"/>
      <c r="AC212" s="64"/>
      <c r="AD212" s="64"/>
      <c r="AE212" s="64"/>
      <c r="AF212" s="64"/>
      <c r="AG212" s="64"/>
    </row>
    <row r="213">
      <c r="A213" s="64"/>
      <c r="B213" s="64"/>
      <c r="C213" s="64"/>
      <c r="D213" s="64"/>
      <c r="E213" s="65"/>
      <c r="F213" s="64"/>
      <c r="G213" s="67"/>
      <c r="H213" s="64"/>
      <c r="I213" s="64"/>
      <c r="J213" s="64"/>
      <c r="K213" s="64"/>
      <c r="L213" s="65"/>
      <c r="M213" s="64"/>
      <c r="N213" s="64"/>
      <c r="O213" s="64"/>
      <c r="P213" s="64"/>
      <c r="Q213" s="64"/>
      <c r="R213" s="64"/>
      <c r="S213" s="64"/>
      <c r="T213" s="65"/>
      <c r="U213" s="64"/>
      <c r="V213" s="64"/>
      <c r="W213" s="64"/>
      <c r="X213" s="64"/>
      <c r="Y213" s="64"/>
      <c r="Z213" s="64"/>
      <c r="AA213" s="64"/>
      <c r="AB213" s="64"/>
      <c r="AC213" s="64"/>
      <c r="AD213" s="64"/>
      <c r="AE213" s="64"/>
      <c r="AF213" s="64"/>
      <c r="AG213" s="64"/>
    </row>
    <row r="214">
      <c r="A214" s="64"/>
      <c r="B214" s="64"/>
      <c r="C214" s="64"/>
      <c r="D214" s="64"/>
      <c r="E214" s="65"/>
      <c r="F214" s="64"/>
      <c r="G214" s="67"/>
      <c r="H214" s="64"/>
      <c r="I214" s="64"/>
      <c r="J214" s="64"/>
      <c r="K214" s="64"/>
      <c r="L214" s="65"/>
      <c r="M214" s="64"/>
      <c r="N214" s="64"/>
      <c r="O214" s="64"/>
      <c r="P214" s="64"/>
      <c r="Q214" s="64"/>
      <c r="R214" s="64"/>
      <c r="S214" s="64"/>
      <c r="T214" s="65"/>
      <c r="U214" s="64"/>
      <c r="V214" s="64"/>
      <c r="W214" s="64"/>
      <c r="X214" s="64"/>
      <c r="Y214" s="64"/>
      <c r="Z214" s="64"/>
      <c r="AA214" s="64"/>
      <c r="AB214" s="64"/>
      <c r="AC214" s="64"/>
      <c r="AD214" s="64"/>
      <c r="AE214" s="64"/>
      <c r="AF214" s="64"/>
      <c r="AG214" s="64"/>
    </row>
    <row r="215">
      <c r="A215" s="64"/>
      <c r="B215" s="64"/>
      <c r="C215" s="64"/>
      <c r="D215" s="64"/>
      <c r="E215" s="65"/>
      <c r="F215" s="64"/>
      <c r="G215" s="67"/>
      <c r="H215" s="64"/>
      <c r="I215" s="64"/>
      <c r="J215" s="64"/>
      <c r="K215" s="64"/>
      <c r="L215" s="65"/>
      <c r="M215" s="64"/>
      <c r="N215" s="64"/>
      <c r="O215" s="64"/>
      <c r="P215" s="64"/>
      <c r="Q215" s="64"/>
      <c r="R215" s="64"/>
      <c r="S215" s="64"/>
      <c r="T215" s="65"/>
      <c r="U215" s="64"/>
      <c r="V215" s="64"/>
      <c r="W215" s="64"/>
      <c r="X215" s="64"/>
      <c r="Y215" s="64"/>
      <c r="Z215" s="64"/>
      <c r="AA215" s="64"/>
      <c r="AB215" s="64"/>
      <c r="AC215" s="64"/>
      <c r="AD215" s="64"/>
      <c r="AE215" s="64"/>
      <c r="AF215" s="64"/>
      <c r="AG215" s="64"/>
    </row>
    <row r="216">
      <c r="A216" s="64"/>
      <c r="B216" s="64"/>
      <c r="C216" s="64"/>
      <c r="D216" s="64"/>
      <c r="E216" s="65"/>
      <c r="F216" s="64"/>
      <c r="G216" s="67"/>
      <c r="H216" s="64"/>
      <c r="I216" s="64"/>
      <c r="J216" s="64"/>
      <c r="K216" s="64"/>
      <c r="L216" s="65"/>
      <c r="M216" s="64"/>
      <c r="N216" s="64"/>
      <c r="O216" s="64"/>
      <c r="P216" s="64"/>
      <c r="Q216" s="64"/>
      <c r="R216" s="64"/>
      <c r="S216" s="64"/>
      <c r="T216" s="65"/>
      <c r="U216" s="64"/>
      <c r="V216" s="64"/>
      <c r="W216" s="64"/>
      <c r="X216" s="64"/>
      <c r="Y216" s="64"/>
      <c r="Z216" s="64"/>
      <c r="AA216" s="64"/>
      <c r="AB216" s="64"/>
      <c r="AC216" s="64"/>
      <c r="AD216" s="64"/>
      <c r="AE216" s="64"/>
      <c r="AF216" s="64"/>
      <c r="AG216" s="64"/>
    </row>
    <row r="217">
      <c r="A217" s="64"/>
      <c r="B217" s="64"/>
      <c r="C217" s="64"/>
      <c r="D217" s="64"/>
      <c r="E217" s="65"/>
      <c r="F217" s="64"/>
      <c r="G217" s="67"/>
      <c r="H217" s="64"/>
      <c r="I217" s="64"/>
      <c r="J217" s="64"/>
      <c r="K217" s="64"/>
      <c r="L217" s="65"/>
      <c r="M217" s="64"/>
      <c r="N217" s="64"/>
      <c r="O217" s="64"/>
      <c r="P217" s="64"/>
      <c r="Q217" s="64"/>
      <c r="R217" s="64"/>
      <c r="S217" s="64"/>
      <c r="T217" s="65"/>
      <c r="U217" s="64"/>
      <c r="V217" s="64"/>
      <c r="W217" s="64"/>
      <c r="X217" s="64"/>
      <c r="Y217" s="64"/>
      <c r="Z217" s="64"/>
      <c r="AA217" s="64"/>
      <c r="AB217" s="64"/>
      <c r="AC217" s="64"/>
      <c r="AD217" s="64"/>
      <c r="AE217" s="64"/>
      <c r="AF217" s="64"/>
      <c r="AG217" s="64"/>
    </row>
    <row r="218">
      <c r="A218" s="64"/>
      <c r="B218" s="64"/>
      <c r="C218" s="64"/>
      <c r="D218" s="64"/>
      <c r="E218" s="65"/>
      <c r="F218" s="64"/>
      <c r="G218" s="67"/>
      <c r="H218" s="64"/>
      <c r="I218" s="64"/>
      <c r="J218" s="64"/>
      <c r="K218" s="64"/>
      <c r="L218" s="65"/>
      <c r="M218" s="64"/>
      <c r="N218" s="64"/>
      <c r="O218" s="64"/>
      <c r="P218" s="64"/>
      <c r="Q218" s="64"/>
      <c r="R218" s="64"/>
      <c r="S218" s="64"/>
      <c r="T218" s="65"/>
      <c r="U218" s="64"/>
      <c r="V218" s="64"/>
      <c r="W218" s="64"/>
      <c r="X218" s="64"/>
      <c r="Y218" s="64"/>
      <c r="Z218" s="64"/>
      <c r="AA218" s="64"/>
      <c r="AB218" s="64"/>
      <c r="AC218" s="64"/>
      <c r="AD218" s="64"/>
      <c r="AE218" s="64"/>
      <c r="AF218" s="64"/>
      <c r="AG218" s="64"/>
    </row>
    <row r="219">
      <c r="A219" s="64"/>
      <c r="B219" s="64"/>
      <c r="C219" s="64"/>
      <c r="D219" s="64"/>
      <c r="E219" s="65"/>
      <c r="F219" s="64"/>
      <c r="G219" s="67"/>
      <c r="H219" s="64"/>
      <c r="I219" s="64"/>
      <c r="J219" s="64"/>
      <c r="K219" s="64"/>
      <c r="L219" s="65"/>
      <c r="M219" s="64"/>
      <c r="N219" s="64"/>
      <c r="O219" s="64"/>
      <c r="P219" s="64"/>
      <c r="Q219" s="64"/>
      <c r="R219" s="64"/>
      <c r="S219" s="64"/>
      <c r="T219" s="65"/>
      <c r="U219" s="64"/>
      <c r="V219" s="64"/>
      <c r="W219" s="64"/>
      <c r="X219" s="64"/>
      <c r="Y219" s="64"/>
      <c r="Z219" s="64"/>
      <c r="AA219" s="64"/>
      <c r="AB219" s="64"/>
      <c r="AC219" s="64"/>
      <c r="AD219" s="64"/>
      <c r="AE219" s="64"/>
      <c r="AF219" s="64"/>
      <c r="AG219" s="64"/>
    </row>
    <row r="220">
      <c r="A220" s="64"/>
      <c r="B220" s="64"/>
      <c r="C220" s="64"/>
      <c r="D220" s="64"/>
      <c r="E220" s="65"/>
      <c r="F220" s="64"/>
      <c r="G220" s="67"/>
      <c r="H220" s="64"/>
      <c r="I220" s="64"/>
      <c r="J220" s="64"/>
      <c r="K220" s="64"/>
      <c r="L220" s="65"/>
      <c r="M220" s="64"/>
      <c r="N220" s="64"/>
      <c r="O220" s="64"/>
      <c r="P220" s="64"/>
      <c r="Q220" s="64"/>
      <c r="R220" s="64"/>
      <c r="S220" s="64"/>
      <c r="T220" s="65"/>
      <c r="U220" s="64"/>
      <c r="V220" s="64"/>
      <c r="W220" s="64"/>
      <c r="X220" s="64"/>
      <c r="Y220" s="64"/>
      <c r="Z220" s="64"/>
      <c r="AA220" s="64"/>
      <c r="AB220" s="64"/>
      <c r="AC220" s="64"/>
      <c r="AD220" s="64"/>
      <c r="AE220" s="64"/>
      <c r="AF220" s="64"/>
      <c r="AG220" s="64"/>
    </row>
    <row r="221">
      <c r="A221" s="64"/>
      <c r="B221" s="64"/>
      <c r="C221" s="64"/>
      <c r="D221" s="64"/>
      <c r="E221" s="65"/>
      <c r="F221" s="64"/>
      <c r="G221" s="67"/>
      <c r="H221" s="64"/>
      <c r="I221" s="64"/>
      <c r="J221" s="64"/>
      <c r="K221" s="64"/>
      <c r="L221" s="65"/>
      <c r="M221" s="64"/>
      <c r="N221" s="64"/>
      <c r="O221" s="64"/>
      <c r="P221" s="64"/>
      <c r="Q221" s="64"/>
      <c r="R221" s="64"/>
      <c r="S221" s="64"/>
      <c r="T221" s="65"/>
      <c r="U221" s="64"/>
      <c r="V221" s="64"/>
      <c r="W221" s="64"/>
      <c r="X221" s="64"/>
      <c r="Y221" s="64"/>
      <c r="Z221" s="64"/>
      <c r="AA221" s="64"/>
      <c r="AB221" s="64"/>
      <c r="AC221" s="64"/>
      <c r="AD221" s="64"/>
      <c r="AE221" s="64"/>
      <c r="AF221" s="64"/>
      <c r="AG221" s="64"/>
    </row>
    <row r="222">
      <c r="A222" s="64"/>
      <c r="B222" s="64"/>
      <c r="C222" s="64"/>
      <c r="D222" s="64"/>
      <c r="E222" s="65"/>
      <c r="F222" s="64"/>
      <c r="G222" s="67"/>
      <c r="H222" s="64"/>
      <c r="I222" s="64"/>
      <c r="J222" s="64"/>
      <c r="K222" s="64"/>
      <c r="L222" s="65"/>
      <c r="M222" s="64"/>
      <c r="N222" s="64"/>
      <c r="O222" s="64"/>
      <c r="P222" s="64"/>
      <c r="Q222" s="64"/>
      <c r="R222" s="64"/>
      <c r="S222" s="64"/>
      <c r="T222" s="65"/>
      <c r="U222" s="64"/>
      <c r="V222" s="64"/>
      <c r="W222" s="64"/>
      <c r="X222" s="64"/>
      <c r="Y222" s="64"/>
      <c r="Z222" s="64"/>
      <c r="AA222" s="64"/>
      <c r="AB222" s="64"/>
      <c r="AC222" s="64"/>
      <c r="AD222" s="64"/>
      <c r="AE222" s="64"/>
      <c r="AF222" s="64"/>
      <c r="AG222" s="64"/>
    </row>
    <row r="223">
      <c r="A223" s="64"/>
      <c r="B223" s="64"/>
      <c r="C223" s="64"/>
      <c r="D223" s="64"/>
      <c r="E223" s="65"/>
      <c r="F223" s="64"/>
      <c r="G223" s="67"/>
      <c r="H223" s="64"/>
      <c r="I223" s="64"/>
      <c r="J223" s="64"/>
      <c r="K223" s="64"/>
      <c r="L223" s="65"/>
      <c r="M223" s="64"/>
      <c r="N223" s="64"/>
      <c r="O223" s="64"/>
      <c r="P223" s="64"/>
      <c r="Q223" s="64"/>
      <c r="R223" s="64"/>
      <c r="S223" s="64"/>
      <c r="T223" s="65"/>
      <c r="U223" s="64"/>
      <c r="V223" s="64"/>
      <c r="W223" s="64"/>
      <c r="X223" s="64"/>
      <c r="Y223" s="64"/>
      <c r="Z223" s="64"/>
      <c r="AA223" s="64"/>
      <c r="AB223" s="64"/>
      <c r="AC223" s="64"/>
      <c r="AD223" s="64"/>
      <c r="AE223" s="64"/>
      <c r="AF223" s="64"/>
      <c r="AG223" s="64"/>
    </row>
    <row r="224">
      <c r="A224" s="64"/>
      <c r="B224" s="64"/>
      <c r="C224" s="64"/>
      <c r="D224" s="64"/>
      <c r="E224" s="65"/>
      <c r="F224" s="64"/>
      <c r="G224" s="67"/>
      <c r="H224" s="64"/>
      <c r="I224" s="64"/>
      <c r="J224" s="64"/>
      <c r="K224" s="64"/>
      <c r="L224" s="65"/>
      <c r="M224" s="64"/>
      <c r="N224" s="64"/>
      <c r="O224" s="64"/>
      <c r="P224" s="64"/>
      <c r="Q224" s="64"/>
      <c r="R224" s="64"/>
      <c r="S224" s="64"/>
      <c r="T224" s="65"/>
      <c r="U224" s="64"/>
      <c r="V224" s="64"/>
      <c r="W224" s="64"/>
      <c r="X224" s="64"/>
      <c r="Y224" s="64"/>
      <c r="Z224" s="64"/>
      <c r="AA224" s="64"/>
      <c r="AB224" s="64"/>
      <c r="AC224" s="64"/>
      <c r="AD224" s="64"/>
      <c r="AE224" s="64"/>
      <c r="AF224" s="64"/>
      <c r="AG224" s="64"/>
    </row>
    <row r="225">
      <c r="A225" s="64"/>
      <c r="B225" s="64"/>
      <c r="C225" s="64"/>
      <c r="D225" s="64"/>
      <c r="E225" s="65"/>
      <c r="F225" s="64"/>
      <c r="G225" s="67"/>
      <c r="H225" s="64"/>
      <c r="I225" s="64"/>
      <c r="J225" s="64"/>
      <c r="K225" s="64"/>
      <c r="L225" s="65"/>
      <c r="M225" s="64"/>
      <c r="N225" s="64"/>
      <c r="O225" s="64"/>
      <c r="P225" s="64"/>
      <c r="Q225" s="64"/>
      <c r="R225" s="64"/>
      <c r="S225" s="64"/>
      <c r="T225" s="65"/>
      <c r="U225" s="64"/>
      <c r="V225" s="64"/>
      <c r="W225" s="64"/>
      <c r="X225" s="64"/>
      <c r="Y225" s="64"/>
      <c r="Z225" s="64"/>
      <c r="AA225" s="64"/>
      <c r="AB225" s="64"/>
      <c r="AC225" s="64"/>
      <c r="AD225" s="64"/>
      <c r="AE225" s="64"/>
      <c r="AF225" s="64"/>
      <c r="AG225" s="64"/>
    </row>
    <row r="226">
      <c r="A226" s="64"/>
      <c r="B226" s="64"/>
      <c r="C226" s="64"/>
      <c r="D226" s="64"/>
      <c r="E226" s="65"/>
      <c r="F226" s="64"/>
      <c r="G226" s="67"/>
      <c r="H226" s="64"/>
      <c r="I226" s="64"/>
      <c r="J226" s="64"/>
      <c r="K226" s="64"/>
      <c r="L226" s="65"/>
      <c r="M226" s="64"/>
      <c r="N226" s="64"/>
      <c r="O226" s="64"/>
      <c r="P226" s="64"/>
      <c r="Q226" s="64"/>
      <c r="R226" s="64"/>
      <c r="S226" s="64"/>
      <c r="T226" s="65"/>
      <c r="U226" s="64"/>
      <c r="V226" s="64"/>
      <c r="W226" s="64"/>
      <c r="X226" s="64"/>
      <c r="Y226" s="64"/>
      <c r="Z226" s="64"/>
      <c r="AA226" s="64"/>
      <c r="AB226" s="64"/>
      <c r="AC226" s="64"/>
      <c r="AD226" s="64"/>
      <c r="AE226" s="64"/>
      <c r="AF226" s="64"/>
      <c r="AG226" s="64"/>
    </row>
    <row r="227">
      <c r="A227" s="64"/>
      <c r="B227" s="64"/>
      <c r="C227" s="64"/>
      <c r="D227" s="64"/>
      <c r="E227" s="65"/>
      <c r="F227" s="64"/>
      <c r="G227" s="67"/>
      <c r="H227" s="64"/>
      <c r="I227" s="64"/>
      <c r="J227" s="64"/>
      <c r="K227" s="64"/>
      <c r="L227" s="65"/>
      <c r="M227" s="64"/>
      <c r="N227" s="64"/>
      <c r="O227" s="64"/>
      <c r="P227" s="64"/>
      <c r="Q227" s="64"/>
      <c r="R227" s="64"/>
      <c r="S227" s="64"/>
      <c r="T227" s="65"/>
      <c r="U227" s="64"/>
      <c r="V227" s="64"/>
      <c r="W227" s="64"/>
      <c r="X227" s="64"/>
      <c r="Y227" s="64"/>
      <c r="Z227" s="64"/>
      <c r="AA227" s="64"/>
      <c r="AB227" s="64"/>
      <c r="AC227" s="64"/>
      <c r="AD227" s="64"/>
      <c r="AE227" s="64"/>
      <c r="AF227" s="64"/>
      <c r="AG227" s="64"/>
    </row>
    <row r="228">
      <c r="A228" s="64"/>
      <c r="B228" s="64"/>
      <c r="C228" s="64"/>
      <c r="D228" s="64"/>
      <c r="E228" s="65"/>
      <c r="F228" s="64"/>
      <c r="G228" s="67"/>
      <c r="H228" s="64"/>
      <c r="I228" s="64"/>
      <c r="J228" s="64"/>
      <c r="K228" s="64"/>
      <c r="L228" s="65"/>
      <c r="M228" s="64"/>
      <c r="N228" s="64"/>
      <c r="O228" s="64"/>
      <c r="P228" s="64"/>
      <c r="Q228" s="64"/>
      <c r="R228" s="64"/>
      <c r="S228" s="64"/>
      <c r="T228" s="65"/>
      <c r="U228" s="64"/>
      <c r="V228" s="64"/>
      <c r="W228" s="64"/>
      <c r="X228" s="64"/>
      <c r="Y228" s="64"/>
      <c r="Z228" s="64"/>
      <c r="AA228" s="64"/>
      <c r="AB228" s="64"/>
      <c r="AC228" s="64"/>
      <c r="AD228" s="64"/>
      <c r="AE228" s="64"/>
      <c r="AF228" s="64"/>
      <c r="AG228" s="64"/>
    </row>
    <row r="229">
      <c r="A229" s="64"/>
      <c r="B229" s="64"/>
      <c r="C229" s="64"/>
      <c r="D229" s="64"/>
      <c r="E229" s="65"/>
      <c r="F229" s="64"/>
      <c r="G229" s="67"/>
      <c r="H229" s="64"/>
      <c r="I229" s="64"/>
      <c r="J229" s="64"/>
      <c r="K229" s="64"/>
      <c r="L229" s="65"/>
      <c r="M229" s="64"/>
      <c r="N229" s="64"/>
      <c r="O229" s="64"/>
      <c r="P229" s="64"/>
      <c r="Q229" s="64"/>
      <c r="R229" s="64"/>
      <c r="S229" s="64"/>
      <c r="T229" s="65"/>
      <c r="U229" s="64"/>
      <c r="V229" s="64"/>
      <c r="W229" s="64"/>
      <c r="X229" s="64"/>
      <c r="Y229" s="64"/>
      <c r="Z229" s="64"/>
      <c r="AA229" s="64"/>
      <c r="AB229" s="64"/>
      <c r="AC229" s="64"/>
      <c r="AD229" s="64"/>
      <c r="AE229" s="64"/>
      <c r="AF229" s="64"/>
      <c r="AG229" s="64"/>
    </row>
    <row r="230">
      <c r="A230" s="64"/>
      <c r="B230" s="64"/>
      <c r="C230" s="64"/>
      <c r="D230" s="64"/>
      <c r="E230" s="65"/>
      <c r="F230" s="64"/>
      <c r="G230" s="67"/>
      <c r="H230" s="64"/>
      <c r="I230" s="64"/>
      <c r="J230" s="64"/>
      <c r="K230" s="64"/>
      <c r="L230" s="65"/>
      <c r="M230" s="64"/>
      <c r="N230" s="64"/>
      <c r="O230" s="64"/>
      <c r="P230" s="64"/>
      <c r="Q230" s="64"/>
      <c r="R230" s="64"/>
      <c r="S230" s="64"/>
      <c r="T230" s="65"/>
      <c r="U230" s="64"/>
      <c r="V230" s="64"/>
      <c r="W230" s="64"/>
      <c r="X230" s="64"/>
      <c r="Y230" s="64"/>
      <c r="Z230" s="64"/>
      <c r="AA230" s="64"/>
      <c r="AB230" s="64"/>
      <c r="AC230" s="64"/>
      <c r="AD230" s="64"/>
      <c r="AE230" s="64"/>
      <c r="AF230" s="64"/>
      <c r="AG230" s="64"/>
    </row>
    <row r="231">
      <c r="A231" s="64"/>
      <c r="B231" s="64"/>
      <c r="C231" s="64"/>
      <c r="D231" s="64"/>
      <c r="E231" s="65"/>
      <c r="F231" s="64"/>
      <c r="G231" s="67"/>
      <c r="H231" s="64"/>
      <c r="I231" s="64"/>
      <c r="J231" s="64"/>
      <c r="K231" s="64"/>
      <c r="L231" s="65"/>
      <c r="M231" s="64"/>
      <c r="N231" s="64"/>
      <c r="O231" s="64"/>
      <c r="P231" s="64"/>
      <c r="Q231" s="64"/>
      <c r="R231" s="64"/>
      <c r="S231" s="64"/>
      <c r="T231" s="65"/>
      <c r="U231" s="64"/>
      <c r="V231" s="64"/>
      <c r="W231" s="64"/>
      <c r="X231" s="64"/>
      <c r="Y231" s="64"/>
      <c r="Z231" s="64"/>
      <c r="AA231" s="64"/>
      <c r="AB231" s="64"/>
      <c r="AC231" s="64"/>
      <c r="AD231" s="64"/>
      <c r="AE231" s="64"/>
      <c r="AF231" s="64"/>
      <c r="AG231" s="64"/>
    </row>
    <row r="232">
      <c r="A232" s="64"/>
      <c r="B232" s="64"/>
      <c r="C232" s="64"/>
      <c r="D232" s="64"/>
      <c r="E232" s="65"/>
      <c r="F232" s="64"/>
      <c r="G232" s="67"/>
      <c r="H232" s="64"/>
      <c r="I232" s="64"/>
      <c r="J232" s="64"/>
      <c r="K232" s="64"/>
      <c r="L232" s="65"/>
      <c r="M232" s="64"/>
      <c r="N232" s="64"/>
      <c r="O232" s="64"/>
      <c r="P232" s="64"/>
      <c r="Q232" s="64"/>
      <c r="R232" s="64"/>
      <c r="S232" s="64"/>
      <c r="T232" s="65"/>
      <c r="U232" s="64"/>
      <c r="V232" s="64"/>
      <c r="W232" s="64"/>
      <c r="X232" s="64"/>
      <c r="Y232" s="64"/>
      <c r="Z232" s="64"/>
      <c r="AA232" s="64"/>
      <c r="AB232" s="64"/>
      <c r="AC232" s="64"/>
      <c r="AD232" s="64"/>
      <c r="AE232" s="64"/>
      <c r="AF232" s="64"/>
      <c r="AG232" s="64"/>
    </row>
    <row r="233">
      <c r="A233" s="64"/>
      <c r="B233" s="64"/>
      <c r="C233" s="64"/>
      <c r="D233" s="64"/>
      <c r="E233" s="65"/>
      <c r="F233" s="64"/>
      <c r="G233" s="67"/>
      <c r="H233" s="64"/>
      <c r="I233" s="64"/>
      <c r="J233" s="64"/>
      <c r="K233" s="64"/>
      <c r="L233" s="65"/>
      <c r="M233" s="64"/>
      <c r="N233" s="64"/>
      <c r="O233" s="64"/>
      <c r="P233" s="64"/>
      <c r="Q233" s="64"/>
      <c r="R233" s="64"/>
      <c r="S233" s="64"/>
      <c r="T233" s="65"/>
      <c r="U233" s="64"/>
      <c r="V233" s="64"/>
      <c r="W233" s="64"/>
      <c r="X233" s="64"/>
      <c r="Y233" s="64"/>
      <c r="Z233" s="64"/>
      <c r="AA233" s="64"/>
      <c r="AB233" s="64"/>
      <c r="AC233" s="64"/>
      <c r="AD233" s="64"/>
      <c r="AE233" s="64"/>
      <c r="AF233" s="64"/>
      <c r="AG233" s="64"/>
    </row>
    <row r="234">
      <c r="A234" s="64"/>
      <c r="B234" s="64"/>
      <c r="C234" s="64"/>
      <c r="D234" s="64"/>
      <c r="E234" s="65"/>
      <c r="F234" s="64"/>
      <c r="G234" s="67"/>
      <c r="H234" s="64"/>
      <c r="I234" s="64"/>
      <c r="J234" s="64"/>
      <c r="K234" s="64"/>
      <c r="L234" s="65"/>
      <c r="M234" s="64"/>
      <c r="N234" s="64"/>
      <c r="O234" s="64"/>
      <c r="P234" s="64"/>
      <c r="Q234" s="64"/>
      <c r="R234" s="64"/>
      <c r="S234" s="64"/>
      <c r="T234" s="65"/>
      <c r="U234" s="64"/>
      <c r="V234" s="64"/>
      <c r="W234" s="64"/>
      <c r="X234" s="64"/>
      <c r="Y234" s="64"/>
      <c r="Z234" s="64"/>
      <c r="AA234" s="64"/>
      <c r="AB234" s="64"/>
      <c r="AC234" s="64"/>
      <c r="AD234" s="64"/>
      <c r="AE234" s="64"/>
      <c r="AF234" s="64"/>
      <c r="AG234" s="64"/>
    </row>
    <row r="235">
      <c r="A235" s="64"/>
      <c r="B235" s="64"/>
      <c r="C235" s="64"/>
      <c r="D235" s="64"/>
      <c r="E235" s="65"/>
      <c r="F235" s="64"/>
      <c r="G235" s="67"/>
      <c r="H235" s="64"/>
      <c r="I235" s="64"/>
      <c r="J235" s="64"/>
      <c r="K235" s="64"/>
      <c r="L235" s="65"/>
      <c r="M235" s="64"/>
      <c r="N235" s="64"/>
      <c r="O235" s="64"/>
      <c r="P235" s="64"/>
      <c r="Q235" s="64"/>
      <c r="R235" s="64"/>
      <c r="S235" s="64"/>
      <c r="T235" s="65"/>
      <c r="U235" s="64"/>
      <c r="V235" s="64"/>
      <c r="W235" s="64"/>
      <c r="X235" s="64"/>
      <c r="Y235" s="64"/>
      <c r="Z235" s="64"/>
      <c r="AA235" s="64"/>
      <c r="AB235" s="64"/>
      <c r="AC235" s="64"/>
      <c r="AD235" s="64"/>
      <c r="AE235" s="64"/>
      <c r="AF235" s="64"/>
      <c r="AG235" s="64"/>
    </row>
    <row r="236">
      <c r="A236" s="64"/>
      <c r="B236" s="64"/>
      <c r="C236" s="64"/>
      <c r="D236" s="64"/>
      <c r="E236" s="65"/>
      <c r="F236" s="64"/>
      <c r="G236" s="67"/>
      <c r="H236" s="64"/>
      <c r="I236" s="64"/>
      <c r="J236" s="64"/>
      <c r="K236" s="64"/>
      <c r="L236" s="65"/>
      <c r="M236" s="64"/>
      <c r="N236" s="64"/>
      <c r="O236" s="64"/>
      <c r="P236" s="64"/>
      <c r="Q236" s="64"/>
      <c r="R236" s="64"/>
      <c r="S236" s="64"/>
      <c r="T236" s="65"/>
      <c r="U236" s="64"/>
      <c r="V236" s="64"/>
      <c r="W236" s="64"/>
      <c r="X236" s="64"/>
      <c r="Y236" s="64"/>
      <c r="Z236" s="64"/>
      <c r="AA236" s="64"/>
      <c r="AB236" s="64"/>
      <c r="AC236" s="64"/>
      <c r="AD236" s="64"/>
      <c r="AE236" s="64"/>
      <c r="AF236" s="64"/>
      <c r="AG236" s="64"/>
    </row>
    <row r="237">
      <c r="A237" s="64"/>
      <c r="B237" s="64"/>
      <c r="C237" s="64"/>
      <c r="D237" s="64"/>
      <c r="E237" s="65"/>
      <c r="F237" s="64"/>
      <c r="G237" s="67"/>
      <c r="H237" s="64"/>
      <c r="I237" s="64"/>
      <c r="J237" s="64"/>
      <c r="K237" s="64"/>
      <c r="L237" s="65"/>
      <c r="M237" s="64"/>
      <c r="N237" s="64"/>
      <c r="O237" s="64"/>
      <c r="P237" s="64"/>
      <c r="Q237" s="64"/>
      <c r="R237" s="64"/>
      <c r="S237" s="64"/>
      <c r="T237" s="65"/>
      <c r="U237" s="64"/>
      <c r="V237" s="64"/>
      <c r="W237" s="64"/>
      <c r="X237" s="64"/>
      <c r="Y237" s="64"/>
      <c r="Z237" s="64"/>
      <c r="AA237" s="64"/>
      <c r="AB237" s="64"/>
      <c r="AC237" s="64"/>
      <c r="AD237" s="64"/>
      <c r="AE237" s="64"/>
      <c r="AF237" s="64"/>
      <c r="AG237" s="64"/>
    </row>
    <row r="238">
      <c r="A238" s="64"/>
      <c r="B238" s="64"/>
      <c r="C238" s="64"/>
      <c r="D238" s="64"/>
      <c r="E238" s="65"/>
      <c r="F238" s="64"/>
      <c r="G238" s="67"/>
      <c r="H238" s="64"/>
      <c r="I238" s="64"/>
      <c r="J238" s="64"/>
      <c r="K238" s="64"/>
      <c r="L238" s="65"/>
      <c r="M238" s="64"/>
      <c r="N238" s="64"/>
      <c r="O238" s="64"/>
      <c r="P238" s="64"/>
      <c r="Q238" s="64"/>
      <c r="R238" s="64"/>
      <c r="S238" s="64"/>
      <c r="T238" s="65"/>
      <c r="U238" s="64"/>
      <c r="V238" s="64"/>
      <c r="W238" s="64"/>
      <c r="X238" s="64"/>
      <c r="Y238" s="64"/>
      <c r="Z238" s="64"/>
      <c r="AA238" s="64"/>
      <c r="AB238" s="64"/>
      <c r="AC238" s="64"/>
      <c r="AD238" s="64"/>
      <c r="AE238" s="64"/>
      <c r="AF238" s="64"/>
      <c r="AG238" s="64"/>
    </row>
    <row r="239">
      <c r="A239" s="64"/>
      <c r="B239" s="64"/>
      <c r="C239" s="64"/>
      <c r="D239" s="64"/>
      <c r="E239" s="65"/>
      <c r="F239" s="64"/>
      <c r="G239" s="67"/>
      <c r="H239" s="64"/>
      <c r="I239" s="64"/>
      <c r="J239" s="64"/>
      <c r="K239" s="64"/>
      <c r="L239" s="65"/>
      <c r="M239" s="64"/>
      <c r="N239" s="64"/>
      <c r="O239" s="64"/>
      <c r="P239" s="64"/>
      <c r="Q239" s="64"/>
      <c r="R239" s="64"/>
      <c r="S239" s="64"/>
      <c r="T239" s="65"/>
      <c r="U239" s="64"/>
      <c r="V239" s="64"/>
      <c r="W239" s="64"/>
      <c r="X239" s="64"/>
      <c r="Y239" s="64"/>
      <c r="Z239" s="64"/>
      <c r="AA239" s="64"/>
      <c r="AB239" s="64"/>
      <c r="AC239" s="64"/>
      <c r="AD239" s="64"/>
      <c r="AE239" s="64"/>
      <c r="AF239" s="64"/>
      <c r="AG239" s="64"/>
    </row>
    <row r="240">
      <c r="A240" s="64"/>
      <c r="B240" s="64"/>
      <c r="C240" s="64"/>
      <c r="D240" s="64"/>
      <c r="E240" s="65"/>
      <c r="F240" s="64"/>
      <c r="G240" s="67"/>
      <c r="H240" s="64"/>
      <c r="I240" s="64"/>
      <c r="J240" s="64"/>
      <c r="K240" s="64"/>
      <c r="L240" s="65"/>
      <c r="M240" s="64"/>
      <c r="N240" s="64"/>
      <c r="O240" s="64"/>
      <c r="P240" s="64"/>
      <c r="Q240" s="64"/>
      <c r="R240" s="64"/>
      <c r="S240" s="64"/>
      <c r="T240" s="65"/>
      <c r="U240" s="64"/>
      <c r="V240" s="64"/>
      <c r="W240" s="64"/>
      <c r="X240" s="64"/>
      <c r="Y240" s="64"/>
      <c r="Z240" s="64"/>
      <c r="AA240" s="64"/>
      <c r="AB240" s="64"/>
      <c r="AC240" s="64"/>
      <c r="AD240" s="64"/>
      <c r="AE240" s="64"/>
      <c r="AF240" s="64"/>
      <c r="AG240" s="64"/>
    </row>
    <row r="241">
      <c r="A241" s="64"/>
      <c r="B241" s="64"/>
      <c r="C241" s="64"/>
      <c r="D241" s="64"/>
      <c r="E241" s="65"/>
      <c r="F241" s="64"/>
      <c r="G241" s="67"/>
      <c r="H241" s="64"/>
      <c r="I241" s="64"/>
      <c r="J241" s="64"/>
      <c r="K241" s="64"/>
      <c r="L241" s="65"/>
      <c r="M241" s="64"/>
      <c r="N241" s="64"/>
      <c r="O241" s="64"/>
      <c r="P241" s="64"/>
      <c r="Q241" s="64"/>
      <c r="R241" s="64"/>
      <c r="S241" s="64"/>
      <c r="T241" s="65"/>
      <c r="U241" s="64"/>
      <c r="V241" s="64"/>
      <c r="W241" s="64"/>
      <c r="X241" s="64"/>
      <c r="Y241" s="64"/>
      <c r="Z241" s="64"/>
      <c r="AA241" s="64"/>
      <c r="AB241" s="64"/>
      <c r="AC241" s="64"/>
      <c r="AD241" s="64"/>
      <c r="AE241" s="64"/>
      <c r="AF241" s="64"/>
      <c r="AG241" s="64"/>
    </row>
    <row r="242">
      <c r="A242" s="64"/>
      <c r="B242" s="64"/>
      <c r="C242" s="64"/>
      <c r="D242" s="64"/>
      <c r="E242" s="65"/>
      <c r="F242" s="64"/>
      <c r="G242" s="67"/>
      <c r="H242" s="64"/>
      <c r="I242" s="64"/>
      <c r="J242" s="64"/>
      <c r="K242" s="64"/>
      <c r="L242" s="65"/>
      <c r="M242" s="64"/>
      <c r="N242" s="64"/>
      <c r="O242" s="64"/>
      <c r="P242" s="64"/>
      <c r="Q242" s="64"/>
      <c r="R242" s="64"/>
      <c r="S242" s="64"/>
      <c r="T242" s="65"/>
      <c r="U242" s="64"/>
      <c r="V242" s="64"/>
      <c r="W242" s="64"/>
      <c r="X242" s="64"/>
      <c r="Y242" s="64"/>
      <c r="Z242" s="64"/>
      <c r="AA242" s="64"/>
      <c r="AB242" s="64"/>
      <c r="AC242" s="64"/>
      <c r="AD242" s="64"/>
      <c r="AE242" s="64"/>
      <c r="AF242" s="64"/>
      <c r="AG242" s="64"/>
    </row>
    <row r="243">
      <c r="A243" s="64"/>
      <c r="B243" s="64"/>
      <c r="C243" s="64"/>
      <c r="D243" s="64"/>
      <c r="E243" s="65"/>
      <c r="F243" s="64"/>
      <c r="G243" s="67"/>
      <c r="H243" s="64"/>
      <c r="I243" s="64"/>
      <c r="J243" s="64"/>
      <c r="K243" s="64"/>
      <c r="L243" s="65"/>
      <c r="M243" s="64"/>
      <c r="N243" s="64"/>
      <c r="O243" s="64"/>
      <c r="P243" s="64"/>
      <c r="Q243" s="64"/>
      <c r="R243" s="64"/>
      <c r="S243" s="64"/>
      <c r="T243" s="65"/>
      <c r="U243" s="64"/>
      <c r="V243" s="64"/>
      <c r="W243" s="64"/>
      <c r="X243" s="64"/>
      <c r="Y243" s="64"/>
      <c r="Z243" s="64"/>
      <c r="AA243" s="64"/>
      <c r="AB243" s="64"/>
      <c r="AC243" s="64"/>
      <c r="AD243" s="64"/>
      <c r="AE243" s="64"/>
      <c r="AF243" s="64"/>
      <c r="AG243" s="64"/>
    </row>
    <row r="244">
      <c r="A244" s="64"/>
      <c r="B244" s="64"/>
      <c r="C244" s="64"/>
      <c r="D244" s="64"/>
      <c r="E244" s="65"/>
      <c r="F244" s="64"/>
      <c r="G244" s="67"/>
      <c r="H244" s="64"/>
      <c r="I244" s="64"/>
      <c r="J244" s="64"/>
      <c r="K244" s="64"/>
      <c r="L244" s="65"/>
      <c r="M244" s="64"/>
      <c r="N244" s="64"/>
      <c r="O244" s="64"/>
      <c r="P244" s="64"/>
      <c r="Q244" s="64"/>
      <c r="R244" s="64"/>
      <c r="S244" s="64"/>
      <c r="T244" s="65"/>
      <c r="U244" s="64"/>
      <c r="V244" s="64"/>
      <c r="W244" s="64"/>
      <c r="X244" s="64"/>
      <c r="Y244" s="64"/>
      <c r="Z244" s="64"/>
      <c r="AA244" s="64"/>
      <c r="AB244" s="64"/>
      <c r="AC244" s="64"/>
      <c r="AD244" s="64"/>
      <c r="AE244" s="64"/>
      <c r="AF244" s="64"/>
      <c r="AG244" s="64"/>
    </row>
    <row r="245">
      <c r="A245" s="64"/>
      <c r="B245" s="64"/>
      <c r="C245" s="64"/>
      <c r="D245" s="64"/>
      <c r="E245" s="65"/>
      <c r="F245" s="64"/>
      <c r="G245" s="67"/>
      <c r="H245" s="64"/>
      <c r="I245" s="64"/>
      <c r="J245" s="64"/>
      <c r="K245" s="64"/>
      <c r="L245" s="65"/>
      <c r="M245" s="64"/>
      <c r="N245" s="64"/>
      <c r="O245" s="64"/>
      <c r="P245" s="64"/>
      <c r="Q245" s="64"/>
      <c r="R245" s="64"/>
      <c r="S245" s="64"/>
      <c r="T245" s="65"/>
      <c r="U245" s="64"/>
      <c r="V245" s="64"/>
      <c r="W245" s="64"/>
      <c r="X245" s="64"/>
      <c r="Y245" s="64"/>
      <c r="Z245" s="64"/>
      <c r="AA245" s="64"/>
      <c r="AB245" s="64"/>
      <c r="AC245" s="64"/>
      <c r="AD245" s="64"/>
      <c r="AE245" s="64"/>
      <c r="AF245" s="64"/>
      <c r="AG245" s="64"/>
    </row>
    <row r="246">
      <c r="A246" s="64"/>
      <c r="B246" s="64"/>
      <c r="C246" s="64"/>
      <c r="D246" s="64"/>
      <c r="E246" s="65"/>
      <c r="F246" s="64"/>
      <c r="G246" s="67"/>
      <c r="H246" s="64"/>
      <c r="I246" s="64"/>
      <c r="J246" s="64"/>
      <c r="K246" s="64"/>
      <c r="L246" s="65"/>
      <c r="M246" s="64"/>
      <c r="N246" s="64"/>
      <c r="O246" s="64"/>
      <c r="P246" s="64"/>
      <c r="Q246" s="64"/>
      <c r="R246" s="64"/>
      <c r="S246" s="64"/>
      <c r="T246" s="65"/>
      <c r="U246" s="64"/>
      <c r="V246" s="64"/>
      <c r="W246" s="64"/>
      <c r="X246" s="64"/>
      <c r="Y246" s="64"/>
      <c r="Z246" s="64"/>
      <c r="AA246" s="64"/>
      <c r="AB246" s="64"/>
      <c r="AC246" s="64"/>
      <c r="AD246" s="64"/>
      <c r="AE246" s="64"/>
      <c r="AF246" s="64"/>
      <c r="AG246" s="64"/>
    </row>
    <row r="247">
      <c r="A247" s="64"/>
      <c r="B247" s="64"/>
      <c r="C247" s="64"/>
      <c r="D247" s="64"/>
      <c r="E247" s="65"/>
      <c r="F247" s="64"/>
      <c r="G247" s="67"/>
      <c r="H247" s="64"/>
      <c r="I247" s="64"/>
      <c r="J247" s="64"/>
      <c r="K247" s="64"/>
      <c r="L247" s="65"/>
      <c r="M247" s="64"/>
      <c r="N247" s="64"/>
      <c r="O247" s="64"/>
      <c r="P247" s="64"/>
      <c r="Q247" s="64"/>
      <c r="R247" s="64"/>
      <c r="S247" s="64"/>
      <c r="T247" s="65"/>
      <c r="U247" s="64"/>
      <c r="V247" s="64"/>
      <c r="W247" s="64"/>
      <c r="X247" s="64"/>
      <c r="Y247" s="64"/>
      <c r="Z247" s="64"/>
      <c r="AA247" s="64"/>
      <c r="AB247" s="64"/>
      <c r="AC247" s="64"/>
      <c r="AD247" s="64"/>
      <c r="AE247" s="64"/>
      <c r="AF247" s="64"/>
      <c r="AG247" s="64"/>
    </row>
    <row r="248">
      <c r="A248" s="64"/>
      <c r="B248" s="64"/>
      <c r="C248" s="64"/>
      <c r="D248" s="64"/>
      <c r="E248" s="65"/>
      <c r="F248" s="64"/>
      <c r="G248" s="67"/>
      <c r="H248" s="64"/>
      <c r="I248" s="64"/>
      <c r="J248" s="64"/>
      <c r="K248" s="64"/>
      <c r="L248" s="65"/>
      <c r="M248" s="64"/>
      <c r="N248" s="64"/>
      <c r="O248" s="64"/>
      <c r="P248" s="64"/>
      <c r="Q248" s="64"/>
      <c r="R248" s="64"/>
      <c r="S248" s="64"/>
      <c r="T248" s="65"/>
      <c r="U248" s="64"/>
      <c r="V248" s="64"/>
      <c r="W248" s="64"/>
      <c r="X248" s="64"/>
      <c r="Y248" s="64"/>
      <c r="Z248" s="64"/>
      <c r="AA248" s="64"/>
      <c r="AB248" s="64"/>
      <c r="AC248" s="64"/>
      <c r="AD248" s="64"/>
      <c r="AE248" s="64"/>
      <c r="AF248" s="64"/>
      <c r="AG248" s="64"/>
    </row>
    <row r="249">
      <c r="A249" s="64"/>
      <c r="B249" s="64"/>
      <c r="C249" s="64"/>
      <c r="D249" s="64"/>
      <c r="E249" s="65"/>
      <c r="F249" s="64"/>
      <c r="G249" s="67"/>
      <c r="H249" s="64"/>
      <c r="I249" s="64"/>
      <c r="J249" s="64"/>
      <c r="K249" s="64"/>
      <c r="L249" s="65"/>
      <c r="M249" s="64"/>
      <c r="N249" s="64"/>
      <c r="O249" s="64"/>
      <c r="P249" s="64"/>
      <c r="Q249" s="64"/>
      <c r="R249" s="64"/>
      <c r="S249" s="64"/>
      <c r="T249" s="65"/>
      <c r="U249" s="64"/>
      <c r="V249" s="64"/>
      <c r="W249" s="64"/>
      <c r="X249" s="64"/>
      <c r="Y249" s="64"/>
      <c r="Z249" s="64"/>
      <c r="AA249" s="64"/>
      <c r="AB249" s="64"/>
      <c r="AC249" s="64"/>
      <c r="AD249" s="64"/>
      <c r="AE249" s="64"/>
      <c r="AF249" s="64"/>
      <c r="AG249" s="64"/>
    </row>
    <row r="250">
      <c r="A250" s="64"/>
      <c r="B250" s="64"/>
      <c r="C250" s="64"/>
      <c r="D250" s="64"/>
      <c r="E250" s="65"/>
      <c r="F250" s="64"/>
      <c r="G250" s="67"/>
      <c r="H250" s="64"/>
      <c r="I250" s="64"/>
      <c r="J250" s="64"/>
      <c r="K250" s="64"/>
      <c r="L250" s="65"/>
      <c r="M250" s="64"/>
      <c r="N250" s="64"/>
      <c r="O250" s="64"/>
      <c r="P250" s="64"/>
      <c r="Q250" s="64"/>
      <c r="R250" s="64"/>
      <c r="S250" s="64"/>
      <c r="T250" s="65"/>
      <c r="U250" s="64"/>
      <c r="V250" s="64"/>
      <c r="W250" s="64"/>
      <c r="X250" s="64"/>
      <c r="Y250" s="64"/>
      <c r="Z250" s="64"/>
      <c r="AA250" s="64"/>
      <c r="AB250" s="64"/>
      <c r="AC250" s="64"/>
      <c r="AD250" s="64"/>
      <c r="AE250" s="64"/>
      <c r="AF250" s="64"/>
      <c r="AG250" s="64"/>
    </row>
    <row r="251">
      <c r="A251" s="64"/>
      <c r="B251" s="64"/>
      <c r="C251" s="64"/>
      <c r="D251" s="64"/>
      <c r="E251" s="65"/>
      <c r="F251" s="64"/>
      <c r="G251" s="67"/>
      <c r="H251" s="64"/>
      <c r="I251" s="64"/>
      <c r="J251" s="64"/>
      <c r="K251" s="64"/>
      <c r="L251" s="65"/>
      <c r="M251" s="64"/>
      <c r="N251" s="64"/>
      <c r="O251" s="64"/>
      <c r="P251" s="64"/>
      <c r="Q251" s="64"/>
      <c r="R251" s="64"/>
      <c r="S251" s="64"/>
      <c r="T251" s="65"/>
      <c r="U251" s="64"/>
      <c r="V251" s="64"/>
      <c r="W251" s="64"/>
      <c r="X251" s="64"/>
      <c r="Y251" s="64"/>
      <c r="Z251" s="64"/>
      <c r="AA251" s="64"/>
      <c r="AB251" s="64"/>
      <c r="AC251" s="64"/>
      <c r="AD251" s="64"/>
      <c r="AE251" s="64"/>
      <c r="AF251" s="64"/>
      <c r="AG251" s="64"/>
    </row>
    <row r="252">
      <c r="A252" s="64"/>
      <c r="B252" s="64"/>
      <c r="C252" s="64"/>
      <c r="D252" s="64"/>
      <c r="E252" s="65"/>
      <c r="F252" s="64"/>
      <c r="G252" s="67"/>
      <c r="H252" s="64"/>
      <c r="I252" s="64"/>
      <c r="J252" s="64"/>
      <c r="K252" s="64"/>
      <c r="L252" s="65"/>
      <c r="M252" s="64"/>
      <c r="N252" s="64"/>
      <c r="O252" s="64"/>
      <c r="P252" s="64"/>
      <c r="Q252" s="64"/>
      <c r="R252" s="64"/>
      <c r="S252" s="64"/>
      <c r="T252" s="65"/>
      <c r="U252" s="64"/>
      <c r="V252" s="64"/>
      <c r="W252" s="64"/>
      <c r="X252" s="64"/>
      <c r="Y252" s="64"/>
      <c r="Z252" s="64"/>
      <c r="AA252" s="64"/>
      <c r="AB252" s="64"/>
      <c r="AC252" s="64"/>
      <c r="AD252" s="64"/>
      <c r="AE252" s="64"/>
      <c r="AF252" s="64"/>
      <c r="AG252" s="64"/>
    </row>
    <row r="253">
      <c r="A253" s="64"/>
      <c r="B253" s="64"/>
      <c r="C253" s="64"/>
      <c r="D253" s="64"/>
      <c r="E253" s="65"/>
      <c r="F253" s="64"/>
      <c r="G253" s="67"/>
      <c r="H253" s="64"/>
      <c r="I253" s="64"/>
      <c r="J253" s="64"/>
      <c r="K253" s="64"/>
      <c r="L253" s="65"/>
      <c r="M253" s="64"/>
      <c r="N253" s="64"/>
      <c r="O253" s="64"/>
      <c r="P253" s="64"/>
      <c r="Q253" s="64"/>
      <c r="R253" s="64"/>
      <c r="S253" s="64"/>
      <c r="T253" s="65"/>
      <c r="U253" s="64"/>
      <c r="V253" s="64"/>
      <c r="W253" s="64"/>
      <c r="X253" s="64"/>
      <c r="Y253" s="64"/>
      <c r="Z253" s="64"/>
      <c r="AA253" s="64"/>
      <c r="AB253" s="64"/>
      <c r="AC253" s="64"/>
      <c r="AD253" s="64"/>
      <c r="AE253" s="64"/>
      <c r="AF253" s="64"/>
      <c r="AG253" s="64"/>
    </row>
    <row r="254">
      <c r="A254" s="64"/>
      <c r="B254" s="64"/>
      <c r="C254" s="64"/>
      <c r="D254" s="64"/>
      <c r="E254" s="65"/>
      <c r="F254" s="64"/>
      <c r="G254" s="67"/>
      <c r="H254" s="64"/>
      <c r="I254" s="64"/>
      <c r="J254" s="64"/>
      <c r="K254" s="64"/>
      <c r="L254" s="65"/>
      <c r="M254" s="64"/>
      <c r="N254" s="64"/>
      <c r="O254" s="64"/>
      <c r="P254" s="64"/>
      <c r="Q254" s="64"/>
      <c r="R254" s="64"/>
      <c r="S254" s="64"/>
      <c r="T254" s="65"/>
      <c r="U254" s="64"/>
      <c r="V254" s="64"/>
      <c r="W254" s="64"/>
      <c r="X254" s="64"/>
      <c r="Y254" s="64"/>
      <c r="Z254" s="64"/>
      <c r="AA254" s="64"/>
      <c r="AB254" s="64"/>
      <c r="AC254" s="64"/>
      <c r="AD254" s="64"/>
      <c r="AE254" s="64"/>
      <c r="AF254" s="64"/>
      <c r="AG254" s="64"/>
    </row>
    <row r="255">
      <c r="A255" s="64"/>
      <c r="B255" s="64"/>
      <c r="C255" s="64"/>
      <c r="D255" s="64"/>
      <c r="E255" s="65"/>
      <c r="F255" s="64"/>
      <c r="G255" s="67"/>
      <c r="H255" s="64"/>
      <c r="I255" s="64"/>
      <c r="J255" s="64"/>
      <c r="K255" s="64"/>
      <c r="L255" s="65"/>
      <c r="M255" s="64"/>
      <c r="N255" s="64"/>
      <c r="O255" s="64"/>
      <c r="P255" s="64"/>
      <c r="Q255" s="64"/>
      <c r="R255" s="64"/>
      <c r="S255" s="64"/>
      <c r="T255" s="65"/>
      <c r="U255" s="64"/>
      <c r="V255" s="64"/>
      <c r="W255" s="64"/>
      <c r="X255" s="64"/>
      <c r="Y255" s="64"/>
      <c r="Z255" s="64"/>
      <c r="AA255" s="64"/>
      <c r="AB255" s="64"/>
      <c r="AC255" s="64"/>
      <c r="AD255" s="64"/>
      <c r="AE255" s="64"/>
      <c r="AF255" s="64"/>
      <c r="AG255" s="64"/>
    </row>
    <row r="256">
      <c r="A256" s="64"/>
      <c r="B256" s="64"/>
      <c r="C256" s="64"/>
      <c r="D256" s="64"/>
      <c r="E256" s="65"/>
      <c r="F256" s="64"/>
      <c r="G256" s="67"/>
      <c r="H256" s="64"/>
      <c r="I256" s="64"/>
      <c r="J256" s="64"/>
      <c r="K256" s="64"/>
      <c r="L256" s="65"/>
      <c r="M256" s="64"/>
      <c r="N256" s="64"/>
      <c r="O256" s="64"/>
      <c r="P256" s="64"/>
      <c r="Q256" s="64"/>
      <c r="R256" s="64"/>
      <c r="S256" s="64"/>
      <c r="T256" s="65"/>
      <c r="U256" s="64"/>
      <c r="V256" s="64"/>
      <c r="W256" s="64"/>
      <c r="X256" s="64"/>
      <c r="Y256" s="64"/>
      <c r="Z256" s="64"/>
      <c r="AA256" s="64"/>
      <c r="AB256" s="64"/>
      <c r="AC256" s="64"/>
      <c r="AD256" s="64"/>
      <c r="AE256" s="64"/>
      <c r="AF256" s="64"/>
      <c r="AG256" s="64"/>
    </row>
    <row r="257">
      <c r="A257" s="64"/>
      <c r="B257" s="64"/>
      <c r="C257" s="64"/>
      <c r="D257" s="64"/>
      <c r="E257" s="65"/>
      <c r="F257" s="64"/>
      <c r="G257" s="67"/>
      <c r="H257" s="64"/>
      <c r="I257" s="64"/>
      <c r="J257" s="64"/>
      <c r="K257" s="64"/>
      <c r="L257" s="65"/>
      <c r="M257" s="64"/>
      <c r="N257" s="64"/>
      <c r="O257" s="64"/>
      <c r="P257" s="64"/>
      <c r="Q257" s="64"/>
      <c r="R257" s="64"/>
      <c r="S257" s="64"/>
      <c r="T257" s="65"/>
      <c r="U257" s="64"/>
      <c r="V257" s="64"/>
      <c r="W257" s="64"/>
      <c r="X257" s="64"/>
      <c r="Y257" s="64"/>
      <c r="Z257" s="64"/>
      <c r="AA257" s="64"/>
      <c r="AB257" s="64"/>
      <c r="AC257" s="64"/>
      <c r="AD257" s="64"/>
      <c r="AE257" s="64"/>
      <c r="AF257" s="64"/>
      <c r="AG257" s="64"/>
    </row>
    <row r="258">
      <c r="A258" s="64"/>
      <c r="B258" s="64"/>
      <c r="C258" s="64"/>
      <c r="D258" s="64"/>
      <c r="E258" s="65"/>
      <c r="F258" s="64"/>
      <c r="G258" s="67"/>
      <c r="H258" s="64"/>
      <c r="I258" s="64"/>
      <c r="J258" s="64"/>
      <c r="K258" s="64"/>
      <c r="L258" s="65"/>
      <c r="M258" s="64"/>
      <c r="N258" s="64"/>
      <c r="O258" s="64"/>
      <c r="P258" s="64"/>
      <c r="Q258" s="64"/>
      <c r="R258" s="64"/>
      <c r="S258" s="64"/>
      <c r="T258" s="65"/>
      <c r="U258" s="64"/>
      <c r="V258" s="64"/>
      <c r="W258" s="64"/>
      <c r="X258" s="64"/>
      <c r="Y258" s="64"/>
      <c r="Z258" s="64"/>
      <c r="AA258" s="64"/>
      <c r="AB258" s="64"/>
      <c r="AC258" s="64"/>
      <c r="AD258" s="64"/>
      <c r="AE258" s="64"/>
      <c r="AF258" s="64"/>
      <c r="AG258" s="64"/>
    </row>
    <row r="259">
      <c r="A259" s="64"/>
      <c r="B259" s="64"/>
      <c r="C259" s="64"/>
      <c r="D259" s="64"/>
      <c r="E259" s="65"/>
      <c r="F259" s="64"/>
      <c r="G259" s="67"/>
      <c r="H259" s="64"/>
      <c r="I259" s="64"/>
      <c r="J259" s="64"/>
      <c r="K259" s="64"/>
      <c r="L259" s="65"/>
      <c r="M259" s="64"/>
      <c r="N259" s="64"/>
      <c r="O259" s="64"/>
      <c r="P259" s="64"/>
      <c r="Q259" s="64"/>
      <c r="R259" s="64"/>
      <c r="S259" s="64"/>
      <c r="T259" s="65"/>
      <c r="U259" s="64"/>
      <c r="V259" s="64"/>
      <c r="W259" s="64"/>
      <c r="X259" s="64"/>
      <c r="Y259" s="64"/>
      <c r="Z259" s="64"/>
      <c r="AA259" s="64"/>
      <c r="AB259" s="64"/>
      <c r="AC259" s="64"/>
      <c r="AD259" s="64"/>
      <c r="AE259" s="64"/>
      <c r="AF259" s="64"/>
      <c r="AG259" s="64"/>
    </row>
    <row r="260">
      <c r="A260" s="64"/>
      <c r="B260" s="64"/>
      <c r="C260" s="64"/>
      <c r="D260" s="64"/>
      <c r="E260" s="65"/>
      <c r="F260" s="64"/>
      <c r="G260" s="67"/>
      <c r="H260" s="64"/>
      <c r="I260" s="64"/>
      <c r="J260" s="64"/>
      <c r="K260" s="64"/>
      <c r="L260" s="65"/>
      <c r="M260" s="64"/>
      <c r="N260" s="64"/>
      <c r="O260" s="64"/>
      <c r="P260" s="64"/>
      <c r="Q260" s="64"/>
      <c r="R260" s="64"/>
      <c r="S260" s="64"/>
      <c r="T260" s="65"/>
      <c r="U260" s="64"/>
      <c r="V260" s="64"/>
      <c r="W260" s="64"/>
      <c r="X260" s="64"/>
      <c r="Y260" s="64"/>
      <c r="Z260" s="64"/>
      <c r="AA260" s="64"/>
      <c r="AB260" s="64"/>
      <c r="AC260" s="64"/>
      <c r="AD260" s="64"/>
      <c r="AE260" s="64"/>
      <c r="AF260" s="64"/>
      <c r="AG260" s="64"/>
    </row>
    <row r="261">
      <c r="A261" s="64"/>
      <c r="B261" s="64"/>
      <c r="C261" s="64"/>
      <c r="D261" s="64"/>
      <c r="E261" s="65"/>
      <c r="F261" s="64"/>
      <c r="G261" s="67"/>
      <c r="H261" s="64"/>
      <c r="I261" s="64"/>
      <c r="J261" s="64"/>
      <c r="K261" s="64"/>
      <c r="L261" s="65"/>
      <c r="M261" s="64"/>
      <c r="N261" s="64"/>
      <c r="O261" s="64"/>
      <c r="P261" s="64"/>
      <c r="Q261" s="64"/>
      <c r="R261" s="64"/>
      <c r="S261" s="64"/>
      <c r="T261" s="65"/>
      <c r="U261" s="64"/>
      <c r="V261" s="64"/>
      <c r="W261" s="64"/>
      <c r="X261" s="64"/>
      <c r="Y261" s="64"/>
      <c r="Z261" s="64"/>
      <c r="AA261" s="64"/>
      <c r="AB261" s="64"/>
      <c r="AC261" s="64"/>
      <c r="AD261" s="64"/>
      <c r="AE261" s="64"/>
      <c r="AF261" s="64"/>
      <c r="AG261" s="64"/>
    </row>
    <row r="262">
      <c r="A262" s="64"/>
      <c r="B262" s="64"/>
      <c r="C262" s="64"/>
      <c r="D262" s="64"/>
      <c r="E262" s="65"/>
      <c r="F262" s="64"/>
      <c r="G262" s="67"/>
      <c r="H262" s="64"/>
      <c r="I262" s="64"/>
      <c r="J262" s="64"/>
      <c r="K262" s="64"/>
      <c r="L262" s="65"/>
      <c r="M262" s="64"/>
      <c r="N262" s="64"/>
      <c r="O262" s="64"/>
      <c r="P262" s="64"/>
      <c r="Q262" s="64"/>
      <c r="R262" s="64"/>
      <c r="S262" s="64"/>
      <c r="T262" s="65"/>
      <c r="U262" s="64"/>
      <c r="V262" s="64"/>
      <c r="W262" s="64"/>
      <c r="X262" s="64"/>
      <c r="Y262" s="64"/>
      <c r="Z262" s="64"/>
      <c r="AA262" s="64"/>
      <c r="AB262" s="64"/>
      <c r="AC262" s="64"/>
      <c r="AD262" s="64"/>
      <c r="AE262" s="64"/>
      <c r="AF262" s="64"/>
      <c r="AG262" s="64"/>
    </row>
    <row r="263">
      <c r="A263" s="64"/>
      <c r="B263" s="64"/>
      <c r="C263" s="64"/>
      <c r="D263" s="64"/>
      <c r="E263" s="65"/>
      <c r="F263" s="64"/>
      <c r="G263" s="67"/>
      <c r="H263" s="64"/>
      <c r="I263" s="64"/>
      <c r="J263" s="64"/>
      <c r="K263" s="64"/>
      <c r="L263" s="65"/>
      <c r="M263" s="64"/>
      <c r="N263" s="64"/>
      <c r="O263" s="64"/>
      <c r="P263" s="64"/>
      <c r="Q263" s="64"/>
      <c r="R263" s="64"/>
      <c r="S263" s="64"/>
      <c r="T263" s="65"/>
      <c r="U263" s="64"/>
      <c r="V263" s="64"/>
      <c r="W263" s="64"/>
      <c r="X263" s="64"/>
      <c r="Y263" s="64"/>
      <c r="Z263" s="64"/>
      <c r="AA263" s="64"/>
      <c r="AB263" s="64"/>
      <c r="AC263" s="64"/>
      <c r="AD263" s="64"/>
      <c r="AE263" s="64"/>
      <c r="AF263" s="64"/>
      <c r="AG263" s="64"/>
    </row>
    <row r="264">
      <c r="A264" s="64"/>
      <c r="B264" s="64"/>
      <c r="C264" s="64"/>
      <c r="D264" s="64"/>
      <c r="E264" s="65"/>
      <c r="F264" s="64"/>
      <c r="G264" s="67"/>
      <c r="H264" s="64"/>
      <c r="I264" s="64"/>
      <c r="J264" s="64"/>
      <c r="K264" s="64"/>
      <c r="L264" s="65"/>
      <c r="M264" s="64"/>
      <c r="N264" s="64"/>
      <c r="O264" s="64"/>
      <c r="P264" s="64"/>
      <c r="Q264" s="64"/>
      <c r="R264" s="64"/>
      <c r="S264" s="64"/>
      <c r="T264" s="65"/>
      <c r="U264" s="64"/>
      <c r="V264" s="64"/>
      <c r="W264" s="64"/>
      <c r="X264" s="64"/>
      <c r="Y264" s="64"/>
      <c r="Z264" s="64"/>
      <c r="AA264" s="64"/>
      <c r="AB264" s="64"/>
      <c r="AC264" s="64"/>
      <c r="AD264" s="64"/>
      <c r="AE264" s="64"/>
      <c r="AF264" s="64"/>
      <c r="AG264" s="64"/>
    </row>
    <row r="265">
      <c r="A265" s="64"/>
      <c r="B265" s="64"/>
      <c r="C265" s="64"/>
      <c r="D265" s="64"/>
      <c r="E265" s="65"/>
      <c r="F265" s="64"/>
      <c r="G265" s="67"/>
      <c r="H265" s="64"/>
      <c r="I265" s="64"/>
      <c r="J265" s="64"/>
      <c r="K265" s="64"/>
      <c r="L265" s="65"/>
      <c r="M265" s="64"/>
      <c r="N265" s="64"/>
      <c r="O265" s="64"/>
      <c r="P265" s="64"/>
      <c r="Q265" s="64"/>
      <c r="R265" s="64"/>
      <c r="S265" s="64"/>
      <c r="T265" s="65"/>
      <c r="U265" s="64"/>
      <c r="V265" s="64"/>
      <c r="W265" s="64"/>
      <c r="X265" s="64"/>
      <c r="Y265" s="64"/>
      <c r="Z265" s="64"/>
      <c r="AA265" s="64"/>
      <c r="AB265" s="64"/>
      <c r="AC265" s="64"/>
      <c r="AD265" s="64"/>
      <c r="AE265" s="64"/>
      <c r="AF265" s="64"/>
      <c r="AG265" s="64"/>
    </row>
    <row r="266">
      <c r="A266" s="64"/>
      <c r="B266" s="64"/>
      <c r="C266" s="64"/>
      <c r="D266" s="64"/>
      <c r="E266" s="65"/>
      <c r="F266" s="64"/>
      <c r="G266" s="67"/>
      <c r="H266" s="64"/>
      <c r="I266" s="64"/>
      <c r="J266" s="64"/>
      <c r="K266" s="64"/>
      <c r="L266" s="65"/>
      <c r="M266" s="64"/>
      <c r="N266" s="64"/>
      <c r="O266" s="64"/>
      <c r="P266" s="64"/>
      <c r="Q266" s="64"/>
      <c r="R266" s="64"/>
      <c r="S266" s="64"/>
      <c r="T266" s="65"/>
      <c r="U266" s="64"/>
      <c r="V266" s="64"/>
      <c r="W266" s="64"/>
      <c r="X266" s="64"/>
      <c r="Y266" s="64"/>
      <c r="Z266" s="64"/>
      <c r="AA266" s="64"/>
      <c r="AB266" s="64"/>
      <c r="AC266" s="64"/>
      <c r="AD266" s="64"/>
      <c r="AE266" s="64"/>
      <c r="AF266" s="64"/>
      <c r="AG266" s="64"/>
    </row>
    <row r="267">
      <c r="A267" s="64"/>
      <c r="B267" s="64"/>
      <c r="C267" s="64"/>
      <c r="D267" s="64"/>
      <c r="E267" s="65"/>
      <c r="F267" s="64"/>
      <c r="G267" s="67"/>
      <c r="H267" s="64"/>
      <c r="I267" s="64"/>
      <c r="J267" s="64"/>
      <c r="K267" s="64"/>
      <c r="L267" s="65"/>
      <c r="M267" s="64"/>
      <c r="N267" s="64"/>
      <c r="O267" s="64"/>
      <c r="P267" s="64"/>
      <c r="Q267" s="64"/>
      <c r="R267" s="64"/>
      <c r="S267" s="64"/>
      <c r="T267" s="65"/>
      <c r="U267" s="64"/>
      <c r="V267" s="64"/>
      <c r="W267" s="64"/>
      <c r="X267" s="64"/>
      <c r="Y267" s="64"/>
      <c r="Z267" s="64"/>
      <c r="AA267" s="64"/>
      <c r="AB267" s="64"/>
      <c r="AC267" s="64"/>
      <c r="AD267" s="64"/>
      <c r="AE267" s="64"/>
      <c r="AF267" s="64"/>
      <c r="AG267" s="64"/>
    </row>
    <row r="268">
      <c r="A268" s="64"/>
      <c r="B268" s="64"/>
      <c r="C268" s="64"/>
      <c r="D268" s="64"/>
      <c r="E268" s="65"/>
      <c r="F268" s="64"/>
      <c r="G268" s="67"/>
      <c r="H268" s="64"/>
      <c r="I268" s="64"/>
      <c r="J268" s="64"/>
      <c r="K268" s="64"/>
      <c r="L268" s="65"/>
      <c r="M268" s="64"/>
      <c r="N268" s="64"/>
      <c r="O268" s="64"/>
      <c r="P268" s="64"/>
      <c r="Q268" s="64"/>
      <c r="R268" s="64"/>
      <c r="S268" s="64"/>
      <c r="T268" s="65"/>
      <c r="U268" s="64"/>
      <c r="V268" s="64"/>
      <c r="W268" s="64"/>
      <c r="X268" s="64"/>
      <c r="Y268" s="64"/>
      <c r="Z268" s="64"/>
      <c r="AA268" s="64"/>
      <c r="AB268" s="64"/>
      <c r="AC268" s="64"/>
      <c r="AD268" s="64"/>
      <c r="AE268" s="64"/>
      <c r="AF268" s="64"/>
      <c r="AG268" s="64"/>
    </row>
    <row r="269">
      <c r="A269" s="64"/>
      <c r="B269" s="64"/>
      <c r="C269" s="64"/>
      <c r="D269" s="64"/>
      <c r="E269" s="65"/>
      <c r="F269" s="64"/>
      <c r="G269" s="67"/>
      <c r="H269" s="64"/>
      <c r="I269" s="64"/>
      <c r="J269" s="64"/>
      <c r="K269" s="64"/>
      <c r="L269" s="65"/>
      <c r="M269" s="64"/>
      <c r="N269" s="64"/>
      <c r="O269" s="64"/>
      <c r="P269" s="64"/>
      <c r="Q269" s="64"/>
      <c r="R269" s="64"/>
      <c r="S269" s="64"/>
      <c r="T269" s="65"/>
      <c r="U269" s="64"/>
      <c r="V269" s="64"/>
      <c r="W269" s="64"/>
      <c r="X269" s="64"/>
      <c r="Y269" s="64"/>
      <c r="Z269" s="64"/>
      <c r="AA269" s="64"/>
      <c r="AB269" s="64"/>
      <c r="AC269" s="64"/>
      <c r="AD269" s="64"/>
      <c r="AE269" s="64"/>
      <c r="AF269" s="64"/>
      <c r="AG269" s="64"/>
    </row>
    <row r="270">
      <c r="A270" s="64"/>
      <c r="B270" s="64"/>
      <c r="C270" s="64"/>
      <c r="D270" s="64"/>
      <c r="E270" s="65"/>
      <c r="F270" s="64"/>
      <c r="G270" s="67"/>
      <c r="H270" s="64"/>
      <c r="I270" s="64"/>
      <c r="J270" s="64"/>
      <c r="K270" s="64"/>
      <c r="L270" s="65"/>
      <c r="M270" s="64"/>
      <c r="N270" s="64"/>
      <c r="O270" s="64"/>
      <c r="P270" s="64"/>
      <c r="Q270" s="64"/>
      <c r="R270" s="64"/>
      <c r="S270" s="64"/>
      <c r="T270" s="65"/>
      <c r="U270" s="64"/>
      <c r="V270" s="64"/>
      <c r="W270" s="64"/>
      <c r="X270" s="64"/>
      <c r="Y270" s="64"/>
      <c r="Z270" s="64"/>
      <c r="AA270" s="64"/>
      <c r="AB270" s="64"/>
      <c r="AC270" s="64"/>
      <c r="AD270" s="64"/>
      <c r="AE270" s="64"/>
      <c r="AF270" s="64"/>
      <c r="AG270" s="64"/>
    </row>
    <row r="271">
      <c r="A271" s="64"/>
      <c r="B271" s="64"/>
      <c r="C271" s="64"/>
      <c r="D271" s="64"/>
      <c r="E271" s="65"/>
      <c r="F271" s="64"/>
      <c r="G271" s="67"/>
      <c r="H271" s="64"/>
      <c r="I271" s="64"/>
      <c r="J271" s="64"/>
      <c r="K271" s="64"/>
      <c r="L271" s="65"/>
      <c r="M271" s="64"/>
      <c r="N271" s="64"/>
      <c r="O271" s="64"/>
      <c r="P271" s="64"/>
      <c r="Q271" s="64"/>
      <c r="R271" s="64"/>
      <c r="S271" s="64"/>
      <c r="T271" s="65"/>
      <c r="U271" s="64"/>
      <c r="V271" s="64"/>
      <c r="W271" s="64"/>
      <c r="X271" s="64"/>
      <c r="Y271" s="64"/>
      <c r="Z271" s="64"/>
      <c r="AA271" s="64"/>
      <c r="AB271" s="64"/>
      <c r="AC271" s="64"/>
      <c r="AD271" s="64"/>
      <c r="AE271" s="64"/>
      <c r="AF271" s="64"/>
      <c r="AG271" s="64"/>
    </row>
    <row r="272">
      <c r="A272" s="64"/>
      <c r="B272" s="64"/>
      <c r="C272" s="64"/>
      <c r="D272" s="64"/>
      <c r="E272" s="65"/>
      <c r="F272" s="64"/>
      <c r="G272" s="67"/>
      <c r="H272" s="64"/>
      <c r="I272" s="64"/>
      <c r="J272" s="64"/>
      <c r="K272" s="64"/>
      <c r="L272" s="65"/>
      <c r="M272" s="64"/>
      <c r="N272" s="64"/>
      <c r="O272" s="64"/>
      <c r="P272" s="64"/>
      <c r="Q272" s="64"/>
      <c r="R272" s="64"/>
      <c r="S272" s="64"/>
      <c r="T272" s="65"/>
      <c r="U272" s="64"/>
      <c r="V272" s="64"/>
      <c r="W272" s="64"/>
      <c r="X272" s="64"/>
      <c r="Y272" s="64"/>
      <c r="Z272" s="64"/>
      <c r="AA272" s="64"/>
      <c r="AB272" s="64"/>
      <c r="AC272" s="64"/>
      <c r="AD272" s="64"/>
      <c r="AE272" s="64"/>
      <c r="AF272" s="64"/>
      <c r="AG272" s="64"/>
    </row>
    <row r="273">
      <c r="A273" s="64"/>
      <c r="B273" s="64"/>
      <c r="C273" s="64"/>
      <c r="D273" s="64"/>
      <c r="E273" s="65"/>
      <c r="F273" s="64"/>
      <c r="G273" s="67"/>
      <c r="H273" s="64"/>
      <c r="I273" s="64"/>
      <c r="J273" s="64"/>
      <c r="K273" s="64"/>
      <c r="L273" s="65"/>
      <c r="M273" s="64"/>
      <c r="N273" s="64"/>
      <c r="O273" s="64"/>
      <c r="P273" s="64"/>
      <c r="Q273" s="64"/>
      <c r="R273" s="64"/>
      <c r="S273" s="64"/>
      <c r="T273" s="65"/>
      <c r="U273" s="64"/>
      <c r="V273" s="64"/>
      <c r="W273" s="64"/>
      <c r="X273" s="64"/>
      <c r="Y273" s="64"/>
      <c r="Z273" s="64"/>
      <c r="AA273" s="64"/>
      <c r="AB273" s="64"/>
      <c r="AC273" s="64"/>
      <c r="AD273" s="64"/>
      <c r="AE273" s="64"/>
      <c r="AF273" s="64"/>
      <c r="AG273" s="64"/>
    </row>
    <row r="274">
      <c r="A274" s="64"/>
      <c r="B274" s="64"/>
      <c r="C274" s="64"/>
      <c r="D274" s="64"/>
      <c r="E274" s="65"/>
      <c r="F274" s="64"/>
      <c r="G274" s="67"/>
      <c r="H274" s="64"/>
      <c r="I274" s="64"/>
      <c r="J274" s="64"/>
      <c r="K274" s="64"/>
      <c r="L274" s="65"/>
      <c r="M274" s="64"/>
      <c r="N274" s="64"/>
      <c r="O274" s="64"/>
      <c r="P274" s="64"/>
      <c r="Q274" s="64"/>
      <c r="R274" s="64"/>
      <c r="S274" s="64"/>
      <c r="T274" s="65"/>
      <c r="U274" s="64"/>
      <c r="V274" s="64"/>
      <c r="W274" s="64"/>
      <c r="X274" s="64"/>
      <c r="Y274" s="64"/>
      <c r="Z274" s="64"/>
      <c r="AA274" s="64"/>
      <c r="AB274" s="64"/>
      <c r="AC274" s="64"/>
      <c r="AD274" s="64"/>
      <c r="AE274" s="64"/>
      <c r="AF274" s="64"/>
      <c r="AG274" s="64"/>
    </row>
    <row r="275">
      <c r="A275" s="64"/>
      <c r="B275" s="64"/>
      <c r="C275" s="64"/>
      <c r="D275" s="64"/>
      <c r="E275" s="65"/>
      <c r="F275" s="64"/>
      <c r="G275" s="67"/>
      <c r="H275" s="64"/>
      <c r="I275" s="64"/>
      <c r="J275" s="64"/>
      <c r="K275" s="64"/>
      <c r="L275" s="65"/>
      <c r="M275" s="64"/>
      <c r="N275" s="64"/>
      <c r="O275" s="64"/>
      <c r="P275" s="64"/>
      <c r="Q275" s="64"/>
      <c r="R275" s="64"/>
      <c r="S275" s="64"/>
      <c r="T275" s="65"/>
      <c r="U275" s="64"/>
      <c r="V275" s="64"/>
      <c r="W275" s="64"/>
      <c r="X275" s="64"/>
      <c r="Y275" s="64"/>
      <c r="Z275" s="64"/>
      <c r="AA275" s="64"/>
      <c r="AB275" s="64"/>
      <c r="AC275" s="64"/>
      <c r="AD275" s="64"/>
      <c r="AE275" s="64"/>
      <c r="AF275" s="64"/>
      <c r="AG275" s="64"/>
    </row>
    <row r="276">
      <c r="A276" s="64"/>
      <c r="B276" s="64"/>
      <c r="C276" s="64"/>
      <c r="D276" s="64"/>
      <c r="E276" s="65"/>
      <c r="F276" s="64"/>
      <c r="G276" s="67"/>
      <c r="H276" s="64"/>
      <c r="I276" s="64"/>
      <c r="J276" s="64"/>
      <c r="K276" s="64"/>
      <c r="L276" s="65"/>
      <c r="M276" s="64"/>
      <c r="N276" s="64"/>
      <c r="O276" s="64"/>
      <c r="P276" s="64"/>
      <c r="Q276" s="64"/>
      <c r="R276" s="64"/>
      <c r="S276" s="64"/>
      <c r="T276" s="65"/>
      <c r="U276" s="64"/>
      <c r="V276" s="64"/>
      <c r="W276" s="64"/>
      <c r="X276" s="64"/>
      <c r="Y276" s="64"/>
      <c r="Z276" s="64"/>
      <c r="AA276" s="64"/>
      <c r="AB276" s="64"/>
      <c r="AC276" s="64"/>
      <c r="AD276" s="64"/>
      <c r="AE276" s="64"/>
      <c r="AF276" s="64"/>
      <c r="AG276" s="64"/>
    </row>
    <row r="277">
      <c r="A277" s="64"/>
      <c r="B277" s="64"/>
      <c r="C277" s="64"/>
      <c r="D277" s="64"/>
      <c r="E277" s="65"/>
      <c r="F277" s="64"/>
      <c r="G277" s="67"/>
      <c r="H277" s="64"/>
      <c r="I277" s="64"/>
      <c r="J277" s="64"/>
      <c r="K277" s="64"/>
      <c r="L277" s="65"/>
      <c r="M277" s="64"/>
      <c r="N277" s="64"/>
      <c r="O277" s="64"/>
      <c r="P277" s="64"/>
      <c r="Q277" s="64"/>
      <c r="R277" s="64"/>
      <c r="S277" s="64"/>
      <c r="T277" s="65"/>
      <c r="U277" s="64"/>
      <c r="V277" s="64"/>
      <c r="W277" s="64"/>
      <c r="X277" s="64"/>
      <c r="Y277" s="64"/>
      <c r="Z277" s="64"/>
      <c r="AA277" s="64"/>
      <c r="AB277" s="64"/>
      <c r="AC277" s="64"/>
      <c r="AD277" s="64"/>
      <c r="AE277" s="64"/>
      <c r="AF277" s="64"/>
      <c r="AG277" s="64"/>
    </row>
    <row r="278">
      <c r="A278" s="64"/>
      <c r="B278" s="64"/>
      <c r="C278" s="64"/>
      <c r="D278" s="64"/>
      <c r="E278" s="65"/>
      <c r="F278" s="64"/>
      <c r="G278" s="67"/>
      <c r="H278" s="64"/>
      <c r="I278" s="64"/>
      <c r="J278" s="64"/>
      <c r="K278" s="64"/>
      <c r="L278" s="65"/>
      <c r="M278" s="64"/>
      <c r="N278" s="64"/>
      <c r="O278" s="64"/>
      <c r="P278" s="64"/>
      <c r="Q278" s="64"/>
      <c r="R278" s="64"/>
      <c r="S278" s="64"/>
      <c r="T278" s="65"/>
      <c r="U278" s="64"/>
      <c r="V278" s="64"/>
      <c r="W278" s="64"/>
      <c r="X278" s="64"/>
      <c r="Y278" s="64"/>
      <c r="Z278" s="64"/>
      <c r="AA278" s="64"/>
      <c r="AB278" s="64"/>
      <c r="AC278" s="64"/>
      <c r="AD278" s="64"/>
      <c r="AE278" s="64"/>
      <c r="AF278" s="64"/>
      <c r="AG278" s="64"/>
    </row>
    <row r="279">
      <c r="A279" s="64"/>
      <c r="B279" s="64"/>
      <c r="C279" s="64"/>
      <c r="D279" s="64"/>
      <c r="E279" s="65"/>
      <c r="F279" s="64"/>
      <c r="G279" s="67"/>
      <c r="H279" s="64"/>
      <c r="I279" s="64"/>
      <c r="J279" s="64"/>
      <c r="K279" s="64"/>
      <c r="L279" s="65"/>
      <c r="M279" s="64"/>
      <c r="N279" s="64"/>
      <c r="O279" s="64"/>
      <c r="P279" s="64"/>
      <c r="Q279" s="64"/>
      <c r="R279" s="64"/>
      <c r="S279" s="64"/>
      <c r="T279" s="65"/>
      <c r="U279" s="64"/>
      <c r="V279" s="64"/>
      <c r="W279" s="64"/>
      <c r="X279" s="64"/>
      <c r="Y279" s="64"/>
      <c r="Z279" s="64"/>
      <c r="AA279" s="64"/>
      <c r="AB279" s="64"/>
      <c r="AC279" s="64"/>
      <c r="AD279" s="64"/>
      <c r="AE279" s="64"/>
      <c r="AF279" s="64"/>
      <c r="AG279" s="64"/>
    </row>
    <row r="280">
      <c r="A280" s="64"/>
      <c r="B280" s="64"/>
      <c r="C280" s="64"/>
      <c r="D280" s="64"/>
      <c r="E280" s="65"/>
      <c r="F280" s="64"/>
      <c r="G280" s="67"/>
      <c r="H280" s="64"/>
      <c r="I280" s="64"/>
      <c r="J280" s="64"/>
      <c r="K280" s="64"/>
      <c r="L280" s="65"/>
      <c r="M280" s="64"/>
      <c r="N280" s="64"/>
      <c r="O280" s="64"/>
      <c r="P280" s="64"/>
      <c r="Q280" s="64"/>
      <c r="R280" s="64"/>
      <c r="S280" s="64"/>
      <c r="T280" s="65"/>
      <c r="U280" s="64"/>
      <c r="V280" s="64"/>
      <c r="W280" s="64"/>
      <c r="X280" s="64"/>
      <c r="Y280" s="64"/>
      <c r="Z280" s="64"/>
      <c r="AA280" s="64"/>
      <c r="AB280" s="64"/>
      <c r="AC280" s="64"/>
      <c r="AD280" s="64"/>
      <c r="AE280" s="64"/>
      <c r="AF280" s="64"/>
      <c r="AG280" s="64"/>
    </row>
    <row r="281">
      <c r="A281" s="64"/>
      <c r="B281" s="64"/>
      <c r="C281" s="64"/>
      <c r="D281" s="64"/>
      <c r="E281" s="65"/>
      <c r="F281" s="64"/>
      <c r="G281" s="67"/>
      <c r="H281" s="64"/>
      <c r="I281" s="64"/>
      <c r="J281" s="64"/>
      <c r="K281" s="64"/>
      <c r="L281" s="65"/>
      <c r="M281" s="64"/>
      <c r="N281" s="64"/>
      <c r="O281" s="64"/>
      <c r="P281" s="64"/>
      <c r="Q281" s="64"/>
      <c r="R281" s="64"/>
      <c r="S281" s="64"/>
      <c r="T281" s="65"/>
      <c r="U281" s="64"/>
      <c r="V281" s="64"/>
      <c r="W281" s="64"/>
      <c r="X281" s="64"/>
      <c r="Y281" s="64"/>
      <c r="Z281" s="64"/>
      <c r="AA281" s="64"/>
      <c r="AB281" s="64"/>
      <c r="AC281" s="64"/>
      <c r="AD281" s="64"/>
      <c r="AE281" s="64"/>
      <c r="AF281" s="64"/>
      <c r="AG281" s="64"/>
    </row>
    <row r="282">
      <c r="A282" s="64"/>
      <c r="B282" s="64"/>
      <c r="C282" s="64"/>
      <c r="D282" s="64"/>
      <c r="E282" s="65"/>
      <c r="F282" s="64"/>
      <c r="G282" s="67"/>
      <c r="H282" s="64"/>
      <c r="I282" s="64"/>
      <c r="J282" s="64"/>
      <c r="K282" s="64"/>
      <c r="L282" s="65"/>
      <c r="M282" s="64"/>
      <c r="N282" s="64"/>
      <c r="O282" s="64"/>
      <c r="P282" s="64"/>
      <c r="Q282" s="64"/>
      <c r="R282" s="64"/>
      <c r="S282" s="64"/>
      <c r="T282" s="65"/>
      <c r="U282" s="64"/>
      <c r="V282" s="64"/>
      <c r="W282" s="64"/>
      <c r="X282" s="64"/>
      <c r="Y282" s="64"/>
      <c r="Z282" s="64"/>
      <c r="AA282" s="64"/>
      <c r="AB282" s="64"/>
      <c r="AC282" s="64"/>
      <c r="AD282" s="64"/>
      <c r="AE282" s="64"/>
      <c r="AF282" s="64"/>
      <c r="AG282" s="64"/>
    </row>
    <row r="283">
      <c r="A283" s="64"/>
      <c r="B283" s="64"/>
      <c r="C283" s="64"/>
      <c r="D283" s="64"/>
      <c r="E283" s="65"/>
      <c r="F283" s="64"/>
      <c r="G283" s="67"/>
      <c r="H283" s="64"/>
      <c r="I283" s="64"/>
      <c r="J283" s="64"/>
      <c r="K283" s="64"/>
      <c r="L283" s="65"/>
      <c r="M283" s="64"/>
      <c r="N283" s="64"/>
      <c r="O283" s="64"/>
      <c r="P283" s="64"/>
      <c r="Q283" s="64"/>
      <c r="R283" s="64"/>
      <c r="S283" s="64"/>
      <c r="T283" s="65"/>
      <c r="U283" s="64"/>
      <c r="V283" s="64"/>
      <c r="W283" s="64"/>
      <c r="X283" s="64"/>
      <c r="Y283" s="64"/>
      <c r="Z283" s="64"/>
      <c r="AA283" s="64"/>
      <c r="AB283" s="64"/>
      <c r="AC283" s="64"/>
      <c r="AD283" s="64"/>
      <c r="AE283" s="64"/>
      <c r="AF283" s="64"/>
      <c r="AG283" s="64"/>
    </row>
    <row r="284">
      <c r="A284" s="64"/>
      <c r="B284" s="64"/>
      <c r="C284" s="64"/>
      <c r="D284" s="64"/>
      <c r="E284" s="65"/>
      <c r="F284" s="64"/>
      <c r="G284" s="67"/>
      <c r="H284" s="64"/>
      <c r="I284" s="64"/>
      <c r="J284" s="64"/>
      <c r="K284" s="64"/>
      <c r="L284" s="65"/>
      <c r="M284" s="64"/>
      <c r="N284" s="64"/>
      <c r="O284" s="64"/>
      <c r="P284" s="64"/>
      <c r="Q284" s="64"/>
      <c r="R284" s="64"/>
      <c r="S284" s="64"/>
      <c r="T284" s="65"/>
      <c r="U284" s="64"/>
      <c r="V284" s="64"/>
      <c r="W284" s="64"/>
      <c r="X284" s="64"/>
      <c r="Y284" s="64"/>
      <c r="Z284" s="64"/>
      <c r="AA284" s="64"/>
      <c r="AB284" s="64"/>
      <c r="AC284" s="64"/>
      <c r="AD284" s="64"/>
      <c r="AE284" s="64"/>
      <c r="AF284" s="64"/>
      <c r="AG284" s="64"/>
    </row>
    <row r="285">
      <c r="A285" s="64"/>
      <c r="B285" s="64"/>
      <c r="C285" s="64"/>
      <c r="D285" s="64"/>
      <c r="E285" s="65"/>
      <c r="F285" s="64"/>
      <c r="G285" s="67"/>
      <c r="H285" s="64"/>
      <c r="I285" s="64"/>
      <c r="J285" s="64"/>
      <c r="K285" s="64"/>
      <c r="L285" s="65"/>
      <c r="M285" s="64"/>
      <c r="N285" s="64"/>
      <c r="O285" s="64"/>
      <c r="P285" s="64"/>
      <c r="Q285" s="64"/>
      <c r="R285" s="64"/>
      <c r="S285" s="64"/>
      <c r="T285" s="65"/>
      <c r="U285" s="64"/>
      <c r="V285" s="64"/>
      <c r="W285" s="64"/>
      <c r="X285" s="64"/>
      <c r="Y285" s="64"/>
      <c r="Z285" s="64"/>
      <c r="AA285" s="64"/>
      <c r="AB285" s="64"/>
      <c r="AC285" s="64"/>
      <c r="AD285" s="64"/>
      <c r="AE285" s="64"/>
      <c r="AF285" s="64"/>
      <c r="AG285" s="64"/>
    </row>
    <row r="286">
      <c r="A286" s="64"/>
      <c r="B286" s="64"/>
      <c r="C286" s="64"/>
      <c r="D286" s="64"/>
      <c r="E286" s="65"/>
      <c r="F286" s="64"/>
      <c r="G286" s="67"/>
      <c r="H286" s="64"/>
      <c r="I286" s="64"/>
      <c r="J286" s="64"/>
      <c r="K286" s="64"/>
      <c r="L286" s="65"/>
      <c r="M286" s="64"/>
      <c r="N286" s="64"/>
      <c r="O286" s="64"/>
      <c r="P286" s="64"/>
      <c r="Q286" s="64"/>
      <c r="R286" s="64"/>
      <c r="S286" s="64"/>
      <c r="T286" s="65"/>
      <c r="U286" s="64"/>
      <c r="V286" s="64"/>
      <c r="W286" s="64"/>
      <c r="X286" s="64"/>
      <c r="Y286" s="64"/>
      <c r="Z286" s="64"/>
      <c r="AA286" s="64"/>
      <c r="AB286" s="64"/>
      <c r="AC286" s="64"/>
      <c r="AD286" s="64"/>
      <c r="AE286" s="64"/>
      <c r="AF286" s="64"/>
      <c r="AG286" s="64"/>
    </row>
    <row r="287">
      <c r="A287" s="64"/>
      <c r="B287" s="64"/>
      <c r="C287" s="64"/>
      <c r="D287" s="64"/>
      <c r="E287" s="65"/>
      <c r="F287" s="64"/>
      <c r="G287" s="67"/>
      <c r="H287" s="64"/>
      <c r="I287" s="64"/>
      <c r="J287" s="64"/>
      <c r="K287" s="64"/>
      <c r="L287" s="65"/>
      <c r="M287" s="64"/>
      <c r="N287" s="64"/>
      <c r="O287" s="64"/>
      <c r="P287" s="64"/>
      <c r="Q287" s="64"/>
      <c r="R287" s="64"/>
      <c r="S287" s="64"/>
      <c r="T287" s="65"/>
      <c r="U287" s="64"/>
      <c r="V287" s="64"/>
      <c r="W287" s="64"/>
      <c r="X287" s="64"/>
      <c r="Y287" s="64"/>
      <c r="Z287" s="64"/>
      <c r="AA287" s="64"/>
      <c r="AB287" s="64"/>
      <c r="AC287" s="64"/>
      <c r="AD287" s="64"/>
      <c r="AE287" s="64"/>
      <c r="AF287" s="64"/>
      <c r="AG287" s="64"/>
    </row>
    <row r="288">
      <c r="A288" s="64"/>
      <c r="B288" s="64"/>
      <c r="C288" s="64"/>
      <c r="D288" s="64"/>
      <c r="E288" s="65"/>
      <c r="F288" s="64"/>
      <c r="G288" s="67"/>
      <c r="H288" s="64"/>
      <c r="I288" s="64"/>
      <c r="J288" s="64"/>
      <c r="K288" s="64"/>
      <c r="L288" s="65"/>
      <c r="M288" s="64"/>
      <c r="N288" s="64"/>
      <c r="O288" s="64"/>
      <c r="P288" s="64"/>
      <c r="Q288" s="64"/>
      <c r="R288" s="64"/>
      <c r="S288" s="64"/>
      <c r="T288" s="65"/>
      <c r="U288" s="64"/>
      <c r="V288" s="64"/>
      <c r="W288" s="64"/>
      <c r="X288" s="64"/>
      <c r="Y288" s="64"/>
      <c r="Z288" s="64"/>
      <c r="AA288" s="64"/>
      <c r="AB288" s="64"/>
      <c r="AC288" s="64"/>
      <c r="AD288" s="64"/>
      <c r="AE288" s="64"/>
      <c r="AF288" s="64"/>
      <c r="AG288" s="64"/>
    </row>
    <row r="289">
      <c r="A289" s="64"/>
      <c r="B289" s="64"/>
      <c r="C289" s="64"/>
      <c r="D289" s="64"/>
      <c r="E289" s="65"/>
      <c r="F289" s="64"/>
      <c r="G289" s="67"/>
      <c r="H289" s="64"/>
      <c r="I289" s="64"/>
      <c r="J289" s="64"/>
      <c r="K289" s="64"/>
      <c r="L289" s="65"/>
      <c r="M289" s="64"/>
      <c r="N289" s="64"/>
      <c r="O289" s="64"/>
      <c r="P289" s="64"/>
      <c r="Q289" s="64"/>
      <c r="R289" s="64"/>
      <c r="S289" s="64"/>
      <c r="T289" s="65"/>
      <c r="U289" s="64"/>
      <c r="V289" s="64"/>
      <c r="W289" s="64"/>
      <c r="X289" s="64"/>
      <c r="Y289" s="64"/>
      <c r="Z289" s="64"/>
      <c r="AA289" s="64"/>
      <c r="AB289" s="64"/>
      <c r="AC289" s="64"/>
      <c r="AD289" s="64"/>
      <c r="AE289" s="64"/>
      <c r="AF289" s="64"/>
      <c r="AG289" s="64"/>
    </row>
    <row r="290">
      <c r="A290" s="64"/>
      <c r="B290" s="64"/>
      <c r="C290" s="64"/>
      <c r="D290" s="64"/>
      <c r="E290" s="65"/>
      <c r="F290" s="64"/>
      <c r="G290" s="67"/>
      <c r="H290" s="64"/>
      <c r="I290" s="64"/>
      <c r="J290" s="64"/>
      <c r="K290" s="64"/>
      <c r="L290" s="65"/>
      <c r="M290" s="64"/>
      <c r="N290" s="64"/>
      <c r="O290" s="64"/>
      <c r="P290" s="64"/>
      <c r="Q290" s="64"/>
      <c r="R290" s="64"/>
      <c r="S290" s="64"/>
      <c r="T290" s="65"/>
      <c r="U290" s="64"/>
      <c r="V290" s="64"/>
      <c r="W290" s="64"/>
      <c r="X290" s="64"/>
      <c r="Y290" s="64"/>
      <c r="Z290" s="64"/>
      <c r="AA290" s="64"/>
      <c r="AB290" s="64"/>
      <c r="AC290" s="64"/>
      <c r="AD290" s="64"/>
      <c r="AE290" s="64"/>
      <c r="AF290" s="64"/>
      <c r="AG290" s="64"/>
    </row>
    <row r="291">
      <c r="A291" s="64"/>
      <c r="B291" s="64"/>
      <c r="C291" s="64"/>
      <c r="D291" s="64"/>
      <c r="E291" s="65"/>
      <c r="F291" s="64"/>
      <c r="G291" s="67"/>
      <c r="H291" s="64"/>
      <c r="I291" s="64"/>
      <c r="J291" s="64"/>
      <c r="K291" s="64"/>
      <c r="L291" s="65"/>
      <c r="M291" s="64"/>
      <c r="N291" s="64"/>
      <c r="O291" s="64"/>
      <c r="P291" s="64"/>
      <c r="Q291" s="64"/>
      <c r="R291" s="64"/>
      <c r="S291" s="64"/>
      <c r="T291" s="65"/>
      <c r="U291" s="64"/>
      <c r="V291" s="64"/>
      <c r="W291" s="64"/>
      <c r="X291" s="64"/>
      <c r="Y291" s="64"/>
      <c r="Z291" s="64"/>
      <c r="AA291" s="64"/>
      <c r="AB291" s="64"/>
      <c r="AC291" s="64"/>
      <c r="AD291" s="64"/>
      <c r="AE291" s="64"/>
      <c r="AF291" s="64"/>
      <c r="AG291" s="64"/>
    </row>
    <row r="292">
      <c r="A292" s="64"/>
      <c r="B292" s="64"/>
      <c r="C292" s="64"/>
      <c r="D292" s="64"/>
      <c r="E292" s="65"/>
      <c r="F292" s="64"/>
      <c r="G292" s="67"/>
      <c r="H292" s="64"/>
      <c r="I292" s="64"/>
      <c r="J292" s="64"/>
      <c r="K292" s="64"/>
      <c r="L292" s="65"/>
      <c r="M292" s="64"/>
      <c r="N292" s="64"/>
      <c r="O292" s="64"/>
      <c r="P292" s="64"/>
      <c r="Q292" s="64"/>
      <c r="R292" s="64"/>
      <c r="S292" s="64"/>
      <c r="T292" s="65"/>
      <c r="U292" s="64"/>
      <c r="V292" s="64"/>
      <c r="W292" s="64"/>
      <c r="X292" s="64"/>
      <c r="Y292" s="64"/>
      <c r="Z292" s="64"/>
      <c r="AA292" s="64"/>
      <c r="AB292" s="64"/>
      <c r="AC292" s="64"/>
      <c r="AD292" s="64"/>
      <c r="AE292" s="64"/>
      <c r="AF292" s="64"/>
      <c r="AG292" s="64"/>
    </row>
    <row r="293">
      <c r="A293" s="64"/>
      <c r="B293" s="64"/>
      <c r="C293" s="64"/>
      <c r="D293" s="64"/>
      <c r="E293" s="65"/>
      <c r="F293" s="64"/>
      <c r="G293" s="67"/>
      <c r="H293" s="64"/>
      <c r="I293" s="64"/>
      <c r="J293" s="64"/>
      <c r="K293" s="64"/>
      <c r="L293" s="65"/>
      <c r="M293" s="64"/>
      <c r="N293" s="64"/>
      <c r="O293" s="64"/>
      <c r="P293" s="64"/>
      <c r="Q293" s="64"/>
      <c r="R293" s="64"/>
      <c r="S293" s="64"/>
      <c r="T293" s="65"/>
      <c r="U293" s="64"/>
      <c r="V293" s="64"/>
      <c r="W293" s="64"/>
      <c r="X293" s="64"/>
      <c r="Y293" s="64"/>
      <c r="Z293" s="64"/>
      <c r="AA293" s="64"/>
      <c r="AB293" s="64"/>
      <c r="AC293" s="64"/>
      <c r="AD293" s="64"/>
      <c r="AE293" s="64"/>
      <c r="AF293" s="64"/>
      <c r="AG293" s="64"/>
    </row>
    <row r="294">
      <c r="A294" s="64"/>
      <c r="B294" s="64"/>
      <c r="C294" s="64"/>
      <c r="D294" s="64"/>
      <c r="E294" s="65"/>
      <c r="F294" s="64"/>
      <c r="G294" s="67"/>
      <c r="H294" s="64"/>
      <c r="I294" s="64"/>
      <c r="J294" s="64"/>
      <c r="K294" s="64"/>
      <c r="L294" s="65"/>
      <c r="M294" s="64"/>
      <c r="N294" s="64"/>
      <c r="O294" s="64"/>
      <c r="P294" s="64"/>
      <c r="Q294" s="64"/>
      <c r="R294" s="64"/>
      <c r="S294" s="64"/>
      <c r="T294" s="65"/>
      <c r="U294" s="64"/>
      <c r="V294" s="64"/>
      <c r="W294" s="64"/>
      <c r="X294" s="64"/>
      <c r="Y294" s="64"/>
      <c r="Z294" s="64"/>
      <c r="AA294" s="64"/>
      <c r="AB294" s="64"/>
      <c r="AC294" s="64"/>
      <c r="AD294" s="64"/>
      <c r="AE294" s="64"/>
      <c r="AF294" s="64"/>
      <c r="AG294" s="64"/>
    </row>
    <row r="295">
      <c r="A295" s="64"/>
      <c r="B295" s="64"/>
      <c r="C295" s="64"/>
      <c r="D295" s="64"/>
      <c r="E295" s="65"/>
      <c r="F295" s="64"/>
      <c r="G295" s="67"/>
      <c r="H295" s="64"/>
      <c r="I295" s="64"/>
      <c r="J295" s="64"/>
      <c r="K295" s="64"/>
      <c r="L295" s="65"/>
      <c r="M295" s="64"/>
      <c r="N295" s="64"/>
      <c r="O295" s="64"/>
      <c r="P295" s="64"/>
      <c r="Q295" s="64"/>
      <c r="R295" s="64"/>
      <c r="S295" s="64"/>
      <c r="T295" s="65"/>
      <c r="U295" s="64"/>
      <c r="V295" s="64"/>
      <c r="W295" s="64"/>
      <c r="X295" s="64"/>
      <c r="Y295" s="64"/>
      <c r="Z295" s="64"/>
      <c r="AA295" s="64"/>
      <c r="AB295" s="64"/>
      <c r="AC295" s="64"/>
      <c r="AD295" s="64"/>
      <c r="AE295" s="64"/>
      <c r="AF295" s="64"/>
      <c r="AG295" s="64"/>
    </row>
    <row r="296">
      <c r="A296" s="64"/>
      <c r="B296" s="64"/>
      <c r="C296" s="64"/>
      <c r="D296" s="64"/>
      <c r="E296" s="65"/>
      <c r="F296" s="64"/>
      <c r="G296" s="67"/>
      <c r="H296" s="64"/>
      <c r="I296" s="64"/>
      <c r="J296" s="64"/>
      <c r="K296" s="64"/>
      <c r="L296" s="65"/>
      <c r="M296" s="64"/>
      <c r="N296" s="64"/>
      <c r="O296" s="64"/>
      <c r="P296" s="64"/>
      <c r="Q296" s="64"/>
      <c r="R296" s="64"/>
      <c r="S296" s="64"/>
      <c r="T296" s="65"/>
      <c r="U296" s="64"/>
      <c r="V296" s="64"/>
      <c r="W296" s="64"/>
      <c r="X296" s="64"/>
      <c r="Y296" s="64"/>
      <c r="Z296" s="64"/>
      <c r="AA296" s="64"/>
      <c r="AB296" s="64"/>
      <c r="AC296" s="64"/>
      <c r="AD296" s="64"/>
      <c r="AE296" s="64"/>
      <c r="AF296" s="64"/>
      <c r="AG296" s="64"/>
    </row>
    <row r="297">
      <c r="A297" s="64"/>
      <c r="B297" s="64"/>
      <c r="C297" s="64"/>
      <c r="D297" s="64"/>
      <c r="E297" s="65"/>
      <c r="F297" s="64"/>
      <c r="G297" s="67"/>
      <c r="H297" s="64"/>
      <c r="I297" s="64"/>
      <c r="J297" s="64"/>
      <c r="K297" s="64"/>
      <c r="L297" s="65"/>
      <c r="M297" s="64"/>
      <c r="N297" s="64"/>
      <c r="O297" s="64"/>
      <c r="P297" s="64"/>
      <c r="Q297" s="64"/>
      <c r="R297" s="64"/>
      <c r="S297" s="64"/>
      <c r="T297" s="65"/>
      <c r="U297" s="64"/>
      <c r="V297" s="64"/>
      <c r="W297" s="64"/>
      <c r="X297" s="64"/>
      <c r="Y297" s="64"/>
      <c r="Z297" s="64"/>
      <c r="AA297" s="64"/>
      <c r="AB297" s="64"/>
      <c r="AC297" s="64"/>
      <c r="AD297" s="64"/>
      <c r="AE297" s="64"/>
      <c r="AF297" s="64"/>
      <c r="AG297" s="64"/>
    </row>
    <row r="298">
      <c r="A298" s="64"/>
      <c r="B298" s="64"/>
      <c r="C298" s="64"/>
      <c r="D298" s="64"/>
      <c r="E298" s="65"/>
      <c r="F298" s="64"/>
      <c r="G298" s="67"/>
      <c r="H298" s="64"/>
      <c r="I298" s="64"/>
      <c r="J298" s="64"/>
      <c r="K298" s="64"/>
      <c r="L298" s="65"/>
      <c r="M298" s="64"/>
      <c r="N298" s="64"/>
      <c r="O298" s="64"/>
      <c r="P298" s="64"/>
      <c r="Q298" s="64"/>
      <c r="R298" s="64"/>
      <c r="S298" s="64"/>
      <c r="T298" s="65"/>
      <c r="U298" s="64"/>
      <c r="V298" s="64"/>
      <c r="W298" s="64"/>
      <c r="X298" s="64"/>
      <c r="Y298" s="64"/>
      <c r="Z298" s="64"/>
      <c r="AA298" s="64"/>
      <c r="AB298" s="64"/>
      <c r="AC298" s="64"/>
      <c r="AD298" s="64"/>
      <c r="AE298" s="64"/>
      <c r="AF298" s="64"/>
      <c r="AG298" s="64"/>
    </row>
    <row r="299">
      <c r="A299" s="64"/>
      <c r="B299" s="64"/>
      <c r="C299" s="64"/>
      <c r="D299" s="64"/>
      <c r="E299" s="65"/>
      <c r="F299" s="64"/>
      <c r="G299" s="67"/>
      <c r="H299" s="64"/>
      <c r="I299" s="64"/>
      <c r="J299" s="64"/>
      <c r="K299" s="64"/>
      <c r="L299" s="65"/>
      <c r="M299" s="64"/>
      <c r="N299" s="64"/>
      <c r="O299" s="64"/>
      <c r="P299" s="64"/>
      <c r="Q299" s="64"/>
      <c r="R299" s="64"/>
      <c r="S299" s="64"/>
      <c r="T299" s="65"/>
      <c r="U299" s="64"/>
      <c r="V299" s="64"/>
      <c r="W299" s="64"/>
      <c r="X299" s="64"/>
      <c r="Y299" s="64"/>
      <c r="Z299" s="64"/>
      <c r="AA299" s="64"/>
      <c r="AB299" s="64"/>
      <c r="AC299" s="64"/>
      <c r="AD299" s="64"/>
      <c r="AE299" s="64"/>
      <c r="AF299" s="64"/>
      <c r="AG299" s="64"/>
    </row>
    <row r="300">
      <c r="A300" s="64"/>
      <c r="B300" s="64"/>
      <c r="C300" s="64"/>
      <c r="D300" s="64"/>
      <c r="E300" s="65"/>
      <c r="F300" s="64"/>
      <c r="G300" s="67"/>
      <c r="H300" s="64"/>
      <c r="I300" s="64"/>
      <c r="J300" s="64"/>
      <c r="K300" s="64"/>
      <c r="L300" s="65"/>
      <c r="M300" s="64"/>
      <c r="N300" s="64"/>
      <c r="O300" s="64"/>
      <c r="P300" s="64"/>
      <c r="Q300" s="64"/>
      <c r="R300" s="64"/>
      <c r="S300" s="64"/>
      <c r="T300" s="65"/>
      <c r="U300" s="64"/>
      <c r="V300" s="64"/>
      <c r="W300" s="64"/>
      <c r="X300" s="64"/>
      <c r="Y300" s="64"/>
      <c r="Z300" s="64"/>
      <c r="AA300" s="64"/>
      <c r="AB300" s="64"/>
      <c r="AC300" s="64"/>
      <c r="AD300" s="64"/>
      <c r="AE300" s="64"/>
      <c r="AF300" s="64"/>
      <c r="AG300" s="64"/>
    </row>
    <row r="301">
      <c r="A301" s="64"/>
      <c r="B301" s="64"/>
      <c r="C301" s="64"/>
      <c r="D301" s="64"/>
      <c r="E301" s="65"/>
      <c r="F301" s="64"/>
      <c r="G301" s="67"/>
      <c r="H301" s="64"/>
      <c r="I301" s="64"/>
      <c r="J301" s="64"/>
      <c r="K301" s="64"/>
      <c r="L301" s="65"/>
      <c r="M301" s="64"/>
      <c r="N301" s="64"/>
      <c r="O301" s="64"/>
      <c r="P301" s="64"/>
      <c r="Q301" s="64"/>
      <c r="R301" s="64"/>
      <c r="S301" s="64"/>
      <c r="T301" s="65"/>
      <c r="U301" s="64"/>
      <c r="V301" s="64"/>
      <c r="W301" s="64"/>
      <c r="X301" s="64"/>
      <c r="Y301" s="64"/>
      <c r="Z301" s="64"/>
      <c r="AA301" s="64"/>
      <c r="AB301" s="64"/>
      <c r="AC301" s="64"/>
      <c r="AD301" s="64"/>
      <c r="AE301" s="64"/>
      <c r="AF301" s="64"/>
      <c r="AG301" s="64"/>
    </row>
    <row r="302">
      <c r="A302" s="64"/>
      <c r="B302" s="64"/>
      <c r="C302" s="64"/>
      <c r="D302" s="64"/>
      <c r="E302" s="65"/>
      <c r="F302" s="64"/>
      <c r="G302" s="67"/>
      <c r="H302" s="64"/>
      <c r="I302" s="64"/>
      <c r="J302" s="64"/>
      <c r="K302" s="64"/>
      <c r="L302" s="65"/>
      <c r="M302" s="64"/>
      <c r="N302" s="64"/>
      <c r="O302" s="64"/>
      <c r="P302" s="64"/>
      <c r="Q302" s="64"/>
      <c r="R302" s="64"/>
      <c r="S302" s="64"/>
      <c r="T302" s="65"/>
      <c r="U302" s="64"/>
      <c r="V302" s="64"/>
      <c r="W302" s="64"/>
      <c r="X302" s="64"/>
      <c r="Y302" s="64"/>
      <c r="Z302" s="64"/>
      <c r="AA302" s="64"/>
      <c r="AB302" s="64"/>
      <c r="AC302" s="64"/>
      <c r="AD302" s="64"/>
      <c r="AE302" s="64"/>
      <c r="AF302" s="64"/>
      <c r="AG302" s="64"/>
    </row>
    <row r="303">
      <c r="A303" s="64"/>
      <c r="B303" s="64"/>
      <c r="C303" s="64"/>
      <c r="D303" s="64"/>
      <c r="E303" s="65"/>
      <c r="F303" s="64"/>
      <c r="G303" s="67"/>
      <c r="H303" s="64"/>
      <c r="I303" s="64"/>
      <c r="J303" s="64"/>
      <c r="K303" s="64"/>
      <c r="L303" s="65"/>
      <c r="M303" s="64"/>
      <c r="N303" s="64"/>
      <c r="O303" s="64"/>
      <c r="P303" s="64"/>
      <c r="Q303" s="64"/>
      <c r="R303" s="64"/>
      <c r="S303" s="64"/>
      <c r="T303" s="65"/>
      <c r="U303" s="64"/>
      <c r="V303" s="64"/>
      <c r="W303" s="64"/>
      <c r="X303" s="64"/>
      <c r="Y303" s="64"/>
      <c r="Z303" s="64"/>
      <c r="AA303" s="64"/>
      <c r="AB303" s="64"/>
      <c r="AC303" s="64"/>
      <c r="AD303" s="64"/>
      <c r="AE303" s="64"/>
      <c r="AF303" s="64"/>
      <c r="AG303" s="64"/>
    </row>
    <row r="304">
      <c r="A304" s="64"/>
      <c r="B304" s="64"/>
      <c r="C304" s="64"/>
      <c r="D304" s="64"/>
      <c r="E304" s="65"/>
      <c r="F304" s="64"/>
      <c r="G304" s="67"/>
      <c r="H304" s="64"/>
      <c r="I304" s="64"/>
      <c r="J304" s="64"/>
      <c r="K304" s="64"/>
      <c r="L304" s="65"/>
      <c r="M304" s="64"/>
      <c r="N304" s="64"/>
      <c r="O304" s="64"/>
      <c r="P304" s="64"/>
      <c r="Q304" s="64"/>
      <c r="R304" s="64"/>
      <c r="S304" s="64"/>
      <c r="T304" s="65"/>
      <c r="U304" s="64"/>
      <c r="V304" s="64"/>
      <c r="W304" s="64"/>
      <c r="X304" s="64"/>
      <c r="Y304" s="64"/>
      <c r="Z304" s="64"/>
      <c r="AA304" s="64"/>
      <c r="AB304" s="64"/>
      <c r="AC304" s="64"/>
      <c r="AD304" s="64"/>
      <c r="AE304" s="64"/>
      <c r="AF304" s="64"/>
      <c r="AG304" s="64"/>
    </row>
    <row r="305">
      <c r="A305" s="64"/>
      <c r="B305" s="64"/>
      <c r="C305" s="64"/>
      <c r="D305" s="64"/>
      <c r="E305" s="65"/>
      <c r="F305" s="64"/>
      <c r="G305" s="67"/>
      <c r="H305" s="64"/>
      <c r="I305" s="64"/>
      <c r="J305" s="64"/>
      <c r="K305" s="64"/>
      <c r="L305" s="65"/>
      <c r="M305" s="64"/>
      <c r="N305" s="64"/>
      <c r="O305" s="64"/>
      <c r="P305" s="64"/>
      <c r="Q305" s="64"/>
      <c r="R305" s="64"/>
      <c r="S305" s="64"/>
      <c r="T305" s="65"/>
      <c r="U305" s="64"/>
      <c r="V305" s="64"/>
      <c r="W305" s="64"/>
      <c r="X305" s="64"/>
      <c r="Y305" s="64"/>
      <c r="Z305" s="64"/>
      <c r="AA305" s="64"/>
      <c r="AB305" s="64"/>
      <c r="AC305" s="64"/>
      <c r="AD305" s="64"/>
      <c r="AE305" s="64"/>
      <c r="AF305" s="64"/>
      <c r="AG305" s="64"/>
    </row>
    <row r="306">
      <c r="A306" s="64"/>
      <c r="B306" s="64"/>
      <c r="C306" s="64"/>
      <c r="D306" s="64"/>
      <c r="E306" s="65"/>
      <c r="F306" s="64"/>
      <c r="G306" s="67"/>
      <c r="H306" s="64"/>
      <c r="I306" s="64"/>
      <c r="J306" s="64"/>
      <c r="K306" s="64"/>
      <c r="L306" s="65"/>
      <c r="M306" s="64"/>
      <c r="N306" s="64"/>
      <c r="O306" s="64"/>
      <c r="P306" s="64"/>
      <c r="Q306" s="64"/>
      <c r="R306" s="64"/>
      <c r="S306" s="64"/>
      <c r="T306" s="65"/>
      <c r="U306" s="64"/>
      <c r="V306" s="64"/>
      <c r="W306" s="64"/>
      <c r="X306" s="64"/>
      <c r="Y306" s="64"/>
      <c r="Z306" s="64"/>
      <c r="AA306" s="64"/>
      <c r="AB306" s="64"/>
      <c r="AC306" s="64"/>
      <c r="AD306" s="64"/>
      <c r="AE306" s="64"/>
      <c r="AF306" s="64"/>
      <c r="AG306" s="64"/>
    </row>
    <row r="307">
      <c r="A307" s="64"/>
      <c r="B307" s="64"/>
      <c r="C307" s="64"/>
      <c r="D307" s="64"/>
      <c r="E307" s="65"/>
      <c r="F307" s="64"/>
      <c r="G307" s="67"/>
      <c r="H307" s="64"/>
      <c r="I307" s="64"/>
      <c r="J307" s="64"/>
      <c r="K307" s="64"/>
      <c r="L307" s="65"/>
      <c r="M307" s="64"/>
      <c r="N307" s="64"/>
      <c r="O307" s="64"/>
      <c r="P307" s="64"/>
      <c r="Q307" s="64"/>
      <c r="R307" s="64"/>
      <c r="S307" s="64"/>
      <c r="T307" s="65"/>
      <c r="U307" s="64"/>
      <c r="V307" s="64"/>
      <c r="W307" s="64"/>
      <c r="X307" s="64"/>
      <c r="Y307" s="64"/>
      <c r="Z307" s="64"/>
      <c r="AA307" s="64"/>
      <c r="AB307" s="64"/>
      <c r="AC307" s="64"/>
      <c r="AD307" s="64"/>
      <c r="AE307" s="64"/>
      <c r="AF307" s="64"/>
      <c r="AG307" s="64"/>
    </row>
    <row r="308">
      <c r="A308" s="64"/>
      <c r="B308" s="64"/>
      <c r="C308" s="64"/>
      <c r="D308" s="64"/>
      <c r="E308" s="65"/>
      <c r="F308" s="64"/>
      <c r="G308" s="67"/>
      <c r="H308" s="64"/>
      <c r="I308" s="64"/>
      <c r="J308" s="64"/>
      <c r="K308" s="64"/>
      <c r="L308" s="65"/>
      <c r="M308" s="64"/>
      <c r="N308" s="64"/>
      <c r="O308" s="64"/>
      <c r="P308" s="64"/>
      <c r="Q308" s="64"/>
      <c r="R308" s="64"/>
      <c r="S308" s="64"/>
      <c r="T308" s="65"/>
      <c r="U308" s="64"/>
      <c r="V308" s="64"/>
      <c r="W308" s="64"/>
      <c r="X308" s="64"/>
      <c r="Y308" s="64"/>
      <c r="Z308" s="64"/>
      <c r="AA308" s="64"/>
      <c r="AB308" s="64"/>
      <c r="AC308" s="64"/>
      <c r="AD308" s="64"/>
      <c r="AE308" s="64"/>
      <c r="AF308" s="64"/>
      <c r="AG308" s="64"/>
    </row>
    <row r="309">
      <c r="A309" s="64"/>
      <c r="B309" s="64"/>
      <c r="C309" s="64"/>
      <c r="D309" s="64"/>
      <c r="E309" s="65"/>
      <c r="F309" s="64"/>
      <c r="G309" s="67"/>
      <c r="H309" s="64"/>
      <c r="I309" s="64"/>
      <c r="J309" s="64"/>
      <c r="K309" s="64"/>
      <c r="L309" s="65"/>
      <c r="M309" s="64"/>
      <c r="N309" s="64"/>
      <c r="O309" s="64"/>
      <c r="P309" s="64"/>
      <c r="Q309" s="64"/>
      <c r="R309" s="64"/>
      <c r="S309" s="64"/>
      <c r="T309" s="65"/>
      <c r="U309" s="64"/>
      <c r="V309" s="64"/>
      <c r="W309" s="64"/>
      <c r="X309" s="64"/>
      <c r="Y309" s="64"/>
      <c r="Z309" s="64"/>
      <c r="AA309" s="64"/>
      <c r="AB309" s="64"/>
      <c r="AC309" s="64"/>
      <c r="AD309" s="64"/>
      <c r="AE309" s="64"/>
      <c r="AF309" s="64"/>
      <c r="AG309" s="64"/>
    </row>
    <row r="310">
      <c r="A310" s="64"/>
      <c r="B310" s="64"/>
      <c r="C310" s="64"/>
      <c r="D310" s="64"/>
      <c r="E310" s="65"/>
      <c r="F310" s="64"/>
      <c r="G310" s="67"/>
      <c r="H310" s="64"/>
      <c r="I310" s="64"/>
      <c r="J310" s="64"/>
      <c r="K310" s="64"/>
      <c r="L310" s="65"/>
      <c r="M310" s="64"/>
      <c r="N310" s="64"/>
      <c r="O310" s="64"/>
      <c r="P310" s="64"/>
      <c r="Q310" s="64"/>
      <c r="R310" s="64"/>
      <c r="S310" s="64"/>
      <c r="T310" s="65"/>
      <c r="U310" s="64"/>
      <c r="V310" s="64"/>
      <c r="W310" s="64"/>
      <c r="X310" s="64"/>
      <c r="Y310" s="64"/>
      <c r="Z310" s="64"/>
      <c r="AA310" s="64"/>
      <c r="AB310" s="64"/>
      <c r="AC310" s="64"/>
      <c r="AD310" s="64"/>
      <c r="AE310" s="64"/>
      <c r="AF310" s="64"/>
      <c r="AG310" s="64"/>
    </row>
    <row r="311">
      <c r="A311" s="64"/>
      <c r="B311" s="64"/>
      <c r="C311" s="64"/>
      <c r="D311" s="64"/>
      <c r="E311" s="65"/>
      <c r="F311" s="64"/>
      <c r="G311" s="67"/>
      <c r="H311" s="64"/>
      <c r="I311" s="64"/>
      <c r="J311" s="64"/>
      <c r="K311" s="64"/>
      <c r="L311" s="65"/>
      <c r="M311" s="64"/>
      <c r="N311" s="64"/>
      <c r="O311" s="64"/>
      <c r="P311" s="64"/>
      <c r="Q311" s="64"/>
      <c r="R311" s="64"/>
      <c r="S311" s="64"/>
      <c r="T311" s="65"/>
      <c r="U311" s="64"/>
      <c r="V311" s="64"/>
      <c r="W311" s="64"/>
      <c r="X311" s="64"/>
      <c r="Y311" s="64"/>
      <c r="Z311" s="64"/>
      <c r="AA311" s="64"/>
      <c r="AB311" s="64"/>
      <c r="AC311" s="64"/>
      <c r="AD311" s="64"/>
      <c r="AE311" s="64"/>
      <c r="AF311" s="64"/>
      <c r="AG311" s="64"/>
    </row>
    <row r="312">
      <c r="A312" s="64"/>
      <c r="B312" s="64"/>
      <c r="C312" s="64"/>
      <c r="D312" s="64"/>
      <c r="E312" s="65"/>
      <c r="F312" s="64"/>
      <c r="G312" s="67"/>
      <c r="H312" s="64"/>
      <c r="I312" s="64"/>
      <c r="J312" s="64"/>
      <c r="K312" s="64"/>
      <c r="L312" s="65"/>
      <c r="M312" s="64"/>
      <c r="N312" s="64"/>
      <c r="O312" s="64"/>
      <c r="P312" s="64"/>
      <c r="Q312" s="64"/>
      <c r="R312" s="64"/>
      <c r="S312" s="64"/>
      <c r="T312" s="65"/>
      <c r="U312" s="64"/>
      <c r="V312" s="64"/>
      <c r="W312" s="64"/>
      <c r="X312" s="64"/>
      <c r="Y312" s="64"/>
      <c r="Z312" s="64"/>
      <c r="AA312" s="64"/>
      <c r="AB312" s="64"/>
      <c r="AC312" s="64"/>
      <c r="AD312" s="64"/>
      <c r="AE312" s="64"/>
      <c r="AF312" s="64"/>
      <c r="AG312" s="64"/>
    </row>
    <row r="313">
      <c r="A313" s="64"/>
      <c r="B313" s="64"/>
      <c r="C313" s="64"/>
      <c r="D313" s="64"/>
      <c r="E313" s="65"/>
      <c r="F313" s="64"/>
      <c r="G313" s="67"/>
      <c r="H313" s="64"/>
      <c r="I313" s="64"/>
      <c r="J313" s="64"/>
      <c r="K313" s="64"/>
      <c r="L313" s="65"/>
      <c r="M313" s="64"/>
      <c r="N313" s="64"/>
      <c r="O313" s="64"/>
      <c r="P313" s="64"/>
      <c r="Q313" s="64"/>
      <c r="R313" s="64"/>
      <c r="S313" s="64"/>
      <c r="T313" s="65"/>
      <c r="U313" s="64"/>
      <c r="V313" s="64"/>
      <c r="W313" s="64"/>
      <c r="X313" s="64"/>
      <c r="Y313" s="64"/>
      <c r="Z313" s="64"/>
      <c r="AA313" s="64"/>
      <c r="AB313" s="64"/>
      <c r="AC313" s="64"/>
      <c r="AD313" s="64"/>
      <c r="AE313" s="64"/>
      <c r="AF313" s="64"/>
      <c r="AG313" s="64"/>
    </row>
    <row r="314">
      <c r="A314" s="64"/>
      <c r="B314" s="64"/>
      <c r="C314" s="64"/>
      <c r="D314" s="64"/>
      <c r="E314" s="65"/>
      <c r="F314" s="64"/>
      <c r="G314" s="67"/>
      <c r="H314" s="64"/>
      <c r="I314" s="64"/>
      <c r="J314" s="64"/>
      <c r="K314" s="64"/>
      <c r="L314" s="65"/>
      <c r="M314" s="64"/>
      <c r="N314" s="64"/>
      <c r="O314" s="64"/>
      <c r="P314" s="64"/>
      <c r="Q314" s="64"/>
      <c r="R314" s="64"/>
      <c r="S314" s="64"/>
      <c r="T314" s="65"/>
      <c r="U314" s="64"/>
      <c r="V314" s="64"/>
      <c r="W314" s="64"/>
      <c r="X314" s="64"/>
      <c r="Y314" s="64"/>
      <c r="Z314" s="64"/>
      <c r="AA314" s="64"/>
      <c r="AB314" s="64"/>
      <c r="AC314" s="64"/>
      <c r="AD314" s="64"/>
      <c r="AE314" s="64"/>
      <c r="AF314" s="64"/>
      <c r="AG314" s="64"/>
    </row>
    <row r="315">
      <c r="A315" s="64"/>
      <c r="B315" s="64"/>
      <c r="C315" s="64"/>
      <c r="D315" s="64"/>
      <c r="E315" s="65"/>
      <c r="F315" s="64"/>
      <c r="G315" s="67"/>
      <c r="H315" s="64"/>
      <c r="I315" s="64"/>
      <c r="J315" s="64"/>
      <c r="K315" s="64"/>
      <c r="L315" s="65"/>
      <c r="M315" s="64"/>
      <c r="N315" s="64"/>
      <c r="O315" s="64"/>
      <c r="P315" s="64"/>
      <c r="Q315" s="64"/>
      <c r="R315" s="64"/>
      <c r="S315" s="64"/>
      <c r="T315" s="65"/>
      <c r="U315" s="64"/>
      <c r="V315" s="64"/>
      <c r="W315" s="64"/>
      <c r="X315" s="64"/>
      <c r="Y315" s="64"/>
      <c r="Z315" s="64"/>
      <c r="AA315" s="64"/>
      <c r="AB315" s="64"/>
      <c r="AC315" s="64"/>
      <c r="AD315" s="64"/>
      <c r="AE315" s="64"/>
      <c r="AF315" s="64"/>
      <c r="AG315" s="64"/>
    </row>
    <row r="316">
      <c r="A316" s="64"/>
      <c r="B316" s="64"/>
      <c r="C316" s="64"/>
      <c r="D316" s="64"/>
      <c r="E316" s="65"/>
      <c r="F316" s="64"/>
      <c r="G316" s="67"/>
      <c r="H316" s="64"/>
      <c r="I316" s="64"/>
      <c r="J316" s="64"/>
      <c r="K316" s="64"/>
      <c r="L316" s="65"/>
      <c r="M316" s="64"/>
      <c r="N316" s="64"/>
      <c r="O316" s="64"/>
      <c r="P316" s="64"/>
      <c r="Q316" s="64"/>
      <c r="R316" s="64"/>
      <c r="S316" s="64"/>
      <c r="T316" s="65"/>
      <c r="U316" s="64"/>
      <c r="V316" s="64"/>
      <c r="W316" s="64"/>
      <c r="X316" s="64"/>
      <c r="Y316" s="64"/>
      <c r="Z316" s="64"/>
      <c r="AA316" s="64"/>
      <c r="AB316" s="64"/>
      <c r="AC316" s="64"/>
      <c r="AD316" s="64"/>
      <c r="AE316" s="64"/>
      <c r="AF316" s="64"/>
      <c r="AG316" s="64"/>
    </row>
    <row r="317">
      <c r="A317" s="64"/>
      <c r="B317" s="64"/>
      <c r="C317" s="64"/>
      <c r="D317" s="64"/>
      <c r="E317" s="65"/>
      <c r="F317" s="64"/>
      <c r="G317" s="67"/>
      <c r="H317" s="64"/>
      <c r="I317" s="64"/>
      <c r="J317" s="64"/>
      <c r="K317" s="64"/>
      <c r="L317" s="65"/>
      <c r="M317" s="64"/>
      <c r="N317" s="64"/>
      <c r="O317" s="64"/>
      <c r="P317" s="64"/>
      <c r="Q317" s="64"/>
      <c r="R317" s="64"/>
      <c r="S317" s="64"/>
      <c r="T317" s="65"/>
      <c r="U317" s="64"/>
      <c r="V317" s="64"/>
      <c r="W317" s="64"/>
      <c r="X317" s="64"/>
      <c r="Y317" s="64"/>
      <c r="Z317" s="64"/>
      <c r="AA317" s="64"/>
      <c r="AB317" s="64"/>
      <c r="AC317" s="64"/>
      <c r="AD317" s="64"/>
      <c r="AE317" s="64"/>
      <c r="AF317" s="64"/>
      <c r="AG317" s="64"/>
    </row>
    <row r="318">
      <c r="A318" s="64"/>
      <c r="B318" s="64"/>
      <c r="C318" s="64"/>
      <c r="D318" s="64"/>
      <c r="E318" s="65"/>
      <c r="F318" s="64"/>
      <c r="G318" s="67"/>
      <c r="H318" s="64"/>
      <c r="I318" s="64"/>
      <c r="J318" s="64"/>
      <c r="K318" s="64"/>
      <c r="L318" s="65"/>
      <c r="M318" s="64"/>
      <c r="N318" s="64"/>
      <c r="O318" s="64"/>
      <c r="P318" s="64"/>
      <c r="Q318" s="64"/>
      <c r="R318" s="64"/>
      <c r="S318" s="64"/>
      <c r="T318" s="65"/>
      <c r="U318" s="64"/>
      <c r="V318" s="64"/>
      <c r="W318" s="64"/>
      <c r="X318" s="64"/>
      <c r="Y318" s="64"/>
      <c r="Z318" s="64"/>
      <c r="AA318" s="64"/>
      <c r="AB318" s="64"/>
      <c r="AC318" s="64"/>
      <c r="AD318" s="64"/>
      <c r="AE318" s="64"/>
      <c r="AF318" s="64"/>
      <c r="AG318" s="64"/>
    </row>
    <row r="319">
      <c r="A319" s="64"/>
      <c r="B319" s="64"/>
      <c r="C319" s="64"/>
      <c r="D319" s="64"/>
      <c r="E319" s="65"/>
      <c r="F319" s="64"/>
      <c r="G319" s="67"/>
      <c r="H319" s="64"/>
      <c r="I319" s="64"/>
      <c r="J319" s="64"/>
      <c r="K319" s="64"/>
      <c r="L319" s="65"/>
      <c r="M319" s="64"/>
      <c r="N319" s="64"/>
      <c r="O319" s="64"/>
      <c r="P319" s="64"/>
      <c r="Q319" s="64"/>
      <c r="R319" s="64"/>
      <c r="S319" s="64"/>
      <c r="T319" s="65"/>
      <c r="U319" s="64"/>
      <c r="V319" s="64"/>
      <c r="W319" s="64"/>
      <c r="X319" s="64"/>
      <c r="Y319" s="64"/>
      <c r="Z319" s="64"/>
      <c r="AA319" s="64"/>
      <c r="AB319" s="64"/>
      <c r="AC319" s="64"/>
      <c r="AD319" s="64"/>
      <c r="AE319" s="64"/>
      <c r="AF319" s="64"/>
      <c r="AG319" s="64"/>
    </row>
    <row r="320">
      <c r="A320" s="64"/>
      <c r="B320" s="64"/>
      <c r="C320" s="64"/>
      <c r="D320" s="64"/>
      <c r="E320" s="65"/>
      <c r="F320" s="64"/>
      <c r="G320" s="67"/>
      <c r="H320" s="64"/>
      <c r="I320" s="64"/>
      <c r="J320" s="64"/>
      <c r="K320" s="64"/>
      <c r="L320" s="65"/>
      <c r="M320" s="64"/>
      <c r="N320" s="64"/>
      <c r="O320" s="64"/>
      <c r="P320" s="64"/>
      <c r="Q320" s="64"/>
      <c r="R320" s="64"/>
      <c r="S320" s="64"/>
      <c r="T320" s="65"/>
      <c r="U320" s="64"/>
      <c r="V320" s="64"/>
      <c r="W320" s="64"/>
      <c r="X320" s="64"/>
      <c r="Y320" s="64"/>
      <c r="Z320" s="64"/>
      <c r="AA320" s="64"/>
      <c r="AB320" s="64"/>
      <c r="AC320" s="64"/>
      <c r="AD320" s="64"/>
      <c r="AE320" s="64"/>
      <c r="AF320" s="64"/>
      <c r="AG320" s="64"/>
    </row>
    <row r="321">
      <c r="A321" s="64"/>
      <c r="B321" s="64"/>
      <c r="C321" s="64"/>
      <c r="D321" s="64"/>
      <c r="E321" s="65"/>
      <c r="F321" s="64"/>
      <c r="G321" s="67"/>
      <c r="H321" s="64"/>
      <c r="I321" s="64"/>
      <c r="J321" s="64"/>
      <c r="K321" s="64"/>
      <c r="L321" s="65"/>
      <c r="M321" s="64"/>
      <c r="N321" s="64"/>
      <c r="O321" s="64"/>
      <c r="P321" s="64"/>
      <c r="Q321" s="64"/>
      <c r="R321" s="64"/>
      <c r="S321" s="64"/>
      <c r="T321" s="65"/>
      <c r="U321" s="64"/>
      <c r="V321" s="64"/>
      <c r="W321" s="64"/>
      <c r="X321" s="64"/>
      <c r="Y321" s="64"/>
      <c r="Z321" s="64"/>
      <c r="AA321" s="64"/>
      <c r="AB321" s="64"/>
      <c r="AC321" s="64"/>
      <c r="AD321" s="64"/>
      <c r="AE321" s="64"/>
      <c r="AF321" s="64"/>
      <c r="AG321" s="64"/>
    </row>
    <row r="322">
      <c r="A322" s="64"/>
      <c r="B322" s="64"/>
      <c r="C322" s="64"/>
      <c r="D322" s="64"/>
      <c r="E322" s="65"/>
      <c r="F322" s="64"/>
      <c r="G322" s="67"/>
      <c r="H322" s="64"/>
      <c r="I322" s="64"/>
      <c r="J322" s="64"/>
      <c r="K322" s="64"/>
      <c r="L322" s="65"/>
      <c r="M322" s="64"/>
      <c r="N322" s="64"/>
      <c r="O322" s="64"/>
      <c r="P322" s="64"/>
      <c r="Q322" s="64"/>
      <c r="R322" s="64"/>
      <c r="S322" s="64"/>
      <c r="T322" s="65"/>
      <c r="U322" s="64"/>
      <c r="V322" s="64"/>
      <c r="W322" s="64"/>
      <c r="X322" s="64"/>
      <c r="Y322" s="64"/>
      <c r="Z322" s="64"/>
      <c r="AA322" s="64"/>
      <c r="AB322" s="64"/>
      <c r="AC322" s="64"/>
      <c r="AD322" s="64"/>
      <c r="AE322" s="64"/>
      <c r="AF322" s="64"/>
      <c r="AG322" s="64"/>
    </row>
    <row r="323">
      <c r="A323" s="64"/>
      <c r="B323" s="64"/>
      <c r="C323" s="64"/>
      <c r="D323" s="64"/>
      <c r="E323" s="65"/>
      <c r="F323" s="64"/>
      <c r="G323" s="67"/>
      <c r="H323" s="64"/>
      <c r="I323" s="64"/>
      <c r="J323" s="64"/>
      <c r="K323" s="64"/>
      <c r="L323" s="65"/>
      <c r="M323" s="64"/>
      <c r="N323" s="64"/>
      <c r="O323" s="64"/>
      <c r="P323" s="64"/>
      <c r="Q323" s="64"/>
      <c r="R323" s="64"/>
      <c r="S323" s="64"/>
      <c r="T323" s="65"/>
      <c r="U323" s="64"/>
      <c r="V323" s="64"/>
      <c r="W323" s="64"/>
      <c r="X323" s="64"/>
      <c r="Y323" s="64"/>
      <c r="Z323" s="64"/>
      <c r="AA323" s="64"/>
      <c r="AB323" s="64"/>
      <c r="AC323" s="64"/>
      <c r="AD323" s="64"/>
      <c r="AE323" s="64"/>
      <c r="AF323" s="64"/>
      <c r="AG323" s="64"/>
    </row>
    <row r="324">
      <c r="A324" s="64"/>
      <c r="B324" s="64"/>
      <c r="C324" s="64"/>
      <c r="D324" s="64"/>
      <c r="E324" s="65"/>
      <c r="F324" s="64"/>
      <c r="G324" s="67"/>
      <c r="H324" s="64"/>
      <c r="I324" s="64"/>
      <c r="J324" s="64"/>
      <c r="K324" s="64"/>
      <c r="L324" s="65"/>
      <c r="M324" s="64"/>
      <c r="N324" s="64"/>
      <c r="O324" s="64"/>
      <c r="P324" s="64"/>
      <c r="Q324" s="64"/>
      <c r="R324" s="64"/>
      <c r="S324" s="64"/>
      <c r="T324" s="65"/>
      <c r="U324" s="64"/>
      <c r="V324" s="64"/>
      <c r="W324" s="64"/>
      <c r="X324" s="64"/>
      <c r="Y324" s="64"/>
      <c r="Z324" s="64"/>
      <c r="AA324" s="64"/>
      <c r="AB324" s="64"/>
      <c r="AC324" s="64"/>
      <c r="AD324" s="64"/>
      <c r="AE324" s="64"/>
      <c r="AF324" s="64"/>
      <c r="AG324" s="64"/>
    </row>
    <row r="325">
      <c r="A325" s="64"/>
      <c r="B325" s="64"/>
      <c r="C325" s="64"/>
      <c r="D325" s="64"/>
      <c r="E325" s="65"/>
      <c r="F325" s="64"/>
      <c r="G325" s="67"/>
      <c r="H325" s="64"/>
      <c r="I325" s="64"/>
      <c r="J325" s="64"/>
      <c r="K325" s="64"/>
      <c r="L325" s="65"/>
      <c r="M325" s="64"/>
      <c r="N325" s="64"/>
      <c r="O325" s="64"/>
      <c r="P325" s="64"/>
      <c r="Q325" s="64"/>
      <c r="R325" s="64"/>
      <c r="S325" s="64"/>
      <c r="T325" s="65"/>
      <c r="U325" s="64"/>
      <c r="V325" s="64"/>
      <c r="W325" s="64"/>
      <c r="X325" s="64"/>
      <c r="Y325" s="64"/>
      <c r="Z325" s="64"/>
      <c r="AA325" s="64"/>
      <c r="AB325" s="64"/>
      <c r="AC325" s="64"/>
      <c r="AD325" s="64"/>
      <c r="AE325" s="64"/>
      <c r="AF325" s="64"/>
      <c r="AG325" s="64"/>
    </row>
    <row r="326">
      <c r="A326" s="64"/>
      <c r="B326" s="64"/>
      <c r="C326" s="64"/>
      <c r="D326" s="64"/>
      <c r="E326" s="65"/>
      <c r="F326" s="64"/>
      <c r="G326" s="67"/>
      <c r="H326" s="64"/>
      <c r="I326" s="64"/>
      <c r="J326" s="64"/>
      <c r="K326" s="64"/>
      <c r="L326" s="65"/>
      <c r="M326" s="64"/>
      <c r="N326" s="64"/>
      <c r="O326" s="64"/>
      <c r="P326" s="64"/>
      <c r="Q326" s="64"/>
      <c r="R326" s="64"/>
      <c r="S326" s="64"/>
      <c r="T326" s="65"/>
      <c r="U326" s="64"/>
      <c r="V326" s="64"/>
      <c r="W326" s="64"/>
      <c r="X326" s="64"/>
      <c r="Y326" s="64"/>
      <c r="Z326" s="64"/>
      <c r="AA326" s="64"/>
      <c r="AB326" s="64"/>
      <c r="AC326" s="64"/>
      <c r="AD326" s="64"/>
      <c r="AE326" s="64"/>
      <c r="AF326" s="64"/>
      <c r="AG326" s="64"/>
    </row>
    <row r="327">
      <c r="A327" s="64"/>
      <c r="B327" s="64"/>
      <c r="C327" s="64"/>
      <c r="D327" s="64"/>
      <c r="E327" s="65"/>
      <c r="F327" s="64"/>
      <c r="G327" s="67"/>
      <c r="H327" s="64"/>
      <c r="I327" s="64"/>
      <c r="J327" s="64"/>
      <c r="K327" s="64"/>
      <c r="L327" s="65"/>
      <c r="M327" s="64"/>
      <c r="N327" s="64"/>
      <c r="O327" s="64"/>
      <c r="P327" s="64"/>
      <c r="Q327" s="64"/>
      <c r="R327" s="64"/>
      <c r="S327" s="64"/>
      <c r="T327" s="65"/>
      <c r="U327" s="64"/>
      <c r="V327" s="64"/>
      <c r="W327" s="64"/>
      <c r="X327" s="64"/>
      <c r="Y327" s="64"/>
      <c r="Z327" s="64"/>
      <c r="AA327" s="64"/>
      <c r="AB327" s="64"/>
      <c r="AC327" s="64"/>
      <c r="AD327" s="64"/>
      <c r="AE327" s="64"/>
      <c r="AF327" s="64"/>
      <c r="AG327" s="64"/>
    </row>
    <row r="328">
      <c r="A328" s="64"/>
      <c r="B328" s="64"/>
      <c r="C328" s="64"/>
      <c r="D328" s="64"/>
      <c r="E328" s="65"/>
      <c r="F328" s="64"/>
      <c r="G328" s="67"/>
      <c r="H328" s="64"/>
      <c r="I328" s="64"/>
      <c r="J328" s="64"/>
      <c r="K328" s="64"/>
      <c r="L328" s="65"/>
      <c r="M328" s="64"/>
      <c r="N328" s="64"/>
      <c r="O328" s="64"/>
      <c r="P328" s="64"/>
      <c r="Q328" s="64"/>
      <c r="R328" s="64"/>
      <c r="S328" s="64"/>
      <c r="T328" s="65"/>
      <c r="U328" s="64"/>
      <c r="V328" s="64"/>
      <c r="W328" s="64"/>
      <c r="X328" s="64"/>
      <c r="Y328" s="64"/>
      <c r="Z328" s="64"/>
      <c r="AA328" s="64"/>
      <c r="AB328" s="64"/>
      <c r="AC328" s="64"/>
      <c r="AD328" s="64"/>
      <c r="AE328" s="64"/>
      <c r="AF328" s="64"/>
      <c r="AG328" s="64"/>
    </row>
    <row r="329">
      <c r="A329" s="64"/>
      <c r="B329" s="64"/>
      <c r="C329" s="64"/>
      <c r="D329" s="64"/>
      <c r="E329" s="65"/>
      <c r="F329" s="64"/>
      <c r="G329" s="67"/>
      <c r="H329" s="64"/>
      <c r="I329" s="64"/>
      <c r="J329" s="64"/>
      <c r="K329" s="64"/>
      <c r="L329" s="65"/>
      <c r="M329" s="64"/>
      <c r="N329" s="64"/>
      <c r="O329" s="64"/>
      <c r="P329" s="64"/>
      <c r="Q329" s="64"/>
      <c r="R329" s="64"/>
      <c r="S329" s="64"/>
      <c r="T329" s="65"/>
      <c r="U329" s="64"/>
      <c r="V329" s="64"/>
      <c r="W329" s="64"/>
      <c r="X329" s="64"/>
      <c r="Y329" s="64"/>
      <c r="Z329" s="64"/>
      <c r="AA329" s="64"/>
      <c r="AB329" s="64"/>
      <c r="AC329" s="64"/>
      <c r="AD329" s="64"/>
      <c r="AE329" s="64"/>
      <c r="AF329" s="64"/>
      <c r="AG329" s="64"/>
    </row>
    <row r="330">
      <c r="A330" s="64"/>
      <c r="B330" s="64"/>
      <c r="C330" s="64"/>
      <c r="D330" s="64"/>
      <c r="E330" s="65"/>
      <c r="F330" s="64"/>
      <c r="G330" s="67"/>
      <c r="H330" s="64"/>
      <c r="I330" s="64"/>
      <c r="J330" s="64"/>
      <c r="K330" s="64"/>
      <c r="L330" s="65"/>
      <c r="M330" s="64"/>
      <c r="N330" s="64"/>
      <c r="O330" s="64"/>
      <c r="P330" s="64"/>
      <c r="Q330" s="64"/>
      <c r="R330" s="64"/>
      <c r="S330" s="64"/>
      <c r="T330" s="65"/>
      <c r="U330" s="64"/>
      <c r="V330" s="64"/>
      <c r="W330" s="64"/>
      <c r="X330" s="64"/>
      <c r="Y330" s="64"/>
      <c r="Z330" s="64"/>
      <c r="AA330" s="64"/>
      <c r="AB330" s="64"/>
      <c r="AC330" s="64"/>
      <c r="AD330" s="64"/>
      <c r="AE330" s="64"/>
      <c r="AF330" s="64"/>
      <c r="AG330" s="64"/>
    </row>
    <row r="331">
      <c r="A331" s="64"/>
      <c r="B331" s="64"/>
      <c r="C331" s="64"/>
      <c r="D331" s="64"/>
      <c r="E331" s="65"/>
      <c r="F331" s="64"/>
      <c r="G331" s="67"/>
      <c r="H331" s="64"/>
      <c r="I331" s="64"/>
      <c r="J331" s="64"/>
      <c r="K331" s="64"/>
      <c r="L331" s="65"/>
      <c r="M331" s="64"/>
      <c r="N331" s="64"/>
      <c r="O331" s="64"/>
      <c r="P331" s="64"/>
      <c r="Q331" s="64"/>
      <c r="R331" s="64"/>
      <c r="S331" s="64"/>
      <c r="T331" s="65"/>
      <c r="U331" s="64"/>
      <c r="V331" s="64"/>
      <c r="W331" s="64"/>
      <c r="X331" s="64"/>
      <c r="Y331" s="64"/>
      <c r="Z331" s="64"/>
      <c r="AA331" s="64"/>
      <c r="AB331" s="64"/>
      <c r="AC331" s="64"/>
      <c r="AD331" s="64"/>
      <c r="AE331" s="64"/>
      <c r="AF331" s="64"/>
      <c r="AG331" s="64"/>
    </row>
    <row r="332">
      <c r="A332" s="64"/>
      <c r="B332" s="64"/>
      <c r="C332" s="64"/>
      <c r="D332" s="64"/>
      <c r="E332" s="65"/>
      <c r="F332" s="64"/>
      <c r="G332" s="67"/>
      <c r="H332" s="64"/>
      <c r="I332" s="64"/>
      <c r="J332" s="64"/>
      <c r="K332" s="64"/>
      <c r="L332" s="65"/>
      <c r="M332" s="64"/>
      <c r="N332" s="64"/>
      <c r="O332" s="64"/>
      <c r="P332" s="64"/>
      <c r="Q332" s="64"/>
      <c r="R332" s="64"/>
      <c r="S332" s="64"/>
      <c r="T332" s="65"/>
      <c r="U332" s="64"/>
      <c r="V332" s="64"/>
      <c r="W332" s="64"/>
      <c r="X332" s="64"/>
      <c r="Y332" s="64"/>
      <c r="Z332" s="64"/>
      <c r="AA332" s="64"/>
      <c r="AB332" s="64"/>
      <c r="AC332" s="64"/>
      <c r="AD332" s="64"/>
      <c r="AE332" s="64"/>
      <c r="AF332" s="64"/>
      <c r="AG332" s="64"/>
    </row>
    <row r="333">
      <c r="A333" s="64"/>
      <c r="B333" s="64"/>
      <c r="C333" s="64"/>
      <c r="D333" s="64"/>
      <c r="E333" s="65"/>
      <c r="F333" s="64"/>
      <c r="G333" s="67"/>
      <c r="H333" s="64"/>
      <c r="I333" s="64"/>
      <c r="J333" s="64"/>
      <c r="K333" s="64"/>
      <c r="L333" s="65"/>
      <c r="M333" s="64"/>
      <c r="N333" s="64"/>
      <c r="O333" s="64"/>
      <c r="P333" s="64"/>
      <c r="Q333" s="64"/>
      <c r="R333" s="64"/>
      <c r="S333" s="64"/>
      <c r="T333" s="65"/>
      <c r="U333" s="64"/>
      <c r="V333" s="64"/>
      <c r="W333" s="64"/>
      <c r="X333" s="64"/>
      <c r="Y333" s="64"/>
      <c r="Z333" s="64"/>
      <c r="AA333" s="64"/>
      <c r="AB333" s="64"/>
      <c r="AC333" s="64"/>
      <c r="AD333" s="64"/>
      <c r="AE333" s="64"/>
      <c r="AF333" s="64"/>
      <c r="AG333" s="64"/>
    </row>
    <row r="334">
      <c r="A334" s="64"/>
      <c r="B334" s="64"/>
      <c r="C334" s="64"/>
      <c r="D334" s="64"/>
      <c r="E334" s="65"/>
      <c r="F334" s="64"/>
      <c r="G334" s="67"/>
      <c r="H334" s="64"/>
      <c r="I334" s="64"/>
      <c r="J334" s="64"/>
      <c r="K334" s="64"/>
      <c r="L334" s="65"/>
      <c r="M334" s="64"/>
      <c r="N334" s="64"/>
      <c r="O334" s="64"/>
      <c r="P334" s="64"/>
      <c r="Q334" s="64"/>
      <c r="R334" s="64"/>
      <c r="S334" s="64"/>
      <c r="T334" s="65"/>
      <c r="U334" s="64"/>
      <c r="V334" s="64"/>
      <c r="W334" s="64"/>
      <c r="X334" s="64"/>
      <c r="Y334" s="64"/>
      <c r="Z334" s="64"/>
      <c r="AA334" s="64"/>
      <c r="AB334" s="64"/>
      <c r="AC334" s="64"/>
      <c r="AD334" s="64"/>
      <c r="AE334" s="64"/>
      <c r="AF334" s="64"/>
      <c r="AG334" s="64"/>
    </row>
    <row r="335">
      <c r="A335" s="64"/>
      <c r="B335" s="64"/>
      <c r="C335" s="64"/>
      <c r="D335" s="64"/>
      <c r="E335" s="65"/>
      <c r="F335" s="64"/>
      <c r="G335" s="67"/>
      <c r="H335" s="64"/>
      <c r="I335" s="64"/>
      <c r="J335" s="64"/>
      <c r="K335" s="64"/>
      <c r="L335" s="65"/>
      <c r="M335" s="64"/>
      <c r="N335" s="64"/>
      <c r="O335" s="64"/>
      <c r="P335" s="64"/>
      <c r="Q335" s="64"/>
      <c r="R335" s="64"/>
      <c r="S335" s="64"/>
      <c r="T335" s="65"/>
      <c r="U335" s="64"/>
      <c r="V335" s="64"/>
      <c r="W335" s="64"/>
      <c r="X335" s="64"/>
      <c r="Y335" s="64"/>
      <c r="Z335" s="64"/>
      <c r="AA335" s="64"/>
      <c r="AB335" s="64"/>
      <c r="AC335" s="64"/>
      <c r="AD335" s="64"/>
      <c r="AE335" s="64"/>
      <c r="AF335" s="64"/>
      <c r="AG335" s="64"/>
    </row>
    <row r="336">
      <c r="A336" s="64"/>
      <c r="B336" s="64"/>
      <c r="C336" s="64"/>
      <c r="D336" s="64"/>
      <c r="E336" s="65"/>
      <c r="F336" s="64"/>
      <c r="G336" s="67"/>
      <c r="H336" s="64"/>
      <c r="I336" s="64"/>
      <c r="J336" s="64"/>
      <c r="K336" s="64"/>
      <c r="L336" s="65"/>
      <c r="M336" s="64"/>
      <c r="N336" s="64"/>
      <c r="O336" s="64"/>
      <c r="P336" s="64"/>
      <c r="Q336" s="64"/>
      <c r="R336" s="64"/>
      <c r="S336" s="64"/>
      <c r="T336" s="65"/>
      <c r="U336" s="64"/>
      <c r="V336" s="64"/>
      <c r="W336" s="64"/>
      <c r="X336" s="64"/>
      <c r="Y336" s="64"/>
      <c r="Z336" s="64"/>
      <c r="AA336" s="64"/>
      <c r="AB336" s="64"/>
      <c r="AC336" s="64"/>
      <c r="AD336" s="64"/>
      <c r="AE336" s="64"/>
      <c r="AF336" s="64"/>
      <c r="AG336" s="64"/>
    </row>
    <row r="337">
      <c r="A337" s="64"/>
      <c r="B337" s="64"/>
      <c r="C337" s="64"/>
      <c r="D337" s="64"/>
      <c r="E337" s="65"/>
      <c r="F337" s="64"/>
      <c r="G337" s="67"/>
      <c r="H337" s="64"/>
      <c r="I337" s="64"/>
      <c r="J337" s="64"/>
      <c r="K337" s="64"/>
      <c r="L337" s="65"/>
      <c r="M337" s="64"/>
      <c r="N337" s="64"/>
      <c r="O337" s="64"/>
      <c r="P337" s="64"/>
      <c r="Q337" s="64"/>
      <c r="R337" s="64"/>
      <c r="S337" s="64"/>
      <c r="T337" s="65"/>
      <c r="U337" s="64"/>
      <c r="V337" s="64"/>
      <c r="W337" s="64"/>
      <c r="X337" s="64"/>
      <c r="Y337" s="64"/>
      <c r="Z337" s="64"/>
      <c r="AA337" s="64"/>
      <c r="AB337" s="64"/>
      <c r="AC337" s="64"/>
      <c r="AD337" s="64"/>
      <c r="AE337" s="64"/>
      <c r="AF337" s="64"/>
      <c r="AG337" s="64"/>
    </row>
    <row r="338">
      <c r="A338" s="64"/>
      <c r="B338" s="64"/>
      <c r="C338" s="64"/>
      <c r="D338" s="64"/>
      <c r="E338" s="65"/>
      <c r="F338" s="64"/>
      <c r="G338" s="67"/>
      <c r="H338" s="64"/>
      <c r="I338" s="64"/>
      <c r="J338" s="64"/>
      <c r="K338" s="64"/>
      <c r="L338" s="65"/>
      <c r="M338" s="64"/>
      <c r="N338" s="64"/>
      <c r="O338" s="64"/>
      <c r="P338" s="64"/>
      <c r="Q338" s="64"/>
      <c r="R338" s="64"/>
      <c r="S338" s="64"/>
      <c r="T338" s="65"/>
      <c r="U338" s="64"/>
      <c r="V338" s="64"/>
      <c r="W338" s="64"/>
      <c r="X338" s="64"/>
      <c r="Y338" s="64"/>
      <c r="Z338" s="64"/>
      <c r="AA338" s="64"/>
      <c r="AB338" s="64"/>
      <c r="AC338" s="64"/>
      <c r="AD338" s="64"/>
      <c r="AE338" s="64"/>
      <c r="AF338" s="64"/>
      <c r="AG338" s="64"/>
    </row>
    <row r="339">
      <c r="A339" s="64"/>
      <c r="B339" s="64"/>
      <c r="C339" s="64"/>
      <c r="D339" s="64"/>
      <c r="E339" s="65"/>
      <c r="F339" s="64"/>
      <c r="G339" s="67"/>
      <c r="H339" s="64"/>
      <c r="I339" s="64"/>
      <c r="J339" s="64"/>
      <c r="K339" s="64"/>
      <c r="L339" s="65"/>
      <c r="M339" s="64"/>
      <c r="N339" s="64"/>
      <c r="O339" s="64"/>
      <c r="P339" s="64"/>
      <c r="Q339" s="64"/>
      <c r="R339" s="64"/>
      <c r="S339" s="64"/>
      <c r="T339" s="65"/>
      <c r="U339" s="64"/>
      <c r="V339" s="64"/>
      <c r="W339" s="64"/>
      <c r="X339" s="64"/>
      <c r="Y339" s="64"/>
      <c r="Z339" s="64"/>
      <c r="AA339" s="64"/>
      <c r="AB339" s="64"/>
      <c r="AC339" s="64"/>
      <c r="AD339" s="64"/>
      <c r="AE339" s="64"/>
      <c r="AF339" s="64"/>
      <c r="AG339" s="64"/>
    </row>
    <row r="340">
      <c r="A340" s="64"/>
      <c r="B340" s="64"/>
      <c r="C340" s="64"/>
      <c r="D340" s="64"/>
      <c r="E340" s="65"/>
      <c r="F340" s="64"/>
      <c r="G340" s="67"/>
      <c r="H340" s="64"/>
      <c r="I340" s="64"/>
      <c r="J340" s="64"/>
      <c r="K340" s="64"/>
      <c r="L340" s="65"/>
      <c r="M340" s="64"/>
      <c r="N340" s="64"/>
      <c r="O340" s="64"/>
      <c r="P340" s="64"/>
      <c r="Q340" s="64"/>
      <c r="R340" s="64"/>
      <c r="S340" s="64"/>
      <c r="T340" s="65"/>
      <c r="U340" s="64"/>
      <c r="V340" s="64"/>
      <c r="W340" s="64"/>
      <c r="X340" s="64"/>
      <c r="Y340" s="64"/>
      <c r="Z340" s="64"/>
      <c r="AA340" s="64"/>
      <c r="AB340" s="64"/>
      <c r="AC340" s="64"/>
      <c r="AD340" s="64"/>
      <c r="AE340" s="64"/>
      <c r="AF340" s="64"/>
      <c r="AG340" s="64"/>
    </row>
    <row r="341">
      <c r="A341" s="64"/>
      <c r="B341" s="64"/>
      <c r="C341" s="64"/>
      <c r="D341" s="64"/>
      <c r="E341" s="65"/>
      <c r="F341" s="64"/>
      <c r="G341" s="67"/>
      <c r="H341" s="64"/>
      <c r="I341" s="64"/>
      <c r="J341" s="64"/>
      <c r="K341" s="64"/>
      <c r="L341" s="65"/>
      <c r="M341" s="64"/>
      <c r="N341" s="64"/>
      <c r="O341" s="64"/>
      <c r="P341" s="64"/>
      <c r="Q341" s="64"/>
      <c r="R341" s="64"/>
      <c r="S341" s="64"/>
      <c r="T341" s="65"/>
      <c r="U341" s="64"/>
      <c r="V341" s="64"/>
      <c r="W341" s="64"/>
      <c r="X341" s="64"/>
      <c r="Y341" s="64"/>
      <c r="Z341" s="64"/>
      <c r="AA341" s="64"/>
      <c r="AB341" s="64"/>
      <c r="AC341" s="64"/>
      <c r="AD341" s="64"/>
      <c r="AE341" s="64"/>
      <c r="AF341" s="64"/>
      <c r="AG341" s="64"/>
    </row>
    <row r="342">
      <c r="A342" s="64"/>
      <c r="B342" s="64"/>
      <c r="C342" s="64"/>
      <c r="D342" s="64"/>
      <c r="E342" s="65"/>
      <c r="F342" s="64"/>
      <c r="G342" s="67"/>
      <c r="H342" s="64"/>
      <c r="I342" s="64"/>
      <c r="J342" s="64"/>
      <c r="K342" s="64"/>
      <c r="L342" s="65"/>
      <c r="M342" s="64"/>
      <c r="N342" s="64"/>
      <c r="O342" s="64"/>
      <c r="P342" s="64"/>
      <c r="Q342" s="64"/>
      <c r="R342" s="64"/>
      <c r="S342" s="64"/>
      <c r="T342" s="65"/>
      <c r="U342" s="64"/>
      <c r="V342" s="64"/>
      <c r="W342" s="64"/>
      <c r="X342" s="64"/>
      <c r="Y342" s="64"/>
      <c r="Z342" s="64"/>
      <c r="AA342" s="64"/>
      <c r="AB342" s="64"/>
      <c r="AC342" s="64"/>
      <c r="AD342" s="64"/>
      <c r="AE342" s="64"/>
      <c r="AF342" s="64"/>
      <c r="AG342" s="64"/>
    </row>
    <row r="343">
      <c r="A343" s="64"/>
      <c r="B343" s="64"/>
      <c r="C343" s="64"/>
      <c r="D343" s="64"/>
      <c r="E343" s="65"/>
      <c r="F343" s="64"/>
      <c r="G343" s="67"/>
      <c r="H343" s="64"/>
      <c r="I343" s="64"/>
      <c r="J343" s="64"/>
      <c r="K343" s="64"/>
      <c r="L343" s="65"/>
      <c r="M343" s="64"/>
      <c r="N343" s="64"/>
      <c r="O343" s="64"/>
      <c r="P343" s="64"/>
      <c r="Q343" s="64"/>
      <c r="R343" s="64"/>
      <c r="S343" s="64"/>
      <c r="T343" s="65"/>
      <c r="U343" s="64"/>
      <c r="V343" s="64"/>
      <c r="W343" s="64"/>
      <c r="X343" s="64"/>
      <c r="Y343" s="64"/>
      <c r="Z343" s="64"/>
      <c r="AA343" s="64"/>
      <c r="AB343" s="64"/>
      <c r="AC343" s="64"/>
      <c r="AD343" s="64"/>
      <c r="AE343" s="64"/>
      <c r="AF343" s="64"/>
      <c r="AG343" s="64"/>
    </row>
    <row r="344">
      <c r="A344" s="64"/>
      <c r="B344" s="64"/>
      <c r="C344" s="64"/>
      <c r="D344" s="64"/>
      <c r="E344" s="65"/>
      <c r="F344" s="64"/>
      <c r="G344" s="67"/>
      <c r="H344" s="64"/>
      <c r="I344" s="64"/>
      <c r="J344" s="64"/>
      <c r="K344" s="64"/>
      <c r="L344" s="65"/>
      <c r="M344" s="64"/>
      <c r="N344" s="64"/>
      <c r="O344" s="64"/>
      <c r="P344" s="64"/>
      <c r="Q344" s="64"/>
      <c r="R344" s="64"/>
      <c r="S344" s="64"/>
      <c r="T344" s="65"/>
      <c r="U344" s="64"/>
      <c r="V344" s="64"/>
      <c r="W344" s="64"/>
      <c r="X344" s="64"/>
      <c r="Y344" s="64"/>
      <c r="Z344" s="64"/>
      <c r="AA344" s="64"/>
      <c r="AB344" s="64"/>
      <c r="AC344" s="64"/>
      <c r="AD344" s="64"/>
      <c r="AE344" s="64"/>
      <c r="AF344" s="64"/>
      <c r="AG344" s="64"/>
    </row>
    <row r="345">
      <c r="A345" s="64"/>
      <c r="B345" s="64"/>
      <c r="C345" s="64"/>
      <c r="D345" s="64"/>
      <c r="E345" s="65"/>
      <c r="F345" s="64"/>
      <c r="G345" s="67"/>
      <c r="H345" s="64"/>
      <c r="I345" s="64"/>
      <c r="J345" s="64"/>
      <c r="K345" s="64"/>
      <c r="L345" s="65"/>
      <c r="M345" s="64"/>
      <c r="N345" s="64"/>
      <c r="O345" s="64"/>
      <c r="P345" s="64"/>
      <c r="Q345" s="64"/>
      <c r="R345" s="64"/>
      <c r="S345" s="64"/>
      <c r="T345" s="65"/>
      <c r="U345" s="64"/>
      <c r="V345" s="64"/>
      <c r="W345" s="64"/>
      <c r="X345" s="64"/>
      <c r="Y345" s="64"/>
      <c r="Z345" s="64"/>
      <c r="AA345" s="64"/>
      <c r="AB345" s="64"/>
      <c r="AC345" s="64"/>
      <c r="AD345" s="64"/>
      <c r="AE345" s="64"/>
      <c r="AF345" s="64"/>
      <c r="AG345" s="64"/>
    </row>
    <row r="346">
      <c r="A346" s="64"/>
      <c r="B346" s="64"/>
      <c r="C346" s="64"/>
      <c r="D346" s="64"/>
      <c r="E346" s="65"/>
      <c r="F346" s="64"/>
      <c r="G346" s="67"/>
      <c r="H346" s="64"/>
      <c r="I346" s="64"/>
      <c r="J346" s="64"/>
      <c r="K346" s="64"/>
      <c r="L346" s="65"/>
      <c r="M346" s="64"/>
      <c r="N346" s="64"/>
      <c r="O346" s="64"/>
      <c r="P346" s="64"/>
      <c r="Q346" s="64"/>
      <c r="R346" s="64"/>
      <c r="S346" s="64"/>
      <c r="T346" s="65"/>
      <c r="U346" s="64"/>
      <c r="V346" s="64"/>
      <c r="W346" s="64"/>
      <c r="X346" s="64"/>
      <c r="Y346" s="64"/>
      <c r="Z346" s="64"/>
      <c r="AA346" s="64"/>
      <c r="AB346" s="64"/>
      <c r="AC346" s="64"/>
      <c r="AD346" s="64"/>
      <c r="AE346" s="64"/>
      <c r="AF346" s="64"/>
      <c r="AG346" s="64"/>
    </row>
    <row r="347">
      <c r="A347" s="64"/>
      <c r="B347" s="64"/>
      <c r="C347" s="64"/>
      <c r="D347" s="64"/>
      <c r="E347" s="65"/>
      <c r="F347" s="64"/>
      <c r="G347" s="67"/>
      <c r="H347" s="64"/>
      <c r="I347" s="64"/>
      <c r="J347" s="64"/>
      <c r="K347" s="64"/>
      <c r="L347" s="65"/>
      <c r="M347" s="64"/>
      <c r="N347" s="64"/>
      <c r="O347" s="64"/>
      <c r="P347" s="64"/>
      <c r="Q347" s="64"/>
      <c r="R347" s="64"/>
      <c r="S347" s="64"/>
      <c r="T347" s="65"/>
      <c r="U347" s="64"/>
      <c r="V347" s="64"/>
      <c r="W347" s="64"/>
      <c r="X347" s="64"/>
      <c r="Y347" s="64"/>
      <c r="Z347" s="64"/>
      <c r="AA347" s="64"/>
      <c r="AB347" s="64"/>
      <c r="AC347" s="64"/>
      <c r="AD347" s="64"/>
      <c r="AE347" s="64"/>
      <c r="AF347" s="64"/>
      <c r="AG347" s="64"/>
    </row>
    <row r="348">
      <c r="A348" s="64"/>
      <c r="B348" s="64"/>
      <c r="C348" s="64"/>
      <c r="D348" s="64"/>
      <c r="E348" s="65"/>
      <c r="F348" s="64"/>
      <c r="G348" s="67"/>
      <c r="H348" s="64"/>
      <c r="I348" s="64"/>
      <c r="J348" s="64"/>
      <c r="K348" s="64"/>
      <c r="L348" s="65"/>
      <c r="M348" s="64"/>
      <c r="N348" s="64"/>
      <c r="O348" s="64"/>
      <c r="P348" s="64"/>
      <c r="Q348" s="64"/>
      <c r="R348" s="64"/>
      <c r="S348" s="64"/>
      <c r="T348" s="65"/>
      <c r="U348" s="64"/>
      <c r="V348" s="64"/>
      <c r="W348" s="64"/>
      <c r="X348" s="64"/>
      <c r="Y348" s="64"/>
      <c r="Z348" s="64"/>
      <c r="AA348" s="64"/>
      <c r="AB348" s="64"/>
      <c r="AC348" s="64"/>
      <c r="AD348" s="64"/>
      <c r="AE348" s="64"/>
      <c r="AF348" s="64"/>
      <c r="AG348" s="64"/>
    </row>
    <row r="349">
      <c r="A349" s="64"/>
      <c r="B349" s="64"/>
      <c r="C349" s="64"/>
      <c r="D349" s="64"/>
      <c r="E349" s="65"/>
      <c r="F349" s="64"/>
      <c r="G349" s="67"/>
      <c r="H349" s="64"/>
      <c r="I349" s="64"/>
      <c r="J349" s="64"/>
      <c r="K349" s="64"/>
      <c r="L349" s="65"/>
      <c r="M349" s="64"/>
      <c r="N349" s="64"/>
      <c r="O349" s="64"/>
      <c r="P349" s="64"/>
      <c r="Q349" s="64"/>
      <c r="R349" s="64"/>
      <c r="S349" s="64"/>
      <c r="T349" s="65"/>
      <c r="U349" s="64"/>
      <c r="V349" s="64"/>
      <c r="W349" s="64"/>
      <c r="X349" s="64"/>
      <c r="Y349" s="64"/>
      <c r="Z349" s="64"/>
      <c r="AA349" s="64"/>
      <c r="AB349" s="64"/>
      <c r="AC349" s="64"/>
      <c r="AD349" s="64"/>
      <c r="AE349" s="64"/>
      <c r="AF349" s="64"/>
      <c r="AG349" s="64"/>
    </row>
    <row r="350">
      <c r="A350" s="64"/>
      <c r="B350" s="64"/>
      <c r="C350" s="64"/>
      <c r="D350" s="64"/>
      <c r="E350" s="65"/>
      <c r="F350" s="64"/>
      <c r="G350" s="67"/>
      <c r="H350" s="64"/>
      <c r="I350" s="64"/>
      <c r="J350" s="64"/>
      <c r="K350" s="64"/>
      <c r="L350" s="65"/>
      <c r="M350" s="64"/>
      <c r="N350" s="64"/>
      <c r="O350" s="64"/>
      <c r="P350" s="64"/>
      <c r="Q350" s="64"/>
      <c r="R350" s="64"/>
      <c r="S350" s="64"/>
      <c r="T350" s="65"/>
      <c r="U350" s="64"/>
      <c r="V350" s="64"/>
      <c r="W350" s="64"/>
      <c r="X350" s="64"/>
      <c r="Y350" s="64"/>
      <c r="Z350" s="64"/>
      <c r="AA350" s="64"/>
      <c r="AB350" s="64"/>
      <c r="AC350" s="64"/>
      <c r="AD350" s="64"/>
      <c r="AE350" s="64"/>
      <c r="AF350" s="64"/>
      <c r="AG350" s="64"/>
    </row>
    <row r="351">
      <c r="A351" s="64"/>
      <c r="B351" s="64"/>
      <c r="C351" s="64"/>
      <c r="D351" s="64"/>
      <c r="E351" s="65"/>
      <c r="F351" s="64"/>
      <c r="G351" s="67"/>
      <c r="H351" s="64"/>
      <c r="I351" s="64"/>
      <c r="J351" s="64"/>
      <c r="K351" s="64"/>
      <c r="L351" s="65"/>
      <c r="M351" s="64"/>
      <c r="N351" s="64"/>
      <c r="O351" s="64"/>
      <c r="P351" s="64"/>
      <c r="Q351" s="64"/>
      <c r="R351" s="64"/>
      <c r="S351" s="64"/>
      <c r="T351" s="65"/>
      <c r="U351" s="64"/>
      <c r="V351" s="64"/>
      <c r="W351" s="64"/>
      <c r="X351" s="64"/>
      <c r="Y351" s="64"/>
      <c r="Z351" s="64"/>
      <c r="AA351" s="64"/>
      <c r="AB351" s="64"/>
      <c r="AC351" s="64"/>
      <c r="AD351" s="64"/>
      <c r="AE351" s="64"/>
      <c r="AF351" s="64"/>
      <c r="AG351" s="64"/>
    </row>
    <row r="352">
      <c r="A352" s="64"/>
      <c r="B352" s="64"/>
      <c r="C352" s="64"/>
      <c r="D352" s="64"/>
      <c r="E352" s="65"/>
      <c r="F352" s="64"/>
      <c r="G352" s="67"/>
      <c r="H352" s="64"/>
      <c r="I352" s="64"/>
      <c r="J352" s="64"/>
      <c r="K352" s="64"/>
      <c r="L352" s="65"/>
      <c r="M352" s="64"/>
      <c r="N352" s="64"/>
      <c r="O352" s="64"/>
      <c r="P352" s="64"/>
      <c r="Q352" s="64"/>
      <c r="R352" s="64"/>
      <c r="S352" s="64"/>
      <c r="T352" s="65"/>
      <c r="U352" s="64"/>
      <c r="V352" s="64"/>
      <c r="W352" s="64"/>
      <c r="X352" s="64"/>
      <c r="Y352" s="64"/>
      <c r="Z352" s="64"/>
      <c r="AA352" s="64"/>
      <c r="AB352" s="64"/>
      <c r="AC352" s="64"/>
      <c r="AD352" s="64"/>
      <c r="AE352" s="64"/>
      <c r="AF352" s="64"/>
      <c r="AG352" s="64"/>
    </row>
    <row r="353">
      <c r="A353" s="64"/>
      <c r="B353" s="64"/>
      <c r="C353" s="64"/>
      <c r="D353" s="64"/>
      <c r="E353" s="65"/>
      <c r="F353" s="64"/>
      <c r="G353" s="67"/>
      <c r="H353" s="64"/>
      <c r="I353" s="64"/>
      <c r="J353" s="64"/>
      <c r="K353" s="64"/>
      <c r="L353" s="65"/>
      <c r="M353" s="64"/>
      <c r="N353" s="64"/>
      <c r="O353" s="64"/>
      <c r="P353" s="64"/>
      <c r="Q353" s="64"/>
      <c r="R353" s="64"/>
      <c r="S353" s="64"/>
      <c r="T353" s="65"/>
      <c r="U353" s="64"/>
      <c r="V353" s="64"/>
      <c r="W353" s="64"/>
      <c r="X353" s="64"/>
      <c r="Y353" s="64"/>
      <c r="Z353" s="64"/>
      <c r="AA353" s="64"/>
      <c r="AB353" s="64"/>
      <c r="AC353" s="64"/>
      <c r="AD353" s="64"/>
      <c r="AE353" s="64"/>
      <c r="AF353" s="64"/>
      <c r="AG353" s="64"/>
    </row>
    <row r="354">
      <c r="A354" s="64"/>
      <c r="B354" s="64"/>
      <c r="C354" s="64"/>
      <c r="D354" s="64"/>
      <c r="E354" s="65"/>
      <c r="F354" s="64"/>
      <c r="G354" s="67"/>
      <c r="H354" s="64"/>
      <c r="I354" s="64"/>
      <c r="J354" s="64"/>
      <c r="K354" s="64"/>
      <c r="L354" s="65"/>
      <c r="M354" s="64"/>
      <c r="N354" s="64"/>
      <c r="O354" s="64"/>
      <c r="P354" s="64"/>
      <c r="Q354" s="64"/>
      <c r="R354" s="64"/>
      <c r="S354" s="64"/>
      <c r="T354" s="65"/>
      <c r="U354" s="64"/>
      <c r="V354" s="64"/>
      <c r="W354" s="64"/>
      <c r="X354" s="64"/>
      <c r="Y354" s="64"/>
      <c r="Z354" s="64"/>
      <c r="AA354" s="64"/>
      <c r="AB354" s="64"/>
      <c r="AC354" s="64"/>
      <c r="AD354" s="64"/>
      <c r="AE354" s="64"/>
      <c r="AF354" s="64"/>
      <c r="AG354" s="64"/>
    </row>
    <row r="355">
      <c r="A355" s="64"/>
      <c r="B355" s="64"/>
      <c r="C355" s="64"/>
      <c r="D355" s="64"/>
      <c r="E355" s="65"/>
      <c r="F355" s="64"/>
      <c r="G355" s="67"/>
      <c r="H355" s="64"/>
      <c r="I355" s="64"/>
      <c r="J355" s="64"/>
      <c r="K355" s="64"/>
      <c r="L355" s="65"/>
      <c r="M355" s="64"/>
      <c r="N355" s="64"/>
      <c r="O355" s="64"/>
      <c r="P355" s="64"/>
      <c r="Q355" s="64"/>
      <c r="R355" s="64"/>
      <c r="S355" s="64"/>
      <c r="T355" s="65"/>
      <c r="U355" s="64"/>
      <c r="V355" s="64"/>
      <c r="W355" s="64"/>
      <c r="X355" s="64"/>
      <c r="Y355" s="64"/>
      <c r="Z355" s="64"/>
      <c r="AA355" s="64"/>
      <c r="AB355" s="64"/>
      <c r="AC355" s="64"/>
      <c r="AD355" s="64"/>
      <c r="AE355" s="64"/>
      <c r="AF355" s="64"/>
      <c r="AG355" s="64"/>
    </row>
    <row r="356">
      <c r="A356" s="64"/>
      <c r="B356" s="64"/>
      <c r="C356" s="64"/>
      <c r="D356" s="64"/>
      <c r="E356" s="65"/>
      <c r="F356" s="64"/>
      <c r="G356" s="67"/>
      <c r="H356" s="64"/>
      <c r="I356" s="64"/>
      <c r="J356" s="64"/>
      <c r="K356" s="64"/>
      <c r="L356" s="65"/>
      <c r="M356" s="64"/>
      <c r="N356" s="64"/>
      <c r="O356" s="64"/>
      <c r="P356" s="64"/>
      <c r="Q356" s="64"/>
      <c r="R356" s="64"/>
      <c r="S356" s="64"/>
      <c r="T356" s="65"/>
      <c r="U356" s="64"/>
      <c r="V356" s="64"/>
      <c r="W356" s="64"/>
      <c r="X356" s="64"/>
      <c r="Y356" s="64"/>
      <c r="Z356" s="64"/>
      <c r="AA356" s="64"/>
      <c r="AB356" s="64"/>
      <c r="AC356" s="64"/>
      <c r="AD356" s="64"/>
      <c r="AE356" s="64"/>
      <c r="AF356" s="64"/>
      <c r="AG356" s="64"/>
    </row>
    <row r="357">
      <c r="A357" s="64"/>
      <c r="B357" s="64"/>
      <c r="C357" s="64"/>
      <c r="D357" s="64"/>
      <c r="E357" s="65"/>
      <c r="F357" s="64"/>
      <c r="G357" s="67"/>
      <c r="H357" s="64"/>
      <c r="I357" s="64"/>
      <c r="J357" s="64"/>
      <c r="K357" s="64"/>
      <c r="L357" s="65"/>
      <c r="M357" s="64"/>
      <c r="N357" s="64"/>
      <c r="O357" s="64"/>
      <c r="P357" s="64"/>
      <c r="Q357" s="64"/>
      <c r="R357" s="64"/>
      <c r="S357" s="64"/>
      <c r="T357" s="65"/>
      <c r="U357" s="64"/>
      <c r="V357" s="64"/>
      <c r="W357" s="64"/>
      <c r="X357" s="64"/>
      <c r="Y357" s="64"/>
      <c r="Z357" s="64"/>
      <c r="AA357" s="64"/>
      <c r="AB357" s="64"/>
      <c r="AC357" s="64"/>
      <c r="AD357" s="64"/>
      <c r="AE357" s="64"/>
      <c r="AF357" s="64"/>
      <c r="AG357" s="64"/>
    </row>
    <row r="358">
      <c r="A358" s="64"/>
      <c r="B358" s="64"/>
      <c r="C358" s="64"/>
      <c r="D358" s="64"/>
      <c r="E358" s="65"/>
      <c r="F358" s="64"/>
      <c r="G358" s="67"/>
      <c r="H358" s="64"/>
      <c r="I358" s="64"/>
      <c r="J358" s="64"/>
      <c r="K358" s="64"/>
      <c r="L358" s="65"/>
      <c r="M358" s="64"/>
      <c r="N358" s="64"/>
      <c r="O358" s="64"/>
      <c r="P358" s="64"/>
      <c r="Q358" s="64"/>
      <c r="R358" s="64"/>
      <c r="S358" s="64"/>
      <c r="T358" s="65"/>
      <c r="U358" s="64"/>
      <c r="V358" s="64"/>
      <c r="W358" s="64"/>
      <c r="X358" s="64"/>
      <c r="Y358" s="64"/>
      <c r="Z358" s="64"/>
      <c r="AA358" s="64"/>
      <c r="AB358" s="64"/>
      <c r="AC358" s="64"/>
      <c r="AD358" s="64"/>
      <c r="AE358" s="64"/>
      <c r="AF358" s="64"/>
      <c r="AG358" s="64"/>
    </row>
    <row r="359">
      <c r="A359" s="64"/>
      <c r="B359" s="64"/>
      <c r="C359" s="64"/>
      <c r="D359" s="64"/>
      <c r="E359" s="65"/>
      <c r="F359" s="64"/>
      <c r="G359" s="67"/>
      <c r="H359" s="64"/>
      <c r="I359" s="64"/>
      <c r="J359" s="64"/>
      <c r="K359" s="64"/>
      <c r="L359" s="65"/>
      <c r="M359" s="64"/>
      <c r="N359" s="64"/>
      <c r="O359" s="64"/>
      <c r="P359" s="64"/>
      <c r="Q359" s="64"/>
      <c r="R359" s="64"/>
      <c r="S359" s="64"/>
      <c r="T359" s="65"/>
      <c r="U359" s="64"/>
      <c r="V359" s="64"/>
      <c r="W359" s="64"/>
      <c r="X359" s="64"/>
      <c r="Y359" s="64"/>
      <c r="Z359" s="64"/>
      <c r="AA359" s="64"/>
      <c r="AB359" s="64"/>
      <c r="AC359" s="64"/>
      <c r="AD359" s="64"/>
      <c r="AE359" s="64"/>
      <c r="AF359" s="64"/>
      <c r="AG359" s="64"/>
    </row>
    <row r="360">
      <c r="A360" s="64"/>
      <c r="B360" s="64"/>
      <c r="C360" s="64"/>
      <c r="D360" s="64"/>
      <c r="E360" s="65"/>
      <c r="F360" s="64"/>
      <c r="G360" s="67"/>
      <c r="H360" s="64"/>
      <c r="I360" s="64"/>
      <c r="J360" s="64"/>
      <c r="K360" s="64"/>
      <c r="L360" s="65"/>
      <c r="M360" s="64"/>
      <c r="N360" s="64"/>
      <c r="O360" s="64"/>
      <c r="P360" s="64"/>
      <c r="Q360" s="64"/>
      <c r="R360" s="64"/>
      <c r="S360" s="64"/>
      <c r="T360" s="65"/>
      <c r="U360" s="64"/>
      <c r="V360" s="64"/>
      <c r="W360" s="64"/>
      <c r="X360" s="64"/>
      <c r="Y360" s="64"/>
      <c r="Z360" s="64"/>
      <c r="AA360" s="64"/>
      <c r="AB360" s="64"/>
      <c r="AC360" s="64"/>
      <c r="AD360" s="64"/>
      <c r="AE360" s="64"/>
      <c r="AF360" s="64"/>
      <c r="AG360" s="64"/>
    </row>
    <row r="361">
      <c r="A361" s="64"/>
      <c r="B361" s="64"/>
      <c r="C361" s="64"/>
      <c r="D361" s="64"/>
      <c r="E361" s="65"/>
      <c r="F361" s="64"/>
      <c r="G361" s="67"/>
      <c r="H361" s="64"/>
      <c r="I361" s="64"/>
      <c r="J361" s="64"/>
      <c r="K361" s="64"/>
      <c r="L361" s="65"/>
      <c r="M361" s="64"/>
      <c r="N361" s="64"/>
      <c r="O361" s="64"/>
      <c r="P361" s="64"/>
      <c r="Q361" s="64"/>
      <c r="R361" s="64"/>
      <c r="S361" s="64"/>
      <c r="T361" s="65"/>
      <c r="U361" s="64"/>
      <c r="V361" s="64"/>
      <c r="W361" s="64"/>
      <c r="X361" s="64"/>
      <c r="Y361" s="64"/>
      <c r="Z361" s="64"/>
      <c r="AA361" s="64"/>
      <c r="AB361" s="64"/>
      <c r="AC361" s="64"/>
      <c r="AD361" s="64"/>
      <c r="AE361" s="64"/>
      <c r="AF361" s="64"/>
      <c r="AG361" s="64"/>
    </row>
    <row r="362">
      <c r="A362" s="64"/>
      <c r="B362" s="64"/>
      <c r="C362" s="64"/>
      <c r="D362" s="64"/>
      <c r="E362" s="65"/>
      <c r="F362" s="64"/>
      <c r="G362" s="67"/>
      <c r="H362" s="64"/>
      <c r="I362" s="64"/>
      <c r="J362" s="64"/>
      <c r="K362" s="64"/>
      <c r="L362" s="65"/>
      <c r="M362" s="64"/>
      <c r="N362" s="64"/>
      <c r="O362" s="64"/>
      <c r="P362" s="64"/>
      <c r="Q362" s="64"/>
      <c r="R362" s="64"/>
      <c r="S362" s="64"/>
      <c r="T362" s="65"/>
      <c r="U362" s="64"/>
      <c r="V362" s="64"/>
      <c r="W362" s="64"/>
      <c r="X362" s="64"/>
      <c r="Y362" s="64"/>
      <c r="Z362" s="64"/>
      <c r="AA362" s="64"/>
      <c r="AB362" s="64"/>
      <c r="AC362" s="64"/>
      <c r="AD362" s="64"/>
      <c r="AE362" s="64"/>
      <c r="AF362" s="64"/>
      <c r="AG362" s="64"/>
    </row>
    <row r="363">
      <c r="A363" s="64"/>
      <c r="B363" s="64"/>
      <c r="C363" s="64"/>
      <c r="D363" s="64"/>
      <c r="E363" s="65"/>
      <c r="F363" s="64"/>
      <c r="G363" s="67"/>
      <c r="H363" s="64"/>
      <c r="I363" s="64"/>
      <c r="J363" s="64"/>
      <c r="K363" s="64"/>
      <c r="L363" s="65"/>
      <c r="M363" s="64"/>
      <c r="N363" s="64"/>
      <c r="O363" s="64"/>
      <c r="P363" s="64"/>
      <c r="Q363" s="64"/>
      <c r="R363" s="64"/>
      <c r="S363" s="64"/>
      <c r="T363" s="65"/>
      <c r="U363" s="64"/>
      <c r="V363" s="64"/>
      <c r="W363" s="64"/>
      <c r="X363" s="64"/>
      <c r="Y363" s="64"/>
      <c r="Z363" s="64"/>
      <c r="AA363" s="64"/>
      <c r="AB363" s="64"/>
      <c r="AC363" s="64"/>
      <c r="AD363" s="64"/>
      <c r="AE363" s="64"/>
      <c r="AF363" s="64"/>
      <c r="AG363" s="64"/>
    </row>
    <row r="364">
      <c r="A364" s="64"/>
      <c r="B364" s="64"/>
      <c r="C364" s="64"/>
      <c r="D364" s="64"/>
      <c r="E364" s="65"/>
      <c r="F364" s="64"/>
      <c r="G364" s="67"/>
      <c r="H364" s="64"/>
      <c r="I364" s="64"/>
      <c r="J364" s="64"/>
      <c r="K364" s="64"/>
      <c r="L364" s="65"/>
      <c r="M364" s="64"/>
      <c r="N364" s="64"/>
      <c r="O364" s="64"/>
      <c r="P364" s="64"/>
      <c r="Q364" s="64"/>
      <c r="R364" s="64"/>
      <c r="S364" s="64"/>
      <c r="T364" s="65"/>
      <c r="U364" s="64"/>
      <c r="V364" s="64"/>
      <c r="W364" s="64"/>
      <c r="X364" s="64"/>
      <c r="Y364" s="64"/>
      <c r="Z364" s="64"/>
      <c r="AA364" s="64"/>
      <c r="AB364" s="64"/>
      <c r="AC364" s="64"/>
      <c r="AD364" s="64"/>
      <c r="AE364" s="64"/>
      <c r="AF364" s="64"/>
      <c r="AG364" s="64"/>
    </row>
    <row r="365">
      <c r="A365" s="64"/>
      <c r="B365" s="64"/>
      <c r="C365" s="64"/>
      <c r="D365" s="64"/>
      <c r="E365" s="65"/>
      <c r="F365" s="64"/>
      <c r="G365" s="67"/>
      <c r="H365" s="64"/>
      <c r="I365" s="64"/>
      <c r="J365" s="64"/>
      <c r="K365" s="64"/>
      <c r="L365" s="65"/>
      <c r="M365" s="64"/>
      <c r="N365" s="64"/>
      <c r="O365" s="64"/>
      <c r="P365" s="64"/>
      <c r="Q365" s="64"/>
      <c r="R365" s="64"/>
      <c r="S365" s="64"/>
      <c r="T365" s="65"/>
      <c r="U365" s="64"/>
      <c r="V365" s="64"/>
      <c r="W365" s="64"/>
      <c r="X365" s="64"/>
      <c r="Y365" s="64"/>
      <c r="Z365" s="64"/>
      <c r="AA365" s="64"/>
      <c r="AB365" s="64"/>
      <c r="AC365" s="64"/>
      <c r="AD365" s="64"/>
      <c r="AE365" s="64"/>
      <c r="AF365" s="64"/>
      <c r="AG365" s="64"/>
    </row>
    <row r="366">
      <c r="A366" s="64"/>
      <c r="B366" s="64"/>
      <c r="C366" s="64"/>
      <c r="D366" s="64"/>
      <c r="E366" s="65"/>
      <c r="F366" s="64"/>
      <c r="G366" s="67"/>
      <c r="H366" s="64"/>
      <c r="I366" s="64"/>
      <c r="J366" s="64"/>
      <c r="K366" s="64"/>
      <c r="L366" s="65"/>
      <c r="M366" s="64"/>
      <c r="N366" s="64"/>
      <c r="O366" s="64"/>
      <c r="P366" s="64"/>
      <c r="Q366" s="64"/>
      <c r="R366" s="64"/>
      <c r="S366" s="64"/>
      <c r="T366" s="65"/>
      <c r="U366" s="64"/>
      <c r="V366" s="64"/>
      <c r="W366" s="64"/>
      <c r="X366" s="64"/>
      <c r="Y366" s="64"/>
      <c r="Z366" s="64"/>
      <c r="AA366" s="64"/>
      <c r="AB366" s="64"/>
      <c r="AC366" s="64"/>
      <c r="AD366" s="64"/>
      <c r="AE366" s="64"/>
      <c r="AF366" s="64"/>
      <c r="AG366" s="64"/>
    </row>
    <row r="367">
      <c r="A367" s="64"/>
      <c r="B367" s="64"/>
      <c r="C367" s="64"/>
      <c r="D367" s="64"/>
      <c r="E367" s="65"/>
      <c r="F367" s="64"/>
      <c r="G367" s="67"/>
      <c r="H367" s="64"/>
      <c r="I367" s="64"/>
      <c r="J367" s="64"/>
      <c r="K367" s="64"/>
      <c r="L367" s="65"/>
      <c r="M367" s="64"/>
      <c r="N367" s="64"/>
      <c r="O367" s="64"/>
      <c r="P367" s="64"/>
      <c r="Q367" s="64"/>
      <c r="R367" s="64"/>
      <c r="S367" s="64"/>
      <c r="T367" s="65"/>
      <c r="U367" s="64"/>
      <c r="V367" s="64"/>
      <c r="W367" s="64"/>
      <c r="X367" s="64"/>
      <c r="Y367" s="64"/>
      <c r="Z367" s="64"/>
      <c r="AA367" s="64"/>
      <c r="AB367" s="64"/>
      <c r="AC367" s="64"/>
      <c r="AD367" s="64"/>
      <c r="AE367" s="64"/>
      <c r="AF367" s="64"/>
      <c r="AG367" s="64"/>
    </row>
    <row r="368">
      <c r="A368" s="64"/>
      <c r="B368" s="64"/>
      <c r="C368" s="64"/>
      <c r="D368" s="64"/>
      <c r="E368" s="65"/>
      <c r="F368" s="64"/>
      <c r="G368" s="67"/>
      <c r="H368" s="64"/>
      <c r="I368" s="64"/>
      <c r="J368" s="64"/>
      <c r="K368" s="64"/>
      <c r="L368" s="65"/>
      <c r="M368" s="64"/>
      <c r="N368" s="64"/>
      <c r="O368" s="64"/>
      <c r="P368" s="64"/>
      <c r="Q368" s="64"/>
      <c r="R368" s="64"/>
      <c r="S368" s="64"/>
      <c r="T368" s="65"/>
      <c r="U368" s="64"/>
      <c r="V368" s="64"/>
      <c r="W368" s="64"/>
      <c r="X368" s="64"/>
      <c r="Y368" s="64"/>
      <c r="Z368" s="64"/>
      <c r="AA368" s="64"/>
      <c r="AB368" s="64"/>
      <c r="AC368" s="64"/>
      <c r="AD368" s="64"/>
      <c r="AE368" s="64"/>
      <c r="AF368" s="64"/>
      <c r="AG368" s="64"/>
    </row>
    <row r="369">
      <c r="A369" s="64"/>
      <c r="B369" s="64"/>
      <c r="C369" s="64"/>
      <c r="D369" s="64"/>
      <c r="E369" s="65"/>
      <c r="F369" s="64"/>
      <c r="G369" s="67"/>
      <c r="H369" s="64"/>
      <c r="I369" s="64"/>
      <c r="J369" s="64"/>
      <c r="K369" s="64"/>
      <c r="L369" s="65"/>
      <c r="M369" s="64"/>
      <c r="N369" s="64"/>
      <c r="O369" s="64"/>
      <c r="P369" s="64"/>
      <c r="Q369" s="64"/>
      <c r="R369" s="64"/>
      <c r="S369" s="64"/>
      <c r="T369" s="65"/>
      <c r="U369" s="64"/>
      <c r="V369" s="64"/>
      <c r="W369" s="64"/>
      <c r="X369" s="64"/>
      <c r="Y369" s="64"/>
      <c r="Z369" s="64"/>
      <c r="AA369" s="64"/>
      <c r="AB369" s="64"/>
      <c r="AC369" s="64"/>
      <c r="AD369" s="64"/>
      <c r="AE369" s="64"/>
      <c r="AF369" s="64"/>
      <c r="AG369" s="64"/>
    </row>
    <row r="370">
      <c r="A370" s="64"/>
      <c r="B370" s="64"/>
      <c r="C370" s="64"/>
      <c r="D370" s="64"/>
      <c r="E370" s="65"/>
      <c r="F370" s="64"/>
      <c r="G370" s="67"/>
      <c r="H370" s="64"/>
      <c r="I370" s="64"/>
      <c r="J370" s="64"/>
      <c r="K370" s="64"/>
      <c r="L370" s="65"/>
      <c r="M370" s="64"/>
      <c r="N370" s="64"/>
      <c r="O370" s="64"/>
      <c r="P370" s="64"/>
      <c r="Q370" s="64"/>
      <c r="R370" s="64"/>
      <c r="S370" s="64"/>
      <c r="T370" s="65"/>
      <c r="U370" s="64"/>
      <c r="V370" s="64"/>
      <c r="W370" s="64"/>
      <c r="X370" s="64"/>
      <c r="Y370" s="64"/>
      <c r="Z370" s="64"/>
      <c r="AA370" s="64"/>
      <c r="AB370" s="64"/>
      <c r="AC370" s="64"/>
      <c r="AD370" s="64"/>
      <c r="AE370" s="64"/>
      <c r="AF370" s="64"/>
      <c r="AG370" s="64"/>
    </row>
    <row r="371">
      <c r="A371" s="64"/>
      <c r="B371" s="64"/>
      <c r="C371" s="64"/>
      <c r="D371" s="64"/>
      <c r="E371" s="65"/>
      <c r="F371" s="64"/>
      <c r="G371" s="67"/>
      <c r="H371" s="64"/>
      <c r="I371" s="64"/>
      <c r="J371" s="64"/>
      <c r="K371" s="64"/>
      <c r="L371" s="65"/>
      <c r="M371" s="64"/>
      <c r="N371" s="64"/>
      <c r="O371" s="64"/>
      <c r="P371" s="64"/>
      <c r="Q371" s="64"/>
      <c r="R371" s="64"/>
      <c r="S371" s="64"/>
      <c r="T371" s="65"/>
      <c r="U371" s="64"/>
      <c r="V371" s="64"/>
      <c r="W371" s="64"/>
      <c r="X371" s="64"/>
      <c r="Y371" s="64"/>
      <c r="Z371" s="64"/>
      <c r="AA371" s="64"/>
      <c r="AB371" s="64"/>
      <c r="AC371" s="64"/>
      <c r="AD371" s="64"/>
      <c r="AE371" s="64"/>
      <c r="AF371" s="64"/>
      <c r="AG371" s="64"/>
    </row>
    <row r="372">
      <c r="A372" s="64"/>
      <c r="B372" s="64"/>
      <c r="C372" s="64"/>
      <c r="D372" s="64"/>
      <c r="E372" s="65"/>
      <c r="F372" s="64"/>
      <c r="G372" s="67"/>
      <c r="H372" s="64"/>
      <c r="I372" s="64"/>
      <c r="J372" s="64"/>
      <c r="K372" s="64"/>
      <c r="L372" s="65"/>
      <c r="M372" s="64"/>
      <c r="N372" s="64"/>
      <c r="O372" s="64"/>
      <c r="P372" s="64"/>
      <c r="Q372" s="64"/>
      <c r="R372" s="64"/>
      <c r="S372" s="64"/>
      <c r="T372" s="65"/>
      <c r="U372" s="64"/>
      <c r="V372" s="64"/>
      <c r="W372" s="64"/>
      <c r="X372" s="64"/>
      <c r="Y372" s="64"/>
      <c r="Z372" s="64"/>
      <c r="AA372" s="64"/>
      <c r="AB372" s="64"/>
      <c r="AC372" s="64"/>
      <c r="AD372" s="64"/>
      <c r="AE372" s="64"/>
      <c r="AF372" s="64"/>
      <c r="AG372" s="64"/>
    </row>
    <row r="373">
      <c r="A373" s="64"/>
      <c r="B373" s="64"/>
      <c r="C373" s="64"/>
      <c r="D373" s="64"/>
      <c r="E373" s="65"/>
      <c r="F373" s="64"/>
      <c r="G373" s="67"/>
      <c r="H373" s="64"/>
      <c r="I373" s="64"/>
      <c r="J373" s="64"/>
      <c r="K373" s="64"/>
      <c r="L373" s="65"/>
      <c r="M373" s="64"/>
      <c r="N373" s="64"/>
      <c r="O373" s="64"/>
      <c r="P373" s="64"/>
      <c r="Q373" s="64"/>
      <c r="R373" s="64"/>
      <c r="S373" s="64"/>
      <c r="T373" s="65"/>
      <c r="U373" s="64"/>
      <c r="V373" s="64"/>
      <c r="W373" s="64"/>
      <c r="X373" s="64"/>
      <c r="Y373" s="64"/>
      <c r="Z373" s="64"/>
      <c r="AA373" s="64"/>
      <c r="AB373" s="64"/>
      <c r="AC373" s="64"/>
      <c r="AD373" s="64"/>
      <c r="AE373" s="64"/>
      <c r="AF373" s="64"/>
      <c r="AG373" s="64"/>
    </row>
    <row r="374">
      <c r="A374" s="64"/>
      <c r="B374" s="64"/>
      <c r="C374" s="64"/>
      <c r="D374" s="64"/>
      <c r="E374" s="65"/>
      <c r="F374" s="64"/>
      <c r="G374" s="67"/>
      <c r="H374" s="64"/>
      <c r="I374" s="64"/>
      <c r="J374" s="64"/>
      <c r="K374" s="64"/>
      <c r="L374" s="65"/>
      <c r="M374" s="64"/>
      <c r="N374" s="64"/>
      <c r="O374" s="64"/>
      <c r="P374" s="64"/>
      <c r="Q374" s="64"/>
      <c r="R374" s="64"/>
      <c r="S374" s="64"/>
      <c r="T374" s="65"/>
      <c r="U374" s="64"/>
      <c r="V374" s="64"/>
      <c r="W374" s="64"/>
      <c r="X374" s="64"/>
      <c r="Y374" s="64"/>
      <c r="Z374" s="64"/>
      <c r="AA374" s="64"/>
      <c r="AB374" s="64"/>
      <c r="AC374" s="64"/>
      <c r="AD374" s="64"/>
      <c r="AE374" s="64"/>
      <c r="AF374" s="64"/>
      <c r="AG374" s="64"/>
    </row>
    <row r="375">
      <c r="A375" s="64"/>
      <c r="B375" s="64"/>
      <c r="C375" s="64"/>
      <c r="D375" s="64"/>
      <c r="E375" s="65"/>
      <c r="F375" s="64"/>
      <c r="G375" s="67"/>
      <c r="H375" s="64"/>
      <c r="I375" s="64"/>
      <c r="J375" s="64"/>
      <c r="K375" s="64"/>
      <c r="L375" s="65"/>
      <c r="M375" s="64"/>
      <c r="N375" s="64"/>
      <c r="O375" s="64"/>
      <c r="P375" s="64"/>
      <c r="Q375" s="64"/>
      <c r="R375" s="64"/>
      <c r="S375" s="64"/>
      <c r="T375" s="65"/>
      <c r="U375" s="64"/>
      <c r="V375" s="64"/>
      <c r="W375" s="64"/>
      <c r="X375" s="64"/>
      <c r="Y375" s="64"/>
      <c r="Z375" s="64"/>
      <c r="AA375" s="64"/>
      <c r="AB375" s="64"/>
      <c r="AC375" s="64"/>
      <c r="AD375" s="64"/>
      <c r="AE375" s="64"/>
      <c r="AF375" s="64"/>
      <c r="AG375" s="64"/>
    </row>
    <row r="376">
      <c r="A376" s="64"/>
      <c r="B376" s="64"/>
      <c r="C376" s="64"/>
      <c r="D376" s="64"/>
      <c r="E376" s="65"/>
      <c r="F376" s="64"/>
      <c r="G376" s="67"/>
      <c r="H376" s="64"/>
      <c r="I376" s="64"/>
      <c r="J376" s="64"/>
      <c r="K376" s="64"/>
      <c r="L376" s="65"/>
      <c r="M376" s="64"/>
      <c r="N376" s="64"/>
      <c r="O376" s="64"/>
      <c r="P376" s="64"/>
      <c r="Q376" s="64"/>
      <c r="R376" s="64"/>
      <c r="S376" s="64"/>
      <c r="T376" s="65"/>
      <c r="U376" s="64"/>
      <c r="V376" s="64"/>
      <c r="W376" s="64"/>
      <c r="X376" s="64"/>
      <c r="Y376" s="64"/>
      <c r="Z376" s="64"/>
      <c r="AA376" s="64"/>
      <c r="AB376" s="64"/>
      <c r="AC376" s="64"/>
      <c r="AD376" s="64"/>
      <c r="AE376" s="64"/>
      <c r="AF376" s="64"/>
      <c r="AG376" s="64"/>
    </row>
    <row r="377">
      <c r="A377" s="64"/>
      <c r="B377" s="64"/>
      <c r="C377" s="64"/>
      <c r="D377" s="64"/>
      <c r="E377" s="65"/>
      <c r="F377" s="64"/>
      <c r="G377" s="67"/>
      <c r="H377" s="64"/>
      <c r="I377" s="64"/>
      <c r="J377" s="64"/>
      <c r="K377" s="64"/>
      <c r="L377" s="65"/>
      <c r="M377" s="64"/>
      <c r="N377" s="64"/>
      <c r="O377" s="64"/>
      <c r="P377" s="64"/>
      <c r="Q377" s="64"/>
      <c r="R377" s="64"/>
      <c r="S377" s="64"/>
      <c r="T377" s="65"/>
      <c r="U377" s="64"/>
      <c r="V377" s="64"/>
      <c r="W377" s="64"/>
      <c r="X377" s="64"/>
      <c r="Y377" s="64"/>
      <c r="Z377" s="64"/>
      <c r="AA377" s="64"/>
      <c r="AB377" s="64"/>
      <c r="AC377" s="64"/>
      <c r="AD377" s="64"/>
      <c r="AE377" s="64"/>
      <c r="AF377" s="64"/>
      <c r="AG377" s="64"/>
    </row>
    <row r="378">
      <c r="A378" s="64"/>
      <c r="B378" s="64"/>
      <c r="C378" s="64"/>
      <c r="D378" s="64"/>
      <c r="E378" s="65"/>
      <c r="F378" s="64"/>
      <c r="G378" s="67"/>
      <c r="H378" s="64"/>
      <c r="I378" s="64"/>
      <c r="J378" s="64"/>
      <c r="K378" s="64"/>
      <c r="L378" s="65"/>
      <c r="M378" s="64"/>
      <c r="N378" s="64"/>
      <c r="O378" s="64"/>
      <c r="P378" s="64"/>
      <c r="Q378" s="64"/>
      <c r="R378" s="64"/>
      <c r="S378" s="64"/>
      <c r="T378" s="65"/>
      <c r="U378" s="64"/>
      <c r="V378" s="64"/>
      <c r="W378" s="64"/>
      <c r="X378" s="64"/>
      <c r="Y378" s="64"/>
      <c r="Z378" s="64"/>
      <c r="AA378" s="64"/>
      <c r="AB378" s="64"/>
      <c r="AC378" s="64"/>
      <c r="AD378" s="64"/>
      <c r="AE378" s="64"/>
      <c r="AF378" s="64"/>
      <c r="AG378" s="64"/>
    </row>
    <row r="379">
      <c r="A379" s="64"/>
      <c r="B379" s="64"/>
      <c r="C379" s="64"/>
      <c r="D379" s="64"/>
      <c r="E379" s="65"/>
      <c r="F379" s="64"/>
      <c r="G379" s="67"/>
      <c r="H379" s="64"/>
      <c r="I379" s="64"/>
      <c r="J379" s="64"/>
      <c r="K379" s="64"/>
      <c r="L379" s="65"/>
      <c r="M379" s="64"/>
      <c r="N379" s="64"/>
      <c r="O379" s="64"/>
      <c r="P379" s="64"/>
      <c r="Q379" s="64"/>
      <c r="R379" s="64"/>
      <c r="S379" s="64"/>
      <c r="T379" s="65"/>
      <c r="U379" s="64"/>
      <c r="V379" s="64"/>
      <c r="W379" s="64"/>
      <c r="X379" s="64"/>
      <c r="Y379" s="64"/>
      <c r="Z379" s="64"/>
      <c r="AA379" s="64"/>
      <c r="AB379" s="64"/>
      <c r="AC379" s="64"/>
      <c r="AD379" s="64"/>
      <c r="AE379" s="64"/>
      <c r="AF379" s="64"/>
      <c r="AG379" s="64"/>
    </row>
    <row r="380">
      <c r="A380" s="64"/>
      <c r="B380" s="64"/>
      <c r="C380" s="64"/>
      <c r="D380" s="64"/>
      <c r="E380" s="65"/>
      <c r="F380" s="64"/>
      <c r="G380" s="67"/>
      <c r="H380" s="64"/>
      <c r="I380" s="64"/>
      <c r="J380" s="64"/>
      <c r="K380" s="64"/>
      <c r="L380" s="65"/>
      <c r="M380" s="64"/>
      <c r="N380" s="64"/>
      <c r="O380" s="64"/>
      <c r="P380" s="64"/>
      <c r="Q380" s="64"/>
      <c r="R380" s="64"/>
      <c r="S380" s="64"/>
      <c r="T380" s="65"/>
      <c r="U380" s="64"/>
      <c r="V380" s="64"/>
      <c r="W380" s="64"/>
      <c r="X380" s="64"/>
      <c r="Y380" s="64"/>
      <c r="Z380" s="64"/>
      <c r="AA380" s="64"/>
      <c r="AB380" s="64"/>
      <c r="AC380" s="64"/>
      <c r="AD380" s="64"/>
      <c r="AE380" s="64"/>
      <c r="AF380" s="64"/>
      <c r="AG380" s="64"/>
    </row>
    <row r="381">
      <c r="A381" s="64"/>
      <c r="B381" s="64"/>
      <c r="C381" s="64"/>
      <c r="D381" s="64"/>
      <c r="E381" s="65"/>
      <c r="F381" s="64"/>
      <c r="G381" s="67"/>
      <c r="H381" s="64"/>
      <c r="I381" s="64"/>
      <c r="J381" s="64"/>
      <c r="K381" s="64"/>
      <c r="L381" s="65"/>
      <c r="M381" s="64"/>
      <c r="N381" s="64"/>
      <c r="O381" s="64"/>
      <c r="P381" s="64"/>
      <c r="Q381" s="64"/>
      <c r="R381" s="64"/>
      <c r="S381" s="64"/>
      <c r="T381" s="65"/>
      <c r="U381" s="64"/>
      <c r="V381" s="64"/>
      <c r="W381" s="64"/>
      <c r="X381" s="64"/>
      <c r="Y381" s="64"/>
      <c r="Z381" s="64"/>
      <c r="AA381" s="64"/>
      <c r="AB381" s="64"/>
      <c r="AC381" s="64"/>
      <c r="AD381" s="64"/>
      <c r="AE381" s="64"/>
      <c r="AF381" s="64"/>
      <c r="AG381" s="64"/>
    </row>
    <row r="382">
      <c r="A382" s="64"/>
      <c r="B382" s="64"/>
      <c r="C382" s="64"/>
      <c r="D382" s="64"/>
      <c r="E382" s="65"/>
      <c r="F382" s="64"/>
      <c r="G382" s="67"/>
      <c r="H382" s="64"/>
      <c r="I382" s="64"/>
      <c r="J382" s="64"/>
      <c r="K382" s="64"/>
      <c r="L382" s="65"/>
      <c r="M382" s="64"/>
      <c r="N382" s="64"/>
      <c r="O382" s="64"/>
      <c r="P382" s="64"/>
      <c r="Q382" s="64"/>
      <c r="R382" s="64"/>
      <c r="S382" s="64"/>
      <c r="T382" s="65"/>
      <c r="U382" s="64"/>
      <c r="V382" s="64"/>
      <c r="W382" s="64"/>
      <c r="X382" s="64"/>
      <c r="Y382" s="64"/>
      <c r="Z382" s="64"/>
      <c r="AA382" s="64"/>
      <c r="AB382" s="64"/>
      <c r="AC382" s="64"/>
      <c r="AD382" s="64"/>
      <c r="AE382" s="64"/>
      <c r="AF382" s="64"/>
      <c r="AG382" s="64"/>
    </row>
    <row r="383">
      <c r="A383" s="64"/>
      <c r="B383" s="64"/>
      <c r="C383" s="64"/>
      <c r="D383" s="64"/>
      <c r="E383" s="65"/>
      <c r="F383" s="64"/>
      <c r="G383" s="67"/>
      <c r="H383" s="64"/>
      <c r="I383" s="64"/>
      <c r="J383" s="64"/>
      <c r="K383" s="64"/>
      <c r="L383" s="65"/>
      <c r="M383" s="64"/>
      <c r="N383" s="64"/>
      <c r="O383" s="64"/>
      <c r="P383" s="64"/>
      <c r="Q383" s="64"/>
      <c r="R383" s="64"/>
      <c r="S383" s="64"/>
      <c r="T383" s="65"/>
      <c r="U383" s="64"/>
      <c r="V383" s="64"/>
      <c r="W383" s="64"/>
      <c r="X383" s="64"/>
      <c r="Y383" s="64"/>
      <c r="Z383" s="64"/>
      <c r="AA383" s="64"/>
      <c r="AB383" s="64"/>
      <c r="AC383" s="64"/>
      <c r="AD383" s="64"/>
      <c r="AE383" s="64"/>
      <c r="AF383" s="64"/>
      <c r="AG383" s="64"/>
    </row>
    <row r="384">
      <c r="A384" s="64"/>
      <c r="B384" s="64"/>
      <c r="C384" s="64"/>
      <c r="D384" s="64"/>
      <c r="E384" s="65"/>
      <c r="F384" s="64"/>
      <c r="G384" s="67"/>
      <c r="H384" s="64"/>
      <c r="I384" s="64"/>
      <c r="J384" s="64"/>
      <c r="K384" s="64"/>
      <c r="L384" s="65"/>
      <c r="M384" s="64"/>
      <c r="N384" s="64"/>
      <c r="O384" s="64"/>
      <c r="P384" s="64"/>
      <c r="Q384" s="64"/>
      <c r="R384" s="64"/>
      <c r="S384" s="64"/>
      <c r="T384" s="65"/>
      <c r="U384" s="64"/>
      <c r="V384" s="64"/>
      <c r="W384" s="64"/>
      <c r="X384" s="64"/>
      <c r="Y384" s="64"/>
      <c r="Z384" s="64"/>
      <c r="AA384" s="64"/>
      <c r="AB384" s="64"/>
      <c r="AC384" s="64"/>
      <c r="AD384" s="64"/>
      <c r="AE384" s="64"/>
      <c r="AF384" s="64"/>
      <c r="AG384" s="64"/>
    </row>
    <row r="385">
      <c r="A385" s="64"/>
      <c r="B385" s="64"/>
      <c r="C385" s="64"/>
      <c r="D385" s="64"/>
      <c r="E385" s="65"/>
      <c r="F385" s="64"/>
      <c r="G385" s="67"/>
      <c r="H385" s="64"/>
      <c r="I385" s="64"/>
      <c r="J385" s="64"/>
      <c r="K385" s="64"/>
      <c r="L385" s="65"/>
      <c r="M385" s="64"/>
      <c r="N385" s="64"/>
      <c r="O385" s="64"/>
      <c r="P385" s="64"/>
      <c r="Q385" s="64"/>
      <c r="R385" s="64"/>
      <c r="S385" s="64"/>
      <c r="T385" s="65"/>
      <c r="U385" s="64"/>
      <c r="V385" s="64"/>
      <c r="W385" s="64"/>
      <c r="X385" s="64"/>
      <c r="Y385" s="64"/>
      <c r="Z385" s="64"/>
      <c r="AA385" s="64"/>
      <c r="AB385" s="64"/>
      <c r="AC385" s="64"/>
      <c r="AD385" s="64"/>
      <c r="AE385" s="64"/>
      <c r="AF385" s="64"/>
      <c r="AG385" s="64"/>
    </row>
    <row r="386">
      <c r="A386" s="64"/>
      <c r="B386" s="64"/>
      <c r="C386" s="64"/>
      <c r="D386" s="64"/>
      <c r="E386" s="65"/>
      <c r="F386" s="64"/>
      <c r="G386" s="67"/>
      <c r="H386" s="64"/>
      <c r="I386" s="64"/>
      <c r="J386" s="64"/>
      <c r="K386" s="64"/>
      <c r="L386" s="65"/>
      <c r="M386" s="64"/>
      <c r="N386" s="64"/>
      <c r="O386" s="64"/>
      <c r="P386" s="64"/>
      <c r="Q386" s="64"/>
      <c r="R386" s="64"/>
      <c r="S386" s="64"/>
      <c r="T386" s="65"/>
      <c r="U386" s="64"/>
      <c r="V386" s="64"/>
      <c r="W386" s="64"/>
      <c r="X386" s="64"/>
      <c r="Y386" s="64"/>
      <c r="Z386" s="64"/>
      <c r="AA386" s="64"/>
      <c r="AB386" s="64"/>
      <c r="AC386" s="64"/>
      <c r="AD386" s="64"/>
      <c r="AE386" s="64"/>
      <c r="AF386" s="64"/>
      <c r="AG386" s="64"/>
    </row>
    <row r="387">
      <c r="A387" s="64"/>
      <c r="B387" s="64"/>
      <c r="C387" s="64"/>
      <c r="D387" s="64"/>
      <c r="E387" s="65"/>
      <c r="F387" s="64"/>
      <c r="G387" s="67"/>
      <c r="H387" s="64"/>
      <c r="I387" s="64"/>
      <c r="J387" s="64"/>
      <c r="K387" s="64"/>
      <c r="L387" s="65"/>
      <c r="M387" s="64"/>
      <c r="N387" s="64"/>
      <c r="O387" s="64"/>
      <c r="P387" s="64"/>
      <c r="Q387" s="64"/>
      <c r="R387" s="64"/>
      <c r="S387" s="64"/>
      <c r="T387" s="65"/>
      <c r="U387" s="64"/>
      <c r="V387" s="64"/>
      <c r="W387" s="64"/>
      <c r="X387" s="64"/>
      <c r="Y387" s="64"/>
      <c r="Z387" s="64"/>
      <c r="AA387" s="64"/>
      <c r="AB387" s="64"/>
      <c r="AC387" s="64"/>
      <c r="AD387" s="64"/>
      <c r="AE387" s="64"/>
      <c r="AF387" s="64"/>
      <c r="AG387" s="64"/>
    </row>
    <row r="388">
      <c r="A388" s="64"/>
      <c r="B388" s="64"/>
      <c r="C388" s="64"/>
      <c r="D388" s="64"/>
      <c r="E388" s="65"/>
      <c r="F388" s="64"/>
      <c r="G388" s="67"/>
      <c r="H388" s="64"/>
      <c r="I388" s="64"/>
      <c r="J388" s="64"/>
      <c r="K388" s="64"/>
      <c r="L388" s="65"/>
      <c r="M388" s="64"/>
      <c r="N388" s="64"/>
      <c r="O388" s="64"/>
      <c r="P388" s="64"/>
      <c r="Q388" s="64"/>
      <c r="R388" s="64"/>
      <c r="S388" s="64"/>
      <c r="T388" s="65"/>
      <c r="U388" s="64"/>
      <c r="V388" s="64"/>
      <c r="W388" s="64"/>
      <c r="X388" s="64"/>
      <c r="Y388" s="64"/>
      <c r="Z388" s="64"/>
      <c r="AA388" s="64"/>
      <c r="AB388" s="64"/>
      <c r="AC388" s="64"/>
      <c r="AD388" s="64"/>
      <c r="AE388" s="64"/>
      <c r="AF388" s="64"/>
      <c r="AG388" s="64"/>
    </row>
    <row r="389">
      <c r="A389" s="64"/>
      <c r="B389" s="64"/>
      <c r="C389" s="64"/>
      <c r="D389" s="64"/>
      <c r="E389" s="65"/>
      <c r="F389" s="64"/>
      <c r="G389" s="67"/>
      <c r="H389" s="64"/>
      <c r="I389" s="64"/>
      <c r="J389" s="64"/>
      <c r="K389" s="64"/>
      <c r="L389" s="65"/>
      <c r="M389" s="64"/>
      <c r="N389" s="64"/>
      <c r="O389" s="64"/>
      <c r="P389" s="64"/>
      <c r="Q389" s="64"/>
      <c r="R389" s="64"/>
      <c r="S389" s="64"/>
      <c r="T389" s="65"/>
      <c r="U389" s="64"/>
      <c r="V389" s="64"/>
      <c r="W389" s="64"/>
      <c r="X389" s="64"/>
      <c r="Y389" s="64"/>
      <c r="Z389" s="64"/>
      <c r="AA389" s="64"/>
      <c r="AB389" s="64"/>
      <c r="AC389" s="64"/>
      <c r="AD389" s="64"/>
      <c r="AE389" s="64"/>
      <c r="AF389" s="64"/>
      <c r="AG389" s="64"/>
    </row>
    <row r="390">
      <c r="A390" s="64"/>
      <c r="B390" s="64"/>
      <c r="C390" s="64"/>
      <c r="D390" s="64"/>
      <c r="E390" s="65"/>
      <c r="F390" s="64"/>
      <c r="G390" s="67"/>
      <c r="H390" s="64"/>
      <c r="I390" s="64"/>
      <c r="J390" s="64"/>
      <c r="K390" s="64"/>
      <c r="L390" s="65"/>
      <c r="M390" s="64"/>
      <c r="N390" s="64"/>
      <c r="O390" s="64"/>
      <c r="P390" s="64"/>
      <c r="Q390" s="64"/>
      <c r="R390" s="64"/>
      <c r="S390" s="64"/>
      <c r="T390" s="65"/>
      <c r="U390" s="64"/>
      <c r="V390" s="64"/>
      <c r="W390" s="64"/>
      <c r="X390" s="64"/>
      <c r="Y390" s="64"/>
      <c r="Z390" s="64"/>
      <c r="AA390" s="64"/>
      <c r="AB390" s="64"/>
      <c r="AC390" s="64"/>
      <c r="AD390" s="64"/>
      <c r="AE390" s="64"/>
      <c r="AF390" s="64"/>
      <c r="AG390" s="64"/>
    </row>
    <row r="391">
      <c r="A391" s="64"/>
      <c r="B391" s="64"/>
      <c r="C391" s="64"/>
      <c r="D391" s="64"/>
      <c r="E391" s="65"/>
      <c r="F391" s="64"/>
      <c r="G391" s="67"/>
      <c r="H391" s="64"/>
      <c r="I391" s="64"/>
      <c r="J391" s="64"/>
      <c r="K391" s="64"/>
      <c r="L391" s="65"/>
      <c r="M391" s="64"/>
      <c r="N391" s="64"/>
      <c r="O391" s="64"/>
      <c r="P391" s="64"/>
      <c r="Q391" s="64"/>
      <c r="R391" s="64"/>
      <c r="S391" s="64"/>
      <c r="T391" s="65"/>
      <c r="U391" s="64"/>
      <c r="V391" s="64"/>
      <c r="W391" s="64"/>
      <c r="X391" s="64"/>
      <c r="Y391" s="64"/>
      <c r="Z391" s="64"/>
      <c r="AA391" s="64"/>
      <c r="AB391" s="64"/>
      <c r="AC391" s="64"/>
      <c r="AD391" s="64"/>
      <c r="AE391" s="64"/>
      <c r="AF391" s="64"/>
      <c r="AG391" s="64"/>
    </row>
    <row r="392">
      <c r="A392" s="64"/>
      <c r="B392" s="64"/>
      <c r="C392" s="64"/>
      <c r="D392" s="64"/>
      <c r="E392" s="65"/>
      <c r="F392" s="64"/>
      <c r="G392" s="67"/>
      <c r="H392" s="64"/>
      <c r="I392" s="64"/>
      <c r="J392" s="64"/>
      <c r="K392" s="64"/>
      <c r="L392" s="65"/>
      <c r="M392" s="64"/>
      <c r="N392" s="64"/>
      <c r="O392" s="64"/>
      <c r="P392" s="64"/>
      <c r="Q392" s="64"/>
      <c r="R392" s="64"/>
      <c r="S392" s="64"/>
      <c r="T392" s="65"/>
      <c r="U392" s="64"/>
      <c r="V392" s="64"/>
      <c r="W392" s="64"/>
      <c r="X392" s="64"/>
      <c r="Y392" s="64"/>
      <c r="Z392" s="64"/>
      <c r="AA392" s="64"/>
      <c r="AB392" s="64"/>
      <c r="AC392" s="64"/>
      <c r="AD392" s="64"/>
      <c r="AE392" s="64"/>
      <c r="AF392" s="64"/>
      <c r="AG392" s="64"/>
    </row>
    <row r="393">
      <c r="A393" s="64"/>
      <c r="B393" s="64"/>
      <c r="C393" s="64"/>
      <c r="D393" s="64"/>
      <c r="E393" s="65"/>
      <c r="F393" s="64"/>
      <c r="G393" s="67"/>
      <c r="H393" s="64"/>
      <c r="I393" s="64"/>
      <c r="J393" s="64"/>
      <c r="K393" s="64"/>
      <c r="L393" s="65"/>
      <c r="M393" s="64"/>
      <c r="N393" s="64"/>
      <c r="O393" s="64"/>
      <c r="P393" s="64"/>
      <c r="Q393" s="64"/>
      <c r="R393" s="64"/>
      <c r="S393" s="64"/>
      <c r="T393" s="65"/>
      <c r="U393" s="64"/>
      <c r="V393" s="64"/>
      <c r="W393" s="64"/>
      <c r="X393" s="64"/>
      <c r="Y393" s="64"/>
      <c r="Z393" s="64"/>
      <c r="AA393" s="64"/>
      <c r="AB393" s="64"/>
      <c r="AC393" s="64"/>
      <c r="AD393" s="64"/>
      <c r="AE393" s="64"/>
      <c r="AF393" s="64"/>
      <c r="AG393" s="64"/>
    </row>
    <row r="394">
      <c r="A394" s="64"/>
      <c r="B394" s="64"/>
      <c r="C394" s="64"/>
      <c r="D394" s="64"/>
      <c r="E394" s="65"/>
      <c r="F394" s="64"/>
      <c r="G394" s="67"/>
      <c r="H394" s="64"/>
      <c r="I394" s="64"/>
      <c r="J394" s="64"/>
      <c r="K394" s="64"/>
      <c r="L394" s="65"/>
      <c r="M394" s="64"/>
      <c r="N394" s="64"/>
      <c r="O394" s="64"/>
      <c r="P394" s="64"/>
      <c r="Q394" s="64"/>
      <c r="R394" s="64"/>
      <c r="S394" s="64"/>
      <c r="T394" s="65"/>
      <c r="U394" s="64"/>
      <c r="V394" s="64"/>
      <c r="W394" s="64"/>
      <c r="X394" s="64"/>
      <c r="Y394" s="64"/>
      <c r="Z394" s="64"/>
      <c r="AA394" s="64"/>
      <c r="AB394" s="64"/>
      <c r="AC394" s="64"/>
      <c r="AD394" s="64"/>
      <c r="AE394" s="64"/>
      <c r="AF394" s="64"/>
      <c r="AG394" s="64"/>
    </row>
    <row r="395">
      <c r="A395" s="64"/>
      <c r="B395" s="64"/>
      <c r="C395" s="64"/>
      <c r="D395" s="64"/>
      <c r="E395" s="65"/>
      <c r="F395" s="64"/>
      <c r="G395" s="67"/>
      <c r="H395" s="64"/>
      <c r="I395" s="64"/>
      <c r="J395" s="64"/>
      <c r="K395" s="64"/>
      <c r="L395" s="65"/>
      <c r="M395" s="64"/>
      <c r="N395" s="64"/>
      <c r="O395" s="64"/>
      <c r="P395" s="64"/>
      <c r="Q395" s="64"/>
      <c r="R395" s="64"/>
      <c r="S395" s="64"/>
      <c r="T395" s="65"/>
      <c r="U395" s="64"/>
      <c r="V395" s="64"/>
      <c r="W395" s="64"/>
      <c r="X395" s="64"/>
      <c r="Y395" s="64"/>
      <c r="Z395" s="64"/>
      <c r="AA395" s="64"/>
      <c r="AB395" s="64"/>
      <c r="AC395" s="64"/>
      <c r="AD395" s="64"/>
      <c r="AE395" s="64"/>
      <c r="AF395" s="64"/>
      <c r="AG395" s="64"/>
    </row>
    <row r="396">
      <c r="A396" s="64"/>
      <c r="B396" s="64"/>
      <c r="C396" s="64"/>
      <c r="D396" s="64"/>
      <c r="E396" s="65"/>
      <c r="F396" s="64"/>
      <c r="G396" s="67"/>
      <c r="H396" s="64"/>
      <c r="I396" s="64"/>
      <c r="J396" s="64"/>
      <c r="K396" s="64"/>
      <c r="L396" s="65"/>
      <c r="M396" s="64"/>
      <c r="N396" s="64"/>
      <c r="O396" s="64"/>
      <c r="P396" s="64"/>
      <c r="Q396" s="64"/>
      <c r="R396" s="64"/>
      <c r="S396" s="64"/>
      <c r="T396" s="65"/>
      <c r="U396" s="64"/>
      <c r="V396" s="64"/>
      <c r="W396" s="64"/>
      <c r="X396" s="64"/>
      <c r="Y396" s="64"/>
      <c r="Z396" s="64"/>
      <c r="AA396" s="64"/>
      <c r="AB396" s="64"/>
      <c r="AC396" s="64"/>
      <c r="AD396" s="64"/>
      <c r="AE396" s="64"/>
      <c r="AF396" s="64"/>
      <c r="AG396" s="64"/>
    </row>
    <row r="397">
      <c r="A397" s="64"/>
      <c r="B397" s="64"/>
      <c r="C397" s="64"/>
      <c r="D397" s="64"/>
      <c r="E397" s="65"/>
      <c r="F397" s="64"/>
      <c r="G397" s="67"/>
      <c r="H397" s="64"/>
      <c r="I397" s="64"/>
      <c r="J397" s="64"/>
      <c r="K397" s="64"/>
      <c r="L397" s="65"/>
      <c r="M397" s="64"/>
      <c r="N397" s="64"/>
      <c r="O397" s="64"/>
      <c r="P397" s="64"/>
      <c r="Q397" s="64"/>
      <c r="R397" s="64"/>
      <c r="S397" s="64"/>
      <c r="T397" s="65"/>
      <c r="U397" s="64"/>
      <c r="V397" s="64"/>
      <c r="W397" s="64"/>
      <c r="X397" s="64"/>
      <c r="Y397" s="64"/>
      <c r="Z397" s="64"/>
      <c r="AA397" s="64"/>
      <c r="AB397" s="64"/>
      <c r="AC397" s="64"/>
      <c r="AD397" s="64"/>
      <c r="AE397" s="64"/>
      <c r="AF397" s="64"/>
      <c r="AG397" s="64"/>
    </row>
    <row r="398">
      <c r="A398" s="64"/>
      <c r="B398" s="64"/>
      <c r="C398" s="64"/>
      <c r="D398" s="64"/>
      <c r="E398" s="65"/>
      <c r="F398" s="64"/>
      <c r="G398" s="67"/>
      <c r="H398" s="64"/>
      <c r="I398" s="64"/>
      <c r="J398" s="64"/>
      <c r="K398" s="64"/>
      <c r="L398" s="65"/>
      <c r="M398" s="64"/>
      <c r="N398" s="64"/>
      <c r="O398" s="64"/>
      <c r="P398" s="64"/>
      <c r="Q398" s="64"/>
      <c r="R398" s="64"/>
      <c r="S398" s="64"/>
      <c r="T398" s="65"/>
      <c r="U398" s="64"/>
      <c r="V398" s="64"/>
      <c r="W398" s="64"/>
      <c r="X398" s="64"/>
      <c r="Y398" s="64"/>
      <c r="Z398" s="64"/>
      <c r="AA398" s="64"/>
      <c r="AB398" s="64"/>
      <c r="AC398" s="64"/>
      <c r="AD398" s="64"/>
      <c r="AE398" s="64"/>
      <c r="AF398" s="64"/>
      <c r="AG398" s="64"/>
    </row>
    <row r="399">
      <c r="A399" s="64"/>
      <c r="B399" s="64"/>
      <c r="C399" s="64"/>
      <c r="D399" s="64"/>
      <c r="E399" s="65"/>
      <c r="F399" s="64"/>
      <c r="G399" s="67"/>
      <c r="H399" s="64"/>
      <c r="I399" s="64"/>
      <c r="J399" s="64"/>
      <c r="K399" s="64"/>
      <c r="L399" s="65"/>
      <c r="M399" s="64"/>
      <c r="N399" s="64"/>
      <c r="O399" s="64"/>
      <c r="P399" s="64"/>
      <c r="Q399" s="64"/>
      <c r="R399" s="64"/>
      <c r="S399" s="64"/>
      <c r="T399" s="65"/>
      <c r="U399" s="64"/>
      <c r="V399" s="64"/>
      <c r="W399" s="64"/>
      <c r="X399" s="64"/>
      <c r="Y399" s="64"/>
      <c r="Z399" s="64"/>
      <c r="AA399" s="64"/>
      <c r="AB399" s="64"/>
      <c r="AC399" s="64"/>
      <c r="AD399" s="64"/>
      <c r="AE399" s="64"/>
      <c r="AF399" s="64"/>
      <c r="AG399" s="64"/>
    </row>
    <row r="400">
      <c r="A400" s="64"/>
      <c r="B400" s="64"/>
      <c r="C400" s="64"/>
      <c r="D400" s="64"/>
      <c r="E400" s="65"/>
      <c r="F400" s="64"/>
      <c r="G400" s="67"/>
      <c r="H400" s="64"/>
      <c r="I400" s="64"/>
      <c r="J400" s="64"/>
      <c r="K400" s="64"/>
      <c r="L400" s="65"/>
      <c r="M400" s="64"/>
      <c r="N400" s="64"/>
      <c r="O400" s="64"/>
      <c r="P400" s="64"/>
      <c r="Q400" s="64"/>
      <c r="R400" s="64"/>
      <c r="S400" s="64"/>
      <c r="T400" s="65"/>
      <c r="U400" s="64"/>
      <c r="V400" s="64"/>
      <c r="W400" s="64"/>
      <c r="X400" s="64"/>
      <c r="Y400" s="64"/>
      <c r="Z400" s="64"/>
      <c r="AA400" s="64"/>
      <c r="AB400" s="64"/>
      <c r="AC400" s="64"/>
      <c r="AD400" s="64"/>
      <c r="AE400" s="64"/>
      <c r="AF400" s="64"/>
      <c r="AG400" s="64"/>
    </row>
    <row r="401">
      <c r="A401" s="64"/>
      <c r="B401" s="64"/>
      <c r="C401" s="64"/>
      <c r="D401" s="64"/>
      <c r="E401" s="65"/>
      <c r="F401" s="64"/>
      <c r="G401" s="67"/>
      <c r="H401" s="64"/>
      <c r="I401" s="64"/>
      <c r="J401" s="64"/>
      <c r="K401" s="64"/>
      <c r="L401" s="65"/>
      <c r="M401" s="64"/>
      <c r="N401" s="64"/>
      <c r="O401" s="64"/>
      <c r="P401" s="64"/>
      <c r="Q401" s="64"/>
      <c r="R401" s="64"/>
      <c r="S401" s="64"/>
      <c r="T401" s="65"/>
      <c r="U401" s="64"/>
      <c r="V401" s="64"/>
      <c r="W401" s="64"/>
      <c r="X401" s="64"/>
      <c r="Y401" s="64"/>
      <c r="Z401" s="64"/>
      <c r="AA401" s="64"/>
      <c r="AB401" s="64"/>
      <c r="AC401" s="64"/>
      <c r="AD401" s="64"/>
      <c r="AE401" s="64"/>
      <c r="AF401" s="64"/>
      <c r="AG401" s="64"/>
    </row>
    <row r="402">
      <c r="A402" s="64"/>
      <c r="B402" s="64"/>
      <c r="C402" s="64"/>
      <c r="D402" s="64"/>
      <c r="E402" s="65"/>
      <c r="F402" s="64"/>
      <c r="G402" s="67"/>
      <c r="H402" s="64"/>
      <c r="I402" s="64"/>
      <c r="J402" s="64"/>
      <c r="K402" s="64"/>
      <c r="L402" s="65"/>
      <c r="M402" s="64"/>
      <c r="N402" s="64"/>
      <c r="O402" s="64"/>
      <c r="P402" s="64"/>
      <c r="Q402" s="64"/>
      <c r="R402" s="64"/>
      <c r="S402" s="64"/>
      <c r="T402" s="65"/>
      <c r="U402" s="64"/>
      <c r="V402" s="64"/>
      <c r="W402" s="64"/>
      <c r="X402" s="64"/>
      <c r="Y402" s="64"/>
      <c r="Z402" s="64"/>
      <c r="AA402" s="64"/>
      <c r="AB402" s="64"/>
      <c r="AC402" s="64"/>
      <c r="AD402" s="64"/>
      <c r="AE402" s="64"/>
      <c r="AF402" s="64"/>
      <c r="AG402" s="64"/>
    </row>
    <row r="403">
      <c r="A403" s="64"/>
      <c r="B403" s="64"/>
      <c r="C403" s="64"/>
      <c r="D403" s="64"/>
      <c r="E403" s="65"/>
      <c r="F403" s="64"/>
      <c r="G403" s="67"/>
      <c r="H403" s="64"/>
      <c r="I403" s="64"/>
      <c r="J403" s="64"/>
      <c r="K403" s="64"/>
      <c r="L403" s="65"/>
      <c r="M403" s="64"/>
      <c r="N403" s="64"/>
      <c r="O403" s="64"/>
      <c r="P403" s="64"/>
      <c r="Q403" s="64"/>
      <c r="R403" s="64"/>
      <c r="S403" s="64"/>
      <c r="T403" s="65"/>
      <c r="U403" s="64"/>
      <c r="V403" s="64"/>
      <c r="W403" s="64"/>
      <c r="X403" s="64"/>
      <c r="Y403" s="64"/>
      <c r="Z403" s="64"/>
      <c r="AA403" s="64"/>
      <c r="AB403" s="64"/>
      <c r="AC403" s="64"/>
      <c r="AD403" s="64"/>
      <c r="AE403" s="64"/>
      <c r="AF403" s="64"/>
      <c r="AG403" s="64"/>
    </row>
    <row r="404">
      <c r="A404" s="64"/>
      <c r="B404" s="64"/>
      <c r="C404" s="64"/>
      <c r="D404" s="64"/>
      <c r="E404" s="65"/>
      <c r="F404" s="64"/>
      <c r="G404" s="67"/>
      <c r="H404" s="64"/>
      <c r="I404" s="64"/>
      <c r="J404" s="64"/>
      <c r="K404" s="64"/>
      <c r="L404" s="65"/>
      <c r="M404" s="64"/>
      <c r="N404" s="64"/>
      <c r="O404" s="64"/>
      <c r="P404" s="64"/>
      <c r="Q404" s="64"/>
      <c r="R404" s="64"/>
      <c r="S404" s="64"/>
      <c r="T404" s="65"/>
      <c r="U404" s="64"/>
      <c r="V404" s="64"/>
      <c r="W404" s="64"/>
      <c r="X404" s="64"/>
      <c r="Y404" s="64"/>
      <c r="Z404" s="64"/>
      <c r="AA404" s="64"/>
      <c r="AB404" s="64"/>
      <c r="AC404" s="64"/>
      <c r="AD404" s="64"/>
      <c r="AE404" s="64"/>
      <c r="AF404" s="64"/>
      <c r="AG404" s="64"/>
    </row>
    <row r="405">
      <c r="A405" s="64"/>
      <c r="B405" s="64"/>
      <c r="C405" s="64"/>
      <c r="D405" s="64"/>
      <c r="E405" s="65"/>
      <c r="F405" s="64"/>
      <c r="G405" s="67"/>
      <c r="H405" s="64"/>
      <c r="I405" s="64"/>
      <c r="J405" s="64"/>
      <c r="K405" s="64"/>
      <c r="L405" s="65"/>
      <c r="M405" s="64"/>
      <c r="N405" s="64"/>
      <c r="O405" s="64"/>
      <c r="P405" s="64"/>
      <c r="Q405" s="64"/>
      <c r="R405" s="64"/>
      <c r="S405" s="64"/>
      <c r="T405" s="65"/>
      <c r="U405" s="64"/>
      <c r="V405" s="64"/>
      <c r="W405" s="64"/>
      <c r="X405" s="64"/>
      <c r="Y405" s="64"/>
      <c r="Z405" s="64"/>
      <c r="AA405" s="64"/>
      <c r="AB405" s="64"/>
      <c r="AC405" s="64"/>
      <c r="AD405" s="64"/>
      <c r="AE405" s="64"/>
      <c r="AF405" s="64"/>
      <c r="AG405" s="64"/>
    </row>
    <row r="406">
      <c r="A406" s="64"/>
      <c r="B406" s="64"/>
      <c r="C406" s="64"/>
      <c r="D406" s="64"/>
      <c r="E406" s="65"/>
      <c r="F406" s="64"/>
      <c r="G406" s="67"/>
      <c r="H406" s="64"/>
      <c r="I406" s="64"/>
      <c r="J406" s="64"/>
      <c r="K406" s="64"/>
      <c r="L406" s="65"/>
      <c r="M406" s="64"/>
      <c r="N406" s="64"/>
      <c r="O406" s="64"/>
      <c r="P406" s="64"/>
      <c r="Q406" s="64"/>
      <c r="R406" s="64"/>
      <c r="S406" s="64"/>
      <c r="T406" s="65"/>
      <c r="U406" s="64"/>
      <c r="V406" s="64"/>
      <c r="W406" s="64"/>
      <c r="X406" s="64"/>
      <c r="Y406" s="64"/>
      <c r="Z406" s="64"/>
      <c r="AA406" s="64"/>
      <c r="AB406" s="64"/>
      <c r="AC406" s="64"/>
      <c r="AD406" s="64"/>
      <c r="AE406" s="64"/>
      <c r="AF406" s="64"/>
      <c r="AG406" s="64"/>
    </row>
    <row r="407">
      <c r="A407" s="64"/>
      <c r="B407" s="64"/>
      <c r="C407" s="64"/>
      <c r="D407" s="64"/>
      <c r="E407" s="65"/>
      <c r="F407" s="64"/>
      <c r="G407" s="67"/>
      <c r="H407" s="64"/>
      <c r="I407" s="64"/>
      <c r="J407" s="64"/>
      <c r="K407" s="64"/>
      <c r="L407" s="65"/>
      <c r="M407" s="64"/>
      <c r="N407" s="64"/>
      <c r="O407" s="64"/>
      <c r="P407" s="64"/>
      <c r="Q407" s="64"/>
      <c r="R407" s="64"/>
      <c r="S407" s="64"/>
      <c r="T407" s="65"/>
      <c r="U407" s="64"/>
      <c r="V407" s="64"/>
      <c r="W407" s="64"/>
      <c r="X407" s="64"/>
      <c r="Y407" s="64"/>
      <c r="Z407" s="64"/>
      <c r="AA407" s="64"/>
      <c r="AB407" s="64"/>
      <c r="AC407" s="64"/>
      <c r="AD407" s="64"/>
      <c r="AE407" s="64"/>
      <c r="AF407" s="64"/>
      <c r="AG407" s="64"/>
    </row>
    <row r="408">
      <c r="A408" s="64"/>
      <c r="B408" s="64"/>
      <c r="C408" s="64"/>
      <c r="D408" s="64"/>
      <c r="E408" s="65"/>
      <c r="F408" s="64"/>
      <c r="G408" s="67"/>
      <c r="H408" s="64"/>
      <c r="I408" s="64"/>
      <c r="J408" s="64"/>
      <c r="K408" s="64"/>
      <c r="L408" s="65"/>
      <c r="M408" s="64"/>
      <c r="N408" s="64"/>
      <c r="O408" s="64"/>
      <c r="P408" s="64"/>
      <c r="Q408" s="64"/>
      <c r="R408" s="64"/>
      <c r="S408" s="64"/>
      <c r="T408" s="65"/>
      <c r="U408" s="64"/>
      <c r="V408" s="64"/>
      <c r="W408" s="64"/>
      <c r="X408" s="64"/>
      <c r="Y408" s="64"/>
      <c r="Z408" s="64"/>
      <c r="AA408" s="64"/>
      <c r="AB408" s="64"/>
      <c r="AC408" s="64"/>
      <c r="AD408" s="64"/>
      <c r="AE408" s="64"/>
      <c r="AF408" s="64"/>
      <c r="AG408" s="64"/>
    </row>
    <row r="409">
      <c r="A409" s="64"/>
      <c r="B409" s="64"/>
      <c r="C409" s="64"/>
      <c r="D409" s="64"/>
      <c r="E409" s="65"/>
      <c r="F409" s="64"/>
      <c r="G409" s="67"/>
      <c r="H409" s="64"/>
      <c r="I409" s="64"/>
      <c r="J409" s="64"/>
      <c r="K409" s="64"/>
      <c r="L409" s="65"/>
      <c r="M409" s="64"/>
      <c r="N409" s="64"/>
      <c r="O409" s="64"/>
      <c r="P409" s="64"/>
      <c r="Q409" s="64"/>
      <c r="R409" s="64"/>
      <c r="S409" s="64"/>
      <c r="T409" s="65"/>
      <c r="U409" s="64"/>
      <c r="V409" s="64"/>
      <c r="W409" s="64"/>
      <c r="X409" s="64"/>
      <c r="Y409" s="64"/>
      <c r="Z409" s="64"/>
      <c r="AA409" s="64"/>
      <c r="AB409" s="64"/>
      <c r="AC409" s="64"/>
      <c r="AD409" s="64"/>
      <c r="AE409" s="64"/>
      <c r="AF409" s="64"/>
      <c r="AG409" s="64"/>
    </row>
    <row r="410">
      <c r="A410" s="64"/>
      <c r="B410" s="64"/>
      <c r="C410" s="64"/>
      <c r="D410" s="64"/>
      <c r="E410" s="65"/>
      <c r="F410" s="64"/>
      <c r="G410" s="67"/>
      <c r="H410" s="64"/>
      <c r="I410" s="64"/>
      <c r="J410" s="64"/>
      <c r="K410" s="64"/>
      <c r="L410" s="65"/>
      <c r="M410" s="64"/>
      <c r="N410" s="64"/>
      <c r="O410" s="64"/>
      <c r="P410" s="64"/>
      <c r="Q410" s="64"/>
      <c r="R410" s="64"/>
      <c r="S410" s="64"/>
      <c r="T410" s="65"/>
      <c r="U410" s="64"/>
      <c r="V410" s="64"/>
      <c r="W410" s="64"/>
      <c r="X410" s="64"/>
      <c r="Y410" s="64"/>
      <c r="Z410" s="64"/>
      <c r="AA410" s="64"/>
      <c r="AB410" s="64"/>
      <c r="AC410" s="64"/>
      <c r="AD410" s="64"/>
      <c r="AE410" s="64"/>
      <c r="AF410" s="64"/>
      <c r="AG410" s="64"/>
    </row>
    <row r="411">
      <c r="A411" s="64"/>
      <c r="B411" s="64"/>
      <c r="C411" s="64"/>
      <c r="D411" s="64"/>
      <c r="E411" s="65"/>
      <c r="F411" s="64"/>
      <c r="G411" s="67"/>
      <c r="H411" s="64"/>
      <c r="I411" s="64"/>
      <c r="J411" s="64"/>
      <c r="K411" s="64"/>
      <c r="L411" s="65"/>
      <c r="M411" s="64"/>
      <c r="N411" s="64"/>
      <c r="O411" s="64"/>
      <c r="P411" s="64"/>
      <c r="Q411" s="64"/>
      <c r="R411" s="64"/>
      <c r="S411" s="64"/>
      <c r="T411" s="65"/>
      <c r="U411" s="64"/>
      <c r="V411" s="64"/>
      <c r="W411" s="64"/>
      <c r="X411" s="64"/>
      <c r="Y411" s="64"/>
      <c r="Z411" s="64"/>
      <c r="AA411" s="64"/>
      <c r="AB411" s="64"/>
      <c r="AC411" s="64"/>
      <c r="AD411" s="64"/>
      <c r="AE411" s="64"/>
      <c r="AF411" s="64"/>
      <c r="AG411" s="64"/>
    </row>
    <row r="412">
      <c r="A412" s="64"/>
      <c r="B412" s="64"/>
      <c r="C412" s="64"/>
      <c r="D412" s="64"/>
      <c r="E412" s="65"/>
      <c r="F412" s="64"/>
      <c r="G412" s="67"/>
      <c r="H412" s="64"/>
      <c r="I412" s="64"/>
      <c r="J412" s="64"/>
      <c r="K412" s="64"/>
      <c r="L412" s="65"/>
      <c r="M412" s="64"/>
      <c r="N412" s="64"/>
      <c r="O412" s="64"/>
      <c r="P412" s="64"/>
      <c r="Q412" s="64"/>
      <c r="R412" s="64"/>
      <c r="S412" s="64"/>
      <c r="T412" s="65"/>
      <c r="U412" s="64"/>
      <c r="V412" s="64"/>
      <c r="W412" s="64"/>
      <c r="X412" s="64"/>
      <c r="Y412" s="64"/>
      <c r="Z412" s="64"/>
      <c r="AA412" s="64"/>
      <c r="AB412" s="64"/>
      <c r="AC412" s="64"/>
      <c r="AD412" s="64"/>
      <c r="AE412" s="64"/>
      <c r="AF412" s="64"/>
      <c r="AG412" s="64"/>
    </row>
    <row r="413">
      <c r="A413" s="64"/>
      <c r="B413" s="64"/>
      <c r="C413" s="64"/>
      <c r="D413" s="64"/>
      <c r="E413" s="65"/>
      <c r="F413" s="64"/>
      <c r="G413" s="67"/>
      <c r="H413" s="64"/>
      <c r="I413" s="64"/>
      <c r="J413" s="64"/>
      <c r="K413" s="64"/>
      <c r="L413" s="65"/>
      <c r="M413" s="64"/>
      <c r="N413" s="64"/>
      <c r="O413" s="64"/>
      <c r="P413" s="64"/>
      <c r="Q413" s="64"/>
      <c r="R413" s="64"/>
      <c r="S413" s="64"/>
      <c r="T413" s="65"/>
      <c r="U413" s="64"/>
      <c r="V413" s="64"/>
      <c r="W413" s="64"/>
      <c r="X413" s="64"/>
      <c r="Y413" s="64"/>
      <c r="Z413" s="64"/>
      <c r="AA413" s="64"/>
      <c r="AB413" s="64"/>
      <c r="AC413" s="64"/>
      <c r="AD413" s="64"/>
      <c r="AE413" s="64"/>
      <c r="AF413" s="64"/>
      <c r="AG413" s="64"/>
    </row>
    <row r="414">
      <c r="A414" s="64"/>
      <c r="B414" s="64"/>
      <c r="C414" s="64"/>
      <c r="D414" s="64"/>
      <c r="E414" s="65"/>
      <c r="F414" s="64"/>
      <c r="G414" s="67"/>
      <c r="H414" s="64"/>
      <c r="I414" s="64"/>
      <c r="J414" s="64"/>
      <c r="K414" s="64"/>
      <c r="L414" s="65"/>
      <c r="M414" s="64"/>
      <c r="N414" s="64"/>
      <c r="O414" s="64"/>
      <c r="P414" s="64"/>
      <c r="Q414" s="64"/>
      <c r="R414" s="64"/>
      <c r="S414" s="64"/>
      <c r="T414" s="65"/>
      <c r="U414" s="64"/>
      <c r="V414" s="64"/>
      <c r="W414" s="64"/>
      <c r="X414" s="64"/>
      <c r="Y414" s="64"/>
      <c r="Z414" s="64"/>
      <c r="AA414" s="64"/>
      <c r="AB414" s="64"/>
      <c r="AC414" s="64"/>
      <c r="AD414" s="64"/>
      <c r="AE414" s="64"/>
      <c r="AF414" s="64"/>
      <c r="AG414" s="64"/>
    </row>
    <row r="415">
      <c r="A415" s="64"/>
      <c r="B415" s="64"/>
      <c r="C415" s="64"/>
      <c r="D415" s="64"/>
      <c r="E415" s="65"/>
      <c r="F415" s="64"/>
      <c r="G415" s="67"/>
      <c r="H415" s="64"/>
      <c r="I415" s="64"/>
      <c r="J415" s="64"/>
      <c r="K415" s="64"/>
      <c r="L415" s="65"/>
      <c r="M415" s="64"/>
      <c r="N415" s="64"/>
      <c r="O415" s="64"/>
      <c r="P415" s="64"/>
      <c r="Q415" s="64"/>
      <c r="R415" s="64"/>
      <c r="S415" s="64"/>
      <c r="T415" s="65"/>
      <c r="U415" s="64"/>
      <c r="V415" s="64"/>
      <c r="W415" s="64"/>
      <c r="X415" s="64"/>
      <c r="Y415" s="64"/>
      <c r="Z415" s="64"/>
      <c r="AA415" s="64"/>
      <c r="AB415" s="64"/>
      <c r="AC415" s="64"/>
      <c r="AD415" s="64"/>
      <c r="AE415" s="64"/>
      <c r="AF415" s="64"/>
      <c r="AG415" s="64"/>
    </row>
    <row r="416">
      <c r="A416" s="64"/>
      <c r="B416" s="64"/>
      <c r="C416" s="64"/>
      <c r="D416" s="64"/>
      <c r="E416" s="65"/>
      <c r="F416" s="64"/>
      <c r="G416" s="67"/>
      <c r="H416" s="64"/>
      <c r="I416" s="64"/>
      <c r="J416" s="64"/>
      <c r="K416" s="64"/>
      <c r="L416" s="65"/>
      <c r="M416" s="64"/>
      <c r="N416" s="64"/>
      <c r="O416" s="64"/>
      <c r="P416" s="64"/>
      <c r="Q416" s="64"/>
      <c r="R416" s="64"/>
      <c r="S416" s="64"/>
      <c r="T416" s="65"/>
      <c r="U416" s="64"/>
      <c r="V416" s="64"/>
      <c r="W416" s="64"/>
      <c r="X416" s="64"/>
      <c r="Y416" s="64"/>
      <c r="Z416" s="64"/>
      <c r="AA416" s="64"/>
      <c r="AB416" s="64"/>
      <c r="AC416" s="64"/>
      <c r="AD416" s="64"/>
      <c r="AE416" s="64"/>
      <c r="AF416" s="64"/>
      <c r="AG416" s="64"/>
    </row>
    <row r="417">
      <c r="A417" s="64"/>
      <c r="B417" s="64"/>
      <c r="C417" s="64"/>
      <c r="D417" s="64"/>
      <c r="E417" s="65"/>
      <c r="F417" s="64"/>
      <c r="G417" s="67"/>
      <c r="H417" s="64"/>
      <c r="I417" s="64"/>
      <c r="J417" s="64"/>
      <c r="K417" s="64"/>
      <c r="L417" s="65"/>
      <c r="M417" s="64"/>
      <c r="N417" s="64"/>
      <c r="O417" s="64"/>
      <c r="P417" s="64"/>
      <c r="Q417" s="64"/>
      <c r="R417" s="64"/>
      <c r="S417" s="64"/>
      <c r="T417" s="65"/>
      <c r="U417" s="64"/>
      <c r="V417" s="64"/>
      <c r="W417" s="64"/>
      <c r="X417" s="64"/>
      <c r="Y417" s="64"/>
      <c r="Z417" s="64"/>
      <c r="AA417" s="64"/>
      <c r="AB417" s="64"/>
      <c r="AC417" s="64"/>
      <c r="AD417" s="64"/>
      <c r="AE417" s="64"/>
      <c r="AF417" s="64"/>
      <c r="AG417" s="64"/>
    </row>
    <row r="418">
      <c r="A418" s="64"/>
      <c r="B418" s="64"/>
      <c r="C418" s="64"/>
      <c r="D418" s="64"/>
      <c r="E418" s="65"/>
      <c r="F418" s="64"/>
      <c r="G418" s="67"/>
      <c r="H418" s="64"/>
      <c r="I418" s="64"/>
      <c r="J418" s="64"/>
      <c r="K418" s="64"/>
      <c r="L418" s="65"/>
      <c r="M418" s="64"/>
      <c r="N418" s="64"/>
      <c r="O418" s="64"/>
      <c r="P418" s="64"/>
      <c r="Q418" s="64"/>
      <c r="R418" s="64"/>
      <c r="S418" s="64"/>
      <c r="T418" s="65"/>
      <c r="U418" s="64"/>
      <c r="V418" s="64"/>
      <c r="W418" s="64"/>
      <c r="X418" s="64"/>
      <c r="Y418" s="64"/>
      <c r="Z418" s="64"/>
      <c r="AA418" s="64"/>
      <c r="AB418" s="64"/>
      <c r="AC418" s="64"/>
      <c r="AD418" s="64"/>
      <c r="AE418" s="64"/>
      <c r="AF418" s="64"/>
      <c r="AG418" s="64"/>
    </row>
    <row r="419">
      <c r="A419" s="64"/>
      <c r="B419" s="64"/>
      <c r="C419" s="64"/>
      <c r="D419" s="64"/>
      <c r="E419" s="65"/>
      <c r="F419" s="64"/>
      <c r="G419" s="67"/>
      <c r="H419" s="64"/>
      <c r="I419" s="64"/>
      <c r="J419" s="64"/>
      <c r="K419" s="64"/>
      <c r="L419" s="65"/>
      <c r="M419" s="64"/>
      <c r="N419" s="64"/>
      <c r="O419" s="64"/>
      <c r="P419" s="64"/>
      <c r="Q419" s="64"/>
      <c r="R419" s="64"/>
      <c r="S419" s="64"/>
      <c r="T419" s="65"/>
      <c r="U419" s="64"/>
      <c r="V419" s="64"/>
      <c r="W419" s="64"/>
      <c r="X419" s="64"/>
      <c r="Y419" s="64"/>
      <c r="Z419" s="64"/>
      <c r="AA419" s="64"/>
      <c r="AB419" s="64"/>
      <c r="AC419" s="64"/>
      <c r="AD419" s="64"/>
      <c r="AE419" s="64"/>
      <c r="AF419" s="64"/>
      <c r="AG419" s="64"/>
    </row>
    <row r="420">
      <c r="A420" s="64"/>
      <c r="B420" s="64"/>
      <c r="C420" s="64"/>
      <c r="D420" s="64"/>
      <c r="E420" s="65"/>
      <c r="F420" s="64"/>
      <c r="G420" s="67"/>
      <c r="H420" s="64"/>
      <c r="I420" s="64"/>
      <c r="J420" s="64"/>
      <c r="K420" s="64"/>
      <c r="L420" s="65"/>
      <c r="M420" s="64"/>
      <c r="N420" s="64"/>
      <c r="O420" s="64"/>
      <c r="P420" s="64"/>
      <c r="Q420" s="64"/>
      <c r="R420" s="64"/>
      <c r="S420" s="64"/>
      <c r="T420" s="65"/>
      <c r="U420" s="64"/>
      <c r="V420" s="64"/>
      <c r="W420" s="64"/>
      <c r="X420" s="64"/>
      <c r="Y420" s="64"/>
      <c r="Z420" s="64"/>
      <c r="AA420" s="64"/>
      <c r="AB420" s="64"/>
      <c r="AC420" s="64"/>
      <c r="AD420" s="64"/>
      <c r="AE420" s="64"/>
      <c r="AF420" s="64"/>
      <c r="AG420" s="64"/>
    </row>
    <row r="421">
      <c r="A421" s="64"/>
      <c r="B421" s="64"/>
      <c r="C421" s="64"/>
      <c r="D421" s="64"/>
      <c r="E421" s="65"/>
      <c r="F421" s="64"/>
      <c r="G421" s="67"/>
      <c r="H421" s="64"/>
      <c r="I421" s="64"/>
      <c r="J421" s="64"/>
      <c r="K421" s="64"/>
      <c r="L421" s="65"/>
      <c r="M421" s="64"/>
      <c r="N421" s="64"/>
      <c r="O421" s="64"/>
      <c r="P421" s="64"/>
      <c r="Q421" s="64"/>
      <c r="R421" s="64"/>
      <c r="S421" s="64"/>
      <c r="T421" s="65"/>
      <c r="U421" s="64"/>
      <c r="V421" s="64"/>
      <c r="W421" s="64"/>
      <c r="X421" s="64"/>
      <c r="Y421" s="64"/>
      <c r="Z421" s="64"/>
      <c r="AA421" s="64"/>
      <c r="AB421" s="64"/>
      <c r="AC421" s="64"/>
      <c r="AD421" s="64"/>
      <c r="AE421" s="64"/>
      <c r="AF421" s="64"/>
      <c r="AG421" s="64"/>
    </row>
    <row r="422">
      <c r="A422" s="64"/>
      <c r="B422" s="64"/>
      <c r="C422" s="64"/>
      <c r="D422" s="64"/>
      <c r="E422" s="65"/>
      <c r="F422" s="64"/>
      <c r="G422" s="67"/>
      <c r="H422" s="64"/>
      <c r="I422" s="64"/>
      <c r="J422" s="64"/>
      <c r="K422" s="64"/>
      <c r="L422" s="65"/>
      <c r="M422" s="64"/>
      <c r="N422" s="64"/>
      <c r="O422" s="64"/>
      <c r="P422" s="64"/>
      <c r="Q422" s="64"/>
      <c r="R422" s="64"/>
      <c r="S422" s="64"/>
      <c r="T422" s="65"/>
      <c r="U422" s="64"/>
      <c r="V422" s="64"/>
      <c r="W422" s="64"/>
      <c r="X422" s="64"/>
      <c r="Y422" s="64"/>
      <c r="Z422" s="64"/>
      <c r="AA422" s="64"/>
      <c r="AB422" s="64"/>
      <c r="AC422" s="64"/>
      <c r="AD422" s="64"/>
      <c r="AE422" s="64"/>
      <c r="AF422" s="64"/>
      <c r="AG422" s="64"/>
    </row>
    <row r="423">
      <c r="A423" s="64"/>
      <c r="B423" s="64"/>
      <c r="C423" s="64"/>
      <c r="D423" s="64"/>
      <c r="E423" s="65"/>
      <c r="F423" s="64"/>
      <c r="G423" s="67"/>
      <c r="H423" s="64"/>
      <c r="I423" s="64"/>
      <c r="J423" s="64"/>
      <c r="K423" s="64"/>
      <c r="L423" s="65"/>
      <c r="M423" s="64"/>
      <c r="N423" s="64"/>
      <c r="O423" s="64"/>
      <c r="P423" s="64"/>
      <c r="Q423" s="64"/>
      <c r="R423" s="64"/>
      <c r="S423" s="64"/>
      <c r="T423" s="65"/>
      <c r="U423" s="64"/>
      <c r="V423" s="64"/>
      <c r="W423" s="64"/>
      <c r="X423" s="64"/>
      <c r="Y423" s="64"/>
      <c r="Z423" s="64"/>
      <c r="AA423" s="64"/>
      <c r="AB423" s="64"/>
      <c r="AC423" s="64"/>
      <c r="AD423" s="64"/>
      <c r="AE423" s="64"/>
      <c r="AF423" s="64"/>
      <c r="AG423" s="64"/>
    </row>
    <row r="424">
      <c r="A424" s="64"/>
      <c r="B424" s="64"/>
      <c r="C424" s="64"/>
      <c r="D424" s="64"/>
      <c r="E424" s="65"/>
      <c r="F424" s="64"/>
      <c r="G424" s="67"/>
      <c r="H424" s="64"/>
      <c r="I424" s="64"/>
      <c r="J424" s="64"/>
      <c r="K424" s="64"/>
      <c r="L424" s="65"/>
      <c r="M424" s="64"/>
      <c r="N424" s="64"/>
      <c r="O424" s="64"/>
      <c r="P424" s="64"/>
      <c r="Q424" s="64"/>
      <c r="R424" s="64"/>
      <c r="S424" s="64"/>
      <c r="T424" s="65"/>
      <c r="U424" s="64"/>
      <c r="V424" s="64"/>
      <c r="W424" s="64"/>
      <c r="X424" s="64"/>
      <c r="Y424" s="64"/>
      <c r="Z424" s="64"/>
      <c r="AA424" s="64"/>
      <c r="AB424" s="64"/>
      <c r="AC424" s="64"/>
      <c r="AD424" s="64"/>
      <c r="AE424" s="64"/>
      <c r="AF424" s="64"/>
      <c r="AG424" s="64"/>
    </row>
    <row r="425">
      <c r="A425" s="64"/>
      <c r="B425" s="64"/>
      <c r="C425" s="64"/>
      <c r="D425" s="64"/>
      <c r="E425" s="65"/>
      <c r="F425" s="64"/>
      <c r="G425" s="67"/>
      <c r="H425" s="64"/>
      <c r="I425" s="64"/>
      <c r="J425" s="64"/>
      <c r="K425" s="64"/>
      <c r="L425" s="65"/>
      <c r="M425" s="64"/>
      <c r="N425" s="64"/>
      <c r="O425" s="64"/>
      <c r="P425" s="64"/>
      <c r="Q425" s="64"/>
      <c r="R425" s="64"/>
      <c r="S425" s="64"/>
      <c r="T425" s="65"/>
      <c r="U425" s="64"/>
      <c r="V425" s="64"/>
      <c r="W425" s="64"/>
      <c r="X425" s="64"/>
      <c r="Y425" s="64"/>
      <c r="Z425" s="64"/>
      <c r="AA425" s="64"/>
      <c r="AB425" s="64"/>
      <c r="AC425" s="64"/>
      <c r="AD425" s="64"/>
      <c r="AE425" s="64"/>
      <c r="AF425" s="64"/>
      <c r="AG425" s="64"/>
    </row>
    <row r="426">
      <c r="A426" s="64"/>
      <c r="B426" s="64"/>
      <c r="C426" s="64"/>
      <c r="D426" s="64"/>
      <c r="E426" s="65"/>
      <c r="F426" s="64"/>
      <c r="G426" s="67"/>
      <c r="H426" s="64"/>
      <c r="I426" s="64"/>
      <c r="J426" s="64"/>
      <c r="K426" s="64"/>
      <c r="L426" s="65"/>
      <c r="M426" s="64"/>
      <c r="N426" s="64"/>
      <c r="O426" s="64"/>
      <c r="P426" s="64"/>
      <c r="Q426" s="64"/>
      <c r="R426" s="64"/>
      <c r="S426" s="64"/>
      <c r="T426" s="65"/>
      <c r="U426" s="64"/>
      <c r="V426" s="64"/>
      <c r="W426" s="64"/>
      <c r="X426" s="64"/>
      <c r="Y426" s="64"/>
      <c r="Z426" s="64"/>
      <c r="AA426" s="64"/>
      <c r="AB426" s="64"/>
      <c r="AC426" s="64"/>
      <c r="AD426" s="64"/>
      <c r="AE426" s="64"/>
      <c r="AF426" s="64"/>
      <c r="AG426" s="64"/>
    </row>
    <row r="427">
      <c r="A427" s="64"/>
      <c r="B427" s="64"/>
      <c r="C427" s="64"/>
      <c r="D427" s="64"/>
      <c r="E427" s="65"/>
      <c r="F427" s="64"/>
      <c r="G427" s="67"/>
      <c r="H427" s="64"/>
      <c r="I427" s="64"/>
      <c r="J427" s="64"/>
      <c r="K427" s="64"/>
      <c r="L427" s="65"/>
      <c r="M427" s="64"/>
      <c r="N427" s="64"/>
      <c r="O427" s="64"/>
      <c r="P427" s="64"/>
      <c r="Q427" s="64"/>
      <c r="R427" s="64"/>
      <c r="S427" s="64"/>
      <c r="T427" s="65"/>
      <c r="U427" s="64"/>
      <c r="V427" s="64"/>
      <c r="W427" s="64"/>
      <c r="X427" s="64"/>
      <c r="Y427" s="64"/>
      <c r="Z427" s="64"/>
      <c r="AA427" s="64"/>
      <c r="AB427" s="64"/>
      <c r="AC427" s="64"/>
      <c r="AD427" s="64"/>
      <c r="AE427" s="64"/>
      <c r="AF427" s="64"/>
      <c r="AG427" s="64"/>
    </row>
    <row r="428">
      <c r="A428" s="64"/>
      <c r="B428" s="64"/>
      <c r="C428" s="64"/>
      <c r="D428" s="64"/>
      <c r="E428" s="65"/>
      <c r="F428" s="64"/>
      <c r="G428" s="67"/>
      <c r="H428" s="64"/>
      <c r="I428" s="64"/>
      <c r="J428" s="64"/>
      <c r="K428" s="64"/>
      <c r="L428" s="65"/>
      <c r="M428" s="64"/>
      <c r="N428" s="64"/>
      <c r="O428" s="64"/>
      <c r="P428" s="64"/>
      <c r="Q428" s="64"/>
      <c r="R428" s="64"/>
      <c r="S428" s="64"/>
      <c r="T428" s="65"/>
      <c r="U428" s="64"/>
      <c r="V428" s="64"/>
      <c r="W428" s="64"/>
      <c r="X428" s="64"/>
      <c r="Y428" s="64"/>
      <c r="Z428" s="64"/>
      <c r="AA428" s="64"/>
      <c r="AB428" s="64"/>
      <c r="AC428" s="64"/>
      <c r="AD428" s="64"/>
      <c r="AE428" s="64"/>
      <c r="AF428" s="64"/>
      <c r="AG428" s="64"/>
    </row>
    <row r="429">
      <c r="A429" s="64"/>
      <c r="B429" s="64"/>
      <c r="C429" s="64"/>
      <c r="D429" s="64"/>
      <c r="E429" s="65"/>
      <c r="F429" s="64"/>
      <c r="G429" s="67"/>
      <c r="H429" s="64"/>
      <c r="I429" s="64"/>
      <c r="J429" s="64"/>
      <c r="K429" s="64"/>
      <c r="L429" s="65"/>
      <c r="M429" s="64"/>
      <c r="N429" s="64"/>
      <c r="O429" s="64"/>
      <c r="P429" s="64"/>
      <c r="Q429" s="64"/>
      <c r="R429" s="64"/>
      <c r="S429" s="64"/>
      <c r="T429" s="65"/>
      <c r="U429" s="64"/>
      <c r="V429" s="64"/>
      <c r="W429" s="64"/>
      <c r="X429" s="64"/>
      <c r="Y429" s="64"/>
      <c r="Z429" s="64"/>
      <c r="AA429" s="64"/>
      <c r="AB429" s="64"/>
      <c r="AC429" s="64"/>
      <c r="AD429" s="64"/>
      <c r="AE429" s="64"/>
      <c r="AF429" s="64"/>
      <c r="AG429" s="64"/>
    </row>
    <row r="430">
      <c r="A430" s="64"/>
      <c r="B430" s="64"/>
      <c r="C430" s="64"/>
      <c r="D430" s="64"/>
      <c r="E430" s="65"/>
      <c r="F430" s="64"/>
      <c r="G430" s="67"/>
      <c r="H430" s="64"/>
      <c r="I430" s="64"/>
      <c r="J430" s="64"/>
      <c r="K430" s="64"/>
      <c r="L430" s="65"/>
      <c r="M430" s="64"/>
      <c r="N430" s="64"/>
      <c r="O430" s="64"/>
      <c r="P430" s="64"/>
      <c r="Q430" s="64"/>
      <c r="R430" s="64"/>
      <c r="S430" s="64"/>
      <c r="T430" s="65"/>
      <c r="U430" s="64"/>
      <c r="V430" s="64"/>
      <c r="W430" s="64"/>
      <c r="X430" s="64"/>
      <c r="Y430" s="64"/>
      <c r="Z430" s="64"/>
      <c r="AA430" s="64"/>
      <c r="AB430" s="64"/>
      <c r="AC430" s="64"/>
      <c r="AD430" s="64"/>
      <c r="AE430" s="64"/>
      <c r="AF430" s="64"/>
      <c r="AG430" s="64"/>
    </row>
    <row r="431">
      <c r="A431" s="64"/>
      <c r="B431" s="64"/>
      <c r="C431" s="64"/>
      <c r="D431" s="64"/>
      <c r="E431" s="65"/>
      <c r="F431" s="64"/>
      <c r="G431" s="67"/>
      <c r="H431" s="64"/>
      <c r="I431" s="64"/>
      <c r="J431" s="64"/>
      <c r="K431" s="64"/>
      <c r="L431" s="65"/>
      <c r="M431" s="64"/>
      <c r="N431" s="64"/>
      <c r="O431" s="64"/>
      <c r="P431" s="64"/>
      <c r="Q431" s="64"/>
      <c r="R431" s="64"/>
      <c r="S431" s="64"/>
      <c r="T431" s="65"/>
      <c r="U431" s="64"/>
      <c r="V431" s="64"/>
      <c r="W431" s="64"/>
      <c r="X431" s="64"/>
      <c r="Y431" s="64"/>
      <c r="Z431" s="64"/>
      <c r="AA431" s="64"/>
      <c r="AB431" s="64"/>
      <c r="AC431" s="64"/>
      <c r="AD431" s="64"/>
      <c r="AE431" s="64"/>
      <c r="AF431" s="64"/>
      <c r="AG431" s="64"/>
    </row>
    <row r="432">
      <c r="A432" s="64"/>
      <c r="B432" s="64"/>
      <c r="C432" s="64"/>
      <c r="D432" s="64"/>
      <c r="E432" s="65"/>
      <c r="F432" s="64"/>
      <c r="G432" s="67"/>
      <c r="H432" s="64"/>
      <c r="I432" s="64"/>
      <c r="J432" s="64"/>
      <c r="K432" s="64"/>
      <c r="L432" s="65"/>
      <c r="M432" s="64"/>
      <c r="N432" s="64"/>
      <c r="O432" s="64"/>
      <c r="P432" s="64"/>
      <c r="Q432" s="64"/>
      <c r="R432" s="64"/>
      <c r="S432" s="64"/>
      <c r="T432" s="65"/>
      <c r="U432" s="64"/>
      <c r="V432" s="64"/>
      <c r="W432" s="64"/>
      <c r="X432" s="64"/>
      <c r="Y432" s="64"/>
      <c r="Z432" s="64"/>
      <c r="AA432" s="64"/>
      <c r="AB432" s="64"/>
      <c r="AC432" s="64"/>
      <c r="AD432" s="64"/>
      <c r="AE432" s="64"/>
      <c r="AF432" s="64"/>
      <c r="AG432" s="64"/>
    </row>
    <row r="433">
      <c r="A433" s="64"/>
      <c r="B433" s="64"/>
      <c r="C433" s="64"/>
      <c r="D433" s="64"/>
      <c r="E433" s="65"/>
      <c r="F433" s="64"/>
      <c r="G433" s="67"/>
      <c r="H433" s="64"/>
      <c r="I433" s="64"/>
      <c r="J433" s="64"/>
      <c r="K433" s="64"/>
      <c r="L433" s="65"/>
      <c r="M433" s="64"/>
      <c r="N433" s="64"/>
      <c r="O433" s="64"/>
      <c r="P433" s="64"/>
      <c r="Q433" s="64"/>
      <c r="R433" s="64"/>
      <c r="S433" s="64"/>
      <c r="T433" s="65"/>
      <c r="U433" s="64"/>
      <c r="V433" s="64"/>
      <c r="W433" s="64"/>
      <c r="X433" s="64"/>
      <c r="Y433" s="64"/>
      <c r="Z433" s="64"/>
      <c r="AA433" s="64"/>
      <c r="AB433" s="64"/>
      <c r="AC433" s="64"/>
      <c r="AD433" s="64"/>
      <c r="AE433" s="64"/>
      <c r="AF433" s="64"/>
      <c r="AG433" s="64"/>
    </row>
    <row r="434">
      <c r="A434" s="64"/>
      <c r="B434" s="64"/>
      <c r="C434" s="64"/>
      <c r="D434" s="64"/>
      <c r="E434" s="65"/>
      <c r="F434" s="64"/>
      <c r="G434" s="67"/>
      <c r="H434" s="64"/>
      <c r="I434" s="64"/>
      <c r="J434" s="64"/>
      <c r="K434" s="64"/>
      <c r="L434" s="65"/>
      <c r="M434" s="64"/>
      <c r="N434" s="64"/>
      <c r="O434" s="64"/>
      <c r="P434" s="64"/>
      <c r="Q434" s="64"/>
      <c r="R434" s="64"/>
      <c r="S434" s="64"/>
      <c r="T434" s="65"/>
      <c r="U434" s="64"/>
      <c r="V434" s="64"/>
      <c r="W434" s="64"/>
      <c r="X434" s="64"/>
      <c r="Y434" s="64"/>
      <c r="Z434" s="64"/>
      <c r="AA434" s="64"/>
      <c r="AB434" s="64"/>
      <c r="AC434" s="64"/>
      <c r="AD434" s="64"/>
      <c r="AE434" s="64"/>
      <c r="AF434" s="64"/>
      <c r="AG434" s="64"/>
    </row>
    <row r="435">
      <c r="A435" s="64"/>
      <c r="B435" s="64"/>
      <c r="C435" s="64"/>
      <c r="D435" s="64"/>
      <c r="E435" s="65"/>
      <c r="F435" s="64"/>
      <c r="G435" s="67"/>
      <c r="H435" s="64"/>
      <c r="I435" s="64"/>
      <c r="J435" s="64"/>
      <c r="K435" s="64"/>
      <c r="L435" s="65"/>
      <c r="M435" s="64"/>
      <c r="N435" s="64"/>
      <c r="O435" s="64"/>
      <c r="P435" s="64"/>
      <c r="Q435" s="64"/>
      <c r="R435" s="64"/>
      <c r="S435" s="64"/>
      <c r="T435" s="65"/>
      <c r="U435" s="64"/>
      <c r="V435" s="64"/>
      <c r="W435" s="64"/>
      <c r="X435" s="64"/>
      <c r="Y435" s="64"/>
      <c r="Z435" s="64"/>
      <c r="AA435" s="64"/>
      <c r="AB435" s="64"/>
      <c r="AC435" s="64"/>
      <c r="AD435" s="64"/>
      <c r="AE435" s="64"/>
      <c r="AF435" s="64"/>
      <c r="AG435" s="64"/>
    </row>
    <row r="436">
      <c r="A436" s="64"/>
      <c r="B436" s="64"/>
      <c r="C436" s="64"/>
      <c r="D436" s="64"/>
      <c r="E436" s="65"/>
      <c r="F436" s="64"/>
      <c r="G436" s="67"/>
      <c r="H436" s="64"/>
      <c r="I436" s="64"/>
      <c r="J436" s="64"/>
      <c r="K436" s="64"/>
      <c r="L436" s="65"/>
      <c r="M436" s="64"/>
      <c r="N436" s="64"/>
      <c r="O436" s="64"/>
      <c r="P436" s="64"/>
      <c r="Q436" s="64"/>
      <c r="R436" s="64"/>
      <c r="S436" s="64"/>
      <c r="T436" s="65"/>
      <c r="U436" s="64"/>
      <c r="V436" s="64"/>
      <c r="W436" s="64"/>
      <c r="X436" s="64"/>
      <c r="Y436" s="64"/>
      <c r="Z436" s="64"/>
      <c r="AA436" s="64"/>
      <c r="AB436" s="64"/>
      <c r="AC436" s="64"/>
      <c r="AD436" s="64"/>
      <c r="AE436" s="64"/>
      <c r="AF436" s="64"/>
      <c r="AG436" s="64"/>
    </row>
    <row r="437">
      <c r="A437" s="64"/>
      <c r="B437" s="64"/>
      <c r="C437" s="64"/>
      <c r="D437" s="64"/>
      <c r="E437" s="65"/>
      <c r="F437" s="64"/>
      <c r="G437" s="67"/>
      <c r="H437" s="64"/>
      <c r="I437" s="64"/>
      <c r="J437" s="64"/>
      <c r="K437" s="64"/>
      <c r="L437" s="65"/>
      <c r="M437" s="64"/>
      <c r="N437" s="64"/>
      <c r="O437" s="64"/>
      <c r="P437" s="64"/>
      <c r="Q437" s="64"/>
      <c r="R437" s="64"/>
      <c r="S437" s="64"/>
      <c r="T437" s="65"/>
      <c r="U437" s="64"/>
      <c r="V437" s="64"/>
      <c r="W437" s="64"/>
      <c r="X437" s="64"/>
      <c r="Y437" s="64"/>
      <c r="Z437" s="64"/>
      <c r="AA437" s="64"/>
      <c r="AB437" s="64"/>
      <c r="AC437" s="64"/>
      <c r="AD437" s="64"/>
      <c r="AE437" s="64"/>
      <c r="AF437" s="64"/>
      <c r="AG437" s="64"/>
    </row>
    <row r="438">
      <c r="A438" s="64"/>
      <c r="B438" s="64"/>
      <c r="C438" s="64"/>
      <c r="D438" s="64"/>
      <c r="E438" s="65"/>
      <c r="F438" s="64"/>
      <c r="G438" s="67"/>
      <c r="H438" s="64"/>
      <c r="I438" s="64"/>
      <c r="J438" s="64"/>
      <c r="K438" s="64"/>
      <c r="L438" s="65"/>
      <c r="M438" s="64"/>
      <c r="N438" s="64"/>
      <c r="O438" s="64"/>
      <c r="P438" s="64"/>
      <c r="Q438" s="64"/>
      <c r="R438" s="64"/>
      <c r="S438" s="64"/>
      <c r="T438" s="65"/>
      <c r="U438" s="64"/>
      <c r="V438" s="64"/>
      <c r="W438" s="64"/>
      <c r="X438" s="64"/>
      <c r="Y438" s="64"/>
      <c r="Z438" s="64"/>
      <c r="AA438" s="64"/>
      <c r="AB438" s="64"/>
      <c r="AC438" s="64"/>
      <c r="AD438" s="64"/>
      <c r="AE438" s="64"/>
      <c r="AF438" s="64"/>
      <c r="AG438" s="64"/>
    </row>
    <row r="439">
      <c r="A439" s="64"/>
      <c r="B439" s="64"/>
      <c r="C439" s="64"/>
      <c r="D439" s="64"/>
      <c r="E439" s="65"/>
      <c r="F439" s="64"/>
      <c r="G439" s="67"/>
      <c r="H439" s="64"/>
      <c r="I439" s="64"/>
      <c r="J439" s="64"/>
      <c r="K439" s="64"/>
      <c r="L439" s="65"/>
      <c r="M439" s="64"/>
      <c r="N439" s="64"/>
      <c r="O439" s="64"/>
      <c r="P439" s="64"/>
      <c r="Q439" s="64"/>
      <c r="R439" s="64"/>
      <c r="S439" s="64"/>
      <c r="T439" s="65"/>
      <c r="U439" s="64"/>
      <c r="V439" s="64"/>
      <c r="W439" s="64"/>
      <c r="X439" s="64"/>
      <c r="Y439" s="64"/>
      <c r="Z439" s="64"/>
      <c r="AA439" s="64"/>
      <c r="AB439" s="64"/>
      <c r="AC439" s="64"/>
      <c r="AD439" s="64"/>
      <c r="AE439" s="64"/>
      <c r="AF439" s="64"/>
      <c r="AG439" s="64"/>
    </row>
    <row r="440">
      <c r="A440" s="64"/>
      <c r="B440" s="64"/>
      <c r="C440" s="64"/>
      <c r="D440" s="64"/>
      <c r="E440" s="65"/>
      <c r="F440" s="64"/>
      <c r="G440" s="67"/>
      <c r="H440" s="64"/>
      <c r="I440" s="64"/>
      <c r="J440" s="64"/>
      <c r="K440" s="64"/>
      <c r="L440" s="65"/>
      <c r="M440" s="64"/>
      <c r="N440" s="64"/>
      <c r="O440" s="64"/>
      <c r="P440" s="64"/>
      <c r="Q440" s="64"/>
      <c r="R440" s="64"/>
      <c r="S440" s="64"/>
      <c r="T440" s="65"/>
      <c r="U440" s="64"/>
      <c r="V440" s="64"/>
      <c r="W440" s="64"/>
      <c r="X440" s="64"/>
      <c r="Y440" s="64"/>
      <c r="Z440" s="64"/>
      <c r="AA440" s="64"/>
      <c r="AB440" s="64"/>
      <c r="AC440" s="64"/>
      <c r="AD440" s="64"/>
      <c r="AE440" s="64"/>
      <c r="AF440" s="64"/>
      <c r="AG440" s="64"/>
    </row>
    <row r="441">
      <c r="A441" s="64"/>
      <c r="B441" s="64"/>
      <c r="C441" s="64"/>
      <c r="D441" s="64"/>
      <c r="E441" s="65"/>
      <c r="F441" s="64"/>
      <c r="G441" s="67"/>
      <c r="H441" s="64"/>
      <c r="I441" s="64"/>
      <c r="J441" s="64"/>
      <c r="K441" s="64"/>
      <c r="L441" s="65"/>
      <c r="M441" s="64"/>
      <c r="N441" s="64"/>
      <c r="O441" s="64"/>
      <c r="P441" s="64"/>
      <c r="Q441" s="64"/>
      <c r="R441" s="64"/>
      <c r="S441" s="64"/>
      <c r="T441" s="65"/>
      <c r="U441" s="64"/>
      <c r="V441" s="64"/>
      <c r="W441" s="64"/>
      <c r="X441" s="64"/>
      <c r="Y441" s="64"/>
      <c r="Z441" s="64"/>
      <c r="AA441" s="64"/>
      <c r="AB441" s="64"/>
      <c r="AC441" s="64"/>
      <c r="AD441" s="64"/>
      <c r="AE441" s="64"/>
      <c r="AF441" s="64"/>
      <c r="AG441" s="64"/>
    </row>
    <row r="442">
      <c r="A442" s="64"/>
      <c r="B442" s="64"/>
      <c r="C442" s="64"/>
      <c r="D442" s="64"/>
      <c r="E442" s="65"/>
      <c r="F442" s="64"/>
      <c r="G442" s="67"/>
      <c r="H442" s="64"/>
      <c r="I442" s="64"/>
      <c r="J442" s="64"/>
      <c r="K442" s="64"/>
      <c r="L442" s="65"/>
      <c r="M442" s="64"/>
      <c r="N442" s="64"/>
      <c r="O442" s="64"/>
      <c r="P442" s="64"/>
      <c r="Q442" s="64"/>
      <c r="R442" s="64"/>
      <c r="S442" s="64"/>
      <c r="T442" s="65"/>
      <c r="U442" s="64"/>
      <c r="V442" s="64"/>
      <c r="W442" s="64"/>
      <c r="X442" s="64"/>
      <c r="Y442" s="64"/>
      <c r="Z442" s="64"/>
      <c r="AA442" s="64"/>
      <c r="AB442" s="64"/>
      <c r="AC442" s="64"/>
      <c r="AD442" s="64"/>
      <c r="AE442" s="64"/>
      <c r="AF442" s="64"/>
      <c r="AG442" s="64"/>
    </row>
    <row r="443">
      <c r="A443" s="64"/>
      <c r="B443" s="64"/>
      <c r="C443" s="64"/>
      <c r="D443" s="64"/>
      <c r="E443" s="65"/>
      <c r="F443" s="64"/>
      <c r="G443" s="67"/>
      <c r="H443" s="64"/>
      <c r="I443" s="64"/>
      <c r="J443" s="64"/>
      <c r="K443" s="64"/>
      <c r="L443" s="65"/>
      <c r="M443" s="64"/>
      <c r="N443" s="64"/>
      <c r="O443" s="64"/>
      <c r="P443" s="64"/>
      <c r="Q443" s="64"/>
      <c r="R443" s="64"/>
      <c r="S443" s="64"/>
      <c r="T443" s="65"/>
      <c r="U443" s="64"/>
      <c r="V443" s="64"/>
      <c r="W443" s="64"/>
      <c r="X443" s="64"/>
      <c r="Y443" s="64"/>
      <c r="Z443" s="64"/>
      <c r="AA443" s="64"/>
      <c r="AB443" s="64"/>
      <c r="AC443" s="64"/>
      <c r="AD443" s="64"/>
      <c r="AE443" s="64"/>
      <c r="AF443" s="64"/>
      <c r="AG443" s="64"/>
    </row>
    <row r="444">
      <c r="A444" s="64"/>
      <c r="B444" s="64"/>
      <c r="C444" s="64"/>
      <c r="D444" s="64"/>
      <c r="E444" s="65"/>
      <c r="F444" s="64"/>
      <c r="G444" s="67"/>
      <c r="H444" s="64"/>
      <c r="I444" s="64"/>
      <c r="J444" s="64"/>
      <c r="K444" s="64"/>
      <c r="L444" s="65"/>
      <c r="M444" s="64"/>
      <c r="N444" s="64"/>
      <c r="O444" s="64"/>
      <c r="P444" s="64"/>
      <c r="Q444" s="64"/>
      <c r="R444" s="64"/>
      <c r="S444" s="64"/>
      <c r="T444" s="65"/>
      <c r="U444" s="64"/>
      <c r="V444" s="64"/>
      <c r="W444" s="64"/>
      <c r="X444" s="64"/>
      <c r="Y444" s="64"/>
      <c r="Z444" s="64"/>
      <c r="AA444" s="64"/>
      <c r="AB444" s="64"/>
      <c r="AC444" s="64"/>
      <c r="AD444" s="64"/>
      <c r="AE444" s="64"/>
      <c r="AF444" s="64"/>
      <c r="AG444" s="64"/>
    </row>
    <row r="445">
      <c r="A445" s="64"/>
      <c r="B445" s="64"/>
      <c r="C445" s="64"/>
      <c r="D445" s="64"/>
      <c r="E445" s="65"/>
      <c r="F445" s="64"/>
      <c r="G445" s="67"/>
      <c r="H445" s="64"/>
      <c r="I445" s="64"/>
      <c r="J445" s="64"/>
      <c r="K445" s="64"/>
      <c r="L445" s="65"/>
      <c r="M445" s="64"/>
      <c r="N445" s="64"/>
      <c r="O445" s="64"/>
      <c r="P445" s="64"/>
      <c r="Q445" s="64"/>
      <c r="R445" s="64"/>
      <c r="S445" s="64"/>
      <c r="T445" s="65"/>
      <c r="U445" s="64"/>
      <c r="V445" s="64"/>
      <c r="W445" s="64"/>
      <c r="X445" s="64"/>
      <c r="Y445" s="64"/>
      <c r="Z445" s="64"/>
      <c r="AA445" s="64"/>
      <c r="AB445" s="64"/>
      <c r="AC445" s="64"/>
      <c r="AD445" s="64"/>
      <c r="AE445" s="64"/>
      <c r="AF445" s="64"/>
      <c r="AG445" s="64"/>
    </row>
    <row r="446">
      <c r="A446" s="64"/>
      <c r="B446" s="64"/>
      <c r="C446" s="64"/>
      <c r="D446" s="64"/>
      <c r="E446" s="65"/>
      <c r="F446" s="64"/>
      <c r="G446" s="67"/>
      <c r="H446" s="64"/>
      <c r="I446" s="64"/>
      <c r="J446" s="64"/>
      <c r="K446" s="64"/>
      <c r="L446" s="65"/>
      <c r="M446" s="64"/>
      <c r="N446" s="64"/>
      <c r="O446" s="64"/>
      <c r="P446" s="64"/>
      <c r="Q446" s="64"/>
      <c r="R446" s="64"/>
      <c r="S446" s="64"/>
      <c r="T446" s="65"/>
      <c r="U446" s="64"/>
      <c r="V446" s="64"/>
      <c r="W446" s="64"/>
      <c r="X446" s="64"/>
      <c r="Y446" s="64"/>
      <c r="Z446" s="64"/>
      <c r="AA446" s="64"/>
      <c r="AB446" s="64"/>
      <c r="AC446" s="64"/>
      <c r="AD446" s="64"/>
      <c r="AE446" s="64"/>
      <c r="AF446" s="64"/>
      <c r="AG446" s="64"/>
    </row>
    <row r="447">
      <c r="A447" s="64"/>
      <c r="B447" s="64"/>
      <c r="C447" s="64"/>
      <c r="D447" s="64"/>
      <c r="E447" s="65"/>
      <c r="F447" s="64"/>
      <c r="G447" s="67"/>
      <c r="H447" s="64"/>
      <c r="I447" s="64"/>
      <c r="J447" s="64"/>
      <c r="K447" s="64"/>
      <c r="L447" s="65"/>
      <c r="M447" s="64"/>
      <c r="N447" s="64"/>
      <c r="O447" s="64"/>
      <c r="P447" s="64"/>
      <c r="Q447" s="64"/>
      <c r="R447" s="64"/>
      <c r="S447" s="64"/>
      <c r="T447" s="65"/>
      <c r="U447" s="64"/>
      <c r="V447" s="64"/>
      <c r="W447" s="64"/>
      <c r="X447" s="64"/>
      <c r="Y447" s="64"/>
      <c r="Z447" s="64"/>
      <c r="AA447" s="64"/>
      <c r="AB447" s="64"/>
      <c r="AC447" s="64"/>
      <c r="AD447" s="64"/>
      <c r="AE447" s="64"/>
      <c r="AF447" s="64"/>
      <c r="AG447" s="64"/>
    </row>
    <row r="448">
      <c r="A448" s="64"/>
      <c r="B448" s="64"/>
      <c r="C448" s="64"/>
      <c r="D448" s="64"/>
      <c r="E448" s="65"/>
      <c r="F448" s="64"/>
      <c r="G448" s="67"/>
      <c r="H448" s="64"/>
      <c r="I448" s="64"/>
      <c r="J448" s="64"/>
      <c r="K448" s="64"/>
      <c r="L448" s="65"/>
      <c r="M448" s="64"/>
      <c r="N448" s="64"/>
      <c r="O448" s="64"/>
      <c r="P448" s="64"/>
      <c r="Q448" s="64"/>
      <c r="R448" s="64"/>
      <c r="S448" s="64"/>
      <c r="T448" s="65"/>
      <c r="U448" s="64"/>
      <c r="V448" s="64"/>
      <c r="W448" s="64"/>
      <c r="X448" s="64"/>
      <c r="Y448" s="64"/>
      <c r="Z448" s="64"/>
      <c r="AA448" s="64"/>
      <c r="AB448" s="64"/>
      <c r="AC448" s="64"/>
      <c r="AD448" s="64"/>
      <c r="AE448" s="64"/>
      <c r="AF448" s="64"/>
      <c r="AG448" s="64"/>
    </row>
    <row r="449">
      <c r="A449" s="64"/>
      <c r="B449" s="64"/>
      <c r="C449" s="64"/>
      <c r="D449" s="64"/>
      <c r="E449" s="65"/>
      <c r="F449" s="64"/>
      <c r="G449" s="67"/>
      <c r="H449" s="64"/>
      <c r="I449" s="64"/>
      <c r="J449" s="64"/>
      <c r="K449" s="64"/>
      <c r="L449" s="65"/>
      <c r="M449" s="64"/>
      <c r="N449" s="64"/>
      <c r="O449" s="64"/>
      <c r="P449" s="64"/>
      <c r="Q449" s="64"/>
      <c r="R449" s="64"/>
      <c r="S449" s="64"/>
      <c r="T449" s="65"/>
      <c r="U449" s="64"/>
      <c r="V449" s="64"/>
      <c r="W449" s="64"/>
      <c r="X449" s="64"/>
      <c r="Y449" s="64"/>
      <c r="Z449" s="64"/>
      <c r="AA449" s="64"/>
      <c r="AB449" s="64"/>
      <c r="AC449" s="64"/>
      <c r="AD449" s="64"/>
      <c r="AE449" s="64"/>
      <c r="AF449" s="64"/>
      <c r="AG449" s="64"/>
    </row>
    <row r="450">
      <c r="A450" s="64"/>
      <c r="B450" s="64"/>
      <c r="C450" s="64"/>
      <c r="D450" s="64"/>
      <c r="E450" s="65"/>
      <c r="F450" s="64"/>
      <c r="G450" s="67"/>
      <c r="H450" s="64"/>
      <c r="I450" s="64"/>
      <c r="J450" s="64"/>
      <c r="K450" s="64"/>
      <c r="L450" s="65"/>
      <c r="M450" s="64"/>
      <c r="N450" s="64"/>
      <c r="O450" s="64"/>
      <c r="P450" s="64"/>
      <c r="Q450" s="64"/>
      <c r="R450" s="64"/>
      <c r="S450" s="64"/>
      <c r="T450" s="65"/>
      <c r="U450" s="64"/>
      <c r="V450" s="64"/>
      <c r="W450" s="64"/>
      <c r="X450" s="64"/>
      <c r="Y450" s="64"/>
      <c r="Z450" s="64"/>
      <c r="AA450" s="64"/>
      <c r="AB450" s="64"/>
      <c r="AC450" s="64"/>
      <c r="AD450" s="64"/>
      <c r="AE450" s="64"/>
      <c r="AF450" s="64"/>
      <c r="AG450" s="64"/>
    </row>
    <row r="451">
      <c r="A451" s="64"/>
      <c r="B451" s="64"/>
      <c r="C451" s="64"/>
      <c r="D451" s="64"/>
      <c r="E451" s="65"/>
      <c r="F451" s="64"/>
      <c r="G451" s="67"/>
      <c r="H451" s="64"/>
      <c r="I451" s="64"/>
      <c r="J451" s="64"/>
      <c r="K451" s="64"/>
      <c r="L451" s="65"/>
      <c r="M451" s="64"/>
      <c r="N451" s="64"/>
      <c r="O451" s="64"/>
      <c r="P451" s="64"/>
      <c r="Q451" s="64"/>
      <c r="R451" s="64"/>
      <c r="S451" s="64"/>
      <c r="T451" s="65"/>
      <c r="U451" s="64"/>
      <c r="V451" s="64"/>
      <c r="W451" s="64"/>
      <c r="X451" s="64"/>
      <c r="Y451" s="64"/>
      <c r="Z451" s="64"/>
      <c r="AA451" s="64"/>
      <c r="AB451" s="64"/>
      <c r="AC451" s="64"/>
      <c r="AD451" s="64"/>
      <c r="AE451" s="64"/>
      <c r="AF451" s="64"/>
      <c r="AG451" s="64"/>
    </row>
    <row r="452">
      <c r="A452" s="64"/>
      <c r="B452" s="64"/>
      <c r="C452" s="64"/>
      <c r="D452" s="64"/>
      <c r="E452" s="65"/>
      <c r="F452" s="64"/>
      <c r="G452" s="67"/>
      <c r="H452" s="64"/>
      <c r="I452" s="64"/>
      <c r="J452" s="64"/>
      <c r="K452" s="64"/>
      <c r="L452" s="65"/>
      <c r="M452" s="64"/>
      <c r="N452" s="64"/>
      <c r="O452" s="64"/>
      <c r="P452" s="64"/>
      <c r="Q452" s="64"/>
      <c r="R452" s="64"/>
      <c r="S452" s="64"/>
      <c r="T452" s="65"/>
      <c r="U452" s="64"/>
      <c r="V452" s="64"/>
      <c r="W452" s="64"/>
      <c r="X452" s="64"/>
      <c r="Y452" s="64"/>
      <c r="Z452" s="64"/>
      <c r="AA452" s="64"/>
      <c r="AB452" s="64"/>
      <c r="AC452" s="64"/>
      <c r="AD452" s="64"/>
      <c r="AE452" s="64"/>
      <c r="AF452" s="64"/>
      <c r="AG452" s="64"/>
    </row>
    <row r="453">
      <c r="A453" s="64"/>
      <c r="B453" s="64"/>
      <c r="C453" s="64"/>
      <c r="D453" s="64"/>
      <c r="E453" s="65"/>
      <c r="F453" s="64"/>
      <c r="G453" s="67"/>
      <c r="H453" s="64"/>
      <c r="I453" s="64"/>
      <c r="J453" s="64"/>
      <c r="K453" s="64"/>
      <c r="L453" s="65"/>
      <c r="M453" s="64"/>
      <c r="N453" s="64"/>
      <c r="O453" s="64"/>
      <c r="P453" s="64"/>
      <c r="Q453" s="64"/>
      <c r="R453" s="64"/>
      <c r="S453" s="64"/>
      <c r="T453" s="65"/>
      <c r="U453" s="64"/>
      <c r="V453" s="64"/>
      <c r="W453" s="64"/>
      <c r="X453" s="64"/>
      <c r="Y453" s="64"/>
      <c r="Z453" s="64"/>
      <c r="AA453" s="64"/>
      <c r="AB453" s="64"/>
      <c r="AC453" s="64"/>
      <c r="AD453" s="64"/>
      <c r="AE453" s="64"/>
      <c r="AF453" s="64"/>
      <c r="AG453" s="64"/>
    </row>
    <row r="454">
      <c r="A454" s="64"/>
      <c r="B454" s="64"/>
      <c r="C454" s="64"/>
      <c r="D454" s="64"/>
      <c r="E454" s="65"/>
      <c r="F454" s="64"/>
      <c r="G454" s="67"/>
      <c r="H454" s="64"/>
      <c r="I454" s="64"/>
      <c r="J454" s="64"/>
      <c r="K454" s="64"/>
      <c r="L454" s="65"/>
      <c r="M454" s="64"/>
      <c r="N454" s="64"/>
      <c r="O454" s="64"/>
      <c r="P454" s="64"/>
      <c r="Q454" s="64"/>
      <c r="R454" s="64"/>
      <c r="S454" s="64"/>
      <c r="T454" s="65"/>
      <c r="U454" s="64"/>
      <c r="V454" s="64"/>
      <c r="W454" s="64"/>
      <c r="X454" s="64"/>
      <c r="Y454" s="64"/>
      <c r="Z454" s="64"/>
      <c r="AA454" s="64"/>
      <c r="AB454" s="64"/>
      <c r="AC454" s="64"/>
      <c r="AD454" s="64"/>
      <c r="AE454" s="64"/>
      <c r="AF454" s="64"/>
      <c r="AG454" s="64"/>
    </row>
    <row r="455">
      <c r="A455" s="64"/>
      <c r="B455" s="64"/>
      <c r="C455" s="64"/>
      <c r="D455" s="64"/>
      <c r="E455" s="65"/>
      <c r="F455" s="64"/>
      <c r="G455" s="67"/>
      <c r="H455" s="64"/>
      <c r="I455" s="64"/>
      <c r="J455" s="64"/>
      <c r="K455" s="64"/>
      <c r="L455" s="65"/>
      <c r="M455" s="64"/>
      <c r="N455" s="64"/>
      <c r="O455" s="64"/>
      <c r="P455" s="64"/>
      <c r="Q455" s="64"/>
      <c r="R455" s="64"/>
      <c r="S455" s="64"/>
      <c r="T455" s="65"/>
      <c r="U455" s="64"/>
      <c r="V455" s="64"/>
      <c r="W455" s="64"/>
      <c r="X455" s="64"/>
      <c r="Y455" s="64"/>
      <c r="Z455" s="64"/>
      <c r="AA455" s="64"/>
      <c r="AB455" s="64"/>
      <c r="AC455" s="64"/>
      <c r="AD455" s="64"/>
      <c r="AE455" s="64"/>
      <c r="AF455" s="64"/>
      <c r="AG455" s="64"/>
    </row>
    <row r="456">
      <c r="A456" s="64"/>
      <c r="B456" s="64"/>
      <c r="C456" s="64"/>
      <c r="D456" s="64"/>
      <c r="E456" s="65"/>
      <c r="F456" s="64"/>
      <c r="G456" s="67"/>
      <c r="H456" s="64"/>
      <c r="I456" s="64"/>
      <c r="J456" s="64"/>
      <c r="K456" s="64"/>
      <c r="L456" s="65"/>
      <c r="M456" s="64"/>
      <c r="N456" s="64"/>
      <c r="O456" s="64"/>
      <c r="P456" s="64"/>
      <c r="Q456" s="64"/>
      <c r="R456" s="64"/>
      <c r="S456" s="64"/>
      <c r="T456" s="65"/>
      <c r="U456" s="64"/>
      <c r="V456" s="64"/>
      <c r="W456" s="64"/>
      <c r="X456" s="64"/>
      <c r="Y456" s="64"/>
      <c r="Z456" s="64"/>
      <c r="AA456" s="64"/>
      <c r="AB456" s="64"/>
      <c r="AC456" s="64"/>
      <c r="AD456" s="64"/>
      <c r="AE456" s="64"/>
      <c r="AF456" s="64"/>
      <c r="AG456" s="64"/>
    </row>
    <row r="457">
      <c r="A457" s="64"/>
      <c r="B457" s="64"/>
      <c r="C457" s="64"/>
      <c r="D457" s="64"/>
      <c r="E457" s="65"/>
      <c r="F457" s="64"/>
      <c r="G457" s="67"/>
      <c r="H457" s="64"/>
      <c r="I457" s="64"/>
      <c r="J457" s="64"/>
      <c r="K457" s="64"/>
      <c r="L457" s="65"/>
      <c r="M457" s="64"/>
      <c r="N457" s="64"/>
      <c r="O457" s="64"/>
      <c r="P457" s="64"/>
      <c r="Q457" s="64"/>
      <c r="R457" s="64"/>
      <c r="S457" s="64"/>
      <c r="T457" s="65"/>
      <c r="U457" s="64"/>
      <c r="V457" s="64"/>
      <c r="W457" s="64"/>
      <c r="X457" s="64"/>
      <c r="Y457" s="64"/>
      <c r="Z457" s="64"/>
      <c r="AA457" s="64"/>
      <c r="AB457" s="64"/>
      <c r="AC457" s="64"/>
      <c r="AD457" s="64"/>
      <c r="AE457" s="64"/>
      <c r="AF457" s="64"/>
      <c r="AG457" s="64"/>
    </row>
    <row r="458">
      <c r="A458" s="64"/>
      <c r="B458" s="64"/>
      <c r="C458" s="64"/>
      <c r="D458" s="64"/>
      <c r="E458" s="65"/>
      <c r="F458" s="64"/>
      <c r="G458" s="67"/>
      <c r="H458" s="64"/>
      <c r="I458" s="64"/>
      <c r="J458" s="64"/>
      <c r="K458" s="64"/>
      <c r="L458" s="65"/>
      <c r="M458" s="64"/>
      <c r="N458" s="64"/>
      <c r="O458" s="64"/>
      <c r="P458" s="64"/>
      <c r="Q458" s="64"/>
      <c r="R458" s="64"/>
      <c r="S458" s="64"/>
      <c r="T458" s="65"/>
      <c r="U458" s="64"/>
      <c r="V458" s="64"/>
      <c r="W458" s="64"/>
      <c r="X458" s="64"/>
      <c r="Y458" s="64"/>
      <c r="Z458" s="64"/>
      <c r="AA458" s="64"/>
      <c r="AB458" s="64"/>
      <c r="AC458" s="64"/>
      <c r="AD458" s="64"/>
      <c r="AE458" s="64"/>
      <c r="AF458" s="64"/>
      <c r="AG458" s="64"/>
    </row>
    <row r="459">
      <c r="A459" s="64"/>
      <c r="B459" s="64"/>
      <c r="C459" s="64"/>
      <c r="D459" s="64"/>
      <c r="E459" s="65"/>
      <c r="F459" s="64"/>
      <c r="G459" s="67"/>
      <c r="H459" s="64"/>
      <c r="I459" s="64"/>
      <c r="J459" s="64"/>
      <c r="K459" s="64"/>
      <c r="L459" s="65"/>
      <c r="M459" s="64"/>
      <c r="N459" s="64"/>
      <c r="O459" s="64"/>
      <c r="P459" s="64"/>
      <c r="Q459" s="64"/>
      <c r="R459" s="64"/>
      <c r="S459" s="64"/>
      <c r="T459" s="65"/>
      <c r="U459" s="64"/>
      <c r="V459" s="64"/>
      <c r="W459" s="64"/>
      <c r="X459" s="64"/>
      <c r="Y459" s="64"/>
      <c r="Z459" s="64"/>
      <c r="AA459" s="64"/>
      <c r="AB459" s="64"/>
      <c r="AC459" s="64"/>
      <c r="AD459" s="64"/>
      <c r="AE459" s="64"/>
      <c r="AF459" s="64"/>
      <c r="AG459" s="64"/>
    </row>
    <row r="460">
      <c r="A460" s="64"/>
      <c r="B460" s="64"/>
      <c r="C460" s="64"/>
      <c r="D460" s="64"/>
      <c r="E460" s="65"/>
      <c r="F460" s="64"/>
      <c r="G460" s="67"/>
      <c r="H460" s="64"/>
      <c r="I460" s="64"/>
      <c r="J460" s="64"/>
      <c r="K460" s="64"/>
      <c r="L460" s="65"/>
      <c r="M460" s="64"/>
      <c r="N460" s="64"/>
      <c r="O460" s="64"/>
      <c r="P460" s="64"/>
      <c r="Q460" s="64"/>
      <c r="R460" s="64"/>
      <c r="S460" s="64"/>
      <c r="T460" s="65"/>
      <c r="U460" s="64"/>
      <c r="V460" s="64"/>
      <c r="W460" s="64"/>
      <c r="X460" s="64"/>
      <c r="Y460" s="64"/>
      <c r="Z460" s="64"/>
      <c r="AA460" s="64"/>
      <c r="AB460" s="64"/>
      <c r="AC460" s="64"/>
      <c r="AD460" s="64"/>
      <c r="AE460" s="64"/>
      <c r="AF460" s="64"/>
      <c r="AG460" s="64"/>
    </row>
    <row r="461">
      <c r="A461" s="64"/>
      <c r="B461" s="64"/>
      <c r="C461" s="64"/>
      <c r="D461" s="64"/>
      <c r="E461" s="65"/>
      <c r="F461" s="64"/>
      <c r="G461" s="67"/>
      <c r="H461" s="64"/>
      <c r="I461" s="64"/>
      <c r="J461" s="64"/>
      <c r="K461" s="64"/>
      <c r="L461" s="65"/>
      <c r="M461" s="64"/>
      <c r="N461" s="64"/>
      <c r="O461" s="64"/>
      <c r="P461" s="64"/>
      <c r="Q461" s="64"/>
      <c r="R461" s="64"/>
      <c r="S461" s="64"/>
      <c r="T461" s="65"/>
      <c r="U461" s="64"/>
      <c r="V461" s="64"/>
      <c r="W461" s="64"/>
      <c r="X461" s="64"/>
      <c r="Y461" s="64"/>
      <c r="Z461" s="64"/>
      <c r="AA461" s="64"/>
      <c r="AB461" s="64"/>
      <c r="AC461" s="64"/>
      <c r="AD461" s="64"/>
      <c r="AE461" s="64"/>
      <c r="AF461" s="64"/>
      <c r="AG461" s="64"/>
    </row>
    <row r="462">
      <c r="A462" s="64"/>
      <c r="B462" s="64"/>
      <c r="C462" s="64"/>
      <c r="D462" s="64"/>
      <c r="E462" s="65"/>
      <c r="F462" s="64"/>
      <c r="G462" s="67"/>
      <c r="H462" s="64"/>
      <c r="I462" s="64"/>
      <c r="J462" s="64"/>
      <c r="K462" s="64"/>
      <c r="L462" s="65"/>
      <c r="M462" s="64"/>
      <c r="N462" s="64"/>
      <c r="O462" s="64"/>
      <c r="P462" s="64"/>
      <c r="Q462" s="64"/>
      <c r="R462" s="64"/>
      <c r="S462" s="64"/>
      <c r="T462" s="65"/>
      <c r="U462" s="64"/>
      <c r="V462" s="64"/>
      <c r="W462" s="64"/>
      <c r="X462" s="64"/>
      <c r="Y462" s="64"/>
      <c r="Z462" s="64"/>
      <c r="AA462" s="64"/>
      <c r="AB462" s="64"/>
      <c r="AC462" s="64"/>
      <c r="AD462" s="64"/>
      <c r="AE462" s="64"/>
      <c r="AF462" s="64"/>
      <c r="AG462" s="64"/>
    </row>
    <row r="463">
      <c r="A463" s="64"/>
      <c r="B463" s="64"/>
      <c r="C463" s="64"/>
      <c r="D463" s="64"/>
      <c r="E463" s="65"/>
      <c r="F463" s="64"/>
      <c r="G463" s="67"/>
      <c r="H463" s="64"/>
      <c r="I463" s="64"/>
      <c r="J463" s="64"/>
      <c r="K463" s="64"/>
      <c r="L463" s="65"/>
      <c r="M463" s="64"/>
      <c r="N463" s="64"/>
      <c r="O463" s="64"/>
      <c r="P463" s="64"/>
      <c r="Q463" s="64"/>
      <c r="R463" s="64"/>
      <c r="S463" s="64"/>
      <c r="T463" s="65"/>
      <c r="U463" s="64"/>
      <c r="V463" s="64"/>
      <c r="W463" s="64"/>
      <c r="X463" s="64"/>
      <c r="Y463" s="64"/>
      <c r="Z463" s="64"/>
      <c r="AA463" s="64"/>
      <c r="AB463" s="64"/>
      <c r="AC463" s="64"/>
      <c r="AD463" s="64"/>
      <c r="AE463" s="64"/>
      <c r="AF463" s="64"/>
      <c r="AG463" s="64"/>
    </row>
    <row r="464">
      <c r="A464" s="64"/>
      <c r="B464" s="64"/>
      <c r="C464" s="64"/>
      <c r="D464" s="64"/>
      <c r="E464" s="65"/>
      <c r="F464" s="64"/>
      <c r="G464" s="67"/>
      <c r="H464" s="64"/>
      <c r="I464" s="64"/>
      <c r="J464" s="64"/>
      <c r="K464" s="64"/>
      <c r="L464" s="65"/>
      <c r="M464" s="64"/>
      <c r="N464" s="64"/>
      <c r="O464" s="64"/>
      <c r="P464" s="64"/>
      <c r="Q464" s="64"/>
      <c r="R464" s="64"/>
      <c r="S464" s="64"/>
      <c r="T464" s="65"/>
      <c r="U464" s="64"/>
      <c r="V464" s="64"/>
      <c r="W464" s="64"/>
      <c r="X464" s="64"/>
      <c r="Y464" s="64"/>
      <c r="Z464" s="64"/>
      <c r="AA464" s="64"/>
      <c r="AB464" s="64"/>
      <c r="AC464" s="64"/>
      <c r="AD464" s="64"/>
      <c r="AE464" s="64"/>
      <c r="AF464" s="64"/>
      <c r="AG464" s="64"/>
    </row>
    <row r="465">
      <c r="A465" s="64"/>
      <c r="B465" s="64"/>
      <c r="C465" s="64"/>
      <c r="D465" s="64"/>
      <c r="E465" s="65"/>
      <c r="F465" s="64"/>
      <c r="G465" s="67"/>
      <c r="H465" s="64"/>
      <c r="I465" s="64"/>
      <c r="J465" s="64"/>
      <c r="K465" s="64"/>
      <c r="L465" s="65"/>
      <c r="M465" s="64"/>
      <c r="N465" s="64"/>
      <c r="O465" s="64"/>
      <c r="P465" s="64"/>
      <c r="Q465" s="64"/>
      <c r="R465" s="64"/>
      <c r="S465" s="64"/>
      <c r="T465" s="65"/>
      <c r="U465" s="64"/>
      <c r="V465" s="64"/>
      <c r="W465" s="64"/>
      <c r="X465" s="64"/>
      <c r="Y465" s="64"/>
      <c r="Z465" s="64"/>
      <c r="AA465" s="64"/>
      <c r="AB465" s="64"/>
      <c r="AC465" s="64"/>
      <c r="AD465" s="64"/>
      <c r="AE465" s="64"/>
      <c r="AF465" s="64"/>
      <c r="AG465" s="64"/>
    </row>
    <row r="466">
      <c r="A466" s="64"/>
      <c r="B466" s="64"/>
      <c r="C466" s="64"/>
      <c r="D466" s="64"/>
      <c r="E466" s="65"/>
      <c r="F466" s="64"/>
      <c r="G466" s="67"/>
      <c r="H466" s="64"/>
      <c r="I466" s="64"/>
      <c r="J466" s="64"/>
      <c r="K466" s="64"/>
      <c r="L466" s="65"/>
      <c r="M466" s="64"/>
      <c r="N466" s="64"/>
      <c r="O466" s="64"/>
      <c r="P466" s="64"/>
      <c r="Q466" s="64"/>
      <c r="R466" s="64"/>
      <c r="S466" s="64"/>
      <c r="T466" s="65"/>
      <c r="U466" s="64"/>
      <c r="V466" s="64"/>
      <c r="W466" s="64"/>
      <c r="X466" s="64"/>
      <c r="Y466" s="64"/>
      <c r="Z466" s="64"/>
      <c r="AA466" s="64"/>
      <c r="AB466" s="64"/>
      <c r="AC466" s="64"/>
      <c r="AD466" s="64"/>
      <c r="AE466" s="64"/>
      <c r="AF466" s="64"/>
      <c r="AG466" s="64"/>
    </row>
    <row r="467">
      <c r="A467" s="64"/>
      <c r="B467" s="64"/>
      <c r="C467" s="64"/>
      <c r="D467" s="64"/>
      <c r="E467" s="65"/>
      <c r="F467" s="64"/>
      <c r="G467" s="67"/>
      <c r="H467" s="64"/>
      <c r="I467" s="64"/>
      <c r="J467" s="64"/>
      <c r="K467" s="64"/>
      <c r="L467" s="65"/>
      <c r="M467" s="64"/>
      <c r="N467" s="64"/>
      <c r="O467" s="64"/>
      <c r="P467" s="64"/>
      <c r="Q467" s="64"/>
      <c r="R467" s="64"/>
      <c r="S467" s="64"/>
      <c r="T467" s="65"/>
      <c r="U467" s="64"/>
      <c r="V467" s="64"/>
      <c r="W467" s="64"/>
      <c r="X467" s="64"/>
      <c r="Y467" s="64"/>
      <c r="Z467" s="64"/>
      <c r="AA467" s="64"/>
      <c r="AB467" s="64"/>
      <c r="AC467" s="64"/>
      <c r="AD467" s="64"/>
      <c r="AE467" s="64"/>
      <c r="AF467" s="64"/>
      <c r="AG467" s="64"/>
    </row>
    <row r="468">
      <c r="A468" s="64"/>
      <c r="B468" s="64"/>
      <c r="C468" s="64"/>
      <c r="D468" s="64"/>
      <c r="E468" s="65"/>
      <c r="F468" s="64"/>
      <c r="G468" s="67"/>
      <c r="H468" s="64"/>
      <c r="I468" s="64"/>
      <c r="J468" s="64"/>
      <c r="K468" s="64"/>
      <c r="L468" s="65"/>
      <c r="M468" s="64"/>
      <c r="N468" s="64"/>
      <c r="O468" s="64"/>
      <c r="P468" s="64"/>
      <c r="Q468" s="64"/>
      <c r="R468" s="64"/>
      <c r="S468" s="64"/>
      <c r="T468" s="65"/>
      <c r="U468" s="64"/>
      <c r="V468" s="64"/>
      <c r="W468" s="64"/>
      <c r="X468" s="64"/>
      <c r="Y468" s="64"/>
      <c r="Z468" s="64"/>
      <c r="AA468" s="64"/>
      <c r="AB468" s="64"/>
      <c r="AC468" s="64"/>
      <c r="AD468" s="64"/>
      <c r="AE468" s="64"/>
      <c r="AF468" s="64"/>
      <c r="AG468" s="64"/>
    </row>
    <row r="469">
      <c r="A469" s="64"/>
      <c r="B469" s="64"/>
      <c r="C469" s="64"/>
      <c r="D469" s="64"/>
      <c r="E469" s="65"/>
      <c r="F469" s="64"/>
      <c r="G469" s="67"/>
      <c r="H469" s="64"/>
      <c r="I469" s="64"/>
      <c r="J469" s="64"/>
      <c r="K469" s="64"/>
      <c r="L469" s="65"/>
      <c r="M469" s="64"/>
      <c r="N469" s="64"/>
      <c r="O469" s="64"/>
      <c r="P469" s="64"/>
      <c r="Q469" s="64"/>
      <c r="R469" s="64"/>
      <c r="S469" s="64"/>
      <c r="T469" s="65"/>
      <c r="U469" s="64"/>
      <c r="V469" s="64"/>
      <c r="W469" s="64"/>
      <c r="X469" s="64"/>
      <c r="Y469" s="64"/>
      <c r="Z469" s="64"/>
      <c r="AA469" s="64"/>
      <c r="AB469" s="64"/>
      <c r="AC469" s="64"/>
      <c r="AD469" s="64"/>
      <c r="AE469" s="64"/>
      <c r="AF469" s="64"/>
      <c r="AG469" s="64"/>
    </row>
    <row r="470">
      <c r="A470" s="64"/>
      <c r="B470" s="64"/>
      <c r="C470" s="64"/>
      <c r="D470" s="64"/>
      <c r="E470" s="65"/>
      <c r="F470" s="64"/>
      <c r="G470" s="67"/>
      <c r="H470" s="64"/>
      <c r="I470" s="64"/>
      <c r="J470" s="64"/>
      <c r="K470" s="64"/>
      <c r="L470" s="65"/>
      <c r="M470" s="64"/>
      <c r="N470" s="64"/>
      <c r="O470" s="64"/>
      <c r="P470" s="64"/>
      <c r="Q470" s="64"/>
      <c r="R470" s="64"/>
      <c r="S470" s="64"/>
      <c r="T470" s="65"/>
      <c r="U470" s="64"/>
      <c r="V470" s="64"/>
      <c r="W470" s="64"/>
      <c r="X470" s="64"/>
      <c r="Y470" s="64"/>
      <c r="Z470" s="64"/>
      <c r="AA470" s="64"/>
      <c r="AB470" s="64"/>
      <c r="AC470" s="64"/>
      <c r="AD470" s="64"/>
      <c r="AE470" s="64"/>
      <c r="AF470" s="64"/>
      <c r="AG470" s="64"/>
    </row>
    <row r="471">
      <c r="A471" s="64"/>
      <c r="B471" s="64"/>
      <c r="C471" s="64"/>
      <c r="D471" s="64"/>
      <c r="E471" s="65"/>
      <c r="F471" s="64"/>
      <c r="G471" s="67"/>
      <c r="H471" s="64"/>
      <c r="I471" s="64"/>
      <c r="J471" s="64"/>
      <c r="K471" s="64"/>
      <c r="L471" s="65"/>
      <c r="M471" s="64"/>
      <c r="N471" s="64"/>
      <c r="O471" s="64"/>
      <c r="P471" s="64"/>
      <c r="Q471" s="64"/>
      <c r="R471" s="64"/>
      <c r="S471" s="64"/>
      <c r="T471" s="65"/>
      <c r="U471" s="64"/>
      <c r="V471" s="64"/>
      <c r="W471" s="64"/>
      <c r="X471" s="64"/>
      <c r="Y471" s="64"/>
      <c r="Z471" s="64"/>
      <c r="AA471" s="64"/>
      <c r="AB471" s="64"/>
      <c r="AC471" s="64"/>
      <c r="AD471" s="64"/>
      <c r="AE471" s="64"/>
      <c r="AF471" s="64"/>
      <c r="AG471" s="64"/>
    </row>
    <row r="472">
      <c r="A472" s="64"/>
      <c r="B472" s="64"/>
      <c r="C472" s="64"/>
      <c r="D472" s="64"/>
      <c r="E472" s="65"/>
      <c r="F472" s="64"/>
      <c r="G472" s="67"/>
      <c r="H472" s="64"/>
      <c r="I472" s="64"/>
      <c r="J472" s="64"/>
      <c r="K472" s="64"/>
      <c r="L472" s="65"/>
      <c r="M472" s="64"/>
      <c r="N472" s="64"/>
      <c r="O472" s="64"/>
      <c r="P472" s="64"/>
      <c r="Q472" s="64"/>
      <c r="R472" s="64"/>
      <c r="S472" s="64"/>
      <c r="T472" s="65"/>
      <c r="U472" s="64"/>
      <c r="V472" s="64"/>
      <c r="W472" s="64"/>
      <c r="X472" s="64"/>
      <c r="Y472" s="64"/>
      <c r="Z472" s="64"/>
      <c r="AA472" s="64"/>
      <c r="AB472" s="64"/>
      <c r="AC472" s="64"/>
      <c r="AD472" s="64"/>
      <c r="AE472" s="64"/>
      <c r="AF472" s="64"/>
      <c r="AG472" s="64"/>
    </row>
    <row r="473">
      <c r="A473" s="64"/>
      <c r="B473" s="64"/>
      <c r="C473" s="64"/>
      <c r="D473" s="64"/>
      <c r="E473" s="65"/>
      <c r="F473" s="64"/>
      <c r="G473" s="67"/>
      <c r="H473" s="64"/>
      <c r="I473" s="64"/>
      <c r="J473" s="64"/>
      <c r="K473" s="64"/>
      <c r="L473" s="65"/>
      <c r="M473" s="64"/>
      <c r="N473" s="64"/>
      <c r="O473" s="64"/>
      <c r="P473" s="64"/>
      <c r="Q473" s="64"/>
      <c r="R473" s="64"/>
      <c r="S473" s="64"/>
      <c r="T473" s="65"/>
      <c r="U473" s="64"/>
      <c r="V473" s="64"/>
      <c r="W473" s="64"/>
      <c r="X473" s="64"/>
      <c r="Y473" s="64"/>
      <c r="Z473" s="64"/>
      <c r="AA473" s="64"/>
      <c r="AB473" s="64"/>
      <c r="AC473" s="64"/>
      <c r="AD473" s="64"/>
      <c r="AE473" s="64"/>
      <c r="AF473" s="64"/>
      <c r="AG473" s="64"/>
    </row>
    <row r="474">
      <c r="A474" s="64"/>
      <c r="B474" s="64"/>
      <c r="C474" s="64"/>
      <c r="D474" s="64"/>
      <c r="E474" s="65"/>
      <c r="F474" s="64"/>
      <c r="G474" s="67"/>
      <c r="H474" s="64"/>
      <c r="I474" s="64"/>
      <c r="J474" s="64"/>
      <c r="K474" s="64"/>
      <c r="L474" s="65"/>
      <c r="M474" s="64"/>
      <c r="N474" s="64"/>
      <c r="O474" s="64"/>
      <c r="P474" s="64"/>
      <c r="Q474" s="64"/>
      <c r="R474" s="64"/>
      <c r="S474" s="64"/>
      <c r="T474" s="65"/>
      <c r="U474" s="64"/>
      <c r="V474" s="64"/>
      <c r="W474" s="64"/>
      <c r="X474" s="64"/>
      <c r="Y474" s="64"/>
      <c r="Z474" s="64"/>
      <c r="AA474" s="64"/>
      <c r="AB474" s="64"/>
      <c r="AC474" s="64"/>
      <c r="AD474" s="64"/>
      <c r="AE474" s="64"/>
      <c r="AF474" s="64"/>
      <c r="AG474" s="64"/>
    </row>
    <row r="475">
      <c r="A475" s="64"/>
      <c r="B475" s="64"/>
      <c r="C475" s="64"/>
      <c r="D475" s="64"/>
      <c r="E475" s="65"/>
      <c r="F475" s="64"/>
      <c r="G475" s="67"/>
      <c r="H475" s="64"/>
      <c r="I475" s="64"/>
      <c r="J475" s="64"/>
      <c r="K475" s="64"/>
      <c r="L475" s="65"/>
      <c r="M475" s="64"/>
      <c r="N475" s="64"/>
      <c r="O475" s="64"/>
      <c r="P475" s="64"/>
      <c r="Q475" s="64"/>
      <c r="R475" s="64"/>
      <c r="S475" s="64"/>
      <c r="T475" s="65"/>
      <c r="U475" s="64"/>
      <c r="V475" s="64"/>
      <c r="W475" s="64"/>
      <c r="X475" s="64"/>
      <c r="Y475" s="64"/>
      <c r="Z475" s="64"/>
      <c r="AA475" s="64"/>
      <c r="AB475" s="64"/>
      <c r="AC475" s="64"/>
      <c r="AD475" s="64"/>
      <c r="AE475" s="64"/>
      <c r="AF475" s="64"/>
      <c r="AG475" s="64"/>
    </row>
    <row r="476">
      <c r="A476" s="64"/>
      <c r="B476" s="64"/>
      <c r="C476" s="64"/>
      <c r="D476" s="64"/>
      <c r="E476" s="65"/>
      <c r="F476" s="64"/>
      <c r="G476" s="67"/>
      <c r="H476" s="64"/>
      <c r="I476" s="64"/>
      <c r="J476" s="64"/>
      <c r="K476" s="64"/>
      <c r="L476" s="65"/>
      <c r="M476" s="64"/>
      <c r="N476" s="64"/>
      <c r="O476" s="64"/>
      <c r="P476" s="64"/>
      <c r="Q476" s="64"/>
      <c r="R476" s="64"/>
      <c r="S476" s="64"/>
      <c r="T476" s="65"/>
      <c r="U476" s="64"/>
      <c r="V476" s="64"/>
      <c r="W476" s="64"/>
      <c r="X476" s="64"/>
      <c r="Y476" s="64"/>
      <c r="Z476" s="64"/>
      <c r="AA476" s="64"/>
      <c r="AB476" s="64"/>
      <c r="AC476" s="64"/>
      <c r="AD476" s="64"/>
      <c r="AE476" s="64"/>
      <c r="AF476" s="64"/>
      <c r="AG476" s="64"/>
    </row>
    <row r="477">
      <c r="A477" s="64"/>
      <c r="B477" s="64"/>
      <c r="C477" s="64"/>
      <c r="D477" s="64"/>
      <c r="E477" s="65"/>
      <c r="F477" s="64"/>
      <c r="G477" s="67"/>
      <c r="H477" s="64"/>
      <c r="I477" s="64"/>
      <c r="J477" s="64"/>
      <c r="K477" s="64"/>
      <c r="L477" s="65"/>
      <c r="M477" s="64"/>
      <c r="N477" s="64"/>
      <c r="O477" s="64"/>
      <c r="P477" s="64"/>
      <c r="Q477" s="64"/>
      <c r="R477" s="64"/>
      <c r="S477" s="64"/>
      <c r="T477" s="65"/>
      <c r="U477" s="64"/>
      <c r="V477" s="64"/>
      <c r="W477" s="64"/>
      <c r="X477" s="64"/>
      <c r="Y477" s="64"/>
      <c r="Z477" s="64"/>
      <c r="AA477" s="64"/>
      <c r="AB477" s="64"/>
      <c r="AC477" s="64"/>
      <c r="AD477" s="64"/>
      <c r="AE477" s="64"/>
      <c r="AF477" s="64"/>
      <c r="AG477" s="64"/>
    </row>
    <row r="478">
      <c r="A478" s="64"/>
      <c r="B478" s="64"/>
      <c r="C478" s="64"/>
      <c r="D478" s="64"/>
      <c r="E478" s="65"/>
      <c r="F478" s="64"/>
      <c r="G478" s="67"/>
      <c r="H478" s="64"/>
      <c r="I478" s="64"/>
      <c r="J478" s="64"/>
      <c r="K478" s="64"/>
      <c r="L478" s="65"/>
      <c r="M478" s="64"/>
      <c r="N478" s="64"/>
      <c r="O478" s="64"/>
      <c r="P478" s="64"/>
      <c r="Q478" s="64"/>
      <c r="R478" s="64"/>
      <c r="S478" s="64"/>
      <c r="T478" s="65"/>
      <c r="U478" s="64"/>
      <c r="V478" s="64"/>
      <c r="W478" s="64"/>
      <c r="X478" s="64"/>
      <c r="Y478" s="64"/>
      <c r="Z478" s="64"/>
      <c r="AA478" s="64"/>
      <c r="AB478" s="64"/>
      <c r="AC478" s="64"/>
      <c r="AD478" s="64"/>
      <c r="AE478" s="64"/>
      <c r="AF478" s="64"/>
      <c r="AG478" s="64"/>
    </row>
    <row r="479">
      <c r="A479" s="64"/>
      <c r="B479" s="64"/>
      <c r="C479" s="64"/>
      <c r="D479" s="64"/>
      <c r="E479" s="65"/>
      <c r="F479" s="64"/>
      <c r="G479" s="67"/>
      <c r="H479" s="64"/>
      <c r="I479" s="64"/>
      <c r="J479" s="64"/>
      <c r="K479" s="64"/>
      <c r="L479" s="65"/>
      <c r="M479" s="64"/>
      <c r="N479" s="64"/>
      <c r="O479" s="64"/>
      <c r="P479" s="64"/>
      <c r="Q479" s="64"/>
      <c r="R479" s="64"/>
      <c r="S479" s="64"/>
      <c r="T479" s="65"/>
      <c r="U479" s="64"/>
      <c r="V479" s="64"/>
      <c r="W479" s="64"/>
      <c r="X479" s="64"/>
      <c r="Y479" s="64"/>
      <c r="Z479" s="64"/>
      <c r="AA479" s="64"/>
      <c r="AB479" s="64"/>
      <c r="AC479" s="64"/>
      <c r="AD479" s="64"/>
      <c r="AE479" s="64"/>
      <c r="AF479" s="64"/>
      <c r="AG479" s="64"/>
    </row>
    <row r="480">
      <c r="A480" s="64"/>
      <c r="B480" s="64"/>
      <c r="C480" s="64"/>
      <c r="D480" s="64"/>
      <c r="E480" s="65"/>
      <c r="F480" s="64"/>
      <c r="G480" s="67"/>
      <c r="H480" s="64"/>
      <c r="I480" s="64"/>
      <c r="J480" s="64"/>
      <c r="K480" s="64"/>
      <c r="L480" s="65"/>
      <c r="M480" s="64"/>
      <c r="N480" s="64"/>
      <c r="O480" s="64"/>
      <c r="P480" s="64"/>
      <c r="Q480" s="64"/>
      <c r="R480" s="64"/>
      <c r="S480" s="64"/>
      <c r="T480" s="65"/>
      <c r="U480" s="64"/>
      <c r="V480" s="64"/>
      <c r="W480" s="64"/>
      <c r="X480" s="64"/>
      <c r="Y480" s="64"/>
      <c r="Z480" s="64"/>
      <c r="AA480" s="64"/>
      <c r="AB480" s="64"/>
      <c r="AC480" s="64"/>
      <c r="AD480" s="64"/>
      <c r="AE480" s="64"/>
      <c r="AF480" s="64"/>
      <c r="AG480" s="64"/>
    </row>
    <row r="481">
      <c r="A481" s="64"/>
      <c r="B481" s="64"/>
      <c r="C481" s="64"/>
      <c r="D481" s="64"/>
      <c r="E481" s="65"/>
      <c r="F481" s="64"/>
      <c r="G481" s="67"/>
      <c r="H481" s="64"/>
      <c r="I481" s="64"/>
      <c r="J481" s="64"/>
      <c r="K481" s="64"/>
      <c r="L481" s="65"/>
      <c r="M481" s="64"/>
      <c r="N481" s="64"/>
      <c r="O481" s="64"/>
      <c r="P481" s="64"/>
      <c r="Q481" s="64"/>
      <c r="R481" s="64"/>
      <c r="S481" s="64"/>
      <c r="T481" s="65"/>
      <c r="U481" s="64"/>
      <c r="V481" s="64"/>
      <c r="W481" s="64"/>
      <c r="X481" s="64"/>
      <c r="Y481" s="64"/>
      <c r="Z481" s="64"/>
      <c r="AA481" s="64"/>
      <c r="AB481" s="64"/>
      <c r="AC481" s="64"/>
      <c r="AD481" s="64"/>
      <c r="AE481" s="64"/>
      <c r="AF481" s="64"/>
      <c r="AG481" s="64"/>
    </row>
    <row r="482">
      <c r="A482" s="64"/>
      <c r="B482" s="64"/>
      <c r="C482" s="64"/>
      <c r="D482" s="64"/>
      <c r="E482" s="65"/>
      <c r="F482" s="64"/>
      <c r="G482" s="67"/>
      <c r="H482" s="64"/>
      <c r="I482" s="64"/>
      <c r="J482" s="64"/>
      <c r="K482" s="64"/>
      <c r="L482" s="65"/>
      <c r="M482" s="64"/>
      <c r="N482" s="64"/>
      <c r="O482" s="64"/>
      <c r="P482" s="64"/>
      <c r="Q482" s="64"/>
      <c r="R482" s="64"/>
      <c r="S482" s="64"/>
      <c r="T482" s="65"/>
      <c r="U482" s="64"/>
      <c r="V482" s="64"/>
      <c r="W482" s="64"/>
      <c r="X482" s="64"/>
      <c r="Y482" s="64"/>
      <c r="Z482" s="64"/>
      <c r="AA482" s="64"/>
      <c r="AB482" s="64"/>
      <c r="AC482" s="64"/>
      <c r="AD482" s="64"/>
      <c r="AE482" s="64"/>
      <c r="AF482" s="64"/>
      <c r="AG482" s="64"/>
    </row>
    <row r="483">
      <c r="A483" s="64"/>
      <c r="B483" s="64"/>
      <c r="C483" s="64"/>
      <c r="D483" s="64"/>
      <c r="E483" s="65"/>
      <c r="F483" s="64"/>
      <c r="G483" s="67"/>
      <c r="H483" s="64"/>
      <c r="I483" s="64"/>
      <c r="J483" s="64"/>
      <c r="K483" s="64"/>
      <c r="L483" s="65"/>
      <c r="M483" s="64"/>
      <c r="N483" s="64"/>
      <c r="O483" s="64"/>
      <c r="P483" s="64"/>
      <c r="Q483" s="64"/>
      <c r="R483" s="64"/>
      <c r="S483" s="64"/>
      <c r="T483" s="65"/>
      <c r="U483" s="64"/>
      <c r="V483" s="64"/>
      <c r="W483" s="64"/>
      <c r="X483" s="64"/>
      <c r="Y483" s="64"/>
      <c r="Z483" s="64"/>
      <c r="AA483" s="64"/>
      <c r="AB483" s="64"/>
      <c r="AC483" s="64"/>
      <c r="AD483" s="64"/>
      <c r="AE483" s="64"/>
      <c r="AF483" s="64"/>
      <c r="AG483" s="64"/>
    </row>
    <row r="484">
      <c r="A484" s="64"/>
      <c r="B484" s="64"/>
      <c r="C484" s="64"/>
      <c r="D484" s="64"/>
      <c r="E484" s="65"/>
      <c r="F484" s="64"/>
      <c r="G484" s="67"/>
      <c r="H484" s="64"/>
      <c r="I484" s="64"/>
      <c r="J484" s="64"/>
      <c r="K484" s="64"/>
      <c r="L484" s="65"/>
      <c r="M484" s="64"/>
      <c r="N484" s="64"/>
      <c r="O484" s="64"/>
      <c r="P484" s="64"/>
      <c r="Q484" s="64"/>
      <c r="R484" s="64"/>
      <c r="S484" s="64"/>
      <c r="T484" s="65"/>
      <c r="U484" s="64"/>
      <c r="V484" s="64"/>
      <c r="W484" s="64"/>
      <c r="X484" s="64"/>
      <c r="Y484" s="64"/>
      <c r="Z484" s="64"/>
      <c r="AA484" s="64"/>
      <c r="AB484" s="64"/>
      <c r="AC484" s="64"/>
      <c r="AD484" s="64"/>
      <c r="AE484" s="64"/>
      <c r="AF484" s="64"/>
      <c r="AG484" s="64"/>
    </row>
    <row r="485">
      <c r="A485" s="64"/>
      <c r="B485" s="64"/>
      <c r="C485" s="64"/>
      <c r="D485" s="64"/>
      <c r="E485" s="65"/>
      <c r="F485" s="64"/>
      <c r="G485" s="67"/>
      <c r="H485" s="64"/>
      <c r="I485" s="64"/>
      <c r="J485" s="64"/>
      <c r="K485" s="64"/>
      <c r="L485" s="65"/>
      <c r="M485" s="64"/>
      <c r="N485" s="64"/>
      <c r="O485" s="64"/>
      <c r="P485" s="64"/>
      <c r="Q485" s="64"/>
      <c r="R485" s="64"/>
      <c r="S485" s="64"/>
      <c r="T485" s="65"/>
      <c r="U485" s="64"/>
      <c r="V485" s="64"/>
      <c r="W485" s="64"/>
      <c r="X485" s="64"/>
      <c r="Y485" s="64"/>
      <c r="Z485" s="64"/>
      <c r="AA485" s="64"/>
      <c r="AB485" s="64"/>
      <c r="AC485" s="64"/>
      <c r="AD485" s="64"/>
      <c r="AE485" s="64"/>
      <c r="AF485" s="64"/>
      <c r="AG485" s="64"/>
    </row>
    <row r="486">
      <c r="A486" s="64"/>
      <c r="B486" s="64"/>
      <c r="C486" s="64"/>
      <c r="D486" s="64"/>
      <c r="E486" s="65"/>
      <c r="F486" s="64"/>
      <c r="G486" s="67"/>
      <c r="H486" s="64"/>
      <c r="I486" s="64"/>
      <c r="J486" s="64"/>
      <c r="K486" s="64"/>
      <c r="L486" s="65"/>
      <c r="M486" s="64"/>
      <c r="N486" s="64"/>
      <c r="O486" s="64"/>
      <c r="P486" s="64"/>
      <c r="Q486" s="64"/>
      <c r="R486" s="64"/>
      <c r="S486" s="64"/>
      <c r="T486" s="65"/>
      <c r="U486" s="64"/>
      <c r="V486" s="64"/>
      <c r="W486" s="64"/>
      <c r="X486" s="64"/>
      <c r="Y486" s="64"/>
      <c r="Z486" s="64"/>
      <c r="AA486" s="64"/>
      <c r="AB486" s="64"/>
      <c r="AC486" s="64"/>
      <c r="AD486" s="64"/>
      <c r="AE486" s="64"/>
      <c r="AF486" s="64"/>
      <c r="AG486" s="64"/>
    </row>
    <row r="487">
      <c r="A487" s="64"/>
      <c r="B487" s="64"/>
      <c r="C487" s="64"/>
      <c r="D487" s="64"/>
      <c r="E487" s="65"/>
      <c r="F487" s="64"/>
      <c r="G487" s="67"/>
      <c r="H487" s="64"/>
      <c r="I487" s="64"/>
      <c r="J487" s="64"/>
      <c r="K487" s="64"/>
      <c r="L487" s="65"/>
      <c r="M487" s="64"/>
      <c r="N487" s="64"/>
      <c r="O487" s="64"/>
      <c r="P487" s="64"/>
      <c r="Q487" s="64"/>
      <c r="R487" s="64"/>
      <c r="S487" s="64"/>
      <c r="T487" s="65"/>
      <c r="U487" s="64"/>
      <c r="V487" s="64"/>
      <c r="W487" s="64"/>
      <c r="X487" s="64"/>
      <c r="Y487" s="64"/>
      <c r="Z487" s="64"/>
      <c r="AA487" s="64"/>
      <c r="AB487" s="64"/>
      <c r="AC487" s="64"/>
      <c r="AD487" s="64"/>
      <c r="AE487" s="64"/>
      <c r="AF487" s="64"/>
      <c r="AG487" s="64"/>
    </row>
    <row r="488">
      <c r="A488" s="64"/>
      <c r="B488" s="64"/>
      <c r="C488" s="64"/>
      <c r="D488" s="64"/>
      <c r="E488" s="65"/>
      <c r="F488" s="64"/>
      <c r="G488" s="67"/>
      <c r="H488" s="64"/>
      <c r="I488" s="64"/>
      <c r="J488" s="64"/>
      <c r="K488" s="64"/>
      <c r="L488" s="65"/>
      <c r="M488" s="64"/>
      <c r="N488" s="64"/>
      <c r="O488" s="64"/>
      <c r="P488" s="64"/>
      <c r="Q488" s="64"/>
      <c r="R488" s="64"/>
      <c r="S488" s="64"/>
      <c r="T488" s="65"/>
      <c r="U488" s="64"/>
      <c r="V488" s="64"/>
      <c r="W488" s="64"/>
      <c r="X488" s="64"/>
      <c r="Y488" s="64"/>
      <c r="Z488" s="64"/>
      <c r="AA488" s="64"/>
      <c r="AB488" s="64"/>
      <c r="AC488" s="64"/>
      <c r="AD488" s="64"/>
      <c r="AE488" s="64"/>
      <c r="AF488" s="64"/>
      <c r="AG488" s="64"/>
    </row>
    <row r="489">
      <c r="A489" s="64"/>
      <c r="B489" s="64"/>
      <c r="C489" s="64"/>
      <c r="D489" s="64"/>
      <c r="E489" s="65"/>
      <c r="F489" s="64"/>
      <c r="G489" s="67"/>
      <c r="H489" s="64"/>
      <c r="I489" s="64"/>
      <c r="J489" s="64"/>
      <c r="K489" s="64"/>
      <c r="L489" s="65"/>
      <c r="M489" s="64"/>
      <c r="N489" s="64"/>
      <c r="O489" s="64"/>
      <c r="P489" s="64"/>
      <c r="Q489" s="64"/>
      <c r="R489" s="64"/>
      <c r="S489" s="64"/>
      <c r="T489" s="65"/>
      <c r="U489" s="64"/>
      <c r="V489" s="64"/>
      <c r="W489" s="64"/>
      <c r="X489" s="64"/>
      <c r="Y489" s="64"/>
      <c r="Z489" s="64"/>
      <c r="AA489" s="64"/>
      <c r="AB489" s="64"/>
      <c r="AC489" s="64"/>
      <c r="AD489" s="64"/>
      <c r="AE489" s="64"/>
      <c r="AF489" s="64"/>
      <c r="AG489" s="64"/>
    </row>
    <row r="490">
      <c r="A490" s="64"/>
      <c r="B490" s="64"/>
      <c r="C490" s="64"/>
      <c r="D490" s="64"/>
      <c r="E490" s="65"/>
      <c r="F490" s="64"/>
      <c r="G490" s="67"/>
      <c r="H490" s="64"/>
      <c r="I490" s="64"/>
      <c r="J490" s="64"/>
      <c r="K490" s="64"/>
      <c r="L490" s="65"/>
      <c r="M490" s="64"/>
      <c r="N490" s="64"/>
      <c r="O490" s="64"/>
      <c r="P490" s="64"/>
      <c r="Q490" s="64"/>
      <c r="R490" s="64"/>
      <c r="S490" s="64"/>
      <c r="T490" s="65"/>
      <c r="U490" s="64"/>
      <c r="V490" s="64"/>
      <c r="W490" s="64"/>
      <c r="X490" s="64"/>
      <c r="Y490" s="64"/>
      <c r="Z490" s="64"/>
      <c r="AA490" s="64"/>
      <c r="AB490" s="64"/>
      <c r="AC490" s="64"/>
      <c r="AD490" s="64"/>
      <c r="AE490" s="64"/>
      <c r="AF490" s="64"/>
      <c r="AG490" s="64"/>
    </row>
    <row r="491">
      <c r="A491" s="64"/>
      <c r="B491" s="64"/>
      <c r="C491" s="64"/>
      <c r="D491" s="64"/>
      <c r="E491" s="65"/>
      <c r="F491" s="64"/>
      <c r="G491" s="67"/>
      <c r="H491" s="64"/>
      <c r="I491" s="64"/>
      <c r="J491" s="64"/>
      <c r="K491" s="64"/>
      <c r="L491" s="65"/>
      <c r="M491" s="64"/>
      <c r="N491" s="64"/>
      <c r="O491" s="64"/>
      <c r="P491" s="64"/>
      <c r="Q491" s="64"/>
      <c r="R491" s="64"/>
      <c r="S491" s="64"/>
      <c r="T491" s="65"/>
      <c r="U491" s="64"/>
      <c r="V491" s="64"/>
      <c r="W491" s="64"/>
      <c r="X491" s="64"/>
      <c r="Y491" s="64"/>
      <c r="Z491" s="64"/>
      <c r="AA491" s="64"/>
      <c r="AB491" s="64"/>
      <c r="AC491" s="64"/>
      <c r="AD491" s="64"/>
      <c r="AE491" s="64"/>
      <c r="AF491" s="64"/>
      <c r="AG491" s="64"/>
    </row>
    <row r="492">
      <c r="A492" s="64"/>
      <c r="B492" s="64"/>
      <c r="C492" s="64"/>
      <c r="D492" s="64"/>
      <c r="E492" s="65"/>
      <c r="F492" s="64"/>
      <c r="G492" s="67"/>
      <c r="H492" s="64"/>
      <c r="I492" s="64"/>
      <c r="J492" s="64"/>
      <c r="K492" s="64"/>
      <c r="L492" s="65"/>
      <c r="M492" s="64"/>
      <c r="N492" s="64"/>
      <c r="O492" s="64"/>
      <c r="P492" s="64"/>
      <c r="Q492" s="64"/>
      <c r="R492" s="64"/>
      <c r="S492" s="64"/>
      <c r="T492" s="65"/>
      <c r="U492" s="64"/>
      <c r="V492" s="64"/>
      <c r="W492" s="64"/>
      <c r="X492" s="64"/>
      <c r="Y492" s="64"/>
      <c r="Z492" s="64"/>
      <c r="AA492" s="64"/>
      <c r="AB492" s="64"/>
      <c r="AC492" s="64"/>
      <c r="AD492" s="64"/>
      <c r="AE492" s="64"/>
      <c r="AF492" s="64"/>
      <c r="AG492" s="64"/>
    </row>
    <row r="493">
      <c r="A493" s="64"/>
      <c r="B493" s="64"/>
      <c r="C493" s="64"/>
      <c r="D493" s="64"/>
      <c r="E493" s="65"/>
      <c r="F493" s="64"/>
      <c r="G493" s="67"/>
      <c r="H493" s="64"/>
      <c r="I493" s="64"/>
      <c r="J493" s="64"/>
      <c r="K493" s="64"/>
      <c r="L493" s="65"/>
      <c r="M493" s="64"/>
      <c r="N493" s="64"/>
      <c r="O493" s="64"/>
      <c r="P493" s="64"/>
      <c r="Q493" s="64"/>
      <c r="R493" s="64"/>
      <c r="S493" s="64"/>
      <c r="T493" s="65"/>
      <c r="U493" s="64"/>
      <c r="V493" s="64"/>
      <c r="W493" s="64"/>
      <c r="X493" s="64"/>
      <c r="Y493" s="64"/>
      <c r="Z493" s="64"/>
      <c r="AA493" s="64"/>
      <c r="AB493" s="64"/>
      <c r="AC493" s="64"/>
      <c r="AD493" s="64"/>
      <c r="AE493" s="64"/>
      <c r="AF493" s="64"/>
      <c r="AG493" s="64"/>
    </row>
    <row r="494">
      <c r="A494" s="64"/>
      <c r="B494" s="64"/>
      <c r="C494" s="64"/>
      <c r="D494" s="64"/>
      <c r="E494" s="65"/>
      <c r="F494" s="64"/>
      <c r="G494" s="67"/>
      <c r="H494" s="64"/>
      <c r="I494" s="64"/>
      <c r="J494" s="64"/>
      <c r="K494" s="64"/>
      <c r="L494" s="65"/>
      <c r="M494" s="64"/>
      <c r="N494" s="64"/>
      <c r="O494" s="64"/>
      <c r="P494" s="64"/>
      <c r="Q494" s="64"/>
      <c r="R494" s="64"/>
      <c r="S494" s="64"/>
      <c r="T494" s="65"/>
      <c r="U494" s="64"/>
      <c r="V494" s="64"/>
      <c r="W494" s="64"/>
      <c r="X494" s="64"/>
      <c r="Y494" s="64"/>
      <c r="Z494" s="64"/>
      <c r="AA494" s="64"/>
      <c r="AB494" s="64"/>
      <c r="AC494" s="64"/>
      <c r="AD494" s="64"/>
      <c r="AE494" s="64"/>
      <c r="AF494" s="64"/>
      <c r="AG494" s="64"/>
    </row>
    <row r="495">
      <c r="A495" s="64"/>
      <c r="B495" s="64"/>
      <c r="C495" s="64"/>
      <c r="D495" s="64"/>
      <c r="E495" s="65"/>
      <c r="F495" s="64"/>
      <c r="G495" s="67"/>
      <c r="H495" s="64"/>
      <c r="I495" s="64"/>
      <c r="J495" s="64"/>
      <c r="K495" s="64"/>
      <c r="L495" s="65"/>
      <c r="M495" s="64"/>
      <c r="N495" s="64"/>
      <c r="O495" s="64"/>
      <c r="P495" s="64"/>
      <c r="Q495" s="64"/>
      <c r="R495" s="64"/>
      <c r="S495" s="64"/>
      <c r="T495" s="65"/>
      <c r="U495" s="64"/>
      <c r="V495" s="64"/>
      <c r="W495" s="64"/>
      <c r="X495" s="64"/>
      <c r="Y495" s="64"/>
      <c r="Z495" s="64"/>
      <c r="AA495" s="64"/>
      <c r="AB495" s="64"/>
      <c r="AC495" s="64"/>
      <c r="AD495" s="64"/>
      <c r="AE495" s="64"/>
      <c r="AF495" s="64"/>
      <c r="AG495" s="64"/>
    </row>
    <row r="496">
      <c r="A496" s="64"/>
      <c r="B496" s="64"/>
      <c r="C496" s="64"/>
      <c r="D496" s="64"/>
      <c r="E496" s="65"/>
      <c r="F496" s="64"/>
      <c r="G496" s="67"/>
      <c r="H496" s="64"/>
      <c r="I496" s="64"/>
      <c r="J496" s="64"/>
      <c r="K496" s="64"/>
      <c r="L496" s="65"/>
      <c r="M496" s="64"/>
      <c r="N496" s="64"/>
      <c r="O496" s="64"/>
      <c r="P496" s="64"/>
      <c r="Q496" s="64"/>
      <c r="R496" s="64"/>
      <c r="S496" s="64"/>
      <c r="T496" s="65"/>
      <c r="U496" s="64"/>
      <c r="V496" s="64"/>
      <c r="W496" s="64"/>
      <c r="X496" s="64"/>
      <c r="Y496" s="64"/>
      <c r="Z496" s="64"/>
      <c r="AA496" s="64"/>
      <c r="AB496" s="64"/>
      <c r="AC496" s="64"/>
      <c r="AD496" s="64"/>
      <c r="AE496" s="64"/>
      <c r="AF496" s="64"/>
      <c r="AG496" s="64"/>
    </row>
    <row r="497">
      <c r="A497" s="64"/>
      <c r="B497" s="64"/>
      <c r="C497" s="64"/>
      <c r="D497" s="64"/>
      <c r="E497" s="65"/>
      <c r="F497" s="64"/>
      <c r="G497" s="67"/>
      <c r="H497" s="64"/>
      <c r="I497" s="64"/>
      <c r="J497" s="64"/>
      <c r="K497" s="64"/>
      <c r="L497" s="65"/>
      <c r="M497" s="64"/>
      <c r="N497" s="64"/>
      <c r="O497" s="64"/>
      <c r="P497" s="64"/>
      <c r="Q497" s="64"/>
      <c r="R497" s="64"/>
      <c r="S497" s="64"/>
      <c r="T497" s="65"/>
      <c r="U497" s="64"/>
      <c r="V497" s="64"/>
      <c r="W497" s="64"/>
      <c r="X497" s="64"/>
      <c r="Y497" s="64"/>
      <c r="Z497" s="64"/>
      <c r="AA497" s="64"/>
      <c r="AB497" s="64"/>
      <c r="AC497" s="64"/>
      <c r="AD497" s="64"/>
      <c r="AE497" s="64"/>
      <c r="AF497" s="64"/>
      <c r="AG497" s="64"/>
    </row>
    <row r="498">
      <c r="A498" s="64"/>
      <c r="B498" s="64"/>
      <c r="C498" s="64"/>
      <c r="D498" s="64"/>
      <c r="E498" s="65"/>
      <c r="F498" s="64"/>
      <c r="G498" s="67"/>
      <c r="H498" s="64"/>
      <c r="I498" s="64"/>
      <c r="J498" s="64"/>
      <c r="K498" s="64"/>
      <c r="L498" s="65"/>
      <c r="M498" s="64"/>
      <c r="N498" s="64"/>
      <c r="O498" s="64"/>
      <c r="P498" s="64"/>
      <c r="Q498" s="64"/>
      <c r="R498" s="64"/>
      <c r="S498" s="64"/>
      <c r="T498" s="65"/>
      <c r="U498" s="64"/>
      <c r="V498" s="64"/>
      <c r="W498" s="64"/>
      <c r="X498" s="64"/>
      <c r="Y498" s="64"/>
      <c r="Z498" s="64"/>
      <c r="AA498" s="64"/>
      <c r="AB498" s="64"/>
      <c r="AC498" s="64"/>
      <c r="AD498" s="64"/>
      <c r="AE498" s="64"/>
      <c r="AF498" s="64"/>
      <c r="AG498" s="64"/>
    </row>
    <row r="499">
      <c r="A499" s="64"/>
      <c r="B499" s="64"/>
      <c r="C499" s="64"/>
      <c r="D499" s="64"/>
      <c r="E499" s="65"/>
      <c r="F499" s="64"/>
      <c r="G499" s="67"/>
      <c r="H499" s="64"/>
      <c r="I499" s="64"/>
      <c r="J499" s="64"/>
      <c r="K499" s="64"/>
      <c r="L499" s="65"/>
      <c r="M499" s="64"/>
      <c r="N499" s="64"/>
      <c r="O499" s="64"/>
      <c r="P499" s="64"/>
      <c r="Q499" s="64"/>
      <c r="R499" s="64"/>
      <c r="S499" s="64"/>
      <c r="T499" s="65"/>
      <c r="U499" s="64"/>
      <c r="V499" s="64"/>
      <c r="W499" s="64"/>
      <c r="X499" s="64"/>
      <c r="Y499" s="64"/>
      <c r="Z499" s="64"/>
      <c r="AA499" s="64"/>
      <c r="AB499" s="64"/>
      <c r="AC499" s="64"/>
      <c r="AD499" s="64"/>
      <c r="AE499" s="64"/>
      <c r="AF499" s="64"/>
      <c r="AG499" s="64"/>
    </row>
    <row r="500">
      <c r="A500" s="64"/>
      <c r="B500" s="64"/>
      <c r="C500" s="64"/>
      <c r="D500" s="64"/>
      <c r="E500" s="65"/>
      <c r="F500" s="64"/>
      <c r="G500" s="67"/>
      <c r="H500" s="64"/>
      <c r="I500" s="64"/>
      <c r="J500" s="64"/>
      <c r="K500" s="64"/>
      <c r="L500" s="65"/>
      <c r="M500" s="64"/>
      <c r="N500" s="64"/>
      <c r="O500" s="64"/>
      <c r="P500" s="64"/>
      <c r="Q500" s="64"/>
      <c r="R500" s="64"/>
      <c r="S500" s="64"/>
      <c r="T500" s="65"/>
      <c r="U500" s="64"/>
      <c r="V500" s="64"/>
      <c r="W500" s="64"/>
      <c r="X500" s="64"/>
      <c r="Y500" s="64"/>
      <c r="Z500" s="64"/>
      <c r="AA500" s="64"/>
      <c r="AB500" s="64"/>
      <c r="AC500" s="64"/>
      <c r="AD500" s="64"/>
      <c r="AE500" s="64"/>
      <c r="AF500" s="64"/>
      <c r="AG500" s="64"/>
    </row>
    <row r="501">
      <c r="A501" s="64"/>
      <c r="B501" s="64"/>
      <c r="C501" s="64"/>
      <c r="D501" s="64"/>
      <c r="E501" s="65"/>
      <c r="F501" s="64"/>
      <c r="G501" s="67"/>
      <c r="H501" s="64"/>
      <c r="I501" s="64"/>
      <c r="J501" s="64"/>
      <c r="K501" s="64"/>
      <c r="L501" s="65"/>
      <c r="M501" s="64"/>
      <c r="N501" s="64"/>
      <c r="O501" s="64"/>
      <c r="P501" s="64"/>
      <c r="Q501" s="64"/>
      <c r="R501" s="64"/>
      <c r="S501" s="64"/>
      <c r="T501" s="65"/>
      <c r="U501" s="64"/>
      <c r="V501" s="64"/>
      <c r="W501" s="64"/>
      <c r="X501" s="64"/>
      <c r="Y501" s="64"/>
      <c r="Z501" s="64"/>
      <c r="AA501" s="64"/>
      <c r="AB501" s="64"/>
      <c r="AC501" s="64"/>
      <c r="AD501" s="64"/>
      <c r="AE501" s="64"/>
      <c r="AF501" s="64"/>
      <c r="AG501" s="64"/>
    </row>
    <row r="502">
      <c r="A502" s="64"/>
      <c r="B502" s="64"/>
      <c r="C502" s="64"/>
      <c r="D502" s="64"/>
      <c r="E502" s="65"/>
      <c r="F502" s="64"/>
      <c r="G502" s="67"/>
      <c r="H502" s="64"/>
      <c r="I502" s="64"/>
      <c r="J502" s="64"/>
      <c r="K502" s="64"/>
      <c r="L502" s="65"/>
      <c r="M502" s="64"/>
      <c r="N502" s="64"/>
      <c r="O502" s="64"/>
      <c r="P502" s="64"/>
      <c r="Q502" s="64"/>
      <c r="R502" s="64"/>
      <c r="S502" s="64"/>
      <c r="T502" s="65"/>
      <c r="U502" s="64"/>
      <c r="V502" s="64"/>
      <c r="W502" s="64"/>
      <c r="X502" s="64"/>
      <c r="Y502" s="64"/>
      <c r="Z502" s="64"/>
      <c r="AA502" s="64"/>
      <c r="AB502" s="64"/>
      <c r="AC502" s="64"/>
      <c r="AD502" s="64"/>
      <c r="AE502" s="64"/>
      <c r="AF502" s="64"/>
      <c r="AG502" s="64"/>
    </row>
    <row r="503">
      <c r="A503" s="64"/>
      <c r="B503" s="64"/>
      <c r="C503" s="64"/>
      <c r="D503" s="64"/>
      <c r="E503" s="65"/>
      <c r="F503" s="64"/>
      <c r="G503" s="67"/>
      <c r="H503" s="64"/>
      <c r="I503" s="64"/>
      <c r="J503" s="64"/>
      <c r="K503" s="64"/>
      <c r="L503" s="65"/>
      <c r="M503" s="64"/>
      <c r="N503" s="64"/>
      <c r="O503" s="64"/>
      <c r="P503" s="64"/>
      <c r="Q503" s="64"/>
      <c r="R503" s="64"/>
      <c r="S503" s="64"/>
      <c r="T503" s="65"/>
      <c r="U503" s="64"/>
      <c r="V503" s="64"/>
      <c r="W503" s="64"/>
      <c r="X503" s="64"/>
      <c r="Y503" s="64"/>
      <c r="Z503" s="64"/>
      <c r="AA503" s="64"/>
      <c r="AB503" s="64"/>
      <c r="AC503" s="64"/>
      <c r="AD503" s="64"/>
      <c r="AE503" s="64"/>
      <c r="AF503" s="64"/>
      <c r="AG503" s="64"/>
    </row>
    <row r="504">
      <c r="A504" s="64"/>
      <c r="B504" s="64"/>
      <c r="C504" s="64"/>
      <c r="D504" s="64"/>
      <c r="E504" s="65"/>
      <c r="F504" s="64"/>
      <c r="G504" s="67"/>
      <c r="H504" s="64"/>
      <c r="I504" s="64"/>
      <c r="J504" s="64"/>
      <c r="K504" s="64"/>
      <c r="L504" s="65"/>
      <c r="M504" s="64"/>
      <c r="N504" s="64"/>
      <c r="O504" s="64"/>
      <c r="P504" s="64"/>
      <c r="Q504" s="64"/>
      <c r="R504" s="64"/>
      <c r="S504" s="64"/>
      <c r="T504" s="65"/>
      <c r="U504" s="64"/>
      <c r="V504" s="64"/>
      <c r="W504" s="64"/>
      <c r="X504" s="64"/>
      <c r="Y504" s="64"/>
      <c r="Z504" s="64"/>
      <c r="AA504" s="64"/>
      <c r="AB504" s="64"/>
      <c r="AC504" s="64"/>
      <c r="AD504" s="64"/>
      <c r="AE504" s="64"/>
      <c r="AF504" s="64"/>
      <c r="AG504" s="64"/>
    </row>
    <row r="505">
      <c r="A505" s="64"/>
      <c r="B505" s="64"/>
      <c r="C505" s="64"/>
      <c r="D505" s="64"/>
      <c r="E505" s="65"/>
      <c r="F505" s="64"/>
      <c r="G505" s="67"/>
      <c r="H505" s="64"/>
      <c r="I505" s="64"/>
      <c r="J505" s="64"/>
      <c r="K505" s="64"/>
      <c r="L505" s="65"/>
      <c r="M505" s="64"/>
      <c r="N505" s="64"/>
      <c r="O505" s="64"/>
      <c r="P505" s="64"/>
      <c r="Q505" s="64"/>
      <c r="R505" s="64"/>
      <c r="S505" s="64"/>
      <c r="T505" s="65"/>
      <c r="U505" s="64"/>
      <c r="V505" s="64"/>
      <c r="W505" s="64"/>
      <c r="X505" s="64"/>
      <c r="Y505" s="64"/>
      <c r="Z505" s="64"/>
      <c r="AA505" s="64"/>
      <c r="AB505" s="64"/>
      <c r="AC505" s="64"/>
      <c r="AD505" s="64"/>
      <c r="AE505" s="64"/>
      <c r="AF505" s="64"/>
      <c r="AG505" s="64"/>
    </row>
    <row r="506">
      <c r="A506" s="64"/>
      <c r="B506" s="64"/>
      <c r="C506" s="64"/>
      <c r="D506" s="64"/>
      <c r="E506" s="65"/>
      <c r="F506" s="64"/>
      <c r="G506" s="67"/>
      <c r="H506" s="64"/>
      <c r="I506" s="64"/>
      <c r="J506" s="64"/>
      <c r="K506" s="64"/>
      <c r="L506" s="65"/>
      <c r="M506" s="64"/>
      <c r="N506" s="64"/>
      <c r="O506" s="64"/>
      <c r="P506" s="64"/>
      <c r="Q506" s="64"/>
      <c r="R506" s="64"/>
      <c r="S506" s="64"/>
      <c r="T506" s="65"/>
      <c r="U506" s="64"/>
      <c r="V506" s="64"/>
      <c r="W506" s="64"/>
      <c r="X506" s="64"/>
      <c r="Y506" s="64"/>
      <c r="Z506" s="64"/>
      <c r="AA506" s="64"/>
      <c r="AB506" s="64"/>
      <c r="AC506" s="64"/>
      <c r="AD506" s="64"/>
      <c r="AE506" s="64"/>
      <c r="AF506" s="64"/>
      <c r="AG506" s="64"/>
    </row>
    <row r="507">
      <c r="A507" s="64"/>
      <c r="B507" s="64"/>
      <c r="C507" s="64"/>
      <c r="D507" s="64"/>
      <c r="E507" s="65"/>
      <c r="F507" s="64"/>
      <c r="G507" s="67"/>
      <c r="H507" s="64"/>
      <c r="I507" s="64"/>
      <c r="J507" s="64"/>
      <c r="K507" s="64"/>
      <c r="L507" s="65"/>
      <c r="M507" s="64"/>
      <c r="N507" s="64"/>
      <c r="O507" s="64"/>
      <c r="P507" s="64"/>
      <c r="Q507" s="64"/>
      <c r="R507" s="64"/>
      <c r="S507" s="64"/>
      <c r="T507" s="65"/>
      <c r="U507" s="64"/>
      <c r="V507" s="64"/>
      <c r="W507" s="64"/>
      <c r="X507" s="64"/>
      <c r="Y507" s="64"/>
      <c r="Z507" s="64"/>
      <c r="AA507" s="64"/>
      <c r="AB507" s="64"/>
      <c r="AC507" s="64"/>
      <c r="AD507" s="64"/>
      <c r="AE507" s="64"/>
      <c r="AF507" s="64"/>
      <c r="AG507" s="64"/>
    </row>
    <row r="508">
      <c r="A508" s="64"/>
      <c r="B508" s="64"/>
      <c r="C508" s="64"/>
      <c r="D508" s="64"/>
      <c r="E508" s="65"/>
      <c r="F508" s="64"/>
      <c r="G508" s="67"/>
      <c r="H508" s="64"/>
      <c r="I508" s="64"/>
      <c r="J508" s="64"/>
      <c r="K508" s="64"/>
      <c r="L508" s="65"/>
      <c r="M508" s="64"/>
      <c r="N508" s="64"/>
      <c r="O508" s="64"/>
      <c r="P508" s="64"/>
      <c r="Q508" s="64"/>
      <c r="R508" s="64"/>
      <c r="S508" s="64"/>
      <c r="T508" s="65"/>
      <c r="U508" s="64"/>
      <c r="V508" s="64"/>
      <c r="W508" s="64"/>
      <c r="X508" s="64"/>
      <c r="Y508" s="64"/>
      <c r="Z508" s="64"/>
      <c r="AA508" s="64"/>
      <c r="AB508" s="64"/>
      <c r="AC508" s="64"/>
      <c r="AD508" s="64"/>
      <c r="AE508" s="64"/>
      <c r="AF508" s="64"/>
      <c r="AG508" s="64"/>
    </row>
    <row r="509">
      <c r="A509" s="64"/>
      <c r="B509" s="64"/>
      <c r="C509" s="64"/>
      <c r="D509" s="64"/>
      <c r="E509" s="65"/>
      <c r="F509" s="64"/>
      <c r="G509" s="67"/>
      <c r="H509" s="64"/>
      <c r="I509" s="64"/>
      <c r="J509" s="64"/>
      <c r="K509" s="64"/>
      <c r="L509" s="65"/>
      <c r="M509" s="64"/>
      <c r="N509" s="64"/>
      <c r="O509" s="64"/>
      <c r="P509" s="64"/>
      <c r="Q509" s="64"/>
      <c r="R509" s="64"/>
      <c r="S509" s="64"/>
      <c r="T509" s="65"/>
      <c r="U509" s="64"/>
      <c r="V509" s="64"/>
      <c r="W509" s="64"/>
      <c r="X509" s="64"/>
      <c r="Y509" s="64"/>
      <c r="Z509" s="64"/>
      <c r="AA509" s="64"/>
      <c r="AB509" s="64"/>
      <c r="AC509" s="64"/>
      <c r="AD509" s="64"/>
      <c r="AE509" s="64"/>
      <c r="AF509" s="64"/>
      <c r="AG509" s="64"/>
    </row>
    <row r="510">
      <c r="A510" s="64"/>
      <c r="B510" s="64"/>
      <c r="C510" s="64"/>
      <c r="D510" s="64"/>
      <c r="E510" s="65"/>
      <c r="F510" s="64"/>
      <c r="G510" s="67"/>
      <c r="H510" s="64"/>
      <c r="I510" s="64"/>
      <c r="J510" s="64"/>
      <c r="K510" s="64"/>
      <c r="L510" s="65"/>
      <c r="M510" s="64"/>
      <c r="N510" s="64"/>
      <c r="O510" s="64"/>
      <c r="P510" s="64"/>
      <c r="Q510" s="64"/>
      <c r="R510" s="64"/>
      <c r="S510" s="64"/>
      <c r="T510" s="65"/>
      <c r="U510" s="64"/>
      <c r="V510" s="64"/>
      <c r="W510" s="64"/>
      <c r="X510" s="64"/>
      <c r="Y510" s="64"/>
      <c r="Z510" s="64"/>
      <c r="AA510" s="64"/>
      <c r="AB510" s="64"/>
      <c r="AC510" s="64"/>
      <c r="AD510" s="64"/>
      <c r="AE510" s="64"/>
      <c r="AF510" s="64"/>
      <c r="AG510" s="64"/>
    </row>
    <row r="511">
      <c r="A511" s="64"/>
      <c r="B511" s="64"/>
      <c r="C511" s="64"/>
      <c r="D511" s="64"/>
      <c r="E511" s="65"/>
      <c r="F511" s="64"/>
      <c r="G511" s="67"/>
      <c r="H511" s="64"/>
      <c r="I511" s="64"/>
      <c r="J511" s="64"/>
      <c r="K511" s="64"/>
      <c r="L511" s="65"/>
      <c r="M511" s="64"/>
      <c r="N511" s="64"/>
      <c r="O511" s="64"/>
      <c r="P511" s="64"/>
      <c r="Q511" s="64"/>
      <c r="R511" s="64"/>
      <c r="S511" s="64"/>
      <c r="T511" s="65"/>
      <c r="U511" s="64"/>
      <c r="V511" s="64"/>
      <c r="W511" s="64"/>
      <c r="X511" s="64"/>
      <c r="Y511" s="64"/>
      <c r="Z511" s="64"/>
      <c r="AA511" s="64"/>
      <c r="AB511" s="64"/>
      <c r="AC511" s="64"/>
      <c r="AD511" s="64"/>
      <c r="AE511" s="64"/>
      <c r="AF511" s="64"/>
      <c r="AG511" s="64"/>
    </row>
    <row r="512">
      <c r="A512" s="64"/>
      <c r="B512" s="64"/>
      <c r="C512" s="64"/>
      <c r="D512" s="64"/>
      <c r="E512" s="65"/>
      <c r="F512" s="64"/>
      <c r="G512" s="67"/>
      <c r="H512" s="64"/>
      <c r="I512" s="64"/>
      <c r="J512" s="64"/>
      <c r="K512" s="64"/>
      <c r="L512" s="65"/>
      <c r="M512" s="64"/>
      <c r="N512" s="64"/>
      <c r="O512" s="64"/>
      <c r="P512" s="64"/>
      <c r="Q512" s="64"/>
      <c r="R512" s="64"/>
      <c r="S512" s="64"/>
      <c r="T512" s="65"/>
      <c r="U512" s="64"/>
      <c r="V512" s="64"/>
      <c r="W512" s="64"/>
      <c r="X512" s="64"/>
      <c r="Y512" s="64"/>
      <c r="Z512" s="64"/>
      <c r="AA512" s="64"/>
      <c r="AB512" s="64"/>
      <c r="AC512" s="64"/>
      <c r="AD512" s="64"/>
      <c r="AE512" s="64"/>
      <c r="AF512" s="64"/>
      <c r="AG512" s="64"/>
    </row>
    <row r="513">
      <c r="A513" s="64"/>
      <c r="B513" s="64"/>
      <c r="C513" s="64"/>
      <c r="D513" s="64"/>
      <c r="E513" s="65"/>
      <c r="F513" s="64"/>
      <c r="G513" s="67"/>
      <c r="H513" s="64"/>
      <c r="I513" s="64"/>
      <c r="J513" s="64"/>
      <c r="K513" s="64"/>
      <c r="L513" s="65"/>
      <c r="M513" s="64"/>
      <c r="N513" s="64"/>
      <c r="O513" s="64"/>
      <c r="P513" s="64"/>
      <c r="Q513" s="64"/>
      <c r="R513" s="64"/>
      <c r="S513" s="64"/>
      <c r="T513" s="65"/>
      <c r="U513" s="64"/>
      <c r="V513" s="64"/>
      <c r="W513" s="64"/>
      <c r="X513" s="64"/>
      <c r="Y513" s="64"/>
      <c r="Z513" s="64"/>
      <c r="AA513" s="64"/>
      <c r="AB513" s="64"/>
      <c r="AC513" s="64"/>
      <c r="AD513" s="64"/>
      <c r="AE513" s="64"/>
      <c r="AF513" s="64"/>
      <c r="AG513" s="64"/>
    </row>
    <row r="514">
      <c r="A514" s="64"/>
      <c r="B514" s="64"/>
      <c r="C514" s="64"/>
      <c r="D514" s="64"/>
      <c r="E514" s="65"/>
      <c r="F514" s="64"/>
      <c r="G514" s="67"/>
      <c r="H514" s="64"/>
      <c r="I514" s="64"/>
      <c r="J514" s="64"/>
      <c r="K514" s="64"/>
      <c r="L514" s="65"/>
      <c r="M514" s="64"/>
      <c r="N514" s="64"/>
      <c r="O514" s="64"/>
      <c r="P514" s="64"/>
      <c r="Q514" s="64"/>
      <c r="R514" s="64"/>
      <c r="S514" s="64"/>
      <c r="T514" s="65"/>
      <c r="U514" s="64"/>
      <c r="V514" s="64"/>
      <c r="W514" s="64"/>
      <c r="X514" s="64"/>
      <c r="Y514" s="64"/>
      <c r="Z514" s="64"/>
      <c r="AA514" s="64"/>
      <c r="AB514" s="64"/>
      <c r="AC514" s="64"/>
      <c r="AD514" s="64"/>
      <c r="AE514" s="64"/>
      <c r="AF514" s="64"/>
      <c r="AG514" s="64"/>
    </row>
    <row r="515">
      <c r="A515" s="64"/>
      <c r="B515" s="64"/>
      <c r="C515" s="64"/>
      <c r="D515" s="64"/>
      <c r="E515" s="65"/>
      <c r="F515" s="64"/>
      <c r="G515" s="67"/>
      <c r="H515" s="64"/>
      <c r="I515" s="64"/>
      <c r="J515" s="64"/>
      <c r="K515" s="64"/>
      <c r="L515" s="65"/>
      <c r="M515" s="64"/>
      <c r="N515" s="64"/>
      <c r="O515" s="64"/>
      <c r="P515" s="64"/>
      <c r="Q515" s="64"/>
      <c r="R515" s="64"/>
      <c r="S515" s="64"/>
      <c r="T515" s="65"/>
      <c r="U515" s="64"/>
      <c r="V515" s="64"/>
      <c r="W515" s="64"/>
      <c r="X515" s="64"/>
      <c r="Y515" s="64"/>
      <c r="Z515" s="64"/>
      <c r="AA515" s="64"/>
      <c r="AB515" s="64"/>
      <c r="AC515" s="64"/>
      <c r="AD515" s="64"/>
      <c r="AE515" s="64"/>
      <c r="AF515" s="64"/>
      <c r="AG515" s="64"/>
    </row>
    <row r="516">
      <c r="A516" s="64"/>
      <c r="B516" s="64"/>
      <c r="C516" s="64"/>
      <c r="D516" s="64"/>
      <c r="E516" s="65"/>
      <c r="F516" s="64"/>
      <c r="G516" s="67"/>
      <c r="H516" s="64"/>
      <c r="I516" s="64"/>
      <c r="J516" s="64"/>
      <c r="K516" s="64"/>
      <c r="L516" s="65"/>
      <c r="M516" s="64"/>
      <c r="N516" s="64"/>
      <c r="O516" s="64"/>
      <c r="P516" s="64"/>
      <c r="Q516" s="64"/>
      <c r="R516" s="64"/>
      <c r="S516" s="64"/>
      <c r="T516" s="65"/>
      <c r="U516" s="64"/>
      <c r="V516" s="64"/>
      <c r="W516" s="64"/>
      <c r="X516" s="64"/>
      <c r="Y516" s="64"/>
      <c r="Z516" s="64"/>
      <c r="AA516" s="64"/>
      <c r="AB516" s="64"/>
      <c r="AC516" s="64"/>
      <c r="AD516" s="64"/>
      <c r="AE516" s="64"/>
      <c r="AF516" s="64"/>
      <c r="AG516" s="64"/>
    </row>
    <row r="517">
      <c r="A517" s="64"/>
      <c r="B517" s="64"/>
      <c r="C517" s="64"/>
      <c r="D517" s="64"/>
      <c r="E517" s="65"/>
      <c r="F517" s="64"/>
      <c r="G517" s="67"/>
      <c r="H517" s="64"/>
      <c r="I517" s="64"/>
      <c r="J517" s="64"/>
      <c r="K517" s="64"/>
      <c r="L517" s="65"/>
      <c r="M517" s="64"/>
      <c r="N517" s="64"/>
      <c r="O517" s="64"/>
      <c r="P517" s="64"/>
      <c r="Q517" s="64"/>
      <c r="R517" s="64"/>
      <c r="S517" s="64"/>
      <c r="T517" s="65"/>
      <c r="U517" s="64"/>
      <c r="V517" s="64"/>
      <c r="W517" s="64"/>
      <c r="X517" s="64"/>
      <c r="Y517" s="64"/>
      <c r="Z517" s="64"/>
      <c r="AA517" s="64"/>
      <c r="AB517" s="64"/>
      <c r="AC517" s="64"/>
      <c r="AD517" s="64"/>
      <c r="AE517" s="64"/>
      <c r="AF517" s="64"/>
      <c r="AG517" s="64"/>
    </row>
    <row r="518">
      <c r="A518" s="64"/>
      <c r="B518" s="64"/>
      <c r="C518" s="64"/>
      <c r="D518" s="64"/>
      <c r="E518" s="65"/>
      <c r="F518" s="64"/>
      <c r="G518" s="67"/>
      <c r="H518" s="64"/>
      <c r="I518" s="64"/>
      <c r="J518" s="64"/>
      <c r="K518" s="64"/>
      <c r="L518" s="65"/>
      <c r="M518" s="64"/>
      <c r="N518" s="64"/>
      <c r="O518" s="64"/>
      <c r="P518" s="64"/>
      <c r="Q518" s="64"/>
      <c r="R518" s="64"/>
      <c r="S518" s="64"/>
      <c r="T518" s="65"/>
      <c r="U518" s="64"/>
      <c r="V518" s="64"/>
      <c r="W518" s="64"/>
      <c r="X518" s="64"/>
      <c r="Y518" s="64"/>
      <c r="Z518" s="64"/>
      <c r="AA518" s="64"/>
      <c r="AB518" s="64"/>
      <c r="AC518" s="64"/>
      <c r="AD518" s="64"/>
      <c r="AE518" s="64"/>
      <c r="AF518" s="64"/>
      <c r="AG518" s="64"/>
    </row>
    <row r="519">
      <c r="A519" s="64"/>
      <c r="B519" s="64"/>
      <c r="C519" s="64"/>
      <c r="D519" s="64"/>
      <c r="E519" s="65"/>
      <c r="F519" s="64"/>
      <c r="G519" s="67"/>
      <c r="H519" s="64"/>
      <c r="I519" s="64"/>
      <c r="J519" s="64"/>
      <c r="K519" s="64"/>
      <c r="L519" s="65"/>
      <c r="M519" s="64"/>
      <c r="N519" s="64"/>
      <c r="O519" s="64"/>
      <c r="P519" s="64"/>
      <c r="Q519" s="64"/>
      <c r="R519" s="64"/>
      <c r="S519" s="64"/>
      <c r="T519" s="65"/>
      <c r="U519" s="64"/>
      <c r="V519" s="64"/>
      <c r="W519" s="64"/>
      <c r="X519" s="64"/>
      <c r="Y519" s="64"/>
      <c r="Z519" s="64"/>
      <c r="AA519" s="64"/>
      <c r="AB519" s="64"/>
      <c r="AC519" s="64"/>
      <c r="AD519" s="64"/>
      <c r="AE519" s="64"/>
      <c r="AF519" s="64"/>
      <c r="AG519" s="64"/>
    </row>
    <row r="520">
      <c r="A520" s="64"/>
      <c r="B520" s="64"/>
      <c r="C520" s="64"/>
      <c r="D520" s="64"/>
      <c r="E520" s="65"/>
      <c r="F520" s="64"/>
      <c r="G520" s="67"/>
      <c r="H520" s="64"/>
      <c r="I520" s="64"/>
      <c r="J520" s="64"/>
      <c r="K520" s="64"/>
      <c r="L520" s="65"/>
      <c r="M520" s="64"/>
      <c r="N520" s="64"/>
      <c r="O520" s="64"/>
      <c r="P520" s="64"/>
      <c r="Q520" s="64"/>
      <c r="R520" s="64"/>
      <c r="S520" s="64"/>
      <c r="T520" s="65"/>
      <c r="U520" s="64"/>
      <c r="V520" s="64"/>
      <c r="W520" s="64"/>
      <c r="X520" s="64"/>
      <c r="Y520" s="64"/>
      <c r="Z520" s="64"/>
      <c r="AA520" s="64"/>
      <c r="AB520" s="64"/>
      <c r="AC520" s="64"/>
      <c r="AD520" s="64"/>
      <c r="AE520" s="64"/>
      <c r="AF520" s="64"/>
      <c r="AG520" s="64"/>
    </row>
    <row r="521">
      <c r="A521" s="64"/>
      <c r="B521" s="64"/>
      <c r="C521" s="64"/>
      <c r="D521" s="64"/>
      <c r="E521" s="65"/>
      <c r="F521" s="64"/>
      <c r="G521" s="67"/>
      <c r="H521" s="64"/>
      <c r="I521" s="64"/>
      <c r="J521" s="64"/>
      <c r="K521" s="64"/>
      <c r="L521" s="65"/>
      <c r="M521" s="64"/>
      <c r="N521" s="64"/>
      <c r="O521" s="64"/>
      <c r="P521" s="64"/>
      <c r="Q521" s="64"/>
      <c r="R521" s="64"/>
      <c r="S521" s="64"/>
      <c r="T521" s="65"/>
      <c r="U521" s="64"/>
      <c r="V521" s="64"/>
      <c r="W521" s="64"/>
      <c r="X521" s="64"/>
      <c r="Y521" s="64"/>
      <c r="Z521" s="64"/>
      <c r="AA521" s="64"/>
      <c r="AB521" s="64"/>
      <c r="AC521" s="64"/>
      <c r="AD521" s="64"/>
      <c r="AE521" s="64"/>
      <c r="AF521" s="64"/>
      <c r="AG521" s="64"/>
    </row>
    <row r="522">
      <c r="A522" s="64"/>
      <c r="B522" s="64"/>
      <c r="C522" s="64"/>
      <c r="D522" s="64"/>
      <c r="E522" s="65"/>
      <c r="F522" s="64"/>
      <c r="G522" s="67"/>
      <c r="H522" s="64"/>
      <c r="I522" s="64"/>
      <c r="J522" s="64"/>
      <c r="K522" s="64"/>
      <c r="L522" s="65"/>
      <c r="M522" s="64"/>
      <c r="N522" s="64"/>
      <c r="O522" s="64"/>
      <c r="P522" s="64"/>
      <c r="Q522" s="64"/>
      <c r="R522" s="64"/>
      <c r="S522" s="64"/>
      <c r="T522" s="65"/>
      <c r="U522" s="64"/>
      <c r="V522" s="64"/>
      <c r="W522" s="64"/>
      <c r="X522" s="64"/>
      <c r="Y522" s="64"/>
      <c r="Z522" s="64"/>
      <c r="AA522" s="64"/>
      <c r="AB522" s="64"/>
      <c r="AC522" s="64"/>
      <c r="AD522" s="64"/>
      <c r="AE522" s="64"/>
      <c r="AF522" s="64"/>
      <c r="AG522" s="64"/>
    </row>
    <row r="523">
      <c r="A523" s="64"/>
      <c r="B523" s="64"/>
      <c r="C523" s="64"/>
      <c r="D523" s="64"/>
      <c r="E523" s="65"/>
      <c r="F523" s="64"/>
      <c r="G523" s="67"/>
      <c r="H523" s="64"/>
      <c r="I523" s="64"/>
      <c r="J523" s="64"/>
      <c r="K523" s="64"/>
      <c r="L523" s="65"/>
      <c r="M523" s="64"/>
      <c r="N523" s="64"/>
      <c r="O523" s="64"/>
      <c r="P523" s="64"/>
      <c r="Q523" s="64"/>
      <c r="R523" s="64"/>
      <c r="S523" s="64"/>
      <c r="T523" s="65"/>
      <c r="U523" s="64"/>
      <c r="V523" s="64"/>
      <c r="W523" s="64"/>
      <c r="X523" s="64"/>
      <c r="Y523" s="64"/>
      <c r="Z523" s="64"/>
      <c r="AA523" s="64"/>
      <c r="AB523" s="64"/>
      <c r="AC523" s="64"/>
      <c r="AD523" s="64"/>
      <c r="AE523" s="64"/>
      <c r="AF523" s="64"/>
      <c r="AG523" s="64"/>
    </row>
    <row r="524">
      <c r="A524" s="64"/>
      <c r="B524" s="64"/>
      <c r="C524" s="64"/>
      <c r="D524" s="64"/>
      <c r="E524" s="65"/>
      <c r="F524" s="64"/>
      <c r="G524" s="67"/>
      <c r="H524" s="64"/>
      <c r="I524" s="64"/>
      <c r="J524" s="64"/>
      <c r="K524" s="64"/>
      <c r="L524" s="65"/>
      <c r="M524" s="64"/>
      <c r="N524" s="64"/>
      <c r="O524" s="64"/>
      <c r="P524" s="64"/>
      <c r="Q524" s="64"/>
      <c r="R524" s="64"/>
      <c r="S524" s="64"/>
      <c r="T524" s="65"/>
      <c r="U524" s="64"/>
      <c r="V524" s="64"/>
      <c r="W524" s="64"/>
      <c r="X524" s="64"/>
      <c r="Y524" s="64"/>
      <c r="Z524" s="64"/>
      <c r="AA524" s="64"/>
      <c r="AB524" s="64"/>
      <c r="AC524" s="64"/>
      <c r="AD524" s="64"/>
      <c r="AE524" s="64"/>
      <c r="AF524" s="64"/>
      <c r="AG524" s="64"/>
    </row>
    <row r="525">
      <c r="A525" s="64"/>
      <c r="B525" s="64"/>
      <c r="C525" s="64"/>
      <c r="D525" s="64"/>
      <c r="E525" s="65"/>
      <c r="F525" s="64"/>
      <c r="G525" s="67"/>
      <c r="H525" s="64"/>
      <c r="I525" s="64"/>
      <c r="J525" s="64"/>
      <c r="K525" s="64"/>
      <c r="L525" s="65"/>
      <c r="M525" s="64"/>
      <c r="N525" s="64"/>
      <c r="O525" s="64"/>
      <c r="P525" s="64"/>
      <c r="Q525" s="64"/>
      <c r="R525" s="64"/>
      <c r="S525" s="64"/>
      <c r="T525" s="65"/>
      <c r="U525" s="64"/>
      <c r="V525" s="64"/>
      <c r="W525" s="64"/>
      <c r="X525" s="64"/>
      <c r="Y525" s="64"/>
      <c r="Z525" s="64"/>
      <c r="AA525" s="64"/>
      <c r="AB525" s="64"/>
      <c r="AC525" s="64"/>
      <c r="AD525" s="64"/>
      <c r="AE525" s="64"/>
      <c r="AF525" s="64"/>
      <c r="AG525" s="64"/>
    </row>
    <row r="526">
      <c r="A526" s="64"/>
      <c r="B526" s="64"/>
      <c r="C526" s="64"/>
      <c r="D526" s="64"/>
      <c r="E526" s="65"/>
      <c r="F526" s="64"/>
      <c r="G526" s="67"/>
      <c r="H526" s="64"/>
      <c r="I526" s="64"/>
      <c r="J526" s="64"/>
      <c r="K526" s="64"/>
      <c r="L526" s="65"/>
      <c r="M526" s="64"/>
      <c r="N526" s="64"/>
      <c r="O526" s="64"/>
      <c r="P526" s="64"/>
      <c r="Q526" s="64"/>
      <c r="R526" s="64"/>
      <c r="S526" s="64"/>
      <c r="T526" s="65"/>
      <c r="U526" s="64"/>
      <c r="V526" s="64"/>
      <c r="W526" s="64"/>
      <c r="X526" s="64"/>
      <c r="Y526" s="64"/>
      <c r="Z526" s="64"/>
      <c r="AA526" s="64"/>
      <c r="AB526" s="64"/>
      <c r="AC526" s="64"/>
      <c r="AD526" s="64"/>
      <c r="AE526" s="64"/>
      <c r="AF526" s="64"/>
      <c r="AG526" s="64"/>
    </row>
    <row r="527">
      <c r="A527" s="64"/>
      <c r="B527" s="64"/>
      <c r="C527" s="64"/>
      <c r="D527" s="64"/>
      <c r="E527" s="65"/>
      <c r="F527" s="64"/>
      <c r="G527" s="67"/>
      <c r="H527" s="64"/>
      <c r="I527" s="64"/>
      <c r="J527" s="64"/>
      <c r="K527" s="64"/>
      <c r="L527" s="65"/>
      <c r="M527" s="64"/>
      <c r="N527" s="64"/>
      <c r="O527" s="64"/>
      <c r="P527" s="64"/>
      <c r="Q527" s="64"/>
      <c r="R527" s="64"/>
      <c r="S527" s="64"/>
      <c r="T527" s="65"/>
      <c r="U527" s="64"/>
      <c r="V527" s="64"/>
      <c r="W527" s="64"/>
      <c r="X527" s="64"/>
      <c r="Y527" s="64"/>
      <c r="Z527" s="64"/>
      <c r="AA527" s="64"/>
      <c r="AB527" s="64"/>
      <c r="AC527" s="64"/>
      <c r="AD527" s="64"/>
      <c r="AE527" s="64"/>
      <c r="AF527" s="64"/>
      <c r="AG527" s="64"/>
    </row>
    <row r="528">
      <c r="A528" s="64"/>
      <c r="B528" s="64"/>
      <c r="C528" s="64"/>
      <c r="D528" s="64"/>
      <c r="E528" s="65"/>
      <c r="F528" s="64"/>
      <c r="G528" s="67"/>
      <c r="H528" s="64"/>
      <c r="I528" s="64"/>
      <c r="J528" s="64"/>
      <c r="K528" s="64"/>
      <c r="L528" s="65"/>
      <c r="M528" s="64"/>
      <c r="N528" s="64"/>
      <c r="O528" s="64"/>
      <c r="P528" s="64"/>
      <c r="Q528" s="64"/>
      <c r="R528" s="64"/>
      <c r="S528" s="64"/>
      <c r="T528" s="65"/>
      <c r="U528" s="64"/>
      <c r="V528" s="64"/>
      <c r="W528" s="64"/>
      <c r="X528" s="64"/>
      <c r="Y528" s="64"/>
      <c r="Z528" s="64"/>
      <c r="AA528" s="64"/>
      <c r="AB528" s="64"/>
      <c r="AC528" s="64"/>
      <c r="AD528" s="64"/>
      <c r="AE528" s="64"/>
      <c r="AF528" s="64"/>
      <c r="AG528" s="64"/>
    </row>
    <row r="529">
      <c r="A529" s="64"/>
      <c r="B529" s="64"/>
      <c r="C529" s="64"/>
      <c r="D529" s="64"/>
      <c r="E529" s="65"/>
      <c r="F529" s="64"/>
      <c r="G529" s="67"/>
      <c r="H529" s="64"/>
      <c r="I529" s="64"/>
      <c r="J529" s="64"/>
      <c r="K529" s="64"/>
      <c r="L529" s="65"/>
      <c r="M529" s="64"/>
      <c r="N529" s="64"/>
      <c r="O529" s="64"/>
      <c r="P529" s="64"/>
      <c r="Q529" s="64"/>
      <c r="R529" s="64"/>
      <c r="S529" s="64"/>
      <c r="T529" s="65"/>
      <c r="U529" s="64"/>
      <c r="V529" s="64"/>
      <c r="W529" s="64"/>
      <c r="X529" s="64"/>
      <c r="Y529" s="64"/>
      <c r="Z529" s="64"/>
      <c r="AA529" s="64"/>
      <c r="AB529" s="64"/>
      <c r="AC529" s="64"/>
      <c r="AD529" s="64"/>
      <c r="AE529" s="64"/>
      <c r="AF529" s="64"/>
      <c r="AG529" s="64"/>
    </row>
    <row r="530">
      <c r="A530" s="64"/>
      <c r="B530" s="64"/>
      <c r="C530" s="64"/>
      <c r="D530" s="64"/>
      <c r="E530" s="65"/>
      <c r="F530" s="64"/>
      <c r="G530" s="67"/>
      <c r="H530" s="64"/>
      <c r="I530" s="64"/>
      <c r="J530" s="64"/>
      <c r="K530" s="64"/>
      <c r="L530" s="65"/>
      <c r="M530" s="64"/>
      <c r="N530" s="64"/>
      <c r="O530" s="64"/>
      <c r="P530" s="64"/>
      <c r="Q530" s="64"/>
      <c r="R530" s="64"/>
      <c r="S530" s="64"/>
      <c r="T530" s="65"/>
      <c r="U530" s="64"/>
      <c r="V530" s="64"/>
      <c r="W530" s="64"/>
      <c r="X530" s="64"/>
      <c r="Y530" s="64"/>
      <c r="Z530" s="64"/>
      <c r="AA530" s="64"/>
      <c r="AB530" s="64"/>
      <c r="AC530" s="64"/>
      <c r="AD530" s="64"/>
      <c r="AE530" s="64"/>
      <c r="AF530" s="64"/>
      <c r="AG530" s="64"/>
    </row>
    <row r="531">
      <c r="A531" s="64"/>
      <c r="B531" s="64"/>
      <c r="C531" s="64"/>
      <c r="D531" s="64"/>
      <c r="E531" s="65"/>
      <c r="F531" s="64"/>
      <c r="G531" s="67"/>
      <c r="H531" s="64"/>
      <c r="I531" s="64"/>
      <c r="J531" s="64"/>
      <c r="K531" s="64"/>
      <c r="L531" s="65"/>
      <c r="M531" s="64"/>
      <c r="N531" s="64"/>
      <c r="O531" s="64"/>
      <c r="P531" s="64"/>
      <c r="Q531" s="64"/>
      <c r="R531" s="64"/>
      <c r="S531" s="64"/>
      <c r="T531" s="65"/>
      <c r="U531" s="64"/>
      <c r="V531" s="64"/>
      <c r="W531" s="64"/>
      <c r="X531" s="64"/>
      <c r="Y531" s="64"/>
      <c r="Z531" s="64"/>
      <c r="AA531" s="64"/>
      <c r="AB531" s="64"/>
      <c r="AC531" s="64"/>
      <c r="AD531" s="64"/>
      <c r="AE531" s="64"/>
      <c r="AF531" s="64"/>
      <c r="AG531" s="64"/>
    </row>
    <row r="532">
      <c r="A532" s="64"/>
      <c r="B532" s="64"/>
      <c r="C532" s="64"/>
      <c r="D532" s="64"/>
      <c r="E532" s="65"/>
      <c r="F532" s="64"/>
      <c r="G532" s="67"/>
      <c r="H532" s="64"/>
      <c r="I532" s="64"/>
      <c r="J532" s="64"/>
      <c r="K532" s="64"/>
      <c r="L532" s="65"/>
      <c r="M532" s="64"/>
      <c r="N532" s="64"/>
      <c r="O532" s="64"/>
      <c r="P532" s="64"/>
      <c r="Q532" s="64"/>
      <c r="R532" s="64"/>
      <c r="S532" s="64"/>
      <c r="T532" s="65"/>
      <c r="U532" s="64"/>
      <c r="V532" s="64"/>
      <c r="W532" s="64"/>
      <c r="X532" s="64"/>
      <c r="Y532" s="64"/>
      <c r="Z532" s="64"/>
      <c r="AA532" s="64"/>
      <c r="AB532" s="64"/>
      <c r="AC532" s="64"/>
      <c r="AD532" s="64"/>
      <c r="AE532" s="64"/>
      <c r="AF532" s="64"/>
      <c r="AG532" s="64"/>
    </row>
    <row r="533">
      <c r="A533" s="64"/>
      <c r="B533" s="64"/>
      <c r="C533" s="64"/>
      <c r="D533" s="64"/>
      <c r="E533" s="65"/>
      <c r="F533" s="64"/>
      <c r="G533" s="67"/>
      <c r="H533" s="64"/>
      <c r="I533" s="64"/>
      <c r="J533" s="64"/>
      <c r="K533" s="64"/>
      <c r="L533" s="65"/>
      <c r="M533" s="64"/>
      <c r="N533" s="64"/>
      <c r="O533" s="64"/>
      <c r="P533" s="64"/>
      <c r="Q533" s="64"/>
      <c r="R533" s="64"/>
      <c r="S533" s="64"/>
      <c r="T533" s="65"/>
      <c r="U533" s="64"/>
      <c r="V533" s="64"/>
      <c r="W533" s="64"/>
      <c r="X533" s="64"/>
      <c r="Y533" s="64"/>
      <c r="Z533" s="64"/>
      <c r="AA533" s="64"/>
      <c r="AB533" s="64"/>
      <c r="AC533" s="64"/>
      <c r="AD533" s="64"/>
      <c r="AE533" s="64"/>
      <c r="AF533" s="64"/>
      <c r="AG533" s="64"/>
    </row>
    <row r="534">
      <c r="A534" s="64"/>
      <c r="B534" s="64"/>
      <c r="C534" s="64"/>
      <c r="D534" s="64"/>
      <c r="E534" s="65"/>
      <c r="F534" s="64"/>
      <c r="G534" s="67"/>
      <c r="H534" s="64"/>
      <c r="I534" s="64"/>
      <c r="J534" s="64"/>
      <c r="K534" s="64"/>
      <c r="L534" s="65"/>
      <c r="M534" s="64"/>
      <c r="N534" s="64"/>
      <c r="O534" s="64"/>
      <c r="P534" s="64"/>
      <c r="Q534" s="64"/>
      <c r="R534" s="64"/>
      <c r="S534" s="64"/>
      <c r="T534" s="65"/>
      <c r="U534" s="64"/>
      <c r="V534" s="64"/>
      <c r="W534" s="64"/>
      <c r="X534" s="64"/>
      <c r="Y534" s="64"/>
      <c r="Z534" s="64"/>
      <c r="AA534" s="64"/>
      <c r="AB534" s="64"/>
      <c r="AC534" s="64"/>
      <c r="AD534" s="64"/>
      <c r="AE534" s="64"/>
      <c r="AF534" s="64"/>
      <c r="AG534" s="64"/>
    </row>
    <row r="535">
      <c r="A535" s="64"/>
      <c r="B535" s="64"/>
      <c r="C535" s="64"/>
      <c r="D535" s="64"/>
      <c r="E535" s="65"/>
      <c r="F535" s="64"/>
      <c r="G535" s="67"/>
      <c r="H535" s="64"/>
      <c r="I535" s="64"/>
      <c r="J535" s="64"/>
      <c r="K535" s="64"/>
      <c r="L535" s="65"/>
      <c r="M535" s="64"/>
      <c r="N535" s="64"/>
      <c r="O535" s="64"/>
      <c r="P535" s="64"/>
      <c r="Q535" s="64"/>
      <c r="R535" s="64"/>
      <c r="S535" s="64"/>
      <c r="T535" s="65"/>
      <c r="U535" s="64"/>
      <c r="V535" s="64"/>
      <c r="W535" s="64"/>
      <c r="X535" s="64"/>
      <c r="Y535" s="64"/>
      <c r="Z535" s="64"/>
      <c r="AA535" s="64"/>
      <c r="AB535" s="64"/>
      <c r="AC535" s="64"/>
      <c r="AD535" s="64"/>
      <c r="AE535" s="64"/>
      <c r="AF535" s="64"/>
      <c r="AG535" s="64"/>
    </row>
    <row r="536">
      <c r="A536" s="64"/>
      <c r="B536" s="64"/>
      <c r="C536" s="64"/>
      <c r="D536" s="64"/>
      <c r="E536" s="65"/>
      <c r="F536" s="64"/>
      <c r="G536" s="67"/>
      <c r="H536" s="64"/>
      <c r="I536" s="64"/>
      <c r="J536" s="64"/>
      <c r="K536" s="64"/>
      <c r="L536" s="65"/>
      <c r="M536" s="64"/>
      <c r="N536" s="64"/>
      <c r="O536" s="64"/>
      <c r="P536" s="64"/>
      <c r="Q536" s="64"/>
      <c r="R536" s="64"/>
      <c r="S536" s="64"/>
      <c r="T536" s="65"/>
      <c r="U536" s="64"/>
      <c r="V536" s="64"/>
      <c r="W536" s="64"/>
      <c r="X536" s="64"/>
      <c r="Y536" s="64"/>
      <c r="Z536" s="64"/>
      <c r="AA536" s="64"/>
      <c r="AB536" s="64"/>
      <c r="AC536" s="64"/>
      <c r="AD536" s="64"/>
      <c r="AE536" s="64"/>
      <c r="AF536" s="64"/>
      <c r="AG536" s="64"/>
    </row>
    <row r="537">
      <c r="A537" s="64"/>
      <c r="B537" s="64"/>
      <c r="C537" s="64"/>
      <c r="D537" s="64"/>
      <c r="E537" s="65"/>
      <c r="F537" s="64"/>
      <c r="G537" s="67"/>
      <c r="H537" s="64"/>
      <c r="I537" s="64"/>
      <c r="J537" s="64"/>
      <c r="K537" s="64"/>
      <c r="L537" s="65"/>
      <c r="M537" s="64"/>
      <c r="N537" s="64"/>
      <c r="O537" s="64"/>
      <c r="P537" s="64"/>
      <c r="Q537" s="64"/>
      <c r="R537" s="64"/>
      <c r="S537" s="64"/>
      <c r="T537" s="65"/>
      <c r="U537" s="64"/>
      <c r="V537" s="64"/>
      <c r="W537" s="64"/>
      <c r="X537" s="64"/>
      <c r="Y537" s="64"/>
      <c r="Z537" s="64"/>
      <c r="AA537" s="64"/>
      <c r="AB537" s="64"/>
      <c r="AC537" s="64"/>
      <c r="AD537" s="64"/>
      <c r="AE537" s="64"/>
      <c r="AF537" s="64"/>
      <c r="AG537" s="64"/>
    </row>
    <row r="538">
      <c r="A538" s="64"/>
      <c r="B538" s="64"/>
      <c r="C538" s="64"/>
      <c r="D538" s="64"/>
      <c r="E538" s="65"/>
      <c r="F538" s="64"/>
      <c r="G538" s="67"/>
      <c r="H538" s="64"/>
      <c r="I538" s="64"/>
      <c r="J538" s="64"/>
      <c r="K538" s="64"/>
      <c r="L538" s="65"/>
      <c r="M538" s="64"/>
      <c r="N538" s="64"/>
      <c r="O538" s="64"/>
      <c r="P538" s="64"/>
      <c r="Q538" s="64"/>
      <c r="R538" s="64"/>
      <c r="S538" s="64"/>
      <c r="T538" s="65"/>
      <c r="U538" s="64"/>
      <c r="V538" s="64"/>
      <c r="W538" s="64"/>
      <c r="X538" s="64"/>
      <c r="Y538" s="64"/>
      <c r="Z538" s="64"/>
      <c r="AA538" s="64"/>
      <c r="AB538" s="64"/>
      <c r="AC538" s="64"/>
      <c r="AD538" s="64"/>
      <c r="AE538" s="64"/>
      <c r="AF538" s="64"/>
      <c r="AG538" s="64"/>
    </row>
    <row r="539">
      <c r="A539" s="64"/>
      <c r="B539" s="64"/>
      <c r="C539" s="64"/>
      <c r="D539" s="64"/>
      <c r="E539" s="65"/>
      <c r="F539" s="64"/>
      <c r="G539" s="67"/>
      <c r="H539" s="64"/>
      <c r="I539" s="64"/>
      <c r="J539" s="64"/>
      <c r="K539" s="64"/>
      <c r="L539" s="65"/>
      <c r="M539" s="64"/>
      <c r="N539" s="64"/>
      <c r="O539" s="64"/>
      <c r="P539" s="64"/>
      <c r="Q539" s="64"/>
      <c r="R539" s="64"/>
      <c r="S539" s="64"/>
      <c r="T539" s="65"/>
      <c r="U539" s="64"/>
      <c r="V539" s="64"/>
      <c r="W539" s="64"/>
      <c r="X539" s="64"/>
      <c r="Y539" s="64"/>
      <c r="Z539" s="64"/>
      <c r="AA539" s="64"/>
      <c r="AB539" s="64"/>
      <c r="AC539" s="64"/>
      <c r="AD539" s="64"/>
      <c r="AE539" s="64"/>
      <c r="AF539" s="64"/>
      <c r="AG539" s="64"/>
    </row>
    <row r="540">
      <c r="A540" s="64"/>
      <c r="B540" s="64"/>
      <c r="C540" s="64"/>
      <c r="D540" s="64"/>
      <c r="E540" s="65"/>
      <c r="F540" s="64"/>
      <c r="G540" s="67"/>
      <c r="H540" s="64"/>
      <c r="I540" s="64"/>
      <c r="J540" s="64"/>
      <c r="K540" s="64"/>
      <c r="L540" s="65"/>
      <c r="M540" s="64"/>
      <c r="N540" s="64"/>
      <c r="O540" s="64"/>
      <c r="P540" s="64"/>
      <c r="Q540" s="64"/>
      <c r="R540" s="64"/>
      <c r="S540" s="64"/>
      <c r="T540" s="65"/>
      <c r="U540" s="64"/>
      <c r="V540" s="64"/>
      <c r="W540" s="64"/>
      <c r="X540" s="64"/>
      <c r="Y540" s="64"/>
      <c r="Z540" s="64"/>
      <c r="AA540" s="64"/>
      <c r="AB540" s="64"/>
      <c r="AC540" s="64"/>
      <c r="AD540" s="64"/>
      <c r="AE540" s="64"/>
      <c r="AF540" s="64"/>
      <c r="AG540" s="64"/>
    </row>
    <row r="541">
      <c r="A541" s="64"/>
      <c r="B541" s="64"/>
      <c r="C541" s="64"/>
      <c r="D541" s="64"/>
      <c r="E541" s="65"/>
      <c r="F541" s="64"/>
      <c r="G541" s="67"/>
      <c r="H541" s="64"/>
      <c r="I541" s="64"/>
      <c r="J541" s="64"/>
      <c r="K541" s="64"/>
      <c r="L541" s="65"/>
      <c r="M541" s="64"/>
      <c r="N541" s="64"/>
      <c r="O541" s="64"/>
      <c r="P541" s="64"/>
      <c r="Q541" s="64"/>
      <c r="R541" s="64"/>
      <c r="S541" s="64"/>
      <c r="T541" s="65"/>
      <c r="U541" s="64"/>
      <c r="V541" s="64"/>
      <c r="W541" s="64"/>
      <c r="X541" s="64"/>
      <c r="Y541" s="64"/>
      <c r="Z541" s="64"/>
      <c r="AA541" s="64"/>
      <c r="AB541" s="64"/>
      <c r="AC541" s="64"/>
      <c r="AD541" s="64"/>
      <c r="AE541" s="64"/>
      <c r="AF541" s="64"/>
      <c r="AG541" s="64"/>
    </row>
    <row r="542">
      <c r="A542" s="64"/>
      <c r="B542" s="64"/>
      <c r="C542" s="64"/>
      <c r="D542" s="64"/>
      <c r="E542" s="65"/>
      <c r="F542" s="64"/>
      <c r="G542" s="67"/>
      <c r="H542" s="64"/>
      <c r="I542" s="64"/>
      <c r="J542" s="64"/>
      <c r="K542" s="64"/>
      <c r="L542" s="65"/>
      <c r="M542" s="64"/>
      <c r="N542" s="64"/>
      <c r="O542" s="64"/>
      <c r="P542" s="64"/>
      <c r="Q542" s="64"/>
      <c r="R542" s="64"/>
      <c r="S542" s="64"/>
      <c r="T542" s="65"/>
      <c r="U542" s="64"/>
      <c r="V542" s="64"/>
      <c r="W542" s="64"/>
      <c r="X542" s="64"/>
      <c r="Y542" s="64"/>
      <c r="Z542" s="64"/>
      <c r="AA542" s="64"/>
      <c r="AB542" s="64"/>
      <c r="AC542" s="64"/>
      <c r="AD542" s="64"/>
      <c r="AE542" s="64"/>
      <c r="AF542" s="64"/>
      <c r="AG542" s="64"/>
    </row>
    <row r="543">
      <c r="A543" s="64"/>
      <c r="B543" s="64"/>
      <c r="C543" s="64"/>
      <c r="D543" s="64"/>
      <c r="E543" s="65"/>
      <c r="F543" s="64"/>
      <c r="G543" s="67"/>
      <c r="H543" s="64"/>
      <c r="I543" s="64"/>
      <c r="J543" s="64"/>
      <c r="K543" s="64"/>
      <c r="L543" s="65"/>
      <c r="M543" s="64"/>
      <c r="N543" s="64"/>
      <c r="O543" s="64"/>
      <c r="P543" s="64"/>
      <c r="Q543" s="64"/>
      <c r="R543" s="64"/>
      <c r="S543" s="64"/>
      <c r="T543" s="65"/>
      <c r="U543" s="64"/>
      <c r="V543" s="64"/>
      <c r="W543" s="64"/>
      <c r="X543" s="64"/>
      <c r="Y543" s="64"/>
      <c r="Z543" s="64"/>
      <c r="AA543" s="64"/>
      <c r="AB543" s="64"/>
      <c r="AC543" s="64"/>
      <c r="AD543" s="64"/>
      <c r="AE543" s="64"/>
      <c r="AF543" s="64"/>
      <c r="AG543" s="64"/>
    </row>
    <row r="544">
      <c r="A544" s="64"/>
      <c r="B544" s="64"/>
      <c r="C544" s="64"/>
      <c r="D544" s="64"/>
      <c r="E544" s="65"/>
      <c r="F544" s="64"/>
      <c r="G544" s="67"/>
      <c r="H544" s="64"/>
      <c r="I544" s="64"/>
      <c r="J544" s="64"/>
      <c r="K544" s="64"/>
      <c r="L544" s="65"/>
      <c r="M544" s="64"/>
      <c r="N544" s="64"/>
      <c r="O544" s="64"/>
      <c r="P544" s="64"/>
      <c r="Q544" s="64"/>
      <c r="R544" s="64"/>
      <c r="S544" s="64"/>
      <c r="T544" s="65"/>
      <c r="U544" s="64"/>
      <c r="V544" s="64"/>
      <c r="W544" s="64"/>
      <c r="X544" s="64"/>
      <c r="Y544" s="64"/>
      <c r="Z544" s="64"/>
      <c r="AA544" s="64"/>
      <c r="AB544" s="64"/>
      <c r="AC544" s="64"/>
      <c r="AD544" s="64"/>
      <c r="AE544" s="64"/>
      <c r="AF544" s="64"/>
      <c r="AG544" s="64"/>
    </row>
    <row r="545">
      <c r="A545" s="64"/>
      <c r="B545" s="64"/>
      <c r="C545" s="64"/>
      <c r="D545" s="64"/>
      <c r="E545" s="65"/>
      <c r="F545" s="64"/>
      <c r="G545" s="67"/>
      <c r="H545" s="64"/>
      <c r="I545" s="64"/>
      <c r="J545" s="64"/>
      <c r="K545" s="64"/>
      <c r="L545" s="65"/>
      <c r="M545" s="64"/>
      <c r="N545" s="64"/>
      <c r="O545" s="64"/>
      <c r="P545" s="64"/>
      <c r="Q545" s="64"/>
      <c r="R545" s="64"/>
      <c r="S545" s="64"/>
      <c r="T545" s="65"/>
      <c r="U545" s="64"/>
      <c r="V545" s="64"/>
      <c r="W545" s="64"/>
      <c r="X545" s="64"/>
      <c r="Y545" s="64"/>
      <c r="Z545" s="64"/>
      <c r="AA545" s="64"/>
      <c r="AB545" s="64"/>
      <c r="AC545" s="64"/>
      <c r="AD545" s="64"/>
      <c r="AE545" s="64"/>
      <c r="AF545" s="64"/>
      <c r="AG545" s="64"/>
    </row>
    <row r="546">
      <c r="A546" s="64"/>
      <c r="B546" s="64"/>
      <c r="C546" s="64"/>
      <c r="D546" s="64"/>
      <c r="E546" s="65"/>
      <c r="F546" s="64"/>
      <c r="G546" s="67"/>
      <c r="H546" s="64"/>
      <c r="I546" s="64"/>
      <c r="J546" s="64"/>
      <c r="K546" s="64"/>
      <c r="L546" s="65"/>
      <c r="M546" s="64"/>
      <c r="N546" s="64"/>
      <c r="O546" s="64"/>
      <c r="P546" s="64"/>
      <c r="Q546" s="64"/>
      <c r="R546" s="64"/>
      <c r="S546" s="64"/>
      <c r="T546" s="65"/>
      <c r="U546" s="64"/>
      <c r="V546" s="64"/>
      <c r="W546" s="64"/>
      <c r="X546" s="64"/>
      <c r="Y546" s="64"/>
      <c r="Z546" s="64"/>
      <c r="AA546" s="64"/>
      <c r="AB546" s="64"/>
      <c r="AC546" s="64"/>
      <c r="AD546" s="64"/>
      <c r="AE546" s="64"/>
      <c r="AF546" s="64"/>
      <c r="AG546" s="64"/>
    </row>
    <row r="547">
      <c r="A547" s="64"/>
      <c r="B547" s="64"/>
      <c r="C547" s="64"/>
      <c r="D547" s="64"/>
      <c r="E547" s="65"/>
      <c r="F547" s="64"/>
      <c r="G547" s="67"/>
      <c r="H547" s="64"/>
      <c r="I547" s="64"/>
      <c r="J547" s="64"/>
      <c r="K547" s="64"/>
      <c r="L547" s="65"/>
      <c r="M547" s="64"/>
      <c r="N547" s="64"/>
      <c r="O547" s="64"/>
      <c r="P547" s="64"/>
      <c r="Q547" s="64"/>
      <c r="R547" s="64"/>
      <c r="S547" s="64"/>
      <c r="T547" s="65"/>
      <c r="U547" s="64"/>
      <c r="V547" s="64"/>
      <c r="W547" s="64"/>
      <c r="X547" s="64"/>
      <c r="Y547" s="64"/>
      <c r="Z547" s="64"/>
      <c r="AA547" s="64"/>
      <c r="AB547" s="64"/>
      <c r="AC547" s="64"/>
      <c r="AD547" s="64"/>
      <c r="AE547" s="64"/>
      <c r="AF547" s="64"/>
      <c r="AG547" s="64"/>
    </row>
    <row r="548">
      <c r="A548" s="64"/>
      <c r="B548" s="64"/>
      <c r="C548" s="64"/>
      <c r="D548" s="64"/>
      <c r="E548" s="65"/>
      <c r="F548" s="64"/>
      <c r="G548" s="67"/>
      <c r="H548" s="64"/>
      <c r="I548" s="64"/>
      <c r="J548" s="64"/>
      <c r="K548" s="64"/>
      <c r="L548" s="65"/>
      <c r="M548" s="64"/>
      <c r="N548" s="64"/>
      <c r="O548" s="64"/>
      <c r="P548" s="64"/>
      <c r="Q548" s="64"/>
      <c r="R548" s="64"/>
      <c r="S548" s="64"/>
      <c r="T548" s="65"/>
      <c r="U548" s="64"/>
      <c r="V548" s="64"/>
      <c r="W548" s="64"/>
      <c r="X548" s="64"/>
      <c r="Y548" s="64"/>
      <c r="Z548" s="64"/>
      <c r="AA548" s="64"/>
      <c r="AB548" s="64"/>
      <c r="AC548" s="64"/>
      <c r="AD548" s="64"/>
      <c r="AE548" s="64"/>
      <c r="AF548" s="64"/>
      <c r="AG548" s="64"/>
    </row>
    <row r="549">
      <c r="A549" s="64"/>
      <c r="B549" s="64"/>
      <c r="C549" s="64"/>
      <c r="D549" s="64"/>
      <c r="E549" s="65"/>
      <c r="F549" s="64"/>
      <c r="G549" s="67"/>
      <c r="H549" s="64"/>
      <c r="I549" s="64"/>
      <c r="J549" s="64"/>
      <c r="K549" s="64"/>
      <c r="L549" s="65"/>
      <c r="M549" s="64"/>
      <c r="N549" s="64"/>
      <c r="O549" s="64"/>
      <c r="P549" s="64"/>
      <c r="Q549" s="64"/>
      <c r="R549" s="64"/>
      <c r="S549" s="64"/>
      <c r="T549" s="65"/>
      <c r="U549" s="64"/>
      <c r="V549" s="64"/>
      <c r="W549" s="64"/>
      <c r="X549" s="64"/>
      <c r="Y549" s="64"/>
      <c r="Z549" s="64"/>
      <c r="AA549" s="64"/>
      <c r="AB549" s="64"/>
      <c r="AC549" s="64"/>
      <c r="AD549" s="64"/>
      <c r="AE549" s="64"/>
      <c r="AF549" s="64"/>
      <c r="AG549" s="64"/>
    </row>
    <row r="550">
      <c r="A550" s="64"/>
      <c r="B550" s="64"/>
      <c r="C550" s="64"/>
      <c r="D550" s="64"/>
      <c r="E550" s="65"/>
      <c r="F550" s="64"/>
      <c r="G550" s="67"/>
      <c r="H550" s="64"/>
      <c r="I550" s="64"/>
      <c r="J550" s="64"/>
      <c r="K550" s="64"/>
      <c r="L550" s="65"/>
      <c r="M550" s="64"/>
      <c r="N550" s="64"/>
      <c r="O550" s="64"/>
      <c r="P550" s="64"/>
      <c r="Q550" s="64"/>
      <c r="R550" s="64"/>
      <c r="S550" s="64"/>
      <c r="T550" s="65"/>
      <c r="U550" s="64"/>
      <c r="V550" s="64"/>
      <c r="W550" s="64"/>
      <c r="X550" s="64"/>
      <c r="Y550" s="64"/>
      <c r="Z550" s="64"/>
      <c r="AA550" s="64"/>
      <c r="AB550" s="64"/>
      <c r="AC550" s="64"/>
      <c r="AD550" s="64"/>
      <c r="AE550" s="64"/>
      <c r="AF550" s="64"/>
      <c r="AG550" s="64"/>
    </row>
    <row r="551">
      <c r="A551" s="64"/>
      <c r="B551" s="64"/>
      <c r="C551" s="64"/>
      <c r="D551" s="64"/>
      <c r="E551" s="65"/>
      <c r="F551" s="64"/>
      <c r="G551" s="67"/>
      <c r="H551" s="64"/>
      <c r="I551" s="64"/>
      <c r="J551" s="64"/>
      <c r="K551" s="64"/>
      <c r="L551" s="65"/>
      <c r="M551" s="64"/>
      <c r="N551" s="64"/>
      <c r="O551" s="64"/>
      <c r="P551" s="64"/>
      <c r="Q551" s="64"/>
      <c r="R551" s="64"/>
      <c r="S551" s="64"/>
      <c r="T551" s="65"/>
      <c r="U551" s="64"/>
      <c r="V551" s="64"/>
      <c r="W551" s="64"/>
      <c r="X551" s="64"/>
      <c r="Y551" s="64"/>
      <c r="Z551" s="64"/>
      <c r="AA551" s="64"/>
      <c r="AB551" s="64"/>
      <c r="AC551" s="64"/>
      <c r="AD551" s="64"/>
      <c r="AE551" s="64"/>
      <c r="AF551" s="64"/>
      <c r="AG551" s="64"/>
    </row>
    <row r="552">
      <c r="A552" s="64"/>
      <c r="B552" s="64"/>
      <c r="C552" s="64"/>
      <c r="D552" s="64"/>
      <c r="E552" s="65"/>
      <c r="F552" s="64"/>
      <c r="G552" s="67"/>
      <c r="H552" s="64"/>
      <c r="I552" s="64"/>
      <c r="J552" s="64"/>
      <c r="K552" s="64"/>
      <c r="L552" s="65"/>
      <c r="M552" s="64"/>
      <c r="N552" s="64"/>
      <c r="O552" s="64"/>
      <c r="P552" s="64"/>
      <c r="Q552" s="64"/>
      <c r="R552" s="64"/>
      <c r="S552" s="64"/>
      <c r="T552" s="65"/>
      <c r="U552" s="64"/>
      <c r="V552" s="64"/>
      <c r="W552" s="64"/>
      <c r="X552" s="64"/>
      <c r="Y552" s="64"/>
      <c r="Z552" s="64"/>
      <c r="AA552" s="64"/>
      <c r="AB552" s="64"/>
      <c r="AC552" s="64"/>
      <c r="AD552" s="64"/>
      <c r="AE552" s="64"/>
      <c r="AF552" s="64"/>
      <c r="AG552" s="64"/>
    </row>
    <row r="553">
      <c r="A553" s="64"/>
      <c r="B553" s="64"/>
      <c r="C553" s="64"/>
      <c r="D553" s="64"/>
      <c r="E553" s="65"/>
      <c r="F553" s="64"/>
      <c r="G553" s="67"/>
      <c r="H553" s="64"/>
      <c r="I553" s="64"/>
      <c r="J553" s="64"/>
      <c r="K553" s="64"/>
      <c r="L553" s="65"/>
      <c r="M553" s="64"/>
      <c r="N553" s="64"/>
      <c r="O553" s="64"/>
      <c r="P553" s="64"/>
      <c r="Q553" s="64"/>
      <c r="R553" s="64"/>
      <c r="S553" s="64"/>
      <c r="T553" s="65"/>
      <c r="U553" s="64"/>
      <c r="V553" s="64"/>
      <c r="W553" s="64"/>
      <c r="X553" s="64"/>
      <c r="Y553" s="64"/>
      <c r="Z553" s="64"/>
      <c r="AA553" s="64"/>
      <c r="AB553" s="64"/>
      <c r="AC553" s="64"/>
      <c r="AD553" s="64"/>
      <c r="AE553" s="64"/>
      <c r="AF553" s="64"/>
      <c r="AG553" s="64"/>
    </row>
    <row r="554">
      <c r="A554" s="64"/>
      <c r="B554" s="64"/>
      <c r="C554" s="64"/>
      <c r="D554" s="64"/>
      <c r="E554" s="65"/>
      <c r="F554" s="64"/>
      <c r="G554" s="67"/>
      <c r="H554" s="64"/>
      <c r="I554" s="64"/>
      <c r="J554" s="64"/>
      <c r="K554" s="64"/>
      <c r="L554" s="65"/>
      <c r="M554" s="64"/>
      <c r="N554" s="64"/>
      <c r="O554" s="64"/>
      <c r="P554" s="64"/>
      <c r="Q554" s="64"/>
      <c r="R554" s="64"/>
      <c r="S554" s="64"/>
      <c r="T554" s="65"/>
      <c r="U554" s="64"/>
      <c r="V554" s="64"/>
      <c r="W554" s="64"/>
      <c r="X554" s="64"/>
      <c r="Y554" s="64"/>
      <c r="Z554" s="64"/>
      <c r="AA554" s="64"/>
      <c r="AB554" s="64"/>
      <c r="AC554" s="64"/>
      <c r="AD554" s="64"/>
      <c r="AE554" s="64"/>
      <c r="AF554" s="64"/>
      <c r="AG554" s="64"/>
    </row>
    <row r="555">
      <c r="A555" s="64"/>
      <c r="B555" s="64"/>
      <c r="C555" s="64"/>
      <c r="D555" s="64"/>
      <c r="E555" s="65"/>
      <c r="F555" s="64"/>
      <c r="G555" s="67"/>
      <c r="H555" s="64"/>
      <c r="I555" s="64"/>
      <c r="J555" s="64"/>
      <c r="K555" s="64"/>
      <c r="L555" s="65"/>
      <c r="M555" s="64"/>
      <c r="N555" s="64"/>
      <c r="O555" s="64"/>
      <c r="P555" s="64"/>
      <c r="Q555" s="64"/>
      <c r="R555" s="64"/>
      <c r="S555" s="64"/>
      <c r="T555" s="65"/>
      <c r="U555" s="64"/>
      <c r="V555" s="64"/>
      <c r="W555" s="64"/>
      <c r="X555" s="64"/>
      <c r="Y555" s="64"/>
      <c r="Z555" s="64"/>
      <c r="AA555" s="64"/>
      <c r="AB555" s="64"/>
      <c r="AC555" s="64"/>
      <c r="AD555" s="64"/>
      <c r="AE555" s="64"/>
      <c r="AF555" s="64"/>
      <c r="AG555" s="64"/>
    </row>
    <row r="556">
      <c r="A556" s="64"/>
      <c r="B556" s="64"/>
      <c r="C556" s="64"/>
      <c r="D556" s="64"/>
      <c r="E556" s="65"/>
      <c r="F556" s="64"/>
      <c r="G556" s="67"/>
      <c r="H556" s="64"/>
      <c r="I556" s="64"/>
      <c r="J556" s="64"/>
      <c r="K556" s="64"/>
      <c r="L556" s="65"/>
      <c r="M556" s="64"/>
      <c r="N556" s="64"/>
      <c r="O556" s="64"/>
      <c r="P556" s="64"/>
      <c r="Q556" s="64"/>
      <c r="R556" s="64"/>
      <c r="S556" s="64"/>
      <c r="T556" s="65"/>
      <c r="U556" s="64"/>
      <c r="V556" s="64"/>
      <c r="W556" s="64"/>
      <c r="X556" s="64"/>
      <c r="Y556" s="64"/>
      <c r="Z556" s="64"/>
      <c r="AA556" s="64"/>
      <c r="AB556" s="64"/>
      <c r="AC556" s="64"/>
      <c r="AD556" s="64"/>
      <c r="AE556" s="64"/>
      <c r="AF556" s="64"/>
      <c r="AG556" s="64"/>
    </row>
    <row r="557">
      <c r="A557" s="64"/>
      <c r="B557" s="64"/>
      <c r="C557" s="64"/>
      <c r="D557" s="64"/>
      <c r="E557" s="65"/>
      <c r="F557" s="64"/>
      <c r="G557" s="67"/>
      <c r="H557" s="64"/>
      <c r="I557" s="64"/>
      <c r="J557" s="64"/>
      <c r="K557" s="64"/>
      <c r="L557" s="65"/>
      <c r="M557" s="64"/>
      <c r="N557" s="64"/>
      <c r="O557" s="64"/>
      <c r="P557" s="64"/>
      <c r="Q557" s="64"/>
      <c r="R557" s="64"/>
      <c r="S557" s="64"/>
      <c r="T557" s="65"/>
      <c r="U557" s="64"/>
      <c r="V557" s="64"/>
      <c r="W557" s="64"/>
      <c r="X557" s="64"/>
      <c r="Y557" s="64"/>
      <c r="Z557" s="64"/>
      <c r="AA557" s="64"/>
      <c r="AB557" s="64"/>
      <c r="AC557" s="64"/>
      <c r="AD557" s="64"/>
      <c r="AE557" s="64"/>
      <c r="AF557" s="64"/>
      <c r="AG557" s="64"/>
    </row>
    <row r="558">
      <c r="A558" s="64"/>
      <c r="B558" s="64"/>
      <c r="C558" s="64"/>
      <c r="D558" s="64"/>
      <c r="E558" s="65"/>
      <c r="F558" s="64"/>
      <c r="G558" s="67"/>
      <c r="H558" s="64"/>
      <c r="I558" s="64"/>
      <c r="J558" s="64"/>
      <c r="K558" s="64"/>
      <c r="L558" s="65"/>
      <c r="M558" s="64"/>
      <c r="N558" s="64"/>
      <c r="O558" s="64"/>
      <c r="P558" s="64"/>
      <c r="Q558" s="64"/>
      <c r="R558" s="64"/>
      <c r="S558" s="64"/>
      <c r="T558" s="65"/>
      <c r="U558" s="64"/>
      <c r="V558" s="64"/>
      <c r="W558" s="64"/>
      <c r="X558" s="64"/>
      <c r="Y558" s="64"/>
      <c r="Z558" s="64"/>
      <c r="AA558" s="64"/>
      <c r="AB558" s="64"/>
      <c r="AC558" s="64"/>
      <c r="AD558" s="64"/>
      <c r="AE558" s="64"/>
      <c r="AF558" s="64"/>
      <c r="AG558" s="64"/>
    </row>
    <row r="559">
      <c r="A559" s="64"/>
      <c r="B559" s="64"/>
      <c r="C559" s="64"/>
      <c r="D559" s="64"/>
      <c r="E559" s="65"/>
      <c r="F559" s="64"/>
      <c r="G559" s="67"/>
      <c r="H559" s="64"/>
      <c r="I559" s="64"/>
      <c r="J559" s="64"/>
      <c r="K559" s="64"/>
      <c r="L559" s="65"/>
      <c r="M559" s="64"/>
      <c r="N559" s="64"/>
      <c r="O559" s="64"/>
      <c r="P559" s="64"/>
      <c r="Q559" s="64"/>
      <c r="R559" s="64"/>
      <c r="S559" s="64"/>
      <c r="T559" s="65"/>
      <c r="U559" s="64"/>
      <c r="V559" s="64"/>
      <c r="W559" s="64"/>
      <c r="X559" s="64"/>
      <c r="Y559" s="64"/>
      <c r="Z559" s="64"/>
      <c r="AA559" s="64"/>
      <c r="AB559" s="64"/>
      <c r="AC559" s="64"/>
      <c r="AD559" s="64"/>
      <c r="AE559" s="64"/>
      <c r="AF559" s="64"/>
      <c r="AG559" s="64"/>
    </row>
    <row r="560">
      <c r="A560" s="64"/>
      <c r="B560" s="64"/>
      <c r="C560" s="64"/>
      <c r="D560" s="64"/>
      <c r="E560" s="65"/>
      <c r="F560" s="64"/>
      <c r="G560" s="67"/>
      <c r="H560" s="64"/>
      <c r="I560" s="64"/>
      <c r="J560" s="64"/>
      <c r="K560" s="64"/>
      <c r="L560" s="65"/>
      <c r="M560" s="64"/>
      <c r="N560" s="64"/>
      <c r="O560" s="64"/>
      <c r="P560" s="64"/>
      <c r="Q560" s="64"/>
      <c r="R560" s="64"/>
      <c r="S560" s="64"/>
      <c r="T560" s="65"/>
      <c r="U560" s="64"/>
      <c r="V560" s="64"/>
      <c r="W560" s="64"/>
      <c r="X560" s="64"/>
      <c r="Y560" s="64"/>
      <c r="Z560" s="64"/>
      <c r="AA560" s="64"/>
      <c r="AB560" s="64"/>
      <c r="AC560" s="64"/>
      <c r="AD560" s="64"/>
      <c r="AE560" s="64"/>
      <c r="AF560" s="64"/>
      <c r="AG560" s="64"/>
    </row>
    <row r="561">
      <c r="A561" s="64"/>
      <c r="B561" s="64"/>
      <c r="C561" s="64"/>
      <c r="D561" s="64"/>
      <c r="E561" s="65"/>
      <c r="F561" s="64"/>
      <c r="G561" s="67"/>
      <c r="H561" s="64"/>
      <c r="I561" s="64"/>
      <c r="J561" s="64"/>
      <c r="K561" s="64"/>
      <c r="L561" s="65"/>
      <c r="M561" s="64"/>
      <c r="N561" s="64"/>
      <c r="O561" s="64"/>
      <c r="P561" s="64"/>
      <c r="Q561" s="64"/>
      <c r="R561" s="64"/>
      <c r="S561" s="64"/>
      <c r="T561" s="65"/>
      <c r="U561" s="64"/>
      <c r="V561" s="64"/>
      <c r="W561" s="64"/>
      <c r="X561" s="64"/>
      <c r="Y561" s="64"/>
      <c r="Z561" s="64"/>
      <c r="AA561" s="64"/>
      <c r="AB561" s="64"/>
      <c r="AC561" s="64"/>
      <c r="AD561" s="64"/>
      <c r="AE561" s="64"/>
      <c r="AF561" s="64"/>
      <c r="AG561" s="64"/>
    </row>
    <row r="562">
      <c r="A562" s="64"/>
      <c r="B562" s="64"/>
      <c r="C562" s="64"/>
      <c r="D562" s="64"/>
      <c r="E562" s="65"/>
      <c r="F562" s="64"/>
      <c r="G562" s="67"/>
      <c r="H562" s="64"/>
      <c r="I562" s="64"/>
      <c r="J562" s="64"/>
      <c r="K562" s="64"/>
      <c r="L562" s="65"/>
      <c r="M562" s="64"/>
      <c r="N562" s="64"/>
      <c r="O562" s="64"/>
      <c r="P562" s="64"/>
      <c r="Q562" s="64"/>
      <c r="R562" s="64"/>
      <c r="S562" s="64"/>
      <c r="T562" s="65"/>
      <c r="U562" s="64"/>
      <c r="V562" s="64"/>
      <c r="W562" s="64"/>
      <c r="X562" s="64"/>
      <c r="Y562" s="64"/>
      <c r="Z562" s="64"/>
      <c r="AA562" s="64"/>
      <c r="AB562" s="64"/>
      <c r="AC562" s="64"/>
      <c r="AD562" s="64"/>
      <c r="AE562" s="64"/>
      <c r="AF562" s="64"/>
      <c r="AG562" s="64"/>
    </row>
    <row r="563">
      <c r="A563" s="64"/>
      <c r="B563" s="64"/>
      <c r="C563" s="64"/>
      <c r="D563" s="64"/>
      <c r="E563" s="65"/>
      <c r="F563" s="64"/>
      <c r="G563" s="67"/>
      <c r="H563" s="64"/>
      <c r="I563" s="64"/>
      <c r="J563" s="64"/>
      <c r="K563" s="64"/>
      <c r="L563" s="65"/>
      <c r="M563" s="64"/>
      <c r="N563" s="64"/>
      <c r="O563" s="64"/>
      <c r="P563" s="64"/>
      <c r="Q563" s="64"/>
      <c r="R563" s="64"/>
      <c r="S563" s="64"/>
      <c r="T563" s="65"/>
      <c r="U563" s="64"/>
      <c r="V563" s="64"/>
      <c r="W563" s="64"/>
      <c r="X563" s="64"/>
      <c r="Y563" s="64"/>
      <c r="Z563" s="64"/>
      <c r="AA563" s="64"/>
      <c r="AB563" s="64"/>
      <c r="AC563" s="64"/>
      <c r="AD563" s="64"/>
      <c r="AE563" s="64"/>
      <c r="AF563" s="64"/>
      <c r="AG563" s="64"/>
    </row>
    <row r="564">
      <c r="A564" s="64"/>
      <c r="B564" s="64"/>
      <c r="C564" s="64"/>
      <c r="D564" s="64"/>
      <c r="E564" s="65"/>
      <c r="F564" s="64"/>
      <c r="G564" s="67"/>
      <c r="H564" s="64"/>
      <c r="I564" s="64"/>
      <c r="J564" s="64"/>
      <c r="K564" s="64"/>
      <c r="L564" s="65"/>
      <c r="M564" s="64"/>
      <c r="N564" s="64"/>
      <c r="O564" s="64"/>
      <c r="P564" s="64"/>
      <c r="Q564" s="64"/>
      <c r="R564" s="64"/>
      <c r="S564" s="64"/>
      <c r="T564" s="65"/>
      <c r="U564" s="64"/>
      <c r="V564" s="64"/>
      <c r="W564" s="64"/>
      <c r="X564" s="64"/>
      <c r="Y564" s="64"/>
      <c r="Z564" s="64"/>
      <c r="AA564" s="64"/>
      <c r="AB564" s="64"/>
      <c r="AC564" s="64"/>
      <c r="AD564" s="64"/>
      <c r="AE564" s="64"/>
      <c r="AF564" s="64"/>
      <c r="AG564" s="64"/>
    </row>
    <row r="565">
      <c r="A565" s="64"/>
      <c r="B565" s="64"/>
      <c r="C565" s="64"/>
      <c r="D565" s="64"/>
      <c r="E565" s="65"/>
      <c r="F565" s="64"/>
      <c r="G565" s="67"/>
      <c r="H565" s="64"/>
      <c r="I565" s="64"/>
      <c r="J565" s="64"/>
      <c r="K565" s="64"/>
      <c r="L565" s="65"/>
      <c r="M565" s="64"/>
      <c r="N565" s="64"/>
      <c r="O565" s="64"/>
      <c r="P565" s="64"/>
      <c r="Q565" s="64"/>
      <c r="R565" s="64"/>
      <c r="S565" s="64"/>
      <c r="T565" s="65"/>
      <c r="U565" s="64"/>
      <c r="V565" s="64"/>
      <c r="W565" s="64"/>
      <c r="X565" s="64"/>
      <c r="Y565" s="64"/>
      <c r="Z565" s="64"/>
      <c r="AA565" s="64"/>
      <c r="AB565" s="64"/>
      <c r="AC565" s="64"/>
      <c r="AD565" s="64"/>
      <c r="AE565" s="64"/>
      <c r="AF565" s="64"/>
      <c r="AG565" s="64"/>
    </row>
    <row r="566">
      <c r="A566" s="64"/>
      <c r="B566" s="64"/>
      <c r="C566" s="64"/>
      <c r="D566" s="64"/>
      <c r="E566" s="65"/>
      <c r="F566" s="64"/>
      <c r="G566" s="67"/>
      <c r="H566" s="64"/>
      <c r="I566" s="64"/>
      <c r="J566" s="64"/>
      <c r="K566" s="64"/>
      <c r="L566" s="65"/>
      <c r="M566" s="64"/>
      <c r="N566" s="64"/>
      <c r="O566" s="64"/>
      <c r="P566" s="64"/>
      <c r="Q566" s="64"/>
      <c r="R566" s="64"/>
      <c r="S566" s="64"/>
      <c r="T566" s="65"/>
      <c r="U566" s="64"/>
      <c r="V566" s="64"/>
      <c r="W566" s="64"/>
      <c r="X566" s="64"/>
      <c r="Y566" s="64"/>
      <c r="Z566" s="64"/>
      <c r="AA566" s="64"/>
      <c r="AB566" s="64"/>
      <c r="AC566" s="64"/>
      <c r="AD566" s="64"/>
      <c r="AE566" s="64"/>
      <c r="AF566" s="64"/>
      <c r="AG566" s="64"/>
    </row>
    <row r="567">
      <c r="A567" s="64"/>
      <c r="B567" s="64"/>
      <c r="C567" s="64"/>
      <c r="D567" s="64"/>
      <c r="E567" s="65"/>
      <c r="F567" s="64"/>
      <c r="G567" s="67"/>
      <c r="H567" s="64"/>
      <c r="I567" s="64"/>
      <c r="J567" s="64"/>
      <c r="K567" s="64"/>
      <c r="L567" s="65"/>
      <c r="M567" s="64"/>
      <c r="N567" s="64"/>
      <c r="O567" s="64"/>
      <c r="P567" s="64"/>
      <c r="Q567" s="64"/>
      <c r="R567" s="64"/>
      <c r="S567" s="64"/>
      <c r="T567" s="65"/>
      <c r="U567" s="64"/>
      <c r="V567" s="64"/>
      <c r="W567" s="64"/>
      <c r="X567" s="64"/>
      <c r="Y567" s="64"/>
      <c r="Z567" s="64"/>
      <c r="AA567" s="64"/>
      <c r="AB567" s="64"/>
      <c r="AC567" s="64"/>
      <c r="AD567" s="64"/>
      <c r="AE567" s="64"/>
      <c r="AF567" s="64"/>
      <c r="AG567" s="64"/>
    </row>
    <row r="568">
      <c r="A568" s="64"/>
      <c r="B568" s="64"/>
      <c r="C568" s="64"/>
      <c r="D568" s="64"/>
      <c r="E568" s="65"/>
      <c r="F568" s="64"/>
      <c r="G568" s="67"/>
      <c r="H568" s="64"/>
      <c r="I568" s="64"/>
      <c r="J568" s="64"/>
      <c r="K568" s="64"/>
      <c r="L568" s="65"/>
      <c r="M568" s="64"/>
      <c r="N568" s="64"/>
      <c r="O568" s="64"/>
      <c r="P568" s="64"/>
      <c r="Q568" s="64"/>
      <c r="R568" s="64"/>
      <c r="S568" s="64"/>
      <c r="T568" s="65"/>
      <c r="U568" s="64"/>
      <c r="V568" s="64"/>
      <c r="W568" s="64"/>
      <c r="X568" s="64"/>
      <c r="Y568" s="64"/>
      <c r="Z568" s="64"/>
      <c r="AA568" s="64"/>
      <c r="AB568" s="64"/>
      <c r="AC568" s="64"/>
      <c r="AD568" s="64"/>
      <c r="AE568" s="64"/>
      <c r="AF568" s="64"/>
      <c r="AG568" s="64"/>
    </row>
    <row r="569">
      <c r="A569" s="64"/>
      <c r="B569" s="64"/>
      <c r="C569" s="64"/>
      <c r="D569" s="64"/>
      <c r="E569" s="65"/>
      <c r="F569" s="64"/>
      <c r="G569" s="67"/>
      <c r="H569" s="64"/>
      <c r="I569" s="64"/>
      <c r="J569" s="64"/>
      <c r="K569" s="64"/>
      <c r="L569" s="65"/>
      <c r="M569" s="64"/>
      <c r="N569" s="64"/>
      <c r="O569" s="64"/>
      <c r="P569" s="64"/>
      <c r="Q569" s="64"/>
      <c r="R569" s="64"/>
      <c r="S569" s="64"/>
      <c r="T569" s="65"/>
      <c r="U569" s="64"/>
      <c r="V569" s="64"/>
      <c r="W569" s="64"/>
      <c r="X569" s="64"/>
      <c r="Y569" s="64"/>
      <c r="Z569" s="64"/>
      <c r="AA569" s="64"/>
      <c r="AB569" s="64"/>
      <c r="AC569" s="64"/>
      <c r="AD569" s="64"/>
      <c r="AE569" s="64"/>
      <c r="AF569" s="64"/>
      <c r="AG569" s="64"/>
    </row>
    <row r="570">
      <c r="A570" s="64"/>
      <c r="B570" s="64"/>
      <c r="C570" s="64"/>
      <c r="D570" s="64"/>
      <c r="E570" s="65"/>
      <c r="F570" s="64"/>
      <c r="G570" s="67"/>
      <c r="H570" s="64"/>
      <c r="I570" s="64"/>
      <c r="J570" s="64"/>
      <c r="K570" s="64"/>
      <c r="L570" s="65"/>
      <c r="M570" s="64"/>
      <c r="N570" s="64"/>
      <c r="O570" s="64"/>
      <c r="P570" s="64"/>
      <c r="Q570" s="64"/>
      <c r="R570" s="64"/>
      <c r="S570" s="64"/>
      <c r="T570" s="65"/>
      <c r="U570" s="64"/>
      <c r="V570" s="64"/>
      <c r="W570" s="64"/>
      <c r="X570" s="64"/>
      <c r="Y570" s="64"/>
      <c r="Z570" s="64"/>
      <c r="AA570" s="64"/>
      <c r="AB570" s="64"/>
      <c r="AC570" s="64"/>
      <c r="AD570" s="64"/>
      <c r="AE570" s="64"/>
      <c r="AF570" s="64"/>
      <c r="AG570" s="64"/>
    </row>
    <row r="571">
      <c r="A571" s="64"/>
      <c r="B571" s="64"/>
      <c r="C571" s="64"/>
      <c r="D571" s="64"/>
      <c r="E571" s="65"/>
      <c r="F571" s="64"/>
      <c r="G571" s="67"/>
      <c r="H571" s="64"/>
      <c r="I571" s="64"/>
      <c r="J571" s="64"/>
      <c r="K571" s="64"/>
      <c r="L571" s="65"/>
      <c r="M571" s="64"/>
      <c r="N571" s="64"/>
      <c r="O571" s="64"/>
      <c r="P571" s="64"/>
      <c r="Q571" s="64"/>
      <c r="R571" s="64"/>
      <c r="S571" s="64"/>
      <c r="T571" s="65"/>
      <c r="U571" s="64"/>
      <c r="V571" s="64"/>
      <c r="W571" s="64"/>
      <c r="X571" s="64"/>
      <c r="Y571" s="64"/>
      <c r="Z571" s="64"/>
      <c r="AA571" s="64"/>
      <c r="AB571" s="64"/>
      <c r="AC571" s="64"/>
      <c r="AD571" s="64"/>
      <c r="AE571" s="64"/>
      <c r="AF571" s="64"/>
      <c r="AG571" s="64"/>
    </row>
    <row r="572">
      <c r="A572" s="64"/>
      <c r="B572" s="64"/>
      <c r="C572" s="64"/>
      <c r="D572" s="64"/>
      <c r="E572" s="65"/>
      <c r="F572" s="64"/>
      <c r="G572" s="67"/>
      <c r="H572" s="64"/>
      <c r="I572" s="64"/>
      <c r="J572" s="64"/>
      <c r="K572" s="64"/>
      <c r="L572" s="65"/>
      <c r="M572" s="64"/>
      <c r="N572" s="64"/>
      <c r="O572" s="64"/>
      <c r="P572" s="64"/>
      <c r="Q572" s="64"/>
      <c r="R572" s="64"/>
      <c r="S572" s="64"/>
      <c r="T572" s="65"/>
      <c r="U572" s="64"/>
      <c r="V572" s="64"/>
      <c r="W572" s="64"/>
      <c r="X572" s="64"/>
      <c r="Y572" s="64"/>
      <c r="Z572" s="64"/>
      <c r="AA572" s="64"/>
      <c r="AB572" s="64"/>
      <c r="AC572" s="64"/>
      <c r="AD572" s="64"/>
      <c r="AE572" s="64"/>
      <c r="AF572" s="64"/>
      <c r="AG572" s="64"/>
    </row>
    <row r="573">
      <c r="A573" s="64"/>
      <c r="B573" s="64"/>
      <c r="C573" s="64"/>
      <c r="D573" s="64"/>
      <c r="E573" s="65"/>
      <c r="F573" s="64"/>
      <c r="G573" s="67"/>
      <c r="H573" s="64"/>
      <c r="I573" s="64"/>
      <c r="J573" s="64"/>
      <c r="K573" s="64"/>
      <c r="L573" s="65"/>
      <c r="M573" s="64"/>
      <c r="N573" s="64"/>
      <c r="O573" s="64"/>
      <c r="P573" s="64"/>
      <c r="Q573" s="64"/>
      <c r="R573" s="64"/>
      <c r="S573" s="64"/>
      <c r="T573" s="65"/>
      <c r="U573" s="64"/>
      <c r="V573" s="64"/>
      <c r="W573" s="64"/>
      <c r="X573" s="64"/>
      <c r="Y573" s="64"/>
      <c r="Z573" s="64"/>
      <c r="AA573" s="64"/>
      <c r="AB573" s="64"/>
      <c r="AC573" s="64"/>
      <c r="AD573" s="64"/>
      <c r="AE573" s="64"/>
      <c r="AF573" s="64"/>
      <c r="AG573" s="64"/>
    </row>
    <row r="574">
      <c r="A574" s="64"/>
      <c r="B574" s="64"/>
      <c r="C574" s="64"/>
      <c r="D574" s="64"/>
      <c r="E574" s="65"/>
      <c r="F574" s="64"/>
      <c r="G574" s="67"/>
      <c r="H574" s="64"/>
      <c r="I574" s="64"/>
      <c r="J574" s="64"/>
      <c r="K574" s="64"/>
      <c r="L574" s="65"/>
      <c r="M574" s="64"/>
      <c r="N574" s="64"/>
      <c r="O574" s="64"/>
      <c r="P574" s="64"/>
      <c r="Q574" s="64"/>
      <c r="R574" s="64"/>
      <c r="S574" s="64"/>
      <c r="T574" s="65"/>
      <c r="U574" s="64"/>
      <c r="V574" s="64"/>
      <c r="W574" s="64"/>
      <c r="X574" s="64"/>
      <c r="Y574" s="64"/>
      <c r="Z574" s="64"/>
      <c r="AA574" s="64"/>
      <c r="AB574" s="64"/>
      <c r="AC574" s="64"/>
      <c r="AD574" s="64"/>
      <c r="AE574" s="64"/>
      <c r="AF574" s="64"/>
      <c r="AG574" s="64"/>
    </row>
    <row r="575">
      <c r="A575" s="64"/>
      <c r="B575" s="64"/>
      <c r="C575" s="64"/>
      <c r="D575" s="64"/>
      <c r="E575" s="65"/>
      <c r="F575" s="64"/>
      <c r="G575" s="67"/>
      <c r="H575" s="64"/>
      <c r="I575" s="64"/>
      <c r="J575" s="64"/>
      <c r="K575" s="64"/>
      <c r="L575" s="65"/>
      <c r="M575" s="64"/>
      <c r="N575" s="64"/>
      <c r="O575" s="64"/>
      <c r="P575" s="64"/>
      <c r="Q575" s="64"/>
      <c r="R575" s="64"/>
      <c r="S575" s="64"/>
      <c r="T575" s="65"/>
      <c r="U575" s="64"/>
      <c r="V575" s="64"/>
      <c r="W575" s="64"/>
      <c r="X575" s="64"/>
      <c r="Y575" s="64"/>
      <c r="Z575" s="64"/>
      <c r="AA575" s="64"/>
      <c r="AB575" s="64"/>
      <c r="AC575" s="64"/>
      <c r="AD575" s="64"/>
      <c r="AE575" s="64"/>
      <c r="AF575" s="64"/>
      <c r="AG575" s="64"/>
    </row>
    <row r="576">
      <c r="A576" s="64"/>
      <c r="B576" s="64"/>
      <c r="C576" s="64"/>
      <c r="D576" s="64"/>
      <c r="E576" s="65"/>
      <c r="F576" s="64"/>
      <c r="G576" s="67"/>
      <c r="H576" s="64"/>
      <c r="I576" s="64"/>
      <c r="J576" s="64"/>
      <c r="K576" s="64"/>
      <c r="L576" s="65"/>
      <c r="M576" s="64"/>
      <c r="N576" s="64"/>
      <c r="O576" s="64"/>
      <c r="P576" s="64"/>
      <c r="Q576" s="64"/>
      <c r="R576" s="64"/>
      <c r="S576" s="64"/>
      <c r="T576" s="65"/>
      <c r="U576" s="64"/>
      <c r="V576" s="64"/>
      <c r="W576" s="64"/>
      <c r="X576" s="64"/>
      <c r="Y576" s="64"/>
      <c r="Z576" s="64"/>
      <c r="AA576" s="64"/>
      <c r="AB576" s="64"/>
      <c r="AC576" s="64"/>
      <c r="AD576" s="64"/>
      <c r="AE576" s="64"/>
      <c r="AF576" s="64"/>
      <c r="AG576" s="64"/>
    </row>
    <row r="577">
      <c r="A577" s="64"/>
      <c r="B577" s="64"/>
      <c r="C577" s="64"/>
      <c r="D577" s="64"/>
      <c r="E577" s="65"/>
      <c r="F577" s="64"/>
      <c r="G577" s="67"/>
      <c r="H577" s="64"/>
      <c r="I577" s="64"/>
      <c r="J577" s="64"/>
      <c r="K577" s="64"/>
      <c r="L577" s="65"/>
      <c r="M577" s="64"/>
      <c r="N577" s="64"/>
      <c r="O577" s="64"/>
      <c r="P577" s="64"/>
      <c r="Q577" s="64"/>
      <c r="R577" s="64"/>
      <c r="S577" s="64"/>
      <c r="T577" s="65"/>
      <c r="U577" s="64"/>
      <c r="V577" s="64"/>
      <c r="W577" s="64"/>
      <c r="X577" s="64"/>
      <c r="Y577" s="64"/>
      <c r="Z577" s="64"/>
      <c r="AA577" s="64"/>
      <c r="AB577" s="64"/>
      <c r="AC577" s="64"/>
      <c r="AD577" s="64"/>
      <c r="AE577" s="64"/>
      <c r="AF577" s="64"/>
      <c r="AG577" s="64"/>
    </row>
    <row r="578">
      <c r="A578" s="64"/>
      <c r="B578" s="64"/>
      <c r="C578" s="64"/>
      <c r="D578" s="64"/>
      <c r="E578" s="65"/>
      <c r="F578" s="64"/>
      <c r="G578" s="67"/>
      <c r="H578" s="64"/>
      <c r="I578" s="64"/>
      <c r="J578" s="64"/>
      <c r="K578" s="64"/>
      <c r="L578" s="65"/>
      <c r="M578" s="64"/>
      <c r="N578" s="64"/>
      <c r="O578" s="64"/>
      <c r="P578" s="64"/>
      <c r="Q578" s="64"/>
      <c r="R578" s="64"/>
      <c r="S578" s="64"/>
      <c r="T578" s="65"/>
      <c r="U578" s="64"/>
      <c r="V578" s="64"/>
      <c r="W578" s="64"/>
      <c r="X578" s="64"/>
      <c r="Y578" s="64"/>
      <c r="Z578" s="64"/>
      <c r="AA578" s="64"/>
      <c r="AB578" s="64"/>
      <c r="AC578" s="64"/>
      <c r="AD578" s="64"/>
      <c r="AE578" s="64"/>
      <c r="AF578" s="64"/>
      <c r="AG578" s="64"/>
    </row>
    <row r="579">
      <c r="A579" s="64"/>
      <c r="B579" s="64"/>
      <c r="C579" s="64"/>
      <c r="D579" s="64"/>
      <c r="E579" s="65"/>
      <c r="F579" s="64"/>
      <c r="G579" s="67"/>
      <c r="H579" s="64"/>
      <c r="I579" s="64"/>
      <c r="J579" s="64"/>
      <c r="K579" s="64"/>
      <c r="L579" s="65"/>
      <c r="M579" s="64"/>
      <c r="N579" s="64"/>
      <c r="O579" s="64"/>
      <c r="P579" s="64"/>
      <c r="Q579" s="64"/>
      <c r="R579" s="64"/>
      <c r="S579" s="64"/>
      <c r="T579" s="65"/>
      <c r="U579" s="64"/>
      <c r="V579" s="64"/>
      <c r="W579" s="64"/>
      <c r="X579" s="64"/>
      <c r="Y579" s="64"/>
      <c r="Z579" s="64"/>
      <c r="AA579" s="64"/>
      <c r="AB579" s="64"/>
      <c r="AC579" s="64"/>
      <c r="AD579" s="64"/>
      <c r="AE579" s="64"/>
      <c r="AF579" s="64"/>
      <c r="AG579" s="64"/>
    </row>
    <row r="580">
      <c r="A580" s="64"/>
      <c r="B580" s="64"/>
      <c r="C580" s="64"/>
      <c r="D580" s="64"/>
      <c r="E580" s="65"/>
      <c r="F580" s="64"/>
      <c r="G580" s="67"/>
      <c r="H580" s="64"/>
      <c r="I580" s="64"/>
      <c r="J580" s="64"/>
      <c r="K580" s="64"/>
      <c r="L580" s="65"/>
      <c r="M580" s="64"/>
      <c r="N580" s="64"/>
      <c r="O580" s="64"/>
      <c r="P580" s="64"/>
      <c r="Q580" s="64"/>
      <c r="R580" s="64"/>
      <c r="S580" s="64"/>
      <c r="T580" s="65"/>
      <c r="U580" s="64"/>
      <c r="V580" s="64"/>
      <c r="W580" s="64"/>
      <c r="X580" s="64"/>
      <c r="Y580" s="64"/>
      <c r="Z580" s="64"/>
      <c r="AA580" s="64"/>
      <c r="AB580" s="64"/>
      <c r="AC580" s="64"/>
      <c r="AD580" s="64"/>
      <c r="AE580" s="64"/>
      <c r="AF580" s="64"/>
      <c r="AG580" s="64"/>
    </row>
    <row r="581">
      <c r="A581" s="64"/>
      <c r="B581" s="64"/>
      <c r="C581" s="64"/>
      <c r="D581" s="64"/>
      <c r="E581" s="65"/>
      <c r="F581" s="64"/>
      <c r="G581" s="67"/>
      <c r="H581" s="64"/>
      <c r="I581" s="64"/>
      <c r="J581" s="64"/>
      <c r="K581" s="64"/>
      <c r="L581" s="65"/>
      <c r="M581" s="64"/>
      <c r="N581" s="64"/>
      <c r="O581" s="64"/>
      <c r="P581" s="64"/>
      <c r="Q581" s="64"/>
      <c r="R581" s="64"/>
      <c r="S581" s="64"/>
      <c r="T581" s="65"/>
      <c r="U581" s="64"/>
      <c r="V581" s="64"/>
      <c r="W581" s="64"/>
      <c r="X581" s="64"/>
      <c r="Y581" s="64"/>
      <c r="Z581" s="64"/>
      <c r="AA581" s="64"/>
      <c r="AB581" s="64"/>
      <c r="AC581" s="64"/>
      <c r="AD581" s="64"/>
      <c r="AE581" s="64"/>
      <c r="AF581" s="64"/>
      <c r="AG581" s="64"/>
    </row>
    <row r="582">
      <c r="A582" s="64"/>
      <c r="B582" s="64"/>
      <c r="C582" s="64"/>
      <c r="D582" s="64"/>
      <c r="E582" s="65"/>
      <c r="F582" s="64"/>
      <c r="G582" s="67"/>
      <c r="H582" s="64"/>
      <c r="I582" s="64"/>
      <c r="J582" s="64"/>
      <c r="K582" s="64"/>
      <c r="L582" s="65"/>
      <c r="M582" s="64"/>
      <c r="N582" s="64"/>
      <c r="O582" s="64"/>
      <c r="P582" s="64"/>
      <c r="Q582" s="64"/>
      <c r="R582" s="64"/>
      <c r="S582" s="64"/>
      <c r="T582" s="65"/>
      <c r="U582" s="64"/>
      <c r="V582" s="64"/>
      <c r="W582" s="64"/>
      <c r="X582" s="64"/>
      <c r="Y582" s="64"/>
      <c r="Z582" s="64"/>
      <c r="AA582" s="64"/>
      <c r="AB582" s="64"/>
      <c r="AC582" s="64"/>
      <c r="AD582" s="64"/>
      <c r="AE582" s="64"/>
      <c r="AF582" s="64"/>
      <c r="AG582" s="64"/>
    </row>
    <row r="583">
      <c r="A583" s="64"/>
      <c r="B583" s="64"/>
      <c r="C583" s="64"/>
      <c r="D583" s="64"/>
      <c r="E583" s="65"/>
      <c r="F583" s="64"/>
      <c r="G583" s="67"/>
      <c r="H583" s="64"/>
      <c r="I583" s="64"/>
      <c r="J583" s="64"/>
      <c r="K583" s="64"/>
      <c r="L583" s="65"/>
      <c r="M583" s="64"/>
      <c r="N583" s="64"/>
      <c r="O583" s="64"/>
      <c r="P583" s="64"/>
      <c r="Q583" s="64"/>
      <c r="R583" s="64"/>
      <c r="S583" s="64"/>
      <c r="T583" s="65"/>
      <c r="U583" s="64"/>
      <c r="V583" s="64"/>
      <c r="W583" s="64"/>
      <c r="X583" s="64"/>
      <c r="Y583" s="64"/>
      <c r="Z583" s="64"/>
      <c r="AA583" s="64"/>
      <c r="AB583" s="64"/>
      <c r="AC583" s="64"/>
      <c r="AD583" s="64"/>
      <c r="AE583" s="64"/>
      <c r="AF583" s="64"/>
      <c r="AG583" s="64"/>
    </row>
    <row r="584">
      <c r="A584" s="64"/>
      <c r="B584" s="64"/>
      <c r="C584" s="64"/>
      <c r="D584" s="64"/>
      <c r="E584" s="65"/>
      <c r="F584" s="64"/>
      <c r="G584" s="67"/>
      <c r="H584" s="64"/>
      <c r="I584" s="64"/>
      <c r="J584" s="64"/>
      <c r="K584" s="64"/>
      <c r="L584" s="65"/>
      <c r="M584" s="64"/>
      <c r="N584" s="64"/>
      <c r="O584" s="64"/>
      <c r="P584" s="64"/>
      <c r="Q584" s="64"/>
      <c r="R584" s="64"/>
      <c r="S584" s="64"/>
      <c r="T584" s="65"/>
      <c r="U584" s="64"/>
      <c r="V584" s="64"/>
      <c r="W584" s="64"/>
      <c r="X584" s="64"/>
      <c r="Y584" s="64"/>
      <c r="Z584" s="64"/>
      <c r="AA584" s="64"/>
      <c r="AB584" s="64"/>
      <c r="AC584" s="64"/>
      <c r="AD584" s="64"/>
      <c r="AE584" s="64"/>
      <c r="AF584" s="64"/>
      <c r="AG584" s="64"/>
    </row>
    <row r="585">
      <c r="A585" s="64"/>
      <c r="B585" s="64"/>
      <c r="C585" s="64"/>
      <c r="D585" s="64"/>
      <c r="E585" s="65"/>
      <c r="F585" s="64"/>
      <c r="G585" s="67"/>
      <c r="H585" s="64"/>
      <c r="I585" s="64"/>
      <c r="J585" s="64"/>
      <c r="K585" s="64"/>
      <c r="L585" s="65"/>
      <c r="M585" s="64"/>
      <c r="N585" s="64"/>
      <c r="O585" s="64"/>
      <c r="P585" s="64"/>
      <c r="Q585" s="64"/>
      <c r="R585" s="64"/>
      <c r="S585" s="64"/>
      <c r="T585" s="65"/>
      <c r="U585" s="64"/>
      <c r="V585" s="64"/>
      <c r="W585" s="64"/>
      <c r="X585" s="64"/>
      <c r="Y585" s="64"/>
      <c r="Z585" s="64"/>
      <c r="AA585" s="64"/>
      <c r="AB585" s="64"/>
      <c r="AC585" s="64"/>
      <c r="AD585" s="64"/>
      <c r="AE585" s="64"/>
      <c r="AF585" s="64"/>
      <c r="AG585" s="64"/>
    </row>
    <row r="586">
      <c r="A586" s="64"/>
      <c r="B586" s="64"/>
      <c r="C586" s="64"/>
      <c r="D586" s="64"/>
      <c r="E586" s="65"/>
      <c r="F586" s="64"/>
      <c r="G586" s="67"/>
      <c r="H586" s="64"/>
      <c r="I586" s="64"/>
      <c r="J586" s="64"/>
      <c r="K586" s="64"/>
      <c r="L586" s="65"/>
      <c r="M586" s="64"/>
      <c r="N586" s="64"/>
      <c r="O586" s="64"/>
      <c r="P586" s="64"/>
      <c r="Q586" s="64"/>
      <c r="R586" s="64"/>
      <c r="S586" s="64"/>
      <c r="T586" s="65"/>
      <c r="U586" s="64"/>
      <c r="V586" s="64"/>
      <c r="W586" s="64"/>
      <c r="X586" s="64"/>
      <c r="Y586" s="64"/>
      <c r="Z586" s="64"/>
      <c r="AA586" s="64"/>
      <c r="AB586" s="64"/>
      <c r="AC586" s="64"/>
      <c r="AD586" s="64"/>
      <c r="AE586" s="64"/>
      <c r="AF586" s="64"/>
      <c r="AG586" s="64"/>
    </row>
    <row r="587">
      <c r="A587" s="64"/>
      <c r="B587" s="64"/>
      <c r="C587" s="64"/>
      <c r="D587" s="64"/>
      <c r="E587" s="65"/>
      <c r="F587" s="64"/>
      <c r="G587" s="67"/>
      <c r="H587" s="64"/>
      <c r="I587" s="64"/>
      <c r="J587" s="64"/>
      <c r="K587" s="64"/>
      <c r="L587" s="65"/>
      <c r="M587" s="64"/>
      <c r="N587" s="64"/>
      <c r="O587" s="64"/>
      <c r="P587" s="64"/>
      <c r="Q587" s="64"/>
      <c r="R587" s="64"/>
      <c r="S587" s="64"/>
      <c r="T587" s="65"/>
      <c r="U587" s="64"/>
      <c r="V587" s="64"/>
      <c r="W587" s="64"/>
      <c r="X587" s="64"/>
      <c r="Y587" s="64"/>
      <c r="Z587" s="64"/>
      <c r="AA587" s="64"/>
      <c r="AB587" s="64"/>
      <c r="AC587" s="64"/>
      <c r="AD587" s="64"/>
      <c r="AE587" s="64"/>
      <c r="AF587" s="64"/>
      <c r="AG587" s="64"/>
    </row>
    <row r="588">
      <c r="A588" s="64"/>
      <c r="B588" s="64"/>
      <c r="C588" s="64"/>
      <c r="D588" s="64"/>
      <c r="E588" s="65"/>
      <c r="F588" s="64"/>
      <c r="G588" s="67"/>
      <c r="H588" s="64"/>
      <c r="I588" s="64"/>
      <c r="J588" s="64"/>
      <c r="K588" s="64"/>
      <c r="L588" s="65"/>
      <c r="M588" s="64"/>
      <c r="N588" s="64"/>
      <c r="O588" s="64"/>
      <c r="P588" s="64"/>
      <c r="Q588" s="64"/>
      <c r="R588" s="64"/>
      <c r="S588" s="64"/>
      <c r="T588" s="65"/>
      <c r="U588" s="64"/>
      <c r="V588" s="64"/>
      <c r="W588" s="64"/>
      <c r="X588" s="64"/>
      <c r="Y588" s="64"/>
      <c r="Z588" s="64"/>
      <c r="AA588" s="64"/>
      <c r="AB588" s="64"/>
      <c r="AC588" s="64"/>
      <c r="AD588" s="64"/>
      <c r="AE588" s="64"/>
      <c r="AF588" s="64"/>
      <c r="AG588" s="64"/>
    </row>
    <row r="589">
      <c r="A589" s="64"/>
      <c r="B589" s="64"/>
      <c r="C589" s="64"/>
      <c r="D589" s="64"/>
      <c r="E589" s="65"/>
      <c r="F589" s="64"/>
      <c r="G589" s="67"/>
      <c r="H589" s="64"/>
      <c r="I589" s="64"/>
      <c r="J589" s="64"/>
      <c r="K589" s="64"/>
      <c r="L589" s="65"/>
      <c r="M589" s="64"/>
      <c r="N589" s="64"/>
      <c r="O589" s="64"/>
      <c r="P589" s="64"/>
      <c r="Q589" s="64"/>
      <c r="R589" s="64"/>
      <c r="S589" s="64"/>
      <c r="T589" s="65"/>
      <c r="U589" s="64"/>
      <c r="V589" s="64"/>
      <c r="W589" s="64"/>
      <c r="X589" s="64"/>
      <c r="Y589" s="64"/>
      <c r="Z589" s="64"/>
      <c r="AA589" s="64"/>
      <c r="AB589" s="64"/>
      <c r="AC589" s="64"/>
      <c r="AD589" s="64"/>
      <c r="AE589" s="64"/>
      <c r="AF589" s="64"/>
      <c r="AG589" s="64"/>
    </row>
    <row r="590">
      <c r="A590" s="64"/>
      <c r="B590" s="64"/>
      <c r="C590" s="64"/>
      <c r="D590" s="64"/>
      <c r="E590" s="65"/>
      <c r="F590" s="64"/>
      <c r="G590" s="67"/>
      <c r="H590" s="64"/>
      <c r="I590" s="64"/>
      <c r="J590" s="64"/>
      <c r="K590" s="64"/>
      <c r="L590" s="65"/>
      <c r="M590" s="64"/>
      <c r="N590" s="64"/>
      <c r="O590" s="64"/>
      <c r="P590" s="64"/>
      <c r="Q590" s="64"/>
      <c r="R590" s="64"/>
      <c r="S590" s="64"/>
      <c r="T590" s="65"/>
      <c r="U590" s="64"/>
      <c r="V590" s="64"/>
      <c r="W590" s="64"/>
      <c r="X590" s="64"/>
      <c r="Y590" s="64"/>
      <c r="Z590" s="64"/>
      <c r="AA590" s="64"/>
      <c r="AB590" s="64"/>
      <c r="AC590" s="64"/>
      <c r="AD590" s="64"/>
      <c r="AE590" s="64"/>
      <c r="AF590" s="64"/>
      <c r="AG590" s="64"/>
    </row>
    <row r="591">
      <c r="A591" s="64"/>
      <c r="B591" s="64"/>
      <c r="C591" s="64"/>
      <c r="D591" s="64"/>
      <c r="E591" s="65"/>
      <c r="F591" s="64"/>
      <c r="G591" s="67"/>
      <c r="H591" s="64"/>
      <c r="I591" s="64"/>
      <c r="J591" s="64"/>
      <c r="K591" s="64"/>
      <c r="L591" s="65"/>
      <c r="M591" s="64"/>
      <c r="N591" s="64"/>
      <c r="O591" s="64"/>
      <c r="P591" s="64"/>
      <c r="Q591" s="64"/>
      <c r="R591" s="64"/>
      <c r="S591" s="64"/>
      <c r="T591" s="65"/>
      <c r="U591" s="64"/>
      <c r="V591" s="64"/>
      <c r="W591" s="64"/>
      <c r="X591" s="64"/>
      <c r="Y591" s="64"/>
      <c r="Z591" s="64"/>
      <c r="AA591" s="64"/>
      <c r="AB591" s="64"/>
      <c r="AC591" s="64"/>
      <c r="AD591" s="64"/>
      <c r="AE591" s="64"/>
      <c r="AF591" s="64"/>
      <c r="AG591" s="64"/>
    </row>
    <row r="592">
      <c r="A592" s="64"/>
      <c r="B592" s="64"/>
      <c r="C592" s="64"/>
      <c r="D592" s="64"/>
      <c r="E592" s="65"/>
      <c r="F592" s="64"/>
      <c r="G592" s="67"/>
      <c r="H592" s="64"/>
      <c r="I592" s="64"/>
      <c r="J592" s="64"/>
      <c r="K592" s="64"/>
      <c r="L592" s="65"/>
      <c r="M592" s="64"/>
      <c r="N592" s="64"/>
      <c r="O592" s="64"/>
      <c r="P592" s="64"/>
      <c r="Q592" s="64"/>
      <c r="R592" s="64"/>
      <c r="S592" s="64"/>
      <c r="T592" s="65"/>
      <c r="U592" s="64"/>
      <c r="V592" s="64"/>
      <c r="W592" s="64"/>
      <c r="X592" s="64"/>
      <c r="Y592" s="64"/>
      <c r="Z592" s="64"/>
      <c r="AA592" s="64"/>
      <c r="AB592" s="64"/>
      <c r="AC592" s="64"/>
      <c r="AD592" s="64"/>
      <c r="AE592" s="64"/>
      <c r="AF592" s="64"/>
      <c r="AG592" s="64"/>
    </row>
    <row r="593">
      <c r="A593" s="64"/>
      <c r="B593" s="64"/>
      <c r="C593" s="64"/>
      <c r="D593" s="64"/>
      <c r="E593" s="65"/>
      <c r="F593" s="64"/>
      <c r="G593" s="67"/>
      <c r="H593" s="64"/>
      <c r="I593" s="64"/>
      <c r="J593" s="64"/>
      <c r="K593" s="64"/>
      <c r="L593" s="65"/>
      <c r="M593" s="64"/>
      <c r="N593" s="64"/>
      <c r="O593" s="64"/>
      <c r="P593" s="64"/>
      <c r="Q593" s="64"/>
      <c r="R593" s="64"/>
      <c r="S593" s="64"/>
      <c r="T593" s="65"/>
      <c r="U593" s="64"/>
      <c r="V593" s="64"/>
      <c r="W593" s="64"/>
      <c r="X593" s="64"/>
      <c r="Y593" s="64"/>
      <c r="Z593" s="64"/>
      <c r="AA593" s="64"/>
      <c r="AB593" s="64"/>
      <c r="AC593" s="64"/>
      <c r="AD593" s="64"/>
      <c r="AE593" s="64"/>
      <c r="AF593" s="64"/>
      <c r="AG593" s="64"/>
    </row>
    <row r="594">
      <c r="A594" s="64"/>
      <c r="B594" s="64"/>
      <c r="C594" s="64"/>
      <c r="D594" s="64"/>
      <c r="E594" s="65"/>
      <c r="F594" s="64"/>
      <c r="G594" s="67"/>
      <c r="H594" s="64"/>
      <c r="I594" s="64"/>
      <c r="J594" s="64"/>
      <c r="K594" s="64"/>
      <c r="L594" s="65"/>
      <c r="M594" s="64"/>
      <c r="N594" s="64"/>
      <c r="O594" s="64"/>
      <c r="P594" s="64"/>
      <c r="Q594" s="64"/>
      <c r="R594" s="64"/>
      <c r="S594" s="64"/>
      <c r="T594" s="65"/>
      <c r="U594" s="64"/>
      <c r="V594" s="64"/>
      <c r="W594" s="64"/>
      <c r="X594" s="64"/>
      <c r="Y594" s="64"/>
      <c r="Z594" s="64"/>
      <c r="AA594" s="64"/>
      <c r="AB594" s="64"/>
      <c r="AC594" s="64"/>
      <c r="AD594" s="64"/>
      <c r="AE594" s="64"/>
      <c r="AF594" s="64"/>
      <c r="AG594" s="64"/>
    </row>
    <row r="595">
      <c r="A595" s="64"/>
      <c r="B595" s="64"/>
      <c r="C595" s="64"/>
      <c r="D595" s="64"/>
      <c r="E595" s="65"/>
      <c r="F595" s="64"/>
      <c r="G595" s="67"/>
      <c r="H595" s="64"/>
      <c r="I595" s="64"/>
      <c r="J595" s="64"/>
      <c r="K595" s="64"/>
      <c r="L595" s="65"/>
      <c r="M595" s="64"/>
      <c r="N595" s="64"/>
      <c r="O595" s="64"/>
      <c r="P595" s="64"/>
      <c r="Q595" s="64"/>
      <c r="R595" s="64"/>
      <c r="S595" s="64"/>
      <c r="T595" s="65"/>
      <c r="U595" s="64"/>
      <c r="V595" s="64"/>
      <c r="W595" s="64"/>
      <c r="X595" s="64"/>
      <c r="Y595" s="64"/>
      <c r="Z595" s="64"/>
      <c r="AA595" s="64"/>
      <c r="AB595" s="64"/>
      <c r="AC595" s="64"/>
      <c r="AD595" s="64"/>
      <c r="AE595" s="64"/>
      <c r="AF595" s="64"/>
      <c r="AG595" s="64"/>
    </row>
    <row r="596">
      <c r="A596" s="64"/>
      <c r="B596" s="64"/>
      <c r="C596" s="64"/>
      <c r="D596" s="64"/>
      <c r="E596" s="65"/>
      <c r="F596" s="64"/>
      <c r="G596" s="67"/>
      <c r="H596" s="64"/>
      <c r="I596" s="64"/>
      <c r="J596" s="64"/>
      <c r="K596" s="64"/>
      <c r="L596" s="65"/>
      <c r="M596" s="64"/>
      <c r="N596" s="64"/>
      <c r="O596" s="64"/>
      <c r="P596" s="64"/>
      <c r="Q596" s="64"/>
      <c r="R596" s="64"/>
      <c r="S596" s="64"/>
      <c r="T596" s="65"/>
      <c r="U596" s="64"/>
      <c r="V596" s="64"/>
      <c r="W596" s="64"/>
      <c r="X596" s="64"/>
      <c r="Y596" s="64"/>
      <c r="Z596" s="64"/>
      <c r="AA596" s="64"/>
      <c r="AB596" s="64"/>
      <c r="AC596" s="64"/>
      <c r="AD596" s="64"/>
      <c r="AE596" s="64"/>
      <c r="AF596" s="64"/>
      <c r="AG596" s="64"/>
    </row>
    <row r="597">
      <c r="A597" s="64"/>
      <c r="B597" s="64"/>
      <c r="C597" s="64"/>
      <c r="D597" s="64"/>
      <c r="E597" s="65"/>
      <c r="F597" s="64"/>
      <c r="G597" s="67"/>
      <c r="H597" s="64"/>
      <c r="I597" s="64"/>
      <c r="J597" s="64"/>
      <c r="K597" s="64"/>
      <c r="L597" s="65"/>
      <c r="M597" s="64"/>
      <c r="N597" s="64"/>
      <c r="O597" s="64"/>
      <c r="P597" s="64"/>
      <c r="Q597" s="64"/>
      <c r="R597" s="64"/>
      <c r="S597" s="64"/>
      <c r="T597" s="65"/>
      <c r="U597" s="64"/>
      <c r="V597" s="64"/>
      <c r="W597" s="64"/>
      <c r="X597" s="64"/>
      <c r="Y597" s="64"/>
      <c r="Z597" s="64"/>
      <c r="AA597" s="64"/>
      <c r="AB597" s="64"/>
      <c r="AC597" s="64"/>
      <c r="AD597" s="64"/>
      <c r="AE597" s="64"/>
      <c r="AF597" s="64"/>
      <c r="AG597" s="64"/>
    </row>
    <row r="598">
      <c r="A598" s="64"/>
      <c r="B598" s="64"/>
      <c r="C598" s="64"/>
      <c r="D598" s="64"/>
      <c r="E598" s="65"/>
      <c r="F598" s="64"/>
      <c r="G598" s="67"/>
      <c r="H598" s="64"/>
      <c r="I598" s="64"/>
      <c r="J598" s="64"/>
      <c r="K598" s="64"/>
      <c r="L598" s="65"/>
      <c r="M598" s="64"/>
      <c r="N598" s="64"/>
      <c r="O598" s="64"/>
      <c r="P598" s="64"/>
      <c r="Q598" s="64"/>
      <c r="R598" s="64"/>
      <c r="S598" s="64"/>
      <c r="T598" s="65"/>
      <c r="U598" s="64"/>
      <c r="V598" s="64"/>
      <c r="W598" s="64"/>
      <c r="X598" s="64"/>
      <c r="Y598" s="64"/>
      <c r="Z598" s="64"/>
      <c r="AA598" s="64"/>
      <c r="AB598" s="64"/>
      <c r="AC598" s="64"/>
      <c r="AD598" s="64"/>
      <c r="AE598" s="64"/>
      <c r="AF598" s="64"/>
      <c r="AG598" s="64"/>
    </row>
    <row r="599">
      <c r="A599" s="64"/>
      <c r="B599" s="64"/>
      <c r="C599" s="64"/>
      <c r="D599" s="64"/>
      <c r="E599" s="65"/>
      <c r="F599" s="64"/>
      <c r="G599" s="67"/>
      <c r="H599" s="64"/>
      <c r="I599" s="64"/>
      <c r="J599" s="64"/>
      <c r="K599" s="64"/>
      <c r="L599" s="65"/>
      <c r="M599" s="64"/>
      <c r="N599" s="64"/>
      <c r="O599" s="64"/>
      <c r="P599" s="64"/>
      <c r="Q599" s="64"/>
      <c r="R599" s="64"/>
      <c r="S599" s="64"/>
      <c r="T599" s="65"/>
      <c r="U599" s="64"/>
      <c r="V599" s="64"/>
      <c r="W599" s="64"/>
      <c r="X599" s="64"/>
      <c r="Y599" s="64"/>
      <c r="Z599" s="64"/>
      <c r="AA599" s="64"/>
      <c r="AB599" s="64"/>
      <c r="AC599" s="64"/>
      <c r="AD599" s="64"/>
      <c r="AE599" s="64"/>
      <c r="AF599" s="64"/>
      <c r="AG599" s="64"/>
    </row>
    <row r="600">
      <c r="A600" s="64"/>
      <c r="B600" s="64"/>
      <c r="C600" s="64"/>
      <c r="D600" s="64"/>
      <c r="E600" s="65"/>
      <c r="F600" s="64"/>
      <c r="G600" s="67"/>
      <c r="H600" s="64"/>
      <c r="I600" s="64"/>
      <c r="J600" s="64"/>
      <c r="K600" s="64"/>
      <c r="L600" s="65"/>
      <c r="M600" s="64"/>
      <c r="N600" s="64"/>
      <c r="O600" s="64"/>
      <c r="P600" s="64"/>
      <c r="Q600" s="64"/>
      <c r="R600" s="64"/>
      <c r="S600" s="64"/>
      <c r="T600" s="65"/>
      <c r="U600" s="64"/>
      <c r="V600" s="64"/>
      <c r="W600" s="64"/>
      <c r="X600" s="64"/>
      <c r="Y600" s="64"/>
      <c r="Z600" s="64"/>
      <c r="AA600" s="64"/>
      <c r="AB600" s="64"/>
      <c r="AC600" s="64"/>
      <c r="AD600" s="64"/>
      <c r="AE600" s="64"/>
      <c r="AF600" s="64"/>
      <c r="AG600" s="64"/>
    </row>
    <row r="601">
      <c r="A601" s="64"/>
      <c r="B601" s="64"/>
      <c r="C601" s="64"/>
      <c r="D601" s="64"/>
      <c r="E601" s="65"/>
      <c r="F601" s="64"/>
      <c r="G601" s="67"/>
      <c r="H601" s="64"/>
      <c r="I601" s="64"/>
      <c r="J601" s="64"/>
      <c r="K601" s="64"/>
      <c r="L601" s="65"/>
      <c r="M601" s="64"/>
      <c r="N601" s="64"/>
      <c r="O601" s="64"/>
      <c r="P601" s="64"/>
      <c r="Q601" s="64"/>
      <c r="R601" s="64"/>
      <c r="S601" s="64"/>
      <c r="T601" s="65"/>
      <c r="U601" s="64"/>
      <c r="V601" s="64"/>
      <c r="W601" s="64"/>
      <c r="X601" s="64"/>
      <c r="Y601" s="64"/>
      <c r="Z601" s="64"/>
      <c r="AA601" s="64"/>
      <c r="AB601" s="64"/>
      <c r="AC601" s="64"/>
      <c r="AD601" s="64"/>
      <c r="AE601" s="64"/>
      <c r="AF601" s="64"/>
      <c r="AG601" s="64"/>
    </row>
    <row r="602">
      <c r="A602" s="64"/>
      <c r="B602" s="64"/>
      <c r="C602" s="64"/>
      <c r="D602" s="64"/>
      <c r="E602" s="65"/>
      <c r="F602" s="64"/>
      <c r="G602" s="67"/>
      <c r="H602" s="64"/>
      <c r="I602" s="64"/>
      <c r="J602" s="64"/>
      <c r="K602" s="64"/>
      <c r="L602" s="65"/>
      <c r="M602" s="64"/>
      <c r="N602" s="64"/>
      <c r="O602" s="64"/>
      <c r="P602" s="64"/>
      <c r="Q602" s="64"/>
      <c r="R602" s="64"/>
      <c r="S602" s="64"/>
      <c r="T602" s="65"/>
      <c r="U602" s="64"/>
      <c r="V602" s="64"/>
      <c r="W602" s="64"/>
      <c r="X602" s="64"/>
      <c r="Y602" s="64"/>
      <c r="Z602" s="64"/>
      <c r="AA602" s="64"/>
      <c r="AB602" s="64"/>
      <c r="AC602" s="64"/>
      <c r="AD602" s="64"/>
      <c r="AE602" s="64"/>
      <c r="AF602" s="64"/>
      <c r="AG602" s="64"/>
    </row>
    <row r="603">
      <c r="A603" s="64"/>
      <c r="B603" s="64"/>
      <c r="C603" s="64"/>
      <c r="D603" s="64"/>
      <c r="E603" s="65"/>
      <c r="F603" s="64"/>
      <c r="G603" s="67"/>
      <c r="H603" s="64"/>
      <c r="I603" s="64"/>
      <c r="J603" s="64"/>
      <c r="K603" s="64"/>
      <c r="L603" s="65"/>
      <c r="M603" s="64"/>
      <c r="N603" s="64"/>
      <c r="O603" s="64"/>
      <c r="P603" s="64"/>
      <c r="Q603" s="64"/>
      <c r="R603" s="64"/>
      <c r="S603" s="64"/>
      <c r="T603" s="65"/>
      <c r="U603" s="64"/>
      <c r="V603" s="64"/>
      <c r="W603" s="64"/>
      <c r="X603" s="64"/>
      <c r="Y603" s="64"/>
      <c r="Z603" s="64"/>
      <c r="AA603" s="64"/>
      <c r="AB603" s="64"/>
      <c r="AC603" s="64"/>
      <c r="AD603" s="64"/>
      <c r="AE603" s="64"/>
      <c r="AF603" s="64"/>
      <c r="AG603" s="64"/>
    </row>
    <row r="604">
      <c r="A604" s="64"/>
      <c r="B604" s="64"/>
      <c r="C604" s="64"/>
      <c r="D604" s="64"/>
      <c r="E604" s="65"/>
      <c r="F604" s="64"/>
      <c r="G604" s="67"/>
      <c r="H604" s="64"/>
      <c r="I604" s="64"/>
      <c r="J604" s="64"/>
      <c r="K604" s="64"/>
      <c r="L604" s="65"/>
      <c r="M604" s="64"/>
      <c r="N604" s="64"/>
      <c r="O604" s="64"/>
      <c r="P604" s="64"/>
      <c r="Q604" s="64"/>
      <c r="R604" s="64"/>
      <c r="S604" s="64"/>
      <c r="T604" s="65"/>
      <c r="U604" s="64"/>
      <c r="V604" s="64"/>
      <c r="W604" s="64"/>
      <c r="X604" s="64"/>
      <c r="Y604" s="64"/>
      <c r="Z604" s="64"/>
      <c r="AA604" s="64"/>
      <c r="AB604" s="64"/>
      <c r="AC604" s="64"/>
      <c r="AD604" s="64"/>
      <c r="AE604" s="64"/>
      <c r="AF604" s="64"/>
      <c r="AG604" s="64"/>
    </row>
    <row r="605">
      <c r="A605" s="64"/>
      <c r="B605" s="64"/>
      <c r="C605" s="64"/>
      <c r="D605" s="64"/>
      <c r="E605" s="65"/>
      <c r="F605" s="64"/>
      <c r="G605" s="67"/>
      <c r="H605" s="64"/>
      <c r="I605" s="64"/>
      <c r="J605" s="64"/>
      <c r="K605" s="64"/>
      <c r="L605" s="65"/>
      <c r="M605" s="64"/>
      <c r="N605" s="64"/>
      <c r="O605" s="64"/>
      <c r="P605" s="64"/>
      <c r="Q605" s="64"/>
      <c r="R605" s="64"/>
      <c r="S605" s="64"/>
      <c r="T605" s="65"/>
      <c r="U605" s="64"/>
      <c r="V605" s="64"/>
      <c r="W605" s="64"/>
      <c r="X605" s="64"/>
      <c r="Y605" s="64"/>
      <c r="Z605" s="64"/>
      <c r="AA605" s="64"/>
      <c r="AB605" s="64"/>
      <c r="AC605" s="64"/>
      <c r="AD605" s="64"/>
      <c r="AE605" s="64"/>
      <c r="AF605" s="64"/>
      <c r="AG605" s="64"/>
    </row>
    <row r="606">
      <c r="A606" s="64"/>
      <c r="B606" s="64"/>
      <c r="C606" s="64"/>
      <c r="D606" s="64"/>
      <c r="E606" s="65"/>
      <c r="F606" s="64"/>
      <c r="G606" s="67"/>
      <c r="H606" s="64"/>
      <c r="I606" s="64"/>
      <c r="J606" s="64"/>
      <c r="K606" s="64"/>
      <c r="L606" s="65"/>
      <c r="M606" s="64"/>
      <c r="N606" s="64"/>
      <c r="O606" s="64"/>
      <c r="P606" s="64"/>
      <c r="Q606" s="64"/>
      <c r="R606" s="64"/>
      <c r="S606" s="64"/>
      <c r="T606" s="65"/>
      <c r="U606" s="64"/>
      <c r="V606" s="64"/>
      <c r="W606" s="64"/>
      <c r="X606" s="64"/>
      <c r="Y606" s="64"/>
      <c r="Z606" s="64"/>
      <c r="AA606" s="64"/>
      <c r="AB606" s="64"/>
      <c r="AC606" s="64"/>
      <c r="AD606" s="64"/>
      <c r="AE606" s="64"/>
      <c r="AF606" s="64"/>
      <c r="AG606" s="64"/>
    </row>
    <row r="607">
      <c r="A607" s="64"/>
      <c r="B607" s="64"/>
      <c r="C607" s="64"/>
      <c r="D607" s="64"/>
      <c r="E607" s="65"/>
      <c r="F607" s="64"/>
      <c r="G607" s="67"/>
      <c r="H607" s="64"/>
      <c r="I607" s="64"/>
      <c r="J607" s="64"/>
      <c r="K607" s="64"/>
      <c r="L607" s="65"/>
      <c r="M607" s="64"/>
      <c r="N607" s="64"/>
      <c r="O607" s="64"/>
      <c r="P607" s="64"/>
      <c r="Q607" s="64"/>
      <c r="R607" s="64"/>
      <c r="S607" s="64"/>
      <c r="T607" s="65"/>
      <c r="U607" s="64"/>
      <c r="V607" s="64"/>
      <c r="W607" s="64"/>
      <c r="X607" s="64"/>
      <c r="Y607" s="64"/>
      <c r="Z607" s="64"/>
      <c r="AA607" s="64"/>
      <c r="AB607" s="64"/>
      <c r="AC607" s="64"/>
      <c r="AD607" s="64"/>
      <c r="AE607" s="64"/>
      <c r="AF607" s="64"/>
      <c r="AG607" s="64"/>
    </row>
    <row r="608">
      <c r="A608" s="64"/>
      <c r="B608" s="64"/>
      <c r="C608" s="64"/>
      <c r="D608" s="64"/>
      <c r="E608" s="65"/>
      <c r="F608" s="64"/>
      <c r="G608" s="67"/>
      <c r="H608" s="64"/>
      <c r="I608" s="64"/>
      <c r="J608" s="64"/>
      <c r="K608" s="64"/>
      <c r="L608" s="65"/>
      <c r="M608" s="64"/>
      <c r="N608" s="64"/>
      <c r="O608" s="64"/>
      <c r="P608" s="64"/>
      <c r="Q608" s="64"/>
      <c r="R608" s="64"/>
      <c r="S608" s="64"/>
      <c r="T608" s="65"/>
      <c r="U608" s="64"/>
      <c r="V608" s="64"/>
      <c r="W608" s="64"/>
      <c r="X608" s="64"/>
      <c r="Y608" s="64"/>
      <c r="Z608" s="64"/>
      <c r="AA608" s="64"/>
      <c r="AB608" s="64"/>
      <c r="AC608" s="64"/>
      <c r="AD608" s="64"/>
      <c r="AE608" s="64"/>
      <c r="AF608" s="64"/>
      <c r="AG608" s="64"/>
    </row>
    <row r="609">
      <c r="A609" s="64"/>
      <c r="B609" s="64"/>
      <c r="C609" s="64"/>
      <c r="D609" s="64"/>
      <c r="E609" s="65"/>
      <c r="F609" s="64"/>
      <c r="G609" s="67"/>
      <c r="H609" s="64"/>
      <c r="I609" s="64"/>
      <c r="J609" s="64"/>
      <c r="K609" s="64"/>
      <c r="L609" s="65"/>
      <c r="M609" s="64"/>
      <c r="N609" s="64"/>
      <c r="O609" s="64"/>
      <c r="P609" s="64"/>
      <c r="Q609" s="64"/>
      <c r="R609" s="64"/>
      <c r="S609" s="64"/>
      <c r="T609" s="65"/>
      <c r="U609" s="64"/>
      <c r="V609" s="64"/>
      <c r="W609" s="64"/>
      <c r="X609" s="64"/>
      <c r="Y609" s="64"/>
      <c r="Z609" s="64"/>
      <c r="AA609" s="64"/>
      <c r="AB609" s="64"/>
      <c r="AC609" s="64"/>
      <c r="AD609" s="64"/>
      <c r="AE609" s="64"/>
      <c r="AF609" s="64"/>
      <c r="AG609" s="64"/>
    </row>
    <row r="610">
      <c r="A610" s="64"/>
      <c r="B610" s="64"/>
      <c r="C610" s="64"/>
      <c r="D610" s="64"/>
      <c r="E610" s="65"/>
      <c r="F610" s="64"/>
      <c r="G610" s="67"/>
      <c r="H610" s="64"/>
      <c r="I610" s="64"/>
      <c r="J610" s="64"/>
      <c r="K610" s="64"/>
      <c r="L610" s="65"/>
      <c r="M610" s="64"/>
      <c r="N610" s="64"/>
      <c r="O610" s="64"/>
      <c r="P610" s="64"/>
      <c r="Q610" s="64"/>
      <c r="R610" s="64"/>
      <c r="S610" s="64"/>
      <c r="T610" s="65"/>
      <c r="U610" s="64"/>
      <c r="V610" s="64"/>
      <c r="W610" s="64"/>
      <c r="X610" s="64"/>
      <c r="Y610" s="64"/>
      <c r="Z610" s="64"/>
      <c r="AA610" s="64"/>
      <c r="AB610" s="64"/>
      <c r="AC610" s="64"/>
      <c r="AD610" s="64"/>
      <c r="AE610" s="64"/>
      <c r="AF610" s="64"/>
      <c r="AG610" s="64"/>
    </row>
    <row r="611">
      <c r="A611" s="64"/>
      <c r="B611" s="64"/>
      <c r="C611" s="64"/>
      <c r="D611" s="64"/>
      <c r="E611" s="65"/>
      <c r="F611" s="64"/>
      <c r="G611" s="67"/>
      <c r="H611" s="64"/>
      <c r="I611" s="64"/>
      <c r="J611" s="64"/>
      <c r="K611" s="64"/>
      <c r="L611" s="65"/>
      <c r="M611" s="64"/>
      <c r="N611" s="64"/>
      <c r="O611" s="64"/>
      <c r="P611" s="64"/>
      <c r="Q611" s="64"/>
      <c r="R611" s="64"/>
      <c r="S611" s="64"/>
      <c r="T611" s="65"/>
      <c r="U611" s="64"/>
      <c r="V611" s="64"/>
      <c r="W611" s="64"/>
      <c r="X611" s="64"/>
      <c r="Y611" s="64"/>
      <c r="Z611" s="64"/>
      <c r="AA611" s="64"/>
      <c r="AB611" s="64"/>
      <c r="AC611" s="64"/>
      <c r="AD611" s="64"/>
      <c r="AE611" s="64"/>
      <c r="AF611" s="64"/>
      <c r="AG611" s="64"/>
    </row>
    <row r="612">
      <c r="A612" s="64"/>
      <c r="B612" s="64"/>
      <c r="C612" s="64"/>
      <c r="D612" s="64"/>
      <c r="E612" s="65"/>
      <c r="F612" s="64"/>
      <c r="G612" s="67"/>
      <c r="H612" s="64"/>
      <c r="I612" s="64"/>
      <c r="J612" s="64"/>
      <c r="K612" s="64"/>
      <c r="L612" s="65"/>
      <c r="M612" s="64"/>
      <c r="N612" s="64"/>
      <c r="O612" s="64"/>
      <c r="P612" s="64"/>
      <c r="Q612" s="64"/>
      <c r="R612" s="64"/>
      <c r="S612" s="64"/>
      <c r="T612" s="65"/>
      <c r="U612" s="64"/>
      <c r="V612" s="64"/>
      <c r="W612" s="64"/>
      <c r="X612" s="64"/>
      <c r="Y612" s="64"/>
      <c r="Z612" s="64"/>
      <c r="AA612" s="64"/>
      <c r="AB612" s="64"/>
      <c r="AC612" s="64"/>
      <c r="AD612" s="64"/>
      <c r="AE612" s="64"/>
      <c r="AF612" s="64"/>
      <c r="AG612" s="64"/>
    </row>
    <row r="613">
      <c r="A613" s="64"/>
      <c r="B613" s="64"/>
      <c r="C613" s="64"/>
      <c r="D613" s="64"/>
      <c r="E613" s="65"/>
      <c r="F613" s="64"/>
      <c r="G613" s="67"/>
      <c r="H613" s="64"/>
      <c r="I613" s="64"/>
      <c r="J613" s="64"/>
      <c r="K613" s="64"/>
      <c r="L613" s="65"/>
      <c r="M613" s="64"/>
      <c r="N613" s="64"/>
      <c r="O613" s="64"/>
      <c r="P613" s="64"/>
      <c r="Q613" s="64"/>
      <c r="R613" s="64"/>
      <c r="S613" s="64"/>
      <c r="T613" s="65"/>
      <c r="U613" s="64"/>
      <c r="V613" s="64"/>
      <c r="W613" s="64"/>
      <c r="X613" s="64"/>
      <c r="Y613" s="64"/>
      <c r="Z613" s="64"/>
      <c r="AA613" s="64"/>
      <c r="AB613" s="64"/>
      <c r="AC613" s="64"/>
      <c r="AD613" s="64"/>
      <c r="AE613" s="64"/>
      <c r="AF613" s="64"/>
      <c r="AG613" s="64"/>
    </row>
    <row r="614">
      <c r="A614" s="64"/>
      <c r="B614" s="64"/>
      <c r="C614" s="64"/>
      <c r="D614" s="64"/>
      <c r="E614" s="65"/>
      <c r="F614" s="64"/>
      <c r="G614" s="67"/>
      <c r="H614" s="64"/>
      <c r="I614" s="64"/>
      <c r="J614" s="64"/>
      <c r="K614" s="64"/>
      <c r="L614" s="65"/>
      <c r="M614" s="64"/>
      <c r="N614" s="64"/>
      <c r="O614" s="64"/>
      <c r="P614" s="64"/>
      <c r="Q614" s="64"/>
      <c r="R614" s="64"/>
      <c r="S614" s="64"/>
      <c r="T614" s="65"/>
      <c r="U614" s="64"/>
      <c r="V614" s="64"/>
      <c r="W614" s="64"/>
      <c r="X614" s="64"/>
      <c r="Y614" s="64"/>
      <c r="Z614" s="64"/>
      <c r="AA614" s="64"/>
      <c r="AB614" s="64"/>
      <c r="AC614" s="64"/>
      <c r="AD614" s="64"/>
      <c r="AE614" s="64"/>
      <c r="AF614" s="64"/>
      <c r="AG614" s="64"/>
    </row>
    <row r="615">
      <c r="A615" s="64"/>
      <c r="B615" s="64"/>
      <c r="C615" s="64"/>
      <c r="D615" s="64"/>
      <c r="E615" s="65"/>
      <c r="F615" s="64"/>
      <c r="G615" s="67"/>
      <c r="H615" s="64"/>
      <c r="I615" s="64"/>
      <c r="J615" s="64"/>
      <c r="K615" s="64"/>
      <c r="L615" s="65"/>
      <c r="M615" s="64"/>
      <c r="N615" s="64"/>
      <c r="O615" s="64"/>
      <c r="P615" s="64"/>
      <c r="Q615" s="64"/>
      <c r="R615" s="64"/>
      <c r="S615" s="64"/>
      <c r="T615" s="65"/>
      <c r="U615" s="64"/>
      <c r="V615" s="64"/>
      <c r="W615" s="64"/>
      <c r="X615" s="64"/>
      <c r="Y615" s="64"/>
      <c r="Z615" s="64"/>
      <c r="AA615" s="64"/>
      <c r="AB615" s="64"/>
      <c r="AC615" s="64"/>
      <c r="AD615" s="64"/>
      <c r="AE615" s="64"/>
      <c r="AF615" s="64"/>
      <c r="AG615" s="64"/>
    </row>
    <row r="616">
      <c r="A616" s="64"/>
      <c r="B616" s="64"/>
      <c r="C616" s="64"/>
      <c r="D616" s="64"/>
      <c r="E616" s="65"/>
      <c r="F616" s="64"/>
      <c r="G616" s="67"/>
      <c r="H616" s="64"/>
      <c r="I616" s="64"/>
      <c r="J616" s="64"/>
      <c r="K616" s="64"/>
      <c r="L616" s="65"/>
      <c r="M616" s="64"/>
      <c r="N616" s="64"/>
      <c r="O616" s="64"/>
      <c r="P616" s="64"/>
      <c r="Q616" s="64"/>
      <c r="R616" s="64"/>
      <c r="S616" s="64"/>
      <c r="T616" s="65"/>
      <c r="U616" s="64"/>
      <c r="V616" s="64"/>
      <c r="W616" s="64"/>
      <c r="X616" s="64"/>
      <c r="Y616" s="64"/>
      <c r="Z616" s="64"/>
      <c r="AA616" s="64"/>
      <c r="AB616" s="64"/>
      <c r="AC616" s="64"/>
      <c r="AD616" s="64"/>
      <c r="AE616" s="64"/>
      <c r="AF616" s="64"/>
      <c r="AG616" s="64"/>
    </row>
    <row r="617">
      <c r="A617" s="64"/>
      <c r="B617" s="64"/>
      <c r="C617" s="64"/>
      <c r="D617" s="64"/>
      <c r="E617" s="65"/>
      <c r="F617" s="64"/>
      <c r="G617" s="67"/>
      <c r="H617" s="64"/>
      <c r="I617" s="64"/>
      <c r="J617" s="64"/>
      <c r="K617" s="64"/>
      <c r="L617" s="65"/>
      <c r="M617" s="64"/>
      <c r="N617" s="64"/>
      <c r="O617" s="64"/>
      <c r="P617" s="64"/>
      <c r="Q617" s="64"/>
      <c r="R617" s="64"/>
      <c r="S617" s="64"/>
      <c r="T617" s="65"/>
      <c r="U617" s="64"/>
      <c r="V617" s="64"/>
      <c r="W617" s="64"/>
      <c r="X617" s="64"/>
      <c r="Y617" s="64"/>
      <c r="Z617" s="64"/>
      <c r="AA617" s="64"/>
      <c r="AB617" s="64"/>
      <c r="AC617" s="64"/>
      <c r="AD617" s="64"/>
      <c r="AE617" s="64"/>
      <c r="AF617" s="64"/>
      <c r="AG617" s="64"/>
    </row>
    <row r="618">
      <c r="A618" s="64"/>
      <c r="B618" s="64"/>
      <c r="C618" s="64"/>
      <c r="D618" s="64"/>
      <c r="E618" s="65"/>
      <c r="F618" s="64"/>
      <c r="G618" s="67"/>
      <c r="H618" s="64"/>
      <c r="I618" s="64"/>
      <c r="J618" s="64"/>
      <c r="K618" s="64"/>
      <c r="L618" s="65"/>
      <c r="M618" s="64"/>
      <c r="N618" s="64"/>
      <c r="O618" s="64"/>
      <c r="P618" s="64"/>
      <c r="Q618" s="64"/>
      <c r="R618" s="64"/>
      <c r="S618" s="64"/>
      <c r="T618" s="65"/>
      <c r="U618" s="64"/>
      <c r="V618" s="64"/>
      <c r="W618" s="64"/>
      <c r="X618" s="64"/>
      <c r="Y618" s="64"/>
      <c r="Z618" s="64"/>
      <c r="AA618" s="64"/>
      <c r="AB618" s="64"/>
      <c r="AC618" s="64"/>
      <c r="AD618" s="64"/>
      <c r="AE618" s="64"/>
      <c r="AF618" s="64"/>
      <c r="AG618" s="64"/>
    </row>
    <row r="619">
      <c r="A619" s="64"/>
      <c r="B619" s="64"/>
      <c r="C619" s="64"/>
      <c r="D619" s="64"/>
      <c r="E619" s="65"/>
      <c r="F619" s="64"/>
      <c r="G619" s="67"/>
      <c r="H619" s="64"/>
      <c r="I619" s="64"/>
      <c r="J619" s="64"/>
      <c r="K619" s="64"/>
      <c r="L619" s="65"/>
      <c r="M619" s="64"/>
      <c r="N619" s="64"/>
      <c r="O619" s="64"/>
      <c r="P619" s="64"/>
      <c r="Q619" s="64"/>
      <c r="R619" s="64"/>
      <c r="S619" s="64"/>
      <c r="T619" s="65"/>
      <c r="U619" s="64"/>
      <c r="V619" s="64"/>
      <c r="W619" s="64"/>
      <c r="X619" s="64"/>
      <c r="Y619" s="64"/>
      <c r="Z619" s="64"/>
      <c r="AA619" s="64"/>
      <c r="AB619" s="64"/>
      <c r="AC619" s="64"/>
      <c r="AD619" s="64"/>
      <c r="AE619" s="64"/>
      <c r="AF619" s="64"/>
      <c r="AG619" s="64"/>
    </row>
    <row r="620">
      <c r="A620" s="64"/>
      <c r="B620" s="64"/>
      <c r="C620" s="64"/>
      <c r="D620" s="64"/>
      <c r="E620" s="65"/>
      <c r="F620" s="64"/>
      <c r="G620" s="67"/>
      <c r="H620" s="64"/>
      <c r="I620" s="64"/>
      <c r="J620" s="64"/>
      <c r="K620" s="64"/>
      <c r="L620" s="65"/>
      <c r="M620" s="64"/>
      <c r="N620" s="64"/>
      <c r="O620" s="64"/>
      <c r="P620" s="64"/>
      <c r="Q620" s="64"/>
      <c r="R620" s="64"/>
      <c r="S620" s="64"/>
      <c r="T620" s="65"/>
      <c r="U620" s="64"/>
      <c r="V620" s="64"/>
      <c r="W620" s="64"/>
      <c r="X620" s="64"/>
      <c r="Y620" s="64"/>
      <c r="Z620" s="64"/>
      <c r="AA620" s="64"/>
      <c r="AB620" s="64"/>
      <c r="AC620" s="64"/>
      <c r="AD620" s="64"/>
      <c r="AE620" s="64"/>
      <c r="AF620" s="64"/>
      <c r="AG620" s="64"/>
    </row>
    <row r="621">
      <c r="A621" s="64"/>
      <c r="B621" s="64"/>
      <c r="C621" s="64"/>
      <c r="D621" s="64"/>
      <c r="E621" s="65"/>
      <c r="F621" s="64"/>
      <c r="G621" s="67"/>
      <c r="H621" s="64"/>
      <c r="I621" s="64"/>
      <c r="J621" s="64"/>
      <c r="K621" s="64"/>
      <c r="L621" s="65"/>
      <c r="M621" s="64"/>
      <c r="N621" s="64"/>
      <c r="O621" s="64"/>
      <c r="P621" s="64"/>
      <c r="Q621" s="64"/>
      <c r="R621" s="64"/>
      <c r="S621" s="64"/>
      <c r="T621" s="65"/>
      <c r="U621" s="64"/>
      <c r="V621" s="64"/>
      <c r="W621" s="64"/>
      <c r="X621" s="64"/>
      <c r="Y621" s="64"/>
      <c r="Z621" s="64"/>
      <c r="AA621" s="64"/>
      <c r="AB621" s="64"/>
      <c r="AC621" s="64"/>
      <c r="AD621" s="64"/>
      <c r="AE621" s="64"/>
      <c r="AF621" s="64"/>
      <c r="AG621" s="64"/>
    </row>
    <row r="622">
      <c r="A622" s="64"/>
      <c r="B622" s="64"/>
      <c r="C622" s="64"/>
      <c r="D622" s="64"/>
      <c r="E622" s="65"/>
      <c r="F622" s="64"/>
      <c r="G622" s="67"/>
      <c r="H622" s="64"/>
      <c r="I622" s="64"/>
      <c r="J622" s="64"/>
      <c r="K622" s="64"/>
      <c r="L622" s="65"/>
      <c r="M622" s="64"/>
      <c r="N622" s="64"/>
      <c r="O622" s="64"/>
      <c r="P622" s="64"/>
      <c r="Q622" s="64"/>
      <c r="R622" s="64"/>
      <c r="S622" s="64"/>
      <c r="T622" s="65"/>
      <c r="U622" s="64"/>
      <c r="V622" s="64"/>
      <c r="W622" s="64"/>
      <c r="X622" s="64"/>
      <c r="Y622" s="64"/>
      <c r="Z622" s="64"/>
      <c r="AA622" s="64"/>
      <c r="AB622" s="64"/>
      <c r="AC622" s="64"/>
      <c r="AD622" s="64"/>
      <c r="AE622" s="64"/>
      <c r="AF622" s="64"/>
      <c r="AG622" s="64"/>
    </row>
    <row r="623">
      <c r="A623" s="64"/>
      <c r="B623" s="64"/>
      <c r="C623" s="64"/>
      <c r="D623" s="64"/>
      <c r="E623" s="65"/>
      <c r="F623" s="64"/>
      <c r="G623" s="67"/>
      <c r="H623" s="64"/>
      <c r="I623" s="64"/>
      <c r="J623" s="64"/>
      <c r="K623" s="64"/>
      <c r="L623" s="65"/>
      <c r="M623" s="64"/>
      <c r="N623" s="64"/>
      <c r="O623" s="64"/>
      <c r="P623" s="64"/>
      <c r="Q623" s="64"/>
      <c r="R623" s="64"/>
      <c r="S623" s="64"/>
      <c r="T623" s="65"/>
      <c r="U623" s="64"/>
      <c r="V623" s="64"/>
      <c r="W623" s="64"/>
      <c r="X623" s="64"/>
      <c r="Y623" s="64"/>
      <c r="Z623" s="64"/>
      <c r="AA623" s="64"/>
      <c r="AB623" s="64"/>
      <c r="AC623" s="64"/>
      <c r="AD623" s="64"/>
      <c r="AE623" s="64"/>
      <c r="AF623" s="64"/>
      <c r="AG623" s="64"/>
    </row>
    <row r="624">
      <c r="A624" s="64"/>
      <c r="B624" s="64"/>
      <c r="C624" s="64"/>
      <c r="D624" s="64"/>
      <c r="E624" s="65"/>
      <c r="F624" s="64"/>
      <c r="G624" s="67"/>
      <c r="H624" s="64"/>
      <c r="I624" s="64"/>
      <c r="J624" s="64"/>
      <c r="K624" s="64"/>
      <c r="L624" s="65"/>
      <c r="M624" s="64"/>
      <c r="N624" s="64"/>
      <c r="O624" s="64"/>
      <c r="P624" s="64"/>
      <c r="Q624" s="64"/>
      <c r="R624" s="64"/>
      <c r="S624" s="64"/>
      <c r="T624" s="65"/>
      <c r="U624" s="64"/>
      <c r="V624" s="64"/>
      <c r="W624" s="64"/>
      <c r="X624" s="64"/>
      <c r="Y624" s="64"/>
      <c r="Z624" s="64"/>
      <c r="AA624" s="64"/>
      <c r="AB624" s="64"/>
      <c r="AC624" s="64"/>
      <c r="AD624" s="64"/>
      <c r="AE624" s="64"/>
      <c r="AF624" s="64"/>
      <c r="AG624" s="64"/>
    </row>
    <row r="625">
      <c r="A625" s="64"/>
      <c r="B625" s="64"/>
      <c r="C625" s="64"/>
      <c r="D625" s="64"/>
      <c r="E625" s="65"/>
      <c r="F625" s="64"/>
      <c r="G625" s="67"/>
      <c r="H625" s="64"/>
      <c r="I625" s="64"/>
      <c r="J625" s="64"/>
      <c r="K625" s="64"/>
      <c r="L625" s="65"/>
      <c r="M625" s="64"/>
      <c r="N625" s="64"/>
      <c r="O625" s="64"/>
      <c r="P625" s="64"/>
      <c r="Q625" s="64"/>
      <c r="R625" s="64"/>
      <c r="S625" s="64"/>
      <c r="T625" s="65"/>
      <c r="U625" s="64"/>
      <c r="V625" s="64"/>
      <c r="W625" s="64"/>
      <c r="X625" s="64"/>
      <c r="Y625" s="64"/>
      <c r="Z625" s="64"/>
      <c r="AA625" s="64"/>
      <c r="AB625" s="64"/>
      <c r="AC625" s="64"/>
      <c r="AD625" s="64"/>
      <c r="AE625" s="64"/>
      <c r="AF625" s="64"/>
      <c r="AG625" s="64"/>
    </row>
    <row r="626">
      <c r="A626" s="64"/>
      <c r="B626" s="64"/>
      <c r="C626" s="64"/>
      <c r="D626" s="64"/>
      <c r="E626" s="65"/>
      <c r="F626" s="64"/>
      <c r="G626" s="67"/>
      <c r="H626" s="64"/>
      <c r="I626" s="64"/>
      <c r="J626" s="64"/>
      <c r="K626" s="64"/>
      <c r="L626" s="65"/>
      <c r="M626" s="64"/>
      <c r="N626" s="64"/>
      <c r="O626" s="64"/>
      <c r="P626" s="64"/>
      <c r="Q626" s="64"/>
      <c r="R626" s="64"/>
      <c r="S626" s="64"/>
      <c r="T626" s="65"/>
      <c r="U626" s="64"/>
      <c r="V626" s="64"/>
      <c r="W626" s="64"/>
      <c r="X626" s="64"/>
      <c r="Y626" s="64"/>
      <c r="Z626" s="64"/>
      <c r="AA626" s="64"/>
      <c r="AB626" s="64"/>
      <c r="AC626" s="64"/>
      <c r="AD626" s="64"/>
      <c r="AE626" s="64"/>
      <c r="AF626" s="64"/>
      <c r="AG626" s="64"/>
    </row>
    <row r="627">
      <c r="A627" s="64"/>
      <c r="B627" s="64"/>
      <c r="C627" s="64"/>
      <c r="D627" s="64"/>
      <c r="E627" s="65"/>
      <c r="F627" s="64"/>
      <c r="G627" s="67"/>
      <c r="H627" s="64"/>
      <c r="I627" s="64"/>
      <c r="J627" s="64"/>
      <c r="K627" s="64"/>
      <c r="L627" s="65"/>
      <c r="M627" s="64"/>
      <c r="N627" s="64"/>
      <c r="O627" s="64"/>
      <c r="P627" s="64"/>
      <c r="Q627" s="64"/>
      <c r="R627" s="64"/>
      <c r="S627" s="64"/>
      <c r="T627" s="65"/>
      <c r="U627" s="64"/>
      <c r="V627" s="64"/>
      <c r="W627" s="64"/>
      <c r="X627" s="64"/>
      <c r="Y627" s="64"/>
      <c r="Z627" s="64"/>
      <c r="AA627" s="64"/>
      <c r="AB627" s="64"/>
      <c r="AC627" s="64"/>
      <c r="AD627" s="64"/>
      <c r="AE627" s="64"/>
      <c r="AF627" s="64"/>
      <c r="AG627" s="64"/>
    </row>
    <row r="628">
      <c r="A628" s="64"/>
      <c r="B628" s="64"/>
      <c r="C628" s="64"/>
      <c r="D628" s="64"/>
      <c r="E628" s="65"/>
      <c r="F628" s="64"/>
      <c r="G628" s="67"/>
      <c r="H628" s="64"/>
      <c r="I628" s="64"/>
      <c r="J628" s="64"/>
      <c r="K628" s="64"/>
      <c r="L628" s="65"/>
      <c r="M628" s="64"/>
      <c r="N628" s="64"/>
      <c r="O628" s="64"/>
      <c r="P628" s="64"/>
      <c r="Q628" s="64"/>
      <c r="R628" s="64"/>
      <c r="S628" s="64"/>
      <c r="T628" s="65"/>
      <c r="U628" s="64"/>
      <c r="V628" s="64"/>
      <c r="W628" s="64"/>
      <c r="X628" s="64"/>
      <c r="Y628" s="64"/>
      <c r="Z628" s="64"/>
      <c r="AA628" s="64"/>
      <c r="AB628" s="64"/>
      <c r="AC628" s="64"/>
      <c r="AD628" s="64"/>
      <c r="AE628" s="64"/>
      <c r="AF628" s="64"/>
      <c r="AG628" s="64"/>
    </row>
    <row r="629">
      <c r="A629" s="64"/>
      <c r="B629" s="64"/>
      <c r="C629" s="64"/>
      <c r="D629" s="64"/>
      <c r="E629" s="65"/>
      <c r="F629" s="64"/>
      <c r="G629" s="67"/>
      <c r="H629" s="64"/>
      <c r="I629" s="64"/>
      <c r="J629" s="64"/>
      <c r="K629" s="64"/>
      <c r="L629" s="65"/>
      <c r="M629" s="64"/>
      <c r="N629" s="64"/>
      <c r="O629" s="64"/>
      <c r="P629" s="64"/>
      <c r="Q629" s="64"/>
      <c r="R629" s="64"/>
      <c r="S629" s="64"/>
      <c r="T629" s="65"/>
      <c r="U629" s="64"/>
      <c r="V629" s="64"/>
      <c r="W629" s="64"/>
      <c r="X629" s="64"/>
      <c r="Y629" s="64"/>
      <c r="Z629" s="64"/>
      <c r="AA629" s="64"/>
      <c r="AB629" s="64"/>
      <c r="AC629" s="64"/>
      <c r="AD629" s="64"/>
      <c r="AE629" s="64"/>
      <c r="AF629" s="64"/>
      <c r="AG629" s="64"/>
    </row>
    <row r="630">
      <c r="A630" s="64"/>
      <c r="B630" s="64"/>
      <c r="C630" s="64"/>
      <c r="D630" s="64"/>
      <c r="E630" s="65"/>
      <c r="F630" s="64"/>
      <c r="G630" s="67"/>
      <c r="H630" s="64"/>
      <c r="I630" s="64"/>
      <c r="J630" s="64"/>
      <c r="K630" s="64"/>
      <c r="L630" s="65"/>
      <c r="M630" s="64"/>
      <c r="N630" s="64"/>
      <c r="O630" s="64"/>
      <c r="P630" s="64"/>
      <c r="Q630" s="64"/>
      <c r="R630" s="64"/>
      <c r="S630" s="64"/>
      <c r="T630" s="65"/>
      <c r="U630" s="64"/>
      <c r="V630" s="64"/>
      <c r="W630" s="64"/>
      <c r="X630" s="64"/>
      <c r="Y630" s="64"/>
      <c r="Z630" s="64"/>
      <c r="AA630" s="64"/>
      <c r="AB630" s="64"/>
      <c r="AC630" s="64"/>
      <c r="AD630" s="64"/>
      <c r="AE630" s="64"/>
      <c r="AF630" s="64"/>
      <c r="AG630" s="64"/>
    </row>
    <row r="631">
      <c r="A631" s="64"/>
      <c r="B631" s="64"/>
      <c r="C631" s="64"/>
      <c r="D631" s="64"/>
      <c r="E631" s="65"/>
      <c r="F631" s="64"/>
      <c r="G631" s="67"/>
      <c r="H631" s="64"/>
      <c r="I631" s="64"/>
      <c r="J631" s="64"/>
      <c r="K631" s="64"/>
      <c r="L631" s="65"/>
      <c r="M631" s="64"/>
      <c r="N631" s="64"/>
      <c r="O631" s="64"/>
      <c r="P631" s="64"/>
      <c r="Q631" s="64"/>
      <c r="R631" s="64"/>
      <c r="S631" s="64"/>
      <c r="T631" s="65"/>
      <c r="U631" s="64"/>
      <c r="V631" s="64"/>
      <c r="W631" s="64"/>
      <c r="X631" s="64"/>
      <c r="Y631" s="64"/>
      <c r="Z631" s="64"/>
      <c r="AA631" s="64"/>
      <c r="AB631" s="64"/>
      <c r="AC631" s="64"/>
      <c r="AD631" s="64"/>
      <c r="AE631" s="64"/>
      <c r="AF631" s="64"/>
      <c r="AG631" s="64"/>
    </row>
    <row r="632">
      <c r="A632" s="64"/>
      <c r="B632" s="64"/>
      <c r="C632" s="64"/>
      <c r="D632" s="64"/>
      <c r="E632" s="65"/>
      <c r="F632" s="64"/>
      <c r="G632" s="67"/>
      <c r="H632" s="64"/>
      <c r="I632" s="64"/>
      <c r="J632" s="64"/>
      <c r="K632" s="64"/>
      <c r="L632" s="65"/>
      <c r="M632" s="64"/>
      <c r="N632" s="64"/>
      <c r="O632" s="64"/>
      <c r="P632" s="64"/>
      <c r="Q632" s="64"/>
      <c r="R632" s="64"/>
      <c r="S632" s="64"/>
      <c r="T632" s="65"/>
      <c r="U632" s="64"/>
      <c r="V632" s="64"/>
      <c r="W632" s="64"/>
      <c r="X632" s="64"/>
      <c r="Y632" s="64"/>
      <c r="Z632" s="64"/>
      <c r="AA632" s="64"/>
      <c r="AB632" s="64"/>
      <c r="AC632" s="64"/>
      <c r="AD632" s="64"/>
      <c r="AE632" s="64"/>
      <c r="AF632" s="64"/>
      <c r="AG632" s="64"/>
    </row>
    <row r="633">
      <c r="A633" s="64"/>
      <c r="B633" s="64"/>
      <c r="C633" s="64"/>
      <c r="D633" s="64"/>
      <c r="E633" s="65"/>
      <c r="F633" s="64"/>
      <c r="G633" s="67"/>
      <c r="H633" s="64"/>
      <c r="I633" s="64"/>
      <c r="J633" s="64"/>
      <c r="K633" s="64"/>
      <c r="L633" s="65"/>
      <c r="M633" s="64"/>
      <c r="N633" s="64"/>
      <c r="O633" s="64"/>
      <c r="P633" s="64"/>
      <c r="Q633" s="64"/>
      <c r="R633" s="64"/>
      <c r="S633" s="64"/>
      <c r="T633" s="65"/>
      <c r="U633" s="64"/>
      <c r="V633" s="64"/>
      <c r="W633" s="64"/>
      <c r="X633" s="64"/>
      <c r="Y633" s="64"/>
      <c r="Z633" s="64"/>
      <c r="AA633" s="64"/>
      <c r="AB633" s="64"/>
      <c r="AC633" s="64"/>
      <c r="AD633" s="64"/>
      <c r="AE633" s="64"/>
      <c r="AF633" s="64"/>
      <c r="AG633" s="64"/>
    </row>
    <row r="634">
      <c r="A634" s="64"/>
      <c r="B634" s="64"/>
      <c r="C634" s="64"/>
      <c r="D634" s="64"/>
      <c r="E634" s="65"/>
      <c r="F634" s="64"/>
      <c r="G634" s="67"/>
      <c r="H634" s="64"/>
      <c r="I634" s="64"/>
      <c r="J634" s="64"/>
      <c r="K634" s="64"/>
      <c r="L634" s="65"/>
      <c r="M634" s="64"/>
      <c r="N634" s="64"/>
      <c r="O634" s="64"/>
      <c r="P634" s="64"/>
      <c r="Q634" s="64"/>
      <c r="R634" s="64"/>
      <c r="S634" s="64"/>
      <c r="T634" s="65"/>
      <c r="U634" s="64"/>
      <c r="V634" s="64"/>
      <c r="W634" s="64"/>
      <c r="X634" s="64"/>
      <c r="Y634" s="64"/>
      <c r="Z634" s="64"/>
      <c r="AA634" s="64"/>
      <c r="AB634" s="64"/>
      <c r="AC634" s="64"/>
      <c r="AD634" s="64"/>
      <c r="AE634" s="64"/>
      <c r="AF634" s="64"/>
      <c r="AG634" s="64"/>
    </row>
    <row r="635">
      <c r="A635" s="64"/>
      <c r="B635" s="64"/>
      <c r="C635" s="64"/>
      <c r="D635" s="64"/>
      <c r="E635" s="65"/>
      <c r="F635" s="64"/>
      <c r="G635" s="67"/>
      <c r="H635" s="64"/>
      <c r="I635" s="64"/>
      <c r="J635" s="64"/>
      <c r="K635" s="64"/>
      <c r="L635" s="65"/>
      <c r="M635" s="64"/>
      <c r="N635" s="64"/>
      <c r="O635" s="64"/>
      <c r="P635" s="64"/>
      <c r="Q635" s="64"/>
      <c r="R635" s="64"/>
      <c r="S635" s="64"/>
      <c r="T635" s="65"/>
      <c r="U635" s="64"/>
      <c r="V635" s="64"/>
      <c r="W635" s="64"/>
      <c r="X635" s="64"/>
      <c r="Y635" s="64"/>
      <c r="Z635" s="64"/>
      <c r="AA635" s="64"/>
      <c r="AB635" s="64"/>
      <c r="AC635" s="64"/>
      <c r="AD635" s="64"/>
      <c r="AE635" s="64"/>
      <c r="AF635" s="64"/>
      <c r="AG635" s="64"/>
    </row>
    <row r="636">
      <c r="A636" s="64"/>
      <c r="B636" s="64"/>
      <c r="C636" s="64"/>
      <c r="D636" s="64"/>
      <c r="E636" s="65"/>
      <c r="F636" s="64"/>
      <c r="G636" s="67"/>
      <c r="H636" s="64"/>
      <c r="I636" s="64"/>
      <c r="J636" s="64"/>
      <c r="K636" s="64"/>
      <c r="L636" s="65"/>
      <c r="M636" s="64"/>
      <c r="N636" s="64"/>
      <c r="O636" s="64"/>
      <c r="P636" s="64"/>
      <c r="Q636" s="64"/>
      <c r="R636" s="64"/>
      <c r="S636" s="64"/>
      <c r="T636" s="65"/>
      <c r="U636" s="64"/>
      <c r="V636" s="64"/>
      <c r="W636" s="64"/>
      <c r="X636" s="64"/>
      <c r="Y636" s="64"/>
      <c r="Z636" s="64"/>
      <c r="AA636" s="64"/>
      <c r="AB636" s="64"/>
      <c r="AC636" s="64"/>
      <c r="AD636" s="64"/>
      <c r="AE636" s="64"/>
      <c r="AF636" s="64"/>
      <c r="AG636" s="64"/>
    </row>
    <row r="637">
      <c r="A637" s="64"/>
      <c r="B637" s="64"/>
      <c r="C637" s="64"/>
      <c r="D637" s="64"/>
      <c r="E637" s="65"/>
      <c r="F637" s="64"/>
      <c r="G637" s="67"/>
      <c r="H637" s="64"/>
      <c r="I637" s="64"/>
      <c r="J637" s="64"/>
      <c r="K637" s="64"/>
      <c r="L637" s="65"/>
      <c r="M637" s="64"/>
      <c r="N637" s="64"/>
      <c r="O637" s="64"/>
      <c r="P637" s="64"/>
      <c r="Q637" s="64"/>
      <c r="R637" s="64"/>
      <c r="S637" s="64"/>
      <c r="T637" s="65"/>
      <c r="U637" s="64"/>
      <c r="V637" s="64"/>
      <c r="W637" s="64"/>
      <c r="X637" s="64"/>
      <c r="Y637" s="64"/>
      <c r="Z637" s="64"/>
      <c r="AA637" s="64"/>
      <c r="AB637" s="64"/>
      <c r="AC637" s="64"/>
      <c r="AD637" s="64"/>
      <c r="AE637" s="64"/>
      <c r="AF637" s="64"/>
      <c r="AG637" s="64"/>
    </row>
    <row r="638">
      <c r="A638" s="64"/>
      <c r="B638" s="64"/>
      <c r="C638" s="64"/>
      <c r="D638" s="64"/>
      <c r="E638" s="65"/>
      <c r="F638" s="64"/>
      <c r="G638" s="67"/>
      <c r="H638" s="64"/>
      <c r="I638" s="64"/>
      <c r="J638" s="64"/>
      <c r="K638" s="64"/>
      <c r="L638" s="65"/>
      <c r="M638" s="64"/>
      <c r="N638" s="64"/>
      <c r="O638" s="64"/>
      <c r="P638" s="64"/>
      <c r="Q638" s="64"/>
      <c r="R638" s="64"/>
      <c r="S638" s="64"/>
      <c r="T638" s="65"/>
      <c r="U638" s="64"/>
      <c r="V638" s="64"/>
      <c r="W638" s="64"/>
      <c r="X638" s="64"/>
      <c r="Y638" s="64"/>
      <c r="Z638" s="64"/>
      <c r="AA638" s="64"/>
      <c r="AB638" s="64"/>
      <c r="AC638" s="64"/>
      <c r="AD638" s="64"/>
      <c r="AE638" s="64"/>
      <c r="AF638" s="64"/>
      <c r="AG638" s="64"/>
    </row>
    <row r="639">
      <c r="A639" s="64"/>
      <c r="B639" s="64"/>
      <c r="C639" s="64"/>
      <c r="D639" s="64"/>
      <c r="E639" s="65"/>
      <c r="F639" s="64"/>
      <c r="G639" s="67"/>
      <c r="H639" s="64"/>
      <c r="I639" s="64"/>
      <c r="J639" s="64"/>
      <c r="K639" s="64"/>
      <c r="L639" s="65"/>
      <c r="M639" s="64"/>
      <c r="N639" s="64"/>
      <c r="O639" s="64"/>
      <c r="P639" s="64"/>
      <c r="Q639" s="64"/>
      <c r="R639" s="64"/>
      <c r="S639" s="64"/>
      <c r="T639" s="65"/>
      <c r="U639" s="64"/>
      <c r="V639" s="64"/>
      <c r="W639" s="64"/>
      <c r="X639" s="64"/>
      <c r="Y639" s="64"/>
      <c r="Z639" s="64"/>
      <c r="AA639" s="64"/>
      <c r="AB639" s="64"/>
      <c r="AC639" s="64"/>
      <c r="AD639" s="64"/>
      <c r="AE639" s="64"/>
      <c r="AF639" s="64"/>
      <c r="AG639" s="64"/>
    </row>
    <row r="640">
      <c r="A640" s="64"/>
      <c r="B640" s="64"/>
      <c r="C640" s="64"/>
      <c r="D640" s="64"/>
      <c r="E640" s="65"/>
      <c r="F640" s="64"/>
      <c r="G640" s="67"/>
      <c r="H640" s="64"/>
      <c r="I640" s="64"/>
      <c r="J640" s="64"/>
      <c r="K640" s="64"/>
      <c r="L640" s="65"/>
      <c r="M640" s="64"/>
      <c r="N640" s="64"/>
      <c r="O640" s="64"/>
      <c r="P640" s="64"/>
      <c r="Q640" s="64"/>
      <c r="R640" s="64"/>
      <c r="S640" s="64"/>
      <c r="T640" s="65"/>
      <c r="U640" s="64"/>
      <c r="V640" s="64"/>
      <c r="W640" s="64"/>
      <c r="X640" s="64"/>
      <c r="Y640" s="64"/>
      <c r="Z640" s="64"/>
      <c r="AA640" s="64"/>
      <c r="AB640" s="64"/>
      <c r="AC640" s="64"/>
      <c r="AD640" s="64"/>
      <c r="AE640" s="64"/>
      <c r="AF640" s="64"/>
      <c r="AG640" s="64"/>
    </row>
    <row r="641">
      <c r="A641" s="64"/>
      <c r="B641" s="64"/>
      <c r="C641" s="64"/>
      <c r="D641" s="64"/>
      <c r="E641" s="65"/>
      <c r="F641" s="64"/>
      <c r="G641" s="67"/>
      <c r="H641" s="64"/>
      <c r="I641" s="64"/>
      <c r="J641" s="64"/>
      <c r="K641" s="64"/>
      <c r="L641" s="65"/>
      <c r="M641" s="64"/>
      <c r="N641" s="64"/>
      <c r="O641" s="64"/>
      <c r="P641" s="64"/>
      <c r="Q641" s="64"/>
      <c r="R641" s="64"/>
      <c r="S641" s="64"/>
      <c r="T641" s="65"/>
      <c r="U641" s="64"/>
      <c r="V641" s="64"/>
      <c r="W641" s="64"/>
      <c r="X641" s="64"/>
      <c r="Y641" s="64"/>
      <c r="Z641" s="64"/>
      <c r="AA641" s="64"/>
      <c r="AB641" s="64"/>
      <c r="AC641" s="64"/>
      <c r="AD641" s="64"/>
      <c r="AE641" s="64"/>
      <c r="AF641" s="64"/>
      <c r="AG641" s="64"/>
    </row>
    <row r="642">
      <c r="A642" s="64"/>
      <c r="B642" s="64"/>
      <c r="C642" s="64"/>
      <c r="D642" s="64"/>
      <c r="E642" s="65"/>
      <c r="F642" s="64"/>
      <c r="G642" s="67"/>
      <c r="H642" s="64"/>
      <c r="I642" s="64"/>
      <c r="J642" s="64"/>
      <c r="K642" s="64"/>
      <c r="L642" s="65"/>
      <c r="M642" s="64"/>
      <c r="N642" s="64"/>
      <c r="O642" s="64"/>
      <c r="P642" s="64"/>
      <c r="Q642" s="64"/>
      <c r="R642" s="64"/>
      <c r="S642" s="64"/>
      <c r="T642" s="65"/>
      <c r="U642" s="64"/>
      <c r="V642" s="64"/>
      <c r="W642" s="64"/>
      <c r="X642" s="64"/>
      <c r="Y642" s="64"/>
      <c r="Z642" s="64"/>
      <c r="AA642" s="64"/>
      <c r="AB642" s="64"/>
      <c r="AC642" s="64"/>
      <c r="AD642" s="64"/>
      <c r="AE642" s="64"/>
      <c r="AF642" s="64"/>
      <c r="AG642" s="64"/>
    </row>
    <row r="643">
      <c r="A643" s="64"/>
      <c r="B643" s="64"/>
      <c r="C643" s="64"/>
      <c r="D643" s="64"/>
      <c r="E643" s="65"/>
      <c r="F643" s="64"/>
      <c r="G643" s="67"/>
      <c r="H643" s="64"/>
      <c r="I643" s="64"/>
      <c r="J643" s="64"/>
      <c r="K643" s="64"/>
      <c r="L643" s="65"/>
      <c r="M643" s="64"/>
      <c r="N643" s="64"/>
      <c r="O643" s="64"/>
      <c r="P643" s="64"/>
      <c r="Q643" s="64"/>
      <c r="R643" s="64"/>
      <c r="S643" s="64"/>
      <c r="T643" s="65"/>
      <c r="U643" s="64"/>
      <c r="V643" s="64"/>
      <c r="W643" s="64"/>
      <c r="X643" s="64"/>
      <c r="Y643" s="64"/>
      <c r="Z643" s="64"/>
      <c r="AA643" s="64"/>
      <c r="AB643" s="64"/>
      <c r="AC643" s="64"/>
      <c r="AD643" s="64"/>
      <c r="AE643" s="64"/>
      <c r="AF643" s="64"/>
      <c r="AG643" s="64"/>
    </row>
    <row r="644">
      <c r="A644" s="64"/>
      <c r="B644" s="64"/>
      <c r="C644" s="64"/>
      <c r="D644" s="64"/>
      <c r="E644" s="65"/>
      <c r="F644" s="64"/>
      <c r="G644" s="67"/>
      <c r="H644" s="64"/>
      <c r="I644" s="64"/>
      <c r="J644" s="64"/>
      <c r="K644" s="64"/>
      <c r="L644" s="65"/>
      <c r="M644" s="64"/>
      <c r="N644" s="64"/>
      <c r="O644" s="64"/>
      <c r="P644" s="64"/>
      <c r="Q644" s="64"/>
      <c r="R644" s="64"/>
      <c r="S644" s="64"/>
      <c r="T644" s="65"/>
      <c r="U644" s="64"/>
      <c r="V644" s="64"/>
      <c r="W644" s="64"/>
      <c r="X644" s="64"/>
      <c r="Y644" s="64"/>
      <c r="Z644" s="64"/>
      <c r="AA644" s="64"/>
      <c r="AB644" s="64"/>
      <c r="AC644" s="64"/>
      <c r="AD644" s="64"/>
      <c r="AE644" s="64"/>
      <c r="AF644" s="64"/>
      <c r="AG644" s="64"/>
    </row>
    <row r="645">
      <c r="A645" s="64"/>
      <c r="B645" s="64"/>
      <c r="C645" s="64"/>
      <c r="D645" s="64"/>
      <c r="E645" s="65"/>
      <c r="F645" s="64"/>
      <c r="G645" s="67"/>
      <c r="H645" s="64"/>
      <c r="I645" s="64"/>
      <c r="J645" s="64"/>
      <c r="K645" s="64"/>
      <c r="L645" s="65"/>
      <c r="M645" s="64"/>
      <c r="N645" s="64"/>
      <c r="O645" s="64"/>
      <c r="P645" s="64"/>
      <c r="Q645" s="64"/>
      <c r="R645" s="64"/>
      <c r="S645" s="64"/>
      <c r="T645" s="65"/>
      <c r="U645" s="64"/>
      <c r="V645" s="64"/>
      <c r="W645" s="64"/>
      <c r="X645" s="64"/>
      <c r="Y645" s="64"/>
      <c r="Z645" s="64"/>
      <c r="AA645" s="64"/>
      <c r="AB645" s="64"/>
      <c r="AC645" s="64"/>
      <c r="AD645" s="64"/>
      <c r="AE645" s="64"/>
      <c r="AF645" s="64"/>
      <c r="AG645" s="64"/>
    </row>
    <row r="646">
      <c r="A646" s="64"/>
      <c r="B646" s="64"/>
      <c r="C646" s="64"/>
      <c r="D646" s="64"/>
      <c r="E646" s="65"/>
      <c r="F646" s="64"/>
      <c r="G646" s="67"/>
      <c r="H646" s="64"/>
      <c r="I646" s="64"/>
      <c r="J646" s="64"/>
      <c r="K646" s="64"/>
      <c r="L646" s="65"/>
      <c r="M646" s="64"/>
      <c r="N646" s="64"/>
      <c r="O646" s="64"/>
      <c r="P646" s="64"/>
      <c r="Q646" s="64"/>
      <c r="R646" s="64"/>
      <c r="S646" s="64"/>
      <c r="T646" s="65"/>
      <c r="U646" s="64"/>
      <c r="V646" s="64"/>
      <c r="W646" s="64"/>
      <c r="X646" s="64"/>
      <c r="Y646" s="64"/>
      <c r="Z646" s="64"/>
      <c r="AA646" s="64"/>
      <c r="AB646" s="64"/>
      <c r="AC646" s="64"/>
      <c r="AD646" s="64"/>
      <c r="AE646" s="64"/>
      <c r="AF646" s="64"/>
      <c r="AG646" s="64"/>
    </row>
    <row r="647">
      <c r="A647" s="64"/>
      <c r="B647" s="64"/>
      <c r="C647" s="64"/>
      <c r="D647" s="64"/>
      <c r="E647" s="65"/>
      <c r="F647" s="64"/>
      <c r="G647" s="67"/>
      <c r="H647" s="64"/>
      <c r="I647" s="64"/>
      <c r="J647" s="64"/>
      <c r="K647" s="64"/>
      <c r="L647" s="65"/>
      <c r="M647" s="64"/>
      <c r="N647" s="64"/>
      <c r="O647" s="64"/>
      <c r="P647" s="64"/>
      <c r="Q647" s="64"/>
      <c r="R647" s="64"/>
      <c r="S647" s="64"/>
      <c r="T647" s="65"/>
      <c r="U647" s="64"/>
      <c r="V647" s="64"/>
      <c r="W647" s="64"/>
      <c r="X647" s="64"/>
      <c r="Y647" s="64"/>
      <c r="Z647" s="64"/>
      <c r="AA647" s="64"/>
      <c r="AB647" s="64"/>
      <c r="AC647" s="64"/>
      <c r="AD647" s="64"/>
      <c r="AE647" s="64"/>
      <c r="AF647" s="64"/>
      <c r="AG647" s="64"/>
    </row>
    <row r="648">
      <c r="A648" s="64"/>
      <c r="B648" s="64"/>
      <c r="C648" s="64"/>
      <c r="D648" s="64"/>
      <c r="E648" s="65"/>
      <c r="F648" s="64"/>
      <c r="G648" s="67"/>
      <c r="H648" s="64"/>
      <c r="I648" s="64"/>
      <c r="J648" s="64"/>
      <c r="K648" s="64"/>
      <c r="L648" s="65"/>
      <c r="M648" s="64"/>
      <c r="N648" s="64"/>
      <c r="O648" s="64"/>
      <c r="P648" s="64"/>
      <c r="Q648" s="64"/>
      <c r="R648" s="64"/>
      <c r="S648" s="64"/>
      <c r="T648" s="65"/>
      <c r="U648" s="64"/>
      <c r="V648" s="64"/>
      <c r="W648" s="64"/>
      <c r="X648" s="64"/>
      <c r="Y648" s="64"/>
      <c r="Z648" s="64"/>
      <c r="AA648" s="64"/>
      <c r="AB648" s="64"/>
      <c r="AC648" s="64"/>
      <c r="AD648" s="64"/>
      <c r="AE648" s="64"/>
      <c r="AF648" s="64"/>
      <c r="AG648" s="64"/>
    </row>
    <row r="649">
      <c r="A649" s="64"/>
      <c r="B649" s="64"/>
      <c r="C649" s="64"/>
      <c r="D649" s="64"/>
      <c r="E649" s="65"/>
      <c r="F649" s="64"/>
      <c r="G649" s="67"/>
      <c r="H649" s="64"/>
      <c r="I649" s="64"/>
      <c r="J649" s="64"/>
      <c r="K649" s="64"/>
      <c r="L649" s="65"/>
      <c r="M649" s="64"/>
      <c r="N649" s="64"/>
      <c r="O649" s="64"/>
      <c r="P649" s="64"/>
      <c r="Q649" s="64"/>
      <c r="R649" s="64"/>
      <c r="S649" s="64"/>
      <c r="T649" s="65"/>
      <c r="U649" s="64"/>
      <c r="V649" s="64"/>
      <c r="W649" s="64"/>
      <c r="X649" s="64"/>
      <c r="Y649" s="64"/>
      <c r="Z649" s="64"/>
      <c r="AA649" s="64"/>
      <c r="AB649" s="64"/>
      <c r="AC649" s="64"/>
      <c r="AD649" s="64"/>
      <c r="AE649" s="64"/>
      <c r="AF649" s="64"/>
      <c r="AG649" s="64"/>
    </row>
    <row r="650">
      <c r="A650" s="64"/>
      <c r="B650" s="64"/>
      <c r="C650" s="64"/>
      <c r="D650" s="64"/>
      <c r="E650" s="65"/>
      <c r="F650" s="64"/>
      <c r="G650" s="67"/>
      <c r="H650" s="64"/>
      <c r="I650" s="64"/>
      <c r="J650" s="64"/>
      <c r="K650" s="64"/>
      <c r="L650" s="65"/>
      <c r="M650" s="64"/>
      <c r="N650" s="64"/>
      <c r="O650" s="64"/>
      <c r="P650" s="64"/>
      <c r="Q650" s="64"/>
      <c r="R650" s="64"/>
      <c r="S650" s="64"/>
      <c r="T650" s="65"/>
      <c r="U650" s="64"/>
      <c r="V650" s="64"/>
      <c r="W650" s="64"/>
      <c r="X650" s="64"/>
      <c r="Y650" s="64"/>
      <c r="Z650" s="64"/>
      <c r="AA650" s="64"/>
      <c r="AB650" s="64"/>
      <c r="AC650" s="64"/>
      <c r="AD650" s="64"/>
      <c r="AE650" s="64"/>
      <c r="AF650" s="64"/>
      <c r="AG650" s="64"/>
    </row>
    <row r="651">
      <c r="A651" s="64"/>
      <c r="B651" s="64"/>
      <c r="C651" s="64"/>
      <c r="D651" s="64"/>
      <c r="E651" s="65"/>
      <c r="F651" s="64"/>
      <c r="G651" s="67"/>
      <c r="H651" s="64"/>
      <c r="I651" s="64"/>
      <c r="J651" s="64"/>
      <c r="K651" s="64"/>
      <c r="L651" s="65"/>
      <c r="M651" s="64"/>
      <c r="N651" s="64"/>
      <c r="O651" s="64"/>
      <c r="P651" s="64"/>
      <c r="Q651" s="64"/>
      <c r="R651" s="64"/>
      <c r="S651" s="64"/>
      <c r="T651" s="65"/>
      <c r="U651" s="64"/>
      <c r="V651" s="64"/>
      <c r="W651" s="64"/>
      <c r="X651" s="64"/>
      <c r="Y651" s="64"/>
      <c r="Z651" s="64"/>
      <c r="AA651" s="64"/>
      <c r="AB651" s="64"/>
      <c r="AC651" s="64"/>
      <c r="AD651" s="64"/>
      <c r="AE651" s="64"/>
      <c r="AF651" s="64"/>
      <c r="AG651" s="64"/>
    </row>
    <row r="652">
      <c r="A652" s="64"/>
      <c r="B652" s="64"/>
      <c r="C652" s="64"/>
      <c r="D652" s="64"/>
      <c r="E652" s="65"/>
      <c r="F652" s="64"/>
      <c r="G652" s="67"/>
      <c r="H652" s="64"/>
      <c r="I652" s="64"/>
      <c r="J652" s="64"/>
      <c r="K652" s="64"/>
      <c r="L652" s="65"/>
      <c r="M652" s="64"/>
      <c r="N652" s="64"/>
      <c r="O652" s="64"/>
      <c r="P652" s="64"/>
      <c r="Q652" s="64"/>
      <c r="R652" s="64"/>
      <c r="S652" s="64"/>
      <c r="T652" s="65"/>
      <c r="U652" s="64"/>
      <c r="V652" s="64"/>
      <c r="W652" s="64"/>
      <c r="X652" s="64"/>
      <c r="Y652" s="64"/>
      <c r="Z652" s="64"/>
      <c r="AA652" s="64"/>
      <c r="AB652" s="64"/>
      <c r="AC652" s="64"/>
      <c r="AD652" s="64"/>
      <c r="AE652" s="64"/>
      <c r="AF652" s="64"/>
      <c r="AG652" s="64"/>
    </row>
    <row r="653">
      <c r="A653" s="64"/>
      <c r="B653" s="64"/>
      <c r="C653" s="64"/>
      <c r="D653" s="64"/>
      <c r="E653" s="65"/>
      <c r="F653" s="64"/>
      <c r="G653" s="67"/>
      <c r="H653" s="64"/>
      <c r="I653" s="64"/>
      <c r="J653" s="64"/>
      <c r="K653" s="64"/>
      <c r="L653" s="65"/>
      <c r="M653" s="64"/>
      <c r="N653" s="64"/>
      <c r="O653" s="64"/>
      <c r="P653" s="64"/>
      <c r="Q653" s="64"/>
      <c r="R653" s="64"/>
      <c r="S653" s="64"/>
      <c r="T653" s="65"/>
      <c r="U653" s="64"/>
      <c r="V653" s="64"/>
      <c r="W653" s="64"/>
      <c r="X653" s="64"/>
      <c r="Y653" s="64"/>
      <c r="Z653" s="64"/>
      <c r="AA653" s="64"/>
      <c r="AB653" s="64"/>
      <c r="AC653" s="64"/>
      <c r="AD653" s="64"/>
      <c r="AE653" s="64"/>
      <c r="AF653" s="64"/>
      <c r="AG653" s="64"/>
    </row>
    <row r="654">
      <c r="A654" s="64"/>
      <c r="B654" s="64"/>
      <c r="C654" s="64"/>
      <c r="D654" s="64"/>
      <c r="E654" s="65"/>
      <c r="F654" s="64"/>
      <c r="G654" s="67"/>
      <c r="H654" s="64"/>
      <c r="I654" s="64"/>
      <c r="J654" s="64"/>
      <c r="K654" s="64"/>
      <c r="L654" s="65"/>
      <c r="M654" s="64"/>
      <c r="N654" s="64"/>
      <c r="O654" s="64"/>
      <c r="P654" s="64"/>
      <c r="Q654" s="64"/>
      <c r="R654" s="64"/>
      <c r="S654" s="64"/>
      <c r="T654" s="65"/>
      <c r="U654" s="64"/>
      <c r="V654" s="64"/>
      <c r="W654" s="64"/>
      <c r="X654" s="64"/>
      <c r="Y654" s="64"/>
      <c r="Z654" s="64"/>
      <c r="AA654" s="64"/>
      <c r="AB654" s="64"/>
      <c r="AC654" s="64"/>
      <c r="AD654" s="64"/>
      <c r="AE654" s="64"/>
      <c r="AF654" s="64"/>
      <c r="AG654" s="64"/>
    </row>
    <row r="655">
      <c r="A655" s="64"/>
      <c r="B655" s="64"/>
      <c r="C655" s="64"/>
      <c r="D655" s="64"/>
      <c r="E655" s="65"/>
      <c r="F655" s="64"/>
      <c r="G655" s="67"/>
      <c r="H655" s="64"/>
      <c r="I655" s="64"/>
      <c r="J655" s="64"/>
      <c r="K655" s="64"/>
      <c r="L655" s="65"/>
      <c r="M655" s="64"/>
      <c r="N655" s="64"/>
      <c r="O655" s="64"/>
      <c r="P655" s="64"/>
      <c r="Q655" s="64"/>
      <c r="R655" s="64"/>
      <c r="S655" s="64"/>
      <c r="T655" s="65"/>
      <c r="U655" s="64"/>
      <c r="V655" s="64"/>
      <c r="W655" s="64"/>
      <c r="X655" s="64"/>
      <c r="Y655" s="64"/>
      <c r="Z655" s="64"/>
      <c r="AA655" s="64"/>
      <c r="AB655" s="64"/>
      <c r="AC655" s="64"/>
      <c r="AD655" s="64"/>
      <c r="AE655" s="64"/>
      <c r="AF655" s="64"/>
      <c r="AG655" s="64"/>
    </row>
    <row r="656">
      <c r="A656" s="64"/>
      <c r="B656" s="64"/>
      <c r="C656" s="64"/>
      <c r="D656" s="64"/>
      <c r="E656" s="65"/>
      <c r="F656" s="64"/>
      <c r="G656" s="67"/>
      <c r="H656" s="64"/>
      <c r="I656" s="64"/>
      <c r="J656" s="64"/>
      <c r="K656" s="64"/>
      <c r="L656" s="65"/>
      <c r="M656" s="64"/>
      <c r="N656" s="64"/>
      <c r="O656" s="64"/>
      <c r="P656" s="64"/>
      <c r="Q656" s="64"/>
      <c r="R656" s="64"/>
      <c r="S656" s="64"/>
      <c r="T656" s="65"/>
      <c r="U656" s="64"/>
      <c r="V656" s="64"/>
      <c r="W656" s="64"/>
      <c r="X656" s="64"/>
      <c r="Y656" s="64"/>
      <c r="Z656" s="64"/>
      <c r="AA656" s="64"/>
      <c r="AB656" s="64"/>
      <c r="AC656" s="64"/>
      <c r="AD656" s="64"/>
      <c r="AE656" s="64"/>
      <c r="AF656" s="64"/>
      <c r="AG656" s="64"/>
    </row>
    <row r="657">
      <c r="A657" s="64"/>
      <c r="B657" s="64"/>
      <c r="C657" s="64"/>
      <c r="D657" s="64"/>
      <c r="E657" s="65"/>
      <c r="F657" s="64"/>
      <c r="G657" s="67"/>
      <c r="H657" s="64"/>
      <c r="I657" s="64"/>
      <c r="J657" s="64"/>
      <c r="K657" s="64"/>
      <c r="L657" s="65"/>
      <c r="M657" s="64"/>
      <c r="N657" s="64"/>
      <c r="O657" s="64"/>
      <c r="P657" s="64"/>
      <c r="Q657" s="64"/>
      <c r="R657" s="64"/>
      <c r="S657" s="64"/>
      <c r="T657" s="65"/>
      <c r="U657" s="64"/>
      <c r="V657" s="64"/>
      <c r="W657" s="64"/>
      <c r="X657" s="64"/>
      <c r="Y657" s="64"/>
      <c r="Z657" s="64"/>
      <c r="AA657" s="64"/>
      <c r="AB657" s="64"/>
      <c r="AC657" s="64"/>
      <c r="AD657" s="64"/>
      <c r="AE657" s="64"/>
      <c r="AF657" s="64"/>
      <c r="AG657" s="64"/>
    </row>
    <row r="658">
      <c r="A658" s="64"/>
      <c r="B658" s="64"/>
      <c r="C658" s="64"/>
      <c r="D658" s="64"/>
      <c r="E658" s="65"/>
      <c r="F658" s="64"/>
      <c r="G658" s="67"/>
      <c r="H658" s="64"/>
      <c r="I658" s="64"/>
      <c r="J658" s="64"/>
      <c r="K658" s="64"/>
      <c r="L658" s="65"/>
      <c r="M658" s="64"/>
      <c r="N658" s="64"/>
      <c r="O658" s="64"/>
      <c r="P658" s="64"/>
      <c r="Q658" s="64"/>
      <c r="R658" s="64"/>
      <c r="S658" s="64"/>
      <c r="T658" s="65"/>
      <c r="U658" s="64"/>
      <c r="V658" s="64"/>
      <c r="W658" s="64"/>
      <c r="X658" s="64"/>
      <c r="Y658" s="64"/>
      <c r="Z658" s="64"/>
      <c r="AA658" s="64"/>
      <c r="AB658" s="64"/>
      <c r="AC658" s="64"/>
      <c r="AD658" s="64"/>
      <c r="AE658" s="64"/>
      <c r="AF658" s="64"/>
      <c r="AG658" s="64"/>
    </row>
    <row r="659">
      <c r="A659" s="64"/>
      <c r="B659" s="64"/>
      <c r="C659" s="64"/>
      <c r="D659" s="64"/>
      <c r="E659" s="65"/>
      <c r="F659" s="64"/>
      <c r="G659" s="67"/>
      <c r="H659" s="64"/>
      <c r="I659" s="64"/>
      <c r="J659" s="64"/>
      <c r="K659" s="64"/>
      <c r="L659" s="65"/>
      <c r="M659" s="64"/>
      <c r="N659" s="64"/>
      <c r="O659" s="64"/>
      <c r="P659" s="64"/>
      <c r="Q659" s="64"/>
      <c r="R659" s="64"/>
      <c r="S659" s="64"/>
      <c r="T659" s="65"/>
      <c r="U659" s="64"/>
      <c r="V659" s="64"/>
      <c r="W659" s="64"/>
      <c r="X659" s="64"/>
      <c r="Y659" s="64"/>
      <c r="Z659" s="64"/>
      <c r="AA659" s="64"/>
      <c r="AB659" s="64"/>
      <c r="AC659" s="64"/>
      <c r="AD659" s="64"/>
      <c r="AE659" s="64"/>
      <c r="AF659" s="64"/>
      <c r="AG659" s="64"/>
    </row>
    <row r="660">
      <c r="A660" s="64"/>
      <c r="B660" s="64"/>
      <c r="C660" s="64"/>
      <c r="D660" s="64"/>
      <c r="E660" s="65"/>
      <c r="F660" s="64"/>
      <c r="G660" s="67"/>
      <c r="H660" s="64"/>
      <c r="I660" s="64"/>
      <c r="J660" s="64"/>
      <c r="K660" s="64"/>
      <c r="L660" s="65"/>
      <c r="M660" s="64"/>
      <c r="N660" s="64"/>
      <c r="O660" s="64"/>
      <c r="P660" s="64"/>
      <c r="Q660" s="64"/>
      <c r="R660" s="64"/>
      <c r="S660" s="64"/>
      <c r="T660" s="65"/>
      <c r="U660" s="64"/>
      <c r="V660" s="64"/>
      <c r="W660" s="64"/>
      <c r="X660" s="64"/>
      <c r="Y660" s="64"/>
      <c r="Z660" s="64"/>
      <c r="AA660" s="64"/>
      <c r="AB660" s="64"/>
      <c r="AC660" s="64"/>
      <c r="AD660" s="64"/>
      <c r="AE660" s="64"/>
      <c r="AF660" s="64"/>
      <c r="AG660" s="64"/>
    </row>
    <row r="661">
      <c r="A661" s="64"/>
      <c r="B661" s="64"/>
      <c r="C661" s="64"/>
      <c r="D661" s="64"/>
      <c r="E661" s="65"/>
      <c r="F661" s="64"/>
      <c r="G661" s="67"/>
      <c r="H661" s="64"/>
      <c r="I661" s="64"/>
      <c r="J661" s="64"/>
      <c r="K661" s="64"/>
      <c r="L661" s="65"/>
      <c r="M661" s="64"/>
      <c r="N661" s="64"/>
      <c r="O661" s="64"/>
      <c r="P661" s="64"/>
      <c r="Q661" s="64"/>
      <c r="R661" s="64"/>
      <c r="S661" s="64"/>
      <c r="T661" s="65"/>
      <c r="U661" s="64"/>
      <c r="V661" s="64"/>
      <c r="W661" s="64"/>
      <c r="X661" s="64"/>
      <c r="Y661" s="64"/>
      <c r="Z661" s="64"/>
      <c r="AA661" s="64"/>
      <c r="AB661" s="64"/>
      <c r="AC661" s="64"/>
      <c r="AD661" s="64"/>
      <c r="AE661" s="64"/>
      <c r="AF661" s="64"/>
      <c r="AG661" s="64"/>
    </row>
    <row r="662">
      <c r="A662" s="64"/>
      <c r="B662" s="64"/>
      <c r="C662" s="64"/>
      <c r="D662" s="64"/>
      <c r="E662" s="65"/>
      <c r="F662" s="64"/>
      <c r="G662" s="67"/>
      <c r="H662" s="64"/>
      <c r="I662" s="64"/>
      <c r="J662" s="64"/>
      <c r="K662" s="64"/>
      <c r="L662" s="65"/>
      <c r="M662" s="64"/>
      <c r="N662" s="64"/>
      <c r="O662" s="64"/>
      <c r="P662" s="64"/>
      <c r="Q662" s="64"/>
      <c r="R662" s="64"/>
      <c r="S662" s="64"/>
      <c r="T662" s="65"/>
      <c r="U662" s="64"/>
      <c r="V662" s="64"/>
      <c r="W662" s="64"/>
      <c r="X662" s="64"/>
      <c r="Y662" s="64"/>
      <c r="Z662" s="64"/>
      <c r="AA662" s="64"/>
      <c r="AB662" s="64"/>
      <c r="AC662" s="64"/>
      <c r="AD662" s="64"/>
      <c r="AE662" s="64"/>
      <c r="AF662" s="64"/>
      <c r="AG662" s="64"/>
    </row>
    <row r="663">
      <c r="A663" s="64"/>
      <c r="B663" s="64"/>
      <c r="C663" s="64"/>
      <c r="D663" s="64"/>
      <c r="E663" s="65"/>
      <c r="F663" s="64"/>
      <c r="G663" s="67"/>
      <c r="H663" s="64"/>
      <c r="I663" s="64"/>
      <c r="J663" s="64"/>
      <c r="K663" s="64"/>
      <c r="L663" s="65"/>
      <c r="M663" s="64"/>
      <c r="N663" s="64"/>
      <c r="O663" s="64"/>
      <c r="P663" s="64"/>
      <c r="Q663" s="64"/>
      <c r="R663" s="64"/>
      <c r="S663" s="64"/>
      <c r="T663" s="65"/>
      <c r="U663" s="64"/>
      <c r="V663" s="64"/>
      <c r="W663" s="64"/>
      <c r="X663" s="64"/>
      <c r="Y663" s="64"/>
      <c r="Z663" s="64"/>
      <c r="AA663" s="64"/>
      <c r="AB663" s="64"/>
      <c r="AC663" s="64"/>
      <c r="AD663" s="64"/>
      <c r="AE663" s="64"/>
      <c r="AF663" s="64"/>
      <c r="AG663" s="64"/>
    </row>
    <row r="664">
      <c r="A664" s="64"/>
      <c r="B664" s="64"/>
      <c r="C664" s="64"/>
      <c r="D664" s="64"/>
      <c r="E664" s="65"/>
      <c r="F664" s="64"/>
      <c r="G664" s="67"/>
      <c r="H664" s="64"/>
      <c r="I664" s="64"/>
      <c r="J664" s="64"/>
      <c r="K664" s="64"/>
      <c r="L664" s="65"/>
      <c r="M664" s="64"/>
      <c r="N664" s="64"/>
      <c r="O664" s="64"/>
      <c r="P664" s="64"/>
      <c r="Q664" s="64"/>
      <c r="R664" s="64"/>
      <c r="S664" s="64"/>
      <c r="T664" s="65"/>
      <c r="U664" s="64"/>
      <c r="V664" s="64"/>
      <c r="W664" s="64"/>
      <c r="X664" s="64"/>
      <c r="Y664" s="64"/>
      <c r="Z664" s="64"/>
      <c r="AA664" s="64"/>
      <c r="AB664" s="64"/>
      <c r="AC664" s="64"/>
      <c r="AD664" s="64"/>
      <c r="AE664" s="64"/>
      <c r="AF664" s="64"/>
      <c r="AG664" s="64"/>
    </row>
    <row r="665">
      <c r="A665" s="64"/>
      <c r="B665" s="64"/>
      <c r="C665" s="64"/>
      <c r="D665" s="64"/>
      <c r="E665" s="65"/>
      <c r="F665" s="64"/>
      <c r="G665" s="67"/>
      <c r="H665" s="64"/>
      <c r="I665" s="64"/>
      <c r="J665" s="64"/>
      <c r="K665" s="64"/>
      <c r="L665" s="65"/>
      <c r="M665" s="64"/>
      <c r="N665" s="64"/>
      <c r="O665" s="64"/>
      <c r="P665" s="64"/>
      <c r="Q665" s="64"/>
      <c r="R665" s="64"/>
      <c r="S665" s="64"/>
      <c r="T665" s="65"/>
      <c r="U665" s="64"/>
      <c r="V665" s="64"/>
      <c r="W665" s="64"/>
      <c r="X665" s="64"/>
      <c r="Y665" s="64"/>
      <c r="Z665" s="64"/>
      <c r="AA665" s="64"/>
      <c r="AB665" s="64"/>
      <c r="AC665" s="64"/>
      <c r="AD665" s="64"/>
      <c r="AE665" s="64"/>
      <c r="AF665" s="64"/>
      <c r="AG665" s="64"/>
    </row>
    <row r="666">
      <c r="A666" s="64"/>
      <c r="B666" s="64"/>
      <c r="C666" s="64"/>
      <c r="D666" s="64"/>
      <c r="E666" s="65"/>
      <c r="F666" s="64"/>
      <c r="G666" s="67"/>
      <c r="H666" s="64"/>
      <c r="I666" s="64"/>
      <c r="J666" s="64"/>
      <c r="K666" s="64"/>
      <c r="L666" s="65"/>
      <c r="M666" s="64"/>
      <c r="N666" s="64"/>
      <c r="O666" s="64"/>
      <c r="P666" s="64"/>
      <c r="Q666" s="64"/>
      <c r="R666" s="64"/>
      <c r="S666" s="64"/>
      <c r="T666" s="65"/>
      <c r="U666" s="64"/>
      <c r="V666" s="64"/>
      <c r="W666" s="64"/>
      <c r="X666" s="64"/>
      <c r="Y666" s="64"/>
      <c r="Z666" s="64"/>
      <c r="AA666" s="64"/>
      <c r="AB666" s="64"/>
      <c r="AC666" s="64"/>
      <c r="AD666" s="64"/>
      <c r="AE666" s="64"/>
      <c r="AF666" s="64"/>
      <c r="AG666" s="64"/>
    </row>
    <row r="667">
      <c r="A667" s="64"/>
      <c r="B667" s="64"/>
      <c r="C667" s="64"/>
      <c r="D667" s="64"/>
      <c r="E667" s="65"/>
      <c r="F667" s="64"/>
      <c r="G667" s="67"/>
      <c r="H667" s="64"/>
      <c r="I667" s="64"/>
      <c r="J667" s="64"/>
      <c r="K667" s="64"/>
      <c r="L667" s="65"/>
      <c r="M667" s="64"/>
      <c r="N667" s="64"/>
      <c r="O667" s="64"/>
      <c r="P667" s="64"/>
      <c r="Q667" s="64"/>
      <c r="R667" s="64"/>
      <c r="S667" s="64"/>
      <c r="T667" s="65"/>
      <c r="U667" s="64"/>
      <c r="V667" s="64"/>
      <c r="W667" s="64"/>
      <c r="X667" s="64"/>
      <c r="Y667" s="64"/>
      <c r="Z667" s="64"/>
      <c r="AA667" s="64"/>
      <c r="AB667" s="64"/>
      <c r="AC667" s="64"/>
      <c r="AD667" s="64"/>
      <c r="AE667" s="64"/>
      <c r="AF667" s="64"/>
      <c r="AG667" s="64"/>
    </row>
    <row r="668">
      <c r="A668" s="64"/>
      <c r="B668" s="64"/>
      <c r="C668" s="64"/>
      <c r="D668" s="64"/>
      <c r="E668" s="65"/>
      <c r="F668" s="64"/>
      <c r="G668" s="67"/>
      <c r="H668" s="64"/>
      <c r="I668" s="64"/>
      <c r="J668" s="64"/>
      <c r="K668" s="64"/>
      <c r="L668" s="65"/>
      <c r="M668" s="64"/>
      <c r="N668" s="64"/>
      <c r="O668" s="64"/>
      <c r="P668" s="64"/>
      <c r="Q668" s="64"/>
      <c r="R668" s="64"/>
      <c r="S668" s="64"/>
      <c r="T668" s="65"/>
      <c r="U668" s="64"/>
      <c r="V668" s="64"/>
      <c r="W668" s="64"/>
      <c r="X668" s="64"/>
      <c r="Y668" s="64"/>
      <c r="Z668" s="64"/>
      <c r="AA668" s="64"/>
      <c r="AB668" s="64"/>
      <c r="AC668" s="64"/>
      <c r="AD668" s="64"/>
      <c r="AE668" s="64"/>
      <c r="AF668" s="64"/>
      <c r="AG668" s="64"/>
    </row>
    <row r="669">
      <c r="A669" s="64"/>
      <c r="B669" s="64"/>
      <c r="C669" s="64"/>
      <c r="D669" s="64"/>
      <c r="E669" s="65"/>
      <c r="F669" s="64"/>
      <c r="G669" s="67"/>
      <c r="H669" s="64"/>
      <c r="I669" s="64"/>
      <c r="J669" s="64"/>
      <c r="K669" s="64"/>
      <c r="L669" s="65"/>
      <c r="M669" s="64"/>
      <c r="N669" s="64"/>
      <c r="O669" s="64"/>
      <c r="P669" s="64"/>
      <c r="Q669" s="64"/>
      <c r="R669" s="64"/>
      <c r="S669" s="64"/>
      <c r="T669" s="65"/>
      <c r="U669" s="64"/>
      <c r="V669" s="64"/>
      <c r="W669" s="64"/>
      <c r="X669" s="64"/>
      <c r="Y669" s="64"/>
      <c r="Z669" s="64"/>
      <c r="AA669" s="64"/>
      <c r="AB669" s="64"/>
      <c r="AC669" s="64"/>
      <c r="AD669" s="64"/>
      <c r="AE669" s="64"/>
      <c r="AF669" s="64"/>
      <c r="AG669" s="64"/>
    </row>
    <row r="670">
      <c r="A670" s="64"/>
      <c r="B670" s="64"/>
      <c r="C670" s="64"/>
      <c r="D670" s="64"/>
      <c r="E670" s="65"/>
      <c r="F670" s="64"/>
      <c r="G670" s="67"/>
      <c r="H670" s="64"/>
      <c r="I670" s="64"/>
      <c r="J670" s="64"/>
      <c r="K670" s="64"/>
      <c r="L670" s="65"/>
      <c r="M670" s="64"/>
      <c r="N670" s="64"/>
      <c r="O670" s="64"/>
      <c r="P670" s="64"/>
      <c r="Q670" s="64"/>
      <c r="R670" s="64"/>
      <c r="S670" s="64"/>
      <c r="T670" s="65"/>
      <c r="U670" s="64"/>
      <c r="V670" s="64"/>
      <c r="W670" s="64"/>
      <c r="X670" s="64"/>
      <c r="Y670" s="64"/>
      <c r="Z670" s="64"/>
      <c r="AA670" s="64"/>
      <c r="AB670" s="64"/>
      <c r="AC670" s="64"/>
      <c r="AD670" s="64"/>
      <c r="AE670" s="64"/>
      <c r="AF670" s="64"/>
      <c r="AG670" s="64"/>
    </row>
    <row r="671">
      <c r="A671" s="64"/>
      <c r="B671" s="64"/>
      <c r="C671" s="64"/>
      <c r="D671" s="64"/>
      <c r="E671" s="65"/>
      <c r="F671" s="64"/>
      <c r="G671" s="67"/>
      <c r="H671" s="64"/>
      <c r="I671" s="64"/>
      <c r="J671" s="64"/>
      <c r="K671" s="64"/>
      <c r="L671" s="65"/>
      <c r="M671" s="64"/>
      <c r="N671" s="64"/>
      <c r="O671" s="64"/>
      <c r="P671" s="64"/>
      <c r="Q671" s="64"/>
      <c r="R671" s="64"/>
      <c r="S671" s="64"/>
      <c r="T671" s="65"/>
      <c r="U671" s="64"/>
      <c r="V671" s="64"/>
      <c r="W671" s="64"/>
      <c r="X671" s="64"/>
      <c r="Y671" s="64"/>
      <c r="Z671" s="64"/>
      <c r="AA671" s="64"/>
      <c r="AB671" s="64"/>
      <c r="AC671" s="64"/>
      <c r="AD671" s="64"/>
      <c r="AE671" s="64"/>
      <c r="AF671" s="64"/>
      <c r="AG671" s="64"/>
    </row>
    <row r="672">
      <c r="A672" s="64"/>
      <c r="B672" s="64"/>
      <c r="C672" s="64"/>
      <c r="D672" s="64"/>
      <c r="E672" s="65"/>
      <c r="F672" s="64"/>
      <c r="G672" s="67"/>
      <c r="H672" s="64"/>
      <c r="I672" s="64"/>
      <c r="J672" s="64"/>
      <c r="K672" s="64"/>
      <c r="L672" s="65"/>
      <c r="M672" s="64"/>
      <c r="N672" s="64"/>
      <c r="O672" s="64"/>
      <c r="P672" s="64"/>
      <c r="Q672" s="64"/>
      <c r="R672" s="64"/>
      <c r="S672" s="64"/>
      <c r="T672" s="65"/>
      <c r="U672" s="64"/>
      <c r="V672" s="64"/>
      <c r="W672" s="64"/>
      <c r="X672" s="64"/>
      <c r="Y672" s="64"/>
      <c r="Z672" s="64"/>
      <c r="AA672" s="64"/>
      <c r="AB672" s="64"/>
      <c r="AC672" s="64"/>
      <c r="AD672" s="64"/>
      <c r="AE672" s="64"/>
      <c r="AF672" s="64"/>
      <c r="AG672" s="64"/>
    </row>
    <row r="673">
      <c r="A673" s="64"/>
      <c r="B673" s="64"/>
      <c r="C673" s="64"/>
      <c r="D673" s="64"/>
      <c r="E673" s="65"/>
      <c r="F673" s="64"/>
      <c r="G673" s="67"/>
      <c r="H673" s="64"/>
      <c r="I673" s="64"/>
      <c r="J673" s="64"/>
      <c r="K673" s="64"/>
      <c r="L673" s="65"/>
      <c r="M673" s="64"/>
      <c r="N673" s="64"/>
      <c r="O673" s="64"/>
      <c r="P673" s="64"/>
      <c r="Q673" s="64"/>
      <c r="R673" s="64"/>
      <c r="S673" s="64"/>
      <c r="T673" s="65"/>
      <c r="U673" s="64"/>
      <c r="V673" s="64"/>
      <c r="W673" s="64"/>
      <c r="X673" s="64"/>
      <c r="Y673" s="64"/>
      <c r="Z673" s="64"/>
      <c r="AA673" s="64"/>
      <c r="AB673" s="64"/>
      <c r="AC673" s="64"/>
      <c r="AD673" s="64"/>
      <c r="AE673" s="64"/>
      <c r="AF673" s="64"/>
      <c r="AG673" s="64"/>
    </row>
    <row r="674">
      <c r="A674" s="64"/>
      <c r="B674" s="64"/>
      <c r="C674" s="64"/>
      <c r="D674" s="64"/>
      <c r="E674" s="65"/>
      <c r="F674" s="64"/>
      <c r="G674" s="67"/>
      <c r="H674" s="64"/>
      <c r="I674" s="64"/>
      <c r="J674" s="64"/>
      <c r="K674" s="64"/>
      <c r="L674" s="65"/>
      <c r="M674" s="64"/>
      <c r="N674" s="64"/>
      <c r="O674" s="64"/>
      <c r="P674" s="64"/>
      <c r="Q674" s="64"/>
      <c r="R674" s="64"/>
      <c r="S674" s="64"/>
      <c r="T674" s="65"/>
      <c r="U674" s="64"/>
      <c r="V674" s="64"/>
      <c r="W674" s="64"/>
      <c r="X674" s="64"/>
      <c r="Y674" s="64"/>
      <c r="Z674" s="64"/>
      <c r="AA674" s="64"/>
      <c r="AB674" s="64"/>
      <c r="AC674" s="64"/>
      <c r="AD674" s="64"/>
      <c r="AE674" s="64"/>
      <c r="AF674" s="64"/>
      <c r="AG674" s="64"/>
    </row>
    <row r="675">
      <c r="A675" s="64"/>
      <c r="B675" s="64"/>
      <c r="C675" s="64"/>
      <c r="D675" s="64"/>
      <c r="E675" s="65"/>
      <c r="F675" s="64"/>
      <c r="G675" s="67"/>
      <c r="H675" s="64"/>
      <c r="I675" s="64"/>
      <c r="J675" s="64"/>
      <c r="K675" s="64"/>
      <c r="L675" s="65"/>
      <c r="M675" s="64"/>
      <c r="N675" s="64"/>
      <c r="O675" s="64"/>
      <c r="P675" s="64"/>
      <c r="Q675" s="64"/>
      <c r="R675" s="64"/>
      <c r="S675" s="64"/>
      <c r="T675" s="65"/>
      <c r="U675" s="64"/>
      <c r="V675" s="64"/>
      <c r="W675" s="64"/>
      <c r="X675" s="64"/>
      <c r="Y675" s="64"/>
      <c r="Z675" s="64"/>
      <c r="AA675" s="64"/>
      <c r="AB675" s="64"/>
      <c r="AC675" s="64"/>
      <c r="AD675" s="64"/>
      <c r="AE675" s="64"/>
      <c r="AF675" s="64"/>
      <c r="AG675" s="64"/>
    </row>
    <row r="676">
      <c r="A676" s="64"/>
      <c r="B676" s="64"/>
      <c r="C676" s="64"/>
      <c r="D676" s="64"/>
      <c r="E676" s="65"/>
      <c r="F676" s="64"/>
      <c r="G676" s="67"/>
      <c r="H676" s="64"/>
      <c r="I676" s="64"/>
      <c r="J676" s="64"/>
      <c r="K676" s="64"/>
      <c r="L676" s="65"/>
      <c r="M676" s="64"/>
      <c r="N676" s="64"/>
      <c r="O676" s="64"/>
      <c r="P676" s="64"/>
      <c r="Q676" s="64"/>
      <c r="R676" s="64"/>
      <c r="S676" s="64"/>
      <c r="T676" s="65"/>
      <c r="U676" s="64"/>
      <c r="V676" s="64"/>
      <c r="W676" s="64"/>
      <c r="X676" s="64"/>
      <c r="Y676" s="64"/>
      <c r="Z676" s="64"/>
      <c r="AA676" s="64"/>
      <c r="AB676" s="64"/>
      <c r="AC676" s="64"/>
      <c r="AD676" s="64"/>
      <c r="AE676" s="64"/>
      <c r="AF676" s="64"/>
      <c r="AG676" s="64"/>
    </row>
    <row r="677">
      <c r="A677" s="64"/>
      <c r="B677" s="64"/>
      <c r="C677" s="64"/>
      <c r="D677" s="64"/>
      <c r="E677" s="65"/>
      <c r="F677" s="64"/>
      <c r="G677" s="67"/>
      <c r="H677" s="64"/>
      <c r="I677" s="64"/>
      <c r="J677" s="64"/>
      <c r="K677" s="64"/>
      <c r="L677" s="65"/>
      <c r="M677" s="64"/>
      <c r="N677" s="64"/>
      <c r="O677" s="64"/>
      <c r="P677" s="64"/>
      <c r="Q677" s="64"/>
      <c r="R677" s="64"/>
      <c r="S677" s="64"/>
      <c r="T677" s="65"/>
      <c r="U677" s="64"/>
      <c r="V677" s="64"/>
      <c r="W677" s="64"/>
      <c r="X677" s="64"/>
      <c r="Y677" s="64"/>
      <c r="Z677" s="64"/>
      <c r="AA677" s="64"/>
      <c r="AB677" s="64"/>
      <c r="AC677" s="64"/>
      <c r="AD677" s="64"/>
      <c r="AE677" s="64"/>
      <c r="AF677" s="64"/>
      <c r="AG677" s="64"/>
    </row>
    <row r="678">
      <c r="A678" s="64"/>
      <c r="B678" s="64"/>
      <c r="C678" s="64"/>
      <c r="D678" s="64"/>
      <c r="E678" s="65"/>
      <c r="F678" s="64"/>
      <c r="G678" s="67"/>
      <c r="H678" s="64"/>
      <c r="I678" s="64"/>
      <c r="J678" s="64"/>
      <c r="K678" s="64"/>
      <c r="L678" s="65"/>
      <c r="M678" s="64"/>
      <c r="N678" s="64"/>
      <c r="O678" s="64"/>
      <c r="P678" s="64"/>
      <c r="Q678" s="64"/>
      <c r="R678" s="64"/>
      <c r="S678" s="64"/>
      <c r="T678" s="65"/>
      <c r="U678" s="64"/>
      <c r="V678" s="64"/>
      <c r="W678" s="64"/>
      <c r="X678" s="64"/>
      <c r="Y678" s="64"/>
      <c r="Z678" s="64"/>
      <c r="AA678" s="64"/>
      <c r="AB678" s="64"/>
      <c r="AC678" s="64"/>
      <c r="AD678" s="64"/>
      <c r="AE678" s="64"/>
      <c r="AF678" s="64"/>
      <c r="AG678" s="64"/>
    </row>
    <row r="679">
      <c r="A679" s="64"/>
      <c r="B679" s="64"/>
      <c r="C679" s="64"/>
      <c r="D679" s="64"/>
      <c r="E679" s="65"/>
      <c r="F679" s="64"/>
      <c r="G679" s="67"/>
      <c r="H679" s="64"/>
      <c r="I679" s="64"/>
      <c r="J679" s="64"/>
      <c r="K679" s="64"/>
      <c r="L679" s="65"/>
      <c r="M679" s="64"/>
      <c r="N679" s="64"/>
      <c r="O679" s="64"/>
      <c r="P679" s="64"/>
      <c r="Q679" s="64"/>
      <c r="R679" s="64"/>
      <c r="S679" s="64"/>
      <c r="T679" s="65"/>
      <c r="U679" s="64"/>
      <c r="V679" s="64"/>
      <c r="W679" s="64"/>
      <c r="X679" s="64"/>
      <c r="Y679" s="64"/>
      <c r="Z679" s="64"/>
      <c r="AA679" s="64"/>
      <c r="AB679" s="64"/>
      <c r="AC679" s="64"/>
      <c r="AD679" s="64"/>
      <c r="AE679" s="64"/>
      <c r="AF679" s="64"/>
      <c r="AG679" s="64"/>
    </row>
    <row r="680">
      <c r="A680" s="64"/>
      <c r="B680" s="64"/>
      <c r="C680" s="64"/>
      <c r="D680" s="64"/>
      <c r="E680" s="65"/>
      <c r="F680" s="64"/>
      <c r="G680" s="67"/>
      <c r="H680" s="64"/>
      <c r="I680" s="64"/>
      <c r="J680" s="64"/>
      <c r="K680" s="64"/>
      <c r="L680" s="65"/>
      <c r="M680" s="64"/>
      <c r="N680" s="64"/>
      <c r="O680" s="64"/>
      <c r="P680" s="64"/>
      <c r="Q680" s="64"/>
      <c r="R680" s="64"/>
      <c r="S680" s="64"/>
      <c r="T680" s="65"/>
      <c r="U680" s="64"/>
      <c r="V680" s="64"/>
      <c r="W680" s="64"/>
      <c r="X680" s="64"/>
      <c r="Y680" s="64"/>
      <c r="Z680" s="64"/>
      <c r="AA680" s="64"/>
      <c r="AB680" s="64"/>
      <c r="AC680" s="64"/>
      <c r="AD680" s="64"/>
      <c r="AE680" s="64"/>
      <c r="AF680" s="64"/>
      <c r="AG680" s="64"/>
    </row>
    <row r="681">
      <c r="A681" s="64"/>
      <c r="B681" s="64"/>
      <c r="C681" s="64"/>
      <c r="D681" s="64"/>
      <c r="E681" s="65"/>
      <c r="F681" s="64"/>
      <c r="G681" s="67"/>
      <c r="H681" s="64"/>
      <c r="I681" s="64"/>
      <c r="J681" s="64"/>
      <c r="K681" s="64"/>
      <c r="L681" s="65"/>
      <c r="M681" s="64"/>
      <c r="N681" s="64"/>
      <c r="O681" s="64"/>
      <c r="P681" s="64"/>
      <c r="Q681" s="64"/>
      <c r="R681" s="64"/>
      <c r="S681" s="64"/>
      <c r="T681" s="65"/>
      <c r="U681" s="64"/>
      <c r="V681" s="64"/>
      <c r="W681" s="64"/>
      <c r="X681" s="64"/>
      <c r="Y681" s="64"/>
      <c r="Z681" s="64"/>
      <c r="AA681" s="64"/>
      <c r="AB681" s="64"/>
      <c r="AC681" s="64"/>
      <c r="AD681" s="64"/>
      <c r="AE681" s="64"/>
      <c r="AF681" s="64"/>
      <c r="AG681" s="64"/>
    </row>
    <row r="682">
      <c r="A682" s="64"/>
      <c r="B682" s="64"/>
      <c r="C682" s="64"/>
      <c r="D682" s="64"/>
      <c r="E682" s="65"/>
      <c r="F682" s="64"/>
      <c r="G682" s="67"/>
      <c r="H682" s="64"/>
      <c r="I682" s="64"/>
      <c r="J682" s="64"/>
      <c r="K682" s="64"/>
      <c r="L682" s="65"/>
      <c r="M682" s="64"/>
      <c r="N682" s="64"/>
      <c r="O682" s="64"/>
      <c r="P682" s="64"/>
      <c r="Q682" s="64"/>
      <c r="R682" s="64"/>
      <c r="S682" s="64"/>
      <c r="T682" s="65"/>
      <c r="U682" s="64"/>
      <c r="V682" s="64"/>
      <c r="W682" s="64"/>
      <c r="X682" s="64"/>
      <c r="Y682" s="64"/>
      <c r="Z682" s="64"/>
      <c r="AA682" s="64"/>
      <c r="AB682" s="64"/>
      <c r="AC682" s="64"/>
      <c r="AD682" s="64"/>
      <c r="AE682" s="64"/>
      <c r="AF682" s="64"/>
      <c r="AG682" s="64"/>
    </row>
    <row r="683">
      <c r="A683" s="64"/>
      <c r="B683" s="64"/>
      <c r="C683" s="64"/>
      <c r="D683" s="64"/>
      <c r="E683" s="65"/>
      <c r="F683" s="64"/>
      <c r="G683" s="67"/>
      <c r="H683" s="64"/>
      <c r="I683" s="64"/>
      <c r="J683" s="64"/>
      <c r="K683" s="64"/>
      <c r="L683" s="65"/>
      <c r="M683" s="64"/>
      <c r="N683" s="64"/>
      <c r="O683" s="64"/>
      <c r="P683" s="64"/>
      <c r="Q683" s="64"/>
      <c r="R683" s="64"/>
      <c r="S683" s="64"/>
      <c r="T683" s="65"/>
      <c r="U683" s="64"/>
      <c r="V683" s="64"/>
      <c r="W683" s="64"/>
      <c r="X683" s="64"/>
      <c r="Y683" s="64"/>
      <c r="Z683" s="64"/>
      <c r="AA683" s="64"/>
      <c r="AB683" s="64"/>
      <c r="AC683" s="64"/>
      <c r="AD683" s="64"/>
      <c r="AE683" s="64"/>
      <c r="AF683" s="64"/>
      <c r="AG683" s="64"/>
    </row>
    <row r="684">
      <c r="A684" s="64"/>
      <c r="B684" s="64"/>
      <c r="C684" s="64"/>
      <c r="D684" s="64"/>
      <c r="E684" s="65"/>
      <c r="F684" s="64"/>
      <c r="G684" s="67"/>
      <c r="H684" s="64"/>
      <c r="I684" s="64"/>
      <c r="J684" s="64"/>
      <c r="K684" s="64"/>
      <c r="L684" s="65"/>
      <c r="M684" s="64"/>
      <c r="N684" s="64"/>
      <c r="O684" s="64"/>
      <c r="P684" s="64"/>
      <c r="Q684" s="64"/>
      <c r="R684" s="64"/>
      <c r="S684" s="64"/>
      <c r="T684" s="65"/>
      <c r="U684" s="64"/>
      <c r="V684" s="64"/>
      <c r="W684" s="64"/>
      <c r="X684" s="64"/>
      <c r="Y684" s="64"/>
      <c r="Z684" s="64"/>
      <c r="AA684" s="64"/>
      <c r="AB684" s="64"/>
      <c r="AC684" s="64"/>
      <c r="AD684" s="64"/>
      <c r="AE684" s="64"/>
      <c r="AF684" s="64"/>
      <c r="AG684" s="64"/>
    </row>
    <row r="685">
      <c r="A685" s="64"/>
      <c r="B685" s="64"/>
      <c r="C685" s="64"/>
      <c r="D685" s="64"/>
      <c r="E685" s="65"/>
      <c r="F685" s="64"/>
      <c r="G685" s="67"/>
      <c r="H685" s="64"/>
      <c r="I685" s="64"/>
      <c r="J685" s="64"/>
      <c r="K685" s="64"/>
      <c r="L685" s="65"/>
      <c r="M685" s="64"/>
      <c r="N685" s="64"/>
      <c r="O685" s="64"/>
      <c r="P685" s="64"/>
      <c r="Q685" s="64"/>
      <c r="R685" s="64"/>
      <c r="S685" s="64"/>
      <c r="T685" s="65"/>
      <c r="U685" s="64"/>
      <c r="V685" s="64"/>
      <c r="W685" s="64"/>
      <c r="X685" s="64"/>
      <c r="Y685" s="64"/>
      <c r="Z685" s="64"/>
      <c r="AA685" s="64"/>
      <c r="AB685" s="64"/>
      <c r="AC685" s="64"/>
      <c r="AD685" s="64"/>
      <c r="AE685" s="64"/>
      <c r="AF685" s="64"/>
      <c r="AG685" s="64"/>
    </row>
    <row r="686">
      <c r="A686" s="64"/>
      <c r="B686" s="64"/>
      <c r="C686" s="64"/>
      <c r="D686" s="64"/>
      <c r="E686" s="65"/>
      <c r="F686" s="64"/>
      <c r="G686" s="67"/>
      <c r="H686" s="64"/>
      <c r="I686" s="64"/>
      <c r="J686" s="64"/>
      <c r="K686" s="64"/>
      <c r="L686" s="65"/>
      <c r="M686" s="64"/>
      <c r="N686" s="64"/>
      <c r="O686" s="64"/>
      <c r="P686" s="64"/>
      <c r="Q686" s="64"/>
      <c r="R686" s="64"/>
      <c r="S686" s="64"/>
      <c r="T686" s="65"/>
      <c r="U686" s="64"/>
      <c r="V686" s="64"/>
      <c r="W686" s="64"/>
      <c r="X686" s="64"/>
      <c r="Y686" s="64"/>
      <c r="Z686" s="64"/>
      <c r="AA686" s="64"/>
      <c r="AB686" s="64"/>
      <c r="AC686" s="64"/>
      <c r="AD686" s="64"/>
      <c r="AE686" s="64"/>
      <c r="AF686" s="64"/>
      <c r="AG686" s="64"/>
    </row>
    <row r="687">
      <c r="A687" s="64"/>
      <c r="B687" s="64"/>
      <c r="C687" s="64"/>
      <c r="D687" s="64"/>
      <c r="E687" s="65"/>
      <c r="F687" s="64"/>
      <c r="G687" s="67"/>
      <c r="H687" s="64"/>
      <c r="I687" s="64"/>
      <c r="J687" s="64"/>
      <c r="K687" s="64"/>
      <c r="L687" s="65"/>
      <c r="M687" s="64"/>
      <c r="N687" s="64"/>
      <c r="O687" s="64"/>
      <c r="P687" s="64"/>
      <c r="Q687" s="64"/>
      <c r="R687" s="64"/>
      <c r="S687" s="64"/>
      <c r="T687" s="65"/>
      <c r="U687" s="64"/>
      <c r="V687" s="64"/>
      <c r="W687" s="64"/>
      <c r="X687" s="64"/>
      <c r="Y687" s="64"/>
      <c r="Z687" s="64"/>
      <c r="AA687" s="64"/>
      <c r="AB687" s="64"/>
      <c r="AC687" s="64"/>
      <c r="AD687" s="64"/>
      <c r="AE687" s="64"/>
      <c r="AF687" s="64"/>
      <c r="AG687" s="64"/>
    </row>
    <row r="688">
      <c r="A688" s="64"/>
      <c r="B688" s="64"/>
      <c r="C688" s="64"/>
      <c r="D688" s="64"/>
      <c r="E688" s="65"/>
      <c r="F688" s="64"/>
      <c r="G688" s="67"/>
      <c r="H688" s="64"/>
      <c r="I688" s="64"/>
      <c r="J688" s="64"/>
      <c r="K688" s="64"/>
      <c r="L688" s="65"/>
      <c r="M688" s="64"/>
      <c r="N688" s="64"/>
      <c r="O688" s="64"/>
      <c r="P688" s="64"/>
      <c r="Q688" s="64"/>
      <c r="R688" s="64"/>
      <c r="S688" s="64"/>
      <c r="T688" s="65"/>
      <c r="U688" s="64"/>
      <c r="V688" s="64"/>
      <c r="W688" s="64"/>
      <c r="X688" s="64"/>
      <c r="Y688" s="64"/>
      <c r="Z688" s="64"/>
      <c r="AA688" s="64"/>
      <c r="AB688" s="64"/>
      <c r="AC688" s="64"/>
      <c r="AD688" s="64"/>
      <c r="AE688" s="64"/>
      <c r="AF688" s="64"/>
      <c r="AG688" s="64"/>
    </row>
    <row r="689">
      <c r="A689" s="64"/>
      <c r="B689" s="64"/>
      <c r="C689" s="64"/>
      <c r="D689" s="64"/>
      <c r="E689" s="65"/>
      <c r="F689" s="64"/>
      <c r="G689" s="67"/>
      <c r="H689" s="64"/>
      <c r="I689" s="64"/>
      <c r="J689" s="64"/>
      <c r="K689" s="64"/>
      <c r="L689" s="65"/>
      <c r="M689" s="64"/>
      <c r="N689" s="64"/>
      <c r="O689" s="64"/>
      <c r="P689" s="64"/>
      <c r="Q689" s="64"/>
      <c r="R689" s="64"/>
      <c r="S689" s="64"/>
      <c r="T689" s="65"/>
      <c r="U689" s="64"/>
      <c r="V689" s="64"/>
      <c r="W689" s="64"/>
      <c r="X689" s="64"/>
      <c r="Y689" s="64"/>
      <c r="Z689" s="64"/>
      <c r="AA689" s="64"/>
      <c r="AB689" s="64"/>
      <c r="AC689" s="64"/>
      <c r="AD689" s="64"/>
      <c r="AE689" s="64"/>
      <c r="AF689" s="64"/>
      <c r="AG689" s="64"/>
    </row>
    <row r="690">
      <c r="A690" s="64"/>
      <c r="B690" s="64"/>
      <c r="C690" s="64"/>
      <c r="D690" s="64"/>
      <c r="E690" s="65"/>
      <c r="F690" s="64"/>
      <c r="G690" s="67"/>
      <c r="H690" s="64"/>
      <c r="I690" s="64"/>
      <c r="J690" s="64"/>
      <c r="K690" s="64"/>
      <c r="L690" s="65"/>
      <c r="M690" s="64"/>
      <c r="N690" s="64"/>
      <c r="O690" s="64"/>
      <c r="P690" s="64"/>
      <c r="Q690" s="64"/>
      <c r="R690" s="64"/>
      <c r="S690" s="64"/>
      <c r="T690" s="65"/>
      <c r="U690" s="64"/>
      <c r="V690" s="64"/>
      <c r="W690" s="64"/>
      <c r="X690" s="64"/>
      <c r="Y690" s="64"/>
      <c r="Z690" s="64"/>
      <c r="AA690" s="64"/>
      <c r="AB690" s="64"/>
      <c r="AC690" s="64"/>
      <c r="AD690" s="64"/>
      <c r="AE690" s="64"/>
      <c r="AF690" s="64"/>
      <c r="AG690" s="64"/>
    </row>
    <row r="691">
      <c r="A691" s="64"/>
      <c r="B691" s="64"/>
      <c r="C691" s="64"/>
      <c r="D691" s="64"/>
      <c r="E691" s="65"/>
      <c r="F691" s="64"/>
      <c r="G691" s="67"/>
      <c r="H691" s="64"/>
      <c r="I691" s="64"/>
      <c r="J691" s="64"/>
      <c r="K691" s="64"/>
      <c r="L691" s="65"/>
      <c r="M691" s="64"/>
      <c r="N691" s="64"/>
      <c r="O691" s="64"/>
      <c r="P691" s="64"/>
      <c r="Q691" s="64"/>
      <c r="R691" s="64"/>
      <c r="S691" s="64"/>
      <c r="T691" s="65"/>
      <c r="U691" s="64"/>
      <c r="V691" s="64"/>
      <c r="W691" s="64"/>
      <c r="X691" s="64"/>
      <c r="Y691" s="64"/>
      <c r="Z691" s="64"/>
      <c r="AA691" s="64"/>
      <c r="AB691" s="64"/>
      <c r="AC691" s="64"/>
      <c r="AD691" s="64"/>
      <c r="AE691" s="64"/>
      <c r="AF691" s="64"/>
      <c r="AG691" s="64"/>
    </row>
    <row r="692">
      <c r="A692" s="64"/>
      <c r="B692" s="64"/>
      <c r="C692" s="64"/>
      <c r="D692" s="64"/>
      <c r="E692" s="65"/>
      <c r="F692" s="64"/>
      <c r="G692" s="67"/>
      <c r="H692" s="64"/>
      <c r="I692" s="64"/>
      <c r="J692" s="64"/>
      <c r="K692" s="64"/>
      <c r="L692" s="65"/>
      <c r="M692" s="64"/>
      <c r="N692" s="64"/>
      <c r="O692" s="64"/>
      <c r="P692" s="64"/>
      <c r="Q692" s="64"/>
      <c r="R692" s="64"/>
      <c r="S692" s="64"/>
      <c r="T692" s="65"/>
      <c r="U692" s="64"/>
      <c r="V692" s="64"/>
      <c r="W692" s="64"/>
      <c r="X692" s="64"/>
      <c r="Y692" s="64"/>
      <c r="Z692" s="64"/>
      <c r="AA692" s="64"/>
      <c r="AB692" s="64"/>
      <c r="AC692" s="64"/>
      <c r="AD692" s="64"/>
      <c r="AE692" s="64"/>
      <c r="AF692" s="64"/>
      <c r="AG692" s="64"/>
    </row>
    <row r="693">
      <c r="A693" s="64"/>
      <c r="B693" s="64"/>
      <c r="C693" s="64"/>
      <c r="D693" s="64"/>
      <c r="E693" s="65"/>
      <c r="F693" s="64"/>
      <c r="G693" s="67"/>
      <c r="H693" s="64"/>
      <c r="I693" s="64"/>
      <c r="J693" s="64"/>
      <c r="K693" s="64"/>
      <c r="L693" s="65"/>
      <c r="M693" s="64"/>
      <c r="N693" s="64"/>
      <c r="O693" s="64"/>
      <c r="P693" s="64"/>
      <c r="Q693" s="64"/>
      <c r="R693" s="64"/>
      <c r="S693" s="64"/>
      <c r="T693" s="65"/>
      <c r="U693" s="64"/>
      <c r="V693" s="64"/>
      <c r="W693" s="64"/>
      <c r="X693" s="64"/>
      <c r="Y693" s="64"/>
      <c r="Z693" s="64"/>
      <c r="AA693" s="64"/>
      <c r="AB693" s="64"/>
      <c r="AC693" s="64"/>
      <c r="AD693" s="64"/>
      <c r="AE693" s="64"/>
      <c r="AF693" s="64"/>
      <c r="AG693" s="64"/>
    </row>
    <row r="694">
      <c r="A694" s="64"/>
      <c r="B694" s="64"/>
      <c r="C694" s="64"/>
      <c r="D694" s="64"/>
      <c r="E694" s="65"/>
      <c r="F694" s="64"/>
      <c r="G694" s="67"/>
      <c r="H694" s="64"/>
      <c r="I694" s="64"/>
      <c r="J694" s="64"/>
      <c r="K694" s="64"/>
      <c r="L694" s="65"/>
      <c r="M694" s="64"/>
      <c r="N694" s="64"/>
      <c r="O694" s="64"/>
      <c r="P694" s="64"/>
      <c r="Q694" s="64"/>
      <c r="R694" s="64"/>
      <c r="S694" s="64"/>
      <c r="T694" s="65"/>
      <c r="U694" s="64"/>
      <c r="V694" s="64"/>
      <c r="W694" s="64"/>
      <c r="X694" s="64"/>
      <c r="Y694" s="64"/>
      <c r="Z694" s="64"/>
      <c r="AA694" s="64"/>
      <c r="AB694" s="64"/>
      <c r="AC694" s="64"/>
      <c r="AD694" s="64"/>
      <c r="AE694" s="64"/>
      <c r="AF694" s="64"/>
      <c r="AG694" s="64"/>
    </row>
    <row r="695">
      <c r="A695" s="64"/>
      <c r="B695" s="64"/>
      <c r="C695" s="64"/>
      <c r="D695" s="64"/>
      <c r="E695" s="65"/>
      <c r="F695" s="64"/>
      <c r="G695" s="67"/>
      <c r="H695" s="64"/>
      <c r="I695" s="64"/>
      <c r="J695" s="64"/>
      <c r="K695" s="64"/>
      <c r="L695" s="65"/>
      <c r="M695" s="64"/>
      <c r="N695" s="64"/>
      <c r="O695" s="64"/>
      <c r="P695" s="64"/>
      <c r="Q695" s="64"/>
      <c r="R695" s="64"/>
      <c r="S695" s="64"/>
      <c r="T695" s="65"/>
      <c r="U695" s="64"/>
      <c r="V695" s="64"/>
      <c r="W695" s="64"/>
      <c r="X695" s="64"/>
      <c r="Y695" s="64"/>
      <c r="Z695" s="64"/>
      <c r="AA695" s="64"/>
      <c r="AB695" s="64"/>
      <c r="AC695" s="64"/>
      <c r="AD695" s="64"/>
      <c r="AE695" s="64"/>
      <c r="AF695" s="64"/>
      <c r="AG695" s="64"/>
    </row>
    <row r="696">
      <c r="A696" s="64"/>
      <c r="B696" s="64"/>
      <c r="C696" s="64"/>
      <c r="D696" s="64"/>
      <c r="E696" s="65"/>
      <c r="F696" s="64"/>
      <c r="G696" s="67"/>
      <c r="H696" s="64"/>
      <c r="I696" s="64"/>
      <c r="J696" s="64"/>
      <c r="K696" s="64"/>
      <c r="L696" s="65"/>
      <c r="M696" s="64"/>
      <c r="N696" s="64"/>
      <c r="O696" s="64"/>
      <c r="P696" s="64"/>
      <c r="Q696" s="64"/>
      <c r="R696" s="64"/>
      <c r="S696" s="64"/>
      <c r="T696" s="65"/>
      <c r="U696" s="64"/>
      <c r="V696" s="64"/>
      <c r="W696" s="64"/>
      <c r="X696" s="64"/>
      <c r="Y696" s="64"/>
      <c r="Z696" s="64"/>
      <c r="AA696" s="64"/>
      <c r="AB696" s="64"/>
      <c r="AC696" s="64"/>
      <c r="AD696" s="64"/>
      <c r="AE696" s="64"/>
      <c r="AF696" s="64"/>
      <c r="AG696" s="64"/>
    </row>
    <row r="697">
      <c r="A697" s="64"/>
      <c r="B697" s="64"/>
      <c r="C697" s="64"/>
      <c r="D697" s="64"/>
      <c r="E697" s="65"/>
      <c r="F697" s="64"/>
      <c r="G697" s="67"/>
      <c r="H697" s="64"/>
      <c r="I697" s="64"/>
      <c r="J697" s="64"/>
      <c r="K697" s="64"/>
      <c r="L697" s="65"/>
      <c r="M697" s="64"/>
      <c r="N697" s="64"/>
      <c r="O697" s="64"/>
      <c r="P697" s="64"/>
      <c r="Q697" s="64"/>
      <c r="R697" s="64"/>
      <c r="S697" s="64"/>
      <c r="T697" s="65"/>
      <c r="U697" s="64"/>
      <c r="V697" s="64"/>
      <c r="W697" s="64"/>
      <c r="X697" s="64"/>
      <c r="Y697" s="64"/>
      <c r="Z697" s="64"/>
      <c r="AA697" s="64"/>
      <c r="AB697" s="64"/>
      <c r="AC697" s="64"/>
      <c r="AD697" s="64"/>
      <c r="AE697" s="64"/>
      <c r="AF697" s="64"/>
      <c r="AG697" s="64"/>
    </row>
    <row r="698">
      <c r="A698" s="64"/>
      <c r="B698" s="64"/>
      <c r="C698" s="64"/>
      <c r="D698" s="64"/>
      <c r="E698" s="65"/>
      <c r="F698" s="64"/>
      <c r="G698" s="67"/>
      <c r="H698" s="64"/>
      <c r="I698" s="64"/>
      <c r="J698" s="64"/>
      <c r="K698" s="64"/>
      <c r="L698" s="65"/>
      <c r="M698" s="64"/>
      <c r="N698" s="64"/>
      <c r="O698" s="64"/>
      <c r="P698" s="64"/>
      <c r="Q698" s="64"/>
      <c r="R698" s="64"/>
      <c r="S698" s="64"/>
      <c r="T698" s="65"/>
      <c r="U698" s="64"/>
      <c r="V698" s="64"/>
      <c r="W698" s="64"/>
      <c r="X698" s="64"/>
      <c r="Y698" s="64"/>
      <c r="Z698" s="64"/>
      <c r="AA698" s="64"/>
      <c r="AB698" s="64"/>
      <c r="AC698" s="64"/>
      <c r="AD698" s="64"/>
      <c r="AE698" s="64"/>
      <c r="AF698" s="64"/>
      <c r="AG698" s="64"/>
    </row>
    <row r="699">
      <c r="A699" s="64"/>
      <c r="B699" s="64"/>
      <c r="C699" s="64"/>
      <c r="D699" s="64"/>
      <c r="E699" s="65"/>
      <c r="F699" s="64"/>
      <c r="G699" s="67"/>
      <c r="H699" s="64"/>
      <c r="I699" s="64"/>
      <c r="J699" s="64"/>
      <c r="K699" s="64"/>
      <c r="L699" s="65"/>
      <c r="M699" s="64"/>
      <c r="N699" s="64"/>
      <c r="O699" s="64"/>
      <c r="P699" s="64"/>
      <c r="Q699" s="64"/>
      <c r="R699" s="64"/>
      <c r="S699" s="64"/>
      <c r="T699" s="65"/>
      <c r="U699" s="64"/>
      <c r="V699" s="64"/>
      <c r="W699" s="64"/>
      <c r="X699" s="64"/>
      <c r="Y699" s="64"/>
      <c r="Z699" s="64"/>
      <c r="AA699" s="64"/>
      <c r="AB699" s="64"/>
      <c r="AC699" s="64"/>
      <c r="AD699" s="64"/>
      <c r="AE699" s="64"/>
      <c r="AF699" s="64"/>
      <c r="AG699" s="64"/>
    </row>
    <row r="700">
      <c r="A700" s="64"/>
      <c r="B700" s="64"/>
      <c r="C700" s="64"/>
      <c r="D700" s="64"/>
      <c r="E700" s="65"/>
      <c r="F700" s="64"/>
      <c r="G700" s="67"/>
      <c r="H700" s="64"/>
      <c r="I700" s="64"/>
      <c r="J700" s="64"/>
      <c r="K700" s="64"/>
      <c r="L700" s="65"/>
      <c r="M700" s="64"/>
      <c r="N700" s="64"/>
      <c r="O700" s="64"/>
      <c r="P700" s="64"/>
      <c r="Q700" s="64"/>
      <c r="R700" s="64"/>
      <c r="S700" s="64"/>
      <c r="T700" s="65"/>
      <c r="U700" s="64"/>
      <c r="V700" s="64"/>
      <c r="W700" s="64"/>
      <c r="X700" s="64"/>
      <c r="Y700" s="64"/>
      <c r="Z700" s="64"/>
      <c r="AA700" s="64"/>
      <c r="AB700" s="64"/>
      <c r="AC700" s="64"/>
      <c r="AD700" s="64"/>
      <c r="AE700" s="64"/>
      <c r="AF700" s="64"/>
      <c r="AG700" s="64"/>
    </row>
    <row r="701">
      <c r="A701" s="64"/>
      <c r="B701" s="64"/>
      <c r="C701" s="64"/>
      <c r="D701" s="64"/>
      <c r="E701" s="65"/>
      <c r="F701" s="64"/>
      <c r="G701" s="67"/>
      <c r="H701" s="64"/>
      <c r="I701" s="64"/>
      <c r="J701" s="64"/>
      <c r="K701" s="64"/>
      <c r="L701" s="65"/>
      <c r="M701" s="64"/>
      <c r="N701" s="64"/>
      <c r="O701" s="64"/>
      <c r="P701" s="64"/>
      <c r="Q701" s="64"/>
      <c r="R701" s="64"/>
      <c r="S701" s="64"/>
      <c r="T701" s="65"/>
      <c r="U701" s="64"/>
      <c r="V701" s="64"/>
      <c r="W701" s="64"/>
      <c r="X701" s="64"/>
      <c r="Y701" s="64"/>
      <c r="Z701" s="64"/>
      <c r="AA701" s="64"/>
      <c r="AB701" s="64"/>
      <c r="AC701" s="64"/>
      <c r="AD701" s="64"/>
      <c r="AE701" s="64"/>
      <c r="AF701" s="64"/>
      <c r="AG701" s="64"/>
    </row>
    <row r="702">
      <c r="A702" s="64"/>
      <c r="B702" s="64"/>
      <c r="C702" s="64"/>
      <c r="D702" s="64"/>
      <c r="E702" s="65"/>
      <c r="F702" s="64"/>
      <c r="G702" s="67"/>
      <c r="H702" s="64"/>
      <c r="I702" s="64"/>
      <c r="J702" s="64"/>
      <c r="K702" s="64"/>
      <c r="L702" s="65"/>
      <c r="M702" s="64"/>
      <c r="N702" s="64"/>
      <c r="O702" s="64"/>
      <c r="P702" s="64"/>
      <c r="Q702" s="64"/>
      <c r="R702" s="64"/>
      <c r="S702" s="64"/>
      <c r="T702" s="65"/>
      <c r="U702" s="64"/>
      <c r="V702" s="64"/>
      <c r="W702" s="64"/>
      <c r="X702" s="64"/>
      <c r="Y702" s="64"/>
      <c r="Z702" s="64"/>
      <c r="AA702" s="64"/>
      <c r="AB702" s="64"/>
      <c r="AC702" s="64"/>
      <c r="AD702" s="64"/>
      <c r="AE702" s="64"/>
      <c r="AF702" s="64"/>
      <c r="AG702" s="64"/>
    </row>
    <row r="703">
      <c r="A703" s="64"/>
      <c r="B703" s="64"/>
      <c r="C703" s="64"/>
      <c r="D703" s="64"/>
      <c r="E703" s="65"/>
      <c r="F703" s="64"/>
      <c r="G703" s="67"/>
      <c r="H703" s="64"/>
      <c r="I703" s="64"/>
      <c r="J703" s="64"/>
      <c r="K703" s="64"/>
      <c r="L703" s="65"/>
      <c r="M703" s="64"/>
      <c r="N703" s="64"/>
      <c r="O703" s="64"/>
      <c r="P703" s="64"/>
      <c r="Q703" s="64"/>
      <c r="R703" s="64"/>
      <c r="S703" s="64"/>
      <c r="T703" s="65"/>
      <c r="U703" s="64"/>
      <c r="V703" s="64"/>
      <c r="W703" s="64"/>
      <c r="X703" s="64"/>
      <c r="Y703" s="64"/>
      <c r="Z703" s="64"/>
      <c r="AA703" s="64"/>
      <c r="AB703" s="64"/>
      <c r="AC703" s="64"/>
      <c r="AD703" s="64"/>
      <c r="AE703" s="64"/>
      <c r="AF703" s="64"/>
      <c r="AG703" s="64"/>
    </row>
    <row r="704">
      <c r="A704" s="64"/>
      <c r="B704" s="64"/>
      <c r="C704" s="64"/>
      <c r="D704" s="64"/>
      <c r="E704" s="65"/>
      <c r="F704" s="64"/>
      <c r="G704" s="67"/>
      <c r="H704" s="64"/>
      <c r="I704" s="64"/>
      <c r="J704" s="64"/>
      <c r="K704" s="64"/>
      <c r="L704" s="65"/>
      <c r="M704" s="64"/>
      <c r="N704" s="64"/>
      <c r="O704" s="64"/>
      <c r="P704" s="64"/>
      <c r="Q704" s="64"/>
      <c r="R704" s="64"/>
      <c r="S704" s="64"/>
      <c r="T704" s="65"/>
      <c r="U704" s="64"/>
      <c r="V704" s="64"/>
      <c r="W704" s="64"/>
      <c r="X704" s="64"/>
      <c r="Y704" s="64"/>
      <c r="Z704" s="64"/>
      <c r="AA704" s="64"/>
      <c r="AB704" s="64"/>
      <c r="AC704" s="64"/>
      <c r="AD704" s="64"/>
      <c r="AE704" s="64"/>
      <c r="AF704" s="64"/>
      <c r="AG704" s="64"/>
    </row>
    <row r="705">
      <c r="A705" s="64"/>
      <c r="B705" s="64"/>
      <c r="C705" s="64"/>
      <c r="D705" s="64"/>
      <c r="E705" s="65"/>
      <c r="F705" s="64"/>
      <c r="G705" s="67"/>
      <c r="H705" s="64"/>
      <c r="I705" s="64"/>
      <c r="J705" s="64"/>
      <c r="K705" s="64"/>
      <c r="L705" s="65"/>
      <c r="M705" s="64"/>
      <c r="N705" s="64"/>
      <c r="O705" s="64"/>
      <c r="P705" s="64"/>
      <c r="Q705" s="64"/>
      <c r="R705" s="64"/>
      <c r="S705" s="64"/>
      <c r="T705" s="65"/>
      <c r="U705" s="64"/>
      <c r="V705" s="64"/>
      <c r="W705" s="64"/>
      <c r="X705" s="64"/>
      <c r="Y705" s="64"/>
      <c r="Z705" s="64"/>
      <c r="AA705" s="64"/>
      <c r="AB705" s="64"/>
      <c r="AC705" s="64"/>
      <c r="AD705" s="64"/>
      <c r="AE705" s="64"/>
      <c r="AF705" s="64"/>
      <c r="AG705" s="64"/>
    </row>
    <row r="706">
      <c r="A706" s="64"/>
      <c r="B706" s="64"/>
      <c r="C706" s="64"/>
      <c r="D706" s="64"/>
      <c r="E706" s="65"/>
      <c r="F706" s="64"/>
      <c r="G706" s="67"/>
      <c r="H706" s="64"/>
      <c r="I706" s="64"/>
      <c r="J706" s="64"/>
      <c r="K706" s="64"/>
      <c r="L706" s="65"/>
      <c r="M706" s="64"/>
      <c r="N706" s="64"/>
      <c r="O706" s="64"/>
      <c r="P706" s="64"/>
      <c r="Q706" s="64"/>
      <c r="R706" s="64"/>
      <c r="S706" s="64"/>
      <c r="T706" s="65"/>
      <c r="U706" s="64"/>
      <c r="V706" s="64"/>
      <c r="W706" s="64"/>
      <c r="X706" s="64"/>
      <c r="Y706" s="64"/>
      <c r="Z706" s="64"/>
      <c r="AA706" s="64"/>
      <c r="AB706" s="64"/>
      <c r="AC706" s="64"/>
      <c r="AD706" s="64"/>
      <c r="AE706" s="64"/>
      <c r="AF706" s="64"/>
      <c r="AG706" s="64"/>
    </row>
    <row r="707">
      <c r="A707" s="64"/>
      <c r="B707" s="64"/>
      <c r="C707" s="64"/>
      <c r="D707" s="64"/>
      <c r="E707" s="65"/>
      <c r="F707" s="64"/>
      <c r="G707" s="67"/>
      <c r="H707" s="64"/>
      <c r="I707" s="64"/>
      <c r="J707" s="64"/>
      <c r="K707" s="64"/>
      <c r="L707" s="65"/>
      <c r="M707" s="64"/>
      <c r="N707" s="64"/>
      <c r="O707" s="64"/>
      <c r="P707" s="64"/>
      <c r="Q707" s="64"/>
      <c r="R707" s="64"/>
      <c r="S707" s="64"/>
      <c r="T707" s="65"/>
      <c r="U707" s="64"/>
      <c r="V707" s="64"/>
      <c r="W707" s="64"/>
      <c r="X707" s="64"/>
      <c r="Y707" s="64"/>
      <c r="Z707" s="64"/>
      <c r="AA707" s="64"/>
      <c r="AB707" s="64"/>
      <c r="AC707" s="64"/>
      <c r="AD707" s="64"/>
      <c r="AE707" s="64"/>
      <c r="AF707" s="64"/>
      <c r="AG707" s="64"/>
    </row>
    <row r="708">
      <c r="A708" s="64"/>
      <c r="B708" s="64"/>
      <c r="C708" s="64"/>
      <c r="D708" s="64"/>
      <c r="E708" s="65"/>
      <c r="F708" s="64"/>
      <c r="G708" s="67"/>
      <c r="H708" s="64"/>
      <c r="I708" s="64"/>
      <c r="J708" s="64"/>
      <c r="K708" s="64"/>
      <c r="L708" s="65"/>
      <c r="M708" s="64"/>
      <c r="N708" s="64"/>
      <c r="O708" s="64"/>
      <c r="P708" s="64"/>
      <c r="Q708" s="64"/>
      <c r="R708" s="64"/>
      <c r="S708" s="64"/>
      <c r="T708" s="65"/>
      <c r="U708" s="64"/>
      <c r="V708" s="64"/>
      <c r="W708" s="64"/>
      <c r="X708" s="64"/>
      <c r="Y708" s="64"/>
      <c r="Z708" s="64"/>
      <c r="AA708" s="64"/>
      <c r="AB708" s="64"/>
      <c r="AC708" s="64"/>
      <c r="AD708" s="64"/>
      <c r="AE708" s="64"/>
      <c r="AF708" s="64"/>
      <c r="AG708" s="64"/>
    </row>
    <row r="709">
      <c r="A709" s="64"/>
      <c r="B709" s="64"/>
      <c r="C709" s="64"/>
      <c r="D709" s="64"/>
      <c r="E709" s="65"/>
      <c r="F709" s="64"/>
      <c r="G709" s="67"/>
      <c r="H709" s="64"/>
      <c r="I709" s="64"/>
      <c r="J709" s="64"/>
      <c r="K709" s="64"/>
      <c r="L709" s="65"/>
      <c r="M709" s="64"/>
      <c r="N709" s="64"/>
      <c r="O709" s="64"/>
      <c r="P709" s="64"/>
      <c r="Q709" s="64"/>
      <c r="R709" s="64"/>
      <c r="S709" s="64"/>
      <c r="T709" s="65"/>
      <c r="U709" s="64"/>
      <c r="V709" s="64"/>
      <c r="W709" s="64"/>
      <c r="X709" s="64"/>
      <c r="Y709" s="64"/>
      <c r="Z709" s="64"/>
      <c r="AA709" s="64"/>
      <c r="AB709" s="64"/>
      <c r="AC709" s="64"/>
      <c r="AD709" s="64"/>
      <c r="AE709" s="64"/>
      <c r="AF709" s="64"/>
      <c r="AG709" s="64"/>
    </row>
    <row r="710">
      <c r="A710" s="64"/>
      <c r="B710" s="64"/>
      <c r="C710" s="64"/>
      <c r="D710" s="64"/>
      <c r="E710" s="65"/>
      <c r="F710" s="64"/>
      <c r="G710" s="67"/>
      <c r="H710" s="64"/>
      <c r="I710" s="64"/>
      <c r="J710" s="64"/>
      <c r="K710" s="64"/>
      <c r="L710" s="65"/>
      <c r="M710" s="64"/>
      <c r="N710" s="64"/>
      <c r="O710" s="64"/>
      <c r="P710" s="64"/>
      <c r="Q710" s="64"/>
      <c r="R710" s="64"/>
      <c r="S710" s="64"/>
      <c r="T710" s="65"/>
      <c r="U710" s="64"/>
      <c r="V710" s="64"/>
      <c r="W710" s="64"/>
      <c r="X710" s="64"/>
      <c r="Y710" s="64"/>
      <c r="Z710" s="64"/>
      <c r="AA710" s="64"/>
      <c r="AB710" s="64"/>
      <c r="AC710" s="64"/>
      <c r="AD710" s="64"/>
      <c r="AE710" s="64"/>
      <c r="AF710" s="64"/>
      <c r="AG710" s="64"/>
    </row>
    <row r="711">
      <c r="A711" s="64"/>
      <c r="B711" s="64"/>
      <c r="C711" s="64"/>
      <c r="D711" s="64"/>
      <c r="E711" s="65"/>
      <c r="F711" s="64"/>
      <c r="G711" s="67"/>
      <c r="H711" s="64"/>
      <c r="I711" s="64"/>
      <c r="J711" s="64"/>
      <c r="K711" s="64"/>
      <c r="L711" s="65"/>
      <c r="M711" s="64"/>
      <c r="N711" s="64"/>
      <c r="O711" s="64"/>
      <c r="P711" s="64"/>
      <c r="Q711" s="64"/>
      <c r="R711" s="64"/>
      <c r="S711" s="64"/>
      <c r="T711" s="65"/>
      <c r="U711" s="64"/>
      <c r="V711" s="64"/>
      <c r="W711" s="64"/>
      <c r="X711" s="64"/>
      <c r="Y711" s="64"/>
      <c r="Z711" s="64"/>
      <c r="AA711" s="64"/>
      <c r="AB711" s="64"/>
      <c r="AC711" s="64"/>
      <c r="AD711" s="64"/>
      <c r="AE711" s="64"/>
      <c r="AF711" s="64"/>
      <c r="AG711" s="64"/>
    </row>
    <row r="712">
      <c r="A712" s="64"/>
      <c r="B712" s="64"/>
      <c r="C712" s="64"/>
      <c r="D712" s="64"/>
      <c r="E712" s="65"/>
      <c r="F712" s="64"/>
      <c r="G712" s="67"/>
      <c r="H712" s="64"/>
      <c r="I712" s="64"/>
      <c r="J712" s="64"/>
      <c r="K712" s="64"/>
      <c r="L712" s="65"/>
      <c r="M712" s="64"/>
      <c r="N712" s="64"/>
      <c r="O712" s="64"/>
      <c r="P712" s="64"/>
      <c r="Q712" s="64"/>
      <c r="R712" s="64"/>
      <c r="S712" s="64"/>
      <c r="T712" s="65"/>
      <c r="U712" s="64"/>
      <c r="V712" s="64"/>
      <c r="W712" s="64"/>
      <c r="X712" s="64"/>
      <c r="Y712" s="64"/>
      <c r="Z712" s="64"/>
      <c r="AA712" s="64"/>
      <c r="AB712" s="64"/>
      <c r="AC712" s="64"/>
      <c r="AD712" s="64"/>
      <c r="AE712" s="64"/>
      <c r="AF712" s="64"/>
      <c r="AG712" s="64"/>
    </row>
    <row r="713">
      <c r="A713" s="64"/>
      <c r="B713" s="64"/>
      <c r="C713" s="64"/>
      <c r="D713" s="64"/>
      <c r="E713" s="65"/>
      <c r="F713" s="64"/>
      <c r="G713" s="67"/>
      <c r="H713" s="64"/>
      <c r="I713" s="64"/>
      <c r="J713" s="64"/>
      <c r="K713" s="64"/>
      <c r="L713" s="65"/>
      <c r="M713" s="64"/>
      <c r="N713" s="64"/>
      <c r="O713" s="64"/>
      <c r="P713" s="64"/>
      <c r="Q713" s="64"/>
      <c r="R713" s="64"/>
      <c r="S713" s="64"/>
      <c r="T713" s="65"/>
      <c r="U713" s="64"/>
      <c r="V713" s="64"/>
      <c r="W713" s="64"/>
      <c r="X713" s="64"/>
      <c r="Y713" s="64"/>
      <c r="Z713" s="64"/>
      <c r="AA713" s="64"/>
      <c r="AB713" s="64"/>
      <c r="AC713" s="64"/>
      <c r="AD713" s="64"/>
      <c r="AE713" s="64"/>
      <c r="AF713" s="64"/>
      <c r="AG713" s="64"/>
    </row>
    <row r="714">
      <c r="A714" s="64"/>
      <c r="B714" s="64"/>
      <c r="C714" s="64"/>
      <c r="D714" s="64"/>
      <c r="E714" s="65"/>
      <c r="F714" s="64"/>
      <c r="G714" s="67"/>
      <c r="H714" s="64"/>
      <c r="I714" s="64"/>
      <c r="J714" s="64"/>
      <c r="K714" s="64"/>
      <c r="L714" s="65"/>
      <c r="M714" s="64"/>
      <c r="N714" s="64"/>
      <c r="O714" s="64"/>
      <c r="P714" s="64"/>
      <c r="Q714" s="64"/>
      <c r="R714" s="64"/>
      <c r="S714" s="64"/>
      <c r="T714" s="65"/>
      <c r="U714" s="64"/>
      <c r="V714" s="64"/>
      <c r="W714" s="64"/>
      <c r="X714" s="64"/>
      <c r="Y714" s="64"/>
      <c r="Z714" s="64"/>
      <c r="AA714" s="64"/>
      <c r="AB714" s="64"/>
      <c r="AC714" s="64"/>
      <c r="AD714" s="64"/>
      <c r="AE714" s="64"/>
      <c r="AF714" s="64"/>
      <c r="AG714" s="64"/>
    </row>
    <row r="715">
      <c r="A715" s="64"/>
      <c r="B715" s="64"/>
      <c r="C715" s="64"/>
      <c r="D715" s="64"/>
      <c r="E715" s="65"/>
      <c r="F715" s="64"/>
      <c r="G715" s="67"/>
      <c r="H715" s="64"/>
      <c r="I715" s="64"/>
      <c r="J715" s="64"/>
      <c r="K715" s="64"/>
      <c r="L715" s="65"/>
      <c r="M715" s="64"/>
      <c r="N715" s="64"/>
      <c r="O715" s="64"/>
      <c r="P715" s="64"/>
      <c r="Q715" s="64"/>
      <c r="R715" s="64"/>
      <c r="S715" s="64"/>
      <c r="T715" s="65"/>
      <c r="U715" s="64"/>
      <c r="V715" s="64"/>
      <c r="W715" s="64"/>
      <c r="X715" s="64"/>
      <c r="Y715" s="64"/>
      <c r="Z715" s="64"/>
      <c r="AA715" s="64"/>
      <c r="AB715" s="64"/>
      <c r="AC715" s="64"/>
      <c r="AD715" s="64"/>
      <c r="AE715" s="64"/>
      <c r="AF715" s="64"/>
      <c r="AG715" s="64"/>
    </row>
    <row r="716">
      <c r="A716" s="64"/>
      <c r="B716" s="64"/>
      <c r="C716" s="64"/>
      <c r="D716" s="64"/>
      <c r="E716" s="65"/>
      <c r="F716" s="64"/>
      <c r="G716" s="67"/>
      <c r="H716" s="64"/>
      <c r="I716" s="64"/>
      <c r="J716" s="64"/>
      <c r="K716" s="64"/>
      <c r="L716" s="65"/>
      <c r="M716" s="64"/>
      <c r="N716" s="64"/>
      <c r="O716" s="64"/>
      <c r="P716" s="64"/>
      <c r="Q716" s="64"/>
      <c r="R716" s="64"/>
      <c r="S716" s="64"/>
      <c r="T716" s="65"/>
      <c r="U716" s="64"/>
      <c r="V716" s="64"/>
      <c r="W716" s="64"/>
      <c r="X716" s="64"/>
      <c r="Y716" s="64"/>
      <c r="Z716" s="64"/>
      <c r="AA716" s="64"/>
      <c r="AB716" s="64"/>
      <c r="AC716" s="64"/>
      <c r="AD716" s="64"/>
      <c r="AE716" s="64"/>
      <c r="AF716" s="64"/>
      <c r="AG716" s="64"/>
    </row>
    <row r="717">
      <c r="A717" s="64"/>
      <c r="B717" s="64"/>
      <c r="C717" s="64"/>
      <c r="D717" s="64"/>
      <c r="E717" s="65"/>
      <c r="F717" s="64"/>
      <c r="G717" s="67"/>
      <c r="H717" s="64"/>
      <c r="I717" s="64"/>
      <c r="J717" s="64"/>
      <c r="K717" s="64"/>
      <c r="L717" s="65"/>
      <c r="M717" s="64"/>
      <c r="N717" s="64"/>
      <c r="O717" s="64"/>
      <c r="P717" s="64"/>
      <c r="Q717" s="64"/>
      <c r="R717" s="64"/>
      <c r="S717" s="64"/>
      <c r="T717" s="65"/>
      <c r="U717" s="64"/>
      <c r="V717" s="64"/>
      <c r="W717" s="64"/>
      <c r="X717" s="64"/>
      <c r="Y717" s="64"/>
      <c r="Z717" s="64"/>
      <c r="AA717" s="64"/>
      <c r="AB717" s="64"/>
      <c r="AC717" s="64"/>
      <c r="AD717" s="64"/>
      <c r="AE717" s="64"/>
      <c r="AF717" s="64"/>
      <c r="AG717" s="64"/>
    </row>
    <row r="718">
      <c r="A718" s="64"/>
      <c r="B718" s="64"/>
      <c r="C718" s="64"/>
      <c r="D718" s="64"/>
      <c r="E718" s="65"/>
      <c r="F718" s="64"/>
      <c r="G718" s="67"/>
      <c r="H718" s="64"/>
      <c r="I718" s="64"/>
      <c r="J718" s="64"/>
      <c r="K718" s="64"/>
      <c r="L718" s="65"/>
      <c r="M718" s="64"/>
      <c r="N718" s="64"/>
      <c r="O718" s="64"/>
      <c r="P718" s="64"/>
      <c r="Q718" s="64"/>
      <c r="R718" s="64"/>
      <c r="S718" s="64"/>
      <c r="T718" s="65"/>
      <c r="U718" s="64"/>
      <c r="V718" s="64"/>
      <c r="W718" s="64"/>
      <c r="X718" s="64"/>
      <c r="Y718" s="64"/>
      <c r="Z718" s="64"/>
      <c r="AA718" s="64"/>
      <c r="AB718" s="64"/>
      <c r="AC718" s="64"/>
      <c r="AD718" s="64"/>
      <c r="AE718" s="64"/>
      <c r="AF718" s="64"/>
      <c r="AG718" s="64"/>
    </row>
    <row r="719">
      <c r="A719" s="64"/>
      <c r="B719" s="64"/>
      <c r="C719" s="64"/>
      <c r="D719" s="64"/>
      <c r="E719" s="65"/>
      <c r="F719" s="64"/>
      <c r="G719" s="67"/>
      <c r="H719" s="64"/>
      <c r="I719" s="64"/>
      <c r="J719" s="64"/>
      <c r="K719" s="64"/>
      <c r="L719" s="65"/>
      <c r="M719" s="64"/>
      <c r="N719" s="64"/>
      <c r="O719" s="64"/>
      <c r="P719" s="64"/>
      <c r="Q719" s="64"/>
      <c r="R719" s="64"/>
      <c r="S719" s="64"/>
      <c r="T719" s="65"/>
      <c r="U719" s="64"/>
      <c r="V719" s="64"/>
      <c r="W719" s="64"/>
      <c r="X719" s="64"/>
      <c r="Y719" s="64"/>
      <c r="Z719" s="64"/>
      <c r="AA719" s="64"/>
      <c r="AB719" s="64"/>
      <c r="AC719" s="64"/>
      <c r="AD719" s="64"/>
      <c r="AE719" s="64"/>
      <c r="AF719" s="64"/>
      <c r="AG719" s="64"/>
    </row>
    <row r="720">
      <c r="A720" s="64"/>
      <c r="B720" s="64"/>
      <c r="C720" s="64"/>
      <c r="D720" s="64"/>
      <c r="E720" s="65"/>
      <c r="F720" s="64"/>
      <c r="G720" s="67"/>
      <c r="H720" s="64"/>
      <c r="I720" s="64"/>
      <c r="J720" s="64"/>
      <c r="K720" s="64"/>
      <c r="L720" s="65"/>
      <c r="M720" s="64"/>
      <c r="N720" s="64"/>
      <c r="O720" s="64"/>
      <c r="P720" s="64"/>
      <c r="Q720" s="64"/>
      <c r="R720" s="64"/>
      <c r="S720" s="64"/>
      <c r="T720" s="65"/>
      <c r="U720" s="64"/>
      <c r="V720" s="64"/>
      <c r="W720" s="64"/>
      <c r="X720" s="64"/>
      <c r="Y720" s="64"/>
      <c r="Z720" s="64"/>
      <c r="AA720" s="64"/>
      <c r="AB720" s="64"/>
      <c r="AC720" s="64"/>
      <c r="AD720" s="64"/>
      <c r="AE720" s="64"/>
      <c r="AF720" s="64"/>
      <c r="AG720" s="64"/>
    </row>
    <row r="721">
      <c r="A721" s="64"/>
      <c r="B721" s="64"/>
      <c r="C721" s="64"/>
      <c r="D721" s="64"/>
      <c r="E721" s="65"/>
      <c r="F721" s="64"/>
      <c r="G721" s="67"/>
      <c r="H721" s="64"/>
      <c r="I721" s="64"/>
      <c r="J721" s="64"/>
      <c r="K721" s="64"/>
      <c r="L721" s="65"/>
      <c r="M721" s="64"/>
      <c r="N721" s="64"/>
      <c r="O721" s="64"/>
      <c r="P721" s="64"/>
      <c r="Q721" s="64"/>
      <c r="R721" s="64"/>
      <c r="S721" s="64"/>
      <c r="T721" s="65"/>
      <c r="U721" s="64"/>
      <c r="V721" s="64"/>
      <c r="W721" s="64"/>
      <c r="X721" s="64"/>
      <c r="Y721" s="64"/>
      <c r="Z721" s="64"/>
      <c r="AA721" s="64"/>
      <c r="AB721" s="64"/>
      <c r="AC721" s="64"/>
      <c r="AD721" s="64"/>
      <c r="AE721" s="64"/>
      <c r="AF721" s="64"/>
      <c r="AG721" s="64"/>
    </row>
    <row r="722">
      <c r="A722" s="64"/>
      <c r="B722" s="64"/>
      <c r="C722" s="64"/>
      <c r="D722" s="64"/>
      <c r="E722" s="65"/>
      <c r="F722" s="64"/>
      <c r="G722" s="67"/>
      <c r="H722" s="64"/>
      <c r="I722" s="64"/>
      <c r="J722" s="64"/>
      <c r="K722" s="64"/>
      <c r="L722" s="65"/>
      <c r="M722" s="64"/>
      <c r="N722" s="64"/>
      <c r="O722" s="64"/>
      <c r="P722" s="64"/>
      <c r="Q722" s="64"/>
      <c r="R722" s="64"/>
      <c r="S722" s="64"/>
      <c r="T722" s="65"/>
      <c r="U722" s="64"/>
      <c r="V722" s="64"/>
      <c r="W722" s="64"/>
      <c r="X722" s="64"/>
      <c r="Y722" s="64"/>
      <c r="Z722" s="64"/>
      <c r="AA722" s="64"/>
      <c r="AB722" s="64"/>
      <c r="AC722" s="64"/>
      <c r="AD722" s="64"/>
      <c r="AE722" s="64"/>
      <c r="AF722" s="64"/>
      <c r="AG722" s="64"/>
    </row>
    <row r="723">
      <c r="A723" s="64"/>
      <c r="B723" s="64"/>
      <c r="C723" s="64"/>
      <c r="D723" s="64"/>
      <c r="E723" s="65"/>
      <c r="F723" s="64"/>
      <c r="G723" s="67"/>
      <c r="H723" s="64"/>
      <c r="I723" s="64"/>
      <c r="J723" s="64"/>
      <c r="K723" s="64"/>
      <c r="L723" s="65"/>
      <c r="M723" s="64"/>
      <c r="N723" s="64"/>
      <c r="O723" s="64"/>
      <c r="P723" s="64"/>
      <c r="Q723" s="64"/>
      <c r="R723" s="64"/>
      <c r="S723" s="64"/>
      <c r="T723" s="65"/>
      <c r="U723" s="64"/>
      <c r="V723" s="64"/>
      <c r="W723" s="64"/>
      <c r="X723" s="64"/>
      <c r="Y723" s="64"/>
      <c r="Z723" s="64"/>
      <c r="AA723" s="64"/>
      <c r="AB723" s="64"/>
      <c r="AC723" s="64"/>
      <c r="AD723" s="64"/>
      <c r="AE723" s="64"/>
      <c r="AF723" s="64"/>
      <c r="AG723" s="64"/>
    </row>
    <row r="724">
      <c r="A724" s="64"/>
      <c r="B724" s="64"/>
      <c r="C724" s="64"/>
      <c r="D724" s="64"/>
      <c r="E724" s="65"/>
      <c r="F724" s="64"/>
      <c r="G724" s="67"/>
      <c r="H724" s="64"/>
      <c r="I724" s="64"/>
      <c r="J724" s="64"/>
      <c r="K724" s="64"/>
      <c r="L724" s="65"/>
      <c r="M724" s="64"/>
      <c r="N724" s="64"/>
      <c r="O724" s="64"/>
      <c r="P724" s="64"/>
      <c r="Q724" s="64"/>
      <c r="R724" s="64"/>
      <c r="S724" s="64"/>
      <c r="T724" s="65"/>
      <c r="U724" s="64"/>
      <c r="V724" s="64"/>
      <c r="W724" s="64"/>
      <c r="X724" s="64"/>
      <c r="Y724" s="64"/>
      <c r="Z724" s="64"/>
      <c r="AA724" s="64"/>
      <c r="AB724" s="64"/>
      <c r="AC724" s="64"/>
      <c r="AD724" s="64"/>
      <c r="AE724" s="64"/>
      <c r="AF724" s="64"/>
      <c r="AG724" s="64"/>
    </row>
    <row r="725">
      <c r="A725" s="64"/>
      <c r="B725" s="64"/>
      <c r="C725" s="64"/>
      <c r="D725" s="64"/>
      <c r="E725" s="65"/>
      <c r="F725" s="64"/>
      <c r="G725" s="67"/>
      <c r="H725" s="64"/>
      <c r="I725" s="64"/>
      <c r="J725" s="64"/>
      <c r="K725" s="64"/>
      <c r="L725" s="65"/>
      <c r="M725" s="64"/>
      <c r="N725" s="64"/>
      <c r="O725" s="64"/>
      <c r="P725" s="64"/>
      <c r="Q725" s="64"/>
      <c r="R725" s="64"/>
      <c r="S725" s="64"/>
      <c r="T725" s="65"/>
      <c r="U725" s="64"/>
      <c r="V725" s="64"/>
      <c r="W725" s="64"/>
      <c r="X725" s="64"/>
      <c r="Y725" s="64"/>
      <c r="Z725" s="64"/>
      <c r="AA725" s="64"/>
      <c r="AB725" s="64"/>
      <c r="AC725" s="64"/>
      <c r="AD725" s="64"/>
      <c r="AE725" s="64"/>
      <c r="AF725" s="64"/>
      <c r="AG725" s="64"/>
    </row>
    <row r="726">
      <c r="A726" s="64"/>
      <c r="B726" s="64"/>
      <c r="C726" s="64"/>
      <c r="D726" s="64"/>
      <c r="E726" s="65"/>
      <c r="F726" s="64"/>
      <c r="G726" s="67"/>
      <c r="H726" s="64"/>
      <c r="I726" s="64"/>
      <c r="J726" s="64"/>
      <c r="K726" s="64"/>
      <c r="L726" s="65"/>
      <c r="M726" s="64"/>
      <c r="N726" s="64"/>
      <c r="O726" s="64"/>
      <c r="P726" s="64"/>
      <c r="Q726" s="64"/>
      <c r="R726" s="64"/>
      <c r="S726" s="64"/>
      <c r="T726" s="65"/>
      <c r="U726" s="64"/>
      <c r="V726" s="64"/>
      <c r="W726" s="64"/>
      <c r="X726" s="64"/>
      <c r="Y726" s="64"/>
      <c r="Z726" s="64"/>
      <c r="AA726" s="64"/>
      <c r="AB726" s="64"/>
      <c r="AC726" s="64"/>
      <c r="AD726" s="64"/>
      <c r="AE726" s="64"/>
      <c r="AF726" s="64"/>
      <c r="AG726" s="64"/>
    </row>
    <row r="727">
      <c r="A727" s="64"/>
      <c r="B727" s="64"/>
      <c r="C727" s="64"/>
      <c r="D727" s="64"/>
      <c r="E727" s="65"/>
      <c r="F727" s="64"/>
      <c r="G727" s="67"/>
      <c r="H727" s="64"/>
      <c r="I727" s="64"/>
      <c r="J727" s="64"/>
      <c r="K727" s="64"/>
      <c r="L727" s="65"/>
      <c r="M727" s="64"/>
      <c r="N727" s="64"/>
      <c r="O727" s="64"/>
      <c r="P727" s="64"/>
      <c r="Q727" s="64"/>
      <c r="R727" s="64"/>
      <c r="S727" s="64"/>
      <c r="T727" s="65"/>
      <c r="U727" s="64"/>
      <c r="V727" s="64"/>
      <c r="W727" s="64"/>
      <c r="X727" s="64"/>
      <c r="Y727" s="64"/>
      <c r="Z727" s="64"/>
      <c r="AA727" s="64"/>
      <c r="AB727" s="64"/>
      <c r="AC727" s="64"/>
      <c r="AD727" s="64"/>
      <c r="AE727" s="64"/>
      <c r="AF727" s="64"/>
      <c r="AG727" s="64"/>
    </row>
    <row r="728">
      <c r="A728" s="64"/>
      <c r="B728" s="64"/>
      <c r="C728" s="64"/>
      <c r="D728" s="64"/>
      <c r="E728" s="65"/>
      <c r="F728" s="64"/>
      <c r="G728" s="67"/>
      <c r="H728" s="64"/>
      <c r="I728" s="64"/>
      <c r="J728" s="64"/>
      <c r="K728" s="64"/>
      <c r="L728" s="65"/>
      <c r="M728" s="64"/>
      <c r="N728" s="64"/>
      <c r="O728" s="64"/>
      <c r="P728" s="64"/>
      <c r="Q728" s="64"/>
      <c r="R728" s="64"/>
      <c r="S728" s="64"/>
      <c r="T728" s="65"/>
      <c r="U728" s="64"/>
      <c r="V728" s="64"/>
      <c r="W728" s="64"/>
      <c r="X728" s="64"/>
      <c r="Y728" s="64"/>
      <c r="Z728" s="64"/>
      <c r="AA728" s="64"/>
      <c r="AB728" s="64"/>
      <c r="AC728" s="64"/>
      <c r="AD728" s="64"/>
      <c r="AE728" s="64"/>
      <c r="AF728" s="64"/>
      <c r="AG728" s="64"/>
    </row>
    <row r="729">
      <c r="A729" s="64"/>
      <c r="B729" s="64"/>
      <c r="C729" s="64"/>
      <c r="D729" s="64"/>
      <c r="E729" s="65"/>
      <c r="F729" s="64"/>
      <c r="G729" s="67"/>
      <c r="H729" s="64"/>
      <c r="I729" s="64"/>
      <c r="J729" s="64"/>
      <c r="K729" s="64"/>
      <c r="L729" s="65"/>
      <c r="M729" s="64"/>
      <c r="N729" s="64"/>
      <c r="O729" s="64"/>
      <c r="P729" s="64"/>
      <c r="Q729" s="64"/>
      <c r="R729" s="64"/>
      <c r="S729" s="64"/>
      <c r="T729" s="65"/>
      <c r="U729" s="64"/>
      <c r="V729" s="64"/>
      <c r="W729" s="64"/>
      <c r="X729" s="64"/>
      <c r="Y729" s="64"/>
      <c r="Z729" s="64"/>
      <c r="AA729" s="64"/>
      <c r="AB729" s="64"/>
      <c r="AC729" s="64"/>
      <c r="AD729" s="64"/>
      <c r="AE729" s="64"/>
      <c r="AF729" s="64"/>
      <c r="AG729" s="64"/>
    </row>
    <row r="730">
      <c r="A730" s="64"/>
      <c r="B730" s="64"/>
      <c r="C730" s="64"/>
      <c r="D730" s="64"/>
      <c r="E730" s="65"/>
      <c r="F730" s="64"/>
      <c r="G730" s="67"/>
      <c r="H730" s="64"/>
      <c r="I730" s="64"/>
      <c r="J730" s="64"/>
      <c r="K730" s="64"/>
      <c r="L730" s="65"/>
      <c r="M730" s="64"/>
      <c r="N730" s="64"/>
      <c r="O730" s="64"/>
      <c r="P730" s="64"/>
      <c r="Q730" s="64"/>
      <c r="R730" s="64"/>
      <c r="S730" s="64"/>
      <c r="T730" s="65"/>
      <c r="U730" s="64"/>
      <c r="V730" s="64"/>
      <c r="W730" s="64"/>
      <c r="X730" s="64"/>
      <c r="Y730" s="64"/>
      <c r="Z730" s="64"/>
      <c r="AA730" s="64"/>
      <c r="AB730" s="64"/>
      <c r="AC730" s="64"/>
      <c r="AD730" s="64"/>
      <c r="AE730" s="64"/>
      <c r="AF730" s="64"/>
      <c r="AG730" s="64"/>
    </row>
    <row r="731">
      <c r="A731" s="64"/>
      <c r="B731" s="64"/>
      <c r="C731" s="64"/>
      <c r="D731" s="64"/>
      <c r="E731" s="65"/>
      <c r="F731" s="64"/>
      <c r="G731" s="67"/>
      <c r="H731" s="64"/>
      <c r="I731" s="64"/>
      <c r="J731" s="64"/>
      <c r="K731" s="64"/>
      <c r="L731" s="65"/>
      <c r="M731" s="64"/>
      <c r="N731" s="64"/>
      <c r="O731" s="64"/>
      <c r="P731" s="64"/>
      <c r="Q731" s="64"/>
      <c r="R731" s="64"/>
      <c r="S731" s="64"/>
      <c r="T731" s="65"/>
      <c r="U731" s="64"/>
      <c r="V731" s="64"/>
      <c r="W731" s="64"/>
      <c r="X731" s="64"/>
      <c r="Y731" s="64"/>
      <c r="Z731" s="64"/>
      <c r="AA731" s="64"/>
      <c r="AB731" s="64"/>
      <c r="AC731" s="64"/>
      <c r="AD731" s="64"/>
      <c r="AE731" s="64"/>
      <c r="AF731" s="64"/>
      <c r="AG731" s="64"/>
    </row>
    <row r="732">
      <c r="A732" s="64"/>
      <c r="B732" s="64"/>
      <c r="C732" s="64"/>
      <c r="D732" s="64"/>
      <c r="E732" s="65"/>
      <c r="F732" s="64"/>
      <c r="G732" s="67"/>
      <c r="H732" s="64"/>
      <c r="I732" s="64"/>
      <c r="J732" s="64"/>
      <c r="K732" s="64"/>
      <c r="L732" s="65"/>
      <c r="M732" s="64"/>
      <c r="N732" s="64"/>
      <c r="O732" s="64"/>
      <c r="P732" s="64"/>
      <c r="Q732" s="64"/>
      <c r="R732" s="64"/>
      <c r="S732" s="64"/>
      <c r="T732" s="65"/>
      <c r="U732" s="64"/>
      <c r="V732" s="64"/>
      <c r="W732" s="64"/>
      <c r="X732" s="64"/>
      <c r="Y732" s="64"/>
      <c r="Z732" s="64"/>
      <c r="AA732" s="64"/>
      <c r="AB732" s="64"/>
      <c r="AC732" s="64"/>
      <c r="AD732" s="64"/>
      <c r="AE732" s="64"/>
      <c r="AF732" s="64"/>
      <c r="AG732" s="64"/>
    </row>
    <row r="733">
      <c r="A733" s="64"/>
      <c r="B733" s="64"/>
      <c r="C733" s="64"/>
      <c r="D733" s="64"/>
      <c r="E733" s="65"/>
      <c r="F733" s="64"/>
      <c r="G733" s="67"/>
      <c r="H733" s="64"/>
      <c r="I733" s="64"/>
      <c r="J733" s="64"/>
      <c r="K733" s="64"/>
      <c r="L733" s="65"/>
      <c r="M733" s="64"/>
      <c r="N733" s="64"/>
      <c r="O733" s="64"/>
      <c r="P733" s="64"/>
      <c r="Q733" s="64"/>
      <c r="R733" s="64"/>
      <c r="S733" s="64"/>
      <c r="T733" s="65"/>
      <c r="U733" s="64"/>
      <c r="V733" s="64"/>
      <c r="W733" s="64"/>
      <c r="X733" s="64"/>
      <c r="Y733" s="64"/>
      <c r="Z733" s="64"/>
      <c r="AA733" s="64"/>
      <c r="AB733" s="64"/>
      <c r="AC733" s="64"/>
      <c r="AD733" s="64"/>
      <c r="AE733" s="64"/>
      <c r="AF733" s="64"/>
      <c r="AG733" s="64"/>
    </row>
    <row r="734">
      <c r="A734" s="64"/>
      <c r="B734" s="64"/>
      <c r="C734" s="64"/>
      <c r="D734" s="64"/>
      <c r="E734" s="65"/>
      <c r="F734" s="64"/>
      <c r="G734" s="67"/>
      <c r="H734" s="64"/>
      <c r="I734" s="64"/>
      <c r="J734" s="64"/>
      <c r="K734" s="64"/>
      <c r="L734" s="65"/>
      <c r="M734" s="64"/>
      <c r="N734" s="64"/>
      <c r="O734" s="64"/>
      <c r="P734" s="64"/>
      <c r="Q734" s="64"/>
      <c r="R734" s="64"/>
      <c r="S734" s="64"/>
      <c r="T734" s="65"/>
      <c r="U734" s="64"/>
      <c r="V734" s="64"/>
      <c r="W734" s="64"/>
      <c r="X734" s="64"/>
      <c r="Y734" s="64"/>
      <c r="Z734" s="64"/>
      <c r="AA734" s="64"/>
      <c r="AB734" s="64"/>
      <c r="AC734" s="64"/>
      <c r="AD734" s="64"/>
      <c r="AE734" s="64"/>
      <c r="AF734" s="64"/>
      <c r="AG734" s="64"/>
    </row>
    <row r="735">
      <c r="A735" s="64"/>
      <c r="B735" s="64"/>
      <c r="C735" s="64"/>
      <c r="D735" s="64"/>
      <c r="E735" s="65"/>
      <c r="F735" s="64"/>
      <c r="G735" s="67"/>
      <c r="H735" s="64"/>
      <c r="I735" s="64"/>
      <c r="J735" s="64"/>
      <c r="K735" s="64"/>
      <c r="L735" s="65"/>
      <c r="M735" s="64"/>
      <c r="N735" s="64"/>
      <c r="O735" s="64"/>
      <c r="P735" s="64"/>
      <c r="Q735" s="64"/>
      <c r="R735" s="64"/>
      <c r="S735" s="64"/>
      <c r="T735" s="65"/>
      <c r="U735" s="64"/>
      <c r="V735" s="64"/>
      <c r="W735" s="64"/>
      <c r="X735" s="64"/>
      <c r="Y735" s="64"/>
      <c r="Z735" s="64"/>
      <c r="AA735" s="64"/>
      <c r="AB735" s="64"/>
      <c r="AC735" s="64"/>
      <c r="AD735" s="64"/>
      <c r="AE735" s="64"/>
      <c r="AF735" s="64"/>
      <c r="AG735" s="64"/>
    </row>
    <row r="736">
      <c r="A736" s="64"/>
      <c r="B736" s="64"/>
      <c r="C736" s="64"/>
      <c r="D736" s="64"/>
      <c r="E736" s="65"/>
      <c r="F736" s="64"/>
      <c r="G736" s="67"/>
      <c r="H736" s="64"/>
      <c r="I736" s="64"/>
      <c r="J736" s="64"/>
      <c r="K736" s="64"/>
      <c r="L736" s="65"/>
      <c r="M736" s="64"/>
      <c r="N736" s="64"/>
      <c r="O736" s="64"/>
      <c r="P736" s="64"/>
      <c r="Q736" s="64"/>
      <c r="R736" s="64"/>
      <c r="S736" s="64"/>
      <c r="T736" s="65"/>
      <c r="U736" s="64"/>
      <c r="V736" s="64"/>
      <c r="W736" s="64"/>
      <c r="X736" s="64"/>
      <c r="Y736" s="64"/>
      <c r="Z736" s="64"/>
      <c r="AA736" s="64"/>
      <c r="AB736" s="64"/>
      <c r="AC736" s="64"/>
      <c r="AD736" s="64"/>
      <c r="AE736" s="64"/>
      <c r="AF736" s="64"/>
      <c r="AG736" s="64"/>
    </row>
    <row r="737">
      <c r="A737" s="64"/>
      <c r="B737" s="64"/>
      <c r="C737" s="64"/>
      <c r="D737" s="64"/>
      <c r="E737" s="65"/>
      <c r="F737" s="64"/>
      <c r="G737" s="67"/>
      <c r="H737" s="64"/>
      <c r="I737" s="64"/>
      <c r="J737" s="64"/>
      <c r="K737" s="64"/>
      <c r="L737" s="65"/>
      <c r="M737" s="64"/>
      <c r="N737" s="64"/>
      <c r="O737" s="64"/>
      <c r="P737" s="64"/>
      <c r="Q737" s="64"/>
      <c r="R737" s="64"/>
      <c r="S737" s="64"/>
      <c r="T737" s="65"/>
      <c r="U737" s="64"/>
      <c r="V737" s="64"/>
      <c r="W737" s="64"/>
      <c r="X737" s="64"/>
      <c r="Y737" s="64"/>
      <c r="Z737" s="64"/>
      <c r="AA737" s="64"/>
      <c r="AB737" s="64"/>
      <c r="AC737" s="64"/>
      <c r="AD737" s="64"/>
      <c r="AE737" s="64"/>
      <c r="AF737" s="64"/>
      <c r="AG737" s="64"/>
    </row>
    <row r="738">
      <c r="A738" s="64"/>
      <c r="B738" s="64"/>
      <c r="C738" s="64"/>
      <c r="D738" s="64"/>
      <c r="E738" s="65"/>
      <c r="F738" s="64"/>
      <c r="G738" s="67"/>
      <c r="H738" s="64"/>
      <c r="I738" s="64"/>
      <c r="J738" s="64"/>
      <c r="K738" s="64"/>
      <c r="L738" s="65"/>
      <c r="M738" s="64"/>
      <c r="N738" s="64"/>
      <c r="O738" s="64"/>
      <c r="P738" s="64"/>
      <c r="Q738" s="64"/>
      <c r="R738" s="64"/>
      <c r="S738" s="64"/>
      <c r="T738" s="65"/>
      <c r="U738" s="64"/>
      <c r="V738" s="64"/>
      <c r="W738" s="64"/>
      <c r="X738" s="64"/>
      <c r="Y738" s="64"/>
      <c r="Z738" s="64"/>
      <c r="AA738" s="64"/>
      <c r="AB738" s="64"/>
      <c r="AC738" s="64"/>
      <c r="AD738" s="64"/>
      <c r="AE738" s="64"/>
      <c r="AF738" s="64"/>
      <c r="AG738" s="64"/>
    </row>
    <row r="739">
      <c r="A739" s="64"/>
      <c r="B739" s="64"/>
      <c r="C739" s="64"/>
      <c r="D739" s="64"/>
      <c r="E739" s="65"/>
      <c r="F739" s="64"/>
      <c r="G739" s="67"/>
      <c r="H739" s="64"/>
      <c r="I739" s="64"/>
      <c r="J739" s="64"/>
      <c r="K739" s="64"/>
      <c r="L739" s="65"/>
      <c r="M739" s="64"/>
      <c r="N739" s="64"/>
      <c r="O739" s="64"/>
      <c r="P739" s="64"/>
      <c r="Q739" s="64"/>
      <c r="R739" s="64"/>
      <c r="S739" s="64"/>
      <c r="T739" s="65"/>
      <c r="U739" s="64"/>
      <c r="V739" s="64"/>
      <c r="W739" s="64"/>
      <c r="X739" s="64"/>
      <c r="Y739" s="64"/>
      <c r="Z739" s="64"/>
      <c r="AA739" s="64"/>
      <c r="AB739" s="64"/>
      <c r="AC739" s="64"/>
      <c r="AD739" s="64"/>
      <c r="AE739" s="64"/>
      <c r="AF739" s="64"/>
      <c r="AG739" s="64"/>
    </row>
    <row r="740">
      <c r="A740" s="64"/>
      <c r="B740" s="64"/>
      <c r="C740" s="64"/>
      <c r="D740" s="64"/>
      <c r="E740" s="65"/>
      <c r="F740" s="64"/>
      <c r="G740" s="67"/>
      <c r="H740" s="64"/>
      <c r="I740" s="64"/>
      <c r="J740" s="64"/>
      <c r="K740" s="64"/>
      <c r="L740" s="65"/>
      <c r="M740" s="64"/>
      <c r="N740" s="64"/>
      <c r="O740" s="64"/>
      <c r="P740" s="64"/>
      <c r="Q740" s="64"/>
      <c r="R740" s="64"/>
      <c r="S740" s="64"/>
      <c r="T740" s="65"/>
      <c r="U740" s="64"/>
      <c r="V740" s="64"/>
      <c r="W740" s="64"/>
      <c r="X740" s="64"/>
      <c r="Y740" s="64"/>
      <c r="Z740" s="64"/>
      <c r="AA740" s="64"/>
      <c r="AB740" s="64"/>
      <c r="AC740" s="64"/>
      <c r="AD740" s="64"/>
      <c r="AE740" s="64"/>
      <c r="AF740" s="64"/>
      <c r="AG740" s="64"/>
    </row>
    <row r="741">
      <c r="A741" s="64"/>
      <c r="B741" s="64"/>
      <c r="C741" s="64"/>
      <c r="D741" s="64"/>
      <c r="E741" s="65"/>
      <c r="F741" s="64"/>
      <c r="G741" s="67"/>
      <c r="H741" s="64"/>
      <c r="I741" s="64"/>
      <c r="J741" s="64"/>
      <c r="K741" s="64"/>
      <c r="L741" s="65"/>
      <c r="M741" s="64"/>
      <c r="N741" s="64"/>
      <c r="O741" s="64"/>
      <c r="P741" s="64"/>
      <c r="Q741" s="64"/>
      <c r="R741" s="64"/>
      <c r="S741" s="64"/>
      <c r="T741" s="65"/>
      <c r="U741" s="64"/>
      <c r="V741" s="64"/>
      <c r="W741" s="64"/>
      <c r="X741" s="64"/>
      <c r="Y741" s="64"/>
      <c r="Z741" s="64"/>
      <c r="AA741" s="64"/>
      <c r="AB741" s="64"/>
      <c r="AC741" s="64"/>
      <c r="AD741" s="64"/>
      <c r="AE741" s="64"/>
      <c r="AF741" s="64"/>
      <c r="AG741" s="64"/>
    </row>
    <row r="742">
      <c r="A742" s="64"/>
      <c r="B742" s="64"/>
      <c r="C742" s="64"/>
      <c r="D742" s="64"/>
      <c r="E742" s="65"/>
      <c r="F742" s="64"/>
      <c r="G742" s="67"/>
      <c r="H742" s="64"/>
      <c r="I742" s="64"/>
      <c r="J742" s="64"/>
      <c r="K742" s="64"/>
      <c r="L742" s="65"/>
      <c r="M742" s="64"/>
      <c r="N742" s="64"/>
      <c r="O742" s="64"/>
      <c r="P742" s="64"/>
      <c r="Q742" s="64"/>
      <c r="R742" s="64"/>
      <c r="S742" s="64"/>
      <c r="T742" s="65"/>
      <c r="U742" s="64"/>
      <c r="V742" s="64"/>
      <c r="W742" s="64"/>
      <c r="X742" s="64"/>
      <c r="Y742" s="64"/>
      <c r="Z742" s="64"/>
      <c r="AA742" s="64"/>
      <c r="AB742" s="64"/>
      <c r="AC742" s="64"/>
      <c r="AD742" s="64"/>
      <c r="AE742" s="64"/>
      <c r="AF742" s="64"/>
      <c r="AG742" s="64"/>
    </row>
    <row r="743">
      <c r="A743" s="64"/>
      <c r="B743" s="64"/>
      <c r="C743" s="64"/>
      <c r="D743" s="64"/>
      <c r="E743" s="65"/>
      <c r="F743" s="64"/>
      <c r="G743" s="67"/>
      <c r="H743" s="64"/>
      <c r="I743" s="64"/>
      <c r="J743" s="64"/>
      <c r="K743" s="64"/>
      <c r="L743" s="65"/>
      <c r="M743" s="64"/>
      <c r="N743" s="64"/>
      <c r="O743" s="64"/>
      <c r="P743" s="64"/>
      <c r="Q743" s="64"/>
      <c r="R743" s="64"/>
      <c r="S743" s="64"/>
      <c r="T743" s="65"/>
      <c r="U743" s="64"/>
      <c r="V743" s="64"/>
      <c r="W743" s="64"/>
      <c r="X743" s="64"/>
      <c r="Y743" s="64"/>
      <c r="Z743" s="64"/>
      <c r="AA743" s="64"/>
      <c r="AB743" s="64"/>
      <c r="AC743" s="64"/>
      <c r="AD743" s="64"/>
      <c r="AE743" s="64"/>
      <c r="AF743" s="64"/>
      <c r="AG743" s="64"/>
    </row>
    <row r="744">
      <c r="A744" s="64"/>
      <c r="B744" s="64"/>
      <c r="C744" s="64"/>
      <c r="D744" s="64"/>
      <c r="E744" s="65"/>
      <c r="F744" s="64"/>
      <c r="G744" s="67"/>
      <c r="H744" s="64"/>
      <c r="I744" s="64"/>
      <c r="J744" s="64"/>
      <c r="K744" s="64"/>
      <c r="L744" s="65"/>
      <c r="M744" s="64"/>
      <c r="N744" s="64"/>
      <c r="O744" s="64"/>
      <c r="P744" s="64"/>
      <c r="Q744" s="64"/>
      <c r="R744" s="64"/>
      <c r="S744" s="64"/>
      <c r="T744" s="65"/>
      <c r="U744" s="64"/>
      <c r="V744" s="64"/>
      <c r="W744" s="64"/>
      <c r="X744" s="64"/>
      <c r="Y744" s="64"/>
      <c r="Z744" s="64"/>
      <c r="AA744" s="64"/>
      <c r="AB744" s="64"/>
      <c r="AC744" s="64"/>
      <c r="AD744" s="64"/>
      <c r="AE744" s="64"/>
      <c r="AF744" s="64"/>
      <c r="AG744" s="64"/>
    </row>
    <row r="745">
      <c r="A745" s="64"/>
      <c r="B745" s="64"/>
      <c r="C745" s="64"/>
      <c r="D745" s="64"/>
      <c r="E745" s="65"/>
      <c r="F745" s="64"/>
      <c r="G745" s="67"/>
      <c r="H745" s="64"/>
      <c r="I745" s="64"/>
      <c r="J745" s="64"/>
      <c r="K745" s="64"/>
      <c r="L745" s="65"/>
      <c r="M745" s="64"/>
      <c r="N745" s="64"/>
      <c r="O745" s="64"/>
      <c r="P745" s="64"/>
      <c r="Q745" s="64"/>
      <c r="R745" s="64"/>
      <c r="S745" s="64"/>
      <c r="T745" s="65"/>
      <c r="U745" s="64"/>
      <c r="V745" s="64"/>
      <c r="W745" s="64"/>
      <c r="X745" s="64"/>
      <c r="Y745" s="64"/>
      <c r="Z745" s="64"/>
      <c r="AA745" s="64"/>
      <c r="AB745" s="64"/>
      <c r="AC745" s="64"/>
      <c r="AD745" s="64"/>
      <c r="AE745" s="64"/>
      <c r="AF745" s="64"/>
      <c r="AG745" s="64"/>
    </row>
    <row r="746">
      <c r="A746" s="64"/>
      <c r="B746" s="64"/>
      <c r="C746" s="64"/>
      <c r="D746" s="64"/>
      <c r="E746" s="65"/>
      <c r="F746" s="64"/>
      <c r="G746" s="67"/>
      <c r="H746" s="64"/>
      <c r="I746" s="64"/>
      <c r="J746" s="64"/>
      <c r="K746" s="64"/>
      <c r="L746" s="65"/>
      <c r="M746" s="64"/>
      <c r="N746" s="64"/>
      <c r="O746" s="64"/>
      <c r="P746" s="64"/>
      <c r="Q746" s="64"/>
      <c r="R746" s="64"/>
      <c r="S746" s="64"/>
      <c r="T746" s="65"/>
      <c r="U746" s="64"/>
      <c r="V746" s="64"/>
      <c r="W746" s="64"/>
      <c r="X746" s="64"/>
      <c r="Y746" s="64"/>
      <c r="Z746" s="64"/>
      <c r="AA746" s="64"/>
      <c r="AB746" s="64"/>
      <c r="AC746" s="64"/>
      <c r="AD746" s="64"/>
      <c r="AE746" s="64"/>
      <c r="AF746" s="64"/>
      <c r="AG746" s="64"/>
    </row>
    <row r="747">
      <c r="A747" s="64"/>
      <c r="B747" s="64"/>
      <c r="C747" s="64"/>
      <c r="D747" s="64"/>
      <c r="E747" s="65"/>
      <c r="F747" s="64"/>
      <c r="G747" s="67"/>
      <c r="H747" s="64"/>
      <c r="I747" s="64"/>
      <c r="J747" s="64"/>
      <c r="K747" s="64"/>
      <c r="L747" s="65"/>
      <c r="M747" s="64"/>
      <c r="N747" s="64"/>
      <c r="O747" s="64"/>
      <c r="P747" s="64"/>
      <c r="Q747" s="64"/>
      <c r="R747" s="64"/>
      <c r="S747" s="64"/>
      <c r="T747" s="65"/>
      <c r="U747" s="64"/>
      <c r="V747" s="64"/>
      <c r="W747" s="64"/>
      <c r="X747" s="64"/>
      <c r="Y747" s="64"/>
      <c r="Z747" s="64"/>
      <c r="AA747" s="64"/>
      <c r="AB747" s="64"/>
      <c r="AC747" s="64"/>
      <c r="AD747" s="64"/>
      <c r="AE747" s="64"/>
      <c r="AF747" s="64"/>
      <c r="AG747" s="64"/>
    </row>
    <row r="748">
      <c r="A748" s="64"/>
      <c r="B748" s="64"/>
      <c r="C748" s="64"/>
      <c r="D748" s="64"/>
      <c r="E748" s="65"/>
      <c r="F748" s="64"/>
      <c r="G748" s="67"/>
      <c r="H748" s="64"/>
      <c r="I748" s="64"/>
      <c r="J748" s="64"/>
      <c r="K748" s="64"/>
      <c r="L748" s="65"/>
      <c r="M748" s="64"/>
      <c r="N748" s="64"/>
      <c r="O748" s="64"/>
      <c r="P748" s="64"/>
      <c r="Q748" s="64"/>
      <c r="R748" s="64"/>
      <c r="S748" s="64"/>
      <c r="T748" s="65"/>
      <c r="U748" s="64"/>
      <c r="V748" s="64"/>
      <c r="W748" s="64"/>
      <c r="X748" s="64"/>
      <c r="Y748" s="64"/>
      <c r="Z748" s="64"/>
      <c r="AA748" s="64"/>
      <c r="AB748" s="64"/>
      <c r="AC748" s="64"/>
      <c r="AD748" s="64"/>
      <c r="AE748" s="64"/>
      <c r="AF748" s="64"/>
      <c r="AG748" s="64"/>
    </row>
    <row r="749">
      <c r="A749" s="64"/>
      <c r="B749" s="64"/>
      <c r="C749" s="64"/>
      <c r="D749" s="64"/>
      <c r="E749" s="65"/>
      <c r="F749" s="64"/>
      <c r="G749" s="67"/>
      <c r="H749" s="64"/>
      <c r="I749" s="64"/>
      <c r="J749" s="64"/>
      <c r="K749" s="64"/>
      <c r="L749" s="65"/>
      <c r="M749" s="64"/>
      <c r="N749" s="64"/>
      <c r="O749" s="64"/>
      <c r="P749" s="64"/>
      <c r="Q749" s="64"/>
      <c r="R749" s="64"/>
      <c r="S749" s="64"/>
      <c r="T749" s="65"/>
      <c r="U749" s="64"/>
      <c r="V749" s="64"/>
      <c r="W749" s="64"/>
      <c r="X749" s="64"/>
      <c r="Y749" s="64"/>
      <c r="Z749" s="64"/>
      <c r="AA749" s="64"/>
      <c r="AB749" s="64"/>
      <c r="AC749" s="64"/>
      <c r="AD749" s="64"/>
      <c r="AE749" s="64"/>
      <c r="AF749" s="64"/>
      <c r="AG749" s="64"/>
    </row>
    <row r="750">
      <c r="A750" s="64"/>
      <c r="B750" s="64"/>
      <c r="C750" s="64"/>
      <c r="D750" s="64"/>
      <c r="E750" s="65"/>
      <c r="F750" s="64"/>
      <c r="G750" s="67"/>
      <c r="H750" s="64"/>
      <c r="I750" s="64"/>
      <c r="J750" s="64"/>
      <c r="K750" s="64"/>
      <c r="L750" s="65"/>
      <c r="M750" s="64"/>
      <c r="N750" s="64"/>
      <c r="O750" s="64"/>
      <c r="P750" s="64"/>
      <c r="Q750" s="64"/>
      <c r="R750" s="64"/>
      <c r="S750" s="64"/>
      <c r="T750" s="65"/>
      <c r="U750" s="64"/>
      <c r="V750" s="64"/>
      <c r="W750" s="64"/>
      <c r="X750" s="64"/>
      <c r="Y750" s="64"/>
      <c r="Z750" s="64"/>
      <c r="AA750" s="64"/>
      <c r="AB750" s="64"/>
      <c r="AC750" s="64"/>
      <c r="AD750" s="64"/>
      <c r="AE750" s="64"/>
      <c r="AF750" s="64"/>
      <c r="AG750" s="64"/>
    </row>
    <row r="751">
      <c r="A751" s="64"/>
      <c r="B751" s="64"/>
      <c r="C751" s="64"/>
      <c r="D751" s="64"/>
      <c r="E751" s="65"/>
      <c r="F751" s="64"/>
      <c r="G751" s="67"/>
      <c r="H751" s="64"/>
      <c r="I751" s="64"/>
      <c r="J751" s="64"/>
      <c r="K751" s="64"/>
      <c r="L751" s="65"/>
      <c r="M751" s="64"/>
      <c r="N751" s="64"/>
      <c r="O751" s="64"/>
      <c r="P751" s="64"/>
      <c r="Q751" s="64"/>
      <c r="R751" s="64"/>
      <c r="S751" s="64"/>
      <c r="T751" s="65"/>
      <c r="U751" s="64"/>
      <c r="V751" s="64"/>
      <c r="W751" s="64"/>
      <c r="X751" s="64"/>
      <c r="Y751" s="64"/>
      <c r="Z751" s="64"/>
      <c r="AA751" s="64"/>
      <c r="AB751" s="64"/>
      <c r="AC751" s="64"/>
      <c r="AD751" s="64"/>
      <c r="AE751" s="64"/>
      <c r="AF751" s="64"/>
      <c r="AG751" s="64"/>
    </row>
    <row r="752">
      <c r="A752" s="64"/>
      <c r="B752" s="64"/>
      <c r="C752" s="64"/>
      <c r="D752" s="64"/>
      <c r="E752" s="65"/>
      <c r="F752" s="64"/>
      <c r="G752" s="67"/>
      <c r="H752" s="64"/>
      <c r="I752" s="64"/>
      <c r="J752" s="64"/>
      <c r="K752" s="64"/>
      <c r="L752" s="65"/>
      <c r="M752" s="64"/>
      <c r="N752" s="64"/>
      <c r="O752" s="64"/>
      <c r="P752" s="64"/>
      <c r="Q752" s="64"/>
      <c r="R752" s="64"/>
      <c r="S752" s="64"/>
      <c r="T752" s="65"/>
      <c r="U752" s="64"/>
      <c r="V752" s="64"/>
      <c r="W752" s="64"/>
      <c r="X752" s="64"/>
      <c r="Y752" s="64"/>
      <c r="Z752" s="64"/>
      <c r="AA752" s="64"/>
      <c r="AB752" s="64"/>
      <c r="AC752" s="64"/>
      <c r="AD752" s="64"/>
      <c r="AE752" s="64"/>
      <c r="AF752" s="64"/>
      <c r="AG752" s="64"/>
    </row>
    <row r="753">
      <c r="A753" s="64"/>
      <c r="B753" s="64"/>
      <c r="C753" s="64"/>
      <c r="D753" s="64"/>
      <c r="E753" s="65"/>
      <c r="F753" s="64"/>
      <c r="G753" s="67"/>
      <c r="H753" s="64"/>
      <c r="I753" s="64"/>
      <c r="J753" s="64"/>
      <c r="K753" s="64"/>
      <c r="L753" s="65"/>
      <c r="M753" s="64"/>
      <c r="N753" s="64"/>
      <c r="O753" s="64"/>
      <c r="P753" s="64"/>
      <c r="Q753" s="64"/>
      <c r="R753" s="64"/>
      <c r="S753" s="64"/>
      <c r="T753" s="65"/>
      <c r="U753" s="64"/>
      <c r="V753" s="64"/>
      <c r="W753" s="64"/>
      <c r="X753" s="64"/>
      <c r="Y753" s="64"/>
      <c r="Z753" s="64"/>
      <c r="AA753" s="64"/>
      <c r="AB753" s="64"/>
      <c r="AC753" s="64"/>
      <c r="AD753" s="64"/>
      <c r="AE753" s="64"/>
      <c r="AF753" s="64"/>
      <c r="AG753" s="64"/>
    </row>
    <row r="754">
      <c r="A754" s="64"/>
      <c r="B754" s="64"/>
      <c r="C754" s="64"/>
      <c r="D754" s="64"/>
      <c r="E754" s="65"/>
      <c r="F754" s="64"/>
      <c r="G754" s="67"/>
      <c r="H754" s="64"/>
      <c r="I754" s="64"/>
      <c r="J754" s="64"/>
      <c r="K754" s="64"/>
      <c r="L754" s="65"/>
      <c r="M754" s="64"/>
      <c r="N754" s="64"/>
      <c r="O754" s="64"/>
      <c r="P754" s="64"/>
      <c r="Q754" s="64"/>
      <c r="R754" s="64"/>
      <c r="S754" s="64"/>
      <c r="T754" s="65"/>
      <c r="U754" s="64"/>
      <c r="V754" s="64"/>
      <c r="W754" s="64"/>
      <c r="X754" s="64"/>
      <c r="Y754" s="64"/>
      <c r="Z754" s="64"/>
      <c r="AA754" s="64"/>
      <c r="AB754" s="64"/>
      <c r="AC754" s="64"/>
      <c r="AD754" s="64"/>
      <c r="AE754" s="64"/>
      <c r="AF754" s="64"/>
      <c r="AG754" s="64"/>
    </row>
    <row r="755">
      <c r="A755" s="64"/>
      <c r="B755" s="64"/>
      <c r="C755" s="64"/>
      <c r="D755" s="64"/>
      <c r="E755" s="65"/>
      <c r="F755" s="64"/>
      <c r="G755" s="67"/>
      <c r="H755" s="64"/>
      <c r="I755" s="64"/>
      <c r="J755" s="64"/>
      <c r="K755" s="64"/>
      <c r="L755" s="65"/>
      <c r="M755" s="64"/>
      <c r="N755" s="64"/>
      <c r="O755" s="64"/>
      <c r="P755" s="64"/>
      <c r="Q755" s="64"/>
      <c r="R755" s="64"/>
      <c r="S755" s="64"/>
      <c r="T755" s="65"/>
      <c r="U755" s="64"/>
      <c r="V755" s="64"/>
      <c r="W755" s="64"/>
      <c r="X755" s="64"/>
      <c r="Y755" s="64"/>
      <c r="Z755" s="64"/>
      <c r="AA755" s="64"/>
      <c r="AB755" s="64"/>
      <c r="AC755" s="64"/>
      <c r="AD755" s="64"/>
      <c r="AE755" s="64"/>
      <c r="AF755" s="64"/>
      <c r="AG755" s="64"/>
    </row>
    <row r="756">
      <c r="A756" s="64"/>
      <c r="B756" s="64"/>
      <c r="C756" s="64"/>
      <c r="D756" s="64"/>
      <c r="E756" s="65"/>
      <c r="F756" s="64"/>
      <c r="G756" s="67"/>
      <c r="H756" s="64"/>
      <c r="I756" s="64"/>
      <c r="J756" s="64"/>
      <c r="K756" s="64"/>
      <c r="L756" s="65"/>
      <c r="M756" s="64"/>
      <c r="N756" s="64"/>
      <c r="O756" s="64"/>
      <c r="P756" s="64"/>
      <c r="Q756" s="64"/>
      <c r="R756" s="64"/>
      <c r="S756" s="64"/>
      <c r="T756" s="65"/>
      <c r="U756" s="64"/>
      <c r="V756" s="64"/>
      <c r="W756" s="64"/>
      <c r="X756" s="64"/>
      <c r="Y756" s="64"/>
      <c r="Z756" s="64"/>
      <c r="AA756" s="64"/>
      <c r="AB756" s="64"/>
      <c r="AC756" s="64"/>
      <c r="AD756" s="64"/>
      <c r="AE756" s="64"/>
      <c r="AF756" s="64"/>
      <c r="AG756" s="64"/>
    </row>
    <row r="757">
      <c r="A757" s="64"/>
      <c r="B757" s="64"/>
      <c r="C757" s="64"/>
      <c r="D757" s="64"/>
      <c r="E757" s="65"/>
      <c r="F757" s="64"/>
      <c r="G757" s="67"/>
      <c r="H757" s="64"/>
      <c r="I757" s="64"/>
      <c r="J757" s="64"/>
      <c r="K757" s="64"/>
      <c r="L757" s="65"/>
      <c r="M757" s="64"/>
      <c r="N757" s="64"/>
      <c r="O757" s="64"/>
      <c r="P757" s="64"/>
      <c r="Q757" s="64"/>
      <c r="R757" s="64"/>
      <c r="S757" s="64"/>
      <c r="T757" s="65"/>
      <c r="U757" s="64"/>
      <c r="V757" s="64"/>
      <c r="W757" s="64"/>
      <c r="X757" s="64"/>
      <c r="Y757" s="64"/>
      <c r="Z757" s="64"/>
      <c r="AA757" s="64"/>
      <c r="AB757" s="64"/>
      <c r="AC757" s="64"/>
      <c r="AD757" s="64"/>
      <c r="AE757" s="64"/>
      <c r="AF757" s="64"/>
      <c r="AG757" s="64"/>
    </row>
    <row r="758">
      <c r="A758" s="64"/>
      <c r="B758" s="64"/>
      <c r="C758" s="64"/>
      <c r="D758" s="64"/>
      <c r="E758" s="65"/>
      <c r="F758" s="64"/>
      <c r="G758" s="67"/>
      <c r="H758" s="64"/>
      <c r="I758" s="64"/>
      <c r="J758" s="64"/>
      <c r="K758" s="64"/>
      <c r="L758" s="65"/>
      <c r="M758" s="64"/>
      <c r="N758" s="64"/>
      <c r="O758" s="64"/>
      <c r="P758" s="64"/>
      <c r="Q758" s="64"/>
      <c r="R758" s="64"/>
      <c r="S758" s="64"/>
      <c r="T758" s="65"/>
      <c r="U758" s="64"/>
      <c r="V758" s="64"/>
      <c r="W758" s="64"/>
      <c r="X758" s="64"/>
      <c r="Y758" s="64"/>
      <c r="Z758" s="64"/>
      <c r="AA758" s="64"/>
      <c r="AB758" s="64"/>
      <c r="AC758" s="64"/>
      <c r="AD758" s="64"/>
      <c r="AE758" s="64"/>
      <c r="AF758" s="64"/>
      <c r="AG758" s="64"/>
    </row>
    <row r="759">
      <c r="A759" s="64"/>
      <c r="B759" s="64"/>
      <c r="C759" s="64"/>
      <c r="D759" s="64"/>
      <c r="E759" s="65"/>
      <c r="F759" s="64"/>
      <c r="G759" s="67"/>
      <c r="H759" s="64"/>
      <c r="I759" s="64"/>
      <c r="J759" s="64"/>
      <c r="K759" s="64"/>
      <c r="L759" s="65"/>
      <c r="M759" s="64"/>
      <c r="N759" s="64"/>
      <c r="O759" s="64"/>
      <c r="P759" s="64"/>
      <c r="Q759" s="64"/>
      <c r="R759" s="64"/>
      <c r="S759" s="64"/>
      <c r="T759" s="65"/>
      <c r="U759" s="64"/>
      <c r="V759" s="64"/>
      <c r="W759" s="64"/>
      <c r="X759" s="64"/>
      <c r="Y759" s="64"/>
      <c r="Z759" s="64"/>
      <c r="AA759" s="64"/>
      <c r="AB759" s="64"/>
      <c r="AC759" s="64"/>
      <c r="AD759" s="64"/>
      <c r="AE759" s="64"/>
      <c r="AF759" s="64"/>
      <c r="AG759" s="64"/>
    </row>
    <row r="760">
      <c r="A760" s="64"/>
      <c r="B760" s="64"/>
      <c r="C760" s="64"/>
      <c r="D760" s="64"/>
      <c r="E760" s="65"/>
      <c r="F760" s="64"/>
      <c r="G760" s="67"/>
      <c r="H760" s="64"/>
      <c r="I760" s="64"/>
      <c r="J760" s="64"/>
      <c r="K760" s="64"/>
      <c r="L760" s="65"/>
      <c r="M760" s="64"/>
      <c r="N760" s="64"/>
      <c r="O760" s="64"/>
      <c r="P760" s="64"/>
      <c r="Q760" s="64"/>
      <c r="R760" s="64"/>
      <c r="S760" s="64"/>
      <c r="T760" s="65"/>
      <c r="U760" s="64"/>
      <c r="V760" s="64"/>
      <c r="W760" s="64"/>
      <c r="X760" s="64"/>
      <c r="Y760" s="64"/>
      <c r="Z760" s="64"/>
      <c r="AA760" s="64"/>
      <c r="AB760" s="64"/>
      <c r="AC760" s="64"/>
      <c r="AD760" s="64"/>
      <c r="AE760" s="64"/>
      <c r="AF760" s="64"/>
      <c r="AG760" s="64"/>
    </row>
    <row r="761">
      <c r="A761" s="64"/>
      <c r="B761" s="64"/>
      <c r="C761" s="64"/>
      <c r="D761" s="64"/>
      <c r="E761" s="65"/>
      <c r="F761" s="64"/>
      <c r="G761" s="67"/>
      <c r="H761" s="64"/>
      <c r="I761" s="64"/>
      <c r="J761" s="64"/>
      <c r="K761" s="64"/>
      <c r="L761" s="65"/>
      <c r="M761" s="64"/>
      <c r="N761" s="64"/>
      <c r="O761" s="64"/>
      <c r="P761" s="64"/>
      <c r="Q761" s="64"/>
      <c r="R761" s="64"/>
      <c r="S761" s="64"/>
      <c r="T761" s="65"/>
      <c r="U761" s="64"/>
      <c r="V761" s="64"/>
      <c r="W761" s="64"/>
      <c r="X761" s="64"/>
      <c r="Y761" s="64"/>
      <c r="Z761" s="64"/>
      <c r="AA761" s="64"/>
      <c r="AB761" s="64"/>
      <c r="AC761" s="64"/>
      <c r="AD761" s="64"/>
      <c r="AE761" s="64"/>
      <c r="AF761" s="64"/>
      <c r="AG761" s="64"/>
    </row>
    <row r="762">
      <c r="A762" s="64"/>
      <c r="B762" s="64"/>
      <c r="C762" s="64"/>
      <c r="D762" s="64"/>
      <c r="E762" s="65"/>
      <c r="F762" s="64"/>
      <c r="G762" s="67"/>
      <c r="H762" s="64"/>
      <c r="I762" s="64"/>
      <c r="J762" s="64"/>
      <c r="K762" s="64"/>
      <c r="L762" s="65"/>
      <c r="M762" s="64"/>
      <c r="N762" s="64"/>
      <c r="O762" s="64"/>
      <c r="P762" s="64"/>
      <c r="Q762" s="64"/>
      <c r="R762" s="64"/>
      <c r="S762" s="64"/>
      <c r="T762" s="65"/>
      <c r="U762" s="64"/>
      <c r="V762" s="64"/>
      <c r="W762" s="64"/>
      <c r="X762" s="64"/>
      <c r="Y762" s="64"/>
      <c r="Z762" s="64"/>
      <c r="AA762" s="64"/>
      <c r="AB762" s="64"/>
      <c r="AC762" s="64"/>
      <c r="AD762" s="64"/>
      <c r="AE762" s="64"/>
      <c r="AF762" s="64"/>
      <c r="AG762" s="64"/>
    </row>
    <row r="763">
      <c r="A763" s="64"/>
      <c r="B763" s="64"/>
      <c r="C763" s="64"/>
      <c r="D763" s="64"/>
      <c r="E763" s="65"/>
      <c r="F763" s="64"/>
      <c r="G763" s="67"/>
      <c r="H763" s="64"/>
      <c r="I763" s="64"/>
      <c r="J763" s="64"/>
      <c r="K763" s="64"/>
      <c r="L763" s="65"/>
      <c r="M763" s="64"/>
      <c r="N763" s="64"/>
      <c r="O763" s="64"/>
      <c r="P763" s="64"/>
      <c r="Q763" s="64"/>
      <c r="R763" s="64"/>
      <c r="S763" s="64"/>
      <c r="T763" s="65"/>
      <c r="U763" s="64"/>
      <c r="V763" s="64"/>
      <c r="W763" s="64"/>
      <c r="X763" s="64"/>
      <c r="Y763" s="64"/>
      <c r="Z763" s="64"/>
      <c r="AA763" s="64"/>
      <c r="AB763" s="64"/>
      <c r="AC763" s="64"/>
      <c r="AD763" s="64"/>
      <c r="AE763" s="64"/>
      <c r="AF763" s="64"/>
      <c r="AG763" s="64"/>
    </row>
    <row r="764">
      <c r="A764" s="64"/>
      <c r="B764" s="64"/>
      <c r="C764" s="64"/>
      <c r="D764" s="64"/>
      <c r="E764" s="65"/>
      <c r="F764" s="64"/>
      <c r="G764" s="67"/>
      <c r="H764" s="64"/>
      <c r="I764" s="64"/>
      <c r="J764" s="64"/>
      <c r="K764" s="64"/>
      <c r="L764" s="65"/>
      <c r="M764" s="64"/>
      <c r="N764" s="64"/>
      <c r="O764" s="64"/>
      <c r="P764" s="64"/>
      <c r="Q764" s="64"/>
      <c r="R764" s="64"/>
      <c r="S764" s="64"/>
      <c r="T764" s="65"/>
      <c r="U764" s="64"/>
      <c r="V764" s="64"/>
      <c r="W764" s="64"/>
      <c r="X764" s="64"/>
      <c r="Y764" s="64"/>
      <c r="Z764" s="64"/>
      <c r="AA764" s="64"/>
      <c r="AB764" s="64"/>
      <c r="AC764" s="64"/>
      <c r="AD764" s="64"/>
      <c r="AE764" s="64"/>
      <c r="AF764" s="64"/>
      <c r="AG764" s="64"/>
    </row>
    <row r="765">
      <c r="A765" s="64"/>
      <c r="B765" s="64"/>
      <c r="C765" s="64"/>
      <c r="D765" s="64"/>
      <c r="E765" s="65"/>
      <c r="F765" s="64"/>
      <c r="G765" s="67"/>
      <c r="H765" s="64"/>
      <c r="I765" s="64"/>
      <c r="J765" s="64"/>
      <c r="K765" s="64"/>
      <c r="L765" s="65"/>
      <c r="M765" s="64"/>
      <c r="N765" s="64"/>
      <c r="O765" s="64"/>
      <c r="P765" s="64"/>
      <c r="Q765" s="64"/>
      <c r="R765" s="64"/>
      <c r="S765" s="64"/>
      <c r="T765" s="65"/>
      <c r="U765" s="64"/>
      <c r="V765" s="64"/>
      <c r="W765" s="64"/>
      <c r="X765" s="64"/>
      <c r="Y765" s="64"/>
      <c r="Z765" s="64"/>
      <c r="AA765" s="64"/>
      <c r="AB765" s="64"/>
      <c r="AC765" s="64"/>
      <c r="AD765" s="64"/>
      <c r="AE765" s="64"/>
      <c r="AF765" s="64"/>
      <c r="AG765" s="64"/>
    </row>
    <row r="766">
      <c r="A766" s="64"/>
      <c r="B766" s="64"/>
      <c r="C766" s="64"/>
      <c r="D766" s="64"/>
      <c r="E766" s="65"/>
      <c r="F766" s="64"/>
      <c r="G766" s="67"/>
      <c r="H766" s="64"/>
      <c r="I766" s="64"/>
      <c r="J766" s="64"/>
      <c r="K766" s="64"/>
      <c r="L766" s="65"/>
      <c r="M766" s="64"/>
      <c r="N766" s="64"/>
      <c r="O766" s="64"/>
      <c r="P766" s="64"/>
      <c r="Q766" s="64"/>
      <c r="R766" s="64"/>
      <c r="S766" s="64"/>
      <c r="T766" s="65"/>
      <c r="U766" s="64"/>
      <c r="V766" s="64"/>
      <c r="W766" s="64"/>
      <c r="X766" s="64"/>
      <c r="Y766" s="64"/>
      <c r="Z766" s="64"/>
      <c r="AA766" s="64"/>
      <c r="AB766" s="64"/>
      <c r="AC766" s="64"/>
      <c r="AD766" s="64"/>
      <c r="AE766" s="64"/>
      <c r="AF766" s="64"/>
      <c r="AG766" s="64"/>
    </row>
    <row r="767">
      <c r="A767" s="64"/>
      <c r="B767" s="64"/>
      <c r="C767" s="64"/>
      <c r="D767" s="64"/>
      <c r="E767" s="65"/>
      <c r="F767" s="64"/>
      <c r="G767" s="67"/>
      <c r="H767" s="64"/>
      <c r="I767" s="64"/>
      <c r="J767" s="64"/>
      <c r="K767" s="64"/>
      <c r="L767" s="65"/>
      <c r="M767" s="64"/>
      <c r="N767" s="64"/>
      <c r="O767" s="64"/>
      <c r="P767" s="64"/>
      <c r="Q767" s="64"/>
      <c r="R767" s="64"/>
      <c r="S767" s="64"/>
      <c r="T767" s="65"/>
      <c r="U767" s="64"/>
      <c r="V767" s="64"/>
      <c r="W767" s="64"/>
      <c r="X767" s="64"/>
      <c r="Y767" s="64"/>
      <c r="Z767" s="64"/>
      <c r="AA767" s="64"/>
      <c r="AB767" s="64"/>
      <c r="AC767" s="64"/>
      <c r="AD767" s="64"/>
      <c r="AE767" s="64"/>
      <c r="AF767" s="64"/>
      <c r="AG767" s="64"/>
    </row>
    <row r="768">
      <c r="A768" s="64"/>
      <c r="B768" s="64"/>
      <c r="C768" s="64"/>
      <c r="D768" s="64"/>
      <c r="E768" s="65"/>
      <c r="F768" s="64"/>
      <c r="G768" s="67"/>
      <c r="H768" s="64"/>
      <c r="I768" s="64"/>
      <c r="J768" s="64"/>
      <c r="K768" s="64"/>
      <c r="L768" s="65"/>
      <c r="M768" s="64"/>
      <c r="N768" s="64"/>
      <c r="O768" s="64"/>
      <c r="P768" s="64"/>
      <c r="Q768" s="64"/>
      <c r="R768" s="64"/>
      <c r="S768" s="64"/>
      <c r="T768" s="65"/>
      <c r="U768" s="64"/>
      <c r="V768" s="64"/>
      <c r="W768" s="64"/>
      <c r="X768" s="64"/>
      <c r="Y768" s="64"/>
      <c r="Z768" s="64"/>
      <c r="AA768" s="64"/>
      <c r="AB768" s="64"/>
      <c r="AC768" s="64"/>
      <c r="AD768" s="64"/>
      <c r="AE768" s="64"/>
      <c r="AF768" s="64"/>
      <c r="AG768" s="64"/>
    </row>
    <row r="769">
      <c r="A769" s="64"/>
      <c r="B769" s="64"/>
      <c r="C769" s="64"/>
      <c r="D769" s="64"/>
      <c r="E769" s="65"/>
      <c r="F769" s="64"/>
      <c r="G769" s="67"/>
      <c r="H769" s="64"/>
      <c r="I769" s="64"/>
      <c r="J769" s="64"/>
      <c r="K769" s="64"/>
      <c r="L769" s="65"/>
      <c r="M769" s="64"/>
      <c r="N769" s="64"/>
      <c r="O769" s="64"/>
      <c r="P769" s="64"/>
      <c r="Q769" s="64"/>
      <c r="R769" s="64"/>
      <c r="S769" s="64"/>
      <c r="T769" s="65"/>
      <c r="U769" s="64"/>
      <c r="V769" s="64"/>
      <c r="W769" s="64"/>
      <c r="X769" s="64"/>
      <c r="Y769" s="64"/>
      <c r="Z769" s="64"/>
      <c r="AA769" s="64"/>
      <c r="AB769" s="64"/>
      <c r="AC769" s="64"/>
      <c r="AD769" s="64"/>
      <c r="AE769" s="64"/>
      <c r="AF769" s="64"/>
      <c r="AG769" s="64"/>
    </row>
    <row r="770">
      <c r="A770" s="64"/>
      <c r="B770" s="64"/>
      <c r="C770" s="64"/>
      <c r="D770" s="64"/>
      <c r="E770" s="65"/>
      <c r="F770" s="64"/>
      <c r="G770" s="67"/>
      <c r="H770" s="64"/>
      <c r="I770" s="64"/>
      <c r="J770" s="64"/>
      <c r="K770" s="64"/>
      <c r="L770" s="65"/>
      <c r="M770" s="64"/>
      <c r="N770" s="64"/>
      <c r="O770" s="64"/>
      <c r="P770" s="64"/>
      <c r="Q770" s="64"/>
      <c r="R770" s="64"/>
      <c r="S770" s="64"/>
      <c r="T770" s="65"/>
      <c r="U770" s="64"/>
      <c r="V770" s="64"/>
      <c r="W770" s="64"/>
      <c r="X770" s="64"/>
      <c r="Y770" s="64"/>
      <c r="Z770" s="64"/>
      <c r="AA770" s="64"/>
      <c r="AB770" s="64"/>
      <c r="AC770" s="64"/>
      <c r="AD770" s="64"/>
      <c r="AE770" s="64"/>
      <c r="AF770" s="64"/>
      <c r="AG770" s="64"/>
    </row>
    <row r="771">
      <c r="A771" s="64"/>
      <c r="B771" s="64"/>
      <c r="C771" s="64"/>
      <c r="D771" s="64"/>
      <c r="E771" s="65"/>
      <c r="F771" s="64"/>
      <c r="G771" s="67"/>
      <c r="H771" s="64"/>
      <c r="I771" s="64"/>
      <c r="J771" s="64"/>
      <c r="K771" s="64"/>
      <c r="L771" s="65"/>
      <c r="M771" s="64"/>
      <c r="N771" s="64"/>
      <c r="O771" s="64"/>
      <c r="P771" s="64"/>
      <c r="Q771" s="64"/>
      <c r="R771" s="64"/>
      <c r="S771" s="64"/>
      <c r="T771" s="65"/>
      <c r="U771" s="64"/>
      <c r="V771" s="64"/>
      <c r="W771" s="64"/>
      <c r="X771" s="64"/>
      <c r="Y771" s="64"/>
      <c r="Z771" s="64"/>
      <c r="AA771" s="64"/>
      <c r="AB771" s="64"/>
      <c r="AC771" s="64"/>
      <c r="AD771" s="64"/>
      <c r="AE771" s="64"/>
      <c r="AF771" s="64"/>
      <c r="AG771" s="64"/>
    </row>
    <row r="772">
      <c r="A772" s="64"/>
      <c r="B772" s="64"/>
      <c r="C772" s="64"/>
      <c r="D772" s="64"/>
      <c r="E772" s="65"/>
      <c r="F772" s="64"/>
      <c r="G772" s="67"/>
      <c r="H772" s="64"/>
      <c r="I772" s="64"/>
      <c r="J772" s="64"/>
      <c r="K772" s="64"/>
      <c r="L772" s="65"/>
      <c r="M772" s="64"/>
      <c r="N772" s="64"/>
      <c r="O772" s="64"/>
      <c r="P772" s="64"/>
      <c r="Q772" s="64"/>
      <c r="R772" s="64"/>
      <c r="S772" s="64"/>
      <c r="T772" s="65"/>
      <c r="U772" s="64"/>
      <c r="V772" s="64"/>
      <c r="W772" s="64"/>
      <c r="X772" s="64"/>
      <c r="Y772" s="64"/>
      <c r="Z772" s="64"/>
      <c r="AA772" s="64"/>
      <c r="AB772" s="64"/>
      <c r="AC772" s="64"/>
      <c r="AD772" s="64"/>
      <c r="AE772" s="64"/>
      <c r="AF772" s="64"/>
      <c r="AG772" s="64"/>
    </row>
    <row r="773">
      <c r="A773" s="64"/>
      <c r="B773" s="64"/>
      <c r="C773" s="64"/>
      <c r="D773" s="64"/>
      <c r="E773" s="65"/>
      <c r="F773" s="64"/>
      <c r="G773" s="67"/>
      <c r="H773" s="64"/>
      <c r="I773" s="64"/>
      <c r="J773" s="64"/>
      <c r="K773" s="64"/>
      <c r="L773" s="65"/>
      <c r="M773" s="64"/>
      <c r="N773" s="64"/>
      <c r="O773" s="64"/>
      <c r="P773" s="64"/>
      <c r="Q773" s="64"/>
      <c r="R773" s="64"/>
      <c r="S773" s="64"/>
      <c r="T773" s="65"/>
      <c r="U773" s="64"/>
      <c r="V773" s="64"/>
      <c r="W773" s="64"/>
      <c r="X773" s="64"/>
      <c r="Y773" s="64"/>
      <c r="Z773" s="64"/>
      <c r="AA773" s="64"/>
      <c r="AB773" s="64"/>
      <c r="AC773" s="64"/>
      <c r="AD773" s="64"/>
      <c r="AE773" s="64"/>
      <c r="AF773" s="64"/>
      <c r="AG773" s="64"/>
    </row>
    <row r="774">
      <c r="A774" s="64"/>
      <c r="B774" s="64"/>
      <c r="C774" s="64"/>
      <c r="D774" s="64"/>
      <c r="E774" s="65"/>
      <c r="F774" s="64"/>
      <c r="G774" s="67"/>
      <c r="H774" s="64"/>
      <c r="I774" s="64"/>
      <c r="J774" s="64"/>
      <c r="K774" s="64"/>
      <c r="L774" s="65"/>
      <c r="M774" s="64"/>
      <c r="N774" s="64"/>
      <c r="O774" s="64"/>
      <c r="P774" s="64"/>
      <c r="Q774" s="64"/>
      <c r="R774" s="64"/>
      <c r="S774" s="64"/>
      <c r="T774" s="65"/>
      <c r="U774" s="64"/>
      <c r="V774" s="64"/>
      <c r="W774" s="64"/>
      <c r="X774" s="64"/>
      <c r="Y774" s="64"/>
      <c r="Z774" s="64"/>
      <c r="AA774" s="64"/>
      <c r="AB774" s="64"/>
      <c r="AC774" s="64"/>
      <c r="AD774" s="64"/>
      <c r="AE774" s="64"/>
      <c r="AF774" s="64"/>
      <c r="AG774" s="64"/>
    </row>
    <row r="775">
      <c r="A775" s="64"/>
      <c r="B775" s="64"/>
      <c r="C775" s="64"/>
      <c r="D775" s="64"/>
      <c r="E775" s="65"/>
      <c r="F775" s="64"/>
      <c r="G775" s="67"/>
      <c r="H775" s="64"/>
      <c r="I775" s="64"/>
      <c r="J775" s="64"/>
      <c r="K775" s="64"/>
      <c r="L775" s="65"/>
      <c r="M775" s="64"/>
      <c r="N775" s="64"/>
      <c r="O775" s="64"/>
      <c r="P775" s="64"/>
      <c r="Q775" s="64"/>
      <c r="R775" s="64"/>
      <c r="S775" s="64"/>
      <c r="T775" s="65"/>
      <c r="U775" s="64"/>
      <c r="V775" s="64"/>
      <c r="W775" s="64"/>
      <c r="X775" s="64"/>
      <c r="Y775" s="64"/>
      <c r="Z775" s="64"/>
      <c r="AA775" s="64"/>
      <c r="AB775" s="64"/>
      <c r="AC775" s="64"/>
      <c r="AD775" s="64"/>
      <c r="AE775" s="64"/>
      <c r="AF775" s="64"/>
      <c r="AG775" s="64"/>
    </row>
    <row r="776">
      <c r="A776" s="64"/>
      <c r="B776" s="64"/>
      <c r="C776" s="64"/>
      <c r="D776" s="64"/>
      <c r="E776" s="65"/>
      <c r="F776" s="64"/>
      <c r="G776" s="67"/>
      <c r="H776" s="64"/>
      <c r="I776" s="64"/>
      <c r="J776" s="64"/>
      <c r="K776" s="64"/>
      <c r="L776" s="65"/>
      <c r="M776" s="64"/>
      <c r="N776" s="64"/>
      <c r="O776" s="64"/>
      <c r="P776" s="64"/>
      <c r="Q776" s="64"/>
      <c r="R776" s="64"/>
      <c r="S776" s="64"/>
      <c r="T776" s="65"/>
      <c r="U776" s="64"/>
      <c r="V776" s="64"/>
      <c r="W776" s="64"/>
      <c r="X776" s="64"/>
      <c r="Y776" s="64"/>
      <c r="Z776" s="64"/>
      <c r="AA776" s="64"/>
      <c r="AB776" s="64"/>
      <c r="AC776" s="64"/>
      <c r="AD776" s="64"/>
      <c r="AE776" s="64"/>
      <c r="AF776" s="64"/>
      <c r="AG776" s="64"/>
    </row>
    <row r="777">
      <c r="A777" s="64"/>
      <c r="B777" s="64"/>
      <c r="C777" s="64"/>
      <c r="D777" s="64"/>
      <c r="E777" s="65"/>
      <c r="F777" s="64"/>
      <c r="G777" s="67"/>
      <c r="H777" s="64"/>
      <c r="I777" s="64"/>
      <c r="J777" s="64"/>
      <c r="K777" s="64"/>
      <c r="L777" s="65"/>
      <c r="M777" s="64"/>
      <c r="N777" s="64"/>
      <c r="O777" s="64"/>
      <c r="P777" s="64"/>
      <c r="Q777" s="64"/>
      <c r="R777" s="64"/>
      <c r="S777" s="64"/>
      <c r="T777" s="65"/>
      <c r="U777" s="64"/>
      <c r="V777" s="64"/>
      <c r="W777" s="64"/>
      <c r="X777" s="64"/>
      <c r="Y777" s="64"/>
      <c r="Z777" s="64"/>
      <c r="AA777" s="64"/>
      <c r="AB777" s="64"/>
      <c r="AC777" s="64"/>
      <c r="AD777" s="64"/>
      <c r="AE777" s="64"/>
      <c r="AF777" s="64"/>
      <c r="AG777" s="64"/>
    </row>
    <row r="778">
      <c r="A778" s="64"/>
      <c r="B778" s="64"/>
      <c r="C778" s="64"/>
      <c r="D778" s="64"/>
      <c r="E778" s="65"/>
      <c r="F778" s="64"/>
      <c r="G778" s="67"/>
      <c r="H778" s="64"/>
      <c r="I778" s="64"/>
      <c r="J778" s="64"/>
      <c r="K778" s="64"/>
      <c r="L778" s="65"/>
      <c r="M778" s="64"/>
      <c r="N778" s="64"/>
      <c r="O778" s="64"/>
      <c r="P778" s="64"/>
      <c r="Q778" s="64"/>
      <c r="R778" s="64"/>
      <c r="S778" s="64"/>
      <c r="T778" s="65"/>
      <c r="U778" s="64"/>
      <c r="V778" s="64"/>
      <c r="W778" s="64"/>
      <c r="X778" s="64"/>
      <c r="Y778" s="64"/>
      <c r="Z778" s="64"/>
      <c r="AA778" s="64"/>
      <c r="AB778" s="64"/>
      <c r="AC778" s="64"/>
      <c r="AD778" s="64"/>
      <c r="AE778" s="64"/>
      <c r="AF778" s="64"/>
      <c r="AG778" s="64"/>
    </row>
    <row r="779">
      <c r="A779" s="64"/>
      <c r="B779" s="64"/>
      <c r="C779" s="64"/>
      <c r="D779" s="64"/>
      <c r="E779" s="65"/>
      <c r="F779" s="64"/>
      <c r="G779" s="67"/>
      <c r="H779" s="64"/>
      <c r="I779" s="64"/>
      <c r="J779" s="64"/>
      <c r="K779" s="64"/>
      <c r="L779" s="65"/>
      <c r="M779" s="64"/>
      <c r="N779" s="64"/>
      <c r="O779" s="64"/>
      <c r="P779" s="64"/>
      <c r="Q779" s="64"/>
      <c r="R779" s="64"/>
      <c r="S779" s="64"/>
      <c r="T779" s="65"/>
      <c r="U779" s="64"/>
      <c r="V779" s="64"/>
      <c r="W779" s="64"/>
      <c r="X779" s="64"/>
      <c r="Y779" s="64"/>
      <c r="Z779" s="64"/>
      <c r="AA779" s="64"/>
      <c r="AB779" s="64"/>
      <c r="AC779" s="64"/>
      <c r="AD779" s="64"/>
      <c r="AE779" s="64"/>
      <c r="AF779" s="64"/>
      <c r="AG779" s="64"/>
    </row>
    <row r="780">
      <c r="A780" s="64"/>
      <c r="B780" s="64"/>
      <c r="C780" s="64"/>
      <c r="D780" s="64"/>
      <c r="E780" s="65"/>
      <c r="F780" s="64"/>
      <c r="G780" s="67"/>
      <c r="H780" s="64"/>
      <c r="I780" s="64"/>
      <c r="J780" s="64"/>
      <c r="K780" s="64"/>
      <c r="L780" s="65"/>
      <c r="M780" s="64"/>
      <c r="N780" s="64"/>
      <c r="O780" s="64"/>
      <c r="P780" s="64"/>
      <c r="Q780" s="64"/>
      <c r="R780" s="64"/>
      <c r="S780" s="64"/>
      <c r="T780" s="65"/>
      <c r="U780" s="64"/>
      <c r="V780" s="64"/>
      <c r="W780" s="64"/>
      <c r="X780" s="64"/>
      <c r="Y780" s="64"/>
      <c r="Z780" s="64"/>
      <c r="AA780" s="64"/>
      <c r="AB780" s="64"/>
      <c r="AC780" s="64"/>
      <c r="AD780" s="64"/>
      <c r="AE780" s="64"/>
      <c r="AF780" s="64"/>
      <c r="AG780" s="64"/>
    </row>
    <row r="781">
      <c r="A781" s="64"/>
      <c r="B781" s="64"/>
      <c r="C781" s="64"/>
      <c r="D781" s="64"/>
      <c r="E781" s="65"/>
      <c r="F781" s="64"/>
      <c r="G781" s="67"/>
      <c r="H781" s="64"/>
      <c r="I781" s="64"/>
      <c r="J781" s="64"/>
      <c r="K781" s="64"/>
      <c r="L781" s="65"/>
      <c r="M781" s="64"/>
      <c r="N781" s="64"/>
      <c r="O781" s="64"/>
      <c r="P781" s="64"/>
      <c r="Q781" s="64"/>
      <c r="R781" s="64"/>
      <c r="S781" s="64"/>
      <c r="T781" s="65"/>
      <c r="U781" s="64"/>
      <c r="V781" s="64"/>
      <c r="W781" s="64"/>
      <c r="X781" s="64"/>
      <c r="Y781" s="64"/>
      <c r="Z781" s="64"/>
      <c r="AA781" s="64"/>
      <c r="AB781" s="64"/>
      <c r="AC781" s="64"/>
      <c r="AD781" s="64"/>
      <c r="AE781" s="64"/>
      <c r="AF781" s="64"/>
      <c r="AG781" s="64"/>
    </row>
    <row r="782">
      <c r="A782" s="64"/>
      <c r="B782" s="64"/>
      <c r="C782" s="64"/>
      <c r="D782" s="64"/>
      <c r="E782" s="65"/>
      <c r="F782" s="64"/>
      <c r="G782" s="67"/>
      <c r="H782" s="64"/>
      <c r="I782" s="64"/>
      <c r="J782" s="64"/>
      <c r="K782" s="64"/>
      <c r="L782" s="65"/>
      <c r="M782" s="64"/>
      <c r="N782" s="64"/>
      <c r="O782" s="64"/>
      <c r="P782" s="64"/>
      <c r="Q782" s="64"/>
      <c r="R782" s="64"/>
      <c r="S782" s="64"/>
      <c r="T782" s="65"/>
      <c r="U782" s="64"/>
      <c r="V782" s="64"/>
      <c r="W782" s="64"/>
      <c r="X782" s="64"/>
      <c r="Y782" s="64"/>
      <c r="Z782" s="64"/>
      <c r="AA782" s="64"/>
      <c r="AB782" s="64"/>
      <c r="AC782" s="64"/>
      <c r="AD782" s="64"/>
      <c r="AE782" s="64"/>
      <c r="AF782" s="64"/>
      <c r="AG782" s="64"/>
    </row>
    <row r="783">
      <c r="A783" s="64"/>
      <c r="B783" s="64"/>
      <c r="C783" s="64"/>
      <c r="D783" s="64"/>
      <c r="E783" s="65"/>
      <c r="F783" s="64"/>
      <c r="G783" s="67"/>
      <c r="H783" s="64"/>
      <c r="I783" s="64"/>
      <c r="J783" s="64"/>
      <c r="K783" s="64"/>
      <c r="L783" s="65"/>
      <c r="M783" s="64"/>
      <c r="N783" s="64"/>
      <c r="O783" s="64"/>
      <c r="P783" s="64"/>
      <c r="Q783" s="64"/>
      <c r="R783" s="64"/>
      <c r="S783" s="64"/>
      <c r="T783" s="65"/>
      <c r="U783" s="64"/>
      <c r="V783" s="64"/>
      <c r="W783" s="64"/>
      <c r="X783" s="64"/>
      <c r="Y783" s="64"/>
      <c r="Z783" s="64"/>
      <c r="AA783" s="64"/>
      <c r="AB783" s="64"/>
      <c r="AC783" s="64"/>
      <c r="AD783" s="64"/>
      <c r="AE783" s="64"/>
      <c r="AF783" s="64"/>
      <c r="AG783" s="64"/>
    </row>
    <row r="784">
      <c r="A784" s="64"/>
      <c r="B784" s="64"/>
      <c r="C784" s="64"/>
      <c r="D784" s="64"/>
      <c r="E784" s="65"/>
      <c r="F784" s="64"/>
      <c r="G784" s="67"/>
      <c r="H784" s="64"/>
      <c r="I784" s="64"/>
      <c r="J784" s="64"/>
      <c r="K784" s="64"/>
      <c r="L784" s="65"/>
      <c r="M784" s="64"/>
      <c r="N784" s="64"/>
      <c r="O784" s="64"/>
      <c r="P784" s="64"/>
      <c r="Q784" s="64"/>
      <c r="R784" s="64"/>
      <c r="S784" s="64"/>
      <c r="T784" s="65"/>
      <c r="U784" s="64"/>
      <c r="V784" s="64"/>
      <c r="W784" s="64"/>
      <c r="X784" s="64"/>
      <c r="Y784" s="64"/>
      <c r="Z784" s="64"/>
      <c r="AA784" s="64"/>
      <c r="AB784" s="64"/>
      <c r="AC784" s="64"/>
      <c r="AD784" s="64"/>
      <c r="AE784" s="64"/>
      <c r="AF784" s="64"/>
      <c r="AG784" s="64"/>
    </row>
    <row r="785">
      <c r="A785" s="64"/>
      <c r="B785" s="64"/>
      <c r="C785" s="64"/>
      <c r="D785" s="64"/>
      <c r="E785" s="65"/>
      <c r="F785" s="64"/>
      <c r="G785" s="67"/>
      <c r="H785" s="64"/>
      <c r="I785" s="64"/>
      <c r="J785" s="64"/>
      <c r="K785" s="64"/>
      <c r="L785" s="65"/>
      <c r="M785" s="64"/>
      <c r="N785" s="64"/>
      <c r="O785" s="64"/>
      <c r="P785" s="64"/>
      <c r="Q785" s="64"/>
      <c r="R785" s="64"/>
      <c r="S785" s="64"/>
      <c r="T785" s="65"/>
      <c r="U785" s="64"/>
      <c r="V785" s="64"/>
      <c r="W785" s="64"/>
      <c r="X785" s="64"/>
      <c r="Y785" s="64"/>
      <c r="Z785" s="64"/>
      <c r="AA785" s="64"/>
      <c r="AB785" s="64"/>
      <c r="AC785" s="64"/>
      <c r="AD785" s="64"/>
      <c r="AE785" s="64"/>
      <c r="AF785" s="64"/>
      <c r="AG785" s="64"/>
    </row>
    <row r="786">
      <c r="A786" s="64"/>
      <c r="B786" s="64"/>
      <c r="C786" s="64"/>
      <c r="D786" s="64"/>
      <c r="E786" s="65"/>
      <c r="F786" s="64"/>
      <c r="G786" s="67"/>
      <c r="H786" s="64"/>
      <c r="I786" s="64"/>
      <c r="J786" s="64"/>
      <c r="K786" s="64"/>
      <c r="L786" s="65"/>
      <c r="M786" s="64"/>
      <c r="N786" s="64"/>
      <c r="O786" s="64"/>
      <c r="P786" s="64"/>
      <c r="Q786" s="64"/>
      <c r="R786" s="64"/>
      <c r="S786" s="64"/>
      <c r="T786" s="65"/>
      <c r="U786" s="64"/>
      <c r="V786" s="64"/>
      <c r="W786" s="64"/>
      <c r="X786" s="64"/>
      <c r="Y786" s="64"/>
      <c r="Z786" s="64"/>
      <c r="AA786" s="64"/>
      <c r="AB786" s="64"/>
      <c r="AC786" s="64"/>
      <c r="AD786" s="64"/>
      <c r="AE786" s="64"/>
      <c r="AF786" s="64"/>
      <c r="AG786" s="64"/>
    </row>
    <row r="787">
      <c r="A787" s="64"/>
      <c r="B787" s="64"/>
      <c r="C787" s="64"/>
      <c r="D787" s="64"/>
      <c r="E787" s="65"/>
      <c r="F787" s="64"/>
      <c r="G787" s="67"/>
      <c r="H787" s="64"/>
      <c r="I787" s="64"/>
      <c r="J787" s="64"/>
      <c r="K787" s="64"/>
      <c r="L787" s="65"/>
      <c r="M787" s="64"/>
      <c r="N787" s="64"/>
      <c r="O787" s="64"/>
      <c r="P787" s="64"/>
      <c r="Q787" s="64"/>
      <c r="R787" s="64"/>
      <c r="S787" s="64"/>
      <c r="T787" s="65"/>
      <c r="U787" s="64"/>
      <c r="V787" s="64"/>
      <c r="W787" s="64"/>
      <c r="X787" s="64"/>
      <c r="Y787" s="64"/>
      <c r="Z787" s="64"/>
      <c r="AA787" s="64"/>
      <c r="AB787" s="64"/>
      <c r="AC787" s="64"/>
      <c r="AD787" s="64"/>
      <c r="AE787" s="64"/>
      <c r="AF787" s="64"/>
      <c r="AG787" s="64"/>
    </row>
    <row r="788">
      <c r="A788" s="64"/>
      <c r="B788" s="64"/>
      <c r="C788" s="64"/>
      <c r="D788" s="64"/>
      <c r="E788" s="65"/>
      <c r="F788" s="64"/>
      <c r="G788" s="67"/>
      <c r="H788" s="64"/>
      <c r="I788" s="64"/>
      <c r="J788" s="64"/>
      <c r="K788" s="64"/>
      <c r="L788" s="65"/>
      <c r="M788" s="64"/>
      <c r="N788" s="64"/>
      <c r="O788" s="64"/>
      <c r="P788" s="64"/>
      <c r="Q788" s="64"/>
      <c r="R788" s="64"/>
      <c r="S788" s="64"/>
      <c r="T788" s="65"/>
      <c r="U788" s="64"/>
      <c r="V788" s="64"/>
      <c r="W788" s="64"/>
      <c r="X788" s="64"/>
      <c r="Y788" s="64"/>
      <c r="Z788" s="64"/>
      <c r="AA788" s="64"/>
      <c r="AB788" s="64"/>
      <c r="AC788" s="64"/>
      <c r="AD788" s="64"/>
      <c r="AE788" s="64"/>
      <c r="AF788" s="64"/>
      <c r="AG788" s="64"/>
    </row>
    <row r="789">
      <c r="A789" s="64"/>
      <c r="B789" s="64"/>
      <c r="C789" s="64"/>
      <c r="D789" s="64"/>
      <c r="E789" s="65"/>
      <c r="F789" s="64"/>
      <c r="G789" s="67"/>
      <c r="H789" s="64"/>
      <c r="I789" s="64"/>
      <c r="J789" s="64"/>
      <c r="K789" s="64"/>
      <c r="L789" s="65"/>
      <c r="M789" s="64"/>
      <c r="N789" s="64"/>
      <c r="O789" s="64"/>
      <c r="P789" s="64"/>
      <c r="Q789" s="64"/>
      <c r="R789" s="64"/>
      <c r="S789" s="64"/>
      <c r="T789" s="65"/>
      <c r="U789" s="64"/>
      <c r="V789" s="64"/>
      <c r="W789" s="64"/>
      <c r="X789" s="64"/>
      <c r="Y789" s="64"/>
      <c r="Z789" s="64"/>
      <c r="AA789" s="64"/>
      <c r="AB789" s="64"/>
      <c r="AC789" s="64"/>
      <c r="AD789" s="64"/>
      <c r="AE789" s="64"/>
      <c r="AF789" s="64"/>
      <c r="AG789" s="64"/>
    </row>
    <row r="790">
      <c r="A790" s="64"/>
      <c r="B790" s="64"/>
      <c r="C790" s="64"/>
      <c r="D790" s="64"/>
      <c r="E790" s="65"/>
      <c r="F790" s="64"/>
      <c r="G790" s="67"/>
      <c r="H790" s="64"/>
      <c r="I790" s="64"/>
      <c r="J790" s="64"/>
      <c r="K790" s="64"/>
      <c r="L790" s="65"/>
      <c r="M790" s="64"/>
      <c r="N790" s="64"/>
      <c r="O790" s="64"/>
      <c r="P790" s="64"/>
      <c r="Q790" s="64"/>
      <c r="R790" s="64"/>
      <c r="S790" s="64"/>
      <c r="T790" s="65"/>
      <c r="U790" s="64"/>
      <c r="V790" s="64"/>
      <c r="W790" s="64"/>
      <c r="X790" s="64"/>
      <c r="Y790" s="64"/>
      <c r="Z790" s="64"/>
      <c r="AA790" s="64"/>
      <c r="AB790" s="64"/>
      <c r="AC790" s="64"/>
      <c r="AD790" s="64"/>
      <c r="AE790" s="64"/>
      <c r="AF790" s="64"/>
      <c r="AG790" s="64"/>
    </row>
    <row r="791">
      <c r="A791" s="64"/>
      <c r="B791" s="64"/>
      <c r="C791" s="64"/>
      <c r="D791" s="64"/>
      <c r="E791" s="65"/>
      <c r="F791" s="64"/>
      <c r="G791" s="67"/>
      <c r="H791" s="64"/>
      <c r="I791" s="64"/>
      <c r="J791" s="64"/>
      <c r="K791" s="64"/>
      <c r="L791" s="65"/>
      <c r="M791" s="64"/>
      <c r="N791" s="64"/>
      <c r="O791" s="64"/>
      <c r="P791" s="64"/>
      <c r="Q791" s="64"/>
      <c r="R791" s="64"/>
      <c r="S791" s="64"/>
      <c r="T791" s="65"/>
      <c r="U791" s="64"/>
      <c r="V791" s="64"/>
      <c r="W791" s="64"/>
      <c r="X791" s="64"/>
      <c r="Y791" s="64"/>
      <c r="Z791" s="64"/>
      <c r="AA791" s="64"/>
      <c r="AB791" s="64"/>
      <c r="AC791" s="64"/>
      <c r="AD791" s="64"/>
      <c r="AE791" s="64"/>
      <c r="AF791" s="64"/>
      <c r="AG791" s="64"/>
    </row>
    <row r="792">
      <c r="A792" s="64"/>
      <c r="B792" s="64"/>
      <c r="C792" s="64"/>
      <c r="D792" s="64"/>
      <c r="E792" s="65"/>
      <c r="F792" s="64"/>
      <c r="G792" s="67"/>
      <c r="H792" s="64"/>
      <c r="I792" s="64"/>
      <c r="J792" s="64"/>
      <c r="K792" s="64"/>
      <c r="L792" s="65"/>
      <c r="M792" s="64"/>
      <c r="N792" s="64"/>
      <c r="O792" s="64"/>
      <c r="P792" s="64"/>
      <c r="Q792" s="64"/>
      <c r="R792" s="64"/>
      <c r="S792" s="64"/>
      <c r="T792" s="65"/>
      <c r="U792" s="64"/>
      <c r="V792" s="64"/>
      <c r="W792" s="64"/>
      <c r="X792" s="64"/>
      <c r="Y792" s="64"/>
      <c r="Z792" s="64"/>
      <c r="AA792" s="64"/>
      <c r="AB792" s="64"/>
      <c r="AC792" s="64"/>
      <c r="AD792" s="64"/>
      <c r="AE792" s="64"/>
      <c r="AF792" s="64"/>
      <c r="AG792" s="64"/>
    </row>
    <row r="793">
      <c r="A793" s="64"/>
      <c r="B793" s="64"/>
      <c r="C793" s="64"/>
      <c r="D793" s="64"/>
      <c r="E793" s="65"/>
      <c r="F793" s="64"/>
      <c r="G793" s="67"/>
      <c r="H793" s="64"/>
      <c r="I793" s="64"/>
      <c r="J793" s="64"/>
      <c r="K793" s="64"/>
      <c r="L793" s="65"/>
      <c r="M793" s="64"/>
      <c r="N793" s="64"/>
      <c r="O793" s="64"/>
      <c r="P793" s="64"/>
      <c r="Q793" s="64"/>
      <c r="R793" s="64"/>
      <c r="S793" s="64"/>
      <c r="T793" s="65"/>
      <c r="U793" s="64"/>
      <c r="V793" s="64"/>
      <c r="W793" s="64"/>
      <c r="X793" s="64"/>
      <c r="Y793" s="64"/>
      <c r="Z793" s="64"/>
      <c r="AA793" s="64"/>
      <c r="AB793" s="64"/>
      <c r="AC793" s="64"/>
      <c r="AD793" s="64"/>
      <c r="AE793" s="64"/>
      <c r="AF793" s="64"/>
      <c r="AG793" s="64"/>
    </row>
    <row r="794">
      <c r="A794" s="64"/>
      <c r="B794" s="64"/>
      <c r="C794" s="64"/>
      <c r="D794" s="64"/>
      <c r="E794" s="65"/>
      <c r="F794" s="64"/>
      <c r="G794" s="67"/>
      <c r="H794" s="64"/>
      <c r="I794" s="64"/>
      <c r="J794" s="64"/>
      <c r="K794" s="64"/>
      <c r="L794" s="65"/>
      <c r="M794" s="64"/>
      <c r="N794" s="64"/>
      <c r="O794" s="64"/>
      <c r="P794" s="64"/>
      <c r="Q794" s="64"/>
      <c r="R794" s="64"/>
      <c r="S794" s="64"/>
      <c r="T794" s="65"/>
      <c r="U794" s="64"/>
      <c r="V794" s="64"/>
      <c r="W794" s="64"/>
      <c r="X794" s="64"/>
      <c r="Y794" s="64"/>
      <c r="Z794" s="64"/>
      <c r="AA794" s="64"/>
      <c r="AB794" s="64"/>
      <c r="AC794" s="64"/>
      <c r="AD794" s="64"/>
      <c r="AE794" s="64"/>
      <c r="AF794" s="64"/>
      <c r="AG794" s="64"/>
    </row>
    <row r="795">
      <c r="A795" s="64"/>
      <c r="B795" s="64"/>
      <c r="C795" s="64"/>
      <c r="D795" s="64"/>
      <c r="E795" s="65"/>
      <c r="F795" s="64"/>
      <c r="G795" s="67"/>
      <c r="H795" s="64"/>
      <c r="I795" s="64"/>
      <c r="J795" s="64"/>
      <c r="K795" s="64"/>
      <c r="L795" s="65"/>
      <c r="M795" s="64"/>
      <c r="N795" s="64"/>
      <c r="O795" s="64"/>
      <c r="P795" s="64"/>
      <c r="Q795" s="64"/>
      <c r="R795" s="64"/>
      <c r="S795" s="64"/>
      <c r="T795" s="65"/>
      <c r="U795" s="64"/>
      <c r="V795" s="64"/>
      <c r="W795" s="64"/>
      <c r="X795" s="64"/>
      <c r="Y795" s="64"/>
      <c r="Z795" s="64"/>
      <c r="AA795" s="64"/>
      <c r="AB795" s="64"/>
      <c r="AC795" s="64"/>
      <c r="AD795" s="64"/>
      <c r="AE795" s="64"/>
      <c r="AF795" s="64"/>
      <c r="AG795" s="64"/>
    </row>
    <row r="796">
      <c r="A796" s="64"/>
      <c r="B796" s="64"/>
      <c r="C796" s="64"/>
      <c r="D796" s="64"/>
      <c r="E796" s="65"/>
      <c r="F796" s="64"/>
      <c r="G796" s="67"/>
      <c r="H796" s="64"/>
      <c r="I796" s="64"/>
      <c r="J796" s="64"/>
      <c r="K796" s="64"/>
      <c r="L796" s="65"/>
      <c r="M796" s="64"/>
      <c r="N796" s="64"/>
      <c r="O796" s="64"/>
      <c r="P796" s="64"/>
      <c r="Q796" s="64"/>
      <c r="R796" s="64"/>
      <c r="S796" s="64"/>
      <c r="T796" s="65"/>
      <c r="U796" s="64"/>
      <c r="V796" s="64"/>
      <c r="W796" s="64"/>
      <c r="X796" s="64"/>
      <c r="Y796" s="64"/>
      <c r="Z796" s="64"/>
      <c r="AA796" s="64"/>
      <c r="AB796" s="64"/>
      <c r="AC796" s="64"/>
      <c r="AD796" s="64"/>
      <c r="AE796" s="64"/>
      <c r="AF796" s="64"/>
      <c r="AG796" s="64"/>
    </row>
    <row r="797">
      <c r="A797" s="64"/>
      <c r="B797" s="64"/>
      <c r="C797" s="64"/>
      <c r="D797" s="64"/>
      <c r="E797" s="65"/>
      <c r="F797" s="64"/>
      <c r="G797" s="67"/>
      <c r="H797" s="64"/>
      <c r="I797" s="64"/>
      <c r="J797" s="64"/>
      <c r="K797" s="64"/>
      <c r="L797" s="65"/>
      <c r="M797" s="64"/>
      <c r="N797" s="64"/>
      <c r="O797" s="64"/>
      <c r="P797" s="64"/>
      <c r="Q797" s="64"/>
      <c r="R797" s="64"/>
      <c r="S797" s="64"/>
      <c r="T797" s="65"/>
      <c r="U797" s="64"/>
      <c r="V797" s="64"/>
      <c r="W797" s="64"/>
      <c r="X797" s="64"/>
      <c r="Y797" s="64"/>
      <c r="Z797" s="64"/>
      <c r="AA797" s="64"/>
      <c r="AB797" s="64"/>
      <c r="AC797" s="64"/>
      <c r="AD797" s="64"/>
      <c r="AE797" s="64"/>
      <c r="AF797" s="64"/>
      <c r="AG797" s="64"/>
    </row>
    <row r="798">
      <c r="A798" s="64"/>
      <c r="B798" s="64"/>
      <c r="C798" s="64"/>
      <c r="D798" s="64"/>
      <c r="E798" s="65"/>
      <c r="F798" s="64"/>
      <c r="G798" s="67"/>
      <c r="H798" s="64"/>
      <c r="I798" s="64"/>
      <c r="J798" s="64"/>
      <c r="K798" s="64"/>
      <c r="L798" s="65"/>
      <c r="M798" s="64"/>
      <c r="N798" s="64"/>
      <c r="O798" s="64"/>
      <c r="P798" s="64"/>
      <c r="Q798" s="64"/>
      <c r="R798" s="64"/>
      <c r="S798" s="64"/>
      <c r="T798" s="65"/>
      <c r="U798" s="64"/>
      <c r="V798" s="64"/>
      <c r="W798" s="64"/>
      <c r="X798" s="64"/>
      <c r="Y798" s="64"/>
      <c r="Z798" s="64"/>
      <c r="AA798" s="64"/>
      <c r="AB798" s="64"/>
      <c r="AC798" s="64"/>
      <c r="AD798" s="64"/>
      <c r="AE798" s="64"/>
      <c r="AF798" s="64"/>
      <c r="AG798" s="64"/>
    </row>
    <row r="799">
      <c r="A799" s="64"/>
      <c r="B799" s="64"/>
      <c r="C799" s="64"/>
      <c r="D799" s="64"/>
      <c r="E799" s="65"/>
      <c r="F799" s="64"/>
      <c r="G799" s="67"/>
      <c r="H799" s="64"/>
      <c r="I799" s="64"/>
      <c r="J799" s="64"/>
      <c r="K799" s="64"/>
      <c r="L799" s="65"/>
      <c r="M799" s="64"/>
      <c r="N799" s="64"/>
      <c r="O799" s="64"/>
      <c r="P799" s="64"/>
      <c r="Q799" s="64"/>
      <c r="R799" s="64"/>
      <c r="S799" s="64"/>
      <c r="T799" s="65"/>
      <c r="U799" s="64"/>
      <c r="V799" s="64"/>
      <c r="W799" s="64"/>
      <c r="X799" s="64"/>
      <c r="Y799" s="64"/>
      <c r="Z799" s="64"/>
      <c r="AA799" s="64"/>
      <c r="AB799" s="64"/>
      <c r="AC799" s="64"/>
      <c r="AD799" s="64"/>
      <c r="AE799" s="64"/>
      <c r="AF799" s="64"/>
      <c r="AG799" s="64"/>
    </row>
    <row r="800">
      <c r="A800" s="64"/>
      <c r="B800" s="64"/>
      <c r="C800" s="64"/>
      <c r="D800" s="64"/>
      <c r="E800" s="65"/>
      <c r="F800" s="64"/>
      <c r="G800" s="67"/>
      <c r="H800" s="64"/>
      <c r="I800" s="64"/>
      <c r="J800" s="64"/>
      <c r="K800" s="64"/>
      <c r="L800" s="65"/>
      <c r="M800" s="64"/>
      <c r="N800" s="64"/>
      <c r="O800" s="64"/>
      <c r="P800" s="64"/>
      <c r="Q800" s="64"/>
      <c r="R800" s="64"/>
      <c r="S800" s="64"/>
      <c r="T800" s="65"/>
      <c r="U800" s="64"/>
      <c r="V800" s="64"/>
      <c r="W800" s="64"/>
      <c r="X800" s="64"/>
      <c r="Y800" s="64"/>
      <c r="Z800" s="64"/>
      <c r="AA800" s="64"/>
      <c r="AB800" s="64"/>
      <c r="AC800" s="64"/>
      <c r="AD800" s="64"/>
      <c r="AE800" s="64"/>
      <c r="AF800" s="64"/>
      <c r="AG800" s="64"/>
    </row>
    <row r="801">
      <c r="A801" s="64"/>
      <c r="B801" s="64"/>
      <c r="C801" s="64"/>
      <c r="D801" s="64"/>
      <c r="E801" s="65"/>
      <c r="F801" s="64"/>
      <c r="G801" s="67"/>
      <c r="H801" s="64"/>
      <c r="I801" s="64"/>
      <c r="J801" s="64"/>
      <c r="K801" s="64"/>
      <c r="L801" s="65"/>
      <c r="M801" s="64"/>
      <c r="N801" s="64"/>
      <c r="O801" s="64"/>
      <c r="P801" s="64"/>
      <c r="Q801" s="64"/>
      <c r="R801" s="64"/>
      <c r="S801" s="64"/>
      <c r="T801" s="65"/>
      <c r="U801" s="64"/>
      <c r="V801" s="64"/>
      <c r="W801" s="64"/>
      <c r="X801" s="64"/>
      <c r="Y801" s="64"/>
      <c r="Z801" s="64"/>
      <c r="AA801" s="64"/>
      <c r="AB801" s="64"/>
      <c r="AC801" s="64"/>
      <c r="AD801" s="64"/>
      <c r="AE801" s="64"/>
      <c r="AF801" s="64"/>
      <c r="AG801" s="64"/>
    </row>
    <row r="802">
      <c r="A802" s="64"/>
      <c r="B802" s="64"/>
      <c r="C802" s="64"/>
      <c r="D802" s="64"/>
      <c r="E802" s="65"/>
      <c r="F802" s="64"/>
      <c r="G802" s="67"/>
      <c r="H802" s="64"/>
      <c r="I802" s="64"/>
      <c r="J802" s="64"/>
      <c r="K802" s="64"/>
      <c r="L802" s="65"/>
      <c r="M802" s="64"/>
      <c r="N802" s="64"/>
      <c r="O802" s="64"/>
      <c r="P802" s="64"/>
      <c r="Q802" s="64"/>
      <c r="R802" s="64"/>
      <c r="S802" s="64"/>
      <c r="T802" s="65"/>
      <c r="U802" s="64"/>
      <c r="V802" s="64"/>
      <c r="W802" s="64"/>
      <c r="X802" s="64"/>
      <c r="Y802" s="64"/>
      <c r="Z802" s="64"/>
      <c r="AA802" s="64"/>
      <c r="AB802" s="64"/>
      <c r="AC802" s="64"/>
      <c r="AD802" s="64"/>
      <c r="AE802" s="64"/>
      <c r="AF802" s="64"/>
      <c r="AG802" s="64"/>
    </row>
    <row r="803">
      <c r="A803" s="64"/>
      <c r="B803" s="64"/>
      <c r="C803" s="64"/>
      <c r="D803" s="64"/>
      <c r="E803" s="65"/>
      <c r="F803" s="64"/>
      <c r="G803" s="67"/>
      <c r="H803" s="64"/>
      <c r="I803" s="64"/>
      <c r="J803" s="64"/>
      <c r="K803" s="64"/>
      <c r="L803" s="65"/>
      <c r="M803" s="64"/>
      <c r="N803" s="64"/>
      <c r="O803" s="64"/>
      <c r="P803" s="64"/>
      <c r="Q803" s="64"/>
      <c r="R803" s="64"/>
      <c r="S803" s="64"/>
      <c r="T803" s="65"/>
      <c r="U803" s="64"/>
      <c r="V803" s="64"/>
      <c r="W803" s="64"/>
      <c r="X803" s="64"/>
      <c r="Y803" s="64"/>
      <c r="Z803" s="64"/>
      <c r="AA803" s="64"/>
      <c r="AB803" s="64"/>
      <c r="AC803" s="64"/>
      <c r="AD803" s="64"/>
      <c r="AE803" s="64"/>
      <c r="AF803" s="64"/>
      <c r="AG803" s="64"/>
    </row>
    <row r="804">
      <c r="A804" s="64"/>
      <c r="B804" s="64"/>
      <c r="C804" s="64"/>
      <c r="D804" s="64"/>
      <c r="E804" s="65"/>
      <c r="F804" s="64"/>
      <c r="G804" s="67"/>
      <c r="H804" s="64"/>
      <c r="I804" s="64"/>
      <c r="J804" s="64"/>
      <c r="K804" s="64"/>
      <c r="L804" s="65"/>
      <c r="M804" s="64"/>
      <c r="N804" s="64"/>
      <c r="O804" s="64"/>
      <c r="P804" s="64"/>
      <c r="Q804" s="64"/>
      <c r="R804" s="64"/>
      <c r="S804" s="64"/>
      <c r="T804" s="65"/>
      <c r="U804" s="64"/>
      <c r="V804" s="64"/>
      <c r="W804" s="64"/>
      <c r="X804" s="64"/>
      <c r="Y804" s="64"/>
      <c r="Z804" s="64"/>
      <c r="AA804" s="64"/>
      <c r="AB804" s="64"/>
      <c r="AC804" s="64"/>
      <c r="AD804" s="64"/>
      <c r="AE804" s="64"/>
      <c r="AF804" s="64"/>
      <c r="AG804" s="64"/>
    </row>
    <row r="805">
      <c r="A805" s="64"/>
      <c r="B805" s="64"/>
      <c r="C805" s="64"/>
      <c r="D805" s="64"/>
      <c r="E805" s="65"/>
      <c r="F805" s="64"/>
      <c r="G805" s="67"/>
      <c r="H805" s="64"/>
      <c r="I805" s="64"/>
      <c r="J805" s="64"/>
      <c r="K805" s="64"/>
      <c r="L805" s="65"/>
      <c r="M805" s="64"/>
      <c r="N805" s="64"/>
      <c r="O805" s="64"/>
      <c r="P805" s="64"/>
      <c r="Q805" s="64"/>
      <c r="R805" s="64"/>
      <c r="S805" s="64"/>
      <c r="T805" s="65"/>
      <c r="U805" s="64"/>
      <c r="V805" s="64"/>
      <c r="W805" s="64"/>
      <c r="X805" s="64"/>
      <c r="Y805" s="64"/>
      <c r="Z805" s="64"/>
      <c r="AA805" s="64"/>
      <c r="AB805" s="64"/>
      <c r="AC805" s="64"/>
      <c r="AD805" s="64"/>
      <c r="AE805" s="64"/>
      <c r="AF805" s="64"/>
      <c r="AG805" s="64"/>
    </row>
    <row r="806">
      <c r="A806" s="64"/>
      <c r="B806" s="64"/>
      <c r="C806" s="64"/>
      <c r="D806" s="64"/>
      <c r="E806" s="65"/>
      <c r="F806" s="64"/>
      <c r="G806" s="67"/>
      <c r="H806" s="64"/>
      <c r="I806" s="64"/>
      <c r="J806" s="64"/>
      <c r="K806" s="64"/>
      <c r="L806" s="65"/>
      <c r="M806" s="64"/>
      <c r="N806" s="64"/>
      <c r="O806" s="64"/>
      <c r="P806" s="64"/>
      <c r="Q806" s="64"/>
      <c r="R806" s="64"/>
      <c r="S806" s="64"/>
      <c r="T806" s="65"/>
      <c r="U806" s="64"/>
      <c r="V806" s="64"/>
      <c r="W806" s="64"/>
      <c r="X806" s="64"/>
      <c r="Y806" s="64"/>
      <c r="Z806" s="64"/>
      <c r="AA806" s="64"/>
      <c r="AB806" s="64"/>
      <c r="AC806" s="64"/>
      <c r="AD806" s="64"/>
      <c r="AE806" s="64"/>
      <c r="AF806" s="64"/>
      <c r="AG806" s="64"/>
    </row>
    <row r="807">
      <c r="A807" s="64"/>
      <c r="B807" s="64"/>
      <c r="C807" s="64"/>
      <c r="D807" s="64"/>
      <c r="E807" s="65"/>
      <c r="F807" s="64"/>
      <c r="G807" s="67"/>
      <c r="H807" s="64"/>
      <c r="I807" s="64"/>
      <c r="J807" s="64"/>
      <c r="K807" s="64"/>
      <c r="L807" s="65"/>
      <c r="M807" s="64"/>
      <c r="N807" s="64"/>
      <c r="O807" s="64"/>
      <c r="P807" s="64"/>
      <c r="Q807" s="64"/>
      <c r="R807" s="64"/>
      <c r="S807" s="64"/>
      <c r="T807" s="65"/>
      <c r="U807" s="64"/>
      <c r="V807" s="64"/>
      <c r="W807" s="64"/>
      <c r="X807" s="64"/>
      <c r="Y807" s="64"/>
      <c r="Z807" s="64"/>
      <c r="AA807" s="64"/>
      <c r="AB807" s="64"/>
      <c r="AC807" s="64"/>
      <c r="AD807" s="64"/>
      <c r="AE807" s="64"/>
      <c r="AF807" s="64"/>
      <c r="AG807" s="64"/>
    </row>
    <row r="808">
      <c r="A808" s="64"/>
      <c r="B808" s="64"/>
      <c r="C808" s="64"/>
      <c r="D808" s="64"/>
      <c r="E808" s="65"/>
      <c r="F808" s="64"/>
      <c r="G808" s="67"/>
      <c r="H808" s="64"/>
      <c r="I808" s="64"/>
      <c r="J808" s="64"/>
      <c r="K808" s="64"/>
      <c r="L808" s="65"/>
      <c r="M808" s="64"/>
      <c r="N808" s="64"/>
      <c r="O808" s="64"/>
      <c r="P808" s="64"/>
      <c r="Q808" s="64"/>
      <c r="R808" s="64"/>
      <c r="S808" s="64"/>
      <c r="T808" s="65"/>
      <c r="U808" s="64"/>
      <c r="V808" s="64"/>
      <c r="W808" s="64"/>
      <c r="X808" s="64"/>
      <c r="Y808" s="64"/>
      <c r="Z808" s="64"/>
      <c r="AA808" s="64"/>
      <c r="AB808" s="64"/>
      <c r="AC808" s="64"/>
      <c r="AD808" s="64"/>
      <c r="AE808" s="64"/>
      <c r="AF808" s="64"/>
      <c r="AG808" s="64"/>
    </row>
    <row r="809">
      <c r="A809" s="64"/>
      <c r="B809" s="64"/>
      <c r="C809" s="64"/>
      <c r="D809" s="64"/>
      <c r="E809" s="65"/>
      <c r="F809" s="64"/>
      <c r="G809" s="67"/>
      <c r="H809" s="64"/>
      <c r="I809" s="64"/>
      <c r="J809" s="64"/>
      <c r="K809" s="64"/>
      <c r="L809" s="65"/>
      <c r="M809" s="64"/>
      <c r="N809" s="64"/>
      <c r="O809" s="64"/>
      <c r="P809" s="64"/>
      <c r="Q809" s="64"/>
      <c r="R809" s="64"/>
      <c r="S809" s="64"/>
      <c r="T809" s="65"/>
      <c r="U809" s="64"/>
      <c r="V809" s="64"/>
      <c r="W809" s="64"/>
      <c r="X809" s="64"/>
      <c r="Y809" s="64"/>
      <c r="Z809" s="64"/>
      <c r="AA809" s="64"/>
      <c r="AB809" s="64"/>
      <c r="AC809" s="64"/>
      <c r="AD809" s="64"/>
      <c r="AE809" s="64"/>
      <c r="AF809" s="64"/>
      <c r="AG809" s="64"/>
    </row>
    <row r="810">
      <c r="A810" s="64"/>
      <c r="B810" s="64"/>
      <c r="C810" s="64"/>
      <c r="D810" s="64"/>
      <c r="E810" s="65"/>
      <c r="F810" s="64"/>
      <c r="G810" s="67"/>
      <c r="H810" s="64"/>
      <c r="I810" s="64"/>
      <c r="J810" s="64"/>
      <c r="K810" s="64"/>
      <c r="L810" s="65"/>
      <c r="M810" s="64"/>
      <c r="N810" s="64"/>
      <c r="O810" s="64"/>
      <c r="P810" s="64"/>
      <c r="Q810" s="64"/>
      <c r="R810" s="64"/>
      <c r="S810" s="64"/>
      <c r="T810" s="65"/>
      <c r="U810" s="64"/>
      <c r="V810" s="64"/>
      <c r="W810" s="64"/>
      <c r="X810" s="64"/>
      <c r="Y810" s="64"/>
      <c r="Z810" s="64"/>
      <c r="AA810" s="64"/>
      <c r="AB810" s="64"/>
      <c r="AC810" s="64"/>
      <c r="AD810" s="64"/>
      <c r="AE810" s="64"/>
      <c r="AF810" s="64"/>
      <c r="AG810" s="64"/>
    </row>
    <row r="811">
      <c r="A811" s="64"/>
      <c r="B811" s="64"/>
      <c r="C811" s="64"/>
      <c r="D811" s="64"/>
      <c r="E811" s="65"/>
      <c r="F811" s="64"/>
      <c r="G811" s="67"/>
      <c r="H811" s="64"/>
      <c r="I811" s="64"/>
      <c r="J811" s="64"/>
      <c r="K811" s="64"/>
      <c r="L811" s="65"/>
      <c r="M811" s="64"/>
      <c r="N811" s="64"/>
      <c r="O811" s="64"/>
      <c r="P811" s="64"/>
      <c r="Q811" s="64"/>
      <c r="R811" s="64"/>
      <c r="S811" s="64"/>
      <c r="T811" s="65"/>
      <c r="U811" s="64"/>
      <c r="V811" s="64"/>
      <c r="W811" s="64"/>
      <c r="X811" s="64"/>
      <c r="Y811" s="64"/>
      <c r="Z811" s="64"/>
      <c r="AA811" s="64"/>
      <c r="AB811" s="64"/>
      <c r="AC811" s="64"/>
      <c r="AD811" s="64"/>
      <c r="AE811" s="64"/>
      <c r="AF811" s="64"/>
      <c r="AG811" s="64"/>
    </row>
    <row r="812">
      <c r="A812" s="64"/>
      <c r="B812" s="64"/>
      <c r="C812" s="64"/>
      <c r="D812" s="64"/>
      <c r="E812" s="65"/>
      <c r="F812" s="64"/>
      <c r="G812" s="67"/>
      <c r="H812" s="64"/>
      <c r="I812" s="64"/>
      <c r="J812" s="64"/>
      <c r="K812" s="64"/>
      <c r="L812" s="65"/>
      <c r="M812" s="64"/>
      <c r="N812" s="64"/>
      <c r="O812" s="64"/>
      <c r="P812" s="64"/>
      <c r="Q812" s="64"/>
      <c r="R812" s="64"/>
      <c r="S812" s="64"/>
      <c r="T812" s="65"/>
      <c r="U812" s="64"/>
      <c r="V812" s="64"/>
      <c r="W812" s="64"/>
      <c r="X812" s="64"/>
      <c r="Y812" s="64"/>
      <c r="Z812" s="64"/>
      <c r="AA812" s="64"/>
      <c r="AB812" s="64"/>
      <c r="AC812" s="64"/>
      <c r="AD812" s="64"/>
      <c r="AE812" s="64"/>
      <c r="AF812" s="64"/>
      <c r="AG812" s="64"/>
    </row>
    <row r="813">
      <c r="A813" s="64"/>
      <c r="B813" s="64"/>
      <c r="C813" s="64"/>
      <c r="D813" s="64"/>
      <c r="E813" s="65"/>
      <c r="F813" s="64"/>
      <c r="G813" s="67"/>
      <c r="H813" s="64"/>
      <c r="I813" s="64"/>
      <c r="J813" s="64"/>
      <c r="K813" s="64"/>
      <c r="L813" s="65"/>
      <c r="M813" s="64"/>
      <c r="N813" s="64"/>
      <c r="O813" s="64"/>
      <c r="P813" s="64"/>
      <c r="Q813" s="64"/>
      <c r="R813" s="64"/>
      <c r="S813" s="64"/>
      <c r="T813" s="65"/>
      <c r="U813" s="64"/>
      <c r="V813" s="64"/>
      <c r="W813" s="64"/>
      <c r="X813" s="64"/>
      <c r="Y813" s="64"/>
      <c r="Z813" s="64"/>
      <c r="AA813" s="64"/>
      <c r="AB813" s="64"/>
      <c r="AC813" s="64"/>
      <c r="AD813" s="64"/>
      <c r="AE813" s="64"/>
      <c r="AF813" s="64"/>
      <c r="AG813" s="64"/>
    </row>
    <row r="814">
      <c r="A814" s="64"/>
      <c r="B814" s="64"/>
      <c r="C814" s="64"/>
      <c r="D814" s="64"/>
      <c r="E814" s="65"/>
      <c r="F814" s="64"/>
      <c r="G814" s="67"/>
      <c r="H814" s="64"/>
      <c r="I814" s="64"/>
      <c r="J814" s="64"/>
      <c r="K814" s="64"/>
      <c r="L814" s="65"/>
      <c r="M814" s="64"/>
      <c r="N814" s="64"/>
      <c r="O814" s="64"/>
      <c r="P814" s="64"/>
      <c r="Q814" s="64"/>
      <c r="R814" s="64"/>
      <c r="S814" s="64"/>
      <c r="T814" s="65"/>
      <c r="U814" s="64"/>
      <c r="V814" s="64"/>
      <c r="W814" s="64"/>
      <c r="X814" s="64"/>
      <c r="Y814" s="64"/>
      <c r="Z814" s="64"/>
      <c r="AA814" s="64"/>
      <c r="AB814" s="64"/>
      <c r="AC814" s="64"/>
      <c r="AD814" s="64"/>
      <c r="AE814" s="64"/>
      <c r="AF814" s="64"/>
      <c r="AG814" s="64"/>
    </row>
    <row r="815">
      <c r="A815" s="64"/>
      <c r="B815" s="64"/>
      <c r="C815" s="64"/>
      <c r="D815" s="64"/>
      <c r="E815" s="65"/>
      <c r="F815" s="64"/>
      <c r="G815" s="67"/>
      <c r="H815" s="64"/>
      <c r="I815" s="64"/>
      <c r="J815" s="64"/>
      <c r="K815" s="64"/>
      <c r="L815" s="65"/>
      <c r="M815" s="64"/>
      <c r="N815" s="64"/>
      <c r="O815" s="64"/>
      <c r="P815" s="64"/>
      <c r="Q815" s="64"/>
      <c r="R815" s="64"/>
      <c r="S815" s="64"/>
      <c r="T815" s="65"/>
      <c r="U815" s="64"/>
      <c r="V815" s="64"/>
      <c r="W815" s="64"/>
      <c r="X815" s="64"/>
      <c r="Y815" s="64"/>
      <c r="Z815" s="64"/>
      <c r="AA815" s="64"/>
      <c r="AB815" s="64"/>
      <c r="AC815" s="64"/>
      <c r="AD815" s="64"/>
      <c r="AE815" s="64"/>
      <c r="AF815" s="64"/>
      <c r="AG815" s="64"/>
    </row>
    <row r="816">
      <c r="A816" s="64"/>
      <c r="B816" s="64"/>
      <c r="C816" s="64"/>
      <c r="D816" s="64"/>
      <c r="E816" s="65"/>
      <c r="F816" s="64"/>
      <c r="G816" s="67"/>
      <c r="H816" s="64"/>
      <c r="I816" s="64"/>
      <c r="J816" s="64"/>
      <c r="K816" s="64"/>
      <c r="L816" s="65"/>
      <c r="M816" s="64"/>
      <c r="N816" s="64"/>
      <c r="O816" s="64"/>
      <c r="P816" s="64"/>
      <c r="Q816" s="64"/>
      <c r="R816" s="64"/>
      <c r="S816" s="64"/>
      <c r="T816" s="65"/>
      <c r="U816" s="64"/>
      <c r="V816" s="64"/>
      <c r="W816" s="64"/>
      <c r="X816" s="64"/>
      <c r="Y816" s="64"/>
      <c r="Z816" s="64"/>
      <c r="AA816" s="64"/>
      <c r="AB816" s="64"/>
      <c r="AC816" s="64"/>
      <c r="AD816" s="64"/>
      <c r="AE816" s="64"/>
      <c r="AF816" s="64"/>
      <c r="AG816" s="64"/>
    </row>
    <row r="817">
      <c r="A817" s="64"/>
      <c r="B817" s="64"/>
      <c r="C817" s="64"/>
      <c r="D817" s="64"/>
      <c r="E817" s="65"/>
      <c r="F817" s="64"/>
      <c r="G817" s="67"/>
      <c r="H817" s="64"/>
      <c r="I817" s="64"/>
      <c r="J817" s="64"/>
      <c r="K817" s="64"/>
      <c r="L817" s="65"/>
      <c r="M817" s="64"/>
      <c r="N817" s="64"/>
      <c r="O817" s="64"/>
      <c r="P817" s="64"/>
      <c r="Q817" s="64"/>
      <c r="R817" s="64"/>
      <c r="S817" s="64"/>
      <c r="T817" s="65"/>
      <c r="U817" s="64"/>
      <c r="V817" s="64"/>
      <c r="W817" s="64"/>
      <c r="X817" s="64"/>
      <c r="Y817" s="64"/>
      <c r="Z817" s="64"/>
      <c r="AA817" s="64"/>
      <c r="AB817" s="64"/>
      <c r="AC817" s="64"/>
      <c r="AD817" s="64"/>
      <c r="AE817" s="64"/>
      <c r="AF817" s="64"/>
      <c r="AG817" s="64"/>
    </row>
    <row r="818">
      <c r="A818" s="64"/>
      <c r="B818" s="64"/>
      <c r="C818" s="64"/>
      <c r="D818" s="64"/>
      <c r="E818" s="65"/>
      <c r="F818" s="64"/>
      <c r="G818" s="67"/>
      <c r="H818" s="64"/>
      <c r="I818" s="64"/>
      <c r="J818" s="64"/>
      <c r="K818" s="64"/>
      <c r="L818" s="65"/>
      <c r="M818" s="64"/>
      <c r="N818" s="64"/>
      <c r="O818" s="64"/>
      <c r="P818" s="64"/>
      <c r="Q818" s="64"/>
      <c r="R818" s="64"/>
      <c r="S818" s="64"/>
      <c r="T818" s="65"/>
      <c r="U818" s="64"/>
      <c r="V818" s="64"/>
      <c r="W818" s="64"/>
      <c r="X818" s="64"/>
      <c r="Y818" s="64"/>
      <c r="Z818" s="64"/>
      <c r="AA818" s="64"/>
      <c r="AB818" s="64"/>
      <c r="AC818" s="64"/>
      <c r="AD818" s="64"/>
      <c r="AE818" s="64"/>
      <c r="AF818" s="64"/>
      <c r="AG818" s="64"/>
    </row>
    <row r="819">
      <c r="A819" s="64"/>
      <c r="B819" s="64"/>
      <c r="C819" s="64"/>
      <c r="D819" s="64"/>
      <c r="E819" s="65"/>
      <c r="F819" s="64"/>
      <c r="G819" s="67"/>
      <c r="H819" s="64"/>
      <c r="I819" s="64"/>
      <c r="J819" s="64"/>
      <c r="K819" s="64"/>
      <c r="L819" s="65"/>
      <c r="M819" s="64"/>
      <c r="N819" s="64"/>
      <c r="O819" s="64"/>
      <c r="P819" s="64"/>
      <c r="Q819" s="64"/>
      <c r="R819" s="64"/>
      <c r="S819" s="64"/>
      <c r="T819" s="65"/>
      <c r="U819" s="64"/>
      <c r="V819" s="64"/>
      <c r="W819" s="64"/>
      <c r="X819" s="64"/>
      <c r="Y819" s="64"/>
      <c r="Z819" s="64"/>
      <c r="AA819" s="64"/>
      <c r="AB819" s="64"/>
      <c r="AC819" s="64"/>
      <c r="AD819" s="64"/>
      <c r="AE819" s="64"/>
      <c r="AF819" s="64"/>
      <c r="AG819" s="64"/>
    </row>
    <row r="820">
      <c r="A820" s="64"/>
      <c r="B820" s="64"/>
      <c r="C820" s="64"/>
      <c r="D820" s="64"/>
      <c r="E820" s="65"/>
      <c r="F820" s="64"/>
      <c r="G820" s="67"/>
      <c r="H820" s="64"/>
      <c r="I820" s="64"/>
      <c r="J820" s="64"/>
      <c r="K820" s="64"/>
      <c r="L820" s="65"/>
      <c r="M820" s="64"/>
      <c r="N820" s="64"/>
      <c r="O820" s="64"/>
      <c r="P820" s="64"/>
      <c r="Q820" s="64"/>
      <c r="R820" s="64"/>
      <c r="S820" s="64"/>
      <c r="T820" s="65"/>
      <c r="U820" s="64"/>
      <c r="V820" s="64"/>
      <c r="W820" s="64"/>
      <c r="X820" s="64"/>
      <c r="Y820" s="64"/>
      <c r="Z820" s="64"/>
      <c r="AA820" s="64"/>
      <c r="AB820" s="64"/>
      <c r="AC820" s="64"/>
      <c r="AD820" s="64"/>
      <c r="AE820" s="64"/>
      <c r="AF820" s="64"/>
      <c r="AG820" s="64"/>
    </row>
    <row r="821">
      <c r="A821" s="64"/>
      <c r="B821" s="64"/>
      <c r="C821" s="64"/>
      <c r="D821" s="64"/>
      <c r="E821" s="65"/>
      <c r="F821" s="64"/>
      <c r="G821" s="67"/>
      <c r="H821" s="64"/>
      <c r="I821" s="64"/>
      <c r="J821" s="64"/>
      <c r="K821" s="64"/>
      <c r="L821" s="65"/>
      <c r="M821" s="64"/>
      <c r="N821" s="64"/>
      <c r="O821" s="64"/>
      <c r="P821" s="64"/>
      <c r="Q821" s="64"/>
      <c r="R821" s="64"/>
      <c r="S821" s="64"/>
      <c r="T821" s="65"/>
      <c r="U821" s="64"/>
      <c r="V821" s="64"/>
      <c r="W821" s="64"/>
      <c r="X821" s="64"/>
      <c r="Y821" s="64"/>
      <c r="Z821" s="64"/>
      <c r="AA821" s="64"/>
      <c r="AB821" s="64"/>
      <c r="AC821" s="64"/>
      <c r="AD821" s="64"/>
      <c r="AE821" s="64"/>
      <c r="AF821" s="64"/>
      <c r="AG821" s="64"/>
    </row>
    <row r="822">
      <c r="A822" s="64"/>
      <c r="B822" s="64"/>
      <c r="C822" s="64"/>
      <c r="D822" s="64"/>
      <c r="E822" s="65"/>
      <c r="F822" s="64"/>
      <c r="G822" s="67"/>
      <c r="H822" s="64"/>
      <c r="I822" s="64"/>
      <c r="J822" s="64"/>
      <c r="K822" s="64"/>
      <c r="L822" s="65"/>
      <c r="M822" s="64"/>
      <c r="N822" s="64"/>
      <c r="O822" s="64"/>
      <c r="P822" s="64"/>
      <c r="Q822" s="64"/>
      <c r="R822" s="64"/>
      <c r="S822" s="64"/>
      <c r="T822" s="65"/>
      <c r="U822" s="64"/>
      <c r="V822" s="64"/>
      <c r="W822" s="64"/>
      <c r="X822" s="64"/>
      <c r="Y822" s="64"/>
      <c r="Z822" s="64"/>
      <c r="AA822" s="64"/>
      <c r="AB822" s="64"/>
      <c r="AC822" s="64"/>
      <c r="AD822" s="64"/>
      <c r="AE822" s="64"/>
      <c r="AF822" s="64"/>
      <c r="AG822" s="64"/>
    </row>
    <row r="823">
      <c r="A823" s="64"/>
      <c r="B823" s="64"/>
      <c r="C823" s="64"/>
      <c r="D823" s="64"/>
      <c r="E823" s="65"/>
      <c r="F823" s="64"/>
      <c r="G823" s="67"/>
      <c r="H823" s="64"/>
      <c r="I823" s="64"/>
      <c r="J823" s="64"/>
      <c r="K823" s="64"/>
      <c r="L823" s="65"/>
      <c r="M823" s="64"/>
      <c r="N823" s="64"/>
      <c r="O823" s="64"/>
      <c r="P823" s="64"/>
      <c r="Q823" s="64"/>
      <c r="R823" s="64"/>
      <c r="S823" s="64"/>
      <c r="T823" s="65"/>
      <c r="U823" s="64"/>
      <c r="V823" s="64"/>
      <c r="W823" s="64"/>
      <c r="X823" s="64"/>
      <c r="Y823" s="64"/>
      <c r="Z823" s="64"/>
      <c r="AA823" s="64"/>
      <c r="AB823" s="64"/>
      <c r="AC823" s="64"/>
      <c r="AD823" s="64"/>
      <c r="AE823" s="64"/>
      <c r="AF823" s="64"/>
      <c r="AG823" s="64"/>
    </row>
    <row r="824">
      <c r="A824" s="64"/>
      <c r="B824" s="64"/>
      <c r="C824" s="64"/>
      <c r="D824" s="64"/>
      <c r="E824" s="65"/>
      <c r="F824" s="64"/>
      <c r="G824" s="67"/>
      <c r="H824" s="64"/>
      <c r="I824" s="64"/>
      <c r="J824" s="64"/>
      <c r="K824" s="64"/>
      <c r="L824" s="65"/>
      <c r="M824" s="64"/>
      <c r="N824" s="64"/>
      <c r="O824" s="64"/>
      <c r="P824" s="64"/>
      <c r="Q824" s="64"/>
      <c r="R824" s="64"/>
      <c r="S824" s="64"/>
      <c r="T824" s="65"/>
      <c r="U824" s="64"/>
      <c r="V824" s="64"/>
      <c r="W824" s="64"/>
      <c r="X824" s="64"/>
      <c r="Y824" s="64"/>
      <c r="Z824" s="64"/>
      <c r="AA824" s="64"/>
      <c r="AB824" s="64"/>
      <c r="AC824" s="64"/>
      <c r="AD824" s="64"/>
      <c r="AE824" s="64"/>
      <c r="AF824" s="64"/>
      <c r="AG824" s="64"/>
    </row>
    <row r="825">
      <c r="A825" s="64"/>
      <c r="B825" s="64"/>
      <c r="C825" s="64"/>
      <c r="D825" s="64"/>
      <c r="E825" s="65"/>
      <c r="F825" s="64"/>
      <c r="G825" s="67"/>
      <c r="H825" s="64"/>
      <c r="I825" s="64"/>
      <c r="J825" s="64"/>
      <c r="K825" s="64"/>
      <c r="L825" s="65"/>
      <c r="M825" s="64"/>
      <c r="N825" s="64"/>
      <c r="O825" s="64"/>
      <c r="P825" s="64"/>
      <c r="Q825" s="64"/>
      <c r="R825" s="64"/>
      <c r="S825" s="64"/>
      <c r="T825" s="65"/>
      <c r="U825" s="64"/>
      <c r="V825" s="64"/>
      <c r="W825" s="64"/>
      <c r="X825" s="64"/>
      <c r="Y825" s="64"/>
      <c r="Z825" s="64"/>
      <c r="AA825" s="64"/>
      <c r="AB825" s="64"/>
      <c r="AC825" s="64"/>
      <c r="AD825" s="64"/>
      <c r="AE825" s="64"/>
      <c r="AF825" s="64"/>
      <c r="AG825" s="64"/>
    </row>
    <row r="826">
      <c r="A826" s="64"/>
      <c r="B826" s="64"/>
      <c r="C826" s="64"/>
      <c r="D826" s="64"/>
      <c r="E826" s="65"/>
      <c r="F826" s="64"/>
      <c r="G826" s="67"/>
      <c r="H826" s="64"/>
      <c r="I826" s="64"/>
      <c r="J826" s="64"/>
      <c r="K826" s="64"/>
      <c r="L826" s="65"/>
      <c r="M826" s="64"/>
      <c r="N826" s="64"/>
      <c r="O826" s="64"/>
      <c r="P826" s="64"/>
      <c r="Q826" s="64"/>
      <c r="R826" s="64"/>
      <c r="S826" s="64"/>
      <c r="T826" s="65"/>
      <c r="U826" s="64"/>
      <c r="V826" s="64"/>
      <c r="W826" s="64"/>
      <c r="X826" s="64"/>
      <c r="Y826" s="64"/>
      <c r="Z826" s="64"/>
      <c r="AA826" s="64"/>
      <c r="AB826" s="64"/>
      <c r="AC826" s="64"/>
      <c r="AD826" s="64"/>
      <c r="AE826" s="64"/>
      <c r="AF826" s="64"/>
      <c r="AG826" s="64"/>
    </row>
    <row r="827">
      <c r="A827" s="64"/>
      <c r="B827" s="64"/>
      <c r="C827" s="64"/>
      <c r="D827" s="64"/>
      <c r="E827" s="65"/>
      <c r="F827" s="64"/>
      <c r="G827" s="67"/>
      <c r="H827" s="64"/>
      <c r="I827" s="64"/>
      <c r="J827" s="64"/>
      <c r="K827" s="64"/>
      <c r="L827" s="65"/>
      <c r="M827" s="64"/>
      <c r="N827" s="64"/>
      <c r="O827" s="64"/>
      <c r="P827" s="64"/>
      <c r="Q827" s="64"/>
      <c r="R827" s="64"/>
      <c r="S827" s="64"/>
      <c r="T827" s="65"/>
      <c r="U827" s="64"/>
      <c r="V827" s="64"/>
      <c r="W827" s="64"/>
      <c r="X827" s="64"/>
      <c r="Y827" s="64"/>
      <c r="Z827" s="64"/>
      <c r="AA827" s="64"/>
      <c r="AB827" s="64"/>
      <c r="AC827" s="64"/>
      <c r="AD827" s="64"/>
      <c r="AE827" s="64"/>
      <c r="AF827" s="64"/>
      <c r="AG827" s="64"/>
    </row>
    <row r="828">
      <c r="A828" s="64"/>
      <c r="B828" s="64"/>
      <c r="C828" s="64"/>
      <c r="D828" s="64"/>
      <c r="E828" s="65"/>
      <c r="F828" s="64"/>
      <c r="G828" s="67"/>
      <c r="H828" s="64"/>
      <c r="I828" s="64"/>
      <c r="J828" s="64"/>
      <c r="K828" s="64"/>
      <c r="L828" s="65"/>
      <c r="M828" s="64"/>
      <c r="N828" s="64"/>
      <c r="O828" s="64"/>
      <c r="P828" s="64"/>
      <c r="Q828" s="64"/>
      <c r="R828" s="64"/>
      <c r="S828" s="64"/>
      <c r="T828" s="65"/>
      <c r="U828" s="64"/>
      <c r="V828" s="64"/>
      <c r="W828" s="64"/>
      <c r="X828" s="64"/>
      <c r="Y828" s="64"/>
      <c r="Z828" s="64"/>
      <c r="AA828" s="64"/>
      <c r="AB828" s="64"/>
      <c r="AC828" s="64"/>
      <c r="AD828" s="64"/>
      <c r="AE828" s="64"/>
      <c r="AF828" s="64"/>
      <c r="AG828" s="64"/>
    </row>
    <row r="829">
      <c r="A829" s="64"/>
      <c r="B829" s="64"/>
      <c r="C829" s="64"/>
      <c r="D829" s="64"/>
      <c r="E829" s="65"/>
      <c r="F829" s="64"/>
      <c r="G829" s="67"/>
      <c r="H829" s="64"/>
      <c r="I829" s="64"/>
      <c r="J829" s="64"/>
      <c r="K829" s="64"/>
      <c r="L829" s="65"/>
      <c r="M829" s="64"/>
      <c r="N829" s="64"/>
      <c r="O829" s="64"/>
      <c r="P829" s="64"/>
      <c r="Q829" s="64"/>
      <c r="R829" s="64"/>
      <c r="S829" s="64"/>
      <c r="T829" s="65"/>
      <c r="U829" s="64"/>
      <c r="V829" s="64"/>
      <c r="W829" s="64"/>
      <c r="X829" s="64"/>
      <c r="Y829" s="64"/>
      <c r="Z829" s="64"/>
      <c r="AA829" s="64"/>
      <c r="AB829" s="64"/>
      <c r="AC829" s="64"/>
      <c r="AD829" s="64"/>
      <c r="AE829" s="64"/>
      <c r="AF829" s="64"/>
      <c r="AG829" s="64"/>
    </row>
    <row r="830">
      <c r="A830" s="64"/>
      <c r="B830" s="64"/>
      <c r="C830" s="64"/>
      <c r="D830" s="64"/>
      <c r="E830" s="65"/>
      <c r="F830" s="64"/>
      <c r="G830" s="67"/>
      <c r="H830" s="64"/>
      <c r="I830" s="64"/>
      <c r="J830" s="64"/>
      <c r="K830" s="64"/>
      <c r="L830" s="65"/>
      <c r="M830" s="64"/>
      <c r="N830" s="64"/>
      <c r="O830" s="64"/>
      <c r="P830" s="64"/>
      <c r="Q830" s="64"/>
      <c r="R830" s="64"/>
      <c r="S830" s="64"/>
      <c r="T830" s="65"/>
      <c r="U830" s="64"/>
      <c r="V830" s="64"/>
      <c r="W830" s="64"/>
      <c r="X830" s="64"/>
      <c r="Y830" s="64"/>
      <c r="Z830" s="64"/>
      <c r="AA830" s="64"/>
      <c r="AB830" s="64"/>
      <c r="AC830" s="64"/>
      <c r="AD830" s="64"/>
      <c r="AE830" s="64"/>
      <c r="AF830" s="64"/>
      <c r="AG830" s="64"/>
    </row>
    <row r="831">
      <c r="A831" s="64"/>
      <c r="B831" s="64"/>
      <c r="C831" s="64"/>
      <c r="D831" s="64"/>
      <c r="E831" s="65"/>
      <c r="F831" s="64"/>
      <c r="G831" s="67"/>
      <c r="H831" s="64"/>
      <c r="I831" s="64"/>
      <c r="J831" s="64"/>
      <c r="K831" s="64"/>
      <c r="L831" s="65"/>
      <c r="M831" s="64"/>
      <c r="N831" s="64"/>
      <c r="O831" s="64"/>
      <c r="P831" s="64"/>
      <c r="Q831" s="64"/>
      <c r="R831" s="64"/>
      <c r="S831" s="64"/>
      <c r="T831" s="65"/>
      <c r="U831" s="64"/>
      <c r="V831" s="64"/>
      <c r="W831" s="64"/>
      <c r="X831" s="64"/>
      <c r="Y831" s="64"/>
      <c r="Z831" s="64"/>
      <c r="AA831" s="64"/>
      <c r="AB831" s="64"/>
      <c r="AC831" s="64"/>
      <c r="AD831" s="64"/>
      <c r="AE831" s="64"/>
      <c r="AF831" s="64"/>
      <c r="AG831" s="64"/>
    </row>
    <row r="832">
      <c r="A832" s="64"/>
      <c r="B832" s="64"/>
      <c r="C832" s="64"/>
      <c r="D832" s="64"/>
      <c r="E832" s="65"/>
      <c r="F832" s="64"/>
      <c r="G832" s="67"/>
      <c r="H832" s="64"/>
      <c r="I832" s="64"/>
      <c r="J832" s="64"/>
      <c r="K832" s="64"/>
      <c r="L832" s="65"/>
      <c r="M832" s="64"/>
      <c r="N832" s="64"/>
      <c r="O832" s="64"/>
      <c r="P832" s="64"/>
      <c r="Q832" s="64"/>
      <c r="R832" s="64"/>
      <c r="S832" s="64"/>
      <c r="T832" s="65"/>
      <c r="U832" s="64"/>
      <c r="V832" s="64"/>
      <c r="W832" s="64"/>
      <c r="X832" s="64"/>
      <c r="Y832" s="64"/>
      <c r="Z832" s="64"/>
      <c r="AA832" s="64"/>
      <c r="AB832" s="64"/>
      <c r="AC832" s="64"/>
      <c r="AD832" s="64"/>
      <c r="AE832" s="64"/>
      <c r="AF832" s="64"/>
      <c r="AG832" s="64"/>
    </row>
    <row r="833">
      <c r="A833" s="64"/>
      <c r="B833" s="64"/>
      <c r="C833" s="64"/>
      <c r="D833" s="64"/>
      <c r="E833" s="65"/>
      <c r="F833" s="64"/>
      <c r="G833" s="67"/>
      <c r="H833" s="64"/>
      <c r="I833" s="64"/>
      <c r="J833" s="64"/>
      <c r="K833" s="64"/>
      <c r="L833" s="65"/>
      <c r="M833" s="64"/>
      <c r="N833" s="64"/>
      <c r="O833" s="64"/>
      <c r="P833" s="64"/>
      <c r="Q833" s="64"/>
      <c r="R833" s="64"/>
      <c r="S833" s="64"/>
      <c r="T833" s="65"/>
      <c r="U833" s="64"/>
      <c r="V833" s="64"/>
      <c r="W833" s="64"/>
      <c r="X833" s="64"/>
      <c r="Y833" s="64"/>
      <c r="Z833" s="64"/>
      <c r="AA833" s="64"/>
      <c r="AB833" s="64"/>
      <c r="AC833" s="64"/>
      <c r="AD833" s="64"/>
      <c r="AE833" s="64"/>
      <c r="AF833" s="64"/>
      <c r="AG833" s="64"/>
    </row>
    <row r="834">
      <c r="A834" s="64"/>
      <c r="B834" s="64"/>
      <c r="C834" s="64"/>
      <c r="D834" s="64"/>
      <c r="E834" s="65"/>
      <c r="F834" s="64"/>
      <c r="G834" s="67"/>
      <c r="H834" s="64"/>
      <c r="I834" s="64"/>
      <c r="J834" s="64"/>
      <c r="K834" s="64"/>
      <c r="L834" s="65"/>
      <c r="M834" s="64"/>
      <c r="N834" s="64"/>
      <c r="O834" s="64"/>
      <c r="P834" s="64"/>
      <c r="Q834" s="64"/>
      <c r="R834" s="64"/>
      <c r="S834" s="64"/>
      <c r="T834" s="65"/>
      <c r="U834" s="64"/>
      <c r="V834" s="64"/>
      <c r="W834" s="64"/>
      <c r="X834" s="64"/>
      <c r="Y834" s="64"/>
      <c r="Z834" s="64"/>
      <c r="AA834" s="64"/>
      <c r="AB834" s="64"/>
      <c r="AC834" s="64"/>
      <c r="AD834" s="64"/>
      <c r="AE834" s="64"/>
      <c r="AF834" s="64"/>
      <c r="AG834" s="64"/>
    </row>
    <row r="835">
      <c r="A835" s="64"/>
      <c r="B835" s="64"/>
      <c r="C835" s="64"/>
      <c r="D835" s="64"/>
      <c r="E835" s="65"/>
      <c r="F835" s="64"/>
      <c r="G835" s="67"/>
      <c r="H835" s="64"/>
      <c r="I835" s="64"/>
      <c r="J835" s="64"/>
      <c r="K835" s="64"/>
      <c r="L835" s="65"/>
      <c r="M835" s="64"/>
      <c r="N835" s="64"/>
      <c r="O835" s="64"/>
      <c r="P835" s="64"/>
      <c r="Q835" s="64"/>
      <c r="R835" s="64"/>
      <c r="S835" s="64"/>
      <c r="T835" s="65"/>
      <c r="U835" s="64"/>
      <c r="V835" s="64"/>
      <c r="W835" s="64"/>
      <c r="X835" s="64"/>
      <c r="Y835" s="64"/>
      <c r="Z835" s="64"/>
      <c r="AA835" s="64"/>
      <c r="AB835" s="64"/>
      <c r="AC835" s="64"/>
      <c r="AD835" s="64"/>
      <c r="AE835" s="64"/>
      <c r="AF835" s="64"/>
      <c r="AG835" s="64"/>
    </row>
    <row r="836">
      <c r="A836" s="64"/>
      <c r="B836" s="64"/>
      <c r="C836" s="64"/>
      <c r="D836" s="64"/>
      <c r="E836" s="65"/>
      <c r="F836" s="64"/>
      <c r="G836" s="67"/>
      <c r="H836" s="64"/>
      <c r="I836" s="64"/>
      <c r="J836" s="64"/>
      <c r="K836" s="64"/>
      <c r="L836" s="65"/>
      <c r="M836" s="64"/>
      <c r="N836" s="64"/>
      <c r="O836" s="64"/>
      <c r="P836" s="64"/>
      <c r="Q836" s="64"/>
      <c r="R836" s="64"/>
      <c r="S836" s="64"/>
      <c r="T836" s="65"/>
      <c r="U836" s="64"/>
      <c r="V836" s="64"/>
      <c r="W836" s="64"/>
      <c r="X836" s="64"/>
      <c r="Y836" s="64"/>
      <c r="Z836" s="64"/>
      <c r="AA836" s="64"/>
      <c r="AB836" s="64"/>
      <c r="AC836" s="64"/>
      <c r="AD836" s="64"/>
      <c r="AE836" s="64"/>
      <c r="AF836" s="64"/>
      <c r="AG836" s="64"/>
    </row>
    <row r="837">
      <c r="A837" s="64"/>
      <c r="B837" s="64"/>
      <c r="C837" s="64"/>
      <c r="D837" s="64"/>
      <c r="E837" s="65"/>
      <c r="F837" s="64"/>
      <c r="G837" s="67"/>
      <c r="H837" s="64"/>
      <c r="I837" s="64"/>
      <c r="J837" s="64"/>
      <c r="K837" s="64"/>
      <c r="L837" s="65"/>
      <c r="M837" s="64"/>
      <c r="N837" s="64"/>
      <c r="O837" s="64"/>
      <c r="P837" s="64"/>
      <c r="Q837" s="64"/>
      <c r="R837" s="64"/>
      <c r="S837" s="64"/>
      <c r="T837" s="65"/>
      <c r="U837" s="64"/>
      <c r="V837" s="64"/>
      <c r="W837" s="64"/>
      <c r="X837" s="64"/>
      <c r="Y837" s="64"/>
      <c r="Z837" s="64"/>
      <c r="AA837" s="64"/>
      <c r="AB837" s="64"/>
      <c r="AC837" s="64"/>
      <c r="AD837" s="64"/>
      <c r="AE837" s="64"/>
      <c r="AF837" s="64"/>
      <c r="AG837" s="64"/>
    </row>
    <row r="838">
      <c r="A838" s="64"/>
      <c r="B838" s="64"/>
      <c r="C838" s="64"/>
      <c r="D838" s="64"/>
      <c r="E838" s="65"/>
      <c r="F838" s="64"/>
      <c r="G838" s="67"/>
      <c r="H838" s="64"/>
      <c r="I838" s="64"/>
      <c r="J838" s="64"/>
      <c r="K838" s="64"/>
      <c r="L838" s="65"/>
      <c r="M838" s="64"/>
      <c r="N838" s="64"/>
      <c r="O838" s="64"/>
      <c r="P838" s="64"/>
      <c r="Q838" s="64"/>
      <c r="R838" s="64"/>
      <c r="S838" s="64"/>
      <c r="T838" s="65"/>
      <c r="U838" s="64"/>
      <c r="V838" s="64"/>
      <c r="W838" s="64"/>
      <c r="X838" s="64"/>
      <c r="Y838" s="64"/>
      <c r="Z838" s="64"/>
      <c r="AA838" s="64"/>
      <c r="AB838" s="64"/>
      <c r="AC838" s="64"/>
      <c r="AD838" s="64"/>
      <c r="AE838" s="64"/>
      <c r="AF838" s="64"/>
      <c r="AG838" s="64"/>
    </row>
    <row r="839">
      <c r="A839" s="64"/>
      <c r="B839" s="64"/>
      <c r="C839" s="64"/>
      <c r="D839" s="64"/>
      <c r="E839" s="65"/>
      <c r="F839" s="64"/>
      <c r="G839" s="67"/>
      <c r="H839" s="64"/>
      <c r="I839" s="64"/>
      <c r="J839" s="64"/>
      <c r="K839" s="64"/>
      <c r="L839" s="65"/>
      <c r="M839" s="64"/>
      <c r="N839" s="64"/>
      <c r="O839" s="64"/>
      <c r="P839" s="64"/>
      <c r="Q839" s="64"/>
      <c r="R839" s="64"/>
      <c r="S839" s="64"/>
      <c r="T839" s="65"/>
      <c r="U839" s="64"/>
      <c r="V839" s="64"/>
      <c r="W839" s="64"/>
      <c r="X839" s="64"/>
      <c r="Y839" s="64"/>
      <c r="Z839" s="64"/>
      <c r="AA839" s="64"/>
      <c r="AB839" s="64"/>
      <c r="AC839" s="64"/>
      <c r="AD839" s="64"/>
      <c r="AE839" s="64"/>
      <c r="AF839" s="64"/>
      <c r="AG839" s="64"/>
    </row>
    <row r="840">
      <c r="A840" s="64"/>
      <c r="B840" s="64"/>
      <c r="C840" s="64"/>
      <c r="D840" s="64"/>
      <c r="E840" s="65"/>
      <c r="F840" s="64"/>
      <c r="G840" s="67"/>
      <c r="H840" s="64"/>
      <c r="I840" s="64"/>
      <c r="J840" s="64"/>
      <c r="K840" s="64"/>
      <c r="L840" s="65"/>
      <c r="M840" s="64"/>
      <c r="N840" s="64"/>
      <c r="O840" s="64"/>
      <c r="P840" s="64"/>
      <c r="Q840" s="64"/>
      <c r="R840" s="64"/>
      <c r="S840" s="64"/>
      <c r="T840" s="65"/>
      <c r="U840" s="64"/>
      <c r="V840" s="64"/>
      <c r="W840" s="64"/>
      <c r="X840" s="64"/>
      <c r="Y840" s="64"/>
      <c r="Z840" s="64"/>
      <c r="AA840" s="64"/>
      <c r="AB840" s="64"/>
      <c r="AC840" s="64"/>
      <c r="AD840" s="64"/>
      <c r="AE840" s="64"/>
      <c r="AF840" s="64"/>
      <c r="AG840" s="64"/>
    </row>
    <row r="841">
      <c r="A841" s="64"/>
      <c r="B841" s="64"/>
      <c r="C841" s="64"/>
      <c r="D841" s="64"/>
      <c r="E841" s="65"/>
      <c r="F841" s="64"/>
      <c r="G841" s="67"/>
      <c r="H841" s="64"/>
      <c r="I841" s="64"/>
      <c r="J841" s="64"/>
      <c r="K841" s="64"/>
      <c r="L841" s="65"/>
      <c r="M841" s="64"/>
      <c r="N841" s="64"/>
      <c r="O841" s="64"/>
      <c r="P841" s="64"/>
      <c r="Q841" s="64"/>
      <c r="R841" s="64"/>
      <c r="S841" s="64"/>
      <c r="T841" s="65"/>
      <c r="U841" s="64"/>
      <c r="V841" s="64"/>
      <c r="W841" s="64"/>
      <c r="X841" s="64"/>
      <c r="Y841" s="64"/>
      <c r="Z841" s="64"/>
      <c r="AA841" s="64"/>
      <c r="AB841" s="64"/>
      <c r="AC841" s="64"/>
      <c r="AD841" s="64"/>
      <c r="AE841" s="64"/>
      <c r="AF841" s="64"/>
      <c r="AG841" s="64"/>
    </row>
    <row r="842">
      <c r="A842" s="64"/>
      <c r="B842" s="64"/>
      <c r="C842" s="64"/>
      <c r="D842" s="64"/>
      <c r="E842" s="65"/>
      <c r="F842" s="64"/>
      <c r="G842" s="67"/>
      <c r="H842" s="64"/>
      <c r="I842" s="64"/>
      <c r="J842" s="64"/>
      <c r="K842" s="64"/>
      <c r="L842" s="65"/>
      <c r="M842" s="64"/>
      <c r="N842" s="64"/>
      <c r="O842" s="64"/>
      <c r="P842" s="64"/>
      <c r="Q842" s="64"/>
      <c r="R842" s="64"/>
      <c r="S842" s="64"/>
      <c r="T842" s="65"/>
      <c r="U842" s="64"/>
      <c r="V842" s="64"/>
      <c r="W842" s="64"/>
      <c r="X842" s="64"/>
      <c r="Y842" s="64"/>
      <c r="Z842" s="64"/>
      <c r="AA842" s="64"/>
      <c r="AB842" s="64"/>
      <c r="AC842" s="64"/>
      <c r="AD842" s="64"/>
      <c r="AE842" s="64"/>
      <c r="AF842" s="64"/>
      <c r="AG842" s="64"/>
    </row>
    <row r="843">
      <c r="A843" s="64"/>
      <c r="B843" s="64"/>
      <c r="C843" s="64"/>
      <c r="D843" s="64"/>
      <c r="E843" s="65"/>
      <c r="F843" s="64"/>
      <c r="G843" s="67"/>
      <c r="H843" s="64"/>
      <c r="I843" s="64"/>
      <c r="J843" s="64"/>
      <c r="K843" s="64"/>
      <c r="L843" s="65"/>
      <c r="M843" s="64"/>
      <c r="N843" s="64"/>
      <c r="O843" s="64"/>
      <c r="P843" s="64"/>
      <c r="Q843" s="64"/>
      <c r="R843" s="64"/>
      <c r="S843" s="64"/>
      <c r="T843" s="65"/>
      <c r="U843" s="64"/>
      <c r="V843" s="64"/>
      <c r="W843" s="64"/>
      <c r="X843" s="64"/>
      <c r="Y843" s="64"/>
      <c r="Z843" s="64"/>
      <c r="AA843" s="64"/>
      <c r="AB843" s="64"/>
      <c r="AC843" s="64"/>
      <c r="AD843" s="64"/>
      <c r="AE843" s="64"/>
      <c r="AF843" s="64"/>
      <c r="AG843" s="64"/>
    </row>
    <row r="844">
      <c r="A844" s="64"/>
      <c r="B844" s="64"/>
      <c r="C844" s="64"/>
      <c r="D844" s="64"/>
      <c r="E844" s="65"/>
      <c r="F844" s="64"/>
      <c r="G844" s="67"/>
      <c r="H844" s="64"/>
      <c r="I844" s="64"/>
      <c r="J844" s="64"/>
      <c r="K844" s="64"/>
      <c r="L844" s="65"/>
      <c r="M844" s="64"/>
      <c r="N844" s="64"/>
      <c r="O844" s="64"/>
      <c r="P844" s="64"/>
      <c r="Q844" s="64"/>
      <c r="R844" s="64"/>
      <c r="S844" s="64"/>
      <c r="T844" s="65"/>
      <c r="U844" s="64"/>
      <c r="V844" s="64"/>
      <c r="W844" s="64"/>
      <c r="X844" s="64"/>
      <c r="Y844" s="64"/>
      <c r="Z844" s="64"/>
      <c r="AA844" s="64"/>
      <c r="AB844" s="64"/>
      <c r="AC844" s="64"/>
      <c r="AD844" s="64"/>
      <c r="AE844" s="64"/>
      <c r="AF844" s="64"/>
      <c r="AG844" s="64"/>
    </row>
    <row r="845">
      <c r="A845" s="64"/>
      <c r="B845" s="64"/>
      <c r="C845" s="64"/>
      <c r="D845" s="64"/>
      <c r="E845" s="65"/>
      <c r="F845" s="64"/>
      <c r="G845" s="67"/>
      <c r="H845" s="64"/>
      <c r="I845" s="64"/>
      <c r="J845" s="64"/>
      <c r="K845" s="64"/>
      <c r="L845" s="65"/>
      <c r="M845" s="64"/>
      <c r="N845" s="64"/>
      <c r="O845" s="64"/>
      <c r="P845" s="64"/>
      <c r="Q845" s="64"/>
      <c r="R845" s="64"/>
      <c r="S845" s="64"/>
      <c r="T845" s="65"/>
      <c r="U845" s="64"/>
      <c r="V845" s="64"/>
      <c r="W845" s="64"/>
      <c r="X845" s="64"/>
      <c r="Y845" s="64"/>
      <c r="Z845" s="64"/>
      <c r="AA845" s="64"/>
      <c r="AB845" s="64"/>
      <c r="AC845" s="64"/>
      <c r="AD845" s="64"/>
      <c r="AE845" s="64"/>
      <c r="AF845" s="64"/>
      <c r="AG845" s="64"/>
    </row>
    <row r="846">
      <c r="A846" s="64"/>
      <c r="B846" s="64"/>
      <c r="C846" s="64"/>
      <c r="D846" s="64"/>
      <c r="E846" s="65"/>
      <c r="F846" s="64"/>
      <c r="G846" s="67"/>
      <c r="H846" s="64"/>
      <c r="I846" s="64"/>
      <c r="J846" s="64"/>
      <c r="K846" s="64"/>
      <c r="L846" s="65"/>
      <c r="M846" s="64"/>
      <c r="N846" s="64"/>
      <c r="O846" s="64"/>
      <c r="P846" s="64"/>
      <c r="Q846" s="64"/>
      <c r="R846" s="64"/>
      <c r="S846" s="64"/>
      <c r="T846" s="65"/>
      <c r="U846" s="64"/>
      <c r="V846" s="64"/>
      <c r="W846" s="64"/>
      <c r="X846" s="64"/>
      <c r="Y846" s="64"/>
      <c r="Z846" s="64"/>
      <c r="AA846" s="64"/>
      <c r="AB846" s="64"/>
      <c r="AC846" s="64"/>
      <c r="AD846" s="64"/>
      <c r="AE846" s="64"/>
      <c r="AF846" s="64"/>
      <c r="AG846" s="64"/>
    </row>
    <row r="847">
      <c r="A847" s="64"/>
      <c r="B847" s="64"/>
      <c r="C847" s="64"/>
      <c r="D847" s="64"/>
      <c r="E847" s="65"/>
      <c r="F847" s="64"/>
      <c r="G847" s="67"/>
      <c r="H847" s="64"/>
      <c r="I847" s="64"/>
      <c r="J847" s="64"/>
      <c r="K847" s="64"/>
      <c r="L847" s="65"/>
      <c r="M847" s="64"/>
      <c r="N847" s="64"/>
      <c r="O847" s="64"/>
      <c r="P847" s="64"/>
      <c r="Q847" s="64"/>
      <c r="R847" s="64"/>
      <c r="S847" s="64"/>
      <c r="T847" s="65"/>
      <c r="U847" s="64"/>
      <c r="V847" s="64"/>
      <c r="W847" s="64"/>
      <c r="X847" s="64"/>
      <c r="Y847" s="64"/>
      <c r="Z847" s="64"/>
      <c r="AA847" s="64"/>
      <c r="AB847" s="64"/>
      <c r="AC847" s="64"/>
      <c r="AD847" s="64"/>
      <c r="AE847" s="64"/>
      <c r="AF847" s="64"/>
      <c r="AG847" s="64"/>
    </row>
    <row r="848">
      <c r="A848" s="64"/>
      <c r="B848" s="64"/>
      <c r="C848" s="64"/>
      <c r="D848" s="64"/>
      <c r="E848" s="65"/>
      <c r="F848" s="64"/>
      <c r="G848" s="67"/>
      <c r="H848" s="64"/>
      <c r="I848" s="64"/>
      <c r="J848" s="64"/>
      <c r="K848" s="64"/>
      <c r="L848" s="65"/>
      <c r="M848" s="64"/>
      <c r="N848" s="64"/>
      <c r="O848" s="64"/>
      <c r="P848" s="64"/>
      <c r="Q848" s="64"/>
      <c r="R848" s="64"/>
      <c r="S848" s="64"/>
      <c r="T848" s="65"/>
      <c r="U848" s="64"/>
      <c r="V848" s="64"/>
      <c r="W848" s="64"/>
      <c r="X848" s="64"/>
      <c r="Y848" s="64"/>
      <c r="Z848" s="64"/>
      <c r="AA848" s="64"/>
      <c r="AB848" s="64"/>
      <c r="AC848" s="64"/>
      <c r="AD848" s="64"/>
      <c r="AE848" s="64"/>
      <c r="AF848" s="64"/>
      <c r="AG848" s="64"/>
    </row>
    <row r="849">
      <c r="A849" s="64"/>
      <c r="B849" s="64"/>
      <c r="C849" s="64"/>
      <c r="D849" s="64"/>
      <c r="E849" s="65"/>
      <c r="F849" s="64"/>
      <c r="G849" s="67"/>
      <c r="H849" s="64"/>
      <c r="I849" s="64"/>
      <c r="J849" s="64"/>
      <c r="K849" s="64"/>
      <c r="L849" s="65"/>
      <c r="M849" s="64"/>
      <c r="N849" s="64"/>
      <c r="O849" s="64"/>
      <c r="P849" s="64"/>
      <c r="Q849" s="64"/>
      <c r="R849" s="64"/>
      <c r="S849" s="64"/>
      <c r="T849" s="65"/>
      <c r="U849" s="64"/>
      <c r="V849" s="64"/>
      <c r="W849" s="64"/>
      <c r="X849" s="64"/>
      <c r="Y849" s="64"/>
      <c r="Z849" s="64"/>
      <c r="AA849" s="64"/>
      <c r="AB849" s="64"/>
      <c r="AC849" s="64"/>
      <c r="AD849" s="64"/>
      <c r="AE849" s="64"/>
      <c r="AF849" s="64"/>
      <c r="AG849" s="64"/>
    </row>
    <row r="850">
      <c r="A850" s="64"/>
      <c r="B850" s="64"/>
      <c r="C850" s="64"/>
      <c r="D850" s="64"/>
      <c r="E850" s="65"/>
      <c r="F850" s="64"/>
      <c r="G850" s="67"/>
      <c r="H850" s="64"/>
      <c r="I850" s="64"/>
      <c r="J850" s="64"/>
      <c r="K850" s="64"/>
      <c r="L850" s="65"/>
      <c r="M850" s="64"/>
      <c r="N850" s="64"/>
      <c r="O850" s="64"/>
      <c r="P850" s="64"/>
      <c r="Q850" s="64"/>
      <c r="R850" s="64"/>
      <c r="S850" s="64"/>
      <c r="T850" s="65"/>
      <c r="U850" s="64"/>
      <c r="V850" s="64"/>
      <c r="W850" s="64"/>
      <c r="X850" s="64"/>
      <c r="Y850" s="64"/>
      <c r="Z850" s="64"/>
      <c r="AA850" s="64"/>
      <c r="AB850" s="64"/>
      <c r="AC850" s="64"/>
      <c r="AD850" s="64"/>
      <c r="AE850" s="64"/>
      <c r="AF850" s="64"/>
      <c r="AG850" s="64"/>
    </row>
    <row r="851">
      <c r="A851" s="64"/>
      <c r="B851" s="64"/>
      <c r="C851" s="64"/>
      <c r="D851" s="64"/>
      <c r="E851" s="65"/>
      <c r="F851" s="64"/>
      <c r="G851" s="67"/>
      <c r="H851" s="64"/>
      <c r="I851" s="64"/>
      <c r="J851" s="64"/>
      <c r="K851" s="64"/>
      <c r="L851" s="65"/>
      <c r="M851" s="64"/>
      <c r="N851" s="64"/>
      <c r="O851" s="64"/>
      <c r="P851" s="64"/>
      <c r="Q851" s="64"/>
      <c r="R851" s="64"/>
      <c r="S851" s="64"/>
      <c r="T851" s="65"/>
      <c r="U851" s="64"/>
      <c r="V851" s="64"/>
      <c r="W851" s="64"/>
      <c r="X851" s="64"/>
      <c r="Y851" s="64"/>
      <c r="Z851" s="64"/>
      <c r="AA851" s="64"/>
      <c r="AB851" s="64"/>
      <c r="AC851" s="64"/>
      <c r="AD851" s="64"/>
      <c r="AE851" s="64"/>
      <c r="AF851" s="64"/>
      <c r="AG851" s="64"/>
    </row>
    <row r="852">
      <c r="A852" s="64"/>
      <c r="B852" s="64"/>
      <c r="C852" s="64"/>
      <c r="D852" s="64"/>
      <c r="E852" s="65"/>
      <c r="F852" s="64"/>
      <c r="G852" s="67"/>
      <c r="H852" s="64"/>
      <c r="I852" s="64"/>
      <c r="J852" s="64"/>
      <c r="K852" s="64"/>
      <c r="L852" s="65"/>
      <c r="M852" s="64"/>
      <c r="N852" s="64"/>
      <c r="O852" s="64"/>
      <c r="P852" s="64"/>
      <c r="Q852" s="64"/>
      <c r="R852" s="64"/>
      <c r="S852" s="64"/>
      <c r="T852" s="65"/>
      <c r="U852" s="64"/>
      <c r="V852" s="64"/>
      <c r="W852" s="64"/>
      <c r="X852" s="64"/>
      <c r="Y852" s="64"/>
      <c r="Z852" s="64"/>
      <c r="AA852" s="64"/>
      <c r="AB852" s="64"/>
      <c r="AC852" s="64"/>
      <c r="AD852" s="64"/>
      <c r="AE852" s="64"/>
      <c r="AF852" s="64"/>
      <c r="AG852" s="64"/>
    </row>
    <row r="853">
      <c r="A853" s="64"/>
      <c r="B853" s="64"/>
      <c r="C853" s="64"/>
      <c r="D853" s="64"/>
      <c r="E853" s="65"/>
      <c r="F853" s="64"/>
      <c r="G853" s="67"/>
      <c r="H853" s="64"/>
      <c r="I853" s="64"/>
      <c r="J853" s="64"/>
      <c r="K853" s="64"/>
      <c r="L853" s="65"/>
      <c r="M853" s="64"/>
      <c r="N853" s="64"/>
      <c r="O853" s="64"/>
      <c r="P853" s="64"/>
      <c r="Q853" s="64"/>
      <c r="R853" s="64"/>
      <c r="S853" s="64"/>
      <c r="T853" s="65"/>
      <c r="U853" s="64"/>
      <c r="V853" s="64"/>
      <c r="W853" s="64"/>
      <c r="X853" s="64"/>
      <c r="Y853" s="64"/>
      <c r="Z853" s="64"/>
      <c r="AA853" s="64"/>
      <c r="AB853" s="64"/>
      <c r="AC853" s="64"/>
      <c r="AD853" s="64"/>
      <c r="AE853" s="64"/>
      <c r="AF853" s="64"/>
      <c r="AG853" s="64"/>
    </row>
    <row r="854">
      <c r="A854" s="64"/>
      <c r="B854" s="64"/>
      <c r="C854" s="64"/>
      <c r="D854" s="64"/>
      <c r="E854" s="65"/>
      <c r="F854" s="64"/>
      <c r="G854" s="67"/>
      <c r="H854" s="64"/>
      <c r="I854" s="64"/>
      <c r="J854" s="64"/>
      <c r="K854" s="64"/>
      <c r="L854" s="65"/>
      <c r="M854" s="64"/>
      <c r="N854" s="64"/>
      <c r="O854" s="64"/>
      <c r="P854" s="64"/>
      <c r="Q854" s="64"/>
      <c r="R854" s="64"/>
      <c r="S854" s="64"/>
      <c r="T854" s="65"/>
      <c r="U854" s="64"/>
      <c r="V854" s="64"/>
      <c r="W854" s="64"/>
      <c r="X854" s="64"/>
      <c r="Y854" s="64"/>
      <c r="Z854" s="64"/>
      <c r="AA854" s="64"/>
      <c r="AB854" s="64"/>
      <c r="AC854" s="64"/>
      <c r="AD854" s="64"/>
      <c r="AE854" s="64"/>
      <c r="AF854" s="64"/>
      <c r="AG854" s="64"/>
    </row>
    <row r="855">
      <c r="A855" s="64"/>
      <c r="B855" s="64"/>
      <c r="C855" s="64"/>
      <c r="D855" s="64"/>
      <c r="E855" s="65"/>
      <c r="F855" s="64"/>
      <c r="G855" s="67"/>
      <c r="H855" s="64"/>
      <c r="I855" s="64"/>
      <c r="J855" s="64"/>
      <c r="K855" s="64"/>
      <c r="L855" s="65"/>
      <c r="M855" s="64"/>
      <c r="N855" s="64"/>
      <c r="O855" s="64"/>
      <c r="P855" s="64"/>
      <c r="Q855" s="64"/>
      <c r="R855" s="64"/>
      <c r="S855" s="64"/>
      <c r="T855" s="65"/>
      <c r="U855" s="64"/>
      <c r="V855" s="64"/>
      <c r="W855" s="64"/>
      <c r="X855" s="64"/>
      <c r="Y855" s="64"/>
      <c r="Z855" s="64"/>
      <c r="AA855" s="64"/>
      <c r="AB855" s="64"/>
      <c r="AC855" s="64"/>
      <c r="AD855" s="64"/>
      <c r="AE855" s="64"/>
      <c r="AF855" s="64"/>
      <c r="AG855" s="64"/>
    </row>
    <row r="856">
      <c r="A856" s="64"/>
      <c r="B856" s="64"/>
      <c r="C856" s="64"/>
      <c r="D856" s="64"/>
      <c r="E856" s="65"/>
      <c r="F856" s="64"/>
      <c r="G856" s="67"/>
      <c r="H856" s="64"/>
      <c r="I856" s="64"/>
      <c r="J856" s="64"/>
      <c r="K856" s="64"/>
      <c r="L856" s="65"/>
      <c r="M856" s="64"/>
      <c r="N856" s="64"/>
      <c r="O856" s="64"/>
      <c r="P856" s="64"/>
      <c r="Q856" s="64"/>
      <c r="R856" s="64"/>
      <c r="S856" s="64"/>
      <c r="T856" s="65"/>
      <c r="U856" s="64"/>
      <c r="V856" s="64"/>
      <c r="W856" s="64"/>
      <c r="X856" s="64"/>
      <c r="Y856" s="64"/>
      <c r="Z856" s="64"/>
      <c r="AA856" s="64"/>
      <c r="AB856" s="64"/>
      <c r="AC856" s="64"/>
      <c r="AD856" s="64"/>
      <c r="AE856" s="64"/>
      <c r="AF856" s="64"/>
      <c r="AG856" s="64"/>
    </row>
    <row r="857">
      <c r="A857" s="64"/>
      <c r="B857" s="64"/>
      <c r="C857" s="64"/>
      <c r="D857" s="64"/>
      <c r="E857" s="65"/>
      <c r="F857" s="64"/>
      <c r="G857" s="67"/>
      <c r="H857" s="64"/>
      <c r="I857" s="64"/>
      <c r="J857" s="64"/>
      <c r="K857" s="64"/>
      <c r="L857" s="65"/>
      <c r="M857" s="64"/>
      <c r="N857" s="64"/>
      <c r="O857" s="64"/>
      <c r="P857" s="64"/>
      <c r="Q857" s="64"/>
      <c r="R857" s="64"/>
      <c r="S857" s="64"/>
      <c r="T857" s="65"/>
      <c r="U857" s="64"/>
      <c r="V857" s="64"/>
      <c r="W857" s="64"/>
      <c r="X857" s="64"/>
      <c r="Y857" s="64"/>
      <c r="Z857" s="64"/>
      <c r="AA857" s="64"/>
      <c r="AB857" s="64"/>
      <c r="AC857" s="64"/>
      <c r="AD857" s="64"/>
      <c r="AE857" s="64"/>
      <c r="AF857" s="64"/>
      <c r="AG857" s="64"/>
    </row>
    <row r="858">
      <c r="A858" s="64"/>
      <c r="B858" s="64"/>
      <c r="C858" s="64"/>
      <c r="D858" s="64"/>
      <c r="E858" s="65"/>
      <c r="F858" s="64"/>
      <c r="G858" s="67"/>
      <c r="H858" s="64"/>
      <c r="I858" s="64"/>
      <c r="J858" s="64"/>
      <c r="K858" s="64"/>
      <c r="L858" s="65"/>
      <c r="M858" s="64"/>
      <c r="N858" s="64"/>
      <c r="O858" s="64"/>
      <c r="P858" s="64"/>
      <c r="Q858" s="64"/>
      <c r="R858" s="64"/>
      <c r="S858" s="64"/>
      <c r="T858" s="65"/>
      <c r="U858" s="64"/>
      <c r="V858" s="64"/>
      <c r="W858" s="64"/>
      <c r="X858" s="64"/>
      <c r="Y858" s="64"/>
      <c r="Z858" s="64"/>
      <c r="AA858" s="64"/>
      <c r="AB858" s="64"/>
      <c r="AC858" s="64"/>
      <c r="AD858" s="64"/>
      <c r="AE858" s="64"/>
      <c r="AF858" s="64"/>
      <c r="AG858" s="64"/>
    </row>
    <row r="859">
      <c r="A859" s="64"/>
      <c r="B859" s="64"/>
      <c r="C859" s="64"/>
      <c r="D859" s="64"/>
      <c r="E859" s="65"/>
      <c r="F859" s="64"/>
      <c r="G859" s="67"/>
      <c r="H859" s="64"/>
      <c r="I859" s="64"/>
      <c r="J859" s="64"/>
      <c r="K859" s="64"/>
      <c r="L859" s="65"/>
      <c r="M859" s="64"/>
      <c r="N859" s="64"/>
      <c r="O859" s="64"/>
      <c r="P859" s="64"/>
      <c r="Q859" s="64"/>
      <c r="R859" s="64"/>
      <c r="S859" s="64"/>
      <c r="T859" s="65"/>
      <c r="U859" s="64"/>
      <c r="V859" s="64"/>
      <c r="W859" s="64"/>
      <c r="X859" s="64"/>
      <c r="Y859" s="64"/>
      <c r="Z859" s="64"/>
      <c r="AA859" s="64"/>
      <c r="AB859" s="64"/>
      <c r="AC859" s="64"/>
      <c r="AD859" s="64"/>
      <c r="AE859" s="64"/>
      <c r="AF859" s="64"/>
      <c r="AG859" s="64"/>
    </row>
    <row r="860">
      <c r="A860" s="64"/>
      <c r="B860" s="64"/>
      <c r="C860" s="64"/>
      <c r="D860" s="64"/>
      <c r="E860" s="65"/>
      <c r="F860" s="64"/>
      <c r="G860" s="67"/>
      <c r="H860" s="64"/>
      <c r="I860" s="64"/>
      <c r="J860" s="64"/>
      <c r="K860" s="64"/>
      <c r="L860" s="65"/>
      <c r="M860" s="64"/>
      <c r="N860" s="64"/>
      <c r="O860" s="64"/>
      <c r="P860" s="64"/>
      <c r="Q860" s="64"/>
      <c r="R860" s="64"/>
      <c r="S860" s="64"/>
      <c r="T860" s="65"/>
      <c r="U860" s="64"/>
      <c r="V860" s="64"/>
      <c r="W860" s="64"/>
      <c r="X860" s="64"/>
      <c r="Y860" s="64"/>
      <c r="Z860" s="64"/>
      <c r="AA860" s="64"/>
      <c r="AB860" s="64"/>
      <c r="AC860" s="64"/>
      <c r="AD860" s="64"/>
      <c r="AE860" s="64"/>
      <c r="AF860" s="64"/>
      <c r="AG860" s="64"/>
    </row>
    <row r="861">
      <c r="A861" s="64"/>
      <c r="B861" s="64"/>
      <c r="C861" s="64"/>
      <c r="D861" s="64"/>
      <c r="E861" s="65"/>
      <c r="F861" s="64"/>
      <c r="G861" s="67"/>
      <c r="H861" s="64"/>
      <c r="I861" s="64"/>
      <c r="J861" s="64"/>
      <c r="K861" s="64"/>
      <c r="L861" s="65"/>
      <c r="M861" s="64"/>
      <c r="N861" s="64"/>
      <c r="O861" s="64"/>
      <c r="P861" s="64"/>
      <c r="Q861" s="64"/>
      <c r="R861" s="64"/>
      <c r="S861" s="64"/>
      <c r="T861" s="65"/>
      <c r="U861" s="64"/>
      <c r="V861" s="64"/>
      <c r="W861" s="64"/>
      <c r="X861" s="64"/>
      <c r="Y861" s="64"/>
      <c r="Z861" s="64"/>
      <c r="AA861" s="64"/>
      <c r="AB861" s="64"/>
      <c r="AC861" s="64"/>
      <c r="AD861" s="64"/>
      <c r="AE861" s="64"/>
      <c r="AF861" s="64"/>
      <c r="AG861" s="64"/>
    </row>
    <row r="862">
      <c r="A862" s="64"/>
      <c r="B862" s="64"/>
      <c r="C862" s="64"/>
      <c r="D862" s="64"/>
      <c r="E862" s="65"/>
      <c r="F862" s="64"/>
      <c r="G862" s="67"/>
      <c r="H862" s="64"/>
      <c r="I862" s="64"/>
      <c r="J862" s="64"/>
      <c r="K862" s="64"/>
      <c r="L862" s="65"/>
      <c r="M862" s="64"/>
      <c r="N862" s="64"/>
      <c r="O862" s="64"/>
      <c r="P862" s="64"/>
      <c r="Q862" s="64"/>
      <c r="R862" s="64"/>
      <c r="S862" s="64"/>
      <c r="T862" s="65"/>
      <c r="U862" s="64"/>
      <c r="V862" s="64"/>
      <c r="W862" s="64"/>
      <c r="X862" s="64"/>
      <c r="Y862" s="64"/>
      <c r="Z862" s="64"/>
      <c r="AA862" s="64"/>
      <c r="AB862" s="64"/>
      <c r="AC862" s="64"/>
      <c r="AD862" s="64"/>
      <c r="AE862" s="64"/>
      <c r="AF862" s="64"/>
      <c r="AG862" s="64"/>
    </row>
    <row r="863">
      <c r="A863" s="64"/>
      <c r="B863" s="64"/>
      <c r="C863" s="64"/>
      <c r="D863" s="64"/>
      <c r="E863" s="65"/>
      <c r="F863" s="64"/>
      <c r="G863" s="67"/>
      <c r="H863" s="64"/>
      <c r="I863" s="64"/>
      <c r="J863" s="64"/>
      <c r="K863" s="64"/>
      <c r="L863" s="65"/>
      <c r="M863" s="64"/>
      <c r="N863" s="64"/>
      <c r="O863" s="64"/>
      <c r="P863" s="64"/>
      <c r="Q863" s="64"/>
      <c r="R863" s="64"/>
      <c r="S863" s="64"/>
      <c r="T863" s="65"/>
      <c r="U863" s="64"/>
      <c r="V863" s="64"/>
      <c r="W863" s="64"/>
      <c r="X863" s="64"/>
      <c r="Y863" s="64"/>
      <c r="Z863" s="64"/>
      <c r="AA863" s="64"/>
      <c r="AB863" s="64"/>
      <c r="AC863" s="64"/>
      <c r="AD863" s="64"/>
      <c r="AE863" s="64"/>
      <c r="AF863" s="64"/>
      <c r="AG863" s="64"/>
    </row>
    <row r="864">
      <c r="A864" s="64"/>
      <c r="B864" s="64"/>
      <c r="C864" s="64"/>
      <c r="D864" s="64"/>
      <c r="E864" s="65"/>
      <c r="F864" s="64"/>
      <c r="G864" s="67"/>
      <c r="H864" s="64"/>
      <c r="I864" s="64"/>
      <c r="J864" s="64"/>
      <c r="K864" s="64"/>
      <c r="L864" s="65"/>
      <c r="M864" s="64"/>
      <c r="N864" s="64"/>
      <c r="O864" s="64"/>
      <c r="P864" s="64"/>
      <c r="Q864" s="64"/>
      <c r="R864" s="64"/>
      <c r="S864" s="64"/>
      <c r="T864" s="65"/>
      <c r="U864" s="64"/>
      <c r="V864" s="64"/>
      <c r="W864" s="64"/>
      <c r="X864" s="64"/>
      <c r="Y864" s="64"/>
      <c r="Z864" s="64"/>
      <c r="AA864" s="64"/>
      <c r="AB864" s="64"/>
      <c r="AC864" s="64"/>
      <c r="AD864" s="64"/>
      <c r="AE864" s="64"/>
      <c r="AF864" s="64"/>
      <c r="AG864" s="64"/>
    </row>
    <row r="865">
      <c r="A865" s="64"/>
      <c r="B865" s="64"/>
      <c r="C865" s="64"/>
      <c r="D865" s="64"/>
      <c r="E865" s="65"/>
      <c r="F865" s="64"/>
      <c r="G865" s="67"/>
      <c r="H865" s="64"/>
      <c r="I865" s="64"/>
      <c r="J865" s="64"/>
      <c r="K865" s="64"/>
      <c r="L865" s="65"/>
      <c r="M865" s="64"/>
      <c r="N865" s="64"/>
      <c r="O865" s="64"/>
      <c r="P865" s="64"/>
      <c r="Q865" s="64"/>
      <c r="R865" s="64"/>
      <c r="S865" s="64"/>
      <c r="T865" s="65"/>
      <c r="U865" s="64"/>
      <c r="V865" s="64"/>
      <c r="W865" s="64"/>
      <c r="X865" s="64"/>
      <c r="Y865" s="64"/>
      <c r="Z865" s="64"/>
      <c r="AA865" s="64"/>
      <c r="AB865" s="64"/>
      <c r="AC865" s="64"/>
      <c r="AD865" s="64"/>
      <c r="AE865" s="64"/>
      <c r="AF865" s="64"/>
      <c r="AG865" s="64"/>
    </row>
    <row r="866">
      <c r="A866" s="64"/>
      <c r="B866" s="64"/>
      <c r="C866" s="64"/>
      <c r="D866" s="64"/>
      <c r="E866" s="65"/>
      <c r="F866" s="64"/>
      <c r="G866" s="67"/>
      <c r="H866" s="64"/>
      <c r="I866" s="64"/>
      <c r="J866" s="64"/>
      <c r="K866" s="64"/>
      <c r="L866" s="65"/>
      <c r="M866" s="64"/>
      <c r="N866" s="64"/>
      <c r="O866" s="64"/>
      <c r="P866" s="64"/>
      <c r="Q866" s="64"/>
      <c r="R866" s="64"/>
      <c r="S866" s="64"/>
      <c r="T866" s="65"/>
      <c r="U866" s="64"/>
      <c r="V866" s="64"/>
      <c r="W866" s="64"/>
      <c r="X866" s="64"/>
      <c r="Y866" s="64"/>
      <c r="Z866" s="64"/>
      <c r="AA866" s="64"/>
      <c r="AB866" s="64"/>
      <c r="AC866" s="64"/>
      <c r="AD866" s="64"/>
      <c r="AE866" s="64"/>
      <c r="AF866" s="64"/>
      <c r="AG866" s="64"/>
    </row>
    <row r="867">
      <c r="A867" s="64"/>
      <c r="B867" s="64"/>
      <c r="C867" s="64"/>
      <c r="D867" s="64"/>
      <c r="E867" s="65"/>
      <c r="F867" s="64"/>
      <c r="G867" s="67"/>
      <c r="H867" s="64"/>
      <c r="I867" s="64"/>
      <c r="J867" s="64"/>
      <c r="K867" s="64"/>
      <c r="L867" s="65"/>
      <c r="M867" s="64"/>
      <c r="N867" s="64"/>
      <c r="O867" s="64"/>
      <c r="P867" s="64"/>
      <c r="Q867" s="64"/>
      <c r="R867" s="64"/>
      <c r="S867" s="64"/>
      <c r="T867" s="65"/>
      <c r="U867" s="64"/>
      <c r="V867" s="64"/>
      <c r="W867" s="64"/>
      <c r="X867" s="64"/>
      <c r="Y867" s="64"/>
      <c r="Z867" s="64"/>
      <c r="AA867" s="64"/>
      <c r="AB867" s="64"/>
      <c r="AC867" s="64"/>
      <c r="AD867" s="64"/>
      <c r="AE867" s="64"/>
      <c r="AF867" s="64"/>
      <c r="AG867" s="64"/>
    </row>
    <row r="868">
      <c r="A868" s="64"/>
      <c r="B868" s="64"/>
      <c r="C868" s="64"/>
      <c r="D868" s="64"/>
      <c r="E868" s="65"/>
      <c r="F868" s="64"/>
      <c r="G868" s="67"/>
      <c r="H868" s="64"/>
      <c r="I868" s="64"/>
      <c r="J868" s="64"/>
      <c r="K868" s="64"/>
      <c r="L868" s="65"/>
      <c r="M868" s="64"/>
      <c r="N868" s="64"/>
      <c r="O868" s="64"/>
      <c r="P868" s="64"/>
      <c r="Q868" s="64"/>
      <c r="R868" s="64"/>
      <c r="S868" s="64"/>
      <c r="T868" s="65"/>
      <c r="U868" s="64"/>
      <c r="V868" s="64"/>
      <c r="W868" s="64"/>
      <c r="X868" s="64"/>
      <c r="Y868" s="64"/>
      <c r="Z868" s="64"/>
      <c r="AA868" s="64"/>
      <c r="AB868" s="64"/>
      <c r="AC868" s="64"/>
      <c r="AD868" s="64"/>
      <c r="AE868" s="64"/>
      <c r="AF868" s="64"/>
      <c r="AG868" s="64"/>
    </row>
    <row r="869">
      <c r="A869" s="64"/>
      <c r="B869" s="64"/>
      <c r="C869" s="64"/>
      <c r="D869" s="64"/>
      <c r="E869" s="65"/>
      <c r="F869" s="64"/>
      <c r="G869" s="67"/>
      <c r="H869" s="64"/>
      <c r="I869" s="64"/>
      <c r="J869" s="64"/>
      <c r="K869" s="64"/>
      <c r="L869" s="65"/>
      <c r="M869" s="64"/>
      <c r="N869" s="64"/>
      <c r="O869" s="64"/>
      <c r="P869" s="64"/>
      <c r="Q869" s="64"/>
      <c r="R869" s="64"/>
      <c r="S869" s="64"/>
      <c r="T869" s="65"/>
      <c r="U869" s="64"/>
      <c r="V869" s="64"/>
      <c r="W869" s="64"/>
      <c r="X869" s="64"/>
      <c r="Y869" s="64"/>
      <c r="Z869" s="64"/>
      <c r="AA869" s="64"/>
      <c r="AB869" s="64"/>
      <c r="AC869" s="64"/>
      <c r="AD869" s="64"/>
      <c r="AE869" s="64"/>
      <c r="AF869" s="64"/>
      <c r="AG869" s="64"/>
    </row>
    <row r="870">
      <c r="A870" s="64"/>
      <c r="B870" s="64"/>
      <c r="C870" s="64"/>
      <c r="D870" s="64"/>
      <c r="E870" s="65"/>
      <c r="F870" s="64"/>
      <c r="G870" s="67"/>
      <c r="H870" s="64"/>
      <c r="I870" s="64"/>
      <c r="J870" s="64"/>
      <c r="K870" s="64"/>
      <c r="L870" s="65"/>
      <c r="M870" s="64"/>
      <c r="N870" s="64"/>
      <c r="O870" s="64"/>
      <c r="P870" s="64"/>
      <c r="Q870" s="64"/>
      <c r="R870" s="64"/>
      <c r="S870" s="64"/>
      <c r="T870" s="65"/>
      <c r="U870" s="64"/>
      <c r="V870" s="64"/>
      <c r="W870" s="64"/>
      <c r="X870" s="64"/>
      <c r="Y870" s="64"/>
      <c r="Z870" s="64"/>
      <c r="AA870" s="64"/>
      <c r="AB870" s="64"/>
      <c r="AC870" s="64"/>
      <c r="AD870" s="64"/>
      <c r="AE870" s="64"/>
      <c r="AF870" s="64"/>
      <c r="AG870" s="64"/>
    </row>
    <row r="871">
      <c r="A871" s="64"/>
      <c r="B871" s="64"/>
      <c r="C871" s="64"/>
      <c r="D871" s="64"/>
      <c r="E871" s="65"/>
      <c r="F871" s="64"/>
      <c r="G871" s="67"/>
      <c r="H871" s="64"/>
      <c r="I871" s="64"/>
      <c r="J871" s="64"/>
      <c r="K871" s="64"/>
      <c r="L871" s="65"/>
      <c r="M871" s="64"/>
      <c r="N871" s="64"/>
      <c r="O871" s="64"/>
      <c r="P871" s="64"/>
      <c r="Q871" s="64"/>
      <c r="R871" s="64"/>
      <c r="S871" s="64"/>
      <c r="T871" s="65"/>
      <c r="U871" s="64"/>
      <c r="V871" s="64"/>
      <c r="W871" s="64"/>
      <c r="X871" s="64"/>
      <c r="Y871" s="64"/>
      <c r="Z871" s="64"/>
      <c r="AA871" s="64"/>
      <c r="AB871" s="64"/>
      <c r="AC871" s="64"/>
      <c r="AD871" s="64"/>
      <c r="AE871" s="64"/>
      <c r="AF871" s="64"/>
      <c r="AG871" s="64"/>
    </row>
    <row r="872">
      <c r="A872" s="64"/>
      <c r="B872" s="64"/>
      <c r="C872" s="64"/>
      <c r="D872" s="64"/>
      <c r="E872" s="65"/>
      <c r="F872" s="64"/>
      <c r="G872" s="67"/>
      <c r="H872" s="64"/>
      <c r="I872" s="64"/>
      <c r="J872" s="64"/>
      <c r="K872" s="64"/>
      <c r="L872" s="65"/>
      <c r="M872" s="64"/>
      <c r="N872" s="64"/>
      <c r="O872" s="64"/>
      <c r="P872" s="64"/>
      <c r="Q872" s="64"/>
      <c r="R872" s="64"/>
      <c r="S872" s="64"/>
      <c r="T872" s="65"/>
      <c r="U872" s="64"/>
      <c r="V872" s="64"/>
      <c r="W872" s="64"/>
      <c r="X872" s="64"/>
      <c r="Y872" s="64"/>
      <c r="Z872" s="64"/>
      <c r="AA872" s="64"/>
      <c r="AB872" s="64"/>
      <c r="AC872" s="64"/>
      <c r="AD872" s="64"/>
      <c r="AE872" s="64"/>
      <c r="AF872" s="64"/>
      <c r="AG872" s="64"/>
    </row>
    <row r="873">
      <c r="A873" s="64"/>
      <c r="B873" s="64"/>
      <c r="C873" s="64"/>
      <c r="D873" s="64"/>
      <c r="E873" s="65"/>
      <c r="F873" s="64"/>
      <c r="G873" s="67"/>
      <c r="H873" s="64"/>
      <c r="I873" s="64"/>
      <c r="J873" s="64"/>
      <c r="K873" s="64"/>
      <c r="L873" s="65"/>
      <c r="M873" s="64"/>
      <c r="N873" s="64"/>
      <c r="O873" s="64"/>
      <c r="P873" s="64"/>
      <c r="Q873" s="64"/>
      <c r="R873" s="64"/>
      <c r="S873" s="64"/>
      <c r="T873" s="65"/>
      <c r="U873" s="64"/>
      <c r="V873" s="64"/>
      <c r="W873" s="64"/>
      <c r="X873" s="64"/>
      <c r="Y873" s="64"/>
      <c r="Z873" s="64"/>
      <c r="AA873" s="64"/>
      <c r="AB873" s="64"/>
      <c r="AC873" s="64"/>
      <c r="AD873" s="64"/>
      <c r="AE873" s="64"/>
      <c r="AF873" s="64"/>
      <c r="AG873" s="64"/>
    </row>
    <row r="874">
      <c r="A874" s="64"/>
      <c r="B874" s="64"/>
      <c r="C874" s="64"/>
      <c r="D874" s="64"/>
      <c r="E874" s="65"/>
      <c r="F874" s="64"/>
      <c r="G874" s="67"/>
      <c r="H874" s="64"/>
      <c r="I874" s="64"/>
      <c r="J874" s="64"/>
      <c r="K874" s="64"/>
      <c r="L874" s="65"/>
      <c r="M874" s="64"/>
      <c r="N874" s="64"/>
      <c r="O874" s="64"/>
      <c r="P874" s="64"/>
      <c r="Q874" s="64"/>
      <c r="R874" s="64"/>
      <c r="S874" s="64"/>
      <c r="T874" s="65"/>
      <c r="U874" s="64"/>
      <c r="V874" s="64"/>
      <c r="W874" s="64"/>
      <c r="X874" s="64"/>
      <c r="Y874" s="64"/>
      <c r="Z874" s="64"/>
      <c r="AA874" s="64"/>
      <c r="AB874" s="64"/>
      <c r="AC874" s="64"/>
      <c r="AD874" s="64"/>
      <c r="AE874" s="64"/>
      <c r="AF874" s="64"/>
      <c r="AG874" s="64"/>
    </row>
    <row r="875">
      <c r="A875" s="64"/>
      <c r="B875" s="64"/>
      <c r="C875" s="64"/>
      <c r="D875" s="64"/>
      <c r="E875" s="65"/>
      <c r="F875" s="64"/>
      <c r="G875" s="67"/>
      <c r="H875" s="64"/>
      <c r="I875" s="64"/>
      <c r="J875" s="64"/>
      <c r="K875" s="64"/>
      <c r="L875" s="65"/>
      <c r="M875" s="64"/>
      <c r="N875" s="64"/>
      <c r="O875" s="64"/>
      <c r="P875" s="64"/>
      <c r="Q875" s="64"/>
      <c r="R875" s="64"/>
      <c r="S875" s="64"/>
      <c r="T875" s="65"/>
      <c r="U875" s="64"/>
      <c r="V875" s="64"/>
      <c r="W875" s="64"/>
      <c r="X875" s="64"/>
      <c r="Y875" s="64"/>
      <c r="Z875" s="64"/>
      <c r="AA875" s="64"/>
      <c r="AB875" s="64"/>
      <c r="AC875" s="64"/>
      <c r="AD875" s="64"/>
      <c r="AE875" s="64"/>
      <c r="AF875" s="64"/>
      <c r="AG875" s="64"/>
    </row>
    <row r="876">
      <c r="A876" s="64"/>
      <c r="B876" s="64"/>
      <c r="C876" s="64"/>
      <c r="D876" s="64"/>
      <c r="E876" s="65"/>
      <c r="F876" s="64"/>
      <c r="G876" s="67"/>
      <c r="H876" s="64"/>
      <c r="I876" s="64"/>
      <c r="J876" s="64"/>
      <c r="K876" s="64"/>
      <c r="L876" s="65"/>
      <c r="M876" s="64"/>
      <c r="N876" s="64"/>
      <c r="O876" s="64"/>
      <c r="P876" s="64"/>
      <c r="Q876" s="64"/>
      <c r="R876" s="64"/>
      <c r="S876" s="64"/>
      <c r="T876" s="65"/>
      <c r="U876" s="64"/>
      <c r="V876" s="64"/>
      <c r="W876" s="64"/>
      <c r="X876" s="64"/>
      <c r="Y876" s="64"/>
      <c r="Z876" s="64"/>
      <c r="AA876" s="64"/>
      <c r="AB876" s="64"/>
      <c r="AC876" s="64"/>
      <c r="AD876" s="64"/>
      <c r="AE876" s="64"/>
      <c r="AF876" s="64"/>
      <c r="AG876" s="64"/>
    </row>
    <row r="877">
      <c r="A877" s="64"/>
      <c r="B877" s="64"/>
      <c r="C877" s="64"/>
      <c r="D877" s="64"/>
      <c r="E877" s="65"/>
      <c r="F877" s="64"/>
      <c r="G877" s="67"/>
      <c r="H877" s="64"/>
      <c r="I877" s="64"/>
      <c r="J877" s="64"/>
      <c r="K877" s="64"/>
      <c r="L877" s="65"/>
      <c r="M877" s="64"/>
      <c r="N877" s="64"/>
      <c r="O877" s="64"/>
      <c r="P877" s="64"/>
      <c r="Q877" s="64"/>
      <c r="R877" s="64"/>
      <c r="S877" s="64"/>
      <c r="T877" s="65"/>
      <c r="U877" s="64"/>
      <c r="V877" s="64"/>
      <c r="W877" s="64"/>
      <c r="X877" s="64"/>
      <c r="Y877" s="64"/>
      <c r="Z877" s="64"/>
      <c r="AA877" s="64"/>
      <c r="AB877" s="64"/>
      <c r="AC877" s="64"/>
      <c r="AD877" s="64"/>
      <c r="AE877" s="64"/>
      <c r="AF877" s="64"/>
      <c r="AG877" s="64"/>
    </row>
    <row r="878">
      <c r="A878" s="64"/>
      <c r="B878" s="64"/>
      <c r="C878" s="64"/>
      <c r="D878" s="64"/>
      <c r="E878" s="65"/>
      <c r="F878" s="64"/>
      <c r="G878" s="67"/>
      <c r="H878" s="64"/>
      <c r="I878" s="64"/>
      <c r="J878" s="64"/>
      <c r="K878" s="64"/>
      <c r="L878" s="65"/>
      <c r="M878" s="64"/>
      <c r="N878" s="64"/>
      <c r="O878" s="64"/>
      <c r="P878" s="64"/>
      <c r="Q878" s="64"/>
      <c r="R878" s="64"/>
      <c r="S878" s="64"/>
      <c r="T878" s="65"/>
      <c r="U878" s="64"/>
      <c r="V878" s="64"/>
      <c r="W878" s="64"/>
      <c r="X878" s="64"/>
      <c r="Y878" s="64"/>
      <c r="Z878" s="64"/>
      <c r="AA878" s="64"/>
      <c r="AB878" s="64"/>
      <c r="AC878" s="64"/>
      <c r="AD878" s="64"/>
      <c r="AE878" s="64"/>
      <c r="AF878" s="64"/>
      <c r="AG878" s="64"/>
    </row>
    <row r="879">
      <c r="A879" s="64"/>
      <c r="B879" s="64"/>
      <c r="C879" s="64"/>
      <c r="D879" s="64"/>
      <c r="E879" s="65"/>
      <c r="F879" s="64"/>
      <c r="G879" s="67"/>
      <c r="H879" s="64"/>
      <c r="I879" s="64"/>
      <c r="J879" s="64"/>
      <c r="K879" s="64"/>
      <c r="L879" s="65"/>
      <c r="M879" s="64"/>
      <c r="N879" s="64"/>
      <c r="O879" s="64"/>
      <c r="P879" s="64"/>
      <c r="Q879" s="64"/>
      <c r="R879" s="64"/>
      <c r="S879" s="64"/>
      <c r="T879" s="65"/>
      <c r="U879" s="64"/>
      <c r="V879" s="64"/>
      <c r="W879" s="64"/>
      <c r="X879" s="64"/>
      <c r="Y879" s="64"/>
      <c r="Z879" s="64"/>
      <c r="AA879" s="64"/>
      <c r="AB879" s="64"/>
      <c r="AC879" s="64"/>
      <c r="AD879" s="64"/>
      <c r="AE879" s="64"/>
      <c r="AF879" s="64"/>
      <c r="AG879" s="64"/>
    </row>
    <row r="880">
      <c r="A880" s="64"/>
      <c r="B880" s="64"/>
      <c r="C880" s="64"/>
      <c r="D880" s="64"/>
      <c r="E880" s="65"/>
      <c r="F880" s="64"/>
      <c r="G880" s="67"/>
      <c r="H880" s="64"/>
      <c r="I880" s="64"/>
      <c r="J880" s="64"/>
      <c r="K880" s="64"/>
      <c r="L880" s="65"/>
      <c r="M880" s="64"/>
      <c r="N880" s="64"/>
      <c r="O880" s="64"/>
      <c r="P880" s="64"/>
      <c r="Q880" s="64"/>
      <c r="R880" s="64"/>
      <c r="S880" s="64"/>
      <c r="T880" s="65"/>
      <c r="U880" s="64"/>
      <c r="V880" s="64"/>
      <c r="W880" s="64"/>
      <c r="X880" s="64"/>
      <c r="Y880" s="64"/>
      <c r="Z880" s="64"/>
      <c r="AA880" s="64"/>
      <c r="AB880" s="64"/>
      <c r="AC880" s="64"/>
      <c r="AD880" s="64"/>
      <c r="AE880" s="64"/>
      <c r="AF880" s="64"/>
      <c r="AG880" s="64"/>
    </row>
    <row r="881">
      <c r="A881" s="64"/>
      <c r="B881" s="64"/>
      <c r="C881" s="64"/>
      <c r="D881" s="64"/>
      <c r="E881" s="65"/>
      <c r="F881" s="64"/>
      <c r="G881" s="67"/>
      <c r="H881" s="64"/>
      <c r="I881" s="64"/>
      <c r="J881" s="64"/>
      <c r="K881" s="64"/>
      <c r="L881" s="65"/>
      <c r="M881" s="64"/>
      <c r="N881" s="64"/>
      <c r="O881" s="64"/>
      <c r="P881" s="64"/>
      <c r="Q881" s="64"/>
      <c r="R881" s="64"/>
      <c r="S881" s="64"/>
      <c r="T881" s="65"/>
      <c r="U881" s="64"/>
      <c r="V881" s="64"/>
      <c r="W881" s="64"/>
      <c r="X881" s="64"/>
      <c r="Y881" s="64"/>
      <c r="Z881" s="64"/>
      <c r="AA881" s="64"/>
      <c r="AB881" s="64"/>
      <c r="AC881" s="64"/>
      <c r="AD881" s="64"/>
      <c r="AE881" s="64"/>
      <c r="AF881" s="64"/>
      <c r="AG881" s="64"/>
    </row>
    <row r="882">
      <c r="A882" s="64"/>
      <c r="B882" s="64"/>
      <c r="C882" s="64"/>
      <c r="D882" s="64"/>
      <c r="E882" s="65"/>
      <c r="F882" s="64"/>
      <c r="G882" s="67"/>
      <c r="H882" s="64"/>
      <c r="I882" s="64"/>
      <c r="J882" s="64"/>
      <c r="K882" s="64"/>
      <c r="L882" s="65"/>
      <c r="M882" s="64"/>
      <c r="N882" s="64"/>
      <c r="O882" s="64"/>
      <c r="P882" s="64"/>
      <c r="Q882" s="64"/>
      <c r="R882" s="64"/>
      <c r="S882" s="64"/>
      <c r="T882" s="65"/>
      <c r="U882" s="64"/>
      <c r="V882" s="64"/>
      <c r="W882" s="64"/>
      <c r="X882" s="64"/>
      <c r="Y882" s="64"/>
      <c r="Z882" s="64"/>
      <c r="AA882" s="64"/>
      <c r="AB882" s="64"/>
      <c r="AC882" s="64"/>
      <c r="AD882" s="64"/>
      <c r="AE882" s="64"/>
      <c r="AF882" s="64"/>
      <c r="AG882" s="64"/>
    </row>
    <row r="883">
      <c r="A883" s="64"/>
      <c r="B883" s="64"/>
      <c r="C883" s="64"/>
      <c r="D883" s="64"/>
      <c r="E883" s="65"/>
      <c r="F883" s="64"/>
      <c r="G883" s="67"/>
      <c r="H883" s="64"/>
      <c r="I883" s="64"/>
      <c r="J883" s="64"/>
      <c r="K883" s="64"/>
      <c r="L883" s="65"/>
      <c r="M883" s="64"/>
      <c r="N883" s="64"/>
      <c r="O883" s="64"/>
      <c r="P883" s="64"/>
      <c r="Q883" s="64"/>
      <c r="R883" s="64"/>
      <c r="S883" s="64"/>
      <c r="T883" s="65"/>
      <c r="U883" s="64"/>
      <c r="V883" s="64"/>
      <c r="W883" s="64"/>
      <c r="X883" s="64"/>
      <c r="Y883" s="64"/>
      <c r="Z883" s="64"/>
      <c r="AA883" s="64"/>
      <c r="AB883" s="64"/>
      <c r="AC883" s="64"/>
      <c r="AD883" s="64"/>
      <c r="AE883" s="64"/>
      <c r="AF883" s="64"/>
      <c r="AG883" s="64"/>
    </row>
    <row r="884">
      <c r="A884" s="64"/>
      <c r="B884" s="64"/>
      <c r="C884" s="64"/>
      <c r="D884" s="64"/>
      <c r="E884" s="65"/>
      <c r="F884" s="64"/>
      <c r="G884" s="67"/>
      <c r="H884" s="64"/>
      <c r="I884" s="64"/>
      <c r="J884" s="64"/>
      <c r="K884" s="64"/>
      <c r="L884" s="65"/>
      <c r="M884" s="64"/>
      <c r="N884" s="64"/>
      <c r="O884" s="64"/>
      <c r="P884" s="64"/>
      <c r="Q884" s="64"/>
      <c r="R884" s="64"/>
      <c r="S884" s="64"/>
      <c r="T884" s="65"/>
      <c r="U884" s="64"/>
      <c r="V884" s="64"/>
      <c r="W884" s="64"/>
      <c r="X884" s="64"/>
      <c r="Y884" s="64"/>
      <c r="Z884" s="64"/>
      <c r="AA884" s="64"/>
      <c r="AB884" s="64"/>
      <c r="AC884" s="64"/>
      <c r="AD884" s="64"/>
      <c r="AE884" s="64"/>
      <c r="AF884" s="64"/>
      <c r="AG884" s="64"/>
    </row>
    <row r="885">
      <c r="A885" s="64"/>
      <c r="B885" s="64"/>
      <c r="C885" s="64"/>
      <c r="D885" s="64"/>
      <c r="E885" s="65"/>
      <c r="F885" s="64"/>
      <c r="G885" s="67"/>
      <c r="H885" s="64"/>
      <c r="I885" s="64"/>
      <c r="J885" s="64"/>
      <c r="K885" s="64"/>
      <c r="L885" s="65"/>
      <c r="M885" s="64"/>
      <c r="N885" s="64"/>
      <c r="O885" s="64"/>
      <c r="P885" s="64"/>
      <c r="Q885" s="64"/>
      <c r="R885" s="64"/>
      <c r="S885" s="64"/>
      <c r="T885" s="65"/>
      <c r="U885" s="64"/>
      <c r="V885" s="64"/>
      <c r="W885" s="64"/>
      <c r="X885" s="64"/>
      <c r="Y885" s="64"/>
      <c r="Z885" s="64"/>
      <c r="AA885" s="64"/>
      <c r="AB885" s="64"/>
      <c r="AC885" s="64"/>
      <c r="AD885" s="64"/>
      <c r="AE885" s="64"/>
      <c r="AF885" s="64"/>
      <c r="AG885" s="64"/>
    </row>
    <row r="886">
      <c r="A886" s="64"/>
      <c r="B886" s="64"/>
      <c r="C886" s="64"/>
      <c r="D886" s="64"/>
      <c r="E886" s="65"/>
      <c r="F886" s="64"/>
      <c r="G886" s="67"/>
      <c r="H886" s="64"/>
      <c r="I886" s="64"/>
      <c r="J886" s="64"/>
      <c r="K886" s="64"/>
      <c r="L886" s="65"/>
      <c r="M886" s="64"/>
      <c r="N886" s="64"/>
      <c r="O886" s="64"/>
      <c r="P886" s="64"/>
      <c r="Q886" s="64"/>
      <c r="R886" s="64"/>
      <c r="S886" s="64"/>
      <c r="T886" s="65"/>
      <c r="U886" s="64"/>
      <c r="V886" s="64"/>
      <c r="W886" s="64"/>
      <c r="X886" s="64"/>
      <c r="Y886" s="64"/>
      <c r="Z886" s="64"/>
      <c r="AA886" s="64"/>
      <c r="AB886" s="64"/>
      <c r="AC886" s="64"/>
      <c r="AD886" s="64"/>
      <c r="AE886" s="64"/>
      <c r="AF886" s="64"/>
      <c r="AG886" s="64"/>
    </row>
    <row r="887">
      <c r="A887" s="64"/>
      <c r="B887" s="64"/>
      <c r="C887" s="64"/>
      <c r="D887" s="64"/>
      <c r="E887" s="65"/>
      <c r="F887" s="64"/>
      <c r="G887" s="67"/>
      <c r="H887" s="64"/>
      <c r="I887" s="64"/>
      <c r="J887" s="64"/>
      <c r="K887" s="64"/>
      <c r="L887" s="65"/>
      <c r="M887" s="64"/>
      <c r="N887" s="64"/>
      <c r="O887" s="64"/>
      <c r="P887" s="64"/>
      <c r="Q887" s="64"/>
      <c r="R887" s="64"/>
      <c r="S887" s="64"/>
      <c r="T887" s="65"/>
      <c r="U887" s="64"/>
      <c r="V887" s="64"/>
      <c r="W887" s="64"/>
      <c r="X887" s="64"/>
      <c r="Y887" s="64"/>
      <c r="Z887" s="64"/>
      <c r="AA887" s="64"/>
      <c r="AB887" s="64"/>
      <c r="AC887" s="64"/>
      <c r="AD887" s="64"/>
      <c r="AE887" s="64"/>
      <c r="AF887" s="64"/>
      <c r="AG887" s="64"/>
    </row>
    <row r="888">
      <c r="A888" s="64"/>
      <c r="B888" s="64"/>
      <c r="C888" s="64"/>
      <c r="D888" s="64"/>
      <c r="E888" s="65"/>
      <c r="F888" s="64"/>
      <c r="G888" s="67"/>
      <c r="H888" s="64"/>
      <c r="I888" s="64"/>
      <c r="J888" s="64"/>
      <c r="K888" s="64"/>
      <c r="L888" s="65"/>
      <c r="M888" s="64"/>
      <c r="N888" s="64"/>
      <c r="O888" s="64"/>
      <c r="P888" s="64"/>
      <c r="Q888" s="64"/>
      <c r="R888" s="64"/>
      <c r="S888" s="64"/>
      <c r="T888" s="65"/>
      <c r="U888" s="64"/>
      <c r="V888" s="64"/>
      <c r="W888" s="64"/>
      <c r="X888" s="64"/>
      <c r="Y888" s="64"/>
      <c r="Z888" s="64"/>
      <c r="AA888" s="64"/>
      <c r="AB888" s="64"/>
      <c r="AC888" s="64"/>
      <c r="AD888" s="64"/>
      <c r="AE888" s="64"/>
      <c r="AF888" s="64"/>
      <c r="AG888" s="64"/>
    </row>
    <row r="889">
      <c r="A889" s="64"/>
      <c r="B889" s="64"/>
      <c r="C889" s="64"/>
      <c r="D889" s="64"/>
      <c r="E889" s="65"/>
      <c r="F889" s="64"/>
      <c r="G889" s="67"/>
      <c r="H889" s="64"/>
      <c r="I889" s="64"/>
      <c r="J889" s="64"/>
      <c r="K889" s="64"/>
      <c r="L889" s="65"/>
      <c r="M889" s="64"/>
      <c r="N889" s="64"/>
      <c r="O889" s="64"/>
      <c r="P889" s="64"/>
      <c r="Q889" s="64"/>
      <c r="R889" s="64"/>
      <c r="S889" s="64"/>
      <c r="T889" s="65"/>
      <c r="U889" s="64"/>
      <c r="V889" s="64"/>
      <c r="W889" s="64"/>
      <c r="X889" s="64"/>
      <c r="Y889" s="64"/>
      <c r="Z889" s="64"/>
      <c r="AA889" s="64"/>
      <c r="AB889" s="64"/>
      <c r="AC889" s="64"/>
      <c r="AD889" s="64"/>
      <c r="AE889" s="64"/>
      <c r="AF889" s="64"/>
      <c r="AG889" s="64"/>
    </row>
    <row r="890">
      <c r="A890" s="64"/>
      <c r="B890" s="64"/>
      <c r="C890" s="64"/>
      <c r="D890" s="64"/>
      <c r="E890" s="65"/>
      <c r="F890" s="64"/>
      <c r="G890" s="67"/>
      <c r="H890" s="64"/>
      <c r="I890" s="64"/>
      <c r="J890" s="64"/>
      <c r="K890" s="64"/>
      <c r="L890" s="65"/>
      <c r="M890" s="64"/>
      <c r="N890" s="64"/>
      <c r="O890" s="64"/>
      <c r="P890" s="64"/>
      <c r="Q890" s="64"/>
      <c r="R890" s="64"/>
      <c r="S890" s="64"/>
      <c r="T890" s="65"/>
      <c r="U890" s="64"/>
      <c r="V890" s="64"/>
      <c r="W890" s="64"/>
      <c r="X890" s="64"/>
      <c r="Y890" s="64"/>
      <c r="Z890" s="64"/>
      <c r="AA890" s="64"/>
      <c r="AB890" s="64"/>
      <c r="AC890" s="64"/>
      <c r="AD890" s="64"/>
      <c r="AE890" s="64"/>
      <c r="AF890" s="64"/>
      <c r="AG890" s="64"/>
    </row>
    <row r="891">
      <c r="A891" s="64"/>
      <c r="B891" s="64"/>
      <c r="C891" s="64"/>
      <c r="D891" s="64"/>
      <c r="E891" s="65"/>
      <c r="F891" s="64"/>
      <c r="G891" s="67"/>
      <c r="H891" s="64"/>
      <c r="I891" s="64"/>
      <c r="J891" s="64"/>
      <c r="K891" s="64"/>
      <c r="L891" s="65"/>
      <c r="M891" s="64"/>
      <c r="N891" s="64"/>
      <c r="O891" s="64"/>
      <c r="P891" s="64"/>
      <c r="Q891" s="64"/>
      <c r="R891" s="64"/>
      <c r="S891" s="64"/>
      <c r="T891" s="65"/>
      <c r="U891" s="64"/>
      <c r="V891" s="64"/>
      <c r="W891" s="64"/>
      <c r="X891" s="64"/>
      <c r="Y891" s="64"/>
      <c r="Z891" s="64"/>
      <c r="AA891" s="64"/>
      <c r="AB891" s="64"/>
      <c r="AC891" s="64"/>
      <c r="AD891" s="64"/>
      <c r="AE891" s="64"/>
      <c r="AF891" s="64"/>
      <c r="AG891" s="64"/>
    </row>
    <row r="892">
      <c r="A892" s="64"/>
      <c r="B892" s="64"/>
      <c r="C892" s="64"/>
      <c r="D892" s="64"/>
      <c r="E892" s="65"/>
      <c r="F892" s="64"/>
      <c r="G892" s="67"/>
      <c r="H892" s="64"/>
      <c r="I892" s="64"/>
      <c r="J892" s="64"/>
      <c r="K892" s="64"/>
      <c r="L892" s="65"/>
      <c r="M892" s="64"/>
      <c r="N892" s="64"/>
      <c r="O892" s="64"/>
      <c r="P892" s="64"/>
      <c r="Q892" s="64"/>
      <c r="R892" s="64"/>
      <c r="S892" s="64"/>
      <c r="T892" s="65"/>
      <c r="U892" s="64"/>
      <c r="V892" s="64"/>
      <c r="W892" s="64"/>
      <c r="X892" s="64"/>
      <c r="Y892" s="64"/>
      <c r="Z892" s="64"/>
      <c r="AA892" s="64"/>
      <c r="AB892" s="64"/>
      <c r="AC892" s="64"/>
      <c r="AD892" s="64"/>
      <c r="AE892" s="64"/>
      <c r="AF892" s="64"/>
      <c r="AG892" s="64"/>
    </row>
    <row r="893">
      <c r="A893" s="64"/>
      <c r="B893" s="64"/>
      <c r="C893" s="64"/>
      <c r="D893" s="64"/>
      <c r="E893" s="65"/>
      <c r="F893" s="64"/>
      <c r="G893" s="67"/>
      <c r="H893" s="64"/>
      <c r="I893" s="64"/>
      <c r="J893" s="64"/>
      <c r="K893" s="64"/>
      <c r="L893" s="65"/>
      <c r="M893" s="64"/>
      <c r="N893" s="64"/>
      <c r="O893" s="64"/>
      <c r="P893" s="64"/>
      <c r="Q893" s="64"/>
      <c r="R893" s="64"/>
      <c r="S893" s="64"/>
      <c r="T893" s="65"/>
      <c r="U893" s="64"/>
      <c r="V893" s="64"/>
      <c r="W893" s="64"/>
      <c r="X893" s="64"/>
      <c r="Y893" s="64"/>
      <c r="Z893" s="64"/>
      <c r="AA893" s="64"/>
      <c r="AB893" s="64"/>
      <c r="AC893" s="64"/>
      <c r="AD893" s="64"/>
      <c r="AE893" s="64"/>
      <c r="AF893" s="64"/>
      <c r="AG893" s="64"/>
    </row>
    <row r="894">
      <c r="A894" s="64"/>
      <c r="B894" s="64"/>
      <c r="C894" s="64"/>
      <c r="D894" s="64"/>
      <c r="E894" s="65"/>
      <c r="F894" s="64"/>
      <c r="G894" s="67"/>
      <c r="H894" s="64"/>
      <c r="I894" s="64"/>
      <c r="J894" s="64"/>
      <c r="K894" s="64"/>
      <c r="L894" s="65"/>
      <c r="M894" s="64"/>
      <c r="N894" s="64"/>
      <c r="O894" s="64"/>
      <c r="P894" s="64"/>
      <c r="Q894" s="64"/>
      <c r="R894" s="64"/>
      <c r="S894" s="64"/>
      <c r="T894" s="65"/>
      <c r="U894" s="64"/>
      <c r="V894" s="64"/>
      <c r="W894" s="64"/>
      <c r="X894" s="64"/>
      <c r="Y894" s="64"/>
      <c r="Z894" s="64"/>
      <c r="AA894" s="64"/>
      <c r="AB894" s="64"/>
      <c r="AC894" s="64"/>
      <c r="AD894" s="64"/>
      <c r="AE894" s="64"/>
      <c r="AF894" s="64"/>
      <c r="AG894" s="64"/>
    </row>
    <row r="895">
      <c r="A895" s="64"/>
      <c r="B895" s="64"/>
      <c r="C895" s="64"/>
      <c r="D895" s="64"/>
      <c r="E895" s="65"/>
      <c r="F895" s="64"/>
      <c r="G895" s="67"/>
      <c r="H895" s="64"/>
      <c r="I895" s="64"/>
      <c r="J895" s="64"/>
      <c r="K895" s="64"/>
      <c r="L895" s="65"/>
      <c r="M895" s="64"/>
      <c r="N895" s="64"/>
      <c r="O895" s="64"/>
      <c r="P895" s="64"/>
      <c r="Q895" s="64"/>
      <c r="R895" s="64"/>
      <c r="S895" s="64"/>
      <c r="T895" s="65"/>
      <c r="U895" s="64"/>
      <c r="V895" s="64"/>
      <c r="W895" s="64"/>
      <c r="X895" s="64"/>
      <c r="Y895" s="64"/>
      <c r="Z895" s="64"/>
      <c r="AA895" s="64"/>
      <c r="AB895" s="64"/>
      <c r="AC895" s="64"/>
      <c r="AD895" s="64"/>
      <c r="AE895" s="64"/>
      <c r="AF895" s="64"/>
      <c r="AG895" s="64"/>
    </row>
    <row r="896">
      <c r="A896" s="64"/>
      <c r="B896" s="64"/>
      <c r="C896" s="64"/>
      <c r="D896" s="64"/>
      <c r="E896" s="65"/>
      <c r="F896" s="64"/>
      <c r="G896" s="67"/>
      <c r="H896" s="64"/>
      <c r="I896" s="64"/>
      <c r="J896" s="64"/>
      <c r="K896" s="64"/>
      <c r="L896" s="65"/>
      <c r="M896" s="64"/>
      <c r="N896" s="64"/>
      <c r="O896" s="64"/>
      <c r="P896" s="64"/>
      <c r="Q896" s="64"/>
      <c r="R896" s="64"/>
      <c r="S896" s="64"/>
      <c r="T896" s="65"/>
      <c r="U896" s="64"/>
      <c r="V896" s="64"/>
      <c r="W896" s="64"/>
      <c r="X896" s="64"/>
      <c r="Y896" s="64"/>
      <c r="Z896" s="64"/>
      <c r="AA896" s="64"/>
      <c r="AB896" s="64"/>
      <c r="AC896" s="64"/>
      <c r="AD896" s="64"/>
      <c r="AE896" s="64"/>
      <c r="AF896" s="64"/>
      <c r="AG896" s="64"/>
    </row>
    <row r="897">
      <c r="A897" s="64"/>
      <c r="B897" s="64"/>
      <c r="C897" s="64"/>
      <c r="D897" s="64"/>
      <c r="E897" s="65"/>
      <c r="F897" s="64"/>
      <c r="G897" s="67"/>
      <c r="H897" s="64"/>
      <c r="I897" s="64"/>
      <c r="J897" s="64"/>
      <c r="K897" s="64"/>
      <c r="L897" s="65"/>
      <c r="M897" s="64"/>
      <c r="N897" s="64"/>
      <c r="O897" s="64"/>
      <c r="P897" s="64"/>
      <c r="Q897" s="64"/>
      <c r="R897" s="64"/>
      <c r="S897" s="64"/>
      <c r="T897" s="65"/>
      <c r="U897" s="64"/>
      <c r="V897" s="64"/>
      <c r="W897" s="64"/>
      <c r="X897" s="64"/>
      <c r="Y897" s="64"/>
      <c r="Z897" s="64"/>
      <c r="AA897" s="64"/>
      <c r="AB897" s="64"/>
      <c r="AC897" s="64"/>
      <c r="AD897" s="64"/>
      <c r="AE897" s="64"/>
      <c r="AF897" s="64"/>
      <c r="AG897" s="64"/>
    </row>
    <row r="898">
      <c r="A898" s="64"/>
      <c r="B898" s="64"/>
      <c r="C898" s="64"/>
      <c r="D898" s="64"/>
      <c r="E898" s="65"/>
      <c r="F898" s="64"/>
      <c r="G898" s="67"/>
      <c r="H898" s="64"/>
      <c r="I898" s="64"/>
      <c r="J898" s="64"/>
      <c r="K898" s="64"/>
      <c r="L898" s="65"/>
      <c r="M898" s="64"/>
      <c r="N898" s="64"/>
      <c r="O898" s="64"/>
      <c r="P898" s="64"/>
      <c r="Q898" s="64"/>
      <c r="R898" s="64"/>
      <c r="S898" s="64"/>
      <c r="T898" s="65"/>
      <c r="U898" s="64"/>
      <c r="V898" s="64"/>
      <c r="W898" s="64"/>
      <c r="X898" s="64"/>
      <c r="Y898" s="64"/>
      <c r="Z898" s="64"/>
      <c r="AA898" s="64"/>
      <c r="AB898" s="64"/>
      <c r="AC898" s="64"/>
      <c r="AD898" s="64"/>
      <c r="AE898" s="64"/>
      <c r="AF898" s="64"/>
      <c r="AG898" s="64"/>
    </row>
    <row r="899">
      <c r="A899" s="64"/>
      <c r="B899" s="64"/>
      <c r="C899" s="64"/>
      <c r="D899" s="64"/>
      <c r="E899" s="65"/>
      <c r="F899" s="64"/>
      <c r="G899" s="67"/>
      <c r="H899" s="64"/>
      <c r="I899" s="64"/>
      <c r="J899" s="64"/>
      <c r="K899" s="64"/>
      <c r="L899" s="65"/>
      <c r="M899" s="64"/>
      <c r="N899" s="64"/>
      <c r="O899" s="64"/>
      <c r="P899" s="64"/>
      <c r="Q899" s="64"/>
      <c r="R899" s="64"/>
      <c r="S899" s="64"/>
      <c r="T899" s="65"/>
      <c r="U899" s="64"/>
      <c r="V899" s="64"/>
      <c r="W899" s="64"/>
      <c r="X899" s="64"/>
      <c r="Y899" s="64"/>
      <c r="Z899" s="64"/>
      <c r="AA899" s="64"/>
      <c r="AB899" s="64"/>
      <c r="AC899" s="64"/>
      <c r="AD899" s="64"/>
      <c r="AE899" s="64"/>
      <c r="AF899" s="64"/>
      <c r="AG899" s="64"/>
    </row>
    <row r="900">
      <c r="A900" s="64"/>
      <c r="B900" s="64"/>
      <c r="C900" s="64"/>
      <c r="D900" s="64"/>
      <c r="E900" s="65"/>
      <c r="F900" s="64"/>
      <c r="G900" s="67"/>
      <c r="H900" s="64"/>
      <c r="I900" s="64"/>
      <c r="J900" s="64"/>
      <c r="K900" s="64"/>
      <c r="L900" s="65"/>
      <c r="M900" s="64"/>
      <c r="N900" s="64"/>
      <c r="O900" s="64"/>
      <c r="P900" s="64"/>
      <c r="Q900" s="64"/>
      <c r="R900" s="64"/>
      <c r="S900" s="64"/>
      <c r="T900" s="65"/>
      <c r="U900" s="64"/>
      <c r="V900" s="64"/>
      <c r="W900" s="64"/>
      <c r="X900" s="64"/>
      <c r="Y900" s="64"/>
      <c r="Z900" s="64"/>
      <c r="AA900" s="64"/>
      <c r="AB900" s="64"/>
      <c r="AC900" s="64"/>
      <c r="AD900" s="64"/>
      <c r="AE900" s="64"/>
      <c r="AF900" s="64"/>
      <c r="AG900" s="64"/>
    </row>
    <row r="901">
      <c r="A901" s="64"/>
      <c r="B901" s="64"/>
      <c r="C901" s="64"/>
      <c r="D901" s="64"/>
      <c r="E901" s="65"/>
      <c r="F901" s="64"/>
      <c r="G901" s="67"/>
      <c r="H901" s="64"/>
      <c r="I901" s="64"/>
      <c r="J901" s="64"/>
      <c r="K901" s="64"/>
      <c r="L901" s="65"/>
      <c r="M901" s="64"/>
      <c r="N901" s="64"/>
      <c r="O901" s="64"/>
      <c r="P901" s="64"/>
      <c r="Q901" s="64"/>
      <c r="R901" s="64"/>
      <c r="S901" s="64"/>
      <c r="T901" s="65"/>
      <c r="U901" s="64"/>
      <c r="V901" s="64"/>
      <c r="W901" s="64"/>
      <c r="X901" s="64"/>
      <c r="Y901" s="64"/>
      <c r="Z901" s="64"/>
      <c r="AA901" s="64"/>
      <c r="AB901" s="64"/>
      <c r="AC901" s="64"/>
      <c r="AD901" s="64"/>
      <c r="AE901" s="64"/>
      <c r="AF901" s="64"/>
      <c r="AG901" s="64"/>
    </row>
    <row r="902">
      <c r="A902" s="64"/>
      <c r="B902" s="64"/>
      <c r="C902" s="64"/>
      <c r="D902" s="64"/>
      <c r="E902" s="65"/>
      <c r="F902" s="64"/>
      <c r="G902" s="67"/>
      <c r="H902" s="64"/>
      <c r="I902" s="64"/>
      <c r="J902" s="64"/>
      <c r="K902" s="64"/>
      <c r="L902" s="65"/>
      <c r="M902" s="64"/>
      <c r="N902" s="64"/>
      <c r="O902" s="64"/>
      <c r="P902" s="64"/>
      <c r="Q902" s="64"/>
      <c r="R902" s="64"/>
      <c r="S902" s="64"/>
      <c r="T902" s="65"/>
      <c r="U902" s="64"/>
      <c r="V902" s="64"/>
      <c r="W902" s="64"/>
      <c r="X902" s="64"/>
      <c r="Y902" s="64"/>
      <c r="Z902" s="64"/>
      <c r="AA902" s="64"/>
      <c r="AB902" s="64"/>
      <c r="AC902" s="64"/>
      <c r="AD902" s="64"/>
      <c r="AE902" s="64"/>
      <c r="AF902" s="64"/>
      <c r="AG902" s="64"/>
    </row>
    <row r="903">
      <c r="A903" s="64"/>
      <c r="B903" s="64"/>
      <c r="C903" s="64"/>
      <c r="D903" s="64"/>
      <c r="E903" s="65"/>
      <c r="F903" s="64"/>
      <c r="G903" s="67"/>
      <c r="H903" s="64"/>
      <c r="I903" s="64"/>
      <c r="J903" s="64"/>
      <c r="K903" s="64"/>
      <c r="L903" s="65"/>
      <c r="M903" s="64"/>
      <c r="N903" s="64"/>
      <c r="O903" s="64"/>
      <c r="P903" s="64"/>
      <c r="Q903" s="64"/>
      <c r="R903" s="64"/>
      <c r="S903" s="64"/>
      <c r="T903" s="65"/>
      <c r="U903" s="64"/>
      <c r="V903" s="64"/>
      <c r="W903" s="64"/>
      <c r="X903" s="64"/>
      <c r="Y903" s="64"/>
      <c r="Z903" s="64"/>
      <c r="AA903" s="64"/>
      <c r="AB903" s="64"/>
      <c r="AC903" s="64"/>
      <c r="AD903" s="64"/>
      <c r="AE903" s="64"/>
      <c r="AF903" s="64"/>
      <c r="AG903" s="64"/>
    </row>
    <row r="904">
      <c r="A904" s="64"/>
      <c r="B904" s="64"/>
      <c r="C904" s="64"/>
      <c r="D904" s="64"/>
      <c r="E904" s="65"/>
      <c r="F904" s="64"/>
      <c r="G904" s="67"/>
      <c r="H904" s="64"/>
      <c r="I904" s="64"/>
      <c r="J904" s="64"/>
      <c r="K904" s="64"/>
      <c r="L904" s="65"/>
      <c r="M904" s="64"/>
      <c r="N904" s="64"/>
      <c r="O904" s="64"/>
      <c r="P904" s="64"/>
      <c r="Q904" s="64"/>
      <c r="R904" s="64"/>
      <c r="S904" s="64"/>
      <c r="T904" s="65"/>
      <c r="U904" s="64"/>
      <c r="V904" s="64"/>
      <c r="W904" s="64"/>
      <c r="X904" s="64"/>
      <c r="Y904" s="64"/>
      <c r="Z904" s="64"/>
      <c r="AA904" s="64"/>
      <c r="AB904" s="64"/>
      <c r="AC904" s="64"/>
      <c r="AD904" s="64"/>
      <c r="AE904" s="64"/>
      <c r="AF904" s="64"/>
      <c r="AG904" s="64"/>
    </row>
    <row r="905">
      <c r="A905" s="64"/>
      <c r="B905" s="64"/>
      <c r="C905" s="64"/>
      <c r="D905" s="64"/>
      <c r="E905" s="65"/>
      <c r="F905" s="64"/>
      <c r="G905" s="67"/>
      <c r="H905" s="64"/>
      <c r="I905" s="64"/>
      <c r="J905" s="64"/>
      <c r="K905" s="64"/>
      <c r="L905" s="65"/>
      <c r="M905" s="64"/>
      <c r="N905" s="64"/>
      <c r="O905" s="64"/>
      <c r="P905" s="64"/>
      <c r="Q905" s="64"/>
      <c r="R905" s="64"/>
      <c r="S905" s="64"/>
      <c r="T905" s="65"/>
      <c r="U905" s="64"/>
      <c r="V905" s="64"/>
      <c r="W905" s="64"/>
      <c r="X905" s="64"/>
      <c r="Y905" s="64"/>
      <c r="Z905" s="64"/>
      <c r="AA905" s="64"/>
      <c r="AB905" s="64"/>
      <c r="AC905" s="64"/>
      <c r="AD905" s="64"/>
      <c r="AE905" s="64"/>
      <c r="AF905" s="64"/>
      <c r="AG905" s="64"/>
    </row>
    <row r="906">
      <c r="A906" s="64"/>
      <c r="B906" s="64"/>
      <c r="C906" s="64"/>
      <c r="D906" s="64"/>
      <c r="E906" s="65"/>
      <c r="F906" s="64"/>
      <c r="G906" s="67"/>
      <c r="H906" s="64"/>
      <c r="I906" s="64"/>
      <c r="J906" s="64"/>
      <c r="K906" s="64"/>
      <c r="L906" s="65"/>
      <c r="M906" s="64"/>
      <c r="N906" s="64"/>
      <c r="O906" s="64"/>
      <c r="P906" s="64"/>
      <c r="Q906" s="64"/>
      <c r="R906" s="64"/>
      <c r="S906" s="64"/>
      <c r="T906" s="65"/>
      <c r="U906" s="64"/>
      <c r="V906" s="64"/>
      <c r="W906" s="64"/>
      <c r="X906" s="64"/>
      <c r="Y906" s="64"/>
      <c r="Z906" s="64"/>
      <c r="AA906" s="64"/>
      <c r="AB906" s="64"/>
      <c r="AC906" s="64"/>
      <c r="AD906" s="64"/>
      <c r="AE906" s="64"/>
      <c r="AF906" s="64"/>
      <c r="AG906" s="64"/>
    </row>
    <row r="907">
      <c r="A907" s="64"/>
      <c r="B907" s="64"/>
      <c r="C907" s="64"/>
      <c r="D907" s="64"/>
      <c r="E907" s="65"/>
      <c r="F907" s="64"/>
      <c r="G907" s="67"/>
      <c r="H907" s="64"/>
      <c r="I907" s="64"/>
      <c r="J907" s="64"/>
      <c r="K907" s="64"/>
      <c r="L907" s="65"/>
      <c r="M907" s="64"/>
      <c r="N907" s="64"/>
      <c r="O907" s="64"/>
      <c r="P907" s="64"/>
      <c r="Q907" s="64"/>
      <c r="R907" s="64"/>
      <c r="S907" s="64"/>
      <c r="T907" s="65"/>
      <c r="U907" s="64"/>
      <c r="V907" s="64"/>
      <c r="W907" s="64"/>
      <c r="X907" s="64"/>
      <c r="Y907" s="64"/>
      <c r="Z907" s="64"/>
      <c r="AA907" s="64"/>
      <c r="AB907" s="64"/>
      <c r="AC907" s="64"/>
      <c r="AD907" s="64"/>
      <c r="AE907" s="64"/>
      <c r="AF907" s="64"/>
      <c r="AG907" s="64"/>
    </row>
    <row r="908">
      <c r="A908" s="64"/>
      <c r="B908" s="64"/>
      <c r="C908" s="64"/>
      <c r="D908" s="64"/>
      <c r="E908" s="65"/>
      <c r="F908" s="64"/>
      <c r="G908" s="67"/>
      <c r="H908" s="64"/>
      <c r="I908" s="64"/>
      <c r="J908" s="64"/>
      <c r="K908" s="64"/>
      <c r="L908" s="65"/>
      <c r="M908" s="64"/>
      <c r="N908" s="64"/>
      <c r="O908" s="64"/>
      <c r="P908" s="64"/>
      <c r="Q908" s="64"/>
      <c r="R908" s="64"/>
      <c r="S908" s="64"/>
      <c r="T908" s="65"/>
      <c r="U908" s="64"/>
      <c r="V908" s="64"/>
      <c r="W908" s="64"/>
      <c r="X908" s="64"/>
      <c r="Y908" s="64"/>
      <c r="Z908" s="64"/>
      <c r="AA908" s="64"/>
      <c r="AB908" s="64"/>
      <c r="AC908" s="64"/>
      <c r="AD908" s="64"/>
      <c r="AE908" s="64"/>
      <c r="AF908" s="64"/>
      <c r="AG908" s="64"/>
    </row>
    <row r="909">
      <c r="A909" s="64"/>
      <c r="B909" s="64"/>
      <c r="C909" s="64"/>
      <c r="D909" s="64"/>
      <c r="E909" s="65"/>
      <c r="F909" s="64"/>
      <c r="G909" s="67"/>
      <c r="H909" s="64"/>
      <c r="I909" s="64"/>
      <c r="J909" s="64"/>
      <c r="K909" s="64"/>
      <c r="L909" s="65"/>
      <c r="M909" s="64"/>
      <c r="N909" s="64"/>
      <c r="O909" s="64"/>
      <c r="P909" s="64"/>
      <c r="Q909" s="64"/>
      <c r="R909" s="64"/>
      <c r="S909" s="64"/>
      <c r="T909" s="65"/>
      <c r="U909" s="64"/>
      <c r="V909" s="64"/>
      <c r="W909" s="64"/>
      <c r="X909" s="64"/>
      <c r="Y909" s="64"/>
      <c r="Z909" s="64"/>
      <c r="AA909" s="64"/>
      <c r="AB909" s="64"/>
      <c r="AC909" s="64"/>
      <c r="AD909" s="64"/>
      <c r="AE909" s="64"/>
      <c r="AF909" s="64"/>
      <c r="AG909" s="64"/>
    </row>
    <row r="910">
      <c r="A910" s="64"/>
      <c r="B910" s="64"/>
      <c r="C910" s="64"/>
      <c r="D910" s="64"/>
      <c r="E910" s="65"/>
      <c r="F910" s="64"/>
      <c r="G910" s="67"/>
      <c r="H910" s="64"/>
      <c r="I910" s="64"/>
      <c r="J910" s="64"/>
      <c r="K910" s="64"/>
      <c r="L910" s="65"/>
      <c r="M910" s="64"/>
      <c r="N910" s="64"/>
      <c r="O910" s="64"/>
      <c r="P910" s="64"/>
      <c r="Q910" s="64"/>
      <c r="R910" s="64"/>
      <c r="S910" s="64"/>
      <c r="T910" s="65"/>
      <c r="U910" s="64"/>
      <c r="V910" s="64"/>
      <c r="W910" s="64"/>
      <c r="X910" s="64"/>
      <c r="Y910" s="64"/>
      <c r="Z910" s="64"/>
      <c r="AA910" s="64"/>
      <c r="AB910" s="64"/>
      <c r="AC910" s="64"/>
      <c r="AD910" s="64"/>
      <c r="AE910" s="64"/>
      <c r="AF910" s="64"/>
      <c r="AG910" s="64"/>
    </row>
    <row r="911">
      <c r="A911" s="64"/>
      <c r="B911" s="64"/>
      <c r="C911" s="64"/>
      <c r="D911" s="64"/>
      <c r="E911" s="65"/>
      <c r="F911" s="64"/>
      <c r="G911" s="67"/>
      <c r="H911" s="64"/>
      <c r="I911" s="64"/>
      <c r="J911" s="64"/>
      <c r="K911" s="64"/>
      <c r="L911" s="65"/>
      <c r="M911" s="64"/>
      <c r="N911" s="64"/>
      <c r="O911" s="64"/>
      <c r="P911" s="64"/>
      <c r="Q911" s="64"/>
      <c r="R911" s="64"/>
      <c r="S911" s="64"/>
      <c r="T911" s="65"/>
      <c r="U911" s="64"/>
      <c r="V911" s="64"/>
      <c r="W911" s="64"/>
      <c r="X911" s="64"/>
      <c r="Y911" s="64"/>
      <c r="Z911" s="64"/>
      <c r="AA911" s="64"/>
      <c r="AB911" s="64"/>
      <c r="AC911" s="64"/>
      <c r="AD911" s="64"/>
      <c r="AE911" s="64"/>
      <c r="AF911" s="64"/>
      <c r="AG911" s="64"/>
    </row>
    <row r="912">
      <c r="A912" s="64"/>
      <c r="B912" s="64"/>
      <c r="C912" s="64"/>
      <c r="D912" s="64"/>
      <c r="E912" s="65"/>
      <c r="F912" s="64"/>
      <c r="G912" s="67"/>
      <c r="H912" s="64"/>
      <c r="I912" s="64"/>
      <c r="J912" s="64"/>
      <c r="K912" s="64"/>
      <c r="L912" s="65"/>
      <c r="M912" s="64"/>
      <c r="N912" s="64"/>
      <c r="O912" s="64"/>
      <c r="P912" s="64"/>
      <c r="Q912" s="64"/>
      <c r="R912" s="64"/>
      <c r="S912" s="64"/>
      <c r="T912" s="65"/>
      <c r="U912" s="64"/>
      <c r="V912" s="64"/>
      <c r="W912" s="64"/>
      <c r="X912" s="64"/>
      <c r="Y912" s="64"/>
      <c r="Z912" s="64"/>
      <c r="AA912" s="64"/>
      <c r="AB912" s="64"/>
      <c r="AC912" s="64"/>
      <c r="AD912" s="64"/>
      <c r="AE912" s="64"/>
      <c r="AF912" s="64"/>
      <c r="AG912" s="64"/>
    </row>
    <row r="913">
      <c r="A913" s="64"/>
      <c r="B913" s="64"/>
      <c r="C913" s="64"/>
      <c r="D913" s="64"/>
      <c r="E913" s="65"/>
      <c r="F913" s="64"/>
      <c r="G913" s="67"/>
      <c r="H913" s="64"/>
      <c r="I913" s="64"/>
      <c r="J913" s="64"/>
      <c r="K913" s="64"/>
      <c r="L913" s="65"/>
      <c r="M913" s="64"/>
      <c r="N913" s="64"/>
      <c r="O913" s="64"/>
      <c r="P913" s="64"/>
      <c r="Q913" s="64"/>
      <c r="R913" s="64"/>
      <c r="S913" s="64"/>
      <c r="T913" s="65"/>
      <c r="U913" s="64"/>
      <c r="V913" s="64"/>
      <c r="W913" s="64"/>
      <c r="X913" s="64"/>
      <c r="Y913" s="64"/>
      <c r="Z913" s="64"/>
      <c r="AA913" s="64"/>
      <c r="AB913" s="64"/>
      <c r="AC913" s="64"/>
      <c r="AD913" s="64"/>
      <c r="AE913" s="64"/>
      <c r="AF913" s="64"/>
      <c r="AG913" s="64"/>
    </row>
    <row r="914">
      <c r="A914" s="64"/>
      <c r="B914" s="64"/>
      <c r="C914" s="64"/>
      <c r="D914" s="64"/>
      <c r="E914" s="65"/>
      <c r="F914" s="64"/>
      <c r="G914" s="67"/>
      <c r="H914" s="64"/>
      <c r="I914" s="64"/>
      <c r="J914" s="64"/>
      <c r="K914" s="64"/>
      <c r="L914" s="65"/>
      <c r="M914" s="64"/>
      <c r="N914" s="64"/>
      <c r="O914" s="64"/>
      <c r="P914" s="64"/>
      <c r="Q914" s="64"/>
      <c r="R914" s="64"/>
      <c r="S914" s="64"/>
      <c r="T914" s="65"/>
      <c r="U914" s="64"/>
      <c r="V914" s="64"/>
      <c r="W914" s="64"/>
      <c r="X914" s="64"/>
      <c r="Y914" s="64"/>
      <c r="Z914" s="64"/>
      <c r="AA914" s="64"/>
      <c r="AB914" s="64"/>
      <c r="AC914" s="64"/>
      <c r="AD914" s="64"/>
      <c r="AE914" s="64"/>
      <c r="AF914" s="64"/>
      <c r="AG914" s="64"/>
    </row>
    <row r="915">
      <c r="A915" s="64"/>
      <c r="B915" s="64"/>
      <c r="C915" s="64"/>
      <c r="D915" s="64"/>
      <c r="E915" s="65"/>
      <c r="F915" s="64"/>
      <c r="G915" s="67"/>
      <c r="H915" s="64"/>
      <c r="I915" s="64"/>
      <c r="J915" s="64"/>
      <c r="K915" s="64"/>
      <c r="L915" s="65"/>
      <c r="M915" s="64"/>
      <c r="N915" s="64"/>
      <c r="O915" s="64"/>
      <c r="P915" s="64"/>
      <c r="Q915" s="64"/>
      <c r="R915" s="64"/>
      <c r="S915" s="64"/>
      <c r="T915" s="65"/>
      <c r="U915" s="64"/>
      <c r="V915" s="64"/>
      <c r="W915" s="64"/>
      <c r="X915" s="64"/>
      <c r="Y915" s="64"/>
      <c r="Z915" s="64"/>
      <c r="AA915" s="64"/>
      <c r="AB915" s="64"/>
      <c r="AC915" s="64"/>
      <c r="AD915" s="64"/>
      <c r="AE915" s="64"/>
      <c r="AF915" s="64"/>
      <c r="AG915" s="64"/>
    </row>
    <row r="916">
      <c r="A916" s="64"/>
      <c r="B916" s="64"/>
      <c r="C916" s="64"/>
      <c r="D916" s="64"/>
      <c r="E916" s="65"/>
      <c r="F916" s="64"/>
      <c r="G916" s="67"/>
      <c r="H916" s="64"/>
      <c r="I916" s="64"/>
      <c r="J916" s="64"/>
      <c r="K916" s="64"/>
      <c r="L916" s="65"/>
      <c r="M916" s="64"/>
      <c r="N916" s="64"/>
      <c r="O916" s="64"/>
      <c r="P916" s="64"/>
      <c r="Q916" s="64"/>
      <c r="R916" s="64"/>
      <c r="S916" s="64"/>
      <c r="T916" s="65"/>
      <c r="U916" s="64"/>
      <c r="V916" s="64"/>
      <c r="W916" s="64"/>
      <c r="X916" s="64"/>
      <c r="Y916" s="64"/>
      <c r="Z916" s="64"/>
      <c r="AA916" s="64"/>
      <c r="AB916" s="64"/>
      <c r="AC916" s="64"/>
      <c r="AD916" s="64"/>
      <c r="AE916" s="64"/>
      <c r="AF916" s="64"/>
      <c r="AG916" s="64"/>
    </row>
    <row r="917">
      <c r="A917" s="64"/>
      <c r="B917" s="64"/>
      <c r="C917" s="64"/>
      <c r="D917" s="64"/>
      <c r="E917" s="65"/>
      <c r="F917" s="64"/>
      <c r="G917" s="67"/>
      <c r="H917" s="64"/>
      <c r="I917" s="64"/>
      <c r="J917" s="64"/>
      <c r="K917" s="64"/>
      <c r="L917" s="65"/>
      <c r="M917" s="64"/>
      <c r="N917" s="64"/>
      <c r="O917" s="64"/>
      <c r="P917" s="64"/>
      <c r="Q917" s="64"/>
      <c r="R917" s="64"/>
      <c r="S917" s="64"/>
      <c r="T917" s="65"/>
      <c r="U917" s="64"/>
      <c r="V917" s="64"/>
      <c r="W917" s="64"/>
      <c r="X917" s="64"/>
      <c r="Y917" s="64"/>
      <c r="Z917" s="64"/>
      <c r="AA917" s="64"/>
      <c r="AB917" s="64"/>
      <c r="AC917" s="64"/>
      <c r="AD917" s="64"/>
      <c r="AE917" s="64"/>
      <c r="AF917" s="64"/>
      <c r="AG917" s="64"/>
    </row>
    <row r="918">
      <c r="A918" s="64"/>
      <c r="B918" s="64"/>
      <c r="C918" s="64"/>
      <c r="D918" s="64"/>
      <c r="E918" s="65"/>
      <c r="F918" s="64"/>
      <c r="G918" s="67"/>
      <c r="H918" s="64"/>
      <c r="I918" s="64"/>
      <c r="J918" s="64"/>
      <c r="K918" s="64"/>
      <c r="L918" s="65"/>
      <c r="M918" s="64"/>
      <c r="N918" s="64"/>
      <c r="O918" s="64"/>
      <c r="P918" s="64"/>
      <c r="Q918" s="64"/>
      <c r="R918" s="64"/>
      <c r="S918" s="64"/>
      <c r="T918" s="65"/>
      <c r="U918" s="64"/>
      <c r="V918" s="64"/>
      <c r="W918" s="64"/>
      <c r="X918" s="64"/>
      <c r="Y918" s="64"/>
      <c r="Z918" s="64"/>
      <c r="AA918" s="64"/>
      <c r="AB918" s="64"/>
      <c r="AC918" s="64"/>
      <c r="AD918" s="64"/>
      <c r="AE918" s="64"/>
      <c r="AF918" s="64"/>
      <c r="AG918" s="64"/>
    </row>
    <row r="919">
      <c r="A919" s="64"/>
      <c r="B919" s="64"/>
      <c r="C919" s="64"/>
      <c r="D919" s="64"/>
      <c r="E919" s="65"/>
      <c r="F919" s="64"/>
      <c r="G919" s="67"/>
      <c r="H919" s="64"/>
      <c r="I919" s="64"/>
      <c r="J919" s="64"/>
      <c r="K919" s="64"/>
      <c r="L919" s="65"/>
      <c r="M919" s="64"/>
      <c r="N919" s="64"/>
      <c r="O919" s="64"/>
      <c r="P919" s="64"/>
      <c r="Q919" s="64"/>
      <c r="R919" s="64"/>
      <c r="S919" s="64"/>
      <c r="T919" s="65"/>
      <c r="U919" s="64"/>
      <c r="V919" s="64"/>
      <c r="W919" s="64"/>
      <c r="X919" s="64"/>
      <c r="Y919" s="64"/>
      <c r="Z919" s="64"/>
      <c r="AA919" s="64"/>
      <c r="AB919" s="64"/>
      <c r="AC919" s="64"/>
      <c r="AD919" s="64"/>
      <c r="AE919" s="64"/>
      <c r="AF919" s="64"/>
      <c r="AG919" s="64"/>
    </row>
    <row r="920">
      <c r="A920" s="64"/>
      <c r="B920" s="64"/>
      <c r="C920" s="64"/>
      <c r="D920" s="64"/>
      <c r="E920" s="65"/>
      <c r="F920" s="64"/>
      <c r="G920" s="67"/>
      <c r="H920" s="64"/>
      <c r="I920" s="64"/>
      <c r="J920" s="64"/>
      <c r="K920" s="64"/>
      <c r="L920" s="65"/>
      <c r="M920" s="64"/>
      <c r="N920" s="64"/>
      <c r="O920" s="64"/>
      <c r="P920" s="64"/>
      <c r="Q920" s="64"/>
      <c r="R920" s="64"/>
      <c r="S920" s="64"/>
      <c r="T920" s="65"/>
      <c r="U920" s="64"/>
      <c r="V920" s="64"/>
      <c r="W920" s="64"/>
      <c r="X920" s="64"/>
      <c r="Y920" s="64"/>
      <c r="Z920" s="64"/>
      <c r="AA920" s="64"/>
      <c r="AB920" s="64"/>
      <c r="AC920" s="64"/>
      <c r="AD920" s="64"/>
      <c r="AE920" s="64"/>
      <c r="AF920" s="64"/>
      <c r="AG920" s="64"/>
    </row>
    <row r="921">
      <c r="A921" s="64"/>
      <c r="B921" s="64"/>
      <c r="C921" s="64"/>
      <c r="D921" s="64"/>
      <c r="E921" s="65"/>
      <c r="F921" s="64"/>
      <c r="G921" s="67"/>
      <c r="H921" s="64"/>
      <c r="I921" s="64"/>
      <c r="J921" s="64"/>
      <c r="K921" s="64"/>
      <c r="L921" s="65"/>
      <c r="M921" s="64"/>
      <c r="N921" s="64"/>
      <c r="O921" s="64"/>
      <c r="P921" s="64"/>
      <c r="Q921" s="64"/>
      <c r="R921" s="64"/>
      <c r="S921" s="64"/>
      <c r="T921" s="65"/>
      <c r="U921" s="64"/>
      <c r="V921" s="64"/>
      <c r="W921" s="64"/>
      <c r="X921" s="64"/>
      <c r="Y921" s="64"/>
      <c r="Z921" s="64"/>
      <c r="AA921" s="64"/>
      <c r="AB921" s="64"/>
      <c r="AC921" s="64"/>
      <c r="AD921" s="64"/>
      <c r="AE921" s="64"/>
      <c r="AF921" s="64"/>
      <c r="AG921" s="64"/>
    </row>
    <row r="922">
      <c r="A922" s="64"/>
      <c r="B922" s="64"/>
      <c r="C922" s="64"/>
      <c r="D922" s="64"/>
      <c r="E922" s="65"/>
      <c r="F922" s="64"/>
      <c r="G922" s="67"/>
      <c r="H922" s="64"/>
      <c r="I922" s="64"/>
      <c r="J922" s="64"/>
      <c r="K922" s="64"/>
      <c r="L922" s="65"/>
      <c r="M922" s="64"/>
      <c r="N922" s="64"/>
      <c r="O922" s="64"/>
      <c r="P922" s="64"/>
      <c r="Q922" s="64"/>
      <c r="R922" s="64"/>
      <c r="S922" s="64"/>
      <c r="T922" s="65"/>
      <c r="U922" s="64"/>
      <c r="V922" s="64"/>
      <c r="W922" s="64"/>
      <c r="X922" s="64"/>
      <c r="Y922" s="64"/>
      <c r="Z922" s="64"/>
      <c r="AA922" s="64"/>
      <c r="AB922" s="64"/>
      <c r="AC922" s="64"/>
      <c r="AD922" s="64"/>
      <c r="AE922" s="64"/>
      <c r="AF922" s="64"/>
      <c r="AG922" s="64"/>
    </row>
    <row r="923">
      <c r="A923" s="64"/>
      <c r="B923" s="64"/>
      <c r="C923" s="64"/>
      <c r="D923" s="64"/>
      <c r="E923" s="65"/>
      <c r="F923" s="64"/>
      <c r="G923" s="67"/>
      <c r="H923" s="64"/>
      <c r="I923" s="64"/>
      <c r="J923" s="64"/>
      <c r="K923" s="64"/>
      <c r="L923" s="65"/>
      <c r="M923" s="64"/>
      <c r="N923" s="64"/>
      <c r="O923" s="64"/>
      <c r="P923" s="64"/>
      <c r="Q923" s="64"/>
      <c r="R923" s="64"/>
      <c r="S923" s="64"/>
      <c r="T923" s="65"/>
      <c r="U923" s="64"/>
      <c r="V923" s="64"/>
      <c r="W923" s="64"/>
      <c r="X923" s="64"/>
      <c r="Y923" s="64"/>
      <c r="Z923" s="64"/>
      <c r="AA923" s="64"/>
      <c r="AB923" s="64"/>
      <c r="AC923" s="64"/>
      <c r="AD923" s="64"/>
      <c r="AE923" s="64"/>
      <c r="AF923" s="64"/>
      <c r="AG923" s="64"/>
    </row>
    <row r="924">
      <c r="A924" s="64"/>
      <c r="B924" s="64"/>
      <c r="C924" s="64"/>
      <c r="D924" s="64"/>
      <c r="E924" s="65"/>
      <c r="F924" s="64"/>
      <c r="G924" s="67"/>
      <c r="H924" s="64"/>
      <c r="I924" s="64"/>
      <c r="J924" s="64"/>
      <c r="K924" s="64"/>
      <c r="L924" s="65"/>
      <c r="M924" s="64"/>
      <c r="N924" s="64"/>
      <c r="O924" s="64"/>
      <c r="P924" s="64"/>
      <c r="Q924" s="64"/>
      <c r="R924" s="64"/>
      <c r="S924" s="64"/>
      <c r="T924" s="65"/>
      <c r="U924" s="64"/>
      <c r="V924" s="64"/>
      <c r="W924" s="64"/>
      <c r="X924" s="64"/>
      <c r="Y924" s="64"/>
      <c r="Z924" s="64"/>
      <c r="AA924" s="64"/>
      <c r="AB924" s="64"/>
      <c r="AC924" s="64"/>
      <c r="AD924" s="64"/>
      <c r="AE924" s="64"/>
      <c r="AF924" s="64"/>
      <c r="AG924" s="64"/>
    </row>
    <row r="925">
      <c r="A925" s="64"/>
      <c r="B925" s="64"/>
      <c r="C925" s="64"/>
      <c r="D925" s="64"/>
      <c r="E925" s="65"/>
      <c r="F925" s="64"/>
      <c r="G925" s="67"/>
      <c r="H925" s="64"/>
      <c r="I925" s="64"/>
      <c r="J925" s="64"/>
      <c r="K925" s="64"/>
      <c r="L925" s="65"/>
      <c r="M925" s="64"/>
      <c r="N925" s="64"/>
      <c r="O925" s="64"/>
      <c r="P925" s="64"/>
      <c r="Q925" s="64"/>
      <c r="R925" s="64"/>
      <c r="S925" s="64"/>
      <c r="T925" s="65"/>
      <c r="U925" s="64"/>
      <c r="V925" s="64"/>
      <c r="W925" s="64"/>
      <c r="X925" s="64"/>
      <c r="Y925" s="64"/>
      <c r="Z925" s="64"/>
      <c r="AA925" s="64"/>
      <c r="AB925" s="64"/>
      <c r="AC925" s="64"/>
      <c r="AD925" s="64"/>
      <c r="AE925" s="64"/>
      <c r="AF925" s="64"/>
      <c r="AG925" s="64"/>
    </row>
    <row r="926">
      <c r="A926" s="64"/>
      <c r="B926" s="64"/>
      <c r="C926" s="64"/>
      <c r="D926" s="64"/>
      <c r="E926" s="65"/>
      <c r="F926" s="64"/>
      <c r="G926" s="67"/>
      <c r="H926" s="64"/>
      <c r="I926" s="64"/>
      <c r="J926" s="64"/>
      <c r="K926" s="64"/>
      <c r="L926" s="65"/>
      <c r="M926" s="64"/>
      <c r="N926" s="64"/>
      <c r="O926" s="64"/>
      <c r="P926" s="64"/>
      <c r="Q926" s="64"/>
      <c r="R926" s="64"/>
      <c r="S926" s="64"/>
      <c r="T926" s="65"/>
      <c r="U926" s="64"/>
      <c r="V926" s="64"/>
      <c r="W926" s="64"/>
      <c r="X926" s="64"/>
      <c r="Y926" s="64"/>
      <c r="Z926" s="64"/>
      <c r="AA926" s="64"/>
      <c r="AB926" s="64"/>
      <c r="AC926" s="64"/>
      <c r="AD926" s="64"/>
      <c r="AE926" s="64"/>
      <c r="AF926" s="64"/>
      <c r="AG926" s="64"/>
    </row>
    <row r="927">
      <c r="A927" s="64"/>
      <c r="B927" s="64"/>
      <c r="C927" s="64"/>
      <c r="D927" s="64"/>
      <c r="E927" s="65"/>
      <c r="F927" s="64"/>
      <c r="G927" s="67"/>
      <c r="H927" s="64"/>
      <c r="I927" s="64"/>
      <c r="J927" s="64"/>
      <c r="K927" s="64"/>
      <c r="L927" s="65"/>
      <c r="M927" s="64"/>
      <c r="N927" s="64"/>
      <c r="O927" s="64"/>
      <c r="P927" s="64"/>
      <c r="Q927" s="64"/>
      <c r="R927" s="64"/>
      <c r="S927" s="64"/>
      <c r="T927" s="65"/>
      <c r="U927" s="64"/>
      <c r="V927" s="64"/>
      <c r="W927" s="64"/>
      <c r="X927" s="64"/>
      <c r="Y927" s="64"/>
      <c r="Z927" s="64"/>
      <c r="AA927" s="64"/>
      <c r="AB927" s="64"/>
      <c r="AC927" s="64"/>
      <c r="AD927" s="64"/>
      <c r="AE927" s="64"/>
      <c r="AF927" s="64"/>
      <c r="AG927" s="64"/>
    </row>
    <row r="928">
      <c r="A928" s="64"/>
      <c r="B928" s="64"/>
      <c r="C928" s="64"/>
      <c r="D928" s="64"/>
      <c r="E928" s="65"/>
      <c r="F928" s="64"/>
      <c r="G928" s="67"/>
      <c r="H928" s="64"/>
      <c r="I928" s="64"/>
      <c r="J928" s="64"/>
      <c r="K928" s="64"/>
      <c r="L928" s="65"/>
      <c r="M928" s="64"/>
      <c r="N928" s="64"/>
      <c r="O928" s="64"/>
      <c r="P928" s="64"/>
      <c r="Q928" s="64"/>
      <c r="R928" s="64"/>
      <c r="S928" s="64"/>
      <c r="T928" s="65"/>
      <c r="U928" s="64"/>
      <c r="V928" s="64"/>
      <c r="W928" s="64"/>
      <c r="X928" s="64"/>
      <c r="Y928" s="64"/>
      <c r="Z928" s="64"/>
      <c r="AA928" s="64"/>
      <c r="AB928" s="64"/>
      <c r="AC928" s="64"/>
      <c r="AD928" s="64"/>
      <c r="AE928" s="64"/>
      <c r="AF928" s="64"/>
      <c r="AG928" s="64"/>
    </row>
    <row r="929">
      <c r="A929" s="64"/>
      <c r="B929" s="64"/>
      <c r="C929" s="64"/>
      <c r="D929" s="64"/>
      <c r="E929" s="65"/>
      <c r="F929" s="64"/>
      <c r="G929" s="67"/>
      <c r="H929" s="64"/>
      <c r="I929" s="64"/>
      <c r="J929" s="64"/>
      <c r="K929" s="64"/>
      <c r="L929" s="65"/>
      <c r="M929" s="64"/>
      <c r="N929" s="64"/>
      <c r="O929" s="64"/>
      <c r="P929" s="64"/>
      <c r="Q929" s="64"/>
      <c r="R929" s="64"/>
      <c r="S929" s="64"/>
      <c r="T929" s="65"/>
      <c r="U929" s="64"/>
      <c r="V929" s="64"/>
      <c r="W929" s="64"/>
      <c r="X929" s="64"/>
      <c r="Y929" s="64"/>
      <c r="Z929" s="64"/>
      <c r="AA929" s="64"/>
      <c r="AB929" s="64"/>
      <c r="AC929" s="64"/>
      <c r="AD929" s="64"/>
      <c r="AE929" s="64"/>
      <c r="AF929" s="64"/>
      <c r="AG929" s="64"/>
    </row>
    <row r="930">
      <c r="A930" s="64"/>
      <c r="B930" s="64"/>
      <c r="C930" s="64"/>
      <c r="D930" s="64"/>
      <c r="E930" s="65"/>
      <c r="F930" s="64"/>
      <c r="G930" s="67"/>
      <c r="H930" s="64"/>
      <c r="I930" s="64"/>
      <c r="J930" s="64"/>
      <c r="K930" s="64"/>
      <c r="L930" s="65"/>
      <c r="M930" s="64"/>
      <c r="N930" s="64"/>
      <c r="O930" s="64"/>
      <c r="P930" s="64"/>
      <c r="Q930" s="64"/>
      <c r="R930" s="64"/>
      <c r="S930" s="64"/>
      <c r="T930" s="65"/>
      <c r="U930" s="64"/>
      <c r="V930" s="64"/>
      <c r="W930" s="64"/>
      <c r="X930" s="64"/>
      <c r="Y930" s="64"/>
      <c r="Z930" s="64"/>
      <c r="AA930" s="64"/>
      <c r="AB930" s="64"/>
      <c r="AC930" s="64"/>
      <c r="AD930" s="64"/>
      <c r="AE930" s="64"/>
      <c r="AF930" s="64"/>
      <c r="AG930" s="64"/>
    </row>
    <row r="931">
      <c r="A931" s="64"/>
      <c r="B931" s="64"/>
      <c r="C931" s="64"/>
      <c r="D931" s="64"/>
      <c r="E931" s="65"/>
      <c r="F931" s="64"/>
      <c r="G931" s="67"/>
      <c r="H931" s="64"/>
      <c r="I931" s="64"/>
      <c r="J931" s="64"/>
      <c r="K931" s="64"/>
      <c r="L931" s="65"/>
      <c r="M931" s="64"/>
      <c r="N931" s="64"/>
      <c r="O931" s="64"/>
      <c r="P931" s="64"/>
      <c r="Q931" s="64"/>
      <c r="R931" s="64"/>
      <c r="S931" s="64"/>
      <c r="T931" s="65"/>
      <c r="U931" s="64"/>
      <c r="V931" s="64"/>
      <c r="W931" s="64"/>
      <c r="X931" s="64"/>
      <c r="Y931" s="64"/>
      <c r="Z931" s="64"/>
      <c r="AA931" s="64"/>
      <c r="AB931" s="64"/>
      <c r="AC931" s="64"/>
      <c r="AD931" s="64"/>
      <c r="AE931" s="64"/>
      <c r="AF931" s="64"/>
      <c r="AG931" s="64"/>
    </row>
    <row r="932">
      <c r="A932" s="64"/>
      <c r="B932" s="64"/>
      <c r="C932" s="64"/>
      <c r="D932" s="64"/>
      <c r="E932" s="65"/>
      <c r="F932" s="64"/>
      <c r="G932" s="67"/>
      <c r="H932" s="64"/>
      <c r="I932" s="64"/>
      <c r="J932" s="64"/>
      <c r="K932" s="64"/>
      <c r="L932" s="65"/>
      <c r="M932" s="64"/>
      <c r="N932" s="64"/>
      <c r="O932" s="64"/>
      <c r="P932" s="64"/>
      <c r="Q932" s="64"/>
      <c r="R932" s="64"/>
      <c r="S932" s="64"/>
      <c r="T932" s="65"/>
      <c r="U932" s="64"/>
      <c r="V932" s="64"/>
      <c r="W932" s="64"/>
      <c r="X932" s="64"/>
      <c r="Y932" s="64"/>
      <c r="Z932" s="64"/>
      <c r="AA932" s="64"/>
      <c r="AB932" s="64"/>
      <c r="AC932" s="64"/>
      <c r="AD932" s="64"/>
      <c r="AE932" s="64"/>
      <c r="AF932" s="64"/>
      <c r="AG932" s="64"/>
    </row>
    <row r="933">
      <c r="A933" s="64"/>
      <c r="B933" s="64"/>
      <c r="C933" s="64"/>
      <c r="D933" s="64"/>
      <c r="E933" s="65"/>
      <c r="F933" s="64"/>
      <c r="G933" s="67"/>
      <c r="H933" s="64"/>
      <c r="I933" s="64"/>
      <c r="J933" s="64"/>
      <c r="K933" s="64"/>
      <c r="L933" s="65"/>
      <c r="M933" s="64"/>
      <c r="N933" s="64"/>
      <c r="O933" s="64"/>
      <c r="P933" s="64"/>
      <c r="Q933" s="64"/>
      <c r="R933" s="64"/>
      <c r="S933" s="64"/>
      <c r="T933" s="65"/>
      <c r="U933" s="64"/>
      <c r="V933" s="64"/>
      <c r="W933" s="64"/>
      <c r="X933" s="64"/>
      <c r="Y933" s="64"/>
      <c r="Z933" s="64"/>
      <c r="AA933" s="64"/>
      <c r="AB933" s="64"/>
      <c r="AC933" s="64"/>
      <c r="AD933" s="64"/>
      <c r="AE933" s="64"/>
      <c r="AF933" s="64"/>
      <c r="AG933" s="64"/>
    </row>
    <row r="934">
      <c r="A934" s="64"/>
      <c r="B934" s="64"/>
      <c r="C934" s="64"/>
      <c r="D934" s="64"/>
      <c r="E934" s="65"/>
      <c r="F934" s="64"/>
      <c r="G934" s="67"/>
      <c r="H934" s="64"/>
      <c r="I934" s="64"/>
      <c r="J934" s="64"/>
      <c r="K934" s="64"/>
      <c r="L934" s="65"/>
      <c r="M934" s="64"/>
      <c r="N934" s="64"/>
      <c r="O934" s="64"/>
      <c r="P934" s="64"/>
      <c r="Q934" s="64"/>
      <c r="R934" s="64"/>
      <c r="S934" s="64"/>
      <c r="T934" s="65"/>
      <c r="U934" s="64"/>
      <c r="V934" s="64"/>
      <c r="W934" s="64"/>
      <c r="X934" s="64"/>
      <c r="Y934" s="64"/>
      <c r="Z934" s="64"/>
      <c r="AA934" s="64"/>
      <c r="AB934" s="64"/>
      <c r="AC934" s="64"/>
      <c r="AD934" s="64"/>
      <c r="AE934" s="64"/>
      <c r="AF934" s="64"/>
      <c r="AG934" s="64"/>
    </row>
    <row r="935">
      <c r="A935" s="64"/>
      <c r="B935" s="64"/>
      <c r="C935" s="64"/>
      <c r="D935" s="64"/>
      <c r="E935" s="65"/>
      <c r="F935" s="64"/>
      <c r="G935" s="67"/>
      <c r="H935" s="64"/>
      <c r="I935" s="64"/>
      <c r="J935" s="64"/>
      <c r="K935" s="64"/>
      <c r="L935" s="65"/>
      <c r="M935" s="64"/>
      <c r="N935" s="64"/>
      <c r="O935" s="64"/>
      <c r="P935" s="64"/>
      <c r="Q935" s="64"/>
      <c r="R935" s="64"/>
      <c r="S935" s="64"/>
      <c r="T935" s="65"/>
      <c r="U935" s="64"/>
      <c r="V935" s="64"/>
      <c r="W935" s="64"/>
      <c r="X935" s="64"/>
      <c r="Y935" s="64"/>
      <c r="Z935" s="64"/>
      <c r="AA935" s="64"/>
      <c r="AB935" s="64"/>
      <c r="AC935" s="64"/>
      <c r="AD935" s="64"/>
      <c r="AE935" s="64"/>
      <c r="AF935" s="64"/>
      <c r="AG935" s="64"/>
    </row>
    <row r="936">
      <c r="A936" s="64"/>
      <c r="B936" s="64"/>
      <c r="C936" s="64"/>
      <c r="D936" s="64"/>
      <c r="E936" s="65"/>
      <c r="F936" s="64"/>
      <c r="G936" s="67"/>
      <c r="H936" s="64"/>
      <c r="I936" s="64"/>
      <c r="J936" s="64"/>
      <c r="K936" s="64"/>
      <c r="L936" s="65"/>
      <c r="M936" s="64"/>
      <c r="N936" s="64"/>
      <c r="O936" s="64"/>
      <c r="P936" s="64"/>
      <c r="Q936" s="64"/>
      <c r="R936" s="64"/>
      <c r="S936" s="64"/>
      <c r="T936" s="65"/>
      <c r="U936" s="64"/>
      <c r="V936" s="64"/>
      <c r="W936" s="64"/>
      <c r="X936" s="64"/>
      <c r="Y936" s="64"/>
      <c r="Z936" s="64"/>
      <c r="AA936" s="64"/>
      <c r="AB936" s="64"/>
      <c r="AC936" s="64"/>
      <c r="AD936" s="64"/>
      <c r="AE936" s="64"/>
      <c r="AF936" s="64"/>
      <c r="AG936" s="64"/>
    </row>
    <row r="937">
      <c r="A937" s="64"/>
      <c r="B937" s="64"/>
      <c r="C937" s="64"/>
      <c r="D937" s="64"/>
      <c r="E937" s="65"/>
      <c r="F937" s="64"/>
      <c r="G937" s="67"/>
      <c r="H937" s="64"/>
      <c r="I937" s="64"/>
      <c r="J937" s="64"/>
      <c r="K937" s="64"/>
      <c r="L937" s="65"/>
      <c r="M937" s="64"/>
      <c r="N937" s="64"/>
      <c r="O937" s="64"/>
      <c r="P937" s="64"/>
      <c r="Q937" s="64"/>
      <c r="R937" s="64"/>
      <c r="S937" s="64"/>
      <c r="T937" s="65"/>
      <c r="U937" s="64"/>
      <c r="V937" s="64"/>
      <c r="W937" s="64"/>
      <c r="X937" s="64"/>
      <c r="Y937" s="64"/>
      <c r="Z937" s="64"/>
      <c r="AA937" s="64"/>
      <c r="AB937" s="64"/>
      <c r="AC937" s="64"/>
      <c r="AD937" s="64"/>
      <c r="AE937" s="64"/>
      <c r="AF937" s="64"/>
      <c r="AG937" s="64"/>
    </row>
    <row r="938">
      <c r="A938" s="64"/>
      <c r="B938" s="64"/>
      <c r="C938" s="64"/>
      <c r="D938" s="64"/>
      <c r="E938" s="65"/>
      <c r="F938" s="64"/>
      <c r="G938" s="67"/>
      <c r="H938" s="64"/>
      <c r="I938" s="64"/>
      <c r="J938" s="64"/>
      <c r="K938" s="64"/>
      <c r="L938" s="65"/>
      <c r="M938" s="64"/>
      <c r="N938" s="64"/>
      <c r="O938" s="64"/>
      <c r="P938" s="64"/>
      <c r="Q938" s="64"/>
      <c r="R938" s="64"/>
      <c r="S938" s="64"/>
      <c r="T938" s="65"/>
      <c r="U938" s="64"/>
      <c r="V938" s="64"/>
      <c r="W938" s="64"/>
      <c r="X938" s="64"/>
      <c r="Y938" s="64"/>
      <c r="Z938" s="64"/>
      <c r="AA938" s="64"/>
      <c r="AB938" s="64"/>
      <c r="AC938" s="64"/>
      <c r="AD938" s="64"/>
      <c r="AE938" s="64"/>
      <c r="AF938" s="64"/>
      <c r="AG938" s="64"/>
    </row>
    <row r="939">
      <c r="A939" s="64"/>
      <c r="B939" s="64"/>
      <c r="C939" s="64"/>
      <c r="D939" s="64"/>
      <c r="E939" s="65"/>
      <c r="F939" s="64"/>
      <c r="G939" s="67"/>
      <c r="H939" s="64"/>
      <c r="I939" s="64"/>
      <c r="J939" s="64"/>
      <c r="K939" s="64"/>
      <c r="L939" s="65"/>
      <c r="M939" s="64"/>
      <c r="N939" s="64"/>
      <c r="O939" s="64"/>
      <c r="P939" s="64"/>
      <c r="Q939" s="64"/>
      <c r="R939" s="64"/>
      <c r="S939" s="64"/>
      <c r="T939" s="65"/>
      <c r="U939" s="64"/>
      <c r="V939" s="64"/>
      <c r="W939" s="64"/>
      <c r="X939" s="64"/>
      <c r="Y939" s="64"/>
      <c r="Z939" s="64"/>
      <c r="AA939" s="64"/>
      <c r="AB939" s="64"/>
      <c r="AC939" s="64"/>
      <c r="AD939" s="64"/>
      <c r="AE939" s="64"/>
      <c r="AF939" s="64"/>
      <c r="AG939" s="64"/>
    </row>
    <row r="940">
      <c r="A940" s="64"/>
      <c r="B940" s="64"/>
      <c r="C940" s="64"/>
      <c r="D940" s="64"/>
      <c r="E940" s="65"/>
      <c r="F940" s="64"/>
      <c r="G940" s="67"/>
      <c r="H940" s="64"/>
      <c r="I940" s="64"/>
      <c r="J940" s="64"/>
      <c r="K940" s="64"/>
      <c r="L940" s="65"/>
      <c r="M940" s="64"/>
      <c r="N940" s="64"/>
      <c r="O940" s="64"/>
      <c r="P940" s="64"/>
      <c r="Q940" s="64"/>
      <c r="R940" s="64"/>
      <c r="S940" s="64"/>
      <c r="T940" s="65"/>
      <c r="U940" s="64"/>
      <c r="V940" s="64"/>
      <c r="W940" s="64"/>
      <c r="X940" s="64"/>
      <c r="Y940" s="64"/>
      <c r="Z940" s="64"/>
      <c r="AA940" s="64"/>
      <c r="AB940" s="64"/>
      <c r="AC940" s="64"/>
      <c r="AD940" s="64"/>
      <c r="AE940" s="64"/>
      <c r="AF940" s="64"/>
      <c r="AG940" s="64"/>
    </row>
    <row r="941">
      <c r="A941" s="64"/>
      <c r="B941" s="64"/>
      <c r="C941" s="64"/>
      <c r="D941" s="64"/>
      <c r="E941" s="65"/>
      <c r="F941" s="64"/>
      <c r="G941" s="67"/>
      <c r="H941" s="64"/>
      <c r="I941" s="64"/>
      <c r="J941" s="64"/>
      <c r="K941" s="64"/>
      <c r="L941" s="65"/>
      <c r="M941" s="64"/>
      <c r="N941" s="64"/>
      <c r="O941" s="64"/>
      <c r="P941" s="64"/>
      <c r="Q941" s="64"/>
      <c r="R941" s="64"/>
      <c r="S941" s="64"/>
      <c r="T941" s="65"/>
      <c r="U941" s="64"/>
      <c r="V941" s="64"/>
      <c r="W941" s="64"/>
      <c r="X941" s="64"/>
      <c r="Y941" s="64"/>
      <c r="Z941" s="64"/>
      <c r="AA941" s="64"/>
      <c r="AB941" s="64"/>
      <c r="AC941" s="64"/>
      <c r="AD941" s="64"/>
      <c r="AE941" s="64"/>
      <c r="AF941" s="64"/>
      <c r="AG941" s="64"/>
    </row>
    <row r="942">
      <c r="A942" s="64"/>
      <c r="B942" s="64"/>
      <c r="C942" s="64"/>
      <c r="D942" s="64"/>
      <c r="E942" s="65"/>
      <c r="F942" s="64"/>
      <c r="G942" s="67"/>
      <c r="H942" s="64"/>
      <c r="I942" s="64"/>
      <c r="J942" s="64"/>
      <c r="K942" s="64"/>
      <c r="L942" s="65"/>
      <c r="M942" s="64"/>
      <c r="N942" s="64"/>
      <c r="O942" s="64"/>
      <c r="P942" s="64"/>
      <c r="Q942" s="64"/>
      <c r="R942" s="64"/>
      <c r="S942" s="64"/>
      <c r="T942" s="65"/>
      <c r="U942" s="64"/>
      <c r="V942" s="64"/>
      <c r="W942" s="64"/>
      <c r="X942" s="64"/>
      <c r="Y942" s="64"/>
      <c r="Z942" s="64"/>
      <c r="AA942" s="64"/>
      <c r="AB942" s="64"/>
      <c r="AC942" s="64"/>
      <c r="AD942" s="64"/>
      <c r="AE942" s="64"/>
      <c r="AF942" s="64"/>
      <c r="AG942" s="64"/>
    </row>
    <row r="943">
      <c r="A943" s="64"/>
      <c r="B943" s="64"/>
      <c r="C943" s="64"/>
      <c r="D943" s="64"/>
      <c r="E943" s="65"/>
      <c r="F943" s="64"/>
      <c r="G943" s="67"/>
      <c r="H943" s="64"/>
      <c r="I943" s="64"/>
      <c r="J943" s="64"/>
      <c r="K943" s="64"/>
      <c r="L943" s="65"/>
      <c r="M943" s="64"/>
      <c r="N943" s="64"/>
      <c r="O943" s="64"/>
      <c r="P943" s="64"/>
      <c r="Q943" s="64"/>
      <c r="R943" s="64"/>
      <c r="S943" s="64"/>
      <c r="T943" s="65"/>
      <c r="U943" s="64"/>
      <c r="V943" s="64"/>
      <c r="W943" s="64"/>
      <c r="X943" s="64"/>
      <c r="Y943" s="64"/>
      <c r="Z943" s="64"/>
      <c r="AA943" s="64"/>
      <c r="AB943" s="64"/>
      <c r="AC943" s="64"/>
      <c r="AD943" s="64"/>
      <c r="AE943" s="64"/>
      <c r="AF943" s="64"/>
      <c r="AG943" s="64"/>
    </row>
    <row r="944">
      <c r="A944" s="64"/>
      <c r="B944" s="64"/>
      <c r="C944" s="64"/>
      <c r="D944" s="64"/>
      <c r="E944" s="65"/>
      <c r="F944" s="64"/>
      <c r="G944" s="67"/>
      <c r="H944" s="64"/>
      <c r="I944" s="64"/>
      <c r="J944" s="64"/>
      <c r="K944" s="64"/>
      <c r="L944" s="65"/>
      <c r="M944" s="64"/>
      <c r="N944" s="64"/>
      <c r="O944" s="64"/>
      <c r="P944" s="64"/>
      <c r="Q944" s="64"/>
      <c r="R944" s="64"/>
      <c r="S944" s="64"/>
      <c r="T944" s="65"/>
      <c r="U944" s="64"/>
      <c r="V944" s="64"/>
      <c r="W944" s="64"/>
      <c r="X944" s="64"/>
      <c r="Y944" s="64"/>
      <c r="Z944" s="64"/>
      <c r="AA944" s="64"/>
      <c r="AB944" s="64"/>
      <c r="AC944" s="64"/>
      <c r="AD944" s="64"/>
      <c r="AE944" s="64"/>
      <c r="AF944" s="64"/>
      <c r="AG944" s="64"/>
    </row>
    <row r="945">
      <c r="A945" s="64"/>
      <c r="B945" s="64"/>
      <c r="C945" s="64"/>
      <c r="D945" s="64"/>
      <c r="E945" s="65"/>
      <c r="F945" s="64"/>
      <c r="G945" s="67"/>
      <c r="H945" s="64"/>
      <c r="I945" s="64"/>
      <c r="J945" s="64"/>
      <c r="K945" s="64"/>
      <c r="L945" s="65"/>
      <c r="M945" s="64"/>
      <c r="N945" s="64"/>
      <c r="O945" s="64"/>
      <c r="P945" s="64"/>
      <c r="Q945" s="64"/>
      <c r="R945" s="64"/>
      <c r="S945" s="64"/>
      <c r="T945" s="65"/>
      <c r="U945" s="64"/>
      <c r="V945" s="64"/>
      <c r="W945" s="64"/>
      <c r="X945" s="64"/>
      <c r="Y945" s="64"/>
      <c r="Z945" s="64"/>
      <c r="AA945" s="64"/>
      <c r="AB945" s="64"/>
      <c r="AC945" s="64"/>
      <c r="AD945" s="64"/>
      <c r="AE945" s="64"/>
      <c r="AF945" s="64"/>
      <c r="AG945" s="64"/>
    </row>
    <row r="946">
      <c r="A946" s="64"/>
      <c r="B946" s="64"/>
      <c r="C946" s="64"/>
      <c r="D946" s="64"/>
      <c r="E946" s="65"/>
      <c r="F946" s="64"/>
      <c r="G946" s="67"/>
      <c r="H946" s="64"/>
      <c r="I946" s="64"/>
      <c r="J946" s="64"/>
      <c r="K946" s="64"/>
      <c r="L946" s="65"/>
      <c r="M946" s="64"/>
      <c r="N946" s="64"/>
      <c r="O946" s="64"/>
      <c r="P946" s="64"/>
      <c r="Q946" s="64"/>
      <c r="R946" s="64"/>
      <c r="S946" s="64"/>
      <c r="T946" s="65"/>
      <c r="U946" s="64"/>
      <c r="V946" s="64"/>
      <c r="W946" s="64"/>
      <c r="X946" s="64"/>
      <c r="Y946" s="64"/>
      <c r="Z946" s="64"/>
      <c r="AA946" s="64"/>
      <c r="AB946" s="64"/>
      <c r="AC946" s="64"/>
      <c r="AD946" s="64"/>
      <c r="AE946" s="64"/>
      <c r="AF946" s="64"/>
      <c r="AG946" s="64"/>
    </row>
    <row r="947">
      <c r="A947" s="64"/>
      <c r="B947" s="64"/>
      <c r="C947" s="64"/>
      <c r="D947" s="64"/>
      <c r="E947" s="65"/>
      <c r="F947" s="64"/>
      <c r="G947" s="67"/>
      <c r="H947" s="64"/>
      <c r="I947" s="64"/>
      <c r="J947" s="64"/>
      <c r="K947" s="64"/>
      <c r="L947" s="65"/>
      <c r="M947" s="64"/>
      <c r="N947" s="64"/>
      <c r="O947" s="64"/>
      <c r="P947" s="64"/>
      <c r="Q947" s="64"/>
      <c r="R947" s="64"/>
      <c r="S947" s="64"/>
      <c r="T947" s="65"/>
      <c r="U947" s="64"/>
      <c r="V947" s="64"/>
      <c r="W947" s="64"/>
      <c r="X947" s="64"/>
      <c r="Y947" s="64"/>
      <c r="Z947" s="64"/>
      <c r="AA947" s="64"/>
      <c r="AB947" s="64"/>
      <c r="AC947" s="64"/>
      <c r="AD947" s="64"/>
      <c r="AE947" s="64"/>
      <c r="AF947" s="64"/>
      <c r="AG947" s="64"/>
    </row>
    <row r="948">
      <c r="A948" s="64"/>
      <c r="B948" s="64"/>
      <c r="C948" s="64"/>
      <c r="D948" s="64"/>
      <c r="E948" s="65"/>
      <c r="F948" s="64"/>
      <c r="G948" s="67"/>
      <c r="H948" s="64"/>
      <c r="I948" s="64"/>
      <c r="J948" s="64"/>
      <c r="K948" s="64"/>
      <c r="L948" s="65"/>
      <c r="M948" s="64"/>
      <c r="N948" s="64"/>
      <c r="O948" s="64"/>
      <c r="P948" s="64"/>
      <c r="Q948" s="64"/>
      <c r="R948" s="64"/>
      <c r="S948" s="64"/>
      <c r="T948" s="65"/>
      <c r="U948" s="64"/>
      <c r="V948" s="64"/>
      <c r="W948" s="64"/>
      <c r="X948" s="64"/>
      <c r="Y948" s="64"/>
      <c r="Z948" s="64"/>
      <c r="AA948" s="64"/>
      <c r="AB948" s="64"/>
      <c r="AC948" s="64"/>
      <c r="AD948" s="64"/>
      <c r="AE948" s="64"/>
      <c r="AF948" s="64"/>
      <c r="AG948" s="64"/>
    </row>
    <row r="949">
      <c r="A949" s="64"/>
      <c r="B949" s="64"/>
      <c r="C949" s="64"/>
      <c r="D949" s="64"/>
      <c r="E949" s="65"/>
      <c r="F949" s="64"/>
      <c r="G949" s="67"/>
      <c r="H949" s="64"/>
      <c r="I949" s="64"/>
      <c r="J949" s="64"/>
      <c r="K949" s="64"/>
      <c r="L949" s="65"/>
      <c r="M949" s="64"/>
      <c r="N949" s="64"/>
      <c r="O949" s="64"/>
      <c r="P949" s="64"/>
      <c r="Q949" s="64"/>
      <c r="R949" s="64"/>
      <c r="S949" s="64"/>
      <c r="T949" s="65"/>
      <c r="U949" s="64"/>
      <c r="V949" s="64"/>
      <c r="W949" s="64"/>
      <c r="X949" s="64"/>
      <c r="Y949" s="64"/>
      <c r="Z949" s="64"/>
      <c r="AA949" s="64"/>
      <c r="AB949" s="64"/>
      <c r="AC949" s="64"/>
      <c r="AD949" s="64"/>
      <c r="AE949" s="64"/>
      <c r="AF949" s="64"/>
      <c r="AG949" s="64"/>
    </row>
    <row r="950">
      <c r="A950" s="64"/>
      <c r="B950" s="64"/>
      <c r="C950" s="64"/>
      <c r="D950" s="64"/>
      <c r="E950" s="65"/>
      <c r="F950" s="64"/>
      <c r="G950" s="67"/>
      <c r="H950" s="64"/>
      <c r="I950" s="64"/>
      <c r="J950" s="64"/>
      <c r="K950" s="64"/>
      <c r="L950" s="65"/>
      <c r="M950" s="64"/>
      <c r="N950" s="64"/>
      <c r="O950" s="64"/>
      <c r="P950" s="64"/>
      <c r="Q950" s="64"/>
      <c r="R950" s="64"/>
      <c r="S950" s="64"/>
      <c r="T950" s="65"/>
      <c r="U950" s="64"/>
      <c r="V950" s="64"/>
      <c r="W950" s="64"/>
      <c r="X950" s="64"/>
      <c r="Y950" s="64"/>
      <c r="Z950" s="64"/>
      <c r="AA950" s="64"/>
      <c r="AB950" s="64"/>
      <c r="AC950" s="64"/>
      <c r="AD950" s="64"/>
      <c r="AE950" s="64"/>
      <c r="AF950" s="64"/>
      <c r="AG950" s="64"/>
    </row>
    <row r="951">
      <c r="A951" s="64"/>
      <c r="B951" s="64"/>
      <c r="C951" s="64"/>
      <c r="D951" s="64"/>
      <c r="E951" s="65"/>
      <c r="F951" s="64"/>
      <c r="G951" s="67"/>
      <c r="H951" s="64"/>
      <c r="I951" s="64"/>
      <c r="J951" s="64"/>
      <c r="K951" s="64"/>
      <c r="L951" s="65"/>
      <c r="M951" s="64"/>
      <c r="N951" s="64"/>
      <c r="O951" s="64"/>
      <c r="P951" s="64"/>
      <c r="Q951" s="64"/>
      <c r="R951" s="64"/>
      <c r="S951" s="64"/>
      <c r="T951" s="65"/>
      <c r="U951" s="64"/>
      <c r="V951" s="64"/>
      <c r="W951" s="64"/>
      <c r="X951" s="64"/>
      <c r="Y951" s="64"/>
      <c r="Z951" s="64"/>
      <c r="AA951" s="64"/>
      <c r="AB951" s="64"/>
      <c r="AC951" s="64"/>
      <c r="AD951" s="64"/>
      <c r="AE951" s="64"/>
      <c r="AF951" s="64"/>
      <c r="AG951" s="64"/>
    </row>
    <row r="952">
      <c r="A952" s="64"/>
      <c r="B952" s="64"/>
      <c r="C952" s="64"/>
      <c r="D952" s="64"/>
      <c r="E952" s="65"/>
      <c r="F952" s="64"/>
      <c r="G952" s="67"/>
      <c r="H952" s="64"/>
      <c r="I952" s="64"/>
      <c r="J952" s="64"/>
      <c r="K952" s="64"/>
      <c r="L952" s="65"/>
      <c r="M952" s="64"/>
      <c r="N952" s="64"/>
      <c r="O952" s="64"/>
      <c r="P952" s="64"/>
      <c r="Q952" s="64"/>
      <c r="R952" s="64"/>
      <c r="S952" s="64"/>
      <c r="T952" s="65"/>
      <c r="U952" s="64"/>
      <c r="V952" s="64"/>
      <c r="W952" s="64"/>
      <c r="X952" s="64"/>
      <c r="Y952" s="64"/>
      <c r="Z952" s="64"/>
      <c r="AA952" s="64"/>
      <c r="AB952" s="64"/>
      <c r="AC952" s="64"/>
      <c r="AD952" s="64"/>
      <c r="AE952" s="64"/>
      <c r="AF952" s="64"/>
      <c r="AG952" s="64"/>
    </row>
    <row r="953">
      <c r="A953" s="64"/>
      <c r="B953" s="64"/>
      <c r="C953" s="64"/>
      <c r="D953" s="64"/>
      <c r="E953" s="65"/>
      <c r="F953" s="64"/>
      <c r="G953" s="67"/>
      <c r="H953" s="64"/>
      <c r="I953" s="64"/>
      <c r="J953" s="64"/>
      <c r="K953" s="64"/>
      <c r="L953" s="65"/>
      <c r="M953" s="64"/>
      <c r="N953" s="64"/>
      <c r="O953" s="64"/>
      <c r="P953" s="64"/>
      <c r="Q953" s="64"/>
      <c r="R953" s="64"/>
      <c r="S953" s="64"/>
      <c r="T953" s="65"/>
      <c r="U953" s="64"/>
      <c r="V953" s="64"/>
      <c r="W953" s="64"/>
      <c r="X953" s="64"/>
      <c r="Y953" s="64"/>
      <c r="Z953" s="64"/>
      <c r="AA953" s="64"/>
      <c r="AB953" s="64"/>
      <c r="AC953" s="64"/>
      <c r="AD953" s="64"/>
      <c r="AE953" s="64"/>
      <c r="AF953" s="64"/>
      <c r="AG953" s="64"/>
    </row>
    <row r="954">
      <c r="A954" s="64"/>
      <c r="B954" s="64"/>
      <c r="C954" s="64"/>
      <c r="D954" s="64"/>
      <c r="E954" s="65"/>
      <c r="F954" s="64"/>
      <c r="G954" s="67"/>
      <c r="H954" s="64"/>
      <c r="I954" s="64"/>
      <c r="J954" s="64"/>
      <c r="K954" s="64"/>
      <c r="L954" s="65"/>
      <c r="M954" s="64"/>
      <c r="N954" s="64"/>
      <c r="O954" s="64"/>
      <c r="P954" s="64"/>
      <c r="Q954" s="64"/>
      <c r="R954" s="64"/>
      <c r="S954" s="64"/>
      <c r="T954" s="65"/>
      <c r="U954" s="64"/>
      <c r="V954" s="64"/>
      <c r="W954" s="64"/>
      <c r="X954" s="64"/>
      <c r="Y954" s="64"/>
      <c r="Z954" s="64"/>
      <c r="AA954" s="64"/>
      <c r="AB954" s="64"/>
      <c r="AC954" s="64"/>
      <c r="AD954" s="64"/>
      <c r="AE954" s="64"/>
      <c r="AF954" s="64"/>
      <c r="AG954" s="64"/>
    </row>
    <row r="955">
      <c r="A955" s="64"/>
      <c r="B955" s="64"/>
      <c r="C955" s="64"/>
      <c r="D955" s="64"/>
      <c r="E955" s="65"/>
      <c r="F955" s="64"/>
      <c r="G955" s="67"/>
      <c r="H955" s="64"/>
      <c r="I955" s="64"/>
      <c r="J955" s="64"/>
      <c r="K955" s="64"/>
      <c r="L955" s="65"/>
      <c r="M955" s="64"/>
      <c r="N955" s="64"/>
      <c r="O955" s="64"/>
      <c r="P955" s="64"/>
      <c r="Q955" s="64"/>
      <c r="R955" s="64"/>
      <c r="S955" s="64"/>
      <c r="T955" s="65"/>
      <c r="U955" s="64"/>
      <c r="V955" s="64"/>
      <c r="W955" s="64"/>
      <c r="X955" s="64"/>
      <c r="Y955" s="64"/>
      <c r="Z955" s="64"/>
      <c r="AA955" s="64"/>
      <c r="AB955" s="64"/>
      <c r="AC955" s="64"/>
      <c r="AD955" s="64"/>
      <c r="AE955" s="64"/>
      <c r="AF955" s="64"/>
      <c r="AG955" s="64"/>
    </row>
    <row r="956">
      <c r="A956" s="64"/>
      <c r="B956" s="64"/>
      <c r="C956" s="64"/>
      <c r="D956" s="64"/>
      <c r="E956" s="65"/>
      <c r="F956" s="64"/>
      <c r="G956" s="67"/>
      <c r="H956" s="64"/>
      <c r="I956" s="64"/>
      <c r="J956" s="64"/>
      <c r="K956" s="64"/>
      <c r="L956" s="65"/>
      <c r="M956" s="64"/>
      <c r="N956" s="64"/>
      <c r="O956" s="64"/>
      <c r="P956" s="64"/>
      <c r="Q956" s="64"/>
      <c r="R956" s="64"/>
      <c r="S956" s="64"/>
      <c r="T956" s="65"/>
      <c r="U956" s="64"/>
      <c r="V956" s="64"/>
      <c r="W956" s="64"/>
      <c r="X956" s="64"/>
      <c r="Y956" s="64"/>
      <c r="Z956" s="64"/>
      <c r="AA956" s="64"/>
      <c r="AB956" s="64"/>
      <c r="AC956" s="64"/>
      <c r="AD956" s="64"/>
      <c r="AE956" s="64"/>
      <c r="AF956" s="64"/>
      <c r="AG956" s="64"/>
    </row>
    <row r="957">
      <c r="A957" s="64"/>
      <c r="B957" s="64"/>
      <c r="C957" s="64"/>
      <c r="D957" s="64"/>
      <c r="E957" s="65"/>
      <c r="F957" s="64"/>
      <c r="G957" s="67"/>
      <c r="H957" s="64"/>
      <c r="I957" s="64"/>
      <c r="J957" s="64"/>
      <c r="K957" s="64"/>
      <c r="L957" s="65"/>
      <c r="M957" s="64"/>
      <c r="N957" s="64"/>
      <c r="O957" s="64"/>
      <c r="P957" s="64"/>
      <c r="Q957" s="64"/>
      <c r="R957" s="64"/>
      <c r="S957" s="64"/>
      <c r="T957" s="65"/>
      <c r="U957" s="64"/>
      <c r="V957" s="64"/>
      <c r="W957" s="64"/>
      <c r="X957" s="64"/>
      <c r="Y957" s="64"/>
      <c r="Z957" s="64"/>
      <c r="AA957" s="64"/>
      <c r="AB957" s="64"/>
      <c r="AC957" s="64"/>
      <c r="AD957" s="64"/>
      <c r="AE957" s="64"/>
      <c r="AF957" s="64"/>
      <c r="AG957" s="64"/>
    </row>
    <row r="958">
      <c r="A958" s="64"/>
      <c r="B958" s="64"/>
      <c r="C958" s="64"/>
      <c r="D958" s="64"/>
      <c r="E958" s="65"/>
      <c r="F958" s="64"/>
      <c r="G958" s="67"/>
      <c r="H958" s="64"/>
      <c r="I958" s="64"/>
      <c r="J958" s="64"/>
      <c r="K958" s="64"/>
      <c r="L958" s="65"/>
      <c r="M958" s="64"/>
      <c r="N958" s="64"/>
      <c r="O958" s="64"/>
      <c r="P958" s="64"/>
      <c r="Q958" s="64"/>
      <c r="R958" s="64"/>
      <c r="S958" s="64"/>
      <c r="T958" s="65"/>
      <c r="U958" s="64"/>
      <c r="V958" s="64"/>
      <c r="W958" s="64"/>
      <c r="X958" s="64"/>
      <c r="Y958" s="64"/>
      <c r="Z958" s="64"/>
      <c r="AA958" s="64"/>
      <c r="AB958" s="64"/>
      <c r="AC958" s="64"/>
      <c r="AD958" s="64"/>
      <c r="AE958" s="64"/>
      <c r="AF958" s="64"/>
      <c r="AG958" s="64"/>
    </row>
    <row r="959">
      <c r="A959" s="64"/>
      <c r="B959" s="64"/>
      <c r="C959" s="64"/>
      <c r="D959" s="64"/>
      <c r="E959" s="65"/>
      <c r="F959" s="64"/>
      <c r="G959" s="67"/>
      <c r="H959" s="64"/>
      <c r="I959" s="64"/>
      <c r="J959" s="64"/>
      <c r="K959" s="64"/>
      <c r="L959" s="65"/>
      <c r="M959" s="64"/>
      <c r="N959" s="64"/>
      <c r="O959" s="64"/>
      <c r="P959" s="64"/>
      <c r="Q959" s="64"/>
      <c r="R959" s="64"/>
      <c r="S959" s="64"/>
      <c r="T959" s="65"/>
      <c r="U959" s="64"/>
      <c r="V959" s="64"/>
      <c r="W959" s="64"/>
      <c r="X959" s="64"/>
      <c r="Y959" s="64"/>
      <c r="Z959" s="64"/>
      <c r="AA959" s="64"/>
      <c r="AB959" s="64"/>
      <c r="AC959" s="64"/>
      <c r="AD959" s="64"/>
      <c r="AE959" s="64"/>
      <c r="AF959" s="64"/>
      <c r="AG959" s="64"/>
    </row>
    <row r="960">
      <c r="A960" s="64"/>
      <c r="B960" s="64"/>
      <c r="C960" s="64"/>
      <c r="D960" s="64"/>
      <c r="E960" s="65"/>
      <c r="F960" s="64"/>
      <c r="G960" s="67"/>
      <c r="H960" s="64"/>
      <c r="I960" s="64"/>
      <c r="J960" s="64"/>
      <c r="K960" s="64"/>
      <c r="L960" s="65"/>
      <c r="M960" s="64"/>
      <c r="N960" s="64"/>
      <c r="O960" s="64"/>
      <c r="P960" s="64"/>
      <c r="Q960" s="64"/>
      <c r="R960" s="64"/>
      <c r="S960" s="64"/>
      <c r="T960" s="65"/>
      <c r="U960" s="64"/>
      <c r="V960" s="64"/>
      <c r="W960" s="64"/>
      <c r="X960" s="64"/>
      <c r="Y960" s="64"/>
      <c r="Z960" s="64"/>
      <c r="AA960" s="64"/>
      <c r="AB960" s="64"/>
      <c r="AC960" s="64"/>
      <c r="AD960" s="64"/>
      <c r="AE960" s="64"/>
      <c r="AF960" s="64"/>
      <c r="AG960" s="64"/>
    </row>
    <row r="961">
      <c r="A961" s="64"/>
      <c r="B961" s="64"/>
      <c r="C961" s="64"/>
      <c r="D961" s="64"/>
      <c r="E961" s="65"/>
      <c r="F961" s="64"/>
      <c r="G961" s="67"/>
      <c r="H961" s="64"/>
      <c r="I961" s="64"/>
      <c r="J961" s="64"/>
      <c r="K961" s="64"/>
      <c r="L961" s="65"/>
      <c r="M961" s="64"/>
      <c r="N961" s="64"/>
      <c r="O961" s="64"/>
      <c r="P961" s="64"/>
      <c r="Q961" s="64"/>
      <c r="R961" s="64"/>
      <c r="S961" s="64"/>
      <c r="T961" s="65"/>
      <c r="U961" s="64"/>
      <c r="V961" s="64"/>
      <c r="W961" s="64"/>
      <c r="X961" s="64"/>
      <c r="Y961" s="64"/>
      <c r="Z961" s="64"/>
      <c r="AA961" s="64"/>
      <c r="AB961" s="64"/>
      <c r="AC961" s="64"/>
      <c r="AD961" s="64"/>
      <c r="AE961" s="64"/>
      <c r="AF961" s="64"/>
      <c r="AG961" s="64"/>
    </row>
    <row r="962">
      <c r="A962" s="64"/>
      <c r="B962" s="64"/>
      <c r="C962" s="64"/>
      <c r="D962" s="64"/>
      <c r="E962" s="65"/>
      <c r="F962" s="64"/>
      <c r="G962" s="67"/>
      <c r="H962" s="64"/>
      <c r="I962" s="64"/>
      <c r="J962" s="64"/>
      <c r="K962" s="64"/>
      <c r="L962" s="65"/>
      <c r="M962" s="64"/>
      <c r="N962" s="64"/>
      <c r="O962" s="64"/>
      <c r="P962" s="64"/>
      <c r="Q962" s="64"/>
      <c r="R962" s="64"/>
      <c r="S962" s="64"/>
      <c r="T962" s="65"/>
      <c r="U962" s="64"/>
      <c r="V962" s="64"/>
      <c r="W962" s="64"/>
      <c r="X962" s="64"/>
      <c r="Y962" s="64"/>
      <c r="Z962" s="64"/>
      <c r="AA962" s="64"/>
      <c r="AB962" s="64"/>
      <c r="AC962" s="64"/>
      <c r="AD962" s="64"/>
      <c r="AE962" s="64"/>
      <c r="AF962" s="64"/>
      <c r="AG962" s="64"/>
    </row>
    <row r="963">
      <c r="A963" s="64"/>
      <c r="B963" s="64"/>
      <c r="C963" s="64"/>
      <c r="D963" s="64"/>
      <c r="E963" s="65"/>
      <c r="F963" s="64"/>
      <c r="G963" s="67"/>
      <c r="H963" s="64"/>
      <c r="I963" s="64"/>
      <c r="J963" s="64"/>
      <c r="K963" s="64"/>
      <c r="L963" s="65"/>
      <c r="M963" s="64"/>
      <c r="N963" s="64"/>
      <c r="O963" s="64"/>
      <c r="P963" s="64"/>
      <c r="Q963" s="64"/>
      <c r="R963" s="64"/>
      <c r="S963" s="64"/>
      <c r="T963" s="65"/>
      <c r="U963" s="64"/>
      <c r="V963" s="64"/>
      <c r="W963" s="64"/>
      <c r="X963" s="64"/>
      <c r="Y963" s="64"/>
      <c r="Z963" s="64"/>
      <c r="AA963" s="64"/>
      <c r="AB963" s="64"/>
      <c r="AC963" s="64"/>
      <c r="AD963" s="64"/>
      <c r="AE963" s="64"/>
      <c r="AF963" s="64"/>
      <c r="AG963" s="64"/>
    </row>
    <row r="964">
      <c r="A964" s="64"/>
      <c r="B964" s="64"/>
      <c r="C964" s="64"/>
      <c r="D964" s="64"/>
      <c r="E964" s="65"/>
      <c r="F964" s="64"/>
      <c r="G964" s="67"/>
      <c r="H964" s="64"/>
      <c r="I964" s="64"/>
      <c r="J964" s="64"/>
      <c r="K964" s="64"/>
      <c r="L964" s="65"/>
      <c r="M964" s="64"/>
      <c r="N964" s="64"/>
      <c r="O964" s="64"/>
      <c r="P964" s="64"/>
      <c r="Q964" s="64"/>
      <c r="R964" s="64"/>
      <c r="S964" s="64"/>
      <c r="T964" s="65"/>
      <c r="U964" s="64"/>
      <c r="V964" s="64"/>
      <c r="W964" s="64"/>
      <c r="X964" s="64"/>
      <c r="Y964" s="64"/>
      <c r="Z964" s="64"/>
      <c r="AA964" s="64"/>
      <c r="AB964" s="64"/>
      <c r="AC964" s="64"/>
      <c r="AD964" s="64"/>
      <c r="AE964" s="64"/>
      <c r="AF964" s="64"/>
      <c r="AG964" s="64"/>
    </row>
    <row r="965">
      <c r="A965" s="64"/>
      <c r="B965" s="64"/>
      <c r="C965" s="64"/>
      <c r="D965" s="64"/>
      <c r="E965" s="65"/>
      <c r="F965" s="64"/>
      <c r="G965" s="67"/>
      <c r="H965" s="64"/>
      <c r="I965" s="64"/>
      <c r="J965" s="64"/>
      <c r="K965" s="64"/>
      <c r="L965" s="65"/>
      <c r="M965" s="64"/>
      <c r="N965" s="64"/>
      <c r="O965" s="64"/>
      <c r="P965" s="64"/>
      <c r="Q965" s="64"/>
      <c r="R965" s="64"/>
      <c r="S965" s="64"/>
      <c r="T965" s="65"/>
      <c r="U965" s="64"/>
      <c r="V965" s="64"/>
      <c r="W965" s="64"/>
      <c r="X965" s="64"/>
      <c r="Y965" s="64"/>
      <c r="Z965" s="64"/>
      <c r="AA965" s="64"/>
      <c r="AB965" s="64"/>
      <c r="AC965" s="64"/>
      <c r="AD965" s="64"/>
      <c r="AE965" s="64"/>
      <c r="AF965" s="64"/>
      <c r="AG965" s="64"/>
    </row>
    <row r="966">
      <c r="A966" s="64"/>
      <c r="B966" s="64"/>
      <c r="C966" s="64"/>
      <c r="D966" s="64"/>
      <c r="E966" s="65"/>
      <c r="F966" s="64"/>
      <c r="G966" s="67"/>
      <c r="H966" s="64"/>
      <c r="I966" s="64"/>
      <c r="J966" s="64"/>
      <c r="K966" s="64"/>
      <c r="L966" s="65"/>
      <c r="M966" s="64"/>
      <c r="N966" s="64"/>
      <c r="O966" s="64"/>
      <c r="P966" s="64"/>
      <c r="Q966" s="64"/>
      <c r="R966" s="64"/>
      <c r="S966" s="64"/>
      <c r="T966" s="65"/>
      <c r="U966" s="64"/>
      <c r="V966" s="64"/>
      <c r="W966" s="64"/>
      <c r="X966" s="64"/>
      <c r="Y966" s="64"/>
      <c r="Z966" s="64"/>
      <c r="AA966" s="64"/>
      <c r="AB966" s="64"/>
      <c r="AC966" s="64"/>
      <c r="AD966" s="64"/>
      <c r="AE966" s="64"/>
      <c r="AF966" s="64"/>
      <c r="AG966" s="64"/>
    </row>
    <row r="967">
      <c r="A967" s="64"/>
      <c r="B967" s="64"/>
      <c r="C967" s="64"/>
      <c r="D967" s="64"/>
      <c r="E967" s="65"/>
      <c r="F967" s="64"/>
      <c r="G967" s="67"/>
      <c r="H967" s="64"/>
      <c r="I967" s="64"/>
      <c r="J967" s="64"/>
      <c r="K967" s="64"/>
      <c r="L967" s="65"/>
      <c r="M967" s="64"/>
      <c r="N967" s="64"/>
      <c r="O967" s="64"/>
      <c r="P967" s="64"/>
      <c r="Q967" s="64"/>
      <c r="R967" s="64"/>
      <c r="S967" s="64"/>
      <c r="T967" s="65"/>
      <c r="U967" s="64"/>
      <c r="V967" s="64"/>
      <c r="W967" s="64"/>
      <c r="X967" s="64"/>
      <c r="Y967" s="64"/>
      <c r="Z967" s="64"/>
      <c r="AA967" s="64"/>
      <c r="AB967" s="64"/>
      <c r="AC967" s="64"/>
      <c r="AD967" s="64"/>
      <c r="AE967" s="64"/>
      <c r="AF967" s="64"/>
      <c r="AG967" s="64"/>
    </row>
    <row r="968">
      <c r="A968" s="64"/>
      <c r="B968" s="64"/>
      <c r="C968" s="64"/>
      <c r="D968" s="64"/>
      <c r="E968" s="65"/>
      <c r="F968" s="64"/>
      <c r="G968" s="67"/>
      <c r="H968" s="64"/>
      <c r="I968" s="64"/>
      <c r="J968" s="64"/>
      <c r="K968" s="64"/>
      <c r="L968" s="65"/>
      <c r="M968" s="64"/>
      <c r="N968" s="64"/>
      <c r="O968" s="64"/>
      <c r="P968" s="64"/>
      <c r="Q968" s="64"/>
      <c r="R968" s="64"/>
      <c r="S968" s="64"/>
      <c r="T968" s="65"/>
      <c r="U968" s="64"/>
      <c r="V968" s="64"/>
      <c r="W968" s="64"/>
      <c r="X968" s="64"/>
      <c r="Y968" s="64"/>
      <c r="Z968" s="64"/>
      <c r="AA968" s="64"/>
      <c r="AB968" s="64"/>
      <c r="AC968" s="64"/>
      <c r="AD968" s="64"/>
      <c r="AE968" s="64"/>
      <c r="AF968" s="64"/>
      <c r="AG968" s="64"/>
    </row>
    <row r="969">
      <c r="A969" s="64"/>
      <c r="B969" s="64"/>
      <c r="C969" s="64"/>
      <c r="D969" s="64"/>
      <c r="E969" s="65"/>
      <c r="F969" s="64"/>
      <c r="G969" s="67"/>
      <c r="H969" s="64"/>
      <c r="I969" s="64"/>
      <c r="J969" s="64"/>
      <c r="K969" s="64"/>
      <c r="L969" s="65"/>
      <c r="M969" s="64"/>
      <c r="N969" s="64"/>
      <c r="O969" s="64"/>
      <c r="P969" s="64"/>
      <c r="Q969" s="64"/>
      <c r="R969" s="64"/>
      <c r="S969" s="64"/>
      <c r="T969" s="65"/>
      <c r="U969" s="64"/>
      <c r="V969" s="64"/>
      <c r="W969" s="64"/>
      <c r="X969" s="64"/>
      <c r="Y969" s="64"/>
      <c r="Z969" s="64"/>
      <c r="AA969" s="64"/>
      <c r="AB969" s="64"/>
      <c r="AC969" s="64"/>
      <c r="AD969" s="64"/>
      <c r="AE969" s="64"/>
      <c r="AF969" s="64"/>
      <c r="AG969" s="64"/>
    </row>
    <row r="970">
      <c r="A970" s="64"/>
      <c r="B970" s="64"/>
      <c r="C970" s="64"/>
      <c r="D970" s="64"/>
      <c r="E970" s="65"/>
      <c r="F970" s="64"/>
      <c r="G970" s="67"/>
      <c r="H970" s="64"/>
      <c r="I970" s="64"/>
      <c r="J970" s="64"/>
      <c r="K970" s="64"/>
      <c r="L970" s="65"/>
      <c r="M970" s="64"/>
      <c r="N970" s="64"/>
      <c r="O970" s="64"/>
      <c r="P970" s="64"/>
      <c r="Q970" s="64"/>
      <c r="R970" s="64"/>
      <c r="S970" s="64"/>
      <c r="T970" s="65"/>
      <c r="U970" s="64"/>
      <c r="V970" s="64"/>
      <c r="W970" s="64"/>
      <c r="X970" s="64"/>
      <c r="Y970" s="64"/>
      <c r="Z970" s="64"/>
      <c r="AA970" s="64"/>
      <c r="AB970" s="64"/>
      <c r="AC970" s="64"/>
      <c r="AD970" s="64"/>
      <c r="AE970" s="64"/>
      <c r="AF970" s="64"/>
      <c r="AG970" s="64"/>
    </row>
    <row r="971">
      <c r="A971" s="64"/>
      <c r="B971" s="64"/>
      <c r="C971" s="64"/>
      <c r="D971" s="64"/>
      <c r="E971" s="65"/>
      <c r="F971" s="64"/>
      <c r="G971" s="67"/>
      <c r="H971" s="64"/>
      <c r="I971" s="64"/>
      <c r="J971" s="64"/>
      <c r="K971" s="64"/>
      <c r="L971" s="65"/>
      <c r="M971" s="64"/>
      <c r="N971" s="64"/>
      <c r="O971" s="64"/>
      <c r="P971" s="64"/>
      <c r="Q971" s="64"/>
      <c r="R971" s="64"/>
      <c r="S971" s="64"/>
      <c r="T971" s="65"/>
      <c r="U971" s="64"/>
      <c r="V971" s="64"/>
      <c r="W971" s="64"/>
      <c r="X971" s="64"/>
      <c r="Y971" s="64"/>
      <c r="Z971" s="64"/>
      <c r="AA971" s="64"/>
      <c r="AB971" s="64"/>
      <c r="AC971" s="64"/>
      <c r="AD971" s="64"/>
      <c r="AE971" s="64"/>
      <c r="AF971" s="64"/>
      <c r="AG971" s="64"/>
    </row>
    <row r="972">
      <c r="A972" s="64"/>
      <c r="B972" s="64"/>
      <c r="C972" s="64"/>
      <c r="D972" s="64"/>
      <c r="E972" s="65"/>
      <c r="F972" s="64"/>
      <c r="G972" s="67"/>
      <c r="H972" s="64"/>
      <c r="I972" s="64"/>
      <c r="J972" s="64"/>
      <c r="K972" s="64"/>
      <c r="L972" s="65"/>
      <c r="M972" s="64"/>
      <c r="N972" s="64"/>
      <c r="O972" s="64"/>
      <c r="P972" s="64"/>
      <c r="Q972" s="64"/>
      <c r="R972" s="64"/>
      <c r="S972" s="64"/>
      <c r="T972" s="65"/>
      <c r="U972" s="64"/>
      <c r="V972" s="64"/>
      <c r="W972" s="64"/>
      <c r="X972" s="64"/>
      <c r="Y972" s="64"/>
      <c r="Z972" s="64"/>
      <c r="AA972" s="64"/>
      <c r="AB972" s="64"/>
      <c r="AC972" s="64"/>
      <c r="AD972" s="64"/>
      <c r="AE972" s="64"/>
      <c r="AF972" s="64"/>
      <c r="AG972" s="64"/>
    </row>
    <row r="973">
      <c r="A973" s="64"/>
      <c r="B973" s="64"/>
      <c r="C973" s="64"/>
      <c r="D973" s="64"/>
      <c r="E973" s="65"/>
      <c r="F973" s="64"/>
      <c r="G973" s="67"/>
      <c r="H973" s="64"/>
      <c r="I973" s="64"/>
      <c r="J973" s="64"/>
      <c r="K973" s="64"/>
      <c r="L973" s="65"/>
      <c r="M973" s="64"/>
      <c r="N973" s="64"/>
      <c r="O973" s="64"/>
      <c r="P973" s="64"/>
      <c r="Q973" s="64"/>
      <c r="R973" s="64"/>
      <c r="S973" s="64"/>
      <c r="T973" s="65"/>
      <c r="U973" s="64"/>
      <c r="V973" s="64"/>
      <c r="W973" s="64"/>
      <c r="X973" s="64"/>
      <c r="Y973" s="64"/>
      <c r="Z973" s="64"/>
      <c r="AA973" s="64"/>
      <c r="AB973" s="64"/>
      <c r="AC973" s="64"/>
      <c r="AD973" s="64"/>
      <c r="AE973" s="64"/>
      <c r="AF973" s="64"/>
      <c r="AG973" s="64"/>
    </row>
    <row r="974">
      <c r="A974" s="64"/>
      <c r="B974" s="64"/>
      <c r="C974" s="64"/>
      <c r="D974" s="64"/>
      <c r="E974" s="65"/>
      <c r="F974" s="64"/>
      <c r="G974" s="67"/>
      <c r="H974" s="64"/>
      <c r="I974" s="64"/>
      <c r="J974" s="64"/>
      <c r="K974" s="64"/>
      <c r="L974" s="65"/>
      <c r="M974" s="64"/>
      <c r="N974" s="64"/>
      <c r="O974" s="64"/>
      <c r="P974" s="64"/>
      <c r="Q974" s="64"/>
      <c r="R974" s="64"/>
      <c r="S974" s="64"/>
      <c r="T974" s="65"/>
      <c r="U974" s="64"/>
      <c r="V974" s="64"/>
      <c r="W974" s="64"/>
      <c r="X974" s="64"/>
      <c r="Y974" s="64"/>
      <c r="Z974" s="64"/>
      <c r="AA974" s="64"/>
      <c r="AB974" s="64"/>
      <c r="AC974" s="64"/>
      <c r="AD974" s="64"/>
      <c r="AE974" s="64"/>
      <c r="AF974" s="64"/>
      <c r="AG974" s="64"/>
    </row>
    <row r="975">
      <c r="A975" s="64"/>
      <c r="B975" s="64"/>
      <c r="C975" s="64"/>
      <c r="D975" s="64"/>
      <c r="E975" s="65"/>
      <c r="F975" s="64"/>
      <c r="G975" s="67"/>
      <c r="H975" s="64"/>
      <c r="I975" s="64"/>
      <c r="J975" s="64"/>
      <c r="K975" s="64"/>
      <c r="L975" s="65"/>
      <c r="M975" s="64"/>
      <c r="N975" s="64"/>
      <c r="O975" s="64"/>
      <c r="P975" s="64"/>
      <c r="Q975" s="64"/>
      <c r="R975" s="64"/>
      <c r="S975" s="64"/>
      <c r="T975" s="65"/>
      <c r="U975" s="64"/>
      <c r="V975" s="64"/>
      <c r="W975" s="64"/>
      <c r="X975" s="64"/>
      <c r="Y975" s="64"/>
      <c r="Z975" s="64"/>
      <c r="AA975" s="64"/>
      <c r="AB975" s="64"/>
      <c r="AC975" s="64"/>
      <c r="AD975" s="64"/>
      <c r="AE975" s="64"/>
      <c r="AF975" s="64"/>
      <c r="AG975" s="64"/>
    </row>
    <row r="976">
      <c r="A976" s="64"/>
      <c r="B976" s="64"/>
      <c r="C976" s="64"/>
      <c r="D976" s="64"/>
      <c r="E976" s="65"/>
      <c r="F976" s="64"/>
      <c r="G976" s="67"/>
      <c r="H976" s="64"/>
      <c r="I976" s="64"/>
      <c r="J976" s="64"/>
      <c r="K976" s="64"/>
      <c r="L976" s="65"/>
      <c r="M976" s="64"/>
      <c r="N976" s="64"/>
      <c r="O976" s="64"/>
      <c r="P976" s="64"/>
      <c r="Q976" s="64"/>
      <c r="R976" s="64"/>
      <c r="S976" s="64"/>
      <c r="T976" s="65"/>
      <c r="U976" s="64"/>
      <c r="V976" s="64"/>
      <c r="W976" s="64"/>
      <c r="X976" s="64"/>
      <c r="Y976" s="64"/>
      <c r="Z976" s="64"/>
      <c r="AA976" s="64"/>
      <c r="AB976" s="64"/>
      <c r="AC976" s="64"/>
      <c r="AD976" s="64"/>
      <c r="AE976" s="64"/>
      <c r="AF976" s="64"/>
      <c r="AG976" s="64"/>
    </row>
    <row r="977">
      <c r="A977" s="64"/>
      <c r="B977" s="64"/>
      <c r="C977" s="64"/>
      <c r="D977" s="64"/>
      <c r="E977" s="65"/>
      <c r="F977" s="64"/>
      <c r="G977" s="67"/>
      <c r="H977" s="64"/>
      <c r="I977" s="64"/>
      <c r="J977" s="64"/>
      <c r="K977" s="64"/>
      <c r="L977" s="65"/>
      <c r="M977" s="64"/>
      <c r="N977" s="64"/>
      <c r="O977" s="64"/>
      <c r="P977" s="64"/>
      <c r="Q977" s="64"/>
      <c r="R977" s="64"/>
      <c r="S977" s="64"/>
      <c r="T977" s="65"/>
      <c r="U977" s="64"/>
      <c r="V977" s="64"/>
      <c r="W977" s="64"/>
      <c r="X977" s="64"/>
      <c r="Y977" s="64"/>
      <c r="Z977" s="64"/>
      <c r="AA977" s="64"/>
      <c r="AB977" s="64"/>
      <c r="AC977" s="64"/>
      <c r="AD977" s="64"/>
      <c r="AE977" s="64"/>
      <c r="AF977" s="64"/>
      <c r="AG977" s="64"/>
    </row>
    <row r="978">
      <c r="A978" s="64"/>
      <c r="B978" s="64"/>
      <c r="C978" s="64"/>
      <c r="D978" s="64"/>
      <c r="E978" s="65"/>
      <c r="F978" s="64"/>
      <c r="G978" s="67"/>
      <c r="H978" s="64"/>
      <c r="I978" s="64"/>
      <c r="J978" s="64"/>
      <c r="K978" s="64"/>
      <c r="L978" s="65"/>
      <c r="M978" s="64"/>
      <c r="N978" s="64"/>
      <c r="O978" s="64"/>
      <c r="P978" s="64"/>
      <c r="Q978" s="64"/>
      <c r="R978" s="64"/>
      <c r="S978" s="64"/>
      <c r="T978" s="65"/>
      <c r="U978" s="64"/>
      <c r="V978" s="64"/>
      <c r="W978" s="64"/>
      <c r="X978" s="64"/>
      <c r="Y978" s="64"/>
      <c r="Z978" s="64"/>
      <c r="AA978" s="64"/>
      <c r="AB978" s="64"/>
      <c r="AC978" s="64"/>
      <c r="AD978" s="64"/>
      <c r="AE978" s="64"/>
      <c r="AF978" s="64"/>
      <c r="AG978" s="64"/>
    </row>
    <row r="979">
      <c r="A979" s="64"/>
      <c r="B979" s="64"/>
      <c r="C979" s="64"/>
      <c r="D979" s="64"/>
      <c r="E979" s="65"/>
      <c r="F979" s="64"/>
      <c r="G979" s="67"/>
      <c r="H979" s="64"/>
      <c r="I979" s="64"/>
      <c r="J979" s="64"/>
      <c r="K979" s="64"/>
      <c r="L979" s="65"/>
      <c r="M979" s="64"/>
      <c r="N979" s="64"/>
      <c r="O979" s="64"/>
      <c r="P979" s="64"/>
      <c r="Q979" s="64"/>
      <c r="R979" s="64"/>
      <c r="S979" s="64"/>
      <c r="T979" s="65"/>
      <c r="U979" s="64"/>
      <c r="V979" s="64"/>
      <c r="W979" s="64"/>
      <c r="X979" s="64"/>
      <c r="Y979" s="64"/>
      <c r="Z979" s="64"/>
      <c r="AA979" s="64"/>
      <c r="AB979" s="64"/>
      <c r="AC979" s="64"/>
      <c r="AD979" s="64"/>
      <c r="AE979" s="64"/>
      <c r="AF979" s="64"/>
      <c r="AG979" s="64"/>
    </row>
    <row r="980">
      <c r="A980" s="64"/>
      <c r="B980" s="64"/>
      <c r="C980" s="64"/>
      <c r="D980" s="64"/>
      <c r="E980" s="65"/>
      <c r="F980" s="64"/>
      <c r="G980" s="67"/>
      <c r="H980" s="64"/>
      <c r="I980" s="64"/>
      <c r="J980" s="64"/>
      <c r="K980" s="64"/>
      <c r="L980" s="65"/>
      <c r="M980" s="64"/>
      <c r="N980" s="64"/>
      <c r="O980" s="64"/>
      <c r="P980" s="64"/>
      <c r="Q980" s="64"/>
      <c r="R980" s="64"/>
      <c r="S980" s="64"/>
      <c r="T980" s="65"/>
      <c r="U980" s="64"/>
      <c r="V980" s="64"/>
      <c r="W980" s="64"/>
      <c r="X980" s="64"/>
      <c r="Y980" s="64"/>
      <c r="Z980" s="64"/>
      <c r="AA980" s="64"/>
      <c r="AB980" s="64"/>
      <c r="AC980" s="64"/>
      <c r="AD980" s="64"/>
      <c r="AE980" s="64"/>
      <c r="AF980" s="64"/>
      <c r="AG980" s="64"/>
    </row>
    <row r="981">
      <c r="A981" s="64"/>
      <c r="B981" s="64"/>
      <c r="C981" s="64"/>
      <c r="D981" s="64"/>
      <c r="E981" s="65"/>
      <c r="F981" s="64"/>
      <c r="G981" s="67"/>
      <c r="H981" s="64"/>
      <c r="I981" s="64"/>
      <c r="J981" s="64"/>
      <c r="K981" s="64"/>
      <c r="L981" s="65"/>
      <c r="M981" s="64"/>
      <c r="N981" s="64"/>
      <c r="O981" s="64"/>
      <c r="P981" s="64"/>
      <c r="Q981" s="64"/>
      <c r="R981" s="64"/>
      <c r="S981" s="64"/>
      <c r="T981" s="65"/>
      <c r="U981" s="64"/>
      <c r="V981" s="64"/>
      <c r="W981" s="64"/>
      <c r="X981" s="64"/>
      <c r="Y981" s="64"/>
      <c r="Z981" s="64"/>
      <c r="AA981" s="64"/>
      <c r="AB981" s="64"/>
      <c r="AC981" s="64"/>
      <c r="AD981" s="64"/>
      <c r="AE981" s="64"/>
      <c r="AF981" s="64"/>
      <c r="AG981" s="64"/>
    </row>
    <row r="982">
      <c r="A982" s="64"/>
      <c r="B982" s="64"/>
      <c r="C982" s="64"/>
      <c r="D982" s="64"/>
      <c r="E982" s="65"/>
      <c r="F982" s="64"/>
      <c r="G982" s="67"/>
      <c r="H982" s="64"/>
      <c r="I982" s="64"/>
      <c r="J982" s="64"/>
      <c r="K982" s="64"/>
      <c r="L982" s="65"/>
      <c r="M982" s="64"/>
      <c r="N982" s="64"/>
      <c r="O982" s="64"/>
      <c r="P982" s="64"/>
      <c r="Q982" s="64"/>
      <c r="R982" s="64"/>
      <c r="S982" s="64"/>
      <c r="T982" s="65"/>
      <c r="U982" s="64"/>
      <c r="V982" s="64"/>
      <c r="W982" s="64"/>
      <c r="X982" s="64"/>
      <c r="Y982" s="64"/>
      <c r="Z982" s="64"/>
      <c r="AA982" s="64"/>
      <c r="AB982" s="64"/>
      <c r="AC982" s="64"/>
      <c r="AD982" s="64"/>
      <c r="AE982" s="64"/>
      <c r="AF982" s="64"/>
      <c r="AG982" s="64"/>
    </row>
    <row r="983">
      <c r="A983" s="64"/>
      <c r="B983" s="64"/>
      <c r="C983" s="64"/>
      <c r="D983" s="64"/>
      <c r="E983" s="65"/>
      <c r="F983" s="64"/>
      <c r="G983" s="67"/>
      <c r="H983" s="64"/>
      <c r="I983" s="64"/>
      <c r="J983" s="64"/>
      <c r="K983" s="64"/>
      <c r="L983" s="65"/>
      <c r="M983" s="64"/>
      <c r="N983" s="64"/>
      <c r="O983" s="64"/>
      <c r="P983" s="64"/>
      <c r="Q983" s="64"/>
      <c r="R983" s="64"/>
      <c r="S983" s="64"/>
      <c r="T983" s="65"/>
      <c r="U983" s="64"/>
      <c r="V983" s="64"/>
      <c r="W983" s="64"/>
      <c r="X983" s="64"/>
      <c r="Y983" s="64"/>
      <c r="Z983" s="64"/>
      <c r="AA983" s="64"/>
      <c r="AB983" s="64"/>
      <c r="AC983" s="64"/>
      <c r="AD983" s="64"/>
      <c r="AE983" s="64"/>
      <c r="AF983" s="64"/>
      <c r="AG983" s="64"/>
    </row>
    <row r="984">
      <c r="A984" s="64"/>
      <c r="B984" s="64"/>
      <c r="C984" s="64"/>
      <c r="D984" s="64"/>
      <c r="E984" s="65"/>
      <c r="F984" s="64"/>
      <c r="G984" s="67"/>
      <c r="H984" s="64"/>
      <c r="I984" s="64"/>
      <c r="J984" s="64"/>
      <c r="K984" s="64"/>
      <c r="L984" s="65"/>
      <c r="M984" s="64"/>
      <c r="N984" s="64"/>
      <c r="O984" s="64"/>
      <c r="P984" s="64"/>
      <c r="Q984" s="64"/>
      <c r="R984" s="64"/>
      <c r="S984" s="64"/>
      <c r="T984" s="65"/>
      <c r="U984" s="64"/>
      <c r="V984" s="64"/>
      <c r="W984" s="64"/>
      <c r="X984" s="64"/>
      <c r="Y984" s="64"/>
      <c r="Z984" s="64"/>
      <c r="AA984" s="64"/>
      <c r="AB984" s="64"/>
      <c r="AC984" s="64"/>
      <c r="AD984" s="64"/>
      <c r="AE984" s="64"/>
      <c r="AF984" s="64"/>
      <c r="AG984" s="64"/>
    </row>
    <row r="985">
      <c r="A985" s="64"/>
      <c r="B985" s="64"/>
      <c r="C985" s="64"/>
      <c r="D985" s="64"/>
      <c r="E985" s="65"/>
      <c r="F985" s="64"/>
      <c r="G985" s="67"/>
      <c r="H985" s="64"/>
      <c r="I985" s="64"/>
      <c r="J985" s="64"/>
      <c r="K985" s="64"/>
      <c r="L985" s="65"/>
      <c r="M985" s="64"/>
      <c r="N985" s="64"/>
      <c r="O985" s="64"/>
      <c r="P985" s="64"/>
      <c r="Q985" s="64"/>
      <c r="R985" s="64"/>
      <c r="S985" s="64"/>
      <c r="T985" s="65"/>
      <c r="U985" s="64"/>
      <c r="V985" s="64"/>
      <c r="W985" s="64"/>
      <c r="X985" s="64"/>
      <c r="Y985" s="64"/>
      <c r="Z985" s="64"/>
      <c r="AA985" s="64"/>
      <c r="AB985" s="64"/>
      <c r="AC985" s="64"/>
      <c r="AD985" s="64"/>
      <c r="AE985" s="64"/>
      <c r="AF985" s="64"/>
      <c r="AG985" s="64"/>
    </row>
    <row r="986">
      <c r="A986" s="64"/>
      <c r="B986" s="64"/>
      <c r="C986" s="64"/>
      <c r="D986" s="64"/>
      <c r="E986" s="65"/>
      <c r="F986" s="64"/>
      <c r="G986" s="67"/>
      <c r="H986" s="64"/>
      <c r="I986" s="64"/>
      <c r="J986" s="64"/>
      <c r="K986" s="64"/>
      <c r="L986" s="65"/>
      <c r="M986" s="64"/>
      <c r="N986" s="64"/>
      <c r="O986" s="64"/>
      <c r="P986" s="64"/>
      <c r="Q986" s="64"/>
      <c r="R986" s="64"/>
      <c r="S986" s="64"/>
      <c r="T986" s="65"/>
      <c r="U986" s="64"/>
      <c r="V986" s="64"/>
      <c r="W986" s="64"/>
      <c r="X986" s="64"/>
      <c r="Y986" s="64"/>
      <c r="Z986" s="64"/>
      <c r="AA986" s="64"/>
      <c r="AB986" s="64"/>
      <c r="AC986" s="64"/>
      <c r="AD986" s="64"/>
      <c r="AE986" s="64"/>
      <c r="AF986" s="64"/>
      <c r="AG986" s="64"/>
    </row>
    <row r="987">
      <c r="A987" s="64"/>
      <c r="B987" s="64"/>
      <c r="C987" s="64"/>
      <c r="D987" s="64"/>
      <c r="E987" s="65"/>
      <c r="F987" s="64"/>
      <c r="G987" s="67"/>
      <c r="H987" s="64"/>
      <c r="I987" s="64"/>
      <c r="J987" s="64"/>
      <c r="K987" s="64"/>
      <c r="L987" s="65"/>
      <c r="M987" s="64"/>
      <c r="N987" s="64"/>
      <c r="O987" s="64"/>
      <c r="P987" s="64"/>
      <c r="Q987" s="64"/>
      <c r="R987" s="64"/>
      <c r="S987" s="64"/>
      <c r="T987" s="65"/>
      <c r="U987" s="64"/>
      <c r="V987" s="64"/>
      <c r="W987" s="64"/>
      <c r="X987" s="64"/>
      <c r="Y987" s="64"/>
      <c r="Z987" s="64"/>
      <c r="AA987" s="64"/>
      <c r="AB987" s="64"/>
      <c r="AC987" s="64"/>
      <c r="AD987" s="64"/>
      <c r="AE987" s="64"/>
      <c r="AF987" s="64"/>
      <c r="AG987" s="64"/>
    </row>
    <row r="988">
      <c r="A988" s="64"/>
      <c r="B988" s="64"/>
      <c r="C988" s="64"/>
      <c r="D988" s="64"/>
      <c r="E988" s="65"/>
      <c r="F988" s="64"/>
      <c r="G988" s="67"/>
      <c r="H988" s="64"/>
      <c r="I988" s="64"/>
      <c r="J988" s="64"/>
      <c r="K988" s="64"/>
      <c r="L988" s="65"/>
      <c r="M988" s="64"/>
      <c r="N988" s="64"/>
      <c r="O988" s="64"/>
      <c r="P988" s="64"/>
      <c r="Q988" s="64"/>
      <c r="R988" s="64"/>
      <c r="S988" s="64"/>
      <c r="T988" s="65"/>
      <c r="U988" s="64"/>
      <c r="V988" s="64"/>
      <c r="W988" s="64"/>
      <c r="X988" s="64"/>
      <c r="Y988" s="64"/>
      <c r="Z988" s="64"/>
      <c r="AA988" s="64"/>
      <c r="AB988" s="64"/>
      <c r="AC988" s="64"/>
      <c r="AD988" s="64"/>
      <c r="AE988" s="64"/>
      <c r="AF988" s="64"/>
      <c r="AG988" s="64"/>
    </row>
    <row r="989">
      <c r="A989" s="64"/>
      <c r="B989" s="64"/>
      <c r="C989" s="64"/>
      <c r="D989" s="64"/>
      <c r="E989" s="65"/>
      <c r="F989" s="64"/>
      <c r="G989" s="67"/>
      <c r="H989" s="64"/>
      <c r="I989" s="64"/>
      <c r="J989" s="64"/>
      <c r="K989" s="64"/>
      <c r="L989" s="65"/>
      <c r="M989" s="64"/>
      <c r="N989" s="64"/>
      <c r="O989" s="64"/>
      <c r="P989" s="64"/>
      <c r="Q989" s="64"/>
      <c r="R989" s="64"/>
      <c r="S989" s="64"/>
      <c r="T989" s="65"/>
      <c r="U989" s="64"/>
      <c r="V989" s="64"/>
      <c r="W989" s="64"/>
      <c r="X989" s="64"/>
      <c r="Y989" s="64"/>
      <c r="Z989" s="64"/>
      <c r="AA989" s="64"/>
      <c r="AB989" s="64"/>
      <c r="AC989" s="64"/>
      <c r="AD989" s="64"/>
      <c r="AE989" s="64"/>
      <c r="AF989" s="64"/>
      <c r="AG989" s="64"/>
    </row>
  </sheetData>
  <dataValidations>
    <dataValidation type="list" allowBlank="1" sqref="C10:C25 C27:C58 C60:C61 C65 C68:C69 C71:C73 C78:C84 C86:C92 C94:C98 C100:C107 C109:C118">
      <formula1>"Family Office,Fund of Funds,Multi-family Office,Government,Pension Fund,Insurance,Bank,Charitable Organization,Endowment,Utility Provider,Technology,Religious,Asset Manager,Union,Property Investment,Corporate,Angel,Incubator,HNWI,Other"</formula1>
    </dataValidation>
    <dataValidation type="list" allowBlank="1" sqref="C62">
      <formula1>"Family Office,Fund of Funds,Multi-family Office,Government,Pension Fund,Insurance,Bank,Charitable Organization,Endowment,Utility Provider,Technology,Religious,Asset Manager,Union,Property Investment,Corporate,Angel,Incubator,HNWI,Other,Investment Firm"</formula1>
    </dataValidation>
    <dataValidation type="list" allowBlank="1" showErrorMessage="1" sqref="F10:F58 F60:F61 F65 F68:F69 F71:F73 F78:F92 F94:F98 F100:F118">
      <formula1>"Website,Private data provider,Public data provider,Internal data,LinkedIn,News article,Portfolio,Data manager judgement"</formula1>
    </dataValidation>
    <dataValidation type="list" allowBlank="1" showErrorMessage="1" sqref="C7">
      <formula1>"Green,Yellow,Red"</formula1>
    </dataValidation>
    <dataValidation type="list" allowBlank="1" showErrorMessage="1" sqref="U10:U39 U41:U59 X77:X85 X88:X93 H10:H118 U61:U118">
      <formula1>"Under review,Validated,Declined"</formula1>
    </dataValidation>
    <dataValidation type="list" allowBlank="1" showErrorMessage="1" sqref="I10:I118">
      <formula1>"Approved - Campaign,Approved - Don't campaign,Rejected - Seems to conflict with what I outlined in the IIP,Rejected - Blacklist"</formula1>
    </dataValidation>
    <dataValidation type="list" allowBlank="1" showErrorMessage="1" sqref="V10:V118">
      <formula1>"No response,Response - positive,Response - meeting scheduled,Response - not interested"</formula1>
    </dataValidation>
    <dataValidation type="list" allowBlank="1" showErrorMessage="1" sqref="U40 U60">
      <formula1>"Valid,Catch-all,Invalid"</formula1>
    </dataValidation>
    <dataValidation type="list" allowBlank="1" showErrorMessage="1" sqref="F59 F62:F64 F66:F67 F70 F74:F77 F93 F99">
      <formula1>"Website,Private data provider,Public data provider,Internal data,News article,Portfolio,Data manager judgement,LinkedIn"</formula1>
    </dataValidation>
    <dataValidation type="list" allowBlank="1" sqref="C63 C108">
      <formula1>"Family Office,Fund of Funds,Multi-family Office,Government,Pension Fund,Insurance,Bank,Charitable Organization,Endowment,Utility Provider,Technology,Religious,Asset Manager,Union,Property Investment,Corporate,Angel,Incubator,HNWI,Other,Investment firm"</formula1>
    </dataValidation>
    <dataValidation type="list" allowBlank="1" sqref="C26 C59 C64 C66:C67 C70 C74:C77 C85 C93 C99">
      <formula1>"Family Office,Fund of Funds,Multi-family Office,Government,Pension Fund,Insurance,Bank,Charitable Organization,Endowment,Utility Provider,Technology,Religious,Asset Manager,Union,Property Investment,Corporate,Angel,Incubator,HNWI,Other,Investment Firm"</formula1>
    </dataValidation>
  </dataValidations>
  <hyperlinks>
    <hyperlink r:id="rId1" ref="D10"/>
    <hyperlink r:id="rId2" ref="G10"/>
    <hyperlink r:id="rId3" ref="R10"/>
    <hyperlink r:id="rId4" ref="D11"/>
    <hyperlink r:id="rId5" ref="G11"/>
    <hyperlink r:id="rId6" ref="R11"/>
    <hyperlink r:id="rId7" ref="D12"/>
    <hyperlink r:id="rId8" ref="G12"/>
    <hyperlink r:id="rId9" ref="R12"/>
    <hyperlink r:id="rId10" location="strategy" ref="D13"/>
    <hyperlink r:id="rId11" location="strategy" ref="G13"/>
    <hyperlink r:id="rId12" ref="D14"/>
    <hyperlink r:id="rId13" ref="G14"/>
    <hyperlink r:id="rId14" ref="D15"/>
    <hyperlink r:id="rId15" ref="G15"/>
    <hyperlink r:id="rId16" ref="D16"/>
    <hyperlink r:id="rId17" ref="G16"/>
    <hyperlink r:id="rId18" ref="D17"/>
    <hyperlink r:id="rId19" ref="G17"/>
    <hyperlink r:id="rId20" ref="R17"/>
    <hyperlink r:id="rId21" ref="D18"/>
    <hyperlink r:id="rId22" ref="G18"/>
    <hyperlink r:id="rId23" ref="D19"/>
    <hyperlink r:id="rId24" ref="G19"/>
    <hyperlink r:id="rId25" ref="R19"/>
    <hyperlink r:id="rId26" ref="D20"/>
    <hyperlink r:id="rId27" ref="G20"/>
    <hyperlink r:id="rId28" ref="R20"/>
    <hyperlink r:id="rId29" ref="D21"/>
    <hyperlink r:id="rId30" location="fundinvestments" ref="G21"/>
    <hyperlink r:id="rId31" ref="R21"/>
    <hyperlink r:id="rId32" ref="D22"/>
    <hyperlink r:id="rId33" ref="G22"/>
    <hyperlink r:id="rId34" ref="R22"/>
    <hyperlink r:id="rId35" ref="D23"/>
    <hyperlink r:id="rId36" ref="G23"/>
    <hyperlink r:id="rId37" ref="R23"/>
    <hyperlink r:id="rId38" ref="D24"/>
    <hyperlink r:id="rId39" ref="G24"/>
    <hyperlink r:id="rId40" ref="R24"/>
    <hyperlink r:id="rId41" location=":~:text=INVEST%20IN%20PEOPLE%20SMARTER%20THAN,US" ref="D25"/>
    <hyperlink r:id="rId42" location=":~:text=INVEST%20IN%20PEOPLE%20SMARTER%20THAN,US" ref="G25"/>
    <hyperlink r:id="rId43" ref="D26"/>
    <hyperlink r:id="rId44" ref="G26"/>
    <hyperlink r:id="rId45" ref="R26"/>
    <hyperlink r:id="rId46" ref="D27"/>
    <hyperlink r:id="rId47" ref="G27"/>
    <hyperlink r:id="rId48" ref="D28"/>
    <hyperlink r:id="rId49" ref="G28"/>
    <hyperlink r:id="rId50" ref="R28"/>
    <hyperlink r:id="rId51" ref="D29"/>
    <hyperlink r:id="rId52" location="about" ref="G29"/>
    <hyperlink r:id="rId53" ref="R29"/>
    <hyperlink r:id="rId54" ref="D30"/>
    <hyperlink r:id="rId55" ref="G30"/>
    <hyperlink r:id="rId56" ref="R30"/>
    <hyperlink r:id="rId57" ref="D31"/>
    <hyperlink r:id="rId58" ref="G31"/>
    <hyperlink r:id="rId59" ref="R31"/>
    <hyperlink r:id="rId60" ref="D32"/>
    <hyperlink r:id="rId61" ref="G32"/>
    <hyperlink r:id="rId62" ref="D33"/>
    <hyperlink r:id="rId63" ref="G33"/>
    <hyperlink r:id="rId64" ref="R33"/>
    <hyperlink r:id="rId65" ref="D34"/>
    <hyperlink r:id="rId66" ref="G34"/>
    <hyperlink r:id="rId67" ref="R34"/>
    <hyperlink r:id="rId68" ref="D35"/>
    <hyperlink r:id="rId69" ref="G35"/>
    <hyperlink r:id="rId70" ref="D36"/>
    <hyperlink r:id="rId71" ref="G36"/>
    <hyperlink r:id="rId72" ref="D37"/>
    <hyperlink r:id="rId73" ref="G37"/>
    <hyperlink r:id="rId74" ref="D38"/>
    <hyperlink r:id="rId75" ref="G38"/>
    <hyperlink r:id="rId76" ref="R38"/>
    <hyperlink r:id="rId77" ref="D39"/>
    <hyperlink r:id="rId78" location="accordion-2cdd239c64-item-13db2383e4" ref="G39"/>
    <hyperlink r:id="rId79" ref="D40"/>
    <hyperlink r:id="rId80" ref="G40"/>
    <hyperlink r:id="rId81" ref="D41"/>
    <hyperlink r:id="rId82" ref="G41"/>
    <hyperlink r:id="rId83" ref="R41"/>
    <hyperlink r:id="rId84" ref="D42"/>
    <hyperlink r:id="rId85" ref="G42"/>
    <hyperlink r:id="rId86" ref="R42"/>
    <hyperlink r:id="rId87" ref="D43"/>
    <hyperlink r:id="rId88" ref="G43"/>
    <hyperlink r:id="rId89" ref="D44"/>
    <hyperlink r:id="rId90" ref="G44"/>
    <hyperlink r:id="rId91" ref="D45"/>
    <hyperlink r:id="rId92" ref="G45"/>
    <hyperlink r:id="rId93" ref="R45"/>
    <hyperlink r:id="rId94" ref="D46"/>
    <hyperlink r:id="rId95" ref="G46"/>
    <hyperlink r:id="rId96" ref="D47"/>
    <hyperlink r:id="rId97" ref="G47"/>
    <hyperlink r:id="rId98" ref="D48"/>
    <hyperlink r:id="rId99" ref="G48"/>
    <hyperlink r:id="rId100" ref="R48"/>
    <hyperlink r:id="rId101" ref="D49"/>
    <hyperlink r:id="rId102" ref="G49"/>
    <hyperlink r:id="rId103" ref="R49"/>
    <hyperlink r:id="rId104" ref="D50"/>
    <hyperlink r:id="rId105" ref="G50"/>
    <hyperlink r:id="rId106" ref="R50"/>
    <hyperlink r:id="rId107" ref="D51"/>
    <hyperlink r:id="rId108" ref="G51"/>
    <hyperlink r:id="rId109" ref="D52"/>
    <hyperlink r:id="rId110" ref="G52"/>
    <hyperlink r:id="rId111" ref="R52"/>
    <hyperlink r:id="rId112" ref="D53"/>
    <hyperlink r:id="rId113" ref="G53"/>
    <hyperlink r:id="rId114" ref="R53"/>
    <hyperlink r:id="rId115" ref="D54"/>
    <hyperlink r:id="rId116" ref="G54"/>
    <hyperlink r:id="rId117" ref="R54"/>
    <hyperlink r:id="rId118" ref="D55"/>
    <hyperlink r:id="rId119" location=":~:text=Menu,across%20asset%20classes%20and%20sectors." ref="G55"/>
    <hyperlink r:id="rId120" ref="D56"/>
    <hyperlink r:id="rId121" ref="G56"/>
    <hyperlink r:id="rId122" ref="R56"/>
    <hyperlink r:id="rId123" ref="D57"/>
    <hyperlink r:id="rId124" location="portfolio" ref="G57"/>
    <hyperlink r:id="rId125" ref="R57"/>
    <hyperlink r:id="rId126" ref="D58"/>
    <hyperlink r:id="rId127" ref="G58"/>
    <hyperlink r:id="rId128" ref="R58"/>
    <hyperlink r:id="rId129" ref="D59"/>
    <hyperlink r:id="rId130" ref="G59"/>
    <hyperlink r:id="rId131" ref="R59"/>
    <hyperlink r:id="rId132" location="home" ref="D60"/>
    <hyperlink r:id="rId133" ref="G60"/>
    <hyperlink r:id="rId134" ref="D61"/>
    <hyperlink r:id="rId135" ref="G61"/>
    <hyperlink r:id="rId136" ref="R61"/>
    <hyperlink r:id="rId137" ref="D62"/>
    <hyperlink r:id="rId138" ref="G62"/>
    <hyperlink r:id="rId139" ref="R62"/>
    <hyperlink r:id="rId140" ref="D63"/>
    <hyperlink r:id="rId141" ref="G63"/>
    <hyperlink r:id="rId142" ref="R63"/>
    <hyperlink r:id="rId143" ref="D64"/>
    <hyperlink r:id="rId144" ref="G64"/>
    <hyperlink r:id="rId145" ref="R64"/>
    <hyperlink r:id="rId146" ref="D65"/>
    <hyperlink r:id="rId147" ref="G65"/>
    <hyperlink r:id="rId148" ref="D66"/>
    <hyperlink r:id="rId149" ref="G66"/>
    <hyperlink r:id="rId150" ref="D67"/>
    <hyperlink r:id="rId151" ref="G67"/>
    <hyperlink r:id="rId152" ref="R67"/>
    <hyperlink r:id="rId153" ref="D68"/>
    <hyperlink r:id="rId154" ref="G68"/>
    <hyperlink r:id="rId155" ref="D69"/>
    <hyperlink r:id="rId156" ref="G69"/>
    <hyperlink r:id="rId157" ref="R69"/>
    <hyperlink r:id="rId158" ref="D70"/>
    <hyperlink r:id="rId159" ref="G70"/>
    <hyperlink r:id="rId160" ref="R70"/>
    <hyperlink r:id="rId161" ref="D71"/>
    <hyperlink r:id="rId162" location="portfolio" ref="G71"/>
    <hyperlink r:id="rId163" ref="R71"/>
    <hyperlink r:id="rId164" ref="D72"/>
    <hyperlink r:id="rId165" ref="G72"/>
    <hyperlink r:id="rId166" ref="R72"/>
    <hyperlink r:id="rId167" ref="D73"/>
    <hyperlink r:id="rId168" ref="G73"/>
    <hyperlink r:id="rId169" ref="D74"/>
    <hyperlink r:id="rId170" ref="G74"/>
    <hyperlink r:id="rId171" ref="D75"/>
    <hyperlink r:id="rId172" ref="G75"/>
    <hyperlink r:id="rId173" ref="R75"/>
    <hyperlink r:id="rId174" ref="D76"/>
    <hyperlink r:id="rId175" ref="G76"/>
    <hyperlink r:id="rId176" ref="R76"/>
    <hyperlink r:id="rId177" location="header" ref="D77"/>
    <hyperlink r:id="rId178" location="header" ref="G77"/>
    <hyperlink r:id="rId179" ref="R77"/>
    <hyperlink r:id="rId180" ref="D78"/>
    <hyperlink r:id="rId181" ref="G78"/>
    <hyperlink r:id="rId182" ref="R78"/>
    <hyperlink r:id="rId183" ref="D79"/>
    <hyperlink r:id="rId184" ref="G79"/>
    <hyperlink r:id="rId185" ref="R79"/>
    <hyperlink r:id="rId186" location="private-equity" ref="D80"/>
    <hyperlink r:id="rId187" ref="G80"/>
    <hyperlink r:id="rId188" ref="R80"/>
    <hyperlink r:id="rId189" ref="D81"/>
    <hyperlink r:id="rId190" ref="G81"/>
    <hyperlink r:id="rId191" ref="R81"/>
    <hyperlink r:id="rId192" ref="D82"/>
    <hyperlink r:id="rId193" ref="G82"/>
    <hyperlink r:id="rId194" ref="R82"/>
    <hyperlink r:id="rId195" ref="D83"/>
    <hyperlink r:id="rId196" ref="G83"/>
    <hyperlink r:id="rId197" ref="R83"/>
    <hyperlink r:id="rId198" ref="D84"/>
    <hyperlink r:id="rId199" ref="G84"/>
    <hyperlink r:id="rId200" ref="R84"/>
    <hyperlink r:id="rId201" ref="D85"/>
    <hyperlink r:id="rId202" location="portfolio" ref="G85"/>
    <hyperlink r:id="rId203" ref="R85"/>
    <hyperlink r:id="rId204" ref="D86"/>
    <hyperlink r:id="rId205" ref="G86"/>
    <hyperlink r:id="rId206" ref="K86"/>
    <hyperlink r:id="rId207" ref="D87"/>
    <hyperlink r:id="rId208" ref="G87"/>
    <hyperlink r:id="rId209" ref="D88"/>
    <hyperlink r:id="rId210" ref="G88"/>
    <hyperlink r:id="rId211" ref="R88"/>
    <hyperlink r:id="rId212" ref="D89"/>
    <hyperlink r:id="rId213" ref="G89"/>
    <hyperlink r:id="rId214" ref="R89"/>
    <hyperlink r:id="rId215" ref="D90"/>
    <hyperlink r:id="rId216" ref="G90"/>
    <hyperlink r:id="rId217" ref="R90"/>
    <hyperlink r:id="rId218" ref="D91"/>
    <hyperlink r:id="rId219" ref="G91"/>
    <hyperlink r:id="rId220" ref="R91"/>
    <hyperlink r:id="rId221" ref="D92"/>
    <hyperlink r:id="rId222" ref="G92"/>
    <hyperlink r:id="rId223" ref="R92"/>
    <hyperlink r:id="rId224" ref="D93"/>
    <hyperlink r:id="rId225" ref="G93"/>
    <hyperlink r:id="rId226" ref="R93"/>
    <hyperlink r:id="rId227" ref="D94"/>
    <hyperlink r:id="rId228" ref="G94"/>
    <hyperlink r:id="rId229" ref="R94"/>
    <hyperlink r:id="rId230" ref="D95"/>
    <hyperlink r:id="rId231" ref="G95"/>
    <hyperlink r:id="rId232" ref="R95"/>
    <hyperlink r:id="rId233" ref="D96"/>
    <hyperlink r:id="rId234" ref="G96"/>
    <hyperlink r:id="rId235" ref="R96"/>
    <hyperlink r:id="rId236" ref="D97"/>
    <hyperlink r:id="rId237" ref="G97"/>
    <hyperlink r:id="rId238" ref="R97"/>
    <hyperlink r:id="rId239" ref="D98"/>
    <hyperlink r:id="rId240" ref="G98"/>
    <hyperlink r:id="rId241" ref="R98"/>
    <hyperlink r:id="rId242" ref="D99"/>
    <hyperlink r:id="rId243" ref="G99"/>
    <hyperlink r:id="rId244" ref="R99"/>
    <hyperlink r:id="rId245" ref="D100"/>
    <hyperlink r:id="rId246" ref="G100"/>
    <hyperlink r:id="rId247" ref="R100"/>
    <hyperlink r:id="rId248" ref="D101"/>
    <hyperlink r:id="rId249" ref="G101"/>
    <hyperlink r:id="rId250" ref="R101"/>
    <hyperlink r:id="rId251" ref="D102"/>
    <hyperlink r:id="rId252" ref="G102"/>
    <hyperlink r:id="rId253" ref="R102"/>
    <hyperlink r:id="rId254" ref="D103"/>
    <hyperlink r:id="rId255" ref="G103"/>
    <hyperlink r:id="rId256" ref="R103"/>
    <hyperlink r:id="rId257" ref="D104"/>
    <hyperlink r:id="rId258" ref="G104"/>
    <hyperlink r:id="rId259" ref="R104"/>
    <hyperlink r:id="rId260" ref="D105"/>
    <hyperlink r:id="rId261" ref="G105"/>
    <hyperlink r:id="rId262" ref="R105"/>
    <hyperlink r:id="rId263" ref="D106"/>
    <hyperlink r:id="rId264" ref="G106"/>
    <hyperlink r:id="rId265" ref="R106"/>
    <hyperlink r:id="rId266" ref="D107"/>
    <hyperlink r:id="rId267" ref="G107"/>
    <hyperlink r:id="rId268" ref="R107"/>
    <hyperlink r:id="rId269" ref="D108"/>
    <hyperlink r:id="rId270" ref="G108"/>
    <hyperlink r:id="rId271" ref="R108"/>
    <hyperlink r:id="rId272" ref="D109"/>
    <hyperlink r:id="rId273" ref="G109"/>
    <hyperlink r:id="rId274" ref="M109"/>
    <hyperlink r:id="rId275" ref="R109"/>
    <hyperlink r:id="rId276" ref="D110"/>
    <hyperlink r:id="rId277" ref="G110"/>
    <hyperlink r:id="rId278" ref="R110"/>
    <hyperlink r:id="rId279" ref="D111"/>
    <hyperlink r:id="rId280" ref="G111"/>
    <hyperlink r:id="rId281" ref="R111"/>
    <hyperlink r:id="rId282" ref="D112"/>
    <hyperlink r:id="rId283" ref="G112"/>
    <hyperlink r:id="rId284" ref="R112"/>
    <hyperlink r:id="rId285" ref="D113"/>
    <hyperlink r:id="rId286" ref="G113"/>
    <hyperlink r:id="rId287" ref="R113"/>
    <hyperlink r:id="rId288" ref="D114"/>
    <hyperlink r:id="rId289" ref="G114"/>
    <hyperlink r:id="rId290" ref="R114"/>
    <hyperlink r:id="rId291" ref="D115"/>
    <hyperlink r:id="rId292" ref="G115"/>
    <hyperlink r:id="rId293" ref="R115"/>
    <hyperlink r:id="rId294" ref="D116"/>
    <hyperlink r:id="rId295" ref="G116"/>
    <hyperlink r:id="rId296" ref="R116"/>
    <hyperlink r:id="rId297" ref="D117"/>
    <hyperlink r:id="rId298" ref="G117"/>
    <hyperlink r:id="rId299" ref="R117"/>
    <hyperlink r:id="rId300" ref="D118"/>
    <hyperlink r:id="rId301" ref="G118"/>
    <hyperlink r:id="rId302" ref="R118"/>
  </hyperlinks>
  <drawing r:id="rId303"/>
  <tableParts count="8">
    <tablePart r:id="rId312"/>
    <tablePart r:id="rId313"/>
    <tablePart r:id="rId314"/>
    <tablePart r:id="rId315"/>
    <tablePart r:id="rId316"/>
    <tablePart r:id="rId317"/>
    <tablePart r:id="rId318"/>
    <tablePart r:id="rId319"/>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9.0" topLeftCell="D10" activePane="bottomRight" state="frozen"/>
      <selection activeCell="D1" sqref="D1" pane="topRight"/>
      <selection activeCell="A10" sqref="A10" pane="bottomLeft"/>
      <selection activeCell="D10" sqref="D10" pane="bottomRight"/>
    </sheetView>
  </sheetViews>
  <sheetFormatPr customHeight="1" defaultColWidth="12.63" defaultRowHeight="15.75"/>
  <cols>
    <col customWidth="1" min="1" max="1" width="4.38"/>
    <col customWidth="1" min="2" max="2" width="16.88"/>
    <col customWidth="1" min="3" max="3" width="13.63"/>
    <col customWidth="1" min="4" max="4" width="13.25"/>
    <col customWidth="1" min="5" max="5" width="15.25"/>
    <col customWidth="1" min="6" max="6" width="16.5"/>
    <col customWidth="1" min="7" max="7" width="52.63"/>
    <col customWidth="1" min="8" max="8" width="12.63"/>
    <col customWidth="1" min="9" max="9" width="37.88"/>
    <col customWidth="1" min="10" max="10" width="34.13"/>
    <col customWidth="1" min="11" max="11" width="23.0"/>
    <col customWidth="1" min="12" max="12" width="16.0"/>
    <col customWidth="1" min="13" max="13" width="20.75"/>
    <col customWidth="1" min="14" max="14" width="19.0"/>
    <col customWidth="1" min="19" max="19" width="35.38"/>
    <col customWidth="1" min="20" max="20" width="15.38"/>
    <col customWidth="1" min="21" max="21" width="13.13"/>
  </cols>
  <sheetData>
    <row r="1">
      <c r="A1" s="63" t="s">
        <v>107</v>
      </c>
      <c r="B1" s="64"/>
      <c r="C1" s="64"/>
      <c r="D1" s="64"/>
      <c r="E1" s="65"/>
      <c r="F1" s="66"/>
      <c r="G1" s="67"/>
      <c r="H1" s="66"/>
      <c r="I1" s="64"/>
      <c r="J1" s="64"/>
      <c r="K1" s="64"/>
      <c r="L1" s="65"/>
      <c r="M1" s="64"/>
      <c r="N1" s="64"/>
      <c r="O1" s="64"/>
      <c r="P1" s="64"/>
      <c r="Q1" s="64"/>
      <c r="R1" s="64"/>
      <c r="S1" s="64"/>
      <c r="T1" s="65"/>
      <c r="U1" s="64"/>
      <c r="V1" s="68"/>
      <c r="W1" s="68"/>
      <c r="X1" s="64"/>
      <c r="Y1" s="64"/>
      <c r="Z1" s="64"/>
      <c r="AA1" s="64"/>
      <c r="AB1" s="64"/>
      <c r="AC1" s="64"/>
      <c r="AD1" s="64"/>
      <c r="AE1" s="64"/>
      <c r="AF1" s="64"/>
      <c r="AG1" s="64"/>
    </row>
    <row r="2">
      <c r="A2" s="64"/>
      <c r="B2" s="64"/>
      <c r="C2" s="64"/>
      <c r="D2" s="64"/>
      <c r="E2" s="65"/>
      <c r="F2" s="66"/>
      <c r="G2" s="67"/>
      <c r="H2" s="66"/>
      <c r="I2" s="64"/>
      <c r="J2" s="69"/>
      <c r="K2" s="64"/>
      <c r="L2" s="65"/>
      <c r="M2" s="64"/>
      <c r="N2" s="64"/>
      <c r="O2" s="64"/>
      <c r="P2" s="64"/>
      <c r="Q2" s="64"/>
      <c r="R2" s="64"/>
      <c r="S2" s="64"/>
      <c r="T2" s="65"/>
      <c r="U2" s="64"/>
      <c r="V2" s="68"/>
      <c r="W2" s="68"/>
      <c r="X2" s="64"/>
      <c r="Y2" s="64"/>
      <c r="Z2" s="64"/>
      <c r="AA2" s="64"/>
      <c r="AB2" s="64"/>
      <c r="AC2" s="64"/>
      <c r="AD2" s="64"/>
      <c r="AE2" s="64"/>
      <c r="AF2" s="64"/>
      <c r="AG2" s="64"/>
    </row>
    <row r="3">
      <c r="A3" s="64"/>
      <c r="B3" s="70" t="s">
        <v>108</v>
      </c>
      <c r="C3" s="71">
        <v>3.0</v>
      </c>
      <c r="D3" s="70"/>
      <c r="E3" s="65"/>
      <c r="F3" s="72"/>
      <c r="G3" s="67"/>
      <c r="H3" s="66"/>
      <c r="I3" s="64"/>
      <c r="J3" s="64"/>
      <c r="K3" s="64"/>
      <c r="L3" s="65"/>
      <c r="M3" s="64"/>
      <c r="N3" s="64"/>
      <c r="O3" s="64"/>
      <c r="P3" s="64"/>
      <c r="Q3" s="64"/>
      <c r="R3" s="64"/>
      <c r="S3" s="64"/>
      <c r="T3" s="65"/>
      <c r="U3" s="64"/>
      <c r="V3" s="68"/>
      <c r="W3" s="68"/>
      <c r="X3" s="64"/>
      <c r="Y3" s="64"/>
      <c r="Z3" s="64"/>
      <c r="AA3" s="64"/>
      <c r="AB3" s="64"/>
      <c r="AC3" s="64"/>
      <c r="AD3" s="64"/>
      <c r="AE3" s="64"/>
      <c r="AF3" s="64"/>
      <c r="AG3" s="64"/>
    </row>
    <row r="4">
      <c r="A4" s="64"/>
      <c r="B4" s="70" t="s">
        <v>109</v>
      </c>
      <c r="C4" s="73">
        <f>CountA(B10:B988)</f>
        <v>133</v>
      </c>
      <c r="D4" s="64"/>
      <c r="E4" s="65"/>
      <c r="F4" s="66"/>
      <c r="G4" s="67"/>
      <c r="H4" s="66"/>
      <c r="I4" s="64"/>
      <c r="J4" s="64"/>
      <c r="K4" s="64"/>
      <c r="L4" s="65"/>
      <c r="M4" s="64"/>
      <c r="N4" s="64"/>
      <c r="O4" s="64"/>
      <c r="P4" s="64"/>
      <c r="Q4" s="64"/>
      <c r="R4" s="64"/>
      <c r="S4" s="64"/>
      <c r="T4" s="65"/>
      <c r="U4" s="64"/>
      <c r="V4" s="68"/>
      <c r="W4" s="68"/>
      <c r="X4" s="64"/>
      <c r="Y4" s="64"/>
      <c r="Z4" s="64"/>
      <c r="AA4" s="64"/>
      <c r="AB4" s="64"/>
      <c r="AC4" s="64"/>
      <c r="AD4" s="64"/>
      <c r="AE4" s="64"/>
      <c r="AF4" s="64"/>
      <c r="AG4" s="64"/>
    </row>
    <row r="5">
      <c r="A5" s="64"/>
      <c r="B5" s="70" t="s">
        <v>110</v>
      </c>
      <c r="C5" s="73">
        <f>SUM(COUNTIF(I10:I988, "Rejected - Blacklist"),COUNTIF(I10:I988, "Rejected - Seems to conflict with what I outlined in the IIP"))</f>
        <v>44</v>
      </c>
      <c r="D5" s="64"/>
      <c r="E5" s="65"/>
      <c r="F5" s="66"/>
      <c r="G5" s="67"/>
      <c r="H5" s="66"/>
      <c r="I5" s="64"/>
      <c r="J5" s="64"/>
      <c r="K5" s="64"/>
      <c r="L5" s="65"/>
      <c r="M5" s="64"/>
      <c r="N5" s="64"/>
      <c r="O5" s="64"/>
      <c r="P5" s="64"/>
      <c r="Q5" s="64"/>
      <c r="R5" s="64"/>
      <c r="S5" s="64"/>
      <c r="T5" s="65"/>
      <c r="U5" s="64"/>
      <c r="V5" s="68"/>
      <c r="W5" s="68"/>
      <c r="X5" s="64"/>
      <c r="Y5" s="64"/>
      <c r="Z5" s="64"/>
      <c r="AA5" s="64"/>
      <c r="AB5" s="64"/>
      <c r="AC5" s="64"/>
      <c r="AD5" s="64"/>
      <c r="AE5" s="64"/>
      <c r="AF5" s="64"/>
      <c r="AG5" s="64"/>
    </row>
    <row r="6">
      <c r="A6" s="64"/>
      <c r="B6" s="70" t="s">
        <v>111</v>
      </c>
      <c r="C6" s="74">
        <f>C5/C4</f>
        <v>0.3308270677</v>
      </c>
      <c r="D6" s="64"/>
      <c r="E6" s="65"/>
      <c r="F6" s="66"/>
      <c r="G6" s="67"/>
      <c r="H6" s="66"/>
      <c r="I6" s="64"/>
      <c r="J6" s="64"/>
      <c r="K6" s="64"/>
      <c r="L6" s="65"/>
      <c r="M6" s="64"/>
      <c r="N6" s="64"/>
      <c r="O6" s="64"/>
      <c r="P6" s="64"/>
      <c r="Q6" s="64"/>
      <c r="R6" s="64"/>
      <c r="S6" s="64"/>
      <c r="T6" s="65"/>
      <c r="U6" s="64"/>
      <c r="V6" s="68"/>
      <c r="W6" s="68"/>
      <c r="X6" s="64"/>
      <c r="Y6" s="64"/>
      <c r="Z6" s="64"/>
      <c r="AA6" s="64"/>
      <c r="AB6" s="64"/>
      <c r="AC6" s="64"/>
      <c r="AD6" s="64"/>
      <c r="AE6" s="64"/>
      <c r="AF6" s="64"/>
      <c r="AG6" s="64"/>
    </row>
    <row r="7">
      <c r="A7" s="64"/>
      <c r="B7" s="70" t="s">
        <v>112</v>
      </c>
      <c r="C7" s="73" t="s">
        <v>113</v>
      </c>
      <c r="D7" s="72" t="s">
        <v>114</v>
      </c>
      <c r="E7" s="65"/>
      <c r="F7" s="72"/>
      <c r="G7" s="67"/>
      <c r="H7" s="66"/>
      <c r="I7" s="64"/>
      <c r="J7" s="64"/>
      <c r="K7" s="64"/>
      <c r="L7" s="65"/>
      <c r="M7" s="64"/>
      <c r="N7" s="64"/>
      <c r="O7" s="64"/>
      <c r="P7" s="64"/>
      <c r="Q7" s="64"/>
      <c r="R7" s="64"/>
      <c r="S7" s="64"/>
      <c r="T7" s="65"/>
      <c r="U7" s="64"/>
      <c r="V7" s="68"/>
      <c r="W7" s="68"/>
      <c r="X7" s="64"/>
      <c r="Y7" s="64"/>
      <c r="Z7" s="64"/>
      <c r="AA7" s="64"/>
      <c r="AB7" s="64"/>
      <c r="AC7" s="64"/>
      <c r="AD7" s="64"/>
      <c r="AE7" s="64"/>
      <c r="AF7" s="64"/>
      <c r="AG7" s="64"/>
    </row>
    <row r="8">
      <c r="A8" s="75"/>
      <c r="B8" s="75"/>
      <c r="C8" s="75"/>
      <c r="D8" s="75"/>
      <c r="E8" s="76"/>
      <c r="F8" s="77" t="s">
        <v>115</v>
      </c>
      <c r="G8" s="77" t="s">
        <v>116</v>
      </c>
      <c r="H8" s="77" t="s">
        <v>117</v>
      </c>
      <c r="I8" s="77" t="s">
        <v>118</v>
      </c>
      <c r="J8" s="77" t="s">
        <v>1691</v>
      </c>
      <c r="K8" s="78"/>
      <c r="L8" s="77" t="s">
        <v>120</v>
      </c>
      <c r="M8" s="78"/>
      <c r="N8" s="75"/>
      <c r="O8" s="75"/>
      <c r="P8" s="75"/>
      <c r="Q8" s="75"/>
      <c r="R8" s="75"/>
      <c r="S8" s="77" t="s">
        <v>1692</v>
      </c>
      <c r="T8" s="77" t="s">
        <v>120</v>
      </c>
      <c r="U8" s="75"/>
      <c r="V8" s="77" t="s">
        <v>122</v>
      </c>
      <c r="W8" s="79"/>
      <c r="X8" s="75"/>
      <c r="Y8" s="75"/>
      <c r="Z8" s="75"/>
      <c r="AA8" s="75"/>
      <c r="AB8" s="75"/>
      <c r="AC8" s="75"/>
      <c r="AD8" s="75"/>
      <c r="AE8" s="75"/>
      <c r="AF8" s="75"/>
      <c r="AG8" s="75"/>
    </row>
    <row r="9">
      <c r="A9" s="80" t="s">
        <v>123</v>
      </c>
      <c r="B9" s="81" t="s">
        <v>57</v>
      </c>
      <c r="C9" s="81" t="s">
        <v>59</v>
      </c>
      <c r="D9" s="80" t="s">
        <v>124</v>
      </c>
      <c r="E9" s="82" t="s">
        <v>125</v>
      </c>
      <c r="F9" s="83" t="s">
        <v>126</v>
      </c>
      <c r="G9" s="83" t="s">
        <v>127</v>
      </c>
      <c r="H9" s="81" t="s">
        <v>128</v>
      </c>
      <c r="I9" s="81" t="s">
        <v>129</v>
      </c>
      <c r="J9" s="81" t="s">
        <v>130</v>
      </c>
      <c r="K9" s="81" t="s">
        <v>131</v>
      </c>
      <c r="L9" s="82" t="s">
        <v>58</v>
      </c>
      <c r="M9" s="80" t="s">
        <v>132</v>
      </c>
      <c r="N9" s="80" t="s">
        <v>133</v>
      </c>
      <c r="O9" s="80" t="s">
        <v>134</v>
      </c>
      <c r="P9" s="80" t="s">
        <v>135</v>
      </c>
      <c r="Q9" s="80" t="s">
        <v>136</v>
      </c>
      <c r="R9" s="80" t="s">
        <v>137</v>
      </c>
      <c r="S9" s="84" t="s">
        <v>138</v>
      </c>
      <c r="T9" s="82" t="s">
        <v>139</v>
      </c>
      <c r="U9" s="81" t="s">
        <v>140</v>
      </c>
      <c r="V9" s="81" t="s">
        <v>141</v>
      </c>
      <c r="W9" s="81" t="s">
        <v>142</v>
      </c>
      <c r="X9" s="81" t="s">
        <v>143</v>
      </c>
      <c r="Y9" s="64"/>
      <c r="Z9" s="64"/>
      <c r="AA9" s="64"/>
      <c r="AB9" s="64"/>
      <c r="AC9" s="64"/>
      <c r="AD9" s="64"/>
      <c r="AE9" s="64"/>
      <c r="AF9" s="64"/>
      <c r="AG9" s="64"/>
    </row>
    <row r="10">
      <c r="A10" s="85">
        <f t="shared" ref="A10:A142" si="1">IF(ISBLANK(B10),"",COUNTA($B$9:B9))</f>
        <v>1</v>
      </c>
      <c r="B10" s="121" t="s">
        <v>1693</v>
      </c>
      <c r="C10" s="122" t="s">
        <v>63</v>
      </c>
      <c r="D10" s="88" t="s">
        <v>1694</v>
      </c>
      <c r="E10" s="90" t="s">
        <v>905</v>
      </c>
      <c r="F10" s="90" t="s">
        <v>376</v>
      </c>
      <c r="G10" s="183" t="s">
        <v>1695</v>
      </c>
      <c r="H10" s="215" t="s">
        <v>149</v>
      </c>
      <c r="I10" s="93" t="s">
        <v>165</v>
      </c>
      <c r="J10" s="94"/>
      <c r="K10" s="94"/>
      <c r="L10" s="95"/>
      <c r="M10" s="106" t="s">
        <v>1696</v>
      </c>
      <c r="N10" s="107" t="s">
        <v>1697</v>
      </c>
      <c r="O10" s="108" t="s">
        <v>1698</v>
      </c>
      <c r="P10" s="108" t="s">
        <v>1699</v>
      </c>
      <c r="Q10" s="108" t="s">
        <v>1700</v>
      </c>
      <c r="R10" s="120" t="s">
        <v>1701</v>
      </c>
      <c r="S10" s="181"/>
      <c r="T10" s="182"/>
      <c r="U10" s="182"/>
      <c r="V10" s="182"/>
      <c r="W10" s="85"/>
      <c r="X10" s="85"/>
      <c r="Y10" s="64"/>
      <c r="Z10" s="64"/>
      <c r="AA10" s="64"/>
      <c r="AB10" s="64"/>
      <c r="AC10" s="64"/>
      <c r="AD10" s="64"/>
      <c r="AE10" s="64"/>
      <c r="AF10" s="64"/>
      <c r="AG10" s="64"/>
    </row>
    <row r="11">
      <c r="A11" s="85">
        <f t="shared" si="1"/>
        <v>2</v>
      </c>
      <c r="B11" s="137" t="s">
        <v>1702</v>
      </c>
      <c r="C11" s="122" t="s">
        <v>63</v>
      </c>
      <c r="D11" s="216" t="s">
        <v>1703</v>
      </c>
      <c r="E11" s="90" t="s">
        <v>905</v>
      </c>
      <c r="F11" s="90" t="s">
        <v>376</v>
      </c>
      <c r="G11" s="103" t="s">
        <v>1704</v>
      </c>
      <c r="H11" s="215" t="s">
        <v>149</v>
      </c>
      <c r="I11" s="93" t="s">
        <v>150</v>
      </c>
      <c r="J11" s="104" t="s">
        <v>242</v>
      </c>
      <c r="K11" s="147" t="s">
        <v>1705</v>
      </c>
      <c r="L11" s="95"/>
      <c r="M11" s="142"/>
      <c r="N11" s="107"/>
      <c r="O11" s="108"/>
      <c r="P11" s="108"/>
      <c r="Q11" s="108"/>
      <c r="R11" s="120"/>
      <c r="S11" s="181"/>
      <c r="T11" s="182"/>
      <c r="U11" s="182"/>
      <c r="V11" s="182"/>
      <c r="W11" s="85"/>
      <c r="X11" s="85"/>
      <c r="Y11" s="64"/>
      <c r="Z11" s="64"/>
      <c r="AA11" s="64"/>
      <c r="AB11" s="64"/>
      <c r="AC11" s="64"/>
      <c r="AD11" s="64"/>
      <c r="AE11" s="64"/>
      <c r="AF11" s="64"/>
      <c r="AG11" s="64"/>
    </row>
    <row r="12">
      <c r="A12" s="85">
        <f t="shared" si="1"/>
        <v>3</v>
      </c>
      <c r="B12" s="121" t="s">
        <v>1706</v>
      </c>
      <c r="C12" s="122" t="s">
        <v>63</v>
      </c>
      <c r="D12" s="88" t="s">
        <v>1707</v>
      </c>
      <c r="E12" s="90" t="s">
        <v>905</v>
      </c>
      <c r="F12" s="90" t="s">
        <v>573</v>
      </c>
      <c r="G12" s="183" t="s">
        <v>1708</v>
      </c>
      <c r="H12" s="215" t="s">
        <v>149</v>
      </c>
      <c r="I12" s="93" t="s">
        <v>165</v>
      </c>
      <c r="J12" s="104"/>
      <c r="K12" s="185"/>
      <c r="L12" s="95"/>
      <c r="M12" s="106" t="s">
        <v>1709</v>
      </c>
      <c r="N12" s="107" t="s">
        <v>1710</v>
      </c>
      <c r="O12" s="108" t="str">
        <f>IFERROR(__xludf.DUMMYFUNCTION("IFERROR(REGEXEXTRACT(TRIM(N12),""^\S+""),"""")
"),"Kah")</f>
        <v>Kah</v>
      </c>
      <c r="P12" s="108" t="str">
        <f>IFERROR(__xludf.DUMMYFUNCTION("IFERROR(TRIM(REGEXREPLACE(TRIM(N12),""^\S+\s*"","""")),"""")
"),"Ken Kam")</f>
        <v>Ken Kam</v>
      </c>
      <c r="Q12" s="108" t="s">
        <v>1711</v>
      </c>
      <c r="R12" s="120" t="s">
        <v>1712</v>
      </c>
      <c r="S12" s="181"/>
      <c r="T12" s="182"/>
      <c r="U12" s="182"/>
      <c r="V12" s="182"/>
      <c r="W12" s="85"/>
      <c r="X12" s="85"/>
      <c r="Y12" s="64"/>
      <c r="Z12" s="64"/>
      <c r="AA12" s="64"/>
      <c r="AB12" s="64"/>
      <c r="AC12" s="64"/>
      <c r="AD12" s="64"/>
      <c r="AE12" s="64"/>
      <c r="AF12" s="64"/>
      <c r="AG12" s="64"/>
    </row>
    <row r="13">
      <c r="A13" s="85">
        <f t="shared" si="1"/>
        <v>4</v>
      </c>
      <c r="B13" s="217" t="s">
        <v>1713</v>
      </c>
      <c r="C13" s="186" t="s">
        <v>63</v>
      </c>
      <c r="D13" s="88" t="s">
        <v>1714</v>
      </c>
      <c r="E13" s="90" t="s">
        <v>905</v>
      </c>
      <c r="F13" s="113" t="s">
        <v>124</v>
      </c>
      <c r="G13" s="103" t="s">
        <v>1715</v>
      </c>
      <c r="H13" s="215" t="s">
        <v>149</v>
      </c>
      <c r="I13" s="93" t="s">
        <v>165</v>
      </c>
      <c r="J13" s="104"/>
      <c r="K13" s="94"/>
      <c r="L13" s="95"/>
      <c r="M13" s="142" t="s">
        <v>250</v>
      </c>
      <c r="N13" s="107" t="s">
        <v>1716</v>
      </c>
      <c r="O13" s="108" t="s">
        <v>1717</v>
      </c>
      <c r="P13" s="108" t="s">
        <v>1718</v>
      </c>
      <c r="Q13" s="108" t="s">
        <v>1719</v>
      </c>
      <c r="R13" s="120" t="s">
        <v>1720</v>
      </c>
      <c r="S13" s="99"/>
      <c r="T13" s="95"/>
      <c r="U13" s="100"/>
      <c r="V13" s="101"/>
      <c r="W13" s="101"/>
      <c r="X13" s="101"/>
      <c r="Y13" s="64"/>
      <c r="Z13" s="64"/>
      <c r="AA13" s="64"/>
      <c r="AB13" s="64"/>
      <c r="AC13" s="64"/>
      <c r="AD13" s="64"/>
      <c r="AE13" s="64"/>
      <c r="AF13" s="64"/>
      <c r="AG13" s="64"/>
    </row>
    <row r="14">
      <c r="A14" s="85">
        <f t="shared" si="1"/>
        <v>5</v>
      </c>
      <c r="B14" s="121" t="s">
        <v>1721</v>
      </c>
      <c r="C14" s="122" t="s">
        <v>63</v>
      </c>
      <c r="D14" s="189" t="s">
        <v>1722</v>
      </c>
      <c r="E14" s="190" t="s">
        <v>905</v>
      </c>
      <c r="F14" s="190" t="s">
        <v>124</v>
      </c>
      <c r="G14" s="183" t="s">
        <v>1723</v>
      </c>
      <c r="H14" s="215" t="s">
        <v>149</v>
      </c>
      <c r="I14" s="93" t="s">
        <v>150</v>
      </c>
      <c r="J14" s="104" t="s">
        <v>1724</v>
      </c>
      <c r="K14" s="218" t="s">
        <v>1725</v>
      </c>
      <c r="L14" s="219"/>
      <c r="M14" s="87"/>
      <c r="N14" s="116"/>
      <c r="O14" s="117"/>
      <c r="P14" s="118"/>
      <c r="Q14" s="108"/>
      <c r="R14" s="120"/>
      <c r="S14" s="99"/>
      <c r="T14" s="95"/>
      <c r="U14" s="100"/>
      <c r="V14" s="101"/>
      <c r="W14" s="101"/>
      <c r="X14" s="101"/>
      <c r="Y14" s="64"/>
      <c r="Z14" s="64"/>
      <c r="AA14" s="64"/>
      <c r="AB14" s="64"/>
      <c r="AC14" s="64"/>
      <c r="AD14" s="64"/>
      <c r="AE14" s="64"/>
      <c r="AF14" s="64"/>
      <c r="AG14" s="64"/>
    </row>
    <row r="15">
      <c r="A15" s="85">
        <f t="shared" si="1"/>
        <v>6</v>
      </c>
      <c r="B15" s="217" t="s">
        <v>1726</v>
      </c>
      <c r="C15" s="122" t="s">
        <v>63</v>
      </c>
      <c r="D15" s="88" t="s">
        <v>1727</v>
      </c>
      <c r="E15" s="89" t="s">
        <v>924</v>
      </c>
      <c r="F15" s="90" t="s">
        <v>124</v>
      </c>
      <c r="G15" s="103" t="s">
        <v>1728</v>
      </c>
      <c r="H15" s="215" t="s">
        <v>149</v>
      </c>
      <c r="I15" s="93" t="s">
        <v>150</v>
      </c>
      <c r="J15" s="104" t="s">
        <v>269</v>
      </c>
      <c r="K15" s="220" t="s">
        <v>1729</v>
      </c>
      <c r="L15" s="219"/>
      <c r="M15" s="87"/>
      <c r="N15" s="116"/>
      <c r="O15" s="117"/>
      <c r="P15" s="118"/>
      <c r="Q15" s="108"/>
      <c r="R15" s="120"/>
      <c r="S15" s="99"/>
      <c r="T15" s="95"/>
      <c r="U15" s="100"/>
      <c r="V15" s="101"/>
      <c r="W15" s="101"/>
      <c r="X15" s="101"/>
      <c r="Y15" s="64"/>
      <c r="Z15" s="64"/>
      <c r="AA15" s="64"/>
      <c r="AB15" s="64"/>
      <c r="AC15" s="64"/>
      <c r="AD15" s="64"/>
      <c r="AE15" s="64"/>
      <c r="AF15" s="64"/>
      <c r="AG15" s="64"/>
    </row>
    <row r="16">
      <c r="A16" s="85">
        <f t="shared" si="1"/>
        <v>7</v>
      </c>
      <c r="B16" s="121" t="s">
        <v>1730</v>
      </c>
      <c r="C16" s="122" t="s">
        <v>63</v>
      </c>
      <c r="D16" s="88" t="s">
        <v>1731</v>
      </c>
      <c r="E16" s="190" t="s">
        <v>905</v>
      </c>
      <c r="F16" s="90" t="s">
        <v>376</v>
      </c>
      <c r="G16" s="183" t="s">
        <v>1732</v>
      </c>
      <c r="H16" s="215" t="s">
        <v>149</v>
      </c>
      <c r="I16" s="93" t="s">
        <v>165</v>
      </c>
      <c r="J16" s="104"/>
      <c r="K16" s="187"/>
      <c r="L16" s="95"/>
      <c r="M16" s="106" t="s">
        <v>1733</v>
      </c>
      <c r="N16" s="107" t="s">
        <v>1734</v>
      </c>
      <c r="O16" s="108" t="s">
        <v>1735</v>
      </c>
      <c r="P16" s="108" t="s">
        <v>1736</v>
      </c>
      <c r="Q16" s="108" t="s">
        <v>1737</v>
      </c>
      <c r="R16" s="120" t="s">
        <v>1738</v>
      </c>
      <c r="S16" s="99"/>
      <c r="T16" s="95"/>
      <c r="U16" s="100"/>
      <c r="V16" s="101"/>
      <c r="W16" s="101"/>
      <c r="X16" s="101"/>
      <c r="Y16" s="64"/>
      <c r="Z16" s="64"/>
      <c r="AA16" s="64"/>
      <c r="AB16" s="64"/>
      <c r="AC16" s="64"/>
      <c r="AD16" s="64"/>
      <c r="AE16" s="64"/>
      <c r="AF16" s="64"/>
      <c r="AG16" s="64"/>
    </row>
    <row r="17">
      <c r="A17" s="85">
        <f t="shared" si="1"/>
        <v>8</v>
      </c>
      <c r="B17" s="217" t="s">
        <v>1739</v>
      </c>
      <c r="C17" s="122" t="s">
        <v>63</v>
      </c>
      <c r="D17" s="88" t="s">
        <v>1740</v>
      </c>
      <c r="E17" s="90" t="s">
        <v>905</v>
      </c>
      <c r="F17" s="90" t="s">
        <v>554</v>
      </c>
      <c r="G17" s="103" t="s">
        <v>1741</v>
      </c>
      <c r="H17" s="215" t="s">
        <v>149</v>
      </c>
      <c r="I17" s="93" t="s">
        <v>150</v>
      </c>
      <c r="J17" s="104" t="s">
        <v>1742</v>
      </c>
      <c r="K17" s="221" t="s">
        <v>1743</v>
      </c>
      <c r="L17" s="219"/>
      <c r="M17" s="122"/>
      <c r="N17" s="123"/>
      <c r="O17" s="124"/>
      <c r="P17" s="108"/>
      <c r="Q17" s="108"/>
      <c r="R17" s="120"/>
      <c r="S17" s="181"/>
      <c r="T17" s="182"/>
      <c r="U17" s="182"/>
      <c r="V17" s="182"/>
      <c r="W17" s="85"/>
      <c r="X17" s="85"/>
      <c r="Y17" s="64"/>
      <c r="Z17" s="64"/>
      <c r="AA17" s="64"/>
      <c r="AB17" s="64"/>
      <c r="AC17" s="64"/>
      <c r="AD17" s="64"/>
      <c r="AE17" s="64"/>
      <c r="AF17" s="64"/>
      <c r="AG17" s="64"/>
    </row>
    <row r="18">
      <c r="A18" s="85">
        <f t="shared" si="1"/>
        <v>9</v>
      </c>
      <c r="B18" s="217" t="s">
        <v>1744</v>
      </c>
      <c r="C18" s="122" t="s">
        <v>63</v>
      </c>
      <c r="D18" s="189" t="s">
        <v>1745</v>
      </c>
      <c r="E18" s="190" t="s">
        <v>905</v>
      </c>
      <c r="F18" s="190" t="s">
        <v>147</v>
      </c>
      <c r="G18" s="103" t="s">
        <v>1746</v>
      </c>
      <c r="H18" s="215" t="s">
        <v>149</v>
      </c>
      <c r="I18" s="93" t="s">
        <v>165</v>
      </c>
      <c r="J18" s="104" t="s">
        <v>1747</v>
      </c>
      <c r="K18" s="191"/>
      <c r="L18" s="219"/>
      <c r="M18" s="194" t="s">
        <v>456</v>
      </c>
      <c r="N18" s="123" t="s">
        <v>1748</v>
      </c>
      <c r="O18" s="124" t="s">
        <v>1749</v>
      </c>
      <c r="P18" s="108" t="s">
        <v>1750</v>
      </c>
      <c r="Q18" s="108" t="s">
        <v>1751</v>
      </c>
      <c r="R18" s="120" t="s">
        <v>1752</v>
      </c>
      <c r="S18" s="99"/>
      <c r="T18" s="95"/>
      <c r="U18" s="100"/>
      <c r="V18" s="101"/>
      <c r="W18" s="101"/>
      <c r="X18" s="101"/>
      <c r="Y18" s="64"/>
      <c r="Z18" s="64"/>
      <c r="AA18" s="64"/>
      <c r="AB18" s="64"/>
      <c r="AC18" s="64"/>
      <c r="AD18" s="64"/>
      <c r="AE18" s="64"/>
      <c r="AF18" s="64"/>
      <c r="AG18" s="64"/>
    </row>
    <row r="19">
      <c r="A19" s="85">
        <f t="shared" si="1"/>
        <v>10</v>
      </c>
      <c r="B19" s="217" t="s">
        <v>1753</v>
      </c>
      <c r="C19" s="122" t="s">
        <v>63</v>
      </c>
      <c r="D19" s="88" t="s">
        <v>1754</v>
      </c>
      <c r="E19" s="90" t="s">
        <v>905</v>
      </c>
      <c r="F19" s="90" t="s">
        <v>124</v>
      </c>
      <c r="G19" s="103" t="s">
        <v>1755</v>
      </c>
      <c r="H19" s="215" t="s">
        <v>149</v>
      </c>
      <c r="I19" s="93" t="s">
        <v>165</v>
      </c>
      <c r="J19" s="104"/>
      <c r="K19" s="145"/>
      <c r="L19" s="95"/>
      <c r="M19" s="106" t="s">
        <v>1756</v>
      </c>
      <c r="N19" s="107" t="s">
        <v>1757</v>
      </c>
      <c r="O19" s="108" t="s">
        <v>1758</v>
      </c>
      <c r="P19" s="108" t="s">
        <v>1759</v>
      </c>
      <c r="Q19" s="108" t="s">
        <v>1760</v>
      </c>
      <c r="R19" s="120" t="s">
        <v>1761</v>
      </c>
      <c r="S19" s="181"/>
      <c r="T19" s="182"/>
      <c r="U19" s="182"/>
      <c r="V19" s="182"/>
      <c r="W19" s="85"/>
      <c r="X19" s="85"/>
      <c r="Y19" s="64"/>
      <c r="Z19" s="64"/>
      <c r="AA19" s="64"/>
      <c r="AB19" s="64"/>
      <c r="AC19" s="64"/>
      <c r="AD19" s="64"/>
      <c r="AE19" s="64"/>
      <c r="AF19" s="64"/>
      <c r="AG19" s="64"/>
    </row>
    <row r="20">
      <c r="A20" s="126">
        <f t="shared" si="1"/>
        <v>11</v>
      </c>
      <c r="B20" s="141" t="s">
        <v>1762</v>
      </c>
      <c r="C20" s="106" t="s">
        <v>63</v>
      </c>
      <c r="D20" s="158" t="s">
        <v>1763</v>
      </c>
      <c r="E20" s="159" t="s">
        <v>905</v>
      </c>
      <c r="F20" s="159" t="s">
        <v>1538</v>
      </c>
      <c r="G20" s="160" t="s">
        <v>1764</v>
      </c>
      <c r="H20" s="206" t="s">
        <v>149</v>
      </c>
      <c r="I20" s="93" t="s">
        <v>165</v>
      </c>
      <c r="J20" s="114"/>
      <c r="K20" s="104"/>
      <c r="L20" s="219"/>
      <c r="M20" s="222" t="s">
        <v>1765</v>
      </c>
      <c r="N20" s="123" t="s">
        <v>1766</v>
      </c>
      <c r="O20" s="124" t="s">
        <v>1767</v>
      </c>
      <c r="P20" s="108" t="s">
        <v>1768</v>
      </c>
      <c r="Q20" s="108" t="s">
        <v>1769</v>
      </c>
      <c r="R20" s="120" t="s">
        <v>1770</v>
      </c>
      <c r="S20" s="181"/>
      <c r="T20" s="182"/>
      <c r="U20" s="182"/>
      <c r="V20" s="182"/>
      <c r="W20" s="85"/>
      <c r="X20" s="85"/>
      <c r="Y20" s="64"/>
      <c r="Z20" s="64"/>
      <c r="AA20" s="64"/>
      <c r="AB20" s="64"/>
      <c r="AC20" s="64"/>
      <c r="AD20" s="64"/>
      <c r="AE20" s="64"/>
      <c r="AF20" s="64"/>
      <c r="AG20" s="64"/>
    </row>
    <row r="21">
      <c r="A21" s="126">
        <f t="shared" si="1"/>
        <v>12</v>
      </c>
      <c r="B21" s="136" t="s">
        <v>1771</v>
      </c>
      <c r="C21" s="106" t="s">
        <v>63</v>
      </c>
      <c r="D21" s="128" t="s">
        <v>1772</v>
      </c>
      <c r="E21" s="129" t="s">
        <v>905</v>
      </c>
      <c r="F21" s="129" t="s">
        <v>124</v>
      </c>
      <c r="G21" s="130" t="s">
        <v>1773</v>
      </c>
      <c r="H21" s="206" t="s">
        <v>149</v>
      </c>
      <c r="I21" s="93" t="s">
        <v>150</v>
      </c>
      <c r="J21" s="104" t="s">
        <v>1774</v>
      </c>
      <c r="K21" s="147" t="s">
        <v>1775</v>
      </c>
      <c r="L21" s="219"/>
      <c r="M21" s="122"/>
      <c r="N21" s="123"/>
      <c r="O21" s="124"/>
      <c r="P21" s="108"/>
      <c r="Q21" s="108"/>
      <c r="R21" s="120"/>
      <c r="S21" s="181"/>
      <c r="T21" s="182"/>
      <c r="U21" s="182"/>
      <c r="V21" s="182"/>
      <c r="W21" s="85"/>
      <c r="X21" s="85"/>
      <c r="Y21" s="64"/>
      <c r="Z21" s="64"/>
      <c r="AA21" s="64"/>
      <c r="AB21" s="64"/>
      <c r="AC21" s="64"/>
      <c r="AD21" s="64"/>
      <c r="AE21" s="64"/>
      <c r="AF21" s="64"/>
      <c r="AG21" s="64"/>
    </row>
    <row r="22">
      <c r="A22" s="126">
        <f t="shared" si="1"/>
        <v>13</v>
      </c>
      <c r="B22" s="141" t="s">
        <v>1776</v>
      </c>
      <c r="C22" s="106" t="s">
        <v>63</v>
      </c>
      <c r="D22" s="158" t="s">
        <v>1777</v>
      </c>
      <c r="E22" s="159" t="s">
        <v>905</v>
      </c>
      <c r="F22" s="159" t="s">
        <v>124</v>
      </c>
      <c r="G22" s="160" t="s">
        <v>1778</v>
      </c>
      <c r="H22" s="206" t="s">
        <v>149</v>
      </c>
      <c r="I22" s="93" t="s">
        <v>165</v>
      </c>
      <c r="J22" s="104"/>
      <c r="K22" s="184"/>
      <c r="L22" s="95"/>
      <c r="M22" s="142" t="s">
        <v>1779</v>
      </c>
      <c r="N22" s="107" t="s">
        <v>1780</v>
      </c>
      <c r="O22" s="108" t="s">
        <v>1781</v>
      </c>
      <c r="P22" s="108" t="s">
        <v>1782</v>
      </c>
      <c r="Q22" s="124" t="s">
        <v>1783</v>
      </c>
      <c r="R22" s="120" t="s">
        <v>1784</v>
      </c>
      <c r="S22" s="181"/>
      <c r="T22" s="182"/>
      <c r="U22" s="182"/>
      <c r="V22" s="182"/>
      <c r="W22" s="85"/>
      <c r="X22" s="85"/>
      <c r="Y22" s="64"/>
      <c r="Z22" s="64"/>
      <c r="AA22" s="64"/>
      <c r="AB22" s="64"/>
      <c r="AC22" s="64"/>
      <c r="AD22" s="64"/>
      <c r="AE22" s="64"/>
      <c r="AF22" s="64"/>
      <c r="AG22" s="64"/>
    </row>
    <row r="23">
      <c r="A23" s="126">
        <f t="shared" si="1"/>
        <v>14</v>
      </c>
      <c r="B23" s="141" t="s">
        <v>1785</v>
      </c>
      <c r="C23" s="106" t="s">
        <v>63</v>
      </c>
      <c r="D23" s="128" t="s">
        <v>1786</v>
      </c>
      <c r="E23" s="129" t="s">
        <v>905</v>
      </c>
      <c r="F23" s="129" t="s">
        <v>147</v>
      </c>
      <c r="G23" s="130" t="s">
        <v>1787</v>
      </c>
      <c r="H23" s="206" t="s">
        <v>149</v>
      </c>
      <c r="I23" s="93" t="s">
        <v>150</v>
      </c>
      <c r="J23" s="104" t="s">
        <v>1788</v>
      </c>
      <c r="K23" s="148" t="s">
        <v>1789</v>
      </c>
      <c r="L23" s="219"/>
      <c r="M23" s="122"/>
      <c r="N23" s="123"/>
      <c r="O23" s="124"/>
      <c r="P23" s="108"/>
      <c r="Q23" s="108"/>
      <c r="R23" s="120"/>
      <c r="S23" s="181"/>
      <c r="T23" s="182"/>
      <c r="U23" s="182"/>
      <c r="V23" s="182"/>
      <c r="W23" s="85"/>
      <c r="X23" s="85"/>
      <c r="Y23" s="64"/>
      <c r="Z23" s="64"/>
      <c r="AA23" s="64"/>
      <c r="AB23" s="64"/>
      <c r="AC23" s="64"/>
      <c r="AD23" s="64"/>
      <c r="AE23" s="64"/>
      <c r="AF23" s="64"/>
      <c r="AG23" s="64"/>
    </row>
    <row r="24">
      <c r="A24" s="126">
        <f t="shared" si="1"/>
        <v>15</v>
      </c>
      <c r="B24" s="195" t="s">
        <v>1790</v>
      </c>
      <c r="C24" s="134" t="s">
        <v>63</v>
      </c>
      <c r="D24" s="158" t="s">
        <v>1791</v>
      </c>
      <c r="E24" s="159" t="s">
        <v>895</v>
      </c>
      <c r="F24" s="159" t="s">
        <v>124</v>
      </c>
      <c r="G24" s="160" t="s">
        <v>1792</v>
      </c>
      <c r="H24" s="206" t="s">
        <v>149</v>
      </c>
      <c r="I24" s="93" t="s">
        <v>165</v>
      </c>
      <c r="J24" s="114"/>
      <c r="K24" s="104"/>
      <c r="L24" s="219"/>
      <c r="M24" s="122" t="s">
        <v>196</v>
      </c>
      <c r="N24" s="123" t="s">
        <v>1793</v>
      </c>
      <c r="O24" s="117" t="s">
        <v>1794</v>
      </c>
      <c r="P24" s="118" t="s">
        <v>1795</v>
      </c>
      <c r="Q24" s="108" t="s">
        <v>1796</v>
      </c>
      <c r="R24" s="120" t="s">
        <v>1797</v>
      </c>
      <c r="S24" s="181"/>
      <c r="T24" s="182"/>
      <c r="U24" s="182"/>
      <c r="V24" s="182"/>
      <c r="W24" s="85"/>
      <c r="X24" s="85"/>
      <c r="Y24" s="64"/>
      <c r="Z24" s="64"/>
      <c r="AA24" s="64"/>
      <c r="AB24" s="64"/>
      <c r="AC24" s="64"/>
      <c r="AD24" s="64"/>
      <c r="AE24" s="64"/>
      <c r="AF24" s="64"/>
      <c r="AG24" s="64"/>
    </row>
    <row r="25">
      <c r="A25" s="126">
        <f t="shared" si="1"/>
        <v>16</v>
      </c>
      <c r="B25" s="121" t="s">
        <v>1798</v>
      </c>
      <c r="C25" s="134" t="s">
        <v>63</v>
      </c>
      <c r="D25" s="158" t="s">
        <v>1799</v>
      </c>
      <c r="E25" s="159" t="s">
        <v>895</v>
      </c>
      <c r="F25" s="159" t="s">
        <v>194</v>
      </c>
      <c r="G25" s="160" t="s">
        <v>1800</v>
      </c>
      <c r="H25" s="206" t="s">
        <v>149</v>
      </c>
      <c r="I25" s="93" t="s">
        <v>165</v>
      </c>
      <c r="J25" s="203"/>
      <c r="K25" s="191"/>
      <c r="L25" s="95"/>
      <c r="M25" s="134" t="s">
        <v>330</v>
      </c>
      <c r="N25" s="198" t="s">
        <v>1801</v>
      </c>
      <c r="O25" s="118" t="s">
        <v>1802</v>
      </c>
      <c r="P25" s="118" t="s">
        <v>1365</v>
      </c>
      <c r="Q25" s="108" t="s">
        <v>1803</v>
      </c>
      <c r="R25" s="120" t="s">
        <v>1804</v>
      </c>
      <c r="S25" s="99"/>
      <c r="T25" s="95"/>
      <c r="U25" s="100"/>
      <c r="V25" s="101"/>
      <c r="W25" s="101"/>
      <c r="X25" s="101"/>
      <c r="Y25" s="64"/>
      <c r="Z25" s="64"/>
      <c r="AA25" s="64"/>
      <c r="AB25" s="64"/>
      <c r="AC25" s="64"/>
      <c r="AD25" s="64"/>
      <c r="AE25" s="64"/>
      <c r="AF25" s="64"/>
      <c r="AG25" s="64"/>
    </row>
    <row r="26">
      <c r="A26" s="126">
        <f t="shared" si="1"/>
        <v>17</v>
      </c>
      <c r="B26" s="110" t="s">
        <v>1805</v>
      </c>
      <c r="C26" s="134" t="s">
        <v>63</v>
      </c>
      <c r="D26" s="128" t="s">
        <v>1806</v>
      </c>
      <c r="E26" s="129" t="s">
        <v>895</v>
      </c>
      <c r="F26" s="129" t="s">
        <v>573</v>
      </c>
      <c r="G26" s="130" t="s">
        <v>1807</v>
      </c>
      <c r="H26" s="206" t="s">
        <v>149</v>
      </c>
      <c r="I26" s="93" t="s">
        <v>150</v>
      </c>
      <c r="J26" s="165" t="s">
        <v>1808</v>
      </c>
      <c r="K26" s="223" t="s">
        <v>1725</v>
      </c>
      <c r="L26" s="219"/>
      <c r="M26" s="194"/>
      <c r="N26" s="123"/>
      <c r="O26" s="124"/>
      <c r="P26" s="108"/>
      <c r="Q26" s="108"/>
      <c r="R26" s="120"/>
      <c r="S26" s="181"/>
      <c r="T26" s="182"/>
      <c r="U26" s="182"/>
      <c r="V26" s="182"/>
      <c r="W26" s="85"/>
      <c r="X26" s="85"/>
      <c r="Y26" s="64"/>
      <c r="Z26" s="64"/>
      <c r="AA26" s="64"/>
      <c r="AB26" s="64"/>
      <c r="AC26" s="64"/>
      <c r="AD26" s="64"/>
      <c r="AE26" s="64"/>
      <c r="AF26" s="64"/>
      <c r="AG26" s="64"/>
    </row>
    <row r="27">
      <c r="A27" s="126">
        <f t="shared" si="1"/>
        <v>18</v>
      </c>
      <c r="B27" s="141" t="s">
        <v>1809</v>
      </c>
      <c r="C27" s="106" t="s">
        <v>63</v>
      </c>
      <c r="D27" s="158" t="s">
        <v>1810</v>
      </c>
      <c r="E27" s="159" t="s">
        <v>905</v>
      </c>
      <c r="F27" s="159" t="s">
        <v>124</v>
      </c>
      <c r="G27" s="160" t="s">
        <v>1811</v>
      </c>
      <c r="H27" s="206" t="s">
        <v>149</v>
      </c>
      <c r="I27" s="93" t="s">
        <v>165</v>
      </c>
      <c r="J27" s="203"/>
      <c r="K27" s="191"/>
      <c r="L27" s="95"/>
      <c r="M27" s="142" t="s">
        <v>1733</v>
      </c>
      <c r="N27" s="107" t="s">
        <v>1812</v>
      </c>
      <c r="O27" s="108" t="s">
        <v>753</v>
      </c>
      <c r="P27" s="108" t="s">
        <v>1813</v>
      </c>
      <c r="Q27" s="108" t="s">
        <v>1814</v>
      </c>
      <c r="R27" s="120" t="s">
        <v>1815</v>
      </c>
      <c r="S27" s="99"/>
      <c r="T27" s="95"/>
      <c r="U27" s="100"/>
      <c r="V27" s="101"/>
      <c r="W27" s="101"/>
      <c r="X27" s="101"/>
      <c r="Y27" s="64"/>
      <c r="Z27" s="64"/>
      <c r="AA27" s="64"/>
      <c r="AB27" s="64"/>
      <c r="AC27" s="64"/>
      <c r="AD27" s="64"/>
      <c r="AE27" s="64"/>
      <c r="AF27" s="64"/>
      <c r="AG27" s="64"/>
    </row>
    <row r="28">
      <c r="A28" s="126">
        <f t="shared" si="1"/>
        <v>19</v>
      </c>
      <c r="B28" s="217" t="s">
        <v>1816</v>
      </c>
      <c r="C28" s="106" t="s">
        <v>63</v>
      </c>
      <c r="D28" s="128" t="s">
        <v>1817</v>
      </c>
      <c r="E28" s="129" t="s">
        <v>905</v>
      </c>
      <c r="F28" s="129" t="s">
        <v>1538</v>
      </c>
      <c r="G28" s="130" t="s">
        <v>1818</v>
      </c>
      <c r="H28" s="206" t="s">
        <v>149</v>
      </c>
      <c r="I28" s="93" t="s">
        <v>150</v>
      </c>
      <c r="J28" s="165" t="s">
        <v>1819</v>
      </c>
      <c r="K28" s="147" t="s">
        <v>1820</v>
      </c>
      <c r="L28" s="95"/>
      <c r="M28" s="106"/>
      <c r="N28" s="107"/>
      <c r="O28" s="108"/>
      <c r="P28" s="108"/>
      <c r="Q28" s="108"/>
      <c r="R28" s="120"/>
      <c r="S28" s="181"/>
      <c r="T28" s="182"/>
      <c r="U28" s="182"/>
      <c r="V28" s="182"/>
      <c r="W28" s="85"/>
      <c r="X28" s="85"/>
      <c r="Y28" s="64"/>
      <c r="Z28" s="64"/>
      <c r="AA28" s="64"/>
      <c r="AB28" s="64"/>
      <c r="AC28" s="64"/>
      <c r="AD28" s="64"/>
      <c r="AE28" s="64"/>
      <c r="AF28" s="64"/>
      <c r="AG28" s="64"/>
    </row>
    <row r="29">
      <c r="A29" s="126">
        <f t="shared" si="1"/>
        <v>20</v>
      </c>
      <c r="B29" s="224" t="s">
        <v>1821</v>
      </c>
      <c r="C29" s="134" t="s">
        <v>63</v>
      </c>
      <c r="D29" s="158" t="s">
        <v>1822</v>
      </c>
      <c r="E29" s="159" t="s">
        <v>895</v>
      </c>
      <c r="F29" s="159" t="s">
        <v>163</v>
      </c>
      <c r="G29" s="160" t="s">
        <v>1823</v>
      </c>
      <c r="H29" s="206" t="s">
        <v>149</v>
      </c>
      <c r="I29" s="93" t="s">
        <v>165</v>
      </c>
      <c r="J29" s="203"/>
      <c r="K29" s="145"/>
      <c r="L29" s="95"/>
      <c r="M29" s="134" t="s">
        <v>1414</v>
      </c>
      <c r="N29" s="225" t="s">
        <v>1824</v>
      </c>
      <c r="O29" s="134" t="s">
        <v>1825</v>
      </c>
      <c r="P29" s="134" t="s">
        <v>1826</v>
      </c>
      <c r="Q29" s="106" t="s">
        <v>1827</v>
      </c>
      <c r="R29" s="176" t="s">
        <v>1828</v>
      </c>
      <c r="S29" s="181"/>
      <c r="T29" s="182"/>
      <c r="U29" s="182"/>
      <c r="V29" s="182"/>
      <c r="W29" s="85"/>
      <c r="X29" s="85"/>
      <c r="Y29" s="64"/>
      <c r="Z29" s="64"/>
      <c r="AA29" s="64"/>
      <c r="AB29" s="64"/>
      <c r="AC29" s="64"/>
      <c r="AD29" s="64"/>
      <c r="AE29" s="64"/>
      <c r="AF29" s="64"/>
      <c r="AG29" s="64"/>
    </row>
    <row r="30">
      <c r="A30" s="126">
        <f t="shared" si="1"/>
        <v>21</v>
      </c>
      <c r="B30" s="121" t="s">
        <v>1829</v>
      </c>
      <c r="C30" s="134" t="s">
        <v>63</v>
      </c>
      <c r="D30" s="128" t="s">
        <v>1830</v>
      </c>
      <c r="E30" s="129" t="s">
        <v>895</v>
      </c>
      <c r="F30" s="129" t="s">
        <v>1086</v>
      </c>
      <c r="G30" s="130" t="s">
        <v>1831</v>
      </c>
      <c r="H30" s="206" t="s">
        <v>149</v>
      </c>
      <c r="I30" s="93" t="s">
        <v>165</v>
      </c>
      <c r="J30" s="166"/>
      <c r="K30" s="104"/>
      <c r="L30" s="95"/>
      <c r="M30" s="106" t="s">
        <v>661</v>
      </c>
      <c r="N30" s="107" t="s">
        <v>1832</v>
      </c>
      <c r="O30" s="108" t="s">
        <v>1833</v>
      </c>
      <c r="P30" s="108" t="s">
        <v>1834</v>
      </c>
      <c r="Q30" s="108" t="s">
        <v>1835</v>
      </c>
      <c r="R30" s="120" t="s">
        <v>1836</v>
      </c>
      <c r="S30" s="181"/>
      <c r="T30" s="182"/>
      <c r="U30" s="182"/>
      <c r="V30" s="182"/>
      <c r="W30" s="85"/>
      <c r="X30" s="85"/>
      <c r="Y30" s="64"/>
      <c r="Z30" s="64"/>
      <c r="AA30" s="64"/>
      <c r="AB30" s="64"/>
      <c r="AC30" s="64"/>
      <c r="AD30" s="64"/>
      <c r="AE30" s="64"/>
      <c r="AF30" s="64"/>
      <c r="AG30" s="64"/>
    </row>
    <row r="31">
      <c r="A31" s="126">
        <f t="shared" si="1"/>
        <v>22</v>
      </c>
      <c r="B31" s="152" t="s">
        <v>1837</v>
      </c>
      <c r="C31" s="126" t="s">
        <v>63</v>
      </c>
      <c r="D31" s="158" t="s">
        <v>1838</v>
      </c>
      <c r="E31" s="159" t="s">
        <v>895</v>
      </c>
      <c r="F31" s="226" t="s">
        <v>124</v>
      </c>
      <c r="G31" s="160" t="s">
        <v>1839</v>
      </c>
      <c r="H31" s="206" t="s">
        <v>149</v>
      </c>
      <c r="I31" s="93" t="s">
        <v>187</v>
      </c>
      <c r="J31" s="227"/>
      <c r="K31" s="228" t="s">
        <v>1840</v>
      </c>
      <c r="L31" s="95"/>
      <c r="M31" s="106"/>
      <c r="N31" s="107"/>
      <c r="O31" s="108"/>
      <c r="P31" s="108"/>
      <c r="Q31" s="108"/>
      <c r="R31" s="120"/>
      <c r="S31" s="181"/>
      <c r="T31" s="182"/>
      <c r="U31" s="182"/>
      <c r="V31" s="182"/>
      <c r="W31" s="85"/>
      <c r="X31" s="85"/>
      <c r="Y31" s="64"/>
      <c r="Z31" s="64"/>
      <c r="AA31" s="64"/>
      <c r="AB31" s="64"/>
      <c r="AC31" s="64"/>
      <c r="AD31" s="64"/>
      <c r="AE31" s="64"/>
      <c r="AF31" s="64"/>
      <c r="AG31" s="64"/>
    </row>
    <row r="32">
      <c r="A32" s="126">
        <f t="shared" si="1"/>
        <v>23</v>
      </c>
      <c r="B32" s="141" t="s">
        <v>1841</v>
      </c>
      <c r="C32" s="106" t="s">
        <v>63</v>
      </c>
      <c r="D32" s="128" t="s">
        <v>1842</v>
      </c>
      <c r="E32" s="129" t="s">
        <v>1370</v>
      </c>
      <c r="F32" s="129" t="s">
        <v>124</v>
      </c>
      <c r="G32" s="130" t="s">
        <v>1843</v>
      </c>
      <c r="H32" s="206" t="s">
        <v>149</v>
      </c>
      <c r="I32" s="93" t="s">
        <v>187</v>
      </c>
      <c r="J32" s="165" t="s">
        <v>1844</v>
      </c>
      <c r="K32" s="229" t="s">
        <v>1845</v>
      </c>
      <c r="L32" s="95"/>
      <c r="M32" s="96"/>
      <c r="N32" s="97"/>
      <c r="O32" s="98"/>
      <c r="P32" s="98"/>
      <c r="Q32" s="98"/>
      <c r="R32" s="98"/>
      <c r="S32" s="99"/>
      <c r="T32" s="95"/>
      <c r="U32" s="100"/>
      <c r="V32" s="101"/>
      <c r="W32" s="101"/>
      <c r="X32" s="101"/>
      <c r="Y32" s="64"/>
      <c r="Z32" s="64"/>
      <c r="AA32" s="64"/>
      <c r="AB32" s="64"/>
      <c r="AC32" s="64"/>
      <c r="AD32" s="64"/>
      <c r="AE32" s="64"/>
      <c r="AF32" s="64"/>
      <c r="AG32" s="64"/>
    </row>
    <row r="33">
      <c r="A33" s="126">
        <f t="shared" si="1"/>
        <v>24</v>
      </c>
      <c r="B33" s="151" t="s">
        <v>1846</v>
      </c>
      <c r="C33" s="106" t="s">
        <v>63</v>
      </c>
      <c r="D33" s="158" t="s">
        <v>1847</v>
      </c>
      <c r="E33" s="159" t="s">
        <v>895</v>
      </c>
      <c r="F33" s="159" t="s">
        <v>124</v>
      </c>
      <c r="G33" s="160" t="s">
        <v>1848</v>
      </c>
      <c r="H33" s="206" t="s">
        <v>149</v>
      </c>
      <c r="I33" s="93" t="s">
        <v>165</v>
      </c>
      <c r="J33" s="203"/>
      <c r="K33" s="184"/>
      <c r="L33" s="95"/>
      <c r="M33" s="106" t="s">
        <v>456</v>
      </c>
      <c r="N33" s="107" t="s">
        <v>1849</v>
      </c>
      <c r="O33" s="108" t="s">
        <v>1850</v>
      </c>
      <c r="P33" s="108" t="s">
        <v>1851</v>
      </c>
      <c r="Q33" s="163" t="s">
        <v>1852</v>
      </c>
      <c r="R33" s="164" t="s">
        <v>1853</v>
      </c>
      <c r="S33" s="181"/>
      <c r="T33" s="182"/>
      <c r="U33" s="182"/>
      <c r="V33" s="182"/>
      <c r="W33" s="85"/>
      <c r="X33" s="85"/>
      <c r="Y33" s="64"/>
      <c r="Z33" s="64"/>
      <c r="AA33" s="64"/>
      <c r="AB33" s="64"/>
      <c r="AC33" s="64"/>
      <c r="AD33" s="64"/>
      <c r="AE33" s="64"/>
      <c r="AF33" s="64"/>
      <c r="AG33" s="64"/>
    </row>
    <row r="34">
      <c r="A34" s="126">
        <f t="shared" si="1"/>
        <v>25</v>
      </c>
      <c r="B34" s="136" t="s">
        <v>1854</v>
      </c>
      <c r="C34" s="126" t="s">
        <v>63</v>
      </c>
      <c r="D34" s="128" t="s">
        <v>1855</v>
      </c>
      <c r="E34" s="135" t="s">
        <v>1306</v>
      </c>
      <c r="F34" s="135" t="s">
        <v>124</v>
      </c>
      <c r="G34" s="130" t="s">
        <v>1856</v>
      </c>
      <c r="H34" s="206" t="s">
        <v>149</v>
      </c>
      <c r="I34" s="93" t="s">
        <v>165</v>
      </c>
      <c r="J34" s="166"/>
      <c r="K34" s="104"/>
      <c r="L34" s="95"/>
      <c r="M34" s="106" t="s">
        <v>993</v>
      </c>
      <c r="N34" s="107" t="s">
        <v>1857</v>
      </c>
      <c r="O34" s="108" t="str">
        <f>IFERROR(__xludf.DUMMYFUNCTION("IFERROR(REGEXEXTRACT(TRIM(N34),""^\S+""),"""")
"),"Alexei")</f>
        <v>Alexei</v>
      </c>
      <c r="P34" s="108" t="str">
        <f>IFERROR(__xludf.DUMMYFUNCTION("IFERROR(TRIM(REGEXREPLACE(TRIM(N34),""^\S+\s*"","""")),"""")
"),"Kalinin")</f>
        <v>Kalinin</v>
      </c>
      <c r="Q34" s="163" t="s">
        <v>1858</v>
      </c>
      <c r="R34" s="164" t="s">
        <v>1859</v>
      </c>
      <c r="S34" s="181"/>
      <c r="T34" s="182"/>
      <c r="U34" s="182"/>
      <c r="V34" s="182"/>
      <c r="W34" s="85"/>
      <c r="X34" s="85"/>
      <c r="Y34" s="64"/>
      <c r="Z34" s="64"/>
      <c r="AA34" s="64"/>
      <c r="AB34" s="64"/>
      <c r="AC34" s="64"/>
      <c r="AD34" s="64"/>
      <c r="AE34" s="64"/>
      <c r="AF34" s="64"/>
      <c r="AG34" s="64"/>
    </row>
    <row r="35">
      <c r="A35" s="126">
        <f t="shared" si="1"/>
        <v>26</v>
      </c>
      <c r="B35" s="141" t="s">
        <v>1860</v>
      </c>
      <c r="C35" s="126" t="s">
        <v>63</v>
      </c>
      <c r="D35" s="158" t="s">
        <v>1861</v>
      </c>
      <c r="E35" s="159" t="s">
        <v>895</v>
      </c>
      <c r="F35" s="159" t="s">
        <v>1862</v>
      </c>
      <c r="G35" s="160" t="s">
        <v>1863</v>
      </c>
      <c r="H35" s="206" t="s">
        <v>149</v>
      </c>
      <c r="I35" s="93" t="s">
        <v>187</v>
      </c>
      <c r="J35" s="230" t="s">
        <v>1864</v>
      </c>
      <c r="K35" s="229" t="s">
        <v>1845</v>
      </c>
      <c r="L35" s="95"/>
      <c r="M35" s="106"/>
      <c r="N35" s="107"/>
      <c r="O35" s="108"/>
      <c r="P35" s="108"/>
      <c r="Q35" s="108"/>
      <c r="R35" s="120"/>
      <c r="S35" s="99"/>
      <c r="T35" s="95"/>
      <c r="U35" s="100"/>
      <c r="V35" s="101"/>
      <c r="W35" s="101"/>
      <c r="X35" s="101"/>
      <c r="Y35" s="64"/>
      <c r="Z35" s="64"/>
      <c r="AA35" s="64"/>
      <c r="AB35" s="64"/>
      <c r="AC35" s="64"/>
      <c r="AD35" s="64"/>
      <c r="AE35" s="64"/>
      <c r="AF35" s="64"/>
      <c r="AG35" s="64"/>
    </row>
    <row r="36">
      <c r="A36" s="126">
        <f t="shared" si="1"/>
        <v>27</v>
      </c>
      <c r="B36" s="127" t="s">
        <v>1865</v>
      </c>
      <c r="C36" s="126" t="s">
        <v>63</v>
      </c>
      <c r="D36" s="128" t="s">
        <v>1866</v>
      </c>
      <c r="E36" s="129" t="s">
        <v>895</v>
      </c>
      <c r="F36" s="129" t="s">
        <v>1867</v>
      </c>
      <c r="G36" s="130" t="s">
        <v>1868</v>
      </c>
      <c r="H36" s="206" t="s">
        <v>149</v>
      </c>
      <c r="I36" s="93" t="s">
        <v>165</v>
      </c>
      <c r="J36" s="201"/>
      <c r="K36" s="191"/>
      <c r="L36" s="95"/>
      <c r="M36" s="106" t="s">
        <v>1869</v>
      </c>
      <c r="N36" s="107" t="s">
        <v>1870</v>
      </c>
      <c r="O36" s="108" t="s">
        <v>1871</v>
      </c>
      <c r="P36" s="108" t="s">
        <v>1872</v>
      </c>
      <c r="Q36" s="163" t="s">
        <v>1873</v>
      </c>
      <c r="R36" s="164" t="s">
        <v>1874</v>
      </c>
      <c r="S36" s="99"/>
      <c r="T36" s="95"/>
      <c r="U36" s="100"/>
      <c r="V36" s="101"/>
      <c r="W36" s="101"/>
      <c r="X36" s="101"/>
      <c r="Y36" s="64"/>
      <c r="Z36" s="64"/>
      <c r="AA36" s="64"/>
      <c r="AB36" s="64"/>
      <c r="AC36" s="64"/>
      <c r="AD36" s="64"/>
      <c r="AE36" s="64"/>
      <c r="AF36" s="64"/>
      <c r="AG36" s="64"/>
    </row>
    <row r="37">
      <c r="A37" s="126">
        <f t="shared" si="1"/>
        <v>28</v>
      </c>
      <c r="B37" s="127" t="s">
        <v>1875</v>
      </c>
      <c r="C37" s="126" t="s">
        <v>63</v>
      </c>
      <c r="D37" s="158" t="s">
        <v>1876</v>
      </c>
      <c r="E37" s="159" t="s">
        <v>895</v>
      </c>
      <c r="F37" s="159" t="s">
        <v>322</v>
      </c>
      <c r="G37" s="160" t="s">
        <v>1877</v>
      </c>
      <c r="H37" s="206" t="s">
        <v>149</v>
      </c>
      <c r="I37" s="93" t="s">
        <v>165</v>
      </c>
      <c r="J37" s="203"/>
      <c r="K37" s="191"/>
      <c r="L37" s="95"/>
      <c r="M37" s="106" t="s">
        <v>153</v>
      </c>
      <c r="N37" s="107" t="s">
        <v>1878</v>
      </c>
      <c r="O37" s="108" t="s">
        <v>1879</v>
      </c>
      <c r="P37" s="108" t="s">
        <v>1880</v>
      </c>
      <c r="Q37" s="163" t="s">
        <v>1881</v>
      </c>
      <c r="R37" s="164" t="s">
        <v>1882</v>
      </c>
      <c r="S37" s="99"/>
      <c r="T37" s="95"/>
      <c r="U37" s="100"/>
      <c r="V37" s="101"/>
      <c r="W37" s="101"/>
      <c r="X37" s="101"/>
      <c r="Y37" s="64"/>
      <c r="Z37" s="64"/>
      <c r="AA37" s="64"/>
      <c r="AB37" s="64"/>
      <c r="AC37" s="64"/>
      <c r="AD37" s="64"/>
      <c r="AE37" s="64"/>
      <c r="AF37" s="64"/>
      <c r="AG37" s="64"/>
    </row>
    <row r="38">
      <c r="A38" s="126">
        <f t="shared" si="1"/>
        <v>29</v>
      </c>
      <c r="B38" s="136" t="s">
        <v>1883</v>
      </c>
      <c r="C38" s="126" t="s">
        <v>63</v>
      </c>
      <c r="D38" s="128" t="s">
        <v>1884</v>
      </c>
      <c r="E38" s="129" t="s">
        <v>924</v>
      </c>
      <c r="F38" s="129" t="s">
        <v>124</v>
      </c>
      <c r="G38" s="130" t="s">
        <v>1885</v>
      </c>
      <c r="H38" s="206" t="s">
        <v>149</v>
      </c>
      <c r="I38" s="93" t="s">
        <v>165</v>
      </c>
      <c r="J38" s="201"/>
      <c r="K38" s="104"/>
      <c r="L38" s="95"/>
      <c r="M38" s="106" t="s">
        <v>456</v>
      </c>
      <c r="N38" s="107" t="s">
        <v>1886</v>
      </c>
      <c r="O38" s="108" t="s">
        <v>1887</v>
      </c>
      <c r="P38" s="108" t="s">
        <v>1888</v>
      </c>
      <c r="Q38" s="163" t="s">
        <v>1889</v>
      </c>
      <c r="R38" s="164" t="s">
        <v>1890</v>
      </c>
      <c r="S38" s="181"/>
      <c r="T38" s="182"/>
      <c r="U38" s="182"/>
      <c r="V38" s="182"/>
      <c r="W38" s="85"/>
      <c r="X38" s="85"/>
      <c r="Y38" s="64"/>
      <c r="Z38" s="64"/>
      <c r="AA38" s="64"/>
      <c r="AB38" s="64"/>
      <c r="AC38" s="64"/>
      <c r="AD38" s="64"/>
      <c r="AE38" s="64"/>
      <c r="AF38" s="64"/>
      <c r="AG38" s="64"/>
    </row>
    <row r="39">
      <c r="A39" s="126">
        <f t="shared" si="1"/>
        <v>30</v>
      </c>
      <c r="B39" s="141" t="s">
        <v>1891</v>
      </c>
      <c r="C39" s="106" t="s">
        <v>63</v>
      </c>
      <c r="D39" s="158" t="s">
        <v>1892</v>
      </c>
      <c r="E39" s="159" t="s">
        <v>895</v>
      </c>
      <c r="F39" s="159" t="s">
        <v>573</v>
      </c>
      <c r="G39" s="183" t="s">
        <v>1893</v>
      </c>
      <c r="H39" s="206" t="s">
        <v>149</v>
      </c>
      <c r="I39" s="93" t="s">
        <v>165</v>
      </c>
      <c r="J39" s="203"/>
      <c r="K39" s="191"/>
      <c r="L39" s="95"/>
      <c r="M39" s="106" t="s">
        <v>153</v>
      </c>
      <c r="N39" s="107" t="s">
        <v>1894</v>
      </c>
      <c r="O39" s="108" t="s">
        <v>1895</v>
      </c>
      <c r="P39" s="108" t="s">
        <v>1896</v>
      </c>
      <c r="Q39" s="163" t="s">
        <v>1897</v>
      </c>
      <c r="R39" s="164" t="s">
        <v>1898</v>
      </c>
      <c r="S39" s="99"/>
      <c r="T39" s="95"/>
      <c r="U39" s="100"/>
      <c r="V39" s="101"/>
      <c r="W39" s="101"/>
      <c r="X39" s="101"/>
      <c r="Y39" s="64"/>
      <c r="Z39" s="64"/>
      <c r="AA39" s="64"/>
      <c r="AB39" s="64"/>
      <c r="AC39" s="64"/>
      <c r="AD39" s="64"/>
      <c r="AE39" s="64"/>
      <c r="AF39" s="64"/>
      <c r="AG39" s="64"/>
    </row>
    <row r="40">
      <c r="A40" s="126">
        <f t="shared" si="1"/>
        <v>31</v>
      </c>
      <c r="B40" s="141" t="s">
        <v>1899</v>
      </c>
      <c r="C40" s="106" t="s">
        <v>63</v>
      </c>
      <c r="D40" s="128" t="s">
        <v>1900</v>
      </c>
      <c r="E40" s="129" t="s">
        <v>895</v>
      </c>
      <c r="F40" s="129" t="s">
        <v>147</v>
      </c>
      <c r="G40" s="130" t="s">
        <v>1901</v>
      </c>
      <c r="H40" s="206" t="s">
        <v>149</v>
      </c>
      <c r="I40" s="93" t="s">
        <v>150</v>
      </c>
      <c r="J40" s="165" t="s">
        <v>1902</v>
      </c>
      <c r="K40" s="148" t="s">
        <v>1903</v>
      </c>
      <c r="L40" s="95"/>
      <c r="M40" s="96"/>
      <c r="N40" s="97"/>
      <c r="O40" s="98"/>
      <c r="P40" s="98"/>
      <c r="Q40" s="98"/>
      <c r="R40" s="98"/>
      <c r="S40" s="99"/>
      <c r="T40" s="95"/>
      <c r="U40" s="100"/>
      <c r="V40" s="101"/>
      <c r="W40" s="101"/>
      <c r="X40" s="101"/>
      <c r="Y40" s="64"/>
      <c r="Z40" s="64"/>
      <c r="AA40" s="64"/>
      <c r="AB40" s="64"/>
      <c r="AC40" s="64"/>
      <c r="AD40" s="64"/>
      <c r="AE40" s="64"/>
      <c r="AF40" s="64"/>
      <c r="AG40" s="64"/>
    </row>
    <row r="41">
      <c r="A41" s="126">
        <f t="shared" si="1"/>
        <v>32</v>
      </c>
      <c r="B41" s="136" t="s">
        <v>1904</v>
      </c>
      <c r="C41" s="106" t="s">
        <v>63</v>
      </c>
      <c r="D41" s="158" t="s">
        <v>1905</v>
      </c>
      <c r="E41" s="159" t="s">
        <v>895</v>
      </c>
      <c r="F41" s="159" t="s">
        <v>194</v>
      </c>
      <c r="G41" s="160" t="s">
        <v>1906</v>
      </c>
      <c r="H41" s="206" t="s">
        <v>149</v>
      </c>
      <c r="I41" s="93" t="s">
        <v>165</v>
      </c>
      <c r="J41" s="227"/>
      <c r="K41" s="104"/>
      <c r="L41" s="95"/>
      <c r="M41" s="106" t="s">
        <v>499</v>
      </c>
      <c r="N41" s="107" t="s">
        <v>1907</v>
      </c>
      <c r="O41" s="108" t="s">
        <v>1908</v>
      </c>
      <c r="P41" s="108" t="s">
        <v>1909</v>
      </c>
      <c r="Q41" s="209" t="s">
        <v>1910</v>
      </c>
      <c r="R41" s="164" t="s">
        <v>1911</v>
      </c>
      <c r="S41" s="181"/>
      <c r="T41" s="182"/>
      <c r="U41" s="182"/>
      <c r="V41" s="182"/>
      <c r="W41" s="85"/>
      <c r="X41" s="85"/>
      <c r="Y41" s="64"/>
      <c r="Z41" s="64"/>
      <c r="AA41" s="64"/>
      <c r="AB41" s="64"/>
      <c r="AC41" s="64"/>
      <c r="AD41" s="64"/>
      <c r="AE41" s="64"/>
      <c r="AF41" s="64"/>
      <c r="AG41" s="64"/>
    </row>
    <row r="42">
      <c r="A42" s="126">
        <f t="shared" si="1"/>
        <v>33</v>
      </c>
      <c r="B42" s="195" t="s">
        <v>1912</v>
      </c>
      <c r="C42" s="134" t="s">
        <v>63</v>
      </c>
      <c r="D42" s="128" t="s">
        <v>1913</v>
      </c>
      <c r="E42" s="129" t="s">
        <v>895</v>
      </c>
      <c r="F42" s="129" t="s">
        <v>573</v>
      </c>
      <c r="G42" s="130" t="s">
        <v>1914</v>
      </c>
      <c r="H42" s="206" t="s">
        <v>149</v>
      </c>
      <c r="I42" s="93" t="s">
        <v>150</v>
      </c>
      <c r="J42" s="165" t="s">
        <v>1915</v>
      </c>
      <c r="K42" s="229" t="s">
        <v>1845</v>
      </c>
      <c r="L42" s="95"/>
      <c r="M42" s="106"/>
      <c r="N42" s="107"/>
      <c r="O42" s="108"/>
      <c r="P42" s="108"/>
      <c r="Q42" s="108"/>
      <c r="R42" s="120"/>
      <c r="S42" s="181"/>
      <c r="T42" s="182"/>
      <c r="U42" s="182"/>
      <c r="V42" s="182"/>
      <c r="W42" s="85"/>
      <c r="X42" s="85"/>
      <c r="Y42" s="64"/>
      <c r="Z42" s="64"/>
      <c r="AA42" s="64"/>
      <c r="AB42" s="64"/>
      <c r="AC42" s="64"/>
      <c r="AD42" s="64"/>
      <c r="AE42" s="64"/>
      <c r="AF42" s="64"/>
      <c r="AG42" s="64"/>
    </row>
    <row r="43">
      <c r="A43" s="126">
        <f t="shared" si="1"/>
        <v>34</v>
      </c>
      <c r="B43" s="141" t="s">
        <v>1916</v>
      </c>
      <c r="C43" s="106" t="s">
        <v>63</v>
      </c>
      <c r="D43" s="158" t="s">
        <v>1917</v>
      </c>
      <c r="E43" s="159" t="s">
        <v>895</v>
      </c>
      <c r="F43" s="159" t="s">
        <v>573</v>
      </c>
      <c r="G43" s="160" t="s">
        <v>1918</v>
      </c>
      <c r="H43" s="206" t="s">
        <v>149</v>
      </c>
      <c r="I43" s="93" t="s">
        <v>150</v>
      </c>
      <c r="J43" s="230" t="s">
        <v>1919</v>
      </c>
      <c r="K43" s="229" t="s">
        <v>1845</v>
      </c>
      <c r="L43" s="95"/>
      <c r="M43" s="142"/>
      <c r="N43" s="107"/>
      <c r="O43" s="108"/>
      <c r="P43" s="108"/>
      <c r="Q43" s="108"/>
      <c r="R43" s="120"/>
      <c r="S43" s="99"/>
      <c r="T43" s="95"/>
      <c r="U43" s="100"/>
      <c r="V43" s="101"/>
      <c r="W43" s="101"/>
      <c r="X43" s="101"/>
      <c r="Y43" s="64"/>
      <c r="Z43" s="64"/>
      <c r="AA43" s="64"/>
      <c r="AB43" s="64"/>
      <c r="AC43" s="64"/>
      <c r="AD43" s="64"/>
      <c r="AE43" s="64"/>
      <c r="AF43" s="64"/>
      <c r="AG43" s="64"/>
    </row>
    <row r="44">
      <c r="A44" s="126">
        <f t="shared" si="1"/>
        <v>35</v>
      </c>
      <c r="B44" s="141" t="s">
        <v>1920</v>
      </c>
      <c r="C44" s="106" t="s">
        <v>63</v>
      </c>
      <c r="D44" s="128" t="s">
        <v>1921</v>
      </c>
      <c r="E44" s="129" t="s">
        <v>905</v>
      </c>
      <c r="F44" s="129" t="s">
        <v>376</v>
      </c>
      <c r="G44" s="130" t="s">
        <v>1922</v>
      </c>
      <c r="H44" s="206" t="s">
        <v>149</v>
      </c>
      <c r="I44" s="93" t="s">
        <v>165</v>
      </c>
      <c r="J44" s="201"/>
      <c r="K44" s="191"/>
      <c r="L44" s="95"/>
      <c r="M44" s="142" t="s">
        <v>1923</v>
      </c>
      <c r="N44" s="107" t="s">
        <v>1924</v>
      </c>
      <c r="O44" s="108" t="s">
        <v>1925</v>
      </c>
      <c r="P44" s="108" t="s">
        <v>1926</v>
      </c>
      <c r="Q44" s="163" t="s">
        <v>1927</v>
      </c>
      <c r="R44" s="164" t="s">
        <v>1928</v>
      </c>
      <c r="S44" s="99"/>
      <c r="T44" s="95"/>
      <c r="U44" s="100"/>
      <c r="V44" s="101"/>
      <c r="W44" s="101"/>
      <c r="X44" s="101"/>
      <c r="Y44" s="64"/>
      <c r="Z44" s="64"/>
      <c r="AA44" s="64"/>
      <c r="AB44" s="64"/>
      <c r="AC44" s="64"/>
      <c r="AD44" s="64"/>
      <c r="AE44" s="64"/>
      <c r="AF44" s="64"/>
      <c r="AG44" s="64"/>
    </row>
    <row r="45">
      <c r="A45" s="126">
        <f t="shared" si="1"/>
        <v>36</v>
      </c>
      <c r="B45" s="195" t="s">
        <v>1929</v>
      </c>
      <c r="C45" s="134" t="s">
        <v>63</v>
      </c>
      <c r="D45" s="128" t="s">
        <v>1930</v>
      </c>
      <c r="E45" s="129" t="s">
        <v>895</v>
      </c>
      <c r="F45" s="129" t="s">
        <v>420</v>
      </c>
      <c r="G45" s="130" t="s">
        <v>1931</v>
      </c>
      <c r="H45" s="206" t="s">
        <v>149</v>
      </c>
      <c r="I45" s="93" t="s">
        <v>150</v>
      </c>
      <c r="J45" s="165" t="s">
        <v>1932</v>
      </c>
      <c r="K45" s="90" t="s">
        <v>1933</v>
      </c>
      <c r="L45" s="95"/>
      <c r="M45" s="106"/>
      <c r="N45" s="107"/>
      <c r="O45" s="108"/>
      <c r="P45" s="108"/>
      <c r="Q45" s="108"/>
      <c r="R45" s="120"/>
      <c r="S45" s="181"/>
      <c r="T45" s="182"/>
      <c r="U45" s="182"/>
      <c r="V45" s="182"/>
      <c r="W45" s="85"/>
      <c r="X45" s="85"/>
      <c r="Y45" s="64"/>
      <c r="Z45" s="64"/>
      <c r="AA45" s="64"/>
      <c r="AB45" s="64"/>
      <c r="AC45" s="64"/>
      <c r="AD45" s="64"/>
      <c r="AE45" s="64"/>
      <c r="AF45" s="64"/>
      <c r="AG45" s="64"/>
    </row>
    <row r="46">
      <c r="A46" s="126">
        <f t="shared" si="1"/>
        <v>37</v>
      </c>
      <c r="B46" s="136" t="s">
        <v>1934</v>
      </c>
      <c r="C46" s="134" t="s">
        <v>63</v>
      </c>
      <c r="D46" s="158" t="s">
        <v>1935</v>
      </c>
      <c r="E46" s="159" t="s">
        <v>895</v>
      </c>
      <c r="F46" s="226" t="s">
        <v>124</v>
      </c>
      <c r="G46" s="160" t="s">
        <v>1936</v>
      </c>
      <c r="H46" s="206" t="s">
        <v>149</v>
      </c>
      <c r="I46" s="93" t="s">
        <v>150</v>
      </c>
      <c r="J46" s="230" t="s">
        <v>1937</v>
      </c>
      <c r="K46" s="231" t="s">
        <v>1938</v>
      </c>
      <c r="L46" s="95"/>
      <c r="M46" s="106"/>
      <c r="N46" s="107"/>
      <c r="O46" s="108"/>
      <c r="P46" s="108"/>
      <c r="Q46" s="108"/>
      <c r="R46" s="120"/>
      <c r="S46" s="99"/>
      <c r="T46" s="95"/>
      <c r="U46" s="100"/>
      <c r="V46" s="101"/>
      <c r="W46" s="101"/>
      <c r="X46" s="101"/>
      <c r="Y46" s="64"/>
      <c r="Z46" s="64"/>
      <c r="AA46" s="64"/>
      <c r="AB46" s="64"/>
      <c r="AC46" s="64"/>
      <c r="AD46" s="64"/>
      <c r="AE46" s="64"/>
      <c r="AF46" s="64"/>
      <c r="AG46" s="64"/>
    </row>
    <row r="47">
      <c r="A47" s="126">
        <f t="shared" si="1"/>
        <v>38</v>
      </c>
      <c r="B47" s="141" t="s">
        <v>1939</v>
      </c>
      <c r="C47" s="134" t="s">
        <v>63</v>
      </c>
      <c r="D47" s="88" t="s">
        <v>1940</v>
      </c>
      <c r="E47" s="90" t="s">
        <v>924</v>
      </c>
      <c r="F47" s="129" t="s">
        <v>147</v>
      </c>
      <c r="G47" s="130" t="s">
        <v>1941</v>
      </c>
      <c r="H47" s="206" t="s">
        <v>149</v>
      </c>
      <c r="I47" s="93" t="s">
        <v>150</v>
      </c>
      <c r="J47" s="165" t="s">
        <v>1942</v>
      </c>
      <c r="K47" s="232" t="s">
        <v>1943</v>
      </c>
      <c r="L47" s="95"/>
      <c r="M47" s="96"/>
      <c r="N47" s="97"/>
      <c r="O47" s="98"/>
      <c r="P47" s="98"/>
      <c r="Q47" s="98"/>
      <c r="R47" s="98"/>
      <c r="S47" s="99"/>
      <c r="T47" s="95"/>
      <c r="U47" s="100"/>
      <c r="V47" s="101"/>
      <c r="W47" s="101"/>
      <c r="X47" s="101"/>
      <c r="Y47" s="64"/>
      <c r="Z47" s="64"/>
      <c r="AA47" s="64"/>
      <c r="AB47" s="64"/>
      <c r="AC47" s="64"/>
      <c r="AD47" s="64"/>
      <c r="AE47" s="64"/>
      <c r="AF47" s="64"/>
      <c r="AG47" s="64"/>
    </row>
    <row r="48">
      <c r="A48" s="126">
        <f t="shared" si="1"/>
        <v>39</v>
      </c>
      <c r="B48" s="141" t="s">
        <v>1944</v>
      </c>
      <c r="C48" s="106" t="s">
        <v>63</v>
      </c>
      <c r="D48" s="158" t="s">
        <v>1945</v>
      </c>
      <c r="E48" s="159" t="s">
        <v>895</v>
      </c>
      <c r="F48" s="226" t="s">
        <v>124</v>
      </c>
      <c r="G48" s="160" t="s">
        <v>1946</v>
      </c>
      <c r="H48" s="206" t="s">
        <v>149</v>
      </c>
      <c r="I48" s="93" t="s">
        <v>150</v>
      </c>
      <c r="J48" s="230" t="s">
        <v>1947</v>
      </c>
      <c r="K48" s="233" t="s">
        <v>1948</v>
      </c>
      <c r="L48" s="95"/>
      <c r="M48" s="106"/>
      <c r="N48" s="107"/>
      <c r="O48" s="108"/>
      <c r="P48" s="108"/>
      <c r="Q48" s="108"/>
      <c r="R48" s="120"/>
      <c r="S48" s="181"/>
      <c r="T48" s="182"/>
      <c r="U48" s="182"/>
      <c r="V48" s="182"/>
      <c r="W48" s="85"/>
      <c r="X48" s="85"/>
      <c r="Y48" s="64"/>
      <c r="Z48" s="64"/>
      <c r="AA48" s="64"/>
      <c r="AB48" s="64"/>
      <c r="AC48" s="64"/>
      <c r="AD48" s="64"/>
      <c r="AE48" s="64"/>
      <c r="AF48" s="64"/>
      <c r="AG48" s="64"/>
    </row>
    <row r="49">
      <c r="A49" s="126">
        <f t="shared" si="1"/>
        <v>40</v>
      </c>
      <c r="B49" s="141" t="s">
        <v>1949</v>
      </c>
      <c r="C49" s="106" t="s">
        <v>63</v>
      </c>
      <c r="D49" s="128" t="s">
        <v>1950</v>
      </c>
      <c r="E49" s="129" t="s">
        <v>905</v>
      </c>
      <c r="F49" s="129" t="s">
        <v>124</v>
      </c>
      <c r="G49" s="130" t="s">
        <v>1951</v>
      </c>
      <c r="H49" s="206" t="s">
        <v>149</v>
      </c>
      <c r="I49" s="93" t="s">
        <v>165</v>
      </c>
      <c r="J49" s="166"/>
      <c r="K49" s="104"/>
      <c r="L49" s="95"/>
      <c r="M49" s="142" t="s">
        <v>1952</v>
      </c>
      <c r="N49" s="107" t="s">
        <v>1953</v>
      </c>
      <c r="O49" s="108" t="s">
        <v>1954</v>
      </c>
      <c r="P49" s="108" t="s">
        <v>1955</v>
      </c>
      <c r="Q49" s="108" t="s">
        <v>1956</v>
      </c>
      <c r="R49" s="120" t="s">
        <v>1957</v>
      </c>
      <c r="S49" s="181"/>
      <c r="T49" s="182"/>
      <c r="U49" s="182"/>
      <c r="V49" s="182"/>
      <c r="W49" s="85"/>
      <c r="X49" s="85"/>
      <c r="Y49" s="64"/>
      <c r="Z49" s="64"/>
      <c r="AA49" s="64"/>
      <c r="AB49" s="64"/>
      <c r="AC49" s="64"/>
      <c r="AD49" s="64"/>
      <c r="AE49" s="64"/>
      <c r="AF49" s="64"/>
      <c r="AG49" s="64"/>
    </row>
    <row r="50">
      <c r="A50" s="126">
        <f t="shared" si="1"/>
        <v>41</v>
      </c>
      <c r="B50" s="141" t="s">
        <v>1958</v>
      </c>
      <c r="C50" s="106" t="s">
        <v>63</v>
      </c>
      <c r="D50" s="158" t="s">
        <v>1959</v>
      </c>
      <c r="E50" s="159" t="s">
        <v>905</v>
      </c>
      <c r="F50" s="159" t="s">
        <v>147</v>
      </c>
      <c r="G50" s="234" t="s">
        <v>1960</v>
      </c>
      <c r="H50" s="206" t="s">
        <v>149</v>
      </c>
      <c r="I50" s="93" t="s">
        <v>150</v>
      </c>
      <c r="J50" s="227"/>
      <c r="K50" s="233" t="s">
        <v>1961</v>
      </c>
      <c r="L50" s="95"/>
      <c r="M50" s="106"/>
      <c r="N50" s="107"/>
      <c r="O50" s="108"/>
      <c r="P50" s="108"/>
      <c r="Q50" s="108"/>
      <c r="R50" s="120"/>
      <c r="S50" s="181"/>
      <c r="T50" s="182"/>
      <c r="U50" s="182"/>
      <c r="V50" s="182"/>
      <c r="W50" s="85"/>
      <c r="X50" s="85"/>
      <c r="Y50" s="64"/>
      <c r="Z50" s="64"/>
      <c r="AA50" s="64"/>
      <c r="AB50" s="64"/>
      <c r="AC50" s="64"/>
      <c r="AD50" s="64"/>
      <c r="AE50" s="64"/>
      <c r="AF50" s="64"/>
      <c r="AG50" s="64"/>
    </row>
    <row r="51">
      <c r="A51" s="126">
        <f t="shared" si="1"/>
        <v>42</v>
      </c>
      <c r="B51" s="141" t="s">
        <v>1962</v>
      </c>
      <c r="C51" s="106" t="s">
        <v>63</v>
      </c>
      <c r="D51" s="128" t="s">
        <v>1963</v>
      </c>
      <c r="E51" s="129" t="s">
        <v>895</v>
      </c>
      <c r="F51" s="129" t="s">
        <v>124</v>
      </c>
      <c r="G51" s="130" t="s">
        <v>1964</v>
      </c>
      <c r="H51" s="206" t="s">
        <v>149</v>
      </c>
      <c r="I51" s="93" t="s">
        <v>165</v>
      </c>
      <c r="J51" s="201"/>
      <c r="K51" s="191"/>
      <c r="L51" s="95"/>
      <c r="M51" s="142" t="s">
        <v>1965</v>
      </c>
      <c r="N51" s="107" t="s">
        <v>1966</v>
      </c>
      <c r="O51" s="108" t="s">
        <v>1967</v>
      </c>
      <c r="P51" s="108" t="s">
        <v>1968</v>
      </c>
      <c r="Q51" s="163" t="s">
        <v>1969</v>
      </c>
      <c r="R51" s="164" t="s">
        <v>1970</v>
      </c>
      <c r="S51" s="99"/>
      <c r="T51" s="95"/>
      <c r="U51" s="100"/>
      <c r="V51" s="101"/>
      <c r="W51" s="101"/>
      <c r="X51" s="101"/>
      <c r="Y51" s="64"/>
      <c r="Z51" s="64"/>
      <c r="AA51" s="64"/>
      <c r="AB51" s="64"/>
      <c r="AC51" s="64"/>
      <c r="AD51" s="64"/>
      <c r="AE51" s="64"/>
      <c r="AF51" s="64"/>
      <c r="AG51" s="64"/>
    </row>
    <row r="52">
      <c r="A52" s="126">
        <f t="shared" si="1"/>
        <v>43</v>
      </c>
      <c r="B52" s="152" t="s">
        <v>1971</v>
      </c>
      <c r="C52" s="126" t="s">
        <v>63</v>
      </c>
      <c r="D52" s="158" t="s">
        <v>1972</v>
      </c>
      <c r="E52" s="193" t="s">
        <v>924</v>
      </c>
      <c r="F52" s="193" t="s">
        <v>194</v>
      </c>
      <c r="G52" s="160" t="s">
        <v>1973</v>
      </c>
      <c r="H52" s="206" t="s">
        <v>149</v>
      </c>
      <c r="I52" s="93" t="s">
        <v>165</v>
      </c>
      <c r="J52" s="227"/>
      <c r="K52" s="104"/>
      <c r="L52" s="95"/>
      <c r="M52" s="106" t="s">
        <v>1974</v>
      </c>
      <c r="N52" s="107" t="s">
        <v>1975</v>
      </c>
      <c r="O52" s="108" t="s">
        <v>1976</v>
      </c>
      <c r="P52" s="108" t="s">
        <v>1977</v>
      </c>
      <c r="Q52" s="163" t="s">
        <v>1978</v>
      </c>
      <c r="R52" s="164" t="s">
        <v>1979</v>
      </c>
      <c r="S52" s="181"/>
      <c r="T52" s="182"/>
      <c r="U52" s="182"/>
      <c r="V52" s="182"/>
      <c r="W52" s="85"/>
      <c r="X52" s="85"/>
      <c r="Y52" s="64"/>
      <c r="Z52" s="64"/>
      <c r="AA52" s="64"/>
      <c r="AB52" s="64"/>
      <c r="AC52" s="64"/>
      <c r="AD52" s="64"/>
      <c r="AE52" s="64"/>
      <c r="AF52" s="64"/>
      <c r="AG52" s="64"/>
    </row>
    <row r="53">
      <c r="A53" s="126">
        <f t="shared" si="1"/>
        <v>44</v>
      </c>
      <c r="B53" s="136" t="s">
        <v>1980</v>
      </c>
      <c r="C53" s="126" t="s">
        <v>63</v>
      </c>
      <c r="D53" s="128" t="s">
        <v>1981</v>
      </c>
      <c r="E53" s="129" t="s">
        <v>895</v>
      </c>
      <c r="F53" s="129" t="s">
        <v>322</v>
      </c>
      <c r="G53" s="130" t="s">
        <v>1982</v>
      </c>
      <c r="H53" s="206" t="s">
        <v>149</v>
      </c>
      <c r="I53" s="93" t="s">
        <v>150</v>
      </c>
      <c r="J53" s="165" t="s">
        <v>1937</v>
      </c>
      <c r="K53" s="178" t="s">
        <v>1845</v>
      </c>
      <c r="L53" s="95"/>
      <c r="M53" s="142"/>
      <c r="N53" s="107"/>
      <c r="O53" s="108"/>
      <c r="P53" s="108"/>
      <c r="Q53" s="108"/>
      <c r="R53" s="120"/>
      <c r="S53" s="181"/>
      <c r="T53" s="182"/>
      <c r="U53" s="182"/>
      <c r="V53" s="182"/>
      <c r="W53" s="85"/>
      <c r="X53" s="85"/>
      <c r="Y53" s="64"/>
      <c r="Z53" s="64"/>
      <c r="AA53" s="64"/>
      <c r="AB53" s="64"/>
      <c r="AC53" s="64"/>
      <c r="AD53" s="64"/>
      <c r="AE53" s="64"/>
      <c r="AF53" s="64"/>
      <c r="AG53" s="64"/>
    </row>
    <row r="54">
      <c r="A54" s="126">
        <f t="shared" si="1"/>
        <v>45</v>
      </c>
      <c r="B54" s="132" t="s">
        <v>1983</v>
      </c>
      <c r="C54" s="126" t="s">
        <v>63</v>
      </c>
      <c r="D54" s="158" t="s">
        <v>1984</v>
      </c>
      <c r="E54" s="159" t="s">
        <v>1985</v>
      </c>
      <c r="F54" s="159" t="s">
        <v>124</v>
      </c>
      <c r="G54" s="160" t="s">
        <v>1986</v>
      </c>
      <c r="H54" s="206" t="s">
        <v>149</v>
      </c>
      <c r="I54" s="93" t="s">
        <v>165</v>
      </c>
      <c r="J54" s="227"/>
      <c r="K54" s="104"/>
      <c r="L54" s="95"/>
      <c r="M54" s="129" t="s">
        <v>1987</v>
      </c>
      <c r="N54" s="213" t="s">
        <v>1988</v>
      </c>
      <c r="O54" s="108" t="s">
        <v>1989</v>
      </c>
      <c r="P54" s="108" t="s">
        <v>1990</v>
      </c>
      <c r="Q54" s="163" t="s">
        <v>1991</v>
      </c>
      <c r="R54" s="164" t="s">
        <v>1992</v>
      </c>
      <c r="S54" s="181"/>
      <c r="T54" s="182"/>
      <c r="U54" s="182"/>
      <c r="V54" s="182"/>
      <c r="W54" s="85"/>
      <c r="X54" s="85"/>
      <c r="Y54" s="64"/>
      <c r="Z54" s="64"/>
      <c r="AA54" s="64"/>
      <c r="AB54" s="64"/>
      <c r="AC54" s="64"/>
      <c r="AD54" s="64"/>
      <c r="AE54" s="64"/>
      <c r="AF54" s="64"/>
      <c r="AG54" s="64"/>
    </row>
    <row r="55">
      <c r="A55" s="126">
        <f t="shared" si="1"/>
        <v>46</v>
      </c>
      <c r="B55" s="132" t="s">
        <v>1993</v>
      </c>
      <c r="C55" s="126" t="s">
        <v>63</v>
      </c>
      <c r="D55" s="128" t="s">
        <v>1994</v>
      </c>
      <c r="E55" s="129" t="s">
        <v>924</v>
      </c>
      <c r="F55" s="129" t="s">
        <v>124</v>
      </c>
      <c r="G55" s="130" t="s">
        <v>1995</v>
      </c>
      <c r="H55" s="206" t="s">
        <v>149</v>
      </c>
      <c r="I55" s="93" t="s">
        <v>165</v>
      </c>
      <c r="J55" s="201"/>
      <c r="K55" s="191"/>
      <c r="L55" s="95"/>
      <c r="M55" s="159" t="s">
        <v>367</v>
      </c>
      <c r="N55" s="162" t="s">
        <v>1996</v>
      </c>
      <c r="O55" s="108" t="s">
        <v>1908</v>
      </c>
      <c r="P55" s="108" t="s">
        <v>1997</v>
      </c>
      <c r="Q55" s="163" t="s">
        <v>1998</v>
      </c>
      <c r="R55" s="164" t="s">
        <v>1999</v>
      </c>
      <c r="S55" s="99"/>
      <c r="T55" s="95"/>
      <c r="U55" s="100"/>
      <c r="V55" s="101"/>
      <c r="W55" s="101"/>
      <c r="X55" s="101"/>
      <c r="Y55" s="64"/>
      <c r="Z55" s="64"/>
      <c r="AA55" s="64"/>
      <c r="AB55" s="64"/>
      <c r="AC55" s="64"/>
      <c r="AD55" s="64"/>
      <c r="AE55" s="64"/>
      <c r="AF55" s="64"/>
      <c r="AG55" s="64"/>
    </row>
    <row r="56">
      <c r="A56" s="126">
        <f t="shared" si="1"/>
        <v>47</v>
      </c>
      <c r="B56" s="151" t="s">
        <v>2000</v>
      </c>
      <c r="C56" s="106" t="s">
        <v>63</v>
      </c>
      <c r="D56" s="158" t="s">
        <v>2001</v>
      </c>
      <c r="E56" s="193" t="s">
        <v>924</v>
      </c>
      <c r="F56" s="159" t="s">
        <v>194</v>
      </c>
      <c r="G56" s="160" t="s">
        <v>2002</v>
      </c>
      <c r="H56" s="206" t="s">
        <v>149</v>
      </c>
      <c r="I56" s="93" t="s">
        <v>165</v>
      </c>
      <c r="J56" s="203"/>
      <c r="K56" s="94"/>
      <c r="L56" s="95"/>
      <c r="M56" s="129" t="s">
        <v>196</v>
      </c>
      <c r="N56" s="162" t="s">
        <v>2003</v>
      </c>
      <c r="O56" s="108" t="s">
        <v>2004</v>
      </c>
      <c r="P56" s="108" t="s">
        <v>2005</v>
      </c>
      <c r="Q56" s="235" t="s">
        <v>2006</v>
      </c>
      <c r="R56" s="164" t="s">
        <v>2007</v>
      </c>
      <c r="S56" s="181"/>
      <c r="T56" s="182"/>
      <c r="U56" s="182"/>
      <c r="V56" s="182"/>
      <c r="W56" s="182"/>
      <c r="X56" s="182"/>
      <c r="Y56" s="64"/>
      <c r="Z56" s="64"/>
      <c r="AA56" s="64"/>
      <c r="AB56" s="64"/>
      <c r="AC56" s="64"/>
      <c r="AD56" s="64"/>
      <c r="AE56" s="64"/>
      <c r="AF56" s="64"/>
      <c r="AG56" s="64"/>
    </row>
    <row r="57">
      <c r="A57" s="126">
        <f t="shared" si="1"/>
        <v>48</v>
      </c>
      <c r="B57" s="141" t="s">
        <v>2008</v>
      </c>
      <c r="C57" s="106" t="s">
        <v>63</v>
      </c>
      <c r="D57" s="128" t="s">
        <v>2009</v>
      </c>
      <c r="E57" s="129" t="s">
        <v>905</v>
      </c>
      <c r="F57" s="129" t="s">
        <v>376</v>
      </c>
      <c r="G57" s="130" t="s">
        <v>2010</v>
      </c>
      <c r="H57" s="206" t="s">
        <v>149</v>
      </c>
      <c r="I57" s="93" t="s">
        <v>165</v>
      </c>
      <c r="J57" s="166"/>
      <c r="K57" s="104"/>
      <c r="L57" s="95"/>
      <c r="M57" s="129" t="s">
        <v>470</v>
      </c>
      <c r="N57" s="162" t="s">
        <v>2011</v>
      </c>
      <c r="O57" s="108" t="s">
        <v>1577</v>
      </c>
      <c r="P57" s="108" t="s">
        <v>1768</v>
      </c>
      <c r="Q57" s="163" t="s">
        <v>2012</v>
      </c>
      <c r="R57" s="164" t="s">
        <v>2013</v>
      </c>
      <c r="S57" s="181"/>
      <c r="T57" s="182"/>
      <c r="U57" s="182"/>
      <c r="V57" s="182"/>
      <c r="W57" s="182"/>
      <c r="X57" s="182"/>
      <c r="Y57" s="64"/>
      <c r="Z57" s="64"/>
      <c r="AA57" s="64"/>
      <c r="AB57" s="64"/>
      <c r="AC57" s="64"/>
      <c r="AD57" s="64"/>
      <c r="AE57" s="64"/>
      <c r="AF57" s="64"/>
      <c r="AG57" s="64"/>
    </row>
    <row r="58">
      <c r="A58" s="126">
        <f t="shared" si="1"/>
        <v>49</v>
      </c>
      <c r="B58" s="141" t="s">
        <v>2014</v>
      </c>
      <c r="C58" s="106" t="s">
        <v>63</v>
      </c>
      <c r="D58" s="158" t="s">
        <v>2015</v>
      </c>
      <c r="E58" s="159" t="s">
        <v>924</v>
      </c>
      <c r="F58" s="159" t="s">
        <v>124</v>
      </c>
      <c r="G58" s="160" t="s">
        <v>2016</v>
      </c>
      <c r="H58" s="206" t="s">
        <v>149</v>
      </c>
      <c r="I58" s="93" t="s">
        <v>165</v>
      </c>
      <c r="J58" s="227"/>
      <c r="K58" s="104"/>
      <c r="L58" s="95"/>
      <c r="M58" s="129" t="s">
        <v>2017</v>
      </c>
      <c r="N58" s="162" t="s">
        <v>2018</v>
      </c>
      <c r="O58" s="108" t="s">
        <v>2019</v>
      </c>
      <c r="P58" s="108" t="s">
        <v>2020</v>
      </c>
      <c r="Q58" s="163" t="s">
        <v>2021</v>
      </c>
      <c r="R58" s="164" t="s">
        <v>2022</v>
      </c>
      <c r="S58" s="181"/>
      <c r="T58" s="182"/>
      <c r="U58" s="182"/>
      <c r="V58" s="182"/>
      <c r="W58" s="182"/>
      <c r="X58" s="182"/>
      <c r="Y58" s="64"/>
      <c r="Z58" s="64"/>
      <c r="AA58" s="64"/>
      <c r="AB58" s="64"/>
      <c r="AC58" s="64"/>
      <c r="AD58" s="64"/>
      <c r="AE58" s="64"/>
      <c r="AF58" s="64"/>
      <c r="AG58" s="64"/>
    </row>
    <row r="59">
      <c r="A59" s="126">
        <f t="shared" si="1"/>
        <v>50</v>
      </c>
      <c r="B59" s="141" t="s">
        <v>2023</v>
      </c>
      <c r="C59" s="106" t="s">
        <v>63</v>
      </c>
      <c r="D59" s="128" t="s">
        <v>2024</v>
      </c>
      <c r="E59" s="129" t="s">
        <v>924</v>
      </c>
      <c r="F59" s="129" t="s">
        <v>194</v>
      </c>
      <c r="G59" s="130" t="s">
        <v>2025</v>
      </c>
      <c r="H59" s="206" t="s">
        <v>149</v>
      </c>
      <c r="I59" s="93" t="s">
        <v>165</v>
      </c>
      <c r="J59" s="166"/>
      <c r="K59" s="104"/>
      <c r="L59" s="95"/>
      <c r="M59" s="129" t="s">
        <v>2026</v>
      </c>
      <c r="N59" s="162" t="s">
        <v>2027</v>
      </c>
      <c r="O59" s="108" t="s">
        <v>1871</v>
      </c>
      <c r="P59" s="108" t="s">
        <v>2028</v>
      </c>
      <c r="Q59" s="163" t="s">
        <v>2029</v>
      </c>
      <c r="R59" s="164" t="s">
        <v>2030</v>
      </c>
      <c r="S59" s="181"/>
      <c r="T59" s="182"/>
      <c r="U59" s="182"/>
      <c r="V59" s="182"/>
      <c r="W59" s="182"/>
      <c r="X59" s="182"/>
      <c r="Y59" s="64"/>
      <c r="Z59" s="64"/>
      <c r="AA59" s="64"/>
      <c r="AB59" s="64"/>
      <c r="AC59" s="64"/>
      <c r="AD59" s="64"/>
      <c r="AE59" s="64"/>
      <c r="AF59" s="64"/>
      <c r="AG59" s="64"/>
    </row>
    <row r="60">
      <c r="A60" s="126">
        <f t="shared" si="1"/>
        <v>51</v>
      </c>
      <c r="B60" s="141" t="s">
        <v>2031</v>
      </c>
      <c r="C60" s="106" t="s">
        <v>63</v>
      </c>
      <c r="D60" s="158" t="s">
        <v>2032</v>
      </c>
      <c r="E60" s="159" t="s">
        <v>905</v>
      </c>
      <c r="F60" s="159" t="s">
        <v>147</v>
      </c>
      <c r="G60" s="160" t="s">
        <v>2033</v>
      </c>
      <c r="H60" s="206" t="s">
        <v>149</v>
      </c>
      <c r="I60" s="93" t="s">
        <v>150</v>
      </c>
      <c r="J60" s="230" t="s">
        <v>269</v>
      </c>
      <c r="K60" s="236" t="s">
        <v>2034</v>
      </c>
      <c r="L60" s="95"/>
      <c r="M60" s="96"/>
      <c r="N60" s="97"/>
      <c r="O60" s="98"/>
      <c r="P60" s="98"/>
      <c r="Q60" s="98"/>
      <c r="R60" s="98"/>
      <c r="S60" s="99"/>
      <c r="T60" s="95"/>
      <c r="U60" s="100"/>
      <c r="V60" s="101"/>
      <c r="W60" s="101"/>
      <c r="X60" s="101"/>
      <c r="Y60" s="64"/>
      <c r="Z60" s="64"/>
      <c r="AA60" s="64"/>
      <c r="AB60" s="64"/>
      <c r="AC60" s="64"/>
      <c r="AD60" s="64"/>
      <c r="AE60" s="64"/>
      <c r="AF60" s="64"/>
      <c r="AG60" s="64"/>
    </row>
    <row r="61">
      <c r="A61" s="126">
        <f t="shared" si="1"/>
        <v>52</v>
      </c>
      <c r="B61" s="136" t="s">
        <v>2035</v>
      </c>
      <c r="C61" s="106" t="s">
        <v>63</v>
      </c>
      <c r="D61" s="128" t="s">
        <v>2036</v>
      </c>
      <c r="E61" s="129" t="s">
        <v>905</v>
      </c>
      <c r="F61" s="129" t="s">
        <v>194</v>
      </c>
      <c r="G61" s="130" t="s">
        <v>2037</v>
      </c>
      <c r="H61" s="206" t="s">
        <v>149</v>
      </c>
      <c r="I61" s="93" t="s">
        <v>165</v>
      </c>
      <c r="J61" s="166"/>
      <c r="K61" s="104"/>
      <c r="L61" s="95"/>
      <c r="M61" s="159" t="s">
        <v>2038</v>
      </c>
      <c r="N61" s="162" t="s">
        <v>2039</v>
      </c>
      <c r="O61" s="108" t="s">
        <v>2040</v>
      </c>
      <c r="P61" s="108" t="s">
        <v>2041</v>
      </c>
      <c r="Q61" s="163" t="s">
        <v>2042</v>
      </c>
      <c r="R61" s="164" t="s">
        <v>2043</v>
      </c>
      <c r="S61" s="181"/>
      <c r="T61" s="182"/>
      <c r="U61" s="182"/>
      <c r="V61" s="182"/>
      <c r="W61" s="182"/>
      <c r="X61" s="182"/>
      <c r="Y61" s="64"/>
      <c r="Z61" s="64"/>
      <c r="AA61" s="64"/>
      <c r="AB61" s="64"/>
      <c r="AC61" s="64"/>
      <c r="AD61" s="64"/>
      <c r="AE61" s="64"/>
      <c r="AF61" s="64"/>
      <c r="AG61" s="64"/>
    </row>
    <row r="62">
      <c r="A62" s="126">
        <f t="shared" si="1"/>
        <v>53</v>
      </c>
      <c r="B62" s="195" t="s">
        <v>2044</v>
      </c>
      <c r="C62" s="134" t="s">
        <v>63</v>
      </c>
      <c r="D62" s="158" t="s">
        <v>2045</v>
      </c>
      <c r="E62" s="159" t="s">
        <v>924</v>
      </c>
      <c r="F62" s="159" t="s">
        <v>124</v>
      </c>
      <c r="G62" s="160" t="s">
        <v>2046</v>
      </c>
      <c r="H62" s="206" t="s">
        <v>149</v>
      </c>
      <c r="I62" s="93" t="s">
        <v>165</v>
      </c>
      <c r="J62" s="227"/>
      <c r="K62" s="104"/>
      <c r="L62" s="95"/>
      <c r="M62" s="135" t="s">
        <v>1414</v>
      </c>
      <c r="N62" s="210" t="s">
        <v>2047</v>
      </c>
      <c r="O62" s="118" t="s">
        <v>2048</v>
      </c>
      <c r="P62" s="118" t="s">
        <v>2049</v>
      </c>
      <c r="Q62" s="163" t="s">
        <v>2050</v>
      </c>
      <c r="R62" s="164" t="s">
        <v>2051</v>
      </c>
      <c r="S62" s="181"/>
      <c r="T62" s="182"/>
      <c r="U62" s="182"/>
      <c r="V62" s="182"/>
      <c r="W62" s="182"/>
      <c r="X62" s="182"/>
      <c r="Y62" s="64"/>
      <c r="Z62" s="64"/>
      <c r="AA62" s="64"/>
      <c r="AB62" s="64"/>
      <c r="AC62" s="64"/>
      <c r="AD62" s="64"/>
      <c r="AE62" s="64"/>
      <c r="AF62" s="64"/>
      <c r="AG62" s="64"/>
    </row>
    <row r="63">
      <c r="A63" s="126">
        <f t="shared" si="1"/>
        <v>54</v>
      </c>
      <c r="B63" s="136" t="s">
        <v>2052</v>
      </c>
      <c r="C63" s="106" t="s">
        <v>63</v>
      </c>
      <c r="D63" s="128" t="s">
        <v>2053</v>
      </c>
      <c r="E63" s="129" t="s">
        <v>905</v>
      </c>
      <c r="F63" s="129" t="s">
        <v>194</v>
      </c>
      <c r="G63" s="130" t="s">
        <v>2054</v>
      </c>
      <c r="H63" s="206" t="s">
        <v>149</v>
      </c>
      <c r="I63" s="93" t="s">
        <v>292</v>
      </c>
      <c r="J63" s="165" t="s">
        <v>2055</v>
      </c>
      <c r="K63" s="104"/>
      <c r="L63" s="95"/>
      <c r="M63" s="142"/>
      <c r="N63" s="107"/>
      <c r="O63" s="108"/>
      <c r="P63" s="108"/>
      <c r="Q63" s="163"/>
      <c r="R63" s="164"/>
      <c r="S63" s="181"/>
      <c r="T63" s="182"/>
      <c r="U63" s="182"/>
      <c r="V63" s="182"/>
      <c r="W63" s="182"/>
      <c r="X63" s="182"/>
      <c r="Y63" s="64"/>
      <c r="Z63" s="64"/>
      <c r="AA63" s="64"/>
      <c r="AB63" s="64"/>
      <c r="AC63" s="64"/>
      <c r="AD63" s="64"/>
      <c r="AE63" s="64"/>
      <c r="AF63" s="64"/>
      <c r="AG63" s="64"/>
    </row>
    <row r="64">
      <c r="A64" s="126">
        <f t="shared" si="1"/>
        <v>55</v>
      </c>
      <c r="B64" s="136" t="s">
        <v>2056</v>
      </c>
      <c r="C64" s="106" t="s">
        <v>63</v>
      </c>
      <c r="D64" s="128" t="s">
        <v>2057</v>
      </c>
      <c r="E64" s="129" t="s">
        <v>905</v>
      </c>
      <c r="F64" s="129" t="s">
        <v>1862</v>
      </c>
      <c r="G64" s="160" t="s">
        <v>2058</v>
      </c>
      <c r="H64" s="206" t="s">
        <v>149</v>
      </c>
      <c r="I64" s="93" t="s">
        <v>150</v>
      </c>
      <c r="J64" s="230" t="s">
        <v>2059</v>
      </c>
      <c r="K64" s="178" t="s">
        <v>1845</v>
      </c>
      <c r="L64" s="95"/>
      <c r="M64" s="142"/>
      <c r="N64" s="107"/>
      <c r="O64" s="108"/>
      <c r="P64" s="108"/>
      <c r="Q64" s="163"/>
      <c r="R64" s="164"/>
      <c r="S64" s="181"/>
      <c r="T64" s="182"/>
      <c r="U64" s="182"/>
      <c r="V64" s="182"/>
      <c r="W64" s="182"/>
      <c r="X64" s="182"/>
      <c r="Y64" s="64"/>
      <c r="Z64" s="64"/>
      <c r="AA64" s="64"/>
      <c r="AB64" s="64"/>
      <c r="AC64" s="64"/>
      <c r="AD64" s="64"/>
      <c r="AE64" s="64"/>
      <c r="AF64" s="64"/>
      <c r="AG64" s="64"/>
    </row>
    <row r="65">
      <c r="A65" s="126">
        <f t="shared" si="1"/>
        <v>56</v>
      </c>
      <c r="B65" s="136" t="s">
        <v>2060</v>
      </c>
      <c r="C65" s="106" t="s">
        <v>63</v>
      </c>
      <c r="D65" s="128" t="s">
        <v>2061</v>
      </c>
      <c r="E65" s="129" t="s">
        <v>924</v>
      </c>
      <c r="F65" s="129" t="s">
        <v>124</v>
      </c>
      <c r="G65" s="130" t="s">
        <v>2062</v>
      </c>
      <c r="H65" s="206" t="s">
        <v>149</v>
      </c>
      <c r="I65" s="93" t="s">
        <v>165</v>
      </c>
      <c r="J65" s="201"/>
      <c r="K65" s="191"/>
      <c r="L65" s="95"/>
      <c r="M65" s="106" t="s">
        <v>456</v>
      </c>
      <c r="N65" s="107" t="s">
        <v>2063</v>
      </c>
      <c r="O65" s="108" t="str">
        <f>IFERROR(__xludf.DUMMYFUNCTION("IFERROR(REGEXEXTRACT(TRIM(N65),""^\S+""),"""")
"),"Fares")</f>
        <v>Fares</v>
      </c>
      <c r="P65" s="108" t="str">
        <f>IFERROR(__xludf.DUMMYFUNCTION("IFERROR(TRIM(REGEXREPLACE(TRIM(N65),""^\S+\s*"","""")),"""")
"),"Bugshan")</f>
        <v>Bugshan</v>
      </c>
      <c r="Q65" s="163" t="s">
        <v>2064</v>
      </c>
      <c r="R65" s="164" t="s">
        <v>2065</v>
      </c>
      <c r="S65" s="99"/>
      <c r="T65" s="95"/>
      <c r="U65" s="100"/>
      <c r="V65" s="101"/>
      <c r="W65" s="101"/>
      <c r="X65" s="101"/>
      <c r="Y65" s="64"/>
      <c r="Z65" s="64"/>
      <c r="AA65" s="64"/>
      <c r="AB65" s="64"/>
      <c r="AC65" s="64"/>
      <c r="AD65" s="64"/>
      <c r="AE65" s="64"/>
      <c r="AF65" s="64"/>
      <c r="AG65" s="64"/>
    </row>
    <row r="66">
      <c r="A66" s="126">
        <f t="shared" si="1"/>
        <v>57</v>
      </c>
      <c r="B66" s="136" t="s">
        <v>2066</v>
      </c>
      <c r="C66" s="106" t="s">
        <v>63</v>
      </c>
      <c r="D66" s="128" t="s">
        <v>2067</v>
      </c>
      <c r="E66" s="129" t="s">
        <v>2068</v>
      </c>
      <c r="F66" s="129" t="s">
        <v>194</v>
      </c>
      <c r="G66" s="160" t="s">
        <v>2069</v>
      </c>
      <c r="H66" s="206" t="s">
        <v>149</v>
      </c>
      <c r="I66" s="93" t="s">
        <v>150</v>
      </c>
      <c r="J66" s="230" t="s">
        <v>2070</v>
      </c>
      <c r="K66" s="178" t="s">
        <v>1845</v>
      </c>
      <c r="L66" s="95"/>
      <c r="M66" s="96"/>
      <c r="N66" s="97"/>
      <c r="O66" s="98"/>
      <c r="P66" s="98"/>
      <c r="Q66" s="98"/>
      <c r="R66" s="98"/>
      <c r="S66" s="99"/>
      <c r="T66" s="95"/>
      <c r="U66" s="100"/>
      <c r="V66" s="101"/>
      <c r="W66" s="101"/>
      <c r="X66" s="101"/>
      <c r="Y66" s="64"/>
      <c r="Z66" s="64"/>
      <c r="AA66" s="64"/>
      <c r="AB66" s="64"/>
      <c r="AC66" s="64"/>
      <c r="AD66" s="64"/>
      <c r="AE66" s="64"/>
      <c r="AF66" s="64"/>
      <c r="AG66" s="64"/>
    </row>
    <row r="67">
      <c r="A67" s="126">
        <f t="shared" si="1"/>
        <v>58</v>
      </c>
      <c r="B67" s="133" t="s">
        <v>2071</v>
      </c>
      <c r="C67" s="134" t="s">
        <v>63</v>
      </c>
      <c r="D67" s="128" t="s">
        <v>2072</v>
      </c>
      <c r="E67" s="129" t="s">
        <v>905</v>
      </c>
      <c r="F67" s="129" t="s">
        <v>2073</v>
      </c>
      <c r="G67" s="130" t="s">
        <v>2074</v>
      </c>
      <c r="H67" s="206" t="s">
        <v>149</v>
      </c>
      <c r="I67" s="93" t="s">
        <v>165</v>
      </c>
      <c r="J67" s="166"/>
      <c r="K67" s="104"/>
      <c r="L67" s="95"/>
      <c r="M67" s="106" t="s">
        <v>2075</v>
      </c>
      <c r="N67" s="107" t="s">
        <v>2076</v>
      </c>
      <c r="O67" s="108" t="s">
        <v>2077</v>
      </c>
      <c r="P67" s="108" t="s">
        <v>2078</v>
      </c>
      <c r="Q67" s="163" t="s">
        <v>2079</v>
      </c>
      <c r="R67" s="164" t="s">
        <v>2080</v>
      </c>
      <c r="S67" s="181"/>
      <c r="T67" s="182"/>
      <c r="U67" s="182"/>
      <c r="V67" s="182"/>
      <c r="W67" s="182"/>
      <c r="X67" s="182"/>
      <c r="Y67" s="64"/>
      <c r="Z67" s="64"/>
      <c r="AA67" s="64"/>
      <c r="AB67" s="64"/>
      <c r="AC67" s="64"/>
      <c r="AD67" s="64"/>
      <c r="AE67" s="64"/>
      <c r="AF67" s="64"/>
      <c r="AG67" s="64"/>
    </row>
    <row r="68">
      <c r="A68" s="126">
        <f t="shared" si="1"/>
        <v>59</v>
      </c>
      <c r="B68" s="136" t="s">
        <v>2081</v>
      </c>
      <c r="C68" s="106" t="s">
        <v>63</v>
      </c>
      <c r="D68" s="128" t="s">
        <v>2082</v>
      </c>
      <c r="E68" s="129" t="s">
        <v>708</v>
      </c>
      <c r="F68" s="129" t="s">
        <v>124</v>
      </c>
      <c r="G68" s="130" t="s">
        <v>2083</v>
      </c>
      <c r="H68" s="206" t="s">
        <v>149</v>
      </c>
      <c r="I68" s="93" t="s">
        <v>150</v>
      </c>
      <c r="J68" s="165" t="s">
        <v>2084</v>
      </c>
      <c r="K68" s="178" t="s">
        <v>1845</v>
      </c>
      <c r="L68" s="95"/>
      <c r="M68" s="106"/>
      <c r="N68" s="107"/>
      <c r="O68" s="108"/>
      <c r="P68" s="108"/>
      <c r="Q68" s="108"/>
      <c r="R68" s="120"/>
      <c r="S68" s="99"/>
      <c r="T68" s="95"/>
      <c r="U68" s="100"/>
      <c r="V68" s="101"/>
      <c r="W68" s="101"/>
      <c r="X68" s="101"/>
      <c r="Y68" s="64"/>
      <c r="Z68" s="64"/>
      <c r="AA68" s="64"/>
      <c r="AB68" s="64"/>
      <c r="AC68" s="64"/>
      <c r="AD68" s="64"/>
      <c r="AE68" s="64"/>
      <c r="AF68" s="64"/>
      <c r="AG68" s="64"/>
    </row>
    <row r="69">
      <c r="A69" s="126">
        <f t="shared" si="1"/>
        <v>60</v>
      </c>
      <c r="B69" s="136" t="s">
        <v>2085</v>
      </c>
      <c r="C69" s="106" t="s">
        <v>63</v>
      </c>
      <c r="D69" s="128" t="s">
        <v>2086</v>
      </c>
      <c r="E69" s="129" t="s">
        <v>905</v>
      </c>
      <c r="F69" s="159" t="s">
        <v>2087</v>
      </c>
      <c r="G69" s="160" t="s">
        <v>2088</v>
      </c>
      <c r="H69" s="206" t="s">
        <v>149</v>
      </c>
      <c r="I69" s="93" t="s">
        <v>150</v>
      </c>
      <c r="J69" s="227"/>
      <c r="K69" s="104"/>
      <c r="L69" s="95"/>
      <c r="M69" s="106"/>
      <c r="N69" s="107"/>
      <c r="O69" s="108"/>
      <c r="P69" s="108"/>
      <c r="Q69" s="163"/>
      <c r="R69" s="164"/>
      <c r="S69" s="181"/>
      <c r="T69" s="182"/>
      <c r="U69" s="182"/>
      <c r="V69" s="182"/>
      <c r="W69" s="182"/>
      <c r="X69" s="182"/>
      <c r="Y69" s="64"/>
      <c r="Z69" s="64"/>
      <c r="AA69" s="64"/>
      <c r="AB69" s="64"/>
      <c r="AC69" s="64"/>
      <c r="AD69" s="64"/>
      <c r="AE69" s="64"/>
      <c r="AF69" s="64"/>
      <c r="AG69" s="64"/>
    </row>
    <row r="70">
      <c r="A70" s="126">
        <f t="shared" si="1"/>
        <v>61</v>
      </c>
      <c r="B70" s="141" t="s">
        <v>2089</v>
      </c>
      <c r="C70" s="106" t="s">
        <v>63</v>
      </c>
      <c r="D70" s="128" t="s">
        <v>2090</v>
      </c>
      <c r="E70" s="129" t="s">
        <v>895</v>
      </c>
      <c r="F70" s="129" t="s">
        <v>194</v>
      </c>
      <c r="G70" s="130" t="s">
        <v>2091</v>
      </c>
      <c r="H70" s="206" t="s">
        <v>149</v>
      </c>
      <c r="I70" s="93" t="s">
        <v>165</v>
      </c>
      <c r="J70" s="201"/>
      <c r="K70" s="196"/>
      <c r="L70" s="95"/>
      <c r="M70" s="106" t="s">
        <v>827</v>
      </c>
      <c r="N70" s="107" t="s">
        <v>2092</v>
      </c>
      <c r="O70" s="108" t="s">
        <v>2093</v>
      </c>
      <c r="P70" s="108" t="s">
        <v>2094</v>
      </c>
      <c r="Q70" s="163" t="s">
        <v>2095</v>
      </c>
      <c r="R70" s="164" t="s">
        <v>2096</v>
      </c>
      <c r="S70" s="181"/>
      <c r="T70" s="182"/>
      <c r="U70" s="182"/>
      <c r="V70" s="182"/>
      <c r="W70" s="182"/>
      <c r="X70" s="182"/>
      <c r="Y70" s="64"/>
      <c r="Z70" s="64"/>
      <c r="AA70" s="64"/>
      <c r="AB70" s="64"/>
      <c r="AC70" s="64"/>
      <c r="AD70" s="64"/>
      <c r="AE70" s="64"/>
      <c r="AF70" s="64"/>
      <c r="AG70" s="64"/>
    </row>
    <row r="71">
      <c r="A71" s="126">
        <f t="shared" si="1"/>
        <v>62</v>
      </c>
      <c r="B71" s="136" t="s">
        <v>2097</v>
      </c>
      <c r="C71" s="106" t="s">
        <v>63</v>
      </c>
      <c r="D71" s="158" t="s">
        <v>2098</v>
      </c>
      <c r="E71" s="129" t="s">
        <v>905</v>
      </c>
      <c r="F71" s="159" t="s">
        <v>124</v>
      </c>
      <c r="G71" s="160" t="s">
        <v>2099</v>
      </c>
      <c r="H71" s="206" t="s">
        <v>149</v>
      </c>
      <c r="I71" s="93" t="s">
        <v>150</v>
      </c>
      <c r="J71" s="230" t="s">
        <v>2100</v>
      </c>
      <c r="K71" s="178" t="s">
        <v>1845</v>
      </c>
      <c r="L71" s="95"/>
      <c r="M71" s="106"/>
      <c r="N71" s="150"/>
      <c r="O71" s="108"/>
      <c r="P71" s="108"/>
      <c r="Q71" s="163"/>
      <c r="R71" s="164"/>
      <c r="S71" s="181"/>
      <c r="T71" s="182"/>
      <c r="U71" s="182"/>
      <c r="V71" s="182"/>
      <c r="W71" s="182"/>
      <c r="X71" s="182"/>
      <c r="Y71" s="64"/>
      <c r="Z71" s="64"/>
      <c r="AA71" s="64"/>
      <c r="AB71" s="64"/>
      <c r="AC71" s="64"/>
      <c r="AD71" s="64"/>
      <c r="AE71" s="64"/>
      <c r="AF71" s="64"/>
      <c r="AG71" s="64"/>
    </row>
    <row r="72">
      <c r="A72" s="126">
        <f t="shared" si="1"/>
        <v>63</v>
      </c>
      <c r="B72" s="136" t="s">
        <v>2101</v>
      </c>
      <c r="C72" s="106" t="s">
        <v>63</v>
      </c>
      <c r="D72" s="128" t="s">
        <v>2102</v>
      </c>
      <c r="E72" s="129" t="s">
        <v>905</v>
      </c>
      <c r="F72" s="129" t="s">
        <v>573</v>
      </c>
      <c r="G72" s="130" t="s">
        <v>2103</v>
      </c>
      <c r="H72" s="206" t="s">
        <v>149</v>
      </c>
      <c r="I72" s="93" t="s">
        <v>165</v>
      </c>
      <c r="J72" s="166"/>
      <c r="K72" s="104"/>
      <c r="L72" s="95"/>
      <c r="M72" s="106" t="s">
        <v>456</v>
      </c>
      <c r="N72" s="107" t="s">
        <v>2104</v>
      </c>
      <c r="O72" s="108" t="s">
        <v>2105</v>
      </c>
      <c r="P72" s="108" t="s">
        <v>2106</v>
      </c>
      <c r="Q72" s="163" t="s">
        <v>2107</v>
      </c>
      <c r="R72" s="164" t="s">
        <v>2108</v>
      </c>
      <c r="S72" s="181"/>
      <c r="T72" s="182"/>
      <c r="U72" s="182"/>
      <c r="V72" s="182"/>
      <c r="W72" s="182"/>
      <c r="X72" s="182"/>
      <c r="Y72" s="64"/>
      <c r="Z72" s="64"/>
      <c r="AA72" s="64"/>
      <c r="AB72" s="64"/>
      <c r="AC72" s="64"/>
      <c r="AD72" s="64"/>
      <c r="AE72" s="64"/>
      <c r="AF72" s="64"/>
      <c r="AG72" s="64"/>
    </row>
    <row r="73">
      <c r="A73" s="126">
        <f t="shared" si="1"/>
        <v>64</v>
      </c>
      <c r="B73" s="141" t="s">
        <v>2109</v>
      </c>
      <c r="C73" s="134" t="s">
        <v>63</v>
      </c>
      <c r="D73" s="158" t="s">
        <v>2110</v>
      </c>
      <c r="E73" s="159" t="s">
        <v>895</v>
      </c>
      <c r="F73" s="159" t="s">
        <v>194</v>
      </c>
      <c r="G73" s="160" t="s">
        <v>2111</v>
      </c>
      <c r="H73" s="131" t="s">
        <v>149</v>
      </c>
      <c r="I73" s="93" t="s">
        <v>165</v>
      </c>
      <c r="J73" s="203"/>
      <c r="K73" s="191"/>
      <c r="L73" s="95"/>
      <c r="M73" s="237" t="s">
        <v>2112</v>
      </c>
      <c r="N73" s="238" t="s">
        <v>2113</v>
      </c>
      <c r="O73" s="108" t="s">
        <v>2114</v>
      </c>
      <c r="P73" s="108" t="s">
        <v>2115</v>
      </c>
      <c r="Q73" s="163" t="s">
        <v>2116</v>
      </c>
      <c r="R73" s="164" t="s">
        <v>2117</v>
      </c>
      <c r="S73" s="99"/>
      <c r="T73" s="95"/>
      <c r="U73" s="100"/>
      <c r="V73" s="101"/>
      <c r="W73" s="101"/>
      <c r="X73" s="101"/>
      <c r="Y73" s="64"/>
      <c r="Z73" s="64"/>
      <c r="AA73" s="64"/>
      <c r="AB73" s="64"/>
      <c r="AC73" s="64"/>
      <c r="AD73" s="64"/>
      <c r="AE73" s="64"/>
      <c r="AF73" s="64"/>
      <c r="AG73" s="64"/>
    </row>
    <row r="74">
      <c r="A74" s="126">
        <f t="shared" si="1"/>
        <v>65</v>
      </c>
      <c r="B74" s="141" t="s">
        <v>2118</v>
      </c>
      <c r="C74" s="126" t="s">
        <v>63</v>
      </c>
      <c r="D74" s="128" t="s">
        <v>2119</v>
      </c>
      <c r="E74" s="129" t="s">
        <v>895</v>
      </c>
      <c r="F74" s="129" t="s">
        <v>194</v>
      </c>
      <c r="G74" s="130" t="s">
        <v>2120</v>
      </c>
      <c r="H74" s="131" t="s">
        <v>149</v>
      </c>
      <c r="I74" s="93" t="s">
        <v>165</v>
      </c>
      <c r="J74" s="201"/>
      <c r="K74" s="191"/>
      <c r="L74" s="95"/>
      <c r="M74" s="142" t="s">
        <v>2121</v>
      </c>
      <c r="N74" s="239" t="s">
        <v>2122</v>
      </c>
      <c r="O74" s="142" t="s">
        <v>285</v>
      </c>
      <c r="P74" s="142" t="s">
        <v>2123</v>
      </c>
      <c r="Q74" s="129" t="s">
        <v>2124</v>
      </c>
      <c r="R74" s="128" t="s">
        <v>2125</v>
      </c>
      <c r="S74" s="99"/>
      <c r="T74" s="95"/>
      <c r="U74" s="100"/>
      <c r="V74" s="101"/>
      <c r="W74" s="101"/>
      <c r="X74" s="101"/>
      <c r="Y74" s="64"/>
      <c r="Z74" s="64"/>
      <c r="AA74" s="64"/>
      <c r="AB74" s="64"/>
      <c r="AC74" s="64"/>
      <c r="AD74" s="64"/>
      <c r="AE74" s="64"/>
      <c r="AF74" s="64"/>
      <c r="AG74" s="64"/>
    </row>
    <row r="75">
      <c r="A75" s="126">
        <f t="shared" si="1"/>
        <v>66</v>
      </c>
      <c r="B75" s="136" t="s">
        <v>2126</v>
      </c>
      <c r="C75" s="134" t="s">
        <v>63</v>
      </c>
      <c r="D75" s="158" t="s">
        <v>2127</v>
      </c>
      <c r="E75" s="159" t="s">
        <v>905</v>
      </c>
      <c r="F75" s="159" t="s">
        <v>194</v>
      </c>
      <c r="G75" s="160" t="s">
        <v>2128</v>
      </c>
      <c r="H75" s="131" t="s">
        <v>149</v>
      </c>
      <c r="I75" s="93" t="s">
        <v>150</v>
      </c>
      <c r="J75" s="230" t="s">
        <v>2129</v>
      </c>
      <c r="K75" s="240" t="s">
        <v>2130</v>
      </c>
      <c r="L75" s="95"/>
      <c r="M75" s="129"/>
      <c r="N75" s="162"/>
      <c r="O75" s="163"/>
      <c r="P75" s="163"/>
      <c r="Q75" s="163"/>
      <c r="R75" s="164"/>
      <c r="S75" s="200"/>
      <c r="T75" s="201"/>
      <c r="U75" s="202"/>
      <c r="V75" s="202"/>
      <c r="W75" s="201"/>
      <c r="X75" s="201"/>
      <c r="Y75" s="64"/>
      <c r="Z75" s="64"/>
      <c r="AA75" s="64"/>
      <c r="AB75" s="64"/>
      <c r="AC75" s="64"/>
      <c r="AD75" s="64"/>
      <c r="AE75" s="64"/>
      <c r="AF75" s="64"/>
      <c r="AG75" s="64"/>
    </row>
    <row r="76">
      <c r="A76" s="126">
        <f t="shared" si="1"/>
        <v>67</v>
      </c>
      <c r="B76" s="136" t="s">
        <v>2131</v>
      </c>
      <c r="C76" s="106" t="s">
        <v>63</v>
      </c>
      <c r="D76" s="128" t="s">
        <v>2132</v>
      </c>
      <c r="E76" s="129" t="s">
        <v>895</v>
      </c>
      <c r="F76" s="129" t="s">
        <v>124</v>
      </c>
      <c r="G76" s="130" t="s">
        <v>2133</v>
      </c>
      <c r="H76" s="131" t="s">
        <v>149</v>
      </c>
      <c r="I76" s="93" t="s">
        <v>165</v>
      </c>
      <c r="J76" s="166"/>
      <c r="K76" s="104"/>
      <c r="L76" s="95"/>
      <c r="M76" s="142" t="s">
        <v>2134</v>
      </c>
      <c r="N76" s="107" t="s">
        <v>2135</v>
      </c>
      <c r="O76" s="108" t="str">
        <f>IFERROR(__xludf.DUMMYFUNCTION("IFERROR(REGEXEXTRACT(TRIM(N76),""^\S+""),"""")
"),"Hatan")</f>
        <v>Hatan</v>
      </c>
      <c r="P76" s="108" t="str">
        <f>IFERROR(__xludf.DUMMYFUNCTION("IFERROR(TRIM(REGEXREPLACE(TRIM(N76),""^\S+\s*"","""")),"""")
"),"Bin khalfan")</f>
        <v>Bin khalfan</v>
      </c>
      <c r="Q76" s="163" t="s">
        <v>2136</v>
      </c>
      <c r="R76" s="164" t="s">
        <v>2137</v>
      </c>
      <c r="S76" s="200"/>
      <c r="T76" s="203"/>
      <c r="U76" s="202"/>
      <c r="V76" s="202"/>
      <c r="W76" s="203"/>
      <c r="X76" s="203"/>
      <c r="Y76" s="64"/>
      <c r="Z76" s="64"/>
      <c r="AA76" s="64"/>
      <c r="AB76" s="64"/>
      <c r="AC76" s="64"/>
      <c r="AD76" s="64"/>
      <c r="AE76" s="64"/>
      <c r="AF76" s="64"/>
      <c r="AG76" s="64"/>
    </row>
    <row r="77">
      <c r="A77" s="126">
        <f t="shared" si="1"/>
        <v>68</v>
      </c>
      <c r="B77" s="141" t="s">
        <v>2138</v>
      </c>
      <c r="C77" s="106" t="s">
        <v>63</v>
      </c>
      <c r="D77" s="158" t="s">
        <v>2139</v>
      </c>
      <c r="E77" s="159" t="s">
        <v>895</v>
      </c>
      <c r="F77" s="159" t="s">
        <v>147</v>
      </c>
      <c r="G77" s="160" t="s">
        <v>2140</v>
      </c>
      <c r="H77" s="131" t="s">
        <v>149</v>
      </c>
      <c r="I77" s="93" t="s">
        <v>165</v>
      </c>
      <c r="J77" s="227"/>
      <c r="K77" s="104"/>
      <c r="L77" s="95"/>
      <c r="M77" s="159" t="s">
        <v>993</v>
      </c>
      <c r="N77" s="162" t="s">
        <v>2141</v>
      </c>
      <c r="O77" s="163" t="s">
        <v>2142</v>
      </c>
      <c r="P77" s="163" t="s">
        <v>2143</v>
      </c>
      <c r="Q77" s="163" t="s">
        <v>2144</v>
      </c>
      <c r="R77" s="164" t="s">
        <v>2145</v>
      </c>
      <c r="S77" s="200"/>
      <c r="T77" s="201"/>
      <c r="U77" s="202"/>
      <c r="V77" s="202"/>
      <c r="W77" s="201"/>
      <c r="X77" s="202"/>
      <c r="Y77" s="64"/>
      <c r="Z77" s="64"/>
      <c r="AA77" s="64"/>
      <c r="AB77" s="64"/>
      <c r="AC77" s="64"/>
      <c r="AD77" s="64"/>
      <c r="AE77" s="64"/>
      <c r="AF77" s="64"/>
      <c r="AG77" s="64"/>
    </row>
    <row r="78">
      <c r="A78" s="126">
        <f t="shared" si="1"/>
        <v>69</v>
      </c>
      <c r="B78" s="141" t="s">
        <v>2146</v>
      </c>
      <c r="C78" s="106" t="s">
        <v>63</v>
      </c>
      <c r="D78" s="128" t="s">
        <v>2147</v>
      </c>
      <c r="E78" s="129" t="s">
        <v>905</v>
      </c>
      <c r="F78" s="129" t="s">
        <v>1538</v>
      </c>
      <c r="G78" s="130" t="s">
        <v>2148</v>
      </c>
      <c r="H78" s="206" t="s">
        <v>149</v>
      </c>
      <c r="I78" s="93" t="s">
        <v>150</v>
      </c>
      <c r="J78" s="165" t="s">
        <v>2149</v>
      </c>
      <c r="K78" s="241" t="s">
        <v>1845</v>
      </c>
      <c r="L78" s="95"/>
      <c r="M78" s="129"/>
      <c r="N78" s="162"/>
      <c r="O78" s="163"/>
      <c r="P78" s="163"/>
      <c r="Q78" s="163"/>
      <c r="R78" s="164"/>
      <c r="S78" s="200"/>
      <c r="T78" s="201"/>
      <c r="U78" s="202"/>
      <c r="V78" s="202"/>
      <c r="W78" s="201"/>
      <c r="X78" s="202"/>
      <c r="Y78" s="64"/>
      <c r="Z78" s="64"/>
      <c r="AA78" s="64"/>
      <c r="AB78" s="64"/>
      <c r="AC78" s="64"/>
      <c r="AD78" s="64"/>
      <c r="AE78" s="64"/>
      <c r="AF78" s="64"/>
      <c r="AG78" s="64"/>
    </row>
    <row r="79">
      <c r="A79" s="126">
        <f t="shared" si="1"/>
        <v>70</v>
      </c>
      <c r="B79" s="141" t="s">
        <v>2150</v>
      </c>
      <c r="C79" s="106" t="s">
        <v>63</v>
      </c>
      <c r="D79" s="158" t="s">
        <v>2151</v>
      </c>
      <c r="E79" s="159" t="s">
        <v>905</v>
      </c>
      <c r="F79" s="159" t="s">
        <v>259</v>
      </c>
      <c r="G79" s="130" t="s">
        <v>2152</v>
      </c>
      <c r="H79" s="206" t="s">
        <v>149</v>
      </c>
      <c r="I79" s="93" t="s">
        <v>150</v>
      </c>
      <c r="J79" s="230" t="s">
        <v>2084</v>
      </c>
      <c r="K79" s="242" t="s">
        <v>2153</v>
      </c>
      <c r="L79" s="95"/>
      <c r="M79" s="129"/>
      <c r="N79" s="162"/>
      <c r="O79" s="163"/>
      <c r="P79" s="163"/>
      <c r="Q79" s="163"/>
      <c r="R79" s="164"/>
      <c r="S79" s="200"/>
      <c r="T79" s="203"/>
      <c r="U79" s="202"/>
      <c r="V79" s="202"/>
      <c r="W79" s="203"/>
      <c r="X79" s="202"/>
      <c r="Y79" s="64"/>
      <c r="Z79" s="64"/>
      <c r="AA79" s="64"/>
      <c r="AB79" s="64"/>
      <c r="AC79" s="64"/>
      <c r="AD79" s="64"/>
      <c r="AE79" s="64"/>
      <c r="AF79" s="64"/>
      <c r="AG79" s="64"/>
    </row>
    <row r="80">
      <c r="A80" s="126">
        <f t="shared" si="1"/>
        <v>71</v>
      </c>
      <c r="B80" s="136" t="s">
        <v>2154</v>
      </c>
      <c r="C80" s="106" t="s">
        <v>63</v>
      </c>
      <c r="D80" s="128" t="s">
        <v>2155</v>
      </c>
      <c r="E80" s="129" t="s">
        <v>895</v>
      </c>
      <c r="F80" s="129" t="s">
        <v>194</v>
      </c>
      <c r="G80" s="130" t="s">
        <v>2156</v>
      </c>
      <c r="H80" s="131" t="s">
        <v>149</v>
      </c>
      <c r="I80" s="93" t="s">
        <v>150</v>
      </c>
      <c r="J80" s="230" t="s">
        <v>2084</v>
      </c>
      <c r="K80" s="232" t="s">
        <v>2157</v>
      </c>
      <c r="L80" s="95"/>
      <c r="M80" s="129"/>
      <c r="N80" s="162"/>
      <c r="O80" s="163"/>
      <c r="P80" s="163"/>
      <c r="Q80" s="163"/>
      <c r="R80" s="164"/>
      <c r="S80" s="200"/>
      <c r="T80" s="201"/>
      <c r="U80" s="202"/>
      <c r="V80" s="202"/>
      <c r="W80" s="201"/>
      <c r="X80" s="202"/>
      <c r="Y80" s="64"/>
      <c r="Z80" s="64"/>
      <c r="AA80" s="64"/>
      <c r="AB80" s="64"/>
      <c r="AC80" s="64"/>
      <c r="AD80" s="64"/>
      <c r="AE80" s="64"/>
      <c r="AF80" s="64"/>
      <c r="AG80" s="64"/>
    </row>
    <row r="81">
      <c r="A81" s="126">
        <f t="shared" si="1"/>
        <v>72</v>
      </c>
      <c r="B81" s="141" t="s">
        <v>2158</v>
      </c>
      <c r="C81" s="106" t="s">
        <v>63</v>
      </c>
      <c r="D81" s="158" t="s">
        <v>2159</v>
      </c>
      <c r="E81" s="159" t="s">
        <v>905</v>
      </c>
      <c r="F81" s="159" t="s">
        <v>124</v>
      </c>
      <c r="G81" s="160" t="s">
        <v>2160</v>
      </c>
      <c r="H81" s="131" t="s">
        <v>149</v>
      </c>
      <c r="I81" s="93" t="s">
        <v>150</v>
      </c>
      <c r="J81" s="230" t="s">
        <v>2161</v>
      </c>
      <c r="K81" s="231" t="s">
        <v>2162</v>
      </c>
      <c r="L81" s="95"/>
      <c r="M81" s="129"/>
      <c r="N81" s="162"/>
      <c r="O81" s="163"/>
      <c r="P81" s="163"/>
      <c r="Q81" s="163"/>
      <c r="R81" s="164"/>
      <c r="S81" s="200"/>
      <c r="T81" s="203"/>
      <c r="U81" s="202"/>
      <c r="V81" s="202"/>
      <c r="W81" s="203"/>
      <c r="X81" s="202"/>
      <c r="Y81" s="64"/>
      <c r="Z81" s="64"/>
      <c r="AA81" s="64"/>
      <c r="AB81" s="64"/>
      <c r="AC81" s="64"/>
      <c r="AD81" s="64"/>
      <c r="AE81" s="64"/>
      <c r="AF81" s="64"/>
      <c r="AG81" s="64"/>
    </row>
    <row r="82">
      <c r="A82" s="126">
        <f t="shared" si="1"/>
        <v>73</v>
      </c>
      <c r="B82" s="136" t="s">
        <v>2163</v>
      </c>
      <c r="C82" s="106" t="s">
        <v>63</v>
      </c>
      <c r="D82" s="128" t="s">
        <v>2164</v>
      </c>
      <c r="E82" s="129" t="s">
        <v>895</v>
      </c>
      <c r="F82" s="129" t="s">
        <v>147</v>
      </c>
      <c r="G82" s="130" t="s">
        <v>2165</v>
      </c>
      <c r="H82" s="131" t="s">
        <v>149</v>
      </c>
      <c r="I82" s="93" t="s">
        <v>165</v>
      </c>
      <c r="J82" s="201"/>
      <c r="K82" s="145"/>
      <c r="L82" s="95"/>
      <c r="M82" s="129" t="s">
        <v>2166</v>
      </c>
      <c r="N82" s="162" t="s">
        <v>2167</v>
      </c>
      <c r="O82" s="163" t="s">
        <v>2168</v>
      </c>
      <c r="P82" s="163" t="s">
        <v>2169</v>
      </c>
      <c r="Q82" s="235" t="s">
        <v>2170</v>
      </c>
      <c r="R82" s="164" t="s">
        <v>2171</v>
      </c>
      <c r="S82" s="200"/>
      <c r="T82" s="201"/>
      <c r="U82" s="202"/>
      <c r="V82" s="202"/>
      <c r="W82" s="201"/>
      <c r="X82" s="202"/>
      <c r="Y82" s="64"/>
      <c r="Z82" s="64"/>
      <c r="AA82" s="64"/>
      <c r="AB82" s="64"/>
      <c r="AC82" s="64"/>
      <c r="AD82" s="64"/>
      <c r="AE82" s="64"/>
      <c r="AF82" s="64"/>
      <c r="AG82" s="64"/>
    </row>
    <row r="83">
      <c r="A83" s="126">
        <f t="shared" si="1"/>
        <v>74</v>
      </c>
      <c r="B83" s="141" t="s">
        <v>2172</v>
      </c>
      <c r="C83" s="106" t="s">
        <v>63</v>
      </c>
      <c r="D83" s="158" t="s">
        <v>2173</v>
      </c>
      <c r="E83" s="159" t="s">
        <v>895</v>
      </c>
      <c r="F83" s="159" t="s">
        <v>554</v>
      </c>
      <c r="G83" s="160" t="s">
        <v>2174</v>
      </c>
      <c r="H83" s="131" t="s">
        <v>149</v>
      </c>
      <c r="I83" s="93" t="s">
        <v>165</v>
      </c>
      <c r="J83" s="227"/>
      <c r="K83" s="104"/>
      <c r="L83" s="95"/>
      <c r="M83" s="159" t="s">
        <v>1414</v>
      </c>
      <c r="N83" s="162" t="s">
        <v>2175</v>
      </c>
      <c r="O83" s="163" t="s">
        <v>2175</v>
      </c>
      <c r="P83" s="163" t="s">
        <v>2176</v>
      </c>
      <c r="Q83" s="163" t="s">
        <v>2177</v>
      </c>
      <c r="R83" s="164" t="s">
        <v>2178</v>
      </c>
      <c r="S83" s="200"/>
      <c r="T83" s="203"/>
      <c r="U83" s="202"/>
      <c r="V83" s="202"/>
      <c r="W83" s="203"/>
      <c r="X83" s="202"/>
      <c r="Y83" s="64"/>
      <c r="Z83" s="64"/>
      <c r="AA83" s="64"/>
      <c r="AB83" s="64"/>
      <c r="AC83" s="64"/>
      <c r="AD83" s="64"/>
      <c r="AE83" s="64"/>
      <c r="AF83" s="64"/>
      <c r="AG83" s="64"/>
    </row>
    <row r="84">
      <c r="A84" s="126">
        <f t="shared" si="1"/>
        <v>75</v>
      </c>
      <c r="B84" s="136" t="s">
        <v>2179</v>
      </c>
      <c r="C84" s="134" t="s">
        <v>63</v>
      </c>
      <c r="D84" s="158" t="s">
        <v>2180</v>
      </c>
      <c r="E84" s="159" t="s">
        <v>905</v>
      </c>
      <c r="F84" s="159" t="s">
        <v>124</v>
      </c>
      <c r="G84" s="160" t="s">
        <v>2181</v>
      </c>
      <c r="H84" s="131" t="s">
        <v>149</v>
      </c>
      <c r="I84" s="93" t="s">
        <v>150</v>
      </c>
      <c r="J84" s="230" t="s">
        <v>2182</v>
      </c>
      <c r="K84" s="233" t="s">
        <v>2183</v>
      </c>
      <c r="L84" s="95"/>
      <c r="M84" s="159"/>
      <c r="N84" s="162"/>
      <c r="O84" s="163"/>
      <c r="P84" s="163"/>
      <c r="Q84" s="163"/>
      <c r="R84" s="164"/>
      <c r="S84" s="200"/>
      <c r="T84" s="203"/>
      <c r="U84" s="202"/>
      <c r="V84" s="202"/>
      <c r="W84" s="203"/>
      <c r="X84" s="202"/>
      <c r="Y84" s="64"/>
      <c r="Z84" s="64"/>
      <c r="AA84" s="64"/>
      <c r="AB84" s="64"/>
      <c r="AC84" s="64"/>
      <c r="AD84" s="64"/>
      <c r="AE84" s="64"/>
      <c r="AF84" s="64"/>
      <c r="AG84" s="64"/>
    </row>
    <row r="85">
      <c r="A85" s="126">
        <f t="shared" si="1"/>
        <v>76</v>
      </c>
      <c r="B85" s="136" t="s">
        <v>2184</v>
      </c>
      <c r="C85" s="126" t="s">
        <v>63</v>
      </c>
      <c r="D85" s="128" t="s">
        <v>2185</v>
      </c>
      <c r="E85" s="129" t="s">
        <v>895</v>
      </c>
      <c r="F85" s="129" t="s">
        <v>2186</v>
      </c>
      <c r="G85" s="130" t="s">
        <v>2187</v>
      </c>
      <c r="H85" s="131" t="s">
        <v>149</v>
      </c>
      <c r="I85" s="93" t="s">
        <v>165</v>
      </c>
      <c r="J85" s="166"/>
      <c r="K85" s="104"/>
      <c r="L85" s="95"/>
      <c r="M85" s="129" t="s">
        <v>2188</v>
      </c>
      <c r="N85" s="162" t="s">
        <v>2189</v>
      </c>
      <c r="O85" s="163" t="s">
        <v>2190</v>
      </c>
      <c r="P85" s="163" t="s">
        <v>2191</v>
      </c>
      <c r="Q85" s="163" t="s">
        <v>2192</v>
      </c>
      <c r="R85" s="164" t="s">
        <v>2193</v>
      </c>
      <c r="S85" s="200"/>
      <c r="T85" s="201"/>
      <c r="U85" s="202"/>
      <c r="V85" s="202"/>
      <c r="W85" s="201"/>
      <c r="X85" s="202"/>
      <c r="Y85" s="64"/>
      <c r="Z85" s="64"/>
      <c r="AA85" s="64"/>
      <c r="AB85" s="64"/>
      <c r="AC85" s="64"/>
      <c r="AD85" s="64"/>
      <c r="AE85" s="64"/>
      <c r="AF85" s="64"/>
      <c r="AG85" s="64"/>
    </row>
    <row r="86">
      <c r="A86" s="85">
        <f t="shared" si="1"/>
        <v>77</v>
      </c>
      <c r="B86" s="132" t="s">
        <v>2194</v>
      </c>
      <c r="C86" s="126" t="s">
        <v>63</v>
      </c>
      <c r="D86" s="158" t="s">
        <v>2195</v>
      </c>
      <c r="E86" s="159" t="s">
        <v>924</v>
      </c>
      <c r="F86" s="159" t="s">
        <v>124</v>
      </c>
      <c r="G86" s="160" t="s">
        <v>2196</v>
      </c>
      <c r="H86" s="131" t="s">
        <v>149</v>
      </c>
      <c r="I86" s="93" t="s">
        <v>150</v>
      </c>
      <c r="J86" s="230" t="s">
        <v>2197</v>
      </c>
      <c r="K86" s="243" t="s">
        <v>2198</v>
      </c>
      <c r="L86" s="95"/>
      <c r="M86" s="106"/>
      <c r="N86" s="107"/>
      <c r="O86" s="108"/>
      <c r="P86" s="108"/>
      <c r="Q86" s="108"/>
      <c r="R86" s="120"/>
      <c r="S86" s="99"/>
      <c r="T86" s="95"/>
      <c r="U86" s="100"/>
      <c r="V86" s="101"/>
      <c r="W86" s="101"/>
      <c r="X86" s="101"/>
      <c r="Y86" s="64"/>
      <c r="Z86" s="64"/>
      <c r="AA86" s="64"/>
      <c r="AB86" s="64"/>
      <c r="AC86" s="64"/>
      <c r="AD86" s="64"/>
      <c r="AE86" s="64"/>
      <c r="AF86" s="64"/>
      <c r="AG86" s="64"/>
    </row>
    <row r="87">
      <c r="A87" s="126">
        <f t="shared" si="1"/>
        <v>78</v>
      </c>
      <c r="B87" s="141" t="s">
        <v>2199</v>
      </c>
      <c r="C87" s="106" t="s">
        <v>63</v>
      </c>
      <c r="D87" s="158" t="s">
        <v>2200</v>
      </c>
      <c r="E87" s="159" t="s">
        <v>905</v>
      </c>
      <c r="F87" s="159" t="s">
        <v>147</v>
      </c>
      <c r="G87" s="130" t="s">
        <v>2201</v>
      </c>
      <c r="H87" s="206" t="s">
        <v>149</v>
      </c>
      <c r="I87" s="93" t="s">
        <v>150</v>
      </c>
      <c r="J87" s="230" t="s">
        <v>2202</v>
      </c>
      <c r="K87" s="244" t="s">
        <v>2203</v>
      </c>
      <c r="L87" s="95"/>
      <c r="M87" s="106"/>
      <c r="N87" s="107"/>
      <c r="O87" s="108"/>
      <c r="P87" s="108"/>
      <c r="Q87" s="108"/>
      <c r="R87" s="120"/>
      <c r="S87" s="99"/>
      <c r="T87" s="95"/>
      <c r="U87" s="100"/>
      <c r="V87" s="101"/>
      <c r="W87" s="101"/>
      <c r="X87" s="101"/>
      <c r="Y87" s="64"/>
      <c r="Z87" s="64"/>
      <c r="AA87" s="64"/>
      <c r="AB87" s="64"/>
      <c r="AC87" s="64"/>
      <c r="AD87" s="64"/>
      <c r="AE87" s="64"/>
      <c r="AF87" s="64"/>
      <c r="AG87" s="64"/>
    </row>
    <row r="88">
      <c r="A88" s="126">
        <f t="shared" si="1"/>
        <v>79</v>
      </c>
      <c r="B88" s="132" t="s">
        <v>2204</v>
      </c>
      <c r="C88" s="106" t="s">
        <v>63</v>
      </c>
      <c r="D88" s="128" t="s">
        <v>2205</v>
      </c>
      <c r="E88" s="129" t="s">
        <v>905</v>
      </c>
      <c r="F88" s="129" t="s">
        <v>124</v>
      </c>
      <c r="G88" s="130" t="s">
        <v>2206</v>
      </c>
      <c r="H88" s="131" t="s">
        <v>149</v>
      </c>
      <c r="I88" s="93" t="s">
        <v>165</v>
      </c>
      <c r="J88" s="166"/>
      <c r="K88" s="104"/>
      <c r="L88" s="95"/>
      <c r="M88" s="129" t="s">
        <v>2207</v>
      </c>
      <c r="N88" s="162" t="s">
        <v>2208</v>
      </c>
      <c r="O88" s="163" t="s">
        <v>2209</v>
      </c>
      <c r="P88" s="163" t="s">
        <v>2210</v>
      </c>
      <c r="Q88" s="163" t="s">
        <v>2211</v>
      </c>
      <c r="R88" s="164" t="s">
        <v>2212</v>
      </c>
      <c r="S88" s="200"/>
      <c r="T88" s="203"/>
      <c r="U88" s="202"/>
      <c r="V88" s="202"/>
      <c r="W88" s="203"/>
      <c r="X88" s="202"/>
      <c r="Y88" s="64"/>
      <c r="Z88" s="64"/>
      <c r="AA88" s="64"/>
      <c r="AB88" s="64"/>
      <c r="AC88" s="64"/>
      <c r="AD88" s="64"/>
      <c r="AE88" s="64"/>
      <c r="AF88" s="64"/>
      <c r="AG88" s="64"/>
    </row>
    <row r="89">
      <c r="A89" s="126">
        <f t="shared" si="1"/>
        <v>80</v>
      </c>
      <c r="B89" s="132" t="s">
        <v>2213</v>
      </c>
      <c r="C89" s="106" t="s">
        <v>63</v>
      </c>
      <c r="D89" s="128" t="s">
        <v>2214</v>
      </c>
      <c r="E89" s="129" t="s">
        <v>895</v>
      </c>
      <c r="F89" s="129" t="s">
        <v>1505</v>
      </c>
      <c r="G89" s="130" t="s">
        <v>2215</v>
      </c>
      <c r="H89" s="131" t="s">
        <v>149</v>
      </c>
      <c r="I89" s="93" t="s">
        <v>165</v>
      </c>
      <c r="J89" s="166"/>
      <c r="K89" s="104"/>
      <c r="L89" s="95"/>
      <c r="M89" s="129" t="s">
        <v>1414</v>
      </c>
      <c r="N89" s="162" t="s">
        <v>2216</v>
      </c>
      <c r="O89" s="163" t="s">
        <v>2217</v>
      </c>
      <c r="P89" s="163" t="s">
        <v>2218</v>
      </c>
      <c r="Q89" s="163" t="s">
        <v>2219</v>
      </c>
      <c r="R89" s="164" t="s">
        <v>2220</v>
      </c>
      <c r="S89" s="200"/>
      <c r="T89" s="201"/>
      <c r="U89" s="202"/>
      <c r="V89" s="202"/>
      <c r="W89" s="201"/>
      <c r="X89" s="202"/>
      <c r="Y89" s="64"/>
      <c r="Z89" s="64"/>
      <c r="AA89" s="64"/>
      <c r="AB89" s="64"/>
      <c r="AC89" s="64"/>
      <c r="AD89" s="64"/>
      <c r="AE89" s="64"/>
      <c r="AF89" s="64"/>
      <c r="AG89" s="64"/>
    </row>
    <row r="90">
      <c r="A90" s="126">
        <f t="shared" si="1"/>
        <v>81</v>
      </c>
      <c r="B90" s="136" t="s">
        <v>2221</v>
      </c>
      <c r="C90" s="106" t="s">
        <v>81</v>
      </c>
      <c r="D90" s="158" t="s">
        <v>2222</v>
      </c>
      <c r="E90" s="159" t="s">
        <v>895</v>
      </c>
      <c r="F90" s="159" t="s">
        <v>2186</v>
      </c>
      <c r="G90" s="160" t="s">
        <v>2223</v>
      </c>
      <c r="H90" s="131" t="s">
        <v>149</v>
      </c>
      <c r="I90" s="93" t="s">
        <v>187</v>
      </c>
      <c r="J90" s="230" t="s">
        <v>2224</v>
      </c>
      <c r="K90" s="229" t="s">
        <v>2225</v>
      </c>
      <c r="L90" s="95"/>
      <c r="M90" s="159"/>
      <c r="N90" s="162"/>
      <c r="O90" s="163"/>
      <c r="P90" s="163"/>
      <c r="Q90" s="163"/>
      <c r="R90" s="164"/>
      <c r="S90" s="200"/>
      <c r="T90" s="203"/>
      <c r="U90" s="202"/>
      <c r="V90" s="202"/>
      <c r="W90" s="203"/>
      <c r="X90" s="202"/>
      <c r="Y90" s="64"/>
      <c r="Z90" s="64"/>
      <c r="AA90" s="64"/>
      <c r="AB90" s="64"/>
      <c r="AC90" s="64"/>
      <c r="AD90" s="64"/>
      <c r="AE90" s="64"/>
      <c r="AF90" s="64"/>
      <c r="AG90" s="64"/>
    </row>
    <row r="91">
      <c r="A91" s="126">
        <f t="shared" si="1"/>
        <v>82</v>
      </c>
      <c r="B91" s="136" t="s">
        <v>2226</v>
      </c>
      <c r="C91" s="106" t="s">
        <v>63</v>
      </c>
      <c r="D91" s="128" t="s">
        <v>2227</v>
      </c>
      <c r="E91" s="129" t="s">
        <v>895</v>
      </c>
      <c r="F91" s="129" t="s">
        <v>2228</v>
      </c>
      <c r="G91" s="130" t="s">
        <v>2229</v>
      </c>
      <c r="H91" s="131" t="s">
        <v>149</v>
      </c>
      <c r="I91" s="93" t="s">
        <v>187</v>
      </c>
      <c r="J91" s="165" t="s">
        <v>2230</v>
      </c>
      <c r="K91" s="229" t="s">
        <v>2225</v>
      </c>
      <c r="L91" s="95"/>
      <c r="M91" s="159"/>
      <c r="N91" s="162"/>
      <c r="O91" s="163"/>
      <c r="P91" s="163"/>
      <c r="Q91" s="163"/>
      <c r="R91" s="164"/>
      <c r="S91" s="200"/>
      <c r="T91" s="201"/>
      <c r="U91" s="202"/>
      <c r="V91" s="202"/>
      <c r="W91" s="201"/>
      <c r="X91" s="202"/>
      <c r="Y91" s="64"/>
      <c r="Z91" s="64"/>
      <c r="AA91" s="64"/>
      <c r="AB91" s="64"/>
      <c r="AC91" s="64"/>
      <c r="AD91" s="64"/>
      <c r="AE91" s="64"/>
      <c r="AF91" s="64"/>
      <c r="AG91" s="64"/>
    </row>
    <row r="92">
      <c r="A92" s="126">
        <f t="shared" si="1"/>
        <v>83</v>
      </c>
      <c r="B92" s="245" t="s">
        <v>2231</v>
      </c>
      <c r="C92" s="106" t="s">
        <v>257</v>
      </c>
      <c r="D92" s="128" t="s">
        <v>2232</v>
      </c>
      <c r="E92" s="129" t="s">
        <v>895</v>
      </c>
      <c r="F92" s="129" t="s">
        <v>259</v>
      </c>
      <c r="G92" s="246" t="s">
        <v>2233</v>
      </c>
      <c r="H92" s="206" t="s">
        <v>149</v>
      </c>
      <c r="I92" s="247" t="s">
        <v>165</v>
      </c>
      <c r="J92" s="114"/>
      <c r="K92" s="104"/>
      <c r="L92" s="95"/>
      <c r="M92" s="129" t="s">
        <v>257</v>
      </c>
      <c r="N92" s="162" t="s">
        <v>2231</v>
      </c>
      <c r="O92" s="163" t="s">
        <v>2234</v>
      </c>
      <c r="P92" s="163" t="s">
        <v>2235</v>
      </c>
      <c r="Q92" s="163" t="s">
        <v>2236</v>
      </c>
      <c r="R92" s="164" t="s">
        <v>2232</v>
      </c>
      <c r="S92" s="200"/>
      <c r="T92" s="203"/>
      <c r="U92" s="202"/>
      <c r="V92" s="202"/>
      <c r="W92" s="203"/>
      <c r="X92" s="202"/>
      <c r="Y92" s="64"/>
      <c r="Z92" s="64"/>
      <c r="AA92" s="64"/>
      <c r="AB92" s="64"/>
      <c r="AC92" s="64"/>
      <c r="AD92" s="64"/>
      <c r="AE92" s="64"/>
      <c r="AF92" s="64"/>
      <c r="AG92" s="64"/>
    </row>
    <row r="93">
      <c r="A93" s="126">
        <f t="shared" si="1"/>
        <v>84</v>
      </c>
      <c r="B93" s="248" t="s">
        <v>2237</v>
      </c>
      <c r="C93" s="126" t="s">
        <v>63</v>
      </c>
      <c r="D93" s="158" t="s">
        <v>2238</v>
      </c>
      <c r="E93" s="159" t="s">
        <v>382</v>
      </c>
      <c r="F93" s="159" t="s">
        <v>376</v>
      </c>
      <c r="G93" s="249" t="s">
        <v>2239</v>
      </c>
      <c r="H93" s="206" t="s">
        <v>149</v>
      </c>
      <c r="I93" s="247" t="s">
        <v>165</v>
      </c>
      <c r="J93" s="114"/>
      <c r="K93" s="104"/>
      <c r="L93" s="95"/>
      <c r="M93" s="129" t="s">
        <v>168</v>
      </c>
      <c r="N93" s="250" t="s">
        <v>2240</v>
      </c>
      <c r="O93" s="159" t="s">
        <v>2241</v>
      </c>
      <c r="P93" s="159" t="s">
        <v>2242</v>
      </c>
      <c r="Q93" s="159" t="s">
        <v>2243</v>
      </c>
      <c r="R93" s="158" t="s">
        <v>2244</v>
      </c>
      <c r="S93" s="200"/>
      <c r="T93" s="201"/>
      <c r="U93" s="202"/>
      <c r="V93" s="202"/>
      <c r="W93" s="201"/>
      <c r="X93" s="202"/>
      <c r="Y93" s="64"/>
      <c r="Z93" s="64"/>
      <c r="AA93" s="64"/>
      <c r="AB93" s="64"/>
      <c r="AC93" s="64"/>
      <c r="AD93" s="64"/>
      <c r="AE93" s="64"/>
      <c r="AF93" s="64"/>
      <c r="AG93" s="64"/>
    </row>
    <row r="94">
      <c r="A94" s="126">
        <f t="shared" si="1"/>
        <v>85</v>
      </c>
      <c r="B94" s="245" t="s">
        <v>2245</v>
      </c>
      <c r="C94" s="106" t="s">
        <v>63</v>
      </c>
      <c r="D94" s="128" t="s">
        <v>2246</v>
      </c>
      <c r="E94" s="129" t="s">
        <v>411</v>
      </c>
      <c r="F94" s="129" t="s">
        <v>1086</v>
      </c>
      <c r="G94" s="246" t="s">
        <v>2247</v>
      </c>
      <c r="H94" s="206" t="s">
        <v>149</v>
      </c>
      <c r="I94" s="247" t="s">
        <v>187</v>
      </c>
      <c r="J94" s="104" t="s">
        <v>2248</v>
      </c>
      <c r="K94" s="104"/>
      <c r="L94" s="95"/>
      <c r="M94" s="129"/>
      <c r="N94" s="162"/>
      <c r="O94" s="163"/>
      <c r="P94" s="163"/>
      <c r="Q94" s="163"/>
      <c r="R94" s="164"/>
      <c r="S94" s="99"/>
      <c r="T94" s="95"/>
      <c r="U94" s="100"/>
      <c r="V94" s="101"/>
      <c r="W94" s="101"/>
      <c r="X94" s="101"/>
      <c r="Y94" s="64"/>
      <c r="Z94" s="64"/>
      <c r="AA94" s="64"/>
      <c r="AB94" s="64"/>
      <c r="AC94" s="64"/>
      <c r="AD94" s="64"/>
      <c r="AE94" s="64"/>
      <c r="AF94" s="64"/>
      <c r="AG94" s="64"/>
    </row>
    <row r="95">
      <c r="A95" s="126">
        <f t="shared" si="1"/>
        <v>86</v>
      </c>
      <c r="B95" s="245" t="s">
        <v>2249</v>
      </c>
      <c r="C95" s="106" t="s">
        <v>63</v>
      </c>
      <c r="D95" s="158" t="s">
        <v>2250</v>
      </c>
      <c r="E95" s="129" t="s">
        <v>382</v>
      </c>
      <c r="F95" s="159" t="s">
        <v>1332</v>
      </c>
      <c r="G95" s="249" t="s">
        <v>2251</v>
      </c>
      <c r="H95" s="206" t="s">
        <v>149</v>
      </c>
      <c r="I95" s="247" t="s">
        <v>165</v>
      </c>
      <c r="J95" s="114"/>
      <c r="K95" s="104"/>
      <c r="L95" s="95"/>
      <c r="M95" s="129" t="s">
        <v>499</v>
      </c>
      <c r="N95" s="162" t="s">
        <v>2252</v>
      </c>
      <c r="O95" s="163" t="s">
        <v>2253</v>
      </c>
      <c r="P95" s="163" t="s">
        <v>1245</v>
      </c>
      <c r="Q95" s="163" t="s">
        <v>2254</v>
      </c>
      <c r="R95" s="164" t="s">
        <v>2255</v>
      </c>
      <c r="S95" s="99"/>
      <c r="T95" s="95"/>
      <c r="U95" s="100"/>
      <c r="V95" s="101"/>
      <c r="W95" s="101"/>
      <c r="X95" s="101"/>
      <c r="Y95" s="64"/>
      <c r="Z95" s="64"/>
      <c r="AA95" s="64"/>
      <c r="AB95" s="64"/>
      <c r="AC95" s="64"/>
      <c r="AD95" s="64"/>
      <c r="AE95" s="64"/>
      <c r="AF95" s="64"/>
      <c r="AG95" s="64"/>
    </row>
    <row r="96">
      <c r="A96" s="126">
        <f t="shared" si="1"/>
        <v>87</v>
      </c>
      <c r="B96" s="245" t="s">
        <v>2256</v>
      </c>
      <c r="C96" s="106" t="s">
        <v>63</v>
      </c>
      <c r="D96" s="128" t="s">
        <v>2257</v>
      </c>
      <c r="E96" s="129" t="s">
        <v>382</v>
      </c>
      <c r="F96" s="129" t="s">
        <v>376</v>
      </c>
      <c r="G96" s="246" t="s">
        <v>2258</v>
      </c>
      <c r="H96" s="206" t="s">
        <v>149</v>
      </c>
      <c r="I96" s="247" t="s">
        <v>165</v>
      </c>
      <c r="J96" s="114"/>
      <c r="K96" s="104"/>
      <c r="L96" s="95"/>
      <c r="M96" s="129" t="s">
        <v>897</v>
      </c>
      <c r="N96" s="162" t="s">
        <v>2259</v>
      </c>
      <c r="O96" s="163" t="s">
        <v>2260</v>
      </c>
      <c r="P96" s="163" t="s">
        <v>387</v>
      </c>
      <c r="Q96" s="163" t="s">
        <v>2261</v>
      </c>
      <c r="R96" s="164" t="s">
        <v>2262</v>
      </c>
      <c r="S96" s="99"/>
      <c r="T96" s="95"/>
      <c r="U96" s="100"/>
      <c r="V96" s="101"/>
      <c r="W96" s="101"/>
      <c r="X96" s="101"/>
      <c r="Y96" s="64"/>
      <c r="Z96" s="64"/>
      <c r="AA96" s="64"/>
      <c r="AB96" s="64"/>
      <c r="AC96" s="64"/>
      <c r="AD96" s="64"/>
      <c r="AE96" s="64"/>
      <c r="AF96" s="64"/>
      <c r="AG96" s="64"/>
    </row>
    <row r="97">
      <c r="A97" s="126">
        <f t="shared" si="1"/>
        <v>88</v>
      </c>
      <c r="B97" s="251" t="s">
        <v>2263</v>
      </c>
      <c r="C97" s="106" t="s">
        <v>63</v>
      </c>
      <c r="D97" s="158" t="s">
        <v>2264</v>
      </c>
      <c r="E97" s="159" t="s">
        <v>382</v>
      </c>
      <c r="F97" s="159" t="s">
        <v>376</v>
      </c>
      <c r="G97" s="249" t="s">
        <v>2265</v>
      </c>
      <c r="H97" s="206" t="s">
        <v>149</v>
      </c>
      <c r="I97" s="247" t="s">
        <v>187</v>
      </c>
      <c r="J97" s="104" t="s">
        <v>2266</v>
      </c>
      <c r="K97" s="104"/>
      <c r="L97" s="95"/>
      <c r="M97" s="159"/>
      <c r="N97" s="162"/>
      <c r="O97" s="163"/>
      <c r="P97" s="163"/>
      <c r="Q97" s="163"/>
      <c r="R97" s="164"/>
      <c r="S97" s="99"/>
      <c r="T97" s="95"/>
      <c r="U97" s="100"/>
      <c r="V97" s="101"/>
      <c r="W97" s="101"/>
      <c r="X97" s="101"/>
      <c r="Y97" s="64"/>
      <c r="Z97" s="64"/>
      <c r="AA97" s="64"/>
      <c r="AB97" s="64"/>
      <c r="AC97" s="64"/>
      <c r="AD97" s="64"/>
      <c r="AE97" s="64"/>
      <c r="AF97" s="64"/>
      <c r="AG97" s="64"/>
    </row>
    <row r="98">
      <c r="A98" s="126">
        <f t="shared" si="1"/>
        <v>89</v>
      </c>
      <c r="B98" s="245" t="s">
        <v>2267</v>
      </c>
      <c r="C98" s="106" t="s">
        <v>63</v>
      </c>
      <c r="D98" s="128" t="s">
        <v>2268</v>
      </c>
      <c r="E98" s="129" t="s">
        <v>411</v>
      </c>
      <c r="F98" s="129" t="s">
        <v>1538</v>
      </c>
      <c r="G98" s="249" t="s">
        <v>2269</v>
      </c>
      <c r="H98" s="206" t="s">
        <v>149</v>
      </c>
      <c r="I98" s="247" t="s">
        <v>165</v>
      </c>
      <c r="J98" s="114"/>
      <c r="K98" s="104"/>
      <c r="L98" s="95"/>
      <c r="M98" s="129" t="s">
        <v>993</v>
      </c>
      <c r="N98" s="162" t="s">
        <v>2270</v>
      </c>
      <c r="O98" s="163" t="s">
        <v>2271</v>
      </c>
      <c r="P98" s="163" t="s">
        <v>2272</v>
      </c>
      <c r="Q98" s="163" t="s">
        <v>2273</v>
      </c>
      <c r="R98" s="164" t="s">
        <v>2274</v>
      </c>
      <c r="S98" s="99"/>
      <c r="T98" s="95"/>
      <c r="U98" s="100"/>
      <c r="V98" s="101"/>
      <c r="W98" s="101"/>
      <c r="X98" s="101"/>
      <c r="Y98" s="64"/>
      <c r="Z98" s="64"/>
      <c r="AA98" s="64"/>
      <c r="AB98" s="64"/>
      <c r="AC98" s="64"/>
      <c r="AD98" s="64"/>
      <c r="AE98" s="64"/>
      <c r="AF98" s="64"/>
      <c r="AG98" s="64"/>
    </row>
    <row r="99">
      <c r="A99" s="126">
        <f t="shared" si="1"/>
        <v>90</v>
      </c>
      <c r="B99" s="245" t="s">
        <v>2275</v>
      </c>
      <c r="C99" s="106" t="s">
        <v>63</v>
      </c>
      <c r="D99" s="128" t="s">
        <v>2276</v>
      </c>
      <c r="E99" s="129" t="s">
        <v>411</v>
      </c>
      <c r="F99" s="129" t="s">
        <v>124</v>
      </c>
      <c r="G99" s="246" t="s">
        <v>2277</v>
      </c>
      <c r="H99" s="206" t="s">
        <v>149</v>
      </c>
      <c r="I99" s="247" t="s">
        <v>165</v>
      </c>
      <c r="J99" s="165"/>
      <c r="K99" s="166"/>
      <c r="L99" s="166"/>
      <c r="M99" s="129" t="s">
        <v>2278</v>
      </c>
      <c r="N99" s="162" t="s">
        <v>2279</v>
      </c>
      <c r="O99" s="163" t="s">
        <v>2280</v>
      </c>
      <c r="P99" s="163" t="s">
        <v>2281</v>
      </c>
      <c r="Q99" s="163" t="s">
        <v>2282</v>
      </c>
      <c r="R99" s="164" t="s">
        <v>2283</v>
      </c>
      <c r="S99" s="99"/>
      <c r="T99" s="95"/>
      <c r="U99" s="100"/>
      <c r="V99" s="101"/>
      <c r="W99" s="101"/>
      <c r="X99" s="101"/>
      <c r="Y99" s="64"/>
      <c r="Z99" s="64"/>
      <c r="AA99" s="64"/>
      <c r="AB99" s="64"/>
      <c r="AC99" s="64"/>
      <c r="AD99" s="64"/>
      <c r="AE99" s="64"/>
      <c r="AF99" s="64"/>
      <c r="AG99" s="64"/>
    </row>
    <row r="100">
      <c r="A100" s="126">
        <f t="shared" si="1"/>
        <v>91</v>
      </c>
      <c r="B100" s="252" t="s">
        <v>2284</v>
      </c>
      <c r="C100" s="106" t="s">
        <v>63</v>
      </c>
      <c r="D100" s="253" t="s">
        <v>2285</v>
      </c>
      <c r="E100" s="159" t="s">
        <v>411</v>
      </c>
      <c r="F100" s="159" t="s">
        <v>2286</v>
      </c>
      <c r="G100" s="249" t="s">
        <v>2287</v>
      </c>
      <c r="H100" s="206" t="s">
        <v>149</v>
      </c>
      <c r="I100" s="247" t="s">
        <v>165</v>
      </c>
      <c r="J100" s="254"/>
      <c r="K100" s="254"/>
      <c r="L100" s="254"/>
      <c r="M100" s="159" t="s">
        <v>2288</v>
      </c>
      <c r="N100" s="162" t="s">
        <v>2289</v>
      </c>
      <c r="O100" s="163" t="s">
        <v>2290</v>
      </c>
      <c r="P100" s="163" t="s">
        <v>2291</v>
      </c>
      <c r="Q100" s="163" t="s">
        <v>2292</v>
      </c>
      <c r="R100" s="164" t="s">
        <v>2293</v>
      </c>
      <c r="S100" s="99"/>
      <c r="T100" s="95"/>
      <c r="U100" s="100"/>
      <c r="V100" s="101"/>
      <c r="W100" s="101"/>
      <c r="X100" s="101"/>
      <c r="Y100" s="64"/>
      <c r="Z100" s="64"/>
      <c r="AA100" s="64"/>
      <c r="AB100" s="64"/>
      <c r="AC100" s="64"/>
      <c r="AD100" s="64"/>
      <c r="AE100" s="64"/>
      <c r="AF100" s="64"/>
      <c r="AG100" s="64"/>
    </row>
    <row r="101">
      <c r="A101" s="126">
        <f t="shared" si="1"/>
        <v>92</v>
      </c>
      <c r="B101" s="252" t="s">
        <v>2294</v>
      </c>
      <c r="C101" s="106" t="s">
        <v>63</v>
      </c>
      <c r="D101" s="128" t="s">
        <v>2295</v>
      </c>
      <c r="E101" s="129" t="s">
        <v>905</v>
      </c>
      <c r="F101" s="129" t="s">
        <v>2286</v>
      </c>
      <c r="G101" s="246" t="s">
        <v>2296</v>
      </c>
      <c r="H101" s="206" t="s">
        <v>149</v>
      </c>
      <c r="I101" s="247" t="s">
        <v>165</v>
      </c>
      <c r="J101" s="255"/>
      <c r="K101" s="255"/>
      <c r="L101" s="255"/>
      <c r="M101" s="148" t="s">
        <v>2297</v>
      </c>
      <c r="N101" s="256" t="s">
        <v>2298</v>
      </c>
      <c r="O101" s="205" t="s">
        <v>2299</v>
      </c>
      <c r="P101" s="205" t="s">
        <v>2300</v>
      </c>
      <c r="Q101" s="205" t="s">
        <v>2301</v>
      </c>
      <c r="R101" s="257" t="s">
        <v>2302</v>
      </c>
      <c r="S101" s="99"/>
      <c r="T101" s="95"/>
      <c r="U101" s="100"/>
      <c r="V101" s="101"/>
      <c r="W101" s="101"/>
      <c r="X101" s="101"/>
      <c r="Y101" s="64"/>
      <c r="Z101" s="64"/>
      <c r="AA101" s="64"/>
      <c r="AB101" s="64"/>
      <c r="AC101" s="64"/>
      <c r="AD101" s="64"/>
      <c r="AE101" s="64"/>
      <c r="AF101" s="64"/>
      <c r="AG101" s="64"/>
    </row>
    <row r="102">
      <c r="A102" s="126">
        <f t="shared" si="1"/>
        <v>93</v>
      </c>
      <c r="B102" s="252" t="s">
        <v>2303</v>
      </c>
      <c r="C102" s="106" t="s">
        <v>257</v>
      </c>
      <c r="D102" s="158" t="s">
        <v>2304</v>
      </c>
      <c r="E102" s="159" t="s">
        <v>382</v>
      </c>
      <c r="F102" s="159" t="s">
        <v>2305</v>
      </c>
      <c r="G102" s="249" t="s">
        <v>2306</v>
      </c>
      <c r="H102" s="206" t="s">
        <v>149</v>
      </c>
      <c r="I102" s="247" t="s">
        <v>165</v>
      </c>
      <c r="J102" s="254"/>
      <c r="K102" s="254"/>
      <c r="L102" s="254"/>
      <c r="M102" s="258" t="s">
        <v>257</v>
      </c>
      <c r="N102" s="259" t="s">
        <v>2307</v>
      </c>
      <c r="O102" s="260" t="s">
        <v>2308</v>
      </c>
      <c r="P102" s="260" t="s">
        <v>2309</v>
      </c>
      <c r="Q102" s="261" t="s">
        <v>2304</v>
      </c>
      <c r="R102" s="212"/>
      <c r="S102" s="99"/>
      <c r="T102" s="95"/>
      <c r="U102" s="100"/>
      <c r="V102" s="101"/>
      <c r="W102" s="101"/>
      <c r="X102" s="101"/>
      <c r="Y102" s="64"/>
      <c r="Z102" s="64"/>
      <c r="AA102" s="64"/>
      <c r="AB102" s="64"/>
      <c r="AC102" s="64"/>
      <c r="AD102" s="64"/>
      <c r="AE102" s="64"/>
      <c r="AF102" s="64"/>
      <c r="AG102" s="64"/>
    </row>
    <row r="103">
      <c r="A103" s="126">
        <f t="shared" si="1"/>
        <v>94</v>
      </c>
      <c r="B103" s="252" t="s">
        <v>2310</v>
      </c>
      <c r="C103" s="106" t="s">
        <v>257</v>
      </c>
      <c r="D103" s="128" t="s">
        <v>2311</v>
      </c>
      <c r="E103" s="129" t="s">
        <v>382</v>
      </c>
      <c r="F103" s="129" t="s">
        <v>2312</v>
      </c>
      <c r="G103" s="246" t="s">
        <v>2313</v>
      </c>
      <c r="H103" s="206" t="s">
        <v>149</v>
      </c>
      <c r="I103" s="247" t="s">
        <v>165</v>
      </c>
      <c r="J103" s="255"/>
      <c r="K103" s="255"/>
      <c r="L103" s="255"/>
      <c r="M103" s="258" t="s">
        <v>257</v>
      </c>
      <c r="N103" s="256" t="s">
        <v>2314</v>
      </c>
      <c r="O103" s="205" t="s">
        <v>2315</v>
      </c>
      <c r="P103" s="205" t="s">
        <v>2316</v>
      </c>
      <c r="Q103" s="262" t="s">
        <v>2311</v>
      </c>
      <c r="R103" s="164"/>
      <c r="S103" s="99"/>
      <c r="T103" s="95"/>
      <c r="U103" s="100"/>
      <c r="V103" s="101"/>
      <c r="W103" s="101"/>
      <c r="X103" s="101"/>
      <c r="Y103" s="64"/>
      <c r="Z103" s="64"/>
      <c r="AA103" s="64"/>
      <c r="AB103" s="64"/>
      <c r="AC103" s="64"/>
      <c r="AD103" s="64"/>
      <c r="AE103" s="64"/>
      <c r="AF103" s="64"/>
      <c r="AG103" s="64"/>
    </row>
    <row r="104">
      <c r="A104" s="126">
        <f t="shared" si="1"/>
        <v>95</v>
      </c>
      <c r="B104" s="252" t="s">
        <v>2317</v>
      </c>
      <c r="C104" s="106" t="s">
        <v>257</v>
      </c>
      <c r="D104" s="158" t="s">
        <v>2318</v>
      </c>
      <c r="E104" s="159" t="s">
        <v>905</v>
      </c>
      <c r="F104" s="159" t="s">
        <v>2305</v>
      </c>
      <c r="G104" s="249" t="s">
        <v>2319</v>
      </c>
      <c r="H104" s="206" t="s">
        <v>149</v>
      </c>
      <c r="I104" s="247" t="s">
        <v>165</v>
      </c>
      <c r="J104" s="254"/>
      <c r="K104" s="254"/>
      <c r="L104" s="254"/>
      <c r="M104" s="258" t="s">
        <v>257</v>
      </c>
      <c r="N104" s="256" t="s">
        <v>2320</v>
      </c>
      <c r="O104" s="205" t="s">
        <v>2315</v>
      </c>
      <c r="P104" s="205" t="s">
        <v>2321</v>
      </c>
      <c r="Q104" s="262" t="s">
        <v>2318</v>
      </c>
      <c r="R104" s="164"/>
      <c r="S104" s="99"/>
      <c r="T104" s="95"/>
      <c r="U104" s="100"/>
      <c r="V104" s="101"/>
      <c r="W104" s="101"/>
      <c r="X104" s="101"/>
      <c r="Y104" s="64"/>
      <c r="Z104" s="64"/>
      <c r="AA104" s="64"/>
      <c r="AB104" s="64"/>
      <c r="AC104" s="64"/>
      <c r="AD104" s="64"/>
      <c r="AE104" s="64"/>
      <c r="AF104" s="64"/>
      <c r="AG104" s="64"/>
    </row>
    <row r="105">
      <c r="A105" s="126">
        <f t="shared" si="1"/>
        <v>96</v>
      </c>
      <c r="B105" s="252" t="s">
        <v>2322</v>
      </c>
      <c r="C105" s="106" t="s">
        <v>257</v>
      </c>
      <c r="D105" s="128" t="s">
        <v>2323</v>
      </c>
      <c r="E105" s="129" t="s">
        <v>382</v>
      </c>
      <c r="F105" s="129" t="s">
        <v>2312</v>
      </c>
      <c r="G105" s="246" t="s">
        <v>2324</v>
      </c>
      <c r="H105" s="206" t="s">
        <v>149</v>
      </c>
      <c r="I105" s="247" t="s">
        <v>187</v>
      </c>
      <c r="J105" s="263" t="s">
        <v>2325</v>
      </c>
      <c r="K105" s="255"/>
      <c r="L105" s="255"/>
      <c r="M105" s="129"/>
      <c r="N105" s="162"/>
      <c r="O105" s="163"/>
      <c r="P105" s="163"/>
      <c r="Q105" s="163"/>
      <c r="R105" s="164"/>
      <c r="S105" s="99"/>
      <c r="T105" s="95"/>
      <c r="U105" s="100"/>
      <c r="V105" s="101"/>
      <c r="W105" s="101"/>
      <c r="X105" s="101"/>
      <c r="Y105" s="64"/>
      <c r="Z105" s="64"/>
      <c r="AA105" s="64"/>
      <c r="AB105" s="64"/>
      <c r="AC105" s="64"/>
      <c r="AD105" s="64"/>
      <c r="AE105" s="64"/>
      <c r="AF105" s="64"/>
      <c r="AG105" s="64"/>
    </row>
    <row r="106">
      <c r="A106" s="126">
        <f t="shared" si="1"/>
        <v>97</v>
      </c>
      <c r="B106" s="252" t="s">
        <v>2326</v>
      </c>
      <c r="C106" s="106" t="s">
        <v>257</v>
      </c>
      <c r="D106" s="158" t="s">
        <v>2327</v>
      </c>
      <c r="E106" s="159" t="s">
        <v>382</v>
      </c>
      <c r="F106" s="159" t="s">
        <v>2328</v>
      </c>
      <c r="G106" s="249" t="s">
        <v>2329</v>
      </c>
      <c r="H106" s="206" t="s">
        <v>149</v>
      </c>
      <c r="I106" s="247" t="s">
        <v>187</v>
      </c>
      <c r="J106" s="264" t="s">
        <v>2330</v>
      </c>
      <c r="K106" s="254"/>
      <c r="L106" s="254"/>
      <c r="M106" s="159"/>
      <c r="N106" s="162"/>
      <c r="O106" s="163"/>
      <c r="P106" s="163"/>
      <c r="Q106" s="163"/>
      <c r="R106" s="164"/>
      <c r="S106" s="99"/>
      <c r="T106" s="95"/>
      <c r="U106" s="100"/>
      <c r="V106" s="101"/>
      <c r="W106" s="101"/>
      <c r="X106" s="101"/>
      <c r="Y106" s="64"/>
      <c r="Z106" s="64"/>
      <c r="AA106" s="64"/>
      <c r="AB106" s="64"/>
      <c r="AC106" s="64"/>
      <c r="AD106" s="64"/>
      <c r="AE106" s="64"/>
      <c r="AF106" s="64"/>
      <c r="AG106" s="64"/>
    </row>
    <row r="107">
      <c r="A107" s="126">
        <f t="shared" si="1"/>
        <v>98</v>
      </c>
      <c r="B107" s="252" t="s">
        <v>2331</v>
      </c>
      <c r="C107" s="106" t="s">
        <v>257</v>
      </c>
      <c r="D107" s="128" t="s">
        <v>2332</v>
      </c>
      <c r="E107" s="129" t="s">
        <v>382</v>
      </c>
      <c r="F107" s="129" t="s">
        <v>2333</v>
      </c>
      <c r="G107" s="246" t="s">
        <v>2334</v>
      </c>
      <c r="H107" s="206" t="s">
        <v>149</v>
      </c>
      <c r="I107" s="247" t="s">
        <v>187</v>
      </c>
      <c r="J107" s="178" t="s">
        <v>2335</v>
      </c>
      <c r="K107" s="254"/>
      <c r="L107" s="254"/>
      <c r="M107" s="129"/>
      <c r="N107" s="162"/>
      <c r="O107" s="163"/>
      <c r="P107" s="163"/>
      <c r="Q107" s="163"/>
      <c r="R107" s="164"/>
      <c r="S107" s="99"/>
      <c r="T107" s="95"/>
      <c r="U107" s="100"/>
      <c r="V107" s="101"/>
      <c r="W107" s="101"/>
      <c r="X107" s="101"/>
      <c r="Y107" s="64"/>
      <c r="Z107" s="64"/>
      <c r="AA107" s="64"/>
      <c r="AB107" s="64"/>
      <c r="AC107" s="64"/>
      <c r="AD107" s="64"/>
      <c r="AE107" s="64"/>
      <c r="AF107" s="64"/>
      <c r="AG107" s="64"/>
    </row>
    <row r="108">
      <c r="A108" s="126">
        <f t="shared" si="1"/>
        <v>99</v>
      </c>
      <c r="B108" s="252" t="s">
        <v>2336</v>
      </c>
      <c r="C108" s="106" t="s">
        <v>257</v>
      </c>
      <c r="D108" s="158" t="s">
        <v>2337</v>
      </c>
      <c r="E108" s="159" t="s">
        <v>382</v>
      </c>
      <c r="F108" s="159" t="s">
        <v>2333</v>
      </c>
      <c r="G108" s="249" t="s">
        <v>2338</v>
      </c>
      <c r="H108" s="206" t="s">
        <v>149</v>
      </c>
      <c r="I108" s="247" t="s">
        <v>187</v>
      </c>
      <c r="J108" s="178" t="s">
        <v>2335</v>
      </c>
      <c r="K108" s="265"/>
      <c r="L108" s="265"/>
      <c r="M108" s="129"/>
      <c r="N108" s="213"/>
      <c r="O108" s="129"/>
      <c r="P108" s="129"/>
      <c r="Q108" s="129"/>
      <c r="R108" s="128"/>
      <c r="S108" s="99"/>
      <c r="T108" s="95"/>
      <c r="U108" s="100"/>
      <c r="V108" s="101"/>
      <c r="W108" s="101"/>
      <c r="X108" s="101"/>
      <c r="Y108" s="64"/>
      <c r="Z108" s="64"/>
      <c r="AA108" s="64"/>
      <c r="AB108" s="64"/>
      <c r="AC108" s="64"/>
      <c r="AD108" s="64"/>
      <c r="AE108" s="64"/>
      <c r="AF108" s="64"/>
      <c r="AG108" s="64"/>
    </row>
    <row r="109">
      <c r="A109" s="126">
        <f t="shared" si="1"/>
        <v>100</v>
      </c>
      <c r="B109" s="252" t="s">
        <v>2339</v>
      </c>
      <c r="C109" s="106" t="s">
        <v>257</v>
      </c>
      <c r="D109" s="128" t="s">
        <v>2340</v>
      </c>
      <c r="E109" s="129" t="s">
        <v>382</v>
      </c>
      <c r="F109" s="129" t="s">
        <v>2341</v>
      </c>
      <c r="G109" s="246" t="s">
        <v>2342</v>
      </c>
      <c r="H109" s="206" t="s">
        <v>149</v>
      </c>
      <c r="I109" s="247" t="s">
        <v>187</v>
      </c>
      <c r="J109" s="178" t="s">
        <v>2335</v>
      </c>
      <c r="K109" s="265"/>
      <c r="L109" s="265"/>
      <c r="M109" s="129"/>
      <c r="N109" s="162"/>
      <c r="O109" s="163"/>
      <c r="P109" s="163"/>
      <c r="Q109" s="163"/>
      <c r="R109" s="164"/>
      <c r="S109" s="99"/>
      <c r="T109" s="95"/>
      <c r="U109" s="100"/>
      <c r="V109" s="101"/>
      <c r="W109" s="101"/>
      <c r="X109" s="101"/>
      <c r="Y109" s="64"/>
      <c r="Z109" s="64"/>
      <c r="AA109" s="64"/>
      <c r="AB109" s="64"/>
      <c r="AC109" s="64"/>
      <c r="AD109" s="64"/>
      <c r="AE109" s="64"/>
      <c r="AF109" s="64"/>
      <c r="AG109" s="64"/>
    </row>
    <row r="110">
      <c r="A110" s="126">
        <f t="shared" si="1"/>
        <v>101</v>
      </c>
      <c r="B110" s="252" t="s">
        <v>2343</v>
      </c>
      <c r="C110" s="106" t="s">
        <v>257</v>
      </c>
      <c r="D110" s="158" t="s">
        <v>2344</v>
      </c>
      <c r="E110" s="159" t="s">
        <v>382</v>
      </c>
      <c r="F110" s="159" t="s">
        <v>2305</v>
      </c>
      <c r="G110" s="249" t="s">
        <v>2345</v>
      </c>
      <c r="H110" s="206" t="s">
        <v>149</v>
      </c>
      <c r="I110" s="247" t="s">
        <v>187</v>
      </c>
      <c r="J110" s="178" t="s">
        <v>2335</v>
      </c>
      <c r="K110" s="265"/>
      <c r="L110" s="265"/>
      <c r="M110" s="159"/>
      <c r="N110" s="162"/>
      <c r="O110" s="163"/>
      <c r="P110" s="163"/>
      <c r="Q110" s="163"/>
      <c r="R110" s="164"/>
      <c r="S110" s="99"/>
      <c r="T110" s="95"/>
      <c r="U110" s="100"/>
      <c r="V110" s="101"/>
      <c r="W110" s="101"/>
      <c r="X110" s="101"/>
      <c r="Y110" s="64"/>
      <c r="Z110" s="64"/>
      <c r="AA110" s="64"/>
      <c r="AB110" s="64"/>
      <c r="AC110" s="64"/>
      <c r="AD110" s="64"/>
      <c r="AE110" s="64"/>
      <c r="AF110" s="64"/>
      <c r="AG110" s="64"/>
    </row>
    <row r="111">
      <c r="A111" s="126">
        <f t="shared" si="1"/>
        <v>102</v>
      </c>
      <c r="B111" s="266" t="s">
        <v>2346</v>
      </c>
      <c r="C111" s="122" t="s">
        <v>67</v>
      </c>
      <c r="D111" s="267" t="s">
        <v>2347</v>
      </c>
      <c r="E111" s="122" t="s">
        <v>2348</v>
      </c>
      <c r="F111" s="223" t="s">
        <v>124</v>
      </c>
      <c r="G111" s="268" t="s">
        <v>2349</v>
      </c>
      <c r="H111" s="100" t="s">
        <v>149</v>
      </c>
      <c r="I111" s="85"/>
      <c r="J111" s="265"/>
      <c r="K111" s="265"/>
      <c r="L111" s="265"/>
      <c r="M111" s="148" t="s">
        <v>827</v>
      </c>
      <c r="N111" s="256" t="s">
        <v>2350</v>
      </c>
      <c r="O111" s="205" t="s">
        <v>734</v>
      </c>
      <c r="P111" s="205" t="s">
        <v>2351</v>
      </c>
      <c r="Q111" s="205" t="s">
        <v>2352</v>
      </c>
      <c r="R111" s="257" t="s">
        <v>2353</v>
      </c>
      <c r="S111" s="99"/>
      <c r="T111" s="95"/>
      <c r="U111" s="100"/>
      <c r="V111" s="101"/>
      <c r="W111" s="101"/>
      <c r="X111" s="101"/>
      <c r="Y111" s="64"/>
      <c r="Z111" s="64"/>
      <c r="AA111" s="64"/>
      <c r="AB111" s="64"/>
      <c r="AC111" s="64"/>
      <c r="AD111" s="64"/>
      <c r="AE111" s="64"/>
      <c r="AF111" s="64"/>
      <c r="AG111" s="64"/>
    </row>
    <row r="112">
      <c r="A112" s="126">
        <f t="shared" si="1"/>
        <v>103</v>
      </c>
      <c r="B112" s="266" t="s">
        <v>2354</v>
      </c>
      <c r="C112" s="122" t="s">
        <v>67</v>
      </c>
      <c r="D112" s="269" t="s">
        <v>2355</v>
      </c>
      <c r="E112" s="122" t="s">
        <v>2348</v>
      </c>
      <c r="F112" s="223" t="s">
        <v>124</v>
      </c>
      <c r="G112" s="268" t="s">
        <v>2356</v>
      </c>
      <c r="H112" s="100" t="s">
        <v>149</v>
      </c>
      <c r="I112" s="85"/>
      <c r="J112" s="265"/>
      <c r="K112" s="265"/>
      <c r="L112" s="265"/>
      <c r="M112" s="270" t="s">
        <v>196</v>
      </c>
      <c r="N112" s="256" t="s">
        <v>2357</v>
      </c>
      <c r="O112" s="205" t="s">
        <v>2358</v>
      </c>
      <c r="P112" s="205" t="s">
        <v>2359</v>
      </c>
      <c r="Q112" s="205" t="s">
        <v>2360</v>
      </c>
      <c r="R112" s="257" t="s">
        <v>2361</v>
      </c>
      <c r="S112" s="99"/>
      <c r="T112" s="95"/>
      <c r="U112" s="100"/>
      <c r="V112" s="101"/>
      <c r="W112" s="101"/>
      <c r="X112" s="101"/>
      <c r="Y112" s="64"/>
      <c r="Z112" s="64"/>
      <c r="AA112" s="64"/>
      <c r="AB112" s="64"/>
      <c r="AC112" s="64"/>
      <c r="AD112" s="64"/>
      <c r="AE112" s="64"/>
      <c r="AF112" s="64"/>
      <c r="AG112" s="64"/>
    </row>
    <row r="113">
      <c r="A113" s="126">
        <f t="shared" si="1"/>
        <v>104</v>
      </c>
      <c r="B113" s="266" t="s">
        <v>2362</v>
      </c>
      <c r="C113" s="122" t="s">
        <v>67</v>
      </c>
      <c r="D113" s="267" t="s">
        <v>2363</v>
      </c>
      <c r="E113" s="122" t="s">
        <v>2348</v>
      </c>
      <c r="F113" s="223" t="s">
        <v>124</v>
      </c>
      <c r="G113" s="268" t="s">
        <v>2364</v>
      </c>
      <c r="H113" s="100" t="s">
        <v>149</v>
      </c>
      <c r="I113" s="85"/>
      <c r="J113" s="265"/>
      <c r="K113" s="265"/>
      <c r="L113" s="265"/>
      <c r="M113" s="148" t="s">
        <v>710</v>
      </c>
      <c r="N113" s="256" t="s">
        <v>2365</v>
      </c>
      <c r="O113" s="205" t="s">
        <v>2366</v>
      </c>
      <c r="P113" s="205" t="s">
        <v>2367</v>
      </c>
      <c r="Q113" s="205" t="s">
        <v>2368</v>
      </c>
      <c r="R113" s="257" t="s">
        <v>2369</v>
      </c>
      <c r="S113" s="99"/>
      <c r="T113" s="95"/>
      <c r="U113" s="100"/>
      <c r="V113" s="101"/>
      <c r="W113" s="101"/>
      <c r="X113" s="101"/>
      <c r="Y113" s="64"/>
      <c r="Z113" s="64"/>
      <c r="AA113" s="64"/>
      <c r="AB113" s="64"/>
      <c r="AC113" s="64"/>
      <c r="AD113" s="64"/>
      <c r="AE113" s="64"/>
      <c r="AF113" s="64"/>
      <c r="AG113" s="64"/>
    </row>
    <row r="114">
      <c r="A114" s="126">
        <f t="shared" si="1"/>
        <v>105</v>
      </c>
      <c r="B114" s="266" t="s">
        <v>2370</v>
      </c>
      <c r="C114" s="186" t="s">
        <v>67</v>
      </c>
      <c r="D114" s="267" t="s">
        <v>2371</v>
      </c>
      <c r="E114" s="122" t="s">
        <v>2348</v>
      </c>
      <c r="F114" s="271" t="s">
        <v>124</v>
      </c>
      <c r="G114" s="268" t="s">
        <v>2372</v>
      </c>
      <c r="H114" s="100" t="s">
        <v>149</v>
      </c>
      <c r="I114" s="85"/>
      <c r="J114" s="265"/>
      <c r="K114" s="265"/>
      <c r="L114" s="265"/>
      <c r="M114" s="270" t="s">
        <v>1431</v>
      </c>
      <c r="N114" s="256" t="s">
        <v>2373</v>
      </c>
      <c r="O114" s="205" t="s">
        <v>526</v>
      </c>
      <c r="P114" s="205" t="s">
        <v>2374</v>
      </c>
      <c r="Q114" s="205" t="s">
        <v>2375</v>
      </c>
      <c r="R114" s="257" t="s">
        <v>2376</v>
      </c>
      <c r="S114" s="99"/>
      <c r="T114" s="95"/>
      <c r="U114" s="100"/>
      <c r="V114" s="101"/>
      <c r="W114" s="101"/>
      <c r="X114" s="101"/>
      <c r="Y114" s="64"/>
      <c r="Z114" s="64"/>
      <c r="AA114" s="64"/>
      <c r="AB114" s="64"/>
      <c r="AC114" s="64"/>
      <c r="AD114" s="64"/>
      <c r="AE114" s="64"/>
      <c r="AF114" s="64"/>
      <c r="AG114" s="64"/>
    </row>
    <row r="115">
      <c r="A115" s="126">
        <f t="shared" si="1"/>
        <v>106</v>
      </c>
      <c r="B115" s="266" t="s">
        <v>2377</v>
      </c>
      <c r="C115" s="122" t="s">
        <v>67</v>
      </c>
      <c r="D115" s="267" t="s">
        <v>2378</v>
      </c>
      <c r="E115" s="122" t="s">
        <v>2348</v>
      </c>
      <c r="F115" s="223" t="s">
        <v>124</v>
      </c>
      <c r="G115" s="268" t="s">
        <v>2379</v>
      </c>
      <c r="H115" s="100" t="s">
        <v>149</v>
      </c>
      <c r="I115" s="85"/>
      <c r="J115" s="265"/>
      <c r="K115" s="265"/>
      <c r="L115" s="265"/>
      <c r="M115" s="148" t="s">
        <v>2380</v>
      </c>
      <c r="N115" s="256" t="s">
        <v>2381</v>
      </c>
      <c r="O115" s="205" t="s">
        <v>889</v>
      </c>
      <c r="P115" s="205" t="s">
        <v>2382</v>
      </c>
      <c r="Q115" s="205" t="s">
        <v>2383</v>
      </c>
      <c r="R115" s="257" t="s">
        <v>2384</v>
      </c>
      <c r="S115" s="99"/>
      <c r="T115" s="95"/>
      <c r="U115" s="100"/>
      <c r="V115" s="101"/>
      <c r="W115" s="101"/>
      <c r="X115" s="101"/>
      <c r="Y115" s="64"/>
      <c r="Z115" s="64"/>
      <c r="AA115" s="64"/>
      <c r="AB115" s="64"/>
      <c r="AC115" s="64"/>
      <c r="AD115" s="64"/>
      <c r="AE115" s="64"/>
      <c r="AF115" s="64"/>
      <c r="AG115" s="64"/>
    </row>
    <row r="116">
      <c r="A116" s="126">
        <f t="shared" si="1"/>
        <v>107</v>
      </c>
      <c r="B116" s="266" t="s">
        <v>2385</v>
      </c>
      <c r="C116" s="122" t="s">
        <v>67</v>
      </c>
      <c r="D116" s="267" t="s">
        <v>2386</v>
      </c>
      <c r="E116" s="122" t="s">
        <v>2348</v>
      </c>
      <c r="F116" s="223" t="s">
        <v>124</v>
      </c>
      <c r="G116" s="268" t="s">
        <v>2387</v>
      </c>
      <c r="H116" s="100" t="s">
        <v>149</v>
      </c>
      <c r="I116" s="85"/>
      <c r="J116" s="265"/>
      <c r="K116" s="265"/>
      <c r="L116" s="265"/>
      <c r="M116" s="270" t="s">
        <v>1431</v>
      </c>
      <c r="N116" s="256" t="s">
        <v>2388</v>
      </c>
      <c r="O116" s="205" t="s">
        <v>2389</v>
      </c>
      <c r="P116" s="205" t="s">
        <v>2390</v>
      </c>
      <c r="Q116" s="205" t="s">
        <v>2391</v>
      </c>
      <c r="R116" s="257" t="s">
        <v>2392</v>
      </c>
      <c r="S116" s="99"/>
      <c r="T116" s="95"/>
      <c r="U116" s="100"/>
      <c r="V116" s="101"/>
      <c r="W116" s="101"/>
      <c r="X116" s="101"/>
      <c r="Y116" s="64"/>
      <c r="Z116" s="64"/>
      <c r="AA116" s="64"/>
      <c r="AB116" s="64"/>
      <c r="AC116" s="64"/>
      <c r="AD116" s="64"/>
      <c r="AE116" s="64"/>
      <c r="AF116" s="64"/>
      <c r="AG116" s="64"/>
    </row>
    <row r="117">
      <c r="A117" s="126">
        <f t="shared" si="1"/>
        <v>108</v>
      </c>
      <c r="B117" s="266" t="s">
        <v>2393</v>
      </c>
      <c r="C117" s="122" t="s">
        <v>67</v>
      </c>
      <c r="D117" s="267" t="s">
        <v>2394</v>
      </c>
      <c r="E117" s="122" t="s">
        <v>2348</v>
      </c>
      <c r="F117" s="223" t="s">
        <v>124</v>
      </c>
      <c r="G117" s="268" t="s">
        <v>2395</v>
      </c>
      <c r="H117" s="100" t="s">
        <v>149</v>
      </c>
      <c r="I117" s="85"/>
      <c r="J117" s="265"/>
      <c r="K117" s="265"/>
      <c r="L117" s="265"/>
      <c r="M117" s="148" t="s">
        <v>2396</v>
      </c>
      <c r="N117" s="256" t="s">
        <v>2397</v>
      </c>
      <c r="O117" s="205" t="s">
        <v>2398</v>
      </c>
      <c r="P117" s="205" t="s">
        <v>2399</v>
      </c>
      <c r="Q117" s="205" t="s">
        <v>2400</v>
      </c>
      <c r="R117" s="257" t="s">
        <v>2401</v>
      </c>
      <c r="S117" s="99"/>
      <c r="T117" s="95"/>
      <c r="U117" s="100"/>
      <c r="V117" s="101"/>
      <c r="W117" s="101"/>
      <c r="X117" s="101"/>
      <c r="Y117" s="64"/>
      <c r="Z117" s="64"/>
      <c r="AA117" s="64"/>
      <c r="AB117" s="64"/>
      <c r="AC117" s="64"/>
      <c r="AD117" s="64"/>
      <c r="AE117" s="64"/>
      <c r="AF117" s="64"/>
      <c r="AG117" s="64"/>
    </row>
    <row r="118">
      <c r="A118" s="126">
        <f t="shared" si="1"/>
        <v>109</v>
      </c>
      <c r="B118" s="266" t="s">
        <v>2402</v>
      </c>
      <c r="C118" s="122" t="s">
        <v>67</v>
      </c>
      <c r="D118" s="269" t="s">
        <v>2403</v>
      </c>
      <c r="E118" s="122" t="s">
        <v>2348</v>
      </c>
      <c r="F118" s="223" t="s">
        <v>2404</v>
      </c>
      <c r="G118" s="268" t="s">
        <v>2405</v>
      </c>
      <c r="H118" s="100" t="s">
        <v>149</v>
      </c>
      <c r="I118" s="85"/>
      <c r="J118" s="265"/>
      <c r="K118" s="265"/>
      <c r="L118" s="265"/>
      <c r="M118" s="270" t="s">
        <v>168</v>
      </c>
      <c r="N118" s="256" t="s">
        <v>2406</v>
      </c>
      <c r="O118" s="205" t="s">
        <v>2407</v>
      </c>
      <c r="P118" s="205" t="s">
        <v>2408</v>
      </c>
      <c r="Q118" s="205" t="s">
        <v>2409</v>
      </c>
      <c r="R118" s="257" t="s">
        <v>2410</v>
      </c>
      <c r="S118" s="99"/>
      <c r="T118" s="95"/>
      <c r="U118" s="100"/>
      <c r="V118" s="101"/>
      <c r="W118" s="101"/>
      <c r="X118" s="101"/>
      <c r="Y118" s="64"/>
      <c r="Z118" s="64"/>
      <c r="AA118" s="64"/>
      <c r="AB118" s="64"/>
      <c r="AC118" s="64"/>
      <c r="AD118" s="64"/>
      <c r="AE118" s="64"/>
      <c r="AF118" s="64"/>
      <c r="AG118" s="64"/>
    </row>
    <row r="119">
      <c r="A119" s="126">
        <f t="shared" si="1"/>
        <v>110</v>
      </c>
      <c r="B119" s="266" t="s">
        <v>2411</v>
      </c>
      <c r="C119" s="122" t="s">
        <v>67</v>
      </c>
      <c r="D119" s="269" t="s">
        <v>2412</v>
      </c>
      <c r="E119" s="122" t="s">
        <v>2348</v>
      </c>
      <c r="F119" s="223" t="s">
        <v>2404</v>
      </c>
      <c r="G119" s="268" t="s">
        <v>2413</v>
      </c>
      <c r="H119" s="100" t="s">
        <v>149</v>
      </c>
      <c r="I119" s="85"/>
      <c r="J119" s="272"/>
      <c r="K119" s="272"/>
      <c r="L119" s="273"/>
      <c r="M119" s="270" t="s">
        <v>181</v>
      </c>
      <c r="N119" s="256" t="s">
        <v>2414</v>
      </c>
      <c r="O119" s="205" t="s">
        <v>2415</v>
      </c>
      <c r="P119" s="205" t="s">
        <v>2416</v>
      </c>
      <c r="Q119" s="205" t="s">
        <v>2417</v>
      </c>
      <c r="R119" s="257" t="s">
        <v>2418</v>
      </c>
      <c r="S119" s="274"/>
      <c r="T119" s="273"/>
      <c r="U119" s="274"/>
      <c r="V119" s="274"/>
      <c r="W119" s="274"/>
      <c r="X119" s="274"/>
      <c r="Y119" s="64"/>
      <c r="Z119" s="64"/>
      <c r="AA119" s="64"/>
      <c r="AB119" s="64"/>
      <c r="AC119" s="64"/>
      <c r="AD119" s="64"/>
      <c r="AE119" s="64"/>
      <c r="AF119" s="64"/>
      <c r="AG119" s="64"/>
    </row>
    <row r="120">
      <c r="A120" s="126">
        <f t="shared" si="1"/>
        <v>111</v>
      </c>
      <c r="B120" s="266" t="s">
        <v>2419</v>
      </c>
      <c r="C120" s="122" t="s">
        <v>67</v>
      </c>
      <c r="D120" s="269" t="s">
        <v>2420</v>
      </c>
      <c r="E120" s="122" t="s">
        <v>2348</v>
      </c>
      <c r="F120" s="223" t="s">
        <v>124</v>
      </c>
      <c r="G120" s="268" t="s">
        <v>2421</v>
      </c>
      <c r="H120" s="100" t="s">
        <v>149</v>
      </c>
      <c r="I120" s="85"/>
      <c r="J120" s="272"/>
      <c r="K120" s="272"/>
      <c r="L120" s="273"/>
      <c r="M120" s="270" t="s">
        <v>168</v>
      </c>
      <c r="N120" s="256" t="s">
        <v>2422</v>
      </c>
      <c r="O120" s="205" t="s">
        <v>2423</v>
      </c>
      <c r="P120" s="205" t="s">
        <v>2424</v>
      </c>
      <c r="Q120" s="205" t="s">
        <v>2425</v>
      </c>
      <c r="R120" s="257" t="s">
        <v>2426</v>
      </c>
      <c r="S120" s="274"/>
      <c r="T120" s="273"/>
      <c r="U120" s="274"/>
      <c r="V120" s="274"/>
      <c r="W120" s="274"/>
      <c r="X120" s="274"/>
      <c r="Y120" s="64"/>
      <c r="Z120" s="64"/>
      <c r="AA120" s="64"/>
      <c r="AB120" s="64"/>
      <c r="AC120" s="64"/>
      <c r="AD120" s="64"/>
      <c r="AE120" s="64"/>
      <c r="AF120" s="64"/>
      <c r="AG120" s="64"/>
    </row>
    <row r="121">
      <c r="A121" s="126">
        <f t="shared" si="1"/>
        <v>112</v>
      </c>
      <c r="B121" s="275" t="s">
        <v>2427</v>
      </c>
      <c r="C121" s="106" t="s">
        <v>67</v>
      </c>
      <c r="D121" s="267" t="s">
        <v>2428</v>
      </c>
      <c r="E121" s="106" t="s">
        <v>2348</v>
      </c>
      <c r="F121" s="276" t="s">
        <v>124</v>
      </c>
      <c r="G121" s="268" t="s">
        <v>2429</v>
      </c>
      <c r="H121" s="100" t="s">
        <v>149</v>
      </c>
      <c r="I121" s="85"/>
      <c r="J121" s="272"/>
      <c r="K121" s="272"/>
      <c r="L121" s="273"/>
      <c r="M121" s="270" t="s">
        <v>1349</v>
      </c>
      <c r="N121" s="256" t="s">
        <v>2430</v>
      </c>
      <c r="O121" s="205" t="s">
        <v>333</v>
      </c>
      <c r="P121" s="205" t="s">
        <v>2431</v>
      </c>
      <c r="Q121" s="205" t="s">
        <v>2432</v>
      </c>
      <c r="R121" s="257" t="s">
        <v>2433</v>
      </c>
      <c r="S121" s="274"/>
      <c r="T121" s="273"/>
      <c r="U121" s="274"/>
      <c r="V121" s="274"/>
      <c r="W121" s="274"/>
      <c r="X121" s="274"/>
      <c r="Y121" s="64"/>
      <c r="Z121" s="64"/>
      <c r="AA121" s="64"/>
      <c r="AB121" s="64"/>
      <c r="AC121" s="64"/>
      <c r="AD121" s="64"/>
      <c r="AE121" s="64"/>
      <c r="AF121" s="64"/>
      <c r="AG121" s="64"/>
    </row>
    <row r="122">
      <c r="A122" s="126">
        <f t="shared" si="1"/>
        <v>113</v>
      </c>
      <c r="B122" s="275" t="s">
        <v>2434</v>
      </c>
      <c r="C122" s="106" t="s">
        <v>63</v>
      </c>
      <c r="D122" s="277" t="s">
        <v>2435</v>
      </c>
      <c r="E122" s="106" t="s">
        <v>2348</v>
      </c>
      <c r="F122" s="276" t="s">
        <v>2404</v>
      </c>
      <c r="G122" s="268" t="s">
        <v>2436</v>
      </c>
      <c r="H122" s="100" t="s">
        <v>149</v>
      </c>
      <c r="I122" s="85"/>
      <c r="J122" s="272"/>
      <c r="K122" s="272"/>
      <c r="L122" s="273"/>
      <c r="M122" s="270" t="s">
        <v>2437</v>
      </c>
      <c r="N122" s="256" t="s">
        <v>2438</v>
      </c>
      <c r="O122" s="205" t="s">
        <v>2439</v>
      </c>
      <c r="P122" s="205" t="s">
        <v>2351</v>
      </c>
      <c r="Q122" s="205" t="s">
        <v>2440</v>
      </c>
      <c r="R122" s="257" t="s">
        <v>2441</v>
      </c>
      <c r="S122" s="274"/>
      <c r="T122" s="273"/>
      <c r="U122" s="274"/>
      <c r="V122" s="274"/>
      <c r="W122" s="274"/>
      <c r="X122" s="274"/>
      <c r="Y122" s="64"/>
      <c r="Z122" s="64"/>
      <c r="AA122" s="64"/>
      <c r="AB122" s="64"/>
      <c r="AC122" s="64"/>
      <c r="AD122" s="64"/>
      <c r="AE122" s="64"/>
      <c r="AF122" s="64"/>
      <c r="AG122" s="64"/>
    </row>
    <row r="123">
      <c r="A123" s="126">
        <f t="shared" si="1"/>
        <v>114</v>
      </c>
      <c r="B123" s="275" t="s">
        <v>2442</v>
      </c>
      <c r="C123" s="106" t="s">
        <v>67</v>
      </c>
      <c r="D123" s="267" t="s">
        <v>2443</v>
      </c>
      <c r="E123" s="106" t="s">
        <v>351</v>
      </c>
      <c r="F123" s="276" t="s">
        <v>124</v>
      </c>
      <c r="G123" s="268" t="s">
        <v>2444</v>
      </c>
      <c r="H123" s="100" t="s">
        <v>149</v>
      </c>
      <c r="I123" s="85"/>
      <c r="J123" s="272"/>
      <c r="K123" s="272"/>
      <c r="L123" s="273"/>
      <c r="M123" s="270" t="s">
        <v>339</v>
      </c>
      <c r="N123" s="256" t="s">
        <v>2445</v>
      </c>
      <c r="O123" s="205" t="s">
        <v>332</v>
      </c>
      <c r="P123" s="205" t="s">
        <v>2446</v>
      </c>
      <c r="Q123" s="205" t="s">
        <v>2447</v>
      </c>
      <c r="R123" s="257" t="s">
        <v>2448</v>
      </c>
      <c r="S123" s="274"/>
      <c r="T123" s="273"/>
      <c r="U123" s="274"/>
      <c r="V123" s="274"/>
      <c r="W123" s="274"/>
      <c r="X123" s="274"/>
      <c r="Y123" s="64"/>
      <c r="Z123" s="64"/>
      <c r="AA123" s="64"/>
      <c r="AB123" s="64"/>
      <c r="AC123" s="64"/>
      <c r="AD123" s="64"/>
      <c r="AE123" s="64"/>
      <c r="AF123" s="64"/>
      <c r="AG123" s="64"/>
    </row>
    <row r="124">
      <c r="A124" s="126">
        <f t="shared" si="1"/>
        <v>115</v>
      </c>
      <c r="B124" s="275" t="s">
        <v>2449</v>
      </c>
      <c r="C124" s="106" t="s">
        <v>67</v>
      </c>
      <c r="D124" s="267" t="s">
        <v>2450</v>
      </c>
      <c r="E124" s="106" t="s">
        <v>282</v>
      </c>
      <c r="F124" s="276" t="s">
        <v>124</v>
      </c>
      <c r="G124" s="268" t="s">
        <v>2451</v>
      </c>
      <c r="H124" s="100" t="s">
        <v>149</v>
      </c>
      <c r="I124" s="85"/>
      <c r="J124" s="272"/>
      <c r="K124" s="272"/>
      <c r="L124" s="273"/>
      <c r="M124" s="270" t="s">
        <v>1118</v>
      </c>
      <c r="N124" s="256" t="s">
        <v>2452</v>
      </c>
      <c r="O124" s="205" t="s">
        <v>2453</v>
      </c>
      <c r="P124" s="205" t="s">
        <v>2454</v>
      </c>
      <c r="Q124" s="205" t="s">
        <v>2455</v>
      </c>
      <c r="R124" s="257" t="s">
        <v>2456</v>
      </c>
      <c r="S124" s="274"/>
      <c r="T124" s="273"/>
      <c r="U124" s="274"/>
      <c r="V124" s="274"/>
      <c r="W124" s="274"/>
      <c r="X124" s="274"/>
      <c r="Y124" s="64"/>
      <c r="Z124" s="64"/>
      <c r="AA124" s="64"/>
      <c r="AB124" s="64"/>
      <c r="AC124" s="64"/>
      <c r="AD124" s="64"/>
      <c r="AE124" s="64"/>
      <c r="AF124" s="64"/>
      <c r="AG124" s="64"/>
    </row>
    <row r="125">
      <c r="A125" s="126">
        <f t="shared" si="1"/>
        <v>116</v>
      </c>
      <c r="B125" s="275" t="s">
        <v>2457</v>
      </c>
      <c r="C125" s="106" t="s">
        <v>67</v>
      </c>
      <c r="D125" s="267" t="s">
        <v>2458</v>
      </c>
      <c r="E125" s="106" t="s">
        <v>162</v>
      </c>
      <c r="F125" s="276" t="s">
        <v>2404</v>
      </c>
      <c r="G125" s="268" t="s">
        <v>2459</v>
      </c>
      <c r="H125" s="100" t="s">
        <v>149</v>
      </c>
      <c r="I125" s="85"/>
      <c r="J125" s="272"/>
      <c r="K125" s="272"/>
      <c r="L125" s="273"/>
      <c r="M125" s="270" t="s">
        <v>2460</v>
      </c>
      <c r="N125" s="256" t="s">
        <v>2461</v>
      </c>
      <c r="O125" s="205" t="s">
        <v>2462</v>
      </c>
      <c r="P125" s="205" t="s">
        <v>2463</v>
      </c>
      <c r="Q125" s="205" t="s">
        <v>2464</v>
      </c>
      <c r="R125" s="257" t="s">
        <v>2465</v>
      </c>
      <c r="S125" s="274"/>
      <c r="T125" s="273"/>
      <c r="U125" s="274"/>
      <c r="V125" s="274"/>
      <c r="W125" s="274"/>
      <c r="X125" s="274"/>
      <c r="Y125" s="64"/>
      <c r="Z125" s="64"/>
      <c r="AA125" s="64"/>
      <c r="AB125" s="64"/>
      <c r="AC125" s="64"/>
      <c r="AD125" s="64"/>
      <c r="AE125" s="64"/>
      <c r="AF125" s="64"/>
      <c r="AG125" s="64"/>
    </row>
    <row r="126">
      <c r="A126" s="126">
        <f t="shared" si="1"/>
        <v>117</v>
      </c>
      <c r="B126" s="266" t="s">
        <v>2466</v>
      </c>
      <c r="C126" s="106" t="s">
        <v>67</v>
      </c>
      <c r="D126" s="267" t="s">
        <v>2467</v>
      </c>
      <c r="E126" s="106" t="s">
        <v>297</v>
      </c>
      <c r="F126" s="106" t="s">
        <v>2468</v>
      </c>
      <c r="G126" s="268" t="s">
        <v>2469</v>
      </c>
      <c r="H126" s="100" t="s">
        <v>149</v>
      </c>
      <c r="I126" s="85"/>
      <c r="J126" s="272"/>
      <c r="K126" s="272"/>
      <c r="L126" s="273"/>
      <c r="M126" s="270" t="s">
        <v>1067</v>
      </c>
      <c r="N126" s="256" t="s">
        <v>2470</v>
      </c>
      <c r="O126" s="205" t="s">
        <v>2471</v>
      </c>
      <c r="P126" s="205" t="s">
        <v>2472</v>
      </c>
      <c r="Q126" s="205" t="s">
        <v>2473</v>
      </c>
      <c r="R126" s="257" t="s">
        <v>2474</v>
      </c>
      <c r="S126" s="274"/>
      <c r="T126" s="273"/>
      <c r="U126" s="274"/>
      <c r="V126" s="274"/>
      <c r="W126" s="274"/>
      <c r="X126" s="274"/>
      <c r="Y126" s="64"/>
      <c r="Z126" s="64"/>
      <c r="AA126" s="64"/>
      <c r="AB126" s="64"/>
      <c r="AC126" s="64"/>
      <c r="AD126" s="64"/>
      <c r="AE126" s="64"/>
      <c r="AF126" s="64"/>
      <c r="AG126" s="64"/>
    </row>
    <row r="127">
      <c r="A127" s="126">
        <f t="shared" si="1"/>
        <v>118</v>
      </c>
      <c r="B127" s="266" t="s">
        <v>2475</v>
      </c>
      <c r="C127" s="106" t="s">
        <v>67</v>
      </c>
      <c r="D127" s="267" t="s">
        <v>2476</v>
      </c>
      <c r="E127" s="106" t="s">
        <v>2348</v>
      </c>
      <c r="F127" s="106" t="s">
        <v>2468</v>
      </c>
      <c r="G127" s="268" t="s">
        <v>2477</v>
      </c>
      <c r="H127" s="100" t="s">
        <v>149</v>
      </c>
      <c r="I127" s="85"/>
      <c r="J127" s="272"/>
      <c r="K127" s="272"/>
      <c r="L127" s="273"/>
      <c r="M127" s="270" t="s">
        <v>2478</v>
      </c>
      <c r="N127" s="256" t="s">
        <v>2479</v>
      </c>
      <c r="O127" s="205" t="s">
        <v>2480</v>
      </c>
      <c r="P127" s="205" t="s">
        <v>2481</v>
      </c>
      <c r="Q127" s="205" t="s">
        <v>2482</v>
      </c>
      <c r="R127" s="257" t="s">
        <v>2483</v>
      </c>
      <c r="S127" s="274"/>
      <c r="T127" s="273"/>
      <c r="U127" s="274"/>
      <c r="V127" s="274"/>
      <c r="W127" s="274"/>
      <c r="X127" s="274"/>
      <c r="Y127" s="64"/>
      <c r="Z127" s="64"/>
      <c r="AA127" s="64"/>
      <c r="AB127" s="64"/>
      <c r="AC127" s="64"/>
      <c r="AD127" s="64"/>
      <c r="AE127" s="64"/>
      <c r="AF127" s="64"/>
      <c r="AG127" s="64"/>
    </row>
    <row r="128">
      <c r="A128" s="126">
        <f t="shared" si="1"/>
        <v>119</v>
      </c>
      <c r="B128" s="275" t="s">
        <v>2484</v>
      </c>
      <c r="C128" s="106" t="s">
        <v>265</v>
      </c>
      <c r="D128" s="267" t="s">
        <v>2485</v>
      </c>
      <c r="E128" s="106" t="s">
        <v>2348</v>
      </c>
      <c r="F128" s="106" t="s">
        <v>2468</v>
      </c>
      <c r="G128" s="268" t="s">
        <v>2486</v>
      </c>
      <c r="H128" s="100" t="s">
        <v>149</v>
      </c>
      <c r="I128" s="85"/>
      <c r="J128" s="272"/>
      <c r="K128" s="272"/>
      <c r="L128" s="273"/>
      <c r="M128" s="270" t="s">
        <v>2487</v>
      </c>
      <c r="N128" s="256" t="s">
        <v>2488</v>
      </c>
      <c r="O128" s="205" t="s">
        <v>2489</v>
      </c>
      <c r="P128" s="205" t="s">
        <v>2490</v>
      </c>
      <c r="Q128" s="205" t="s">
        <v>2491</v>
      </c>
      <c r="R128" s="257" t="s">
        <v>2492</v>
      </c>
      <c r="S128" s="274"/>
      <c r="T128" s="273"/>
      <c r="U128" s="274"/>
      <c r="V128" s="274"/>
      <c r="W128" s="274"/>
      <c r="X128" s="274"/>
      <c r="Y128" s="64"/>
      <c r="Z128" s="64"/>
      <c r="AA128" s="64"/>
      <c r="AB128" s="64"/>
      <c r="AC128" s="64"/>
      <c r="AD128" s="64"/>
      <c r="AE128" s="64"/>
      <c r="AF128" s="64"/>
      <c r="AG128" s="64"/>
    </row>
    <row r="129">
      <c r="A129" s="126">
        <f t="shared" si="1"/>
        <v>120</v>
      </c>
      <c r="B129" s="266" t="s">
        <v>2493</v>
      </c>
      <c r="C129" s="106" t="s">
        <v>67</v>
      </c>
      <c r="D129" s="277" t="s">
        <v>2494</v>
      </c>
      <c r="E129" s="106" t="s">
        <v>2348</v>
      </c>
      <c r="F129" s="106" t="s">
        <v>2468</v>
      </c>
      <c r="G129" s="268" t="s">
        <v>2495</v>
      </c>
      <c r="H129" s="100" t="s">
        <v>149</v>
      </c>
      <c r="I129" s="85"/>
      <c r="J129" s="272"/>
      <c r="K129" s="272"/>
      <c r="L129" s="273"/>
      <c r="M129" s="270" t="s">
        <v>993</v>
      </c>
      <c r="N129" s="256" t="s">
        <v>2496</v>
      </c>
      <c r="O129" s="205" t="s">
        <v>793</v>
      </c>
      <c r="P129" s="205" t="s">
        <v>2497</v>
      </c>
      <c r="Q129" s="205" t="s">
        <v>2498</v>
      </c>
      <c r="R129" s="257" t="s">
        <v>2499</v>
      </c>
      <c r="S129" s="274"/>
      <c r="T129" s="273"/>
      <c r="U129" s="274"/>
      <c r="V129" s="274"/>
      <c r="W129" s="274"/>
      <c r="X129" s="274"/>
      <c r="Y129" s="64"/>
      <c r="Z129" s="64"/>
      <c r="AA129" s="64"/>
      <c r="AB129" s="64"/>
      <c r="AC129" s="64"/>
      <c r="AD129" s="64"/>
      <c r="AE129" s="64"/>
      <c r="AF129" s="64"/>
      <c r="AG129" s="64"/>
    </row>
    <row r="130">
      <c r="A130" s="126">
        <f t="shared" si="1"/>
        <v>121</v>
      </c>
      <c r="B130" s="266" t="s">
        <v>2500</v>
      </c>
      <c r="C130" s="106" t="s">
        <v>67</v>
      </c>
      <c r="D130" s="277" t="s">
        <v>2501</v>
      </c>
      <c r="E130" s="106" t="s">
        <v>2348</v>
      </c>
      <c r="F130" s="106" t="s">
        <v>2468</v>
      </c>
      <c r="G130" s="268" t="s">
        <v>2502</v>
      </c>
      <c r="H130" s="100" t="s">
        <v>149</v>
      </c>
      <c r="I130" s="85"/>
      <c r="J130" s="272"/>
      <c r="K130" s="272"/>
      <c r="L130" s="273"/>
      <c r="M130" s="270" t="s">
        <v>2503</v>
      </c>
      <c r="N130" s="256" t="s">
        <v>2504</v>
      </c>
      <c r="O130" s="205" t="s">
        <v>2505</v>
      </c>
      <c r="P130" s="205" t="s">
        <v>2506</v>
      </c>
      <c r="Q130" s="205" t="s">
        <v>2507</v>
      </c>
      <c r="R130" s="257" t="s">
        <v>2508</v>
      </c>
      <c r="S130" s="274"/>
      <c r="T130" s="273"/>
      <c r="U130" s="274"/>
      <c r="V130" s="274"/>
      <c r="W130" s="274"/>
      <c r="X130" s="274"/>
      <c r="Y130" s="64"/>
      <c r="Z130" s="64"/>
      <c r="AA130" s="64"/>
      <c r="AB130" s="64"/>
      <c r="AC130" s="64"/>
      <c r="AD130" s="64"/>
      <c r="AE130" s="64"/>
      <c r="AF130" s="64"/>
      <c r="AG130" s="64"/>
    </row>
    <row r="131">
      <c r="A131" s="126">
        <f t="shared" si="1"/>
        <v>122</v>
      </c>
      <c r="B131" s="266" t="s">
        <v>2509</v>
      </c>
      <c r="C131" s="106" t="s">
        <v>67</v>
      </c>
      <c r="D131" s="267" t="s">
        <v>2510</v>
      </c>
      <c r="E131" s="106" t="s">
        <v>193</v>
      </c>
      <c r="F131" s="276" t="s">
        <v>2404</v>
      </c>
      <c r="G131" s="268" t="s">
        <v>2511</v>
      </c>
      <c r="H131" s="100" t="s">
        <v>149</v>
      </c>
      <c r="I131" s="85"/>
      <c r="J131" s="272"/>
      <c r="K131" s="272"/>
      <c r="L131" s="273"/>
      <c r="M131" s="270" t="s">
        <v>196</v>
      </c>
      <c r="N131" s="256" t="s">
        <v>2512</v>
      </c>
      <c r="O131" s="205" t="s">
        <v>2513</v>
      </c>
      <c r="P131" s="205" t="s">
        <v>2514</v>
      </c>
      <c r="Q131" s="205" t="s">
        <v>2515</v>
      </c>
      <c r="R131" s="257" t="s">
        <v>2516</v>
      </c>
      <c r="S131" s="274"/>
      <c r="T131" s="273"/>
      <c r="U131" s="274"/>
      <c r="V131" s="274"/>
      <c r="W131" s="274"/>
      <c r="X131" s="274"/>
      <c r="Y131" s="64"/>
      <c r="Z131" s="64"/>
      <c r="AA131" s="64"/>
      <c r="AB131" s="64"/>
      <c r="AC131" s="64"/>
      <c r="AD131" s="64"/>
      <c r="AE131" s="64"/>
      <c r="AF131" s="64"/>
      <c r="AG131" s="64"/>
    </row>
    <row r="132">
      <c r="A132" s="126">
        <f t="shared" si="1"/>
        <v>123</v>
      </c>
      <c r="B132" s="275" t="s">
        <v>2517</v>
      </c>
      <c r="C132" s="106" t="s">
        <v>67</v>
      </c>
      <c r="D132" s="267" t="s">
        <v>2518</v>
      </c>
      <c r="E132" s="106" t="s">
        <v>924</v>
      </c>
      <c r="F132" s="276" t="s">
        <v>124</v>
      </c>
      <c r="G132" s="268" t="s">
        <v>2519</v>
      </c>
      <c r="H132" s="100" t="s">
        <v>149</v>
      </c>
      <c r="I132" s="85"/>
      <c r="J132" s="272"/>
      <c r="K132" s="272"/>
      <c r="L132" s="273"/>
      <c r="M132" s="270" t="s">
        <v>2520</v>
      </c>
      <c r="N132" s="256" t="s">
        <v>2521</v>
      </c>
      <c r="O132" s="205" t="s">
        <v>2522</v>
      </c>
      <c r="P132" s="205" t="s">
        <v>2523</v>
      </c>
      <c r="Q132" s="205" t="s">
        <v>2524</v>
      </c>
      <c r="R132" s="257" t="s">
        <v>2525</v>
      </c>
      <c r="S132" s="274"/>
      <c r="T132" s="273"/>
      <c r="U132" s="274"/>
      <c r="V132" s="274"/>
      <c r="W132" s="274"/>
      <c r="X132" s="274"/>
      <c r="Y132" s="64"/>
      <c r="Z132" s="64"/>
      <c r="AA132" s="64"/>
      <c r="AB132" s="64"/>
      <c r="AC132" s="64"/>
      <c r="AD132" s="64"/>
      <c r="AE132" s="64"/>
      <c r="AF132" s="64"/>
      <c r="AG132" s="64"/>
    </row>
    <row r="133">
      <c r="A133" s="126">
        <f t="shared" si="1"/>
        <v>124</v>
      </c>
      <c r="B133" s="275" t="s">
        <v>2526</v>
      </c>
      <c r="C133" s="106" t="s">
        <v>67</v>
      </c>
      <c r="D133" s="267" t="s">
        <v>2527</v>
      </c>
      <c r="E133" s="106" t="s">
        <v>924</v>
      </c>
      <c r="F133" s="106" t="s">
        <v>124</v>
      </c>
      <c r="G133" s="268" t="s">
        <v>2528</v>
      </c>
      <c r="H133" s="100" t="s">
        <v>149</v>
      </c>
      <c r="I133" s="85"/>
      <c r="J133" s="272"/>
      <c r="K133" s="272"/>
      <c r="L133" s="273"/>
      <c r="M133" s="270" t="s">
        <v>2529</v>
      </c>
      <c r="N133" s="256" t="s">
        <v>2530</v>
      </c>
      <c r="O133" s="205" t="s">
        <v>2531</v>
      </c>
      <c r="P133" s="205" t="s">
        <v>2532</v>
      </c>
      <c r="Q133" s="205" t="s">
        <v>2533</v>
      </c>
      <c r="R133" s="257" t="s">
        <v>2534</v>
      </c>
      <c r="S133" s="274"/>
      <c r="T133" s="273"/>
      <c r="U133" s="274"/>
      <c r="V133" s="274"/>
      <c r="W133" s="274"/>
      <c r="X133" s="274"/>
      <c r="Y133" s="64"/>
      <c r="Z133" s="64"/>
      <c r="AA133" s="64"/>
      <c r="AB133" s="64"/>
      <c r="AC133" s="64"/>
      <c r="AD133" s="64"/>
      <c r="AE133" s="64"/>
      <c r="AF133" s="64"/>
      <c r="AG133" s="64"/>
    </row>
    <row r="134">
      <c r="A134" s="126">
        <f t="shared" si="1"/>
        <v>125</v>
      </c>
      <c r="B134" s="275" t="s">
        <v>2535</v>
      </c>
      <c r="C134" s="106" t="s">
        <v>265</v>
      </c>
      <c r="D134" s="267" t="s">
        <v>2536</v>
      </c>
      <c r="E134" s="106" t="s">
        <v>924</v>
      </c>
      <c r="F134" s="276" t="s">
        <v>124</v>
      </c>
      <c r="G134" s="268" t="s">
        <v>2537</v>
      </c>
      <c r="H134" s="100" t="s">
        <v>149</v>
      </c>
      <c r="I134" s="85"/>
      <c r="J134" s="272"/>
      <c r="K134" s="272"/>
      <c r="L134" s="273"/>
      <c r="M134" s="270" t="s">
        <v>2538</v>
      </c>
      <c r="N134" s="256" t="s">
        <v>2539</v>
      </c>
      <c r="O134" s="205" t="s">
        <v>2540</v>
      </c>
      <c r="P134" s="205" t="s">
        <v>2541</v>
      </c>
      <c r="Q134" s="205" t="s">
        <v>2542</v>
      </c>
      <c r="R134" s="257" t="s">
        <v>2543</v>
      </c>
      <c r="S134" s="274"/>
      <c r="T134" s="273"/>
      <c r="U134" s="274"/>
      <c r="V134" s="274"/>
      <c r="W134" s="274"/>
      <c r="X134" s="274"/>
      <c r="Y134" s="64"/>
      <c r="Z134" s="64"/>
      <c r="AA134" s="64"/>
      <c r="AB134" s="64"/>
      <c r="AC134" s="64"/>
      <c r="AD134" s="64"/>
      <c r="AE134" s="64"/>
      <c r="AF134" s="64"/>
      <c r="AG134" s="64"/>
    </row>
    <row r="135">
      <c r="A135" s="126">
        <f t="shared" si="1"/>
        <v>126</v>
      </c>
      <c r="B135" s="275" t="s">
        <v>2544</v>
      </c>
      <c r="C135" s="106" t="s">
        <v>81</v>
      </c>
      <c r="D135" s="267" t="s">
        <v>2545</v>
      </c>
      <c r="E135" s="106" t="s">
        <v>2546</v>
      </c>
      <c r="F135" s="276" t="s">
        <v>124</v>
      </c>
      <c r="G135" s="268" t="s">
        <v>2547</v>
      </c>
      <c r="H135" s="100" t="s">
        <v>149</v>
      </c>
      <c r="I135" s="85"/>
      <c r="J135" s="272"/>
      <c r="K135" s="272"/>
      <c r="L135" s="273"/>
      <c r="M135" s="270" t="s">
        <v>2548</v>
      </c>
      <c r="N135" s="256" t="s">
        <v>2549</v>
      </c>
      <c r="O135" s="205" t="s">
        <v>2550</v>
      </c>
      <c r="P135" s="205" t="s">
        <v>2551</v>
      </c>
      <c r="Q135" s="205" t="s">
        <v>2552</v>
      </c>
      <c r="R135" s="257" t="s">
        <v>2553</v>
      </c>
      <c r="S135" s="274"/>
      <c r="T135" s="273"/>
      <c r="U135" s="274"/>
      <c r="V135" s="274"/>
      <c r="W135" s="274"/>
      <c r="X135" s="274"/>
      <c r="Y135" s="64"/>
      <c r="Z135" s="64"/>
      <c r="AA135" s="64"/>
      <c r="AB135" s="64"/>
      <c r="AC135" s="64"/>
      <c r="AD135" s="64"/>
      <c r="AE135" s="64"/>
      <c r="AF135" s="64"/>
      <c r="AG135" s="64"/>
    </row>
    <row r="136">
      <c r="A136" s="126">
        <f t="shared" si="1"/>
        <v>127</v>
      </c>
      <c r="B136" s="275" t="s">
        <v>2554</v>
      </c>
      <c r="C136" s="106" t="s">
        <v>63</v>
      </c>
      <c r="D136" s="267" t="s">
        <v>2555</v>
      </c>
      <c r="E136" s="106" t="s">
        <v>924</v>
      </c>
      <c r="F136" s="276" t="s">
        <v>124</v>
      </c>
      <c r="G136" s="268" t="s">
        <v>2556</v>
      </c>
      <c r="H136" s="100" t="s">
        <v>149</v>
      </c>
      <c r="I136" s="85"/>
      <c r="J136" s="272"/>
      <c r="K136" s="272"/>
      <c r="L136" s="273"/>
      <c r="M136" s="270" t="s">
        <v>153</v>
      </c>
      <c r="N136" s="256" t="s">
        <v>2557</v>
      </c>
      <c r="O136" s="205" t="s">
        <v>2558</v>
      </c>
      <c r="P136" s="205" t="s">
        <v>2559</v>
      </c>
      <c r="Q136" s="205" t="s">
        <v>2560</v>
      </c>
      <c r="R136" s="257" t="s">
        <v>2561</v>
      </c>
      <c r="S136" s="274"/>
      <c r="T136" s="273"/>
      <c r="U136" s="274"/>
      <c r="V136" s="274"/>
      <c r="W136" s="274"/>
      <c r="X136" s="274"/>
      <c r="Y136" s="64"/>
      <c r="Z136" s="64"/>
      <c r="AA136" s="64"/>
      <c r="AB136" s="64"/>
      <c r="AC136" s="64"/>
      <c r="AD136" s="64"/>
      <c r="AE136" s="64"/>
      <c r="AF136" s="64"/>
      <c r="AG136" s="64"/>
    </row>
    <row r="137">
      <c r="A137" s="126">
        <f t="shared" si="1"/>
        <v>128</v>
      </c>
      <c r="B137" s="275" t="s">
        <v>2562</v>
      </c>
      <c r="C137" s="106" t="s">
        <v>63</v>
      </c>
      <c r="D137" s="267" t="s">
        <v>2563</v>
      </c>
      <c r="E137" s="106" t="s">
        <v>895</v>
      </c>
      <c r="F137" s="276" t="s">
        <v>2564</v>
      </c>
      <c r="G137" s="268" t="s">
        <v>2565</v>
      </c>
      <c r="H137" s="100" t="s">
        <v>149</v>
      </c>
      <c r="I137" s="85"/>
      <c r="J137" s="272"/>
      <c r="K137" s="272"/>
      <c r="L137" s="273"/>
      <c r="M137" s="270" t="s">
        <v>2566</v>
      </c>
      <c r="N137" s="256" t="s">
        <v>2567</v>
      </c>
      <c r="O137" s="205" t="s">
        <v>2568</v>
      </c>
      <c r="P137" s="205" t="s">
        <v>2569</v>
      </c>
      <c r="Q137" s="205" t="s">
        <v>2570</v>
      </c>
      <c r="R137" s="257" t="s">
        <v>2571</v>
      </c>
      <c r="S137" s="274"/>
      <c r="T137" s="273"/>
      <c r="U137" s="274"/>
      <c r="V137" s="274"/>
      <c r="W137" s="274"/>
      <c r="X137" s="274"/>
      <c r="Y137" s="64"/>
      <c r="Z137" s="64"/>
      <c r="AA137" s="64"/>
      <c r="AB137" s="64"/>
      <c r="AC137" s="64"/>
      <c r="AD137" s="64"/>
      <c r="AE137" s="64"/>
      <c r="AF137" s="64"/>
      <c r="AG137" s="64"/>
    </row>
    <row r="138">
      <c r="A138" s="126">
        <f t="shared" si="1"/>
        <v>129</v>
      </c>
      <c r="B138" s="275" t="s">
        <v>2572</v>
      </c>
      <c r="C138" s="106" t="s">
        <v>63</v>
      </c>
      <c r="D138" s="277" t="s">
        <v>2573</v>
      </c>
      <c r="E138" s="106" t="s">
        <v>924</v>
      </c>
      <c r="F138" s="276" t="s">
        <v>2564</v>
      </c>
      <c r="G138" s="268" t="s">
        <v>2574</v>
      </c>
      <c r="H138" s="100" t="s">
        <v>149</v>
      </c>
      <c r="I138" s="85"/>
      <c r="J138" s="272"/>
      <c r="K138" s="272"/>
      <c r="L138" s="273"/>
      <c r="M138" s="270" t="s">
        <v>2575</v>
      </c>
      <c r="N138" s="256" t="s">
        <v>2576</v>
      </c>
      <c r="O138" s="205" t="s">
        <v>2576</v>
      </c>
      <c r="P138" s="205" t="s">
        <v>2577</v>
      </c>
      <c r="Q138" s="205" t="s">
        <v>2578</v>
      </c>
      <c r="R138" s="257" t="s">
        <v>2579</v>
      </c>
      <c r="S138" s="274"/>
      <c r="T138" s="273"/>
      <c r="U138" s="274"/>
      <c r="V138" s="274"/>
      <c r="W138" s="274"/>
      <c r="X138" s="274"/>
      <c r="Y138" s="64"/>
      <c r="Z138" s="64"/>
      <c r="AA138" s="64"/>
      <c r="AB138" s="64"/>
      <c r="AC138" s="64"/>
      <c r="AD138" s="64"/>
      <c r="AE138" s="64"/>
      <c r="AF138" s="64"/>
      <c r="AG138" s="64"/>
    </row>
    <row r="139">
      <c r="A139" s="126">
        <f t="shared" si="1"/>
        <v>130</v>
      </c>
      <c r="B139" s="275" t="s">
        <v>2580</v>
      </c>
      <c r="C139" s="106" t="s">
        <v>265</v>
      </c>
      <c r="D139" s="277" t="s">
        <v>2581</v>
      </c>
      <c r="E139" s="106" t="s">
        <v>924</v>
      </c>
      <c r="F139" s="276" t="s">
        <v>2582</v>
      </c>
      <c r="G139" s="268" t="s">
        <v>2583</v>
      </c>
      <c r="H139" s="100" t="s">
        <v>149</v>
      </c>
      <c r="I139" s="85"/>
      <c r="J139" s="272"/>
      <c r="K139" s="272"/>
      <c r="L139" s="273"/>
      <c r="M139" s="270" t="s">
        <v>2134</v>
      </c>
      <c r="N139" s="256" t="s">
        <v>2584</v>
      </c>
      <c r="O139" s="205" t="s">
        <v>2585</v>
      </c>
      <c r="P139" s="205" t="s">
        <v>2586</v>
      </c>
      <c r="Q139" s="205" t="s">
        <v>2587</v>
      </c>
      <c r="R139" s="257" t="s">
        <v>2588</v>
      </c>
      <c r="S139" s="274"/>
      <c r="T139" s="273"/>
      <c r="U139" s="274"/>
      <c r="V139" s="274"/>
      <c r="W139" s="274"/>
      <c r="X139" s="274"/>
      <c r="Y139" s="64"/>
      <c r="Z139" s="64"/>
      <c r="AA139" s="64"/>
      <c r="AB139" s="64"/>
      <c r="AC139" s="64"/>
      <c r="AD139" s="64"/>
      <c r="AE139" s="64"/>
      <c r="AF139" s="64"/>
      <c r="AG139" s="64"/>
    </row>
    <row r="140">
      <c r="A140" s="126">
        <f t="shared" si="1"/>
        <v>131</v>
      </c>
      <c r="B140" s="275" t="s">
        <v>2589</v>
      </c>
      <c r="C140" s="106" t="s">
        <v>63</v>
      </c>
      <c r="D140" s="277" t="s">
        <v>2590</v>
      </c>
      <c r="E140" s="106" t="s">
        <v>924</v>
      </c>
      <c r="F140" s="276" t="s">
        <v>2582</v>
      </c>
      <c r="G140" s="268" t="s">
        <v>2591</v>
      </c>
      <c r="H140" s="100" t="s">
        <v>149</v>
      </c>
      <c r="I140" s="85"/>
      <c r="J140" s="272"/>
      <c r="K140" s="272"/>
      <c r="L140" s="273"/>
      <c r="M140" s="270" t="s">
        <v>2592</v>
      </c>
      <c r="N140" s="256" t="s">
        <v>2593</v>
      </c>
      <c r="O140" s="205" t="s">
        <v>2585</v>
      </c>
      <c r="P140" s="205" t="s">
        <v>2594</v>
      </c>
      <c r="Q140" s="205" t="s">
        <v>2595</v>
      </c>
      <c r="R140" s="257" t="s">
        <v>2596</v>
      </c>
      <c r="S140" s="274"/>
      <c r="T140" s="273"/>
      <c r="U140" s="274"/>
      <c r="V140" s="274"/>
      <c r="W140" s="274"/>
      <c r="X140" s="274"/>
      <c r="Y140" s="64"/>
      <c r="Z140" s="64"/>
      <c r="AA140" s="64"/>
      <c r="AB140" s="64"/>
      <c r="AC140" s="64"/>
      <c r="AD140" s="64"/>
      <c r="AE140" s="64"/>
      <c r="AF140" s="64"/>
      <c r="AG140" s="64"/>
    </row>
    <row r="141">
      <c r="A141" s="126">
        <f t="shared" si="1"/>
        <v>132</v>
      </c>
      <c r="B141" s="275" t="s">
        <v>2597</v>
      </c>
      <c r="C141" s="106" t="s">
        <v>76</v>
      </c>
      <c r="D141" s="267" t="s">
        <v>2598</v>
      </c>
      <c r="E141" s="106" t="s">
        <v>924</v>
      </c>
      <c r="F141" s="276" t="s">
        <v>2582</v>
      </c>
      <c r="G141" s="268" t="s">
        <v>2599</v>
      </c>
      <c r="H141" s="100" t="s">
        <v>149</v>
      </c>
      <c r="I141" s="85"/>
      <c r="J141" s="272"/>
      <c r="K141" s="272"/>
      <c r="L141" s="273"/>
      <c r="M141" s="270" t="s">
        <v>2600</v>
      </c>
      <c r="N141" s="256" t="s">
        <v>2601</v>
      </c>
      <c r="O141" s="205" t="s">
        <v>2602</v>
      </c>
      <c r="P141" s="205" t="s">
        <v>2603</v>
      </c>
      <c r="Q141" s="205" t="s">
        <v>2604</v>
      </c>
      <c r="R141" s="257" t="s">
        <v>2605</v>
      </c>
      <c r="S141" s="274"/>
      <c r="T141" s="273"/>
      <c r="U141" s="274"/>
      <c r="V141" s="274"/>
      <c r="W141" s="274"/>
      <c r="X141" s="274"/>
      <c r="Y141" s="64"/>
      <c r="Z141" s="64"/>
      <c r="AA141" s="64"/>
      <c r="AB141" s="64"/>
      <c r="AC141" s="64"/>
      <c r="AD141" s="64"/>
      <c r="AE141" s="64"/>
      <c r="AF141" s="64"/>
      <c r="AG141" s="64"/>
    </row>
    <row r="142">
      <c r="A142" s="126">
        <f t="shared" si="1"/>
        <v>133</v>
      </c>
      <c r="B142" s="275" t="s">
        <v>2606</v>
      </c>
      <c r="C142" s="106" t="s">
        <v>81</v>
      </c>
      <c r="D142" s="278" t="s">
        <v>2607</v>
      </c>
      <c r="E142" s="106" t="s">
        <v>1985</v>
      </c>
      <c r="F142" s="276" t="s">
        <v>2582</v>
      </c>
      <c r="G142" s="268" t="s">
        <v>2608</v>
      </c>
      <c r="H142" s="100" t="s">
        <v>149</v>
      </c>
      <c r="I142" s="85"/>
      <c r="J142" s="272"/>
      <c r="K142" s="272"/>
      <c r="L142" s="273"/>
      <c r="M142" s="270" t="s">
        <v>2609</v>
      </c>
      <c r="N142" s="256" t="s">
        <v>2610</v>
      </c>
      <c r="O142" s="205" t="s">
        <v>2611</v>
      </c>
      <c r="P142" s="205" t="s">
        <v>2612</v>
      </c>
      <c r="Q142" s="205" t="s">
        <v>2613</v>
      </c>
      <c r="R142" s="257" t="s">
        <v>2614</v>
      </c>
      <c r="S142" s="274"/>
      <c r="T142" s="273"/>
      <c r="U142" s="274"/>
      <c r="V142" s="274"/>
      <c r="W142" s="274"/>
      <c r="X142" s="274"/>
      <c r="Y142" s="64"/>
      <c r="Z142" s="64"/>
      <c r="AA142" s="64"/>
      <c r="AB142" s="64"/>
      <c r="AC142" s="64"/>
      <c r="AD142" s="64"/>
      <c r="AE142" s="64"/>
      <c r="AF142" s="64"/>
      <c r="AG142" s="64"/>
    </row>
    <row r="143">
      <c r="A143" s="64"/>
      <c r="B143" s="64"/>
      <c r="C143" s="64"/>
      <c r="D143" s="64"/>
      <c r="E143" s="65"/>
      <c r="F143" s="64"/>
      <c r="G143" s="67"/>
      <c r="H143" s="64"/>
      <c r="I143" s="64"/>
      <c r="J143" s="64"/>
      <c r="K143" s="64"/>
      <c r="L143" s="65"/>
      <c r="M143" s="64"/>
      <c r="N143" s="64"/>
      <c r="O143" s="64"/>
      <c r="P143" s="64"/>
      <c r="Q143" s="64"/>
      <c r="R143" s="64"/>
      <c r="S143" s="64"/>
      <c r="T143" s="65"/>
      <c r="U143" s="64"/>
      <c r="V143" s="64"/>
      <c r="W143" s="64"/>
      <c r="X143" s="64"/>
      <c r="Y143" s="64"/>
      <c r="Z143" s="64"/>
      <c r="AA143" s="64"/>
      <c r="AB143" s="64"/>
      <c r="AC143" s="64"/>
      <c r="AD143" s="64"/>
      <c r="AE143" s="64"/>
      <c r="AF143" s="64"/>
      <c r="AG143" s="64"/>
    </row>
    <row r="144">
      <c r="A144" s="64"/>
      <c r="B144" s="64"/>
      <c r="C144" s="64"/>
      <c r="D144" s="64"/>
      <c r="E144" s="65"/>
      <c r="F144" s="64"/>
      <c r="G144" s="67"/>
      <c r="H144" s="64"/>
      <c r="I144" s="64"/>
      <c r="J144" s="64"/>
      <c r="K144" s="64"/>
      <c r="L144" s="65"/>
      <c r="M144" s="64"/>
      <c r="N144" s="64"/>
      <c r="O144" s="64"/>
      <c r="P144" s="64"/>
      <c r="Q144" s="64"/>
      <c r="R144" s="64"/>
      <c r="S144" s="64"/>
      <c r="T144" s="65"/>
      <c r="U144" s="64"/>
      <c r="V144" s="64"/>
      <c r="W144" s="64"/>
      <c r="X144" s="64"/>
      <c r="Y144" s="64"/>
      <c r="Z144" s="64"/>
      <c r="AA144" s="64"/>
      <c r="AB144" s="64"/>
      <c r="AC144" s="64"/>
      <c r="AD144" s="64"/>
      <c r="AE144" s="64"/>
      <c r="AF144" s="64"/>
      <c r="AG144" s="64"/>
    </row>
    <row r="145">
      <c r="A145" s="64"/>
      <c r="B145" s="64"/>
      <c r="C145" s="64"/>
      <c r="D145" s="64"/>
      <c r="E145" s="65"/>
      <c r="F145" s="64"/>
      <c r="G145" s="67"/>
      <c r="H145" s="64"/>
      <c r="I145" s="64"/>
      <c r="J145" s="64"/>
      <c r="K145" s="64"/>
      <c r="L145" s="65"/>
      <c r="M145" s="64"/>
      <c r="N145" s="64"/>
      <c r="O145" s="64"/>
      <c r="P145" s="64"/>
      <c r="Q145" s="64"/>
      <c r="R145" s="64"/>
      <c r="S145" s="64"/>
      <c r="T145" s="65"/>
      <c r="U145" s="64"/>
      <c r="V145" s="64"/>
      <c r="W145" s="64"/>
      <c r="X145" s="64"/>
      <c r="Y145" s="64"/>
      <c r="Z145" s="64"/>
      <c r="AA145" s="64"/>
      <c r="AB145" s="64"/>
      <c r="AC145" s="64"/>
      <c r="AD145" s="64"/>
      <c r="AE145" s="64"/>
      <c r="AF145" s="64"/>
      <c r="AG145" s="64"/>
    </row>
    <row r="146">
      <c r="A146" s="64"/>
      <c r="B146" s="64"/>
      <c r="C146" s="64"/>
      <c r="D146" s="64"/>
      <c r="E146" s="65"/>
      <c r="F146" s="64"/>
      <c r="G146" s="67"/>
      <c r="H146" s="64"/>
      <c r="I146" s="64"/>
      <c r="J146" s="64"/>
      <c r="K146" s="64"/>
      <c r="L146" s="65"/>
      <c r="M146" s="64"/>
      <c r="N146" s="64"/>
      <c r="O146" s="64"/>
      <c r="P146" s="64"/>
      <c r="Q146" s="64"/>
      <c r="R146" s="64"/>
      <c r="S146" s="64"/>
      <c r="T146" s="65"/>
      <c r="U146" s="64"/>
      <c r="V146" s="64"/>
      <c r="W146" s="64"/>
      <c r="X146" s="64"/>
      <c r="Y146" s="64"/>
      <c r="Z146" s="64"/>
      <c r="AA146" s="64"/>
      <c r="AB146" s="64"/>
      <c r="AC146" s="64"/>
      <c r="AD146" s="64"/>
      <c r="AE146" s="64"/>
      <c r="AF146" s="64"/>
      <c r="AG146" s="64"/>
    </row>
    <row r="147">
      <c r="A147" s="64"/>
      <c r="B147" s="64"/>
      <c r="C147" s="64"/>
      <c r="D147" s="64"/>
      <c r="E147" s="65"/>
      <c r="F147" s="64"/>
      <c r="G147" s="67"/>
      <c r="H147" s="64"/>
      <c r="I147" s="64"/>
      <c r="J147" s="64"/>
      <c r="K147" s="64"/>
      <c r="L147" s="65"/>
      <c r="M147" s="64"/>
      <c r="N147" s="64"/>
      <c r="O147" s="64"/>
      <c r="P147" s="64"/>
      <c r="Q147" s="64"/>
      <c r="R147" s="64"/>
      <c r="S147" s="64"/>
      <c r="T147" s="65"/>
      <c r="U147" s="64"/>
      <c r="V147" s="64"/>
      <c r="W147" s="64"/>
      <c r="X147" s="64"/>
      <c r="Y147" s="64"/>
      <c r="Z147" s="64"/>
      <c r="AA147" s="64"/>
      <c r="AB147" s="64"/>
      <c r="AC147" s="64"/>
      <c r="AD147" s="64"/>
      <c r="AE147" s="64"/>
      <c r="AF147" s="64"/>
      <c r="AG147" s="64"/>
    </row>
    <row r="148">
      <c r="A148" s="64"/>
      <c r="B148" s="64"/>
      <c r="C148" s="64"/>
      <c r="D148" s="64"/>
      <c r="E148" s="65"/>
      <c r="F148" s="64"/>
      <c r="G148" s="67"/>
      <c r="H148" s="64"/>
      <c r="I148" s="64"/>
      <c r="J148" s="64"/>
      <c r="K148" s="64"/>
      <c r="L148" s="65"/>
      <c r="M148" s="64"/>
      <c r="N148" s="64"/>
      <c r="O148" s="64"/>
      <c r="P148" s="64"/>
      <c r="Q148" s="64"/>
      <c r="R148" s="64"/>
      <c r="S148" s="64"/>
      <c r="T148" s="65"/>
      <c r="U148" s="64"/>
      <c r="V148" s="64"/>
      <c r="W148" s="64"/>
      <c r="X148" s="64"/>
      <c r="Y148" s="64"/>
      <c r="Z148" s="64"/>
      <c r="AA148" s="64"/>
      <c r="AB148" s="64"/>
      <c r="AC148" s="64"/>
      <c r="AD148" s="64"/>
      <c r="AE148" s="64"/>
      <c r="AF148" s="64"/>
      <c r="AG148" s="64"/>
    </row>
    <row r="149">
      <c r="A149" s="64"/>
      <c r="B149" s="64"/>
      <c r="C149" s="64"/>
      <c r="D149" s="64"/>
      <c r="E149" s="65"/>
      <c r="F149" s="64"/>
      <c r="G149" s="67"/>
      <c r="H149" s="64"/>
      <c r="I149" s="64"/>
      <c r="J149" s="64"/>
      <c r="K149" s="64"/>
      <c r="L149" s="65"/>
      <c r="M149" s="64"/>
      <c r="N149" s="64"/>
      <c r="O149" s="64"/>
      <c r="P149" s="64"/>
      <c r="Q149" s="64"/>
      <c r="R149" s="64"/>
      <c r="S149" s="64"/>
      <c r="T149" s="65"/>
      <c r="U149" s="64"/>
      <c r="V149" s="64"/>
      <c r="W149" s="64"/>
      <c r="X149" s="64"/>
      <c r="Y149" s="64"/>
      <c r="Z149" s="64"/>
      <c r="AA149" s="64"/>
      <c r="AB149" s="64"/>
      <c r="AC149" s="64"/>
      <c r="AD149" s="64"/>
      <c r="AE149" s="64"/>
      <c r="AF149" s="64"/>
      <c r="AG149" s="64"/>
    </row>
    <row r="150">
      <c r="A150" s="64"/>
      <c r="B150" s="64"/>
      <c r="C150" s="64"/>
      <c r="D150" s="64"/>
      <c r="E150" s="65"/>
      <c r="F150" s="64"/>
      <c r="G150" s="67"/>
      <c r="H150" s="64"/>
      <c r="I150" s="64"/>
      <c r="J150" s="64"/>
      <c r="K150" s="64"/>
      <c r="L150" s="65"/>
      <c r="M150" s="64"/>
      <c r="N150" s="64"/>
      <c r="O150" s="64"/>
      <c r="P150" s="64"/>
      <c r="Q150" s="64"/>
      <c r="R150" s="64"/>
      <c r="S150" s="64"/>
      <c r="T150" s="65"/>
      <c r="U150" s="64"/>
      <c r="V150" s="64"/>
      <c r="W150" s="64"/>
      <c r="X150" s="64"/>
      <c r="Y150" s="64"/>
      <c r="Z150" s="64"/>
      <c r="AA150" s="64"/>
      <c r="AB150" s="64"/>
      <c r="AC150" s="64"/>
      <c r="AD150" s="64"/>
      <c r="AE150" s="64"/>
      <c r="AF150" s="64"/>
      <c r="AG150" s="64"/>
    </row>
    <row r="151">
      <c r="A151" s="64"/>
      <c r="B151" s="64"/>
      <c r="C151" s="64"/>
      <c r="D151" s="64"/>
      <c r="E151" s="65"/>
      <c r="F151" s="64"/>
      <c r="G151" s="67"/>
      <c r="H151" s="64"/>
      <c r="I151" s="64"/>
      <c r="J151" s="64"/>
      <c r="K151" s="64"/>
      <c r="L151" s="65"/>
      <c r="M151" s="64"/>
      <c r="N151" s="64"/>
      <c r="O151" s="64"/>
      <c r="P151" s="64"/>
      <c r="Q151" s="64"/>
      <c r="R151" s="64"/>
      <c r="S151" s="64"/>
      <c r="T151" s="65"/>
      <c r="U151" s="64"/>
      <c r="V151" s="64"/>
      <c r="W151" s="64"/>
      <c r="X151" s="64"/>
      <c r="Y151" s="64"/>
      <c r="Z151" s="64"/>
      <c r="AA151" s="64"/>
      <c r="AB151" s="64"/>
      <c r="AC151" s="64"/>
      <c r="AD151" s="64"/>
      <c r="AE151" s="64"/>
      <c r="AF151" s="64"/>
      <c r="AG151" s="64"/>
    </row>
    <row r="152">
      <c r="A152" s="64"/>
      <c r="B152" s="64"/>
      <c r="C152" s="64"/>
      <c r="D152" s="64"/>
      <c r="E152" s="65"/>
      <c r="F152" s="64"/>
      <c r="G152" s="67"/>
      <c r="H152" s="64"/>
      <c r="I152" s="64"/>
      <c r="J152" s="64"/>
      <c r="K152" s="64"/>
      <c r="L152" s="65"/>
      <c r="M152" s="64"/>
      <c r="N152" s="64"/>
      <c r="O152" s="64"/>
      <c r="P152" s="64"/>
      <c r="Q152" s="64"/>
      <c r="R152" s="64"/>
      <c r="S152" s="64"/>
      <c r="T152" s="65"/>
      <c r="U152" s="64"/>
      <c r="V152" s="64"/>
      <c r="W152" s="64"/>
      <c r="X152" s="64"/>
      <c r="Y152" s="64"/>
      <c r="Z152" s="64"/>
      <c r="AA152" s="64"/>
      <c r="AB152" s="64"/>
      <c r="AC152" s="64"/>
      <c r="AD152" s="64"/>
      <c r="AE152" s="64"/>
      <c r="AF152" s="64"/>
      <c r="AG152" s="64"/>
    </row>
    <row r="153">
      <c r="A153" s="64"/>
      <c r="B153" s="64"/>
      <c r="C153" s="64"/>
      <c r="D153" s="64"/>
      <c r="E153" s="65"/>
      <c r="F153" s="64"/>
      <c r="G153" s="67"/>
      <c r="H153" s="64"/>
      <c r="I153" s="64"/>
      <c r="J153" s="64"/>
      <c r="K153" s="64"/>
      <c r="L153" s="65"/>
      <c r="M153" s="64"/>
      <c r="N153" s="64"/>
      <c r="O153" s="64"/>
      <c r="P153" s="64"/>
      <c r="Q153" s="64"/>
      <c r="R153" s="64"/>
      <c r="S153" s="64"/>
      <c r="T153" s="65"/>
      <c r="U153" s="64"/>
      <c r="V153" s="64"/>
      <c r="W153" s="64"/>
      <c r="X153" s="64"/>
      <c r="Y153" s="64"/>
      <c r="Z153" s="64"/>
      <c r="AA153" s="64"/>
      <c r="AB153" s="64"/>
      <c r="AC153" s="64"/>
      <c r="AD153" s="64"/>
      <c r="AE153" s="64"/>
      <c r="AF153" s="64"/>
      <c r="AG153" s="64"/>
    </row>
    <row r="154">
      <c r="A154" s="64"/>
      <c r="B154" s="64"/>
      <c r="C154" s="64"/>
      <c r="D154" s="64"/>
      <c r="E154" s="65"/>
      <c r="F154" s="64"/>
      <c r="G154" s="67"/>
      <c r="H154" s="64"/>
      <c r="I154" s="64"/>
      <c r="J154" s="64"/>
      <c r="K154" s="64"/>
      <c r="L154" s="65"/>
      <c r="M154" s="64"/>
      <c r="N154" s="64"/>
      <c r="O154" s="64"/>
      <c r="P154" s="64"/>
      <c r="Q154" s="64"/>
      <c r="R154" s="64"/>
      <c r="S154" s="64"/>
      <c r="T154" s="65"/>
      <c r="U154" s="64"/>
      <c r="V154" s="64"/>
      <c r="W154" s="64"/>
      <c r="X154" s="64"/>
      <c r="Y154" s="64"/>
      <c r="Z154" s="64"/>
      <c r="AA154" s="64"/>
      <c r="AB154" s="64"/>
      <c r="AC154" s="64"/>
      <c r="AD154" s="64"/>
      <c r="AE154" s="64"/>
      <c r="AF154" s="64"/>
      <c r="AG154" s="64"/>
    </row>
    <row r="155">
      <c r="A155" s="64"/>
      <c r="B155" s="64"/>
      <c r="C155" s="64"/>
      <c r="D155" s="64"/>
      <c r="E155" s="65"/>
      <c r="F155" s="64"/>
      <c r="G155" s="67"/>
      <c r="H155" s="64"/>
      <c r="I155" s="64"/>
      <c r="J155" s="64"/>
      <c r="K155" s="64"/>
      <c r="L155" s="65"/>
      <c r="M155" s="64"/>
      <c r="N155" s="64"/>
      <c r="O155" s="64"/>
      <c r="P155" s="64"/>
      <c r="Q155" s="64"/>
      <c r="R155" s="64"/>
      <c r="S155" s="64"/>
      <c r="T155" s="65"/>
      <c r="U155" s="64"/>
      <c r="V155" s="64"/>
      <c r="W155" s="64"/>
      <c r="X155" s="64"/>
      <c r="Y155" s="64"/>
      <c r="Z155" s="64"/>
      <c r="AA155" s="64"/>
      <c r="AB155" s="64"/>
      <c r="AC155" s="64"/>
      <c r="AD155" s="64"/>
      <c r="AE155" s="64"/>
      <c r="AF155" s="64"/>
      <c r="AG155" s="64"/>
    </row>
    <row r="156">
      <c r="A156" s="64"/>
      <c r="B156" s="64"/>
      <c r="C156" s="64"/>
      <c r="D156" s="64"/>
      <c r="E156" s="65"/>
      <c r="F156" s="64"/>
      <c r="G156" s="67"/>
      <c r="H156" s="64"/>
      <c r="I156" s="64"/>
      <c r="J156" s="64"/>
      <c r="K156" s="64"/>
      <c r="L156" s="65"/>
      <c r="M156" s="64"/>
      <c r="N156" s="64"/>
      <c r="O156" s="64"/>
      <c r="P156" s="64"/>
      <c r="Q156" s="64"/>
      <c r="R156" s="64"/>
      <c r="S156" s="64"/>
      <c r="T156" s="65"/>
      <c r="U156" s="64"/>
      <c r="V156" s="64"/>
      <c r="W156" s="64"/>
      <c r="X156" s="64"/>
      <c r="Y156" s="64"/>
      <c r="Z156" s="64"/>
      <c r="AA156" s="64"/>
      <c r="AB156" s="64"/>
      <c r="AC156" s="64"/>
      <c r="AD156" s="64"/>
      <c r="AE156" s="64"/>
      <c r="AF156" s="64"/>
      <c r="AG156" s="64"/>
    </row>
    <row r="157">
      <c r="A157" s="64"/>
      <c r="B157" s="64"/>
      <c r="C157" s="64"/>
      <c r="D157" s="64"/>
      <c r="E157" s="65"/>
      <c r="F157" s="64"/>
      <c r="G157" s="67"/>
      <c r="H157" s="64"/>
      <c r="I157" s="64"/>
      <c r="J157" s="64"/>
      <c r="K157" s="64"/>
      <c r="L157" s="65"/>
      <c r="M157" s="64"/>
      <c r="N157" s="64"/>
      <c r="O157" s="64"/>
      <c r="P157" s="64"/>
      <c r="Q157" s="64"/>
      <c r="R157" s="64"/>
      <c r="S157" s="64"/>
      <c r="T157" s="65"/>
      <c r="U157" s="64"/>
      <c r="V157" s="64"/>
      <c r="W157" s="64"/>
      <c r="X157" s="64"/>
      <c r="Y157" s="64"/>
      <c r="Z157" s="64"/>
      <c r="AA157" s="64"/>
      <c r="AB157" s="64"/>
      <c r="AC157" s="64"/>
      <c r="AD157" s="64"/>
      <c r="AE157" s="64"/>
      <c r="AF157" s="64"/>
      <c r="AG157" s="64"/>
    </row>
    <row r="158">
      <c r="A158" s="64"/>
      <c r="B158" s="64"/>
      <c r="C158" s="64"/>
      <c r="D158" s="64"/>
      <c r="E158" s="65"/>
      <c r="F158" s="64"/>
      <c r="G158" s="67"/>
      <c r="H158" s="64"/>
      <c r="I158" s="64"/>
      <c r="J158" s="64"/>
      <c r="K158" s="64"/>
      <c r="L158" s="65"/>
      <c r="M158" s="64"/>
      <c r="N158" s="64"/>
      <c r="O158" s="64"/>
      <c r="P158" s="64"/>
      <c r="Q158" s="64"/>
      <c r="R158" s="64"/>
      <c r="S158" s="64"/>
      <c r="T158" s="65"/>
      <c r="U158" s="64"/>
      <c r="V158" s="64"/>
      <c r="W158" s="64"/>
      <c r="X158" s="64"/>
      <c r="Y158" s="64"/>
      <c r="Z158" s="64"/>
      <c r="AA158" s="64"/>
      <c r="AB158" s="64"/>
      <c r="AC158" s="64"/>
      <c r="AD158" s="64"/>
      <c r="AE158" s="64"/>
      <c r="AF158" s="64"/>
      <c r="AG158" s="64"/>
    </row>
    <row r="159">
      <c r="A159" s="64"/>
      <c r="B159" s="64"/>
      <c r="C159" s="64"/>
      <c r="D159" s="64"/>
      <c r="E159" s="65"/>
      <c r="F159" s="64"/>
      <c r="G159" s="67"/>
      <c r="H159" s="64"/>
      <c r="I159" s="64"/>
      <c r="J159" s="64"/>
      <c r="K159" s="64"/>
      <c r="L159" s="65"/>
      <c r="M159" s="64"/>
      <c r="N159" s="64"/>
      <c r="O159" s="64"/>
      <c r="P159" s="64"/>
      <c r="Q159" s="64"/>
      <c r="R159" s="64"/>
      <c r="S159" s="64"/>
      <c r="T159" s="65"/>
      <c r="U159" s="64"/>
      <c r="V159" s="64"/>
      <c r="W159" s="64"/>
      <c r="X159" s="64"/>
      <c r="Y159" s="64"/>
      <c r="Z159" s="64"/>
      <c r="AA159" s="64"/>
      <c r="AB159" s="64"/>
      <c r="AC159" s="64"/>
      <c r="AD159" s="64"/>
      <c r="AE159" s="64"/>
      <c r="AF159" s="64"/>
      <c r="AG159" s="64"/>
    </row>
    <row r="160">
      <c r="A160" s="64"/>
      <c r="B160" s="64"/>
      <c r="C160" s="64"/>
      <c r="D160" s="64"/>
      <c r="E160" s="65"/>
      <c r="F160" s="64"/>
      <c r="G160" s="67"/>
      <c r="H160" s="64"/>
      <c r="I160" s="64"/>
      <c r="J160" s="64"/>
      <c r="K160" s="64"/>
      <c r="L160" s="65"/>
      <c r="M160" s="64"/>
      <c r="N160" s="64"/>
      <c r="O160" s="64"/>
      <c r="P160" s="64"/>
      <c r="Q160" s="64"/>
      <c r="R160" s="64"/>
      <c r="S160" s="64"/>
      <c r="T160" s="65"/>
      <c r="U160" s="64"/>
      <c r="V160" s="64"/>
      <c r="W160" s="64"/>
      <c r="X160" s="64"/>
      <c r="Y160" s="64"/>
      <c r="Z160" s="64"/>
      <c r="AA160" s="64"/>
      <c r="AB160" s="64"/>
      <c r="AC160" s="64"/>
      <c r="AD160" s="64"/>
      <c r="AE160" s="64"/>
      <c r="AF160" s="64"/>
      <c r="AG160" s="64"/>
    </row>
    <row r="161">
      <c r="A161" s="64"/>
      <c r="B161" s="64"/>
      <c r="C161" s="64"/>
      <c r="D161" s="64"/>
      <c r="E161" s="65"/>
      <c r="F161" s="64"/>
      <c r="G161" s="67"/>
      <c r="H161" s="64"/>
      <c r="I161" s="64"/>
      <c r="J161" s="64"/>
      <c r="K161" s="64"/>
      <c r="L161" s="65"/>
      <c r="M161" s="64"/>
      <c r="N161" s="64"/>
      <c r="O161" s="64"/>
      <c r="P161" s="64"/>
      <c r="Q161" s="64"/>
      <c r="R161" s="64"/>
      <c r="S161" s="64"/>
      <c r="T161" s="65"/>
      <c r="U161" s="64"/>
      <c r="V161" s="64"/>
      <c r="W161" s="64"/>
      <c r="X161" s="64"/>
      <c r="Y161" s="64"/>
      <c r="Z161" s="64"/>
      <c r="AA161" s="64"/>
      <c r="AB161" s="64"/>
      <c r="AC161" s="64"/>
      <c r="AD161" s="64"/>
      <c r="AE161" s="64"/>
      <c r="AF161" s="64"/>
      <c r="AG161" s="64"/>
    </row>
    <row r="162">
      <c r="A162" s="64"/>
      <c r="B162" s="64"/>
      <c r="C162" s="64"/>
      <c r="D162" s="64"/>
      <c r="E162" s="65"/>
      <c r="F162" s="64"/>
      <c r="G162" s="67"/>
      <c r="H162" s="64"/>
      <c r="I162" s="64"/>
      <c r="J162" s="64"/>
      <c r="K162" s="64"/>
      <c r="L162" s="65"/>
      <c r="M162" s="64"/>
      <c r="N162" s="64"/>
      <c r="O162" s="64"/>
      <c r="P162" s="64"/>
      <c r="Q162" s="64"/>
      <c r="R162" s="64"/>
      <c r="S162" s="64"/>
      <c r="T162" s="65"/>
      <c r="U162" s="64"/>
      <c r="V162" s="64"/>
      <c r="W162" s="64"/>
      <c r="X162" s="64"/>
      <c r="Y162" s="64"/>
      <c r="Z162" s="64"/>
      <c r="AA162" s="64"/>
      <c r="AB162" s="64"/>
      <c r="AC162" s="64"/>
      <c r="AD162" s="64"/>
      <c r="AE162" s="64"/>
      <c r="AF162" s="64"/>
      <c r="AG162" s="64"/>
    </row>
    <row r="163">
      <c r="A163" s="64"/>
      <c r="B163" s="64"/>
      <c r="C163" s="64"/>
      <c r="D163" s="64"/>
      <c r="E163" s="65"/>
      <c r="F163" s="64"/>
      <c r="G163" s="67"/>
      <c r="H163" s="64"/>
      <c r="I163" s="64"/>
      <c r="J163" s="64"/>
      <c r="K163" s="64"/>
      <c r="L163" s="65"/>
      <c r="M163" s="64"/>
      <c r="N163" s="64"/>
      <c r="O163" s="64"/>
      <c r="P163" s="64"/>
      <c r="Q163" s="64"/>
      <c r="R163" s="64"/>
      <c r="S163" s="64"/>
      <c r="T163" s="65"/>
      <c r="U163" s="64"/>
      <c r="V163" s="64"/>
      <c r="W163" s="64"/>
      <c r="X163" s="64"/>
      <c r="Y163" s="64"/>
      <c r="Z163" s="64"/>
      <c r="AA163" s="64"/>
      <c r="AB163" s="64"/>
      <c r="AC163" s="64"/>
      <c r="AD163" s="64"/>
      <c r="AE163" s="64"/>
      <c r="AF163" s="64"/>
      <c r="AG163" s="64"/>
    </row>
    <row r="164">
      <c r="A164" s="64"/>
      <c r="B164" s="64"/>
      <c r="C164" s="64"/>
      <c r="D164" s="64"/>
      <c r="E164" s="65"/>
      <c r="F164" s="64"/>
      <c r="G164" s="67"/>
      <c r="H164" s="64"/>
      <c r="I164" s="64"/>
      <c r="J164" s="64"/>
      <c r="K164" s="64"/>
      <c r="L164" s="65"/>
      <c r="M164" s="64"/>
      <c r="N164" s="64"/>
      <c r="O164" s="64"/>
      <c r="P164" s="64"/>
      <c r="Q164" s="64"/>
      <c r="R164" s="64"/>
      <c r="S164" s="64"/>
      <c r="T164" s="65"/>
      <c r="U164" s="64"/>
      <c r="V164" s="64"/>
      <c r="W164" s="64"/>
      <c r="X164" s="64"/>
      <c r="Y164" s="64"/>
      <c r="Z164" s="64"/>
      <c r="AA164" s="64"/>
      <c r="AB164" s="64"/>
      <c r="AC164" s="64"/>
      <c r="AD164" s="64"/>
      <c r="AE164" s="64"/>
      <c r="AF164" s="64"/>
      <c r="AG164" s="64"/>
    </row>
    <row r="165">
      <c r="A165" s="64"/>
      <c r="B165" s="64"/>
      <c r="C165" s="64"/>
      <c r="D165" s="64"/>
      <c r="E165" s="65"/>
      <c r="F165" s="64"/>
      <c r="G165" s="67"/>
      <c r="H165" s="64"/>
      <c r="I165" s="64"/>
      <c r="J165" s="64"/>
      <c r="K165" s="64"/>
      <c r="L165" s="65"/>
      <c r="M165" s="64"/>
      <c r="N165" s="64"/>
      <c r="O165" s="64"/>
      <c r="P165" s="64"/>
      <c r="Q165" s="64"/>
      <c r="R165" s="64"/>
      <c r="S165" s="64"/>
      <c r="T165" s="65"/>
      <c r="U165" s="64"/>
      <c r="V165" s="64"/>
      <c r="W165" s="64"/>
      <c r="X165" s="64"/>
      <c r="Y165" s="64"/>
      <c r="Z165" s="64"/>
      <c r="AA165" s="64"/>
      <c r="AB165" s="64"/>
      <c r="AC165" s="64"/>
      <c r="AD165" s="64"/>
      <c r="AE165" s="64"/>
      <c r="AF165" s="64"/>
      <c r="AG165" s="64"/>
    </row>
    <row r="166">
      <c r="A166" s="64"/>
      <c r="B166" s="64"/>
      <c r="C166" s="64"/>
      <c r="D166" s="64"/>
      <c r="E166" s="65"/>
      <c r="F166" s="64"/>
      <c r="G166" s="67"/>
      <c r="H166" s="64"/>
      <c r="I166" s="64"/>
      <c r="J166" s="64"/>
      <c r="K166" s="64"/>
      <c r="L166" s="65"/>
      <c r="M166" s="64"/>
      <c r="N166" s="64"/>
      <c r="O166" s="64"/>
      <c r="P166" s="64"/>
      <c r="Q166" s="64"/>
      <c r="R166" s="64"/>
      <c r="S166" s="64"/>
      <c r="T166" s="65"/>
      <c r="U166" s="64"/>
      <c r="V166" s="64"/>
      <c r="W166" s="64"/>
      <c r="X166" s="64"/>
      <c r="Y166" s="64"/>
      <c r="Z166" s="64"/>
      <c r="AA166" s="64"/>
      <c r="AB166" s="64"/>
      <c r="AC166" s="64"/>
      <c r="AD166" s="64"/>
      <c r="AE166" s="64"/>
      <c r="AF166" s="64"/>
      <c r="AG166" s="64"/>
    </row>
    <row r="167">
      <c r="A167" s="64"/>
      <c r="B167" s="64"/>
      <c r="C167" s="64"/>
      <c r="D167" s="64"/>
      <c r="E167" s="65"/>
      <c r="F167" s="64"/>
      <c r="G167" s="67"/>
      <c r="H167" s="64"/>
      <c r="I167" s="64"/>
      <c r="J167" s="64"/>
      <c r="K167" s="64"/>
      <c r="L167" s="65"/>
      <c r="M167" s="64"/>
      <c r="N167" s="64"/>
      <c r="O167" s="64"/>
      <c r="P167" s="64"/>
      <c r="Q167" s="64"/>
      <c r="R167" s="64"/>
      <c r="S167" s="64"/>
      <c r="T167" s="65"/>
      <c r="U167" s="64"/>
      <c r="V167" s="64"/>
      <c r="W167" s="64"/>
      <c r="X167" s="64"/>
      <c r="Y167" s="64"/>
      <c r="Z167" s="64"/>
      <c r="AA167" s="64"/>
      <c r="AB167" s="64"/>
      <c r="AC167" s="64"/>
      <c r="AD167" s="64"/>
      <c r="AE167" s="64"/>
      <c r="AF167" s="64"/>
      <c r="AG167" s="64"/>
    </row>
    <row r="168">
      <c r="A168" s="64"/>
      <c r="B168" s="64"/>
      <c r="C168" s="64"/>
      <c r="D168" s="64"/>
      <c r="E168" s="65"/>
      <c r="F168" s="64"/>
      <c r="G168" s="67"/>
      <c r="H168" s="64"/>
      <c r="I168" s="64"/>
      <c r="J168" s="64"/>
      <c r="K168" s="64"/>
      <c r="L168" s="65"/>
      <c r="M168" s="64"/>
      <c r="N168" s="64"/>
      <c r="O168" s="64"/>
      <c r="P168" s="64"/>
      <c r="Q168" s="64"/>
      <c r="R168" s="64"/>
      <c r="S168" s="64"/>
      <c r="T168" s="65"/>
      <c r="U168" s="64"/>
      <c r="V168" s="64"/>
      <c r="W168" s="64"/>
      <c r="X168" s="64"/>
      <c r="Y168" s="64"/>
      <c r="Z168" s="64"/>
      <c r="AA168" s="64"/>
      <c r="AB168" s="64"/>
      <c r="AC168" s="64"/>
      <c r="AD168" s="64"/>
      <c r="AE168" s="64"/>
      <c r="AF168" s="64"/>
      <c r="AG168" s="64"/>
    </row>
    <row r="169">
      <c r="A169" s="64"/>
      <c r="B169" s="64"/>
      <c r="C169" s="64"/>
      <c r="D169" s="64"/>
      <c r="E169" s="65"/>
      <c r="F169" s="64"/>
      <c r="G169" s="67"/>
      <c r="H169" s="64"/>
      <c r="I169" s="64"/>
      <c r="J169" s="64"/>
      <c r="K169" s="64"/>
      <c r="L169" s="65"/>
      <c r="M169" s="64"/>
      <c r="N169" s="64"/>
      <c r="O169" s="64"/>
      <c r="P169" s="64"/>
      <c r="Q169" s="64"/>
      <c r="R169" s="64"/>
      <c r="S169" s="64"/>
      <c r="T169" s="65"/>
      <c r="U169" s="64"/>
      <c r="V169" s="64"/>
      <c r="W169" s="64"/>
      <c r="X169" s="64"/>
      <c r="Y169" s="64"/>
      <c r="Z169" s="64"/>
      <c r="AA169" s="64"/>
      <c r="AB169" s="64"/>
      <c r="AC169" s="64"/>
      <c r="AD169" s="64"/>
      <c r="AE169" s="64"/>
      <c r="AF169" s="64"/>
      <c r="AG169" s="64"/>
    </row>
    <row r="170">
      <c r="A170" s="64"/>
      <c r="B170" s="64"/>
      <c r="C170" s="64"/>
      <c r="D170" s="64"/>
      <c r="E170" s="65"/>
      <c r="F170" s="64"/>
      <c r="G170" s="67"/>
      <c r="H170" s="64"/>
      <c r="I170" s="64"/>
      <c r="J170" s="64"/>
      <c r="K170" s="64"/>
      <c r="L170" s="65"/>
      <c r="M170" s="64"/>
      <c r="N170" s="64"/>
      <c r="O170" s="64"/>
      <c r="P170" s="64"/>
      <c r="Q170" s="64"/>
      <c r="R170" s="64"/>
      <c r="S170" s="64"/>
      <c r="T170" s="65"/>
      <c r="U170" s="64"/>
      <c r="V170" s="64"/>
      <c r="W170" s="64"/>
      <c r="X170" s="64"/>
      <c r="Y170" s="64"/>
      <c r="Z170" s="64"/>
      <c r="AA170" s="64"/>
      <c r="AB170" s="64"/>
      <c r="AC170" s="64"/>
      <c r="AD170" s="64"/>
      <c r="AE170" s="64"/>
      <c r="AF170" s="64"/>
      <c r="AG170" s="64"/>
    </row>
    <row r="171">
      <c r="A171" s="64"/>
      <c r="B171" s="64"/>
      <c r="C171" s="64"/>
      <c r="D171" s="64"/>
      <c r="E171" s="65"/>
      <c r="F171" s="64"/>
      <c r="G171" s="67"/>
      <c r="H171" s="64"/>
      <c r="I171" s="64"/>
      <c r="J171" s="64"/>
      <c r="K171" s="64"/>
      <c r="L171" s="65"/>
      <c r="M171" s="64"/>
      <c r="N171" s="64"/>
      <c r="O171" s="64"/>
      <c r="P171" s="64"/>
      <c r="Q171" s="64"/>
      <c r="R171" s="64"/>
      <c r="S171" s="64"/>
      <c r="T171" s="65"/>
      <c r="U171" s="64"/>
      <c r="V171" s="64"/>
      <c r="W171" s="64"/>
      <c r="X171" s="64"/>
      <c r="Y171" s="64"/>
      <c r="Z171" s="64"/>
      <c r="AA171" s="64"/>
      <c r="AB171" s="64"/>
      <c r="AC171" s="64"/>
      <c r="AD171" s="64"/>
      <c r="AE171" s="64"/>
      <c r="AF171" s="64"/>
      <c r="AG171" s="64"/>
    </row>
    <row r="172">
      <c r="A172" s="64"/>
      <c r="B172" s="64"/>
      <c r="C172" s="64"/>
      <c r="D172" s="64"/>
      <c r="E172" s="65"/>
      <c r="F172" s="64"/>
      <c r="G172" s="67"/>
      <c r="H172" s="64"/>
      <c r="I172" s="64"/>
      <c r="J172" s="64"/>
      <c r="K172" s="64"/>
      <c r="L172" s="65"/>
      <c r="M172" s="64"/>
      <c r="N172" s="64"/>
      <c r="O172" s="64"/>
      <c r="P172" s="64"/>
      <c r="Q172" s="64"/>
      <c r="R172" s="64"/>
      <c r="S172" s="64"/>
      <c r="T172" s="65"/>
      <c r="U172" s="64"/>
      <c r="V172" s="64"/>
      <c r="W172" s="64"/>
      <c r="X172" s="64"/>
      <c r="Y172" s="64"/>
      <c r="Z172" s="64"/>
      <c r="AA172" s="64"/>
      <c r="AB172" s="64"/>
      <c r="AC172" s="64"/>
      <c r="AD172" s="64"/>
      <c r="AE172" s="64"/>
      <c r="AF172" s="64"/>
      <c r="AG172" s="64"/>
    </row>
    <row r="173">
      <c r="A173" s="64"/>
      <c r="B173" s="64"/>
      <c r="C173" s="64"/>
      <c r="D173" s="64"/>
      <c r="E173" s="65"/>
      <c r="F173" s="64"/>
      <c r="G173" s="67"/>
      <c r="H173" s="64"/>
      <c r="I173" s="64"/>
      <c r="J173" s="64"/>
      <c r="K173" s="64"/>
      <c r="L173" s="65"/>
      <c r="M173" s="64"/>
      <c r="N173" s="64"/>
      <c r="O173" s="64"/>
      <c r="P173" s="64"/>
      <c r="Q173" s="64"/>
      <c r="R173" s="64"/>
      <c r="S173" s="64"/>
      <c r="T173" s="65"/>
      <c r="U173" s="64"/>
      <c r="V173" s="64"/>
      <c r="W173" s="64"/>
      <c r="X173" s="64"/>
      <c r="Y173" s="64"/>
      <c r="Z173" s="64"/>
      <c r="AA173" s="64"/>
      <c r="AB173" s="64"/>
      <c r="AC173" s="64"/>
      <c r="AD173" s="64"/>
      <c r="AE173" s="64"/>
      <c r="AF173" s="64"/>
      <c r="AG173" s="64"/>
    </row>
    <row r="174">
      <c r="A174" s="64"/>
      <c r="B174" s="64"/>
      <c r="C174" s="64"/>
      <c r="D174" s="64"/>
      <c r="E174" s="65"/>
      <c r="F174" s="64"/>
      <c r="G174" s="67"/>
      <c r="H174" s="64"/>
      <c r="I174" s="64"/>
      <c r="J174" s="64"/>
      <c r="K174" s="64"/>
      <c r="L174" s="65"/>
      <c r="M174" s="64"/>
      <c r="N174" s="64"/>
      <c r="O174" s="64"/>
      <c r="P174" s="64"/>
      <c r="Q174" s="64"/>
      <c r="R174" s="64"/>
      <c r="S174" s="64"/>
      <c r="T174" s="65"/>
      <c r="U174" s="64"/>
      <c r="V174" s="64"/>
      <c r="W174" s="64"/>
      <c r="X174" s="64"/>
      <c r="Y174" s="64"/>
      <c r="Z174" s="64"/>
      <c r="AA174" s="64"/>
      <c r="AB174" s="64"/>
      <c r="AC174" s="64"/>
      <c r="AD174" s="64"/>
      <c r="AE174" s="64"/>
      <c r="AF174" s="64"/>
      <c r="AG174" s="64"/>
    </row>
    <row r="175">
      <c r="A175" s="64"/>
      <c r="B175" s="64"/>
      <c r="C175" s="64"/>
      <c r="D175" s="64"/>
      <c r="E175" s="65"/>
      <c r="F175" s="64"/>
      <c r="G175" s="67"/>
      <c r="H175" s="64"/>
      <c r="I175" s="64"/>
      <c r="J175" s="64"/>
      <c r="K175" s="64"/>
      <c r="L175" s="65"/>
      <c r="M175" s="64"/>
      <c r="N175" s="64"/>
      <c r="O175" s="64"/>
      <c r="P175" s="64"/>
      <c r="Q175" s="64"/>
      <c r="R175" s="64"/>
      <c r="S175" s="64"/>
      <c r="T175" s="65"/>
      <c r="U175" s="64"/>
      <c r="V175" s="64"/>
      <c r="W175" s="64"/>
      <c r="X175" s="64"/>
      <c r="Y175" s="64"/>
      <c r="Z175" s="64"/>
      <c r="AA175" s="64"/>
      <c r="AB175" s="64"/>
      <c r="AC175" s="64"/>
      <c r="AD175" s="64"/>
      <c r="AE175" s="64"/>
      <c r="AF175" s="64"/>
      <c r="AG175" s="64"/>
    </row>
    <row r="176">
      <c r="A176" s="64"/>
      <c r="B176" s="64"/>
      <c r="C176" s="64"/>
      <c r="D176" s="64"/>
      <c r="E176" s="65"/>
      <c r="F176" s="64"/>
      <c r="G176" s="67"/>
      <c r="H176" s="64"/>
      <c r="I176" s="64"/>
      <c r="J176" s="64"/>
      <c r="K176" s="64"/>
      <c r="L176" s="65"/>
      <c r="M176" s="64"/>
      <c r="N176" s="64"/>
      <c r="O176" s="64"/>
      <c r="P176" s="64"/>
      <c r="Q176" s="64"/>
      <c r="R176" s="64"/>
      <c r="S176" s="64"/>
      <c r="T176" s="65"/>
      <c r="U176" s="64"/>
      <c r="V176" s="64"/>
      <c r="W176" s="64"/>
      <c r="X176" s="64"/>
      <c r="Y176" s="64"/>
      <c r="Z176" s="64"/>
      <c r="AA176" s="64"/>
      <c r="AB176" s="64"/>
      <c r="AC176" s="64"/>
      <c r="AD176" s="64"/>
      <c r="AE176" s="64"/>
      <c r="AF176" s="64"/>
      <c r="AG176" s="64"/>
    </row>
    <row r="177">
      <c r="A177" s="64"/>
      <c r="B177" s="64"/>
      <c r="C177" s="64"/>
      <c r="D177" s="64"/>
      <c r="E177" s="65"/>
      <c r="F177" s="64"/>
      <c r="G177" s="67"/>
      <c r="H177" s="64"/>
      <c r="I177" s="64"/>
      <c r="J177" s="64"/>
      <c r="K177" s="64"/>
      <c r="L177" s="65"/>
      <c r="M177" s="64"/>
      <c r="N177" s="64"/>
      <c r="O177" s="64"/>
      <c r="P177" s="64"/>
      <c r="Q177" s="64"/>
      <c r="R177" s="64"/>
      <c r="S177" s="64"/>
      <c r="T177" s="65"/>
      <c r="U177" s="64"/>
      <c r="V177" s="64"/>
      <c r="W177" s="64"/>
      <c r="X177" s="64"/>
      <c r="Y177" s="64"/>
      <c r="Z177" s="64"/>
      <c r="AA177" s="64"/>
      <c r="AB177" s="64"/>
      <c r="AC177" s="64"/>
      <c r="AD177" s="64"/>
      <c r="AE177" s="64"/>
      <c r="AF177" s="64"/>
      <c r="AG177" s="64"/>
    </row>
    <row r="178">
      <c r="A178" s="64"/>
      <c r="B178" s="64"/>
      <c r="C178" s="64"/>
      <c r="D178" s="64"/>
      <c r="E178" s="65"/>
      <c r="F178" s="64"/>
      <c r="G178" s="67"/>
      <c r="H178" s="64"/>
      <c r="I178" s="64"/>
      <c r="J178" s="64"/>
      <c r="K178" s="64"/>
      <c r="L178" s="65"/>
      <c r="M178" s="64"/>
      <c r="N178" s="64"/>
      <c r="O178" s="64"/>
      <c r="P178" s="64"/>
      <c r="Q178" s="64"/>
      <c r="R178" s="64"/>
      <c r="S178" s="64"/>
      <c r="T178" s="65"/>
      <c r="U178" s="64"/>
      <c r="V178" s="64"/>
      <c r="W178" s="64"/>
      <c r="X178" s="64"/>
      <c r="Y178" s="64"/>
      <c r="Z178" s="64"/>
      <c r="AA178" s="64"/>
      <c r="AB178" s="64"/>
      <c r="AC178" s="64"/>
      <c r="AD178" s="64"/>
      <c r="AE178" s="64"/>
      <c r="AF178" s="64"/>
      <c r="AG178" s="64"/>
    </row>
    <row r="179">
      <c r="A179" s="64"/>
      <c r="B179" s="64"/>
      <c r="C179" s="64"/>
      <c r="D179" s="64"/>
      <c r="E179" s="65"/>
      <c r="F179" s="64"/>
      <c r="G179" s="67"/>
      <c r="H179" s="64"/>
      <c r="I179" s="64"/>
      <c r="J179" s="64"/>
      <c r="K179" s="64"/>
      <c r="L179" s="65"/>
      <c r="M179" s="64"/>
      <c r="N179" s="64"/>
      <c r="O179" s="64"/>
      <c r="P179" s="64"/>
      <c r="Q179" s="64"/>
      <c r="R179" s="64"/>
      <c r="S179" s="64"/>
      <c r="T179" s="65"/>
      <c r="U179" s="64"/>
      <c r="V179" s="64"/>
      <c r="W179" s="64"/>
      <c r="X179" s="64"/>
      <c r="Y179" s="64"/>
      <c r="Z179" s="64"/>
      <c r="AA179" s="64"/>
      <c r="AB179" s="64"/>
      <c r="AC179" s="64"/>
      <c r="AD179" s="64"/>
      <c r="AE179" s="64"/>
      <c r="AF179" s="64"/>
      <c r="AG179" s="64"/>
    </row>
    <row r="180">
      <c r="A180" s="64"/>
      <c r="B180" s="64"/>
      <c r="C180" s="64"/>
      <c r="D180" s="64"/>
      <c r="E180" s="65"/>
      <c r="F180" s="64"/>
      <c r="G180" s="67"/>
      <c r="H180" s="64"/>
      <c r="I180" s="64"/>
      <c r="J180" s="64"/>
      <c r="K180" s="64"/>
      <c r="L180" s="65"/>
      <c r="M180" s="64"/>
      <c r="N180" s="64"/>
      <c r="O180" s="64"/>
      <c r="P180" s="64"/>
      <c r="Q180" s="64"/>
      <c r="R180" s="64"/>
      <c r="S180" s="64"/>
      <c r="T180" s="65"/>
      <c r="U180" s="64"/>
      <c r="V180" s="64"/>
      <c r="W180" s="64"/>
      <c r="X180" s="64"/>
      <c r="Y180" s="64"/>
      <c r="Z180" s="64"/>
      <c r="AA180" s="64"/>
      <c r="AB180" s="64"/>
      <c r="AC180" s="64"/>
      <c r="AD180" s="64"/>
      <c r="AE180" s="64"/>
      <c r="AF180" s="64"/>
      <c r="AG180" s="64"/>
    </row>
    <row r="181">
      <c r="A181" s="64"/>
      <c r="B181" s="64"/>
      <c r="C181" s="64"/>
      <c r="D181" s="64"/>
      <c r="E181" s="65"/>
      <c r="F181" s="64"/>
      <c r="G181" s="67"/>
      <c r="H181" s="64"/>
      <c r="I181" s="64"/>
      <c r="J181" s="64"/>
      <c r="K181" s="64"/>
      <c r="L181" s="65"/>
      <c r="M181" s="64"/>
      <c r="N181" s="64"/>
      <c r="O181" s="64"/>
      <c r="P181" s="64"/>
      <c r="Q181" s="64"/>
      <c r="R181" s="64"/>
      <c r="S181" s="64"/>
      <c r="T181" s="65"/>
      <c r="U181" s="64"/>
      <c r="V181" s="64"/>
      <c r="W181" s="64"/>
      <c r="X181" s="64"/>
      <c r="Y181" s="64"/>
      <c r="Z181" s="64"/>
      <c r="AA181" s="64"/>
      <c r="AB181" s="64"/>
      <c r="AC181" s="64"/>
      <c r="AD181" s="64"/>
      <c r="AE181" s="64"/>
      <c r="AF181" s="64"/>
      <c r="AG181" s="64"/>
    </row>
    <row r="182">
      <c r="A182" s="64"/>
      <c r="B182" s="64"/>
      <c r="C182" s="64"/>
      <c r="D182" s="64"/>
      <c r="E182" s="65"/>
      <c r="F182" s="64"/>
      <c r="G182" s="67"/>
      <c r="H182" s="64"/>
      <c r="I182" s="64"/>
      <c r="J182" s="64"/>
      <c r="K182" s="64"/>
      <c r="L182" s="65"/>
      <c r="M182" s="64"/>
      <c r="N182" s="64"/>
      <c r="O182" s="64"/>
      <c r="P182" s="64"/>
      <c r="Q182" s="64"/>
      <c r="R182" s="64"/>
      <c r="S182" s="64"/>
      <c r="T182" s="65"/>
      <c r="U182" s="64"/>
      <c r="V182" s="64"/>
      <c r="W182" s="64"/>
      <c r="X182" s="64"/>
      <c r="Y182" s="64"/>
      <c r="Z182" s="64"/>
      <c r="AA182" s="64"/>
      <c r="AB182" s="64"/>
      <c r="AC182" s="64"/>
      <c r="AD182" s="64"/>
      <c r="AE182" s="64"/>
      <c r="AF182" s="64"/>
      <c r="AG182" s="64"/>
    </row>
    <row r="183">
      <c r="A183" s="64"/>
      <c r="B183" s="64"/>
      <c r="C183" s="64"/>
      <c r="D183" s="64"/>
      <c r="E183" s="65"/>
      <c r="F183" s="64"/>
      <c r="G183" s="67"/>
      <c r="H183" s="64"/>
      <c r="I183" s="64"/>
      <c r="J183" s="64"/>
      <c r="K183" s="64"/>
      <c r="L183" s="65"/>
      <c r="M183" s="64"/>
      <c r="N183" s="64"/>
      <c r="O183" s="64"/>
      <c r="P183" s="64"/>
      <c r="Q183" s="64"/>
      <c r="R183" s="64"/>
      <c r="S183" s="64"/>
      <c r="T183" s="65"/>
      <c r="U183" s="64"/>
      <c r="V183" s="64"/>
      <c r="W183" s="64"/>
      <c r="X183" s="64"/>
      <c r="Y183" s="64"/>
      <c r="Z183" s="64"/>
      <c r="AA183" s="64"/>
      <c r="AB183" s="64"/>
      <c r="AC183" s="64"/>
      <c r="AD183" s="64"/>
      <c r="AE183" s="64"/>
      <c r="AF183" s="64"/>
      <c r="AG183" s="64"/>
    </row>
    <row r="184">
      <c r="A184" s="64"/>
      <c r="B184" s="64"/>
      <c r="C184" s="64"/>
      <c r="D184" s="64"/>
      <c r="E184" s="65"/>
      <c r="F184" s="64"/>
      <c r="G184" s="67"/>
      <c r="H184" s="64"/>
      <c r="I184" s="64"/>
      <c r="J184" s="64"/>
      <c r="K184" s="64"/>
      <c r="L184" s="65"/>
      <c r="M184" s="64"/>
      <c r="N184" s="64"/>
      <c r="O184" s="64"/>
      <c r="P184" s="64"/>
      <c r="Q184" s="64"/>
      <c r="R184" s="64"/>
      <c r="S184" s="64"/>
      <c r="T184" s="65"/>
      <c r="U184" s="64"/>
      <c r="V184" s="64"/>
      <c r="W184" s="64"/>
      <c r="X184" s="64"/>
      <c r="Y184" s="64"/>
      <c r="Z184" s="64"/>
      <c r="AA184" s="64"/>
      <c r="AB184" s="64"/>
      <c r="AC184" s="64"/>
      <c r="AD184" s="64"/>
      <c r="AE184" s="64"/>
      <c r="AF184" s="64"/>
      <c r="AG184" s="64"/>
    </row>
    <row r="185">
      <c r="A185" s="64"/>
      <c r="B185" s="64"/>
      <c r="C185" s="64"/>
      <c r="D185" s="64"/>
      <c r="E185" s="65"/>
      <c r="F185" s="64"/>
      <c r="G185" s="67"/>
      <c r="H185" s="64"/>
      <c r="I185" s="64"/>
      <c r="J185" s="64"/>
      <c r="K185" s="64"/>
      <c r="L185" s="65"/>
      <c r="M185" s="64"/>
      <c r="N185" s="64"/>
      <c r="O185" s="64"/>
      <c r="P185" s="64"/>
      <c r="Q185" s="64"/>
      <c r="R185" s="64"/>
      <c r="S185" s="64"/>
      <c r="T185" s="65"/>
      <c r="U185" s="64"/>
      <c r="V185" s="64"/>
      <c r="W185" s="64"/>
      <c r="X185" s="64"/>
      <c r="Y185" s="64"/>
      <c r="Z185" s="64"/>
      <c r="AA185" s="64"/>
      <c r="AB185" s="64"/>
      <c r="AC185" s="64"/>
      <c r="AD185" s="64"/>
      <c r="AE185" s="64"/>
      <c r="AF185" s="64"/>
      <c r="AG185" s="64"/>
    </row>
    <row r="186">
      <c r="A186" s="64"/>
      <c r="B186" s="64"/>
      <c r="C186" s="64"/>
      <c r="D186" s="64"/>
      <c r="E186" s="65"/>
      <c r="F186" s="64"/>
      <c r="G186" s="67"/>
      <c r="H186" s="64"/>
      <c r="I186" s="64"/>
      <c r="J186" s="64"/>
      <c r="K186" s="64"/>
      <c r="L186" s="65"/>
      <c r="M186" s="64"/>
      <c r="N186" s="64"/>
      <c r="O186" s="64"/>
      <c r="P186" s="64"/>
      <c r="Q186" s="64"/>
      <c r="R186" s="64"/>
      <c r="S186" s="64"/>
      <c r="T186" s="65"/>
      <c r="U186" s="64"/>
      <c r="V186" s="64"/>
      <c r="W186" s="64"/>
      <c r="X186" s="64"/>
      <c r="Y186" s="64"/>
      <c r="Z186" s="64"/>
      <c r="AA186" s="64"/>
      <c r="AB186" s="64"/>
      <c r="AC186" s="64"/>
      <c r="AD186" s="64"/>
      <c r="AE186" s="64"/>
      <c r="AF186" s="64"/>
      <c r="AG186" s="64"/>
    </row>
    <row r="187">
      <c r="A187" s="64"/>
      <c r="B187" s="64"/>
      <c r="C187" s="64"/>
      <c r="D187" s="64"/>
      <c r="E187" s="65"/>
      <c r="F187" s="64"/>
      <c r="G187" s="67"/>
      <c r="H187" s="64"/>
      <c r="I187" s="64"/>
      <c r="J187" s="64"/>
      <c r="K187" s="64"/>
      <c r="L187" s="65"/>
      <c r="M187" s="64"/>
      <c r="N187" s="64"/>
      <c r="O187" s="64"/>
      <c r="P187" s="64"/>
      <c r="Q187" s="64"/>
      <c r="R187" s="64"/>
      <c r="S187" s="64"/>
      <c r="T187" s="65"/>
      <c r="U187" s="64"/>
      <c r="V187" s="64"/>
      <c r="W187" s="64"/>
      <c r="X187" s="64"/>
      <c r="Y187" s="64"/>
      <c r="Z187" s="64"/>
      <c r="AA187" s="64"/>
      <c r="AB187" s="64"/>
      <c r="AC187" s="64"/>
      <c r="AD187" s="64"/>
      <c r="AE187" s="64"/>
      <c r="AF187" s="64"/>
      <c r="AG187" s="64"/>
    </row>
    <row r="188">
      <c r="A188" s="64"/>
      <c r="B188" s="64"/>
      <c r="C188" s="64"/>
      <c r="D188" s="64"/>
      <c r="E188" s="65"/>
      <c r="F188" s="64"/>
      <c r="G188" s="67"/>
      <c r="H188" s="64"/>
      <c r="I188" s="64"/>
      <c r="J188" s="64"/>
      <c r="K188" s="64"/>
      <c r="L188" s="65"/>
      <c r="M188" s="64"/>
      <c r="N188" s="64"/>
      <c r="O188" s="64"/>
      <c r="P188" s="64"/>
      <c r="Q188" s="64"/>
      <c r="R188" s="64"/>
      <c r="S188" s="64"/>
      <c r="T188" s="65"/>
      <c r="U188" s="64"/>
      <c r="V188" s="64"/>
      <c r="W188" s="64"/>
      <c r="X188" s="64"/>
      <c r="Y188" s="64"/>
      <c r="Z188" s="64"/>
      <c r="AA188" s="64"/>
      <c r="AB188" s="64"/>
      <c r="AC188" s="64"/>
      <c r="AD188" s="64"/>
      <c r="AE188" s="64"/>
      <c r="AF188" s="64"/>
      <c r="AG188" s="64"/>
    </row>
    <row r="189">
      <c r="A189" s="64"/>
      <c r="B189" s="64"/>
      <c r="C189" s="64"/>
      <c r="D189" s="64"/>
      <c r="E189" s="65"/>
      <c r="F189" s="64"/>
      <c r="G189" s="67"/>
      <c r="H189" s="64"/>
      <c r="I189" s="64"/>
      <c r="J189" s="64"/>
      <c r="K189" s="64"/>
      <c r="L189" s="65"/>
      <c r="M189" s="64"/>
      <c r="N189" s="64"/>
      <c r="O189" s="64"/>
      <c r="P189" s="64"/>
      <c r="Q189" s="64"/>
      <c r="R189" s="64"/>
      <c r="S189" s="64"/>
      <c r="T189" s="65"/>
      <c r="U189" s="64"/>
      <c r="V189" s="64"/>
      <c r="W189" s="64"/>
      <c r="X189" s="64"/>
      <c r="Y189" s="64"/>
      <c r="Z189" s="64"/>
      <c r="AA189" s="64"/>
      <c r="AB189" s="64"/>
      <c r="AC189" s="64"/>
      <c r="AD189" s="64"/>
      <c r="AE189" s="64"/>
      <c r="AF189" s="64"/>
      <c r="AG189" s="64"/>
    </row>
    <row r="190">
      <c r="A190" s="64"/>
      <c r="B190" s="64"/>
      <c r="C190" s="64"/>
      <c r="D190" s="64"/>
      <c r="E190" s="65"/>
      <c r="F190" s="64"/>
      <c r="G190" s="67"/>
      <c r="H190" s="64"/>
      <c r="I190" s="64"/>
      <c r="J190" s="64"/>
      <c r="K190" s="64"/>
      <c r="L190" s="65"/>
      <c r="M190" s="64"/>
      <c r="N190" s="64"/>
      <c r="O190" s="64"/>
      <c r="P190" s="64"/>
      <c r="Q190" s="64"/>
      <c r="R190" s="64"/>
      <c r="S190" s="64"/>
      <c r="T190" s="65"/>
      <c r="U190" s="64"/>
      <c r="V190" s="64"/>
      <c r="W190" s="64"/>
      <c r="X190" s="64"/>
      <c r="Y190" s="64"/>
      <c r="Z190" s="64"/>
      <c r="AA190" s="64"/>
      <c r="AB190" s="64"/>
      <c r="AC190" s="64"/>
      <c r="AD190" s="64"/>
      <c r="AE190" s="64"/>
      <c r="AF190" s="64"/>
      <c r="AG190" s="64"/>
    </row>
    <row r="191">
      <c r="A191" s="64"/>
      <c r="B191" s="64"/>
      <c r="C191" s="64"/>
      <c r="D191" s="64"/>
      <c r="E191" s="65"/>
      <c r="F191" s="64"/>
      <c r="G191" s="67"/>
      <c r="H191" s="64"/>
      <c r="I191" s="64"/>
      <c r="J191" s="64"/>
      <c r="K191" s="64"/>
      <c r="L191" s="65"/>
      <c r="M191" s="64"/>
      <c r="N191" s="64"/>
      <c r="O191" s="64"/>
      <c r="P191" s="64"/>
      <c r="Q191" s="64"/>
      <c r="R191" s="64"/>
      <c r="S191" s="64"/>
      <c r="T191" s="65"/>
      <c r="U191" s="64"/>
      <c r="V191" s="64"/>
      <c r="W191" s="64"/>
      <c r="X191" s="64"/>
      <c r="Y191" s="64"/>
      <c r="Z191" s="64"/>
      <c r="AA191" s="64"/>
      <c r="AB191" s="64"/>
      <c r="AC191" s="64"/>
      <c r="AD191" s="64"/>
      <c r="AE191" s="64"/>
      <c r="AF191" s="64"/>
      <c r="AG191" s="64"/>
    </row>
    <row r="192">
      <c r="A192" s="64"/>
      <c r="B192" s="64"/>
      <c r="C192" s="64"/>
      <c r="D192" s="64"/>
      <c r="E192" s="65"/>
      <c r="F192" s="64"/>
      <c r="G192" s="67"/>
      <c r="H192" s="64"/>
      <c r="I192" s="64"/>
      <c r="J192" s="64"/>
      <c r="K192" s="64"/>
      <c r="L192" s="65"/>
      <c r="M192" s="64"/>
      <c r="N192" s="64"/>
      <c r="O192" s="64"/>
      <c r="P192" s="64"/>
      <c r="Q192" s="64"/>
      <c r="R192" s="64"/>
      <c r="S192" s="64"/>
      <c r="T192" s="65"/>
      <c r="U192" s="64"/>
      <c r="V192" s="64"/>
      <c r="W192" s="64"/>
      <c r="X192" s="64"/>
      <c r="Y192" s="64"/>
      <c r="Z192" s="64"/>
      <c r="AA192" s="64"/>
      <c r="AB192" s="64"/>
      <c r="AC192" s="64"/>
      <c r="AD192" s="64"/>
      <c r="AE192" s="64"/>
      <c r="AF192" s="64"/>
      <c r="AG192" s="64"/>
    </row>
    <row r="193">
      <c r="A193" s="64"/>
      <c r="B193" s="64"/>
      <c r="C193" s="64"/>
      <c r="D193" s="64"/>
      <c r="E193" s="65"/>
      <c r="F193" s="64"/>
      <c r="G193" s="67"/>
      <c r="H193" s="64"/>
      <c r="I193" s="64"/>
      <c r="J193" s="64"/>
      <c r="K193" s="64"/>
      <c r="L193" s="65"/>
      <c r="M193" s="64"/>
      <c r="N193" s="64"/>
      <c r="O193" s="64"/>
      <c r="P193" s="64"/>
      <c r="Q193" s="64"/>
      <c r="R193" s="64"/>
      <c r="S193" s="64"/>
      <c r="T193" s="65"/>
      <c r="U193" s="64"/>
      <c r="V193" s="64"/>
      <c r="W193" s="64"/>
      <c r="X193" s="64"/>
      <c r="Y193" s="64"/>
      <c r="Z193" s="64"/>
      <c r="AA193" s="64"/>
      <c r="AB193" s="64"/>
      <c r="AC193" s="64"/>
      <c r="AD193" s="64"/>
      <c r="AE193" s="64"/>
      <c r="AF193" s="64"/>
      <c r="AG193" s="64"/>
    </row>
    <row r="194">
      <c r="A194" s="64"/>
      <c r="B194" s="64"/>
      <c r="C194" s="64"/>
      <c r="D194" s="64"/>
      <c r="E194" s="65"/>
      <c r="F194" s="64"/>
      <c r="G194" s="67"/>
      <c r="H194" s="64"/>
      <c r="I194" s="64"/>
      <c r="J194" s="64"/>
      <c r="K194" s="64"/>
      <c r="L194" s="65"/>
      <c r="M194" s="64"/>
      <c r="N194" s="64"/>
      <c r="O194" s="64"/>
      <c r="P194" s="64"/>
      <c r="Q194" s="64"/>
      <c r="R194" s="64"/>
      <c r="S194" s="64"/>
      <c r="T194" s="65"/>
      <c r="U194" s="64"/>
      <c r="V194" s="64"/>
      <c r="W194" s="64"/>
      <c r="X194" s="64"/>
      <c r="Y194" s="64"/>
      <c r="Z194" s="64"/>
      <c r="AA194" s="64"/>
      <c r="AB194" s="64"/>
      <c r="AC194" s="64"/>
      <c r="AD194" s="64"/>
      <c r="AE194" s="64"/>
      <c r="AF194" s="64"/>
      <c r="AG194" s="64"/>
    </row>
    <row r="195">
      <c r="A195" s="64"/>
      <c r="B195" s="64"/>
      <c r="C195" s="64"/>
      <c r="D195" s="64"/>
      <c r="E195" s="65"/>
      <c r="F195" s="64"/>
      <c r="G195" s="67"/>
      <c r="H195" s="64"/>
      <c r="I195" s="64"/>
      <c r="J195" s="64"/>
      <c r="K195" s="64"/>
      <c r="L195" s="65"/>
      <c r="M195" s="64"/>
      <c r="N195" s="64"/>
      <c r="O195" s="64"/>
      <c r="P195" s="64"/>
      <c r="Q195" s="64"/>
      <c r="R195" s="64"/>
      <c r="S195" s="64"/>
      <c r="T195" s="65"/>
      <c r="U195" s="64"/>
      <c r="V195" s="64"/>
      <c r="W195" s="64"/>
      <c r="X195" s="64"/>
      <c r="Y195" s="64"/>
      <c r="Z195" s="64"/>
      <c r="AA195" s="64"/>
      <c r="AB195" s="64"/>
      <c r="AC195" s="64"/>
      <c r="AD195" s="64"/>
      <c r="AE195" s="64"/>
      <c r="AF195" s="64"/>
      <c r="AG195" s="64"/>
    </row>
    <row r="196">
      <c r="A196" s="64"/>
      <c r="B196" s="64"/>
      <c r="C196" s="64"/>
      <c r="D196" s="64"/>
      <c r="E196" s="65"/>
      <c r="F196" s="64"/>
      <c r="G196" s="67"/>
      <c r="H196" s="64"/>
      <c r="I196" s="64"/>
      <c r="J196" s="64"/>
      <c r="K196" s="64"/>
      <c r="L196" s="65"/>
      <c r="M196" s="64"/>
      <c r="N196" s="64"/>
      <c r="O196" s="64"/>
      <c r="P196" s="64"/>
      <c r="Q196" s="64"/>
      <c r="R196" s="64"/>
      <c r="S196" s="64"/>
      <c r="T196" s="65"/>
      <c r="U196" s="64"/>
      <c r="V196" s="64"/>
      <c r="W196" s="64"/>
      <c r="X196" s="64"/>
      <c r="Y196" s="64"/>
      <c r="Z196" s="64"/>
      <c r="AA196" s="64"/>
      <c r="AB196" s="64"/>
      <c r="AC196" s="64"/>
      <c r="AD196" s="64"/>
      <c r="AE196" s="64"/>
      <c r="AF196" s="64"/>
      <c r="AG196" s="64"/>
    </row>
    <row r="197">
      <c r="A197" s="64"/>
      <c r="B197" s="64"/>
      <c r="C197" s="64"/>
      <c r="D197" s="64"/>
      <c r="E197" s="65"/>
      <c r="F197" s="64"/>
      <c r="G197" s="67"/>
      <c r="H197" s="64"/>
      <c r="I197" s="64"/>
      <c r="J197" s="64"/>
      <c r="K197" s="64"/>
      <c r="L197" s="65"/>
      <c r="M197" s="64"/>
      <c r="N197" s="64"/>
      <c r="O197" s="64"/>
      <c r="P197" s="64"/>
      <c r="Q197" s="64"/>
      <c r="R197" s="64"/>
      <c r="S197" s="64"/>
      <c r="T197" s="65"/>
      <c r="U197" s="64"/>
      <c r="V197" s="64"/>
      <c r="W197" s="64"/>
      <c r="X197" s="64"/>
      <c r="Y197" s="64"/>
      <c r="Z197" s="64"/>
      <c r="AA197" s="64"/>
      <c r="AB197" s="64"/>
      <c r="AC197" s="64"/>
      <c r="AD197" s="64"/>
      <c r="AE197" s="64"/>
      <c r="AF197" s="64"/>
      <c r="AG197" s="64"/>
    </row>
    <row r="198">
      <c r="A198" s="64"/>
      <c r="B198" s="64"/>
      <c r="C198" s="64"/>
      <c r="D198" s="64"/>
      <c r="E198" s="65"/>
      <c r="F198" s="64"/>
      <c r="G198" s="67"/>
      <c r="H198" s="64"/>
      <c r="I198" s="64"/>
      <c r="J198" s="64"/>
      <c r="K198" s="64"/>
      <c r="L198" s="65"/>
      <c r="M198" s="64"/>
      <c r="N198" s="64"/>
      <c r="O198" s="64"/>
      <c r="P198" s="64"/>
      <c r="Q198" s="64"/>
      <c r="R198" s="64"/>
      <c r="S198" s="64"/>
      <c r="T198" s="65"/>
      <c r="U198" s="64"/>
      <c r="V198" s="64"/>
      <c r="W198" s="64"/>
      <c r="X198" s="64"/>
      <c r="Y198" s="64"/>
      <c r="Z198" s="64"/>
      <c r="AA198" s="64"/>
      <c r="AB198" s="64"/>
      <c r="AC198" s="64"/>
      <c r="AD198" s="64"/>
      <c r="AE198" s="64"/>
      <c r="AF198" s="64"/>
      <c r="AG198" s="64"/>
    </row>
    <row r="199">
      <c r="A199" s="64"/>
      <c r="B199" s="64"/>
      <c r="C199" s="64"/>
      <c r="D199" s="64"/>
      <c r="E199" s="65"/>
      <c r="F199" s="64"/>
      <c r="G199" s="67"/>
      <c r="H199" s="64"/>
      <c r="I199" s="64"/>
      <c r="J199" s="64"/>
      <c r="K199" s="64"/>
      <c r="L199" s="65"/>
      <c r="M199" s="64"/>
      <c r="N199" s="64"/>
      <c r="O199" s="64"/>
      <c r="P199" s="64"/>
      <c r="Q199" s="64"/>
      <c r="R199" s="64"/>
      <c r="S199" s="64"/>
      <c r="T199" s="65"/>
      <c r="U199" s="64"/>
      <c r="V199" s="64"/>
      <c r="W199" s="64"/>
      <c r="X199" s="64"/>
      <c r="Y199" s="64"/>
      <c r="Z199" s="64"/>
      <c r="AA199" s="64"/>
      <c r="AB199" s="64"/>
      <c r="AC199" s="64"/>
      <c r="AD199" s="64"/>
      <c r="AE199" s="64"/>
      <c r="AF199" s="64"/>
      <c r="AG199" s="64"/>
    </row>
    <row r="200">
      <c r="A200" s="64"/>
      <c r="B200" s="64"/>
      <c r="C200" s="64"/>
      <c r="D200" s="64"/>
      <c r="E200" s="65"/>
      <c r="F200" s="64"/>
      <c r="G200" s="67"/>
      <c r="H200" s="64"/>
      <c r="I200" s="64"/>
      <c r="J200" s="64"/>
      <c r="K200" s="64"/>
      <c r="L200" s="65"/>
      <c r="M200" s="64"/>
      <c r="N200" s="64"/>
      <c r="O200" s="64"/>
      <c r="P200" s="64"/>
      <c r="Q200" s="64"/>
      <c r="R200" s="64"/>
      <c r="S200" s="64"/>
      <c r="T200" s="65"/>
      <c r="U200" s="64"/>
      <c r="V200" s="64"/>
      <c r="W200" s="64"/>
      <c r="X200" s="64"/>
      <c r="Y200" s="64"/>
      <c r="Z200" s="64"/>
      <c r="AA200" s="64"/>
      <c r="AB200" s="64"/>
      <c r="AC200" s="64"/>
      <c r="AD200" s="64"/>
      <c r="AE200" s="64"/>
      <c r="AF200" s="64"/>
      <c r="AG200" s="64"/>
    </row>
    <row r="201">
      <c r="A201" s="64"/>
      <c r="B201" s="64"/>
      <c r="C201" s="64"/>
      <c r="D201" s="64"/>
      <c r="E201" s="65"/>
      <c r="F201" s="64"/>
      <c r="G201" s="67"/>
      <c r="H201" s="64"/>
      <c r="I201" s="64"/>
      <c r="J201" s="64"/>
      <c r="K201" s="64"/>
      <c r="L201" s="65"/>
      <c r="M201" s="64"/>
      <c r="N201" s="64"/>
      <c r="O201" s="64"/>
      <c r="P201" s="64"/>
      <c r="Q201" s="64"/>
      <c r="R201" s="64"/>
      <c r="S201" s="64"/>
      <c r="T201" s="65"/>
      <c r="U201" s="64"/>
      <c r="V201" s="64"/>
      <c r="W201" s="64"/>
      <c r="X201" s="64"/>
      <c r="Y201" s="64"/>
      <c r="Z201" s="64"/>
      <c r="AA201" s="64"/>
      <c r="AB201" s="64"/>
      <c r="AC201" s="64"/>
      <c r="AD201" s="64"/>
      <c r="AE201" s="64"/>
      <c r="AF201" s="64"/>
      <c r="AG201" s="64"/>
    </row>
    <row r="202">
      <c r="A202" s="64"/>
      <c r="B202" s="64"/>
      <c r="C202" s="64"/>
      <c r="D202" s="64"/>
      <c r="E202" s="65"/>
      <c r="F202" s="64"/>
      <c r="G202" s="67"/>
      <c r="H202" s="64"/>
      <c r="I202" s="64"/>
      <c r="J202" s="64"/>
      <c r="K202" s="64"/>
      <c r="L202" s="65"/>
      <c r="M202" s="64"/>
      <c r="N202" s="64"/>
      <c r="O202" s="64"/>
      <c r="P202" s="64"/>
      <c r="Q202" s="64"/>
      <c r="R202" s="64"/>
      <c r="S202" s="64"/>
      <c r="T202" s="65"/>
      <c r="U202" s="64"/>
      <c r="V202" s="64"/>
      <c r="W202" s="64"/>
      <c r="X202" s="64"/>
      <c r="Y202" s="64"/>
      <c r="Z202" s="64"/>
      <c r="AA202" s="64"/>
      <c r="AB202" s="64"/>
      <c r="AC202" s="64"/>
      <c r="AD202" s="64"/>
      <c r="AE202" s="64"/>
      <c r="AF202" s="64"/>
      <c r="AG202" s="64"/>
    </row>
    <row r="203">
      <c r="A203" s="64"/>
      <c r="B203" s="64"/>
      <c r="C203" s="64"/>
      <c r="D203" s="64"/>
      <c r="E203" s="65"/>
      <c r="F203" s="64"/>
      <c r="G203" s="67"/>
      <c r="H203" s="64"/>
      <c r="I203" s="64"/>
      <c r="J203" s="64"/>
      <c r="K203" s="64"/>
      <c r="L203" s="65"/>
      <c r="M203" s="64"/>
      <c r="N203" s="64"/>
      <c r="O203" s="64"/>
      <c r="P203" s="64"/>
      <c r="Q203" s="64"/>
      <c r="R203" s="64"/>
      <c r="S203" s="64"/>
      <c r="T203" s="65"/>
      <c r="U203" s="64"/>
      <c r="V203" s="64"/>
      <c r="W203" s="64"/>
      <c r="X203" s="64"/>
      <c r="Y203" s="64"/>
      <c r="Z203" s="64"/>
      <c r="AA203" s="64"/>
      <c r="AB203" s="64"/>
      <c r="AC203" s="64"/>
      <c r="AD203" s="64"/>
      <c r="AE203" s="64"/>
      <c r="AF203" s="64"/>
      <c r="AG203" s="64"/>
    </row>
    <row r="204">
      <c r="A204" s="64"/>
      <c r="B204" s="64"/>
      <c r="C204" s="64"/>
      <c r="D204" s="64"/>
      <c r="E204" s="65"/>
      <c r="F204" s="64"/>
      <c r="G204" s="67"/>
      <c r="H204" s="64"/>
      <c r="I204" s="64"/>
      <c r="J204" s="64"/>
      <c r="K204" s="64"/>
      <c r="L204" s="65"/>
      <c r="M204" s="64"/>
      <c r="N204" s="64"/>
      <c r="O204" s="64"/>
      <c r="P204" s="64"/>
      <c r="Q204" s="64"/>
      <c r="R204" s="64"/>
      <c r="S204" s="64"/>
      <c r="T204" s="65"/>
      <c r="U204" s="64"/>
      <c r="V204" s="64"/>
      <c r="W204" s="64"/>
      <c r="X204" s="64"/>
      <c r="Y204" s="64"/>
      <c r="Z204" s="64"/>
      <c r="AA204" s="64"/>
      <c r="AB204" s="64"/>
      <c r="AC204" s="64"/>
      <c r="AD204" s="64"/>
      <c r="AE204" s="64"/>
      <c r="AF204" s="64"/>
      <c r="AG204" s="64"/>
    </row>
    <row r="205">
      <c r="A205" s="64"/>
      <c r="B205" s="64"/>
      <c r="C205" s="64"/>
      <c r="D205" s="64"/>
      <c r="E205" s="65"/>
      <c r="F205" s="64"/>
      <c r="G205" s="67"/>
      <c r="H205" s="64"/>
      <c r="I205" s="64"/>
      <c r="J205" s="64"/>
      <c r="K205" s="64"/>
      <c r="L205" s="65"/>
      <c r="M205" s="64"/>
      <c r="N205" s="64"/>
      <c r="O205" s="64"/>
      <c r="P205" s="64"/>
      <c r="Q205" s="64"/>
      <c r="R205" s="64"/>
      <c r="S205" s="64"/>
      <c r="T205" s="65"/>
      <c r="U205" s="64"/>
      <c r="V205" s="64"/>
      <c r="W205" s="64"/>
      <c r="X205" s="64"/>
      <c r="Y205" s="64"/>
      <c r="Z205" s="64"/>
      <c r="AA205" s="64"/>
      <c r="AB205" s="64"/>
      <c r="AC205" s="64"/>
      <c r="AD205" s="64"/>
      <c r="AE205" s="64"/>
      <c r="AF205" s="64"/>
      <c r="AG205" s="64"/>
    </row>
    <row r="206">
      <c r="A206" s="64"/>
      <c r="B206" s="64"/>
      <c r="C206" s="64"/>
      <c r="D206" s="64"/>
      <c r="E206" s="65"/>
      <c r="F206" s="64"/>
      <c r="G206" s="67"/>
      <c r="H206" s="64"/>
      <c r="I206" s="64"/>
      <c r="J206" s="64"/>
      <c r="K206" s="64"/>
      <c r="L206" s="65"/>
      <c r="M206" s="64"/>
      <c r="N206" s="64"/>
      <c r="O206" s="64"/>
      <c r="P206" s="64"/>
      <c r="Q206" s="64"/>
      <c r="R206" s="64"/>
      <c r="S206" s="64"/>
      <c r="T206" s="65"/>
      <c r="U206" s="64"/>
      <c r="V206" s="64"/>
      <c r="W206" s="64"/>
      <c r="X206" s="64"/>
      <c r="Y206" s="64"/>
      <c r="Z206" s="64"/>
      <c r="AA206" s="64"/>
      <c r="AB206" s="64"/>
      <c r="AC206" s="64"/>
      <c r="AD206" s="64"/>
      <c r="AE206" s="64"/>
      <c r="AF206" s="64"/>
      <c r="AG206" s="64"/>
    </row>
    <row r="207">
      <c r="A207" s="64"/>
      <c r="B207" s="64"/>
      <c r="C207" s="64"/>
      <c r="D207" s="64"/>
      <c r="E207" s="65"/>
      <c r="F207" s="64"/>
      <c r="G207" s="67"/>
      <c r="H207" s="64"/>
      <c r="I207" s="64"/>
      <c r="J207" s="64"/>
      <c r="K207" s="64"/>
      <c r="L207" s="65"/>
      <c r="M207" s="64"/>
      <c r="N207" s="64"/>
      <c r="O207" s="64"/>
      <c r="P207" s="64"/>
      <c r="Q207" s="64"/>
      <c r="R207" s="64"/>
      <c r="S207" s="64"/>
      <c r="T207" s="65"/>
      <c r="U207" s="64"/>
      <c r="V207" s="64"/>
      <c r="W207" s="64"/>
      <c r="X207" s="64"/>
      <c r="Y207" s="64"/>
      <c r="Z207" s="64"/>
      <c r="AA207" s="64"/>
      <c r="AB207" s="64"/>
      <c r="AC207" s="64"/>
      <c r="AD207" s="64"/>
      <c r="AE207" s="64"/>
      <c r="AF207" s="64"/>
      <c r="AG207" s="64"/>
    </row>
    <row r="208">
      <c r="A208" s="64"/>
      <c r="B208" s="64"/>
      <c r="C208" s="64"/>
      <c r="D208" s="64"/>
      <c r="E208" s="65"/>
      <c r="F208" s="64"/>
      <c r="G208" s="67"/>
      <c r="H208" s="64"/>
      <c r="I208" s="64"/>
      <c r="J208" s="64"/>
      <c r="K208" s="64"/>
      <c r="L208" s="65"/>
      <c r="M208" s="64"/>
      <c r="N208" s="64"/>
      <c r="O208" s="64"/>
      <c r="P208" s="64"/>
      <c r="Q208" s="64"/>
      <c r="R208" s="64"/>
      <c r="S208" s="64"/>
      <c r="T208" s="65"/>
      <c r="U208" s="64"/>
      <c r="V208" s="64"/>
      <c r="W208" s="64"/>
      <c r="X208" s="64"/>
      <c r="Y208" s="64"/>
      <c r="Z208" s="64"/>
      <c r="AA208" s="64"/>
      <c r="AB208" s="64"/>
      <c r="AC208" s="64"/>
      <c r="AD208" s="64"/>
      <c r="AE208" s="64"/>
      <c r="AF208" s="64"/>
      <c r="AG208" s="64"/>
    </row>
    <row r="209">
      <c r="A209" s="64"/>
      <c r="B209" s="64"/>
      <c r="C209" s="64"/>
      <c r="D209" s="64"/>
      <c r="E209" s="65"/>
      <c r="F209" s="64"/>
      <c r="G209" s="67"/>
      <c r="H209" s="64"/>
      <c r="I209" s="64"/>
      <c r="J209" s="64"/>
      <c r="K209" s="64"/>
      <c r="L209" s="65"/>
      <c r="M209" s="64"/>
      <c r="N209" s="64"/>
      <c r="O209" s="64"/>
      <c r="P209" s="64"/>
      <c r="Q209" s="64"/>
      <c r="R209" s="64"/>
      <c r="S209" s="64"/>
      <c r="T209" s="65"/>
      <c r="U209" s="64"/>
      <c r="V209" s="64"/>
      <c r="W209" s="64"/>
      <c r="X209" s="64"/>
      <c r="Y209" s="64"/>
      <c r="Z209" s="64"/>
      <c r="AA209" s="64"/>
      <c r="AB209" s="64"/>
      <c r="AC209" s="64"/>
      <c r="AD209" s="64"/>
      <c r="AE209" s="64"/>
      <c r="AF209" s="64"/>
      <c r="AG209" s="64"/>
    </row>
    <row r="210">
      <c r="A210" s="64"/>
      <c r="B210" s="64"/>
      <c r="C210" s="64"/>
      <c r="D210" s="64"/>
      <c r="E210" s="65"/>
      <c r="F210" s="64"/>
      <c r="G210" s="67"/>
      <c r="H210" s="64"/>
      <c r="I210" s="64"/>
      <c r="J210" s="64"/>
      <c r="K210" s="64"/>
      <c r="L210" s="65"/>
      <c r="M210" s="64"/>
      <c r="N210" s="64"/>
      <c r="O210" s="64"/>
      <c r="P210" s="64"/>
      <c r="Q210" s="64"/>
      <c r="R210" s="64"/>
      <c r="S210" s="64"/>
      <c r="T210" s="65"/>
      <c r="U210" s="64"/>
      <c r="V210" s="64"/>
      <c r="W210" s="64"/>
      <c r="X210" s="64"/>
      <c r="Y210" s="64"/>
      <c r="Z210" s="64"/>
      <c r="AA210" s="64"/>
      <c r="AB210" s="64"/>
      <c r="AC210" s="64"/>
      <c r="AD210" s="64"/>
      <c r="AE210" s="64"/>
      <c r="AF210" s="64"/>
      <c r="AG210" s="64"/>
    </row>
    <row r="211">
      <c r="A211" s="64"/>
      <c r="B211" s="64"/>
      <c r="C211" s="64"/>
      <c r="D211" s="64"/>
      <c r="E211" s="65"/>
      <c r="F211" s="64"/>
      <c r="G211" s="67"/>
      <c r="H211" s="64"/>
      <c r="I211" s="64"/>
      <c r="J211" s="64"/>
      <c r="K211" s="64"/>
      <c r="L211" s="65"/>
      <c r="M211" s="64"/>
      <c r="N211" s="64"/>
      <c r="O211" s="64"/>
      <c r="P211" s="64"/>
      <c r="Q211" s="64"/>
      <c r="R211" s="64"/>
      <c r="S211" s="64"/>
      <c r="T211" s="65"/>
      <c r="U211" s="64"/>
      <c r="V211" s="64"/>
      <c r="W211" s="64"/>
      <c r="X211" s="64"/>
      <c r="Y211" s="64"/>
      <c r="Z211" s="64"/>
      <c r="AA211" s="64"/>
      <c r="AB211" s="64"/>
      <c r="AC211" s="64"/>
      <c r="AD211" s="64"/>
      <c r="AE211" s="64"/>
      <c r="AF211" s="64"/>
      <c r="AG211" s="64"/>
    </row>
    <row r="212">
      <c r="A212" s="64"/>
      <c r="B212" s="64"/>
      <c r="C212" s="64"/>
      <c r="D212" s="64"/>
      <c r="E212" s="65"/>
      <c r="F212" s="64"/>
      <c r="G212" s="67"/>
      <c r="H212" s="64"/>
      <c r="I212" s="64"/>
      <c r="J212" s="64"/>
      <c r="K212" s="64"/>
      <c r="L212" s="65"/>
      <c r="M212" s="64"/>
      <c r="N212" s="64"/>
      <c r="O212" s="64"/>
      <c r="P212" s="64"/>
      <c r="Q212" s="64"/>
      <c r="R212" s="64"/>
      <c r="S212" s="64"/>
      <c r="T212" s="65"/>
      <c r="U212" s="64"/>
      <c r="V212" s="64"/>
      <c r="W212" s="64"/>
      <c r="X212" s="64"/>
      <c r="Y212" s="64"/>
      <c r="Z212" s="64"/>
      <c r="AA212" s="64"/>
      <c r="AB212" s="64"/>
      <c r="AC212" s="64"/>
      <c r="AD212" s="64"/>
      <c r="AE212" s="64"/>
      <c r="AF212" s="64"/>
      <c r="AG212" s="64"/>
    </row>
    <row r="213">
      <c r="A213" s="64"/>
      <c r="B213" s="64"/>
      <c r="C213" s="64"/>
      <c r="D213" s="64"/>
      <c r="E213" s="65"/>
      <c r="F213" s="64"/>
      <c r="G213" s="67"/>
      <c r="H213" s="64"/>
      <c r="I213" s="64"/>
      <c r="J213" s="64"/>
      <c r="K213" s="64"/>
      <c r="L213" s="65"/>
      <c r="M213" s="64"/>
      <c r="N213" s="64"/>
      <c r="O213" s="64"/>
      <c r="P213" s="64"/>
      <c r="Q213" s="64"/>
      <c r="R213" s="64"/>
      <c r="S213" s="64"/>
      <c r="T213" s="65"/>
      <c r="U213" s="64"/>
      <c r="V213" s="64"/>
      <c r="W213" s="64"/>
      <c r="X213" s="64"/>
      <c r="Y213" s="64"/>
      <c r="Z213" s="64"/>
      <c r="AA213" s="64"/>
      <c r="AB213" s="64"/>
      <c r="AC213" s="64"/>
      <c r="AD213" s="64"/>
      <c r="AE213" s="64"/>
      <c r="AF213" s="64"/>
      <c r="AG213" s="64"/>
    </row>
    <row r="214">
      <c r="A214" s="64"/>
      <c r="B214" s="64"/>
      <c r="C214" s="64"/>
      <c r="D214" s="64"/>
      <c r="E214" s="65"/>
      <c r="F214" s="64"/>
      <c r="G214" s="67"/>
      <c r="H214" s="64"/>
      <c r="I214" s="64"/>
      <c r="J214" s="64"/>
      <c r="K214" s="64"/>
      <c r="L214" s="65"/>
      <c r="M214" s="64"/>
      <c r="N214" s="64"/>
      <c r="O214" s="64"/>
      <c r="P214" s="64"/>
      <c r="Q214" s="64"/>
      <c r="R214" s="64"/>
      <c r="S214" s="64"/>
      <c r="T214" s="65"/>
      <c r="U214" s="64"/>
      <c r="V214" s="64"/>
      <c r="W214" s="64"/>
      <c r="X214" s="64"/>
      <c r="Y214" s="64"/>
      <c r="Z214" s="64"/>
      <c r="AA214" s="64"/>
      <c r="AB214" s="64"/>
      <c r="AC214" s="64"/>
      <c r="AD214" s="64"/>
      <c r="AE214" s="64"/>
      <c r="AF214" s="64"/>
      <c r="AG214" s="64"/>
    </row>
    <row r="215">
      <c r="A215" s="64"/>
      <c r="B215" s="64"/>
      <c r="C215" s="64"/>
      <c r="D215" s="64"/>
      <c r="E215" s="65"/>
      <c r="F215" s="64"/>
      <c r="G215" s="67"/>
      <c r="H215" s="64"/>
      <c r="I215" s="64"/>
      <c r="J215" s="64"/>
      <c r="K215" s="64"/>
      <c r="L215" s="65"/>
      <c r="M215" s="64"/>
      <c r="N215" s="64"/>
      <c r="O215" s="64"/>
      <c r="P215" s="64"/>
      <c r="Q215" s="64"/>
      <c r="R215" s="64"/>
      <c r="S215" s="64"/>
      <c r="T215" s="65"/>
      <c r="U215" s="64"/>
      <c r="V215" s="64"/>
      <c r="W215" s="64"/>
      <c r="X215" s="64"/>
      <c r="Y215" s="64"/>
      <c r="Z215" s="64"/>
      <c r="AA215" s="64"/>
      <c r="AB215" s="64"/>
      <c r="AC215" s="64"/>
      <c r="AD215" s="64"/>
      <c r="AE215" s="64"/>
      <c r="AF215" s="64"/>
      <c r="AG215" s="64"/>
    </row>
    <row r="216">
      <c r="A216" s="64"/>
      <c r="B216" s="64"/>
      <c r="C216" s="64"/>
      <c r="D216" s="64"/>
      <c r="E216" s="65"/>
      <c r="F216" s="64"/>
      <c r="G216" s="67"/>
      <c r="H216" s="64"/>
      <c r="I216" s="64"/>
      <c r="J216" s="64"/>
      <c r="K216" s="64"/>
      <c r="L216" s="65"/>
      <c r="M216" s="64"/>
      <c r="N216" s="64"/>
      <c r="O216" s="64"/>
      <c r="P216" s="64"/>
      <c r="Q216" s="64"/>
      <c r="R216" s="64"/>
      <c r="S216" s="64"/>
      <c r="T216" s="65"/>
      <c r="U216" s="64"/>
      <c r="V216" s="64"/>
      <c r="W216" s="64"/>
      <c r="X216" s="64"/>
      <c r="Y216" s="64"/>
      <c r="Z216" s="64"/>
      <c r="AA216" s="64"/>
      <c r="AB216" s="64"/>
      <c r="AC216" s="64"/>
      <c r="AD216" s="64"/>
      <c r="AE216" s="64"/>
      <c r="AF216" s="64"/>
      <c r="AG216" s="64"/>
    </row>
    <row r="217">
      <c r="A217" s="64"/>
      <c r="B217" s="64"/>
      <c r="C217" s="64"/>
      <c r="D217" s="64"/>
      <c r="E217" s="65"/>
      <c r="F217" s="64"/>
      <c r="G217" s="67"/>
      <c r="H217" s="64"/>
      <c r="I217" s="64"/>
      <c r="J217" s="64"/>
      <c r="K217" s="64"/>
      <c r="L217" s="65"/>
      <c r="M217" s="64"/>
      <c r="N217" s="64"/>
      <c r="O217" s="64"/>
      <c r="P217" s="64"/>
      <c r="Q217" s="64"/>
      <c r="R217" s="64"/>
      <c r="S217" s="64"/>
      <c r="T217" s="65"/>
      <c r="U217" s="64"/>
      <c r="V217" s="64"/>
      <c r="W217" s="64"/>
      <c r="X217" s="64"/>
      <c r="Y217" s="64"/>
      <c r="Z217" s="64"/>
      <c r="AA217" s="64"/>
      <c r="AB217" s="64"/>
      <c r="AC217" s="64"/>
      <c r="AD217" s="64"/>
      <c r="AE217" s="64"/>
      <c r="AF217" s="64"/>
      <c r="AG217" s="64"/>
    </row>
    <row r="218">
      <c r="A218" s="64"/>
      <c r="B218" s="64"/>
      <c r="C218" s="64"/>
      <c r="D218" s="64"/>
      <c r="E218" s="65"/>
      <c r="F218" s="64"/>
      <c r="G218" s="67"/>
      <c r="H218" s="64"/>
      <c r="I218" s="64"/>
      <c r="J218" s="64"/>
      <c r="K218" s="64"/>
      <c r="L218" s="65"/>
      <c r="M218" s="64"/>
      <c r="N218" s="64"/>
      <c r="O218" s="64"/>
      <c r="P218" s="64"/>
      <c r="Q218" s="64"/>
      <c r="R218" s="64"/>
      <c r="S218" s="64"/>
      <c r="T218" s="65"/>
      <c r="U218" s="64"/>
      <c r="V218" s="64"/>
      <c r="W218" s="64"/>
      <c r="X218" s="64"/>
      <c r="Y218" s="64"/>
      <c r="Z218" s="64"/>
      <c r="AA218" s="64"/>
      <c r="AB218" s="64"/>
      <c r="AC218" s="64"/>
      <c r="AD218" s="64"/>
      <c r="AE218" s="64"/>
      <c r="AF218" s="64"/>
      <c r="AG218" s="64"/>
    </row>
    <row r="219">
      <c r="A219" s="64"/>
      <c r="B219" s="64"/>
      <c r="C219" s="64"/>
      <c r="D219" s="64"/>
      <c r="E219" s="65"/>
      <c r="F219" s="64"/>
      <c r="G219" s="67"/>
      <c r="H219" s="64"/>
      <c r="I219" s="64"/>
      <c r="J219" s="64"/>
      <c r="K219" s="64"/>
      <c r="L219" s="65"/>
      <c r="M219" s="64"/>
      <c r="N219" s="64"/>
      <c r="O219" s="64"/>
      <c r="P219" s="64"/>
      <c r="Q219" s="64"/>
      <c r="R219" s="64"/>
      <c r="S219" s="64"/>
      <c r="T219" s="65"/>
      <c r="U219" s="64"/>
      <c r="V219" s="64"/>
      <c r="W219" s="64"/>
      <c r="X219" s="64"/>
      <c r="Y219" s="64"/>
      <c r="Z219" s="64"/>
      <c r="AA219" s="64"/>
      <c r="AB219" s="64"/>
      <c r="AC219" s="64"/>
      <c r="AD219" s="64"/>
      <c r="AE219" s="64"/>
      <c r="AF219" s="64"/>
      <c r="AG219" s="64"/>
    </row>
    <row r="220">
      <c r="A220" s="64"/>
      <c r="B220" s="64"/>
      <c r="C220" s="64"/>
      <c r="D220" s="64"/>
      <c r="E220" s="65"/>
      <c r="F220" s="64"/>
      <c r="G220" s="67"/>
      <c r="H220" s="64"/>
      <c r="I220" s="64"/>
      <c r="J220" s="64"/>
      <c r="K220" s="64"/>
      <c r="L220" s="65"/>
      <c r="M220" s="64"/>
      <c r="N220" s="64"/>
      <c r="O220" s="64"/>
      <c r="P220" s="64"/>
      <c r="Q220" s="64"/>
      <c r="R220" s="64"/>
      <c r="S220" s="64"/>
      <c r="T220" s="65"/>
      <c r="U220" s="64"/>
      <c r="V220" s="64"/>
      <c r="W220" s="64"/>
      <c r="X220" s="64"/>
      <c r="Y220" s="64"/>
      <c r="Z220" s="64"/>
      <c r="AA220" s="64"/>
      <c r="AB220" s="64"/>
      <c r="AC220" s="64"/>
      <c r="AD220" s="64"/>
      <c r="AE220" s="64"/>
      <c r="AF220" s="64"/>
      <c r="AG220" s="64"/>
    </row>
    <row r="221">
      <c r="A221" s="64"/>
      <c r="B221" s="64"/>
      <c r="C221" s="64"/>
      <c r="D221" s="64"/>
      <c r="E221" s="65"/>
      <c r="F221" s="64"/>
      <c r="G221" s="67"/>
      <c r="H221" s="64"/>
      <c r="I221" s="64"/>
      <c r="J221" s="64"/>
      <c r="K221" s="64"/>
      <c r="L221" s="65"/>
      <c r="M221" s="64"/>
      <c r="N221" s="64"/>
      <c r="O221" s="64"/>
      <c r="P221" s="64"/>
      <c r="Q221" s="64"/>
      <c r="R221" s="64"/>
      <c r="S221" s="64"/>
      <c r="T221" s="65"/>
      <c r="U221" s="64"/>
      <c r="V221" s="64"/>
      <c r="W221" s="64"/>
      <c r="X221" s="64"/>
      <c r="Y221" s="64"/>
      <c r="Z221" s="64"/>
      <c r="AA221" s="64"/>
      <c r="AB221" s="64"/>
      <c r="AC221" s="64"/>
      <c r="AD221" s="64"/>
      <c r="AE221" s="64"/>
      <c r="AF221" s="64"/>
      <c r="AG221" s="64"/>
    </row>
    <row r="222">
      <c r="A222" s="64"/>
      <c r="B222" s="64"/>
      <c r="C222" s="64"/>
      <c r="D222" s="64"/>
      <c r="E222" s="65"/>
      <c r="F222" s="64"/>
      <c r="G222" s="67"/>
      <c r="H222" s="64"/>
      <c r="I222" s="64"/>
      <c r="J222" s="64"/>
      <c r="K222" s="64"/>
      <c r="L222" s="65"/>
      <c r="M222" s="64"/>
      <c r="N222" s="64"/>
      <c r="O222" s="64"/>
      <c r="P222" s="64"/>
      <c r="Q222" s="64"/>
      <c r="R222" s="64"/>
      <c r="S222" s="64"/>
      <c r="T222" s="65"/>
      <c r="U222" s="64"/>
      <c r="V222" s="64"/>
      <c r="W222" s="64"/>
      <c r="X222" s="64"/>
      <c r="Y222" s="64"/>
      <c r="Z222" s="64"/>
      <c r="AA222" s="64"/>
      <c r="AB222" s="64"/>
      <c r="AC222" s="64"/>
      <c r="AD222" s="64"/>
      <c r="AE222" s="64"/>
      <c r="AF222" s="64"/>
      <c r="AG222" s="64"/>
    </row>
    <row r="223">
      <c r="A223" s="64"/>
      <c r="B223" s="64"/>
      <c r="C223" s="64"/>
      <c r="D223" s="64"/>
      <c r="E223" s="65"/>
      <c r="F223" s="64"/>
      <c r="G223" s="67"/>
      <c r="H223" s="64"/>
      <c r="I223" s="64"/>
      <c r="J223" s="64"/>
      <c r="K223" s="64"/>
      <c r="L223" s="65"/>
      <c r="M223" s="64"/>
      <c r="N223" s="64"/>
      <c r="O223" s="64"/>
      <c r="P223" s="64"/>
      <c r="Q223" s="64"/>
      <c r="R223" s="64"/>
      <c r="S223" s="64"/>
      <c r="T223" s="65"/>
      <c r="U223" s="64"/>
      <c r="V223" s="64"/>
      <c r="W223" s="64"/>
      <c r="X223" s="64"/>
      <c r="Y223" s="64"/>
      <c r="Z223" s="64"/>
      <c r="AA223" s="64"/>
      <c r="AB223" s="64"/>
      <c r="AC223" s="64"/>
      <c r="AD223" s="64"/>
      <c r="AE223" s="64"/>
      <c r="AF223" s="64"/>
      <c r="AG223" s="64"/>
    </row>
    <row r="224">
      <c r="A224" s="64"/>
      <c r="B224" s="64"/>
      <c r="C224" s="64"/>
      <c r="D224" s="64"/>
      <c r="E224" s="65"/>
      <c r="F224" s="64"/>
      <c r="G224" s="67"/>
      <c r="H224" s="64"/>
      <c r="I224" s="64"/>
      <c r="J224" s="64"/>
      <c r="K224" s="64"/>
      <c r="L224" s="65"/>
      <c r="M224" s="64"/>
      <c r="N224" s="64"/>
      <c r="O224" s="64"/>
      <c r="P224" s="64"/>
      <c r="Q224" s="64"/>
      <c r="R224" s="64"/>
      <c r="S224" s="64"/>
      <c r="T224" s="65"/>
      <c r="U224" s="64"/>
      <c r="V224" s="64"/>
      <c r="W224" s="64"/>
      <c r="X224" s="64"/>
      <c r="Y224" s="64"/>
      <c r="Z224" s="64"/>
      <c r="AA224" s="64"/>
      <c r="AB224" s="64"/>
      <c r="AC224" s="64"/>
      <c r="AD224" s="64"/>
      <c r="AE224" s="64"/>
      <c r="AF224" s="64"/>
      <c r="AG224" s="64"/>
    </row>
    <row r="225">
      <c r="A225" s="64"/>
      <c r="B225" s="64"/>
      <c r="C225" s="64"/>
      <c r="D225" s="64"/>
      <c r="E225" s="65"/>
      <c r="F225" s="64"/>
      <c r="G225" s="67"/>
      <c r="H225" s="64"/>
      <c r="I225" s="64"/>
      <c r="J225" s="64"/>
      <c r="K225" s="64"/>
      <c r="L225" s="65"/>
      <c r="M225" s="64"/>
      <c r="N225" s="64"/>
      <c r="O225" s="64"/>
      <c r="P225" s="64"/>
      <c r="Q225" s="64"/>
      <c r="R225" s="64"/>
      <c r="S225" s="64"/>
      <c r="T225" s="65"/>
      <c r="U225" s="64"/>
      <c r="V225" s="64"/>
      <c r="W225" s="64"/>
      <c r="X225" s="64"/>
      <c r="Y225" s="64"/>
      <c r="Z225" s="64"/>
      <c r="AA225" s="64"/>
      <c r="AB225" s="64"/>
      <c r="AC225" s="64"/>
      <c r="AD225" s="64"/>
      <c r="AE225" s="64"/>
      <c r="AF225" s="64"/>
      <c r="AG225" s="64"/>
    </row>
    <row r="226">
      <c r="A226" s="64"/>
      <c r="B226" s="64"/>
      <c r="C226" s="64"/>
      <c r="D226" s="64"/>
      <c r="E226" s="65"/>
      <c r="F226" s="64"/>
      <c r="G226" s="67"/>
      <c r="H226" s="64"/>
      <c r="I226" s="64"/>
      <c r="J226" s="64"/>
      <c r="K226" s="64"/>
      <c r="L226" s="65"/>
      <c r="M226" s="64"/>
      <c r="N226" s="64"/>
      <c r="O226" s="64"/>
      <c r="P226" s="64"/>
      <c r="Q226" s="64"/>
      <c r="R226" s="64"/>
      <c r="S226" s="64"/>
      <c r="T226" s="65"/>
      <c r="U226" s="64"/>
      <c r="V226" s="64"/>
      <c r="W226" s="64"/>
      <c r="X226" s="64"/>
      <c r="Y226" s="64"/>
      <c r="Z226" s="64"/>
      <c r="AA226" s="64"/>
      <c r="AB226" s="64"/>
      <c r="AC226" s="64"/>
      <c r="AD226" s="64"/>
      <c r="AE226" s="64"/>
      <c r="AF226" s="64"/>
      <c r="AG226" s="64"/>
    </row>
    <row r="227">
      <c r="A227" s="64"/>
      <c r="B227" s="64"/>
      <c r="C227" s="64"/>
      <c r="D227" s="64"/>
      <c r="E227" s="65"/>
      <c r="F227" s="64"/>
      <c r="G227" s="67"/>
      <c r="H227" s="64"/>
      <c r="I227" s="64"/>
      <c r="J227" s="64"/>
      <c r="K227" s="64"/>
      <c r="L227" s="65"/>
      <c r="M227" s="64"/>
      <c r="N227" s="64"/>
      <c r="O227" s="64"/>
      <c r="P227" s="64"/>
      <c r="Q227" s="64"/>
      <c r="R227" s="64"/>
      <c r="S227" s="64"/>
      <c r="T227" s="65"/>
      <c r="U227" s="64"/>
      <c r="V227" s="64"/>
      <c r="W227" s="64"/>
      <c r="X227" s="64"/>
      <c r="Y227" s="64"/>
      <c r="Z227" s="64"/>
      <c r="AA227" s="64"/>
      <c r="AB227" s="64"/>
      <c r="AC227" s="64"/>
      <c r="AD227" s="64"/>
      <c r="AE227" s="64"/>
      <c r="AF227" s="64"/>
      <c r="AG227" s="64"/>
    </row>
    <row r="228">
      <c r="A228" s="64"/>
      <c r="B228" s="64"/>
      <c r="C228" s="64"/>
      <c r="D228" s="64"/>
      <c r="E228" s="65"/>
      <c r="F228" s="64"/>
      <c r="G228" s="67"/>
      <c r="H228" s="64"/>
      <c r="I228" s="64"/>
      <c r="J228" s="64"/>
      <c r="K228" s="64"/>
      <c r="L228" s="65"/>
      <c r="M228" s="64"/>
      <c r="N228" s="64"/>
      <c r="O228" s="64"/>
      <c r="P228" s="64"/>
      <c r="Q228" s="64"/>
      <c r="R228" s="64"/>
      <c r="S228" s="64"/>
      <c r="T228" s="65"/>
      <c r="U228" s="64"/>
      <c r="V228" s="64"/>
      <c r="W228" s="64"/>
      <c r="X228" s="64"/>
      <c r="Y228" s="64"/>
      <c r="Z228" s="64"/>
      <c r="AA228" s="64"/>
      <c r="AB228" s="64"/>
      <c r="AC228" s="64"/>
      <c r="AD228" s="64"/>
      <c r="AE228" s="64"/>
      <c r="AF228" s="64"/>
      <c r="AG228" s="64"/>
    </row>
    <row r="229">
      <c r="A229" s="64"/>
      <c r="B229" s="64"/>
      <c r="C229" s="64"/>
      <c r="D229" s="64"/>
      <c r="E229" s="65"/>
      <c r="F229" s="64"/>
      <c r="G229" s="67"/>
      <c r="H229" s="64"/>
      <c r="I229" s="64"/>
      <c r="J229" s="64"/>
      <c r="K229" s="64"/>
      <c r="L229" s="65"/>
      <c r="M229" s="64"/>
      <c r="N229" s="64"/>
      <c r="O229" s="64"/>
      <c r="P229" s="64"/>
      <c r="Q229" s="64"/>
      <c r="R229" s="64"/>
      <c r="S229" s="64"/>
      <c r="T229" s="65"/>
      <c r="U229" s="64"/>
      <c r="V229" s="64"/>
      <c r="W229" s="64"/>
      <c r="X229" s="64"/>
      <c r="Y229" s="64"/>
      <c r="Z229" s="64"/>
      <c r="AA229" s="64"/>
      <c r="AB229" s="64"/>
      <c r="AC229" s="64"/>
      <c r="AD229" s="64"/>
      <c r="AE229" s="64"/>
      <c r="AF229" s="64"/>
      <c r="AG229" s="64"/>
    </row>
    <row r="230">
      <c r="A230" s="64"/>
      <c r="B230" s="64"/>
      <c r="C230" s="64"/>
      <c r="D230" s="64"/>
      <c r="E230" s="65"/>
      <c r="F230" s="64"/>
      <c r="G230" s="67"/>
      <c r="H230" s="64"/>
      <c r="I230" s="64"/>
      <c r="J230" s="64"/>
      <c r="K230" s="64"/>
      <c r="L230" s="65"/>
      <c r="M230" s="64"/>
      <c r="N230" s="64"/>
      <c r="O230" s="64"/>
      <c r="P230" s="64"/>
      <c r="Q230" s="64"/>
      <c r="R230" s="64"/>
      <c r="S230" s="64"/>
      <c r="T230" s="65"/>
      <c r="U230" s="64"/>
      <c r="V230" s="64"/>
      <c r="W230" s="64"/>
      <c r="X230" s="64"/>
      <c r="Y230" s="64"/>
      <c r="Z230" s="64"/>
      <c r="AA230" s="64"/>
      <c r="AB230" s="64"/>
      <c r="AC230" s="64"/>
      <c r="AD230" s="64"/>
      <c r="AE230" s="64"/>
      <c r="AF230" s="64"/>
      <c r="AG230" s="64"/>
    </row>
    <row r="231">
      <c r="A231" s="64"/>
      <c r="B231" s="64"/>
      <c r="C231" s="64"/>
      <c r="D231" s="64"/>
      <c r="E231" s="65"/>
      <c r="F231" s="64"/>
      <c r="G231" s="67"/>
      <c r="H231" s="64"/>
      <c r="I231" s="64"/>
      <c r="J231" s="64"/>
      <c r="K231" s="64"/>
      <c r="L231" s="65"/>
      <c r="M231" s="64"/>
      <c r="N231" s="64"/>
      <c r="O231" s="64"/>
      <c r="P231" s="64"/>
      <c r="Q231" s="64"/>
      <c r="R231" s="64"/>
      <c r="S231" s="64"/>
      <c r="T231" s="65"/>
      <c r="U231" s="64"/>
      <c r="V231" s="64"/>
      <c r="W231" s="64"/>
      <c r="X231" s="64"/>
      <c r="Y231" s="64"/>
      <c r="Z231" s="64"/>
      <c r="AA231" s="64"/>
      <c r="AB231" s="64"/>
      <c r="AC231" s="64"/>
      <c r="AD231" s="64"/>
      <c r="AE231" s="64"/>
      <c r="AF231" s="64"/>
      <c r="AG231" s="64"/>
    </row>
    <row r="232">
      <c r="A232" s="64"/>
      <c r="B232" s="64"/>
      <c r="C232" s="64"/>
      <c r="D232" s="64"/>
      <c r="E232" s="65"/>
      <c r="F232" s="64"/>
      <c r="G232" s="67"/>
      <c r="H232" s="64"/>
      <c r="I232" s="64"/>
      <c r="J232" s="64"/>
      <c r="K232" s="64"/>
      <c r="L232" s="65"/>
      <c r="M232" s="64"/>
      <c r="N232" s="64"/>
      <c r="O232" s="64"/>
      <c r="P232" s="64"/>
      <c r="Q232" s="64"/>
      <c r="R232" s="64"/>
      <c r="S232" s="64"/>
      <c r="T232" s="65"/>
      <c r="U232" s="64"/>
      <c r="V232" s="64"/>
      <c r="W232" s="64"/>
      <c r="X232" s="64"/>
      <c r="Y232" s="64"/>
      <c r="Z232" s="64"/>
      <c r="AA232" s="64"/>
      <c r="AB232" s="64"/>
      <c r="AC232" s="64"/>
      <c r="AD232" s="64"/>
      <c r="AE232" s="64"/>
      <c r="AF232" s="64"/>
      <c r="AG232" s="64"/>
    </row>
    <row r="233">
      <c r="A233" s="64"/>
      <c r="B233" s="64"/>
      <c r="C233" s="64"/>
      <c r="D233" s="64"/>
      <c r="E233" s="65"/>
      <c r="F233" s="64"/>
      <c r="G233" s="67"/>
      <c r="H233" s="64"/>
      <c r="I233" s="64"/>
      <c r="J233" s="64"/>
      <c r="K233" s="64"/>
      <c r="L233" s="65"/>
      <c r="M233" s="64"/>
      <c r="N233" s="64"/>
      <c r="O233" s="64"/>
      <c r="P233" s="64"/>
      <c r="Q233" s="64"/>
      <c r="R233" s="64"/>
      <c r="S233" s="64"/>
      <c r="T233" s="65"/>
      <c r="U233" s="64"/>
      <c r="V233" s="64"/>
      <c r="W233" s="64"/>
      <c r="X233" s="64"/>
      <c r="Y233" s="64"/>
      <c r="Z233" s="64"/>
      <c r="AA233" s="64"/>
      <c r="AB233" s="64"/>
      <c r="AC233" s="64"/>
      <c r="AD233" s="64"/>
      <c r="AE233" s="64"/>
      <c r="AF233" s="64"/>
      <c r="AG233" s="64"/>
    </row>
    <row r="234">
      <c r="A234" s="64"/>
      <c r="B234" s="64"/>
      <c r="C234" s="64"/>
      <c r="D234" s="64"/>
      <c r="E234" s="65"/>
      <c r="F234" s="64"/>
      <c r="G234" s="67"/>
      <c r="H234" s="64"/>
      <c r="I234" s="64"/>
      <c r="J234" s="64"/>
      <c r="K234" s="64"/>
      <c r="L234" s="65"/>
      <c r="M234" s="64"/>
      <c r="N234" s="64"/>
      <c r="O234" s="64"/>
      <c r="P234" s="64"/>
      <c r="Q234" s="64"/>
      <c r="R234" s="64"/>
      <c r="S234" s="64"/>
      <c r="T234" s="65"/>
      <c r="U234" s="64"/>
      <c r="V234" s="64"/>
      <c r="W234" s="64"/>
      <c r="X234" s="64"/>
      <c r="Y234" s="64"/>
      <c r="Z234" s="64"/>
      <c r="AA234" s="64"/>
      <c r="AB234" s="64"/>
      <c r="AC234" s="64"/>
      <c r="AD234" s="64"/>
      <c r="AE234" s="64"/>
      <c r="AF234" s="64"/>
      <c r="AG234" s="64"/>
    </row>
    <row r="235">
      <c r="A235" s="64"/>
      <c r="B235" s="64"/>
      <c r="C235" s="64"/>
      <c r="D235" s="64"/>
      <c r="E235" s="65"/>
      <c r="F235" s="64"/>
      <c r="G235" s="67"/>
      <c r="H235" s="64"/>
      <c r="I235" s="64"/>
      <c r="J235" s="64"/>
      <c r="K235" s="64"/>
      <c r="L235" s="65"/>
      <c r="M235" s="64"/>
      <c r="N235" s="64"/>
      <c r="O235" s="64"/>
      <c r="P235" s="64"/>
      <c r="Q235" s="64"/>
      <c r="R235" s="64"/>
      <c r="S235" s="64"/>
      <c r="T235" s="65"/>
      <c r="U235" s="64"/>
      <c r="V235" s="64"/>
      <c r="W235" s="64"/>
      <c r="X235" s="64"/>
      <c r="Y235" s="64"/>
      <c r="Z235" s="64"/>
      <c r="AA235" s="64"/>
      <c r="AB235" s="64"/>
      <c r="AC235" s="64"/>
      <c r="AD235" s="64"/>
      <c r="AE235" s="64"/>
      <c r="AF235" s="64"/>
      <c r="AG235" s="64"/>
    </row>
    <row r="236">
      <c r="A236" s="64"/>
      <c r="B236" s="64"/>
      <c r="C236" s="64"/>
      <c r="D236" s="64"/>
      <c r="E236" s="65"/>
      <c r="F236" s="64"/>
      <c r="G236" s="67"/>
      <c r="H236" s="64"/>
      <c r="I236" s="64"/>
      <c r="J236" s="64"/>
      <c r="K236" s="64"/>
      <c r="L236" s="65"/>
      <c r="M236" s="64"/>
      <c r="N236" s="64"/>
      <c r="O236" s="64"/>
      <c r="P236" s="64"/>
      <c r="Q236" s="64"/>
      <c r="R236" s="64"/>
      <c r="S236" s="64"/>
      <c r="T236" s="65"/>
      <c r="U236" s="64"/>
      <c r="V236" s="64"/>
      <c r="W236" s="64"/>
      <c r="X236" s="64"/>
      <c r="Y236" s="64"/>
      <c r="Z236" s="64"/>
      <c r="AA236" s="64"/>
      <c r="AB236" s="64"/>
      <c r="AC236" s="64"/>
      <c r="AD236" s="64"/>
      <c r="AE236" s="64"/>
      <c r="AF236" s="64"/>
      <c r="AG236" s="64"/>
    </row>
    <row r="237">
      <c r="A237" s="64"/>
      <c r="B237" s="64"/>
      <c r="C237" s="64"/>
      <c r="D237" s="64"/>
      <c r="E237" s="65"/>
      <c r="F237" s="64"/>
      <c r="G237" s="67"/>
      <c r="H237" s="64"/>
      <c r="I237" s="64"/>
      <c r="J237" s="64"/>
      <c r="K237" s="64"/>
      <c r="L237" s="65"/>
      <c r="M237" s="64"/>
      <c r="N237" s="64"/>
      <c r="O237" s="64"/>
      <c r="P237" s="64"/>
      <c r="Q237" s="64"/>
      <c r="R237" s="64"/>
      <c r="S237" s="64"/>
      <c r="T237" s="65"/>
      <c r="U237" s="64"/>
      <c r="V237" s="64"/>
      <c r="W237" s="64"/>
      <c r="X237" s="64"/>
      <c r="Y237" s="64"/>
      <c r="Z237" s="64"/>
      <c r="AA237" s="64"/>
      <c r="AB237" s="64"/>
      <c r="AC237" s="64"/>
      <c r="AD237" s="64"/>
      <c r="AE237" s="64"/>
      <c r="AF237" s="64"/>
      <c r="AG237" s="64"/>
    </row>
    <row r="238">
      <c r="A238" s="64"/>
      <c r="B238" s="64"/>
      <c r="C238" s="64"/>
      <c r="D238" s="64"/>
      <c r="E238" s="65"/>
      <c r="F238" s="64"/>
      <c r="G238" s="67"/>
      <c r="H238" s="64"/>
      <c r="I238" s="64"/>
      <c r="J238" s="64"/>
      <c r="K238" s="64"/>
      <c r="L238" s="65"/>
      <c r="M238" s="64"/>
      <c r="N238" s="64"/>
      <c r="O238" s="64"/>
      <c r="P238" s="64"/>
      <c r="Q238" s="64"/>
      <c r="R238" s="64"/>
      <c r="S238" s="64"/>
      <c r="T238" s="65"/>
      <c r="U238" s="64"/>
      <c r="V238" s="64"/>
      <c r="W238" s="64"/>
      <c r="X238" s="64"/>
      <c r="Y238" s="64"/>
      <c r="Z238" s="64"/>
      <c r="AA238" s="64"/>
      <c r="AB238" s="64"/>
      <c r="AC238" s="64"/>
      <c r="AD238" s="64"/>
      <c r="AE238" s="64"/>
      <c r="AF238" s="64"/>
      <c r="AG238" s="64"/>
    </row>
    <row r="239">
      <c r="A239" s="64"/>
      <c r="B239" s="64"/>
      <c r="C239" s="64"/>
      <c r="D239" s="64"/>
      <c r="E239" s="65"/>
      <c r="F239" s="64"/>
      <c r="G239" s="67"/>
      <c r="H239" s="64"/>
      <c r="I239" s="64"/>
      <c r="J239" s="64"/>
      <c r="K239" s="64"/>
      <c r="L239" s="65"/>
      <c r="M239" s="64"/>
      <c r="N239" s="64"/>
      <c r="O239" s="64"/>
      <c r="P239" s="64"/>
      <c r="Q239" s="64"/>
      <c r="R239" s="64"/>
      <c r="S239" s="64"/>
      <c r="T239" s="65"/>
      <c r="U239" s="64"/>
      <c r="V239" s="64"/>
      <c r="W239" s="64"/>
      <c r="X239" s="64"/>
      <c r="Y239" s="64"/>
      <c r="Z239" s="64"/>
      <c r="AA239" s="64"/>
      <c r="AB239" s="64"/>
      <c r="AC239" s="64"/>
      <c r="AD239" s="64"/>
      <c r="AE239" s="64"/>
      <c r="AF239" s="64"/>
      <c r="AG239" s="64"/>
    </row>
    <row r="240">
      <c r="A240" s="64"/>
      <c r="B240" s="64"/>
      <c r="C240" s="64"/>
      <c r="D240" s="64"/>
      <c r="E240" s="65"/>
      <c r="F240" s="64"/>
      <c r="G240" s="67"/>
      <c r="H240" s="64"/>
      <c r="I240" s="64"/>
      <c r="J240" s="64"/>
      <c r="K240" s="64"/>
      <c r="L240" s="65"/>
      <c r="M240" s="64"/>
      <c r="N240" s="64"/>
      <c r="O240" s="64"/>
      <c r="P240" s="64"/>
      <c r="Q240" s="64"/>
      <c r="R240" s="64"/>
      <c r="S240" s="64"/>
      <c r="T240" s="65"/>
      <c r="U240" s="64"/>
      <c r="V240" s="64"/>
      <c r="W240" s="64"/>
      <c r="X240" s="64"/>
      <c r="Y240" s="64"/>
      <c r="Z240" s="64"/>
      <c r="AA240" s="64"/>
      <c r="AB240" s="64"/>
      <c r="AC240" s="64"/>
      <c r="AD240" s="64"/>
      <c r="AE240" s="64"/>
      <c r="AF240" s="64"/>
      <c r="AG240" s="64"/>
    </row>
    <row r="241">
      <c r="A241" s="64"/>
      <c r="B241" s="64"/>
      <c r="C241" s="64"/>
      <c r="D241" s="64"/>
      <c r="E241" s="65"/>
      <c r="F241" s="64"/>
      <c r="G241" s="67"/>
      <c r="H241" s="64"/>
      <c r="I241" s="64"/>
      <c r="J241" s="64"/>
      <c r="K241" s="64"/>
      <c r="L241" s="65"/>
      <c r="M241" s="64"/>
      <c r="N241" s="64"/>
      <c r="O241" s="64"/>
      <c r="P241" s="64"/>
      <c r="Q241" s="64"/>
      <c r="R241" s="64"/>
      <c r="S241" s="64"/>
      <c r="T241" s="65"/>
      <c r="U241" s="64"/>
      <c r="V241" s="64"/>
      <c r="W241" s="64"/>
      <c r="X241" s="64"/>
      <c r="Y241" s="64"/>
      <c r="Z241" s="64"/>
      <c r="AA241" s="64"/>
      <c r="AB241" s="64"/>
      <c r="AC241" s="64"/>
      <c r="AD241" s="64"/>
      <c r="AE241" s="64"/>
      <c r="AF241" s="64"/>
      <c r="AG241" s="64"/>
    </row>
    <row r="242">
      <c r="A242" s="64"/>
      <c r="B242" s="64"/>
      <c r="C242" s="64"/>
      <c r="D242" s="64"/>
      <c r="E242" s="65"/>
      <c r="F242" s="64"/>
      <c r="G242" s="67"/>
      <c r="H242" s="64"/>
      <c r="I242" s="64"/>
      <c r="J242" s="64"/>
      <c r="K242" s="64"/>
      <c r="L242" s="65"/>
      <c r="M242" s="64"/>
      <c r="N242" s="64"/>
      <c r="O242" s="64"/>
      <c r="P242" s="64"/>
      <c r="Q242" s="64"/>
      <c r="R242" s="64"/>
      <c r="S242" s="64"/>
      <c r="T242" s="65"/>
      <c r="U242" s="64"/>
      <c r="V242" s="64"/>
      <c r="W242" s="64"/>
      <c r="X242" s="64"/>
      <c r="Y242" s="64"/>
      <c r="Z242" s="64"/>
      <c r="AA242" s="64"/>
      <c r="AB242" s="64"/>
      <c r="AC242" s="64"/>
      <c r="AD242" s="64"/>
      <c r="AE242" s="64"/>
      <c r="AF242" s="64"/>
      <c r="AG242" s="64"/>
    </row>
    <row r="243">
      <c r="A243" s="64"/>
      <c r="B243" s="64"/>
      <c r="C243" s="64"/>
      <c r="D243" s="64"/>
      <c r="E243" s="65"/>
      <c r="F243" s="64"/>
      <c r="G243" s="67"/>
      <c r="H243" s="64"/>
      <c r="I243" s="64"/>
      <c r="J243" s="64"/>
      <c r="K243" s="64"/>
      <c r="L243" s="65"/>
      <c r="M243" s="64"/>
      <c r="N243" s="64"/>
      <c r="O243" s="64"/>
      <c r="P243" s="64"/>
      <c r="Q243" s="64"/>
      <c r="R243" s="64"/>
      <c r="S243" s="64"/>
      <c r="T243" s="65"/>
      <c r="U243" s="64"/>
      <c r="V243" s="64"/>
      <c r="W243" s="64"/>
      <c r="X243" s="64"/>
      <c r="Y243" s="64"/>
      <c r="Z243" s="64"/>
      <c r="AA243" s="64"/>
      <c r="AB243" s="64"/>
      <c r="AC243" s="64"/>
      <c r="AD243" s="64"/>
      <c r="AE243" s="64"/>
      <c r="AF243" s="64"/>
      <c r="AG243" s="64"/>
    </row>
    <row r="244">
      <c r="A244" s="64"/>
      <c r="B244" s="64"/>
      <c r="C244" s="64"/>
      <c r="D244" s="64"/>
      <c r="E244" s="65"/>
      <c r="F244" s="64"/>
      <c r="G244" s="67"/>
      <c r="H244" s="64"/>
      <c r="I244" s="64"/>
      <c r="J244" s="64"/>
      <c r="K244" s="64"/>
      <c r="L244" s="65"/>
      <c r="M244" s="64"/>
      <c r="N244" s="64"/>
      <c r="O244" s="64"/>
      <c r="P244" s="64"/>
      <c r="Q244" s="64"/>
      <c r="R244" s="64"/>
      <c r="S244" s="64"/>
      <c r="T244" s="65"/>
      <c r="U244" s="64"/>
      <c r="V244" s="64"/>
      <c r="W244" s="64"/>
      <c r="X244" s="64"/>
      <c r="Y244" s="64"/>
      <c r="Z244" s="64"/>
      <c r="AA244" s="64"/>
      <c r="AB244" s="64"/>
      <c r="AC244" s="64"/>
      <c r="AD244" s="64"/>
      <c r="AE244" s="64"/>
      <c r="AF244" s="64"/>
      <c r="AG244" s="64"/>
    </row>
    <row r="245">
      <c r="A245" s="64"/>
      <c r="B245" s="64"/>
      <c r="C245" s="64"/>
      <c r="D245" s="64"/>
      <c r="E245" s="65"/>
      <c r="F245" s="64"/>
      <c r="G245" s="67"/>
      <c r="H245" s="64"/>
      <c r="I245" s="64"/>
      <c r="J245" s="64"/>
      <c r="K245" s="64"/>
      <c r="L245" s="65"/>
      <c r="M245" s="64"/>
      <c r="N245" s="64"/>
      <c r="O245" s="64"/>
      <c r="P245" s="64"/>
      <c r="Q245" s="64"/>
      <c r="R245" s="64"/>
      <c r="S245" s="64"/>
      <c r="T245" s="65"/>
      <c r="U245" s="64"/>
      <c r="V245" s="64"/>
      <c r="W245" s="64"/>
      <c r="X245" s="64"/>
      <c r="Y245" s="64"/>
      <c r="Z245" s="64"/>
      <c r="AA245" s="64"/>
      <c r="AB245" s="64"/>
      <c r="AC245" s="64"/>
      <c r="AD245" s="64"/>
      <c r="AE245" s="64"/>
      <c r="AF245" s="64"/>
      <c r="AG245" s="64"/>
    </row>
    <row r="246">
      <c r="A246" s="64"/>
      <c r="B246" s="64"/>
      <c r="C246" s="64"/>
      <c r="D246" s="64"/>
      <c r="E246" s="65"/>
      <c r="F246" s="64"/>
      <c r="G246" s="67"/>
      <c r="H246" s="64"/>
      <c r="I246" s="64"/>
      <c r="J246" s="64"/>
      <c r="K246" s="64"/>
      <c r="L246" s="65"/>
      <c r="M246" s="64"/>
      <c r="N246" s="64"/>
      <c r="O246" s="64"/>
      <c r="P246" s="64"/>
      <c r="Q246" s="64"/>
      <c r="R246" s="64"/>
      <c r="S246" s="64"/>
      <c r="T246" s="65"/>
      <c r="U246" s="64"/>
      <c r="V246" s="64"/>
      <c r="W246" s="64"/>
      <c r="X246" s="64"/>
      <c r="Y246" s="64"/>
      <c r="Z246" s="64"/>
      <c r="AA246" s="64"/>
      <c r="AB246" s="64"/>
      <c r="AC246" s="64"/>
      <c r="AD246" s="64"/>
      <c r="AE246" s="64"/>
      <c r="AF246" s="64"/>
      <c r="AG246" s="64"/>
    </row>
    <row r="247">
      <c r="A247" s="64"/>
      <c r="B247" s="64"/>
      <c r="C247" s="64"/>
      <c r="D247" s="64"/>
      <c r="E247" s="65"/>
      <c r="F247" s="64"/>
      <c r="G247" s="67"/>
      <c r="H247" s="64"/>
      <c r="I247" s="64"/>
      <c r="J247" s="64"/>
      <c r="K247" s="64"/>
      <c r="L247" s="65"/>
      <c r="M247" s="64"/>
      <c r="N247" s="64"/>
      <c r="O247" s="64"/>
      <c r="P247" s="64"/>
      <c r="Q247" s="64"/>
      <c r="R247" s="64"/>
      <c r="S247" s="64"/>
      <c r="T247" s="65"/>
      <c r="U247" s="64"/>
      <c r="V247" s="64"/>
      <c r="W247" s="64"/>
      <c r="X247" s="64"/>
      <c r="Y247" s="64"/>
      <c r="Z247" s="64"/>
      <c r="AA247" s="64"/>
      <c r="AB247" s="64"/>
      <c r="AC247" s="64"/>
      <c r="AD247" s="64"/>
      <c r="AE247" s="64"/>
      <c r="AF247" s="64"/>
      <c r="AG247" s="64"/>
    </row>
    <row r="248">
      <c r="A248" s="64"/>
      <c r="B248" s="64"/>
      <c r="C248" s="64"/>
      <c r="D248" s="64"/>
      <c r="E248" s="65"/>
      <c r="F248" s="64"/>
      <c r="G248" s="67"/>
      <c r="H248" s="64"/>
      <c r="I248" s="64"/>
      <c r="J248" s="64"/>
      <c r="K248" s="64"/>
      <c r="L248" s="65"/>
      <c r="M248" s="64"/>
      <c r="N248" s="64"/>
      <c r="O248" s="64"/>
      <c r="P248" s="64"/>
      <c r="Q248" s="64"/>
      <c r="R248" s="64"/>
      <c r="S248" s="64"/>
      <c r="T248" s="65"/>
      <c r="U248" s="64"/>
      <c r="V248" s="64"/>
      <c r="W248" s="64"/>
      <c r="X248" s="64"/>
      <c r="Y248" s="64"/>
      <c r="Z248" s="64"/>
      <c r="AA248" s="64"/>
      <c r="AB248" s="64"/>
      <c r="AC248" s="64"/>
      <c r="AD248" s="64"/>
      <c r="AE248" s="64"/>
      <c r="AF248" s="64"/>
      <c r="AG248" s="64"/>
    </row>
    <row r="249">
      <c r="A249" s="64"/>
      <c r="B249" s="64"/>
      <c r="C249" s="64"/>
      <c r="D249" s="64"/>
      <c r="E249" s="65"/>
      <c r="F249" s="64"/>
      <c r="G249" s="67"/>
      <c r="H249" s="64"/>
      <c r="I249" s="64"/>
      <c r="J249" s="64"/>
      <c r="K249" s="64"/>
      <c r="L249" s="65"/>
      <c r="M249" s="64"/>
      <c r="N249" s="64"/>
      <c r="O249" s="64"/>
      <c r="P249" s="64"/>
      <c r="Q249" s="64"/>
      <c r="R249" s="64"/>
      <c r="S249" s="64"/>
      <c r="T249" s="65"/>
      <c r="U249" s="64"/>
      <c r="V249" s="64"/>
      <c r="W249" s="64"/>
      <c r="X249" s="64"/>
      <c r="Y249" s="64"/>
      <c r="Z249" s="64"/>
      <c r="AA249" s="64"/>
      <c r="AB249" s="64"/>
      <c r="AC249" s="64"/>
      <c r="AD249" s="64"/>
      <c r="AE249" s="64"/>
      <c r="AF249" s="64"/>
      <c r="AG249" s="64"/>
    </row>
    <row r="250">
      <c r="A250" s="64"/>
      <c r="B250" s="64"/>
      <c r="C250" s="64"/>
      <c r="D250" s="64"/>
      <c r="E250" s="65"/>
      <c r="F250" s="64"/>
      <c r="G250" s="67"/>
      <c r="H250" s="64"/>
      <c r="I250" s="64"/>
      <c r="J250" s="64"/>
      <c r="K250" s="64"/>
      <c r="L250" s="65"/>
      <c r="M250" s="64"/>
      <c r="N250" s="64"/>
      <c r="O250" s="64"/>
      <c r="P250" s="64"/>
      <c r="Q250" s="64"/>
      <c r="R250" s="64"/>
      <c r="S250" s="64"/>
      <c r="T250" s="65"/>
      <c r="U250" s="64"/>
      <c r="V250" s="64"/>
      <c r="W250" s="64"/>
      <c r="X250" s="64"/>
      <c r="Y250" s="64"/>
      <c r="Z250" s="64"/>
      <c r="AA250" s="64"/>
      <c r="AB250" s="64"/>
      <c r="AC250" s="64"/>
      <c r="AD250" s="64"/>
      <c r="AE250" s="64"/>
      <c r="AF250" s="64"/>
      <c r="AG250" s="64"/>
    </row>
    <row r="251">
      <c r="A251" s="64"/>
      <c r="B251" s="64"/>
      <c r="C251" s="64"/>
      <c r="D251" s="64"/>
      <c r="E251" s="65"/>
      <c r="F251" s="64"/>
      <c r="G251" s="67"/>
      <c r="H251" s="64"/>
      <c r="I251" s="64"/>
      <c r="J251" s="64"/>
      <c r="K251" s="64"/>
      <c r="L251" s="65"/>
      <c r="M251" s="64"/>
      <c r="N251" s="64"/>
      <c r="O251" s="64"/>
      <c r="P251" s="64"/>
      <c r="Q251" s="64"/>
      <c r="R251" s="64"/>
      <c r="S251" s="64"/>
      <c r="T251" s="65"/>
      <c r="U251" s="64"/>
      <c r="V251" s="64"/>
      <c r="W251" s="64"/>
      <c r="X251" s="64"/>
      <c r="Y251" s="64"/>
      <c r="Z251" s="64"/>
      <c r="AA251" s="64"/>
      <c r="AB251" s="64"/>
      <c r="AC251" s="64"/>
      <c r="AD251" s="64"/>
      <c r="AE251" s="64"/>
      <c r="AF251" s="64"/>
      <c r="AG251" s="64"/>
    </row>
    <row r="252">
      <c r="A252" s="64"/>
      <c r="B252" s="64"/>
      <c r="C252" s="64"/>
      <c r="D252" s="64"/>
      <c r="E252" s="65"/>
      <c r="F252" s="64"/>
      <c r="G252" s="67"/>
      <c r="H252" s="64"/>
      <c r="I252" s="64"/>
      <c r="J252" s="64"/>
      <c r="K252" s="64"/>
      <c r="L252" s="65"/>
      <c r="M252" s="64"/>
      <c r="N252" s="64"/>
      <c r="O252" s="64"/>
      <c r="P252" s="64"/>
      <c r="Q252" s="64"/>
      <c r="R252" s="64"/>
      <c r="S252" s="64"/>
      <c r="T252" s="65"/>
      <c r="U252" s="64"/>
      <c r="V252" s="64"/>
      <c r="W252" s="64"/>
      <c r="X252" s="64"/>
      <c r="Y252" s="64"/>
      <c r="Z252" s="64"/>
      <c r="AA252" s="64"/>
      <c r="AB252" s="64"/>
      <c r="AC252" s="64"/>
      <c r="AD252" s="64"/>
      <c r="AE252" s="64"/>
      <c r="AF252" s="64"/>
      <c r="AG252" s="64"/>
    </row>
    <row r="253">
      <c r="A253" s="64"/>
      <c r="B253" s="64"/>
      <c r="C253" s="64"/>
      <c r="D253" s="64"/>
      <c r="E253" s="65"/>
      <c r="F253" s="64"/>
      <c r="G253" s="67"/>
      <c r="H253" s="64"/>
      <c r="I253" s="64"/>
      <c r="J253" s="64"/>
      <c r="K253" s="64"/>
      <c r="L253" s="65"/>
      <c r="M253" s="64"/>
      <c r="N253" s="64"/>
      <c r="O253" s="64"/>
      <c r="P253" s="64"/>
      <c r="Q253" s="64"/>
      <c r="R253" s="64"/>
      <c r="S253" s="64"/>
      <c r="T253" s="65"/>
      <c r="U253" s="64"/>
      <c r="V253" s="64"/>
      <c r="W253" s="64"/>
      <c r="X253" s="64"/>
      <c r="Y253" s="64"/>
      <c r="Z253" s="64"/>
      <c r="AA253" s="64"/>
      <c r="AB253" s="64"/>
      <c r="AC253" s="64"/>
      <c r="AD253" s="64"/>
      <c r="AE253" s="64"/>
      <c r="AF253" s="64"/>
      <c r="AG253" s="64"/>
    </row>
    <row r="254">
      <c r="A254" s="64"/>
      <c r="B254" s="64"/>
      <c r="C254" s="64"/>
      <c r="D254" s="64"/>
      <c r="E254" s="65"/>
      <c r="F254" s="64"/>
      <c r="G254" s="67"/>
      <c r="H254" s="64"/>
      <c r="I254" s="64"/>
      <c r="J254" s="64"/>
      <c r="K254" s="64"/>
      <c r="L254" s="65"/>
      <c r="M254" s="64"/>
      <c r="N254" s="64"/>
      <c r="O254" s="64"/>
      <c r="P254" s="64"/>
      <c r="Q254" s="64"/>
      <c r="R254" s="64"/>
      <c r="S254" s="64"/>
      <c r="T254" s="65"/>
      <c r="U254" s="64"/>
      <c r="V254" s="64"/>
      <c r="W254" s="64"/>
      <c r="X254" s="64"/>
      <c r="Y254" s="64"/>
      <c r="Z254" s="64"/>
      <c r="AA254" s="64"/>
      <c r="AB254" s="64"/>
      <c r="AC254" s="64"/>
      <c r="AD254" s="64"/>
      <c r="AE254" s="64"/>
      <c r="AF254" s="64"/>
      <c r="AG254" s="64"/>
    </row>
    <row r="255">
      <c r="A255" s="64"/>
      <c r="B255" s="64"/>
      <c r="C255" s="64"/>
      <c r="D255" s="64"/>
      <c r="E255" s="65"/>
      <c r="F255" s="64"/>
      <c r="G255" s="67"/>
      <c r="H255" s="64"/>
      <c r="I255" s="64"/>
      <c r="J255" s="64"/>
      <c r="K255" s="64"/>
      <c r="L255" s="65"/>
      <c r="M255" s="64"/>
      <c r="N255" s="64"/>
      <c r="O255" s="64"/>
      <c r="P255" s="64"/>
      <c r="Q255" s="64"/>
      <c r="R255" s="64"/>
      <c r="S255" s="64"/>
      <c r="T255" s="65"/>
      <c r="U255" s="64"/>
      <c r="V255" s="64"/>
      <c r="W255" s="64"/>
      <c r="X255" s="64"/>
      <c r="Y255" s="64"/>
      <c r="Z255" s="64"/>
      <c r="AA255" s="64"/>
      <c r="AB255" s="64"/>
      <c r="AC255" s="64"/>
      <c r="AD255" s="64"/>
      <c r="AE255" s="64"/>
      <c r="AF255" s="64"/>
      <c r="AG255" s="64"/>
    </row>
    <row r="256">
      <c r="A256" s="64"/>
      <c r="B256" s="64"/>
      <c r="C256" s="64"/>
      <c r="D256" s="64"/>
      <c r="E256" s="65"/>
      <c r="F256" s="64"/>
      <c r="G256" s="67"/>
      <c r="H256" s="64"/>
      <c r="I256" s="64"/>
      <c r="J256" s="64"/>
      <c r="K256" s="64"/>
      <c r="L256" s="65"/>
      <c r="M256" s="64"/>
      <c r="N256" s="64"/>
      <c r="O256" s="64"/>
      <c r="P256" s="64"/>
      <c r="Q256" s="64"/>
      <c r="R256" s="64"/>
      <c r="S256" s="64"/>
      <c r="T256" s="65"/>
      <c r="U256" s="64"/>
      <c r="V256" s="64"/>
      <c r="W256" s="64"/>
      <c r="X256" s="64"/>
      <c r="Y256" s="64"/>
      <c r="Z256" s="64"/>
      <c r="AA256" s="64"/>
      <c r="AB256" s="64"/>
      <c r="AC256" s="64"/>
      <c r="AD256" s="64"/>
      <c r="AE256" s="64"/>
      <c r="AF256" s="64"/>
      <c r="AG256" s="64"/>
    </row>
    <row r="257">
      <c r="A257" s="64"/>
      <c r="B257" s="64"/>
      <c r="C257" s="64"/>
      <c r="D257" s="64"/>
      <c r="E257" s="65"/>
      <c r="F257" s="64"/>
      <c r="G257" s="67"/>
      <c r="H257" s="64"/>
      <c r="I257" s="64"/>
      <c r="J257" s="64"/>
      <c r="K257" s="64"/>
      <c r="L257" s="65"/>
      <c r="M257" s="64"/>
      <c r="N257" s="64"/>
      <c r="O257" s="64"/>
      <c r="P257" s="64"/>
      <c r="Q257" s="64"/>
      <c r="R257" s="64"/>
      <c r="S257" s="64"/>
      <c r="T257" s="65"/>
      <c r="U257" s="64"/>
      <c r="V257" s="64"/>
      <c r="W257" s="64"/>
      <c r="X257" s="64"/>
      <c r="Y257" s="64"/>
      <c r="Z257" s="64"/>
      <c r="AA257" s="64"/>
      <c r="AB257" s="64"/>
      <c r="AC257" s="64"/>
      <c r="AD257" s="64"/>
      <c r="AE257" s="64"/>
      <c r="AF257" s="64"/>
      <c r="AG257" s="64"/>
    </row>
    <row r="258">
      <c r="A258" s="64"/>
      <c r="B258" s="64"/>
      <c r="C258" s="64"/>
      <c r="D258" s="64"/>
      <c r="E258" s="65"/>
      <c r="F258" s="64"/>
      <c r="G258" s="67"/>
      <c r="H258" s="64"/>
      <c r="I258" s="64"/>
      <c r="J258" s="64"/>
      <c r="K258" s="64"/>
      <c r="L258" s="65"/>
      <c r="M258" s="64"/>
      <c r="N258" s="64"/>
      <c r="O258" s="64"/>
      <c r="P258" s="64"/>
      <c r="Q258" s="64"/>
      <c r="R258" s="64"/>
      <c r="S258" s="64"/>
      <c r="T258" s="65"/>
      <c r="U258" s="64"/>
      <c r="V258" s="64"/>
      <c r="W258" s="64"/>
      <c r="X258" s="64"/>
      <c r="Y258" s="64"/>
      <c r="Z258" s="64"/>
      <c r="AA258" s="64"/>
      <c r="AB258" s="64"/>
      <c r="AC258" s="64"/>
      <c r="AD258" s="64"/>
      <c r="AE258" s="64"/>
      <c r="AF258" s="64"/>
      <c r="AG258" s="64"/>
    </row>
    <row r="259">
      <c r="A259" s="64"/>
      <c r="B259" s="64"/>
      <c r="C259" s="64"/>
      <c r="D259" s="64"/>
      <c r="E259" s="65"/>
      <c r="F259" s="64"/>
      <c r="G259" s="67"/>
      <c r="H259" s="64"/>
      <c r="I259" s="64"/>
      <c r="J259" s="64"/>
      <c r="K259" s="64"/>
      <c r="L259" s="65"/>
      <c r="M259" s="64"/>
      <c r="N259" s="64"/>
      <c r="O259" s="64"/>
      <c r="P259" s="64"/>
      <c r="Q259" s="64"/>
      <c r="R259" s="64"/>
      <c r="S259" s="64"/>
      <c r="T259" s="65"/>
      <c r="U259" s="64"/>
      <c r="V259" s="64"/>
      <c r="W259" s="64"/>
      <c r="X259" s="64"/>
      <c r="Y259" s="64"/>
      <c r="Z259" s="64"/>
      <c r="AA259" s="64"/>
      <c r="AB259" s="64"/>
      <c r="AC259" s="64"/>
      <c r="AD259" s="64"/>
      <c r="AE259" s="64"/>
      <c r="AF259" s="64"/>
      <c r="AG259" s="64"/>
    </row>
    <row r="260">
      <c r="A260" s="64"/>
      <c r="B260" s="64"/>
      <c r="C260" s="64"/>
      <c r="D260" s="64"/>
      <c r="E260" s="65"/>
      <c r="F260" s="64"/>
      <c r="G260" s="67"/>
      <c r="H260" s="64"/>
      <c r="I260" s="64"/>
      <c r="J260" s="64"/>
      <c r="K260" s="64"/>
      <c r="L260" s="65"/>
      <c r="M260" s="64"/>
      <c r="N260" s="64"/>
      <c r="O260" s="64"/>
      <c r="P260" s="64"/>
      <c r="Q260" s="64"/>
      <c r="R260" s="64"/>
      <c r="S260" s="64"/>
      <c r="T260" s="65"/>
      <c r="U260" s="64"/>
      <c r="V260" s="64"/>
      <c r="W260" s="64"/>
      <c r="X260" s="64"/>
      <c r="Y260" s="64"/>
      <c r="Z260" s="64"/>
      <c r="AA260" s="64"/>
      <c r="AB260" s="64"/>
      <c r="AC260" s="64"/>
      <c r="AD260" s="64"/>
      <c r="AE260" s="64"/>
      <c r="AF260" s="64"/>
      <c r="AG260" s="64"/>
    </row>
    <row r="261">
      <c r="A261" s="64"/>
      <c r="B261" s="64"/>
      <c r="C261" s="64"/>
      <c r="D261" s="64"/>
      <c r="E261" s="65"/>
      <c r="F261" s="64"/>
      <c r="G261" s="67"/>
      <c r="H261" s="64"/>
      <c r="I261" s="64"/>
      <c r="J261" s="64"/>
      <c r="K261" s="64"/>
      <c r="L261" s="65"/>
      <c r="M261" s="64"/>
      <c r="N261" s="64"/>
      <c r="O261" s="64"/>
      <c r="P261" s="64"/>
      <c r="Q261" s="64"/>
      <c r="R261" s="64"/>
      <c r="S261" s="64"/>
      <c r="T261" s="65"/>
      <c r="U261" s="64"/>
      <c r="V261" s="64"/>
      <c r="W261" s="64"/>
      <c r="X261" s="64"/>
      <c r="Y261" s="64"/>
      <c r="Z261" s="64"/>
      <c r="AA261" s="64"/>
      <c r="AB261" s="64"/>
      <c r="AC261" s="64"/>
      <c r="AD261" s="64"/>
      <c r="AE261" s="64"/>
      <c r="AF261" s="64"/>
      <c r="AG261" s="64"/>
    </row>
    <row r="262">
      <c r="A262" s="64"/>
      <c r="B262" s="64"/>
      <c r="C262" s="64"/>
      <c r="D262" s="64"/>
      <c r="E262" s="65"/>
      <c r="F262" s="64"/>
      <c r="G262" s="67"/>
      <c r="H262" s="64"/>
      <c r="I262" s="64"/>
      <c r="J262" s="64"/>
      <c r="K262" s="64"/>
      <c r="L262" s="65"/>
      <c r="M262" s="64"/>
      <c r="N262" s="64"/>
      <c r="O262" s="64"/>
      <c r="P262" s="64"/>
      <c r="Q262" s="64"/>
      <c r="R262" s="64"/>
      <c r="S262" s="64"/>
      <c r="T262" s="65"/>
      <c r="U262" s="64"/>
      <c r="V262" s="64"/>
      <c r="W262" s="64"/>
      <c r="X262" s="64"/>
      <c r="Y262" s="64"/>
      <c r="Z262" s="64"/>
      <c r="AA262" s="64"/>
      <c r="AB262" s="64"/>
      <c r="AC262" s="64"/>
      <c r="AD262" s="64"/>
      <c r="AE262" s="64"/>
      <c r="AF262" s="64"/>
      <c r="AG262" s="64"/>
    </row>
    <row r="263">
      <c r="A263" s="64"/>
      <c r="B263" s="64"/>
      <c r="C263" s="64"/>
      <c r="D263" s="64"/>
      <c r="E263" s="65"/>
      <c r="F263" s="64"/>
      <c r="G263" s="67"/>
      <c r="H263" s="64"/>
      <c r="I263" s="64"/>
      <c r="J263" s="64"/>
      <c r="K263" s="64"/>
      <c r="L263" s="65"/>
      <c r="M263" s="64"/>
      <c r="N263" s="64"/>
      <c r="O263" s="64"/>
      <c r="P263" s="64"/>
      <c r="Q263" s="64"/>
      <c r="R263" s="64"/>
      <c r="S263" s="64"/>
      <c r="T263" s="65"/>
      <c r="U263" s="64"/>
      <c r="V263" s="64"/>
      <c r="W263" s="64"/>
      <c r="X263" s="64"/>
      <c r="Y263" s="64"/>
      <c r="Z263" s="64"/>
      <c r="AA263" s="64"/>
      <c r="AB263" s="64"/>
      <c r="AC263" s="64"/>
      <c r="AD263" s="64"/>
      <c r="AE263" s="64"/>
      <c r="AF263" s="64"/>
      <c r="AG263" s="64"/>
    </row>
    <row r="264">
      <c r="A264" s="64"/>
      <c r="B264" s="64"/>
      <c r="C264" s="64"/>
      <c r="D264" s="64"/>
      <c r="E264" s="65"/>
      <c r="F264" s="64"/>
      <c r="G264" s="67"/>
      <c r="H264" s="64"/>
      <c r="I264" s="64"/>
      <c r="J264" s="64"/>
      <c r="K264" s="64"/>
      <c r="L264" s="65"/>
      <c r="M264" s="64"/>
      <c r="N264" s="64"/>
      <c r="O264" s="64"/>
      <c r="P264" s="64"/>
      <c r="Q264" s="64"/>
      <c r="R264" s="64"/>
      <c r="S264" s="64"/>
      <c r="T264" s="65"/>
      <c r="U264" s="64"/>
      <c r="V264" s="64"/>
      <c r="W264" s="64"/>
      <c r="X264" s="64"/>
      <c r="Y264" s="64"/>
      <c r="Z264" s="64"/>
      <c r="AA264" s="64"/>
      <c r="AB264" s="64"/>
      <c r="AC264" s="64"/>
      <c r="AD264" s="64"/>
      <c r="AE264" s="64"/>
      <c r="AF264" s="64"/>
      <c r="AG264" s="64"/>
    </row>
    <row r="265">
      <c r="A265" s="64"/>
      <c r="B265" s="64"/>
      <c r="C265" s="64"/>
      <c r="D265" s="64"/>
      <c r="E265" s="65"/>
      <c r="F265" s="64"/>
      <c r="G265" s="67"/>
      <c r="H265" s="64"/>
      <c r="I265" s="64"/>
      <c r="J265" s="64"/>
      <c r="K265" s="64"/>
      <c r="L265" s="65"/>
      <c r="M265" s="64"/>
      <c r="N265" s="64"/>
      <c r="O265" s="64"/>
      <c r="P265" s="64"/>
      <c r="Q265" s="64"/>
      <c r="R265" s="64"/>
      <c r="S265" s="64"/>
      <c r="T265" s="65"/>
      <c r="U265" s="64"/>
      <c r="V265" s="64"/>
      <c r="W265" s="64"/>
      <c r="X265" s="64"/>
      <c r="Y265" s="64"/>
      <c r="Z265" s="64"/>
      <c r="AA265" s="64"/>
      <c r="AB265" s="64"/>
      <c r="AC265" s="64"/>
      <c r="AD265" s="64"/>
      <c r="AE265" s="64"/>
      <c r="AF265" s="64"/>
      <c r="AG265" s="64"/>
    </row>
    <row r="266">
      <c r="A266" s="64"/>
      <c r="B266" s="64"/>
      <c r="C266" s="64"/>
      <c r="D266" s="64"/>
      <c r="E266" s="65"/>
      <c r="F266" s="64"/>
      <c r="G266" s="67"/>
      <c r="H266" s="64"/>
      <c r="I266" s="64"/>
      <c r="J266" s="64"/>
      <c r="K266" s="64"/>
      <c r="L266" s="65"/>
      <c r="M266" s="64"/>
      <c r="N266" s="64"/>
      <c r="O266" s="64"/>
      <c r="P266" s="64"/>
      <c r="Q266" s="64"/>
      <c r="R266" s="64"/>
      <c r="S266" s="64"/>
      <c r="T266" s="65"/>
      <c r="U266" s="64"/>
      <c r="V266" s="64"/>
      <c r="W266" s="64"/>
      <c r="X266" s="64"/>
      <c r="Y266" s="64"/>
      <c r="Z266" s="64"/>
      <c r="AA266" s="64"/>
      <c r="AB266" s="64"/>
      <c r="AC266" s="64"/>
      <c r="AD266" s="64"/>
      <c r="AE266" s="64"/>
      <c r="AF266" s="64"/>
      <c r="AG266" s="64"/>
    </row>
    <row r="267">
      <c r="A267" s="64"/>
      <c r="B267" s="64"/>
      <c r="C267" s="64"/>
      <c r="D267" s="64"/>
      <c r="E267" s="65"/>
      <c r="F267" s="64"/>
      <c r="G267" s="67"/>
      <c r="H267" s="64"/>
      <c r="I267" s="64"/>
      <c r="J267" s="64"/>
      <c r="K267" s="64"/>
      <c r="L267" s="65"/>
      <c r="M267" s="64"/>
      <c r="N267" s="64"/>
      <c r="O267" s="64"/>
      <c r="P267" s="64"/>
      <c r="Q267" s="64"/>
      <c r="R267" s="64"/>
      <c r="S267" s="64"/>
      <c r="T267" s="65"/>
      <c r="U267" s="64"/>
      <c r="V267" s="64"/>
      <c r="W267" s="64"/>
      <c r="X267" s="64"/>
      <c r="Y267" s="64"/>
      <c r="Z267" s="64"/>
      <c r="AA267" s="64"/>
      <c r="AB267" s="64"/>
      <c r="AC267" s="64"/>
      <c r="AD267" s="64"/>
      <c r="AE267" s="64"/>
      <c r="AF267" s="64"/>
      <c r="AG267" s="64"/>
    </row>
    <row r="268">
      <c r="A268" s="64"/>
      <c r="B268" s="64"/>
      <c r="C268" s="64"/>
      <c r="D268" s="64"/>
      <c r="E268" s="65"/>
      <c r="F268" s="64"/>
      <c r="G268" s="67"/>
      <c r="H268" s="64"/>
      <c r="I268" s="64"/>
      <c r="J268" s="64"/>
      <c r="K268" s="64"/>
      <c r="L268" s="65"/>
      <c r="M268" s="64"/>
      <c r="N268" s="64"/>
      <c r="O268" s="64"/>
      <c r="P268" s="64"/>
      <c r="Q268" s="64"/>
      <c r="R268" s="64"/>
      <c r="S268" s="64"/>
      <c r="T268" s="65"/>
      <c r="U268" s="64"/>
      <c r="V268" s="64"/>
      <c r="W268" s="64"/>
      <c r="X268" s="64"/>
      <c r="Y268" s="64"/>
      <c r="Z268" s="64"/>
      <c r="AA268" s="64"/>
      <c r="AB268" s="64"/>
      <c r="AC268" s="64"/>
      <c r="AD268" s="64"/>
      <c r="AE268" s="64"/>
      <c r="AF268" s="64"/>
      <c r="AG268" s="64"/>
    </row>
    <row r="269">
      <c r="A269" s="64"/>
      <c r="B269" s="64"/>
      <c r="C269" s="64"/>
      <c r="D269" s="64"/>
      <c r="E269" s="65"/>
      <c r="F269" s="64"/>
      <c r="G269" s="67"/>
      <c r="H269" s="64"/>
      <c r="I269" s="64"/>
      <c r="J269" s="64"/>
      <c r="K269" s="64"/>
      <c r="L269" s="65"/>
      <c r="M269" s="64"/>
      <c r="N269" s="64"/>
      <c r="O269" s="64"/>
      <c r="P269" s="64"/>
      <c r="Q269" s="64"/>
      <c r="R269" s="64"/>
      <c r="S269" s="64"/>
      <c r="T269" s="65"/>
      <c r="U269" s="64"/>
      <c r="V269" s="64"/>
      <c r="W269" s="64"/>
      <c r="X269" s="64"/>
      <c r="Y269" s="64"/>
      <c r="Z269" s="64"/>
      <c r="AA269" s="64"/>
      <c r="AB269" s="64"/>
      <c r="AC269" s="64"/>
      <c r="AD269" s="64"/>
      <c r="AE269" s="64"/>
      <c r="AF269" s="64"/>
      <c r="AG269" s="64"/>
    </row>
    <row r="270">
      <c r="A270" s="64"/>
      <c r="B270" s="64"/>
      <c r="C270" s="64"/>
      <c r="D270" s="64"/>
      <c r="E270" s="65"/>
      <c r="F270" s="64"/>
      <c r="G270" s="67"/>
      <c r="H270" s="64"/>
      <c r="I270" s="64"/>
      <c r="J270" s="64"/>
      <c r="K270" s="64"/>
      <c r="L270" s="65"/>
      <c r="M270" s="64"/>
      <c r="N270" s="64"/>
      <c r="O270" s="64"/>
      <c r="P270" s="64"/>
      <c r="Q270" s="64"/>
      <c r="R270" s="64"/>
      <c r="S270" s="64"/>
      <c r="T270" s="65"/>
      <c r="U270" s="64"/>
      <c r="V270" s="64"/>
      <c r="W270" s="64"/>
      <c r="X270" s="64"/>
      <c r="Y270" s="64"/>
      <c r="Z270" s="64"/>
      <c r="AA270" s="64"/>
      <c r="AB270" s="64"/>
      <c r="AC270" s="64"/>
      <c r="AD270" s="64"/>
      <c r="AE270" s="64"/>
      <c r="AF270" s="64"/>
      <c r="AG270" s="64"/>
    </row>
    <row r="271">
      <c r="A271" s="64"/>
      <c r="B271" s="64"/>
      <c r="C271" s="64"/>
      <c r="D271" s="64"/>
      <c r="E271" s="65"/>
      <c r="F271" s="64"/>
      <c r="G271" s="67"/>
      <c r="H271" s="64"/>
      <c r="I271" s="64"/>
      <c r="J271" s="64"/>
      <c r="K271" s="64"/>
      <c r="L271" s="65"/>
      <c r="M271" s="64"/>
      <c r="N271" s="64"/>
      <c r="O271" s="64"/>
      <c r="P271" s="64"/>
      <c r="Q271" s="64"/>
      <c r="R271" s="64"/>
      <c r="S271" s="64"/>
      <c r="T271" s="65"/>
      <c r="U271" s="64"/>
      <c r="V271" s="64"/>
      <c r="W271" s="64"/>
      <c r="X271" s="64"/>
      <c r="Y271" s="64"/>
      <c r="Z271" s="64"/>
      <c r="AA271" s="64"/>
      <c r="AB271" s="64"/>
      <c r="AC271" s="64"/>
      <c r="AD271" s="64"/>
      <c r="AE271" s="64"/>
      <c r="AF271" s="64"/>
      <c r="AG271" s="64"/>
    </row>
    <row r="272">
      <c r="A272" s="64"/>
      <c r="B272" s="64"/>
      <c r="C272" s="64"/>
      <c r="D272" s="64"/>
      <c r="E272" s="65"/>
      <c r="F272" s="64"/>
      <c r="G272" s="67"/>
      <c r="H272" s="64"/>
      <c r="I272" s="64"/>
      <c r="J272" s="64"/>
      <c r="K272" s="64"/>
      <c r="L272" s="65"/>
      <c r="M272" s="64"/>
      <c r="N272" s="64"/>
      <c r="O272" s="64"/>
      <c r="P272" s="64"/>
      <c r="Q272" s="64"/>
      <c r="R272" s="64"/>
      <c r="S272" s="64"/>
      <c r="T272" s="65"/>
      <c r="U272" s="64"/>
      <c r="V272" s="64"/>
      <c r="W272" s="64"/>
      <c r="X272" s="64"/>
      <c r="Y272" s="64"/>
      <c r="Z272" s="64"/>
      <c r="AA272" s="64"/>
      <c r="AB272" s="64"/>
      <c r="AC272" s="64"/>
      <c r="AD272" s="64"/>
      <c r="AE272" s="64"/>
      <c r="AF272" s="64"/>
      <c r="AG272" s="64"/>
    </row>
    <row r="273">
      <c r="A273" s="64"/>
      <c r="B273" s="64"/>
      <c r="C273" s="64"/>
      <c r="D273" s="64"/>
      <c r="E273" s="65"/>
      <c r="F273" s="64"/>
      <c r="G273" s="67"/>
      <c r="H273" s="64"/>
      <c r="I273" s="64"/>
      <c r="J273" s="64"/>
      <c r="K273" s="64"/>
      <c r="L273" s="65"/>
      <c r="M273" s="64"/>
      <c r="N273" s="64"/>
      <c r="O273" s="64"/>
      <c r="P273" s="64"/>
      <c r="Q273" s="64"/>
      <c r="R273" s="64"/>
      <c r="S273" s="64"/>
      <c r="T273" s="65"/>
      <c r="U273" s="64"/>
      <c r="V273" s="64"/>
      <c r="W273" s="64"/>
      <c r="X273" s="64"/>
      <c r="Y273" s="64"/>
      <c r="Z273" s="64"/>
      <c r="AA273" s="64"/>
      <c r="AB273" s="64"/>
      <c r="AC273" s="64"/>
      <c r="AD273" s="64"/>
      <c r="AE273" s="64"/>
      <c r="AF273" s="64"/>
      <c r="AG273" s="64"/>
    </row>
    <row r="274">
      <c r="A274" s="64"/>
      <c r="B274" s="64"/>
      <c r="C274" s="64"/>
      <c r="D274" s="64"/>
      <c r="E274" s="65"/>
      <c r="F274" s="64"/>
      <c r="G274" s="67"/>
      <c r="H274" s="64"/>
      <c r="I274" s="64"/>
      <c r="J274" s="64"/>
      <c r="K274" s="64"/>
      <c r="L274" s="65"/>
      <c r="M274" s="64"/>
      <c r="N274" s="64"/>
      <c r="O274" s="64"/>
      <c r="P274" s="64"/>
      <c r="Q274" s="64"/>
      <c r="R274" s="64"/>
      <c r="S274" s="64"/>
      <c r="T274" s="65"/>
      <c r="U274" s="64"/>
      <c r="V274" s="64"/>
      <c r="W274" s="64"/>
      <c r="X274" s="64"/>
      <c r="Y274" s="64"/>
      <c r="Z274" s="64"/>
      <c r="AA274" s="64"/>
      <c r="AB274" s="64"/>
      <c r="AC274" s="64"/>
      <c r="AD274" s="64"/>
      <c r="AE274" s="64"/>
      <c r="AF274" s="64"/>
      <c r="AG274" s="64"/>
    </row>
    <row r="275">
      <c r="A275" s="64"/>
      <c r="B275" s="64"/>
      <c r="C275" s="64"/>
      <c r="D275" s="64"/>
      <c r="E275" s="65"/>
      <c r="F275" s="64"/>
      <c r="G275" s="67"/>
      <c r="H275" s="64"/>
      <c r="I275" s="64"/>
      <c r="J275" s="64"/>
      <c r="K275" s="64"/>
      <c r="L275" s="65"/>
      <c r="M275" s="64"/>
      <c r="N275" s="64"/>
      <c r="O275" s="64"/>
      <c r="P275" s="64"/>
      <c r="Q275" s="64"/>
      <c r="R275" s="64"/>
      <c r="S275" s="64"/>
      <c r="T275" s="65"/>
      <c r="U275" s="64"/>
      <c r="V275" s="64"/>
      <c r="W275" s="64"/>
      <c r="X275" s="64"/>
      <c r="Y275" s="64"/>
      <c r="Z275" s="64"/>
      <c r="AA275" s="64"/>
      <c r="AB275" s="64"/>
      <c r="AC275" s="64"/>
      <c r="AD275" s="64"/>
      <c r="AE275" s="64"/>
      <c r="AF275" s="64"/>
      <c r="AG275" s="64"/>
    </row>
    <row r="276">
      <c r="A276" s="64"/>
      <c r="B276" s="64"/>
      <c r="C276" s="64"/>
      <c r="D276" s="64"/>
      <c r="E276" s="65"/>
      <c r="F276" s="64"/>
      <c r="G276" s="67"/>
      <c r="H276" s="64"/>
      <c r="I276" s="64"/>
      <c r="J276" s="64"/>
      <c r="K276" s="64"/>
      <c r="L276" s="65"/>
      <c r="M276" s="64"/>
      <c r="N276" s="64"/>
      <c r="O276" s="64"/>
      <c r="P276" s="64"/>
      <c r="Q276" s="64"/>
      <c r="R276" s="64"/>
      <c r="S276" s="64"/>
      <c r="T276" s="65"/>
      <c r="U276" s="64"/>
      <c r="V276" s="64"/>
      <c r="W276" s="64"/>
      <c r="X276" s="64"/>
      <c r="Y276" s="64"/>
      <c r="Z276" s="64"/>
      <c r="AA276" s="64"/>
      <c r="AB276" s="64"/>
      <c r="AC276" s="64"/>
      <c r="AD276" s="64"/>
      <c r="AE276" s="64"/>
      <c r="AF276" s="64"/>
      <c r="AG276" s="64"/>
    </row>
    <row r="277">
      <c r="A277" s="64"/>
      <c r="B277" s="64"/>
      <c r="C277" s="64"/>
      <c r="D277" s="64"/>
      <c r="E277" s="65"/>
      <c r="F277" s="64"/>
      <c r="G277" s="67"/>
      <c r="H277" s="64"/>
      <c r="I277" s="64"/>
      <c r="J277" s="64"/>
      <c r="K277" s="64"/>
      <c r="L277" s="65"/>
      <c r="M277" s="64"/>
      <c r="N277" s="64"/>
      <c r="O277" s="64"/>
      <c r="P277" s="64"/>
      <c r="Q277" s="64"/>
      <c r="R277" s="64"/>
      <c r="S277" s="64"/>
      <c r="T277" s="65"/>
      <c r="U277" s="64"/>
      <c r="V277" s="64"/>
      <c r="W277" s="64"/>
      <c r="X277" s="64"/>
      <c r="Y277" s="64"/>
      <c r="Z277" s="64"/>
      <c r="AA277" s="64"/>
      <c r="AB277" s="64"/>
      <c r="AC277" s="64"/>
      <c r="AD277" s="64"/>
      <c r="AE277" s="64"/>
      <c r="AF277" s="64"/>
      <c r="AG277" s="64"/>
    </row>
    <row r="278">
      <c r="A278" s="64"/>
      <c r="B278" s="64"/>
      <c r="C278" s="64"/>
      <c r="D278" s="64"/>
      <c r="E278" s="65"/>
      <c r="F278" s="64"/>
      <c r="G278" s="67"/>
      <c r="H278" s="64"/>
      <c r="I278" s="64"/>
      <c r="J278" s="64"/>
      <c r="K278" s="64"/>
      <c r="L278" s="65"/>
      <c r="M278" s="64"/>
      <c r="N278" s="64"/>
      <c r="O278" s="64"/>
      <c r="P278" s="64"/>
      <c r="Q278" s="64"/>
      <c r="R278" s="64"/>
      <c r="S278" s="64"/>
      <c r="T278" s="65"/>
      <c r="U278" s="64"/>
      <c r="V278" s="64"/>
      <c r="W278" s="64"/>
      <c r="X278" s="64"/>
      <c r="Y278" s="64"/>
      <c r="Z278" s="64"/>
      <c r="AA278" s="64"/>
      <c r="AB278" s="64"/>
      <c r="AC278" s="64"/>
      <c r="AD278" s="64"/>
      <c r="AE278" s="64"/>
      <c r="AF278" s="64"/>
      <c r="AG278" s="64"/>
    </row>
    <row r="279">
      <c r="A279" s="64"/>
      <c r="B279" s="64"/>
      <c r="C279" s="64"/>
      <c r="D279" s="64"/>
      <c r="E279" s="65"/>
      <c r="F279" s="64"/>
      <c r="G279" s="67"/>
      <c r="H279" s="64"/>
      <c r="I279" s="64"/>
      <c r="J279" s="64"/>
      <c r="K279" s="64"/>
      <c r="L279" s="65"/>
      <c r="M279" s="64"/>
      <c r="N279" s="64"/>
      <c r="O279" s="64"/>
      <c r="P279" s="64"/>
      <c r="Q279" s="64"/>
      <c r="R279" s="64"/>
      <c r="S279" s="64"/>
      <c r="T279" s="65"/>
      <c r="U279" s="64"/>
      <c r="V279" s="64"/>
      <c r="W279" s="64"/>
      <c r="X279" s="64"/>
      <c r="Y279" s="64"/>
      <c r="Z279" s="64"/>
      <c r="AA279" s="64"/>
      <c r="AB279" s="64"/>
      <c r="AC279" s="64"/>
      <c r="AD279" s="64"/>
      <c r="AE279" s="64"/>
      <c r="AF279" s="64"/>
      <c r="AG279" s="64"/>
    </row>
    <row r="280">
      <c r="A280" s="64"/>
      <c r="B280" s="64"/>
      <c r="C280" s="64"/>
      <c r="D280" s="64"/>
      <c r="E280" s="65"/>
      <c r="F280" s="64"/>
      <c r="G280" s="67"/>
      <c r="H280" s="64"/>
      <c r="I280" s="64"/>
      <c r="J280" s="64"/>
      <c r="K280" s="64"/>
      <c r="L280" s="65"/>
      <c r="M280" s="64"/>
      <c r="N280" s="64"/>
      <c r="O280" s="64"/>
      <c r="P280" s="64"/>
      <c r="Q280" s="64"/>
      <c r="R280" s="64"/>
      <c r="S280" s="64"/>
      <c r="T280" s="65"/>
      <c r="U280" s="64"/>
      <c r="V280" s="64"/>
      <c r="W280" s="64"/>
      <c r="X280" s="64"/>
      <c r="Y280" s="64"/>
      <c r="Z280" s="64"/>
      <c r="AA280" s="64"/>
      <c r="AB280" s="64"/>
      <c r="AC280" s="64"/>
      <c r="AD280" s="64"/>
      <c r="AE280" s="64"/>
      <c r="AF280" s="64"/>
      <c r="AG280" s="64"/>
    </row>
    <row r="281">
      <c r="A281" s="64"/>
      <c r="B281" s="64"/>
      <c r="C281" s="64"/>
      <c r="D281" s="64"/>
      <c r="E281" s="65"/>
      <c r="F281" s="64"/>
      <c r="G281" s="67"/>
      <c r="H281" s="64"/>
      <c r="I281" s="64"/>
      <c r="J281" s="64"/>
      <c r="K281" s="64"/>
      <c r="L281" s="65"/>
      <c r="M281" s="64"/>
      <c r="N281" s="64"/>
      <c r="O281" s="64"/>
      <c r="P281" s="64"/>
      <c r="Q281" s="64"/>
      <c r="R281" s="64"/>
      <c r="S281" s="64"/>
      <c r="T281" s="65"/>
      <c r="U281" s="64"/>
      <c r="V281" s="64"/>
      <c r="W281" s="64"/>
      <c r="X281" s="64"/>
      <c r="Y281" s="64"/>
      <c r="Z281" s="64"/>
      <c r="AA281" s="64"/>
      <c r="AB281" s="64"/>
      <c r="AC281" s="64"/>
      <c r="AD281" s="64"/>
      <c r="AE281" s="64"/>
      <c r="AF281" s="64"/>
      <c r="AG281" s="64"/>
    </row>
    <row r="282">
      <c r="A282" s="64"/>
      <c r="B282" s="64"/>
      <c r="C282" s="64"/>
      <c r="D282" s="64"/>
      <c r="E282" s="65"/>
      <c r="F282" s="64"/>
      <c r="G282" s="67"/>
      <c r="H282" s="64"/>
      <c r="I282" s="64"/>
      <c r="J282" s="64"/>
      <c r="K282" s="64"/>
      <c r="L282" s="65"/>
      <c r="M282" s="64"/>
      <c r="N282" s="64"/>
      <c r="O282" s="64"/>
      <c r="P282" s="64"/>
      <c r="Q282" s="64"/>
      <c r="R282" s="64"/>
      <c r="S282" s="64"/>
      <c r="T282" s="65"/>
      <c r="U282" s="64"/>
      <c r="V282" s="64"/>
      <c r="W282" s="64"/>
      <c r="X282" s="64"/>
      <c r="Y282" s="64"/>
      <c r="Z282" s="64"/>
      <c r="AA282" s="64"/>
      <c r="AB282" s="64"/>
      <c r="AC282" s="64"/>
      <c r="AD282" s="64"/>
      <c r="AE282" s="64"/>
      <c r="AF282" s="64"/>
      <c r="AG282" s="64"/>
    </row>
    <row r="283">
      <c r="A283" s="64"/>
      <c r="B283" s="64"/>
      <c r="C283" s="64"/>
      <c r="D283" s="64"/>
      <c r="E283" s="65"/>
      <c r="F283" s="64"/>
      <c r="G283" s="67"/>
      <c r="H283" s="64"/>
      <c r="I283" s="64"/>
      <c r="J283" s="64"/>
      <c r="K283" s="64"/>
      <c r="L283" s="65"/>
      <c r="M283" s="64"/>
      <c r="N283" s="64"/>
      <c r="O283" s="64"/>
      <c r="P283" s="64"/>
      <c r="Q283" s="64"/>
      <c r="R283" s="64"/>
      <c r="S283" s="64"/>
      <c r="T283" s="65"/>
      <c r="U283" s="64"/>
      <c r="V283" s="64"/>
      <c r="W283" s="64"/>
      <c r="X283" s="64"/>
      <c r="Y283" s="64"/>
      <c r="Z283" s="64"/>
      <c r="AA283" s="64"/>
      <c r="AB283" s="64"/>
      <c r="AC283" s="64"/>
      <c r="AD283" s="64"/>
      <c r="AE283" s="64"/>
      <c r="AF283" s="64"/>
      <c r="AG283" s="64"/>
    </row>
    <row r="284">
      <c r="A284" s="64"/>
      <c r="B284" s="64"/>
      <c r="C284" s="64"/>
      <c r="D284" s="64"/>
      <c r="E284" s="65"/>
      <c r="F284" s="64"/>
      <c r="G284" s="67"/>
      <c r="H284" s="64"/>
      <c r="I284" s="64"/>
      <c r="J284" s="64"/>
      <c r="K284" s="64"/>
      <c r="L284" s="65"/>
      <c r="M284" s="64"/>
      <c r="N284" s="64"/>
      <c r="O284" s="64"/>
      <c r="P284" s="64"/>
      <c r="Q284" s="64"/>
      <c r="R284" s="64"/>
      <c r="S284" s="64"/>
      <c r="T284" s="65"/>
      <c r="U284" s="64"/>
      <c r="V284" s="64"/>
      <c r="W284" s="64"/>
      <c r="X284" s="64"/>
      <c r="Y284" s="64"/>
      <c r="Z284" s="64"/>
      <c r="AA284" s="64"/>
      <c r="AB284" s="64"/>
      <c r="AC284" s="64"/>
      <c r="AD284" s="64"/>
      <c r="AE284" s="64"/>
      <c r="AF284" s="64"/>
      <c r="AG284" s="64"/>
    </row>
    <row r="285">
      <c r="A285" s="64"/>
      <c r="B285" s="64"/>
      <c r="C285" s="64"/>
      <c r="D285" s="64"/>
      <c r="E285" s="65"/>
      <c r="F285" s="64"/>
      <c r="G285" s="67"/>
      <c r="H285" s="64"/>
      <c r="I285" s="64"/>
      <c r="J285" s="64"/>
      <c r="K285" s="64"/>
      <c r="L285" s="65"/>
      <c r="M285" s="64"/>
      <c r="N285" s="64"/>
      <c r="O285" s="64"/>
      <c r="P285" s="64"/>
      <c r="Q285" s="64"/>
      <c r="R285" s="64"/>
      <c r="S285" s="64"/>
      <c r="T285" s="65"/>
      <c r="U285" s="64"/>
      <c r="V285" s="64"/>
      <c r="W285" s="64"/>
      <c r="X285" s="64"/>
      <c r="Y285" s="64"/>
      <c r="Z285" s="64"/>
      <c r="AA285" s="64"/>
      <c r="AB285" s="64"/>
      <c r="AC285" s="64"/>
      <c r="AD285" s="64"/>
      <c r="AE285" s="64"/>
      <c r="AF285" s="64"/>
      <c r="AG285" s="64"/>
    </row>
    <row r="286">
      <c r="A286" s="64"/>
      <c r="B286" s="64"/>
      <c r="C286" s="64"/>
      <c r="D286" s="64"/>
      <c r="E286" s="65"/>
      <c r="F286" s="64"/>
      <c r="G286" s="67"/>
      <c r="H286" s="64"/>
      <c r="I286" s="64"/>
      <c r="J286" s="64"/>
      <c r="K286" s="64"/>
      <c r="L286" s="65"/>
      <c r="M286" s="64"/>
      <c r="N286" s="64"/>
      <c r="O286" s="64"/>
      <c r="P286" s="64"/>
      <c r="Q286" s="64"/>
      <c r="R286" s="64"/>
      <c r="S286" s="64"/>
      <c r="T286" s="65"/>
      <c r="U286" s="64"/>
      <c r="V286" s="64"/>
      <c r="W286" s="64"/>
      <c r="X286" s="64"/>
      <c r="Y286" s="64"/>
      <c r="Z286" s="64"/>
      <c r="AA286" s="64"/>
      <c r="AB286" s="64"/>
      <c r="AC286" s="64"/>
      <c r="AD286" s="64"/>
      <c r="AE286" s="64"/>
      <c r="AF286" s="64"/>
      <c r="AG286" s="64"/>
    </row>
    <row r="287">
      <c r="A287" s="64"/>
      <c r="B287" s="64"/>
      <c r="C287" s="64"/>
      <c r="D287" s="64"/>
      <c r="E287" s="65"/>
      <c r="F287" s="64"/>
      <c r="G287" s="67"/>
      <c r="H287" s="64"/>
      <c r="I287" s="64"/>
      <c r="J287" s="64"/>
      <c r="K287" s="64"/>
      <c r="L287" s="65"/>
      <c r="M287" s="64"/>
      <c r="N287" s="64"/>
      <c r="O287" s="64"/>
      <c r="P287" s="64"/>
      <c r="Q287" s="64"/>
      <c r="R287" s="64"/>
      <c r="S287" s="64"/>
      <c r="T287" s="65"/>
      <c r="U287" s="64"/>
      <c r="V287" s="64"/>
      <c r="W287" s="64"/>
      <c r="X287" s="64"/>
      <c r="Y287" s="64"/>
      <c r="Z287" s="64"/>
      <c r="AA287" s="64"/>
      <c r="AB287" s="64"/>
      <c r="AC287" s="64"/>
      <c r="AD287" s="64"/>
      <c r="AE287" s="64"/>
      <c r="AF287" s="64"/>
      <c r="AG287" s="64"/>
    </row>
    <row r="288">
      <c r="A288" s="64"/>
      <c r="B288" s="64"/>
      <c r="C288" s="64"/>
      <c r="D288" s="64"/>
      <c r="E288" s="65"/>
      <c r="F288" s="64"/>
      <c r="G288" s="67"/>
      <c r="H288" s="64"/>
      <c r="I288" s="64"/>
      <c r="J288" s="64"/>
      <c r="K288" s="64"/>
      <c r="L288" s="65"/>
      <c r="M288" s="64"/>
      <c r="N288" s="64"/>
      <c r="O288" s="64"/>
      <c r="P288" s="64"/>
      <c r="Q288" s="64"/>
      <c r="R288" s="64"/>
      <c r="S288" s="64"/>
      <c r="T288" s="65"/>
      <c r="U288" s="64"/>
      <c r="V288" s="64"/>
      <c r="W288" s="64"/>
      <c r="X288" s="64"/>
      <c r="Y288" s="64"/>
      <c r="Z288" s="64"/>
      <c r="AA288" s="64"/>
      <c r="AB288" s="64"/>
      <c r="AC288" s="64"/>
      <c r="AD288" s="64"/>
      <c r="AE288" s="64"/>
      <c r="AF288" s="64"/>
      <c r="AG288" s="64"/>
    </row>
    <row r="289">
      <c r="A289" s="64"/>
      <c r="B289" s="64"/>
      <c r="C289" s="64"/>
      <c r="D289" s="64"/>
      <c r="E289" s="65"/>
      <c r="F289" s="64"/>
      <c r="G289" s="67"/>
      <c r="H289" s="64"/>
      <c r="I289" s="64"/>
      <c r="J289" s="64"/>
      <c r="K289" s="64"/>
      <c r="L289" s="65"/>
      <c r="M289" s="64"/>
      <c r="N289" s="64"/>
      <c r="O289" s="64"/>
      <c r="P289" s="64"/>
      <c r="Q289" s="64"/>
      <c r="R289" s="64"/>
      <c r="S289" s="64"/>
      <c r="T289" s="65"/>
      <c r="U289" s="64"/>
      <c r="V289" s="64"/>
      <c r="W289" s="64"/>
      <c r="X289" s="64"/>
      <c r="Y289" s="64"/>
      <c r="Z289" s="64"/>
      <c r="AA289" s="64"/>
      <c r="AB289" s="64"/>
      <c r="AC289" s="64"/>
      <c r="AD289" s="64"/>
      <c r="AE289" s="64"/>
      <c r="AF289" s="64"/>
      <c r="AG289" s="64"/>
    </row>
    <row r="290">
      <c r="A290" s="64"/>
      <c r="B290" s="64"/>
      <c r="C290" s="64"/>
      <c r="D290" s="64"/>
      <c r="E290" s="65"/>
      <c r="F290" s="64"/>
      <c r="G290" s="67"/>
      <c r="H290" s="64"/>
      <c r="I290" s="64"/>
      <c r="J290" s="64"/>
      <c r="K290" s="64"/>
      <c r="L290" s="65"/>
      <c r="M290" s="64"/>
      <c r="N290" s="64"/>
      <c r="O290" s="64"/>
      <c r="P290" s="64"/>
      <c r="Q290" s="64"/>
      <c r="R290" s="64"/>
      <c r="S290" s="64"/>
      <c r="T290" s="65"/>
      <c r="U290" s="64"/>
      <c r="V290" s="64"/>
      <c r="W290" s="64"/>
      <c r="X290" s="64"/>
      <c r="Y290" s="64"/>
      <c r="Z290" s="64"/>
      <c r="AA290" s="64"/>
      <c r="AB290" s="64"/>
      <c r="AC290" s="64"/>
      <c r="AD290" s="64"/>
      <c r="AE290" s="64"/>
      <c r="AF290" s="64"/>
      <c r="AG290" s="64"/>
    </row>
    <row r="291">
      <c r="A291" s="64"/>
      <c r="B291" s="64"/>
      <c r="C291" s="64"/>
      <c r="D291" s="64"/>
      <c r="E291" s="65"/>
      <c r="F291" s="64"/>
      <c r="G291" s="67"/>
      <c r="H291" s="64"/>
      <c r="I291" s="64"/>
      <c r="J291" s="64"/>
      <c r="K291" s="64"/>
      <c r="L291" s="65"/>
      <c r="M291" s="64"/>
      <c r="N291" s="64"/>
      <c r="O291" s="64"/>
      <c r="P291" s="64"/>
      <c r="Q291" s="64"/>
      <c r="R291" s="64"/>
      <c r="S291" s="64"/>
      <c r="T291" s="65"/>
      <c r="U291" s="64"/>
      <c r="V291" s="64"/>
      <c r="W291" s="64"/>
      <c r="X291" s="64"/>
      <c r="Y291" s="64"/>
      <c r="Z291" s="64"/>
      <c r="AA291" s="64"/>
      <c r="AB291" s="64"/>
      <c r="AC291" s="64"/>
      <c r="AD291" s="64"/>
      <c r="AE291" s="64"/>
      <c r="AF291" s="64"/>
      <c r="AG291" s="64"/>
    </row>
    <row r="292">
      <c r="A292" s="64"/>
      <c r="B292" s="64"/>
      <c r="C292" s="64"/>
      <c r="D292" s="64"/>
      <c r="E292" s="65"/>
      <c r="F292" s="64"/>
      <c r="G292" s="67"/>
      <c r="H292" s="64"/>
      <c r="I292" s="64"/>
      <c r="J292" s="64"/>
      <c r="K292" s="64"/>
      <c r="L292" s="65"/>
      <c r="M292" s="64"/>
      <c r="N292" s="64"/>
      <c r="O292" s="64"/>
      <c r="P292" s="64"/>
      <c r="Q292" s="64"/>
      <c r="R292" s="64"/>
      <c r="S292" s="64"/>
      <c r="T292" s="65"/>
      <c r="U292" s="64"/>
      <c r="V292" s="64"/>
      <c r="W292" s="64"/>
      <c r="X292" s="64"/>
      <c r="Y292" s="64"/>
      <c r="Z292" s="64"/>
      <c r="AA292" s="64"/>
      <c r="AB292" s="64"/>
      <c r="AC292" s="64"/>
      <c r="AD292" s="64"/>
      <c r="AE292" s="64"/>
      <c r="AF292" s="64"/>
      <c r="AG292" s="64"/>
    </row>
    <row r="293">
      <c r="A293" s="64"/>
      <c r="B293" s="64"/>
      <c r="C293" s="64"/>
      <c r="D293" s="64"/>
      <c r="E293" s="65"/>
      <c r="F293" s="64"/>
      <c r="G293" s="67"/>
      <c r="H293" s="64"/>
      <c r="I293" s="64"/>
      <c r="J293" s="64"/>
      <c r="K293" s="64"/>
      <c r="L293" s="65"/>
      <c r="M293" s="64"/>
      <c r="N293" s="64"/>
      <c r="O293" s="64"/>
      <c r="P293" s="64"/>
      <c r="Q293" s="64"/>
      <c r="R293" s="64"/>
      <c r="S293" s="64"/>
      <c r="T293" s="65"/>
      <c r="U293" s="64"/>
      <c r="V293" s="64"/>
      <c r="W293" s="64"/>
      <c r="X293" s="64"/>
      <c r="Y293" s="64"/>
      <c r="Z293" s="64"/>
      <c r="AA293" s="64"/>
      <c r="AB293" s="64"/>
      <c r="AC293" s="64"/>
      <c r="AD293" s="64"/>
      <c r="AE293" s="64"/>
      <c r="AF293" s="64"/>
      <c r="AG293" s="64"/>
    </row>
    <row r="294">
      <c r="A294" s="64"/>
      <c r="B294" s="64"/>
      <c r="C294" s="64"/>
      <c r="D294" s="64"/>
      <c r="E294" s="65"/>
      <c r="F294" s="64"/>
      <c r="G294" s="67"/>
      <c r="H294" s="64"/>
      <c r="I294" s="64"/>
      <c r="J294" s="64"/>
      <c r="K294" s="64"/>
      <c r="L294" s="65"/>
      <c r="M294" s="64"/>
      <c r="N294" s="64"/>
      <c r="O294" s="64"/>
      <c r="P294" s="64"/>
      <c r="Q294" s="64"/>
      <c r="R294" s="64"/>
      <c r="S294" s="64"/>
      <c r="T294" s="65"/>
      <c r="U294" s="64"/>
      <c r="V294" s="64"/>
      <c r="W294" s="64"/>
      <c r="X294" s="64"/>
      <c r="Y294" s="64"/>
      <c r="Z294" s="64"/>
      <c r="AA294" s="64"/>
      <c r="AB294" s="64"/>
      <c r="AC294" s="64"/>
      <c r="AD294" s="64"/>
      <c r="AE294" s="64"/>
      <c r="AF294" s="64"/>
      <c r="AG294" s="64"/>
    </row>
    <row r="295">
      <c r="A295" s="64"/>
      <c r="B295" s="64"/>
      <c r="C295" s="64"/>
      <c r="D295" s="64"/>
      <c r="E295" s="65"/>
      <c r="F295" s="64"/>
      <c r="G295" s="67"/>
      <c r="H295" s="64"/>
      <c r="I295" s="64"/>
      <c r="J295" s="64"/>
      <c r="K295" s="64"/>
      <c r="L295" s="65"/>
      <c r="M295" s="64"/>
      <c r="N295" s="64"/>
      <c r="O295" s="64"/>
      <c r="P295" s="64"/>
      <c r="Q295" s="64"/>
      <c r="R295" s="64"/>
      <c r="S295" s="64"/>
      <c r="T295" s="65"/>
      <c r="U295" s="64"/>
      <c r="V295" s="64"/>
      <c r="W295" s="64"/>
      <c r="X295" s="64"/>
      <c r="Y295" s="64"/>
      <c r="Z295" s="64"/>
      <c r="AA295" s="64"/>
      <c r="AB295" s="64"/>
      <c r="AC295" s="64"/>
      <c r="AD295" s="64"/>
      <c r="AE295" s="64"/>
      <c r="AF295" s="64"/>
      <c r="AG295" s="64"/>
    </row>
    <row r="296">
      <c r="A296" s="64"/>
      <c r="B296" s="64"/>
      <c r="C296" s="64"/>
      <c r="D296" s="64"/>
      <c r="E296" s="65"/>
      <c r="F296" s="64"/>
      <c r="G296" s="67"/>
      <c r="H296" s="64"/>
      <c r="I296" s="64"/>
      <c r="J296" s="64"/>
      <c r="K296" s="64"/>
      <c r="L296" s="65"/>
      <c r="M296" s="64"/>
      <c r="N296" s="64"/>
      <c r="O296" s="64"/>
      <c r="P296" s="64"/>
      <c r="Q296" s="64"/>
      <c r="R296" s="64"/>
      <c r="S296" s="64"/>
      <c r="T296" s="65"/>
      <c r="U296" s="64"/>
      <c r="V296" s="64"/>
      <c r="W296" s="64"/>
      <c r="X296" s="64"/>
      <c r="Y296" s="64"/>
      <c r="Z296" s="64"/>
      <c r="AA296" s="64"/>
      <c r="AB296" s="64"/>
      <c r="AC296" s="64"/>
      <c r="AD296" s="64"/>
      <c r="AE296" s="64"/>
      <c r="AF296" s="64"/>
      <c r="AG296" s="64"/>
    </row>
    <row r="297">
      <c r="A297" s="64"/>
      <c r="B297" s="64"/>
      <c r="C297" s="64"/>
      <c r="D297" s="64"/>
      <c r="E297" s="65"/>
      <c r="F297" s="64"/>
      <c r="G297" s="67"/>
      <c r="H297" s="64"/>
      <c r="I297" s="64"/>
      <c r="J297" s="64"/>
      <c r="K297" s="64"/>
      <c r="L297" s="65"/>
      <c r="M297" s="64"/>
      <c r="N297" s="64"/>
      <c r="O297" s="64"/>
      <c r="P297" s="64"/>
      <c r="Q297" s="64"/>
      <c r="R297" s="64"/>
      <c r="S297" s="64"/>
      <c r="T297" s="65"/>
      <c r="U297" s="64"/>
      <c r="V297" s="64"/>
      <c r="W297" s="64"/>
      <c r="X297" s="64"/>
      <c r="Y297" s="64"/>
      <c r="Z297" s="64"/>
      <c r="AA297" s="64"/>
      <c r="AB297" s="64"/>
      <c r="AC297" s="64"/>
      <c r="AD297" s="64"/>
      <c r="AE297" s="64"/>
      <c r="AF297" s="64"/>
      <c r="AG297" s="64"/>
    </row>
    <row r="298">
      <c r="A298" s="64"/>
      <c r="B298" s="64"/>
      <c r="C298" s="64"/>
      <c r="D298" s="64"/>
      <c r="E298" s="65"/>
      <c r="F298" s="64"/>
      <c r="G298" s="67"/>
      <c r="H298" s="64"/>
      <c r="I298" s="64"/>
      <c r="J298" s="64"/>
      <c r="K298" s="64"/>
      <c r="L298" s="65"/>
      <c r="M298" s="64"/>
      <c r="N298" s="64"/>
      <c r="O298" s="64"/>
      <c r="P298" s="64"/>
      <c r="Q298" s="64"/>
      <c r="R298" s="64"/>
      <c r="S298" s="64"/>
      <c r="T298" s="65"/>
      <c r="U298" s="64"/>
      <c r="V298" s="64"/>
      <c r="W298" s="64"/>
      <c r="X298" s="64"/>
      <c r="Y298" s="64"/>
      <c r="Z298" s="64"/>
      <c r="AA298" s="64"/>
      <c r="AB298" s="64"/>
      <c r="AC298" s="64"/>
      <c r="AD298" s="64"/>
      <c r="AE298" s="64"/>
      <c r="AF298" s="64"/>
      <c r="AG298" s="64"/>
    </row>
    <row r="299">
      <c r="A299" s="64"/>
      <c r="B299" s="64"/>
      <c r="C299" s="64"/>
      <c r="D299" s="64"/>
      <c r="E299" s="65"/>
      <c r="F299" s="64"/>
      <c r="G299" s="67"/>
      <c r="H299" s="64"/>
      <c r="I299" s="64"/>
      <c r="J299" s="64"/>
      <c r="K299" s="64"/>
      <c r="L299" s="65"/>
      <c r="M299" s="64"/>
      <c r="N299" s="64"/>
      <c r="O299" s="64"/>
      <c r="P299" s="64"/>
      <c r="Q299" s="64"/>
      <c r="R299" s="64"/>
      <c r="S299" s="64"/>
      <c r="T299" s="65"/>
      <c r="U299" s="64"/>
      <c r="V299" s="64"/>
      <c r="W299" s="64"/>
      <c r="X299" s="64"/>
      <c r="Y299" s="64"/>
      <c r="Z299" s="64"/>
      <c r="AA299" s="64"/>
      <c r="AB299" s="64"/>
      <c r="AC299" s="64"/>
      <c r="AD299" s="64"/>
      <c r="AE299" s="64"/>
      <c r="AF299" s="64"/>
      <c r="AG299" s="64"/>
    </row>
    <row r="300">
      <c r="A300" s="64"/>
      <c r="B300" s="64"/>
      <c r="C300" s="64"/>
      <c r="D300" s="64"/>
      <c r="E300" s="65"/>
      <c r="F300" s="64"/>
      <c r="G300" s="67"/>
      <c r="H300" s="64"/>
      <c r="I300" s="64"/>
      <c r="J300" s="64"/>
      <c r="K300" s="64"/>
      <c r="L300" s="65"/>
      <c r="M300" s="64"/>
      <c r="N300" s="64"/>
      <c r="O300" s="64"/>
      <c r="P300" s="64"/>
      <c r="Q300" s="64"/>
      <c r="R300" s="64"/>
      <c r="S300" s="64"/>
      <c r="T300" s="65"/>
      <c r="U300" s="64"/>
      <c r="V300" s="64"/>
      <c r="W300" s="64"/>
      <c r="X300" s="64"/>
      <c r="Y300" s="64"/>
      <c r="Z300" s="64"/>
      <c r="AA300" s="64"/>
      <c r="AB300" s="64"/>
      <c r="AC300" s="64"/>
      <c r="AD300" s="64"/>
      <c r="AE300" s="64"/>
      <c r="AF300" s="64"/>
      <c r="AG300" s="64"/>
    </row>
    <row r="301">
      <c r="A301" s="64"/>
      <c r="B301" s="64"/>
      <c r="C301" s="64"/>
      <c r="D301" s="64"/>
      <c r="E301" s="65"/>
      <c r="F301" s="64"/>
      <c r="G301" s="67"/>
      <c r="H301" s="64"/>
      <c r="I301" s="64"/>
      <c r="J301" s="64"/>
      <c r="K301" s="64"/>
      <c r="L301" s="65"/>
      <c r="M301" s="64"/>
      <c r="N301" s="64"/>
      <c r="O301" s="64"/>
      <c r="P301" s="64"/>
      <c r="Q301" s="64"/>
      <c r="R301" s="64"/>
      <c r="S301" s="64"/>
      <c r="T301" s="65"/>
      <c r="U301" s="64"/>
      <c r="V301" s="64"/>
      <c r="W301" s="64"/>
      <c r="X301" s="64"/>
      <c r="Y301" s="64"/>
      <c r="Z301" s="64"/>
      <c r="AA301" s="64"/>
      <c r="AB301" s="64"/>
      <c r="AC301" s="64"/>
      <c r="AD301" s="64"/>
      <c r="AE301" s="64"/>
      <c r="AF301" s="64"/>
      <c r="AG301" s="64"/>
    </row>
    <row r="302">
      <c r="A302" s="64"/>
      <c r="B302" s="64"/>
      <c r="C302" s="64"/>
      <c r="D302" s="64"/>
      <c r="E302" s="65"/>
      <c r="F302" s="64"/>
      <c r="G302" s="67"/>
      <c r="H302" s="64"/>
      <c r="I302" s="64"/>
      <c r="J302" s="64"/>
      <c r="K302" s="64"/>
      <c r="L302" s="65"/>
      <c r="M302" s="64"/>
      <c r="N302" s="64"/>
      <c r="O302" s="64"/>
      <c r="P302" s="64"/>
      <c r="Q302" s="64"/>
      <c r="R302" s="64"/>
      <c r="S302" s="64"/>
      <c r="T302" s="65"/>
      <c r="U302" s="64"/>
      <c r="V302" s="64"/>
      <c r="W302" s="64"/>
      <c r="X302" s="64"/>
      <c r="Y302" s="64"/>
      <c r="Z302" s="64"/>
      <c r="AA302" s="64"/>
      <c r="AB302" s="64"/>
      <c r="AC302" s="64"/>
      <c r="AD302" s="64"/>
      <c r="AE302" s="64"/>
      <c r="AF302" s="64"/>
      <c r="AG302" s="64"/>
    </row>
    <row r="303">
      <c r="A303" s="64"/>
      <c r="B303" s="64"/>
      <c r="C303" s="64"/>
      <c r="D303" s="64"/>
      <c r="E303" s="65"/>
      <c r="F303" s="64"/>
      <c r="G303" s="67"/>
      <c r="H303" s="64"/>
      <c r="I303" s="64"/>
      <c r="J303" s="64"/>
      <c r="K303" s="64"/>
      <c r="L303" s="65"/>
      <c r="M303" s="64"/>
      <c r="N303" s="64"/>
      <c r="O303" s="64"/>
      <c r="P303" s="64"/>
      <c r="Q303" s="64"/>
      <c r="R303" s="64"/>
      <c r="S303" s="64"/>
      <c r="T303" s="65"/>
      <c r="U303" s="64"/>
      <c r="V303" s="64"/>
      <c r="W303" s="64"/>
      <c r="X303" s="64"/>
      <c r="Y303" s="64"/>
      <c r="Z303" s="64"/>
      <c r="AA303" s="64"/>
      <c r="AB303" s="64"/>
      <c r="AC303" s="64"/>
      <c r="AD303" s="64"/>
      <c r="AE303" s="64"/>
      <c r="AF303" s="64"/>
      <c r="AG303" s="64"/>
    </row>
    <row r="304">
      <c r="A304" s="64"/>
      <c r="B304" s="64"/>
      <c r="C304" s="64"/>
      <c r="D304" s="64"/>
      <c r="E304" s="65"/>
      <c r="F304" s="64"/>
      <c r="G304" s="67"/>
      <c r="H304" s="64"/>
      <c r="I304" s="64"/>
      <c r="J304" s="64"/>
      <c r="K304" s="64"/>
      <c r="L304" s="65"/>
      <c r="M304" s="64"/>
      <c r="N304" s="64"/>
      <c r="O304" s="64"/>
      <c r="P304" s="64"/>
      <c r="Q304" s="64"/>
      <c r="R304" s="64"/>
      <c r="S304" s="64"/>
      <c r="T304" s="65"/>
      <c r="U304" s="64"/>
      <c r="V304" s="64"/>
      <c r="W304" s="64"/>
      <c r="X304" s="64"/>
      <c r="Y304" s="64"/>
      <c r="Z304" s="64"/>
      <c r="AA304" s="64"/>
      <c r="AB304" s="64"/>
      <c r="AC304" s="64"/>
      <c r="AD304" s="64"/>
      <c r="AE304" s="64"/>
      <c r="AF304" s="64"/>
      <c r="AG304" s="64"/>
    </row>
    <row r="305">
      <c r="A305" s="64"/>
      <c r="B305" s="64"/>
      <c r="C305" s="64"/>
      <c r="D305" s="64"/>
      <c r="E305" s="65"/>
      <c r="F305" s="64"/>
      <c r="G305" s="67"/>
      <c r="H305" s="64"/>
      <c r="I305" s="64"/>
      <c r="J305" s="64"/>
      <c r="K305" s="64"/>
      <c r="L305" s="65"/>
      <c r="M305" s="64"/>
      <c r="N305" s="64"/>
      <c r="O305" s="64"/>
      <c r="P305" s="64"/>
      <c r="Q305" s="64"/>
      <c r="R305" s="64"/>
      <c r="S305" s="64"/>
      <c r="T305" s="65"/>
      <c r="U305" s="64"/>
      <c r="V305" s="64"/>
      <c r="W305" s="64"/>
      <c r="X305" s="64"/>
      <c r="Y305" s="64"/>
      <c r="Z305" s="64"/>
      <c r="AA305" s="64"/>
      <c r="AB305" s="64"/>
      <c r="AC305" s="64"/>
      <c r="AD305" s="64"/>
      <c r="AE305" s="64"/>
      <c r="AF305" s="64"/>
      <c r="AG305" s="64"/>
    </row>
    <row r="306">
      <c r="A306" s="64"/>
      <c r="B306" s="64"/>
      <c r="C306" s="64"/>
      <c r="D306" s="64"/>
      <c r="E306" s="65"/>
      <c r="F306" s="64"/>
      <c r="G306" s="67"/>
      <c r="H306" s="64"/>
      <c r="I306" s="64"/>
      <c r="J306" s="64"/>
      <c r="K306" s="64"/>
      <c r="L306" s="65"/>
      <c r="M306" s="64"/>
      <c r="N306" s="64"/>
      <c r="O306" s="64"/>
      <c r="P306" s="64"/>
      <c r="Q306" s="64"/>
      <c r="R306" s="64"/>
      <c r="S306" s="64"/>
      <c r="T306" s="65"/>
      <c r="U306" s="64"/>
      <c r="V306" s="64"/>
      <c r="W306" s="64"/>
      <c r="X306" s="64"/>
      <c r="Y306" s="64"/>
      <c r="Z306" s="64"/>
      <c r="AA306" s="64"/>
      <c r="AB306" s="64"/>
      <c r="AC306" s="64"/>
      <c r="AD306" s="64"/>
      <c r="AE306" s="64"/>
      <c r="AF306" s="64"/>
      <c r="AG306" s="64"/>
    </row>
    <row r="307">
      <c r="A307" s="64"/>
      <c r="B307" s="64"/>
      <c r="C307" s="64"/>
      <c r="D307" s="64"/>
      <c r="E307" s="65"/>
      <c r="F307" s="64"/>
      <c r="G307" s="67"/>
      <c r="H307" s="64"/>
      <c r="I307" s="64"/>
      <c r="J307" s="64"/>
      <c r="K307" s="64"/>
      <c r="L307" s="65"/>
      <c r="M307" s="64"/>
      <c r="N307" s="64"/>
      <c r="O307" s="64"/>
      <c r="P307" s="64"/>
      <c r="Q307" s="64"/>
      <c r="R307" s="64"/>
      <c r="S307" s="64"/>
      <c r="T307" s="65"/>
      <c r="U307" s="64"/>
      <c r="V307" s="64"/>
      <c r="W307" s="64"/>
      <c r="X307" s="64"/>
      <c r="Y307" s="64"/>
      <c r="Z307" s="64"/>
      <c r="AA307" s="64"/>
      <c r="AB307" s="64"/>
      <c r="AC307" s="64"/>
      <c r="AD307" s="64"/>
      <c r="AE307" s="64"/>
      <c r="AF307" s="64"/>
      <c r="AG307" s="64"/>
    </row>
    <row r="308">
      <c r="A308" s="64"/>
      <c r="B308" s="64"/>
      <c r="C308" s="64"/>
      <c r="D308" s="64"/>
      <c r="E308" s="65"/>
      <c r="F308" s="64"/>
      <c r="G308" s="67"/>
      <c r="H308" s="64"/>
      <c r="I308" s="64"/>
      <c r="J308" s="64"/>
      <c r="K308" s="64"/>
      <c r="L308" s="65"/>
      <c r="M308" s="64"/>
      <c r="N308" s="64"/>
      <c r="O308" s="64"/>
      <c r="P308" s="64"/>
      <c r="Q308" s="64"/>
      <c r="R308" s="64"/>
      <c r="S308" s="64"/>
      <c r="T308" s="65"/>
      <c r="U308" s="64"/>
      <c r="V308" s="64"/>
      <c r="W308" s="64"/>
      <c r="X308" s="64"/>
      <c r="Y308" s="64"/>
      <c r="Z308" s="64"/>
      <c r="AA308" s="64"/>
      <c r="AB308" s="64"/>
      <c r="AC308" s="64"/>
      <c r="AD308" s="64"/>
      <c r="AE308" s="64"/>
      <c r="AF308" s="64"/>
      <c r="AG308" s="64"/>
    </row>
    <row r="309">
      <c r="A309" s="64"/>
      <c r="B309" s="64"/>
      <c r="C309" s="64"/>
      <c r="D309" s="64"/>
      <c r="E309" s="65"/>
      <c r="F309" s="64"/>
      <c r="G309" s="67"/>
      <c r="H309" s="64"/>
      <c r="I309" s="64"/>
      <c r="J309" s="64"/>
      <c r="K309" s="64"/>
      <c r="L309" s="65"/>
      <c r="M309" s="64"/>
      <c r="N309" s="64"/>
      <c r="O309" s="64"/>
      <c r="P309" s="64"/>
      <c r="Q309" s="64"/>
      <c r="R309" s="64"/>
      <c r="S309" s="64"/>
      <c r="T309" s="65"/>
      <c r="U309" s="64"/>
      <c r="V309" s="64"/>
      <c r="W309" s="64"/>
      <c r="X309" s="64"/>
      <c r="Y309" s="64"/>
      <c r="Z309" s="64"/>
      <c r="AA309" s="64"/>
      <c r="AB309" s="64"/>
      <c r="AC309" s="64"/>
      <c r="AD309" s="64"/>
      <c r="AE309" s="64"/>
      <c r="AF309" s="64"/>
      <c r="AG309" s="64"/>
    </row>
    <row r="310">
      <c r="A310" s="64"/>
      <c r="B310" s="64"/>
      <c r="C310" s="64"/>
      <c r="D310" s="64"/>
      <c r="E310" s="65"/>
      <c r="F310" s="64"/>
      <c r="G310" s="67"/>
      <c r="H310" s="64"/>
      <c r="I310" s="64"/>
      <c r="J310" s="64"/>
      <c r="K310" s="64"/>
      <c r="L310" s="65"/>
      <c r="M310" s="64"/>
      <c r="N310" s="64"/>
      <c r="O310" s="64"/>
      <c r="P310" s="64"/>
      <c r="Q310" s="64"/>
      <c r="R310" s="64"/>
      <c r="S310" s="64"/>
      <c r="T310" s="65"/>
      <c r="U310" s="64"/>
      <c r="V310" s="64"/>
      <c r="W310" s="64"/>
      <c r="X310" s="64"/>
      <c r="Y310" s="64"/>
      <c r="Z310" s="64"/>
      <c r="AA310" s="64"/>
      <c r="AB310" s="64"/>
      <c r="AC310" s="64"/>
      <c r="AD310" s="64"/>
      <c r="AE310" s="64"/>
      <c r="AF310" s="64"/>
      <c r="AG310" s="64"/>
    </row>
    <row r="311">
      <c r="A311" s="64"/>
      <c r="B311" s="64"/>
      <c r="C311" s="64"/>
      <c r="D311" s="64"/>
      <c r="E311" s="65"/>
      <c r="F311" s="64"/>
      <c r="G311" s="67"/>
      <c r="H311" s="64"/>
      <c r="I311" s="64"/>
      <c r="J311" s="64"/>
      <c r="K311" s="64"/>
      <c r="L311" s="65"/>
      <c r="M311" s="64"/>
      <c r="N311" s="64"/>
      <c r="O311" s="64"/>
      <c r="P311" s="64"/>
      <c r="Q311" s="64"/>
      <c r="R311" s="64"/>
      <c r="S311" s="64"/>
      <c r="T311" s="65"/>
      <c r="U311" s="64"/>
      <c r="V311" s="64"/>
      <c r="W311" s="64"/>
      <c r="X311" s="64"/>
      <c r="Y311" s="64"/>
      <c r="Z311" s="64"/>
      <c r="AA311" s="64"/>
      <c r="AB311" s="64"/>
      <c r="AC311" s="64"/>
      <c r="AD311" s="64"/>
      <c r="AE311" s="64"/>
      <c r="AF311" s="64"/>
      <c r="AG311" s="64"/>
    </row>
    <row r="312">
      <c r="A312" s="64"/>
      <c r="B312" s="64"/>
      <c r="C312" s="64"/>
      <c r="D312" s="64"/>
      <c r="E312" s="65"/>
      <c r="F312" s="64"/>
      <c r="G312" s="67"/>
      <c r="H312" s="64"/>
      <c r="I312" s="64"/>
      <c r="J312" s="64"/>
      <c r="K312" s="64"/>
      <c r="L312" s="65"/>
      <c r="M312" s="64"/>
      <c r="N312" s="64"/>
      <c r="O312" s="64"/>
      <c r="P312" s="64"/>
      <c r="Q312" s="64"/>
      <c r="R312" s="64"/>
      <c r="S312" s="64"/>
      <c r="T312" s="65"/>
      <c r="U312" s="64"/>
      <c r="V312" s="64"/>
      <c r="W312" s="64"/>
      <c r="X312" s="64"/>
      <c r="Y312" s="64"/>
      <c r="Z312" s="64"/>
      <c r="AA312" s="64"/>
      <c r="AB312" s="64"/>
      <c r="AC312" s="64"/>
      <c r="AD312" s="64"/>
      <c r="AE312" s="64"/>
      <c r="AF312" s="64"/>
      <c r="AG312" s="64"/>
    </row>
    <row r="313">
      <c r="A313" s="64"/>
      <c r="B313" s="64"/>
      <c r="C313" s="64"/>
      <c r="D313" s="64"/>
      <c r="E313" s="65"/>
      <c r="F313" s="64"/>
      <c r="G313" s="67"/>
      <c r="H313" s="64"/>
      <c r="I313" s="64"/>
      <c r="J313" s="64"/>
      <c r="K313" s="64"/>
      <c r="L313" s="65"/>
      <c r="M313" s="64"/>
      <c r="N313" s="64"/>
      <c r="O313" s="64"/>
      <c r="P313" s="64"/>
      <c r="Q313" s="64"/>
      <c r="R313" s="64"/>
      <c r="S313" s="64"/>
      <c r="T313" s="65"/>
      <c r="U313" s="64"/>
      <c r="V313" s="64"/>
      <c r="W313" s="64"/>
      <c r="X313" s="64"/>
      <c r="Y313" s="64"/>
      <c r="Z313" s="64"/>
      <c r="AA313" s="64"/>
      <c r="AB313" s="64"/>
      <c r="AC313" s="64"/>
      <c r="AD313" s="64"/>
      <c r="AE313" s="64"/>
      <c r="AF313" s="64"/>
      <c r="AG313" s="64"/>
    </row>
    <row r="314">
      <c r="A314" s="64"/>
      <c r="B314" s="64"/>
      <c r="C314" s="64"/>
      <c r="D314" s="64"/>
      <c r="E314" s="65"/>
      <c r="F314" s="64"/>
      <c r="G314" s="67"/>
      <c r="H314" s="64"/>
      <c r="I314" s="64"/>
      <c r="J314" s="64"/>
      <c r="K314" s="64"/>
      <c r="L314" s="65"/>
      <c r="M314" s="64"/>
      <c r="N314" s="64"/>
      <c r="O314" s="64"/>
      <c r="P314" s="64"/>
      <c r="Q314" s="64"/>
      <c r="R314" s="64"/>
      <c r="S314" s="64"/>
      <c r="T314" s="65"/>
      <c r="U314" s="64"/>
      <c r="V314" s="64"/>
      <c r="W314" s="64"/>
      <c r="X314" s="64"/>
      <c r="Y314" s="64"/>
      <c r="Z314" s="64"/>
      <c r="AA314" s="64"/>
      <c r="AB314" s="64"/>
      <c r="AC314" s="64"/>
      <c r="AD314" s="64"/>
      <c r="AE314" s="64"/>
      <c r="AF314" s="64"/>
      <c r="AG314" s="64"/>
    </row>
    <row r="315">
      <c r="A315" s="64"/>
      <c r="B315" s="64"/>
      <c r="C315" s="64"/>
      <c r="D315" s="64"/>
      <c r="E315" s="65"/>
      <c r="F315" s="64"/>
      <c r="G315" s="67"/>
      <c r="H315" s="64"/>
      <c r="I315" s="64"/>
      <c r="J315" s="64"/>
      <c r="K315" s="64"/>
      <c r="L315" s="65"/>
      <c r="M315" s="64"/>
      <c r="N315" s="64"/>
      <c r="O315" s="64"/>
      <c r="P315" s="64"/>
      <c r="Q315" s="64"/>
      <c r="R315" s="64"/>
      <c r="S315" s="64"/>
      <c r="T315" s="65"/>
      <c r="U315" s="64"/>
      <c r="V315" s="64"/>
      <c r="W315" s="64"/>
      <c r="X315" s="64"/>
      <c r="Y315" s="64"/>
      <c r="Z315" s="64"/>
      <c r="AA315" s="64"/>
      <c r="AB315" s="64"/>
      <c r="AC315" s="64"/>
      <c r="AD315" s="64"/>
      <c r="AE315" s="64"/>
      <c r="AF315" s="64"/>
      <c r="AG315" s="64"/>
    </row>
    <row r="316">
      <c r="A316" s="64"/>
      <c r="B316" s="64"/>
      <c r="C316" s="64"/>
      <c r="D316" s="64"/>
      <c r="E316" s="65"/>
      <c r="F316" s="64"/>
      <c r="G316" s="67"/>
      <c r="H316" s="64"/>
      <c r="I316" s="64"/>
      <c r="J316" s="64"/>
      <c r="K316" s="64"/>
      <c r="L316" s="65"/>
      <c r="M316" s="64"/>
      <c r="N316" s="64"/>
      <c r="O316" s="64"/>
      <c r="P316" s="64"/>
      <c r="Q316" s="64"/>
      <c r="R316" s="64"/>
      <c r="S316" s="64"/>
      <c r="T316" s="65"/>
      <c r="U316" s="64"/>
      <c r="V316" s="64"/>
      <c r="W316" s="64"/>
      <c r="X316" s="64"/>
      <c r="Y316" s="64"/>
      <c r="Z316" s="64"/>
      <c r="AA316" s="64"/>
      <c r="AB316" s="64"/>
      <c r="AC316" s="64"/>
      <c r="AD316" s="64"/>
      <c r="AE316" s="64"/>
      <c r="AF316" s="64"/>
      <c r="AG316" s="64"/>
    </row>
    <row r="317">
      <c r="A317" s="64"/>
      <c r="B317" s="64"/>
      <c r="C317" s="64"/>
      <c r="D317" s="64"/>
      <c r="E317" s="65"/>
      <c r="F317" s="64"/>
      <c r="G317" s="67"/>
      <c r="H317" s="64"/>
      <c r="I317" s="64"/>
      <c r="J317" s="64"/>
      <c r="K317" s="64"/>
      <c r="L317" s="65"/>
      <c r="M317" s="64"/>
      <c r="N317" s="64"/>
      <c r="O317" s="64"/>
      <c r="P317" s="64"/>
      <c r="Q317" s="64"/>
      <c r="R317" s="64"/>
      <c r="S317" s="64"/>
      <c r="T317" s="65"/>
      <c r="U317" s="64"/>
      <c r="V317" s="64"/>
      <c r="W317" s="64"/>
      <c r="X317" s="64"/>
      <c r="Y317" s="64"/>
      <c r="Z317" s="64"/>
      <c r="AA317" s="64"/>
      <c r="AB317" s="64"/>
      <c r="AC317" s="64"/>
      <c r="AD317" s="64"/>
      <c r="AE317" s="64"/>
      <c r="AF317" s="64"/>
      <c r="AG317" s="64"/>
    </row>
    <row r="318">
      <c r="A318" s="64"/>
      <c r="B318" s="64"/>
      <c r="C318" s="64"/>
      <c r="D318" s="64"/>
      <c r="E318" s="65"/>
      <c r="F318" s="64"/>
      <c r="G318" s="67"/>
      <c r="H318" s="64"/>
      <c r="I318" s="64"/>
      <c r="J318" s="64"/>
      <c r="K318" s="64"/>
      <c r="L318" s="65"/>
      <c r="M318" s="64"/>
      <c r="N318" s="64"/>
      <c r="O318" s="64"/>
      <c r="P318" s="64"/>
      <c r="Q318" s="64"/>
      <c r="R318" s="64"/>
      <c r="S318" s="64"/>
      <c r="T318" s="65"/>
      <c r="U318" s="64"/>
      <c r="V318" s="64"/>
      <c r="W318" s="64"/>
      <c r="X318" s="64"/>
      <c r="Y318" s="64"/>
      <c r="Z318" s="64"/>
      <c r="AA318" s="64"/>
      <c r="AB318" s="64"/>
      <c r="AC318" s="64"/>
      <c r="AD318" s="64"/>
      <c r="AE318" s="64"/>
      <c r="AF318" s="64"/>
      <c r="AG318" s="64"/>
    </row>
    <row r="319">
      <c r="A319" s="64"/>
      <c r="B319" s="64"/>
      <c r="C319" s="64"/>
      <c r="D319" s="64"/>
      <c r="E319" s="65"/>
      <c r="F319" s="64"/>
      <c r="G319" s="67"/>
      <c r="H319" s="64"/>
      <c r="I319" s="64"/>
      <c r="J319" s="64"/>
      <c r="K319" s="64"/>
      <c r="L319" s="65"/>
      <c r="M319" s="64"/>
      <c r="N319" s="64"/>
      <c r="O319" s="64"/>
      <c r="P319" s="64"/>
      <c r="Q319" s="64"/>
      <c r="R319" s="64"/>
      <c r="S319" s="64"/>
      <c r="T319" s="65"/>
      <c r="U319" s="64"/>
      <c r="V319" s="64"/>
      <c r="W319" s="64"/>
      <c r="X319" s="64"/>
      <c r="Y319" s="64"/>
      <c r="Z319" s="64"/>
      <c r="AA319" s="64"/>
      <c r="AB319" s="64"/>
      <c r="AC319" s="64"/>
      <c r="AD319" s="64"/>
      <c r="AE319" s="64"/>
      <c r="AF319" s="64"/>
      <c r="AG319" s="64"/>
    </row>
    <row r="320">
      <c r="A320" s="64"/>
      <c r="B320" s="64"/>
      <c r="C320" s="64"/>
      <c r="D320" s="64"/>
      <c r="E320" s="65"/>
      <c r="F320" s="64"/>
      <c r="G320" s="67"/>
      <c r="H320" s="64"/>
      <c r="I320" s="64"/>
      <c r="J320" s="64"/>
      <c r="K320" s="64"/>
      <c r="L320" s="65"/>
      <c r="M320" s="64"/>
      <c r="N320" s="64"/>
      <c r="O320" s="64"/>
      <c r="P320" s="64"/>
      <c r="Q320" s="64"/>
      <c r="R320" s="64"/>
      <c r="S320" s="64"/>
      <c r="T320" s="65"/>
      <c r="U320" s="64"/>
      <c r="V320" s="64"/>
      <c r="W320" s="64"/>
      <c r="X320" s="64"/>
      <c r="Y320" s="64"/>
      <c r="Z320" s="64"/>
      <c r="AA320" s="64"/>
      <c r="AB320" s="64"/>
      <c r="AC320" s="64"/>
      <c r="AD320" s="64"/>
      <c r="AE320" s="64"/>
      <c r="AF320" s="64"/>
      <c r="AG320" s="64"/>
    </row>
    <row r="321">
      <c r="A321" s="64"/>
      <c r="B321" s="64"/>
      <c r="C321" s="64"/>
      <c r="D321" s="64"/>
      <c r="E321" s="65"/>
      <c r="F321" s="64"/>
      <c r="G321" s="67"/>
      <c r="H321" s="64"/>
      <c r="I321" s="64"/>
      <c r="J321" s="64"/>
      <c r="K321" s="64"/>
      <c r="L321" s="65"/>
      <c r="M321" s="64"/>
      <c r="N321" s="64"/>
      <c r="O321" s="64"/>
      <c r="P321" s="64"/>
      <c r="Q321" s="64"/>
      <c r="R321" s="64"/>
      <c r="S321" s="64"/>
      <c r="T321" s="65"/>
      <c r="U321" s="64"/>
      <c r="V321" s="64"/>
      <c r="W321" s="64"/>
      <c r="X321" s="64"/>
      <c r="Y321" s="64"/>
      <c r="Z321" s="64"/>
      <c r="AA321" s="64"/>
      <c r="AB321" s="64"/>
      <c r="AC321" s="64"/>
      <c r="AD321" s="64"/>
      <c r="AE321" s="64"/>
      <c r="AF321" s="64"/>
      <c r="AG321" s="64"/>
    </row>
    <row r="322">
      <c r="A322" s="64"/>
      <c r="B322" s="64"/>
      <c r="C322" s="64"/>
      <c r="D322" s="64"/>
      <c r="E322" s="65"/>
      <c r="F322" s="64"/>
      <c r="G322" s="67"/>
      <c r="H322" s="64"/>
      <c r="I322" s="64"/>
      <c r="J322" s="64"/>
      <c r="K322" s="64"/>
      <c r="L322" s="65"/>
      <c r="M322" s="64"/>
      <c r="N322" s="64"/>
      <c r="O322" s="64"/>
      <c r="P322" s="64"/>
      <c r="Q322" s="64"/>
      <c r="R322" s="64"/>
      <c r="S322" s="64"/>
      <c r="T322" s="65"/>
      <c r="U322" s="64"/>
      <c r="V322" s="64"/>
      <c r="W322" s="64"/>
      <c r="X322" s="64"/>
      <c r="Y322" s="64"/>
      <c r="Z322" s="64"/>
      <c r="AA322" s="64"/>
      <c r="AB322" s="64"/>
      <c r="AC322" s="64"/>
      <c r="AD322" s="64"/>
      <c r="AE322" s="64"/>
      <c r="AF322" s="64"/>
      <c r="AG322" s="64"/>
    </row>
    <row r="323">
      <c r="A323" s="64"/>
      <c r="B323" s="64"/>
      <c r="C323" s="64"/>
      <c r="D323" s="64"/>
      <c r="E323" s="65"/>
      <c r="F323" s="64"/>
      <c r="G323" s="67"/>
      <c r="H323" s="64"/>
      <c r="I323" s="64"/>
      <c r="J323" s="64"/>
      <c r="K323" s="64"/>
      <c r="L323" s="65"/>
      <c r="M323" s="64"/>
      <c r="N323" s="64"/>
      <c r="O323" s="64"/>
      <c r="P323" s="64"/>
      <c r="Q323" s="64"/>
      <c r="R323" s="64"/>
      <c r="S323" s="64"/>
      <c r="T323" s="65"/>
      <c r="U323" s="64"/>
      <c r="V323" s="64"/>
      <c r="W323" s="64"/>
      <c r="X323" s="64"/>
      <c r="Y323" s="64"/>
      <c r="Z323" s="64"/>
      <c r="AA323" s="64"/>
      <c r="AB323" s="64"/>
      <c r="AC323" s="64"/>
      <c r="AD323" s="64"/>
      <c r="AE323" s="64"/>
      <c r="AF323" s="64"/>
      <c r="AG323" s="64"/>
    </row>
    <row r="324">
      <c r="A324" s="64"/>
      <c r="B324" s="64"/>
      <c r="C324" s="64"/>
      <c r="D324" s="64"/>
      <c r="E324" s="65"/>
      <c r="F324" s="64"/>
      <c r="G324" s="67"/>
      <c r="H324" s="64"/>
      <c r="I324" s="64"/>
      <c r="J324" s="64"/>
      <c r="K324" s="64"/>
      <c r="L324" s="65"/>
      <c r="M324" s="64"/>
      <c r="N324" s="64"/>
      <c r="O324" s="64"/>
      <c r="P324" s="64"/>
      <c r="Q324" s="64"/>
      <c r="R324" s="64"/>
      <c r="S324" s="64"/>
      <c r="T324" s="65"/>
      <c r="U324" s="64"/>
      <c r="V324" s="64"/>
      <c r="W324" s="64"/>
      <c r="X324" s="64"/>
      <c r="Y324" s="64"/>
      <c r="Z324" s="64"/>
      <c r="AA324" s="64"/>
      <c r="AB324" s="64"/>
      <c r="AC324" s="64"/>
      <c r="AD324" s="64"/>
      <c r="AE324" s="64"/>
      <c r="AF324" s="64"/>
      <c r="AG324" s="64"/>
    </row>
    <row r="325">
      <c r="A325" s="64"/>
      <c r="B325" s="64"/>
      <c r="C325" s="64"/>
      <c r="D325" s="64"/>
      <c r="E325" s="65"/>
      <c r="F325" s="64"/>
      <c r="G325" s="67"/>
      <c r="H325" s="64"/>
      <c r="I325" s="64"/>
      <c r="J325" s="64"/>
      <c r="K325" s="64"/>
      <c r="L325" s="65"/>
      <c r="M325" s="64"/>
      <c r="N325" s="64"/>
      <c r="O325" s="64"/>
      <c r="P325" s="64"/>
      <c r="Q325" s="64"/>
      <c r="R325" s="64"/>
      <c r="S325" s="64"/>
      <c r="T325" s="65"/>
      <c r="U325" s="64"/>
      <c r="V325" s="64"/>
      <c r="W325" s="64"/>
      <c r="X325" s="64"/>
      <c r="Y325" s="64"/>
      <c r="Z325" s="64"/>
      <c r="AA325" s="64"/>
      <c r="AB325" s="64"/>
      <c r="AC325" s="64"/>
      <c r="AD325" s="64"/>
      <c r="AE325" s="64"/>
      <c r="AF325" s="64"/>
      <c r="AG325" s="64"/>
    </row>
    <row r="326">
      <c r="A326" s="64"/>
      <c r="B326" s="64"/>
      <c r="C326" s="64"/>
      <c r="D326" s="64"/>
      <c r="E326" s="65"/>
      <c r="F326" s="64"/>
      <c r="G326" s="67"/>
      <c r="H326" s="64"/>
      <c r="I326" s="64"/>
      <c r="J326" s="64"/>
      <c r="K326" s="64"/>
      <c r="L326" s="65"/>
      <c r="M326" s="64"/>
      <c r="N326" s="64"/>
      <c r="O326" s="64"/>
      <c r="P326" s="64"/>
      <c r="Q326" s="64"/>
      <c r="R326" s="64"/>
      <c r="S326" s="64"/>
      <c r="T326" s="65"/>
      <c r="U326" s="64"/>
      <c r="V326" s="64"/>
      <c r="W326" s="64"/>
      <c r="X326" s="64"/>
      <c r="Y326" s="64"/>
      <c r="Z326" s="64"/>
      <c r="AA326" s="64"/>
      <c r="AB326" s="64"/>
      <c r="AC326" s="64"/>
      <c r="AD326" s="64"/>
      <c r="AE326" s="64"/>
      <c r="AF326" s="64"/>
      <c r="AG326" s="64"/>
    </row>
    <row r="327">
      <c r="A327" s="64"/>
      <c r="B327" s="64"/>
      <c r="C327" s="64"/>
      <c r="D327" s="64"/>
      <c r="E327" s="65"/>
      <c r="F327" s="64"/>
      <c r="G327" s="67"/>
      <c r="H327" s="64"/>
      <c r="I327" s="64"/>
      <c r="J327" s="64"/>
      <c r="K327" s="64"/>
      <c r="L327" s="65"/>
      <c r="M327" s="64"/>
      <c r="N327" s="64"/>
      <c r="O327" s="64"/>
      <c r="P327" s="64"/>
      <c r="Q327" s="64"/>
      <c r="R327" s="64"/>
      <c r="S327" s="64"/>
      <c r="T327" s="65"/>
      <c r="U327" s="64"/>
      <c r="V327" s="64"/>
      <c r="W327" s="64"/>
      <c r="X327" s="64"/>
      <c r="Y327" s="64"/>
      <c r="Z327" s="64"/>
      <c r="AA327" s="64"/>
      <c r="AB327" s="64"/>
      <c r="AC327" s="64"/>
      <c r="AD327" s="64"/>
      <c r="AE327" s="64"/>
      <c r="AF327" s="64"/>
      <c r="AG327" s="64"/>
    </row>
    <row r="328">
      <c r="A328" s="64"/>
      <c r="B328" s="64"/>
      <c r="C328" s="64"/>
      <c r="D328" s="64"/>
      <c r="E328" s="65"/>
      <c r="F328" s="64"/>
      <c r="G328" s="67"/>
      <c r="H328" s="64"/>
      <c r="I328" s="64"/>
      <c r="J328" s="64"/>
      <c r="K328" s="64"/>
      <c r="L328" s="65"/>
      <c r="M328" s="64"/>
      <c r="N328" s="64"/>
      <c r="O328" s="64"/>
      <c r="P328" s="64"/>
      <c r="Q328" s="64"/>
      <c r="R328" s="64"/>
      <c r="S328" s="64"/>
      <c r="T328" s="65"/>
      <c r="U328" s="64"/>
      <c r="V328" s="64"/>
      <c r="W328" s="64"/>
      <c r="X328" s="64"/>
      <c r="Y328" s="64"/>
      <c r="Z328" s="64"/>
      <c r="AA328" s="64"/>
      <c r="AB328" s="64"/>
      <c r="AC328" s="64"/>
      <c r="AD328" s="64"/>
      <c r="AE328" s="64"/>
      <c r="AF328" s="64"/>
      <c r="AG328" s="64"/>
    </row>
    <row r="329">
      <c r="A329" s="64"/>
      <c r="B329" s="64"/>
      <c r="C329" s="64"/>
      <c r="D329" s="64"/>
      <c r="E329" s="65"/>
      <c r="F329" s="64"/>
      <c r="G329" s="67"/>
      <c r="H329" s="64"/>
      <c r="I329" s="64"/>
      <c r="J329" s="64"/>
      <c r="K329" s="64"/>
      <c r="L329" s="65"/>
      <c r="M329" s="64"/>
      <c r="N329" s="64"/>
      <c r="O329" s="64"/>
      <c r="P329" s="64"/>
      <c r="Q329" s="64"/>
      <c r="R329" s="64"/>
      <c r="S329" s="64"/>
      <c r="T329" s="65"/>
      <c r="U329" s="64"/>
      <c r="V329" s="64"/>
      <c r="W329" s="64"/>
      <c r="X329" s="64"/>
      <c r="Y329" s="64"/>
      <c r="Z329" s="64"/>
      <c r="AA329" s="64"/>
      <c r="AB329" s="64"/>
      <c r="AC329" s="64"/>
      <c r="AD329" s="64"/>
      <c r="AE329" s="64"/>
      <c r="AF329" s="64"/>
      <c r="AG329" s="64"/>
    </row>
    <row r="330">
      <c r="A330" s="64"/>
      <c r="B330" s="64"/>
      <c r="C330" s="64"/>
      <c r="D330" s="64"/>
      <c r="E330" s="65"/>
      <c r="F330" s="64"/>
      <c r="G330" s="67"/>
      <c r="H330" s="64"/>
      <c r="I330" s="64"/>
      <c r="J330" s="64"/>
      <c r="K330" s="64"/>
      <c r="L330" s="65"/>
      <c r="M330" s="64"/>
      <c r="N330" s="64"/>
      <c r="O330" s="64"/>
      <c r="P330" s="64"/>
      <c r="Q330" s="64"/>
      <c r="R330" s="64"/>
      <c r="S330" s="64"/>
      <c r="T330" s="65"/>
      <c r="U330" s="64"/>
      <c r="V330" s="64"/>
      <c r="W330" s="64"/>
      <c r="X330" s="64"/>
      <c r="Y330" s="64"/>
      <c r="Z330" s="64"/>
      <c r="AA330" s="64"/>
      <c r="AB330" s="64"/>
      <c r="AC330" s="64"/>
      <c r="AD330" s="64"/>
      <c r="AE330" s="64"/>
      <c r="AF330" s="64"/>
      <c r="AG330" s="64"/>
    </row>
    <row r="331">
      <c r="A331" s="64"/>
      <c r="B331" s="64"/>
      <c r="C331" s="64"/>
      <c r="D331" s="64"/>
      <c r="E331" s="65"/>
      <c r="F331" s="64"/>
      <c r="G331" s="67"/>
      <c r="H331" s="64"/>
      <c r="I331" s="64"/>
      <c r="J331" s="64"/>
      <c r="K331" s="64"/>
      <c r="L331" s="65"/>
      <c r="M331" s="64"/>
      <c r="N331" s="64"/>
      <c r="O331" s="64"/>
      <c r="P331" s="64"/>
      <c r="Q331" s="64"/>
      <c r="R331" s="64"/>
      <c r="S331" s="64"/>
      <c r="T331" s="65"/>
      <c r="U331" s="64"/>
      <c r="V331" s="64"/>
      <c r="W331" s="64"/>
      <c r="X331" s="64"/>
      <c r="Y331" s="64"/>
      <c r="Z331" s="64"/>
      <c r="AA331" s="64"/>
      <c r="AB331" s="64"/>
      <c r="AC331" s="64"/>
      <c r="AD331" s="64"/>
      <c r="AE331" s="64"/>
      <c r="AF331" s="64"/>
      <c r="AG331" s="64"/>
    </row>
    <row r="332">
      <c r="A332" s="64"/>
      <c r="B332" s="64"/>
      <c r="C332" s="64"/>
      <c r="D332" s="64"/>
      <c r="E332" s="65"/>
      <c r="F332" s="64"/>
      <c r="G332" s="67"/>
      <c r="H332" s="64"/>
      <c r="I332" s="64"/>
      <c r="J332" s="64"/>
      <c r="K332" s="64"/>
      <c r="L332" s="65"/>
      <c r="M332" s="64"/>
      <c r="N332" s="64"/>
      <c r="O332" s="64"/>
      <c r="P332" s="64"/>
      <c r="Q332" s="64"/>
      <c r="R332" s="64"/>
      <c r="S332" s="64"/>
      <c r="T332" s="65"/>
      <c r="U332" s="64"/>
      <c r="V332" s="64"/>
      <c r="W332" s="64"/>
      <c r="X332" s="64"/>
      <c r="Y332" s="64"/>
      <c r="Z332" s="64"/>
      <c r="AA332" s="64"/>
      <c r="AB332" s="64"/>
      <c r="AC332" s="64"/>
      <c r="AD332" s="64"/>
      <c r="AE332" s="64"/>
      <c r="AF332" s="64"/>
      <c r="AG332" s="64"/>
    </row>
    <row r="333">
      <c r="A333" s="64"/>
      <c r="B333" s="64"/>
      <c r="C333" s="64"/>
      <c r="D333" s="64"/>
      <c r="E333" s="65"/>
      <c r="F333" s="64"/>
      <c r="G333" s="67"/>
      <c r="H333" s="64"/>
      <c r="I333" s="64"/>
      <c r="J333" s="64"/>
      <c r="K333" s="64"/>
      <c r="L333" s="65"/>
      <c r="M333" s="64"/>
      <c r="N333" s="64"/>
      <c r="O333" s="64"/>
      <c r="P333" s="64"/>
      <c r="Q333" s="64"/>
      <c r="R333" s="64"/>
      <c r="S333" s="64"/>
      <c r="T333" s="65"/>
      <c r="U333" s="64"/>
      <c r="V333" s="64"/>
      <c r="W333" s="64"/>
      <c r="X333" s="64"/>
      <c r="Y333" s="64"/>
      <c r="Z333" s="64"/>
      <c r="AA333" s="64"/>
      <c r="AB333" s="64"/>
      <c r="AC333" s="64"/>
      <c r="AD333" s="64"/>
      <c r="AE333" s="64"/>
      <c r="AF333" s="64"/>
      <c r="AG333" s="64"/>
    </row>
    <row r="334">
      <c r="A334" s="64"/>
      <c r="B334" s="64"/>
      <c r="C334" s="64"/>
      <c r="D334" s="64"/>
      <c r="E334" s="65"/>
      <c r="F334" s="64"/>
      <c r="G334" s="67"/>
      <c r="H334" s="64"/>
      <c r="I334" s="64"/>
      <c r="J334" s="64"/>
      <c r="K334" s="64"/>
      <c r="L334" s="65"/>
      <c r="M334" s="64"/>
      <c r="N334" s="64"/>
      <c r="O334" s="64"/>
      <c r="P334" s="64"/>
      <c r="Q334" s="64"/>
      <c r="R334" s="64"/>
      <c r="S334" s="64"/>
      <c r="T334" s="65"/>
      <c r="U334" s="64"/>
      <c r="V334" s="64"/>
      <c r="W334" s="64"/>
      <c r="X334" s="64"/>
      <c r="Y334" s="64"/>
      <c r="Z334" s="64"/>
      <c r="AA334" s="64"/>
      <c r="AB334" s="64"/>
      <c r="AC334" s="64"/>
      <c r="AD334" s="64"/>
      <c r="AE334" s="64"/>
      <c r="AF334" s="64"/>
      <c r="AG334" s="64"/>
    </row>
    <row r="335">
      <c r="A335" s="64"/>
      <c r="B335" s="64"/>
      <c r="C335" s="64"/>
      <c r="D335" s="64"/>
      <c r="E335" s="65"/>
      <c r="F335" s="64"/>
      <c r="G335" s="67"/>
      <c r="H335" s="64"/>
      <c r="I335" s="64"/>
      <c r="J335" s="64"/>
      <c r="K335" s="64"/>
      <c r="L335" s="65"/>
      <c r="M335" s="64"/>
      <c r="N335" s="64"/>
      <c r="O335" s="64"/>
      <c r="P335" s="64"/>
      <c r="Q335" s="64"/>
      <c r="R335" s="64"/>
      <c r="S335" s="64"/>
      <c r="T335" s="65"/>
      <c r="U335" s="64"/>
      <c r="V335" s="64"/>
      <c r="W335" s="64"/>
      <c r="X335" s="64"/>
      <c r="Y335" s="64"/>
      <c r="Z335" s="64"/>
      <c r="AA335" s="64"/>
      <c r="AB335" s="64"/>
      <c r="AC335" s="64"/>
      <c r="AD335" s="64"/>
      <c r="AE335" s="64"/>
      <c r="AF335" s="64"/>
      <c r="AG335" s="64"/>
    </row>
    <row r="336">
      <c r="A336" s="64"/>
      <c r="B336" s="64"/>
      <c r="C336" s="64"/>
      <c r="D336" s="64"/>
      <c r="E336" s="65"/>
      <c r="F336" s="64"/>
      <c r="G336" s="67"/>
      <c r="H336" s="64"/>
      <c r="I336" s="64"/>
      <c r="J336" s="64"/>
      <c r="K336" s="64"/>
      <c r="L336" s="65"/>
      <c r="M336" s="64"/>
      <c r="N336" s="64"/>
      <c r="O336" s="64"/>
      <c r="P336" s="64"/>
      <c r="Q336" s="64"/>
      <c r="R336" s="64"/>
      <c r="S336" s="64"/>
      <c r="T336" s="65"/>
      <c r="U336" s="64"/>
      <c r="V336" s="64"/>
      <c r="W336" s="64"/>
      <c r="X336" s="64"/>
      <c r="Y336" s="64"/>
      <c r="Z336" s="64"/>
      <c r="AA336" s="64"/>
      <c r="AB336" s="64"/>
      <c r="AC336" s="64"/>
      <c r="AD336" s="64"/>
      <c r="AE336" s="64"/>
      <c r="AF336" s="64"/>
      <c r="AG336" s="64"/>
    </row>
    <row r="337">
      <c r="A337" s="64"/>
      <c r="B337" s="64"/>
      <c r="C337" s="64"/>
      <c r="D337" s="64"/>
      <c r="E337" s="65"/>
      <c r="F337" s="64"/>
      <c r="G337" s="67"/>
      <c r="H337" s="64"/>
      <c r="I337" s="64"/>
      <c r="J337" s="64"/>
      <c r="K337" s="64"/>
      <c r="L337" s="65"/>
      <c r="M337" s="64"/>
      <c r="N337" s="64"/>
      <c r="O337" s="64"/>
      <c r="P337" s="64"/>
      <c r="Q337" s="64"/>
      <c r="R337" s="64"/>
      <c r="S337" s="64"/>
      <c r="T337" s="65"/>
      <c r="U337" s="64"/>
      <c r="V337" s="64"/>
      <c r="W337" s="64"/>
      <c r="X337" s="64"/>
      <c r="Y337" s="64"/>
      <c r="Z337" s="64"/>
      <c r="AA337" s="64"/>
      <c r="AB337" s="64"/>
      <c r="AC337" s="64"/>
      <c r="AD337" s="64"/>
      <c r="AE337" s="64"/>
      <c r="AF337" s="64"/>
      <c r="AG337" s="64"/>
    </row>
    <row r="338">
      <c r="A338" s="64"/>
      <c r="B338" s="64"/>
      <c r="C338" s="64"/>
      <c r="D338" s="64"/>
      <c r="E338" s="65"/>
      <c r="F338" s="64"/>
      <c r="G338" s="67"/>
      <c r="H338" s="64"/>
      <c r="I338" s="64"/>
      <c r="J338" s="64"/>
      <c r="K338" s="64"/>
      <c r="L338" s="65"/>
      <c r="M338" s="64"/>
      <c r="N338" s="64"/>
      <c r="O338" s="64"/>
      <c r="P338" s="64"/>
      <c r="Q338" s="64"/>
      <c r="R338" s="64"/>
      <c r="S338" s="64"/>
      <c r="T338" s="65"/>
      <c r="U338" s="64"/>
      <c r="V338" s="64"/>
      <c r="W338" s="64"/>
      <c r="X338" s="64"/>
      <c r="Y338" s="64"/>
      <c r="Z338" s="64"/>
      <c r="AA338" s="64"/>
      <c r="AB338" s="64"/>
      <c r="AC338" s="64"/>
      <c r="AD338" s="64"/>
      <c r="AE338" s="64"/>
      <c r="AF338" s="64"/>
      <c r="AG338" s="64"/>
    </row>
    <row r="339">
      <c r="A339" s="64"/>
      <c r="B339" s="64"/>
      <c r="C339" s="64"/>
      <c r="D339" s="64"/>
      <c r="E339" s="65"/>
      <c r="F339" s="64"/>
      <c r="G339" s="67"/>
      <c r="H339" s="64"/>
      <c r="I339" s="64"/>
      <c r="J339" s="64"/>
      <c r="K339" s="64"/>
      <c r="L339" s="65"/>
      <c r="M339" s="64"/>
      <c r="N339" s="64"/>
      <c r="O339" s="64"/>
      <c r="P339" s="64"/>
      <c r="Q339" s="64"/>
      <c r="R339" s="64"/>
      <c r="S339" s="64"/>
      <c r="T339" s="65"/>
      <c r="U339" s="64"/>
      <c r="V339" s="64"/>
      <c r="W339" s="64"/>
      <c r="X339" s="64"/>
      <c r="Y339" s="64"/>
      <c r="Z339" s="64"/>
      <c r="AA339" s="64"/>
      <c r="AB339" s="64"/>
      <c r="AC339" s="64"/>
      <c r="AD339" s="64"/>
      <c r="AE339" s="64"/>
      <c r="AF339" s="64"/>
      <c r="AG339" s="64"/>
    </row>
    <row r="340">
      <c r="A340" s="64"/>
      <c r="B340" s="64"/>
      <c r="C340" s="64"/>
      <c r="D340" s="64"/>
      <c r="E340" s="65"/>
      <c r="F340" s="64"/>
      <c r="G340" s="67"/>
      <c r="H340" s="64"/>
      <c r="I340" s="64"/>
      <c r="J340" s="64"/>
      <c r="K340" s="64"/>
      <c r="L340" s="65"/>
      <c r="M340" s="64"/>
      <c r="N340" s="64"/>
      <c r="O340" s="64"/>
      <c r="P340" s="64"/>
      <c r="Q340" s="64"/>
      <c r="R340" s="64"/>
      <c r="S340" s="64"/>
      <c r="T340" s="65"/>
      <c r="U340" s="64"/>
      <c r="V340" s="64"/>
      <c r="W340" s="64"/>
      <c r="X340" s="64"/>
      <c r="Y340" s="64"/>
      <c r="Z340" s="64"/>
      <c r="AA340" s="64"/>
      <c r="AB340" s="64"/>
      <c r="AC340" s="64"/>
      <c r="AD340" s="64"/>
      <c r="AE340" s="64"/>
      <c r="AF340" s="64"/>
      <c r="AG340" s="64"/>
    </row>
    <row r="341">
      <c r="A341" s="64"/>
      <c r="B341" s="64"/>
      <c r="C341" s="64"/>
      <c r="D341" s="64"/>
      <c r="E341" s="65"/>
      <c r="F341" s="64"/>
      <c r="G341" s="67"/>
      <c r="H341" s="64"/>
      <c r="I341" s="64"/>
      <c r="J341" s="64"/>
      <c r="K341" s="64"/>
      <c r="L341" s="65"/>
      <c r="M341" s="64"/>
      <c r="N341" s="64"/>
      <c r="O341" s="64"/>
      <c r="P341" s="64"/>
      <c r="Q341" s="64"/>
      <c r="R341" s="64"/>
      <c r="S341" s="64"/>
      <c r="T341" s="65"/>
      <c r="U341" s="64"/>
      <c r="V341" s="64"/>
      <c r="W341" s="64"/>
      <c r="X341" s="64"/>
      <c r="Y341" s="64"/>
      <c r="Z341" s="64"/>
      <c r="AA341" s="64"/>
      <c r="AB341" s="64"/>
      <c r="AC341" s="64"/>
      <c r="AD341" s="64"/>
      <c r="AE341" s="64"/>
      <c r="AF341" s="64"/>
      <c r="AG341" s="64"/>
    </row>
    <row r="342">
      <c r="A342" s="64"/>
      <c r="B342" s="64"/>
      <c r="C342" s="64"/>
      <c r="D342" s="64"/>
      <c r="E342" s="65"/>
      <c r="F342" s="64"/>
      <c r="G342" s="67"/>
      <c r="H342" s="64"/>
      <c r="I342" s="64"/>
      <c r="J342" s="64"/>
      <c r="K342" s="64"/>
      <c r="L342" s="65"/>
      <c r="M342" s="64"/>
      <c r="N342" s="64"/>
      <c r="O342" s="64"/>
      <c r="P342" s="64"/>
      <c r="Q342" s="64"/>
      <c r="R342" s="64"/>
      <c r="S342" s="64"/>
      <c r="T342" s="65"/>
      <c r="U342" s="64"/>
      <c r="V342" s="64"/>
      <c r="W342" s="64"/>
      <c r="X342" s="64"/>
      <c r="Y342" s="64"/>
      <c r="Z342" s="64"/>
      <c r="AA342" s="64"/>
      <c r="AB342" s="64"/>
      <c r="AC342" s="64"/>
      <c r="AD342" s="64"/>
      <c r="AE342" s="64"/>
      <c r="AF342" s="64"/>
      <c r="AG342" s="64"/>
    </row>
    <row r="343">
      <c r="A343" s="64"/>
      <c r="B343" s="64"/>
      <c r="C343" s="64"/>
      <c r="D343" s="64"/>
      <c r="E343" s="65"/>
      <c r="F343" s="64"/>
      <c r="G343" s="67"/>
      <c r="H343" s="64"/>
      <c r="I343" s="64"/>
      <c r="J343" s="64"/>
      <c r="K343" s="64"/>
      <c r="L343" s="65"/>
      <c r="M343" s="64"/>
      <c r="N343" s="64"/>
      <c r="O343" s="64"/>
      <c r="P343" s="64"/>
      <c r="Q343" s="64"/>
      <c r="R343" s="64"/>
      <c r="S343" s="64"/>
      <c r="T343" s="65"/>
      <c r="U343" s="64"/>
      <c r="V343" s="64"/>
      <c r="W343" s="64"/>
      <c r="X343" s="64"/>
      <c r="Y343" s="64"/>
      <c r="Z343" s="64"/>
      <c r="AA343" s="64"/>
      <c r="AB343" s="64"/>
      <c r="AC343" s="64"/>
      <c r="AD343" s="64"/>
      <c r="AE343" s="64"/>
      <c r="AF343" s="64"/>
      <c r="AG343" s="64"/>
    </row>
    <row r="344">
      <c r="A344" s="64"/>
      <c r="B344" s="64"/>
      <c r="C344" s="64"/>
      <c r="D344" s="64"/>
      <c r="E344" s="65"/>
      <c r="F344" s="64"/>
      <c r="G344" s="67"/>
      <c r="H344" s="64"/>
      <c r="I344" s="64"/>
      <c r="J344" s="64"/>
      <c r="K344" s="64"/>
      <c r="L344" s="65"/>
      <c r="M344" s="64"/>
      <c r="N344" s="64"/>
      <c r="O344" s="64"/>
      <c r="P344" s="64"/>
      <c r="Q344" s="64"/>
      <c r="R344" s="64"/>
      <c r="S344" s="64"/>
      <c r="T344" s="65"/>
      <c r="U344" s="64"/>
      <c r="V344" s="64"/>
      <c r="W344" s="64"/>
      <c r="X344" s="64"/>
      <c r="Y344" s="64"/>
      <c r="Z344" s="64"/>
      <c r="AA344" s="64"/>
      <c r="AB344" s="64"/>
      <c r="AC344" s="64"/>
      <c r="AD344" s="64"/>
      <c r="AE344" s="64"/>
      <c r="AF344" s="64"/>
      <c r="AG344" s="64"/>
    </row>
    <row r="345">
      <c r="A345" s="64"/>
      <c r="B345" s="64"/>
      <c r="C345" s="64"/>
      <c r="D345" s="64"/>
      <c r="E345" s="65"/>
      <c r="F345" s="64"/>
      <c r="G345" s="67"/>
      <c r="H345" s="64"/>
      <c r="I345" s="64"/>
      <c r="J345" s="64"/>
      <c r="K345" s="64"/>
      <c r="L345" s="65"/>
      <c r="M345" s="64"/>
      <c r="N345" s="64"/>
      <c r="O345" s="64"/>
      <c r="P345" s="64"/>
      <c r="Q345" s="64"/>
      <c r="R345" s="64"/>
      <c r="S345" s="64"/>
      <c r="T345" s="65"/>
      <c r="U345" s="64"/>
      <c r="V345" s="64"/>
      <c r="W345" s="64"/>
      <c r="X345" s="64"/>
      <c r="Y345" s="64"/>
      <c r="Z345" s="64"/>
      <c r="AA345" s="64"/>
      <c r="AB345" s="64"/>
      <c r="AC345" s="64"/>
      <c r="AD345" s="64"/>
      <c r="AE345" s="64"/>
      <c r="AF345" s="64"/>
      <c r="AG345" s="64"/>
    </row>
    <row r="346">
      <c r="A346" s="64"/>
      <c r="B346" s="64"/>
      <c r="C346" s="64"/>
      <c r="D346" s="64"/>
      <c r="E346" s="65"/>
      <c r="F346" s="64"/>
      <c r="G346" s="67"/>
      <c r="H346" s="64"/>
      <c r="I346" s="64"/>
      <c r="J346" s="64"/>
      <c r="K346" s="64"/>
      <c r="L346" s="65"/>
      <c r="M346" s="64"/>
      <c r="N346" s="64"/>
      <c r="O346" s="64"/>
      <c r="P346" s="64"/>
      <c r="Q346" s="64"/>
      <c r="R346" s="64"/>
      <c r="S346" s="64"/>
      <c r="T346" s="65"/>
      <c r="U346" s="64"/>
      <c r="V346" s="64"/>
      <c r="W346" s="64"/>
      <c r="X346" s="64"/>
      <c r="Y346" s="64"/>
      <c r="Z346" s="64"/>
      <c r="AA346" s="64"/>
      <c r="AB346" s="64"/>
      <c r="AC346" s="64"/>
      <c r="AD346" s="64"/>
      <c r="AE346" s="64"/>
      <c r="AF346" s="64"/>
      <c r="AG346" s="64"/>
    </row>
    <row r="347">
      <c r="A347" s="64"/>
      <c r="B347" s="64"/>
      <c r="C347" s="64"/>
      <c r="D347" s="64"/>
      <c r="E347" s="65"/>
      <c r="F347" s="64"/>
      <c r="G347" s="67"/>
      <c r="H347" s="64"/>
      <c r="I347" s="64"/>
      <c r="J347" s="64"/>
      <c r="K347" s="64"/>
      <c r="L347" s="65"/>
      <c r="M347" s="64"/>
      <c r="N347" s="64"/>
      <c r="O347" s="64"/>
      <c r="P347" s="64"/>
      <c r="Q347" s="64"/>
      <c r="R347" s="64"/>
      <c r="S347" s="64"/>
      <c r="T347" s="65"/>
      <c r="U347" s="64"/>
      <c r="V347" s="64"/>
      <c r="W347" s="64"/>
      <c r="X347" s="64"/>
      <c r="Y347" s="64"/>
      <c r="Z347" s="64"/>
      <c r="AA347" s="64"/>
      <c r="AB347" s="64"/>
      <c r="AC347" s="64"/>
      <c r="AD347" s="64"/>
      <c r="AE347" s="64"/>
      <c r="AF347" s="64"/>
      <c r="AG347" s="64"/>
    </row>
    <row r="348">
      <c r="A348" s="64"/>
      <c r="B348" s="64"/>
      <c r="C348" s="64"/>
      <c r="D348" s="64"/>
      <c r="E348" s="65"/>
      <c r="F348" s="64"/>
      <c r="G348" s="67"/>
      <c r="H348" s="64"/>
      <c r="I348" s="64"/>
      <c r="J348" s="64"/>
      <c r="K348" s="64"/>
      <c r="L348" s="65"/>
      <c r="M348" s="64"/>
      <c r="N348" s="64"/>
      <c r="O348" s="64"/>
      <c r="P348" s="64"/>
      <c r="Q348" s="64"/>
      <c r="R348" s="64"/>
      <c r="S348" s="64"/>
      <c r="T348" s="65"/>
      <c r="U348" s="64"/>
      <c r="V348" s="64"/>
      <c r="W348" s="64"/>
      <c r="X348" s="64"/>
      <c r="Y348" s="64"/>
      <c r="Z348" s="64"/>
      <c r="AA348" s="64"/>
      <c r="AB348" s="64"/>
      <c r="AC348" s="64"/>
      <c r="AD348" s="64"/>
      <c r="AE348" s="64"/>
      <c r="AF348" s="64"/>
      <c r="AG348" s="64"/>
    </row>
    <row r="349">
      <c r="A349" s="64"/>
      <c r="B349" s="64"/>
      <c r="C349" s="64"/>
      <c r="D349" s="64"/>
      <c r="E349" s="65"/>
      <c r="F349" s="64"/>
      <c r="G349" s="67"/>
      <c r="H349" s="64"/>
      <c r="I349" s="64"/>
      <c r="J349" s="64"/>
      <c r="K349" s="64"/>
      <c r="L349" s="65"/>
      <c r="M349" s="64"/>
      <c r="N349" s="64"/>
      <c r="O349" s="64"/>
      <c r="P349" s="64"/>
      <c r="Q349" s="64"/>
      <c r="R349" s="64"/>
      <c r="S349" s="64"/>
      <c r="T349" s="65"/>
      <c r="U349" s="64"/>
      <c r="V349" s="64"/>
      <c r="W349" s="64"/>
      <c r="X349" s="64"/>
      <c r="Y349" s="64"/>
      <c r="Z349" s="64"/>
      <c r="AA349" s="64"/>
      <c r="AB349" s="64"/>
      <c r="AC349" s="64"/>
      <c r="AD349" s="64"/>
      <c r="AE349" s="64"/>
      <c r="AF349" s="64"/>
      <c r="AG349" s="64"/>
    </row>
    <row r="350">
      <c r="A350" s="64"/>
      <c r="B350" s="64"/>
      <c r="C350" s="64"/>
      <c r="D350" s="64"/>
      <c r="E350" s="65"/>
      <c r="F350" s="64"/>
      <c r="G350" s="67"/>
      <c r="H350" s="64"/>
      <c r="I350" s="64"/>
      <c r="J350" s="64"/>
      <c r="K350" s="64"/>
      <c r="L350" s="65"/>
      <c r="M350" s="64"/>
      <c r="N350" s="64"/>
      <c r="O350" s="64"/>
      <c r="P350" s="64"/>
      <c r="Q350" s="64"/>
      <c r="R350" s="64"/>
      <c r="S350" s="64"/>
      <c r="T350" s="65"/>
      <c r="U350" s="64"/>
      <c r="V350" s="64"/>
      <c r="W350" s="64"/>
      <c r="X350" s="64"/>
      <c r="Y350" s="64"/>
      <c r="Z350" s="64"/>
      <c r="AA350" s="64"/>
      <c r="AB350" s="64"/>
      <c r="AC350" s="64"/>
      <c r="AD350" s="64"/>
      <c r="AE350" s="64"/>
      <c r="AF350" s="64"/>
      <c r="AG350" s="64"/>
    </row>
    <row r="351">
      <c r="A351" s="64"/>
      <c r="B351" s="64"/>
      <c r="C351" s="64"/>
      <c r="D351" s="64"/>
      <c r="E351" s="65"/>
      <c r="F351" s="64"/>
      <c r="G351" s="67"/>
      <c r="H351" s="64"/>
      <c r="I351" s="64"/>
      <c r="J351" s="64"/>
      <c r="K351" s="64"/>
      <c r="L351" s="65"/>
      <c r="M351" s="64"/>
      <c r="N351" s="64"/>
      <c r="O351" s="64"/>
      <c r="P351" s="64"/>
      <c r="Q351" s="64"/>
      <c r="R351" s="64"/>
      <c r="S351" s="64"/>
      <c r="T351" s="65"/>
      <c r="U351" s="64"/>
      <c r="V351" s="64"/>
      <c r="W351" s="64"/>
      <c r="X351" s="64"/>
      <c r="Y351" s="64"/>
      <c r="Z351" s="64"/>
      <c r="AA351" s="64"/>
      <c r="AB351" s="64"/>
      <c r="AC351" s="64"/>
      <c r="AD351" s="64"/>
      <c r="AE351" s="64"/>
      <c r="AF351" s="64"/>
      <c r="AG351" s="64"/>
    </row>
    <row r="352">
      <c r="A352" s="64"/>
      <c r="B352" s="64"/>
      <c r="C352" s="64"/>
      <c r="D352" s="64"/>
      <c r="E352" s="65"/>
      <c r="F352" s="64"/>
      <c r="G352" s="67"/>
      <c r="H352" s="64"/>
      <c r="I352" s="64"/>
      <c r="J352" s="64"/>
      <c r="K352" s="64"/>
      <c r="L352" s="65"/>
      <c r="M352" s="64"/>
      <c r="N352" s="64"/>
      <c r="O352" s="64"/>
      <c r="P352" s="64"/>
      <c r="Q352" s="64"/>
      <c r="R352" s="64"/>
      <c r="S352" s="64"/>
      <c r="T352" s="65"/>
      <c r="U352" s="64"/>
      <c r="V352" s="64"/>
      <c r="W352" s="64"/>
      <c r="X352" s="64"/>
      <c r="Y352" s="64"/>
      <c r="Z352" s="64"/>
      <c r="AA352" s="64"/>
      <c r="AB352" s="64"/>
      <c r="AC352" s="64"/>
      <c r="AD352" s="64"/>
      <c r="AE352" s="64"/>
      <c r="AF352" s="64"/>
      <c r="AG352" s="64"/>
    </row>
    <row r="353">
      <c r="A353" s="64"/>
      <c r="B353" s="64"/>
      <c r="C353" s="64"/>
      <c r="D353" s="64"/>
      <c r="E353" s="65"/>
      <c r="F353" s="64"/>
      <c r="G353" s="67"/>
      <c r="H353" s="64"/>
      <c r="I353" s="64"/>
      <c r="J353" s="64"/>
      <c r="K353" s="64"/>
      <c r="L353" s="65"/>
      <c r="M353" s="64"/>
      <c r="N353" s="64"/>
      <c r="O353" s="64"/>
      <c r="P353" s="64"/>
      <c r="Q353" s="64"/>
      <c r="R353" s="64"/>
      <c r="S353" s="64"/>
      <c r="T353" s="65"/>
      <c r="U353" s="64"/>
      <c r="V353" s="64"/>
      <c r="W353" s="64"/>
      <c r="X353" s="64"/>
      <c r="Y353" s="64"/>
      <c r="Z353" s="64"/>
      <c r="AA353" s="64"/>
      <c r="AB353" s="64"/>
      <c r="AC353" s="64"/>
      <c r="AD353" s="64"/>
      <c r="AE353" s="64"/>
      <c r="AF353" s="64"/>
      <c r="AG353" s="64"/>
    </row>
    <row r="354">
      <c r="A354" s="64"/>
      <c r="B354" s="64"/>
      <c r="C354" s="64"/>
      <c r="D354" s="64"/>
      <c r="E354" s="65"/>
      <c r="F354" s="64"/>
      <c r="G354" s="67"/>
      <c r="H354" s="64"/>
      <c r="I354" s="64"/>
      <c r="J354" s="64"/>
      <c r="K354" s="64"/>
      <c r="L354" s="65"/>
      <c r="M354" s="64"/>
      <c r="N354" s="64"/>
      <c r="O354" s="64"/>
      <c r="P354" s="64"/>
      <c r="Q354" s="64"/>
      <c r="R354" s="64"/>
      <c r="S354" s="64"/>
      <c r="T354" s="65"/>
      <c r="U354" s="64"/>
      <c r="V354" s="64"/>
      <c r="W354" s="64"/>
      <c r="X354" s="64"/>
      <c r="Y354" s="64"/>
      <c r="Z354" s="64"/>
      <c r="AA354" s="64"/>
      <c r="AB354" s="64"/>
      <c r="AC354" s="64"/>
      <c r="AD354" s="64"/>
      <c r="AE354" s="64"/>
      <c r="AF354" s="64"/>
      <c r="AG354" s="64"/>
    </row>
    <row r="355">
      <c r="A355" s="64"/>
      <c r="B355" s="64"/>
      <c r="C355" s="64"/>
      <c r="D355" s="64"/>
      <c r="E355" s="65"/>
      <c r="F355" s="64"/>
      <c r="G355" s="67"/>
      <c r="H355" s="64"/>
      <c r="I355" s="64"/>
      <c r="J355" s="64"/>
      <c r="K355" s="64"/>
      <c r="L355" s="65"/>
      <c r="M355" s="64"/>
      <c r="N355" s="64"/>
      <c r="O355" s="64"/>
      <c r="P355" s="64"/>
      <c r="Q355" s="64"/>
      <c r="R355" s="64"/>
      <c r="S355" s="64"/>
      <c r="T355" s="65"/>
      <c r="U355" s="64"/>
      <c r="V355" s="64"/>
      <c r="W355" s="64"/>
      <c r="X355" s="64"/>
      <c r="Y355" s="64"/>
      <c r="Z355" s="64"/>
      <c r="AA355" s="64"/>
      <c r="AB355" s="64"/>
      <c r="AC355" s="64"/>
      <c r="AD355" s="64"/>
      <c r="AE355" s="64"/>
      <c r="AF355" s="64"/>
      <c r="AG355" s="64"/>
    </row>
    <row r="356">
      <c r="A356" s="64"/>
      <c r="B356" s="64"/>
      <c r="C356" s="64"/>
      <c r="D356" s="64"/>
      <c r="E356" s="65"/>
      <c r="F356" s="64"/>
      <c r="G356" s="67"/>
      <c r="H356" s="64"/>
      <c r="I356" s="64"/>
      <c r="J356" s="64"/>
      <c r="K356" s="64"/>
      <c r="L356" s="65"/>
      <c r="M356" s="64"/>
      <c r="N356" s="64"/>
      <c r="O356" s="64"/>
      <c r="P356" s="64"/>
      <c r="Q356" s="64"/>
      <c r="R356" s="64"/>
      <c r="S356" s="64"/>
      <c r="T356" s="65"/>
      <c r="U356" s="64"/>
      <c r="V356" s="64"/>
      <c r="W356" s="64"/>
      <c r="X356" s="64"/>
      <c r="Y356" s="64"/>
      <c r="Z356" s="64"/>
      <c r="AA356" s="64"/>
      <c r="AB356" s="64"/>
      <c r="AC356" s="64"/>
      <c r="AD356" s="64"/>
      <c r="AE356" s="64"/>
      <c r="AF356" s="64"/>
      <c r="AG356" s="64"/>
    </row>
    <row r="357">
      <c r="A357" s="64"/>
      <c r="B357" s="64"/>
      <c r="C357" s="64"/>
      <c r="D357" s="64"/>
      <c r="E357" s="65"/>
      <c r="F357" s="64"/>
      <c r="G357" s="67"/>
      <c r="H357" s="64"/>
      <c r="I357" s="64"/>
      <c r="J357" s="64"/>
      <c r="K357" s="64"/>
      <c r="L357" s="65"/>
      <c r="M357" s="64"/>
      <c r="N357" s="64"/>
      <c r="O357" s="64"/>
      <c r="P357" s="64"/>
      <c r="Q357" s="64"/>
      <c r="R357" s="64"/>
      <c r="S357" s="64"/>
      <c r="T357" s="65"/>
      <c r="U357" s="64"/>
      <c r="V357" s="64"/>
      <c r="W357" s="64"/>
      <c r="X357" s="64"/>
      <c r="Y357" s="64"/>
      <c r="Z357" s="64"/>
      <c r="AA357" s="64"/>
      <c r="AB357" s="64"/>
      <c r="AC357" s="64"/>
      <c r="AD357" s="64"/>
      <c r="AE357" s="64"/>
      <c r="AF357" s="64"/>
      <c r="AG357" s="64"/>
    </row>
    <row r="358">
      <c r="A358" s="64"/>
      <c r="B358" s="64"/>
      <c r="C358" s="64"/>
      <c r="D358" s="64"/>
      <c r="E358" s="65"/>
      <c r="F358" s="64"/>
      <c r="G358" s="67"/>
      <c r="H358" s="64"/>
      <c r="I358" s="64"/>
      <c r="J358" s="64"/>
      <c r="K358" s="64"/>
      <c r="L358" s="65"/>
      <c r="M358" s="64"/>
      <c r="N358" s="64"/>
      <c r="O358" s="64"/>
      <c r="P358" s="64"/>
      <c r="Q358" s="64"/>
      <c r="R358" s="64"/>
      <c r="S358" s="64"/>
      <c r="T358" s="65"/>
      <c r="U358" s="64"/>
      <c r="V358" s="64"/>
      <c r="W358" s="64"/>
      <c r="X358" s="64"/>
      <c r="Y358" s="64"/>
      <c r="Z358" s="64"/>
      <c r="AA358" s="64"/>
      <c r="AB358" s="64"/>
      <c r="AC358" s="64"/>
      <c r="AD358" s="64"/>
      <c r="AE358" s="64"/>
      <c r="AF358" s="64"/>
      <c r="AG358" s="64"/>
    </row>
    <row r="359">
      <c r="A359" s="64"/>
      <c r="B359" s="64"/>
      <c r="C359" s="64"/>
      <c r="D359" s="64"/>
      <c r="E359" s="65"/>
      <c r="F359" s="64"/>
      <c r="G359" s="67"/>
      <c r="H359" s="64"/>
      <c r="I359" s="64"/>
      <c r="J359" s="64"/>
      <c r="K359" s="64"/>
      <c r="L359" s="65"/>
      <c r="M359" s="64"/>
      <c r="N359" s="64"/>
      <c r="O359" s="64"/>
      <c r="P359" s="64"/>
      <c r="Q359" s="64"/>
      <c r="R359" s="64"/>
      <c r="S359" s="64"/>
      <c r="T359" s="65"/>
      <c r="U359" s="64"/>
      <c r="V359" s="64"/>
      <c r="W359" s="64"/>
      <c r="X359" s="64"/>
      <c r="Y359" s="64"/>
      <c r="Z359" s="64"/>
      <c r="AA359" s="64"/>
      <c r="AB359" s="64"/>
      <c r="AC359" s="64"/>
      <c r="AD359" s="64"/>
      <c r="AE359" s="64"/>
      <c r="AF359" s="64"/>
      <c r="AG359" s="64"/>
    </row>
    <row r="360">
      <c r="A360" s="64"/>
      <c r="B360" s="64"/>
      <c r="C360" s="64"/>
      <c r="D360" s="64"/>
      <c r="E360" s="65"/>
      <c r="F360" s="64"/>
      <c r="G360" s="67"/>
      <c r="H360" s="64"/>
      <c r="I360" s="64"/>
      <c r="J360" s="64"/>
      <c r="K360" s="64"/>
      <c r="L360" s="65"/>
      <c r="M360" s="64"/>
      <c r="N360" s="64"/>
      <c r="O360" s="64"/>
      <c r="P360" s="64"/>
      <c r="Q360" s="64"/>
      <c r="R360" s="64"/>
      <c r="S360" s="64"/>
      <c r="T360" s="65"/>
      <c r="U360" s="64"/>
      <c r="V360" s="64"/>
      <c r="W360" s="64"/>
      <c r="X360" s="64"/>
      <c r="Y360" s="64"/>
      <c r="Z360" s="64"/>
      <c r="AA360" s="64"/>
      <c r="AB360" s="64"/>
      <c r="AC360" s="64"/>
      <c r="AD360" s="64"/>
      <c r="AE360" s="64"/>
      <c r="AF360" s="64"/>
      <c r="AG360" s="64"/>
    </row>
    <row r="361">
      <c r="A361" s="64"/>
      <c r="B361" s="64"/>
      <c r="C361" s="64"/>
      <c r="D361" s="64"/>
      <c r="E361" s="65"/>
      <c r="F361" s="64"/>
      <c r="G361" s="67"/>
      <c r="H361" s="64"/>
      <c r="I361" s="64"/>
      <c r="J361" s="64"/>
      <c r="K361" s="64"/>
      <c r="L361" s="65"/>
      <c r="M361" s="64"/>
      <c r="N361" s="64"/>
      <c r="O361" s="64"/>
      <c r="P361" s="64"/>
      <c r="Q361" s="64"/>
      <c r="R361" s="64"/>
      <c r="S361" s="64"/>
      <c r="T361" s="65"/>
      <c r="U361" s="64"/>
      <c r="V361" s="64"/>
      <c r="W361" s="64"/>
      <c r="X361" s="64"/>
      <c r="Y361" s="64"/>
      <c r="Z361" s="64"/>
      <c r="AA361" s="64"/>
      <c r="AB361" s="64"/>
      <c r="AC361" s="64"/>
      <c r="AD361" s="64"/>
      <c r="AE361" s="64"/>
      <c r="AF361" s="64"/>
      <c r="AG361" s="64"/>
    </row>
    <row r="362">
      <c r="A362" s="64"/>
      <c r="B362" s="64"/>
      <c r="C362" s="64"/>
      <c r="D362" s="64"/>
      <c r="E362" s="65"/>
      <c r="F362" s="64"/>
      <c r="G362" s="67"/>
      <c r="H362" s="64"/>
      <c r="I362" s="64"/>
      <c r="J362" s="64"/>
      <c r="K362" s="64"/>
      <c r="L362" s="65"/>
      <c r="M362" s="64"/>
      <c r="N362" s="64"/>
      <c r="O362" s="64"/>
      <c r="P362" s="64"/>
      <c r="Q362" s="64"/>
      <c r="R362" s="64"/>
      <c r="S362" s="64"/>
      <c r="T362" s="65"/>
      <c r="U362" s="64"/>
      <c r="V362" s="64"/>
      <c r="W362" s="64"/>
      <c r="X362" s="64"/>
      <c r="Y362" s="64"/>
      <c r="Z362" s="64"/>
      <c r="AA362" s="64"/>
      <c r="AB362" s="64"/>
      <c r="AC362" s="64"/>
      <c r="AD362" s="64"/>
      <c r="AE362" s="64"/>
      <c r="AF362" s="64"/>
      <c r="AG362" s="64"/>
    </row>
    <row r="363">
      <c r="A363" s="64"/>
      <c r="B363" s="64"/>
      <c r="C363" s="64"/>
      <c r="D363" s="64"/>
      <c r="E363" s="65"/>
      <c r="F363" s="64"/>
      <c r="G363" s="67"/>
      <c r="H363" s="64"/>
      <c r="I363" s="64"/>
      <c r="J363" s="64"/>
      <c r="K363" s="64"/>
      <c r="L363" s="65"/>
      <c r="M363" s="64"/>
      <c r="N363" s="64"/>
      <c r="O363" s="64"/>
      <c r="P363" s="64"/>
      <c r="Q363" s="64"/>
      <c r="R363" s="64"/>
      <c r="S363" s="64"/>
      <c r="T363" s="65"/>
      <c r="U363" s="64"/>
      <c r="V363" s="64"/>
      <c r="W363" s="64"/>
      <c r="X363" s="64"/>
      <c r="Y363" s="64"/>
      <c r="Z363" s="64"/>
      <c r="AA363" s="64"/>
      <c r="AB363" s="64"/>
      <c r="AC363" s="64"/>
      <c r="AD363" s="64"/>
      <c r="AE363" s="64"/>
      <c r="AF363" s="64"/>
      <c r="AG363" s="64"/>
    </row>
    <row r="364">
      <c r="A364" s="64"/>
      <c r="B364" s="64"/>
      <c r="C364" s="64"/>
      <c r="D364" s="64"/>
      <c r="E364" s="65"/>
      <c r="F364" s="64"/>
      <c r="G364" s="67"/>
      <c r="H364" s="64"/>
      <c r="I364" s="64"/>
      <c r="J364" s="64"/>
      <c r="K364" s="64"/>
      <c r="L364" s="65"/>
      <c r="M364" s="64"/>
      <c r="N364" s="64"/>
      <c r="O364" s="64"/>
      <c r="P364" s="64"/>
      <c r="Q364" s="64"/>
      <c r="R364" s="64"/>
      <c r="S364" s="64"/>
      <c r="T364" s="65"/>
      <c r="U364" s="64"/>
      <c r="V364" s="64"/>
      <c r="W364" s="64"/>
      <c r="X364" s="64"/>
      <c r="Y364" s="64"/>
      <c r="Z364" s="64"/>
      <c r="AA364" s="64"/>
      <c r="AB364" s="64"/>
      <c r="AC364" s="64"/>
      <c r="AD364" s="64"/>
      <c r="AE364" s="64"/>
      <c r="AF364" s="64"/>
      <c r="AG364" s="64"/>
    </row>
    <row r="365">
      <c r="A365" s="64"/>
      <c r="B365" s="64"/>
      <c r="C365" s="64"/>
      <c r="D365" s="64"/>
      <c r="E365" s="65"/>
      <c r="F365" s="64"/>
      <c r="G365" s="67"/>
      <c r="H365" s="64"/>
      <c r="I365" s="64"/>
      <c r="J365" s="64"/>
      <c r="K365" s="64"/>
      <c r="L365" s="65"/>
      <c r="M365" s="64"/>
      <c r="N365" s="64"/>
      <c r="O365" s="64"/>
      <c r="P365" s="64"/>
      <c r="Q365" s="64"/>
      <c r="R365" s="64"/>
      <c r="S365" s="64"/>
      <c r="T365" s="65"/>
      <c r="U365" s="64"/>
      <c r="V365" s="64"/>
      <c r="W365" s="64"/>
      <c r="X365" s="64"/>
      <c r="Y365" s="64"/>
      <c r="Z365" s="64"/>
      <c r="AA365" s="64"/>
      <c r="AB365" s="64"/>
      <c r="AC365" s="64"/>
      <c r="AD365" s="64"/>
      <c r="AE365" s="64"/>
      <c r="AF365" s="64"/>
      <c r="AG365" s="64"/>
    </row>
    <row r="366">
      <c r="A366" s="64"/>
      <c r="B366" s="64"/>
      <c r="C366" s="64"/>
      <c r="D366" s="64"/>
      <c r="E366" s="65"/>
      <c r="F366" s="64"/>
      <c r="G366" s="67"/>
      <c r="H366" s="64"/>
      <c r="I366" s="64"/>
      <c r="J366" s="64"/>
      <c r="K366" s="64"/>
      <c r="L366" s="65"/>
      <c r="M366" s="64"/>
      <c r="N366" s="64"/>
      <c r="O366" s="64"/>
      <c r="P366" s="64"/>
      <c r="Q366" s="64"/>
      <c r="R366" s="64"/>
      <c r="S366" s="64"/>
      <c r="T366" s="65"/>
      <c r="U366" s="64"/>
      <c r="V366" s="64"/>
      <c r="W366" s="64"/>
      <c r="X366" s="64"/>
      <c r="Y366" s="64"/>
      <c r="Z366" s="64"/>
      <c r="AA366" s="64"/>
      <c r="AB366" s="64"/>
      <c r="AC366" s="64"/>
      <c r="AD366" s="64"/>
      <c r="AE366" s="64"/>
      <c r="AF366" s="64"/>
      <c r="AG366" s="64"/>
    </row>
    <row r="367">
      <c r="A367" s="64"/>
      <c r="B367" s="64"/>
      <c r="C367" s="64"/>
      <c r="D367" s="64"/>
      <c r="E367" s="65"/>
      <c r="F367" s="64"/>
      <c r="G367" s="67"/>
      <c r="H367" s="64"/>
      <c r="I367" s="64"/>
      <c r="J367" s="64"/>
      <c r="K367" s="64"/>
      <c r="L367" s="65"/>
      <c r="M367" s="64"/>
      <c r="N367" s="64"/>
      <c r="O367" s="64"/>
      <c r="P367" s="64"/>
      <c r="Q367" s="64"/>
      <c r="R367" s="64"/>
      <c r="S367" s="64"/>
      <c r="T367" s="65"/>
      <c r="U367" s="64"/>
      <c r="V367" s="64"/>
      <c r="W367" s="64"/>
      <c r="X367" s="64"/>
      <c r="Y367" s="64"/>
      <c r="Z367" s="64"/>
      <c r="AA367" s="64"/>
      <c r="AB367" s="64"/>
      <c r="AC367" s="64"/>
      <c r="AD367" s="64"/>
      <c r="AE367" s="64"/>
      <c r="AF367" s="64"/>
      <c r="AG367" s="64"/>
    </row>
    <row r="368">
      <c r="A368" s="64"/>
      <c r="B368" s="64"/>
      <c r="C368" s="64"/>
      <c r="D368" s="64"/>
      <c r="E368" s="65"/>
      <c r="F368" s="64"/>
      <c r="G368" s="67"/>
      <c r="H368" s="64"/>
      <c r="I368" s="64"/>
      <c r="J368" s="64"/>
      <c r="K368" s="64"/>
      <c r="L368" s="65"/>
      <c r="M368" s="64"/>
      <c r="N368" s="64"/>
      <c r="O368" s="64"/>
      <c r="P368" s="64"/>
      <c r="Q368" s="64"/>
      <c r="R368" s="64"/>
      <c r="S368" s="64"/>
      <c r="T368" s="65"/>
      <c r="U368" s="64"/>
      <c r="V368" s="64"/>
      <c r="W368" s="64"/>
      <c r="X368" s="64"/>
      <c r="Y368" s="64"/>
      <c r="Z368" s="64"/>
      <c r="AA368" s="64"/>
      <c r="AB368" s="64"/>
      <c r="AC368" s="64"/>
      <c r="AD368" s="64"/>
      <c r="AE368" s="64"/>
      <c r="AF368" s="64"/>
      <c r="AG368" s="64"/>
    </row>
    <row r="369">
      <c r="A369" s="64"/>
      <c r="B369" s="64"/>
      <c r="C369" s="64"/>
      <c r="D369" s="64"/>
      <c r="E369" s="65"/>
      <c r="F369" s="64"/>
      <c r="G369" s="67"/>
      <c r="H369" s="64"/>
      <c r="I369" s="64"/>
      <c r="J369" s="64"/>
      <c r="K369" s="64"/>
      <c r="L369" s="65"/>
      <c r="M369" s="64"/>
      <c r="N369" s="64"/>
      <c r="O369" s="64"/>
      <c r="P369" s="64"/>
      <c r="Q369" s="64"/>
      <c r="R369" s="64"/>
      <c r="S369" s="64"/>
      <c r="T369" s="65"/>
      <c r="U369" s="64"/>
      <c r="V369" s="64"/>
      <c r="W369" s="64"/>
      <c r="X369" s="64"/>
      <c r="Y369" s="64"/>
      <c r="Z369" s="64"/>
      <c r="AA369" s="64"/>
      <c r="AB369" s="64"/>
      <c r="AC369" s="64"/>
      <c r="AD369" s="64"/>
      <c r="AE369" s="64"/>
      <c r="AF369" s="64"/>
      <c r="AG369" s="64"/>
    </row>
    <row r="370">
      <c r="A370" s="64"/>
      <c r="B370" s="64"/>
      <c r="C370" s="64"/>
      <c r="D370" s="64"/>
      <c r="E370" s="65"/>
      <c r="F370" s="64"/>
      <c r="G370" s="67"/>
      <c r="H370" s="64"/>
      <c r="I370" s="64"/>
      <c r="J370" s="64"/>
      <c r="K370" s="64"/>
      <c r="L370" s="65"/>
      <c r="M370" s="64"/>
      <c r="N370" s="64"/>
      <c r="O370" s="64"/>
      <c r="P370" s="64"/>
      <c r="Q370" s="64"/>
      <c r="R370" s="64"/>
      <c r="S370" s="64"/>
      <c r="T370" s="65"/>
      <c r="U370" s="64"/>
      <c r="V370" s="64"/>
      <c r="W370" s="64"/>
      <c r="X370" s="64"/>
      <c r="Y370" s="64"/>
      <c r="Z370" s="64"/>
      <c r="AA370" s="64"/>
      <c r="AB370" s="64"/>
      <c r="AC370" s="64"/>
      <c r="AD370" s="64"/>
      <c r="AE370" s="64"/>
      <c r="AF370" s="64"/>
      <c r="AG370" s="64"/>
    </row>
    <row r="371">
      <c r="A371" s="64"/>
      <c r="B371" s="64"/>
      <c r="C371" s="64"/>
      <c r="D371" s="64"/>
      <c r="E371" s="65"/>
      <c r="F371" s="64"/>
      <c r="G371" s="67"/>
      <c r="H371" s="64"/>
      <c r="I371" s="64"/>
      <c r="J371" s="64"/>
      <c r="K371" s="64"/>
      <c r="L371" s="65"/>
      <c r="M371" s="64"/>
      <c r="N371" s="64"/>
      <c r="O371" s="64"/>
      <c r="P371" s="64"/>
      <c r="Q371" s="64"/>
      <c r="R371" s="64"/>
      <c r="S371" s="64"/>
      <c r="T371" s="65"/>
      <c r="U371" s="64"/>
      <c r="V371" s="64"/>
      <c r="W371" s="64"/>
      <c r="X371" s="64"/>
      <c r="Y371" s="64"/>
      <c r="Z371" s="64"/>
      <c r="AA371" s="64"/>
      <c r="AB371" s="64"/>
      <c r="AC371" s="64"/>
      <c r="AD371" s="64"/>
      <c r="AE371" s="64"/>
      <c r="AF371" s="64"/>
      <c r="AG371" s="64"/>
    </row>
    <row r="372">
      <c r="A372" s="64"/>
      <c r="B372" s="64"/>
      <c r="C372" s="64"/>
      <c r="D372" s="64"/>
      <c r="E372" s="65"/>
      <c r="F372" s="64"/>
      <c r="G372" s="67"/>
      <c r="H372" s="64"/>
      <c r="I372" s="64"/>
      <c r="J372" s="64"/>
      <c r="K372" s="64"/>
      <c r="L372" s="65"/>
      <c r="M372" s="64"/>
      <c r="N372" s="64"/>
      <c r="O372" s="64"/>
      <c r="P372" s="64"/>
      <c r="Q372" s="64"/>
      <c r="R372" s="64"/>
      <c r="S372" s="64"/>
      <c r="T372" s="65"/>
      <c r="U372" s="64"/>
      <c r="V372" s="64"/>
      <c r="W372" s="64"/>
      <c r="X372" s="64"/>
      <c r="Y372" s="64"/>
      <c r="Z372" s="64"/>
      <c r="AA372" s="64"/>
      <c r="AB372" s="64"/>
      <c r="AC372" s="64"/>
      <c r="AD372" s="64"/>
      <c r="AE372" s="64"/>
      <c r="AF372" s="64"/>
      <c r="AG372" s="64"/>
    </row>
    <row r="373">
      <c r="A373" s="64"/>
      <c r="B373" s="64"/>
      <c r="C373" s="64"/>
      <c r="D373" s="64"/>
      <c r="E373" s="65"/>
      <c r="F373" s="64"/>
      <c r="G373" s="67"/>
      <c r="H373" s="64"/>
      <c r="I373" s="64"/>
      <c r="J373" s="64"/>
      <c r="K373" s="64"/>
      <c r="L373" s="65"/>
      <c r="M373" s="64"/>
      <c r="N373" s="64"/>
      <c r="O373" s="64"/>
      <c r="P373" s="64"/>
      <c r="Q373" s="64"/>
      <c r="R373" s="64"/>
      <c r="S373" s="64"/>
      <c r="T373" s="65"/>
      <c r="U373" s="64"/>
      <c r="V373" s="64"/>
      <c r="W373" s="64"/>
      <c r="X373" s="64"/>
      <c r="Y373" s="64"/>
      <c r="Z373" s="64"/>
      <c r="AA373" s="64"/>
      <c r="AB373" s="64"/>
      <c r="AC373" s="64"/>
      <c r="AD373" s="64"/>
      <c r="AE373" s="64"/>
      <c r="AF373" s="64"/>
      <c r="AG373" s="64"/>
    </row>
    <row r="374">
      <c r="A374" s="64"/>
      <c r="B374" s="64"/>
      <c r="C374" s="64"/>
      <c r="D374" s="64"/>
      <c r="E374" s="65"/>
      <c r="F374" s="64"/>
      <c r="G374" s="67"/>
      <c r="H374" s="64"/>
      <c r="I374" s="64"/>
      <c r="J374" s="64"/>
      <c r="K374" s="64"/>
      <c r="L374" s="65"/>
      <c r="M374" s="64"/>
      <c r="N374" s="64"/>
      <c r="O374" s="64"/>
      <c r="P374" s="64"/>
      <c r="Q374" s="64"/>
      <c r="R374" s="64"/>
      <c r="S374" s="64"/>
      <c r="T374" s="65"/>
      <c r="U374" s="64"/>
      <c r="V374" s="64"/>
      <c r="W374" s="64"/>
      <c r="X374" s="64"/>
      <c r="Y374" s="64"/>
      <c r="Z374" s="64"/>
      <c r="AA374" s="64"/>
      <c r="AB374" s="64"/>
      <c r="AC374" s="64"/>
      <c r="AD374" s="64"/>
      <c r="AE374" s="64"/>
      <c r="AF374" s="64"/>
      <c r="AG374" s="64"/>
    </row>
    <row r="375">
      <c r="A375" s="64"/>
      <c r="B375" s="64"/>
      <c r="C375" s="64"/>
      <c r="D375" s="64"/>
      <c r="E375" s="65"/>
      <c r="F375" s="64"/>
      <c r="G375" s="67"/>
      <c r="H375" s="64"/>
      <c r="I375" s="64"/>
      <c r="J375" s="64"/>
      <c r="K375" s="64"/>
      <c r="L375" s="65"/>
      <c r="M375" s="64"/>
      <c r="N375" s="64"/>
      <c r="O375" s="64"/>
      <c r="P375" s="64"/>
      <c r="Q375" s="64"/>
      <c r="R375" s="64"/>
      <c r="S375" s="64"/>
      <c r="T375" s="65"/>
      <c r="U375" s="64"/>
      <c r="V375" s="64"/>
      <c r="W375" s="64"/>
      <c r="X375" s="64"/>
      <c r="Y375" s="64"/>
      <c r="Z375" s="64"/>
      <c r="AA375" s="64"/>
      <c r="AB375" s="64"/>
      <c r="AC375" s="64"/>
      <c r="AD375" s="64"/>
      <c r="AE375" s="64"/>
      <c r="AF375" s="64"/>
      <c r="AG375" s="64"/>
    </row>
    <row r="376">
      <c r="A376" s="64"/>
      <c r="B376" s="64"/>
      <c r="C376" s="64"/>
      <c r="D376" s="64"/>
      <c r="E376" s="65"/>
      <c r="F376" s="64"/>
      <c r="G376" s="67"/>
      <c r="H376" s="64"/>
      <c r="I376" s="64"/>
      <c r="J376" s="64"/>
      <c r="K376" s="64"/>
      <c r="L376" s="65"/>
      <c r="M376" s="64"/>
      <c r="N376" s="64"/>
      <c r="O376" s="64"/>
      <c r="P376" s="64"/>
      <c r="Q376" s="64"/>
      <c r="R376" s="64"/>
      <c r="S376" s="64"/>
      <c r="T376" s="65"/>
      <c r="U376" s="64"/>
      <c r="V376" s="64"/>
      <c r="W376" s="64"/>
      <c r="X376" s="64"/>
      <c r="Y376" s="64"/>
      <c r="Z376" s="64"/>
      <c r="AA376" s="64"/>
      <c r="AB376" s="64"/>
      <c r="AC376" s="64"/>
      <c r="AD376" s="64"/>
      <c r="AE376" s="64"/>
      <c r="AF376" s="64"/>
      <c r="AG376" s="64"/>
    </row>
    <row r="377">
      <c r="A377" s="64"/>
      <c r="B377" s="64"/>
      <c r="C377" s="64"/>
      <c r="D377" s="64"/>
      <c r="E377" s="65"/>
      <c r="F377" s="64"/>
      <c r="G377" s="67"/>
      <c r="H377" s="64"/>
      <c r="I377" s="64"/>
      <c r="J377" s="64"/>
      <c r="K377" s="64"/>
      <c r="L377" s="65"/>
      <c r="M377" s="64"/>
      <c r="N377" s="64"/>
      <c r="O377" s="64"/>
      <c r="P377" s="64"/>
      <c r="Q377" s="64"/>
      <c r="R377" s="64"/>
      <c r="S377" s="64"/>
      <c r="T377" s="65"/>
      <c r="U377" s="64"/>
      <c r="V377" s="64"/>
      <c r="W377" s="64"/>
      <c r="X377" s="64"/>
      <c r="Y377" s="64"/>
      <c r="Z377" s="64"/>
      <c r="AA377" s="64"/>
      <c r="AB377" s="64"/>
      <c r="AC377" s="64"/>
      <c r="AD377" s="64"/>
      <c r="AE377" s="64"/>
      <c r="AF377" s="64"/>
      <c r="AG377" s="64"/>
    </row>
    <row r="378">
      <c r="A378" s="64"/>
      <c r="B378" s="64"/>
      <c r="C378" s="64"/>
      <c r="D378" s="64"/>
      <c r="E378" s="65"/>
      <c r="F378" s="64"/>
      <c r="G378" s="67"/>
      <c r="H378" s="64"/>
      <c r="I378" s="64"/>
      <c r="J378" s="64"/>
      <c r="K378" s="64"/>
      <c r="L378" s="65"/>
      <c r="M378" s="64"/>
      <c r="N378" s="64"/>
      <c r="O378" s="64"/>
      <c r="P378" s="64"/>
      <c r="Q378" s="64"/>
      <c r="R378" s="64"/>
      <c r="S378" s="64"/>
      <c r="T378" s="65"/>
      <c r="U378" s="64"/>
      <c r="V378" s="64"/>
      <c r="W378" s="64"/>
      <c r="X378" s="64"/>
      <c r="Y378" s="64"/>
      <c r="Z378" s="64"/>
      <c r="AA378" s="64"/>
      <c r="AB378" s="64"/>
      <c r="AC378" s="64"/>
      <c r="AD378" s="64"/>
      <c r="AE378" s="64"/>
      <c r="AF378" s="64"/>
      <c r="AG378" s="64"/>
    </row>
    <row r="379">
      <c r="A379" s="64"/>
      <c r="B379" s="64"/>
      <c r="C379" s="64"/>
      <c r="D379" s="64"/>
      <c r="E379" s="65"/>
      <c r="F379" s="64"/>
      <c r="G379" s="67"/>
      <c r="H379" s="64"/>
      <c r="I379" s="64"/>
      <c r="J379" s="64"/>
      <c r="K379" s="64"/>
      <c r="L379" s="65"/>
      <c r="M379" s="64"/>
      <c r="N379" s="64"/>
      <c r="O379" s="64"/>
      <c r="P379" s="64"/>
      <c r="Q379" s="64"/>
      <c r="R379" s="64"/>
      <c r="S379" s="64"/>
      <c r="T379" s="65"/>
      <c r="U379" s="64"/>
      <c r="V379" s="64"/>
      <c r="W379" s="64"/>
      <c r="X379" s="64"/>
      <c r="Y379" s="64"/>
      <c r="Z379" s="64"/>
      <c r="AA379" s="64"/>
      <c r="AB379" s="64"/>
      <c r="AC379" s="64"/>
      <c r="AD379" s="64"/>
      <c r="AE379" s="64"/>
      <c r="AF379" s="64"/>
      <c r="AG379" s="64"/>
    </row>
    <row r="380">
      <c r="A380" s="64"/>
      <c r="B380" s="64"/>
      <c r="C380" s="64"/>
      <c r="D380" s="64"/>
      <c r="E380" s="65"/>
      <c r="F380" s="64"/>
      <c r="G380" s="67"/>
      <c r="H380" s="64"/>
      <c r="I380" s="64"/>
      <c r="J380" s="64"/>
      <c r="K380" s="64"/>
      <c r="L380" s="65"/>
      <c r="M380" s="64"/>
      <c r="N380" s="64"/>
      <c r="O380" s="64"/>
      <c r="P380" s="64"/>
      <c r="Q380" s="64"/>
      <c r="R380" s="64"/>
      <c r="S380" s="64"/>
      <c r="T380" s="65"/>
      <c r="U380" s="64"/>
      <c r="V380" s="64"/>
      <c r="W380" s="64"/>
      <c r="X380" s="64"/>
      <c r="Y380" s="64"/>
      <c r="Z380" s="64"/>
      <c r="AA380" s="64"/>
      <c r="AB380" s="64"/>
      <c r="AC380" s="64"/>
      <c r="AD380" s="64"/>
      <c r="AE380" s="64"/>
      <c r="AF380" s="64"/>
      <c r="AG380" s="64"/>
    </row>
    <row r="381">
      <c r="A381" s="64"/>
      <c r="B381" s="64"/>
      <c r="C381" s="64"/>
      <c r="D381" s="64"/>
      <c r="E381" s="65"/>
      <c r="F381" s="64"/>
      <c r="G381" s="67"/>
      <c r="H381" s="64"/>
      <c r="I381" s="64"/>
      <c r="J381" s="64"/>
      <c r="K381" s="64"/>
      <c r="L381" s="65"/>
      <c r="M381" s="64"/>
      <c r="N381" s="64"/>
      <c r="O381" s="64"/>
      <c r="P381" s="64"/>
      <c r="Q381" s="64"/>
      <c r="R381" s="64"/>
      <c r="S381" s="64"/>
      <c r="T381" s="65"/>
      <c r="U381" s="64"/>
      <c r="V381" s="64"/>
      <c r="W381" s="64"/>
      <c r="X381" s="64"/>
      <c r="Y381" s="64"/>
      <c r="Z381" s="64"/>
      <c r="AA381" s="64"/>
      <c r="AB381" s="64"/>
      <c r="AC381" s="64"/>
      <c r="AD381" s="64"/>
      <c r="AE381" s="64"/>
      <c r="AF381" s="64"/>
      <c r="AG381" s="64"/>
    </row>
    <row r="382">
      <c r="A382" s="64"/>
      <c r="B382" s="64"/>
      <c r="C382" s="64"/>
      <c r="D382" s="64"/>
      <c r="E382" s="65"/>
      <c r="F382" s="64"/>
      <c r="G382" s="67"/>
      <c r="H382" s="64"/>
      <c r="I382" s="64"/>
      <c r="J382" s="64"/>
      <c r="K382" s="64"/>
      <c r="L382" s="65"/>
      <c r="M382" s="64"/>
      <c r="N382" s="64"/>
      <c r="O382" s="64"/>
      <c r="P382" s="64"/>
      <c r="Q382" s="64"/>
      <c r="R382" s="64"/>
      <c r="S382" s="64"/>
      <c r="T382" s="65"/>
      <c r="U382" s="64"/>
      <c r="V382" s="64"/>
      <c r="W382" s="64"/>
      <c r="X382" s="64"/>
      <c r="Y382" s="64"/>
      <c r="Z382" s="64"/>
      <c r="AA382" s="64"/>
      <c r="AB382" s="64"/>
      <c r="AC382" s="64"/>
      <c r="AD382" s="64"/>
      <c r="AE382" s="64"/>
      <c r="AF382" s="64"/>
      <c r="AG382" s="64"/>
    </row>
    <row r="383">
      <c r="A383" s="64"/>
      <c r="B383" s="64"/>
      <c r="C383" s="64"/>
      <c r="D383" s="64"/>
      <c r="E383" s="65"/>
      <c r="F383" s="64"/>
      <c r="G383" s="67"/>
      <c r="H383" s="64"/>
      <c r="I383" s="64"/>
      <c r="J383" s="64"/>
      <c r="K383" s="64"/>
      <c r="L383" s="65"/>
      <c r="M383" s="64"/>
      <c r="N383" s="64"/>
      <c r="O383" s="64"/>
      <c r="P383" s="64"/>
      <c r="Q383" s="64"/>
      <c r="R383" s="64"/>
      <c r="S383" s="64"/>
      <c r="T383" s="65"/>
      <c r="U383" s="64"/>
      <c r="V383" s="64"/>
      <c r="W383" s="64"/>
      <c r="X383" s="64"/>
      <c r="Y383" s="64"/>
      <c r="Z383" s="64"/>
      <c r="AA383" s="64"/>
      <c r="AB383" s="64"/>
      <c r="AC383" s="64"/>
      <c r="AD383" s="64"/>
      <c r="AE383" s="64"/>
      <c r="AF383" s="64"/>
      <c r="AG383" s="64"/>
    </row>
    <row r="384">
      <c r="A384" s="64"/>
      <c r="B384" s="64"/>
      <c r="C384" s="64"/>
      <c r="D384" s="64"/>
      <c r="E384" s="65"/>
      <c r="F384" s="64"/>
      <c r="G384" s="67"/>
      <c r="H384" s="64"/>
      <c r="I384" s="64"/>
      <c r="J384" s="64"/>
      <c r="K384" s="64"/>
      <c r="L384" s="65"/>
      <c r="M384" s="64"/>
      <c r="N384" s="64"/>
      <c r="O384" s="64"/>
      <c r="P384" s="64"/>
      <c r="Q384" s="64"/>
      <c r="R384" s="64"/>
      <c r="S384" s="64"/>
      <c r="T384" s="65"/>
      <c r="U384" s="64"/>
      <c r="V384" s="64"/>
      <c r="W384" s="64"/>
      <c r="X384" s="64"/>
      <c r="Y384" s="64"/>
      <c r="Z384" s="64"/>
      <c r="AA384" s="64"/>
      <c r="AB384" s="64"/>
      <c r="AC384" s="64"/>
      <c r="AD384" s="64"/>
      <c r="AE384" s="64"/>
      <c r="AF384" s="64"/>
      <c r="AG384" s="64"/>
    </row>
    <row r="385">
      <c r="A385" s="64"/>
      <c r="B385" s="64"/>
      <c r="C385" s="64"/>
      <c r="D385" s="64"/>
      <c r="E385" s="65"/>
      <c r="F385" s="64"/>
      <c r="G385" s="67"/>
      <c r="H385" s="64"/>
      <c r="I385" s="64"/>
      <c r="J385" s="64"/>
      <c r="K385" s="64"/>
      <c r="L385" s="65"/>
      <c r="M385" s="64"/>
      <c r="N385" s="64"/>
      <c r="O385" s="64"/>
      <c r="P385" s="64"/>
      <c r="Q385" s="64"/>
      <c r="R385" s="64"/>
      <c r="S385" s="64"/>
      <c r="T385" s="65"/>
      <c r="U385" s="64"/>
      <c r="V385" s="64"/>
      <c r="W385" s="64"/>
      <c r="X385" s="64"/>
      <c r="Y385" s="64"/>
      <c r="Z385" s="64"/>
      <c r="AA385" s="64"/>
      <c r="AB385" s="64"/>
      <c r="AC385" s="64"/>
      <c r="AD385" s="64"/>
      <c r="AE385" s="64"/>
      <c r="AF385" s="64"/>
      <c r="AG385" s="64"/>
    </row>
    <row r="386">
      <c r="A386" s="64"/>
      <c r="B386" s="64"/>
      <c r="C386" s="64"/>
      <c r="D386" s="64"/>
      <c r="E386" s="65"/>
      <c r="F386" s="64"/>
      <c r="G386" s="67"/>
      <c r="H386" s="64"/>
      <c r="I386" s="64"/>
      <c r="J386" s="64"/>
      <c r="K386" s="64"/>
      <c r="L386" s="65"/>
      <c r="M386" s="64"/>
      <c r="N386" s="64"/>
      <c r="O386" s="64"/>
      <c r="P386" s="64"/>
      <c r="Q386" s="64"/>
      <c r="R386" s="64"/>
      <c r="S386" s="64"/>
      <c r="T386" s="65"/>
      <c r="U386" s="64"/>
      <c r="V386" s="64"/>
      <c r="W386" s="64"/>
      <c r="X386" s="64"/>
      <c r="Y386" s="64"/>
      <c r="Z386" s="64"/>
      <c r="AA386" s="64"/>
      <c r="AB386" s="64"/>
      <c r="AC386" s="64"/>
      <c r="AD386" s="64"/>
      <c r="AE386" s="64"/>
      <c r="AF386" s="64"/>
      <c r="AG386" s="64"/>
    </row>
    <row r="387">
      <c r="A387" s="64"/>
      <c r="B387" s="64"/>
      <c r="C387" s="64"/>
      <c r="D387" s="64"/>
      <c r="E387" s="65"/>
      <c r="F387" s="64"/>
      <c r="G387" s="67"/>
      <c r="H387" s="64"/>
      <c r="I387" s="64"/>
      <c r="J387" s="64"/>
      <c r="K387" s="64"/>
      <c r="L387" s="65"/>
      <c r="M387" s="64"/>
      <c r="N387" s="64"/>
      <c r="O387" s="64"/>
      <c r="P387" s="64"/>
      <c r="Q387" s="64"/>
      <c r="R387" s="64"/>
      <c r="S387" s="64"/>
      <c r="T387" s="65"/>
      <c r="U387" s="64"/>
      <c r="V387" s="64"/>
      <c r="W387" s="64"/>
      <c r="X387" s="64"/>
      <c r="Y387" s="64"/>
      <c r="Z387" s="64"/>
      <c r="AA387" s="64"/>
      <c r="AB387" s="64"/>
      <c r="AC387" s="64"/>
      <c r="AD387" s="64"/>
      <c r="AE387" s="64"/>
      <c r="AF387" s="64"/>
      <c r="AG387" s="64"/>
    </row>
    <row r="388">
      <c r="A388" s="64"/>
      <c r="B388" s="64"/>
      <c r="C388" s="64"/>
      <c r="D388" s="64"/>
      <c r="E388" s="65"/>
      <c r="F388" s="64"/>
      <c r="G388" s="67"/>
      <c r="H388" s="64"/>
      <c r="I388" s="64"/>
      <c r="J388" s="64"/>
      <c r="K388" s="64"/>
      <c r="L388" s="65"/>
      <c r="M388" s="64"/>
      <c r="N388" s="64"/>
      <c r="O388" s="64"/>
      <c r="P388" s="64"/>
      <c r="Q388" s="64"/>
      <c r="R388" s="64"/>
      <c r="S388" s="64"/>
      <c r="T388" s="65"/>
      <c r="U388" s="64"/>
      <c r="V388" s="64"/>
      <c r="W388" s="64"/>
      <c r="X388" s="64"/>
      <c r="Y388" s="64"/>
      <c r="Z388" s="64"/>
      <c r="AA388" s="64"/>
      <c r="AB388" s="64"/>
      <c r="AC388" s="64"/>
      <c r="AD388" s="64"/>
      <c r="AE388" s="64"/>
      <c r="AF388" s="64"/>
      <c r="AG388" s="64"/>
    </row>
    <row r="389">
      <c r="A389" s="64"/>
      <c r="B389" s="64"/>
      <c r="C389" s="64"/>
      <c r="D389" s="64"/>
      <c r="E389" s="65"/>
      <c r="F389" s="64"/>
      <c r="G389" s="67"/>
      <c r="H389" s="64"/>
      <c r="I389" s="64"/>
      <c r="J389" s="64"/>
      <c r="K389" s="64"/>
      <c r="L389" s="65"/>
      <c r="M389" s="64"/>
      <c r="N389" s="64"/>
      <c r="O389" s="64"/>
      <c r="P389" s="64"/>
      <c r="Q389" s="64"/>
      <c r="R389" s="64"/>
      <c r="S389" s="64"/>
      <c r="T389" s="65"/>
      <c r="U389" s="64"/>
      <c r="V389" s="64"/>
      <c r="W389" s="64"/>
      <c r="X389" s="64"/>
      <c r="Y389" s="64"/>
      <c r="Z389" s="64"/>
      <c r="AA389" s="64"/>
      <c r="AB389" s="64"/>
      <c r="AC389" s="64"/>
      <c r="AD389" s="64"/>
      <c r="AE389" s="64"/>
      <c r="AF389" s="64"/>
      <c r="AG389" s="64"/>
    </row>
    <row r="390">
      <c r="A390" s="64"/>
      <c r="B390" s="64"/>
      <c r="C390" s="64"/>
      <c r="D390" s="64"/>
      <c r="E390" s="65"/>
      <c r="F390" s="64"/>
      <c r="G390" s="67"/>
      <c r="H390" s="64"/>
      <c r="I390" s="64"/>
      <c r="J390" s="64"/>
      <c r="K390" s="64"/>
      <c r="L390" s="65"/>
      <c r="M390" s="64"/>
      <c r="N390" s="64"/>
      <c r="O390" s="64"/>
      <c r="P390" s="64"/>
      <c r="Q390" s="64"/>
      <c r="R390" s="64"/>
      <c r="S390" s="64"/>
      <c r="T390" s="65"/>
      <c r="U390" s="64"/>
      <c r="V390" s="64"/>
      <c r="W390" s="64"/>
      <c r="X390" s="64"/>
      <c r="Y390" s="64"/>
      <c r="Z390" s="64"/>
      <c r="AA390" s="64"/>
      <c r="AB390" s="64"/>
      <c r="AC390" s="64"/>
      <c r="AD390" s="64"/>
      <c r="AE390" s="64"/>
      <c r="AF390" s="64"/>
      <c r="AG390" s="64"/>
    </row>
    <row r="391">
      <c r="A391" s="64"/>
      <c r="B391" s="64"/>
      <c r="C391" s="64"/>
      <c r="D391" s="64"/>
      <c r="E391" s="65"/>
      <c r="F391" s="64"/>
      <c r="G391" s="67"/>
      <c r="H391" s="64"/>
      <c r="I391" s="64"/>
      <c r="J391" s="64"/>
      <c r="K391" s="64"/>
      <c r="L391" s="65"/>
      <c r="M391" s="64"/>
      <c r="N391" s="64"/>
      <c r="O391" s="64"/>
      <c r="P391" s="64"/>
      <c r="Q391" s="64"/>
      <c r="R391" s="64"/>
      <c r="S391" s="64"/>
      <c r="T391" s="65"/>
      <c r="U391" s="64"/>
      <c r="V391" s="64"/>
      <c r="W391" s="64"/>
      <c r="X391" s="64"/>
      <c r="Y391" s="64"/>
      <c r="Z391" s="64"/>
      <c r="AA391" s="64"/>
      <c r="AB391" s="64"/>
      <c r="AC391" s="64"/>
      <c r="AD391" s="64"/>
      <c r="AE391" s="64"/>
      <c r="AF391" s="64"/>
      <c r="AG391" s="64"/>
    </row>
    <row r="392">
      <c r="A392" s="64"/>
      <c r="B392" s="64"/>
      <c r="C392" s="64"/>
      <c r="D392" s="64"/>
      <c r="E392" s="65"/>
      <c r="F392" s="64"/>
      <c r="G392" s="67"/>
      <c r="H392" s="64"/>
      <c r="I392" s="64"/>
      <c r="J392" s="64"/>
      <c r="K392" s="64"/>
      <c r="L392" s="65"/>
      <c r="M392" s="64"/>
      <c r="N392" s="64"/>
      <c r="O392" s="64"/>
      <c r="P392" s="64"/>
      <c r="Q392" s="64"/>
      <c r="R392" s="64"/>
      <c r="S392" s="64"/>
      <c r="T392" s="65"/>
      <c r="U392" s="64"/>
      <c r="V392" s="64"/>
      <c r="W392" s="64"/>
      <c r="X392" s="64"/>
      <c r="Y392" s="64"/>
      <c r="Z392" s="64"/>
      <c r="AA392" s="64"/>
      <c r="AB392" s="64"/>
      <c r="AC392" s="64"/>
      <c r="AD392" s="64"/>
      <c r="AE392" s="64"/>
      <c r="AF392" s="64"/>
      <c r="AG392" s="64"/>
    </row>
    <row r="393">
      <c r="A393" s="64"/>
      <c r="B393" s="64"/>
      <c r="C393" s="64"/>
      <c r="D393" s="64"/>
      <c r="E393" s="65"/>
      <c r="F393" s="64"/>
      <c r="G393" s="67"/>
      <c r="H393" s="64"/>
      <c r="I393" s="64"/>
      <c r="J393" s="64"/>
      <c r="K393" s="64"/>
      <c r="L393" s="65"/>
      <c r="M393" s="64"/>
      <c r="N393" s="64"/>
      <c r="O393" s="64"/>
      <c r="P393" s="64"/>
      <c r="Q393" s="64"/>
      <c r="R393" s="64"/>
      <c r="S393" s="64"/>
      <c r="T393" s="65"/>
      <c r="U393" s="64"/>
      <c r="V393" s="64"/>
      <c r="W393" s="64"/>
      <c r="X393" s="64"/>
      <c r="Y393" s="64"/>
      <c r="Z393" s="64"/>
      <c r="AA393" s="64"/>
      <c r="AB393" s="64"/>
      <c r="AC393" s="64"/>
      <c r="AD393" s="64"/>
      <c r="AE393" s="64"/>
      <c r="AF393" s="64"/>
      <c r="AG393" s="64"/>
    </row>
    <row r="394">
      <c r="A394" s="64"/>
      <c r="B394" s="64"/>
      <c r="C394" s="64"/>
      <c r="D394" s="64"/>
      <c r="E394" s="65"/>
      <c r="F394" s="64"/>
      <c r="G394" s="67"/>
      <c r="H394" s="64"/>
      <c r="I394" s="64"/>
      <c r="J394" s="64"/>
      <c r="K394" s="64"/>
      <c r="L394" s="65"/>
      <c r="M394" s="64"/>
      <c r="N394" s="64"/>
      <c r="O394" s="64"/>
      <c r="P394" s="64"/>
      <c r="Q394" s="64"/>
      <c r="R394" s="64"/>
      <c r="S394" s="64"/>
      <c r="T394" s="65"/>
      <c r="U394" s="64"/>
      <c r="V394" s="64"/>
      <c r="W394" s="64"/>
      <c r="X394" s="64"/>
      <c r="Y394" s="64"/>
      <c r="Z394" s="64"/>
      <c r="AA394" s="64"/>
      <c r="AB394" s="64"/>
      <c r="AC394" s="64"/>
      <c r="AD394" s="64"/>
      <c r="AE394" s="64"/>
      <c r="AF394" s="64"/>
      <c r="AG394" s="64"/>
    </row>
    <row r="395">
      <c r="A395" s="64"/>
      <c r="B395" s="64"/>
      <c r="C395" s="64"/>
      <c r="D395" s="64"/>
      <c r="E395" s="65"/>
      <c r="F395" s="64"/>
      <c r="G395" s="67"/>
      <c r="H395" s="64"/>
      <c r="I395" s="64"/>
      <c r="J395" s="64"/>
      <c r="K395" s="64"/>
      <c r="L395" s="65"/>
      <c r="M395" s="64"/>
      <c r="N395" s="64"/>
      <c r="O395" s="64"/>
      <c r="P395" s="64"/>
      <c r="Q395" s="64"/>
      <c r="R395" s="64"/>
      <c r="S395" s="64"/>
      <c r="T395" s="65"/>
      <c r="U395" s="64"/>
      <c r="V395" s="64"/>
      <c r="W395" s="64"/>
      <c r="X395" s="64"/>
      <c r="Y395" s="64"/>
      <c r="Z395" s="64"/>
      <c r="AA395" s="64"/>
      <c r="AB395" s="64"/>
      <c r="AC395" s="64"/>
      <c r="AD395" s="64"/>
      <c r="AE395" s="64"/>
      <c r="AF395" s="64"/>
      <c r="AG395" s="64"/>
    </row>
    <row r="396">
      <c r="A396" s="64"/>
      <c r="B396" s="64"/>
      <c r="C396" s="64"/>
      <c r="D396" s="64"/>
      <c r="E396" s="65"/>
      <c r="F396" s="64"/>
      <c r="G396" s="67"/>
      <c r="H396" s="64"/>
      <c r="I396" s="64"/>
      <c r="J396" s="64"/>
      <c r="K396" s="64"/>
      <c r="L396" s="65"/>
      <c r="M396" s="64"/>
      <c r="N396" s="64"/>
      <c r="O396" s="64"/>
      <c r="P396" s="64"/>
      <c r="Q396" s="64"/>
      <c r="R396" s="64"/>
      <c r="S396" s="64"/>
      <c r="T396" s="65"/>
      <c r="U396" s="64"/>
      <c r="V396" s="64"/>
      <c r="W396" s="64"/>
      <c r="X396" s="64"/>
      <c r="Y396" s="64"/>
      <c r="Z396" s="64"/>
      <c r="AA396" s="64"/>
      <c r="AB396" s="64"/>
      <c r="AC396" s="64"/>
      <c r="AD396" s="64"/>
      <c r="AE396" s="64"/>
      <c r="AF396" s="64"/>
      <c r="AG396" s="64"/>
    </row>
    <row r="397">
      <c r="A397" s="64"/>
      <c r="B397" s="64"/>
      <c r="C397" s="64"/>
      <c r="D397" s="64"/>
      <c r="E397" s="65"/>
      <c r="F397" s="64"/>
      <c r="G397" s="67"/>
      <c r="H397" s="64"/>
      <c r="I397" s="64"/>
      <c r="J397" s="64"/>
      <c r="K397" s="64"/>
      <c r="L397" s="65"/>
      <c r="M397" s="64"/>
      <c r="N397" s="64"/>
      <c r="O397" s="64"/>
      <c r="P397" s="64"/>
      <c r="Q397" s="64"/>
      <c r="R397" s="64"/>
      <c r="S397" s="64"/>
      <c r="T397" s="65"/>
      <c r="U397" s="64"/>
      <c r="V397" s="64"/>
      <c r="W397" s="64"/>
      <c r="X397" s="64"/>
      <c r="Y397" s="64"/>
      <c r="Z397" s="64"/>
      <c r="AA397" s="64"/>
      <c r="AB397" s="64"/>
      <c r="AC397" s="64"/>
      <c r="AD397" s="64"/>
      <c r="AE397" s="64"/>
      <c r="AF397" s="64"/>
      <c r="AG397" s="64"/>
    </row>
    <row r="398">
      <c r="A398" s="64"/>
      <c r="B398" s="64"/>
      <c r="C398" s="64"/>
      <c r="D398" s="64"/>
      <c r="E398" s="65"/>
      <c r="F398" s="64"/>
      <c r="G398" s="67"/>
      <c r="H398" s="64"/>
      <c r="I398" s="64"/>
      <c r="J398" s="64"/>
      <c r="K398" s="64"/>
      <c r="L398" s="65"/>
      <c r="M398" s="64"/>
      <c r="N398" s="64"/>
      <c r="O398" s="64"/>
      <c r="P398" s="64"/>
      <c r="Q398" s="64"/>
      <c r="R398" s="64"/>
      <c r="S398" s="64"/>
      <c r="T398" s="65"/>
      <c r="U398" s="64"/>
      <c r="V398" s="64"/>
      <c r="W398" s="64"/>
      <c r="X398" s="64"/>
      <c r="Y398" s="64"/>
      <c r="Z398" s="64"/>
      <c r="AA398" s="64"/>
      <c r="AB398" s="64"/>
      <c r="AC398" s="64"/>
      <c r="AD398" s="64"/>
      <c r="AE398" s="64"/>
      <c r="AF398" s="64"/>
      <c r="AG398" s="64"/>
    </row>
    <row r="399">
      <c r="A399" s="64"/>
      <c r="B399" s="64"/>
      <c r="C399" s="64"/>
      <c r="D399" s="64"/>
      <c r="E399" s="65"/>
      <c r="F399" s="64"/>
      <c r="G399" s="67"/>
      <c r="H399" s="64"/>
      <c r="I399" s="64"/>
      <c r="J399" s="64"/>
      <c r="K399" s="64"/>
      <c r="L399" s="65"/>
      <c r="M399" s="64"/>
      <c r="N399" s="64"/>
      <c r="O399" s="64"/>
      <c r="P399" s="64"/>
      <c r="Q399" s="64"/>
      <c r="R399" s="64"/>
      <c r="S399" s="64"/>
      <c r="T399" s="65"/>
      <c r="U399" s="64"/>
      <c r="V399" s="64"/>
      <c r="W399" s="64"/>
      <c r="X399" s="64"/>
      <c r="Y399" s="64"/>
      <c r="Z399" s="64"/>
      <c r="AA399" s="64"/>
      <c r="AB399" s="64"/>
      <c r="AC399" s="64"/>
      <c r="AD399" s="64"/>
      <c r="AE399" s="64"/>
      <c r="AF399" s="64"/>
      <c r="AG399" s="64"/>
    </row>
    <row r="400">
      <c r="A400" s="64"/>
      <c r="B400" s="64"/>
      <c r="C400" s="64"/>
      <c r="D400" s="64"/>
      <c r="E400" s="65"/>
      <c r="F400" s="64"/>
      <c r="G400" s="67"/>
      <c r="H400" s="64"/>
      <c r="I400" s="64"/>
      <c r="J400" s="64"/>
      <c r="K400" s="64"/>
      <c r="L400" s="65"/>
      <c r="M400" s="64"/>
      <c r="N400" s="64"/>
      <c r="O400" s="64"/>
      <c r="P400" s="64"/>
      <c r="Q400" s="64"/>
      <c r="R400" s="64"/>
      <c r="S400" s="64"/>
      <c r="T400" s="65"/>
      <c r="U400" s="64"/>
      <c r="V400" s="64"/>
      <c r="W400" s="64"/>
      <c r="X400" s="64"/>
      <c r="Y400" s="64"/>
      <c r="Z400" s="64"/>
      <c r="AA400" s="64"/>
      <c r="AB400" s="64"/>
      <c r="AC400" s="64"/>
      <c r="AD400" s="64"/>
      <c r="AE400" s="64"/>
      <c r="AF400" s="64"/>
      <c r="AG400" s="64"/>
    </row>
    <row r="401">
      <c r="A401" s="64"/>
      <c r="B401" s="64"/>
      <c r="C401" s="64"/>
      <c r="D401" s="64"/>
      <c r="E401" s="65"/>
      <c r="F401" s="64"/>
      <c r="G401" s="67"/>
      <c r="H401" s="64"/>
      <c r="I401" s="64"/>
      <c r="J401" s="64"/>
      <c r="K401" s="64"/>
      <c r="L401" s="65"/>
      <c r="M401" s="64"/>
      <c r="N401" s="64"/>
      <c r="O401" s="64"/>
      <c r="P401" s="64"/>
      <c r="Q401" s="64"/>
      <c r="R401" s="64"/>
      <c r="S401" s="64"/>
      <c r="T401" s="65"/>
      <c r="U401" s="64"/>
      <c r="V401" s="64"/>
      <c r="W401" s="64"/>
      <c r="X401" s="64"/>
      <c r="Y401" s="64"/>
      <c r="Z401" s="64"/>
      <c r="AA401" s="64"/>
      <c r="AB401" s="64"/>
      <c r="AC401" s="64"/>
      <c r="AD401" s="64"/>
      <c r="AE401" s="64"/>
      <c r="AF401" s="64"/>
      <c r="AG401" s="64"/>
    </row>
    <row r="402">
      <c r="A402" s="64"/>
      <c r="B402" s="64"/>
      <c r="C402" s="64"/>
      <c r="D402" s="64"/>
      <c r="E402" s="65"/>
      <c r="F402" s="64"/>
      <c r="G402" s="67"/>
      <c r="H402" s="64"/>
      <c r="I402" s="64"/>
      <c r="J402" s="64"/>
      <c r="K402" s="64"/>
      <c r="L402" s="65"/>
      <c r="M402" s="64"/>
      <c r="N402" s="64"/>
      <c r="O402" s="64"/>
      <c r="P402" s="64"/>
      <c r="Q402" s="64"/>
      <c r="R402" s="64"/>
      <c r="S402" s="64"/>
      <c r="T402" s="65"/>
      <c r="U402" s="64"/>
      <c r="V402" s="64"/>
      <c r="W402" s="64"/>
      <c r="X402" s="64"/>
      <c r="Y402" s="64"/>
      <c r="Z402" s="64"/>
      <c r="AA402" s="64"/>
      <c r="AB402" s="64"/>
      <c r="AC402" s="64"/>
      <c r="AD402" s="64"/>
      <c r="AE402" s="64"/>
      <c r="AF402" s="64"/>
      <c r="AG402" s="64"/>
    </row>
    <row r="403">
      <c r="A403" s="64"/>
      <c r="B403" s="64"/>
      <c r="C403" s="64"/>
      <c r="D403" s="64"/>
      <c r="E403" s="65"/>
      <c r="F403" s="64"/>
      <c r="G403" s="67"/>
      <c r="H403" s="64"/>
      <c r="I403" s="64"/>
      <c r="J403" s="64"/>
      <c r="K403" s="64"/>
      <c r="L403" s="65"/>
      <c r="M403" s="64"/>
      <c r="N403" s="64"/>
      <c r="O403" s="64"/>
      <c r="P403" s="64"/>
      <c r="Q403" s="64"/>
      <c r="R403" s="64"/>
      <c r="S403" s="64"/>
      <c r="T403" s="65"/>
      <c r="U403" s="64"/>
      <c r="V403" s="64"/>
      <c r="W403" s="64"/>
      <c r="X403" s="64"/>
      <c r="Y403" s="64"/>
      <c r="Z403" s="64"/>
      <c r="AA403" s="64"/>
      <c r="AB403" s="64"/>
      <c r="AC403" s="64"/>
      <c r="AD403" s="64"/>
      <c r="AE403" s="64"/>
      <c r="AF403" s="64"/>
      <c r="AG403" s="64"/>
    </row>
    <row r="404">
      <c r="A404" s="64"/>
      <c r="B404" s="64"/>
      <c r="C404" s="64"/>
      <c r="D404" s="64"/>
      <c r="E404" s="65"/>
      <c r="F404" s="64"/>
      <c r="G404" s="67"/>
      <c r="H404" s="64"/>
      <c r="I404" s="64"/>
      <c r="J404" s="64"/>
      <c r="K404" s="64"/>
      <c r="L404" s="65"/>
      <c r="M404" s="64"/>
      <c r="N404" s="64"/>
      <c r="O404" s="64"/>
      <c r="P404" s="64"/>
      <c r="Q404" s="64"/>
      <c r="R404" s="64"/>
      <c r="S404" s="64"/>
      <c r="T404" s="65"/>
      <c r="U404" s="64"/>
      <c r="V404" s="64"/>
      <c r="W404" s="64"/>
      <c r="X404" s="64"/>
      <c r="Y404" s="64"/>
      <c r="Z404" s="64"/>
      <c r="AA404" s="64"/>
      <c r="AB404" s="64"/>
      <c r="AC404" s="64"/>
      <c r="AD404" s="64"/>
      <c r="AE404" s="64"/>
      <c r="AF404" s="64"/>
      <c r="AG404" s="64"/>
    </row>
    <row r="405">
      <c r="A405" s="64"/>
      <c r="B405" s="64"/>
      <c r="C405" s="64"/>
      <c r="D405" s="64"/>
      <c r="E405" s="65"/>
      <c r="F405" s="64"/>
      <c r="G405" s="67"/>
      <c r="H405" s="64"/>
      <c r="I405" s="64"/>
      <c r="J405" s="64"/>
      <c r="K405" s="64"/>
      <c r="L405" s="65"/>
      <c r="M405" s="64"/>
      <c r="N405" s="64"/>
      <c r="O405" s="64"/>
      <c r="P405" s="64"/>
      <c r="Q405" s="64"/>
      <c r="R405" s="64"/>
      <c r="S405" s="64"/>
      <c r="T405" s="65"/>
      <c r="U405" s="64"/>
      <c r="V405" s="64"/>
      <c r="W405" s="64"/>
      <c r="X405" s="64"/>
      <c r="Y405" s="64"/>
      <c r="Z405" s="64"/>
      <c r="AA405" s="64"/>
      <c r="AB405" s="64"/>
      <c r="AC405" s="64"/>
      <c r="AD405" s="64"/>
      <c r="AE405" s="64"/>
      <c r="AF405" s="64"/>
      <c r="AG405" s="64"/>
    </row>
    <row r="406">
      <c r="A406" s="64"/>
      <c r="B406" s="64"/>
      <c r="C406" s="64"/>
      <c r="D406" s="64"/>
      <c r="E406" s="65"/>
      <c r="F406" s="64"/>
      <c r="G406" s="67"/>
      <c r="H406" s="64"/>
      <c r="I406" s="64"/>
      <c r="J406" s="64"/>
      <c r="K406" s="64"/>
      <c r="L406" s="65"/>
      <c r="M406" s="64"/>
      <c r="N406" s="64"/>
      <c r="O406" s="64"/>
      <c r="P406" s="64"/>
      <c r="Q406" s="64"/>
      <c r="R406" s="64"/>
      <c r="S406" s="64"/>
      <c r="T406" s="65"/>
      <c r="U406" s="64"/>
      <c r="V406" s="64"/>
      <c r="W406" s="64"/>
      <c r="X406" s="64"/>
      <c r="Y406" s="64"/>
      <c r="Z406" s="64"/>
      <c r="AA406" s="64"/>
      <c r="AB406" s="64"/>
      <c r="AC406" s="64"/>
      <c r="AD406" s="64"/>
      <c r="AE406" s="64"/>
      <c r="AF406" s="64"/>
      <c r="AG406" s="64"/>
    </row>
    <row r="407">
      <c r="A407" s="64"/>
      <c r="B407" s="64"/>
      <c r="C407" s="64"/>
      <c r="D407" s="64"/>
      <c r="E407" s="65"/>
      <c r="F407" s="64"/>
      <c r="G407" s="67"/>
      <c r="H407" s="64"/>
      <c r="I407" s="64"/>
      <c r="J407" s="64"/>
      <c r="K407" s="64"/>
      <c r="L407" s="65"/>
      <c r="M407" s="64"/>
      <c r="N407" s="64"/>
      <c r="O407" s="64"/>
      <c r="P407" s="64"/>
      <c r="Q407" s="64"/>
      <c r="R407" s="64"/>
      <c r="S407" s="64"/>
      <c r="T407" s="65"/>
      <c r="U407" s="64"/>
      <c r="V407" s="64"/>
      <c r="W407" s="64"/>
      <c r="X407" s="64"/>
      <c r="Y407" s="64"/>
      <c r="Z407" s="64"/>
      <c r="AA407" s="64"/>
      <c r="AB407" s="64"/>
      <c r="AC407" s="64"/>
      <c r="AD407" s="64"/>
      <c r="AE407" s="64"/>
      <c r="AF407" s="64"/>
      <c r="AG407" s="64"/>
    </row>
    <row r="408">
      <c r="A408" s="64"/>
      <c r="B408" s="64"/>
      <c r="C408" s="64"/>
      <c r="D408" s="64"/>
      <c r="E408" s="65"/>
      <c r="F408" s="64"/>
      <c r="G408" s="67"/>
      <c r="H408" s="64"/>
      <c r="I408" s="64"/>
      <c r="J408" s="64"/>
      <c r="K408" s="64"/>
      <c r="L408" s="65"/>
      <c r="M408" s="64"/>
      <c r="N408" s="64"/>
      <c r="O408" s="64"/>
      <c r="P408" s="64"/>
      <c r="Q408" s="64"/>
      <c r="R408" s="64"/>
      <c r="S408" s="64"/>
      <c r="T408" s="65"/>
      <c r="U408" s="64"/>
      <c r="V408" s="64"/>
      <c r="W408" s="64"/>
      <c r="X408" s="64"/>
      <c r="Y408" s="64"/>
      <c r="Z408" s="64"/>
      <c r="AA408" s="64"/>
      <c r="AB408" s="64"/>
      <c r="AC408" s="64"/>
      <c r="AD408" s="64"/>
      <c r="AE408" s="64"/>
      <c r="AF408" s="64"/>
      <c r="AG408" s="64"/>
    </row>
    <row r="409">
      <c r="A409" s="64"/>
      <c r="B409" s="64"/>
      <c r="C409" s="64"/>
      <c r="D409" s="64"/>
      <c r="E409" s="65"/>
      <c r="F409" s="64"/>
      <c r="G409" s="67"/>
      <c r="H409" s="64"/>
      <c r="I409" s="64"/>
      <c r="J409" s="64"/>
      <c r="K409" s="64"/>
      <c r="L409" s="65"/>
      <c r="M409" s="64"/>
      <c r="N409" s="64"/>
      <c r="O409" s="64"/>
      <c r="P409" s="64"/>
      <c r="Q409" s="64"/>
      <c r="R409" s="64"/>
      <c r="S409" s="64"/>
      <c r="T409" s="65"/>
      <c r="U409" s="64"/>
      <c r="V409" s="64"/>
      <c r="W409" s="64"/>
      <c r="X409" s="64"/>
      <c r="Y409" s="64"/>
      <c r="Z409" s="64"/>
      <c r="AA409" s="64"/>
      <c r="AB409" s="64"/>
      <c r="AC409" s="64"/>
      <c r="AD409" s="64"/>
      <c r="AE409" s="64"/>
      <c r="AF409" s="64"/>
      <c r="AG409" s="64"/>
    </row>
    <row r="410">
      <c r="A410" s="64"/>
      <c r="B410" s="64"/>
      <c r="C410" s="64"/>
      <c r="D410" s="64"/>
      <c r="E410" s="65"/>
      <c r="F410" s="64"/>
      <c r="G410" s="67"/>
      <c r="H410" s="64"/>
      <c r="I410" s="64"/>
      <c r="J410" s="64"/>
      <c r="K410" s="64"/>
      <c r="L410" s="65"/>
      <c r="M410" s="64"/>
      <c r="N410" s="64"/>
      <c r="O410" s="64"/>
      <c r="P410" s="64"/>
      <c r="Q410" s="64"/>
      <c r="R410" s="64"/>
      <c r="S410" s="64"/>
      <c r="T410" s="65"/>
      <c r="U410" s="64"/>
      <c r="V410" s="64"/>
      <c r="W410" s="64"/>
      <c r="X410" s="64"/>
      <c r="Y410" s="64"/>
      <c r="Z410" s="64"/>
      <c r="AA410" s="64"/>
      <c r="AB410" s="64"/>
      <c r="AC410" s="64"/>
      <c r="AD410" s="64"/>
      <c r="AE410" s="64"/>
      <c r="AF410" s="64"/>
      <c r="AG410" s="64"/>
    </row>
    <row r="411">
      <c r="A411" s="64"/>
      <c r="B411" s="64"/>
      <c r="C411" s="64"/>
      <c r="D411" s="64"/>
      <c r="E411" s="65"/>
      <c r="F411" s="64"/>
      <c r="G411" s="67"/>
      <c r="H411" s="64"/>
      <c r="I411" s="64"/>
      <c r="J411" s="64"/>
      <c r="K411" s="64"/>
      <c r="L411" s="65"/>
      <c r="M411" s="64"/>
      <c r="N411" s="64"/>
      <c r="O411" s="64"/>
      <c r="P411" s="64"/>
      <c r="Q411" s="64"/>
      <c r="R411" s="64"/>
      <c r="S411" s="64"/>
      <c r="T411" s="65"/>
      <c r="U411" s="64"/>
      <c r="V411" s="64"/>
      <c r="W411" s="64"/>
      <c r="X411" s="64"/>
      <c r="Y411" s="64"/>
      <c r="Z411" s="64"/>
      <c r="AA411" s="64"/>
      <c r="AB411" s="64"/>
      <c r="AC411" s="64"/>
      <c r="AD411" s="64"/>
      <c r="AE411" s="64"/>
      <c r="AF411" s="64"/>
      <c r="AG411" s="64"/>
    </row>
    <row r="412">
      <c r="A412" s="64"/>
      <c r="B412" s="64"/>
      <c r="C412" s="64"/>
      <c r="D412" s="64"/>
      <c r="E412" s="65"/>
      <c r="F412" s="64"/>
      <c r="G412" s="67"/>
      <c r="H412" s="64"/>
      <c r="I412" s="64"/>
      <c r="J412" s="64"/>
      <c r="K412" s="64"/>
      <c r="L412" s="65"/>
      <c r="M412" s="64"/>
      <c r="N412" s="64"/>
      <c r="O412" s="64"/>
      <c r="P412" s="64"/>
      <c r="Q412" s="64"/>
      <c r="R412" s="64"/>
      <c r="S412" s="64"/>
      <c r="T412" s="65"/>
      <c r="U412" s="64"/>
      <c r="V412" s="64"/>
      <c r="W412" s="64"/>
      <c r="X412" s="64"/>
      <c r="Y412" s="64"/>
      <c r="Z412" s="64"/>
      <c r="AA412" s="64"/>
      <c r="AB412" s="64"/>
      <c r="AC412" s="64"/>
      <c r="AD412" s="64"/>
      <c r="AE412" s="64"/>
      <c r="AF412" s="64"/>
      <c r="AG412" s="64"/>
    </row>
    <row r="413">
      <c r="A413" s="64"/>
      <c r="B413" s="64"/>
      <c r="C413" s="64"/>
      <c r="D413" s="64"/>
      <c r="E413" s="65"/>
      <c r="F413" s="64"/>
      <c r="G413" s="67"/>
      <c r="H413" s="64"/>
      <c r="I413" s="64"/>
      <c r="J413" s="64"/>
      <c r="K413" s="64"/>
      <c r="L413" s="65"/>
      <c r="M413" s="64"/>
      <c r="N413" s="64"/>
      <c r="O413" s="64"/>
      <c r="P413" s="64"/>
      <c r="Q413" s="64"/>
      <c r="R413" s="64"/>
      <c r="S413" s="64"/>
      <c r="T413" s="65"/>
      <c r="U413" s="64"/>
      <c r="V413" s="64"/>
      <c r="W413" s="64"/>
      <c r="X413" s="64"/>
      <c r="Y413" s="64"/>
      <c r="Z413" s="64"/>
      <c r="AA413" s="64"/>
      <c r="AB413" s="64"/>
      <c r="AC413" s="64"/>
      <c r="AD413" s="64"/>
      <c r="AE413" s="64"/>
      <c r="AF413" s="64"/>
      <c r="AG413" s="64"/>
    </row>
    <row r="414">
      <c r="A414" s="64"/>
      <c r="B414" s="64"/>
      <c r="C414" s="64"/>
      <c r="D414" s="64"/>
      <c r="E414" s="65"/>
      <c r="F414" s="64"/>
      <c r="G414" s="67"/>
      <c r="H414" s="64"/>
      <c r="I414" s="64"/>
      <c r="J414" s="64"/>
      <c r="K414" s="64"/>
      <c r="L414" s="65"/>
      <c r="M414" s="64"/>
      <c r="N414" s="64"/>
      <c r="O414" s="64"/>
      <c r="P414" s="64"/>
      <c r="Q414" s="64"/>
      <c r="R414" s="64"/>
      <c r="S414" s="64"/>
      <c r="T414" s="65"/>
      <c r="U414" s="64"/>
      <c r="V414" s="64"/>
      <c r="W414" s="64"/>
      <c r="X414" s="64"/>
      <c r="Y414" s="64"/>
      <c r="Z414" s="64"/>
      <c r="AA414" s="64"/>
      <c r="AB414" s="64"/>
      <c r="AC414" s="64"/>
      <c r="AD414" s="64"/>
      <c r="AE414" s="64"/>
      <c r="AF414" s="64"/>
      <c r="AG414" s="64"/>
    </row>
    <row r="415">
      <c r="A415" s="64"/>
      <c r="B415" s="64"/>
      <c r="C415" s="64"/>
      <c r="D415" s="64"/>
      <c r="E415" s="65"/>
      <c r="F415" s="64"/>
      <c r="G415" s="67"/>
      <c r="H415" s="64"/>
      <c r="I415" s="64"/>
      <c r="J415" s="64"/>
      <c r="K415" s="64"/>
      <c r="L415" s="65"/>
      <c r="M415" s="64"/>
      <c r="N415" s="64"/>
      <c r="O415" s="64"/>
      <c r="P415" s="64"/>
      <c r="Q415" s="64"/>
      <c r="R415" s="64"/>
      <c r="S415" s="64"/>
      <c r="T415" s="65"/>
      <c r="U415" s="64"/>
      <c r="V415" s="64"/>
      <c r="W415" s="64"/>
      <c r="X415" s="64"/>
      <c r="Y415" s="64"/>
      <c r="Z415" s="64"/>
      <c r="AA415" s="64"/>
      <c r="AB415" s="64"/>
      <c r="AC415" s="64"/>
      <c r="AD415" s="64"/>
      <c r="AE415" s="64"/>
      <c r="AF415" s="64"/>
      <c r="AG415" s="64"/>
    </row>
    <row r="416">
      <c r="A416" s="64"/>
      <c r="B416" s="64"/>
      <c r="C416" s="64"/>
      <c r="D416" s="64"/>
      <c r="E416" s="65"/>
      <c r="F416" s="64"/>
      <c r="G416" s="67"/>
      <c r="H416" s="64"/>
      <c r="I416" s="64"/>
      <c r="J416" s="64"/>
      <c r="K416" s="64"/>
      <c r="L416" s="65"/>
      <c r="M416" s="64"/>
      <c r="N416" s="64"/>
      <c r="O416" s="64"/>
      <c r="P416" s="64"/>
      <c r="Q416" s="64"/>
      <c r="R416" s="64"/>
      <c r="S416" s="64"/>
      <c r="T416" s="65"/>
      <c r="U416" s="64"/>
      <c r="V416" s="64"/>
      <c r="W416" s="64"/>
      <c r="X416" s="64"/>
      <c r="Y416" s="64"/>
      <c r="Z416" s="64"/>
      <c r="AA416" s="64"/>
      <c r="AB416" s="64"/>
      <c r="AC416" s="64"/>
      <c r="AD416" s="64"/>
      <c r="AE416" s="64"/>
      <c r="AF416" s="64"/>
      <c r="AG416" s="64"/>
    </row>
    <row r="417">
      <c r="A417" s="64"/>
      <c r="B417" s="64"/>
      <c r="C417" s="64"/>
      <c r="D417" s="64"/>
      <c r="E417" s="65"/>
      <c r="F417" s="64"/>
      <c r="G417" s="67"/>
      <c r="H417" s="64"/>
      <c r="I417" s="64"/>
      <c r="J417" s="64"/>
      <c r="K417" s="64"/>
      <c r="L417" s="65"/>
      <c r="M417" s="64"/>
      <c r="N417" s="64"/>
      <c r="O417" s="64"/>
      <c r="P417" s="64"/>
      <c r="Q417" s="64"/>
      <c r="R417" s="64"/>
      <c r="S417" s="64"/>
      <c r="T417" s="65"/>
      <c r="U417" s="64"/>
      <c r="V417" s="64"/>
      <c r="W417" s="64"/>
      <c r="X417" s="64"/>
      <c r="Y417" s="64"/>
      <c r="Z417" s="64"/>
      <c r="AA417" s="64"/>
      <c r="AB417" s="64"/>
      <c r="AC417" s="64"/>
      <c r="AD417" s="64"/>
      <c r="AE417" s="64"/>
      <c r="AF417" s="64"/>
      <c r="AG417" s="64"/>
    </row>
    <row r="418">
      <c r="A418" s="64"/>
      <c r="B418" s="64"/>
      <c r="C418" s="64"/>
      <c r="D418" s="64"/>
      <c r="E418" s="65"/>
      <c r="F418" s="64"/>
      <c r="G418" s="67"/>
      <c r="H418" s="64"/>
      <c r="I418" s="64"/>
      <c r="J418" s="64"/>
      <c r="K418" s="64"/>
      <c r="L418" s="65"/>
      <c r="M418" s="64"/>
      <c r="N418" s="64"/>
      <c r="O418" s="64"/>
      <c r="P418" s="64"/>
      <c r="Q418" s="64"/>
      <c r="R418" s="64"/>
      <c r="S418" s="64"/>
      <c r="T418" s="65"/>
      <c r="U418" s="64"/>
      <c r="V418" s="64"/>
      <c r="W418" s="64"/>
      <c r="X418" s="64"/>
      <c r="Y418" s="64"/>
      <c r="Z418" s="64"/>
      <c r="AA418" s="64"/>
      <c r="AB418" s="64"/>
      <c r="AC418" s="64"/>
      <c r="AD418" s="64"/>
      <c r="AE418" s="64"/>
      <c r="AF418" s="64"/>
      <c r="AG418" s="64"/>
    </row>
    <row r="419">
      <c r="A419" s="64"/>
      <c r="B419" s="64"/>
      <c r="C419" s="64"/>
      <c r="D419" s="64"/>
      <c r="E419" s="65"/>
      <c r="F419" s="64"/>
      <c r="G419" s="67"/>
      <c r="H419" s="64"/>
      <c r="I419" s="64"/>
      <c r="J419" s="64"/>
      <c r="K419" s="64"/>
      <c r="L419" s="65"/>
      <c r="M419" s="64"/>
      <c r="N419" s="64"/>
      <c r="O419" s="64"/>
      <c r="P419" s="64"/>
      <c r="Q419" s="64"/>
      <c r="R419" s="64"/>
      <c r="S419" s="64"/>
      <c r="T419" s="65"/>
      <c r="U419" s="64"/>
      <c r="V419" s="64"/>
      <c r="W419" s="64"/>
      <c r="X419" s="64"/>
      <c r="Y419" s="64"/>
      <c r="Z419" s="64"/>
      <c r="AA419" s="64"/>
      <c r="AB419" s="64"/>
      <c r="AC419" s="64"/>
      <c r="AD419" s="64"/>
      <c r="AE419" s="64"/>
      <c r="AF419" s="64"/>
      <c r="AG419" s="64"/>
    </row>
    <row r="420">
      <c r="A420" s="64"/>
      <c r="B420" s="64"/>
      <c r="C420" s="64"/>
      <c r="D420" s="64"/>
      <c r="E420" s="65"/>
      <c r="F420" s="64"/>
      <c r="G420" s="67"/>
      <c r="H420" s="64"/>
      <c r="I420" s="64"/>
      <c r="J420" s="64"/>
      <c r="K420" s="64"/>
      <c r="L420" s="65"/>
      <c r="M420" s="64"/>
      <c r="N420" s="64"/>
      <c r="O420" s="64"/>
      <c r="P420" s="64"/>
      <c r="Q420" s="64"/>
      <c r="R420" s="64"/>
      <c r="S420" s="64"/>
      <c r="T420" s="65"/>
      <c r="U420" s="64"/>
      <c r="V420" s="64"/>
      <c r="W420" s="64"/>
      <c r="X420" s="64"/>
      <c r="Y420" s="64"/>
      <c r="Z420" s="64"/>
      <c r="AA420" s="64"/>
      <c r="AB420" s="64"/>
      <c r="AC420" s="64"/>
      <c r="AD420" s="64"/>
      <c r="AE420" s="64"/>
      <c r="AF420" s="64"/>
      <c r="AG420" s="64"/>
    </row>
    <row r="421">
      <c r="A421" s="64"/>
      <c r="B421" s="64"/>
      <c r="C421" s="64"/>
      <c r="D421" s="64"/>
      <c r="E421" s="65"/>
      <c r="F421" s="64"/>
      <c r="G421" s="67"/>
      <c r="H421" s="64"/>
      <c r="I421" s="64"/>
      <c r="J421" s="64"/>
      <c r="K421" s="64"/>
      <c r="L421" s="65"/>
      <c r="M421" s="64"/>
      <c r="N421" s="64"/>
      <c r="O421" s="64"/>
      <c r="P421" s="64"/>
      <c r="Q421" s="64"/>
      <c r="R421" s="64"/>
      <c r="S421" s="64"/>
      <c r="T421" s="65"/>
      <c r="U421" s="64"/>
      <c r="V421" s="64"/>
      <c r="W421" s="64"/>
      <c r="X421" s="64"/>
      <c r="Y421" s="64"/>
      <c r="Z421" s="64"/>
      <c r="AA421" s="64"/>
      <c r="AB421" s="64"/>
      <c r="AC421" s="64"/>
      <c r="AD421" s="64"/>
      <c r="AE421" s="64"/>
      <c r="AF421" s="64"/>
      <c r="AG421" s="64"/>
    </row>
    <row r="422">
      <c r="A422" s="64"/>
      <c r="B422" s="64"/>
      <c r="C422" s="64"/>
      <c r="D422" s="64"/>
      <c r="E422" s="65"/>
      <c r="F422" s="64"/>
      <c r="G422" s="67"/>
      <c r="H422" s="64"/>
      <c r="I422" s="64"/>
      <c r="J422" s="64"/>
      <c r="K422" s="64"/>
      <c r="L422" s="65"/>
      <c r="M422" s="64"/>
      <c r="N422" s="64"/>
      <c r="O422" s="64"/>
      <c r="P422" s="64"/>
      <c r="Q422" s="64"/>
      <c r="R422" s="64"/>
      <c r="S422" s="64"/>
      <c r="T422" s="65"/>
      <c r="U422" s="64"/>
      <c r="V422" s="64"/>
      <c r="W422" s="64"/>
      <c r="X422" s="64"/>
      <c r="Y422" s="64"/>
      <c r="Z422" s="64"/>
      <c r="AA422" s="64"/>
      <c r="AB422" s="64"/>
      <c r="AC422" s="64"/>
      <c r="AD422" s="64"/>
      <c r="AE422" s="64"/>
      <c r="AF422" s="64"/>
      <c r="AG422" s="64"/>
    </row>
    <row r="423">
      <c r="A423" s="64"/>
      <c r="B423" s="64"/>
      <c r="C423" s="64"/>
      <c r="D423" s="64"/>
      <c r="E423" s="65"/>
      <c r="F423" s="64"/>
      <c r="G423" s="67"/>
      <c r="H423" s="64"/>
      <c r="I423" s="64"/>
      <c r="J423" s="64"/>
      <c r="K423" s="64"/>
      <c r="L423" s="65"/>
      <c r="M423" s="64"/>
      <c r="N423" s="64"/>
      <c r="O423" s="64"/>
      <c r="P423" s="64"/>
      <c r="Q423" s="64"/>
      <c r="R423" s="64"/>
      <c r="S423" s="64"/>
      <c r="T423" s="65"/>
      <c r="U423" s="64"/>
      <c r="V423" s="64"/>
      <c r="W423" s="64"/>
      <c r="X423" s="64"/>
      <c r="Y423" s="64"/>
      <c r="Z423" s="64"/>
      <c r="AA423" s="64"/>
      <c r="AB423" s="64"/>
      <c r="AC423" s="64"/>
      <c r="AD423" s="64"/>
      <c r="AE423" s="64"/>
      <c r="AF423" s="64"/>
      <c r="AG423" s="64"/>
    </row>
    <row r="424">
      <c r="A424" s="64"/>
      <c r="B424" s="64"/>
      <c r="C424" s="64"/>
      <c r="D424" s="64"/>
      <c r="E424" s="65"/>
      <c r="F424" s="64"/>
      <c r="G424" s="67"/>
      <c r="H424" s="64"/>
      <c r="I424" s="64"/>
      <c r="J424" s="64"/>
      <c r="K424" s="64"/>
      <c r="L424" s="65"/>
      <c r="M424" s="64"/>
      <c r="N424" s="64"/>
      <c r="O424" s="64"/>
      <c r="P424" s="64"/>
      <c r="Q424" s="64"/>
      <c r="R424" s="64"/>
      <c r="S424" s="64"/>
      <c r="T424" s="65"/>
      <c r="U424" s="64"/>
      <c r="V424" s="64"/>
      <c r="W424" s="64"/>
      <c r="X424" s="64"/>
      <c r="Y424" s="64"/>
      <c r="Z424" s="64"/>
      <c r="AA424" s="64"/>
      <c r="AB424" s="64"/>
      <c r="AC424" s="64"/>
      <c r="AD424" s="64"/>
      <c r="AE424" s="64"/>
      <c r="AF424" s="64"/>
      <c r="AG424" s="64"/>
    </row>
    <row r="425">
      <c r="A425" s="64"/>
      <c r="B425" s="64"/>
      <c r="C425" s="64"/>
      <c r="D425" s="64"/>
      <c r="E425" s="65"/>
      <c r="F425" s="64"/>
      <c r="G425" s="67"/>
      <c r="H425" s="64"/>
      <c r="I425" s="64"/>
      <c r="J425" s="64"/>
      <c r="K425" s="64"/>
      <c r="L425" s="65"/>
      <c r="M425" s="64"/>
      <c r="N425" s="64"/>
      <c r="O425" s="64"/>
      <c r="P425" s="64"/>
      <c r="Q425" s="64"/>
      <c r="R425" s="64"/>
      <c r="S425" s="64"/>
      <c r="T425" s="65"/>
      <c r="U425" s="64"/>
      <c r="V425" s="64"/>
      <c r="W425" s="64"/>
      <c r="X425" s="64"/>
      <c r="Y425" s="64"/>
      <c r="Z425" s="64"/>
      <c r="AA425" s="64"/>
      <c r="AB425" s="64"/>
      <c r="AC425" s="64"/>
      <c r="AD425" s="64"/>
      <c r="AE425" s="64"/>
      <c r="AF425" s="64"/>
      <c r="AG425" s="64"/>
    </row>
    <row r="426">
      <c r="A426" s="64"/>
      <c r="B426" s="64"/>
      <c r="C426" s="64"/>
      <c r="D426" s="64"/>
      <c r="E426" s="65"/>
      <c r="F426" s="64"/>
      <c r="G426" s="67"/>
      <c r="H426" s="64"/>
      <c r="I426" s="64"/>
      <c r="J426" s="64"/>
      <c r="K426" s="64"/>
      <c r="L426" s="65"/>
      <c r="M426" s="64"/>
      <c r="N426" s="64"/>
      <c r="O426" s="64"/>
      <c r="P426" s="64"/>
      <c r="Q426" s="64"/>
      <c r="R426" s="64"/>
      <c r="S426" s="64"/>
      <c r="T426" s="65"/>
      <c r="U426" s="64"/>
      <c r="V426" s="64"/>
      <c r="W426" s="64"/>
      <c r="X426" s="64"/>
      <c r="Y426" s="64"/>
      <c r="Z426" s="64"/>
      <c r="AA426" s="64"/>
      <c r="AB426" s="64"/>
      <c r="AC426" s="64"/>
      <c r="AD426" s="64"/>
      <c r="AE426" s="64"/>
      <c r="AF426" s="64"/>
      <c r="AG426" s="64"/>
    </row>
    <row r="427">
      <c r="A427" s="64"/>
      <c r="B427" s="64"/>
      <c r="C427" s="64"/>
      <c r="D427" s="64"/>
      <c r="E427" s="65"/>
      <c r="F427" s="64"/>
      <c r="G427" s="67"/>
      <c r="H427" s="64"/>
      <c r="I427" s="64"/>
      <c r="J427" s="64"/>
      <c r="K427" s="64"/>
      <c r="L427" s="65"/>
      <c r="M427" s="64"/>
      <c r="N427" s="64"/>
      <c r="O427" s="64"/>
      <c r="P427" s="64"/>
      <c r="Q427" s="64"/>
      <c r="R427" s="64"/>
      <c r="S427" s="64"/>
      <c r="T427" s="65"/>
      <c r="U427" s="64"/>
      <c r="V427" s="64"/>
      <c r="W427" s="64"/>
      <c r="X427" s="64"/>
      <c r="Y427" s="64"/>
      <c r="Z427" s="64"/>
      <c r="AA427" s="64"/>
      <c r="AB427" s="64"/>
      <c r="AC427" s="64"/>
      <c r="AD427" s="64"/>
      <c r="AE427" s="64"/>
      <c r="AF427" s="64"/>
      <c r="AG427" s="64"/>
    </row>
    <row r="428">
      <c r="A428" s="64"/>
      <c r="B428" s="64"/>
      <c r="C428" s="64"/>
      <c r="D428" s="64"/>
      <c r="E428" s="65"/>
      <c r="F428" s="64"/>
      <c r="G428" s="67"/>
      <c r="H428" s="64"/>
      <c r="I428" s="64"/>
      <c r="J428" s="64"/>
      <c r="K428" s="64"/>
      <c r="L428" s="65"/>
      <c r="M428" s="64"/>
      <c r="N428" s="64"/>
      <c r="O428" s="64"/>
      <c r="P428" s="64"/>
      <c r="Q428" s="64"/>
      <c r="R428" s="64"/>
      <c r="S428" s="64"/>
      <c r="T428" s="65"/>
      <c r="U428" s="64"/>
      <c r="V428" s="64"/>
      <c r="W428" s="64"/>
      <c r="X428" s="64"/>
      <c r="Y428" s="64"/>
      <c r="Z428" s="64"/>
      <c r="AA428" s="64"/>
      <c r="AB428" s="64"/>
      <c r="AC428" s="64"/>
      <c r="AD428" s="64"/>
      <c r="AE428" s="64"/>
      <c r="AF428" s="64"/>
      <c r="AG428" s="64"/>
    </row>
    <row r="429">
      <c r="A429" s="64"/>
      <c r="B429" s="64"/>
      <c r="C429" s="64"/>
      <c r="D429" s="64"/>
      <c r="E429" s="65"/>
      <c r="F429" s="64"/>
      <c r="G429" s="67"/>
      <c r="H429" s="64"/>
      <c r="I429" s="64"/>
      <c r="J429" s="64"/>
      <c r="K429" s="64"/>
      <c r="L429" s="65"/>
      <c r="M429" s="64"/>
      <c r="N429" s="64"/>
      <c r="O429" s="64"/>
      <c r="P429" s="64"/>
      <c r="Q429" s="64"/>
      <c r="R429" s="64"/>
      <c r="S429" s="64"/>
      <c r="T429" s="65"/>
      <c r="U429" s="64"/>
      <c r="V429" s="64"/>
      <c r="W429" s="64"/>
      <c r="X429" s="64"/>
      <c r="Y429" s="64"/>
      <c r="Z429" s="64"/>
      <c r="AA429" s="64"/>
      <c r="AB429" s="64"/>
      <c r="AC429" s="64"/>
      <c r="AD429" s="64"/>
      <c r="AE429" s="64"/>
      <c r="AF429" s="64"/>
      <c r="AG429" s="64"/>
    </row>
    <row r="430">
      <c r="A430" s="64"/>
      <c r="B430" s="64"/>
      <c r="C430" s="64"/>
      <c r="D430" s="64"/>
      <c r="E430" s="65"/>
      <c r="F430" s="64"/>
      <c r="G430" s="67"/>
      <c r="H430" s="64"/>
      <c r="I430" s="64"/>
      <c r="J430" s="64"/>
      <c r="K430" s="64"/>
      <c r="L430" s="65"/>
      <c r="M430" s="64"/>
      <c r="N430" s="64"/>
      <c r="O430" s="64"/>
      <c r="P430" s="64"/>
      <c r="Q430" s="64"/>
      <c r="R430" s="64"/>
      <c r="S430" s="64"/>
      <c r="T430" s="65"/>
      <c r="U430" s="64"/>
      <c r="V430" s="64"/>
      <c r="W430" s="64"/>
      <c r="X430" s="64"/>
      <c r="Y430" s="64"/>
      <c r="Z430" s="64"/>
      <c r="AA430" s="64"/>
      <c r="AB430" s="64"/>
      <c r="AC430" s="64"/>
      <c r="AD430" s="64"/>
      <c r="AE430" s="64"/>
      <c r="AF430" s="64"/>
      <c r="AG430" s="64"/>
    </row>
    <row r="431">
      <c r="A431" s="64"/>
      <c r="B431" s="64"/>
      <c r="C431" s="64"/>
      <c r="D431" s="64"/>
      <c r="E431" s="65"/>
      <c r="F431" s="64"/>
      <c r="G431" s="67"/>
      <c r="H431" s="64"/>
      <c r="I431" s="64"/>
      <c r="J431" s="64"/>
      <c r="K431" s="64"/>
      <c r="L431" s="65"/>
      <c r="M431" s="64"/>
      <c r="N431" s="64"/>
      <c r="O431" s="64"/>
      <c r="P431" s="64"/>
      <c r="Q431" s="64"/>
      <c r="R431" s="64"/>
      <c r="S431" s="64"/>
      <c r="T431" s="65"/>
      <c r="U431" s="64"/>
      <c r="V431" s="64"/>
      <c r="W431" s="64"/>
      <c r="X431" s="64"/>
      <c r="Y431" s="64"/>
      <c r="Z431" s="64"/>
      <c r="AA431" s="64"/>
      <c r="AB431" s="64"/>
      <c r="AC431" s="64"/>
      <c r="AD431" s="64"/>
      <c r="AE431" s="64"/>
      <c r="AF431" s="64"/>
      <c r="AG431" s="64"/>
    </row>
    <row r="432">
      <c r="A432" s="64"/>
      <c r="B432" s="64"/>
      <c r="C432" s="64"/>
      <c r="D432" s="64"/>
      <c r="E432" s="65"/>
      <c r="F432" s="64"/>
      <c r="G432" s="67"/>
      <c r="H432" s="64"/>
      <c r="I432" s="64"/>
      <c r="J432" s="64"/>
      <c r="K432" s="64"/>
      <c r="L432" s="65"/>
      <c r="M432" s="64"/>
      <c r="N432" s="64"/>
      <c r="O432" s="64"/>
      <c r="P432" s="64"/>
      <c r="Q432" s="64"/>
      <c r="R432" s="64"/>
      <c r="S432" s="64"/>
      <c r="T432" s="65"/>
      <c r="U432" s="64"/>
      <c r="V432" s="64"/>
      <c r="W432" s="64"/>
      <c r="X432" s="64"/>
      <c r="Y432" s="64"/>
      <c r="Z432" s="64"/>
      <c r="AA432" s="64"/>
      <c r="AB432" s="64"/>
      <c r="AC432" s="64"/>
      <c r="AD432" s="64"/>
      <c r="AE432" s="64"/>
      <c r="AF432" s="64"/>
      <c r="AG432" s="64"/>
    </row>
    <row r="433">
      <c r="A433" s="64"/>
      <c r="B433" s="64"/>
      <c r="C433" s="64"/>
      <c r="D433" s="64"/>
      <c r="E433" s="65"/>
      <c r="F433" s="64"/>
      <c r="G433" s="67"/>
      <c r="H433" s="64"/>
      <c r="I433" s="64"/>
      <c r="J433" s="64"/>
      <c r="K433" s="64"/>
      <c r="L433" s="65"/>
      <c r="M433" s="64"/>
      <c r="N433" s="64"/>
      <c r="O433" s="64"/>
      <c r="P433" s="64"/>
      <c r="Q433" s="64"/>
      <c r="R433" s="64"/>
      <c r="S433" s="64"/>
      <c r="T433" s="65"/>
      <c r="U433" s="64"/>
      <c r="V433" s="64"/>
      <c r="W433" s="64"/>
      <c r="X433" s="64"/>
      <c r="Y433" s="64"/>
      <c r="Z433" s="64"/>
      <c r="AA433" s="64"/>
      <c r="AB433" s="64"/>
      <c r="AC433" s="64"/>
      <c r="AD433" s="64"/>
      <c r="AE433" s="64"/>
      <c r="AF433" s="64"/>
      <c r="AG433" s="64"/>
    </row>
    <row r="434">
      <c r="A434" s="64"/>
      <c r="B434" s="64"/>
      <c r="C434" s="64"/>
      <c r="D434" s="64"/>
      <c r="E434" s="65"/>
      <c r="F434" s="64"/>
      <c r="G434" s="67"/>
      <c r="H434" s="64"/>
      <c r="I434" s="64"/>
      <c r="J434" s="64"/>
      <c r="K434" s="64"/>
      <c r="L434" s="65"/>
      <c r="M434" s="64"/>
      <c r="N434" s="64"/>
      <c r="O434" s="64"/>
      <c r="P434" s="64"/>
      <c r="Q434" s="64"/>
      <c r="R434" s="64"/>
      <c r="S434" s="64"/>
      <c r="T434" s="65"/>
      <c r="U434" s="64"/>
      <c r="V434" s="64"/>
      <c r="W434" s="64"/>
      <c r="X434" s="64"/>
      <c r="Y434" s="64"/>
      <c r="Z434" s="64"/>
      <c r="AA434" s="64"/>
      <c r="AB434" s="64"/>
      <c r="AC434" s="64"/>
      <c r="AD434" s="64"/>
      <c r="AE434" s="64"/>
      <c r="AF434" s="64"/>
      <c r="AG434" s="64"/>
    </row>
    <row r="435">
      <c r="A435" s="64"/>
      <c r="B435" s="64"/>
      <c r="C435" s="64"/>
      <c r="D435" s="64"/>
      <c r="E435" s="65"/>
      <c r="F435" s="64"/>
      <c r="G435" s="67"/>
      <c r="H435" s="64"/>
      <c r="I435" s="64"/>
      <c r="J435" s="64"/>
      <c r="K435" s="64"/>
      <c r="L435" s="65"/>
      <c r="M435" s="64"/>
      <c r="N435" s="64"/>
      <c r="O435" s="64"/>
      <c r="P435" s="64"/>
      <c r="Q435" s="64"/>
      <c r="R435" s="64"/>
      <c r="S435" s="64"/>
      <c r="T435" s="65"/>
      <c r="U435" s="64"/>
      <c r="V435" s="64"/>
      <c r="W435" s="64"/>
      <c r="X435" s="64"/>
      <c r="Y435" s="64"/>
      <c r="Z435" s="64"/>
      <c r="AA435" s="64"/>
      <c r="AB435" s="64"/>
      <c r="AC435" s="64"/>
      <c r="AD435" s="64"/>
      <c r="AE435" s="64"/>
      <c r="AF435" s="64"/>
      <c r="AG435" s="64"/>
    </row>
    <row r="436">
      <c r="A436" s="64"/>
      <c r="B436" s="64"/>
      <c r="C436" s="64"/>
      <c r="D436" s="64"/>
      <c r="E436" s="65"/>
      <c r="F436" s="64"/>
      <c r="G436" s="67"/>
      <c r="H436" s="64"/>
      <c r="I436" s="64"/>
      <c r="J436" s="64"/>
      <c r="K436" s="64"/>
      <c r="L436" s="65"/>
      <c r="M436" s="64"/>
      <c r="N436" s="64"/>
      <c r="O436" s="64"/>
      <c r="P436" s="64"/>
      <c r="Q436" s="64"/>
      <c r="R436" s="64"/>
      <c r="S436" s="64"/>
      <c r="T436" s="65"/>
      <c r="U436" s="64"/>
      <c r="V436" s="64"/>
      <c r="W436" s="64"/>
      <c r="X436" s="64"/>
      <c r="Y436" s="64"/>
      <c r="Z436" s="64"/>
      <c r="AA436" s="64"/>
      <c r="AB436" s="64"/>
      <c r="AC436" s="64"/>
      <c r="AD436" s="64"/>
      <c r="AE436" s="64"/>
      <c r="AF436" s="64"/>
      <c r="AG436" s="64"/>
    </row>
    <row r="437">
      <c r="A437" s="64"/>
      <c r="B437" s="64"/>
      <c r="C437" s="64"/>
      <c r="D437" s="64"/>
      <c r="E437" s="65"/>
      <c r="F437" s="64"/>
      <c r="G437" s="67"/>
      <c r="H437" s="64"/>
      <c r="I437" s="64"/>
      <c r="J437" s="64"/>
      <c r="K437" s="64"/>
      <c r="L437" s="65"/>
      <c r="M437" s="64"/>
      <c r="N437" s="64"/>
      <c r="O437" s="64"/>
      <c r="P437" s="64"/>
      <c r="Q437" s="64"/>
      <c r="R437" s="64"/>
      <c r="S437" s="64"/>
      <c r="T437" s="65"/>
      <c r="U437" s="64"/>
      <c r="V437" s="64"/>
      <c r="W437" s="64"/>
      <c r="X437" s="64"/>
      <c r="Y437" s="64"/>
      <c r="Z437" s="64"/>
      <c r="AA437" s="64"/>
      <c r="AB437" s="64"/>
      <c r="AC437" s="64"/>
      <c r="AD437" s="64"/>
      <c r="AE437" s="64"/>
      <c r="AF437" s="64"/>
      <c r="AG437" s="64"/>
    </row>
    <row r="438">
      <c r="A438" s="64"/>
      <c r="B438" s="64"/>
      <c r="C438" s="64"/>
      <c r="D438" s="64"/>
      <c r="E438" s="65"/>
      <c r="F438" s="64"/>
      <c r="G438" s="67"/>
      <c r="H438" s="64"/>
      <c r="I438" s="64"/>
      <c r="J438" s="64"/>
      <c r="K438" s="64"/>
      <c r="L438" s="65"/>
      <c r="M438" s="64"/>
      <c r="N438" s="64"/>
      <c r="O438" s="64"/>
      <c r="P438" s="64"/>
      <c r="Q438" s="64"/>
      <c r="R438" s="64"/>
      <c r="S438" s="64"/>
      <c r="T438" s="65"/>
      <c r="U438" s="64"/>
      <c r="V438" s="64"/>
      <c r="W438" s="64"/>
      <c r="X438" s="64"/>
      <c r="Y438" s="64"/>
      <c r="Z438" s="64"/>
      <c r="AA438" s="64"/>
      <c r="AB438" s="64"/>
      <c r="AC438" s="64"/>
      <c r="AD438" s="64"/>
      <c r="AE438" s="64"/>
      <c r="AF438" s="64"/>
      <c r="AG438" s="64"/>
    </row>
    <row r="439">
      <c r="A439" s="64"/>
      <c r="B439" s="64"/>
      <c r="C439" s="64"/>
      <c r="D439" s="64"/>
      <c r="E439" s="65"/>
      <c r="F439" s="64"/>
      <c r="G439" s="67"/>
      <c r="H439" s="64"/>
      <c r="I439" s="64"/>
      <c r="J439" s="64"/>
      <c r="K439" s="64"/>
      <c r="L439" s="65"/>
      <c r="M439" s="64"/>
      <c r="N439" s="64"/>
      <c r="O439" s="64"/>
      <c r="P439" s="64"/>
      <c r="Q439" s="64"/>
      <c r="R439" s="64"/>
      <c r="S439" s="64"/>
      <c r="T439" s="65"/>
      <c r="U439" s="64"/>
      <c r="V439" s="64"/>
      <c r="W439" s="64"/>
      <c r="X439" s="64"/>
      <c r="Y439" s="64"/>
      <c r="Z439" s="64"/>
      <c r="AA439" s="64"/>
      <c r="AB439" s="64"/>
      <c r="AC439" s="64"/>
      <c r="AD439" s="64"/>
      <c r="AE439" s="64"/>
      <c r="AF439" s="64"/>
      <c r="AG439" s="64"/>
    </row>
    <row r="440">
      <c r="A440" s="64"/>
      <c r="B440" s="64"/>
      <c r="C440" s="64"/>
      <c r="D440" s="64"/>
      <c r="E440" s="65"/>
      <c r="F440" s="64"/>
      <c r="G440" s="67"/>
      <c r="H440" s="64"/>
      <c r="I440" s="64"/>
      <c r="J440" s="64"/>
      <c r="K440" s="64"/>
      <c r="L440" s="65"/>
      <c r="M440" s="64"/>
      <c r="N440" s="64"/>
      <c r="O440" s="64"/>
      <c r="P440" s="64"/>
      <c r="Q440" s="64"/>
      <c r="R440" s="64"/>
      <c r="S440" s="64"/>
      <c r="T440" s="65"/>
      <c r="U440" s="64"/>
      <c r="V440" s="64"/>
      <c r="W440" s="64"/>
      <c r="X440" s="64"/>
      <c r="Y440" s="64"/>
      <c r="Z440" s="64"/>
      <c r="AA440" s="64"/>
      <c r="AB440" s="64"/>
      <c r="AC440" s="64"/>
      <c r="AD440" s="64"/>
      <c r="AE440" s="64"/>
      <c r="AF440" s="64"/>
      <c r="AG440" s="64"/>
    </row>
    <row r="441">
      <c r="A441" s="64"/>
      <c r="B441" s="64"/>
      <c r="C441" s="64"/>
      <c r="D441" s="64"/>
      <c r="E441" s="65"/>
      <c r="F441" s="64"/>
      <c r="G441" s="67"/>
      <c r="H441" s="64"/>
      <c r="I441" s="64"/>
      <c r="J441" s="64"/>
      <c r="K441" s="64"/>
      <c r="L441" s="65"/>
      <c r="M441" s="64"/>
      <c r="N441" s="64"/>
      <c r="O441" s="64"/>
      <c r="P441" s="64"/>
      <c r="Q441" s="64"/>
      <c r="R441" s="64"/>
      <c r="S441" s="64"/>
      <c r="T441" s="65"/>
      <c r="U441" s="64"/>
      <c r="V441" s="64"/>
      <c r="W441" s="64"/>
      <c r="X441" s="64"/>
      <c r="Y441" s="64"/>
      <c r="Z441" s="64"/>
      <c r="AA441" s="64"/>
      <c r="AB441" s="64"/>
      <c r="AC441" s="64"/>
      <c r="AD441" s="64"/>
      <c r="AE441" s="64"/>
      <c r="AF441" s="64"/>
      <c r="AG441" s="64"/>
    </row>
    <row r="442">
      <c r="A442" s="64"/>
      <c r="B442" s="64"/>
      <c r="C442" s="64"/>
      <c r="D442" s="64"/>
      <c r="E442" s="65"/>
      <c r="F442" s="64"/>
      <c r="G442" s="67"/>
      <c r="H442" s="64"/>
      <c r="I442" s="64"/>
      <c r="J442" s="64"/>
      <c r="K442" s="64"/>
      <c r="L442" s="65"/>
      <c r="M442" s="64"/>
      <c r="N442" s="64"/>
      <c r="O442" s="64"/>
      <c r="P442" s="64"/>
      <c r="Q442" s="64"/>
      <c r="R442" s="64"/>
      <c r="S442" s="64"/>
      <c r="T442" s="65"/>
      <c r="U442" s="64"/>
      <c r="V442" s="64"/>
      <c r="W442" s="64"/>
      <c r="X442" s="64"/>
      <c r="Y442" s="64"/>
      <c r="Z442" s="64"/>
      <c r="AA442" s="64"/>
      <c r="AB442" s="64"/>
      <c r="AC442" s="64"/>
      <c r="AD442" s="64"/>
      <c r="AE442" s="64"/>
      <c r="AF442" s="64"/>
      <c r="AG442" s="64"/>
    </row>
    <row r="443">
      <c r="A443" s="64"/>
      <c r="B443" s="64"/>
      <c r="C443" s="64"/>
      <c r="D443" s="64"/>
      <c r="E443" s="65"/>
      <c r="F443" s="64"/>
      <c r="G443" s="67"/>
      <c r="H443" s="64"/>
      <c r="I443" s="64"/>
      <c r="J443" s="64"/>
      <c r="K443" s="64"/>
      <c r="L443" s="65"/>
      <c r="M443" s="64"/>
      <c r="N443" s="64"/>
      <c r="O443" s="64"/>
      <c r="P443" s="64"/>
      <c r="Q443" s="64"/>
      <c r="R443" s="64"/>
      <c r="S443" s="64"/>
      <c r="T443" s="65"/>
      <c r="U443" s="64"/>
      <c r="V443" s="64"/>
      <c r="W443" s="64"/>
      <c r="X443" s="64"/>
      <c r="Y443" s="64"/>
      <c r="Z443" s="64"/>
      <c r="AA443" s="64"/>
      <c r="AB443" s="64"/>
      <c r="AC443" s="64"/>
      <c r="AD443" s="64"/>
      <c r="AE443" s="64"/>
      <c r="AF443" s="64"/>
      <c r="AG443" s="64"/>
    </row>
    <row r="444">
      <c r="A444" s="64"/>
      <c r="B444" s="64"/>
      <c r="C444" s="64"/>
      <c r="D444" s="64"/>
      <c r="E444" s="65"/>
      <c r="F444" s="64"/>
      <c r="G444" s="67"/>
      <c r="H444" s="64"/>
      <c r="I444" s="64"/>
      <c r="J444" s="64"/>
      <c r="K444" s="64"/>
      <c r="L444" s="65"/>
      <c r="M444" s="64"/>
      <c r="N444" s="64"/>
      <c r="O444" s="64"/>
      <c r="P444" s="64"/>
      <c r="Q444" s="64"/>
      <c r="R444" s="64"/>
      <c r="S444" s="64"/>
      <c r="T444" s="65"/>
      <c r="U444" s="64"/>
      <c r="V444" s="64"/>
      <c r="W444" s="64"/>
      <c r="X444" s="64"/>
      <c r="Y444" s="64"/>
      <c r="Z444" s="64"/>
      <c r="AA444" s="64"/>
      <c r="AB444" s="64"/>
      <c r="AC444" s="64"/>
      <c r="AD444" s="64"/>
      <c r="AE444" s="64"/>
      <c r="AF444" s="64"/>
      <c r="AG444" s="64"/>
    </row>
    <row r="445">
      <c r="A445" s="64"/>
      <c r="B445" s="64"/>
      <c r="C445" s="64"/>
      <c r="D445" s="64"/>
      <c r="E445" s="65"/>
      <c r="F445" s="64"/>
      <c r="G445" s="67"/>
      <c r="H445" s="64"/>
      <c r="I445" s="64"/>
      <c r="J445" s="64"/>
      <c r="K445" s="64"/>
      <c r="L445" s="65"/>
      <c r="M445" s="64"/>
      <c r="N445" s="64"/>
      <c r="O445" s="64"/>
      <c r="P445" s="64"/>
      <c r="Q445" s="64"/>
      <c r="R445" s="64"/>
      <c r="S445" s="64"/>
      <c r="T445" s="65"/>
      <c r="U445" s="64"/>
      <c r="V445" s="64"/>
      <c r="W445" s="64"/>
      <c r="X445" s="64"/>
      <c r="Y445" s="64"/>
      <c r="Z445" s="64"/>
      <c r="AA445" s="64"/>
      <c r="AB445" s="64"/>
      <c r="AC445" s="64"/>
      <c r="AD445" s="64"/>
      <c r="AE445" s="64"/>
      <c r="AF445" s="64"/>
      <c r="AG445" s="64"/>
    </row>
    <row r="446">
      <c r="A446" s="64"/>
      <c r="B446" s="64"/>
      <c r="C446" s="64"/>
      <c r="D446" s="64"/>
      <c r="E446" s="65"/>
      <c r="F446" s="64"/>
      <c r="G446" s="67"/>
      <c r="H446" s="64"/>
      <c r="I446" s="64"/>
      <c r="J446" s="64"/>
      <c r="K446" s="64"/>
      <c r="L446" s="65"/>
      <c r="M446" s="64"/>
      <c r="N446" s="64"/>
      <c r="O446" s="64"/>
      <c r="P446" s="64"/>
      <c r="Q446" s="64"/>
      <c r="R446" s="64"/>
      <c r="S446" s="64"/>
      <c r="T446" s="65"/>
      <c r="U446" s="64"/>
      <c r="V446" s="64"/>
      <c r="W446" s="64"/>
      <c r="X446" s="64"/>
      <c r="Y446" s="64"/>
      <c r="Z446" s="64"/>
      <c r="AA446" s="64"/>
      <c r="AB446" s="64"/>
      <c r="AC446" s="64"/>
      <c r="AD446" s="64"/>
      <c r="AE446" s="64"/>
      <c r="AF446" s="64"/>
      <c r="AG446" s="64"/>
    </row>
    <row r="447">
      <c r="A447" s="64"/>
      <c r="B447" s="64"/>
      <c r="C447" s="64"/>
      <c r="D447" s="64"/>
      <c r="E447" s="65"/>
      <c r="F447" s="64"/>
      <c r="G447" s="67"/>
      <c r="H447" s="64"/>
      <c r="I447" s="64"/>
      <c r="J447" s="64"/>
      <c r="K447" s="64"/>
      <c r="L447" s="65"/>
      <c r="M447" s="64"/>
      <c r="N447" s="64"/>
      <c r="O447" s="64"/>
      <c r="P447" s="64"/>
      <c r="Q447" s="64"/>
      <c r="R447" s="64"/>
      <c r="S447" s="64"/>
      <c r="T447" s="65"/>
      <c r="U447" s="64"/>
      <c r="V447" s="64"/>
      <c r="W447" s="64"/>
      <c r="X447" s="64"/>
      <c r="Y447" s="64"/>
      <c r="Z447" s="64"/>
      <c r="AA447" s="64"/>
      <c r="AB447" s="64"/>
      <c r="AC447" s="64"/>
      <c r="AD447" s="64"/>
      <c r="AE447" s="64"/>
      <c r="AF447" s="64"/>
      <c r="AG447" s="64"/>
    </row>
    <row r="448">
      <c r="A448" s="64"/>
      <c r="B448" s="64"/>
      <c r="C448" s="64"/>
      <c r="D448" s="64"/>
      <c r="E448" s="65"/>
      <c r="F448" s="64"/>
      <c r="G448" s="67"/>
      <c r="H448" s="64"/>
      <c r="I448" s="64"/>
      <c r="J448" s="64"/>
      <c r="K448" s="64"/>
      <c r="L448" s="65"/>
      <c r="M448" s="64"/>
      <c r="N448" s="64"/>
      <c r="O448" s="64"/>
      <c r="P448" s="64"/>
      <c r="Q448" s="64"/>
      <c r="R448" s="64"/>
      <c r="S448" s="64"/>
      <c r="T448" s="65"/>
      <c r="U448" s="64"/>
      <c r="V448" s="64"/>
      <c r="W448" s="64"/>
      <c r="X448" s="64"/>
      <c r="Y448" s="64"/>
      <c r="Z448" s="64"/>
      <c r="AA448" s="64"/>
      <c r="AB448" s="64"/>
      <c r="AC448" s="64"/>
      <c r="AD448" s="64"/>
      <c r="AE448" s="64"/>
      <c r="AF448" s="64"/>
      <c r="AG448" s="64"/>
    </row>
    <row r="449">
      <c r="A449" s="64"/>
      <c r="B449" s="64"/>
      <c r="C449" s="64"/>
      <c r="D449" s="64"/>
      <c r="E449" s="65"/>
      <c r="F449" s="64"/>
      <c r="G449" s="67"/>
      <c r="H449" s="64"/>
      <c r="I449" s="64"/>
      <c r="J449" s="64"/>
      <c r="K449" s="64"/>
      <c r="L449" s="65"/>
      <c r="M449" s="64"/>
      <c r="N449" s="64"/>
      <c r="O449" s="64"/>
      <c r="P449" s="64"/>
      <c r="Q449" s="64"/>
      <c r="R449" s="64"/>
      <c r="S449" s="64"/>
      <c r="T449" s="65"/>
      <c r="U449" s="64"/>
      <c r="V449" s="64"/>
      <c r="W449" s="64"/>
      <c r="X449" s="64"/>
      <c r="Y449" s="64"/>
      <c r="Z449" s="64"/>
      <c r="AA449" s="64"/>
      <c r="AB449" s="64"/>
      <c r="AC449" s="64"/>
      <c r="AD449" s="64"/>
      <c r="AE449" s="64"/>
      <c r="AF449" s="64"/>
      <c r="AG449" s="64"/>
    </row>
    <row r="450">
      <c r="A450" s="64"/>
      <c r="B450" s="64"/>
      <c r="C450" s="64"/>
      <c r="D450" s="64"/>
      <c r="E450" s="65"/>
      <c r="F450" s="64"/>
      <c r="G450" s="67"/>
      <c r="H450" s="64"/>
      <c r="I450" s="64"/>
      <c r="J450" s="64"/>
      <c r="K450" s="64"/>
      <c r="L450" s="65"/>
      <c r="M450" s="64"/>
      <c r="N450" s="64"/>
      <c r="O450" s="64"/>
      <c r="P450" s="64"/>
      <c r="Q450" s="64"/>
      <c r="R450" s="64"/>
      <c r="S450" s="64"/>
      <c r="T450" s="65"/>
      <c r="U450" s="64"/>
      <c r="V450" s="64"/>
      <c r="W450" s="64"/>
      <c r="X450" s="64"/>
      <c r="Y450" s="64"/>
      <c r="Z450" s="64"/>
      <c r="AA450" s="64"/>
      <c r="AB450" s="64"/>
      <c r="AC450" s="64"/>
      <c r="AD450" s="64"/>
      <c r="AE450" s="64"/>
      <c r="AF450" s="64"/>
      <c r="AG450" s="64"/>
    </row>
    <row r="451">
      <c r="A451" s="64"/>
      <c r="B451" s="64"/>
      <c r="C451" s="64"/>
      <c r="D451" s="64"/>
      <c r="E451" s="65"/>
      <c r="F451" s="64"/>
      <c r="G451" s="67"/>
      <c r="H451" s="64"/>
      <c r="I451" s="64"/>
      <c r="J451" s="64"/>
      <c r="K451" s="64"/>
      <c r="L451" s="65"/>
      <c r="M451" s="64"/>
      <c r="N451" s="64"/>
      <c r="O451" s="64"/>
      <c r="P451" s="64"/>
      <c r="Q451" s="64"/>
      <c r="R451" s="64"/>
      <c r="S451" s="64"/>
      <c r="T451" s="65"/>
      <c r="U451" s="64"/>
      <c r="V451" s="64"/>
      <c r="W451" s="64"/>
      <c r="X451" s="64"/>
      <c r="Y451" s="64"/>
      <c r="Z451" s="64"/>
      <c r="AA451" s="64"/>
      <c r="AB451" s="64"/>
      <c r="AC451" s="64"/>
      <c r="AD451" s="64"/>
      <c r="AE451" s="64"/>
      <c r="AF451" s="64"/>
      <c r="AG451" s="64"/>
    </row>
    <row r="452">
      <c r="A452" s="64"/>
      <c r="B452" s="64"/>
      <c r="C452" s="64"/>
      <c r="D452" s="64"/>
      <c r="E452" s="65"/>
      <c r="F452" s="64"/>
      <c r="G452" s="67"/>
      <c r="H452" s="64"/>
      <c r="I452" s="64"/>
      <c r="J452" s="64"/>
      <c r="K452" s="64"/>
      <c r="L452" s="65"/>
      <c r="M452" s="64"/>
      <c r="N452" s="64"/>
      <c r="O452" s="64"/>
      <c r="P452" s="64"/>
      <c r="Q452" s="64"/>
      <c r="R452" s="64"/>
      <c r="S452" s="64"/>
      <c r="T452" s="65"/>
      <c r="U452" s="64"/>
      <c r="V452" s="64"/>
      <c r="W452" s="64"/>
      <c r="X452" s="64"/>
      <c r="Y452" s="64"/>
      <c r="Z452" s="64"/>
      <c r="AA452" s="64"/>
      <c r="AB452" s="64"/>
      <c r="AC452" s="64"/>
      <c r="AD452" s="64"/>
      <c r="AE452" s="64"/>
      <c r="AF452" s="64"/>
      <c r="AG452" s="64"/>
    </row>
    <row r="453">
      <c r="A453" s="64"/>
      <c r="B453" s="64"/>
      <c r="C453" s="64"/>
      <c r="D453" s="64"/>
      <c r="E453" s="65"/>
      <c r="F453" s="64"/>
      <c r="G453" s="67"/>
      <c r="H453" s="64"/>
      <c r="I453" s="64"/>
      <c r="J453" s="64"/>
      <c r="K453" s="64"/>
      <c r="L453" s="65"/>
      <c r="M453" s="64"/>
      <c r="N453" s="64"/>
      <c r="O453" s="64"/>
      <c r="P453" s="64"/>
      <c r="Q453" s="64"/>
      <c r="R453" s="64"/>
      <c r="S453" s="64"/>
      <c r="T453" s="65"/>
      <c r="U453" s="64"/>
      <c r="V453" s="64"/>
      <c r="W453" s="64"/>
      <c r="X453" s="64"/>
      <c r="Y453" s="64"/>
      <c r="Z453" s="64"/>
      <c r="AA453" s="64"/>
      <c r="AB453" s="64"/>
      <c r="AC453" s="64"/>
      <c r="AD453" s="64"/>
      <c r="AE453" s="64"/>
      <c r="AF453" s="64"/>
      <c r="AG453" s="64"/>
    </row>
    <row r="454">
      <c r="A454" s="64"/>
      <c r="B454" s="64"/>
      <c r="C454" s="64"/>
      <c r="D454" s="64"/>
      <c r="E454" s="65"/>
      <c r="F454" s="64"/>
      <c r="G454" s="67"/>
      <c r="H454" s="64"/>
      <c r="I454" s="64"/>
      <c r="J454" s="64"/>
      <c r="K454" s="64"/>
      <c r="L454" s="65"/>
      <c r="M454" s="64"/>
      <c r="N454" s="64"/>
      <c r="O454" s="64"/>
      <c r="P454" s="64"/>
      <c r="Q454" s="64"/>
      <c r="R454" s="64"/>
      <c r="S454" s="64"/>
      <c r="T454" s="65"/>
      <c r="U454" s="64"/>
      <c r="V454" s="64"/>
      <c r="W454" s="64"/>
      <c r="X454" s="64"/>
      <c r="Y454" s="64"/>
      <c r="Z454" s="64"/>
      <c r="AA454" s="64"/>
      <c r="AB454" s="64"/>
      <c r="AC454" s="64"/>
      <c r="AD454" s="64"/>
      <c r="AE454" s="64"/>
      <c r="AF454" s="64"/>
      <c r="AG454" s="64"/>
    </row>
    <row r="455">
      <c r="A455" s="64"/>
      <c r="B455" s="64"/>
      <c r="C455" s="64"/>
      <c r="D455" s="64"/>
      <c r="E455" s="65"/>
      <c r="F455" s="64"/>
      <c r="G455" s="67"/>
      <c r="H455" s="64"/>
      <c r="I455" s="64"/>
      <c r="J455" s="64"/>
      <c r="K455" s="64"/>
      <c r="L455" s="65"/>
      <c r="M455" s="64"/>
      <c r="N455" s="64"/>
      <c r="O455" s="64"/>
      <c r="P455" s="64"/>
      <c r="Q455" s="64"/>
      <c r="R455" s="64"/>
      <c r="S455" s="64"/>
      <c r="T455" s="65"/>
      <c r="U455" s="64"/>
      <c r="V455" s="64"/>
      <c r="W455" s="64"/>
      <c r="X455" s="64"/>
      <c r="Y455" s="64"/>
      <c r="Z455" s="64"/>
      <c r="AA455" s="64"/>
      <c r="AB455" s="64"/>
      <c r="AC455" s="64"/>
      <c r="AD455" s="64"/>
      <c r="AE455" s="64"/>
      <c r="AF455" s="64"/>
      <c r="AG455" s="64"/>
    </row>
    <row r="456">
      <c r="A456" s="64"/>
      <c r="B456" s="64"/>
      <c r="C456" s="64"/>
      <c r="D456" s="64"/>
      <c r="E456" s="65"/>
      <c r="F456" s="64"/>
      <c r="G456" s="67"/>
      <c r="H456" s="64"/>
      <c r="I456" s="64"/>
      <c r="J456" s="64"/>
      <c r="K456" s="64"/>
      <c r="L456" s="65"/>
      <c r="M456" s="64"/>
      <c r="N456" s="64"/>
      <c r="O456" s="64"/>
      <c r="P456" s="64"/>
      <c r="Q456" s="64"/>
      <c r="R456" s="64"/>
      <c r="S456" s="64"/>
      <c r="T456" s="65"/>
      <c r="U456" s="64"/>
      <c r="V456" s="64"/>
      <c r="W456" s="64"/>
      <c r="X456" s="64"/>
      <c r="Y456" s="64"/>
      <c r="Z456" s="64"/>
      <c r="AA456" s="64"/>
      <c r="AB456" s="64"/>
      <c r="AC456" s="64"/>
      <c r="AD456" s="64"/>
      <c r="AE456" s="64"/>
      <c r="AF456" s="64"/>
      <c r="AG456" s="64"/>
    </row>
    <row r="457">
      <c r="A457" s="64"/>
      <c r="B457" s="64"/>
      <c r="C457" s="64"/>
      <c r="D457" s="64"/>
      <c r="E457" s="65"/>
      <c r="F457" s="64"/>
      <c r="G457" s="67"/>
      <c r="H457" s="64"/>
      <c r="I457" s="64"/>
      <c r="J457" s="64"/>
      <c r="K457" s="64"/>
      <c r="L457" s="65"/>
      <c r="M457" s="64"/>
      <c r="N457" s="64"/>
      <c r="O457" s="64"/>
      <c r="P457" s="64"/>
      <c r="Q457" s="64"/>
      <c r="R457" s="64"/>
      <c r="S457" s="64"/>
      <c r="T457" s="65"/>
      <c r="U457" s="64"/>
      <c r="V457" s="64"/>
      <c r="W457" s="64"/>
      <c r="X457" s="64"/>
      <c r="Y457" s="64"/>
      <c r="Z457" s="64"/>
      <c r="AA457" s="64"/>
      <c r="AB457" s="64"/>
      <c r="AC457" s="64"/>
      <c r="AD457" s="64"/>
      <c r="AE457" s="64"/>
      <c r="AF457" s="64"/>
      <c r="AG457" s="64"/>
    </row>
    <row r="458">
      <c r="A458" s="64"/>
      <c r="B458" s="64"/>
      <c r="C458" s="64"/>
      <c r="D458" s="64"/>
      <c r="E458" s="65"/>
      <c r="F458" s="64"/>
      <c r="G458" s="67"/>
      <c r="H458" s="64"/>
      <c r="I458" s="64"/>
      <c r="J458" s="64"/>
      <c r="K458" s="64"/>
      <c r="L458" s="65"/>
      <c r="M458" s="64"/>
      <c r="N458" s="64"/>
      <c r="O458" s="64"/>
      <c r="P458" s="64"/>
      <c r="Q458" s="64"/>
      <c r="R458" s="64"/>
      <c r="S458" s="64"/>
      <c r="T458" s="65"/>
      <c r="U458" s="64"/>
      <c r="V458" s="64"/>
      <c r="W458" s="64"/>
      <c r="X458" s="64"/>
      <c r="Y458" s="64"/>
      <c r="Z458" s="64"/>
      <c r="AA458" s="64"/>
      <c r="AB458" s="64"/>
      <c r="AC458" s="64"/>
      <c r="AD458" s="64"/>
      <c r="AE458" s="64"/>
      <c r="AF458" s="64"/>
      <c r="AG458" s="64"/>
    </row>
    <row r="459">
      <c r="A459" s="64"/>
      <c r="B459" s="64"/>
      <c r="C459" s="64"/>
      <c r="D459" s="64"/>
      <c r="E459" s="65"/>
      <c r="F459" s="64"/>
      <c r="G459" s="67"/>
      <c r="H459" s="64"/>
      <c r="I459" s="64"/>
      <c r="J459" s="64"/>
      <c r="K459" s="64"/>
      <c r="L459" s="65"/>
      <c r="M459" s="64"/>
      <c r="N459" s="64"/>
      <c r="O459" s="64"/>
      <c r="P459" s="64"/>
      <c r="Q459" s="64"/>
      <c r="R459" s="64"/>
      <c r="S459" s="64"/>
      <c r="T459" s="65"/>
      <c r="U459" s="64"/>
      <c r="V459" s="64"/>
      <c r="W459" s="64"/>
      <c r="X459" s="64"/>
      <c r="Y459" s="64"/>
      <c r="Z459" s="64"/>
      <c r="AA459" s="64"/>
      <c r="AB459" s="64"/>
      <c r="AC459" s="64"/>
      <c r="AD459" s="64"/>
      <c r="AE459" s="64"/>
      <c r="AF459" s="64"/>
      <c r="AG459" s="64"/>
    </row>
    <row r="460">
      <c r="A460" s="64"/>
      <c r="B460" s="64"/>
      <c r="C460" s="64"/>
      <c r="D460" s="64"/>
      <c r="E460" s="65"/>
      <c r="F460" s="64"/>
      <c r="G460" s="67"/>
      <c r="H460" s="64"/>
      <c r="I460" s="64"/>
      <c r="J460" s="64"/>
      <c r="K460" s="64"/>
      <c r="L460" s="65"/>
      <c r="M460" s="64"/>
      <c r="N460" s="64"/>
      <c r="O460" s="64"/>
      <c r="P460" s="64"/>
      <c r="Q460" s="64"/>
      <c r="R460" s="64"/>
      <c r="S460" s="64"/>
      <c r="T460" s="65"/>
      <c r="U460" s="64"/>
      <c r="V460" s="64"/>
      <c r="W460" s="64"/>
      <c r="X460" s="64"/>
      <c r="Y460" s="64"/>
      <c r="Z460" s="64"/>
      <c r="AA460" s="64"/>
      <c r="AB460" s="64"/>
      <c r="AC460" s="64"/>
      <c r="AD460" s="64"/>
      <c r="AE460" s="64"/>
      <c r="AF460" s="64"/>
      <c r="AG460" s="64"/>
    </row>
    <row r="461">
      <c r="A461" s="64"/>
      <c r="B461" s="64"/>
      <c r="C461" s="64"/>
      <c r="D461" s="64"/>
      <c r="E461" s="65"/>
      <c r="F461" s="64"/>
      <c r="G461" s="67"/>
      <c r="H461" s="64"/>
      <c r="I461" s="64"/>
      <c r="J461" s="64"/>
      <c r="K461" s="64"/>
      <c r="L461" s="65"/>
      <c r="M461" s="64"/>
      <c r="N461" s="64"/>
      <c r="O461" s="64"/>
      <c r="P461" s="64"/>
      <c r="Q461" s="64"/>
      <c r="R461" s="64"/>
      <c r="S461" s="64"/>
      <c r="T461" s="65"/>
      <c r="U461" s="64"/>
      <c r="V461" s="64"/>
      <c r="W461" s="64"/>
      <c r="X461" s="64"/>
      <c r="Y461" s="64"/>
      <c r="Z461" s="64"/>
      <c r="AA461" s="64"/>
      <c r="AB461" s="64"/>
      <c r="AC461" s="64"/>
      <c r="AD461" s="64"/>
      <c r="AE461" s="64"/>
      <c r="AF461" s="64"/>
      <c r="AG461" s="64"/>
    </row>
    <row r="462">
      <c r="A462" s="64"/>
      <c r="B462" s="64"/>
      <c r="C462" s="64"/>
      <c r="D462" s="64"/>
      <c r="E462" s="65"/>
      <c r="F462" s="64"/>
      <c r="G462" s="67"/>
      <c r="H462" s="64"/>
      <c r="I462" s="64"/>
      <c r="J462" s="64"/>
      <c r="K462" s="64"/>
      <c r="L462" s="65"/>
      <c r="M462" s="64"/>
      <c r="N462" s="64"/>
      <c r="O462" s="64"/>
      <c r="P462" s="64"/>
      <c r="Q462" s="64"/>
      <c r="R462" s="64"/>
      <c r="S462" s="64"/>
      <c r="T462" s="65"/>
      <c r="U462" s="64"/>
      <c r="V462" s="64"/>
      <c r="W462" s="64"/>
      <c r="X462" s="64"/>
      <c r="Y462" s="64"/>
      <c r="Z462" s="64"/>
      <c r="AA462" s="64"/>
      <c r="AB462" s="64"/>
      <c r="AC462" s="64"/>
      <c r="AD462" s="64"/>
      <c r="AE462" s="64"/>
      <c r="AF462" s="64"/>
      <c r="AG462" s="64"/>
    </row>
    <row r="463">
      <c r="A463" s="64"/>
      <c r="B463" s="64"/>
      <c r="C463" s="64"/>
      <c r="D463" s="64"/>
      <c r="E463" s="65"/>
      <c r="F463" s="64"/>
      <c r="G463" s="67"/>
      <c r="H463" s="64"/>
      <c r="I463" s="64"/>
      <c r="J463" s="64"/>
      <c r="K463" s="64"/>
      <c r="L463" s="65"/>
      <c r="M463" s="64"/>
      <c r="N463" s="64"/>
      <c r="O463" s="64"/>
      <c r="P463" s="64"/>
      <c r="Q463" s="64"/>
      <c r="R463" s="64"/>
      <c r="S463" s="64"/>
      <c r="T463" s="65"/>
      <c r="U463" s="64"/>
      <c r="V463" s="64"/>
      <c r="W463" s="64"/>
      <c r="X463" s="64"/>
      <c r="Y463" s="64"/>
      <c r="Z463" s="64"/>
      <c r="AA463" s="64"/>
      <c r="AB463" s="64"/>
      <c r="AC463" s="64"/>
      <c r="AD463" s="64"/>
      <c r="AE463" s="64"/>
      <c r="AF463" s="64"/>
      <c r="AG463" s="64"/>
    </row>
    <row r="464">
      <c r="A464" s="64"/>
      <c r="B464" s="64"/>
      <c r="C464" s="64"/>
      <c r="D464" s="64"/>
      <c r="E464" s="65"/>
      <c r="F464" s="64"/>
      <c r="G464" s="67"/>
      <c r="H464" s="64"/>
      <c r="I464" s="64"/>
      <c r="J464" s="64"/>
      <c r="K464" s="64"/>
      <c r="L464" s="65"/>
      <c r="M464" s="64"/>
      <c r="N464" s="64"/>
      <c r="O464" s="64"/>
      <c r="P464" s="64"/>
      <c r="Q464" s="64"/>
      <c r="R464" s="64"/>
      <c r="S464" s="64"/>
      <c r="T464" s="65"/>
      <c r="U464" s="64"/>
      <c r="V464" s="64"/>
      <c r="W464" s="64"/>
      <c r="X464" s="64"/>
      <c r="Y464" s="64"/>
      <c r="Z464" s="64"/>
      <c r="AA464" s="64"/>
      <c r="AB464" s="64"/>
      <c r="AC464" s="64"/>
      <c r="AD464" s="64"/>
      <c r="AE464" s="64"/>
      <c r="AF464" s="64"/>
      <c r="AG464" s="64"/>
    </row>
    <row r="465">
      <c r="A465" s="64"/>
      <c r="B465" s="64"/>
      <c r="C465" s="64"/>
      <c r="D465" s="64"/>
      <c r="E465" s="65"/>
      <c r="F465" s="64"/>
      <c r="G465" s="67"/>
      <c r="H465" s="64"/>
      <c r="I465" s="64"/>
      <c r="J465" s="64"/>
      <c r="K465" s="64"/>
      <c r="L465" s="65"/>
      <c r="M465" s="64"/>
      <c r="N465" s="64"/>
      <c r="O465" s="64"/>
      <c r="P465" s="64"/>
      <c r="Q465" s="64"/>
      <c r="R465" s="64"/>
      <c r="S465" s="64"/>
      <c r="T465" s="65"/>
      <c r="U465" s="64"/>
      <c r="V465" s="64"/>
      <c r="W465" s="64"/>
      <c r="X465" s="64"/>
      <c r="Y465" s="64"/>
      <c r="Z465" s="64"/>
      <c r="AA465" s="64"/>
      <c r="AB465" s="64"/>
      <c r="AC465" s="64"/>
      <c r="AD465" s="64"/>
      <c r="AE465" s="64"/>
      <c r="AF465" s="64"/>
      <c r="AG465" s="64"/>
    </row>
    <row r="466">
      <c r="A466" s="64"/>
      <c r="B466" s="64"/>
      <c r="C466" s="64"/>
      <c r="D466" s="64"/>
      <c r="E466" s="65"/>
      <c r="F466" s="64"/>
      <c r="G466" s="67"/>
      <c r="H466" s="64"/>
      <c r="I466" s="64"/>
      <c r="J466" s="64"/>
      <c r="K466" s="64"/>
      <c r="L466" s="65"/>
      <c r="M466" s="64"/>
      <c r="N466" s="64"/>
      <c r="O466" s="64"/>
      <c r="P466" s="64"/>
      <c r="Q466" s="64"/>
      <c r="R466" s="64"/>
      <c r="S466" s="64"/>
      <c r="T466" s="65"/>
      <c r="U466" s="64"/>
      <c r="V466" s="64"/>
      <c r="W466" s="64"/>
      <c r="X466" s="64"/>
      <c r="Y466" s="64"/>
      <c r="Z466" s="64"/>
      <c r="AA466" s="64"/>
      <c r="AB466" s="64"/>
      <c r="AC466" s="64"/>
      <c r="AD466" s="64"/>
      <c r="AE466" s="64"/>
      <c r="AF466" s="64"/>
      <c r="AG466" s="64"/>
    </row>
    <row r="467">
      <c r="A467" s="64"/>
      <c r="B467" s="64"/>
      <c r="C467" s="64"/>
      <c r="D467" s="64"/>
      <c r="E467" s="65"/>
      <c r="F467" s="64"/>
      <c r="G467" s="67"/>
      <c r="H467" s="64"/>
      <c r="I467" s="64"/>
      <c r="J467" s="64"/>
      <c r="K467" s="64"/>
      <c r="L467" s="65"/>
      <c r="M467" s="64"/>
      <c r="N467" s="64"/>
      <c r="O467" s="64"/>
      <c r="P467" s="64"/>
      <c r="Q467" s="64"/>
      <c r="R467" s="64"/>
      <c r="S467" s="64"/>
      <c r="T467" s="65"/>
      <c r="U467" s="64"/>
      <c r="V467" s="64"/>
      <c r="W467" s="64"/>
      <c r="X467" s="64"/>
      <c r="Y467" s="64"/>
      <c r="Z467" s="64"/>
      <c r="AA467" s="64"/>
      <c r="AB467" s="64"/>
      <c r="AC467" s="64"/>
      <c r="AD467" s="64"/>
      <c r="AE467" s="64"/>
      <c r="AF467" s="64"/>
      <c r="AG467" s="64"/>
    </row>
    <row r="468">
      <c r="A468" s="64"/>
      <c r="B468" s="64"/>
      <c r="C468" s="64"/>
      <c r="D468" s="64"/>
      <c r="E468" s="65"/>
      <c r="F468" s="64"/>
      <c r="G468" s="67"/>
      <c r="H468" s="64"/>
      <c r="I468" s="64"/>
      <c r="J468" s="64"/>
      <c r="K468" s="64"/>
      <c r="L468" s="65"/>
      <c r="M468" s="64"/>
      <c r="N468" s="64"/>
      <c r="O468" s="64"/>
      <c r="P468" s="64"/>
      <c r="Q468" s="64"/>
      <c r="R468" s="64"/>
      <c r="S468" s="64"/>
      <c r="T468" s="65"/>
      <c r="U468" s="64"/>
      <c r="V468" s="64"/>
      <c r="W468" s="64"/>
      <c r="X468" s="64"/>
      <c r="Y468" s="64"/>
      <c r="Z468" s="64"/>
      <c r="AA468" s="64"/>
      <c r="AB468" s="64"/>
      <c r="AC468" s="64"/>
      <c r="AD468" s="64"/>
      <c r="AE468" s="64"/>
      <c r="AF468" s="64"/>
      <c r="AG468" s="64"/>
    </row>
    <row r="469">
      <c r="A469" s="64"/>
      <c r="B469" s="64"/>
      <c r="C469" s="64"/>
      <c r="D469" s="64"/>
      <c r="E469" s="65"/>
      <c r="F469" s="64"/>
      <c r="G469" s="67"/>
      <c r="H469" s="64"/>
      <c r="I469" s="64"/>
      <c r="J469" s="64"/>
      <c r="K469" s="64"/>
      <c r="L469" s="65"/>
      <c r="M469" s="64"/>
      <c r="N469" s="64"/>
      <c r="O469" s="64"/>
      <c r="P469" s="64"/>
      <c r="Q469" s="64"/>
      <c r="R469" s="64"/>
      <c r="S469" s="64"/>
      <c r="T469" s="65"/>
      <c r="U469" s="64"/>
      <c r="V469" s="64"/>
      <c r="W469" s="64"/>
      <c r="X469" s="64"/>
      <c r="Y469" s="64"/>
      <c r="Z469" s="64"/>
      <c r="AA469" s="64"/>
      <c r="AB469" s="64"/>
      <c r="AC469" s="64"/>
      <c r="AD469" s="64"/>
      <c r="AE469" s="64"/>
      <c r="AF469" s="64"/>
      <c r="AG469" s="64"/>
    </row>
    <row r="470">
      <c r="A470" s="64"/>
      <c r="B470" s="64"/>
      <c r="C470" s="64"/>
      <c r="D470" s="64"/>
      <c r="E470" s="65"/>
      <c r="F470" s="64"/>
      <c r="G470" s="67"/>
      <c r="H470" s="64"/>
      <c r="I470" s="64"/>
      <c r="J470" s="64"/>
      <c r="K470" s="64"/>
      <c r="L470" s="65"/>
      <c r="M470" s="64"/>
      <c r="N470" s="64"/>
      <c r="O470" s="64"/>
      <c r="P470" s="64"/>
      <c r="Q470" s="64"/>
      <c r="R470" s="64"/>
      <c r="S470" s="64"/>
      <c r="T470" s="65"/>
      <c r="U470" s="64"/>
      <c r="V470" s="64"/>
      <c r="W470" s="64"/>
      <c r="X470" s="64"/>
      <c r="Y470" s="64"/>
      <c r="Z470" s="64"/>
      <c r="AA470" s="64"/>
      <c r="AB470" s="64"/>
      <c r="AC470" s="64"/>
      <c r="AD470" s="64"/>
      <c r="AE470" s="64"/>
      <c r="AF470" s="64"/>
      <c r="AG470" s="64"/>
    </row>
    <row r="471">
      <c r="A471" s="64"/>
      <c r="B471" s="64"/>
      <c r="C471" s="64"/>
      <c r="D471" s="64"/>
      <c r="E471" s="65"/>
      <c r="F471" s="64"/>
      <c r="G471" s="67"/>
      <c r="H471" s="64"/>
      <c r="I471" s="64"/>
      <c r="J471" s="64"/>
      <c r="K471" s="64"/>
      <c r="L471" s="65"/>
      <c r="M471" s="64"/>
      <c r="N471" s="64"/>
      <c r="O471" s="64"/>
      <c r="P471" s="64"/>
      <c r="Q471" s="64"/>
      <c r="R471" s="64"/>
      <c r="S471" s="64"/>
      <c r="T471" s="65"/>
      <c r="U471" s="64"/>
      <c r="V471" s="64"/>
      <c r="W471" s="64"/>
      <c r="X471" s="64"/>
      <c r="Y471" s="64"/>
      <c r="Z471" s="64"/>
      <c r="AA471" s="64"/>
      <c r="AB471" s="64"/>
      <c r="AC471" s="64"/>
      <c r="AD471" s="64"/>
      <c r="AE471" s="64"/>
      <c r="AF471" s="64"/>
      <c r="AG471" s="64"/>
    </row>
    <row r="472">
      <c r="A472" s="64"/>
      <c r="B472" s="64"/>
      <c r="C472" s="64"/>
      <c r="D472" s="64"/>
      <c r="E472" s="65"/>
      <c r="F472" s="64"/>
      <c r="G472" s="67"/>
      <c r="H472" s="64"/>
      <c r="I472" s="64"/>
      <c r="J472" s="64"/>
      <c r="K472" s="64"/>
      <c r="L472" s="65"/>
      <c r="M472" s="64"/>
      <c r="N472" s="64"/>
      <c r="O472" s="64"/>
      <c r="P472" s="64"/>
      <c r="Q472" s="64"/>
      <c r="R472" s="64"/>
      <c r="S472" s="64"/>
      <c r="T472" s="65"/>
      <c r="U472" s="64"/>
      <c r="V472" s="64"/>
      <c r="W472" s="64"/>
      <c r="X472" s="64"/>
      <c r="Y472" s="64"/>
      <c r="Z472" s="64"/>
      <c r="AA472" s="64"/>
      <c r="AB472" s="64"/>
      <c r="AC472" s="64"/>
      <c r="AD472" s="64"/>
      <c r="AE472" s="64"/>
      <c r="AF472" s="64"/>
      <c r="AG472" s="64"/>
    </row>
    <row r="473">
      <c r="A473" s="64"/>
      <c r="B473" s="64"/>
      <c r="C473" s="64"/>
      <c r="D473" s="64"/>
      <c r="E473" s="65"/>
      <c r="F473" s="64"/>
      <c r="G473" s="67"/>
      <c r="H473" s="64"/>
      <c r="I473" s="64"/>
      <c r="J473" s="64"/>
      <c r="K473" s="64"/>
      <c r="L473" s="65"/>
      <c r="M473" s="64"/>
      <c r="N473" s="64"/>
      <c r="O473" s="64"/>
      <c r="P473" s="64"/>
      <c r="Q473" s="64"/>
      <c r="R473" s="64"/>
      <c r="S473" s="64"/>
      <c r="T473" s="65"/>
      <c r="U473" s="64"/>
      <c r="V473" s="64"/>
      <c r="W473" s="64"/>
      <c r="X473" s="64"/>
      <c r="Y473" s="64"/>
      <c r="Z473" s="64"/>
      <c r="AA473" s="64"/>
      <c r="AB473" s="64"/>
      <c r="AC473" s="64"/>
      <c r="AD473" s="64"/>
      <c r="AE473" s="64"/>
      <c r="AF473" s="64"/>
      <c r="AG473" s="64"/>
    </row>
    <row r="474">
      <c r="A474" s="64"/>
      <c r="B474" s="64"/>
      <c r="C474" s="64"/>
      <c r="D474" s="64"/>
      <c r="E474" s="65"/>
      <c r="F474" s="64"/>
      <c r="G474" s="67"/>
      <c r="H474" s="64"/>
      <c r="I474" s="64"/>
      <c r="J474" s="64"/>
      <c r="K474" s="64"/>
      <c r="L474" s="65"/>
      <c r="M474" s="64"/>
      <c r="N474" s="64"/>
      <c r="O474" s="64"/>
      <c r="P474" s="64"/>
      <c r="Q474" s="64"/>
      <c r="R474" s="64"/>
      <c r="S474" s="64"/>
      <c r="T474" s="65"/>
      <c r="U474" s="64"/>
      <c r="V474" s="64"/>
      <c r="W474" s="64"/>
      <c r="X474" s="64"/>
      <c r="Y474" s="64"/>
      <c r="Z474" s="64"/>
      <c r="AA474" s="64"/>
      <c r="AB474" s="64"/>
      <c r="AC474" s="64"/>
      <c r="AD474" s="64"/>
      <c r="AE474" s="64"/>
      <c r="AF474" s="64"/>
      <c r="AG474" s="64"/>
    </row>
    <row r="475">
      <c r="A475" s="64"/>
      <c r="B475" s="64"/>
      <c r="C475" s="64"/>
      <c r="D475" s="64"/>
      <c r="E475" s="65"/>
      <c r="F475" s="64"/>
      <c r="G475" s="67"/>
      <c r="H475" s="64"/>
      <c r="I475" s="64"/>
      <c r="J475" s="64"/>
      <c r="K475" s="64"/>
      <c r="L475" s="65"/>
      <c r="M475" s="64"/>
      <c r="N475" s="64"/>
      <c r="O475" s="64"/>
      <c r="P475" s="64"/>
      <c r="Q475" s="64"/>
      <c r="R475" s="64"/>
      <c r="S475" s="64"/>
      <c r="T475" s="65"/>
      <c r="U475" s="64"/>
      <c r="V475" s="64"/>
      <c r="W475" s="64"/>
      <c r="X475" s="64"/>
      <c r="Y475" s="64"/>
      <c r="Z475" s="64"/>
      <c r="AA475" s="64"/>
      <c r="AB475" s="64"/>
      <c r="AC475" s="64"/>
      <c r="AD475" s="64"/>
      <c r="AE475" s="64"/>
      <c r="AF475" s="64"/>
      <c r="AG475" s="64"/>
    </row>
    <row r="476">
      <c r="A476" s="64"/>
      <c r="B476" s="64"/>
      <c r="C476" s="64"/>
      <c r="D476" s="64"/>
      <c r="E476" s="65"/>
      <c r="F476" s="64"/>
      <c r="G476" s="67"/>
      <c r="H476" s="64"/>
      <c r="I476" s="64"/>
      <c r="J476" s="64"/>
      <c r="K476" s="64"/>
      <c r="L476" s="65"/>
      <c r="M476" s="64"/>
      <c r="N476" s="64"/>
      <c r="O476" s="64"/>
      <c r="P476" s="64"/>
      <c r="Q476" s="64"/>
      <c r="R476" s="64"/>
      <c r="S476" s="64"/>
      <c r="T476" s="65"/>
      <c r="U476" s="64"/>
      <c r="V476" s="64"/>
      <c r="W476" s="64"/>
      <c r="X476" s="64"/>
      <c r="Y476" s="64"/>
      <c r="Z476" s="64"/>
      <c r="AA476" s="64"/>
      <c r="AB476" s="64"/>
      <c r="AC476" s="64"/>
      <c r="AD476" s="64"/>
      <c r="AE476" s="64"/>
      <c r="AF476" s="64"/>
      <c r="AG476" s="64"/>
    </row>
    <row r="477">
      <c r="A477" s="64"/>
      <c r="B477" s="64"/>
      <c r="C477" s="64"/>
      <c r="D477" s="64"/>
      <c r="E477" s="65"/>
      <c r="F477" s="64"/>
      <c r="G477" s="67"/>
      <c r="H477" s="64"/>
      <c r="I477" s="64"/>
      <c r="J477" s="64"/>
      <c r="K477" s="64"/>
      <c r="L477" s="65"/>
      <c r="M477" s="64"/>
      <c r="N477" s="64"/>
      <c r="O477" s="64"/>
      <c r="P477" s="64"/>
      <c r="Q477" s="64"/>
      <c r="R477" s="64"/>
      <c r="S477" s="64"/>
      <c r="T477" s="65"/>
      <c r="U477" s="64"/>
      <c r="V477" s="64"/>
      <c r="W477" s="64"/>
      <c r="X477" s="64"/>
      <c r="Y477" s="64"/>
      <c r="Z477" s="64"/>
      <c r="AA477" s="64"/>
      <c r="AB477" s="64"/>
      <c r="AC477" s="64"/>
      <c r="AD477" s="64"/>
      <c r="AE477" s="64"/>
      <c r="AF477" s="64"/>
      <c r="AG477" s="64"/>
    </row>
    <row r="478">
      <c r="A478" s="64"/>
      <c r="B478" s="64"/>
      <c r="C478" s="64"/>
      <c r="D478" s="64"/>
      <c r="E478" s="65"/>
      <c r="F478" s="64"/>
      <c r="G478" s="67"/>
      <c r="H478" s="64"/>
      <c r="I478" s="64"/>
      <c r="J478" s="64"/>
      <c r="K478" s="64"/>
      <c r="L478" s="65"/>
      <c r="M478" s="64"/>
      <c r="N478" s="64"/>
      <c r="O478" s="64"/>
      <c r="P478" s="64"/>
      <c r="Q478" s="64"/>
      <c r="R478" s="64"/>
      <c r="S478" s="64"/>
      <c r="T478" s="65"/>
      <c r="U478" s="64"/>
      <c r="V478" s="64"/>
      <c r="W478" s="64"/>
      <c r="X478" s="64"/>
      <c r="Y478" s="64"/>
      <c r="Z478" s="64"/>
      <c r="AA478" s="64"/>
      <c r="AB478" s="64"/>
      <c r="AC478" s="64"/>
      <c r="AD478" s="64"/>
      <c r="AE478" s="64"/>
      <c r="AF478" s="64"/>
      <c r="AG478" s="64"/>
    </row>
    <row r="479">
      <c r="A479" s="64"/>
      <c r="B479" s="64"/>
      <c r="C479" s="64"/>
      <c r="D479" s="64"/>
      <c r="E479" s="65"/>
      <c r="F479" s="64"/>
      <c r="G479" s="67"/>
      <c r="H479" s="64"/>
      <c r="I479" s="64"/>
      <c r="J479" s="64"/>
      <c r="K479" s="64"/>
      <c r="L479" s="65"/>
      <c r="M479" s="64"/>
      <c r="N479" s="64"/>
      <c r="O479" s="64"/>
      <c r="P479" s="64"/>
      <c r="Q479" s="64"/>
      <c r="R479" s="64"/>
      <c r="S479" s="64"/>
      <c r="T479" s="65"/>
      <c r="U479" s="64"/>
      <c r="V479" s="64"/>
      <c r="W479" s="64"/>
      <c r="X479" s="64"/>
      <c r="Y479" s="64"/>
      <c r="Z479" s="64"/>
      <c r="AA479" s="64"/>
      <c r="AB479" s="64"/>
      <c r="AC479" s="64"/>
      <c r="AD479" s="64"/>
      <c r="AE479" s="64"/>
      <c r="AF479" s="64"/>
      <c r="AG479" s="64"/>
    </row>
    <row r="480">
      <c r="A480" s="64"/>
      <c r="B480" s="64"/>
      <c r="C480" s="64"/>
      <c r="D480" s="64"/>
      <c r="E480" s="65"/>
      <c r="F480" s="64"/>
      <c r="G480" s="67"/>
      <c r="H480" s="64"/>
      <c r="I480" s="64"/>
      <c r="J480" s="64"/>
      <c r="K480" s="64"/>
      <c r="L480" s="65"/>
      <c r="M480" s="64"/>
      <c r="N480" s="64"/>
      <c r="O480" s="64"/>
      <c r="P480" s="64"/>
      <c r="Q480" s="64"/>
      <c r="R480" s="64"/>
      <c r="S480" s="64"/>
      <c r="T480" s="65"/>
      <c r="U480" s="64"/>
      <c r="V480" s="64"/>
      <c r="W480" s="64"/>
      <c r="X480" s="64"/>
      <c r="Y480" s="64"/>
      <c r="Z480" s="64"/>
      <c r="AA480" s="64"/>
      <c r="AB480" s="64"/>
      <c r="AC480" s="64"/>
      <c r="AD480" s="64"/>
      <c r="AE480" s="64"/>
      <c r="AF480" s="64"/>
      <c r="AG480" s="64"/>
    </row>
    <row r="481">
      <c r="A481" s="64"/>
      <c r="B481" s="64"/>
      <c r="C481" s="64"/>
      <c r="D481" s="64"/>
      <c r="E481" s="65"/>
      <c r="F481" s="64"/>
      <c r="G481" s="67"/>
      <c r="H481" s="64"/>
      <c r="I481" s="64"/>
      <c r="J481" s="64"/>
      <c r="K481" s="64"/>
      <c r="L481" s="65"/>
      <c r="M481" s="64"/>
      <c r="N481" s="64"/>
      <c r="O481" s="64"/>
      <c r="P481" s="64"/>
      <c r="Q481" s="64"/>
      <c r="R481" s="64"/>
      <c r="S481" s="64"/>
      <c r="T481" s="65"/>
      <c r="U481" s="64"/>
      <c r="V481" s="64"/>
      <c r="W481" s="64"/>
      <c r="X481" s="64"/>
      <c r="Y481" s="64"/>
      <c r="Z481" s="64"/>
      <c r="AA481" s="64"/>
      <c r="AB481" s="64"/>
      <c r="AC481" s="64"/>
      <c r="AD481" s="64"/>
      <c r="AE481" s="64"/>
      <c r="AF481" s="64"/>
      <c r="AG481" s="64"/>
    </row>
    <row r="482">
      <c r="A482" s="64"/>
      <c r="B482" s="64"/>
      <c r="C482" s="64"/>
      <c r="D482" s="64"/>
      <c r="E482" s="65"/>
      <c r="F482" s="64"/>
      <c r="G482" s="67"/>
      <c r="H482" s="64"/>
      <c r="I482" s="64"/>
      <c r="J482" s="64"/>
      <c r="K482" s="64"/>
      <c r="L482" s="65"/>
      <c r="M482" s="64"/>
      <c r="N482" s="64"/>
      <c r="O482" s="64"/>
      <c r="P482" s="64"/>
      <c r="Q482" s="64"/>
      <c r="R482" s="64"/>
      <c r="S482" s="64"/>
      <c r="T482" s="65"/>
      <c r="U482" s="64"/>
      <c r="V482" s="64"/>
      <c r="W482" s="64"/>
      <c r="X482" s="64"/>
      <c r="Y482" s="64"/>
      <c r="Z482" s="64"/>
      <c r="AA482" s="64"/>
      <c r="AB482" s="64"/>
      <c r="AC482" s="64"/>
      <c r="AD482" s="64"/>
      <c r="AE482" s="64"/>
      <c r="AF482" s="64"/>
      <c r="AG482" s="64"/>
    </row>
    <row r="483">
      <c r="A483" s="64"/>
      <c r="B483" s="64"/>
      <c r="C483" s="64"/>
      <c r="D483" s="64"/>
      <c r="E483" s="65"/>
      <c r="F483" s="64"/>
      <c r="G483" s="67"/>
      <c r="H483" s="64"/>
      <c r="I483" s="64"/>
      <c r="J483" s="64"/>
      <c r="K483" s="64"/>
      <c r="L483" s="65"/>
      <c r="M483" s="64"/>
      <c r="N483" s="64"/>
      <c r="O483" s="64"/>
      <c r="P483" s="64"/>
      <c r="Q483" s="64"/>
      <c r="R483" s="64"/>
      <c r="S483" s="64"/>
      <c r="T483" s="65"/>
      <c r="U483" s="64"/>
      <c r="V483" s="64"/>
      <c r="W483" s="64"/>
      <c r="X483" s="64"/>
      <c r="Y483" s="64"/>
      <c r="Z483" s="64"/>
      <c r="AA483" s="64"/>
      <c r="AB483" s="64"/>
      <c r="AC483" s="64"/>
      <c r="AD483" s="64"/>
      <c r="AE483" s="64"/>
      <c r="AF483" s="64"/>
      <c r="AG483" s="64"/>
    </row>
    <row r="484">
      <c r="A484" s="64"/>
      <c r="B484" s="64"/>
      <c r="C484" s="64"/>
      <c r="D484" s="64"/>
      <c r="E484" s="65"/>
      <c r="F484" s="64"/>
      <c r="G484" s="67"/>
      <c r="H484" s="64"/>
      <c r="I484" s="64"/>
      <c r="J484" s="64"/>
      <c r="K484" s="64"/>
      <c r="L484" s="65"/>
      <c r="M484" s="64"/>
      <c r="N484" s="64"/>
      <c r="O484" s="64"/>
      <c r="P484" s="64"/>
      <c r="Q484" s="64"/>
      <c r="R484" s="64"/>
      <c r="S484" s="64"/>
      <c r="T484" s="65"/>
      <c r="U484" s="64"/>
      <c r="V484" s="64"/>
      <c r="W484" s="64"/>
      <c r="X484" s="64"/>
      <c r="Y484" s="64"/>
      <c r="Z484" s="64"/>
      <c r="AA484" s="64"/>
      <c r="AB484" s="64"/>
      <c r="AC484" s="64"/>
      <c r="AD484" s="64"/>
      <c r="AE484" s="64"/>
      <c r="AF484" s="64"/>
      <c r="AG484" s="64"/>
    </row>
    <row r="485">
      <c r="A485" s="64"/>
      <c r="B485" s="64"/>
      <c r="C485" s="64"/>
      <c r="D485" s="64"/>
      <c r="E485" s="65"/>
      <c r="F485" s="64"/>
      <c r="G485" s="67"/>
      <c r="H485" s="64"/>
      <c r="I485" s="64"/>
      <c r="J485" s="64"/>
      <c r="K485" s="64"/>
      <c r="L485" s="65"/>
      <c r="M485" s="64"/>
      <c r="N485" s="64"/>
      <c r="O485" s="64"/>
      <c r="P485" s="64"/>
      <c r="Q485" s="64"/>
      <c r="R485" s="64"/>
      <c r="S485" s="64"/>
      <c r="T485" s="65"/>
      <c r="U485" s="64"/>
      <c r="V485" s="64"/>
      <c r="W485" s="64"/>
      <c r="X485" s="64"/>
      <c r="Y485" s="64"/>
      <c r="Z485" s="64"/>
      <c r="AA485" s="64"/>
      <c r="AB485" s="64"/>
      <c r="AC485" s="64"/>
      <c r="AD485" s="64"/>
      <c r="AE485" s="64"/>
      <c r="AF485" s="64"/>
      <c r="AG485" s="64"/>
    </row>
    <row r="486">
      <c r="A486" s="64"/>
      <c r="B486" s="64"/>
      <c r="C486" s="64"/>
      <c r="D486" s="64"/>
      <c r="E486" s="65"/>
      <c r="F486" s="64"/>
      <c r="G486" s="67"/>
      <c r="H486" s="64"/>
      <c r="I486" s="64"/>
      <c r="J486" s="64"/>
      <c r="K486" s="64"/>
      <c r="L486" s="65"/>
      <c r="M486" s="64"/>
      <c r="N486" s="64"/>
      <c r="O486" s="64"/>
      <c r="P486" s="64"/>
      <c r="Q486" s="64"/>
      <c r="R486" s="64"/>
      <c r="S486" s="64"/>
      <c r="T486" s="65"/>
      <c r="U486" s="64"/>
      <c r="V486" s="64"/>
      <c r="W486" s="64"/>
      <c r="X486" s="64"/>
      <c r="Y486" s="64"/>
      <c r="Z486" s="64"/>
      <c r="AA486" s="64"/>
      <c r="AB486" s="64"/>
      <c r="AC486" s="64"/>
      <c r="AD486" s="64"/>
      <c r="AE486" s="64"/>
      <c r="AF486" s="64"/>
      <c r="AG486" s="64"/>
    </row>
    <row r="487">
      <c r="A487" s="64"/>
      <c r="B487" s="64"/>
      <c r="C487" s="64"/>
      <c r="D487" s="64"/>
      <c r="E487" s="65"/>
      <c r="F487" s="64"/>
      <c r="G487" s="67"/>
      <c r="H487" s="64"/>
      <c r="I487" s="64"/>
      <c r="J487" s="64"/>
      <c r="K487" s="64"/>
      <c r="L487" s="65"/>
      <c r="M487" s="64"/>
      <c r="N487" s="64"/>
      <c r="O487" s="64"/>
      <c r="P487" s="64"/>
      <c r="Q487" s="64"/>
      <c r="R487" s="64"/>
      <c r="S487" s="64"/>
      <c r="T487" s="65"/>
      <c r="U487" s="64"/>
      <c r="V487" s="64"/>
      <c r="W487" s="64"/>
      <c r="X487" s="64"/>
      <c r="Y487" s="64"/>
      <c r="Z487" s="64"/>
      <c r="AA487" s="64"/>
      <c r="AB487" s="64"/>
      <c r="AC487" s="64"/>
      <c r="AD487" s="64"/>
      <c r="AE487" s="64"/>
      <c r="AF487" s="64"/>
      <c r="AG487" s="64"/>
    </row>
    <row r="488">
      <c r="A488" s="64"/>
      <c r="B488" s="64"/>
      <c r="C488" s="64"/>
      <c r="D488" s="64"/>
      <c r="E488" s="65"/>
      <c r="F488" s="64"/>
      <c r="G488" s="67"/>
      <c r="H488" s="64"/>
      <c r="I488" s="64"/>
      <c r="J488" s="64"/>
      <c r="K488" s="64"/>
      <c r="L488" s="65"/>
      <c r="M488" s="64"/>
      <c r="N488" s="64"/>
      <c r="O488" s="64"/>
      <c r="P488" s="64"/>
      <c r="Q488" s="64"/>
      <c r="R488" s="64"/>
      <c r="S488" s="64"/>
      <c r="T488" s="65"/>
      <c r="U488" s="64"/>
      <c r="V488" s="64"/>
      <c r="W488" s="64"/>
      <c r="X488" s="64"/>
      <c r="Y488" s="64"/>
      <c r="Z488" s="64"/>
      <c r="AA488" s="64"/>
      <c r="AB488" s="64"/>
      <c r="AC488" s="64"/>
      <c r="AD488" s="64"/>
      <c r="AE488" s="64"/>
      <c r="AF488" s="64"/>
      <c r="AG488" s="64"/>
    </row>
    <row r="489">
      <c r="A489" s="64"/>
      <c r="B489" s="64"/>
      <c r="C489" s="64"/>
      <c r="D489" s="64"/>
      <c r="E489" s="65"/>
      <c r="F489" s="64"/>
      <c r="G489" s="67"/>
      <c r="H489" s="64"/>
      <c r="I489" s="64"/>
      <c r="J489" s="64"/>
      <c r="K489" s="64"/>
      <c r="L489" s="65"/>
      <c r="M489" s="64"/>
      <c r="N489" s="64"/>
      <c r="O489" s="64"/>
      <c r="P489" s="64"/>
      <c r="Q489" s="64"/>
      <c r="R489" s="64"/>
      <c r="S489" s="64"/>
      <c r="T489" s="65"/>
      <c r="U489" s="64"/>
      <c r="V489" s="64"/>
      <c r="W489" s="64"/>
      <c r="X489" s="64"/>
      <c r="Y489" s="64"/>
      <c r="Z489" s="64"/>
      <c r="AA489" s="64"/>
      <c r="AB489" s="64"/>
      <c r="AC489" s="64"/>
      <c r="AD489" s="64"/>
      <c r="AE489" s="64"/>
      <c r="AF489" s="64"/>
      <c r="AG489" s="64"/>
    </row>
    <row r="490">
      <c r="A490" s="64"/>
      <c r="B490" s="64"/>
      <c r="C490" s="64"/>
      <c r="D490" s="64"/>
      <c r="E490" s="65"/>
      <c r="F490" s="64"/>
      <c r="G490" s="67"/>
      <c r="H490" s="64"/>
      <c r="I490" s="64"/>
      <c r="J490" s="64"/>
      <c r="K490" s="64"/>
      <c r="L490" s="65"/>
      <c r="M490" s="64"/>
      <c r="N490" s="64"/>
      <c r="O490" s="64"/>
      <c r="P490" s="64"/>
      <c r="Q490" s="64"/>
      <c r="R490" s="64"/>
      <c r="S490" s="64"/>
      <c r="T490" s="65"/>
      <c r="U490" s="64"/>
      <c r="V490" s="64"/>
      <c r="W490" s="64"/>
      <c r="X490" s="64"/>
      <c r="Y490" s="64"/>
      <c r="Z490" s="64"/>
      <c r="AA490" s="64"/>
      <c r="AB490" s="64"/>
      <c r="AC490" s="64"/>
      <c r="AD490" s="64"/>
      <c r="AE490" s="64"/>
      <c r="AF490" s="64"/>
      <c r="AG490" s="64"/>
    </row>
    <row r="491">
      <c r="A491" s="64"/>
      <c r="B491" s="64"/>
      <c r="C491" s="64"/>
      <c r="D491" s="64"/>
      <c r="E491" s="65"/>
      <c r="F491" s="64"/>
      <c r="G491" s="67"/>
      <c r="H491" s="64"/>
      <c r="I491" s="64"/>
      <c r="J491" s="64"/>
      <c r="K491" s="64"/>
      <c r="L491" s="65"/>
      <c r="M491" s="64"/>
      <c r="N491" s="64"/>
      <c r="O491" s="64"/>
      <c r="P491" s="64"/>
      <c r="Q491" s="64"/>
      <c r="R491" s="64"/>
      <c r="S491" s="64"/>
      <c r="T491" s="65"/>
      <c r="U491" s="64"/>
      <c r="V491" s="64"/>
      <c r="W491" s="64"/>
      <c r="X491" s="64"/>
      <c r="Y491" s="64"/>
      <c r="Z491" s="64"/>
      <c r="AA491" s="64"/>
      <c r="AB491" s="64"/>
      <c r="AC491" s="64"/>
      <c r="AD491" s="64"/>
      <c r="AE491" s="64"/>
      <c r="AF491" s="64"/>
      <c r="AG491" s="64"/>
    </row>
    <row r="492">
      <c r="A492" s="64"/>
      <c r="B492" s="64"/>
      <c r="C492" s="64"/>
      <c r="D492" s="64"/>
      <c r="E492" s="65"/>
      <c r="F492" s="64"/>
      <c r="G492" s="67"/>
      <c r="H492" s="64"/>
      <c r="I492" s="64"/>
      <c r="J492" s="64"/>
      <c r="K492" s="64"/>
      <c r="L492" s="65"/>
      <c r="M492" s="64"/>
      <c r="N492" s="64"/>
      <c r="O492" s="64"/>
      <c r="P492" s="64"/>
      <c r="Q492" s="64"/>
      <c r="R492" s="64"/>
      <c r="S492" s="64"/>
      <c r="T492" s="65"/>
      <c r="U492" s="64"/>
      <c r="V492" s="64"/>
      <c r="W492" s="64"/>
      <c r="X492" s="64"/>
      <c r="Y492" s="64"/>
      <c r="Z492" s="64"/>
      <c r="AA492" s="64"/>
      <c r="AB492" s="64"/>
      <c r="AC492" s="64"/>
      <c r="AD492" s="64"/>
      <c r="AE492" s="64"/>
      <c r="AF492" s="64"/>
      <c r="AG492" s="64"/>
    </row>
    <row r="493">
      <c r="A493" s="64"/>
      <c r="B493" s="64"/>
      <c r="C493" s="64"/>
      <c r="D493" s="64"/>
      <c r="E493" s="65"/>
      <c r="F493" s="64"/>
      <c r="G493" s="67"/>
      <c r="H493" s="64"/>
      <c r="I493" s="64"/>
      <c r="J493" s="64"/>
      <c r="K493" s="64"/>
      <c r="L493" s="65"/>
      <c r="M493" s="64"/>
      <c r="N493" s="64"/>
      <c r="O493" s="64"/>
      <c r="P493" s="64"/>
      <c r="Q493" s="64"/>
      <c r="R493" s="64"/>
      <c r="S493" s="64"/>
      <c r="T493" s="65"/>
      <c r="U493" s="64"/>
      <c r="V493" s="64"/>
      <c r="W493" s="64"/>
      <c r="X493" s="64"/>
      <c r="Y493" s="64"/>
      <c r="Z493" s="64"/>
      <c r="AA493" s="64"/>
      <c r="AB493" s="64"/>
      <c r="AC493" s="64"/>
      <c r="AD493" s="64"/>
      <c r="AE493" s="64"/>
      <c r="AF493" s="64"/>
      <c r="AG493" s="64"/>
    </row>
    <row r="494">
      <c r="A494" s="64"/>
      <c r="B494" s="64"/>
      <c r="C494" s="64"/>
      <c r="D494" s="64"/>
      <c r="E494" s="65"/>
      <c r="F494" s="64"/>
      <c r="G494" s="67"/>
      <c r="H494" s="64"/>
      <c r="I494" s="64"/>
      <c r="J494" s="64"/>
      <c r="K494" s="64"/>
      <c r="L494" s="65"/>
      <c r="M494" s="64"/>
      <c r="N494" s="64"/>
      <c r="O494" s="64"/>
      <c r="P494" s="64"/>
      <c r="Q494" s="64"/>
      <c r="R494" s="64"/>
      <c r="S494" s="64"/>
      <c r="T494" s="65"/>
      <c r="U494" s="64"/>
      <c r="V494" s="64"/>
      <c r="W494" s="64"/>
      <c r="X494" s="64"/>
      <c r="Y494" s="64"/>
      <c r="Z494" s="64"/>
      <c r="AA494" s="64"/>
      <c r="AB494" s="64"/>
      <c r="AC494" s="64"/>
      <c r="AD494" s="64"/>
      <c r="AE494" s="64"/>
      <c r="AF494" s="64"/>
      <c r="AG494" s="64"/>
    </row>
    <row r="495">
      <c r="A495" s="64"/>
      <c r="B495" s="64"/>
      <c r="C495" s="64"/>
      <c r="D495" s="64"/>
      <c r="E495" s="65"/>
      <c r="F495" s="64"/>
      <c r="G495" s="67"/>
      <c r="H495" s="64"/>
      <c r="I495" s="64"/>
      <c r="J495" s="64"/>
      <c r="K495" s="64"/>
      <c r="L495" s="65"/>
      <c r="M495" s="64"/>
      <c r="N495" s="64"/>
      <c r="O495" s="64"/>
      <c r="P495" s="64"/>
      <c r="Q495" s="64"/>
      <c r="R495" s="64"/>
      <c r="S495" s="64"/>
      <c r="T495" s="65"/>
      <c r="U495" s="64"/>
      <c r="V495" s="64"/>
      <c r="W495" s="64"/>
      <c r="X495" s="64"/>
      <c r="Y495" s="64"/>
      <c r="Z495" s="64"/>
      <c r="AA495" s="64"/>
      <c r="AB495" s="64"/>
      <c r="AC495" s="64"/>
      <c r="AD495" s="64"/>
      <c r="AE495" s="64"/>
      <c r="AF495" s="64"/>
      <c r="AG495" s="64"/>
    </row>
    <row r="496">
      <c r="A496" s="64"/>
      <c r="B496" s="64"/>
      <c r="C496" s="64"/>
      <c r="D496" s="64"/>
      <c r="E496" s="65"/>
      <c r="F496" s="64"/>
      <c r="G496" s="67"/>
      <c r="H496" s="64"/>
      <c r="I496" s="64"/>
      <c r="J496" s="64"/>
      <c r="K496" s="64"/>
      <c r="L496" s="65"/>
      <c r="M496" s="64"/>
      <c r="N496" s="64"/>
      <c r="O496" s="64"/>
      <c r="P496" s="64"/>
      <c r="Q496" s="64"/>
      <c r="R496" s="64"/>
      <c r="S496" s="64"/>
      <c r="T496" s="65"/>
      <c r="U496" s="64"/>
      <c r="V496" s="64"/>
      <c r="W496" s="64"/>
      <c r="X496" s="64"/>
      <c r="Y496" s="64"/>
      <c r="Z496" s="64"/>
      <c r="AA496" s="64"/>
      <c r="AB496" s="64"/>
      <c r="AC496" s="64"/>
      <c r="AD496" s="64"/>
      <c r="AE496" s="64"/>
      <c r="AF496" s="64"/>
      <c r="AG496" s="64"/>
    </row>
    <row r="497">
      <c r="A497" s="64"/>
      <c r="B497" s="64"/>
      <c r="C497" s="64"/>
      <c r="D497" s="64"/>
      <c r="E497" s="65"/>
      <c r="F497" s="64"/>
      <c r="G497" s="67"/>
      <c r="H497" s="64"/>
      <c r="I497" s="64"/>
      <c r="J497" s="64"/>
      <c r="K497" s="64"/>
      <c r="L497" s="65"/>
      <c r="M497" s="64"/>
      <c r="N497" s="64"/>
      <c r="O497" s="64"/>
      <c r="P497" s="64"/>
      <c r="Q497" s="64"/>
      <c r="R497" s="64"/>
      <c r="S497" s="64"/>
      <c r="T497" s="65"/>
      <c r="U497" s="64"/>
      <c r="V497" s="64"/>
      <c r="W497" s="64"/>
      <c r="X497" s="64"/>
      <c r="Y497" s="64"/>
      <c r="Z497" s="64"/>
      <c r="AA497" s="64"/>
      <c r="AB497" s="64"/>
      <c r="AC497" s="64"/>
      <c r="AD497" s="64"/>
      <c r="AE497" s="64"/>
      <c r="AF497" s="64"/>
      <c r="AG497" s="64"/>
    </row>
    <row r="498">
      <c r="A498" s="64"/>
      <c r="B498" s="64"/>
      <c r="C498" s="64"/>
      <c r="D498" s="64"/>
      <c r="E498" s="65"/>
      <c r="F498" s="64"/>
      <c r="G498" s="67"/>
      <c r="H498" s="64"/>
      <c r="I498" s="64"/>
      <c r="J498" s="64"/>
      <c r="K498" s="64"/>
      <c r="L498" s="65"/>
      <c r="M498" s="64"/>
      <c r="N498" s="64"/>
      <c r="O498" s="64"/>
      <c r="P498" s="64"/>
      <c r="Q498" s="64"/>
      <c r="R498" s="64"/>
      <c r="S498" s="64"/>
      <c r="T498" s="65"/>
      <c r="U498" s="64"/>
      <c r="V498" s="64"/>
      <c r="W498" s="64"/>
      <c r="X498" s="64"/>
      <c r="Y498" s="64"/>
      <c r="Z498" s="64"/>
      <c r="AA498" s="64"/>
      <c r="AB498" s="64"/>
      <c r="AC498" s="64"/>
      <c r="AD498" s="64"/>
      <c r="AE498" s="64"/>
      <c r="AF498" s="64"/>
      <c r="AG498" s="64"/>
    </row>
    <row r="499">
      <c r="A499" s="64"/>
      <c r="B499" s="64"/>
      <c r="C499" s="64"/>
      <c r="D499" s="64"/>
      <c r="E499" s="65"/>
      <c r="F499" s="64"/>
      <c r="G499" s="67"/>
      <c r="H499" s="64"/>
      <c r="I499" s="64"/>
      <c r="J499" s="64"/>
      <c r="K499" s="64"/>
      <c r="L499" s="65"/>
      <c r="M499" s="64"/>
      <c r="N499" s="64"/>
      <c r="O499" s="64"/>
      <c r="P499" s="64"/>
      <c r="Q499" s="64"/>
      <c r="R499" s="64"/>
      <c r="S499" s="64"/>
      <c r="T499" s="65"/>
      <c r="U499" s="64"/>
      <c r="V499" s="64"/>
      <c r="W499" s="64"/>
      <c r="X499" s="64"/>
      <c r="Y499" s="64"/>
      <c r="Z499" s="64"/>
      <c r="AA499" s="64"/>
      <c r="AB499" s="64"/>
      <c r="AC499" s="64"/>
      <c r="AD499" s="64"/>
      <c r="AE499" s="64"/>
      <c r="AF499" s="64"/>
      <c r="AG499" s="64"/>
    </row>
    <row r="500">
      <c r="A500" s="64"/>
      <c r="B500" s="64"/>
      <c r="C500" s="64"/>
      <c r="D500" s="64"/>
      <c r="E500" s="65"/>
      <c r="F500" s="64"/>
      <c r="G500" s="67"/>
      <c r="H500" s="64"/>
      <c r="I500" s="64"/>
      <c r="J500" s="64"/>
      <c r="K500" s="64"/>
      <c r="L500" s="65"/>
      <c r="M500" s="64"/>
      <c r="N500" s="64"/>
      <c r="O500" s="64"/>
      <c r="P500" s="64"/>
      <c r="Q500" s="64"/>
      <c r="R500" s="64"/>
      <c r="S500" s="64"/>
      <c r="T500" s="65"/>
      <c r="U500" s="64"/>
      <c r="V500" s="64"/>
      <c r="W500" s="64"/>
      <c r="X500" s="64"/>
      <c r="Y500" s="64"/>
      <c r="Z500" s="64"/>
      <c r="AA500" s="64"/>
      <c r="AB500" s="64"/>
      <c r="AC500" s="64"/>
      <c r="AD500" s="64"/>
      <c r="AE500" s="64"/>
      <c r="AF500" s="64"/>
      <c r="AG500" s="64"/>
    </row>
    <row r="501">
      <c r="A501" s="64"/>
      <c r="B501" s="64"/>
      <c r="C501" s="64"/>
      <c r="D501" s="64"/>
      <c r="E501" s="65"/>
      <c r="F501" s="64"/>
      <c r="G501" s="67"/>
      <c r="H501" s="64"/>
      <c r="I501" s="64"/>
      <c r="J501" s="64"/>
      <c r="K501" s="64"/>
      <c r="L501" s="65"/>
      <c r="M501" s="64"/>
      <c r="N501" s="64"/>
      <c r="O501" s="64"/>
      <c r="P501" s="64"/>
      <c r="Q501" s="64"/>
      <c r="R501" s="64"/>
      <c r="S501" s="64"/>
      <c r="T501" s="65"/>
      <c r="U501" s="64"/>
      <c r="V501" s="64"/>
      <c r="W501" s="64"/>
      <c r="X501" s="64"/>
      <c r="Y501" s="64"/>
      <c r="Z501" s="64"/>
      <c r="AA501" s="64"/>
      <c r="AB501" s="64"/>
      <c r="AC501" s="64"/>
      <c r="AD501" s="64"/>
      <c r="AE501" s="64"/>
      <c r="AF501" s="64"/>
      <c r="AG501" s="64"/>
    </row>
    <row r="502">
      <c r="A502" s="64"/>
      <c r="B502" s="64"/>
      <c r="C502" s="64"/>
      <c r="D502" s="64"/>
      <c r="E502" s="65"/>
      <c r="F502" s="64"/>
      <c r="G502" s="67"/>
      <c r="H502" s="64"/>
      <c r="I502" s="64"/>
      <c r="J502" s="64"/>
      <c r="K502" s="64"/>
      <c r="L502" s="65"/>
      <c r="M502" s="64"/>
      <c r="N502" s="64"/>
      <c r="O502" s="64"/>
      <c r="P502" s="64"/>
      <c r="Q502" s="64"/>
      <c r="R502" s="64"/>
      <c r="S502" s="64"/>
      <c r="T502" s="65"/>
      <c r="U502" s="64"/>
      <c r="V502" s="64"/>
      <c r="W502" s="64"/>
      <c r="X502" s="64"/>
      <c r="Y502" s="64"/>
      <c r="Z502" s="64"/>
      <c r="AA502" s="64"/>
      <c r="AB502" s="64"/>
      <c r="AC502" s="64"/>
      <c r="AD502" s="64"/>
      <c r="AE502" s="64"/>
      <c r="AF502" s="64"/>
      <c r="AG502" s="64"/>
    </row>
    <row r="503">
      <c r="A503" s="64"/>
      <c r="B503" s="64"/>
      <c r="C503" s="64"/>
      <c r="D503" s="64"/>
      <c r="E503" s="65"/>
      <c r="F503" s="64"/>
      <c r="G503" s="67"/>
      <c r="H503" s="64"/>
      <c r="I503" s="64"/>
      <c r="J503" s="64"/>
      <c r="K503" s="64"/>
      <c r="L503" s="65"/>
      <c r="M503" s="64"/>
      <c r="N503" s="64"/>
      <c r="O503" s="64"/>
      <c r="P503" s="64"/>
      <c r="Q503" s="64"/>
      <c r="R503" s="64"/>
      <c r="S503" s="64"/>
      <c r="T503" s="65"/>
      <c r="U503" s="64"/>
      <c r="V503" s="64"/>
      <c r="W503" s="64"/>
      <c r="X503" s="64"/>
      <c r="Y503" s="64"/>
      <c r="Z503" s="64"/>
      <c r="AA503" s="64"/>
      <c r="AB503" s="64"/>
      <c r="AC503" s="64"/>
      <c r="AD503" s="64"/>
      <c r="AE503" s="64"/>
      <c r="AF503" s="64"/>
      <c r="AG503" s="64"/>
    </row>
    <row r="504">
      <c r="A504" s="64"/>
      <c r="B504" s="64"/>
      <c r="C504" s="64"/>
      <c r="D504" s="64"/>
      <c r="E504" s="65"/>
      <c r="F504" s="64"/>
      <c r="G504" s="67"/>
      <c r="H504" s="64"/>
      <c r="I504" s="64"/>
      <c r="J504" s="64"/>
      <c r="K504" s="64"/>
      <c r="L504" s="65"/>
      <c r="M504" s="64"/>
      <c r="N504" s="64"/>
      <c r="O504" s="64"/>
      <c r="P504" s="64"/>
      <c r="Q504" s="64"/>
      <c r="R504" s="64"/>
      <c r="S504" s="64"/>
      <c r="T504" s="65"/>
      <c r="U504" s="64"/>
      <c r="V504" s="64"/>
      <c r="W504" s="64"/>
      <c r="X504" s="64"/>
      <c r="Y504" s="64"/>
      <c r="Z504" s="64"/>
      <c r="AA504" s="64"/>
      <c r="AB504" s="64"/>
      <c r="AC504" s="64"/>
      <c r="AD504" s="64"/>
      <c r="AE504" s="64"/>
      <c r="AF504" s="64"/>
      <c r="AG504" s="64"/>
    </row>
    <row r="505">
      <c r="A505" s="64"/>
      <c r="B505" s="64"/>
      <c r="C505" s="64"/>
      <c r="D505" s="64"/>
      <c r="E505" s="65"/>
      <c r="F505" s="64"/>
      <c r="G505" s="67"/>
      <c r="H505" s="64"/>
      <c r="I505" s="64"/>
      <c r="J505" s="64"/>
      <c r="K505" s="64"/>
      <c r="L505" s="65"/>
      <c r="M505" s="64"/>
      <c r="N505" s="64"/>
      <c r="O505" s="64"/>
      <c r="P505" s="64"/>
      <c r="Q505" s="64"/>
      <c r="R505" s="64"/>
      <c r="S505" s="64"/>
      <c r="T505" s="65"/>
      <c r="U505" s="64"/>
      <c r="V505" s="64"/>
      <c r="W505" s="64"/>
      <c r="X505" s="64"/>
      <c r="Y505" s="64"/>
      <c r="Z505" s="64"/>
      <c r="AA505" s="64"/>
      <c r="AB505" s="64"/>
      <c r="AC505" s="64"/>
      <c r="AD505" s="64"/>
      <c r="AE505" s="64"/>
      <c r="AF505" s="64"/>
      <c r="AG505" s="64"/>
    </row>
    <row r="506">
      <c r="A506" s="64"/>
      <c r="B506" s="64"/>
      <c r="C506" s="64"/>
      <c r="D506" s="64"/>
      <c r="E506" s="65"/>
      <c r="F506" s="64"/>
      <c r="G506" s="67"/>
      <c r="H506" s="64"/>
      <c r="I506" s="64"/>
      <c r="J506" s="64"/>
      <c r="K506" s="64"/>
      <c r="L506" s="65"/>
      <c r="M506" s="64"/>
      <c r="N506" s="64"/>
      <c r="O506" s="64"/>
      <c r="P506" s="64"/>
      <c r="Q506" s="64"/>
      <c r="R506" s="64"/>
      <c r="S506" s="64"/>
      <c r="T506" s="65"/>
      <c r="U506" s="64"/>
      <c r="V506" s="64"/>
      <c r="W506" s="64"/>
      <c r="X506" s="64"/>
      <c r="Y506" s="64"/>
      <c r="Z506" s="64"/>
      <c r="AA506" s="64"/>
      <c r="AB506" s="64"/>
      <c r="AC506" s="64"/>
      <c r="AD506" s="64"/>
      <c r="AE506" s="64"/>
      <c r="AF506" s="64"/>
      <c r="AG506" s="64"/>
    </row>
    <row r="507">
      <c r="A507" s="64"/>
      <c r="B507" s="64"/>
      <c r="C507" s="64"/>
      <c r="D507" s="64"/>
      <c r="E507" s="65"/>
      <c r="F507" s="64"/>
      <c r="G507" s="67"/>
      <c r="H507" s="64"/>
      <c r="I507" s="64"/>
      <c r="J507" s="64"/>
      <c r="K507" s="64"/>
      <c r="L507" s="65"/>
      <c r="M507" s="64"/>
      <c r="N507" s="64"/>
      <c r="O507" s="64"/>
      <c r="P507" s="64"/>
      <c r="Q507" s="64"/>
      <c r="R507" s="64"/>
      <c r="S507" s="64"/>
      <c r="T507" s="65"/>
      <c r="U507" s="64"/>
      <c r="V507" s="64"/>
      <c r="W507" s="64"/>
      <c r="X507" s="64"/>
      <c r="Y507" s="64"/>
      <c r="Z507" s="64"/>
      <c r="AA507" s="64"/>
      <c r="AB507" s="64"/>
      <c r="AC507" s="64"/>
      <c r="AD507" s="64"/>
      <c r="AE507" s="64"/>
      <c r="AF507" s="64"/>
      <c r="AG507" s="64"/>
    </row>
    <row r="508">
      <c r="A508" s="64"/>
      <c r="B508" s="64"/>
      <c r="C508" s="64"/>
      <c r="D508" s="64"/>
      <c r="E508" s="65"/>
      <c r="F508" s="64"/>
      <c r="G508" s="67"/>
      <c r="H508" s="64"/>
      <c r="I508" s="64"/>
      <c r="J508" s="64"/>
      <c r="K508" s="64"/>
      <c r="L508" s="65"/>
      <c r="M508" s="64"/>
      <c r="N508" s="64"/>
      <c r="O508" s="64"/>
      <c r="P508" s="64"/>
      <c r="Q508" s="64"/>
      <c r="R508" s="64"/>
      <c r="S508" s="64"/>
      <c r="T508" s="65"/>
      <c r="U508" s="64"/>
      <c r="V508" s="64"/>
      <c r="W508" s="64"/>
      <c r="X508" s="64"/>
      <c r="Y508" s="64"/>
      <c r="Z508" s="64"/>
      <c r="AA508" s="64"/>
      <c r="AB508" s="64"/>
      <c r="AC508" s="64"/>
      <c r="AD508" s="64"/>
      <c r="AE508" s="64"/>
      <c r="AF508" s="64"/>
      <c r="AG508" s="64"/>
    </row>
    <row r="509">
      <c r="A509" s="64"/>
      <c r="B509" s="64"/>
      <c r="C509" s="64"/>
      <c r="D509" s="64"/>
      <c r="E509" s="65"/>
      <c r="F509" s="64"/>
      <c r="G509" s="67"/>
      <c r="H509" s="64"/>
      <c r="I509" s="64"/>
      <c r="J509" s="64"/>
      <c r="K509" s="64"/>
      <c r="L509" s="65"/>
      <c r="M509" s="64"/>
      <c r="N509" s="64"/>
      <c r="O509" s="64"/>
      <c r="P509" s="64"/>
      <c r="Q509" s="64"/>
      <c r="R509" s="64"/>
      <c r="S509" s="64"/>
      <c r="T509" s="65"/>
      <c r="U509" s="64"/>
      <c r="V509" s="64"/>
      <c r="W509" s="64"/>
      <c r="X509" s="64"/>
      <c r="Y509" s="64"/>
      <c r="Z509" s="64"/>
      <c r="AA509" s="64"/>
      <c r="AB509" s="64"/>
      <c r="AC509" s="64"/>
      <c r="AD509" s="64"/>
      <c r="AE509" s="64"/>
      <c r="AF509" s="64"/>
      <c r="AG509" s="64"/>
    </row>
    <row r="510">
      <c r="A510" s="64"/>
      <c r="B510" s="64"/>
      <c r="C510" s="64"/>
      <c r="D510" s="64"/>
      <c r="E510" s="65"/>
      <c r="F510" s="64"/>
      <c r="G510" s="67"/>
      <c r="H510" s="64"/>
      <c r="I510" s="64"/>
      <c r="J510" s="64"/>
      <c r="K510" s="64"/>
      <c r="L510" s="65"/>
      <c r="M510" s="64"/>
      <c r="N510" s="64"/>
      <c r="O510" s="64"/>
      <c r="P510" s="64"/>
      <c r="Q510" s="64"/>
      <c r="R510" s="64"/>
      <c r="S510" s="64"/>
      <c r="T510" s="65"/>
      <c r="U510" s="64"/>
      <c r="V510" s="64"/>
      <c r="W510" s="64"/>
      <c r="X510" s="64"/>
      <c r="Y510" s="64"/>
      <c r="Z510" s="64"/>
      <c r="AA510" s="64"/>
      <c r="AB510" s="64"/>
      <c r="AC510" s="64"/>
      <c r="AD510" s="64"/>
      <c r="AE510" s="64"/>
      <c r="AF510" s="64"/>
      <c r="AG510" s="64"/>
    </row>
    <row r="511">
      <c r="A511" s="64"/>
      <c r="B511" s="64"/>
      <c r="C511" s="64"/>
      <c r="D511" s="64"/>
      <c r="E511" s="65"/>
      <c r="F511" s="64"/>
      <c r="G511" s="67"/>
      <c r="H511" s="64"/>
      <c r="I511" s="64"/>
      <c r="J511" s="64"/>
      <c r="K511" s="64"/>
      <c r="L511" s="65"/>
      <c r="M511" s="64"/>
      <c r="N511" s="64"/>
      <c r="O511" s="64"/>
      <c r="P511" s="64"/>
      <c r="Q511" s="64"/>
      <c r="R511" s="64"/>
      <c r="S511" s="64"/>
      <c r="T511" s="65"/>
      <c r="U511" s="64"/>
      <c r="V511" s="64"/>
      <c r="W511" s="64"/>
      <c r="X511" s="64"/>
      <c r="Y511" s="64"/>
      <c r="Z511" s="64"/>
      <c r="AA511" s="64"/>
      <c r="AB511" s="64"/>
      <c r="AC511" s="64"/>
      <c r="AD511" s="64"/>
      <c r="AE511" s="64"/>
      <c r="AF511" s="64"/>
      <c r="AG511" s="64"/>
    </row>
    <row r="512">
      <c r="A512" s="64"/>
      <c r="B512" s="64"/>
      <c r="C512" s="64"/>
      <c r="D512" s="64"/>
      <c r="E512" s="65"/>
      <c r="F512" s="64"/>
      <c r="G512" s="67"/>
      <c r="H512" s="64"/>
      <c r="I512" s="64"/>
      <c r="J512" s="64"/>
      <c r="K512" s="64"/>
      <c r="L512" s="65"/>
      <c r="M512" s="64"/>
      <c r="N512" s="64"/>
      <c r="O512" s="64"/>
      <c r="P512" s="64"/>
      <c r="Q512" s="64"/>
      <c r="R512" s="64"/>
      <c r="S512" s="64"/>
      <c r="T512" s="65"/>
      <c r="U512" s="64"/>
      <c r="V512" s="64"/>
      <c r="W512" s="64"/>
      <c r="X512" s="64"/>
      <c r="Y512" s="64"/>
      <c r="Z512" s="64"/>
      <c r="AA512" s="64"/>
      <c r="AB512" s="64"/>
      <c r="AC512" s="64"/>
      <c r="AD512" s="64"/>
      <c r="AE512" s="64"/>
      <c r="AF512" s="64"/>
      <c r="AG512" s="64"/>
    </row>
    <row r="513">
      <c r="A513" s="64"/>
      <c r="B513" s="64"/>
      <c r="C513" s="64"/>
      <c r="D513" s="64"/>
      <c r="E513" s="65"/>
      <c r="F513" s="64"/>
      <c r="G513" s="67"/>
      <c r="H513" s="64"/>
      <c r="I513" s="64"/>
      <c r="J513" s="64"/>
      <c r="K513" s="64"/>
      <c r="L513" s="65"/>
      <c r="M513" s="64"/>
      <c r="N513" s="64"/>
      <c r="O513" s="64"/>
      <c r="P513" s="64"/>
      <c r="Q513" s="64"/>
      <c r="R513" s="64"/>
      <c r="S513" s="64"/>
      <c r="T513" s="65"/>
      <c r="U513" s="64"/>
      <c r="V513" s="64"/>
      <c r="W513" s="64"/>
      <c r="X513" s="64"/>
      <c r="Y513" s="64"/>
      <c r="Z513" s="64"/>
      <c r="AA513" s="64"/>
      <c r="AB513" s="64"/>
      <c r="AC513" s="64"/>
      <c r="AD513" s="64"/>
      <c r="AE513" s="64"/>
      <c r="AF513" s="64"/>
      <c r="AG513" s="64"/>
    </row>
    <row r="514">
      <c r="A514" s="64"/>
      <c r="B514" s="64"/>
      <c r="C514" s="64"/>
      <c r="D514" s="64"/>
      <c r="E514" s="65"/>
      <c r="F514" s="64"/>
      <c r="G514" s="67"/>
      <c r="H514" s="64"/>
      <c r="I514" s="64"/>
      <c r="J514" s="64"/>
      <c r="K514" s="64"/>
      <c r="L514" s="65"/>
      <c r="M514" s="64"/>
      <c r="N514" s="64"/>
      <c r="O514" s="64"/>
      <c r="P514" s="64"/>
      <c r="Q514" s="64"/>
      <c r="R514" s="64"/>
      <c r="S514" s="64"/>
      <c r="T514" s="65"/>
      <c r="U514" s="64"/>
      <c r="V514" s="64"/>
      <c r="W514" s="64"/>
      <c r="X514" s="64"/>
      <c r="Y514" s="64"/>
      <c r="Z514" s="64"/>
      <c r="AA514" s="64"/>
      <c r="AB514" s="64"/>
      <c r="AC514" s="64"/>
      <c r="AD514" s="64"/>
      <c r="AE514" s="64"/>
      <c r="AF514" s="64"/>
      <c r="AG514" s="64"/>
    </row>
    <row r="515">
      <c r="A515" s="64"/>
      <c r="B515" s="64"/>
      <c r="C515" s="64"/>
      <c r="D515" s="64"/>
      <c r="E515" s="65"/>
      <c r="F515" s="64"/>
      <c r="G515" s="67"/>
      <c r="H515" s="64"/>
      <c r="I515" s="64"/>
      <c r="J515" s="64"/>
      <c r="K515" s="64"/>
      <c r="L515" s="65"/>
      <c r="M515" s="64"/>
      <c r="N515" s="64"/>
      <c r="O515" s="64"/>
      <c r="P515" s="64"/>
      <c r="Q515" s="64"/>
      <c r="R515" s="64"/>
      <c r="S515" s="64"/>
      <c r="T515" s="65"/>
      <c r="U515" s="64"/>
      <c r="V515" s="64"/>
      <c r="W515" s="64"/>
      <c r="X515" s="64"/>
      <c r="Y515" s="64"/>
      <c r="Z515" s="64"/>
      <c r="AA515" s="64"/>
      <c r="AB515" s="64"/>
      <c r="AC515" s="64"/>
      <c r="AD515" s="64"/>
      <c r="AE515" s="64"/>
      <c r="AF515" s="64"/>
      <c r="AG515" s="64"/>
    </row>
    <row r="516">
      <c r="A516" s="64"/>
      <c r="B516" s="64"/>
      <c r="C516" s="64"/>
      <c r="D516" s="64"/>
      <c r="E516" s="65"/>
      <c r="F516" s="64"/>
      <c r="G516" s="67"/>
      <c r="H516" s="64"/>
      <c r="I516" s="64"/>
      <c r="J516" s="64"/>
      <c r="K516" s="64"/>
      <c r="L516" s="65"/>
      <c r="M516" s="64"/>
      <c r="N516" s="64"/>
      <c r="O516" s="64"/>
      <c r="P516" s="64"/>
      <c r="Q516" s="64"/>
      <c r="R516" s="64"/>
      <c r="S516" s="64"/>
      <c r="T516" s="65"/>
      <c r="U516" s="64"/>
      <c r="V516" s="64"/>
      <c r="W516" s="64"/>
      <c r="X516" s="64"/>
      <c r="Y516" s="64"/>
      <c r="Z516" s="64"/>
      <c r="AA516" s="64"/>
      <c r="AB516" s="64"/>
      <c r="AC516" s="64"/>
      <c r="AD516" s="64"/>
      <c r="AE516" s="64"/>
      <c r="AF516" s="64"/>
      <c r="AG516" s="64"/>
    </row>
    <row r="517">
      <c r="A517" s="64"/>
      <c r="B517" s="64"/>
      <c r="C517" s="64"/>
      <c r="D517" s="64"/>
      <c r="E517" s="65"/>
      <c r="F517" s="64"/>
      <c r="G517" s="67"/>
      <c r="H517" s="64"/>
      <c r="I517" s="64"/>
      <c r="J517" s="64"/>
      <c r="K517" s="64"/>
      <c r="L517" s="65"/>
      <c r="M517" s="64"/>
      <c r="N517" s="64"/>
      <c r="O517" s="64"/>
      <c r="P517" s="64"/>
      <c r="Q517" s="64"/>
      <c r="R517" s="64"/>
      <c r="S517" s="64"/>
      <c r="T517" s="65"/>
      <c r="U517" s="64"/>
      <c r="V517" s="64"/>
      <c r="W517" s="64"/>
      <c r="X517" s="64"/>
      <c r="Y517" s="64"/>
      <c r="Z517" s="64"/>
      <c r="AA517" s="64"/>
      <c r="AB517" s="64"/>
      <c r="AC517" s="64"/>
      <c r="AD517" s="64"/>
      <c r="AE517" s="64"/>
      <c r="AF517" s="64"/>
      <c r="AG517" s="64"/>
    </row>
    <row r="518">
      <c r="A518" s="64"/>
      <c r="B518" s="64"/>
      <c r="C518" s="64"/>
      <c r="D518" s="64"/>
      <c r="E518" s="65"/>
      <c r="F518" s="64"/>
      <c r="G518" s="67"/>
      <c r="H518" s="64"/>
      <c r="I518" s="64"/>
      <c r="J518" s="64"/>
      <c r="K518" s="64"/>
      <c r="L518" s="65"/>
      <c r="M518" s="64"/>
      <c r="N518" s="64"/>
      <c r="O518" s="64"/>
      <c r="P518" s="64"/>
      <c r="Q518" s="64"/>
      <c r="R518" s="64"/>
      <c r="S518" s="64"/>
      <c r="T518" s="65"/>
      <c r="U518" s="64"/>
      <c r="V518" s="64"/>
      <c r="W518" s="64"/>
      <c r="X518" s="64"/>
      <c r="Y518" s="64"/>
      <c r="Z518" s="64"/>
      <c r="AA518" s="64"/>
      <c r="AB518" s="64"/>
      <c r="AC518" s="64"/>
      <c r="AD518" s="64"/>
      <c r="AE518" s="64"/>
      <c r="AF518" s="64"/>
      <c r="AG518" s="64"/>
    </row>
    <row r="519">
      <c r="A519" s="64"/>
      <c r="B519" s="64"/>
      <c r="C519" s="64"/>
      <c r="D519" s="64"/>
      <c r="E519" s="65"/>
      <c r="F519" s="64"/>
      <c r="G519" s="67"/>
      <c r="H519" s="64"/>
      <c r="I519" s="64"/>
      <c r="J519" s="64"/>
      <c r="K519" s="64"/>
      <c r="L519" s="65"/>
      <c r="M519" s="64"/>
      <c r="N519" s="64"/>
      <c r="O519" s="64"/>
      <c r="P519" s="64"/>
      <c r="Q519" s="64"/>
      <c r="R519" s="64"/>
      <c r="S519" s="64"/>
      <c r="T519" s="65"/>
      <c r="U519" s="64"/>
      <c r="V519" s="64"/>
      <c r="W519" s="64"/>
      <c r="X519" s="64"/>
      <c r="Y519" s="64"/>
      <c r="Z519" s="64"/>
      <c r="AA519" s="64"/>
      <c r="AB519" s="64"/>
      <c r="AC519" s="64"/>
      <c r="AD519" s="64"/>
      <c r="AE519" s="64"/>
      <c r="AF519" s="64"/>
      <c r="AG519" s="64"/>
    </row>
    <row r="520">
      <c r="A520" s="64"/>
      <c r="B520" s="64"/>
      <c r="C520" s="64"/>
      <c r="D520" s="64"/>
      <c r="E520" s="65"/>
      <c r="F520" s="64"/>
      <c r="G520" s="67"/>
      <c r="H520" s="64"/>
      <c r="I520" s="64"/>
      <c r="J520" s="64"/>
      <c r="K520" s="64"/>
      <c r="L520" s="65"/>
      <c r="M520" s="64"/>
      <c r="N520" s="64"/>
      <c r="O520" s="64"/>
      <c r="P520" s="64"/>
      <c r="Q520" s="64"/>
      <c r="R520" s="64"/>
      <c r="S520" s="64"/>
      <c r="T520" s="65"/>
      <c r="U520" s="64"/>
      <c r="V520" s="64"/>
      <c r="W520" s="64"/>
      <c r="X520" s="64"/>
      <c r="Y520" s="64"/>
      <c r="Z520" s="64"/>
      <c r="AA520" s="64"/>
      <c r="AB520" s="64"/>
      <c r="AC520" s="64"/>
      <c r="AD520" s="64"/>
      <c r="AE520" s="64"/>
      <c r="AF520" s="64"/>
      <c r="AG520" s="64"/>
    </row>
    <row r="521">
      <c r="A521" s="64"/>
      <c r="B521" s="64"/>
      <c r="C521" s="64"/>
      <c r="D521" s="64"/>
      <c r="E521" s="65"/>
      <c r="F521" s="64"/>
      <c r="G521" s="67"/>
      <c r="H521" s="64"/>
      <c r="I521" s="64"/>
      <c r="J521" s="64"/>
      <c r="K521" s="64"/>
      <c r="L521" s="65"/>
      <c r="M521" s="64"/>
      <c r="N521" s="64"/>
      <c r="O521" s="64"/>
      <c r="P521" s="64"/>
      <c r="Q521" s="64"/>
      <c r="R521" s="64"/>
      <c r="S521" s="64"/>
      <c r="T521" s="65"/>
      <c r="U521" s="64"/>
      <c r="V521" s="64"/>
      <c r="W521" s="64"/>
      <c r="X521" s="64"/>
      <c r="Y521" s="64"/>
      <c r="Z521" s="64"/>
      <c r="AA521" s="64"/>
      <c r="AB521" s="64"/>
      <c r="AC521" s="64"/>
      <c r="AD521" s="64"/>
      <c r="AE521" s="64"/>
      <c r="AF521" s="64"/>
      <c r="AG521" s="64"/>
    </row>
    <row r="522">
      <c r="A522" s="64"/>
      <c r="B522" s="64"/>
      <c r="C522" s="64"/>
      <c r="D522" s="64"/>
      <c r="E522" s="65"/>
      <c r="F522" s="64"/>
      <c r="G522" s="67"/>
      <c r="H522" s="64"/>
      <c r="I522" s="64"/>
      <c r="J522" s="64"/>
      <c r="K522" s="64"/>
      <c r="L522" s="65"/>
      <c r="M522" s="64"/>
      <c r="N522" s="64"/>
      <c r="O522" s="64"/>
      <c r="P522" s="64"/>
      <c r="Q522" s="64"/>
      <c r="R522" s="64"/>
      <c r="S522" s="64"/>
      <c r="T522" s="65"/>
      <c r="U522" s="64"/>
      <c r="V522" s="64"/>
      <c r="W522" s="64"/>
      <c r="X522" s="64"/>
      <c r="Y522" s="64"/>
      <c r="Z522" s="64"/>
      <c r="AA522" s="64"/>
      <c r="AB522" s="64"/>
      <c r="AC522" s="64"/>
      <c r="AD522" s="64"/>
      <c r="AE522" s="64"/>
      <c r="AF522" s="64"/>
      <c r="AG522" s="64"/>
    </row>
    <row r="523">
      <c r="A523" s="64"/>
      <c r="B523" s="64"/>
      <c r="C523" s="64"/>
      <c r="D523" s="64"/>
      <c r="E523" s="65"/>
      <c r="F523" s="64"/>
      <c r="G523" s="67"/>
      <c r="H523" s="64"/>
      <c r="I523" s="64"/>
      <c r="J523" s="64"/>
      <c r="K523" s="64"/>
      <c r="L523" s="65"/>
      <c r="M523" s="64"/>
      <c r="N523" s="64"/>
      <c r="O523" s="64"/>
      <c r="P523" s="64"/>
      <c r="Q523" s="64"/>
      <c r="R523" s="64"/>
      <c r="S523" s="64"/>
      <c r="T523" s="65"/>
      <c r="U523" s="64"/>
      <c r="V523" s="64"/>
      <c r="W523" s="64"/>
      <c r="X523" s="64"/>
      <c r="Y523" s="64"/>
      <c r="Z523" s="64"/>
      <c r="AA523" s="64"/>
      <c r="AB523" s="64"/>
      <c r="AC523" s="64"/>
      <c r="AD523" s="64"/>
      <c r="AE523" s="64"/>
      <c r="AF523" s="64"/>
      <c r="AG523" s="64"/>
    </row>
    <row r="524">
      <c r="A524" s="64"/>
      <c r="B524" s="64"/>
      <c r="C524" s="64"/>
      <c r="D524" s="64"/>
      <c r="E524" s="65"/>
      <c r="F524" s="64"/>
      <c r="G524" s="67"/>
      <c r="H524" s="64"/>
      <c r="I524" s="64"/>
      <c r="J524" s="64"/>
      <c r="K524" s="64"/>
      <c r="L524" s="65"/>
      <c r="M524" s="64"/>
      <c r="N524" s="64"/>
      <c r="O524" s="64"/>
      <c r="P524" s="64"/>
      <c r="Q524" s="64"/>
      <c r="R524" s="64"/>
      <c r="S524" s="64"/>
      <c r="T524" s="65"/>
      <c r="U524" s="64"/>
      <c r="V524" s="64"/>
      <c r="W524" s="64"/>
      <c r="X524" s="64"/>
      <c r="Y524" s="64"/>
      <c r="Z524" s="64"/>
      <c r="AA524" s="64"/>
      <c r="AB524" s="64"/>
      <c r="AC524" s="64"/>
      <c r="AD524" s="64"/>
      <c r="AE524" s="64"/>
      <c r="AF524" s="64"/>
      <c r="AG524" s="64"/>
    </row>
    <row r="525">
      <c r="A525" s="64"/>
      <c r="B525" s="64"/>
      <c r="C525" s="64"/>
      <c r="D525" s="64"/>
      <c r="E525" s="65"/>
      <c r="F525" s="64"/>
      <c r="G525" s="67"/>
      <c r="H525" s="64"/>
      <c r="I525" s="64"/>
      <c r="J525" s="64"/>
      <c r="K525" s="64"/>
      <c r="L525" s="65"/>
      <c r="M525" s="64"/>
      <c r="N525" s="64"/>
      <c r="O525" s="64"/>
      <c r="P525" s="64"/>
      <c r="Q525" s="64"/>
      <c r="R525" s="64"/>
      <c r="S525" s="64"/>
      <c r="T525" s="65"/>
      <c r="U525" s="64"/>
      <c r="V525" s="64"/>
      <c r="W525" s="64"/>
      <c r="X525" s="64"/>
      <c r="Y525" s="64"/>
      <c r="Z525" s="64"/>
      <c r="AA525" s="64"/>
      <c r="AB525" s="64"/>
      <c r="AC525" s="64"/>
      <c r="AD525" s="64"/>
      <c r="AE525" s="64"/>
      <c r="AF525" s="64"/>
      <c r="AG525" s="64"/>
    </row>
    <row r="526">
      <c r="A526" s="64"/>
      <c r="B526" s="64"/>
      <c r="C526" s="64"/>
      <c r="D526" s="64"/>
      <c r="E526" s="65"/>
      <c r="F526" s="64"/>
      <c r="G526" s="67"/>
      <c r="H526" s="64"/>
      <c r="I526" s="64"/>
      <c r="J526" s="64"/>
      <c r="K526" s="64"/>
      <c r="L526" s="65"/>
      <c r="M526" s="64"/>
      <c r="N526" s="64"/>
      <c r="O526" s="64"/>
      <c r="P526" s="64"/>
      <c r="Q526" s="64"/>
      <c r="R526" s="64"/>
      <c r="S526" s="64"/>
      <c r="T526" s="65"/>
      <c r="U526" s="64"/>
      <c r="V526" s="64"/>
      <c r="W526" s="64"/>
      <c r="X526" s="64"/>
      <c r="Y526" s="64"/>
      <c r="Z526" s="64"/>
      <c r="AA526" s="64"/>
      <c r="AB526" s="64"/>
      <c r="AC526" s="64"/>
      <c r="AD526" s="64"/>
      <c r="AE526" s="64"/>
      <c r="AF526" s="64"/>
      <c r="AG526" s="64"/>
    </row>
    <row r="527">
      <c r="A527" s="64"/>
      <c r="B527" s="64"/>
      <c r="C527" s="64"/>
      <c r="D527" s="64"/>
      <c r="E527" s="65"/>
      <c r="F527" s="64"/>
      <c r="G527" s="67"/>
      <c r="H527" s="64"/>
      <c r="I527" s="64"/>
      <c r="J527" s="64"/>
      <c r="K527" s="64"/>
      <c r="L527" s="65"/>
      <c r="M527" s="64"/>
      <c r="N527" s="64"/>
      <c r="O527" s="64"/>
      <c r="P527" s="64"/>
      <c r="Q527" s="64"/>
      <c r="R527" s="64"/>
      <c r="S527" s="64"/>
      <c r="T527" s="65"/>
      <c r="U527" s="64"/>
      <c r="V527" s="64"/>
      <c r="W527" s="64"/>
      <c r="X527" s="64"/>
      <c r="Y527" s="64"/>
      <c r="Z527" s="64"/>
      <c r="AA527" s="64"/>
      <c r="AB527" s="64"/>
      <c r="AC527" s="64"/>
      <c r="AD527" s="64"/>
      <c r="AE527" s="64"/>
      <c r="AF527" s="64"/>
      <c r="AG527" s="64"/>
    </row>
    <row r="528">
      <c r="A528" s="64"/>
      <c r="B528" s="64"/>
      <c r="C528" s="64"/>
      <c r="D528" s="64"/>
      <c r="E528" s="65"/>
      <c r="F528" s="64"/>
      <c r="G528" s="67"/>
      <c r="H528" s="64"/>
      <c r="I528" s="64"/>
      <c r="J528" s="64"/>
      <c r="K528" s="64"/>
      <c r="L528" s="65"/>
      <c r="M528" s="64"/>
      <c r="N528" s="64"/>
      <c r="O528" s="64"/>
      <c r="P528" s="64"/>
      <c r="Q528" s="64"/>
      <c r="R528" s="64"/>
      <c r="S528" s="64"/>
      <c r="T528" s="65"/>
      <c r="U528" s="64"/>
      <c r="V528" s="64"/>
      <c r="W528" s="64"/>
      <c r="X528" s="64"/>
      <c r="Y528" s="64"/>
      <c r="Z528" s="64"/>
      <c r="AA528" s="64"/>
      <c r="AB528" s="64"/>
      <c r="AC528" s="64"/>
      <c r="AD528" s="64"/>
      <c r="AE528" s="64"/>
      <c r="AF528" s="64"/>
      <c r="AG528" s="64"/>
    </row>
    <row r="529">
      <c r="A529" s="64"/>
      <c r="B529" s="64"/>
      <c r="C529" s="64"/>
      <c r="D529" s="64"/>
      <c r="E529" s="65"/>
      <c r="F529" s="64"/>
      <c r="G529" s="67"/>
      <c r="H529" s="64"/>
      <c r="I529" s="64"/>
      <c r="J529" s="64"/>
      <c r="K529" s="64"/>
      <c r="L529" s="65"/>
      <c r="M529" s="64"/>
      <c r="N529" s="64"/>
      <c r="O529" s="64"/>
      <c r="P529" s="64"/>
      <c r="Q529" s="64"/>
      <c r="R529" s="64"/>
      <c r="S529" s="64"/>
      <c r="T529" s="65"/>
      <c r="U529" s="64"/>
      <c r="V529" s="64"/>
      <c r="W529" s="64"/>
      <c r="X529" s="64"/>
      <c r="Y529" s="64"/>
      <c r="Z529" s="64"/>
      <c r="AA529" s="64"/>
      <c r="AB529" s="64"/>
      <c r="AC529" s="64"/>
      <c r="AD529" s="64"/>
      <c r="AE529" s="64"/>
      <c r="AF529" s="64"/>
      <c r="AG529" s="64"/>
    </row>
    <row r="530">
      <c r="A530" s="64"/>
      <c r="B530" s="64"/>
      <c r="C530" s="64"/>
      <c r="D530" s="64"/>
      <c r="E530" s="65"/>
      <c r="F530" s="64"/>
      <c r="G530" s="67"/>
      <c r="H530" s="64"/>
      <c r="I530" s="64"/>
      <c r="J530" s="64"/>
      <c r="K530" s="64"/>
      <c r="L530" s="65"/>
      <c r="M530" s="64"/>
      <c r="N530" s="64"/>
      <c r="O530" s="64"/>
      <c r="P530" s="64"/>
      <c r="Q530" s="64"/>
      <c r="R530" s="64"/>
      <c r="S530" s="64"/>
      <c r="T530" s="65"/>
      <c r="U530" s="64"/>
      <c r="V530" s="64"/>
      <c r="W530" s="64"/>
      <c r="X530" s="64"/>
      <c r="Y530" s="64"/>
      <c r="Z530" s="64"/>
      <c r="AA530" s="64"/>
      <c r="AB530" s="64"/>
      <c r="AC530" s="64"/>
      <c r="AD530" s="64"/>
      <c r="AE530" s="64"/>
      <c r="AF530" s="64"/>
      <c r="AG530" s="64"/>
    </row>
    <row r="531">
      <c r="A531" s="64"/>
      <c r="B531" s="64"/>
      <c r="C531" s="64"/>
      <c r="D531" s="64"/>
      <c r="E531" s="65"/>
      <c r="F531" s="64"/>
      <c r="G531" s="67"/>
      <c r="H531" s="64"/>
      <c r="I531" s="64"/>
      <c r="J531" s="64"/>
      <c r="K531" s="64"/>
      <c r="L531" s="65"/>
      <c r="M531" s="64"/>
      <c r="N531" s="64"/>
      <c r="O531" s="64"/>
      <c r="P531" s="64"/>
      <c r="Q531" s="64"/>
      <c r="R531" s="64"/>
      <c r="S531" s="64"/>
      <c r="T531" s="65"/>
      <c r="U531" s="64"/>
      <c r="V531" s="64"/>
      <c r="W531" s="64"/>
      <c r="X531" s="64"/>
      <c r="Y531" s="64"/>
      <c r="Z531" s="64"/>
      <c r="AA531" s="64"/>
      <c r="AB531" s="64"/>
      <c r="AC531" s="64"/>
      <c r="AD531" s="64"/>
      <c r="AE531" s="64"/>
      <c r="AF531" s="64"/>
      <c r="AG531" s="64"/>
    </row>
    <row r="532">
      <c r="A532" s="64"/>
      <c r="B532" s="64"/>
      <c r="C532" s="64"/>
      <c r="D532" s="64"/>
      <c r="E532" s="65"/>
      <c r="F532" s="64"/>
      <c r="G532" s="67"/>
      <c r="H532" s="64"/>
      <c r="I532" s="64"/>
      <c r="J532" s="64"/>
      <c r="K532" s="64"/>
      <c r="L532" s="65"/>
      <c r="M532" s="64"/>
      <c r="N532" s="64"/>
      <c r="O532" s="64"/>
      <c r="P532" s="64"/>
      <c r="Q532" s="64"/>
      <c r="R532" s="64"/>
      <c r="S532" s="64"/>
      <c r="T532" s="65"/>
      <c r="U532" s="64"/>
      <c r="V532" s="64"/>
      <c r="W532" s="64"/>
      <c r="X532" s="64"/>
      <c r="Y532" s="64"/>
      <c r="Z532" s="64"/>
      <c r="AA532" s="64"/>
      <c r="AB532" s="64"/>
      <c r="AC532" s="64"/>
      <c r="AD532" s="64"/>
      <c r="AE532" s="64"/>
      <c r="AF532" s="64"/>
      <c r="AG532" s="64"/>
    </row>
    <row r="533">
      <c r="A533" s="64"/>
      <c r="B533" s="64"/>
      <c r="C533" s="64"/>
      <c r="D533" s="64"/>
      <c r="E533" s="65"/>
      <c r="F533" s="64"/>
      <c r="G533" s="67"/>
      <c r="H533" s="64"/>
      <c r="I533" s="64"/>
      <c r="J533" s="64"/>
      <c r="K533" s="64"/>
      <c r="L533" s="65"/>
      <c r="M533" s="64"/>
      <c r="N533" s="64"/>
      <c r="O533" s="64"/>
      <c r="P533" s="64"/>
      <c r="Q533" s="64"/>
      <c r="R533" s="64"/>
      <c r="S533" s="64"/>
      <c r="T533" s="65"/>
      <c r="U533" s="64"/>
      <c r="V533" s="64"/>
      <c r="W533" s="64"/>
      <c r="X533" s="64"/>
      <c r="Y533" s="64"/>
      <c r="Z533" s="64"/>
      <c r="AA533" s="64"/>
      <c r="AB533" s="64"/>
      <c r="AC533" s="64"/>
      <c r="AD533" s="64"/>
      <c r="AE533" s="64"/>
      <c r="AF533" s="64"/>
      <c r="AG533" s="64"/>
    </row>
    <row r="534">
      <c r="A534" s="64"/>
      <c r="B534" s="64"/>
      <c r="C534" s="64"/>
      <c r="D534" s="64"/>
      <c r="E534" s="65"/>
      <c r="F534" s="64"/>
      <c r="G534" s="67"/>
      <c r="H534" s="64"/>
      <c r="I534" s="64"/>
      <c r="J534" s="64"/>
      <c r="K534" s="64"/>
      <c r="L534" s="65"/>
      <c r="M534" s="64"/>
      <c r="N534" s="64"/>
      <c r="O534" s="64"/>
      <c r="P534" s="64"/>
      <c r="Q534" s="64"/>
      <c r="R534" s="64"/>
      <c r="S534" s="64"/>
      <c r="T534" s="65"/>
      <c r="U534" s="64"/>
      <c r="V534" s="64"/>
      <c r="W534" s="64"/>
      <c r="X534" s="64"/>
      <c r="Y534" s="64"/>
      <c r="Z534" s="64"/>
      <c r="AA534" s="64"/>
      <c r="AB534" s="64"/>
      <c r="AC534" s="64"/>
      <c r="AD534" s="64"/>
      <c r="AE534" s="64"/>
      <c r="AF534" s="64"/>
      <c r="AG534" s="64"/>
    </row>
    <row r="535">
      <c r="A535" s="64"/>
      <c r="B535" s="64"/>
      <c r="C535" s="64"/>
      <c r="D535" s="64"/>
      <c r="E535" s="65"/>
      <c r="F535" s="64"/>
      <c r="G535" s="67"/>
      <c r="H535" s="64"/>
      <c r="I535" s="64"/>
      <c r="J535" s="64"/>
      <c r="K535" s="64"/>
      <c r="L535" s="65"/>
      <c r="M535" s="64"/>
      <c r="N535" s="64"/>
      <c r="O535" s="64"/>
      <c r="P535" s="64"/>
      <c r="Q535" s="64"/>
      <c r="R535" s="64"/>
      <c r="S535" s="64"/>
      <c r="T535" s="65"/>
      <c r="U535" s="64"/>
      <c r="V535" s="64"/>
      <c r="W535" s="64"/>
      <c r="X535" s="64"/>
      <c r="Y535" s="64"/>
      <c r="Z535" s="64"/>
      <c r="AA535" s="64"/>
      <c r="AB535" s="64"/>
      <c r="AC535" s="64"/>
      <c r="AD535" s="64"/>
      <c r="AE535" s="64"/>
      <c r="AF535" s="64"/>
      <c r="AG535" s="64"/>
    </row>
    <row r="536">
      <c r="A536" s="64"/>
      <c r="B536" s="64"/>
      <c r="C536" s="64"/>
      <c r="D536" s="64"/>
      <c r="E536" s="65"/>
      <c r="F536" s="64"/>
      <c r="G536" s="67"/>
      <c r="H536" s="64"/>
      <c r="I536" s="64"/>
      <c r="J536" s="64"/>
      <c r="K536" s="64"/>
      <c r="L536" s="65"/>
      <c r="M536" s="64"/>
      <c r="N536" s="64"/>
      <c r="O536" s="64"/>
      <c r="P536" s="64"/>
      <c r="Q536" s="64"/>
      <c r="R536" s="64"/>
      <c r="S536" s="64"/>
      <c r="T536" s="65"/>
      <c r="U536" s="64"/>
      <c r="V536" s="64"/>
      <c r="W536" s="64"/>
      <c r="X536" s="64"/>
      <c r="Y536" s="64"/>
      <c r="Z536" s="64"/>
      <c r="AA536" s="64"/>
      <c r="AB536" s="64"/>
      <c r="AC536" s="64"/>
      <c r="AD536" s="64"/>
      <c r="AE536" s="64"/>
      <c r="AF536" s="64"/>
      <c r="AG536" s="64"/>
    </row>
    <row r="537">
      <c r="A537" s="64"/>
      <c r="B537" s="64"/>
      <c r="C537" s="64"/>
      <c r="D537" s="64"/>
      <c r="E537" s="65"/>
      <c r="F537" s="64"/>
      <c r="G537" s="67"/>
      <c r="H537" s="64"/>
      <c r="I537" s="64"/>
      <c r="J537" s="64"/>
      <c r="K537" s="64"/>
      <c r="L537" s="65"/>
      <c r="M537" s="64"/>
      <c r="N537" s="64"/>
      <c r="O537" s="64"/>
      <c r="P537" s="64"/>
      <c r="Q537" s="64"/>
      <c r="R537" s="64"/>
      <c r="S537" s="64"/>
      <c r="T537" s="65"/>
      <c r="U537" s="64"/>
      <c r="V537" s="64"/>
      <c r="W537" s="64"/>
      <c r="X537" s="64"/>
      <c r="Y537" s="64"/>
      <c r="Z537" s="64"/>
      <c r="AA537" s="64"/>
      <c r="AB537" s="64"/>
      <c r="AC537" s="64"/>
      <c r="AD537" s="64"/>
      <c r="AE537" s="64"/>
      <c r="AF537" s="64"/>
      <c r="AG537" s="64"/>
    </row>
    <row r="538">
      <c r="A538" s="64"/>
      <c r="B538" s="64"/>
      <c r="C538" s="64"/>
      <c r="D538" s="64"/>
      <c r="E538" s="65"/>
      <c r="F538" s="64"/>
      <c r="G538" s="67"/>
      <c r="H538" s="64"/>
      <c r="I538" s="64"/>
      <c r="J538" s="64"/>
      <c r="K538" s="64"/>
      <c r="L538" s="65"/>
      <c r="M538" s="64"/>
      <c r="N538" s="64"/>
      <c r="O538" s="64"/>
      <c r="P538" s="64"/>
      <c r="Q538" s="64"/>
      <c r="R538" s="64"/>
      <c r="S538" s="64"/>
      <c r="T538" s="65"/>
      <c r="U538" s="64"/>
      <c r="V538" s="64"/>
      <c r="W538" s="64"/>
      <c r="X538" s="64"/>
      <c r="Y538" s="64"/>
      <c r="Z538" s="64"/>
      <c r="AA538" s="64"/>
      <c r="AB538" s="64"/>
      <c r="AC538" s="64"/>
      <c r="AD538" s="64"/>
      <c r="AE538" s="64"/>
      <c r="AF538" s="64"/>
      <c r="AG538" s="64"/>
    </row>
    <row r="539">
      <c r="A539" s="64"/>
      <c r="B539" s="64"/>
      <c r="C539" s="64"/>
      <c r="D539" s="64"/>
      <c r="E539" s="65"/>
      <c r="F539" s="64"/>
      <c r="G539" s="67"/>
      <c r="H539" s="64"/>
      <c r="I539" s="64"/>
      <c r="J539" s="64"/>
      <c r="K539" s="64"/>
      <c r="L539" s="65"/>
      <c r="M539" s="64"/>
      <c r="N539" s="64"/>
      <c r="O539" s="64"/>
      <c r="P539" s="64"/>
      <c r="Q539" s="64"/>
      <c r="R539" s="64"/>
      <c r="S539" s="64"/>
      <c r="T539" s="65"/>
      <c r="U539" s="64"/>
      <c r="V539" s="64"/>
      <c r="W539" s="64"/>
      <c r="X539" s="64"/>
      <c r="Y539" s="64"/>
      <c r="Z539" s="64"/>
      <c r="AA539" s="64"/>
      <c r="AB539" s="64"/>
      <c r="AC539" s="64"/>
      <c r="AD539" s="64"/>
      <c r="AE539" s="64"/>
      <c r="AF539" s="64"/>
      <c r="AG539" s="64"/>
    </row>
    <row r="540">
      <c r="A540" s="64"/>
      <c r="B540" s="64"/>
      <c r="C540" s="64"/>
      <c r="D540" s="64"/>
      <c r="E540" s="65"/>
      <c r="F540" s="64"/>
      <c r="G540" s="67"/>
      <c r="H540" s="64"/>
      <c r="I540" s="64"/>
      <c r="J540" s="64"/>
      <c r="K540" s="64"/>
      <c r="L540" s="65"/>
      <c r="M540" s="64"/>
      <c r="N540" s="64"/>
      <c r="O540" s="64"/>
      <c r="P540" s="64"/>
      <c r="Q540" s="64"/>
      <c r="R540" s="64"/>
      <c r="S540" s="64"/>
      <c r="T540" s="65"/>
      <c r="U540" s="64"/>
      <c r="V540" s="64"/>
      <c r="W540" s="64"/>
      <c r="X540" s="64"/>
      <c r="Y540" s="64"/>
      <c r="Z540" s="64"/>
      <c r="AA540" s="64"/>
      <c r="AB540" s="64"/>
      <c r="AC540" s="64"/>
      <c r="AD540" s="64"/>
      <c r="AE540" s="64"/>
      <c r="AF540" s="64"/>
      <c r="AG540" s="64"/>
    </row>
    <row r="541">
      <c r="A541" s="64"/>
      <c r="B541" s="64"/>
      <c r="C541" s="64"/>
      <c r="D541" s="64"/>
      <c r="E541" s="65"/>
      <c r="F541" s="64"/>
      <c r="G541" s="67"/>
      <c r="H541" s="64"/>
      <c r="I541" s="64"/>
      <c r="J541" s="64"/>
      <c r="K541" s="64"/>
      <c r="L541" s="65"/>
      <c r="M541" s="64"/>
      <c r="N541" s="64"/>
      <c r="O541" s="64"/>
      <c r="P541" s="64"/>
      <c r="Q541" s="64"/>
      <c r="R541" s="64"/>
      <c r="S541" s="64"/>
      <c r="T541" s="65"/>
      <c r="U541" s="64"/>
      <c r="V541" s="64"/>
      <c r="W541" s="64"/>
      <c r="X541" s="64"/>
      <c r="Y541" s="64"/>
      <c r="Z541" s="64"/>
      <c r="AA541" s="64"/>
      <c r="AB541" s="64"/>
      <c r="AC541" s="64"/>
      <c r="AD541" s="64"/>
      <c r="AE541" s="64"/>
      <c r="AF541" s="64"/>
      <c r="AG541" s="64"/>
    </row>
    <row r="542">
      <c r="A542" s="64"/>
      <c r="B542" s="64"/>
      <c r="C542" s="64"/>
      <c r="D542" s="64"/>
      <c r="E542" s="65"/>
      <c r="F542" s="64"/>
      <c r="G542" s="67"/>
      <c r="H542" s="64"/>
      <c r="I542" s="64"/>
      <c r="J542" s="64"/>
      <c r="K542" s="64"/>
      <c r="L542" s="65"/>
      <c r="M542" s="64"/>
      <c r="N542" s="64"/>
      <c r="O542" s="64"/>
      <c r="P542" s="64"/>
      <c r="Q542" s="64"/>
      <c r="R542" s="64"/>
      <c r="S542" s="64"/>
      <c r="T542" s="65"/>
      <c r="U542" s="64"/>
      <c r="V542" s="64"/>
      <c r="W542" s="64"/>
      <c r="X542" s="64"/>
      <c r="Y542" s="64"/>
      <c r="Z542" s="64"/>
      <c r="AA542" s="64"/>
      <c r="AB542" s="64"/>
      <c r="AC542" s="64"/>
      <c r="AD542" s="64"/>
      <c r="AE542" s="64"/>
      <c r="AF542" s="64"/>
      <c r="AG542" s="64"/>
    </row>
    <row r="543">
      <c r="A543" s="64"/>
      <c r="B543" s="64"/>
      <c r="C543" s="64"/>
      <c r="D543" s="64"/>
      <c r="E543" s="65"/>
      <c r="F543" s="64"/>
      <c r="G543" s="67"/>
      <c r="H543" s="64"/>
      <c r="I543" s="64"/>
      <c r="J543" s="64"/>
      <c r="K543" s="64"/>
      <c r="L543" s="65"/>
      <c r="M543" s="64"/>
      <c r="N543" s="64"/>
      <c r="O543" s="64"/>
      <c r="P543" s="64"/>
      <c r="Q543" s="64"/>
      <c r="R543" s="64"/>
      <c r="S543" s="64"/>
      <c r="T543" s="65"/>
      <c r="U543" s="64"/>
      <c r="V543" s="64"/>
      <c r="W543" s="64"/>
      <c r="X543" s="64"/>
      <c r="Y543" s="64"/>
      <c r="Z543" s="64"/>
      <c r="AA543" s="64"/>
      <c r="AB543" s="64"/>
      <c r="AC543" s="64"/>
      <c r="AD543" s="64"/>
      <c r="AE543" s="64"/>
      <c r="AF543" s="64"/>
      <c r="AG543" s="64"/>
    </row>
    <row r="544">
      <c r="A544" s="64"/>
      <c r="B544" s="64"/>
      <c r="C544" s="64"/>
      <c r="D544" s="64"/>
      <c r="E544" s="65"/>
      <c r="F544" s="64"/>
      <c r="G544" s="67"/>
      <c r="H544" s="64"/>
      <c r="I544" s="64"/>
      <c r="J544" s="64"/>
      <c r="K544" s="64"/>
      <c r="L544" s="65"/>
      <c r="M544" s="64"/>
      <c r="N544" s="64"/>
      <c r="O544" s="64"/>
      <c r="P544" s="64"/>
      <c r="Q544" s="64"/>
      <c r="R544" s="64"/>
      <c r="S544" s="64"/>
      <c r="T544" s="65"/>
      <c r="U544" s="64"/>
      <c r="V544" s="64"/>
      <c r="W544" s="64"/>
      <c r="X544" s="64"/>
      <c r="Y544" s="64"/>
      <c r="Z544" s="64"/>
      <c r="AA544" s="64"/>
      <c r="AB544" s="64"/>
      <c r="AC544" s="64"/>
      <c r="AD544" s="64"/>
      <c r="AE544" s="64"/>
      <c r="AF544" s="64"/>
      <c r="AG544" s="64"/>
    </row>
    <row r="545">
      <c r="A545" s="64"/>
      <c r="B545" s="64"/>
      <c r="C545" s="64"/>
      <c r="D545" s="64"/>
      <c r="E545" s="65"/>
      <c r="F545" s="64"/>
      <c r="G545" s="67"/>
      <c r="H545" s="64"/>
      <c r="I545" s="64"/>
      <c r="J545" s="64"/>
      <c r="K545" s="64"/>
      <c r="L545" s="65"/>
      <c r="M545" s="64"/>
      <c r="N545" s="64"/>
      <c r="O545" s="64"/>
      <c r="P545" s="64"/>
      <c r="Q545" s="64"/>
      <c r="R545" s="64"/>
      <c r="S545" s="64"/>
      <c r="T545" s="65"/>
      <c r="U545" s="64"/>
      <c r="V545" s="64"/>
      <c r="W545" s="64"/>
      <c r="X545" s="64"/>
      <c r="Y545" s="64"/>
      <c r="Z545" s="64"/>
      <c r="AA545" s="64"/>
      <c r="AB545" s="64"/>
      <c r="AC545" s="64"/>
      <c r="AD545" s="64"/>
      <c r="AE545" s="64"/>
      <c r="AF545" s="64"/>
      <c r="AG545" s="64"/>
    </row>
    <row r="546">
      <c r="A546" s="64"/>
      <c r="B546" s="64"/>
      <c r="C546" s="64"/>
      <c r="D546" s="64"/>
      <c r="E546" s="65"/>
      <c r="F546" s="64"/>
      <c r="G546" s="67"/>
      <c r="H546" s="64"/>
      <c r="I546" s="64"/>
      <c r="J546" s="64"/>
      <c r="K546" s="64"/>
      <c r="L546" s="65"/>
      <c r="M546" s="64"/>
      <c r="N546" s="64"/>
      <c r="O546" s="64"/>
      <c r="P546" s="64"/>
      <c r="Q546" s="64"/>
      <c r="R546" s="64"/>
      <c r="S546" s="64"/>
      <c r="T546" s="65"/>
      <c r="U546" s="64"/>
      <c r="V546" s="64"/>
      <c r="W546" s="64"/>
      <c r="X546" s="64"/>
      <c r="Y546" s="64"/>
      <c r="Z546" s="64"/>
      <c r="AA546" s="64"/>
      <c r="AB546" s="64"/>
      <c r="AC546" s="64"/>
      <c r="AD546" s="64"/>
      <c r="AE546" s="64"/>
      <c r="AF546" s="64"/>
      <c r="AG546" s="64"/>
    </row>
    <row r="547">
      <c r="A547" s="64"/>
      <c r="B547" s="64"/>
      <c r="C547" s="64"/>
      <c r="D547" s="64"/>
      <c r="E547" s="65"/>
      <c r="F547" s="64"/>
      <c r="G547" s="67"/>
      <c r="H547" s="64"/>
      <c r="I547" s="64"/>
      <c r="J547" s="64"/>
      <c r="K547" s="64"/>
      <c r="L547" s="65"/>
      <c r="M547" s="64"/>
      <c r="N547" s="64"/>
      <c r="O547" s="64"/>
      <c r="P547" s="64"/>
      <c r="Q547" s="64"/>
      <c r="R547" s="64"/>
      <c r="S547" s="64"/>
      <c r="T547" s="65"/>
      <c r="U547" s="64"/>
      <c r="V547" s="64"/>
      <c r="W547" s="64"/>
      <c r="X547" s="64"/>
      <c r="Y547" s="64"/>
      <c r="Z547" s="64"/>
      <c r="AA547" s="64"/>
      <c r="AB547" s="64"/>
      <c r="AC547" s="64"/>
      <c r="AD547" s="64"/>
      <c r="AE547" s="64"/>
      <c r="AF547" s="64"/>
      <c r="AG547" s="64"/>
    </row>
    <row r="548">
      <c r="A548" s="64"/>
      <c r="B548" s="64"/>
      <c r="C548" s="64"/>
      <c r="D548" s="64"/>
      <c r="E548" s="65"/>
      <c r="F548" s="64"/>
      <c r="G548" s="67"/>
      <c r="H548" s="64"/>
      <c r="I548" s="64"/>
      <c r="J548" s="64"/>
      <c r="K548" s="64"/>
      <c r="L548" s="65"/>
      <c r="M548" s="64"/>
      <c r="N548" s="64"/>
      <c r="O548" s="64"/>
      <c r="P548" s="64"/>
      <c r="Q548" s="64"/>
      <c r="R548" s="64"/>
      <c r="S548" s="64"/>
      <c r="T548" s="65"/>
      <c r="U548" s="64"/>
      <c r="V548" s="64"/>
      <c r="W548" s="64"/>
      <c r="X548" s="64"/>
      <c r="Y548" s="64"/>
      <c r="Z548" s="64"/>
      <c r="AA548" s="64"/>
      <c r="AB548" s="64"/>
      <c r="AC548" s="64"/>
      <c r="AD548" s="64"/>
      <c r="AE548" s="64"/>
      <c r="AF548" s="64"/>
      <c r="AG548" s="64"/>
    </row>
    <row r="549">
      <c r="A549" s="64"/>
      <c r="B549" s="64"/>
      <c r="C549" s="64"/>
      <c r="D549" s="64"/>
      <c r="E549" s="65"/>
      <c r="F549" s="64"/>
      <c r="G549" s="67"/>
      <c r="H549" s="64"/>
      <c r="I549" s="64"/>
      <c r="J549" s="64"/>
      <c r="K549" s="64"/>
      <c r="L549" s="65"/>
      <c r="M549" s="64"/>
      <c r="N549" s="64"/>
      <c r="O549" s="64"/>
      <c r="P549" s="64"/>
      <c r="Q549" s="64"/>
      <c r="R549" s="64"/>
      <c r="S549" s="64"/>
      <c r="T549" s="65"/>
      <c r="U549" s="64"/>
      <c r="V549" s="64"/>
      <c r="W549" s="64"/>
      <c r="X549" s="64"/>
      <c r="Y549" s="64"/>
      <c r="Z549" s="64"/>
      <c r="AA549" s="64"/>
      <c r="AB549" s="64"/>
      <c r="AC549" s="64"/>
      <c r="AD549" s="64"/>
      <c r="AE549" s="64"/>
      <c r="AF549" s="64"/>
      <c r="AG549" s="64"/>
    </row>
    <row r="550">
      <c r="A550" s="64"/>
      <c r="B550" s="64"/>
      <c r="C550" s="64"/>
      <c r="D550" s="64"/>
      <c r="E550" s="65"/>
      <c r="F550" s="64"/>
      <c r="G550" s="67"/>
      <c r="H550" s="64"/>
      <c r="I550" s="64"/>
      <c r="J550" s="64"/>
      <c r="K550" s="64"/>
      <c r="L550" s="65"/>
      <c r="M550" s="64"/>
      <c r="N550" s="64"/>
      <c r="O550" s="64"/>
      <c r="P550" s="64"/>
      <c r="Q550" s="64"/>
      <c r="R550" s="64"/>
      <c r="S550" s="64"/>
      <c r="T550" s="65"/>
      <c r="U550" s="64"/>
      <c r="V550" s="64"/>
      <c r="W550" s="64"/>
      <c r="X550" s="64"/>
      <c r="Y550" s="64"/>
      <c r="Z550" s="64"/>
      <c r="AA550" s="64"/>
      <c r="AB550" s="64"/>
      <c r="AC550" s="64"/>
      <c r="AD550" s="64"/>
      <c r="AE550" s="64"/>
      <c r="AF550" s="64"/>
      <c r="AG550" s="64"/>
    </row>
    <row r="551">
      <c r="A551" s="64"/>
      <c r="B551" s="64"/>
      <c r="C551" s="64"/>
      <c r="D551" s="64"/>
      <c r="E551" s="65"/>
      <c r="F551" s="64"/>
      <c r="G551" s="67"/>
      <c r="H551" s="64"/>
      <c r="I551" s="64"/>
      <c r="J551" s="64"/>
      <c r="K551" s="64"/>
      <c r="L551" s="65"/>
      <c r="M551" s="64"/>
      <c r="N551" s="64"/>
      <c r="O551" s="64"/>
      <c r="P551" s="64"/>
      <c r="Q551" s="64"/>
      <c r="R551" s="64"/>
      <c r="S551" s="64"/>
      <c r="T551" s="65"/>
      <c r="U551" s="64"/>
      <c r="V551" s="64"/>
      <c r="W551" s="64"/>
      <c r="X551" s="64"/>
      <c r="Y551" s="64"/>
      <c r="Z551" s="64"/>
      <c r="AA551" s="64"/>
      <c r="AB551" s="64"/>
      <c r="AC551" s="64"/>
      <c r="AD551" s="64"/>
      <c r="AE551" s="64"/>
      <c r="AF551" s="64"/>
      <c r="AG551" s="64"/>
    </row>
    <row r="552">
      <c r="A552" s="64"/>
      <c r="B552" s="64"/>
      <c r="C552" s="64"/>
      <c r="D552" s="64"/>
      <c r="E552" s="65"/>
      <c r="F552" s="64"/>
      <c r="G552" s="67"/>
      <c r="H552" s="64"/>
      <c r="I552" s="64"/>
      <c r="J552" s="64"/>
      <c r="K552" s="64"/>
      <c r="L552" s="65"/>
      <c r="M552" s="64"/>
      <c r="N552" s="64"/>
      <c r="O552" s="64"/>
      <c r="P552" s="64"/>
      <c r="Q552" s="64"/>
      <c r="R552" s="64"/>
      <c r="S552" s="64"/>
      <c r="T552" s="65"/>
      <c r="U552" s="64"/>
      <c r="V552" s="64"/>
      <c r="W552" s="64"/>
      <c r="X552" s="64"/>
      <c r="Y552" s="64"/>
      <c r="Z552" s="64"/>
      <c r="AA552" s="64"/>
      <c r="AB552" s="64"/>
      <c r="AC552" s="64"/>
      <c r="AD552" s="64"/>
      <c r="AE552" s="64"/>
      <c r="AF552" s="64"/>
      <c r="AG552" s="64"/>
    </row>
    <row r="553">
      <c r="A553" s="64"/>
      <c r="B553" s="64"/>
      <c r="C553" s="64"/>
      <c r="D553" s="64"/>
      <c r="E553" s="65"/>
      <c r="F553" s="64"/>
      <c r="G553" s="67"/>
      <c r="H553" s="64"/>
      <c r="I553" s="64"/>
      <c r="J553" s="64"/>
      <c r="K553" s="64"/>
      <c r="L553" s="65"/>
      <c r="M553" s="64"/>
      <c r="N553" s="64"/>
      <c r="O553" s="64"/>
      <c r="P553" s="64"/>
      <c r="Q553" s="64"/>
      <c r="R553" s="64"/>
      <c r="S553" s="64"/>
      <c r="T553" s="65"/>
      <c r="U553" s="64"/>
      <c r="V553" s="64"/>
      <c r="W553" s="64"/>
      <c r="X553" s="64"/>
      <c r="Y553" s="64"/>
      <c r="Z553" s="64"/>
      <c r="AA553" s="64"/>
      <c r="AB553" s="64"/>
      <c r="AC553" s="64"/>
      <c r="AD553" s="64"/>
      <c r="AE553" s="64"/>
      <c r="AF553" s="64"/>
      <c r="AG553" s="64"/>
    </row>
    <row r="554">
      <c r="A554" s="64"/>
      <c r="B554" s="64"/>
      <c r="C554" s="64"/>
      <c r="D554" s="64"/>
      <c r="E554" s="65"/>
      <c r="F554" s="64"/>
      <c r="G554" s="67"/>
      <c r="H554" s="64"/>
      <c r="I554" s="64"/>
      <c r="J554" s="64"/>
      <c r="K554" s="64"/>
      <c r="L554" s="65"/>
      <c r="M554" s="64"/>
      <c r="N554" s="64"/>
      <c r="O554" s="64"/>
      <c r="P554" s="64"/>
      <c r="Q554" s="64"/>
      <c r="R554" s="64"/>
      <c r="S554" s="64"/>
      <c r="T554" s="65"/>
      <c r="U554" s="64"/>
      <c r="V554" s="64"/>
      <c r="W554" s="64"/>
      <c r="X554" s="64"/>
      <c r="Y554" s="64"/>
      <c r="Z554" s="64"/>
      <c r="AA554" s="64"/>
      <c r="AB554" s="64"/>
      <c r="AC554" s="64"/>
      <c r="AD554" s="64"/>
      <c r="AE554" s="64"/>
      <c r="AF554" s="64"/>
      <c r="AG554" s="64"/>
    </row>
    <row r="555">
      <c r="A555" s="64"/>
      <c r="B555" s="64"/>
      <c r="C555" s="64"/>
      <c r="D555" s="64"/>
      <c r="E555" s="65"/>
      <c r="F555" s="64"/>
      <c r="G555" s="67"/>
      <c r="H555" s="64"/>
      <c r="I555" s="64"/>
      <c r="J555" s="64"/>
      <c r="K555" s="64"/>
      <c r="L555" s="65"/>
      <c r="M555" s="64"/>
      <c r="N555" s="64"/>
      <c r="O555" s="64"/>
      <c r="P555" s="64"/>
      <c r="Q555" s="64"/>
      <c r="R555" s="64"/>
      <c r="S555" s="64"/>
      <c r="T555" s="65"/>
      <c r="U555" s="64"/>
      <c r="V555" s="64"/>
      <c r="W555" s="64"/>
      <c r="X555" s="64"/>
      <c r="Y555" s="64"/>
      <c r="Z555" s="64"/>
      <c r="AA555" s="64"/>
      <c r="AB555" s="64"/>
      <c r="AC555" s="64"/>
      <c r="AD555" s="64"/>
      <c r="AE555" s="64"/>
      <c r="AF555" s="64"/>
      <c r="AG555" s="64"/>
    </row>
    <row r="556">
      <c r="A556" s="64"/>
      <c r="B556" s="64"/>
      <c r="C556" s="64"/>
      <c r="D556" s="64"/>
      <c r="E556" s="65"/>
      <c r="F556" s="64"/>
      <c r="G556" s="67"/>
      <c r="H556" s="64"/>
      <c r="I556" s="64"/>
      <c r="J556" s="64"/>
      <c r="K556" s="64"/>
      <c r="L556" s="65"/>
      <c r="M556" s="64"/>
      <c r="N556" s="64"/>
      <c r="O556" s="64"/>
      <c r="P556" s="64"/>
      <c r="Q556" s="64"/>
      <c r="R556" s="64"/>
      <c r="S556" s="64"/>
      <c r="T556" s="65"/>
      <c r="U556" s="64"/>
      <c r="V556" s="64"/>
      <c r="W556" s="64"/>
      <c r="X556" s="64"/>
      <c r="Y556" s="64"/>
      <c r="Z556" s="64"/>
      <c r="AA556" s="64"/>
      <c r="AB556" s="64"/>
      <c r="AC556" s="64"/>
      <c r="AD556" s="64"/>
      <c r="AE556" s="64"/>
      <c r="AF556" s="64"/>
      <c r="AG556" s="64"/>
    </row>
    <row r="557">
      <c r="A557" s="64"/>
      <c r="B557" s="64"/>
      <c r="C557" s="64"/>
      <c r="D557" s="64"/>
      <c r="E557" s="65"/>
      <c r="F557" s="64"/>
      <c r="G557" s="67"/>
      <c r="H557" s="64"/>
      <c r="I557" s="64"/>
      <c r="J557" s="64"/>
      <c r="K557" s="64"/>
      <c r="L557" s="65"/>
      <c r="M557" s="64"/>
      <c r="N557" s="64"/>
      <c r="O557" s="64"/>
      <c r="P557" s="64"/>
      <c r="Q557" s="64"/>
      <c r="R557" s="64"/>
      <c r="S557" s="64"/>
      <c r="T557" s="65"/>
      <c r="U557" s="64"/>
      <c r="V557" s="64"/>
      <c r="W557" s="64"/>
      <c r="X557" s="64"/>
      <c r="Y557" s="64"/>
      <c r="Z557" s="64"/>
      <c r="AA557" s="64"/>
      <c r="AB557" s="64"/>
      <c r="AC557" s="64"/>
      <c r="AD557" s="64"/>
      <c r="AE557" s="64"/>
      <c r="AF557" s="64"/>
      <c r="AG557" s="64"/>
    </row>
    <row r="558">
      <c r="A558" s="64"/>
      <c r="B558" s="64"/>
      <c r="C558" s="64"/>
      <c r="D558" s="64"/>
      <c r="E558" s="65"/>
      <c r="F558" s="64"/>
      <c r="G558" s="67"/>
      <c r="H558" s="64"/>
      <c r="I558" s="64"/>
      <c r="J558" s="64"/>
      <c r="K558" s="64"/>
      <c r="L558" s="65"/>
      <c r="M558" s="64"/>
      <c r="N558" s="64"/>
      <c r="O558" s="64"/>
      <c r="P558" s="64"/>
      <c r="Q558" s="64"/>
      <c r="R558" s="64"/>
      <c r="S558" s="64"/>
      <c r="T558" s="65"/>
      <c r="U558" s="64"/>
      <c r="V558" s="64"/>
      <c r="W558" s="64"/>
      <c r="X558" s="64"/>
      <c r="Y558" s="64"/>
      <c r="Z558" s="64"/>
      <c r="AA558" s="64"/>
      <c r="AB558" s="64"/>
      <c r="AC558" s="64"/>
      <c r="AD558" s="64"/>
      <c r="AE558" s="64"/>
      <c r="AF558" s="64"/>
      <c r="AG558" s="64"/>
    </row>
    <row r="559">
      <c r="A559" s="64"/>
      <c r="B559" s="64"/>
      <c r="C559" s="64"/>
      <c r="D559" s="64"/>
      <c r="E559" s="65"/>
      <c r="F559" s="64"/>
      <c r="G559" s="67"/>
      <c r="H559" s="64"/>
      <c r="I559" s="64"/>
      <c r="J559" s="64"/>
      <c r="K559" s="64"/>
      <c r="L559" s="65"/>
      <c r="M559" s="64"/>
      <c r="N559" s="64"/>
      <c r="O559" s="64"/>
      <c r="P559" s="64"/>
      <c r="Q559" s="64"/>
      <c r="R559" s="64"/>
      <c r="S559" s="64"/>
      <c r="T559" s="65"/>
      <c r="U559" s="64"/>
      <c r="V559" s="64"/>
      <c r="W559" s="64"/>
      <c r="X559" s="64"/>
      <c r="Y559" s="64"/>
      <c r="Z559" s="64"/>
      <c r="AA559" s="64"/>
      <c r="AB559" s="64"/>
      <c r="AC559" s="64"/>
      <c r="AD559" s="64"/>
      <c r="AE559" s="64"/>
      <c r="AF559" s="64"/>
      <c r="AG559" s="64"/>
    </row>
    <row r="560">
      <c r="A560" s="64"/>
      <c r="B560" s="64"/>
      <c r="C560" s="64"/>
      <c r="D560" s="64"/>
      <c r="E560" s="65"/>
      <c r="F560" s="64"/>
      <c r="G560" s="67"/>
      <c r="H560" s="64"/>
      <c r="I560" s="64"/>
      <c r="J560" s="64"/>
      <c r="K560" s="64"/>
      <c r="L560" s="65"/>
      <c r="M560" s="64"/>
      <c r="N560" s="64"/>
      <c r="O560" s="64"/>
      <c r="P560" s="64"/>
      <c r="Q560" s="64"/>
      <c r="R560" s="64"/>
      <c r="S560" s="64"/>
      <c r="T560" s="65"/>
      <c r="U560" s="64"/>
      <c r="V560" s="64"/>
      <c r="W560" s="64"/>
      <c r="X560" s="64"/>
      <c r="Y560" s="64"/>
      <c r="Z560" s="64"/>
      <c r="AA560" s="64"/>
      <c r="AB560" s="64"/>
      <c r="AC560" s="64"/>
      <c r="AD560" s="64"/>
      <c r="AE560" s="64"/>
      <c r="AF560" s="64"/>
      <c r="AG560" s="64"/>
    </row>
    <row r="561">
      <c r="A561" s="64"/>
      <c r="B561" s="64"/>
      <c r="C561" s="64"/>
      <c r="D561" s="64"/>
      <c r="E561" s="65"/>
      <c r="F561" s="64"/>
      <c r="G561" s="67"/>
      <c r="H561" s="64"/>
      <c r="I561" s="64"/>
      <c r="J561" s="64"/>
      <c r="K561" s="64"/>
      <c r="L561" s="65"/>
      <c r="M561" s="64"/>
      <c r="N561" s="64"/>
      <c r="O561" s="64"/>
      <c r="P561" s="64"/>
      <c r="Q561" s="64"/>
      <c r="R561" s="64"/>
      <c r="S561" s="64"/>
      <c r="T561" s="65"/>
      <c r="U561" s="64"/>
      <c r="V561" s="64"/>
      <c r="W561" s="64"/>
      <c r="X561" s="64"/>
      <c r="Y561" s="64"/>
      <c r="Z561" s="64"/>
      <c r="AA561" s="64"/>
      <c r="AB561" s="64"/>
      <c r="AC561" s="64"/>
      <c r="AD561" s="64"/>
      <c r="AE561" s="64"/>
      <c r="AF561" s="64"/>
      <c r="AG561" s="64"/>
    </row>
    <row r="562">
      <c r="A562" s="64"/>
      <c r="B562" s="64"/>
      <c r="C562" s="64"/>
      <c r="D562" s="64"/>
      <c r="E562" s="65"/>
      <c r="F562" s="64"/>
      <c r="G562" s="67"/>
      <c r="H562" s="64"/>
      <c r="I562" s="64"/>
      <c r="J562" s="64"/>
      <c r="K562" s="64"/>
      <c r="L562" s="65"/>
      <c r="M562" s="64"/>
      <c r="N562" s="64"/>
      <c r="O562" s="64"/>
      <c r="P562" s="64"/>
      <c r="Q562" s="64"/>
      <c r="R562" s="64"/>
      <c r="S562" s="64"/>
      <c r="T562" s="65"/>
      <c r="U562" s="64"/>
      <c r="V562" s="64"/>
      <c r="W562" s="64"/>
      <c r="X562" s="64"/>
      <c r="Y562" s="64"/>
      <c r="Z562" s="64"/>
      <c r="AA562" s="64"/>
      <c r="AB562" s="64"/>
      <c r="AC562" s="64"/>
      <c r="AD562" s="64"/>
      <c r="AE562" s="64"/>
      <c r="AF562" s="64"/>
      <c r="AG562" s="64"/>
    </row>
    <row r="563">
      <c r="A563" s="64"/>
      <c r="B563" s="64"/>
      <c r="C563" s="64"/>
      <c r="D563" s="64"/>
      <c r="E563" s="65"/>
      <c r="F563" s="64"/>
      <c r="G563" s="67"/>
      <c r="H563" s="64"/>
      <c r="I563" s="64"/>
      <c r="J563" s="64"/>
      <c r="K563" s="64"/>
      <c r="L563" s="65"/>
      <c r="M563" s="64"/>
      <c r="N563" s="64"/>
      <c r="O563" s="64"/>
      <c r="P563" s="64"/>
      <c r="Q563" s="64"/>
      <c r="R563" s="64"/>
      <c r="S563" s="64"/>
      <c r="T563" s="65"/>
      <c r="U563" s="64"/>
      <c r="V563" s="64"/>
      <c r="W563" s="64"/>
      <c r="X563" s="64"/>
      <c r="Y563" s="64"/>
      <c r="Z563" s="64"/>
      <c r="AA563" s="64"/>
      <c r="AB563" s="64"/>
      <c r="AC563" s="64"/>
      <c r="AD563" s="64"/>
      <c r="AE563" s="64"/>
      <c r="AF563" s="64"/>
      <c r="AG563" s="64"/>
    </row>
    <row r="564">
      <c r="A564" s="64"/>
      <c r="B564" s="64"/>
      <c r="C564" s="64"/>
      <c r="D564" s="64"/>
      <c r="E564" s="65"/>
      <c r="F564" s="64"/>
      <c r="G564" s="67"/>
      <c r="H564" s="64"/>
      <c r="I564" s="64"/>
      <c r="J564" s="64"/>
      <c r="K564" s="64"/>
      <c r="L564" s="65"/>
      <c r="M564" s="64"/>
      <c r="N564" s="64"/>
      <c r="O564" s="64"/>
      <c r="P564" s="64"/>
      <c r="Q564" s="64"/>
      <c r="R564" s="64"/>
      <c r="S564" s="64"/>
      <c r="T564" s="65"/>
      <c r="U564" s="64"/>
      <c r="V564" s="64"/>
      <c r="W564" s="64"/>
      <c r="X564" s="64"/>
      <c r="Y564" s="64"/>
      <c r="Z564" s="64"/>
      <c r="AA564" s="64"/>
      <c r="AB564" s="64"/>
      <c r="AC564" s="64"/>
      <c r="AD564" s="64"/>
      <c r="AE564" s="64"/>
      <c r="AF564" s="64"/>
      <c r="AG564" s="64"/>
    </row>
    <row r="565">
      <c r="A565" s="64"/>
      <c r="B565" s="64"/>
      <c r="C565" s="64"/>
      <c r="D565" s="64"/>
      <c r="E565" s="65"/>
      <c r="F565" s="64"/>
      <c r="G565" s="67"/>
      <c r="H565" s="64"/>
      <c r="I565" s="64"/>
      <c r="J565" s="64"/>
      <c r="K565" s="64"/>
      <c r="L565" s="65"/>
      <c r="M565" s="64"/>
      <c r="N565" s="64"/>
      <c r="O565" s="64"/>
      <c r="P565" s="64"/>
      <c r="Q565" s="64"/>
      <c r="R565" s="64"/>
      <c r="S565" s="64"/>
      <c r="T565" s="65"/>
      <c r="U565" s="64"/>
      <c r="V565" s="64"/>
      <c r="W565" s="64"/>
      <c r="X565" s="64"/>
      <c r="Y565" s="64"/>
      <c r="Z565" s="64"/>
      <c r="AA565" s="64"/>
      <c r="AB565" s="64"/>
      <c r="AC565" s="64"/>
      <c r="AD565" s="64"/>
      <c r="AE565" s="64"/>
      <c r="AF565" s="64"/>
      <c r="AG565" s="64"/>
    </row>
    <row r="566">
      <c r="A566" s="64"/>
      <c r="B566" s="64"/>
      <c r="C566" s="64"/>
      <c r="D566" s="64"/>
      <c r="E566" s="65"/>
      <c r="F566" s="64"/>
      <c r="G566" s="67"/>
      <c r="H566" s="64"/>
      <c r="I566" s="64"/>
      <c r="J566" s="64"/>
      <c r="K566" s="64"/>
      <c r="L566" s="65"/>
      <c r="M566" s="64"/>
      <c r="N566" s="64"/>
      <c r="O566" s="64"/>
      <c r="P566" s="64"/>
      <c r="Q566" s="64"/>
      <c r="R566" s="64"/>
      <c r="S566" s="64"/>
      <c r="T566" s="65"/>
      <c r="U566" s="64"/>
      <c r="V566" s="64"/>
      <c r="W566" s="64"/>
      <c r="X566" s="64"/>
      <c r="Y566" s="64"/>
      <c r="Z566" s="64"/>
      <c r="AA566" s="64"/>
      <c r="AB566" s="64"/>
      <c r="AC566" s="64"/>
      <c r="AD566" s="64"/>
      <c r="AE566" s="64"/>
      <c r="AF566" s="64"/>
      <c r="AG566" s="64"/>
    </row>
    <row r="567">
      <c r="A567" s="64"/>
      <c r="B567" s="64"/>
      <c r="C567" s="64"/>
      <c r="D567" s="64"/>
      <c r="E567" s="65"/>
      <c r="F567" s="64"/>
      <c r="G567" s="67"/>
      <c r="H567" s="64"/>
      <c r="I567" s="64"/>
      <c r="J567" s="64"/>
      <c r="K567" s="64"/>
      <c r="L567" s="65"/>
      <c r="M567" s="64"/>
      <c r="N567" s="64"/>
      <c r="O567" s="64"/>
      <c r="P567" s="64"/>
      <c r="Q567" s="64"/>
      <c r="R567" s="64"/>
      <c r="S567" s="64"/>
      <c r="T567" s="65"/>
      <c r="U567" s="64"/>
      <c r="V567" s="64"/>
      <c r="W567" s="64"/>
      <c r="X567" s="64"/>
      <c r="Y567" s="64"/>
      <c r="Z567" s="64"/>
      <c r="AA567" s="64"/>
      <c r="AB567" s="64"/>
      <c r="AC567" s="64"/>
      <c r="AD567" s="64"/>
      <c r="AE567" s="64"/>
      <c r="AF567" s="64"/>
      <c r="AG567" s="64"/>
    </row>
    <row r="568">
      <c r="A568" s="64"/>
      <c r="B568" s="64"/>
      <c r="C568" s="64"/>
      <c r="D568" s="64"/>
      <c r="E568" s="65"/>
      <c r="F568" s="64"/>
      <c r="G568" s="67"/>
      <c r="H568" s="64"/>
      <c r="I568" s="64"/>
      <c r="J568" s="64"/>
      <c r="K568" s="64"/>
      <c r="L568" s="65"/>
      <c r="M568" s="64"/>
      <c r="N568" s="64"/>
      <c r="O568" s="64"/>
      <c r="P568" s="64"/>
      <c r="Q568" s="64"/>
      <c r="R568" s="64"/>
      <c r="S568" s="64"/>
      <c r="T568" s="65"/>
      <c r="U568" s="64"/>
      <c r="V568" s="64"/>
      <c r="W568" s="64"/>
      <c r="X568" s="64"/>
      <c r="Y568" s="64"/>
      <c r="Z568" s="64"/>
      <c r="AA568" s="64"/>
      <c r="AB568" s="64"/>
      <c r="AC568" s="64"/>
      <c r="AD568" s="64"/>
      <c r="AE568" s="64"/>
      <c r="AF568" s="64"/>
      <c r="AG568" s="64"/>
    </row>
    <row r="569">
      <c r="A569" s="64"/>
      <c r="B569" s="64"/>
      <c r="C569" s="64"/>
      <c r="D569" s="64"/>
      <c r="E569" s="65"/>
      <c r="F569" s="64"/>
      <c r="G569" s="67"/>
      <c r="H569" s="64"/>
      <c r="I569" s="64"/>
      <c r="J569" s="64"/>
      <c r="K569" s="64"/>
      <c r="L569" s="65"/>
      <c r="M569" s="64"/>
      <c r="N569" s="64"/>
      <c r="O569" s="64"/>
      <c r="P569" s="64"/>
      <c r="Q569" s="64"/>
      <c r="R569" s="64"/>
      <c r="S569" s="64"/>
      <c r="T569" s="65"/>
      <c r="U569" s="64"/>
      <c r="V569" s="64"/>
      <c r="W569" s="64"/>
      <c r="X569" s="64"/>
      <c r="Y569" s="64"/>
      <c r="Z569" s="64"/>
      <c r="AA569" s="64"/>
      <c r="AB569" s="64"/>
      <c r="AC569" s="64"/>
      <c r="AD569" s="64"/>
      <c r="AE569" s="64"/>
      <c r="AF569" s="64"/>
      <c r="AG569" s="64"/>
    </row>
    <row r="570">
      <c r="A570" s="64"/>
      <c r="B570" s="64"/>
      <c r="C570" s="64"/>
      <c r="D570" s="64"/>
      <c r="E570" s="65"/>
      <c r="F570" s="64"/>
      <c r="G570" s="67"/>
      <c r="H570" s="64"/>
      <c r="I570" s="64"/>
      <c r="J570" s="64"/>
      <c r="K570" s="64"/>
      <c r="L570" s="65"/>
      <c r="M570" s="64"/>
      <c r="N570" s="64"/>
      <c r="O570" s="64"/>
      <c r="P570" s="64"/>
      <c r="Q570" s="64"/>
      <c r="R570" s="64"/>
      <c r="S570" s="64"/>
      <c r="T570" s="65"/>
      <c r="U570" s="64"/>
      <c r="V570" s="64"/>
      <c r="W570" s="64"/>
      <c r="X570" s="64"/>
      <c r="Y570" s="64"/>
      <c r="Z570" s="64"/>
      <c r="AA570" s="64"/>
      <c r="AB570" s="64"/>
      <c r="AC570" s="64"/>
      <c r="AD570" s="64"/>
      <c r="AE570" s="64"/>
      <c r="AF570" s="64"/>
      <c r="AG570" s="64"/>
    </row>
    <row r="571">
      <c r="A571" s="64"/>
      <c r="B571" s="64"/>
      <c r="C571" s="64"/>
      <c r="D571" s="64"/>
      <c r="E571" s="65"/>
      <c r="F571" s="64"/>
      <c r="G571" s="67"/>
      <c r="H571" s="64"/>
      <c r="I571" s="64"/>
      <c r="J571" s="64"/>
      <c r="K571" s="64"/>
      <c r="L571" s="65"/>
      <c r="M571" s="64"/>
      <c r="N571" s="64"/>
      <c r="O571" s="64"/>
      <c r="P571" s="64"/>
      <c r="Q571" s="64"/>
      <c r="R571" s="64"/>
      <c r="S571" s="64"/>
      <c r="T571" s="65"/>
      <c r="U571" s="64"/>
      <c r="V571" s="64"/>
      <c r="W571" s="64"/>
      <c r="X571" s="64"/>
      <c r="Y571" s="64"/>
      <c r="Z571" s="64"/>
      <c r="AA571" s="64"/>
      <c r="AB571" s="64"/>
      <c r="AC571" s="64"/>
      <c r="AD571" s="64"/>
      <c r="AE571" s="64"/>
      <c r="AF571" s="64"/>
      <c r="AG571" s="64"/>
    </row>
    <row r="572">
      <c r="A572" s="64"/>
      <c r="B572" s="64"/>
      <c r="C572" s="64"/>
      <c r="D572" s="64"/>
      <c r="E572" s="65"/>
      <c r="F572" s="64"/>
      <c r="G572" s="67"/>
      <c r="H572" s="64"/>
      <c r="I572" s="64"/>
      <c r="J572" s="64"/>
      <c r="K572" s="64"/>
      <c r="L572" s="65"/>
      <c r="M572" s="64"/>
      <c r="N572" s="64"/>
      <c r="O572" s="64"/>
      <c r="P572" s="64"/>
      <c r="Q572" s="64"/>
      <c r="R572" s="64"/>
      <c r="S572" s="64"/>
      <c r="T572" s="65"/>
      <c r="U572" s="64"/>
      <c r="V572" s="64"/>
      <c r="W572" s="64"/>
      <c r="X572" s="64"/>
      <c r="Y572" s="64"/>
      <c r="Z572" s="64"/>
      <c r="AA572" s="64"/>
      <c r="AB572" s="64"/>
      <c r="AC572" s="64"/>
      <c r="AD572" s="64"/>
      <c r="AE572" s="64"/>
      <c r="AF572" s="64"/>
      <c r="AG572" s="64"/>
    </row>
    <row r="573">
      <c r="A573" s="64"/>
      <c r="B573" s="64"/>
      <c r="C573" s="64"/>
      <c r="D573" s="64"/>
      <c r="E573" s="65"/>
      <c r="F573" s="64"/>
      <c r="G573" s="67"/>
      <c r="H573" s="64"/>
      <c r="I573" s="64"/>
      <c r="J573" s="64"/>
      <c r="K573" s="64"/>
      <c r="L573" s="65"/>
      <c r="M573" s="64"/>
      <c r="N573" s="64"/>
      <c r="O573" s="64"/>
      <c r="P573" s="64"/>
      <c r="Q573" s="64"/>
      <c r="R573" s="64"/>
      <c r="S573" s="64"/>
      <c r="T573" s="65"/>
      <c r="U573" s="64"/>
      <c r="V573" s="64"/>
      <c r="W573" s="64"/>
      <c r="X573" s="64"/>
      <c r="Y573" s="64"/>
      <c r="Z573" s="64"/>
      <c r="AA573" s="64"/>
      <c r="AB573" s="64"/>
      <c r="AC573" s="64"/>
      <c r="AD573" s="64"/>
      <c r="AE573" s="64"/>
      <c r="AF573" s="64"/>
      <c r="AG573" s="64"/>
    </row>
    <row r="574">
      <c r="A574" s="64"/>
      <c r="B574" s="64"/>
      <c r="C574" s="64"/>
      <c r="D574" s="64"/>
      <c r="E574" s="65"/>
      <c r="F574" s="64"/>
      <c r="G574" s="67"/>
      <c r="H574" s="64"/>
      <c r="I574" s="64"/>
      <c r="J574" s="64"/>
      <c r="K574" s="64"/>
      <c r="L574" s="65"/>
      <c r="M574" s="64"/>
      <c r="N574" s="64"/>
      <c r="O574" s="64"/>
      <c r="P574" s="64"/>
      <c r="Q574" s="64"/>
      <c r="R574" s="64"/>
      <c r="S574" s="64"/>
      <c r="T574" s="65"/>
      <c r="U574" s="64"/>
      <c r="V574" s="64"/>
      <c r="W574" s="64"/>
      <c r="X574" s="64"/>
      <c r="Y574" s="64"/>
      <c r="Z574" s="64"/>
      <c r="AA574" s="64"/>
      <c r="AB574" s="64"/>
      <c r="AC574" s="64"/>
      <c r="AD574" s="64"/>
      <c r="AE574" s="64"/>
      <c r="AF574" s="64"/>
      <c r="AG574" s="64"/>
    </row>
    <row r="575">
      <c r="A575" s="64"/>
      <c r="B575" s="64"/>
      <c r="C575" s="64"/>
      <c r="D575" s="64"/>
      <c r="E575" s="65"/>
      <c r="F575" s="64"/>
      <c r="G575" s="67"/>
      <c r="H575" s="64"/>
      <c r="I575" s="64"/>
      <c r="J575" s="64"/>
      <c r="K575" s="64"/>
      <c r="L575" s="65"/>
      <c r="M575" s="64"/>
      <c r="N575" s="64"/>
      <c r="O575" s="64"/>
      <c r="P575" s="64"/>
      <c r="Q575" s="64"/>
      <c r="R575" s="64"/>
      <c r="S575" s="64"/>
      <c r="T575" s="65"/>
      <c r="U575" s="64"/>
      <c r="V575" s="64"/>
      <c r="W575" s="64"/>
      <c r="X575" s="64"/>
      <c r="Y575" s="64"/>
      <c r="Z575" s="64"/>
      <c r="AA575" s="64"/>
      <c r="AB575" s="64"/>
      <c r="AC575" s="64"/>
      <c r="AD575" s="64"/>
      <c r="AE575" s="64"/>
      <c r="AF575" s="64"/>
      <c r="AG575" s="64"/>
    </row>
    <row r="576">
      <c r="A576" s="64"/>
      <c r="B576" s="64"/>
      <c r="C576" s="64"/>
      <c r="D576" s="64"/>
      <c r="E576" s="65"/>
      <c r="F576" s="64"/>
      <c r="G576" s="67"/>
      <c r="H576" s="64"/>
      <c r="I576" s="64"/>
      <c r="J576" s="64"/>
      <c r="K576" s="64"/>
      <c r="L576" s="65"/>
      <c r="M576" s="64"/>
      <c r="N576" s="64"/>
      <c r="O576" s="64"/>
      <c r="P576" s="64"/>
      <c r="Q576" s="64"/>
      <c r="R576" s="64"/>
      <c r="S576" s="64"/>
      <c r="T576" s="65"/>
      <c r="U576" s="64"/>
      <c r="V576" s="64"/>
      <c r="W576" s="64"/>
      <c r="X576" s="64"/>
      <c r="Y576" s="64"/>
      <c r="Z576" s="64"/>
      <c r="AA576" s="64"/>
      <c r="AB576" s="64"/>
      <c r="AC576" s="64"/>
      <c r="AD576" s="64"/>
      <c r="AE576" s="64"/>
      <c r="AF576" s="64"/>
      <c r="AG576" s="64"/>
    </row>
    <row r="577">
      <c r="A577" s="64"/>
      <c r="B577" s="64"/>
      <c r="C577" s="64"/>
      <c r="D577" s="64"/>
      <c r="E577" s="65"/>
      <c r="F577" s="64"/>
      <c r="G577" s="67"/>
      <c r="H577" s="64"/>
      <c r="I577" s="64"/>
      <c r="J577" s="64"/>
      <c r="K577" s="64"/>
      <c r="L577" s="65"/>
      <c r="M577" s="64"/>
      <c r="N577" s="64"/>
      <c r="O577" s="64"/>
      <c r="P577" s="64"/>
      <c r="Q577" s="64"/>
      <c r="R577" s="64"/>
      <c r="S577" s="64"/>
      <c r="T577" s="65"/>
      <c r="U577" s="64"/>
      <c r="V577" s="64"/>
      <c r="W577" s="64"/>
      <c r="X577" s="64"/>
      <c r="Y577" s="64"/>
      <c r="Z577" s="64"/>
      <c r="AA577" s="64"/>
      <c r="AB577" s="64"/>
      <c r="AC577" s="64"/>
      <c r="AD577" s="64"/>
      <c r="AE577" s="64"/>
      <c r="AF577" s="64"/>
      <c r="AG577" s="64"/>
    </row>
    <row r="578">
      <c r="A578" s="64"/>
      <c r="B578" s="64"/>
      <c r="C578" s="64"/>
      <c r="D578" s="64"/>
      <c r="E578" s="65"/>
      <c r="F578" s="64"/>
      <c r="G578" s="67"/>
      <c r="H578" s="64"/>
      <c r="I578" s="64"/>
      <c r="J578" s="64"/>
      <c r="K578" s="64"/>
      <c r="L578" s="65"/>
      <c r="M578" s="64"/>
      <c r="N578" s="64"/>
      <c r="O578" s="64"/>
      <c r="P578" s="64"/>
      <c r="Q578" s="64"/>
      <c r="R578" s="64"/>
      <c r="S578" s="64"/>
      <c r="T578" s="65"/>
      <c r="U578" s="64"/>
      <c r="V578" s="64"/>
      <c r="W578" s="64"/>
      <c r="X578" s="64"/>
      <c r="Y578" s="64"/>
      <c r="Z578" s="64"/>
      <c r="AA578" s="64"/>
      <c r="AB578" s="64"/>
      <c r="AC578" s="64"/>
      <c r="AD578" s="64"/>
      <c r="AE578" s="64"/>
      <c r="AF578" s="64"/>
      <c r="AG578" s="64"/>
    </row>
    <row r="579">
      <c r="A579" s="64"/>
      <c r="B579" s="64"/>
      <c r="C579" s="64"/>
      <c r="D579" s="64"/>
      <c r="E579" s="65"/>
      <c r="F579" s="64"/>
      <c r="G579" s="67"/>
      <c r="H579" s="64"/>
      <c r="I579" s="64"/>
      <c r="J579" s="64"/>
      <c r="K579" s="64"/>
      <c r="L579" s="65"/>
      <c r="M579" s="64"/>
      <c r="N579" s="64"/>
      <c r="O579" s="64"/>
      <c r="P579" s="64"/>
      <c r="Q579" s="64"/>
      <c r="R579" s="64"/>
      <c r="S579" s="64"/>
      <c r="T579" s="65"/>
      <c r="U579" s="64"/>
      <c r="V579" s="64"/>
      <c r="W579" s="64"/>
      <c r="X579" s="64"/>
      <c r="Y579" s="64"/>
      <c r="Z579" s="64"/>
      <c r="AA579" s="64"/>
      <c r="AB579" s="64"/>
      <c r="AC579" s="64"/>
      <c r="AD579" s="64"/>
      <c r="AE579" s="64"/>
      <c r="AF579" s="64"/>
      <c r="AG579" s="64"/>
    </row>
    <row r="580">
      <c r="A580" s="64"/>
      <c r="B580" s="64"/>
      <c r="C580" s="64"/>
      <c r="D580" s="64"/>
      <c r="E580" s="65"/>
      <c r="F580" s="64"/>
      <c r="G580" s="67"/>
      <c r="H580" s="64"/>
      <c r="I580" s="64"/>
      <c r="J580" s="64"/>
      <c r="K580" s="64"/>
      <c r="L580" s="65"/>
      <c r="M580" s="64"/>
      <c r="N580" s="64"/>
      <c r="O580" s="64"/>
      <c r="P580" s="64"/>
      <c r="Q580" s="64"/>
      <c r="R580" s="64"/>
      <c r="S580" s="64"/>
      <c r="T580" s="65"/>
      <c r="U580" s="64"/>
      <c r="V580" s="64"/>
      <c r="W580" s="64"/>
      <c r="X580" s="64"/>
      <c r="Y580" s="64"/>
      <c r="Z580" s="64"/>
      <c r="AA580" s="64"/>
      <c r="AB580" s="64"/>
      <c r="AC580" s="64"/>
      <c r="AD580" s="64"/>
      <c r="AE580" s="64"/>
      <c r="AF580" s="64"/>
      <c r="AG580" s="64"/>
    </row>
    <row r="581">
      <c r="A581" s="64"/>
      <c r="B581" s="64"/>
      <c r="C581" s="64"/>
      <c r="D581" s="64"/>
      <c r="E581" s="65"/>
      <c r="F581" s="64"/>
      <c r="G581" s="67"/>
      <c r="H581" s="64"/>
      <c r="I581" s="64"/>
      <c r="J581" s="64"/>
      <c r="K581" s="64"/>
      <c r="L581" s="65"/>
      <c r="M581" s="64"/>
      <c r="N581" s="64"/>
      <c r="O581" s="64"/>
      <c r="P581" s="64"/>
      <c r="Q581" s="64"/>
      <c r="R581" s="64"/>
      <c r="S581" s="64"/>
      <c r="T581" s="65"/>
      <c r="U581" s="64"/>
      <c r="V581" s="64"/>
      <c r="W581" s="64"/>
      <c r="X581" s="64"/>
      <c r="Y581" s="64"/>
      <c r="Z581" s="64"/>
      <c r="AA581" s="64"/>
      <c r="AB581" s="64"/>
      <c r="AC581" s="64"/>
      <c r="AD581" s="64"/>
      <c r="AE581" s="64"/>
      <c r="AF581" s="64"/>
      <c r="AG581" s="64"/>
    </row>
    <row r="582">
      <c r="A582" s="64"/>
      <c r="B582" s="64"/>
      <c r="C582" s="64"/>
      <c r="D582" s="64"/>
      <c r="E582" s="65"/>
      <c r="F582" s="64"/>
      <c r="G582" s="67"/>
      <c r="H582" s="64"/>
      <c r="I582" s="64"/>
      <c r="J582" s="64"/>
      <c r="K582" s="64"/>
      <c r="L582" s="65"/>
      <c r="M582" s="64"/>
      <c r="N582" s="64"/>
      <c r="O582" s="64"/>
      <c r="P582" s="64"/>
      <c r="Q582" s="64"/>
      <c r="R582" s="64"/>
      <c r="S582" s="64"/>
      <c r="T582" s="65"/>
      <c r="U582" s="64"/>
      <c r="V582" s="64"/>
      <c r="W582" s="64"/>
      <c r="X582" s="64"/>
      <c r="Y582" s="64"/>
      <c r="Z582" s="64"/>
      <c r="AA582" s="64"/>
      <c r="AB582" s="64"/>
      <c r="AC582" s="64"/>
      <c r="AD582" s="64"/>
      <c r="AE582" s="64"/>
      <c r="AF582" s="64"/>
      <c r="AG582" s="64"/>
    </row>
    <row r="583">
      <c r="A583" s="64"/>
      <c r="B583" s="64"/>
      <c r="C583" s="64"/>
      <c r="D583" s="64"/>
      <c r="E583" s="65"/>
      <c r="F583" s="64"/>
      <c r="G583" s="67"/>
      <c r="H583" s="64"/>
      <c r="I583" s="64"/>
      <c r="J583" s="64"/>
      <c r="K583" s="64"/>
      <c r="L583" s="65"/>
      <c r="M583" s="64"/>
      <c r="N583" s="64"/>
      <c r="O583" s="64"/>
      <c r="P583" s="64"/>
      <c r="Q583" s="64"/>
      <c r="R583" s="64"/>
      <c r="S583" s="64"/>
      <c r="T583" s="65"/>
      <c r="U583" s="64"/>
      <c r="V583" s="64"/>
      <c r="W583" s="64"/>
      <c r="X583" s="64"/>
      <c r="Y583" s="64"/>
      <c r="Z583" s="64"/>
      <c r="AA583" s="64"/>
      <c r="AB583" s="64"/>
      <c r="AC583" s="64"/>
      <c r="AD583" s="64"/>
      <c r="AE583" s="64"/>
      <c r="AF583" s="64"/>
      <c r="AG583" s="64"/>
    </row>
    <row r="584">
      <c r="A584" s="64"/>
      <c r="B584" s="64"/>
      <c r="C584" s="64"/>
      <c r="D584" s="64"/>
      <c r="E584" s="65"/>
      <c r="F584" s="64"/>
      <c r="G584" s="67"/>
      <c r="H584" s="64"/>
      <c r="I584" s="64"/>
      <c r="J584" s="64"/>
      <c r="K584" s="64"/>
      <c r="L584" s="65"/>
      <c r="M584" s="64"/>
      <c r="N584" s="64"/>
      <c r="O584" s="64"/>
      <c r="P584" s="64"/>
      <c r="Q584" s="64"/>
      <c r="R584" s="64"/>
      <c r="S584" s="64"/>
      <c r="T584" s="65"/>
      <c r="U584" s="64"/>
      <c r="V584" s="64"/>
      <c r="W584" s="64"/>
      <c r="X584" s="64"/>
      <c r="Y584" s="64"/>
      <c r="Z584" s="64"/>
      <c r="AA584" s="64"/>
      <c r="AB584" s="64"/>
      <c r="AC584" s="64"/>
      <c r="AD584" s="64"/>
      <c r="AE584" s="64"/>
      <c r="AF584" s="64"/>
      <c r="AG584" s="64"/>
    </row>
    <row r="585">
      <c r="A585" s="64"/>
      <c r="B585" s="64"/>
      <c r="C585" s="64"/>
      <c r="D585" s="64"/>
      <c r="E585" s="65"/>
      <c r="F585" s="64"/>
      <c r="G585" s="67"/>
      <c r="H585" s="64"/>
      <c r="I585" s="64"/>
      <c r="J585" s="64"/>
      <c r="K585" s="64"/>
      <c r="L585" s="65"/>
      <c r="M585" s="64"/>
      <c r="N585" s="64"/>
      <c r="O585" s="64"/>
      <c r="P585" s="64"/>
      <c r="Q585" s="64"/>
      <c r="R585" s="64"/>
      <c r="S585" s="64"/>
      <c r="T585" s="65"/>
      <c r="U585" s="64"/>
      <c r="V585" s="64"/>
      <c r="W585" s="64"/>
      <c r="X585" s="64"/>
      <c r="Y585" s="64"/>
      <c r="Z585" s="64"/>
      <c r="AA585" s="64"/>
      <c r="AB585" s="64"/>
      <c r="AC585" s="64"/>
      <c r="AD585" s="64"/>
      <c r="AE585" s="64"/>
      <c r="AF585" s="64"/>
      <c r="AG585" s="64"/>
    </row>
    <row r="586">
      <c r="A586" s="64"/>
      <c r="B586" s="64"/>
      <c r="C586" s="64"/>
      <c r="D586" s="64"/>
      <c r="E586" s="65"/>
      <c r="F586" s="64"/>
      <c r="G586" s="67"/>
      <c r="H586" s="64"/>
      <c r="I586" s="64"/>
      <c r="J586" s="64"/>
      <c r="K586" s="64"/>
      <c r="L586" s="65"/>
      <c r="M586" s="64"/>
      <c r="N586" s="64"/>
      <c r="O586" s="64"/>
      <c r="P586" s="64"/>
      <c r="Q586" s="64"/>
      <c r="R586" s="64"/>
      <c r="S586" s="64"/>
      <c r="T586" s="65"/>
      <c r="U586" s="64"/>
      <c r="V586" s="64"/>
      <c r="W586" s="64"/>
      <c r="X586" s="64"/>
      <c r="Y586" s="64"/>
      <c r="Z586" s="64"/>
      <c r="AA586" s="64"/>
      <c r="AB586" s="64"/>
      <c r="AC586" s="64"/>
      <c r="AD586" s="64"/>
      <c r="AE586" s="64"/>
      <c r="AF586" s="64"/>
      <c r="AG586" s="64"/>
    </row>
    <row r="587">
      <c r="A587" s="64"/>
      <c r="B587" s="64"/>
      <c r="C587" s="64"/>
      <c r="D587" s="64"/>
      <c r="E587" s="65"/>
      <c r="F587" s="64"/>
      <c r="G587" s="67"/>
      <c r="H587" s="64"/>
      <c r="I587" s="64"/>
      <c r="J587" s="64"/>
      <c r="K587" s="64"/>
      <c r="L587" s="65"/>
      <c r="M587" s="64"/>
      <c r="N587" s="64"/>
      <c r="O587" s="64"/>
      <c r="P587" s="64"/>
      <c r="Q587" s="64"/>
      <c r="R587" s="64"/>
      <c r="S587" s="64"/>
      <c r="T587" s="65"/>
      <c r="U587" s="64"/>
      <c r="V587" s="64"/>
      <c r="W587" s="64"/>
      <c r="X587" s="64"/>
      <c r="Y587" s="64"/>
      <c r="Z587" s="64"/>
      <c r="AA587" s="64"/>
      <c r="AB587" s="64"/>
      <c r="AC587" s="64"/>
      <c r="AD587" s="64"/>
      <c r="AE587" s="64"/>
      <c r="AF587" s="64"/>
      <c r="AG587" s="64"/>
    </row>
    <row r="588">
      <c r="A588" s="64"/>
      <c r="B588" s="64"/>
      <c r="C588" s="64"/>
      <c r="D588" s="64"/>
      <c r="E588" s="65"/>
      <c r="F588" s="64"/>
      <c r="G588" s="67"/>
      <c r="H588" s="64"/>
      <c r="I588" s="64"/>
      <c r="J588" s="64"/>
      <c r="K588" s="64"/>
      <c r="L588" s="65"/>
      <c r="M588" s="64"/>
      <c r="N588" s="64"/>
      <c r="O588" s="64"/>
      <c r="P588" s="64"/>
      <c r="Q588" s="64"/>
      <c r="R588" s="64"/>
      <c r="S588" s="64"/>
      <c r="T588" s="65"/>
      <c r="U588" s="64"/>
      <c r="V588" s="64"/>
      <c r="W588" s="64"/>
      <c r="X588" s="64"/>
      <c r="Y588" s="64"/>
      <c r="Z588" s="64"/>
      <c r="AA588" s="64"/>
      <c r="AB588" s="64"/>
      <c r="AC588" s="64"/>
      <c r="AD588" s="64"/>
      <c r="AE588" s="64"/>
      <c r="AF588" s="64"/>
      <c r="AG588" s="64"/>
    </row>
    <row r="589">
      <c r="A589" s="64"/>
      <c r="B589" s="64"/>
      <c r="C589" s="64"/>
      <c r="D589" s="64"/>
      <c r="E589" s="65"/>
      <c r="F589" s="64"/>
      <c r="G589" s="67"/>
      <c r="H589" s="64"/>
      <c r="I589" s="64"/>
      <c r="J589" s="64"/>
      <c r="K589" s="64"/>
      <c r="L589" s="65"/>
      <c r="M589" s="64"/>
      <c r="N589" s="64"/>
      <c r="O589" s="64"/>
      <c r="P589" s="64"/>
      <c r="Q589" s="64"/>
      <c r="R589" s="64"/>
      <c r="S589" s="64"/>
      <c r="T589" s="65"/>
      <c r="U589" s="64"/>
      <c r="V589" s="64"/>
      <c r="W589" s="64"/>
      <c r="X589" s="64"/>
      <c r="Y589" s="64"/>
      <c r="Z589" s="64"/>
      <c r="AA589" s="64"/>
      <c r="AB589" s="64"/>
      <c r="AC589" s="64"/>
      <c r="AD589" s="64"/>
      <c r="AE589" s="64"/>
      <c r="AF589" s="64"/>
      <c r="AG589" s="64"/>
    </row>
    <row r="590">
      <c r="A590" s="64"/>
      <c r="B590" s="64"/>
      <c r="C590" s="64"/>
      <c r="D590" s="64"/>
      <c r="E590" s="65"/>
      <c r="F590" s="64"/>
      <c r="G590" s="67"/>
      <c r="H590" s="64"/>
      <c r="I590" s="64"/>
      <c r="J590" s="64"/>
      <c r="K590" s="64"/>
      <c r="L590" s="65"/>
      <c r="M590" s="64"/>
      <c r="N590" s="64"/>
      <c r="O590" s="64"/>
      <c r="P590" s="64"/>
      <c r="Q590" s="64"/>
      <c r="R590" s="64"/>
      <c r="S590" s="64"/>
      <c r="T590" s="65"/>
      <c r="U590" s="64"/>
      <c r="V590" s="64"/>
      <c r="W590" s="64"/>
      <c r="X590" s="64"/>
      <c r="Y590" s="64"/>
      <c r="Z590" s="64"/>
      <c r="AA590" s="64"/>
      <c r="AB590" s="64"/>
      <c r="AC590" s="64"/>
      <c r="AD590" s="64"/>
      <c r="AE590" s="64"/>
      <c r="AF590" s="64"/>
      <c r="AG590" s="64"/>
    </row>
    <row r="591">
      <c r="A591" s="64"/>
      <c r="B591" s="64"/>
      <c r="C591" s="64"/>
      <c r="D591" s="64"/>
      <c r="E591" s="65"/>
      <c r="F591" s="64"/>
      <c r="G591" s="67"/>
      <c r="H591" s="64"/>
      <c r="I591" s="64"/>
      <c r="J591" s="64"/>
      <c r="K591" s="64"/>
      <c r="L591" s="65"/>
      <c r="M591" s="64"/>
      <c r="N591" s="64"/>
      <c r="O591" s="64"/>
      <c r="P591" s="64"/>
      <c r="Q591" s="64"/>
      <c r="R591" s="64"/>
      <c r="S591" s="64"/>
      <c r="T591" s="65"/>
      <c r="U591" s="64"/>
      <c r="V591" s="64"/>
      <c r="W591" s="64"/>
      <c r="X591" s="64"/>
      <c r="Y591" s="64"/>
      <c r="Z591" s="64"/>
      <c r="AA591" s="64"/>
      <c r="AB591" s="64"/>
      <c r="AC591" s="64"/>
      <c r="AD591" s="64"/>
      <c r="AE591" s="64"/>
      <c r="AF591" s="64"/>
      <c r="AG591" s="64"/>
    </row>
    <row r="592">
      <c r="A592" s="64"/>
      <c r="B592" s="64"/>
      <c r="C592" s="64"/>
      <c r="D592" s="64"/>
      <c r="E592" s="65"/>
      <c r="F592" s="64"/>
      <c r="G592" s="67"/>
      <c r="H592" s="64"/>
      <c r="I592" s="64"/>
      <c r="J592" s="64"/>
      <c r="K592" s="64"/>
      <c r="L592" s="65"/>
      <c r="M592" s="64"/>
      <c r="N592" s="64"/>
      <c r="O592" s="64"/>
      <c r="P592" s="64"/>
      <c r="Q592" s="64"/>
      <c r="R592" s="64"/>
      <c r="S592" s="64"/>
      <c r="T592" s="65"/>
      <c r="U592" s="64"/>
      <c r="V592" s="64"/>
      <c r="W592" s="64"/>
      <c r="X592" s="64"/>
      <c r="Y592" s="64"/>
      <c r="Z592" s="64"/>
      <c r="AA592" s="64"/>
      <c r="AB592" s="64"/>
      <c r="AC592" s="64"/>
      <c r="AD592" s="64"/>
      <c r="AE592" s="64"/>
      <c r="AF592" s="64"/>
      <c r="AG592" s="64"/>
    </row>
    <row r="593">
      <c r="A593" s="64"/>
      <c r="B593" s="64"/>
      <c r="C593" s="64"/>
      <c r="D593" s="64"/>
      <c r="E593" s="65"/>
      <c r="F593" s="64"/>
      <c r="G593" s="67"/>
      <c r="H593" s="64"/>
      <c r="I593" s="64"/>
      <c r="J593" s="64"/>
      <c r="K593" s="64"/>
      <c r="L593" s="65"/>
      <c r="M593" s="64"/>
      <c r="N593" s="64"/>
      <c r="O593" s="64"/>
      <c r="P593" s="64"/>
      <c r="Q593" s="64"/>
      <c r="R593" s="64"/>
      <c r="S593" s="64"/>
      <c r="T593" s="65"/>
      <c r="U593" s="64"/>
      <c r="V593" s="64"/>
      <c r="W593" s="64"/>
      <c r="X593" s="64"/>
      <c r="Y593" s="64"/>
      <c r="Z593" s="64"/>
      <c r="AA593" s="64"/>
      <c r="AB593" s="64"/>
      <c r="AC593" s="64"/>
      <c r="AD593" s="64"/>
      <c r="AE593" s="64"/>
      <c r="AF593" s="64"/>
      <c r="AG593" s="64"/>
    </row>
    <row r="594">
      <c r="A594" s="64"/>
      <c r="B594" s="64"/>
      <c r="C594" s="64"/>
      <c r="D594" s="64"/>
      <c r="E594" s="65"/>
      <c r="F594" s="64"/>
      <c r="G594" s="67"/>
      <c r="H594" s="64"/>
      <c r="I594" s="64"/>
      <c r="J594" s="64"/>
      <c r="K594" s="64"/>
      <c r="L594" s="65"/>
      <c r="M594" s="64"/>
      <c r="N594" s="64"/>
      <c r="O594" s="64"/>
      <c r="P594" s="64"/>
      <c r="Q594" s="64"/>
      <c r="R594" s="64"/>
      <c r="S594" s="64"/>
      <c r="T594" s="65"/>
      <c r="U594" s="64"/>
      <c r="V594" s="64"/>
      <c r="W594" s="64"/>
      <c r="X594" s="64"/>
      <c r="Y594" s="64"/>
      <c r="Z594" s="64"/>
      <c r="AA594" s="64"/>
      <c r="AB594" s="64"/>
      <c r="AC594" s="64"/>
      <c r="AD594" s="64"/>
      <c r="AE594" s="64"/>
      <c r="AF594" s="64"/>
      <c r="AG594" s="64"/>
    </row>
    <row r="595">
      <c r="A595" s="64"/>
      <c r="B595" s="64"/>
      <c r="C595" s="64"/>
      <c r="D595" s="64"/>
      <c r="E595" s="65"/>
      <c r="F595" s="64"/>
      <c r="G595" s="67"/>
      <c r="H595" s="64"/>
      <c r="I595" s="64"/>
      <c r="J595" s="64"/>
      <c r="K595" s="64"/>
      <c r="L595" s="65"/>
      <c r="M595" s="64"/>
      <c r="N595" s="64"/>
      <c r="O595" s="64"/>
      <c r="P595" s="64"/>
      <c r="Q595" s="64"/>
      <c r="R595" s="64"/>
      <c r="S595" s="64"/>
      <c r="T595" s="65"/>
      <c r="U595" s="64"/>
      <c r="V595" s="64"/>
      <c r="W595" s="64"/>
      <c r="X595" s="64"/>
      <c r="Y595" s="64"/>
      <c r="Z595" s="64"/>
      <c r="AA595" s="64"/>
      <c r="AB595" s="64"/>
      <c r="AC595" s="64"/>
      <c r="AD595" s="64"/>
      <c r="AE595" s="64"/>
      <c r="AF595" s="64"/>
      <c r="AG595" s="64"/>
    </row>
    <row r="596">
      <c r="A596" s="64"/>
      <c r="B596" s="64"/>
      <c r="C596" s="64"/>
      <c r="D596" s="64"/>
      <c r="E596" s="65"/>
      <c r="F596" s="64"/>
      <c r="G596" s="67"/>
      <c r="H596" s="64"/>
      <c r="I596" s="64"/>
      <c r="J596" s="64"/>
      <c r="K596" s="64"/>
      <c r="L596" s="65"/>
      <c r="M596" s="64"/>
      <c r="N596" s="64"/>
      <c r="O596" s="64"/>
      <c r="P596" s="64"/>
      <c r="Q596" s="64"/>
      <c r="R596" s="64"/>
      <c r="S596" s="64"/>
      <c r="T596" s="65"/>
      <c r="U596" s="64"/>
      <c r="V596" s="64"/>
      <c r="W596" s="64"/>
      <c r="X596" s="64"/>
      <c r="Y596" s="64"/>
      <c r="Z596" s="64"/>
      <c r="AA596" s="64"/>
      <c r="AB596" s="64"/>
      <c r="AC596" s="64"/>
      <c r="AD596" s="64"/>
      <c r="AE596" s="64"/>
      <c r="AF596" s="64"/>
      <c r="AG596" s="64"/>
    </row>
    <row r="597">
      <c r="A597" s="64"/>
      <c r="B597" s="64"/>
      <c r="C597" s="64"/>
      <c r="D597" s="64"/>
      <c r="E597" s="65"/>
      <c r="F597" s="64"/>
      <c r="G597" s="67"/>
      <c r="H597" s="64"/>
      <c r="I597" s="64"/>
      <c r="J597" s="64"/>
      <c r="K597" s="64"/>
      <c r="L597" s="65"/>
      <c r="M597" s="64"/>
      <c r="N597" s="64"/>
      <c r="O597" s="64"/>
      <c r="P597" s="64"/>
      <c r="Q597" s="64"/>
      <c r="R597" s="64"/>
      <c r="S597" s="64"/>
      <c r="T597" s="65"/>
      <c r="U597" s="64"/>
      <c r="V597" s="64"/>
      <c r="W597" s="64"/>
      <c r="X597" s="64"/>
      <c r="Y597" s="64"/>
      <c r="Z597" s="64"/>
      <c r="AA597" s="64"/>
      <c r="AB597" s="64"/>
      <c r="AC597" s="64"/>
      <c r="AD597" s="64"/>
      <c r="AE597" s="64"/>
      <c r="AF597" s="64"/>
      <c r="AG597" s="64"/>
    </row>
    <row r="598">
      <c r="A598" s="64"/>
      <c r="B598" s="64"/>
      <c r="C598" s="64"/>
      <c r="D598" s="64"/>
      <c r="E598" s="65"/>
      <c r="F598" s="64"/>
      <c r="G598" s="67"/>
      <c r="H598" s="64"/>
      <c r="I598" s="64"/>
      <c r="J598" s="64"/>
      <c r="K598" s="64"/>
      <c r="L598" s="65"/>
      <c r="M598" s="64"/>
      <c r="N598" s="64"/>
      <c r="O598" s="64"/>
      <c r="P598" s="64"/>
      <c r="Q598" s="64"/>
      <c r="R598" s="64"/>
      <c r="S598" s="64"/>
      <c r="T598" s="65"/>
      <c r="U598" s="64"/>
      <c r="V598" s="64"/>
      <c r="W598" s="64"/>
      <c r="X598" s="64"/>
      <c r="Y598" s="64"/>
      <c r="Z598" s="64"/>
      <c r="AA598" s="64"/>
      <c r="AB598" s="64"/>
      <c r="AC598" s="64"/>
      <c r="AD598" s="64"/>
      <c r="AE598" s="64"/>
      <c r="AF598" s="64"/>
      <c r="AG598" s="64"/>
    </row>
    <row r="599">
      <c r="A599" s="64"/>
      <c r="B599" s="64"/>
      <c r="C599" s="64"/>
      <c r="D599" s="64"/>
      <c r="E599" s="65"/>
      <c r="F599" s="64"/>
      <c r="G599" s="67"/>
      <c r="H599" s="64"/>
      <c r="I599" s="64"/>
      <c r="J599" s="64"/>
      <c r="K599" s="64"/>
      <c r="L599" s="65"/>
      <c r="M599" s="64"/>
      <c r="N599" s="64"/>
      <c r="O599" s="64"/>
      <c r="P599" s="64"/>
      <c r="Q599" s="64"/>
      <c r="R599" s="64"/>
      <c r="S599" s="64"/>
      <c r="T599" s="65"/>
      <c r="U599" s="64"/>
      <c r="V599" s="64"/>
      <c r="W599" s="64"/>
      <c r="X599" s="64"/>
      <c r="Y599" s="64"/>
      <c r="Z599" s="64"/>
      <c r="AA599" s="64"/>
      <c r="AB599" s="64"/>
      <c r="AC599" s="64"/>
      <c r="AD599" s="64"/>
      <c r="AE599" s="64"/>
      <c r="AF599" s="64"/>
      <c r="AG599" s="64"/>
    </row>
    <row r="600">
      <c r="A600" s="64"/>
      <c r="B600" s="64"/>
      <c r="C600" s="64"/>
      <c r="D600" s="64"/>
      <c r="E600" s="65"/>
      <c r="F600" s="64"/>
      <c r="G600" s="67"/>
      <c r="H600" s="64"/>
      <c r="I600" s="64"/>
      <c r="J600" s="64"/>
      <c r="K600" s="64"/>
      <c r="L600" s="65"/>
      <c r="M600" s="64"/>
      <c r="N600" s="64"/>
      <c r="O600" s="64"/>
      <c r="P600" s="64"/>
      <c r="Q600" s="64"/>
      <c r="R600" s="64"/>
      <c r="S600" s="64"/>
      <c r="T600" s="65"/>
      <c r="U600" s="64"/>
      <c r="V600" s="64"/>
      <c r="W600" s="64"/>
      <c r="X600" s="64"/>
      <c r="Y600" s="64"/>
      <c r="Z600" s="64"/>
      <c r="AA600" s="64"/>
      <c r="AB600" s="64"/>
      <c r="AC600" s="64"/>
      <c r="AD600" s="64"/>
      <c r="AE600" s="64"/>
      <c r="AF600" s="64"/>
      <c r="AG600" s="64"/>
    </row>
    <row r="601">
      <c r="A601" s="64"/>
      <c r="B601" s="64"/>
      <c r="C601" s="64"/>
      <c r="D601" s="64"/>
      <c r="E601" s="65"/>
      <c r="F601" s="64"/>
      <c r="G601" s="67"/>
      <c r="H601" s="64"/>
      <c r="I601" s="64"/>
      <c r="J601" s="64"/>
      <c r="K601" s="64"/>
      <c r="L601" s="65"/>
      <c r="M601" s="64"/>
      <c r="N601" s="64"/>
      <c r="O601" s="64"/>
      <c r="P601" s="64"/>
      <c r="Q601" s="64"/>
      <c r="R601" s="64"/>
      <c r="S601" s="64"/>
      <c r="T601" s="65"/>
      <c r="U601" s="64"/>
      <c r="V601" s="64"/>
      <c r="W601" s="64"/>
      <c r="X601" s="64"/>
      <c r="Y601" s="64"/>
      <c r="Z601" s="64"/>
      <c r="AA601" s="64"/>
      <c r="AB601" s="64"/>
      <c r="AC601" s="64"/>
      <c r="AD601" s="64"/>
      <c r="AE601" s="64"/>
      <c r="AF601" s="64"/>
      <c r="AG601" s="64"/>
    </row>
    <row r="602">
      <c r="A602" s="64"/>
      <c r="B602" s="64"/>
      <c r="C602" s="64"/>
      <c r="D602" s="64"/>
      <c r="E602" s="65"/>
      <c r="F602" s="64"/>
      <c r="G602" s="67"/>
      <c r="H602" s="64"/>
      <c r="I602" s="64"/>
      <c r="J602" s="64"/>
      <c r="K602" s="64"/>
      <c r="L602" s="65"/>
      <c r="M602" s="64"/>
      <c r="N602" s="64"/>
      <c r="O602" s="64"/>
      <c r="P602" s="64"/>
      <c r="Q602" s="64"/>
      <c r="R602" s="64"/>
      <c r="S602" s="64"/>
      <c r="T602" s="65"/>
      <c r="U602" s="64"/>
      <c r="V602" s="64"/>
      <c r="W602" s="64"/>
      <c r="X602" s="64"/>
      <c r="Y602" s="64"/>
      <c r="Z602" s="64"/>
      <c r="AA602" s="64"/>
      <c r="AB602" s="64"/>
      <c r="AC602" s="64"/>
      <c r="AD602" s="64"/>
      <c r="AE602" s="64"/>
      <c r="AF602" s="64"/>
      <c r="AG602" s="64"/>
    </row>
    <row r="603">
      <c r="A603" s="64"/>
      <c r="B603" s="64"/>
      <c r="C603" s="64"/>
      <c r="D603" s="64"/>
      <c r="E603" s="65"/>
      <c r="F603" s="64"/>
      <c r="G603" s="67"/>
      <c r="H603" s="64"/>
      <c r="I603" s="64"/>
      <c r="J603" s="64"/>
      <c r="K603" s="64"/>
      <c r="L603" s="65"/>
      <c r="M603" s="64"/>
      <c r="N603" s="64"/>
      <c r="O603" s="64"/>
      <c r="P603" s="64"/>
      <c r="Q603" s="64"/>
      <c r="R603" s="64"/>
      <c r="S603" s="64"/>
      <c r="T603" s="65"/>
      <c r="U603" s="64"/>
      <c r="V603" s="64"/>
      <c r="W603" s="64"/>
      <c r="X603" s="64"/>
      <c r="Y603" s="64"/>
      <c r="Z603" s="64"/>
      <c r="AA603" s="64"/>
      <c r="AB603" s="64"/>
      <c r="AC603" s="64"/>
      <c r="AD603" s="64"/>
      <c r="AE603" s="64"/>
      <c r="AF603" s="64"/>
      <c r="AG603" s="64"/>
    </row>
    <row r="604">
      <c r="A604" s="64"/>
      <c r="B604" s="64"/>
      <c r="C604" s="64"/>
      <c r="D604" s="64"/>
      <c r="E604" s="65"/>
      <c r="F604" s="64"/>
      <c r="G604" s="67"/>
      <c r="H604" s="64"/>
      <c r="I604" s="64"/>
      <c r="J604" s="64"/>
      <c r="K604" s="64"/>
      <c r="L604" s="65"/>
      <c r="M604" s="64"/>
      <c r="N604" s="64"/>
      <c r="O604" s="64"/>
      <c r="P604" s="64"/>
      <c r="Q604" s="64"/>
      <c r="R604" s="64"/>
      <c r="S604" s="64"/>
      <c r="T604" s="65"/>
      <c r="U604" s="64"/>
      <c r="V604" s="64"/>
      <c r="W604" s="64"/>
      <c r="X604" s="64"/>
      <c r="Y604" s="64"/>
      <c r="Z604" s="64"/>
      <c r="AA604" s="64"/>
      <c r="AB604" s="64"/>
      <c r="AC604" s="64"/>
      <c r="AD604" s="64"/>
      <c r="AE604" s="64"/>
      <c r="AF604" s="64"/>
      <c r="AG604" s="64"/>
    </row>
    <row r="605">
      <c r="A605" s="64"/>
      <c r="B605" s="64"/>
      <c r="C605" s="64"/>
      <c r="D605" s="64"/>
      <c r="E605" s="65"/>
      <c r="F605" s="64"/>
      <c r="G605" s="67"/>
      <c r="H605" s="64"/>
      <c r="I605" s="64"/>
      <c r="J605" s="64"/>
      <c r="K605" s="64"/>
      <c r="L605" s="65"/>
      <c r="M605" s="64"/>
      <c r="N605" s="64"/>
      <c r="O605" s="64"/>
      <c r="P605" s="64"/>
      <c r="Q605" s="64"/>
      <c r="R605" s="64"/>
      <c r="S605" s="64"/>
      <c r="T605" s="65"/>
      <c r="U605" s="64"/>
      <c r="V605" s="64"/>
      <c r="W605" s="64"/>
      <c r="X605" s="64"/>
      <c r="Y605" s="64"/>
      <c r="Z605" s="64"/>
      <c r="AA605" s="64"/>
      <c r="AB605" s="64"/>
      <c r="AC605" s="64"/>
      <c r="AD605" s="64"/>
      <c r="AE605" s="64"/>
      <c r="AF605" s="64"/>
      <c r="AG605" s="64"/>
    </row>
    <row r="606">
      <c r="A606" s="64"/>
      <c r="B606" s="64"/>
      <c r="C606" s="64"/>
      <c r="D606" s="64"/>
      <c r="E606" s="65"/>
      <c r="F606" s="64"/>
      <c r="G606" s="67"/>
      <c r="H606" s="64"/>
      <c r="I606" s="64"/>
      <c r="J606" s="64"/>
      <c r="K606" s="64"/>
      <c r="L606" s="65"/>
      <c r="M606" s="64"/>
      <c r="N606" s="64"/>
      <c r="O606" s="64"/>
      <c r="P606" s="64"/>
      <c r="Q606" s="64"/>
      <c r="R606" s="64"/>
      <c r="S606" s="64"/>
      <c r="T606" s="65"/>
      <c r="U606" s="64"/>
      <c r="V606" s="64"/>
      <c r="W606" s="64"/>
      <c r="X606" s="64"/>
      <c r="Y606" s="64"/>
      <c r="Z606" s="64"/>
      <c r="AA606" s="64"/>
      <c r="AB606" s="64"/>
      <c r="AC606" s="64"/>
      <c r="AD606" s="64"/>
      <c r="AE606" s="64"/>
      <c r="AF606" s="64"/>
      <c r="AG606" s="64"/>
    </row>
    <row r="607">
      <c r="A607" s="64"/>
      <c r="B607" s="64"/>
      <c r="C607" s="64"/>
      <c r="D607" s="64"/>
      <c r="E607" s="65"/>
      <c r="F607" s="64"/>
      <c r="G607" s="67"/>
      <c r="H607" s="64"/>
      <c r="I607" s="64"/>
      <c r="J607" s="64"/>
      <c r="K607" s="64"/>
      <c r="L607" s="65"/>
      <c r="M607" s="64"/>
      <c r="N607" s="64"/>
      <c r="O607" s="64"/>
      <c r="P607" s="64"/>
      <c r="Q607" s="64"/>
      <c r="R607" s="64"/>
      <c r="S607" s="64"/>
      <c r="T607" s="65"/>
      <c r="U607" s="64"/>
      <c r="V607" s="64"/>
      <c r="W607" s="64"/>
      <c r="X607" s="64"/>
      <c r="Y607" s="64"/>
      <c r="Z607" s="64"/>
      <c r="AA607" s="64"/>
      <c r="AB607" s="64"/>
      <c r="AC607" s="64"/>
      <c r="AD607" s="64"/>
      <c r="AE607" s="64"/>
      <c r="AF607" s="64"/>
      <c r="AG607" s="64"/>
    </row>
    <row r="608">
      <c r="A608" s="64"/>
      <c r="B608" s="64"/>
      <c r="C608" s="64"/>
      <c r="D608" s="64"/>
      <c r="E608" s="65"/>
      <c r="F608" s="64"/>
      <c r="G608" s="67"/>
      <c r="H608" s="64"/>
      <c r="I608" s="64"/>
      <c r="J608" s="64"/>
      <c r="K608" s="64"/>
      <c r="L608" s="65"/>
      <c r="M608" s="64"/>
      <c r="N608" s="64"/>
      <c r="O608" s="64"/>
      <c r="P608" s="64"/>
      <c r="Q608" s="64"/>
      <c r="R608" s="64"/>
      <c r="S608" s="64"/>
      <c r="T608" s="65"/>
      <c r="U608" s="64"/>
      <c r="V608" s="64"/>
      <c r="W608" s="64"/>
      <c r="X608" s="64"/>
      <c r="Y608" s="64"/>
      <c r="Z608" s="64"/>
      <c r="AA608" s="64"/>
      <c r="AB608" s="64"/>
      <c r="AC608" s="64"/>
      <c r="AD608" s="64"/>
      <c r="AE608" s="64"/>
      <c r="AF608" s="64"/>
      <c r="AG608" s="64"/>
    </row>
    <row r="609">
      <c r="A609" s="64"/>
      <c r="B609" s="64"/>
      <c r="C609" s="64"/>
      <c r="D609" s="64"/>
      <c r="E609" s="65"/>
      <c r="F609" s="64"/>
      <c r="G609" s="67"/>
      <c r="H609" s="64"/>
      <c r="I609" s="64"/>
      <c r="J609" s="64"/>
      <c r="K609" s="64"/>
      <c r="L609" s="65"/>
      <c r="M609" s="64"/>
      <c r="N609" s="64"/>
      <c r="O609" s="64"/>
      <c r="P609" s="64"/>
      <c r="Q609" s="64"/>
      <c r="R609" s="64"/>
      <c r="S609" s="64"/>
      <c r="T609" s="65"/>
      <c r="U609" s="64"/>
      <c r="V609" s="64"/>
      <c r="W609" s="64"/>
      <c r="X609" s="64"/>
      <c r="Y609" s="64"/>
      <c r="Z609" s="64"/>
      <c r="AA609" s="64"/>
      <c r="AB609" s="64"/>
      <c r="AC609" s="64"/>
      <c r="AD609" s="64"/>
      <c r="AE609" s="64"/>
      <c r="AF609" s="64"/>
      <c r="AG609" s="64"/>
    </row>
    <row r="610">
      <c r="A610" s="64"/>
      <c r="B610" s="64"/>
      <c r="C610" s="64"/>
      <c r="D610" s="64"/>
      <c r="E610" s="65"/>
      <c r="F610" s="64"/>
      <c r="G610" s="67"/>
      <c r="H610" s="64"/>
      <c r="I610" s="64"/>
      <c r="J610" s="64"/>
      <c r="K610" s="64"/>
      <c r="L610" s="65"/>
      <c r="M610" s="64"/>
      <c r="N610" s="64"/>
      <c r="O610" s="64"/>
      <c r="P610" s="64"/>
      <c r="Q610" s="64"/>
      <c r="R610" s="64"/>
      <c r="S610" s="64"/>
      <c r="T610" s="65"/>
      <c r="U610" s="64"/>
      <c r="V610" s="64"/>
      <c r="W610" s="64"/>
      <c r="X610" s="64"/>
      <c r="Y610" s="64"/>
      <c r="Z610" s="64"/>
      <c r="AA610" s="64"/>
      <c r="AB610" s="64"/>
      <c r="AC610" s="64"/>
      <c r="AD610" s="64"/>
      <c r="AE610" s="64"/>
      <c r="AF610" s="64"/>
      <c r="AG610" s="64"/>
    </row>
    <row r="611">
      <c r="A611" s="64"/>
      <c r="B611" s="64"/>
      <c r="C611" s="64"/>
      <c r="D611" s="64"/>
      <c r="E611" s="65"/>
      <c r="F611" s="64"/>
      <c r="G611" s="67"/>
      <c r="H611" s="64"/>
      <c r="I611" s="64"/>
      <c r="J611" s="64"/>
      <c r="K611" s="64"/>
      <c r="L611" s="65"/>
      <c r="M611" s="64"/>
      <c r="N611" s="64"/>
      <c r="O611" s="64"/>
      <c r="P611" s="64"/>
      <c r="Q611" s="64"/>
      <c r="R611" s="64"/>
      <c r="S611" s="64"/>
      <c r="T611" s="65"/>
      <c r="U611" s="64"/>
      <c r="V611" s="64"/>
      <c r="W611" s="64"/>
      <c r="X611" s="64"/>
      <c r="Y611" s="64"/>
      <c r="Z611" s="64"/>
      <c r="AA611" s="64"/>
      <c r="AB611" s="64"/>
      <c r="AC611" s="64"/>
      <c r="AD611" s="64"/>
      <c r="AE611" s="64"/>
      <c r="AF611" s="64"/>
      <c r="AG611" s="64"/>
    </row>
    <row r="612">
      <c r="A612" s="64"/>
      <c r="B612" s="64"/>
      <c r="C612" s="64"/>
      <c r="D612" s="64"/>
      <c r="E612" s="65"/>
      <c r="F612" s="64"/>
      <c r="G612" s="67"/>
      <c r="H612" s="64"/>
      <c r="I612" s="64"/>
      <c r="J612" s="64"/>
      <c r="K612" s="64"/>
      <c r="L612" s="65"/>
      <c r="M612" s="64"/>
      <c r="N612" s="64"/>
      <c r="O612" s="64"/>
      <c r="P612" s="64"/>
      <c r="Q612" s="64"/>
      <c r="R612" s="64"/>
      <c r="S612" s="64"/>
      <c r="T612" s="65"/>
      <c r="U612" s="64"/>
      <c r="V612" s="64"/>
      <c r="W612" s="64"/>
      <c r="X612" s="64"/>
      <c r="Y612" s="64"/>
      <c r="Z612" s="64"/>
      <c r="AA612" s="64"/>
      <c r="AB612" s="64"/>
      <c r="AC612" s="64"/>
      <c r="AD612" s="64"/>
      <c r="AE612" s="64"/>
      <c r="AF612" s="64"/>
      <c r="AG612" s="64"/>
    </row>
    <row r="613">
      <c r="A613" s="64"/>
      <c r="B613" s="64"/>
      <c r="C613" s="64"/>
      <c r="D613" s="64"/>
      <c r="E613" s="65"/>
      <c r="F613" s="64"/>
      <c r="G613" s="67"/>
      <c r="H613" s="64"/>
      <c r="I613" s="64"/>
      <c r="J613" s="64"/>
      <c r="K613" s="64"/>
      <c r="L613" s="65"/>
      <c r="M613" s="64"/>
      <c r="N613" s="64"/>
      <c r="O613" s="64"/>
      <c r="P613" s="64"/>
      <c r="Q613" s="64"/>
      <c r="R613" s="64"/>
      <c r="S613" s="64"/>
      <c r="T613" s="65"/>
      <c r="U613" s="64"/>
      <c r="V613" s="64"/>
      <c r="W613" s="64"/>
      <c r="X613" s="64"/>
      <c r="Y613" s="64"/>
      <c r="Z613" s="64"/>
      <c r="AA613" s="64"/>
      <c r="AB613" s="64"/>
      <c r="AC613" s="64"/>
      <c r="AD613" s="64"/>
      <c r="AE613" s="64"/>
      <c r="AF613" s="64"/>
      <c r="AG613" s="64"/>
    </row>
    <row r="614">
      <c r="A614" s="64"/>
      <c r="B614" s="64"/>
      <c r="C614" s="64"/>
      <c r="D614" s="64"/>
      <c r="E614" s="65"/>
      <c r="F614" s="64"/>
      <c r="G614" s="67"/>
      <c r="H614" s="64"/>
      <c r="I614" s="64"/>
      <c r="J614" s="64"/>
      <c r="K614" s="64"/>
      <c r="L614" s="65"/>
      <c r="M614" s="64"/>
      <c r="N614" s="64"/>
      <c r="O614" s="64"/>
      <c r="P614" s="64"/>
      <c r="Q614" s="64"/>
      <c r="R614" s="64"/>
      <c r="S614" s="64"/>
      <c r="T614" s="65"/>
      <c r="U614" s="64"/>
      <c r="V614" s="64"/>
      <c r="W614" s="64"/>
      <c r="X614" s="64"/>
      <c r="Y614" s="64"/>
      <c r="Z614" s="64"/>
      <c r="AA614" s="64"/>
      <c r="AB614" s="64"/>
      <c r="AC614" s="64"/>
      <c r="AD614" s="64"/>
      <c r="AE614" s="64"/>
      <c r="AF614" s="64"/>
      <c r="AG614" s="64"/>
    </row>
    <row r="615">
      <c r="A615" s="64"/>
      <c r="B615" s="64"/>
      <c r="C615" s="64"/>
      <c r="D615" s="64"/>
      <c r="E615" s="65"/>
      <c r="F615" s="64"/>
      <c r="G615" s="67"/>
      <c r="H615" s="64"/>
      <c r="I615" s="64"/>
      <c r="J615" s="64"/>
      <c r="K615" s="64"/>
      <c r="L615" s="65"/>
      <c r="M615" s="64"/>
      <c r="N615" s="64"/>
      <c r="O615" s="64"/>
      <c r="P615" s="64"/>
      <c r="Q615" s="64"/>
      <c r="R615" s="64"/>
      <c r="S615" s="64"/>
      <c r="T615" s="65"/>
      <c r="U615" s="64"/>
      <c r="V615" s="64"/>
      <c r="W615" s="64"/>
      <c r="X615" s="64"/>
      <c r="Y615" s="64"/>
      <c r="Z615" s="64"/>
      <c r="AA615" s="64"/>
      <c r="AB615" s="64"/>
      <c r="AC615" s="64"/>
      <c r="AD615" s="64"/>
      <c r="AE615" s="64"/>
      <c r="AF615" s="64"/>
      <c r="AG615" s="64"/>
    </row>
    <row r="616">
      <c r="A616" s="64"/>
      <c r="B616" s="64"/>
      <c r="C616" s="64"/>
      <c r="D616" s="64"/>
      <c r="E616" s="65"/>
      <c r="F616" s="64"/>
      <c r="G616" s="67"/>
      <c r="H616" s="64"/>
      <c r="I616" s="64"/>
      <c r="J616" s="64"/>
      <c r="K616" s="64"/>
      <c r="L616" s="65"/>
      <c r="M616" s="64"/>
      <c r="N616" s="64"/>
      <c r="O616" s="64"/>
      <c r="P616" s="64"/>
      <c r="Q616" s="64"/>
      <c r="R616" s="64"/>
      <c r="S616" s="64"/>
      <c r="T616" s="65"/>
      <c r="U616" s="64"/>
      <c r="V616" s="64"/>
      <c r="W616" s="64"/>
      <c r="X616" s="64"/>
      <c r="Y616" s="64"/>
      <c r="Z616" s="64"/>
      <c r="AA616" s="64"/>
      <c r="AB616" s="64"/>
      <c r="AC616" s="64"/>
      <c r="AD616" s="64"/>
      <c r="AE616" s="64"/>
      <c r="AF616" s="64"/>
      <c r="AG616" s="64"/>
    </row>
    <row r="617">
      <c r="A617" s="64"/>
      <c r="B617" s="64"/>
      <c r="C617" s="64"/>
      <c r="D617" s="64"/>
      <c r="E617" s="65"/>
      <c r="F617" s="64"/>
      <c r="G617" s="67"/>
      <c r="H617" s="64"/>
      <c r="I617" s="64"/>
      <c r="J617" s="64"/>
      <c r="K617" s="64"/>
      <c r="L617" s="65"/>
      <c r="M617" s="64"/>
      <c r="N617" s="64"/>
      <c r="O617" s="64"/>
      <c r="P617" s="64"/>
      <c r="Q617" s="64"/>
      <c r="R617" s="64"/>
      <c r="S617" s="64"/>
      <c r="T617" s="65"/>
      <c r="U617" s="64"/>
      <c r="V617" s="64"/>
      <c r="W617" s="64"/>
      <c r="X617" s="64"/>
      <c r="Y617" s="64"/>
      <c r="Z617" s="64"/>
      <c r="AA617" s="64"/>
      <c r="AB617" s="64"/>
      <c r="AC617" s="64"/>
      <c r="AD617" s="64"/>
      <c r="AE617" s="64"/>
      <c r="AF617" s="64"/>
      <c r="AG617" s="64"/>
    </row>
    <row r="618">
      <c r="A618" s="64"/>
      <c r="B618" s="64"/>
      <c r="C618" s="64"/>
      <c r="D618" s="64"/>
      <c r="E618" s="65"/>
      <c r="F618" s="64"/>
      <c r="G618" s="67"/>
      <c r="H618" s="64"/>
      <c r="I618" s="64"/>
      <c r="J618" s="64"/>
      <c r="K618" s="64"/>
      <c r="L618" s="65"/>
      <c r="M618" s="64"/>
      <c r="N618" s="64"/>
      <c r="O618" s="64"/>
      <c r="P618" s="64"/>
      <c r="Q618" s="64"/>
      <c r="R618" s="64"/>
      <c r="S618" s="64"/>
      <c r="T618" s="65"/>
      <c r="U618" s="64"/>
      <c r="V618" s="64"/>
      <c r="W618" s="64"/>
      <c r="X618" s="64"/>
      <c r="Y618" s="64"/>
      <c r="Z618" s="64"/>
      <c r="AA618" s="64"/>
      <c r="AB618" s="64"/>
      <c r="AC618" s="64"/>
      <c r="AD618" s="64"/>
      <c r="AE618" s="64"/>
      <c r="AF618" s="64"/>
      <c r="AG618" s="64"/>
    </row>
    <row r="619">
      <c r="A619" s="64"/>
      <c r="B619" s="64"/>
      <c r="C619" s="64"/>
      <c r="D619" s="64"/>
      <c r="E619" s="65"/>
      <c r="F619" s="64"/>
      <c r="G619" s="67"/>
      <c r="H619" s="64"/>
      <c r="I619" s="64"/>
      <c r="J619" s="64"/>
      <c r="K619" s="64"/>
      <c r="L619" s="65"/>
      <c r="M619" s="64"/>
      <c r="N619" s="64"/>
      <c r="O619" s="64"/>
      <c r="P619" s="64"/>
      <c r="Q619" s="64"/>
      <c r="R619" s="64"/>
      <c r="S619" s="64"/>
      <c r="T619" s="65"/>
      <c r="U619" s="64"/>
      <c r="V619" s="64"/>
      <c r="W619" s="64"/>
      <c r="X619" s="64"/>
      <c r="Y619" s="64"/>
      <c r="Z619" s="64"/>
      <c r="AA619" s="64"/>
      <c r="AB619" s="64"/>
      <c r="AC619" s="64"/>
      <c r="AD619" s="64"/>
      <c r="AE619" s="64"/>
      <c r="AF619" s="64"/>
      <c r="AG619" s="64"/>
    </row>
    <row r="620">
      <c r="A620" s="64"/>
      <c r="B620" s="64"/>
      <c r="C620" s="64"/>
      <c r="D620" s="64"/>
      <c r="E620" s="65"/>
      <c r="F620" s="64"/>
      <c r="G620" s="67"/>
      <c r="H620" s="64"/>
      <c r="I620" s="64"/>
      <c r="J620" s="64"/>
      <c r="K620" s="64"/>
      <c r="L620" s="65"/>
      <c r="M620" s="64"/>
      <c r="N620" s="64"/>
      <c r="O620" s="64"/>
      <c r="P620" s="64"/>
      <c r="Q620" s="64"/>
      <c r="R620" s="64"/>
      <c r="S620" s="64"/>
      <c r="T620" s="65"/>
      <c r="U620" s="64"/>
      <c r="V620" s="64"/>
      <c r="W620" s="64"/>
      <c r="X620" s="64"/>
      <c r="Y620" s="64"/>
      <c r="Z620" s="64"/>
      <c r="AA620" s="64"/>
      <c r="AB620" s="64"/>
      <c r="AC620" s="64"/>
      <c r="AD620" s="64"/>
      <c r="AE620" s="64"/>
      <c r="AF620" s="64"/>
      <c r="AG620" s="64"/>
    </row>
    <row r="621">
      <c r="A621" s="64"/>
      <c r="B621" s="64"/>
      <c r="C621" s="64"/>
      <c r="D621" s="64"/>
      <c r="E621" s="65"/>
      <c r="F621" s="64"/>
      <c r="G621" s="67"/>
      <c r="H621" s="64"/>
      <c r="I621" s="64"/>
      <c r="J621" s="64"/>
      <c r="K621" s="64"/>
      <c r="L621" s="65"/>
      <c r="M621" s="64"/>
      <c r="N621" s="64"/>
      <c r="O621" s="64"/>
      <c r="P621" s="64"/>
      <c r="Q621" s="64"/>
      <c r="R621" s="64"/>
      <c r="S621" s="64"/>
      <c r="T621" s="65"/>
      <c r="U621" s="64"/>
      <c r="V621" s="64"/>
      <c r="W621" s="64"/>
      <c r="X621" s="64"/>
      <c r="Y621" s="64"/>
      <c r="Z621" s="64"/>
      <c r="AA621" s="64"/>
      <c r="AB621" s="64"/>
      <c r="AC621" s="64"/>
      <c r="AD621" s="64"/>
      <c r="AE621" s="64"/>
      <c r="AF621" s="64"/>
      <c r="AG621" s="64"/>
    </row>
    <row r="622">
      <c r="A622" s="64"/>
      <c r="B622" s="64"/>
      <c r="C622" s="64"/>
      <c r="D622" s="64"/>
      <c r="E622" s="65"/>
      <c r="F622" s="64"/>
      <c r="G622" s="67"/>
      <c r="H622" s="64"/>
      <c r="I622" s="64"/>
      <c r="J622" s="64"/>
      <c r="K622" s="64"/>
      <c r="L622" s="65"/>
      <c r="M622" s="64"/>
      <c r="N622" s="64"/>
      <c r="O622" s="64"/>
      <c r="P622" s="64"/>
      <c r="Q622" s="64"/>
      <c r="R622" s="64"/>
      <c r="S622" s="64"/>
      <c r="T622" s="65"/>
      <c r="U622" s="64"/>
      <c r="V622" s="64"/>
      <c r="W622" s="64"/>
      <c r="X622" s="64"/>
      <c r="Y622" s="64"/>
      <c r="Z622" s="64"/>
      <c r="AA622" s="64"/>
      <c r="AB622" s="64"/>
      <c r="AC622" s="64"/>
      <c r="AD622" s="64"/>
      <c r="AE622" s="64"/>
      <c r="AF622" s="64"/>
      <c r="AG622" s="64"/>
    </row>
    <row r="623">
      <c r="A623" s="64"/>
      <c r="B623" s="64"/>
      <c r="C623" s="64"/>
      <c r="D623" s="64"/>
      <c r="E623" s="65"/>
      <c r="F623" s="64"/>
      <c r="G623" s="67"/>
      <c r="H623" s="64"/>
      <c r="I623" s="64"/>
      <c r="J623" s="64"/>
      <c r="K623" s="64"/>
      <c r="L623" s="65"/>
      <c r="M623" s="64"/>
      <c r="N623" s="64"/>
      <c r="O623" s="64"/>
      <c r="P623" s="64"/>
      <c r="Q623" s="64"/>
      <c r="R623" s="64"/>
      <c r="S623" s="64"/>
      <c r="T623" s="65"/>
      <c r="U623" s="64"/>
      <c r="V623" s="64"/>
      <c r="W623" s="64"/>
      <c r="X623" s="64"/>
      <c r="Y623" s="64"/>
      <c r="Z623" s="64"/>
      <c r="AA623" s="64"/>
      <c r="AB623" s="64"/>
      <c r="AC623" s="64"/>
      <c r="AD623" s="64"/>
      <c r="AE623" s="64"/>
      <c r="AF623" s="64"/>
      <c r="AG623" s="64"/>
    </row>
    <row r="624">
      <c r="A624" s="64"/>
      <c r="B624" s="64"/>
      <c r="C624" s="64"/>
      <c r="D624" s="64"/>
      <c r="E624" s="65"/>
      <c r="F624" s="64"/>
      <c r="G624" s="67"/>
      <c r="H624" s="64"/>
      <c r="I624" s="64"/>
      <c r="J624" s="64"/>
      <c r="K624" s="64"/>
      <c r="L624" s="65"/>
      <c r="M624" s="64"/>
      <c r="N624" s="64"/>
      <c r="O624" s="64"/>
      <c r="P624" s="64"/>
      <c r="Q624" s="64"/>
      <c r="R624" s="64"/>
      <c r="S624" s="64"/>
      <c r="T624" s="65"/>
      <c r="U624" s="64"/>
      <c r="V624" s="64"/>
      <c r="W624" s="64"/>
      <c r="X624" s="64"/>
      <c r="Y624" s="64"/>
      <c r="Z624" s="64"/>
      <c r="AA624" s="64"/>
      <c r="AB624" s="64"/>
      <c r="AC624" s="64"/>
      <c r="AD624" s="64"/>
      <c r="AE624" s="64"/>
      <c r="AF624" s="64"/>
      <c r="AG624" s="64"/>
    </row>
    <row r="625">
      <c r="A625" s="64"/>
      <c r="B625" s="64"/>
      <c r="C625" s="64"/>
      <c r="D625" s="64"/>
      <c r="E625" s="65"/>
      <c r="F625" s="64"/>
      <c r="G625" s="67"/>
      <c r="H625" s="64"/>
      <c r="I625" s="64"/>
      <c r="J625" s="64"/>
      <c r="K625" s="64"/>
      <c r="L625" s="65"/>
      <c r="M625" s="64"/>
      <c r="N625" s="64"/>
      <c r="O625" s="64"/>
      <c r="P625" s="64"/>
      <c r="Q625" s="64"/>
      <c r="R625" s="64"/>
      <c r="S625" s="64"/>
      <c r="T625" s="65"/>
      <c r="U625" s="64"/>
      <c r="V625" s="64"/>
      <c r="W625" s="64"/>
      <c r="X625" s="64"/>
      <c r="Y625" s="64"/>
      <c r="Z625" s="64"/>
      <c r="AA625" s="64"/>
      <c r="AB625" s="64"/>
      <c r="AC625" s="64"/>
      <c r="AD625" s="64"/>
      <c r="AE625" s="64"/>
      <c r="AF625" s="64"/>
      <c r="AG625" s="64"/>
    </row>
    <row r="626">
      <c r="A626" s="64"/>
      <c r="B626" s="64"/>
      <c r="C626" s="64"/>
      <c r="D626" s="64"/>
      <c r="E626" s="65"/>
      <c r="F626" s="64"/>
      <c r="G626" s="67"/>
      <c r="H626" s="64"/>
      <c r="I626" s="64"/>
      <c r="J626" s="64"/>
      <c r="K626" s="64"/>
      <c r="L626" s="65"/>
      <c r="M626" s="64"/>
      <c r="N626" s="64"/>
      <c r="O626" s="64"/>
      <c r="P626" s="64"/>
      <c r="Q626" s="64"/>
      <c r="R626" s="64"/>
      <c r="S626" s="64"/>
      <c r="T626" s="65"/>
      <c r="U626" s="64"/>
      <c r="V626" s="64"/>
      <c r="W626" s="64"/>
      <c r="X626" s="64"/>
      <c r="Y626" s="64"/>
      <c r="Z626" s="64"/>
      <c r="AA626" s="64"/>
      <c r="AB626" s="64"/>
      <c r="AC626" s="64"/>
      <c r="AD626" s="64"/>
      <c r="AE626" s="64"/>
      <c r="AF626" s="64"/>
      <c r="AG626" s="64"/>
    </row>
    <row r="627">
      <c r="A627" s="64"/>
      <c r="B627" s="64"/>
      <c r="C627" s="64"/>
      <c r="D627" s="64"/>
      <c r="E627" s="65"/>
      <c r="F627" s="64"/>
      <c r="G627" s="67"/>
      <c r="H627" s="64"/>
      <c r="I627" s="64"/>
      <c r="J627" s="64"/>
      <c r="K627" s="64"/>
      <c r="L627" s="65"/>
      <c r="M627" s="64"/>
      <c r="N627" s="64"/>
      <c r="O627" s="64"/>
      <c r="P627" s="64"/>
      <c r="Q627" s="64"/>
      <c r="R627" s="64"/>
      <c r="S627" s="64"/>
      <c r="T627" s="65"/>
      <c r="U627" s="64"/>
      <c r="V627" s="64"/>
      <c r="W627" s="64"/>
      <c r="X627" s="64"/>
      <c r="Y627" s="64"/>
      <c r="Z627" s="64"/>
      <c r="AA627" s="64"/>
      <c r="AB627" s="64"/>
      <c r="AC627" s="64"/>
      <c r="AD627" s="64"/>
      <c r="AE627" s="64"/>
      <c r="AF627" s="64"/>
      <c r="AG627" s="64"/>
    </row>
    <row r="628">
      <c r="A628" s="64"/>
      <c r="B628" s="64"/>
      <c r="C628" s="64"/>
      <c r="D628" s="64"/>
      <c r="E628" s="65"/>
      <c r="F628" s="64"/>
      <c r="G628" s="67"/>
      <c r="H628" s="64"/>
      <c r="I628" s="64"/>
      <c r="J628" s="64"/>
      <c r="K628" s="64"/>
      <c r="L628" s="65"/>
      <c r="M628" s="64"/>
      <c r="N628" s="64"/>
      <c r="O628" s="64"/>
      <c r="P628" s="64"/>
      <c r="Q628" s="64"/>
      <c r="R628" s="64"/>
      <c r="S628" s="64"/>
      <c r="T628" s="65"/>
      <c r="U628" s="64"/>
      <c r="V628" s="64"/>
      <c r="W628" s="64"/>
      <c r="X628" s="64"/>
      <c r="Y628" s="64"/>
      <c r="Z628" s="64"/>
      <c r="AA628" s="64"/>
      <c r="AB628" s="64"/>
      <c r="AC628" s="64"/>
      <c r="AD628" s="64"/>
      <c r="AE628" s="64"/>
      <c r="AF628" s="64"/>
      <c r="AG628" s="64"/>
    </row>
    <row r="629">
      <c r="A629" s="64"/>
      <c r="B629" s="64"/>
      <c r="C629" s="64"/>
      <c r="D629" s="64"/>
      <c r="E629" s="65"/>
      <c r="F629" s="64"/>
      <c r="G629" s="67"/>
      <c r="H629" s="64"/>
      <c r="I629" s="64"/>
      <c r="J629" s="64"/>
      <c r="K629" s="64"/>
      <c r="L629" s="65"/>
      <c r="M629" s="64"/>
      <c r="N629" s="64"/>
      <c r="O629" s="64"/>
      <c r="P629" s="64"/>
      <c r="Q629" s="64"/>
      <c r="R629" s="64"/>
      <c r="S629" s="64"/>
      <c r="T629" s="65"/>
      <c r="U629" s="64"/>
      <c r="V629" s="64"/>
      <c r="W629" s="64"/>
      <c r="X629" s="64"/>
      <c r="Y629" s="64"/>
      <c r="Z629" s="64"/>
      <c r="AA629" s="64"/>
      <c r="AB629" s="64"/>
      <c r="AC629" s="64"/>
      <c r="AD629" s="64"/>
      <c r="AE629" s="64"/>
      <c r="AF629" s="64"/>
      <c r="AG629" s="64"/>
    </row>
    <row r="630">
      <c r="A630" s="64"/>
      <c r="B630" s="64"/>
      <c r="C630" s="64"/>
      <c r="D630" s="64"/>
      <c r="E630" s="65"/>
      <c r="F630" s="64"/>
      <c r="G630" s="67"/>
      <c r="H630" s="64"/>
      <c r="I630" s="64"/>
      <c r="J630" s="64"/>
      <c r="K630" s="64"/>
      <c r="L630" s="65"/>
      <c r="M630" s="64"/>
      <c r="N630" s="64"/>
      <c r="O630" s="64"/>
      <c r="P630" s="64"/>
      <c r="Q630" s="64"/>
      <c r="R630" s="64"/>
      <c r="S630" s="64"/>
      <c r="T630" s="65"/>
      <c r="U630" s="64"/>
      <c r="V630" s="64"/>
      <c r="W630" s="64"/>
      <c r="X630" s="64"/>
      <c r="Y630" s="64"/>
      <c r="Z630" s="64"/>
      <c r="AA630" s="64"/>
      <c r="AB630" s="64"/>
      <c r="AC630" s="64"/>
      <c r="AD630" s="64"/>
      <c r="AE630" s="64"/>
      <c r="AF630" s="64"/>
      <c r="AG630" s="64"/>
    </row>
    <row r="631">
      <c r="A631" s="64"/>
      <c r="B631" s="64"/>
      <c r="C631" s="64"/>
      <c r="D631" s="64"/>
      <c r="E631" s="65"/>
      <c r="F631" s="64"/>
      <c r="G631" s="67"/>
      <c r="H631" s="64"/>
      <c r="I631" s="64"/>
      <c r="J631" s="64"/>
      <c r="K631" s="64"/>
      <c r="L631" s="65"/>
      <c r="M631" s="64"/>
      <c r="N631" s="64"/>
      <c r="O631" s="64"/>
      <c r="P631" s="64"/>
      <c r="Q631" s="64"/>
      <c r="R631" s="64"/>
      <c r="S631" s="64"/>
      <c r="T631" s="65"/>
      <c r="U631" s="64"/>
      <c r="V631" s="64"/>
      <c r="W631" s="64"/>
      <c r="X631" s="64"/>
      <c r="Y631" s="64"/>
      <c r="Z631" s="64"/>
      <c r="AA631" s="64"/>
      <c r="AB631" s="64"/>
      <c r="AC631" s="64"/>
      <c r="AD631" s="64"/>
      <c r="AE631" s="64"/>
      <c r="AF631" s="64"/>
      <c r="AG631" s="64"/>
    </row>
    <row r="632">
      <c r="A632" s="64"/>
      <c r="B632" s="64"/>
      <c r="C632" s="64"/>
      <c r="D632" s="64"/>
      <c r="E632" s="65"/>
      <c r="F632" s="64"/>
      <c r="G632" s="67"/>
      <c r="H632" s="64"/>
      <c r="I632" s="64"/>
      <c r="J632" s="64"/>
      <c r="K632" s="64"/>
      <c r="L632" s="65"/>
      <c r="M632" s="64"/>
      <c r="N632" s="64"/>
      <c r="O632" s="64"/>
      <c r="P632" s="64"/>
      <c r="Q632" s="64"/>
      <c r="R632" s="64"/>
      <c r="S632" s="64"/>
      <c r="T632" s="65"/>
      <c r="U632" s="64"/>
      <c r="V632" s="64"/>
      <c r="W632" s="64"/>
      <c r="X632" s="64"/>
      <c r="Y632" s="64"/>
      <c r="Z632" s="64"/>
      <c r="AA632" s="64"/>
      <c r="AB632" s="64"/>
      <c r="AC632" s="64"/>
      <c r="AD632" s="64"/>
      <c r="AE632" s="64"/>
      <c r="AF632" s="64"/>
      <c r="AG632" s="64"/>
    </row>
    <row r="633">
      <c r="A633" s="64"/>
      <c r="B633" s="64"/>
      <c r="C633" s="64"/>
      <c r="D633" s="64"/>
      <c r="E633" s="65"/>
      <c r="F633" s="64"/>
      <c r="G633" s="67"/>
      <c r="H633" s="64"/>
      <c r="I633" s="64"/>
      <c r="J633" s="64"/>
      <c r="K633" s="64"/>
      <c r="L633" s="65"/>
      <c r="M633" s="64"/>
      <c r="N633" s="64"/>
      <c r="O633" s="64"/>
      <c r="P633" s="64"/>
      <c r="Q633" s="64"/>
      <c r="R633" s="64"/>
      <c r="S633" s="64"/>
      <c r="T633" s="65"/>
      <c r="U633" s="64"/>
      <c r="V633" s="64"/>
      <c r="W633" s="64"/>
      <c r="X633" s="64"/>
      <c r="Y633" s="64"/>
      <c r="Z633" s="64"/>
      <c r="AA633" s="64"/>
      <c r="AB633" s="64"/>
      <c r="AC633" s="64"/>
      <c r="AD633" s="64"/>
      <c r="AE633" s="64"/>
      <c r="AF633" s="64"/>
      <c r="AG633" s="64"/>
    </row>
    <row r="634">
      <c r="A634" s="64"/>
      <c r="B634" s="64"/>
      <c r="C634" s="64"/>
      <c r="D634" s="64"/>
      <c r="E634" s="65"/>
      <c r="F634" s="64"/>
      <c r="G634" s="67"/>
      <c r="H634" s="64"/>
      <c r="I634" s="64"/>
      <c r="J634" s="64"/>
      <c r="K634" s="64"/>
      <c r="L634" s="65"/>
      <c r="M634" s="64"/>
      <c r="N634" s="64"/>
      <c r="O634" s="64"/>
      <c r="P634" s="64"/>
      <c r="Q634" s="64"/>
      <c r="R634" s="64"/>
      <c r="S634" s="64"/>
      <c r="T634" s="65"/>
      <c r="U634" s="64"/>
      <c r="V634" s="64"/>
      <c r="W634" s="64"/>
      <c r="X634" s="64"/>
      <c r="Y634" s="64"/>
      <c r="Z634" s="64"/>
      <c r="AA634" s="64"/>
      <c r="AB634" s="64"/>
      <c r="AC634" s="64"/>
      <c r="AD634" s="64"/>
      <c r="AE634" s="64"/>
      <c r="AF634" s="64"/>
      <c r="AG634" s="64"/>
    </row>
    <row r="635">
      <c r="A635" s="64"/>
      <c r="B635" s="64"/>
      <c r="C635" s="64"/>
      <c r="D635" s="64"/>
      <c r="E635" s="65"/>
      <c r="F635" s="64"/>
      <c r="G635" s="67"/>
      <c r="H635" s="64"/>
      <c r="I635" s="64"/>
      <c r="J635" s="64"/>
      <c r="K635" s="64"/>
      <c r="L635" s="65"/>
      <c r="M635" s="64"/>
      <c r="N635" s="64"/>
      <c r="O635" s="64"/>
      <c r="P635" s="64"/>
      <c r="Q635" s="64"/>
      <c r="R635" s="64"/>
      <c r="S635" s="64"/>
      <c r="T635" s="65"/>
      <c r="U635" s="64"/>
      <c r="V635" s="64"/>
      <c r="W635" s="64"/>
      <c r="X635" s="64"/>
      <c r="Y635" s="64"/>
      <c r="Z635" s="64"/>
      <c r="AA635" s="64"/>
      <c r="AB635" s="64"/>
      <c r="AC635" s="64"/>
      <c r="AD635" s="64"/>
      <c r="AE635" s="64"/>
      <c r="AF635" s="64"/>
      <c r="AG635" s="64"/>
    </row>
    <row r="636">
      <c r="A636" s="64"/>
      <c r="B636" s="64"/>
      <c r="C636" s="64"/>
      <c r="D636" s="64"/>
      <c r="E636" s="65"/>
      <c r="F636" s="64"/>
      <c r="G636" s="67"/>
      <c r="H636" s="64"/>
      <c r="I636" s="64"/>
      <c r="J636" s="64"/>
      <c r="K636" s="64"/>
      <c r="L636" s="65"/>
      <c r="M636" s="64"/>
      <c r="N636" s="64"/>
      <c r="O636" s="64"/>
      <c r="P636" s="64"/>
      <c r="Q636" s="64"/>
      <c r="R636" s="64"/>
      <c r="S636" s="64"/>
      <c r="T636" s="65"/>
      <c r="U636" s="64"/>
      <c r="V636" s="64"/>
      <c r="W636" s="64"/>
      <c r="X636" s="64"/>
      <c r="Y636" s="64"/>
      <c r="Z636" s="64"/>
      <c r="AA636" s="64"/>
      <c r="AB636" s="64"/>
      <c r="AC636" s="64"/>
      <c r="AD636" s="64"/>
      <c r="AE636" s="64"/>
      <c r="AF636" s="64"/>
      <c r="AG636" s="64"/>
    </row>
    <row r="637">
      <c r="A637" s="64"/>
      <c r="B637" s="64"/>
      <c r="C637" s="64"/>
      <c r="D637" s="64"/>
      <c r="E637" s="65"/>
      <c r="F637" s="64"/>
      <c r="G637" s="67"/>
      <c r="H637" s="64"/>
      <c r="I637" s="64"/>
      <c r="J637" s="64"/>
      <c r="K637" s="64"/>
      <c r="L637" s="65"/>
      <c r="M637" s="64"/>
      <c r="N637" s="64"/>
      <c r="O637" s="64"/>
      <c r="P637" s="64"/>
      <c r="Q637" s="64"/>
      <c r="R637" s="64"/>
      <c r="S637" s="64"/>
      <c r="T637" s="65"/>
      <c r="U637" s="64"/>
      <c r="V637" s="64"/>
      <c r="W637" s="64"/>
      <c r="X637" s="64"/>
      <c r="Y637" s="64"/>
      <c r="Z637" s="64"/>
      <c r="AA637" s="64"/>
      <c r="AB637" s="64"/>
      <c r="AC637" s="64"/>
      <c r="AD637" s="64"/>
      <c r="AE637" s="64"/>
      <c r="AF637" s="64"/>
      <c r="AG637" s="64"/>
    </row>
    <row r="638">
      <c r="A638" s="64"/>
      <c r="B638" s="64"/>
      <c r="C638" s="64"/>
      <c r="D638" s="64"/>
      <c r="E638" s="65"/>
      <c r="F638" s="64"/>
      <c r="G638" s="67"/>
      <c r="H638" s="64"/>
      <c r="I638" s="64"/>
      <c r="J638" s="64"/>
      <c r="K638" s="64"/>
      <c r="L638" s="65"/>
      <c r="M638" s="64"/>
      <c r="N638" s="64"/>
      <c r="O638" s="64"/>
      <c r="P638" s="64"/>
      <c r="Q638" s="64"/>
      <c r="R638" s="64"/>
      <c r="S638" s="64"/>
      <c r="T638" s="65"/>
      <c r="U638" s="64"/>
      <c r="V638" s="64"/>
      <c r="W638" s="64"/>
      <c r="X638" s="64"/>
      <c r="Y638" s="64"/>
      <c r="Z638" s="64"/>
      <c r="AA638" s="64"/>
      <c r="AB638" s="64"/>
      <c r="AC638" s="64"/>
      <c r="AD638" s="64"/>
      <c r="AE638" s="64"/>
      <c r="AF638" s="64"/>
      <c r="AG638" s="64"/>
    </row>
    <row r="639">
      <c r="A639" s="64"/>
      <c r="B639" s="64"/>
      <c r="C639" s="64"/>
      <c r="D639" s="64"/>
      <c r="E639" s="65"/>
      <c r="F639" s="64"/>
      <c r="G639" s="67"/>
      <c r="H639" s="64"/>
      <c r="I639" s="64"/>
      <c r="J639" s="64"/>
      <c r="K639" s="64"/>
      <c r="L639" s="65"/>
      <c r="M639" s="64"/>
      <c r="N639" s="64"/>
      <c r="O639" s="64"/>
      <c r="P639" s="64"/>
      <c r="Q639" s="64"/>
      <c r="R639" s="64"/>
      <c r="S639" s="64"/>
      <c r="T639" s="65"/>
      <c r="U639" s="64"/>
      <c r="V639" s="64"/>
      <c r="W639" s="64"/>
      <c r="X639" s="64"/>
      <c r="Y639" s="64"/>
      <c r="Z639" s="64"/>
      <c r="AA639" s="64"/>
      <c r="AB639" s="64"/>
      <c r="AC639" s="64"/>
      <c r="AD639" s="64"/>
      <c r="AE639" s="64"/>
      <c r="AF639" s="64"/>
      <c r="AG639" s="64"/>
    </row>
    <row r="640">
      <c r="A640" s="64"/>
      <c r="B640" s="64"/>
      <c r="C640" s="64"/>
      <c r="D640" s="64"/>
      <c r="E640" s="65"/>
      <c r="F640" s="64"/>
      <c r="G640" s="67"/>
      <c r="H640" s="64"/>
      <c r="I640" s="64"/>
      <c r="J640" s="64"/>
      <c r="K640" s="64"/>
      <c r="L640" s="65"/>
      <c r="M640" s="64"/>
      <c r="N640" s="64"/>
      <c r="O640" s="64"/>
      <c r="P640" s="64"/>
      <c r="Q640" s="64"/>
      <c r="R640" s="64"/>
      <c r="S640" s="64"/>
      <c r="T640" s="65"/>
      <c r="U640" s="64"/>
      <c r="V640" s="64"/>
      <c r="W640" s="64"/>
      <c r="X640" s="64"/>
      <c r="Y640" s="64"/>
      <c r="Z640" s="64"/>
      <c r="AA640" s="64"/>
      <c r="AB640" s="64"/>
      <c r="AC640" s="64"/>
      <c r="AD640" s="64"/>
      <c r="AE640" s="64"/>
      <c r="AF640" s="64"/>
      <c r="AG640" s="64"/>
    </row>
    <row r="641">
      <c r="A641" s="64"/>
      <c r="B641" s="64"/>
      <c r="C641" s="64"/>
      <c r="D641" s="64"/>
      <c r="E641" s="65"/>
      <c r="F641" s="64"/>
      <c r="G641" s="67"/>
      <c r="H641" s="64"/>
      <c r="I641" s="64"/>
      <c r="J641" s="64"/>
      <c r="K641" s="64"/>
      <c r="L641" s="65"/>
      <c r="M641" s="64"/>
      <c r="N641" s="64"/>
      <c r="O641" s="64"/>
      <c r="P641" s="64"/>
      <c r="Q641" s="64"/>
      <c r="R641" s="64"/>
      <c r="S641" s="64"/>
      <c r="T641" s="65"/>
      <c r="U641" s="64"/>
      <c r="V641" s="64"/>
      <c r="W641" s="64"/>
      <c r="X641" s="64"/>
      <c r="Y641" s="64"/>
      <c r="Z641" s="64"/>
      <c r="AA641" s="64"/>
      <c r="AB641" s="64"/>
      <c r="AC641" s="64"/>
      <c r="AD641" s="64"/>
      <c r="AE641" s="64"/>
      <c r="AF641" s="64"/>
      <c r="AG641" s="64"/>
    </row>
    <row r="642">
      <c r="A642" s="64"/>
      <c r="B642" s="64"/>
      <c r="C642" s="64"/>
      <c r="D642" s="64"/>
      <c r="E642" s="65"/>
      <c r="F642" s="64"/>
      <c r="G642" s="67"/>
      <c r="H642" s="64"/>
      <c r="I642" s="64"/>
      <c r="J642" s="64"/>
      <c r="K642" s="64"/>
      <c r="L642" s="65"/>
      <c r="M642" s="64"/>
      <c r="N642" s="64"/>
      <c r="O642" s="64"/>
      <c r="P642" s="64"/>
      <c r="Q642" s="64"/>
      <c r="R642" s="64"/>
      <c r="S642" s="64"/>
      <c r="T642" s="65"/>
      <c r="U642" s="64"/>
      <c r="V642" s="64"/>
      <c r="W642" s="64"/>
      <c r="X642" s="64"/>
      <c r="Y642" s="64"/>
      <c r="Z642" s="64"/>
      <c r="AA642" s="64"/>
      <c r="AB642" s="64"/>
      <c r="AC642" s="64"/>
      <c r="AD642" s="64"/>
      <c r="AE642" s="64"/>
      <c r="AF642" s="64"/>
      <c r="AG642" s="64"/>
    </row>
    <row r="643">
      <c r="A643" s="64"/>
      <c r="B643" s="64"/>
      <c r="C643" s="64"/>
      <c r="D643" s="64"/>
      <c r="E643" s="65"/>
      <c r="F643" s="64"/>
      <c r="G643" s="67"/>
      <c r="H643" s="64"/>
      <c r="I643" s="64"/>
      <c r="J643" s="64"/>
      <c r="K643" s="64"/>
      <c r="L643" s="65"/>
      <c r="M643" s="64"/>
      <c r="N643" s="64"/>
      <c r="O643" s="64"/>
      <c r="P643" s="64"/>
      <c r="Q643" s="64"/>
      <c r="R643" s="64"/>
      <c r="S643" s="64"/>
      <c r="T643" s="65"/>
      <c r="U643" s="64"/>
      <c r="V643" s="64"/>
      <c r="W643" s="64"/>
      <c r="X643" s="64"/>
      <c r="Y643" s="64"/>
      <c r="Z643" s="64"/>
      <c r="AA643" s="64"/>
      <c r="AB643" s="64"/>
      <c r="AC643" s="64"/>
      <c r="AD643" s="64"/>
      <c r="AE643" s="64"/>
      <c r="AF643" s="64"/>
      <c r="AG643" s="64"/>
    </row>
    <row r="644">
      <c r="A644" s="64"/>
      <c r="B644" s="64"/>
      <c r="C644" s="64"/>
      <c r="D644" s="64"/>
      <c r="E644" s="65"/>
      <c r="F644" s="64"/>
      <c r="G644" s="67"/>
      <c r="H644" s="64"/>
      <c r="I644" s="64"/>
      <c r="J644" s="64"/>
      <c r="K644" s="64"/>
      <c r="L644" s="65"/>
      <c r="M644" s="64"/>
      <c r="N644" s="64"/>
      <c r="O644" s="64"/>
      <c r="P644" s="64"/>
      <c r="Q644" s="64"/>
      <c r="R644" s="64"/>
      <c r="S644" s="64"/>
      <c r="T644" s="65"/>
      <c r="U644" s="64"/>
      <c r="V644" s="64"/>
      <c r="W644" s="64"/>
      <c r="X644" s="64"/>
      <c r="Y644" s="64"/>
      <c r="Z644" s="64"/>
      <c r="AA644" s="64"/>
      <c r="AB644" s="64"/>
      <c r="AC644" s="64"/>
      <c r="AD644" s="64"/>
      <c r="AE644" s="64"/>
      <c r="AF644" s="64"/>
      <c r="AG644" s="64"/>
    </row>
    <row r="645">
      <c r="A645" s="64"/>
      <c r="B645" s="64"/>
      <c r="C645" s="64"/>
      <c r="D645" s="64"/>
      <c r="E645" s="65"/>
      <c r="F645" s="64"/>
      <c r="G645" s="67"/>
      <c r="H645" s="64"/>
      <c r="I645" s="64"/>
      <c r="J645" s="64"/>
      <c r="K645" s="64"/>
      <c r="L645" s="65"/>
      <c r="M645" s="64"/>
      <c r="N645" s="64"/>
      <c r="O645" s="64"/>
      <c r="P645" s="64"/>
      <c r="Q645" s="64"/>
      <c r="R645" s="64"/>
      <c r="S645" s="64"/>
      <c r="T645" s="65"/>
      <c r="U645" s="64"/>
      <c r="V645" s="64"/>
      <c r="W645" s="64"/>
      <c r="X645" s="64"/>
      <c r="Y645" s="64"/>
      <c r="Z645" s="64"/>
      <c r="AA645" s="64"/>
      <c r="AB645" s="64"/>
      <c r="AC645" s="64"/>
      <c r="AD645" s="64"/>
      <c r="AE645" s="64"/>
      <c r="AF645" s="64"/>
      <c r="AG645" s="64"/>
    </row>
    <row r="646">
      <c r="A646" s="64"/>
      <c r="B646" s="64"/>
      <c r="C646" s="64"/>
      <c r="D646" s="64"/>
      <c r="E646" s="65"/>
      <c r="F646" s="64"/>
      <c r="G646" s="67"/>
      <c r="H646" s="64"/>
      <c r="I646" s="64"/>
      <c r="J646" s="64"/>
      <c r="K646" s="64"/>
      <c r="L646" s="65"/>
      <c r="M646" s="64"/>
      <c r="N646" s="64"/>
      <c r="O646" s="64"/>
      <c r="P646" s="64"/>
      <c r="Q646" s="64"/>
      <c r="R646" s="64"/>
      <c r="S646" s="64"/>
      <c r="T646" s="65"/>
      <c r="U646" s="64"/>
      <c r="V646" s="64"/>
      <c r="W646" s="64"/>
      <c r="X646" s="64"/>
      <c r="Y646" s="64"/>
      <c r="Z646" s="64"/>
      <c r="AA646" s="64"/>
      <c r="AB646" s="64"/>
      <c r="AC646" s="64"/>
      <c r="AD646" s="64"/>
      <c r="AE646" s="64"/>
      <c r="AF646" s="64"/>
      <c r="AG646" s="64"/>
    </row>
    <row r="647">
      <c r="A647" s="64"/>
      <c r="B647" s="64"/>
      <c r="C647" s="64"/>
      <c r="D647" s="64"/>
      <c r="E647" s="65"/>
      <c r="F647" s="64"/>
      <c r="G647" s="67"/>
      <c r="H647" s="64"/>
      <c r="I647" s="64"/>
      <c r="J647" s="64"/>
      <c r="K647" s="64"/>
      <c r="L647" s="65"/>
      <c r="M647" s="64"/>
      <c r="N647" s="64"/>
      <c r="O647" s="64"/>
      <c r="P647" s="64"/>
      <c r="Q647" s="64"/>
      <c r="R647" s="64"/>
      <c r="S647" s="64"/>
      <c r="T647" s="65"/>
      <c r="U647" s="64"/>
      <c r="V647" s="64"/>
      <c r="W647" s="64"/>
      <c r="X647" s="64"/>
      <c r="Y647" s="64"/>
      <c r="Z647" s="64"/>
      <c r="AA647" s="64"/>
      <c r="AB647" s="64"/>
      <c r="AC647" s="64"/>
      <c r="AD647" s="64"/>
      <c r="AE647" s="64"/>
      <c r="AF647" s="64"/>
      <c r="AG647" s="64"/>
    </row>
    <row r="648">
      <c r="A648" s="64"/>
      <c r="B648" s="64"/>
      <c r="C648" s="64"/>
      <c r="D648" s="64"/>
      <c r="E648" s="65"/>
      <c r="F648" s="64"/>
      <c r="G648" s="67"/>
      <c r="H648" s="64"/>
      <c r="I648" s="64"/>
      <c r="J648" s="64"/>
      <c r="K648" s="64"/>
      <c r="L648" s="65"/>
      <c r="M648" s="64"/>
      <c r="N648" s="64"/>
      <c r="O648" s="64"/>
      <c r="P648" s="64"/>
      <c r="Q648" s="64"/>
      <c r="R648" s="64"/>
      <c r="S648" s="64"/>
      <c r="T648" s="65"/>
      <c r="U648" s="64"/>
      <c r="V648" s="64"/>
      <c r="W648" s="64"/>
      <c r="X648" s="64"/>
      <c r="Y648" s="64"/>
      <c r="Z648" s="64"/>
      <c r="AA648" s="64"/>
      <c r="AB648" s="64"/>
      <c r="AC648" s="64"/>
      <c r="AD648" s="64"/>
      <c r="AE648" s="64"/>
      <c r="AF648" s="64"/>
      <c r="AG648" s="64"/>
    </row>
    <row r="649">
      <c r="A649" s="64"/>
      <c r="B649" s="64"/>
      <c r="C649" s="64"/>
      <c r="D649" s="64"/>
      <c r="E649" s="65"/>
      <c r="F649" s="64"/>
      <c r="G649" s="67"/>
      <c r="H649" s="64"/>
      <c r="I649" s="64"/>
      <c r="J649" s="64"/>
      <c r="K649" s="64"/>
      <c r="L649" s="65"/>
      <c r="M649" s="64"/>
      <c r="N649" s="64"/>
      <c r="O649" s="64"/>
      <c r="P649" s="64"/>
      <c r="Q649" s="64"/>
      <c r="R649" s="64"/>
      <c r="S649" s="64"/>
      <c r="T649" s="65"/>
      <c r="U649" s="64"/>
      <c r="V649" s="64"/>
      <c r="W649" s="64"/>
      <c r="X649" s="64"/>
      <c r="Y649" s="64"/>
      <c r="Z649" s="64"/>
      <c r="AA649" s="64"/>
      <c r="AB649" s="64"/>
      <c r="AC649" s="64"/>
      <c r="AD649" s="64"/>
      <c r="AE649" s="64"/>
      <c r="AF649" s="64"/>
      <c r="AG649" s="64"/>
    </row>
    <row r="650">
      <c r="A650" s="64"/>
      <c r="B650" s="64"/>
      <c r="C650" s="64"/>
      <c r="D650" s="64"/>
      <c r="E650" s="65"/>
      <c r="F650" s="64"/>
      <c r="G650" s="67"/>
      <c r="H650" s="64"/>
      <c r="I650" s="64"/>
      <c r="J650" s="64"/>
      <c r="K650" s="64"/>
      <c r="L650" s="65"/>
      <c r="M650" s="64"/>
      <c r="N650" s="64"/>
      <c r="O650" s="64"/>
      <c r="P650" s="64"/>
      <c r="Q650" s="64"/>
      <c r="R650" s="64"/>
      <c r="S650" s="64"/>
      <c r="T650" s="65"/>
      <c r="U650" s="64"/>
      <c r="V650" s="64"/>
      <c r="W650" s="64"/>
      <c r="X650" s="64"/>
      <c r="Y650" s="64"/>
      <c r="Z650" s="64"/>
      <c r="AA650" s="64"/>
      <c r="AB650" s="64"/>
      <c r="AC650" s="64"/>
      <c r="AD650" s="64"/>
      <c r="AE650" s="64"/>
      <c r="AF650" s="64"/>
      <c r="AG650" s="64"/>
    </row>
    <row r="651">
      <c r="A651" s="64"/>
      <c r="B651" s="64"/>
      <c r="C651" s="64"/>
      <c r="D651" s="64"/>
      <c r="E651" s="65"/>
      <c r="F651" s="64"/>
      <c r="G651" s="67"/>
      <c r="H651" s="64"/>
      <c r="I651" s="64"/>
      <c r="J651" s="64"/>
      <c r="K651" s="64"/>
      <c r="L651" s="65"/>
      <c r="M651" s="64"/>
      <c r="N651" s="64"/>
      <c r="O651" s="64"/>
      <c r="P651" s="64"/>
      <c r="Q651" s="64"/>
      <c r="R651" s="64"/>
      <c r="S651" s="64"/>
      <c r="T651" s="65"/>
      <c r="U651" s="64"/>
      <c r="V651" s="64"/>
      <c r="W651" s="64"/>
      <c r="X651" s="64"/>
      <c r="Y651" s="64"/>
      <c r="Z651" s="64"/>
      <c r="AA651" s="64"/>
      <c r="AB651" s="64"/>
      <c r="AC651" s="64"/>
      <c r="AD651" s="64"/>
      <c r="AE651" s="64"/>
      <c r="AF651" s="64"/>
      <c r="AG651" s="64"/>
    </row>
    <row r="652">
      <c r="A652" s="64"/>
      <c r="B652" s="64"/>
      <c r="C652" s="64"/>
      <c r="D652" s="64"/>
      <c r="E652" s="65"/>
      <c r="F652" s="64"/>
      <c r="G652" s="67"/>
      <c r="H652" s="64"/>
      <c r="I652" s="64"/>
      <c r="J652" s="64"/>
      <c r="K652" s="64"/>
      <c r="L652" s="65"/>
      <c r="M652" s="64"/>
      <c r="N652" s="64"/>
      <c r="O652" s="64"/>
      <c r="P652" s="64"/>
      <c r="Q652" s="64"/>
      <c r="R652" s="64"/>
      <c r="S652" s="64"/>
      <c r="T652" s="65"/>
      <c r="U652" s="64"/>
      <c r="V652" s="64"/>
      <c r="W652" s="64"/>
      <c r="X652" s="64"/>
      <c r="Y652" s="64"/>
      <c r="Z652" s="64"/>
      <c r="AA652" s="64"/>
      <c r="AB652" s="64"/>
      <c r="AC652" s="64"/>
      <c r="AD652" s="64"/>
      <c r="AE652" s="64"/>
      <c r="AF652" s="64"/>
      <c r="AG652" s="64"/>
    </row>
    <row r="653">
      <c r="A653" s="64"/>
      <c r="B653" s="64"/>
      <c r="C653" s="64"/>
      <c r="D653" s="64"/>
      <c r="E653" s="65"/>
      <c r="F653" s="64"/>
      <c r="G653" s="67"/>
      <c r="H653" s="64"/>
      <c r="I653" s="64"/>
      <c r="J653" s="64"/>
      <c r="K653" s="64"/>
      <c r="L653" s="65"/>
      <c r="M653" s="64"/>
      <c r="N653" s="64"/>
      <c r="O653" s="64"/>
      <c r="P653" s="64"/>
      <c r="Q653" s="64"/>
      <c r="R653" s="64"/>
      <c r="S653" s="64"/>
      <c r="T653" s="65"/>
      <c r="U653" s="64"/>
      <c r="V653" s="64"/>
      <c r="W653" s="64"/>
      <c r="X653" s="64"/>
      <c r="Y653" s="64"/>
      <c r="Z653" s="64"/>
      <c r="AA653" s="64"/>
      <c r="AB653" s="64"/>
      <c r="AC653" s="64"/>
      <c r="AD653" s="64"/>
      <c r="AE653" s="64"/>
      <c r="AF653" s="64"/>
      <c r="AG653" s="64"/>
    </row>
    <row r="654">
      <c r="A654" s="64"/>
      <c r="B654" s="64"/>
      <c r="C654" s="64"/>
      <c r="D654" s="64"/>
      <c r="E654" s="65"/>
      <c r="F654" s="64"/>
      <c r="G654" s="67"/>
      <c r="H654" s="64"/>
      <c r="I654" s="64"/>
      <c r="J654" s="64"/>
      <c r="K654" s="64"/>
      <c r="L654" s="65"/>
      <c r="M654" s="64"/>
      <c r="N654" s="64"/>
      <c r="O654" s="64"/>
      <c r="P654" s="64"/>
      <c r="Q654" s="64"/>
      <c r="R654" s="64"/>
      <c r="S654" s="64"/>
      <c r="T654" s="65"/>
      <c r="U654" s="64"/>
      <c r="V654" s="64"/>
      <c r="W654" s="64"/>
      <c r="X654" s="64"/>
      <c r="Y654" s="64"/>
      <c r="Z654" s="64"/>
      <c r="AA654" s="64"/>
      <c r="AB654" s="64"/>
      <c r="AC654" s="64"/>
      <c r="AD654" s="64"/>
      <c r="AE654" s="64"/>
      <c r="AF654" s="64"/>
      <c r="AG654" s="64"/>
    </row>
    <row r="655">
      <c r="A655" s="64"/>
      <c r="B655" s="64"/>
      <c r="C655" s="64"/>
      <c r="D655" s="64"/>
      <c r="E655" s="65"/>
      <c r="F655" s="64"/>
      <c r="G655" s="67"/>
      <c r="H655" s="64"/>
      <c r="I655" s="64"/>
      <c r="J655" s="64"/>
      <c r="K655" s="64"/>
      <c r="L655" s="65"/>
      <c r="M655" s="64"/>
      <c r="N655" s="64"/>
      <c r="O655" s="64"/>
      <c r="P655" s="64"/>
      <c r="Q655" s="64"/>
      <c r="R655" s="64"/>
      <c r="S655" s="64"/>
      <c r="T655" s="65"/>
      <c r="U655" s="64"/>
      <c r="V655" s="64"/>
      <c r="W655" s="64"/>
      <c r="X655" s="64"/>
      <c r="Y655" s="64"/>
      <c r="Z655" s="64"/>
      <c r="AA655" s="64"/>
      <c r="AB655" s="64"/>
      <c r="AC655" s="64"/>
      <c r="AD655" s="64"/>
      <c r="AE655" s="64"/>
      <c r="AF655" s="64"/>
      <c r="AG655" s="64"/>
    </row>
    <row r="656">
      <c r="A656" s="64"/>
      <c r="B656" s="64"/>
      <c r="C656" s="64"/>
      <c r="D656" s="64"/>
      <c r="E656" s="65"/>
      <c r="F656" s="64"/>
      <c r="G656" s="67"/>
      <c r="H656" s="64"/>
      <c r="I656" s="64"/>
      <c r="J656" s="64"/>
      <c r="K656" s="64"/>
      <c r="L656" s="65"/>
      <c r="M656" s="64"/>
      <c r="N656" s="64"/>
      <c r="O656" s="64"/>
      <c r="P656" s="64"/>
      <c r="Q656" s="64"/>
      <c r="R656" s="64"/>
      <c r="S656" s="64"/>
      <c r="T656" s="65"/>
      <c r="U656" s="64"/>
      <c r="V656" s="64"/>
      <c r="W656" s="64"/>
      <c r="X656" s="64"/>
      <c r="Y656" s="64"/>
      <c r="Z656" s="64"/>
      <c r="AA656" s="64"/>
      <c r="AB656" s="64"/>
      <c r="AC656" s="64"/>
      <c r="AD656" s="64"/>
      <c r="AE656" s="64"/>
      <c r="AF656" s="64"/>
      <c r="AG656" s="64"/>
    </row>
    <row r="657">
      <c r="A657" s="64"/>
      <c r="B657" s="64"/>
      <c r="C657" s="64"/>
      <c r="D657" s="64"/>
      <c r="E657" s="65"/>
      <c r="F657" s="64"/>
      <c r="G657" s="67"/>
      <c r="H657" s="64"/>
      <c r="I657" s="64"/>
      <c r="J657" s="64"/>
      <c r="K657" s="64"/>
      <c r="L657" s="65"/>
      <c r="M657" s="64"/>
      <c r="N657" s="64"/>
      <c r="O657" s="64"/>
      <c r="P657" s="64"/>
      <c r="Q657" s="64"/>
      <c r="R657" s="64"/>
      <c r="S657" s="64"/>
      <c r="T657" s="65"/>
      <c r="U657" s="64"/>
      <c r="V657" s="64"/>
      <c r="W657" s="64"/>
      <c r="X657" s="64"/>
      <c r="Y657" s="64"/>
      <c r="Z657" s="64"/>
      <c r="AA657" s="64"/>
      <c r="AB657" s="64"/>
      <c r="AC657" s="64"/>
      <c r="AD657" s="64"/>
      <c r="AE657" s="64"/>
      <c r="AF657" s="64"/>
      <c r="AG657" s="64"/>
    </row>
    <row r="658">
      <c r="A658" s="64"/>
      <c r="B658" s="64"/>
      <c r="C658" s="64"/>
      <c r="D658" s="64"/>
      <c r="E658" s="65"/>
      <c r="F658" s="64"/>
      <c r="G658" s="67"/>
      <c r="H658" s="64"/>
      <c r="I658" s="64"/>
      <c r="J658" s="64"/>
      <c r="K658" s="64"/>
      <c r="L658" s="65"/>
      <c r="M658" s="64"/>
      <c r="N658" s="64"/>
      <c r="O658" s="64"/>
      <c r="P658" s="64"/>
      <c r="Q658" s="64"/>
      <c r="R658" s="64"/>
      <c r="S658" s="64"/>
      <c r="T658" s="65"/>
      <c r="U658" s="64"/>
      <c r="V658" s="64"/>
      <c r="W658" s="64"/>
      <c r="X658" s="64"/>
      <c r="Y658" s="64"/>
      <c r="Z658" s="64"/>
      <c r="AA658" s="64"/>
      <c r="AB658" s="64"/>
      <c r="AC658" s="64"/>
      <c r="AD658" s="64"/>
      <c r="AE658" s="64"/>
      <c r="AF658" s="64"/>
      <c r="AG658" s="64"/>
    </row>
    <row r="659">
      <c r="A659" s="64"/>
      <c r="B659" s="64"/>
      <c r="C659" s="64"/>
      <c r="D659" s="64"/>
      <c r="E659" s="65"/>
      <c r="F659" s="64"/>
      <c r="G659" s="67"/>
      <c r="H659" s="64"/>
      <c r="I659" s="64"/>
      <c r="J659" s="64"/>
      <c r="K659" s="64"/>
      <c r="L659" s="65"/>
      <c r="M659" s="64"/>
      <c r="N659" s="64"/>
      <c r="O659" s="64"/>
      <c r="P659" s="64"/>
      <c r="Q659" s="64"/>
      <c r="R659" s="64"/>
      <c r="S659" s="64"/>
      <c r="T659" s="65"/>
      <c r="U659" s="64"/>
      <c r="V659" s="64"/>
      <c r="W659" s="64"/>
      <c r="X659" s="64"/>
      <c r="Y659" s="64"/>
      <c r="Z659" s="64"/>
      <c r="AA659" s="64"/>
      <c r="AB659" s="64"/>
      <c r="AC659" s="64"/>
      <c r="AD659" s="64"/>
      <c r="AE659" s="64"/>
      <c r="AF659" s="64"/>
      <c r="AG659" s="64"/>
    </row>
    <row r="660">
      <c r="A660" s="64"/>
      <c r="B660" s="64"/>
      <c r="C660" s="64"/>
      <c r="D660" s="64"/>
      <c r="E660" s="65"/>
      <c r="F660" s="64"/>
      <c r="G660" s="67"/>
      <c r="H660" s="64"/>
      <c r="I660" s="64"/>
      <c r="J660" s="64"/>
      <c r="K660" s="64"/>
      <c r="L660" s="65"/>
      <c r="M660" s="64"/>
      <c r="N660" s="64"/>
      <c r="O660" s="64"/>
      <c r="P660" s="64"/>
      <c r="Q660" s="64"/>
      <c r="R660" s="64"/>
      <c r="S660" s="64"/>
      <c r="T660" s="65"/>
      <c r="U660" s="64"/>
      <c r="V660" s="64"/>
      <c r="W660" s="64"/>
      <c r="X660" s="64"/>
      <c r="Y660" s="64"/>
      <c r="Z660" s="64"/>
      <c r="AA660" s="64"/>
      <c r="AB660" s="64"/>
      <c r="AC660" s="64"/>
      <c r="AD660" s="64"/>
      <c r="AE660" s="64"/>
      <c r="AF660" s="64"/>
      <c r="AG660" s="64"/>
    </row>
    <row r="661">
      <c r="A661" s="64"/>
      <c r="B661" s="64"/>
      <c r="C661" s="64"/>
      <c r="D661" s="64"/>
      <c r="E661" s="65"/>
      <c r="F661" s="64"/>
      <c r="G661" s="67"/>
      <c r="H661" s="64"/>
      <c r="I661" s="64"/>
      <c r="J661" s="64"/>
      <c r="K661" s="64"/>
      <c r="L661" s="65"/>
      <c r="M661" s="64"/>
      <c r="N661" s="64"/>
      <c r="O661" s="64"/>
      <c r="P661" s="64"/>
      <c r="Q661" s="64"/>
      <c r="R661" s="64"/>
      <c r="S661" s="64"/>
      <c r="T661" s="65"/>
      <c r="U661" s="64"/>
      <c r="V661" s="64"/>
      <c r="W661" s="64"/>
      <c r="X661" s="64"/>
      <c r="Y661" s="64"/>
      <c r="Z661" s="64"/>
      <c r="AA661" s="64"/>
      <c r="AB661" s="64"/>
      <c r="AC661" s="64"/>
      <c r="AD661" s="64"/>
      <c r="AE661" s="64"/>
      <c r="AF661" s="64"/>
      <c r="AG661" s="64"/>
    </row>
    <row r="662">
      <c r="A662" s="64"/>
      <c r="B662" s="64"/>
      <c r="C662" s="64"/>
      <c r="D662" s="64"/>
      <c r="E662" s="65"/>
      <c r="F662" s="64"/>
      <c r="G662" s="67"/>
      <c r="H662" s="64"/>
      <c r="I662" s="64"/>
      <c r="J662" s="64"/>
      <c r="K662" s="64"/>
      <c r="L662" s="65"/>
      <c r="M662" s="64"/>
      <c r="N662" s="64"/>
      <c r="O662" s="64"/>
      <c r="P662" s="64"/>
      <c r="Q662" s="64"/>
      <c r="R662" s="64"/>
      <c r="S662" s="64"/>
      <c r="T662" s="65"/>
      <c r="U662" s="64"/>
      <c r="V662" s="64"/>
      <c r="W662" s="64"/>
      <c r="X662" s="64"/>
      <c r="Y662" s="64"/>
      <c r="Z662" s="64"/>
      <c r="AA662" s="64"/>
      <c r="AB662" s="64"/>
      <c r="AC662" s="64"/>
      <c r="AD662" s="64"/>
      <c r="AE662" s="64"/>
      <c r="AF662" s="64"/>
      <c r="AG662" s="64"/>
    </row>
    <row r="663">
      <c r="A663" s="64"/>
      <c r="B663" s="64"/>
      <c r="C663" s="64"/>
      <c r="D663" s="64"/>
      <c r="E663" s="65"/>
      <c r="F663" s="64"/>
      <c r="G663" s="67"/>
      <c r="H663" s="64"/>
      <c r="I663" s="64"/>
      <c r="J663" s="64"/>
      <c r="K663" s="64"/>
      <c r="L663" s="65"/>
      <c r="M663" s="64"/>
      <c r="N663" s="64"/>
      <c r="O663" s="64"/>
      <c r="P663" s="64"/>
      <c r="Q663" s="64"/>
      <c r="R663" s="64"/>
      <c r="S663" s="64"/>
      <c r="T663" s="65"/>
      <c r="U663" s="64"/>
      <c r="V663" s="64"/>
      <c r="W663" s="64"/>
      <c r="X663" s="64"/>
      <c r="Y663" s="64"/>
      <c r="Z663" s="64"/>
      <c r="AA663" s="64"/>
      <c r="AB663" s="64"/>
      <c r="AC663" s="64"/>
      <c r="AD663" s="64"/>
      <c r="AE663" s="64"/>
      <c r="AF663" s="64"/>
      <c r="AG663" s="64"/>
    </row>
    <row r="664">
      <c r="A664" s="64"/>
      <c r="B664" s="64"/>
      <c r="C664" s="64"/>
      <c r="D664" s="64"/>
      <c r="E664" s="65"/>
      <c r="F664" s="64"/>
      <c r="G664" s="67"/>
      <c r="H664" s="64"/>
      <c r="I664" s="64"/>
      <c r="J664" s="64"/>
      <c r="K664" s="64"/>
      <c r="L664" s="65"/>
      <c r="M664" s="64"/>
      <c r="N664" s="64"/>
      <c r="O664" s="64"/>
      <c r="P664" s="64"/>
      <c r="Q664" s="64"/>
      <c r="R664" s="64"/>
      <c r="S664" s="64"/>
      <c r="T664" s="65"/>
      <c r="U664" s="64"/>
      <c r="V664" s="64"/>
      <c r="W664" s="64"/>
      <c r="X664" s="64"/>
      <c r="Y664" s="64"/>
      <c r="Z664" s="64"/>
      <c r="AA664" s="64"/>
      <c r="AB664" s="64"/>
      <c r="AC664" s="64"/>
      <c r="AD664" s="64"/>
      <c r="AE664" s="64"/>
      <c r="AF664" s="64"/>
      <c r="AG664" s="64"/>
    </row>
    <row r="665">
      <c r="A665" s="64"/>
      <c r="B665" s="64"/>
      <c r="C665" s="64"/>
      <c r="D665" s="64"/>
      <c r="E665" s="65"/>
      <c r="F665" s="64"/>
      <c r="G665" s="67"/>
      <c r="H665" s="64"/>
      <c r="I665" s="64"/>
      <c r="J665" s="64"/>
      <c r="K665" s="64"/>
      <c r="L665" s="65"/>
      <c r="M665" s="64"/>
      <c r="N665" s="64"/>
      <c r="O665" s="64"/>
      <c r="P665" s="64"/>
      <c r="Q665" s="64"/>
      <c r="R665" s="64"/>
      <c r="S665" s="64"/>
      <c r="T665" s="65"/>
      <c r="U665" s="64"/>
      <c r="V665" s="64"/>
      <c r="W665" s="64"/>
      <c r="X665" s="64"/>
      <c r="Y665" s="64"/>
      <c r="Z665" s="64"/>
      <c r="AA665" s="64"/>
      <c r="AB665" s="64"/>
      <c r="AC665" s="64"/>
      <c r="AD665" s="64"/>
      <c r="AE665" s="64"/>
      <c r="AF665" s="64"/>
      <c r="AG665" s="64"/>
    </row>
    <row r="666">
      <c r="A666" s="64"/>
      <c r="B666" s="64"/>
      <c r="C666" s="64"/>
      <c r="D666" s="64"/>
      <c r="E666" s="65"/>
      <c r="F666" s="64"/>
      <c r="G666" s="67"/>
      <c r="H666" s="64"/>
      <c r="I666" s="64"/>
      <c r="J666" s="64"/>
      <c r="K666" s="64"/>
      <c r="L666" s="65"/>
      <c r="M666" s="64"/>
      <c r="N666" s="64"/>
      <c r="O666" s="64"/>
      <c r="P666" s="64"/>
      <c r="Q666" s="64"/>
      <c r="R666" s="64"/>
      <c r="S666" s="64"/>
      <c r="T666" s="65"/>
      <c r="U666" s="64"/>
      <c r="V666" s="64"/>
      <c r="W666" s="64"/>
      <c r="X666" s="64"/>
      <c r="Y666" s="64"/>
      <c r="Z666" s="64"/>
      <c r="AA666" s="64"/>
      <c r="AB666" s="64"/>
      <c r="AC666" s="64"/>
      <c r="AD666" s="64"/>
      <c r="AE666" s="64"/>
      <c r="AF666" s="64"/>
      <c r="AG666" s="64"/>
    </row>
    <row r="667">
      <c r="A667" s="64"/>
      <c r="B667" s="64"/>
      <c r="C667" s="64"/>
      <c r="D667" s="64"/>
      <c r="E667" s="65"/>
      <c r="F667" s="64"/>
      <c r="G667" s="67"/>
      <c r="H667" s="64"/>
      <c r="I667" s="64"/>
      <c r="J667" s="64"/>
      <c r="K667" s="64"/>
      <c r="L667" s="65"/>
      <c r="M667" s="64"/>
      <c r="N667" s="64"/>
      <c r="O667" s="64"/>
      <c r="P667" s="64"/>
      <c r="Q667" s="64"/>
      <c r="R667" s="64"/>
      <c r="S667" s="64"/>
      <c r="T667" s="65"/>
      <c r="U667" s="64"/>
      <c r="V667" s="64"/>
      <c r="W667" s="64"/>
      <c r="X667" s="64"/>
      <c r="Y667" s="64"/>
      <c r="Z667" s="64"/>
      <c r="AA667" s="64"/>
      <c r="AB667" s="64"/>
      <c r="AC667" s="64"/>
      <c r="AD667" s="64"/>
      <c r="AE667" s="64"/>
      <c r="AF667" s="64"/>
      <c r="AG667" s="64"/>
    </row>
    <row r="668">
      <c r="A668" s="64"/>
      <c r="B668" s="64"/>
      <c r="C668" s="64"/>
      <c r="D668" s="64"/>
      <c r="E668" s="65"/>
      <c r="F668" s="64"/>
      <c r="G668" s="67"/>
      <c r="H668" s="64"/>
      <c r="I668" s="64"/>
      <c r="J668" s="64"/>
      <c r="K668" s="64"/>
      <c r="L668" s="65"/>
      <c r="M668" s="64"/>
      <c r="N668" s="64"/>
      <c r="O668" s="64"/>
      <c r="P668" s="64"/>
      <c r="Q668" s="64"/>
      <c r="R668" s="64"/>
      <c r="S668" s="64"/>
      <c r="T668" s="65"/>
      <c r="U668" s="64"/>
      <c r="V668" s="64"/>
      <c r="W668" s="64"/>
      <c r="X668" s="64"/>
      <c r="Y668" s="64"/>
      <c r="Z668" s="64"/>
      <c r="AA668" s="64"/>
      <c r="AB668" s="64"/>
      <c r="AC668" s="64"/>
      <c r="AD668" s="64"/>
      <c r="AE668" s="64"/>
      <c r="AF668" s="64"/>
      <c r="AG668" s="64"/>
    </row>
    <row r="669">
      <c r="A669" s="64"/>
      <c r="B669" s="64"/>
      <c r="C669" s="64"/>
      <c r="D669" s="64"/>
      <c r="E669" s="65"/>
      <c r="F669" s="64"/>
      <c r="G669" s="67"/>
      <c r="H669" s="64"/>
      <c r="I669" s="64"/>
      <c r="J669" s="64"/>
      <c r="K669" s="64"/>
      <c r="L669" s="65"/>
      <c r="M669" s="64"/>
      <c r="N669" s="64"/>
      <c r="O669" s="64"/>
      <c r="P669" s="64"/>
      <c r="Q669" s="64"/>
      <c r="R669" s="64"/>
      <c r="S669" s="64"/>
      <c r="T669" s="65"/>
      <c r="U669" s="64"/>
      <c r="V669" s="64"/>
      <c r="W669" s="64"/>
      <c r="X669" s="64"/>
      <c r="Y669" s="64"/>
      <c r="Z669" s="64"/>
      <c r="AA669" s="64"/>
      <c r="AB669" s="64"/>
      <c r="AC669" s="64"/>
      <c r="AD669" s="64"/>
      <c r="AE669" s="64"/>
      <c r="AF669" s="64"/>
      <c r="AG669" s="64"/>
    </row>
    <row r="670">
      <c r="A670" s="64"/>
      <c r="B670" s="64"/>
      <c r="C670" s="64"/>
      <c r="D670" s="64"/>
      <c r="E670" s="65"/>
      <c r="F670" s="64"/>
      <c r="G670" s="67"/>
      <c r="H670" s="64"/>
      <c r="I670" s="64"/>
      <c r="J670" s="64"/>
      <c r="K670" s="64"/>
      <c r="L670" s="65"/>
      <c r="M670" s="64"/>
      <c r="N670" s="64"/>
      <c r="O670" s="64"/>
      <c r="P670" s="64"/>
      <c r="Q670" s="64"/>
      <c r="R670" s="64"/>
      <c r="S670" s="64"/>
      <c r="T670" s="65"/>
      <c r="U670" s="64"/>
      <c r="V670" s="64"/>
      <c r="W670" s="64"/>
      <c r="X670" s="64"/>
      <c r="Y670" s="64"/>
      <c r="Z670" s="64"/>
      <c r="AA670" s="64"/>
      <c r="AB670" s="64"/>
      <c r="AC670" s="64"/>
      <c r="AD670" s="64"/>
      <c r="AE670" s="64"/>
      <c r="AF670" s="64"/>
      <c r="AG670" s="64"/>
    </row>
    <row r="671">
      <c r="A671" s="64"/>
      <c r="B671" s="64"/>
      <c r="C671" s="64"/>
      <c r="D671" s="64"/>
      <c r="E671" s="65"/>
      <c r="F671" s="64"/>
      <c r="G671" s="67"/>
      <c r="H671" s="64"/>
      <c r="I671" s="64"/>
      <c r="J671" s="64"/>
      <c r="K671" s="64"/>
      <c r="L671" s="65"/>
      <c r="M671" s="64"/>
      <c r="N671" s="64"/>
      <c r="O671" s="64"/>
      <c r="P671" s="64"/>
      <c r="Q671" s="64"/>
      <c r="R671" s="64"/>
      <c r="S671" s="64"/>
      <c r="T671" s="65"/>
      <c r="U671" s="64"/>
      <c r="V671" s="64"/>
      <c r="W671" s="64"/>
      <c r="X671" s="64"/>
      <c r="Y671" s="64"/>
      <c r="Z671" s="64"/>
      <c r="AA671" s="64"/>
      <c r="AB671" s="64"/>
      <c r="AC671" s="64"/>
      <c r="AD671" s="64"/>
      <c r="AE671" s="64"/>
      <c r="AF671" s="64"/>
      <c r="AG671" s="64"/>
    </row>
    <row r="672">
      <c r="A672" s="64"/>
      <c r="B672" s="64"/>
      <c r="C672" s="64"/>
      <c r="D672" s="64"/>
      <c r="E672" s="65"/>
      <c r="F672" s="64"/>
      <c r="G672" s="67"/>
      <c r="H672" s="64"/>
      <c r="I672" s="64"/>
      <c r="J672" s="64"/>
      <c r="K672" s="64"/>
      <c r="L672" s="65"/>
      <c r="M672" s="64"/>
      <c r="N672" s="64"/>
      <c r="O672" s="64"/>
      <c r="P672" s="64"/>
      <c r="Q672" s="64"/>
      <c r="R672" s="64"/>
      <c r="S672" s="64"/>
      <c r="T672" s="65"/>
      <c r="U672" s="64"/>
      <c r="V672" s="64"/>
      <c r="W672" s="64"/>
      <c r="X672" s="64"/>
      <c r="Y672" s="64"/>
      <c r="Z672" s="64"/>
      <c r="AA672" s="64"/>
      <c r="AB672" s="64"/>
      <c r="AC672" s="64"/>
      <c r="AD672" s="64"/>
      <c r="AE672" s="64"/>
      <c r="AF672" s="64"/>
      <c r="AG672" s="64"/>
    </row>
    <row r="673">
      <c r="A673" s="64"/>
      <c r="B673" s="64"/>
      <c r="C673" s="64"/>
      <c r="D673" s="64"/>
      <c r="E673" s="65"/>
      <c r="F673" s="64"/>
      <c r="G673" s="67"/>
      <c r="H673" s="64"/>
      <c r="I673" s="64"/>
      <c r="J673" s="64"/>
      <c r="K673" s="64"/>
      <c r="L673" s="65"/>
      <c r="M673" s="64"/>
      <c r="N673" s="64"/>
      <c r="O673" s="64"/>
      <c r="P673" s="64"/>
      <c r="Q673" s="64"/>
      <c r="R673" s="64"/>
      <c r="S673" s="64"/>
      <c r="T673" s="65"/>
      <c r="U673" s="64"/>
      <c r="V673" s="64"/>
      <c r="W673" s="64"/>
      <c r="X673" s="64"/>
      <c r="Y673" s="64"/>
      <c r="Z673" s="64"/>
      <c r="AA673" s="64"/>
      <c r="AB673" s="64"/>
      <c r="AC673" s="64"/>
      <c r="AD673" s="64"/>
      <c r="AE673" s="64"/>
      <c r="AF673" s="64"/>
      <c r="AG673" s="64"/>
    </row>
    <row r="674">
      <c r="A674" s="64"/>
      <c r="B674" s="64"/>
      <c r="C674" s="64"/>
      <c r="D674" s="64"/>
      <c r="E674" s="65"/>
      <c r="F674" s="64"/>
      <c r="G674" s="67"/>
      <c r="H674" s="64"/>
      <c r="I674" s="64"/>
      <c r="J674" s="64"/>
      <c r="K674" s="64"/>
      <c r="L674" s="65"/>
      <c r="M674" s="64"/>
      <c r="N674" s="64"/>
      <c r="O674" s="64"/>
      <c r="P674" s="64"/>
      <c r="Q674" s="64"/>
      <c r="R674" s="64"/>
      <c r="S674" s="64"/>
      <c r="T674" s="65"/>
      <c r="U674" s="64"/>
      <c r="V674" s="64"/>
      <c r="W674" s="64"/>
      <c r="X674" s="64"/>
      <c r="Y674" s="64"/>
      <c r="Z674" s="64"/>
      <c r="AA674" s="64"/>
      <c r="AB674" s="64"/>
      <c r="AC674" s="64"/>
      <c r="AD674" s="64"/>
      <c r="AE674" s="64"/>
      <c r="AF674" s="64"/>
      <c r="AG674" s="64"/>
    </row>
    <row r="675">
      <c r="A675" s="64"/>
      <c r="B675" s="64"/>
      <c r="C675" s="64"/>
      <c r="D675" s="64"/>
      <c r="E675" s="65"/>
      <c r="F675" s="64"/>
      <c r="G675" s="67"/>
      <c r="H675" s="64"/>
      <c r="I675" s="64"/>
      <c r="J675" s="64"/>
      <c r="K675" s="64"/>
      <c r="L675" s="65"/>
      <c r="M675" s="64"/>
      <c r="N675" s="64"/>
      <c r="O675" s="64"/>
      <c r="P675" s="64"/>
      <c r="Q675" s="64"/>
      <c r="R675" s="64"/>
      <c r="S675" s="64"/>
      <c r="T675" s="65"/>
      <c r="U675" s="64"/>
      <c r="V675" s="64"/>
      <c r="W675" s="64"/>
      <c r="X675" s="64"/>
      <c r="Y675" s="64"/>
      <c r="Z675" s="64"/>
      <c r="AA675" s="64"/>
      <c r="AB675" s="64"/>
      <c r="AC675" s="64"/>
      <c r="AD675" s="64"/>
      <c r="AE675" s="64"/>
      <c r="AF675" s="64"/>
      <c r="AG675" s="64"/>
    </row>
    <row r="676">
      <c r="A676" s="64"/>
      <c r="B676" s="64"/>
      <c r="C676" s="64"/>
      <c r="D676" s="64"/>
      <c r="E676" s="65"/>
      <c r="F676" s="64"/>
      <c r="G676" s="67"/>
      <c r="H676" s="64"/>
      <c r="I676" s="64"/>
      <c r="J676" s="64"/>
      <c r="K676" s="64"/>
      <c r="L676" s="65"/>
      <c r="M676" s="64"/>
      <c r="N676" s="64"/>
      <c r="O676" s="64"/>
      <c r="P676" s="64"/>
      <c r="Q676" s="64"/>
      <c r="R676" s="64"/>
      <c r="S676" s="64"/>
      <c r="T676" s="65"/>
      <c r="U676" s="64"/>
      <c r="V676" s="64"/>
      <c r="W676" s="64"/>
      <c r="X676" s="64"/>
      <c r="Y676" s="64"/>
      <c r="Z676" s="64"/>
      <c r="AA676" s="64"/>
      <c r="AB676" s="64"/>
      <c r="AC676" s="64"/>
      <c r="AD676" s="64"/>
      <c r="AE676" s="64"/>
      <c r="AF676" s="64"/>
      <c r="AG676" s="64"/>
    </row>
    <row r="677">
      <c r="A677" s="64"/>
      <c r="B677" s="64"/>
      <c r="C677" s="64"/>
      <c r="D677" s="64"/>
      <c r="E677" s="65"/>
      <c r="F677" s="64"/>
      <c r="G677" s="67"/>
      <c r="H677" s="64"/>
      <c r="I677" s="64"/>
      <c r="J677" s="64"/>
      <c r="K677" s="64"/>
      <c r="L677" s="65"/>
      <c r="M677" s="64"/>
      <c r="N677" s="64"/>
      <c r="O677" s="64"/>
      <c r="P677" s="64"/>
      <c r="Q677" s="64"/>
      <c r="R677" s="64"/>
      <c r="S677" s="64"/>
      <c r="T677" s="65"/>
      <c r="U677" s="64"/>
      <c r="V677" s="64"/>
      <c r="W677" s="64"/>
      <c r="X677" s="64"/>
      <c r="Y677" s="64"/>
      <c r="Z677" s="64"/>
      <c r="AA677" s="64"/>
      <c r="AB677" s="64"/>
      <c r="AC677" s="64"/>
      <c r="AD677" s="64"/>
      <c r="AE677" s="64"/>
      <c r="AF677" s="64"/>
      <c r="AG677" s="64"/>
    </row>
    <row r="678">
      <c r="A678" s="64"/>
      <c r="B678" s="64"/>
      <c r="C678" s="64"/>
      <c r="D678" s="64"/>
      <c r="E678" s="65"/>
      <c r="F678" s="64"/>
      <c r="G678" s="67"/>
      <c r="H678" s="64"/>
      <c r="I678" s="64"/>
      <c r="J678" s="64"/>
      <c r="K678" s="64"/>
      <c r="L678" s="65"/>
      <c r="M678" s="64"/>
      <c r="N678" s="64"/>
      <c r="O678" s="64"/>
      <c r="P678" s="64"/>
      <c r="Q678" s="64"/>
      <c r="R678" s="64"/>
      <c r="S678" s="64"/>
      <c r="T678" s="65"/>
      <c r="U678" s="64"/>
      <c r="V678" s="64"/>
      <c r="W678" s="64"/>
      <c r="X678" s="64"/>
      <c r="Y678" s="64"/>
      <c r="Z678" s="64"/>
      <c r="AA678" s="64"/>
      <c r="AB678" s="64"/>
      <c r="AC678" s="64"/>
      <c r="AD678" s="64"/>
      <c r="AE678" s="64"/>
      <c r="AF678" s="64"/>
      <c r="AG678" s="64"/>
    </row>
    <row r="679">
      <c r="A679" s="64"/>
      <c r="B679" s="64"/>
      <c r="C679" s="64"/>
      <c r="D679" s="64"/>
      <c r="E679" s="65"/>
      <c r="F679" s="64"/>
      <c r="G679" s="67"/>
      <c r="H679" s="64"/>
      <c r="I679" s="64"/>
      <c r="J679" s="64"/>
      <c r="K679" s="64"/>
      <c r="L679" s="65"/>
      <c r="M679" s="64"/>
      <c r="N679" s="64"/>
      <c r="O679" s="64"/>
      <c r="P679" s="64"/>
      <c r="Q679" s="64"/>
      <c r="R679" s="64"/>
      <c r="S679" s="64"/>
      <c r="T679" s="65"/>
      <c r="U679" s="64"/>
      <c r="V679" s="64"/>
      <c r="W679" s="64"/>
      <c r="X679" s="64"/>
      <c r="Y679" s="64"/>
      <c r="Z679" s="64"/>
      <c r="AA679" s="64"/>
      <c r="AB679" s="64"/>
      <c r="AC679" s="64"/>
      <c r="AD679" s="64"/>
      <c r="AE679" s="64"/>
      <c r="AF679" s="64"/>
      <c r="AG679" s="64"/>
    </row>
    <row r="680">
      <c r="A680" s="64"/>
      <c r="B680" s="64"/>
      <c r="C680" s="64"/>
      <c r="D680" s="64"/>
      <c r="E680" s="65"/>
      <c r="F680" s="64"/>
      <c r="G680" s="67"/>
      <c r="H680" s="64"/>
      <c r="I680" s="64"/>
      <c r="J680" s="64"/>
      <c r="K680" s="64"/>
      <c r="L680" s="65"/>
      <c r="M680" s="64"/>
      <c r="N680" s="64"/>
      <c r="O680" s="64"/>
      <c r="P680" s="64"/>
      <c r="Q680" s="64"/>
      <c r="R680" s="64"/>
      <c r="S680" s="64"/>
      <c r="T680" s="65"/>
      <c r="U680" s="64"/>
      <c r="V680" s="64"/>
      <c r="W680" s="64"/>
      <c r="X680" s="64"/>
      <c r="Y680" s="64"/>
      <c r="Z680" s="64"/>
      <c r="AA680" s="64"/>
      <c r="AB680" s="64"/>
      <c r="AC680" s="64"/>
      <c r="AD680" s="64"/>
      <c r="AE680" s="64"/>
      <c r="AF680" s="64"/>
      <c r="AG680" s="64"/>
    </row>
    <row r="681">
      <c r="A681" s="64"/>
      <c r="B681" s="64"/>
      <c r="C681" s="64"/>
      <c r="D681" s="64"/>
      <c r="E681" s="65"/>
      <c r="F681" s="64"/>
      <c r="G681" s="67"/>
      <c r="H681" s="64"/>
      <c r="I681" s="64"/>
      <c r="J681" s="64"/>
      <c r="K681" s="64"/>
      <c r="L681" s="65"/>
      <c r="M681" s="64"/>
      <c r="N681" s="64"/>
      <c r="O681" s="64"/>
      <c r="P681" s="64"/>
      <c r="Q681" s="64"/>
      <c r="R681" s="64"/>
      <c r="S681" s="64"/>
      <c r="T681" s="65"/>
      <c r="U681" s="64"/>
      <c r="V681" s="64"/>
      <c r="W681" s="64"/>
      <c r="X681" s="64"/>
      <c r="Y681" s="64"/>
      <c r="Z681" s="64"/>
      <c r="AA681" s="64"/>
      <c r="AB681" s="64"/>
      <c r="AC681" s="64"/>
      <c r="AD681" s="64"/>
      <c r="AE681" s="64"/>
      <c r="AF681" s="64"/>
      <c r="AG681" s="64"/>
    </row>
    <row r="682">
      <c r="A682" s="64"/>
      <c r="B682" s="64"/>
      <c r="C682" s="64"/>
      <c r="D682" s="64"/>
      <c r="E682" s="65"/>
      <c r="F682" s="64"/>
      <c r="G682" s="67"/>
      <c r="H682" s="64"/>
      <c r="I682" s="64"/>
      <c r="J682" s="64"/>
      <c r="K682" s="64"/>
      <c r="L682" s="65"/>
      <c r="M682" s="64"/>
      <c r="N682" s="64"/>
      <c r="O682" s="64"/>
      <c r="P682" s="64"/>
      <c r="Q682" s="64"/>
      <c r="R682" s="64"/>
      <c r="S682" s="64"/>
      <c r="T682" s="65"/>
      <c r="U682" s="64"/>
      <c r="V682" s="64"/>
      <c r="W682" s="64"/>
      <c r="X682" s="64"/>
      <c r="Y682" s="64"/>
      <c r="Z682" s="64"/>
      <c r="AA682" s="64"/>
      <c r="AB682" s="64"/>
      <c r="AC682" s="64"/>
      <c r="AD682" s="64"/>
      <c r="AE682" s="64"/>
      <c r="AF682" s="64"/>
      <c r="AG682" s="64"/>
    </row>
    <row r="683">
      <c r="A683" s="64"/>
      <c r="B683" s="64"/>
      <c r="C683" s="64"/>
      <c r="D683" s="64"/>
      <c r="E683" s="65"/>
      <c r="F683" s="64"/>
      <c r="G683" s="67"/>
      <c r="H683" s="64"/>
      <c r="I683" s="64"/>
      <c r="J683" s="64"/>
      <c r="K683" s="64"/>
      <c r="L683" s="65"/>
      <c r="M683" s="64"/>
      <c r="N683" s="64"/>
      <c r="O683" s="64"/>
      <c r="P683" s="64"/>
      <c r="Q683" s="64"/>
      <c r="R683" s="64"/>
      <c r="S683" s="64"/>
      <c r="T683" s="65"/>
      <c r="U683" s="64"/>
      <c r="V683" s="64"/>
      <c r="W683" s="64"/>
      <c r="X683" s="64"/>
      <c r="Y683" s="64"/>
      <c r="Z683" s="64"/>
      <c r="AA683" s="64"/>
      <c r="AB683" s="64"/>
      <c r="AC683" s="64"/>
      <c r="AD683" s="64"/>
      <c r="AE683" s="64"/>
      <c r="AF683" s="64"/>
      <c r="AG683" s="64"/>
    </row>
    <row r="684">
      <c r="A684" s="64"/>
      <c r="B684" s="64"/>
      <c r="C684" s="64"/>
      <c r="D684" s="64"/>
      <c r="E684" s="65"/>
      <c r="F684" s="64"/>
      <c r="G684" s="67"/>
      <c r="H684" s="64"/>
      <c r="I684" s="64"/>
      <c r="J684" s="64"/>
      <c r="K684" s="64"/>
      <c r="L684" s="65"/>
      <c r="M684" s="64"/>
      <c r="N684" s="64"/>
      <c r="O684" s="64"/>
      <c r="P684" s="64"/>
      <c r="Q684" s="64"/>
      <c r="R684" s="64"/>
      <c r="S684" s="64"/>
      <c r="T684" s="65"/>
      <c r="U684" s="64"/>
      <c r="V684" s="64"/>
      <c r="W684" s="64"/>
      <c r="X684" s="64"/>
      <c r="Y684" s="64"/>
      <c r="Z684" s="64"/>
      <c r="AA684" s="64"/>
      <c r="AB684" s="64"/>
      <c r="AC684" s="64"/>
      <c r="AD684" s="64"/>
      <c r="AE684" s="64"/>
      <c r="AF684" s="64"/>
      <c r="AG684" s="64"/>
    </row>
    <row r="685">
      <c r="A685" s="64"/>
      <c r="B685" s="64"/>
      <c r="C685" s="64"/>
      <c r="D685" s="64"/>
      <c r="E685" s="65"/>
      <c r="F685" s="64"/>
      <c r="G685" s="67"/>
      <c r="H685" s="64"/>
      <c r="I685" s="64"/>
      <c r="J685" s="64"/>
      <c r="K685" s="64"/>
      <c r="L685" s="65"/>
      <c r="M685" s="64"/>
      <c r="N685" s="64"/>
      <c r="O685" s="64"/>
      <c r="P685" s="64"/>
      <c r="Q685" s="64"/>
      <c r="R685" s="64"/>
      <c r="S685" s="64"/>
      <c r="T685" s="65"/>
      <c r="U685" s="64"/>
      <c r="V685" s="64"/>
      <c r="W685" s="64"/>
      <c r="X685" s="64"/>
      <c r="Y685" s="64"/>
      <c r="Z685" s="64"/>
      <c r="AA685" s="64"/>
      <c r="AB685" s="64"/>
      <c r="AC685" s="64"/>
      <c r="AD685" s="64"/>
      <c r="AE685" s="64"/>
      <c r="AF685" s="64"/>
      <c r="AG685" s="64"/>
    </row>
    <row r="686">
      <c r="A686" s="64"/>
      <c r="B686" s="64"/>
      <c r="C686" s="64"/>
      <c r="D686" s="64"/>
      <c r="E686" s="65"/>
      <c r="F686" s="64"/>
      <c r="G686" s="67"/>
      <c r="H686" s="64"/>
      <c r="I686" s="64"/>
      <c r="J686" s="64"/>
      <c r="K686" s="64"/>
      <c r="L686" s="65"/>
      <c r="M686" s="64"/>
      <c r="N686" s="64"/>
      <c r="O686" s="64"/>
      <c r="P686" s="64"/>
      <c r="Q686" s="64"/>
      <c r="R686" s="64"/>
      <c r="S686" s="64"/>
      <c r="T686" s="65"/>
      <c r="U686" s="64"/>
      <c r="V686" s="64"/>
      <c r="W686" s="64"/>
      <c r="X686" s="64"/>
      <c r="Y686" s="64"/>
      <c r="Z686" s="64"/>
      <c r="AA686" s="64"/>
      <c r="AB686" s="64"/>
      <c r="AC686" s="64"/>
      <c r="AD686" s="64"/>
      <c r="AE686" s="64"/>
      <c r="AF686" s="64"/>
      <c r="AG686" s="64"/>
    </row>
    <row r="687">
      <c r="A687" s="64"/>
      <c r="B687" s="64"/>
      <c r="C687" s="64"/>
      <c r="D687" s="64"/>
      <c r="E687" s="65"/>
      <c r="F687" s="64"/>
      <c r="G687" s="67"/>
      <c r="H687" s="64"/>
      <c r="I687" s="64"/>
      <c r="J687" s="64"/>
      <c r="K687" s="64"/>
      <c r="L687" s="65"/>
      <c r="M687" s="64"/>
      <c r="N687" s="64"/>
      <c r="O687" s="64"/>
      <c r="P687" s="64"/>
      <c r="Q687" s="64"/>
      <c r="R687" s="64"/>
      <c r="S687" s="64"/>
      <c r="T687" s="65"/>
      <c r="U687" s="64"/>
      <c r="V687" s="64"/>
      <c r="W687" s="64"/>
      <c r="X687" s="64"/>
      <c r="Y687" s="64"/>
      <c r="Z687" s="64"/>
      <c r="AA687" s="64"/>
      <c r="AB687" s="64"/>
      <c r="AC687" s="64"/>
      <c r="AD687" s="64"/>
      <c r="AE687" s="64"/>
      <c r="AF687" s="64"/>
      <c r="AG687" s="64"/>
    </row>
    <row r="688">
      <c r="A688" s="64"/>
      <c r="B688" s="64"/>
      <c r="C688" s="64"/>
      <c r="D688" s="64"/>
      <c r="E688" s="65"/>
      <c r="F688" s="64"/>
      <c r="G688" s="67"/>
      <c r="H688" s="64"/>
      <c r="I688" s="64"/>
      <c r="J688" s="64"/>
      <c r="K688" s="64"/>
      <c r="L688" s="65"/>
      <c r="M688" s="64"/>
      <c r="N688" s="64"/>
      <c r="O688" s="64"/>
      <c r="P688" s="64"/>
      <c r="Q688" s="64"/>
      <c r="R688" s="64"/>
      <c r="S688" s="64"/>
      <c r="T688" s="65"/>
      <c r="U688" s="64"/>
      <c r="V688" s="64"/>
      <c r="W688" s="64"/>
      <c r="X688" s="64"/>
      <c r="Y688" s="64"/>
      <c r="Z688" s="64"/>
      <c r="AA688" s="64"/>
      <c r="AB688" s="64"/>
      <c r="AC688" s="64"/>
      <c r="AD688" s="64"/>
      <c r="AE688" s="64"/>
      <c r="AF688" s="64"/>
      <c r="AG688" s="64"/>
    </row>
    <row r="689">
      <c r="A689" s="64"/>
      <c r="B689" s="64"/>
      <c r="C689" s="64"/>
      <c r="D689" s="64"/>
      <c r="E689" s="65"/>
      <c r="F689" s="64"/>
      <c r="G689" s="67"/>
      <c r="H689" s="64"/>
      <c r="I689" s="64"/>
      <c r="J689" s="64"/>
      <c r="K689" s="64"/>
      <c r="L689" s="65"/>
      <c r="M689" s="64"/>
      <c r="N689" s="64"/>
      <c r="O689" s="64"/>
      <c r="P689" s="64"/>
      <c r="Q689" s="64"/>
      <c r="R689" s="64"/>
      <c r="S689" s="64"/>
      <c r="T689" s="65"/>
      <c r="U689" s="64"/>
      <c r="V689" s="64"/>
      <c r="W689" s="64"/>
      <c r="X689" s="64"/>
      <c r="Y689" s="64"/>
      <c r="Z689" s="64"/>
      <c r="AA689" s="64"/>
      <c r="AB689" s="64"/>
      <c r="AC689" s="64"/>
      <c r="AD689" s="64"/>
      <c r="AE689" s="64"/>
      <c r="AF689" s="64"/>
      <c r="AG689" s="64"/>
    </row>
    <row r="690">
      <c r="A690" s="64"/>
      <c r="B690" s="64"/>
      <c r="C690" s="64"/>
      <c r="D690" s="64"/>
      <c r="E690" s="65"/>
      <c r="F690" s="64"/>
      <c r="G690" s="67"/>
      <c r="H690" s="64"/>
      <c r="I690" s="64"/>
      <c r="J690" s="64"/>
      <c r="K690" s="64"/>
      <c r="L690" s="65"/>
      <c r="M690" s="64"/>
      <c r="N690" s="64"/>
      <c r="O690" s="64"/>
      <c r="P690" s="64"/>
      <c r="Q690" s="64"/>
      <c r="R690" s="64"/>
      <c r="S690" s="64"/>
      <c r="T690" s="65"/>
      <c r="U690" s="64"/>
      <c r="V690" s="64"/>
      <c r="W690" s="64"/>
      <c r="X690" s="64"/>
      <c r="Y690" s="64"/>
      <c r="Z690" s="64"/>
      <c r="AA690" s="64"/>
      <c r="AB690" s="64"/>
      <c r="AC690" s="64"/>
      <c r="AD690" s="64"/>
      <c r="AE690" s="64"/>
      <c r="AF690" s="64"/>
      <c r="AG690" s="64"/>
    </row>
    <row r="691">
      <c r="A691" s="64"/>
      <c r="B691" s="64"/>
      <c r="C691" s="64"/>
      <c r="D691" s="64"/>
      <c r="E691" s="65"/>
      <c r="F691" s="64"/>
      <c r="G691" s="67"/>
      <c r="H691" s="64"/>
      <c r="I691" s="64"/>
      <c r="J691" s="64"/>
      <c r="K691" s="64"/>
      <c r="L691" s="65"/>
      <c r="M691" s="64"/>
      <c r="N691" s="64"/>
      <c r="O691" s="64"/>
      <c r="P691" s="64"/>
      <c r="Q691" s="64"/>
      <c r="R691" s="64"/>
      <c r="S691" s="64"/>
      <c r="T691" s="65"/>
      <c r="U691" s="64"/>
      <c r="V691" s="64"/>
      <c r="W691" s="64"/>
      <c r="X691" s="64"/>
      <c r="Y691" s="64"/>
      <c r="Z691" s="64"/>
      <c r="AA691" s="64"/>
      <c r="AB691" s="64"/>
      <c r="AC691" s="64"/>
      <c r="AD691" s="64"/>
      <c r="AE691" s="64"/>
      <c r="AF691" s="64"/>
      <c r="AG691" s="64"/>
    </row>
    <row r="692">
      <c r="A692" s="64"/>
      <c r="B692" s="64"/>
      <c r="C692" s="64"/>
      <c r="D692" s="64"/>
      <c r="E692" s="65"/>
      <c r="F692" s="64"/>
      <c r="G692" s="67"/>
      <c r="H692" s="64"/>
      <c r="I692" s="64"/>
      <c r="J692" s="64"/>
      <c r="K692" s="64"/>
      <c r="L692" s="65"/>
      <c r="M692" s="64"/>
      <c r="N692" s="64"/>
      <c r="O692" s="64"/>
      <c r="P692" s="64"/>
      <c r="Q692" s="64"/>
      <c r="R692" s="64"/>
      <c r="S692" s="64"/>
      <c r="T692" s="65"/>
      <c r="U692" s="64"/>
      <c r="V692" s="64"/>
      <c r="W692" s="64"/>
      <c r="X692" s="64"/>
      <c r="Y692" s="64"/>
      <c r="Z692" s="64"/>
      <c r="AA692" s="64"/>
      <c r="AB692" s="64"/>
      <c r="AC692" s="64"/>
      <c r="AD692" s="64"/>
      <c r="AE692" s="64"/>
      <c r="AF692" s="64"/>
      <c r="AG692" s="64"/>
    </row>
    <row r="693">
      <c r="A693" s="64"/>
      <c r="B693" s="64"/>
      <c r="C693" s="64"/>
      <c r="D693" s="64"/>
      <c r="E693" s="65"/>
      <c r="F693" s="64"/>
      <c r="G693" s="67"/>
      <c r="H693" s="64"/>
      <c r="I693" s="64"/>
      <c r="J693" s="64"/>
      <c r="K693" s="64"/>
      <c r="L693" s="65"/>
      <c r="M693" s="64"/>
      <c r="N693" s="64"/>
      <c r="O693" s="64"/>
      <c r="P693" s="64"/>
      <c r="Q693" s="64"/>
      <c r="R693" s="64"/>
      <c r="S693" s="64"/>
      <c r="T693" s="65"/>
      <c r="U693" s="64"/>
      <c r="V693" s="64"/>
      <c r="W693" s="64"/>
      <c r="X693" s="64"/>
      <c r="Y693" s="64"/>
      <c r="Z693" s="64"/>
      <c r="AA693" s="64"/>
      <c r="AB693" s="64"/>
      <c r="AC693" s="64"/>
      <c r="AD693" s="64"/>
      <c r="AE693" s="64"/>
      <c r="AF693" s="64"/>
      <c r="AG693" s="64"/>
    </row>
    <row r="694">
      <c r="A694" s="64"/>
      <c r="B694" s="64"/>
      <c r="C694" s="64"/>
      <c r="D694" s="64"/>
      <c r="E694" s="65"/>
      <c r="F694" s="64"/>
      <c r="G694" s="67"/>
      <c r="H694" s="64"/>
      <c r="I694" s="64"/>
      <c r="J694" s="64"/>
      <c r="K694" s="64"/>
      <c r="L694" s="65"/>
      <c r="M694" s="64"/>
      <c r="N694" s="64"/>
      <c r="O694" s="64"/>
      <c r="P694" s="64"/>
      <c r="Q694" s="64"/>
      <c r="R694" s="64"/>
      <c r="S694" s="64"/>
      <c r="T694" s="65"/>
      <c r="U694" s="64"/>
      <c r="V694" s="64"/>
      <c r="W694" s="64"/>
      <c r="X694" s="64"/>
      <c r="Y694" s="64"/>
      <c r="Z694" s="64"/>
      <c r="AA694" s="64"/>
      <c r="AB694" s="64"/>
      <c r="AC694" s="64"/>
      <c r="AD694" s="64"/>
      <c r="AE694" s="64"/>
      <c r="AF694" s="64"/>
      <c r="AG694" s="64"/>
    </row>
    <row r="695">
      <c r="A695" s="64"/>
      <c r="B695" s="64"/>
      <c r="C695" s="64"/>
      <c r="D695" s="64"/>
      <c r="E695" s="65"/>
      <c r="F695" s="64"/>
      <c r="G695" s="67"/>
      <c r="H695" s="64"/>
      <c r="I695" s="64"/>
      <c r="J695" s="64"/>
      <c r="K695" s="64"/>
      <c r="L695" s="65"/>
      <c r="M695" s="64"/>
      <c r="N695" s="64"/>
      <c r="O695" s="64"/>
      <c r="P695" s="64"/>
      <c r="Q695" s="64"/>
      <c r="R695" s="64"/>
      <c r="S695" s="64"/>
      <c r="T695" s="65"/>
      <c r="U695" s="64"/>
      <c r="V695" s="64"/>
      <c r="W695" s="64"/>
      <c r="X695" s="64"/>
      <c r="Y695" s="64"/>
      <c r="Z695" s="64"/>
      <c r="AA695" s="64"/>
      <c r="AB695" s="64"/>
      <c r="AC695" s="64"/>
      <c r="AD695" s="64"/>
      <c r="AE695" s="64"/>
      <c r="AF695" s="64"/>
      <c r="AG695" s="64"/>
    </row>
    <row r="696">
      <c r="A696" s="64"/>
      <c r="B696" s="64"/>
      <c r="C696" s="64"/>
      <c r="D696" s="64"/>
      <c r="E696" s="65"/>
      <c r="F696" s="64"/>
      <c r="G696" s="67"/>
      <c r="H696" s="64"/>
      <c r="I696" s="64"/>
      <c r="J696" s="64"/>
      <c r="K696" s="64"/>
      <c r="L696" s="65"/>
      <c r="M696" s="64"/>
      <c r="N696" s="64"/>
      <c r="O696" s="64"/>
      <c r="P696" s="64"/>
      <c r="Q696" s="64"/>
      <c r="R696" s="64"/>
      <c r="S696" s="64"/>
      <c r="T696" s="65"/>
      <c r="U696" s="64"/>
      <c r="V696" s="64"/>
      <c r="W696" s="64"/>
      <c r="X696" s="64"/>
      <c r="Y696" s="64"/>
      <c r="Z696" s="64"/>
      <c r="AA696" s="64"/>
      <c r="AB696" s="64"/>
      <c r="AC696" s="64"/>
      <c r="AD696" s="64"/>
      <c r="AE696" s="64"/>
      <c r="AF696" s="64"/>
      <c r="AG696" s="64"/>
    </row>
    <row r="697">
      <c r="A697" s="64"/>
      <c r="B697" s="64"/>
      <c r="C697" s="64"/>
      <c r="D697" s="64"/>
      <c r="E697" s="65"/>
      <c r="F697" s="64"/>
      <c r="G697" s="67"/>
      <c r="H697" s="64"/>
      <c r="I697" s="64"/>
      <c r="J697" s="64"/>
      <c r="K697" s="64"/>
      <c r="L697" s="65"/>
      <c r="M697" s="64"/>
      <c r="N697" s="64"/>
      <c r="O697" s="64"/>
      <c r="P697" s="64"/>
      <c r="Q697" s="64"/>
      <c r="R697" s="64"/>
      <c r="S697" s="64"/>
      <c r="T697" s="65"/>
      <c r="U697" s="64"/>
      <c r="V697" s="64"/>
      <c r="W697" s="64"/>
      <c r="X697" s="64"/>
      <c r="Y697" s="64"/>
      <c r="Z697" s="64"/>
      <c r="AA697" s="64"/>
      <c r="AB697" s="64"/>
      <c r="AC697" s="64"/>
      <c r="AD697" s="64"/>
      <c r="AE697" s="64"/>
      <c r="AF697" s="64"/>
      <c r="AG697" s="64"/>
    </row>
    <row r="698">
      <c r="A698" s="64"/>
      <c r="B698" s="64"/>
      <c r="C698" s="64"/>
      <c r="D698" s="64"/>
      <c r="E698" s="65"/>
      <c r="F698" s="64"/>
      <c r="G698" s="67"/>
      <c r="H698" s="64"/>
      <c r="I698" s="64"/>
      <c r="J698" s="64"/>
      <c r="K698" s="64"/>
      <c r="L698" s="65"/>
      <c r="M698" s="64"/>
      <c r="N698" s="64"/>
      <c r="O698" s="64"/>
      <c r="P698" s="64"/>
      <c r="Q698" s="64"/>
      <c r="R698" s="64"/>
      <c r="S698" s="64"/>
      <c r="T698" s="65"/>
      <c r="U698" s="64"/>
      <c r="V698" s="64"/>
      <c r="W698" s="64"/>
      <c r="X698" s="64"/>
      <c r="Y698" s="64"/>
      <c r="Z698" s="64"/>
      <c r="AA698" s="64"/>
      <c r="AB698" s="64"/>
      <c r="AC698" s="64"/>
      <c r="AD698" s="64"/>
      <c r="AE698" s="64"/>
      <c r="AF698" s="64"/>
      <c r="AG698" s="64"/>
    </row>
    <row r="699">
      <c r="A699" s="64"/>
      <c r="B699" s="64"/>
      <c r="C699" s="64"/>
      <c r="D699" s="64"/>
      <c r="E699" s="65"/>
      <c r="F699" s="64"/>
      <c r="G699" s="67"/>
      <c r="H699" s="64"/>
      <c r="I699" s="64"/>
      <c r="J699" s="64"/>
      <c r="K699" s="64"/>
      <c r="L699" s="65"/>
      <c r="M699" s="64"/>
      <c r="N699" s="64"/>
      <c r="O699" s="64"/>
      <c r="P699" s="64"/>
      <c r="Q699" s="64"/>
      <c r="R699" s="64"/>
      <c r="S699" s="64"/>
      <c r="T699" s="65"/>
      <c r="U699" s="64"/>
      <c r="V699" s="64"/>
      <c r="W699" s="64"/>
      <c r="X699" s="64"/>
      <c r="Y699" s="64"/>
      <c r="Z699" s="64"/>
      <c r="AA699" s="64"/>
      <c r="AB699" s="64"/>
      <c r="AC699" s="64"/>
      <c r="AD699" s="64"/>
      <c r="AE699" s="64"/>
      <c r="AF699" s="64"/>
      <c r="AG699" s="64"/>
    </row>
    <row r="700">
      <c r="A700" s="64"/>
      <c r="B700" s="64"/>
      <c r="C700" s="64"/>
      <c r="D700" s="64"/>
      <c r="E700" s="65"/>
      <c r="F700" s="64"/>
      <c r="G700" s="67"/>
      <c r="H700" s="64"/>
      <c r="I700" s="64"/>
      <c r="J700" s="64"/>
      <c r="K700" s="64"/>
      <c r="L700" s="65"/>
      <c r="M700" s="64"/>
      <c r="N700" s="64"/>
      <c r="O700" s="64"/>
      <c r="P700" s="64"/>
      <c r="Q700" s="64"/>
      <c r="R700" s="64"/>
      <c r="S700" s="64"/>
      <c r="T700" s="65"/>
      <c r="U700" s="64"/>
      <c r="V700" s="64"/>
      <c r="W700" s="64"/>
      <c r="X700" s="64"/>
      <c r="Y700" s="64"/>
      <c r="Z700" s="64"/>
      <c r="AA700" s="64"/>
      <c r="AB700" s="64"/>
      <c r="AC700" s="64"/>
      <c r="AD700" s="64"/>
      <c r="AE700" s="64"/>
      <c r="AF700" s="64"/>
      <c r="AG700" s="64"/>
    </row>
    <row r="701">
      <c r="A701" s="64"/>
      <c r="B701" s="64"/>
      <c r="C701" s="64"/>
      <c r="D701" s="64"/>
      <c r="E701" s="65"/>
      <c r="F701" s="64"/>
      <c r="G701" s="67"/>
      <c r="H701" s="64"/>
      <c r="I701" s="64"/>
      <c r="J701" s="64"/>
      <c r="K701" s="64"/>
      <c r="L701" s="65"/>
      <c r="M701" s="64"/>
      <c r="N701" s="64"/>
      <c r="O701" s="64"/>
      <c r="P701" s="64"/>
      <c r="Q701" s="64"/>
      <c r="R701" s="64"/>
      <c r="S701" s="64"/>
      <c r="T701" s="65"/>
      <c r="U701" s="64"/>
      <c r="V701" s="64"/>
      <c r="W701" s="64"/>
      <c r="X701" s="64"/>
      <c r="Y701" s="64"/>
      <c r="Z701" s="64"/>
      <c r="AA701" s="64"/>
      <c r="AB701" s="64"/>
      <c r="AC701" s="64"/>
      <c r="AD701" s="64"/>
      <c r="AE701" s="64"/>
      <c r="AF701" s="64"/>
      <c r="AG701" s="64"/>
    </row>
    <row r="702">
      <c r="A702" s="64"/>
      <c r="B702" s="64"/>
      <c r="C702" s="64"/>
      <c r="D702" s="64"/>
      <c r="E702" s="65"/>
      <c r="F702" s="64"/>
      <c r="G702" s="67"/>
      <c r="H702" s="64"/>
      <c r="I702" s="64"/>
      <c r="J702" s="64"/>
      <c r="K702" s="64"/>
      <c r="L702" s="65"/>
      <c r="M702" s="64"/>
      <c r="N702" s="64"/>
      <c r="O702" s="64"/>
      <c r="P702" s="64"/>
      <c r="Q702" s="64"/>
      <c r="R702" s="64"/>
      <c r="S702" s="64"/>
      <c r="T702" s="65"/>
      <c r="U702" s="64"/>
      <c r="V702" s="64"/>
      <c r="W702" s="64"/>
      <c r="X702" s="64"/>
      <c r="Y702" s="64"/>
      <c r="Z702" s="64"/>
      <c r="AA702" s="64"/>
      <c r="AB702" s="64"/>
      <c r="AC702" s="64"/>
      <c r="AD702" s="64"/>
      <c r="AE702" s="64"/>
      <c r="AF702" s="64"/>
      <c r="AG702" s="64"/>
    </row>
    <row r="703">
      <c r="A703" s="64"/>
      <c r="B703" s="64"/>
      <c r="C703" s="64"/>
      <c r="D703" s="64"/>
      <c r="E703" s="65"/>
      <c r="F703" s="64"/>
      <c r="G703" s="67"/>
      <c r="H703" s="64"/>
      <c r="I703" s="64"/>
      <c r="J703" s="64"/>
      <c r="K703" s="64"/>
      <c r="L703" s="65"/>
      <c r="M703" s="64"/>
      <c r="N703" s="64"/>
      <c r="O703" s="64"/>
      <c r="P703" s="64"/>
      <c r="Q703" s="64"/>
      <c r="R703" s="64"/>
      <c r="S703" s="64"/>
      <c r="T703" s="65"/>
      <c r="U703" s="64"/>
      <c r="V703" s="64"/>
      <c r="W703" s="64"/>
      <c r="X703" s="64"/>
      <c r="Y703" s="64"/>
      <c r="Z703" s="64"/>
      <c r="AA703" s="64"/>
      <c r="AB703" s="64"/>
      <c r="AC703" s="64"/>
      <c r="AD703" s="64"/>
      <c r="AE703" s="64"/>
      <c r="AF703" s="64"/>
      <c r="AG703" s="64"/>
    </row>
    <row r="704">
      <c r="A704" s="64"/>
      <c r="B704" s="64"/>
      <c r="C704" s="64"/>
      <c r="D704" s="64"/>
      <c r="E704" s="65"/>
      <c r="F704" s="64"/>
      <c r="G704" s="67"/>
      <c r="H704" s="64"/>
      <c r="I704" s="64"/>
      <c r="J704" s="64"/>
      <c r="K704" s="64"/>
      <c r="L704" s="65"/>
      <c r="M704" s="64"/>
      <c r="N704" s="64"/>
      <c r="O704" s="64"/>
      <c r="P704" s="64"/>
      <c r="Q704" s="64"/>
      <c r="R704" s="64"/>
      <c r="S704" s="64"/>
      <c r="T704" s="65"/>
      <c r="U704" s="64"/>
      <c r="V704" s="64"/>
      <c r="W704" s="64"/>
      <c r="X704" s="64"/>
      <c r="Y704" s="64"/>
      <c r="Z704" s="64"/>
      <c r="AA704" s="64"/>
      <c r="AB704" s="64"/>
      <c r="AC704" s="64"/>
      <c r="AD704" s="64"/>
      <c r="AE704" s="64"/>
      <c r="AF704" s="64"/>
      <c r="AG704" s="64"/>
    </row>
    <row r="705">
      <c r="A705" s="64"/>
      <c r="B705" s="64"/>
      <c r="C705" s="64"/>
      <c r="D705" s="64"/>
      <c r="E705" s="65"/>
      <c r="F705" s="64"/>
      <c r="G705" s="67"/>
      <c r="H705" s="64"/>
      <c r="I705" s="64"/>
      <c r="J705" s="64"/>
      <c r="K705" s="64"/>
      <c r="L705" s="65"/>
      <c r="M705" s="64"/>
      <c r="N705" s="64"/>
      <c r="O705" s="64"/>
      <c r="P705" s="64"/>
      <c r="Q705" s="64"/>
      <c r="R705" s="64"/>
      <c r="S705" s="64"/>
      <c r="T705" s="65"/>
      <c r="U705" s="64"/>
      <c r="V705" s="64"/>
      <c r="W705" s="64"/>
      <c r="X705" s="64"/>
      <c r="Y705" s="64"/>
      <c r="Z705" s="64"/>
      <c r="AA705" s="64"/>
      <c r="AB705" s="64"/>
      <c r="AC705" s="64"/>
      <c r="AD705" s="64"/>
      <c r="AE705" s="64"/>
      <c r="AF705" s="64"/>
      <c r="AG705" s="64"/>
    </row>
    <row r="706">
      <c r="A706" s="64"/>
      <c r="B706" s="64"/>
      <c r="C706" s="64"/>
      <c r="D706" s="64"/>
      <c r="E706" s="65"/>
      <c r="F706" s="64"/>
      <c r="G706" s="67"/>
      <c r="H706" s="64"/>
      <c r="I706" s="64"/>
      <c r="J706" s="64"/>
      <c r="K706" s="64"/>
      <c r="L706" s="65"/>
      <c r="M706" s="64"/>
      <c r="N706" s="64"/>
      <c r="O706" s="64"/>
      <c r="P706" s="64"/>
      <c r="Q706" s="64"/>
      <c r="R706" s="64"/>
      <c r="S706" s="64"/>
      <c r="T706" s="65"/>
      <c r="U706" s="64"/>
      <c r="V706" s="64"/>
      <c r="W706" s="64"/>
      <c r="X706" s="64"/>
      <c r="Y706" s="64"/>
      <c r="Z706" s="64"/>
      <c r="AA706" s="64"/>
      <c r="AB706" s="64"/>
      <c r="AC706" s="64"/>
      <c r="AD706" s="64"/>
      <c r="AE706" s="64"/>
      <c r="AF706" s="64"/>
      <c r="AG706" s="64"/>
    </row>
    <row r="707">
      <c r="A707" s="64"/>
      <c r="B707" s="64"/>
      <c r="C707" s="64"/>
      <c r="D707" s="64"/>
      <c r="E707" s="65"/>
      <c r="F707" s="64"/>
      <c r="G707" s="67"/>
      <c r="H707" s="64"/>
      <c r="I707" s="64"/>
      <c r="J707" s="64"/>
      <c r="K707" s="64"/>
      <c r="L707" s="65"/>
      <c r="M707" s="64"/>
      <c r="N707" s="64"/>
      <c r="O707" s="64"/>
      <c r="P707" s="64"/>
      <c r="Q707" s="64"/>
      <c r="R707" s="64"/>
      <c r="S707" s="64"/>
      <c r="T707" s="65"/>
      <c r="U707" s="64"/>
      <c r="V707" s="64"/>
      <c r="W707" s="64"/>
      <c r="X707" s="64"/>
      <c r="Y707" s="64"/>
      <c r="Z707" s="64"/>
      <c r="AA707" s="64"/>
      <c r="AB707" s="64"/>
      <c r="AC707" s="64"/>
      <c r="AD707" s="64"/>
      <c r="AE707" s="64"/>
      <c r="AF707" s="64"/>
      <c r="AG707" s="64"/>
    </row>
    <row r="708">
      <c r="A708" s="64"/>
      <c r="B708" s="64"/>
      <c r="C708" s="64"/>
      <c r="D708" s="64"/>
      <c r="E708" s="65"/>
      <c r="F708" s="64"/>
      <c r="G708" s="67"/>
      <c r="H708" s="64"/>
      <c r="I708" s="64"/>
      <c r="J708" s="64"/>
      <c r="K708" s="64"/>
      <c r="L708" s="65"/>
      <c r="M708" s="64"/>
      <c r="N708" s="64"/>
      <c r="O708" s="64"/>
      <c r="P708" s="64"/>
      <c r="Q708" s="64"/>
      <c r="R708" s="64"/>
      <c r="S708" s="64"/>
      <c r="T708" s="65"/>
      <c r="U708" s="64"/>
      <c r="V708" s="64"/>
      <c r="W708" s="64"/>
      <c r="X708" s="64"/>
      <c r="Y708" s="64"/>
      <c r="Z708" s="64"/>
      <c r="AA708" s="64"/>
      <c r="AB708" s="64"/>
      <c r="AC708" s="64"/>
      <c r="AD708" s="64"/>
      <c r="AE708" s="64"/>
      <c r="AF708" s="64"/>
      <c r="AG708" s="64"/>
    </row>
    <row r="709">
      <c r="A709" s="64"/>
      <c r="B709" s="64"/>
      <c r="C709" s="64"/>
      <c r="D709" s="64"/>
      <c r="E709" s="65"/>
      <c r="F709" s="64"/>
      <c r="G709" s="67"/>
      <c r="H709" s="64"/>
      <c r="I709" s="64"/>
      <c r="J709" s="64"/>
      <c r="K709" s="64"/>
      <c r="L709" s="65"/>
      <c r="M709" s="64"/>
      <c r="N709" s="64"/>
      <c r="O709" s="64"/>
      <c r="P709" s="64"/>
      <c r="Q709" s="64"/>
      <c r="R709" s="64"/>
      <c r="S709" s="64"/>
      <c r="T709" s="65"/>
      <c r="U709" s="64"/>
      <c r="V709" s="64"/>
      <c r="W709" s="64"/>
      <c r="X709" s="64"/>
      <c r="Y709" s="64"/>
      <c r="Z709" s="64"/>
      <c r="AA709" s="64"/>
      <c r="AB709" s="64"/>
      <c r="AC709" s="64"/>
      <c r="AD709" s="64"/>
      <c r="AE709" s="64"/>
      <c r="AF709" s="64"/>
      <c r="AG709" s="64"/>
    </row>
    <row r="710">
      <c r="A710" s="64"/>
      <c r="B710" s="64"/>
      <c r="C710" s="64"/>
      <c r="D710" s="64"/>
      <c r="E710" s="65"/>
      <c r="F710" s="64"/>
      <c r="G710" s="67"/>
      <c r="H710" s="64"/>
      <c r="I710" s="64"/>
      <c r="J710" s="64"/>
      <c r="K710" s="64"/>
      <c r="L710" s="65"/>
      <c r="M710" s="64"/>
      <c r="N710" s="64"/>
      <c r="O710" s="64"/>
      <c r="P710" s="64"/>
      <c r="Q710" s="64"/>
      <c r="R710" s="64"/>
      <c r="S710" s="64"/>
      <c r="T710" s="65"/>
      <c r="U710" s="64"/>
      <c r="V710" s="64"/>
      <c r="W710" s="64"/>
      <c r="X710" s="64"/>
      <c r="Y710" s="64"/>
      <c r="Z710" s="64"/>
      <c r="AA710" s="64"/>
      <c r="AB710" s="64"/>
      <c r="AC710" s="64"/>
      <c r="AD710" s="64"/>
      <c r="AE710" s="64"/>
      <c r="AF710" s="64"/>
      <c r="AG710" s="64"/>
    </row>
    <row r="711">
      <c r="A711" s="64"/>
      <c r="B711" s="64"/>
      <c r="C711" s="64"/>
      <c r="D711" s="64"/>
      <c r="E711" s="65"/>
      <c r="F711" s="64"/>
      <c r="G711" s="67"/>
      <c r="H711" s="64"/>
      <c r="I711" s="64"/>
      <c r="J711" s="64"/>
      <c r="K711" s="64"/>
      <c r="L711" s="65"/>
      <c r="M711" s="64"/>
      <c r="N711" s="64"/>
      <c r="O711" s="64"/>
      <c r="P711" s="64"/>
      <c r="Q711" s="64"/>
      <c r="R711" s="64"/>
      <c r="S711" s="64"/>
      <c r="T711" s="65"/>
      <c r="U711" s="64"/>
      <c r="V711" s="64"/>
      <c r="W711" s="64"/>
      <c r="X711" s="64"/>
      <c r="Y711" s="64"/>
      <c r="Z711" s="64"/>
      <c r="AA711" s="64"/>
      <c r="AB711" s="64"/>
      <c r="AC711" s="64"/>
      <c r="AD711" s="64"/>
      <c r="AE711" s="64"/>
      <c r="AF711" s="64"/>
      <c r="AG711" s="64"/>
    </row>
    <row r="712">
      <c r="A712" s="64"/>
      <c r="B712" s="64"/>
      <c r="C712" s="64"/>
      <c r="D712" s="64"/>
      <c r="E712" s="65"/>
      <c r="F712" s="64"/>
      <c r="G712" s="67"/>
      <c r="H712" s="64"/>
      <c r="I712" s="64"/>
      <c r="J712" s="64"/>
      <c r="K712" s="64"/>
      <c r="L712" s="65"/>
      <c r="M712" s="64"/>
      <c r="N712" s="64"/>
      <c r="O712" s="64"/>
      <c r="P712" s="64"/>
      <c r="Q712" s="64"/>
      <c r="R712" s="64"/>
      <c r="S712" s="64"/>
      <c r="T712" s="65"/>
      <c r="U712" s="64"/>
      <c r="V712" s="64"/>
      <c r="W712" s="64"/>
      <c r="X712" s="64"/>
      <c r="Y712" s="64"/>
      <c r="Z712" s="64"/>
      <c r="AA712" s="64"/>
      <c r="AB712" s="64"/>
      <c r="AC712" s="64"/>
      <c r="AD712" s="64"/>
      <c r="AE712" s="64"/>
      <c r="AF712" s="64"/>
      <c r="AG712" s="64"/>
    </row>
    <row r="713">
      <c r="A713" s="64"/>
      <c r="B713" s="64"/>
      <c r="C713" s="64"/>
      <c r="D713" s="64"/>
      <c r="E713" s="65"/>
      <c r="F713" s="64"/>
      <c r="G713" s="67"/>
      <c r="H713" s="64"/>
      <c r="I713" s="64"/>
      <c r="J713" s="64"/>
      <c r="K713" s="64"/>
      <c r="L713" s="65"/>
      <c r="M713" s="64"/>
      <c r="N713" s="64"/>
      <c r="O713" s="64"/>
      <c r="P713" s="64"/>
      <c r="Q713" s="64"/>
      <c r="R713" s="64"/>
      <c r="S713" s="64"/>
      <c r="T713" s="65"/>
      <c r="U713" s="64"/>
      <c r="V713" s="64"/>
      <c r="W713" s="64"/>
      <c r="X713" s="64"/>
      <c r="Y713" s="64"/>
      <c r="Z713" s="64"/>
      <c r="AA713" s="64"/>
      <c r="AB713" s="64"/>
      <c r="AC713" s="64"/>
      <c r="AD713" s="64"/>
      <c r="AE713" s="64"/>
      <c r="AF713" s="64"/>
      <c r="AG713" s="64"/>
    </row>
    <row r="714">
      <c r="A714" s="64"/>
      <c r="B714" s="64"/>
      <c r="C714" s="64"/>
      <c r="D714" s="64"/>
      <c r="E714" s="65"/>
      <c r="F714" s="64"/>
      <c r="G714" s="67"/>
      <c r="H714" s="64"/>
      <c r="I714" s="64"/>
      <c r="J714" s="64"/>
      <c r="K714" s="64"/>
      <c r="L714" s="65"/>
      <c r="M714" s="64"/>
      <c r="N714" s="64"/>
      <c r="O714" s="64"/>
      <c r="P714" s="64"/>
      <c r="Q714" s="64"/>
      <c r="R714" s="64"/>
      <c r="S714" s="64"/>
      <c r="T714" s="65"/>
      <c r="U714" s="64"/>
      <c r="V714" s="64"/>
      <c r="W714" s="64"/>
      <c r="X714" s="64"/>
      <c r="Y714" s="64"/>
      <c r="Z714" s="64"/>
      <c r="AA714" s="64"/>
      <c r="AB714" s="64"/>
      <c r="AC714" s="64"/>
      <c r="AD714" s="64"/>
      <c r="AE714" s="64"/>
      <c r="AF714" s="64"/>
      <c r="AG714" s="64"/>
    </row>
    <row r="715">
      <c r="A715" s="64"/>
      <c r="B715" s="64"/>
      <c r="C715" s="64"/>
      <c r="D715" s="64"/>
      <c r="E715" s="65"/>
      <c r="F715" s="64"/>
      <c r="G715" s="67"/>
      <c r="H715" s="64"/>
      <c r="I715" s="64"/>
      <c r="J715" s="64"/>
      <c r="K715" s="64"/>
      <c r="L715" s="65"/>
      <c r="M715" s="64"/>
      <c r="N715" s="64"/>
      <c r="O715" s="64"/>
      <c r="P715" s="64"/>
      <c r="Q715" s="64"/>
      <c r="R715" s="64"/>
      <c r="S715" s="64"/>
      <c r="T715" s="65"/>
      <c r="U715" s="64"/>
      <c r="V715" s="64"/>
      <c r="W715" s="64"/>
      <c r="X715" s="64"/>
      <c r="Y715" s="64"/>
      <c r="Z715" s="64"/>
      <c r="AA715" s="64"/>
      <c r="AB715" s="64"/>
      <c r="AC715" s="64"/>
      <c r="AD715" s="64"/>
      <c r="AE715" s="64"/>
      <c r="AF715" s="64"/>
      <c r="AG715" s="64"/>
    </row>
    <row r="716">
      <c r="A716" s="64"/>
      <c r="B716" s="64"/>
      <c r="C716" s="64"/>
      <c r="D716" s="64"/>
      <c r="E716" s="65"/>
      <c r="F716" s="64"/>
      <c r="G716" s="67"/>
      <c r="H716" s="64"/>
      <c r="I716" s="64"/>
      <c r="J716" s="64"/>
      <c r="K716" s="64"/>
      <c r="L716" s="65"/>
      <c r="M716" s="64"/>
      <c r="N716" s="64"/>
      <c r="O716" s="64"/>
      <c r="P716" s="64"/>
      <c r="Q716" s="64"/>
      <c r="R716" s="64"/>
      <c r="S716" s="64"/>
      <c r="T716" s="65"/>
      <c r="U716" s="64"/>
      <c r="V716" s="64"/>
      <c r="W716" s="64"/>
      <c r="X716" s="64"/>
      <c r="Y716" s="64"/>
      <c r="Z716" s="64"/>
      <c r="AA716" s="64"/>
      <c r="AB716" s="64"/>
      <c r="AC716" s="64"/>
      <c r="AD716" s="64"/>
      <c r="AE716" s="64"/>
      <c r="AF716" s="64"/>
      <c r="AG716" s="64"/>
    </row>
    <row r="717">
      <c r="A717" s="64"/>
      <c r="B717" s="64"/>
      <c r="C717" s="64"/>
      <c r="D717" s="64"/>
      <c r="E717" s="65"/>
      <c r="F717" s="64"/>
      <c r="G717" s="67"/>
      <c r="H717" s="64"/>
      <c r="I717" s="64"/>
      <c r="J717" s="64"/>
      <c r="K717" s="64"/>
      <c r="L717" s="65"/>
      <c r="M717" s="64"/>
      <c r="N717" s="64"/>
      <c r="O717" s="64"/>
      <c r="P717" s="64"/>
      <c r="Q717" s="64"/>
      <c r="R717" s="64"/>
      <c r="S717" s="64"/>
      <c r="T717" s="65"/>
      <c r="U717" s="64"/>
      <c r="V717" s="64"/>
      <c r="W717" s="64"/>
      <c r="X717" s="64"/>
      <c r="Y717" s="64"/>
      <c r="Z717" s="64"/>
      <c r="AA717" s="64"/>
      <c r="AB717" s="64"/>
      <c r="AC717" s="64"/>
      <c r="AD717" s="64"/>
      <c r="AE717" s="64"/>
      <c r="AF717" s="64"/>
      <c r="AG717" s="64"/>
    </row>
    <row r="718">
      <c r="A718" s="64"/>
      <c r="B718" s="64"/>
      <c r="C718" s="64"/>
      <c r="D718" s="64"/>
      <c r="E718" s="65"/>
      <c r="F718" s="64"/>
      <c r="G718" s="67"/>
      <c r="H718" s="64"/>
      <c r="I718" s="64"/>
      <c r="J718" s="64"/>
      <c r="K718" s="64"/>
      <c r="L718" s="65"/>
      <c r="M718" s="64"/>
      <c r="N718" s="64"/>
      <c r="O718" s="64"/>
      <c r="P718" s="64"/>
      <c r="Q718" s="64"/>
      <c r="R718" s="64"/>
      <c r="S718" s="64"/>
      <c r="T718" s="65"/>
      <c r="U718" s="64"/>
      <c r="V718" s="64"/>
      <c r="W718" s="64"/>
      <c r="X718" s="64"/>
      <c r="Y718" s="64"/>
      <c r="Z718" s="64"/>
      <c r="AA718" s="64"/>
      <c r="AB718" s="64"/>
      <c r="AC718" s="64"/>
      <c r="AD718" s="64"/>
      <c r="AE718" s="64"/>
      <c r="AF718" s="64"/>
      <c r="AG718" s="64"/>
    </row>
    <row r="719">
      <c r="A719" s="64"/>
      <c r="B719" s="64"/>
      <c r="C719" s="64"/>
      <c r="D719" s="64"/>
      <c r="E719" s="65"/>
      <c r="F719" s="64"/>
      <c r="G719" s="67"/>
      <c r="H719" s="64"/>
      <c r="I719" s="64"/>
      <c r="J719" s="64"/>
      <c r="K719" s="64"/>
      <c r="L719" s="65"/>
      <c r="M719" s="64"/>
      <c r="N719" s="64"/>
      <c r="O719" s="64"/>
      <c r="P719" s="64"/>
      <c r="Q719" s="64"/>
      <c r="R719" s="64"/>
      <c r="S719" s="64"/>
      <c r="T719" s="65"/>
      <c r="U719" s="64"/>
      <c r="V719" s="64"/>
      <c r="W719" s="64"/>
      <c r="X719" s="64"/>
      <c r="Y719" s="64"/>
      <c r="Z719" s="64"/>
      <c r="AA719" s="64"/>
      <c r="AB719" s="64"/>
      <c r="AC719" s="64"/>
      <c r="AD719" s="64"/>
      <c r="AE719" s="64"/>
      <c r="AF719" s="64"/>
      <c r="AG719" s="64"/>
    </row>
    <row r="720">
      <c r="A720" s="64"/>
      <c r="B720" s="64"/>
      <c r="C720" s="64"/>
      <c r="D720" s="64"/>
      <c r="E720" s="65"/>
      <c r="F720" s="64"/>
      <c r="G720" s="67"/>
      <c r="H720" s="64"/>
      <c r="I720" s="64"/>
      <c r="J720" s="64"/>
      <c r="K720" s="64"/>
      <c r="L720" s="65"/>
      <c r="M720" s="64"/>
      <c r="N720" s="64"/>
      <c r="O720" s="64"/>
      <c r="P720" s="64"/>
      <c r="Q720" s="64"/>
      <c r="R720" s="64"/>
      <c r="S720" s="64"/>
      <c r="T720" s="65"/>
      <c r="U720" s="64"/>
      <c r="V720" s="64"/>
      <c r="W720" s="64"/>
      <c r="X720" s="64"/>
      <c r="Y720" s="64"/>
      <c r="Z720" s="64"/>
      <c r="AA720" s="64"/>
      <c r="AB720" s="64"/>
      <c r="AC720" s="64"/>
      <c r="AD720" s="64"/>
      <c r="AE720" s="64"/>
      <c r="AF720" s="64"/>
      <c r="AG720" s="64"/>
    </row>
    <row r="721">
      <c r="A721" s="64"/>
      <c r="B721" s="64"/>
      <c r="C721" s="64"/>
      <c r="D721" s="64"/>
      <c r="E721" s="65"/>
      <c r="F721" s="64"/>
      <c r="G721" s="67"/>
      <c r="H721" s="64"/>
      <c r="I721" s="64"/>
      <c r="J721" s="64"/>
      <c r="K721" s="64"/>
      <c r="L721" s="65"/>
      <c r="M721" s="64"/>
      <c r="N721" s="64"/>
      <c r="O721" s="64"/>
      <c r="P721" s="64"/>
      <c r="Q721" s="64"/>
      <c r="R721" s="64"/>
      <c r="S721" s="64"/>
      <c r="T721" s="65"/>
      <c r="U721" s="64"/>
      <c r="V721" s="64"/>
      <c r="W721" s="64"/>
      <c r="X721" s="64"/>
      <c r="Y721" s="64"/>
      <c r="Z721" s="64"/>
      <c r="AA721" s="64"/>
      <c r="AB721" s="64"/>
      <c r="AC721" s="64"/>
      <c r="AD721" s="64"/>
      <c r="AE721" s="64"/>
      <c r="AF721" s="64"/>
      <c r="AG721" s="64"/>
    </row>
    <row r="722">
      <c r="A722" s="64"/>
      <c r="B722" s="64"/>
      <c r="C722" s="64"/>
      <c r="D722" s="64"/>
      <c r="E722" s="65"/>
      <c r="F722" s="64"/>
      <c r="G722" s="67"/>
      <c r="H722" s="64"/>
      <c r="I722" s="64"/>
      <c r="J722" s="64"/>
      <c r="K722" s="64"/>
      <c r="L722" s="65"/>
      <c r="M722" s="64"/>
      <c r="N722" s="64"/>
      <c r="O722" s="64"/>
      <c r="P722" s="64"/>
      <c r="Q722" s="64"/>
      <c r="R722" s="64"/>
      <c r="S722" s="64"/>
      <c r="T722" s="65"/>
      <c r="U722" s="64"/>
      <c r="V722" s="64"/>
      <c r="W722" s="64"/>
      <c r="X722" s="64"/>
      <c r="Y722" s="64"/>
      <c r="Z722" s="64"/>
      <c r="AA722" s="64"/>
      <c r="AB722" s="64"/>
      <c r="AC722" s="64"/>
      <c r="AD722" s="64"/>
      <c r="AE722" s="64"/>
      <c r="AF722" s="64"/>
      <c r="AG722" s="64"/>
    </row>
    <row r="723">
      <c r="A723" s="64"/>
      <c r="B723" s="64"/>
      <c r="C723" s="64"/>
      <c r="D723" s="64"/>
      <c r="E723" s="65"/>
      <c r="F723" s="64"/>
      <c r="G723" s="67"/>
      <c r="H723" s="64"/>
      <c r="I723" s="64"/>
      <c r="J723" s="64"/>
      <c r="K723" s="64"/>
      <c r="L723" s="65"/>
      <c r="M723" s="64"/>
      <c r="N723" s="64"/>
      <c r="O723" s="64"/>
      <c r="P723" s="64"/>
      <c r="Q723" s="64"/>
      <c r="R723" s="64"/>
      <c r="S723" s="64"/>
      <c r="T723" s="65"/>
      <c r="U723" s="64"/>
      <c r="V723" s="64"/>
      <c r="W723" s="64"/>
      <c r="X723" s="64"/>
      <c r="Y723" s="64"/>
      <c r="Z723" s="64"/>
      <c r="AA723" s="64"/>
      <c r="AB723" s="64"/>
      <c r="AC723" s="64"/>
      <c r="AD723" s="64"/>
      <c r="AE723" s="64"/>
      <c r="AF723" s="64"/>
      <c r="AG723" s="64"/>
    </row>
    <row r="724">
      <c r="A724" s="64"/>
      <c r="B724" s="64"/>
      <c r="C724" s="64"/>
      <c r="D724" s="64"/>
      <c r="E724" s="65"/>
      <c r="F724" s="64"/>
      <c r="G724" s="67"/>
      <c r="H724" s="64"/>
      <c r="I724" s="64"/>
      <c r="J724" s="64"/>
      <c r="K724" s="64"/>
      <c r="L724" s="65"/>
      <c r="M724" s="64"/>
      <c r="N724" s="64"/>
      <c r="O724" s="64"/>
      <c r="P724" s="64"/>
      <c r="Q724" s="64"/>
      <c r="R724" s="64"/>
      <c r="S724" s="64"/>
      <c r="T724" s="65"/>
      <c r="U724" s="64"/>
      <c r="V724" s="64"/>
      <c r="W724" s="64"/>
      <c r="X724" s="64"/>
      <c r="Y724" s="64"/>
      <c r="Z724" s="64"/>
      <c r="AA724" s="64"/>
      <c r="AB724" s="64"/>
      <c r="AC724" s="64"/>
      <c r="AD724" s="64"/>
      <c r="AE724" s="64"/>
      <c r="AF724" s="64"/>
      <c r="AG724" s="64"/>
    </row>
    <row r="725">
      <c r="A725" s="64"/>
      <c r="B725" s="64"/>
      <c r="C725" s="64"/>
      <c r="D725" s="64"/>
      <c r="E725" s="65"/>
      <c r="F725" s="64"/>
      <c r="G725" s="67"/>
      <c r="H725" s="64"/>
      <c r="I725" s="64"/>
      <c r="J725" s="64"/>
      <c r="K725" s="64"/>
      <c r="L725" s="65"/>
      <c r="M725" s="64"/>
      <c r="N725" s="64"/>
      <c r="O725" s="64"/>
      <c r="P725" s="64"/>
      <c r="Q725" s="64"/>
      <c r="R725" s="64"/>
      <c r="S725" s="64"/>
      <c r="T725" s="65"/>
      <c r="U725" s="64"/>
      <c r="V725" s="64"/>
      <c r="W725" s="64"/>
      <c r="X725" s="64"/>
      <c r="Y725" s="64"/>
      <c r="Z725" s="64"/>
      <c r="AA725" s="64"/>
      <c r="AB725" s="64"/>
      <c r="AC725" s="64"/>
      <c r="AD725" s="64"/>
      <c r="AE725" s="64"/>
      <c r="AF725" s="64"/>
      <c r="AG725" s="64"/>
    </row>
    <row r="726">
      <c r="A726" s="64"/>
      <c r="B726" s="64"/>
      <c r="C726" s="64"/>
      <c r="D726" s="64"/>
      <c r="E726" s="65"/>
      <c r="F726" s="64"/>
      <c r="G726" s="67"/>
      <c r="H726" s="64"/>
      <c r="I726" s="64"/>
      <c r="J726" s="64"/>
      <c r="K726" s="64"/>
      <c r="L726" s="65"/>
      <c r="M726" s="64"/>
      <c r="N726" s="64"/>
      <c r="O726" s="64"/>
      <c r="P726" s="64"/>
      <c r="Q726" s="64"/>
      <c r="R726" s="64"/>
      <c r="S726" s="64"/>
      <c r="T726" s="65"/>
      <c r="U726" s="64"/>
      <c r="V726" s="64"/>
      <c r="W726" s="64"/>
      <c r="X726" s="64"/>
      <c r="Y726" s="64"/>
      <c r="Z726" s="64"/>
      <c r="AA726" s="64"/>
      <c r="AB726" s="64"/>
      <c r="AC726" s="64"/>
      <c r="AD726" s="64"/>
      <c r="AE726" s="64"/>
      <c r="AF726" s="64"/>
      <c r="AG726" s="64"/>
    </row>
    <row r="727">
      <c r="A727" s="64"/>
      <c r="B727" s="64"/>
      <c r="C727" s="64"/>
      <c r="D727" s="64"/>
      <c r="E727" s="65"/>
      <c r="F727" s="64"/>
      <c r="G727" s="67"/>
      <c r="H727" s="64"/>
      <c r="I727" s="64"/>
      <c r="J727" s="64"/>
      <c r="K727" s="64"/>
      <c r="L727" s="65"/>
      <c r="M727" s="64"/>
      <c r="N727" s="64"/>
      <c r="O727" s="64"/>
      <c r="P727" s="64"/>
      <c r="Q727" s="64"/>
      <c r="R727" s="64"/>
      <c r="S727" s="64"/>
      <c r="T727" s="65"/>
      <c r="U727" s="64"/>
      <c r="V727" s="64"/>
      <c r="W727" s="64"/>
      <c r="X727" s="64"/>
      <c r="Y727" s="64"/>
      <c r="Z727" s="64"/>
      <c r="AA727" s="64"/>
      <c r="AB727" s="64"/>
      <c r="AC727" s="64"/>
      <c r="AD727" s="64"/>
      <c r="AE727" s="64"/>
      <c r="AF727" s="64"/>
      <c r="AG727" s="64"/>
    </row>
    <row r="728">
      <c r="A728" s="64"/>
      <c r="B728" s="64"/>
      <c r="C728" s="64"/>
      <c r="D728" s="64"/>
      <c r="E728" s="65"/>
      <c r="F728" s="64"/>
      <c r="G728" s="67"/>
      <c r="H728" s="64"/>
      <c r="I728" s="64"/>
      <c r="J728" s="64"/>
      <c r="K728" s="64"/>
      <c r="L728" s="65"/>
      <c r="M728" s="64"/>
      <c r="N728" s="64"/>
      <c r="O728" s="64"/>
      <c r="P728" s="64"/>
      <c r="Q728" s="64"/>
      <c r="R728" s="64"/>
      <c r="S728" s="64"/>
      <c r="T728" s="65"/>
      <c r="U728" s="64"/>
      <c r="V728" s="64"/>
      <c r="W728" s="64"/>
      <c r="X728" s="64"/>
      <c r="Y728" s="64"/>
      <c r="Z728" s="64"/>
      <c r="AA728" s="64"/>
      <c r="AB728" s="64"/>
      <c r="AC728" s="64"/>
      <c r="AD728" s="64"/>
      <c r="AE728" s="64"/>
      <c r="AF728" s="64"/>
      <c r="AG728" s="64"/>
    </row>
    <row r="729">
      <c r="A729" s="64"/>
      <c r="B729" s="64"/>
      <c r="C729" s="64"/>
      <c r="D729" s="64"/>
      <c r="E729" s="65"/>
      <c r="F729" s="64"/>
      <c r="G729" s="67"/>
      <c r="H729" s="64"/>
      <c r="I729" s="64"/>
      <c r="J729" s="64"/>
      <c r="K729" s="64"/>
      <c r="L729" s="65"/>
      <c r="M729" s="64"/>
      <c r="N729" s="64"/>
      <c r="O729" s="64"/>
      <c r="P729" s="64"/>
      <c r="Q729" s="64"/>
      <c r="R729" s="64"/>
      <c r="S729" s="64"/>
      <c r="T729" s="65"/>
      <c r="U729" s="64"/>
      <c r="V729" s="64"/>
      <c r="W729" s="64"/>
      <c r="X729" s="64"/>
      <c r="Y729" s="64"/>
      <c r="Z729" s="64"/>
      <c r="AA729" s="64"/>
      <c r="AB729" s="64"/>
      <c r="AC729" s="64"/>
      <c r="AD729" s="64"/>
      <c r="AE729" s="64"/>
      <c r="AF729" s="64"/>
      <c r="AG729" s="64"/>
    </row>
    <row r="730">
      <c r="A730" s="64"/>
      <c r="B730" s="64"/>
      <c r="C730" s="64"/>
      <c r="D730" s="64"/>
      <c r="E730" s="65"/>
      <c r="F730" s="64"/>
      <c r="G730" s="67"/>
      <c r="H730" s="64"/>
      <c r="I730" s="64"/>
      <c r="J730" s="64"/>
      <c r="K730" s="64"/>
      <c r="L730" s="65"/>
      <c r="M730" s="64"/>
      <c r="N730" s="64"/>
      <c r="O730" s="64"/>
      <c r="P730" s="64"/>
      <c r="Q730" s="64"/>
      <c r="R730" s="64"/>
      <c r="S730" s="64"/>
      <c r="T730" s="65"/>
      <c r="U730" s="64"/>
      <c r="V730" s="64"/>
      <c r="W730" s="64"/>
      <c r="X730" s="64"/>
      <c r="Y730" s="64"/>
      <c r="Z730" s="64"/>
      <c r="AA730" s="64"/>
      <c r="AB730" s="64"/>
      <c r="AC730" s="64"/>
      <c r="AD730" s="64"/>
      <c r="AE730" s="64"/>
      <c r="AF730" s="64"/>
      <c r="AG730" s="64"/>
    </row>
    <row r="731">
      <c r="A731" s="64"/>
      <c r="B731" s="64"/>
      <c r="C731" s="64"/>
      <c r="D731" s="64"/>
      <c r="E731" s="65"/>
      <c r="F731" s="64"/>
      <c r="G731" s="67"/>
      <c r="H731" s="64"/>
      <c r="I731" s="64"/>
      <c r="J731" s="64"/>
      <c r="K731" s="64"/>
      <c r="L731" s="65"/>
      <c r="M731" s="64"/>
      <c r="N731" s="64"/>
      <c r="O731" s="64"/>
      <c r="P731" s="64"/>
      <c r="Q731" s="64"/>
      <c r="R731" s="64"/>
      <c r="S731" s="64"/>
      <c r="T731" s="65"/>
      <c r="U731" s="64"/>
      <c r="V731" s="64"/>
      <c r="W731" s="64"/>
      <c r="X731" s="64"/>
      <c r="Y731" s="64"/>
      <c r="Z731" s="64"/>
      <c r="AA731" s="64"/>
      <c r="AB731" s="64"/>
      <c r="AC731" s="64"/>
      <c r="AD731" s="64"/>
      <c r="AE731" s="64"/>
      <c r="AF731" s="64"/>
      <c r="AG731" s="64"/>
    </row>
    <row r="732">
      <c r="A732" s="64"/>
      <c r="B732" s="64"/>
      <c r="C732" s="64"/>
      <c r="D732" s="64"/>
      <c r="E732" s="65"/>
      <c r="F732" s="64"/>
      <c r="G732" s="67"/>
      <c r="H732" s="64"/>
      <c r="I732" s="64"/>
      <c r="J732" s="64"/>
      <c r="K732" s="64"/>
      <c r="L732" s="65"/>
      <c r="M732" s="64"/>
      <c r="N732" s="64"/>
      <c r="O732" s="64"/>
      <c r="P732" s="64"/>
      <c r="Q732" s="64"/>
      <c r="R732" s="64"/>
      <c r="S732" s="64"/>
      <c r="T732" s="65"/>
      <c r="U732" s="64"/>
      <c r="V732" s="64"/>
      <c r="W732" s="64"/>
      <c r="X732" s="64"/>
      <c r="Y732" s="64"/>
      <c r="Z732" s="64"/>
      <c r="AA732" s="64"/>
      <c r="AB732" s="64"/>
      <c r="AC732" s="64"/>
      <c r="AD732" s="64"/>
      <c r="AE732" s="64"/>
      <c r="AF732" s="64"/>
      <c r="AG732" s="64"/>
    </row>
    <row r="733">
      <c r="A733" s="64"/>
      <c r="B733" s="64"/>
      <c r="C733" s="64"/>
      <c r="D733" s="64"/>
      <c r="E733" s="65"/>
      <c r="F733" s="64"/>
      <c r="G733" s="67"/>
      <c r="H733" s="64"/>
      <c r="I733" s="64"/>
      <c r="J733" s="64"/>
      <c r="K733" s="64"/>
      <c r="L733" s="65"/>
      <c r="M733" s="64"/>
      <c r="N733" s="64"/>
      <c r="O733" s="64"/>
      <c r="P733" s="64"/>
      <c r="Q733" s="64"/>
      <c r="R733" s="64"/>
      <c r="S733" s="64"/>
      <c r="T733" s="65"/>
      <c r="U733" s="64"/>
      <c r="V733" s="64"/>
      <c r="W733" s="64"/>
      <c r="X733" s="64"/>
      <c r="Y733" s="64"/>
      <c r="Z733" s="64"/>
      <c r="AA733" s="64"/>
      <c r="AB733" s="64"/>
      <c r="AC733" s="64"/>
      <c r="AD733" s="64"/>
      <c r="AE733" s="64"/>
      <c r="AF733" s="64"/>
      <c r="AG733" s="64"/>
    </row>
    <row r="734">
      <c r="A734" s="64"/>
      <c r="B734" s="64"/>
      <c r="C734" s="64"/>
      <c r="D734" s="64"/>
      <c r="E734" s="65"/>
      <c r="F734" s="64"/>
      <c r="G734" s="67"/>
      <c r="H734" s="64"/>
      <c r="I734" s="64"/>
      <c r="J734" s="64"/>
      <c r="K734" s="64"/>
      <c r="L734" s="65"/>
      <c r="M734" s="64"/>
      <c r="N734" s="64"/>
      <c r="O734" s="64"/>
      <c r="P734" s="64"/>
      <c r="Q734" s="64"/>
      <c r="R734" s="64"/>
      <c r="S734" s="64"/>
      <c r="T734" s="65"/>
      <c r="U734" s="64"/>
      <c r="V734" s="64"/>
      <c r="W734" s="64"/>
      <c r="X734" s="64"/>
      <c r="Y734" s="64"/>
      <c r="Z734" s="64"/>
      <c r="AA734" s="64"/>
      <c r="AB734" s="64"/>
      <c r="AC734" s="64"/>
      <c r="AD734" s="64"/>
      <c r="AE734" s="64"/>
      <c r="AF734" s="64"/>
      <c r="AG734" s="64"/>
    </row>
    <row r="735">
      <c r="A735" s="64"/>
      <c r="B735" s="64"/>
      <c r="C735" s="64"/>
      <c r="D735" s="64"/>
      <c r="E735" s="65"/>
      <c r="F735" s="64"/>
      <c r="G735" s="67"/>
      <c r="H735" s="64"/>
      <c r="I735" s="64"/>
      <c r="J735" s="64"/>
      <c r="K735" s="64"/>
      <c r="L735" s="65"/>
      <c r="M735" s="64"/>
      <c r="N735" s="64"/>
      <c r="O735" s="64"/>
      <c r="P735" s="64"/>
      <c r="Q735" s="64"/>
      <c r="R735" s="64"/>
      <c r="S735" s="64"/>
      <c r="T735" s="65"/>
      <c r="U735" s="64"/>
      <c r="V735" s="64"/>
      <c r="W735" s="64"/>
      <c r="X735" s="64"/>
      <c r="Y735" s="64"/>
      <c r="Z735" s="64"/>
      <c r="AA735" s="64"/>
      <c r="AB735" s="64"/>
      <c r="AC735" s="64"/>
      <c r="AD735" s="64"/>
      <c r="AE735" s="64"/>
      <c r="AF735" s="64"/>
      <c r="AG735" s="64"/>
    </row>
    <row r="736">
      <c r="A736" s="64"/>
      <c r="B736" s="64"/>
      <c r="C736" s="64"/>
      <c r="D736" s="64"/>
      <c r="E736" s="65"/>
      <c r="F736" s="64"/>
      <c r="G736" s="67"/>
      <c r="H736" s="64"/>
      <c r="I736" s="64"/>
      <c r="J736" s="64"/>
      <c r="K736" s="64"/>
      <c r="L736" s="65"/>
      <c r="M736" s="64"/>
      <c r="N736" s="64"/>
      <c r="O736" s="64"/>
      <c r="P736" s="64"/>
      <c r="Q736" s="64"/>
      <c r="R736" s="64"/>
      <c r="S736" s="64"/>
      <c r="T736" s="65"/>
      <c r="U736" s="64"/>
      <c r="V736" s="64"/>
      <c r="W736" s="64"/>
      <c r="X736" s="64"/>
      <c r="Y736" s="64"/>
      <c r="Z736" s="64"/>
      <c r="AA736" s="64"/>
      <c r="AB736" s="64"/>
      <c r="AC736" s="64"/>
      <c r="AD736" s="64"/>
      <c r="AE736" s="64"/>
      <c r="AF736" s="64"/>
      <c r="AG736" s="64"/>
    </row>
    <row r="737">
      <c r="A737" s="64"/>
      <c r="B737" s="64"/>
      <c r="C737" s="64"/>
      <c r="D737" s="64"/>
      <c r="E737" s="65"/>
      <c r="F737" s="64"/>
      <c r="G737" s="67"/>
      <c r="H737" s="64"/>
      <c r="I737" s="64"/>
      <c r="J737" s="64"/>
      <c r="K737" s="64"/>
      <c r="L737" s="65"/>
      <c r="M737" s="64"/>
      <c r="N737" s="64"/>
      <c r="O737" s="64"/>
      <c r="P737" s="64"/>
      <c r="Q737" s="64"/>
      <c r="R737" s="64"/>
      <c r="S737" s="64"/>
      <c r="T737" s="65"/>
      <c r="U737" s="64"/>
      <c r="V737" s="64"/>
      <c r="W737" s="64"/>
      <c r="X737" s="64"/>
      <c r="Y737" s="64"/>
      <c r="Z737" s="64"/>
      <c r="AA737" s="64"/>
      <c r="AB737" s="64"/>
      <c r="AC737" s="64"/>
      <c r="AD737" s="64"/>
      <c r="AE737" s="64"/>
      <c r="AF737" s="64"/>
      <c r="AG737" s="64"/>
    </row>
    <row r="738">
      <c r="A738" s="64"/>
      <c r="B738" s="64"/>
      <c r="C738" s="64"/>
      <c r="D738" s="64"/>
      <c r="E738" s="65"/>
      <c r="F738" s="64"/>
      <c r="G738" s="67"/>
      <c r="H738" s="64"/>
      <c r="I738" s="64"/>
      <c r="J738" s="64"/>
      <c r="K738" s="64"/>
      <c r="L738" s="65"/>
      <c r="M738" s="64"/>
      <c r="N738" s="64"/>
      <c r="O738" s="64"/>
      <c r="P738" s="64"/>
      <c r="Q738" s="64"/>
      <c r="R738" s="64"/>
      <c r="S738" s="64"/>
      <c r="T738" s="65"/>
      <c r="U738" s="64"/>
      <c r="V738" s="64"/>
      <c r="W738" s="64"/>
      <c r="X738" s="64"/>
      <c r="Y738" s="64"/>
      <c r="Z738" s="64"/>
      <c r="AA738" s="64"/>
      <c r="AB738" s="64"/>
      <c r="AC738" s="64"/>
      <c r="AD738" s="64"/>
      <c r="AE738" s="64"/>
      <c r="AF738" s="64"/>
      <c r="AG738" s="64"/>
    </row>
    <row r="739">
      <c r="A739" s="64"/>
      <c r="B739" s="64"/>
      <c r="C739" s="64"/>
      <c r="D739" s="64"/>
      <c r="E739" s="65"/>
      <c r="F739" s="64"/>
      <c r="G739" s="67"/>
      <c r="H739" s="64"/>
      <c r="I739" s="64"/>
      <c r="J739" s="64"/>
      <c r="K739" s="64"/>
      <c r="L739" s="65"/>
      <c r="M739" s="64"/>
      <c r="N739" s="64"/>
      <c r="O739" s="64"/>
      <c r="P739" s="64"/>
      <c r="Q739" s="64"/>
      <c r="R739" s="64"/>
      <c r="S739" s="64"/>
      <c r="T739" s="65"/>
      <c r="U739" s="64"/>
      <c r="V739" s="64"/>
      <c r="W739" s="64"/>
      <c r="X739" s="64"/>
      <c r="Y739" s="64"/>
      <c r="Z739" s="64"/>
      <c r="AA739" s="64"/>
      <c r="AB739" s="64"/>
      <c r="AC739" s="64"/>
      <c r="AD739" s="64"/>
      <c r="AE739" s="64"/>
      <c r="AF739" s="64"/>
      <c r="AG739" s="64"/>
    </row>
    <row r="740">
      <c r="A740" s="64"/>
      <c r="B740" s="64"/>
      <c r="C740" s="64"/>
      <c r="D740" s="64"/>
      <c r="E740" s="65"/>
      <c r="F740" s="64"/>
      <c r="G740" s="67"/>
      <c r="H740" s="64"/>
      <c r="I740" s="64"/>
      <c r="J740" s="64"/>
      <c r="K740" s="64"/>
      <c r="L740" s="65"/>
      <c r="M740" s="64"/>
      <c r="N740" s="64"/>
      <c r="O740" s="64"/>
      <c r="P740" s="64"/>
      <c r="Q740" s="64"/>
      <c r="R740" s="64"/>
      <c r="S740" s="64"/>
      <c r="T740" s="65"/>
      <c r="U740" s="64"/>
      <c r="V740" s="64"/>
      <c r="W740" s="64"/>
      <c r="X740" s="64"/>
      <c r="Y740" s="64"/>
      <c r="Z740" s="64"/>
      <c r="AA740" s="64"/>
      <c r="AB740" s="64"/>
      <c r="AC740" s="64"/>
      <c r="AD740" s="64"/>
      <c r="AE740" s="64"/>
      <c r="AF740" s="64"/>
      <c r="AG740" s="64"/>
    </row>
    <row r="741">
      <c r="A741" s="64"/>
      <c r="B741" s="64"/>
      <c r="C741" s="64"/>
      <c r="D741" s="64"/>
      <c r="E741" s="65"/>
      <c r="F741" s="64"/>
      <c r="G741" s="67"/>
      <c r="H741" s="64"/>
      <c r="I741" s="64"/>
      <c r="J741" s="64"/>
      <c r="K741" s="64"/>
      <c r="L741" s="65"/>
      <c r="M741" s="64"/>
      <c r="N741" s="64"/>
      <c r="O741" s="64"/>
      <c r="P741" s="64"/>
      <c r="Q741" s="64"/>
      <c r="R741" s="64"/>
      <c r="S741" s="64"/>
      <c r="T741" s="65"/>
      <c r="U741" s="64"/>
      <c r="V741" s="64"/>
      <c r="W741" s="64"/>
      <c r="X741" s="64"/>
      <c r="Y741" s="64"/>
      <c r="Z741" s="64"/>
      <c r="AA741" s="64"/>
      <c r="AB741" s="64"/>
      <c r="AC741" s="64"/>
      <c r="AD741" s="64"/>
      <c r="AE741" s="64"/>
      <c r="AF741" s="64"/>
      <c r="AG741" s="64"/>
    </row>
    <row r="742">
      <c r="A742" s="64"/>
      <c r="B742" s="64"/>
      <c r="C742" s="64"/>
      <c r="D742" s="64"/>
      <c r="E742" s="65"/>
      <c r="F742" s="64"/>
      <c r="G742" s="67"/>
      <c r="H742" s="64"/>
      <c r="I742" s="64"/>
      <c r="J742" s="64"/>
      <c r="K742" s="64"/>
      <c r="L742" s="65"/>
      <c r="M742" s="64"/>
      <c r="N742" s="64"/>
      <c r="O742" s="64"/>
      <c r="P742" s="64"/>
      <c r="Q742" s="64"/>
      <c r="R742" s="64"/>
      <c r="S742" s="64"/>
      <c r="T742" s="65"/>
      <c r="U742" s="64"/>
      <c r="V742" s="64"/>
      <c r="W742" s="64"/>
      <c r="X742" s="64"/>
      <c r="Y742" s="64"/>
      <c r="Z742" s="64"/>
      <c r="AA742" s="64"/>
      <c r="AB742" s="64"/>
      <c r="AC742" s="64"/>
      <c r="AD742" s="64"/>
      <c r="AE742" s="64"/>
      <c r="AF742" s="64"/>
      <c r="AG742" s="64"/>
    </row>
    <row r="743">
      <c r="A743" s="64"/>
      <c r="B743" s="64"/>
      <c r="C743" s="64"/>
      <c r="D743" s="64"/>
      <c r="E743" s="65"/>
      <c r="F743" s="64"/>
      <c r="G743" s="67"/>
      <c r="H743" s="64"/>
      <c r="I743" s="64"/>
      <c r="J743" s="64"/>
      <c r="K743" s="64"/>
      <c r="L743" s="65"/>
      <c r="M743" s="64"/>
      <c r="N743" s="64"/>
      <c r="O743" s="64"/>
      <c r="P743" s="64"/>
      <c r="Q743" s="64"/>
      <c r="R743" s="64"/>
      <c r="S743" s="64"/>
      <c r="T743" s="65"/>
      <c r="U743" s="64"/>
      <c r="V743" s="64"/>
      <c r="W743" s="64"/>
      <c r="X743" s="64"/>
      <c r="Y743" s="64"/>
      <c r="Z743" s="64"/>
      <c r="AA743" s="64"/>
      <c r="AB743" s="64"/>
      <c r="AC743" s="64"/>
      <c r="AD743" s="64"/>
      <c r="AE743" s="64"/>
      <c r="AF743" s="64"/>
      <c r="AG743" s="64"/>
    </row>
    <row r="744">
      <c r="A744" s="64"/>
      <c r="B744" s="64"/>
      <c r="C744" s="64"/>
      <c r="D744" s="64"/>
      <c r="E744" s="65"/>
      <c r="F744" s="64"/>
      <c r="G744" s="67"/>
      <c r="H744" s="64"/>
      <c r="I744" s="64"/>
      <c r="J744" s="64"/>
      <c r="K744" s="64"/>
      <c r="L744" s="65"/>
      <c r="M744" s="64"/>
      <c r="N744" s="64"/>
      <c r="O744" s="64"/>
      <c r="P744" s="64"/>
      <c r="Q744" s="64"/>
      <c r="R744" s="64"/>
      <c r="S744" s="64"/>
      <c r="T744" s="65"/>
      <c r="U744" s="64"/>
      <c r="V744" s="64"/>
      <c r="W744" s="64"/>
      <c r="X744" s="64"/>
      <c r="Y744" s="64"/>
      <c r="Z744" s="64"/>
      <c r="AA744" s="64"/>
      <c r="AB744" s="64"/>
      <c r="AC744" s="64"/>
      <c r="AD744" s="64"/>
      <c r="AE744" s="64"/>
      <c r="AF744" s="64"/>
      <c r="AG744" s="64"/>
    </row>
    <row r="745">
      <c r="A745" s="64"/>
      <c r="B745" s="64"/>
      <c r="C745" s="64"/>
      <c r="D745" s="64"/>
      <c r="E745" s="65"/>
      <c r="F745" s="64"/>
      <c r="G745" s="67"/>
      <c r="H745" s="64"/>
      <c r="I745" s="64"/>
      <c r="J745" s="64"/>
      <c r="K745" s="64"/>
      <c r="L745" s="65"/>
      <c r="M745" s="64"/>
      <c r="N745" s="64"/>
      <c r="O745" s="64"/>
      <c r="P745" s="64"/>
      <c r="Q745" s="64"/>
      <c r="R745" s="64"/>
      <c r="S745" s="64"/>
      <c r="T745" s="65"/>
      <c r="U745" s="64"/>
      <c r="V745" s="64"/>
      <c r="W745" s="64"/>
      <c r="X745" s="64"/>
      <c r="Y745" s="64"/>
      <c r="Z745" s="64"/>
      <c r="AA745" s="64"/>
      <c r="AB745" s="64"/>
      <c r="AC745" s="64"/>
      <c r="AD745" s="64"/>
      <c r="AE745" s="64"/>
      <c r="AF745" s="64"/>
      <c r="AG745" s="64"/>
    </row>
    <row r="746">
      <c r="A746" s="64"/>
      <c r="B746" s="64"/>
      <c r="C746" s="64"/>
      <c r="D746" s="64"/>
      <c r="E746" s="65"/>
      <c r="F746" s="64"/>
      <c r="G746" s="67"/>
      <c r="H746" s="64"/>
      <c r="I746" s="64"/>
      <c r="J746" s="64"/>
      <c r="K746" s="64"/>
      <c r="L746" s="65"/>
      <c r="M746" s="64"/>
      <c r="N746" s="64"/>
      <c r="O746" s="64"/>
      <c r="P746" s="64"/>
      <c r="Q746" s="64"/>
      <c r="R746" s="64"/>
      <c r="S746" s="64"/>
      <c r="T746" s="65"/>
      <c r="U746" s="64"/>
      <c r="V746" s="64"/>
      <c r="W746" s="64"/>
      <c r="X746" s="64"/>
      <c r="Y746" s="64"/>
      <c r="Z746" s="64"/>
      <c r="AA746" s="64"/>
      <c r="AB746" s="64"/>
      <c r="AC746" s="64"/>
      <c r="AD746" s="64"/>
      <c r="AE746" s="64"/>
      <c r="AF746" s="64"/>
      <c r="AG746" s="64"/>
    </row>
    <row r="747">
      <c r="A747" s="64"/>
      <c r="B747" s="64"/>
      <c r="C747" s="64"/>
      <c r="D747" s="64"/>
      <c r="E747" s="65"/>
      <c r="F747" s="64"/>
      <c r="G747" s="67"/>
      <c r="H747" s="64"/>
      <c r="I747" s="64"/>
      <c r="J747" s="64"/>
      <c r="K747" s="64"/>
      <c r="L747" s="65"/>
      <c r="M747" s="64"/>
      <c r="N747" s="64"/>
      <c r="O747" s="64"/>
      <c r="P747" s="64"/>
      <c r="Q747" s="64"/>
      <c r="R747" s="64"/>
      <c r="S747" s="64"/>
      <c r="T747" s="65"/>
      <c r="U747" s="64"/>
      <c r="V747" s="64"/>
      <c r="W747" s="64"/>
      <c r="X747" s="64"/>
      <c r="Y747" s="64"/>
      <c r="Z747" s="64"/>
      <c r="AA747" s="64"/>
      <c r="AB747" s="64"/>
      <c r="AC747" s="64"/>
      <c r="AD747" s="64"/>
      <c r="AE747" s="64"/>
      <c r="AF747" s="64"/>
      <c r="AG747" s="64"/>
    </row>
    <row r="748">
      <c r="A748" s="64"/>
      <c r="B748" s="64"/>
      <c r="C748" s="64"/>
      <c r="D748" s="64"/>
      <c r="E748" s="65"/>
      <c r="F748" s="64"/>
      <c r="G748" s="67"/>
      <c r="H748" s="64"/>
      <c r="I748" s="64"/>
      <c r="J748" s="64"/>
      <c r="K748" s="64"/>
      <c r="L748" s="65"/>
      <c r="M748" s="64"/>
      <c r="N748" s="64"/>
      <c r="O748" s="64"/>
      <c r="P748" s="64"/>
      <c r="Q748" s="64"/>
      <c r="R748" s="64"/>
      <c r="S748" s="64"/>
      <c r="T748" s="65"/>
      <c r="U748" s="64"/>
      <c r="V748" s="64"/>
      <c r="W748" s="64"/>
      <c r="X748" s="64"/>
      <c r="Y748" s="64"/>
      <c r="Z748" s="64"/>
      <c r="AA748" s="64"/>
      <c r="AB748" s="64"/>
      <c r="AC748" s="64"/>
      <c r="AD748" s="64"/>
      <c r="AE748" s="64"/>
      <c r="AF748" s="64"/>
      <c r="AG748" s="64"/>
    </row>
    <row r="749">
      <c r="A749" s="64"/>
      <c r="B749" s="64"/>
      <c r="C749" s="64"/>
      <c r="D749" s="64"/>
      <c r="E749" s="65"/>
      <c r="F749" s="64"/>
      <c r="G749" s="67"/>
      <c r="H749" s="64"/>
      <c r="I749" s="64"/>
      <c r="J749" s="64"/>
      <c r="K749" s="64"/>
      <c r="L749" s="65"/>
      <c r="M749" s="64"/>
      <c r="N749" s="64"/>
      <c r="O749" s="64"/>
      <c r="P749" s="64"/>
      <c r="Q749" s="64"/>
      <c r="R749" s="64"/>
      <c r="S749" s="64"/>
      <c r="T749" s="65"/>
      <c r="U749" s="64"/>
      <c r="V749" s="64"/>
      <c r="W749" s="64"/>
      <c r="X749" s="64"/>
      <c r="Y749" s="64"/>
      <c r="Z749" s="64"/>
      <c r="AA749" s="64"/>
      <c r="AB749" s="64"/>
      <c r="AC749" s="64"/>
      <c r="AD749" s="64"/>
      <c r="AE749" s="64"/>
      <c r="AF749" s="64"/>
      <c r="AG749" s="64"/>
    </row>
    <row r="750">
      <c r="A750" s="64"/>
      <c r="B750" s="64"/>
      <c r="C750" s="64"/>
      <c r="D750" s="64"/>
      <c r="E750" s="65"/>
      <c r="F750" s="64"/>
      <c r="G750" s="67"/>
      <c r="H750" s="64"/>
      <c r="I750" s="64"/>
      <c r="J750" s="64"/>
      <c r="K750" s="64"/>
      <c r="L750" s="65"/>
      <c r="M750" s="64"/>
      <c r="N750" s="64"/>
      <c r="O750" s="64"/>
      <c r="P750" s="64"/>
      <c r="Q750" s="64"/>
      <c r="R750" s="64"/>
      <c r="S750" s="64"/>
      <c r="T750" s="65"/>
      <c r="U750" s="64"/>
      <c r="V750" s="64"/>
      <c r="W750" s="64"/>
      <c r="X750" s="64"/>
      <c r="Y750" s="64"/>
      <c r="Z750" s="64"/>
      <c r="AA750" s="64"/>
      <c r="AB750" s="64"/>
      <c r="AC750" s="64"/>
      <c r="AD750" s="64"/>
      <c r="AE750" s="64"/>
      <c r="AF750" s="64"/>
      <c r="AG750" s="64"/>
    </row>
    <row r="751">
      <c r="A751" s="64"/>
      <c r="B751" s="64"/>
      <c r="C751" s="64"/>
      <c r="D751" s="64"/>
      <c r="E751" s="65"/>
      <c r="F751" s="64"/>
      <c r="G751" s="67"/>
      <c r="H751" s="64"/>
      <c r="I751" s="64"/>
      <c r="J751" s="64"/>
      <c r="K751" s="64"/>
      <c r="L751" s="65"/>
      <c r="M751" s="64"/>
      <c r="N751" s="64"/>
      <c r="O751" s="64"/>
      <c r="P751" s="64"/>
      <c r="Q751" s="64"/>
      <c r="R751" s="64"/>
      <c r="S751" s="64"/>
      <c r="T751" s="65"/>
      <c r="U751" s="64"/>
      <c r="V751" s="64"/>
      <c r="W751" s="64"/>
      <c r="X751" s="64"/>
      <c r="Y751" s="64"/>
      <c r="Z751" s="64"/>
      <c r="AA751" s="64"/>
      <c r="AB751" s="64"/>
      <c r="AC751" s="64"/>
      <c r="AD751" s="64"/>
      <c r="AE751" s="64"/>
      <c r="AF751" s="64"/>
      <c r="AG751" s="64"/>
    </row>
    <row r="752">
      <c r="A752" s="64"/>
      <c r="B752" s="64"/>
      <c r="C752" s="64"/>
      <c r="D752" s="64"/>
      <c r="E752" s="65"/>
      <c r="F752" s="64"/>
      <c r="G752" s="67"/>
      <c r="H752" s="64"/>
      <c r="I752" s="64"/>
      <c r="J752" s="64"/>
      <c r="K752" s="64"/>
      <c r="L752" s="65"/>
      <c r="M752" s="64"/>
      <c r="N752" s="64"/>
      <c r="O752" s="64"/>
      <c r="P752" s="64"/>
      <c r="Q752" s="64"/>
      <c r="R752" s="64"/>
      <c r="S752" s="64"/>
      <c r="T752" s="65"/>
      <c r="U752" s="64"/>
      <c r="V752" s="64"/>
      <c r="W752" s="64"/>
      <c r="X752" s="64"/>
      <c r="Y752" s="64"/>
      <c r="Z752" s="64"/>
      <c r="AA752" s="64"/>
      <c r="AB752" s="64"/>
      <c r="AC752" s="64"/>
      <c r="AD752" s="64"/>
      <c r="AE752" s="64"/>
      <c r="AF752" s="64"/>
      <c r="AG752" s="64"/>
    </row>
    <row r="753">
      <c r="A753" s="64"/>
      <c r="B753" s="64"/>
      <c r="C753" s="64"/>
      <c r="D753" s="64"/>
      <c r="E753" s="65"/>
      <c r="F753" s="64"/>
      <c r="G753" s="67"/>
      <c r="H753" s="64"/>
      <c r="I753" s="64"/>
      <c r="J753" s="64"/>
      <c r="K753" s="64"/>
      <c r="L753" s="65"/>
      <c r="M753" s="64"/>
      <c r="N753" s="64"/>
      <c r="O753" s="64"/>
      <c r="P753" s="64"/>
      <c r="Q753" s="64"/>
      <c r="R753" s="64"/>
      <c r="S753" s="64"/>
      <c r="T753" s="65"/>
      <c r="U753" s="64"/>
      <c r="V753" s="64"/>
      <c r="W753" s="64"/>
      <c r="X753" s="64"/>
      <c r="Y753" s="64"/>
      <c r="Z753" s="64"/>
      <c r="AA753" s="64"/>
      <c r="AB753" s="64"/>
      <c r="AC753" s="64"/>
      <c r="AD753" s="64"/>
      <c r="AE753" s="64"/>
      <c r="AF753" s="64"/>
      <c r="AG753" s="64"/>
    </row>
    <row r="754">
      <c r="A754" s="64"/>
      <c r="B754" s="64"/>
      <c r="C754" s="64"/>
      <c r="D754" s="64"/>
      <c r="E754" s="65"/>
      <c r="F754" s="64"/>
      <c r="G754" s="67"/>
      <c r="H754" s="64"/>
      <c r="I754" s="64"/>
      <c r="J754" s="64"/>
      <c r="K754" s="64"/>
      <c r="L754" s="65"/>
      <c r="M754" s="64"/>
      <c r="N754" s="64"/>
      <c r="O754" s="64"/>
      <c r="P754" s="64"/>
      <c r="Q754" s="64"/>
      <c r="R754" s="64"/>
      <c r="S754" s="64"/>
      <c r="T754" s="65"/>
      <c r="U754" s="64"/>
      <c r="V754" s="64"/>
      <c r="W754" s="64"/>
      <c r="X754" s="64"/>
      <c r="Y754" s="64"/>
      <c r="Z754" s="64"/>
      <c r="AA754" s="64"/>
      <c r="AB754" s="64"/>
      <c r="AC754" s="64"/>
      <c r="AD754" s="64"/>
      <c r="AE754" s="64"/>
      <c r="AF754" s="64"/>
      <c r="AG754" s="64"/>
    </row>
    <row r="755">
      <c r="A755" s="64"/>
      <c r="B755" s="64"/>
      <c r="C755" s="64"/>
      <c r="D755" s="64"/>
      <c r="E755" s="65"/>
      <c r="F755" s="64"/>
      <c r="G755" s="67"/>
      <c r="H755" s="64"/>
      <c r="I755" s="64"/>
      <c r="J755" s="64"/>
      <c r="K755" s="64"/>
      <c r="L755" s="65"/>
      <c r="M755" s="64"/>
      <c r="N755" s="64"/>
      <c r="O755" s="64"/>
      <c r="P755" s="64"/>
      <c r="Q755" s="64"/>
      <c r="R755" s="64"/>
      <c r="S755" s="64"/>
      <c r="T755" s="65"/>
      <c r="U755" s="64"/>
      <c r="V755" s="64"/>
      <c r="W755" s="64"/>
      <c r="X755" s="64"/>
      <c r="Y755" s="64"/>
      <c r="Z755" s="64"/>
      <c r="AA755" s="64"/>
      <c r="AB755" s="64"/>
      <c r="AC755" s="64"/>
      <c r="AD755" s="64"/>
      <c r="AE755" s="64"/>
      <c r="AF755" s="64"/>
      <c r="AG755" s="64"/>
    </row>
    <row r="756">
      <c r="A756" s="64"/>
      <c r="B756" s="64"/>
      <c r="C756" s="64"/>
      <c r="D756" s="64"/>
      <c r="E756" s="65"/>
      <c r="F756" s="64"/>
      <c r="G756" s="67"/>
      <c r="H756" s="64"/>
      <c r="I756" s="64"/>
      <c r="J756" s="64"/>
      <c r="K756" s="64"/>
      <c r="L756" s="65"/>
      <c r="M756" s="64"/>
      <c r="N756" s="64"/>
      <c r="O756" s="64"/>
      <c r="P756" s="64"/>
      <c r="Q756" s="64"/>
      <c r="R756" s="64"/>
      <c r="S756" s="64"/>
      <c r="T756" s="65"/>
      <c r="U756" s="64"/>
      <c r="V756" s="64"/>
      <c r="W756" s="64"/>
      <c r="X756" s="64"/>
      <c r="Y756" s="64"/>
      <c r="Z756" s="64"/>
      <c r="AA756" s="64"/>
      <c r="AB756" s="64"/>
      <c r="AC756" s="64"/>
      <c r="AD756" s="64"/>
      <c r="AE756" s="64"/>
      <c r="AF756" s="64"/>
      <c r="AG756" s="64"/>
    </row>
    <row r="757">
      <c r="A757" s="64"/>
      <c r="B757" s="64"/>
      <c r="C757" s="64"/>
      <c r="D757" s="64"/>
      <c r="E757" s="65"/>
      <c r="F757" s="64"/>
      <c r="G757" s="67"/>
      <c r="H757" s="64"/>
      <c r="I757" s="64"/>
      <c r="J757" s="64"/>
      <c r="K757" s="64"/>
      <c r="L757" s="65"/>
      <c r="M757" s="64"/>
      <c r="N757" s="64"/>
      <c r="O757" s="64"/>
      <c r="P757" s="64"/>
      <c r="Q757" s="64"/>
      <c r="R757" s="64"/>
      <c r="S757" s="64"/>
      <c r="T757" s="65"/>
      <c r="U757" s="64"/>
      <c r="V757" s="64"/>
      <c r="W757" s="64"/>
      <c r="X757" s="64"/>
      <c r="Y757" s="64"/>
      <c r="Z757" s="64"/>
      <c r="AA757" s="64"/>
      <c r="AB757" s="64"/>
      <c r="AC757" s="64"/>
      <c r="AD757" s="64"/>
      <c r="AE757" s="64"/>
      <c r="AF757" s="64"/>
      <c r="AG757" s="64"/>
    </row>
    <row r="758">
      <c r="A758" s="64"/>
      <c r="B758" s="64"/>
      <c r="C758" s="64"/>
      <c r="D758" s="64"/>
      <c r="E758" s="65"/>
      <c r="F758" s="64"/>
      <c r="G758" s="67"/>
      <c r="H758" s="64"/>
      <c r="I758" s="64"/>
      <c r="J758" s="64"/>
      <c r="K758" s="64"/>
      <c r="L758" s="65"/>
      <c r="M758" s="64"/>
      <c r="N758" s="64"/>
      <c r="O758" s="64"/>
      <c r="P758" s="64"/>
      <c r="Q758" s="64"/>
      <c r="R758" s="64"/>
      <c r="S758" s="64"/>
      <c r="T758" s="65"/>
      <c r="U758" s="64"/>
      <c r="V758" s="64"/>
      <c r="W758" s="64"/>
      <c r="X758" s="64"/>
      <c r="Y758" s="64"/>
      <c r="Z758" s="64"/>
      <c r="AA758" s="64"/>
      <c r="AB758" s="64"/>
      <c r="AC758" s="64"/>
      <c r="AD758" s="64"/>
      <c r="AE758" s="64"/>
      <c r="AF758" s="64"/>
      <c r="AG758" s="64"/>
    </row>
    <row r="759">
      <c r="A759" s="64"/>
      <c r="B759" s="64"/>
      <c r="C759" s="64"/>
      <c r="D759" s="64"/>
      <c r="E759" s="65"/>
      <c r="F759" s="64"/>
      <c r="G759" s="67"/>
      <c r="H759" s="64"/>
      <c r="I759" s="64"/>
      <c r="J759" s="64"/>
      <c r="K759" s="64"/>
      <c r="L759" s="65"/>
      <c r="M759" s="64"/>
      <c r="N759" s="64"/>
      <c r="O759" s="64"/>
      <c r="P759" s="64"/>
      <c r="Q759" s="64"/>
      <c r="R759" s="64"/>
      <c r="S759" s="64"/>
      <c r="T759" s="65"/>
      <c r="U759" s="64"/>
      <c r="V759" s="64"/>
      <c r="W759" s="64"/>
      <c r="X759" s="64"/>
      <c r="Y759" s="64"/>
      <c r="Z759" s="64"/>
      <c r="AA759" s="64"/>
      <c r="AB759" s="64"/>
      <c r="AC759" s="64"/>
      <c r="AD759" s="64"/>
      <c r="AE759" s="64"/>
      <c r="AF759" s="64"/>
      <c r="AG759" s="64"/>
    </row>
    <row r="760">
      <c r="A760" s="64"/>
      <c r="B760" s="64"/>
      <c r="C760" s="64"/>
      <c r="D760" s="64"/>
      <c r="E760" s="65"/>
      <c r="F760" s="64"/>
      <c r="G760" s="67"/>
      <c r="H760" s="64"/>
      <c r="I760" s="64"/>
      <c r="J760" s="64"/>
      <c r="K760" s="64"/>
      <c r="L760" s="65"/>
      <c r="M760" s="64"/>
      <c r="N760" s="64"/>
      <c r="O760" s="64"/>
      <c r="P760" s="64"/>
      <c r="Q760" s="64"/>
      <c r="R760" s="64"/>
      <c r="S760" s="64"/>
      <c r="T760" s="65"/>
      <c r="U760" s="64"/>
      <c r="V760" s="64"/>
      <c r="W760" s="64"/>
      <c r="X760" s="64"/>
      <c r="Y760" s="64"/>
      <c r="Z760" s="64"/>
      <c r="AA760" s="64"/>
      <c r="AB760" s="64"/>
      <c r="AC760" s="64"/>
      <c r="AD760" s="64"/>
      <c r="AE760" s="64"/>
      <c r="AF760" s="64"/>
      <c r="AG760" s="64"/>
    </row>
    <row r="761">
      <c r="A761" s="64"/>
      <c r="B761" s="64"/>
      <c r="C761" s="64"/>
      <c r="D761" s="64"/>
      <c r="E761" s="65"/>
      <c r="F761" s="64"/>
      <c r="G761" s="67"/>
      <c r="H761" s="64"/>
      <c r="I761" s="64"/>
      <c r="J761" s="64"/>
      <c r="K761" s="64"/>
      <c r="L761" s="65"/>
      <c r="M761" s="64"/>
      <c r="N761" s="64"/>
      <c r="O761" s="64"/>
      <c r="P761" s="64"/>
      <c r="Q761" s="64"/>
      <c r="R761" s="64"/>
      <c r="S761" s="64"/>
      <c r="T761" s="65"/>
      <c r="U761" s="64"/>
      <c r="V761" s="64"/>
      <c r="W761" s="64"/>
      <c r="X761" s="64"/>
      <c r="Y761" s="64"/>
      <c r="Z761" s="64"/>
      <c r="AA761" s="64"/>
      <c r="AB761" s="64"/>
      <c r="AC761" s="64"/>
      <c r="AD761" s="64"/>
      <c r="AE761" s="64"/>
      <c r="AF761" s="64"/>
      <c r="AG761" s="64"/>
    </row>
    <row r="762">
      <c r="A762" s="64"/>
      <c r="B762" s="64"/>
      <c r="C762" s="64"/>
      <c r="D762" s="64"/>
      <c r="E762" s="65"/>
      <c r="F762" s="64"/>
      <c r="G762" s="67"/>
      <c r="H762" s="64"/>
      <c r="I762" s="64"/>
      <c r="J762" s="64"/>
      <c r="K762" s="64"/>
      <c r="L762" s="65"/>
      <c r="M762" s="64"/>
      <c r="N762" s="64"/>
      <c r="O762" s="64"/>
      <c r="P762" s="64"/>
      <c r="Q762" s="64"/>
      <c r="R762" s="64"/>
      <c r="S762" s="64"/>
      <c r="T762" s="65"/>
      <c r="U762" s="64"/>
      <c r="V762" s="64"/>
      <c r="W762" s="64"/>
      <c r="X762" s="64"/>
      <c r="Y762" s="64"/>
      <c r="Z762" s="64"/>
      <c r="AA762" s="64"/>
      <c r="AB762" s="64"/>
      <c r="AC762" s="64"/>
      <c r="AD762" s="64"/>
      <c r="AE762" s="64"/>
      <c r="AF762" s="64"/>
      <c r="AG762" s="64"/>
    </row>
    <row r="763">
      <c r="A763" s="64"/>
      <c r="B763" s="64"/>
      <c r="C763" s="64"/>
      <c r="D763" s="64"/>
      <c r="E763" s="65"/>
      <c r="F763" s="64"/>
      <c r="G763" s="67"/>
      <c r="H763" s="64"/>
      <c r="I763" s="64"/>
      <c r="J763" s="64"/>
      <c r="K763" s="64"/>
      <c r="L763" s="65"/>
      <c r="M763" s="64"/>
      <c r="N763" s="64"/>
      <c r="O763" s="64"/>
      <c r="P763" s="64"/>
      <c r="Q763" s="64"/>
      <c r="R763" s="64"/>
      <c r="S763" s="64"/>
      <c r="T763" s="65"/>
      <c r="U763" s="64"/>
      <c r="V763" s="64"/>
      <c r="W763" s="64"/>
      <c r="X763" s="64"/>
      <c r="Y763" s="64"/>
      <c r="Z763" s="64"/>
      <c r="AA763" s="64"/>
      <c r="AB763" s="64"/>
      <c r="AC763" s="64"/>
      <c r="AD763" s="64"/>
      <c r="AE763" s="64"/>
      <c r="AF763" s="64"/>
      <c r="AG763" s="64"/>
    </row>
    <row r="764">
      <c r="A764" s="64"/>
      <c r="B764" s="64"/>
      <c r="C764" s="64"/>
      <c r="D764" s="64"/>
      <c r="E764" s="65"/>
      <c r="F764" s="64"/>
      <c r="G764" s="67"/>
      <c r="H764" s="64"/>
      <c r="I764" s="64"/>
      <c r="J764" s="64"/>
      <c r="K764" s="64"/>
      <c r="L764" s="65"/>
      <c r="M764" s="64"/>
      <c r="N764" s="64"/>
      <c r="O764" s="64"/>
      <c r="P764" s="64"/>
      <c r="Q764" s="64"/>
      <c r="R764" s="64"/>
      <c r="S764" s="64"/>
      <c r="T764" s="65"/>
      <c r="U764" s="64"/>
      <c r="V764" s="64"/>
      <c r="W764" s="64"/>
      <c r="X764" s="64"/>
      <c r="Y764" s="64"/>
      <c r="Z764" s="64"/>
      <c r="AA764" s="64"/>
      <c r="AB764" s="64"/>
      <c r="AC764" s="64"/>
      <c r="AD764" s="64"/>
      <c r="AE764" s="64"/>
      <c r="AF764" s="64"/>
      <c r="AG764" s="64"/>
    </row>
    <row r="765">
      <c r="A765" s="64"/>
      <c r="B765" s="64"/>
      <c r="C765" s="64"/>
      <c r="D765" s="64"/>
      <c r="E765" s="65"/>
      <c r="F765" s="64"/>
      <c r="G765" s="67"/>
      <c r="H765" s="64"/>
      <c r="I765" s="64"/>
      <c r="J765" s="64"/>
      <c r="K765" s="64"/>
      <c r="L765" s="65"/>
      <c r="M765" s="64"/>
      <c r="N765" s="64"/>
      <c r="O765" s="64"/>
      <c r="P765" s="64"/>
      <c r="Q765" s="64"/>
      <c r="R765" s="64"/>
      <c r="S765" s="64"/>
      <c r="T765" s="65"/>
      <c r="U765" s="64"/>
      <c r="V765" s="64"/>
      <c r="W765" s="64"/>
      <c r="X765" s="64"/>
      <c r="Y765" s="64"/>
      <c r="Z765" s="64"/>
      <c r="AA765" s="64"/>
      <c r="AB765" s="64"/>
      <c r="AC765" s="64"/>
      <c r="AD765" s="64"/>
      <c r="AE765" s="64"/>
      <c r="AF765" s="64"/>
      <c r="AG765" s="64"/>
    </row>
    <row r="766">
      <c r="A766" s="64"/>
      <c r="B766" s="64"/>
      <c r="C766" s="64"/>
      <c r="D766" s="64"/>
      <c r="E766" s="65"/>
      <c r="F766" s="64"/>
      <c r="G766" s="67"/>
      <c r="H766" s="64"/>
      <c r="I766" s="64"/>
      <c r="J766" s="64"/>
      <c r="K766" s="64"/>
      <c r="L766" s="65"/>
      <c r="M766" s="64"/>
      <c r="N766" s="64"/>
      <c r="O766" s="64"/>
      <c r="P766" s="64"/>
      <c r="Q766" s="64"/>
      <c r="R766" s="64"/>
      <c r="S766" s="64"/>
      <c r="T766" s="65"/>
      <c r="U766" s="64"/>
      <c r="V766" s="64"/>
      <c r="W766" s="64"/>
      <c r="X766" s="64"/>
      <c r="Y766" s="64"/>
      <c r="Z766" s="64"/>
      <c r="AA766" s="64"/>
      <c r="AB766" s="64"/>
      <c r="AC766" s="64"/>
      <c r="AD766" s="64"/>
      <c r="AE766" s="64"/>
      <c r="AF766" s="64"/>
      <c r="AG766" s="64"/>
    </row>
    <row r="767">
      <c r="A767" s="64"/>
      <c r="B767" s="64"/>
      <c r="C767" s="64"/>
      <c r="D767" s="64"/>
      <c r="E767" s="65"/>
      <c r="F767" s="64"/>
      <c r="G767" s="67"/>
      <c r="H767" s="64"/>
      <c r="I767" s="64"/>
      <c r="J767" s="64"/>
      <c r="K767" s="64"/>
      <c r="L767" s="65"/>
      <c r="M767" s="64"/>
      <c r="N767" s="64"/>
      <c r="O767" s="64"/>
      <c r="P767" s="64"/>
      <c r="Q767" s="64"/>
      <c r="R767" s="64"/>
      <c r="S767" s="64"/>
      <c r="T767" s="65"/>
      <c r="U767" s="64"/>
      <c r="V767" s="64"/>
      <c r="W767" s="64"/>
      <c r="X767" s="64"/>
      <c r="Y767" s="64"/>
      <c r="Z767" s="64"/>
      <c r="AA767" s="64"/>
      <c r="AB767" s="64"/>
      <c r="AC767" s="64"/>
      <c r="AD767" s="64"/>
      <c r="AE767" s="64"/>
      <c r="AF767" s="64"/>
      <c r="AG767" s="64"/>
    </row>
    <row r="768">
      <c r="A768" s="64"/>
      <c r="B768" s="64"/>
      <c r="C768" s="64"/>
      <c r="D768" s="64"/>
      <c r="E768" s="65"/>
      <c r="F768" s="64"/>
      <c r="G768" s="67"/>
      <c r="H768" s="64"/>
      <c r="I768" s="64"/>
      <c r="J768" s="64"/>
      <c r="K768" s="64"/>
      <c r="L768" s="65"/>
      <c r="M768" s="64"/>
      <c r="N768" s="64"/>
      <c r="O768" s="64"/>
      <c r="P768" s="64"/>
      <c r="Q768" s="64"/>
      <c r="R768" s="64"/>
      <c r="S768" s="64"/>
      <c r="T768" s="65"/>
      <c r="U768" s="64"/>
      <c r="V768" s="64"/>
      <c r="W768" s="64"/>
      <c r="X768" s="64"/>
      <c r="Y768" s="64"/>
      <c r="Z768" s="64"/>
      <c r="AA768" s="64"/>
      <c r="AB768" s="64"/>
      <c r="AC768" s="64"/>
      <c r="AD768" s="64"/>
      <c r="AE768" s="64"/>
      <c r="AF768" s="64"/>
      <c r="AG768" s="64"/>
    </row>
    <row r="769">
      <c r="A769" s="64"/>
      <c r="B769" s="64"/>
      <c r="C769" s="64"/>
      <c r="D769" s="64"/>
      <c r="E769" s="65"/>
      <c r="F769" s="64"/>
      <c r="G769" s="67"/>
      <c r="H769" s="64"/>
      <c r="I769" s="64"/>
      <c r="J769" s="64"/>
      <c r="K769" s="64"/>
      <c r="L769" s="65"/>
      <c r="M769" s="64"/>
      <c r="N769" s="64"/>
      <c r="O769" s="64"/>
      <c r="P769" s="64"/>
      <c r="Q769" s="64"/>
      <c r="R769" s="64"/>
      <c r="S769" s="64"/>
      <c r="T769" s="65"/>
      <c r="U769" s="64"/>
      <c r="V769" s="64"/>
      <c r="W769" s="64"/>
      <c r="X769" s="64"/>
      <c r="Y769" s="64"/>
      <c r="Z769" s="64"/>
      <c r="AA769" s="64"/>
      <c r="AB769" s="64"/>
      <c r="AC769" s="64"/>
      <c r="AD769" s="64"/>
      <c r="AE769" s="64"/>
      <c r="AF769" s="64"/>
      <c r="AG769" s="64"/>
    </row>
    <row r="770">
      <c r="A770" s="64"/>
      <c r="B770" s="64"/>
      <c r="C770" s="64"/>
      <c r="D770" s="64"/>
      <c r="E770" s="65"/>
      <c r="F770" s="64"/>
      <c r="G770" s="67"/>
      <c r="H770" s="64"/>
      <c r="I770" s="64"/>
      <c r="J770" s="64"/>
      <c r="K770" s="64"/>
      <c r="L770" s="65"/>
      <c r="M770" s="64"/>
      <c r="N770" s="64"/>
      <c r="O770" s="64"/>
      <c r="P770" s="64"/>
      <c r="Q770" s="64"/>
      <c r="R770" s="64"/>
      <c r="S770" s="64"/>
      <c r="T770" s="65"/>
      <c r="U770" s="64"/>
      <c r="V770" s="64"/>
      <c r="W770" s="64"/>
      <c r="X770" s="64"/>
      <c r="Y770" s="64"/>
      <c r="Z770" s="64"/>
      <c r="AA770" s="64"/>
      <c r="AB770" s="64"/>
      <c r="AC770" s="64"/>
      <c r="AD770" s="64"/>
      <c r="AE770" s="64"/>
      <c r="AF770" s="64"/>
      <c r="AG770" s="64"/>
    </row>
    <row r="771">
      <c r="A771" s="64"/>
      <c r="B771" s="64"/>
      <c r="C771" s="64"/>
      <c r="D771" s="64"/>
      <c r="E771" s="65"/>
      <c r="F771" s="64"/>
      <c r="G771" s="67"/>
      <c r="H771" s="64"/>
      <c r="I771" s="64"/>
      <c r="J771" s="64"/>
      <c r="K771" s="64"/>
      <c r="L771" s="65"/>
      <c r="M771" s="64"/>
      <c r="N771" s="64"/>
      <c r="O771" s="64"/>
      <c r="P771" s="64"/>
      <c r="Q771" s="64"/>
      <c r="R771" s="64"/>
      <c r="S771" s="64"/>
      <c r="T771" s="65"/>
      <c r="U771" s="64"/>
      <c r="V771" s="64"/>
      <c r="W771" s="64"/>
      <c r="X771" s="64"/>
      <c r="Y771" s="64"/>
      <c r="Z771" s="64"/>
      <c r="AA771" s="64"/>
      <c r="AB771" s="64"/>
      <c r="AC771" s="64"/>
      <c r="AD771" s="64"/>
      <c r="AE771" s="64"/>
      <c r="AF771" s="64"/>
      <c r="AG771" s="64"/>
    </row>
    <row r="772">
      <c r="A772" s="64"/>
      <c r="B772" s="64"/>
      <c r="C772" s="64"/>
      <c r="D772" s="64"/>
      <c r="E772" s="65"/>
      <c r="F772" s="64"/>
      <c r="G772" s="67"/>
      <c r="H772" s="64"/>
      <c r="I772" s="64"/>
      <c r="J772" s="64"/>
      <c r="K772" s="64"/>
      <c r="L772" s="65"/>
      <c r="M772" s="64"/>
      <c r="N772" s="64"/>
      <c r="O772" s="64"/>
      <c r="P772" s="64"/>
      <c r="Q772" s="64"/>
      <c r="R772" s="64"/>
      <c r="S772" s="64"/>
      <c r="T772" s="65"/>
      <c r="U772" s="64"/>
      <c r="V772" s="64"/>
      <c r="W772" s="64"/>
      <c r="X772" s="64"/>
      <c r="Y772" s="64"/>
      <c r="Z772" s="64"/>
      <c r="AA772" s="64"/>
      <c r="AB772" s="64"/>
      <c r="AC772" s="64"/>
      <c r="AD772" s="64"/>
      <c r="AE772" s="64"/>
      <c r="AF772" s="64"/>
      <c r="AG772" s="64"/>
    </row>
    <row r="773">
      <c r="A773" s="64"/>
      <c r="B773" s="64"/>
      <c r="C773" s="64"/>
      <c r="D773" s="64"/>
      <c r="E773" s="65"/>
      <c r="F773" s="64"/>
      <c r="G773" s="67"/>
      <c r="H773" s="64"/>
      <c r="I773" s="64"/>
      <c r="J773" s="64"/>
      <c r="K773" s="64"/>
      <c r="L773" s="65"/>
      <c r="M773" s="64"/>
      <c r="N773" s="64"/>
      <c r="O773" s="64"/>
      <c r="P773" s="64"/>
      <c r="Q773" s="64"/>
      <c r="R773" s="64"/>
      <c r="S773" s="64"/>
      <c r="T773" s="65"/>
      <c r="U773" s="64"/>
      <c r="V773" s="64"/>
      <c r="W773" s="64"/>
      <c r="X773" s="64"/>
      <c r="Y773" s="64"/>
      <c r="Z773" s="64"/>
      <c r="AA773" s="64"/>
      <c r="AB773" s="64"/>
      <c r="AC773" s="64"/>
      <c r="AD773" s="64"/>
      <c r="AE773" s="64"/>
      <c r="AF773" s="64"/>
      <c r="AG773" s="64"/>
    </row>
    <row r="774">
      <c r="A774" s="64"/>
      <c r="B774" s="64"/>
      <c r="C774" s="64"/>
      <c r="D774" s="64"/>
      <c r="E774" s="65"/>
      <c r="F774" s="64"/>
      <c r="G774" s="67"/>
      <c r="H774" s="64"/>
      <c r="I774" s="64"/>
      <c r="J774" s="64"/>
      <c r="K774" s="64"/>
      <c r="L774" s="65"/>
      <c r="M774" s="64"/>
      <c r="N774" s="64"/>
      <c r="O774" s="64"/>
      <c r="P774" s="64"/>
      <c r="Q774" s="64"/>
      <c r="R774" s="64"/>
      <c r="S774" s="64"/>
      <c r="T774" s="65"/>
      <c r="U774" s="64"/>
      <c r="V774" s="64"/>
      <c r="W774" s="64"/>
      <c r="X774" s="64"/>
      <c r="Y774" s="64"/>
      <c r="Z774" s="64"/>
      <c r="AA774" s="64"/>
      <c r="AB774" s="64"/>
      <c r="AC774" s="64"/>
      <c r="AD774" s="64"/>
      <c r="AE774" s="64"/>
      <c r="AF774" s="64"/>
      <c r="AG774" s="64"/>
    </row>
    <row r="775">
      <c r="A775" s="64"/>
      <c r="B775" s="64"/>
      <c r="C775" s="64"/>
      <c r="D775" s="64"/>
      <c r="E775" s="65"/>
      <c r="F775" s="64"/>
      <c r="G775" s="67"/>
      <c r="H775" s="64"/>
      <c r="I775" s="64"/>
      <c r="J775" s="64"/>
      <c r="K775" s="64"/>
      <c r="L775" s="65"/>
      <c r="M775" s="64"/>
      <c r="N775" s="64"/>
      <c r="O775" s="64"/>
      <c r="P775" s="64"/>
      <c r="Q775" s="64"/>
      <c r="R775" s="64"/>
      <c r="S775" s="64"/>
      <c r="T775" s="65"/>
      <c r="U775" s="64"/>
      <c r="V775" s="64"/>
      <c r="W775" s="64"/>
      <c r="X775" s="64"/>
      <c r="Y775" s="64"/>
      <c r="Z775" s="64"/>
      <c r="AA775" s="64"/>
      <c r="AB775" s="64"/>
      <c r="AC775" s="64"/>
      <c r="AD775" s="64"/>
      <c r="AE775" s="64"/>
      <c r="AF775" s="64"/>
      <c r="AG775" s="64"/>
    </row>
    <row r="776">
      <c r="A776" s="64"/>
      <c r="B776" s="64"/>
      <c r="C776" s="64"/>
      <c r="D776" s="64"/>
      <c r="E776" s="65"/>
      <c r="F776" s="64"/>
      <c r="G776" s="67"/>
      <c r="H776" s="64"/>
      <c r="I776" s="64"/>
      <c r="J776" s="64"/>
      <c r="K776" s="64"/>
      <c r="L776" s="65"/>
      <c r="M776" s="64"/>
      <c r="N776" s="64"/>
      <c r="O776" s="64"/>
      <c r="P776" s="64"/>
      <c r="Q776" s="64"/>
      <c r="R776" s="64"/>
      <c r="S776" s="64"/>
      <c r="T776" s="65"/>
      <c r="U776" s="64"/>
      <c r="V776" s="64"/>
      <c r="W776" s="64"/>
      <c r="X776" s="64"/>
      <c r="Y776" s="64"/>
      <c r="Z776" s="64"/>
      <c r="AA776" s="64"/>
      <c r="AB776" s="64"/>
      <c r="AC776" s="64"/>
      <c r="AD776" s="64"/>
      <c r="AE776" s="64"/>
      <c r="AF776" s="64"/>
      <c r="AG776" s="64"/>
    </row>
    <row r="777">
      <c r="A777" s="64"/>
      <c r="B777" s="64"/>
      <c r="C777" s="64"/>
      <c r="D777" s="64"/>
      <c r="E777" s="65"/>
      <c r="F777" s="64"/>
      <c r="G777" s="67"/>
      <c r="H777" s="64"/>
      <c r="I777" s="64"/>
      <c r="J777" s="64"/>
      <c r="K777" s="64"/>
      <c r="L777" s="65"/>
      <c r="M777" s="64"/>
      <c r="N777" s="64"/>
      <c r="O777" s="64"/>
      <c r="P777" s="64"/>
      <c r="Q777" s="64"/>
      <c r="R777" s="64"/>
      <c r="S777" s="64"/>
      <c r="T777" s="65"/>
      <c r="U777" s="64"/>
      <c r="V777" s="64"/>
      <c r="W777" s="64"/>
      <c r="X777" s="64"/>
      <c r="Y777" s="64"/>
      <c r="Z777" s="64"/>
      <c r="AA777" s="64"/>
      <c r="AB777" s="64"/>
      <c r="AC777" s="64"/>
      <c r="AD777" s="64"/>
      <c r="AE777" s="64"/>
      <c r="AF777" s="64"/>
      <c r="AG777" s="64"/>
    </row>
    <row r="778">
      <c r="A778" s="64"/>
      <c r="B778" s="64"/>
      <c r="C778" s="64"/>
      <c r="D778" s="64"/>
      <c r="E778" s="65"/>
      <c r="F778" s="64"/>
      <c r="G778" s="67"/>
      <c r="H778" s="64"/>
      <c r="I778" s="64"/>
      <c r="J778" s="64"/>
      <c r="K778" s="64"/>
      <c r="L778" s="65"/>
      <c r="M778" s="64"/>
      <c r="N778" s="64"/>
      <c r="O778" s="64"/>
      <c r="P778" s="64"/>
      <c r="Q778" s="64"/>
      <c r="R778" s="64"/>
      <c r="S778" s="64"/>
      <c r="T778" s="65"/>
      <c r="U778" s="64"/>
      <c r="V778" s="64"/>
      <c r="W778" s="64"/>
      <c r="X778" s="64"/>
      <c r="Y778" s="64"/>
      <c r="Z778" s="64"/>
      <c r="AA778" s="64"/>
      <c r="AB778" s="64"/>
      <c r="AC778" s="64"/>
      <c r="AD778" s="64"/>
      <c r="AE778" s="64"/>
      <c r="AF778" s="64"/>
      <c r="AG778" s="64"/>
    </row>
    <row r="779">
      <c r="A779" s="64"/>
      <c r="B779" s="64"/>
      <c r="C779" s="64"/>
      <c r="D779" s="64"/>
      <c r="E779" s="65"/>
      <c r="F779" s="64"/>
      <c r="G779" s="67"/>
      <c r="H779" s="64"/>
      <c r="I779" s="64"/>
      <c r="J779" s="64"/>
      <c r="K779" s="64"/>
      <c r="L779" s="65"/>
      <c r="M779" s="64"/>
      <c r="N779" s="64"/>
      <c r="O779" s="64"/>
      <c r="P779" s="64"/>
      <c r="Q779" s="64"/>
      <c r="R779" s="64"/>
      <c r="S779" s="64"/>
      <c r="T779" s="65"/>
      <c r="U779" s="64"/>
      <c r="V779" s="64"/>
      <c r="W779" s="64"/>
      <c r="X779" s="64"/>
      <c r="Y779" s="64"/>
      <c r="Z779" s="64"/>
      <c r="AA779" s="64"/>
      <c r="AB779" s="64"/>
      <c r="AC779" s="64"/>
      <c r="AD779" s="64"/>
      <c r="AE779" s="64"/>
      <c r="AF779" s="64"/>
      <c r="AG779" s="64"/>
    </row>
    <row r="780">
      <c r="A780" s="64"/>
      <c r="B780" s="64"/>
      <c r="C780" s="64"/>
      <c r="D780" s="64"/>
      <c r="E780" s="65"/>
      <c r="F780" s="64"/>
      <c r="G780" s="67"/>
      <c r="H780" s="64"/>
      <c r="I780" s="64"/>
      <c r="J780" s="64"/>
      <c r="K780" s="64"/>
      <c r="L780" s="65"/>
      <c r="M780" s="64"/>
      <c r="N780" s="64"/>
      <c r="O780" s="64"/>
      <c r="P780" s="64"/>
      <c r="Q780" s="64"/>
      <c r="R780" s="64"/>
      <c r="S780" s="64"/>
      <c r="T780" s="65"/>
      <c r="U780" s="64"/>
      <c r="V780" s="64"/>
      <c r="W780" s="64"/>
      <c r="X780" s="64"/>
      <c r="Y780" s="64"/>
      <c r="Z780" s="64"/>
      <c r="AA780" s="64"/>
      <c r="AB780" s="64"/>
      <c r="AC780" s="64"/>
      <c r="AD780" s="64"/>
      <c r="AE780" s="64"/>
      <c r="AF780" s="64"/>
      <c r="AG780" s="64"/>
    </row>
    <row r="781">
      <c r="A781" s="64"/>
      <c r="B781" s="64"/>
      <c r="C781" s="64"/>
      <c r="D781" s="64"/>
      <c r="E781" s="65"/>
      <c r="F781" s="64"/>
      <c r="G781" s="67"/>
      <c r="H781" s="64"/>
      <c r="I781" s="64"/>
      <c r="J781" s="64"/>
      <c r="K781" s="64"/>
      <c r="L781" s="65"/>
      <c r="M781" s="64"/>
      <c r="N781" s="64"/>
      <c r="O781" s="64"/>
      <c r="P781" s="64"/>
      <c r="Q781" s="64"/>
      <c r="R781" s="64"/>
      <c r="S781" s="64"/>
      <c r="T781" s="65"/>
      <c r="U781" s="64"/>
      <c r="V781" s="64"/>
      <c r="W781" s="64"/>
      <c r="X781" s="64"/>
      <c r="Y781" s="64"/>
      <c r="Z781" s="64"/>
      <c r="AA781" s="64"/>
      <c r="AB781" s="64"/>
      <c r="AC781" s="64"/>
      <c r="AD781" s="64"/>
      <c r="AE781" s="64"/>
      <c r="AF781" s="64"/>
      <c r="AG781" s="64"/>
    </row>
    <row r="782">
      <c r="A782" s="64"/>
      <c r="B782" s="64"/>
      <c r="C782" s="64"/>
      <c r="D782" s="64"/>
      <c r="E782" s="65"/>
      <c r="F782" s="64"/>
      <c r="G782" s="67"/>
      <c r="H782" s="64"/>
      <c r="I782" s="64"/>
      <c r="J782" s="64"/>
      <c r="K782" s="64"/>
      <c r="L782" s="65"/>
      <c r="M782" s="64"/>
      <c r="N782" s="64"/>
      <c r="O782" s="64"/>
      <c r="P782" s="64"/>
      <c r="Q782" s="64"/>
      <c r="R782" s="64"/>
      <c r="S782" s="64"/>
      <c r="T782" s="65"/>
      <c r="U782" s="64"/>
      <c r="V782" s="64"/>
      <c r="W782" s="64"/>
      <c r="X782" s="64"/>
      <c r="Y782" s="64"/>
      <c r="Z782" s="64"/>
      <c r="AA782" s="64"/>
      <c r="AB782" s="64"/>
      <c r="AC782" s="64"/>
      <c r="AD782" s="64"/>
      <c r="AE782" s="64"/>
      <c r="AF782" s="64"/>
      <c r="AG782" s="64"/>
    </row>
    <row r="783">
      <c r="A783" s="64"/>
      <c r="B783" s="64"/>
      <c r="C783" s="64"/>
      <c r="D783" s="64"/>
      <c r="E783" s="65"/>
      <c r="F783" s="64"/>
      <c r="G783" s="67"/>
      <c r="H783" s="64"/>
      <c r="I783" s="64"/>
      <c r="J783" s="64"/>
      <c r="K783" s="64"/>
      <c r="L783" s="65"/>
      <c r="M783" s="64"/>
      <c r="N783" s="64"/>
      <c r="O783" s="64"/>
      <c r="P783" s="64"/>
      <c r="Q783" s="64"/>
      <c r="R783" s="64"/>
      <c r="S783" s="64"/>
      <c r="T783" s="65"/>
      <c r="U783" s="64"/>
      <c r="V783" s="64"/>
      <c r="W783" s="64"/>
      <c r="X783" s="64"/>
      <c r="Y783" s="64"/>
      <c r="Z783" s="64"/>
      <c r="AA783" s="64"/>
      <c r="AB783" s="64"/>
      <c r="AC783" s="64"/>
      <c r="AD783" s="64"/>
      <c r="AE783" s="64"/>
      <c r="AF783" s="64"/>
      <c r="AG783" s="64"/>
    </row>
    <row r="784">
      <c r="A784" s="64"/>
      <c r="B784" s="64"/>
      <c r="C784" s="64"/>
      <c r="D784" s="64"/>
      <c r="E784" s="65"/>
      <c r="F784" s="64"/>
      <c r="G784" s="67"/>
      <c r="H784" s="64"/>
      <c r="I784" s="64"/>
      <c r="J784" s="64"/>
      <c r="K784" s="64"/>
      <c r="L784" s="65"/>
      <c r="M784" s="64"/>
      <c r="N784" s="64"/>
      <c r="O784" s="64"/>
      <c r="P784" s="64"/>
      <c r="Q784" s="64"/>
      <c r="R784" s="64"/>
      <c r="S784" s="64"/>
      <c r="T784" s="65"/>
      <c r="U784" s="64"/>
      <c r="V784" s="64"/>
      <c r="W784" s="64"/>
      <c r="X784" s="64"/>
      <c r="Y784" s="64"/>
      <c r="Z784" s="64"/>
      <c r="AA784" s="64"/>
      <c r="AB784" s="64"/>
      <c r="AC784" s="64"/>
      <c r="AD784" s="64"/>
      <c r="AE784" s="64"/>
      <c r="AF784" s="64"/>
      <c r="AG784" s="64"/>
    </row>
    <row r="785">
      <c r="A785" s="64"/>
      <c r="B785" s="64"/>
      <c r="C785" s="64"/>
      <c r="D785" s="64"/>
      <c r="E785" s="65"/>
      <c r="F785" s="64"/>
      <c r="G785" s="67"/>
      <c r="H785" s="64"/>
      <c r="I785" s="64"/>
      <c r="J785" s="64"/>
      <c r="K785" s="64"/>
      <c r="L785" s="65"/>
      <c r="M785" s="64"/>
      <c r="N785" s="64"/>
      <c r="O785" s="64"/>
      <c r="P785" s="64"/>
      <c r="Q785" s="64"/>
      <c r="R785" s="64"/>
      <c r="S785" s="64"/>
      <c r="T785" s="65"/>
      <c r="U785" s="64"/>
      <c r="V785" s="64"/>
      <c r="W785" s="64"/>
      <c r="X785" s="64"/>
      <c r="Y785" s="64"/>
      <c r="Z785" s="64"/>
      <c r="AA785" s="64"/>
      <c r="AB785" s="64"/>
      <c r="AC785" s="64"/>
      <c r="AD785" s="64"/>
      <c r="AE785" s="64"/>
      <c r="AF785" s="64"/>
      <c r="AG785" s="64"/>
    </row>
    <row r="786">
      <c r="A786" s="64"/>
      <c r="B786" s="64"/>
      <c r="C786" s="64"/>
      <c r="D786" s="64"/>
      <c r="E786" s="65"/>
      <c r="F786" s="64"/>
      <c r="G786" s="67"/>
      <c r="H786" s="64"/>
      <c r="I786" s="64"/>
      <c r="J786" s="64"/>
      <c r="K786" s="64"/>
      <c r="L786" s="65"/>
      <c r="M786" s="64"/>
      <c r="N786" s="64"/>
      <c r="O786" s="64"/>
      <c r="P786" s="64"/>
      <c r="Q786" s="64"/>
      <c r="R786" s="64"/>
      <c r="S786" s="64"/>
      <c r="T786" s="65"/>
      <c r="U786" s="64"/>
      <c r="V786" s="64"/>
      <c r="W786" s="64"/>
      <c r="X786" s="64"/>
      <c r="Y786" s="64"/>
      <c r="Z786" s="64"/>
      <c r="AA786" s="64"/>
      <c r="AB786" s="64"/>
      <c r="AC786" s="64"/>
      <c r="AD786" s="64"/>
      <c r="AE786" s="64"/>
      <c r="AF786" s="64"/>
      <c r="AG786" s="64"/>
    </row>
    <row r="787">
      <c r="A787" s="64"/>
      <c r="B787" s="64"/>
      <c r="C787" s="64"/>
      <c r="D787" s="64"/>
      <c r="E787" s="65"/>
      <c r="F787" s="64"/>
      <c r="G787" s="67"/>
      <c r="H787" s="64"/>
      <c r="I787" s="64"/>
      <c r="J787" s="64"/>
      <c r="K787" s="64"/>
      <c r="L787" s="65"/>
      <c r="M787" s="64"/>
      <c r="N787" s="64"/>
      <c r="O787" s="64"/>
      <c r="P787" s="64"/>
      <c r="Q787" s="64"/>
      <c r="R787" s="64"/>
      <c r="S787" s="64"/>
      <c r="T787" s="65"/>
      <c r="U787" s="64"/>
      <c r="V787" s="64"/>
      <c r="W787" s="64"/>
      <c r="X787" s="64"/>
      <c r="Y787" s="64"/>
      <c r="Z787" s="64"/>
      <c r="AA787" s="64"/>
      <c r="AB787" s="64"/>
      <c r="AC787" s="64"/>
      <c r="AD787" s="64"/>
      <c r="AE787" s="64"/>
      <c r="AF787" s="64"/>
      <c r="AG787" s="64"/>
    </row>
    <row r="788">
      <c r="A788" s="64"/>
      <c r="B788" s="64"/>
      <c r="C788" s="64"/>
      <c r="D788" s="64"/>
      <c r="E788" s="65"/>
      <c r="F788" s="64"/>
      <c r="G788" s="67"/>
      <c r="H788" s="64"/>
      <c r="I788" s="64"/>
      <c r="J788" s="64"/>
      <c r="K788" s="64"/>
      <c r="L788" s="65"/>
      <c r="M788" s="64"/>
      <c r="N788" s="64"/>
      <c r="O788" s="64"/>
      <c r="P788" s="64"/>
      <c r="Q788" s="64"/>
      <c r="R788" s="64"/>
      <c r="S788" s="64"/>
      <c r="T788" s="65"/>
      <c r="U788" s="64"/>
      <c r="V788" s="64"/>
      <c r="W788" s="64"/>
      <c r="X788" s="64"/>
      <c r="Y788" s="64"/>
      <c r="Z788" s="64"/>
      <c r="AA788" s="64"/>
      <c r="AB788" s="64"/>
      <c r="AC788" s="64"/>
      <c r="AD788" s="64"/>
      <c r="AE788" s="64"/>
      <c r="AF788" s="64"/>
      <c r="AG788" s="64"/>
    </row>
    <row r="789">
      <c r="A789" s="64"/>
      <c r="B789" s="64"/>
      <c r="C789" s="64"/>
      <c r="D789" s="64"/>
      <c r="E789" s="65"/>
      <c r="F789" s="64"/>
      <c r="G789" s="67"/>
      <c r="H789" s="64"/>
      <c r="I789" s="64"/>
      <c r="J789" s="64"/>
      <c r="K789" s="64"/>
      <c r="L789" s="65"/>
      <c r="M789" s="64"/>
      <c r="N789" s="64"/>
      <c r="O789" s="64"/>
      <c r="P789" s="64"/>
      <c r="Q789" s="64"/>
      <c r="R789" s="64"/>
      <c r="S789" s="64"/>
      <c r="T789" s="65"/>
      <c r="U789" s="64"/>
      <c r="V789" s="64"/>
      <c r="W789" s="64"/>
      <c r="X789" s="64"/>
      <c r="Y789" s="64"/>
      <c r="Z789" s="64"/>
      <c r="AA789" s="64"/>
      <c r="AB789" s="64"/>
      <c r="AC789" s="64"/>
      <c r="AD789" s="64"/>
      <c r="AE789" s="64"/>
      <c r="AF789" s="64"/>
      <c r="AG789" s="64"/>
    </row>
    <row r="790">
      <c r="A790" s="64"/>
      <c r="B790" s="64"/>
      <c r="C790" s="64"/>
      <c r="D790" s="64"/>
      <c r="E790" s="65"/>
      <c r="F790" s="64"/>
      <c r="G790" s="67"/>
      <c r="H790" s="64"/>
      <c r="I790" s="64"/>
      <c r="J790" s="64"/>
      <c r="K790" s="64"/>
      <c r="L790" s="65"/>
      <c r="M790" s="64"/>
      <c r="N790" s="64"/>
      <c r="O790" s="64"/>
      <c r="P790" s="64"/>
      <c r="Q790" s="64"/>
      <c r="R790" s="64"/>
      <c r="S790" s="64"/>
      <c r="T790" s="65"/>
      <c r="U790" s="64"/>
      <c r="V790" s="64"/>
      <c r="W790" s="64"/>
      <c r="X790" s="64"/>
      <c r="Y790" s="64"/>
      <c r="Z790" s="64"/>
      <c r="AA790" s="64"/>
      <c r="AB790" s="64"/>
      <c r="AC790" s="64"/>
      <c r="AD790" s="64"/>
      <c r="AE790" s="64"/>
      <c r="AF790" s="64"/>
      <c r="AG790" s="64"/>
    </row>
    <row r="791">
      <c r="A791" s="64"/>
      <c r="B791" s="64"/>
      <c r="C791" s="64"/>
      <c r="D791" s="64"/>
      <c r="E791" s="65"/>
      <c r="F791" s="64"/>
      <c r="G791" s="67"/>
      <c r="H791" s="64"/>
      <c r="I791" s="64"/>
      <c r="J791" s="64"/>
      <c r="K791" s="64"/>
      <c r="L791" s="65"/>
      <c r="M791" s="64"/>
      <c r="N791" s="64"/>
      <c r="O791" s="64"/>
      <c r="P791" s="64"/>
      <c r="Q791" s="64"/>
      <c r="R791" s="64"/>
      <c r="S791" s="64"/>
      <c r="T791" s="65"/>
      <c r="U791" s="64"/>
      <c r="V791" s="64"/>
      <c r="W791" s="64"/>
      <c r="X791" s="64"/>
      <c r="Y791" s="64"/>
      <c r="Z791" s="64"/>
      <c r="AA791" s="64"/>
      <c r="AB791" s="64"/>
      <c r="AC791" s="64"/>
      <c r="AD791" s="64"/>
      <c r="AE791" s="64"/>
      <c r="AF791" s="64"/>
      <c r="AG791" s="64"/>
    </row>
    <row r="792">
      <c r="A792" s="64"/>
      <c r="B792" s="64"/>
      <c r="C792" s="64"/>
      <c r="D792" s="64"/>
      <c r="E792" s="65"/>
      <c r="F792" s="64"/>
      <c r="G792" s="67"/>
      <c r="H792" s="64"/>
      <c r="I792" s="64"/>
      <c r="J792" s="64"/>
      <c r="K792" s="64"/>
      <c r="L792" s="65"/>
      <c r="M792" s="64"/>
      <c r="N792" s="64"/>
      <c r="O792" s="64"/>
      <c r="P792" s="64"/>
      <c r="Q792" s="64"/>
      <c r="R792" s="64"/>
      <c r="S792" s="64"/>
      <c r="T792" s="65"/>
      <c r="U792" s="64"/>
      <c r="V792" s="64"/>
      <c r="W792" s="64"/>
      <c r="X792" s="64"/>
      <c r="Y792" s="64"/>
      <c r="Z792" s="64"/>
      <c r="AA792" s="64"/>
      <c r="AB792" s="64"/>
      <c r="AC792" s="64"/>
      <c r="AD792" s="64"/>
      <c r="AE792" s="64"/>
      <c r="AF792" s="64"/>
      <c r="AG792" s="64"/>
    </row>
    <row r="793">
      <c r="A793" s="64"/>
      <c r="B793" s="64"/>
      <c r="C793" s="64"/>
      <c r="D793" s="64"/>
      <c r="E793" s="65"/>
      <c r="F793" s="64"/>
      <c r="G793" s="67"/>
      <c r="H793" s="64"/>
      <c r="I793" s="64"/>
      <c r="J793" s="64"/>
      <c r="K793" s="64"/>
      <c r="L793" s="65"/>
      <c r="M793" s="64"/>
      <c r="N793" s="64"/>
      <c r="O793" s="64"/>
      <c r="P793" s="64"/>
      <c r="Q793" s="64"/>
      <c r="R793" s="64"/>
      <c r="S793" s="64"/>
      <c r="T793" s="65"/>
      <c r="U793" s="64"/>
      <c r="V793" s="64"/>
      <c r="W793" s="64"/>
      <c r="X793" s="64"/>
      <c r="Y793" s="64"/>
      <c r="Z793" s="64"/>
      <c r="AA793" s="64"/>
      <c r="AB793" s="64"/>
      <c r="AC793" s="64"/>
      <c r="AD793" s="64"/>
      <c r="AE793" s="64"/>
      <c r="AF793" s="64"/>
      <c r="AG793" s="64"/>
    </row>
    <row r="794">
      <c r="A794" s="64"/>
      <c r="B794" s="64"/>
      <c r="C794" s="64"/>
      <c r="D794" s="64"/>
      <c r="E794" s="65"/>
      <c r="F794" s="64"/>
      <c r="G794" s="67"/>
      <c r="H794" s="64"/>
      <c r="I794" s="64"/>
      <c r="J794" s="64"/>
      <c r="K794" s="64"/>
      <c r="L794" s="65"/>
      <c r="M794" s="64"/>
      <c r="N794" s="64"/>
      <c r="O794" s="64"/>
      <c r="P794" s="64"/>
      <c r="Q794" s="64"/>
      <c r="R794" s="64"/>
      <c r="S794" s="64"/>
      <c r="T794" s="65"/>
      <c r="U794" s="64"/>
      <c r="V794" s="64"/>
      <c r="W794" s="64"/>
      <c r="X794" s="64"/>
      <c r="Y794" s="64"/>
      <c r="Z794" s="64"/>
      <c r="AA794" s="64"/>
      <c r="AB794" s="64"/>
      <c r="AC794" s="64"/>
      <c r="AD794" s="64"/>
      <c r="AE794" s="64"/>
      <c r="AF794" s="64"/>
      <c r="AG794" s="64"/>
    </row>
    <row r="795">
      <c r="A795" s="64"/>
      <c r="B795" s="64"/>
      <c r="C795" s="64"/>
      <c r="D795" s="64"/>
      <c r="E795" s="65"/>
      <c r="F795" s="64"/>
      <c r="G795" s="67"/>
      <c r="H795" s="64"/>
      <c r="I795" s="64"/>
      <c r="J795" s="64"/>
      <c r="K795" s="64"/>
      <c r="L795" s="65"/>
      <c r="M795" s="64"/>
      <c r="N795" s="64"/>
      <c r="O795" s="64"/>
      <c r="P795" s="64"/>
      <c r="Q795" s="64"/>
      <c r="R795" s="64"/>
      <c r="S795" s="64"/>
      <c r="T795" s="65"/>
      <c r="U795" s="64"/>
      <c r="V795" s="64"/>
      <c r="W795" s="64"/>
      <c r="X795" s="64"/>
      <c r="Y795" s="64"/>
      <c r="Z795" s="64"/>
      <c r="AA795" s="64"/>
      <c r="AB795" s="64"/>
      <c r="AC795" s="64"/>
      <c r="AD795" s="64"/>
      <c r="AE795" s="64"/>
      <c r="AF795" s="64"/>
      <c r="AG795" s="64"/>
    </row>
    <row r="796">
      <c r="A796" s="64"/>
      <c r="B796" s="64"/>
      <c r="C796" s="64"/>
      <c r="D796" s="64"/>
      <c r="E796" s="65"/>
      <c r="F796" s="64"/>
      <c r="G796" s="67"/>
      <c r="H796" s="64"/>
      <c r="I796" s="64"/>
      <c r="J796" s="64"/>
      <c r="K796" s="64"/>
      <c r="L796" s="65"/>
      <c r="M796" s="64"/>
      <c r="N796" s="64"/>
      <c r="O796" s="64"/>
      <c r="P796" s="64"/>
      <c r="Q796" s="64"/>
      <c r="R796" s="64"/>
      <c r="S796" s="64"/>
      <c r="T796" s="65"/>
      <c r="U796" s="64"/>
      <c r="V796" s="64"/>
      <c r="W796" s="64"/>
      <c r="X796" s="64"/>
      <c r="Y796" s="64"/>
      <c r="Z796" s="64"/>
      <c r="AA796" s="64"/>
      <c r="AB796" s="64"/>
      <c r="AC796" s="64"/>
      <c r="AD796" s="64"/>
      <c r="AE796" s="64"/>
      <c r="AF796" s="64"/>
      <c r="AG796" s="64"/>
    </row>
    <row r="797">
      <c r="A797" s="64"/>
      <c r="B797" s="64"/>
      <c r="C797" s="64"/>
      <c r="D797" s="64"/>
      <c r="E797" s="65"/>
      <c r="F797" s="64"/>
      <c r="G797" s="67"/>
      <c r="H797" s="64"/>
      <c r="I797" s="64"/>
      <c r="J797" s="64"/>
      <c r="K797" s="64"/>
      <c r="L797" s="65"/>
      <c r="M797" s="64"/>
      <c r="N797" s="64"/>
      <c r="O797" s="64"/>
      <c r="P797" s="64"/>
      <c r="Q797" s="64"/>
      <c r="R797" s="64"/>
      <c r="S797" s="64"/>
      <c r="T797" s="65"/>
      <c r="U797" s="64"/>
      <c r="V797" s="64"/>
      <c r="W797" s="64"/>
      <c r="X797" s="64"/>
      <c r="Y797" s="64"/>
      <c r="Z797" s="64"/>
      <c r="AA797" s="64"/>
      <c r="AB797" s="64"/>
      <c r="AC797" s="64"/>
      <c r="AD797" s="64"/>
      <c r="AE797" s="64"/>
      <c r="AF797" s="64"/>
      <c r="AG797" s="64"/>
    </row>
    <row r="798">
      <c r="A798" s="64"/>
      <c r="B798" s="64"/>
      <c r="C798" s="64"/>
      <c r="D798" s="64"/>
      <c r="E798" s="65"/>
      <c r="F798" s="64"/>
      <c r="G798" s="67"/>
      <c r="H798" s="64"/>
      <c r="I798" s="64"/>
      <c r="J798" s="64"/>
      <c r="K798" s="64"/>
      <c r="L798" s="65"/>
      <c r="M798" s="64"/>
      <c r="N798" s="64"/>
      <c r="O798" s="64"/>
      <c r="P798" s="64"/>
      <c r="Q798" s="64"/>
      <c r="R798" s="64"/>
      <c r="S798" s="64"/>
      <c r="T798" s="65"/>
      <c r="U798" s="64"/>
      <c r="V798" s="64"/>
      <c r="W798" s="64"/>
      <c r="X798" s="64"/>
      <c r="Y798" s="64"/>
      <c r="Z798" s="64"/>
      <c r="AA798" s="64"/>
      <c r="AB798" s="64"/>
      <c r="AC798" s="64"/>
      <c r="AD798" s="64"/>
      <c r="AE798" s="64"/>
      <c r="AF798" s="64"/>
      <c r="AG798" s="64"/>
    </row>
    <row r="799">
      <c r="A799" s="64"/>
      <c r="B799" s="64"/>
      <c r="C799" s="64"/>
      <c r="D799" s="64"/>
      <c r="E799" s="65"/>
      <c r="F799" s="64"/>
      <c r="G799" s="67"/>
      <c r="H799" s="64"/>
      <c r="I799" s="64"/>
      <c r="J799" s="64"/>
      <c r="K799" s="64"/>
      <c r="L799" s="65"/>
      <c r="M799" s="64"/>
      <c r="N799" s="64"/>
      <c r="O799" s="64"/>
      <c r="P799" s="64"/>
      <c r="Q799" s="64"/>
      <c r="R799" s="64"/>
      <c r="S799" s="64"/>
      <c r="T799" s="65"/>
      <c r="U799" s="64"/>
      <c r="V799" s="64"/>
      <c r="W799" s="64"/>
      <c r="X799" s="64"/>
      <c r="Y799" s="64"/>
      <c r="Z799" s="64"/>
      <c r="AA799" s="64"/>
      <c r="AB799" s="64"/>
      <c r="AC799" s="64"/>
      <c r="AD799" s="64"/>
      <c r="AE799" s="64"/>
      <c r="AF799" s="64"/>
      <c r="AG799" s="64"/>
    </row>
    <row r="800">
      <c r="A800" s="64"/>
      <c r="B800" s="64"/>
      <c r="C800" s="64"/>
      <c r="D800" s="64"/>
      <c r="E800" s="65"/>
      <c r="F800" s="64"/>
      <c r="G800" s="67"/>
      <c r="H800" s="64"/>
      <c r="I800" s="64"/>
      <c r="J800" s="64"/>
      <c r="K800" s="64"/>
      <c r="L800" s="65"/>
      <c r="M800" s="64"/>
      <c r="N800" s="64"/>
      <c r="O800" s="64"/>
      <c r="P800" s="64"/>
      <c r="Q800" s="64"/>
      <c r="R800" s="64"/>
      <c r="S800" s="64"/>
      <c r="T800" s="65"/>
      <c r="U800" s="64"/>
      <c r="V800" s="64"/>
      <c r="W800" s="64"/>
      <c r="X800" s="64"/>
      <c r="Y800" s="64"/>
      <c r="Z800" s="64"/>
      <c r="AA800" s="64"/>
      <c r="AB800" s="64"/>
      <c r="AC800" s="64"/>
      <c r="AD800" s="64"/>
      <c r="AE800" s="64"/>
      <c r="AF800" s="64"/>
      <c r="AG800" s="64"/>
    </row>
    <row r="801">
      <c r="A801" s="64"/>
      <c r="B801" s="64"/>
      <c r="C801" s="64"/>
      <c r="D801" s="64"/>
      <c r="E801" s="65"/>
      <c r="F801" s="64"/>
      <c r="G801" s="67"/>
      <c r="H801" s="64"/>
      <c r="I801" s="64"/>
      <c r="J801" s="64"/>
      <c r="K801" s="64"/>
      <c r="L801" s="65"/>
      <c r="M801" s="64"/>
      <c r="N801" s="64"/>
      <c r="O801" s="64"/>
      <c r="P801" s="64"/>
      <c r="Q801" s="64"/>
      <c r="R801" s="64"/>
      <c r="S801" s="64"/>
      <c r="T801" s="65"/>
      <c r="U801" s="64"/>
      <c r="V801" s="64"/>
      <c r="W801" s="64"/>
      <c r="X801" s="64"/>
      <c r="Y801" s="64"/>
      <c r="Z801" s="64"/>
      <c r="AA801" s="64"/>
      <c r="AB801" s="64"/>
      <c r="AC801" s="64"/>
      <c r="AD801" s="64"/>
      <c r="AE801" s="64"/>
      <c r="AF801" s="64"/>
      <c r="AG801" s="64"/>
    </row>
    <row r="802">
      <c r="A802" s="64"/>
      <c r="B802" s="64"/>
      <c r="C802" s="64"/>
      <c r="D802" s="64"/>
      <c r="E802" s="65"/>
      <c r="F802" s="64"/>
      <c r="G802" s="67"/>
      <c r="H802" s="64"/>
      <c r="I802" s="64"/>
      <c r="J802" s="64"/>
      <c r="K802" s="64"/>
      <c r="L802" s="65"/>
      <c r="M802" s="64"/>
      <c r="N802" s="64"/>
      <c r="O802" s="64"/>
      <c r="P802" s="64"/>
      <c r="Q802" s="64"/>
      <c r="R802" s="64"/>
      <c r="S802" s="64"/>
      <c r="T802" s="65"/>
      <c r="U802" s="64"/>
      <c r="V802" s="64"/>
      <c r="W802" s="64"/>
      <c r="X802" s="64"/>
      <c r="Y802" s="64"/>
      <c r="Z802" s="64"/>
      <c r="AA802" s="64"/>
      <c r="AB802" s="64"/>
      <c r="AC802" s="64"/>
      <c r="AD802" s="64"/>
      <c r="AE802" s="64"/>
      <c r="AF802" s="64"/>
      <c r="AG802" s="64"/>
    </row>
    <row r="803">
      <c r="A803" s="64"/>
      <c r="B803" s="64"/>
      <c r="C803" s="64"/>
      <c r="D803" s="64"/>
      <c r="E803" s="65"/>
      <c r="F803" s="64"/>
      <c r="G803" s="67"/>
      <c r="H803" s="64"/>
      <c r="I803" s="64"/>
      <c r="J803" s="64"/>
      <c r="K803" s="64"/>
      <c r="L803" s="65"/>
      <c r="M803" s="64"/>
      <c r="N803" s="64"/>
      <c r="O803" s="64"/>
      <c r="P803" s="64"/>
      <c r="Q803" s="64"/>
      <c r="R803" s="64"/>
      <c r="S803" s="64"/>
      <c r="T803" s="65"/>
      <c r="U803" s="64"/>
      <c r="V803" s="64"/>
      <c r="W803" s="64"/>
      <c r="X803" s="64"/>
      <c r="Y803" s="64"/>
      <c r="Z803" s="64"/>
      <c r="AA803" s="64"/>
      <c r="AB803" s="64"/>
      <c r="AC803" s="64"/>
      <c r="AD803" s="64"/>
      <c r="AE803" s="64"/>
      <c r="AF803" s="64"/>
      <c r="AG803" s="64"/>
    </row>
    <row r="804">
      <c r="A804" s="64"/>
      <c r="B804" s="64"/>
      <c r="C804" s="64"/>
      <c r="D804" s="64"/>
      <c r="E804" s="65"/>
      <c r="F804" s="64"/>
      <c r="G804" s="67"/>
      <c r="H804" s="64"/>
      <c r="I804" s="64"/>
      <c r="J804" s="64"/>
      <c r="K804" s="64"/>
      <c r="L804" s="65"/>
      <c r="M804" s="64"/>
      <c r="N804" s="64"/>
      <c r="O804" s="64"/>
      <c r="P804" s="64"/>
      <c r="Q804" s="64"/>
      <c r="R804" s="64"/>
      <c r="S804" s="64"/>
      <c r="T804" s="65"/>
      <c r="U804" s="64"/>
      <c r="V804" s="64"/>
      <c r="W804" s="64"/>
      <c r="X804" s="64"/>
      <c r="Y804" s="64"/>
      <c r="Z804" s="64"/>
      <c r="AA804" s="64"/>
      <c r="AB804" s="64"/>
      <c r="AC804" s="64"/>
      <c r="AD804" s="64"/>
      <c r="AE804" s="64"/>
      <c r="AF804" s="64"/>
      <c r="AG804" s="64"/>
    </row>
    <row r="805">
      <c r="A805" s="64"/>
      <c r="B805" s="64"/>
      <c r="C805" s="64"/>
      <c r="D805" s="64"/>
      <c r="E805" s="65"/>
      <c r="F805" s="64"/>
      <c r="G805" s="67"/>
      <c r="H805" s="64"/>
      <c r="I805" s="64"/>
      <c r="J805" s="64"/>
      <c r="K805" s="64"/>
      <c r="L805" s="65"/>
      <c r="M805" s="64"/>
      <c r="N805" s="64"/>
      <c r="O805" s="64"/>
      <c r="P805" s="64"/>
      <c r="Q805" s="64"/>
      <c r="R805" s="64"/>
      <c r="S805" s="64"/>
      <c r="T805" s="65"/>
      <c r="U805" s="64"/>
      <c r="V805" s="64"/>
      <c r="W805" s="64"/>
      <c r="X805" s="64"/>
      <c r="Y805" s="64"/>
      <c r="Z805" s="64"/>
      <c r="AA805" s="64"/>
      <c r="AB805" s="64"/>
      <c r="AC805" s="64"/>
      <c r="AD805" s="64"/>
      <c r="AE805" s="64"/>
      <c r="AF805" s="64"/>
      <c r="AG805" s="64"/>
    </row>
    <row r="806">
      <c r="A806" s="64"/>
      <c r="B806" s="64"/>
      <c r="C806" s="64"/>
      <c r="D806" s="64"/>
      <c r="E806" s="65"/>
      <c r="F806" s="64"/>
      <c r="G806" s="67"/>
      <c r="H806" s="64"/>
      <c r="I806" s="64"/>
      <c r="J806" s="64"/>
      <c r="K806" s="64"/>
      <c r="L806" s="65"/>
      <c r="M806" s="64"/>
      <c r="N806" s="64"/>
      <c r="O806" s="64"/>
      <c r="P806" s="64"/>
      <c r="Q806" s="64"/>
      <c r="R806" s="64"/>
      <c r="S806" s="64"/>
      <c r="T806" s="65"/>
      <c r="U806" s="64"/>
      <c r="V806" s="64"/>
      <c r="W806" s="64"/>
      <c r="X806" s="64"/>
      <c r="Y806" s="64"/>
      <c r="Z806" s="64"/>
      <c r="AA806" s="64"/>
      <c r="AB806" s="64"/>
      <c r="AC806" s="64"/>
      <c r="AD806" s="64"/>
      <c r="AE806" s="64"/>
      <c r="AF806" s="64"/>
      <c r="AG806" s="64"/>
    </row>
    <row r="807">
      <c r="A807" s="64"/>
      <c r="B807" s="64"/>
      <c r="C807" s="64"/>
      <c r="D807" s="64"/>
      <c r="E807" s="65"/>
      <c r="F807" s="64"/>
      <c r="G807" s="67"/>
      <c r="H807" s="64"/>
      <c r="I807" s="64"/>
      <c r="J807" s="64"/>
      <c r="K807" s="64"/>
      <c r="L807" s="65"/>
      <c r="M807" s="64"/>
      <c r="N807" s="64"/>
      <c r="O807" s="64"/>
      <c r="P807" s="64"/>
      <c r="Q807" s="64"/>
      <c r="R807" s="64"/>
      <c r="S807" s="64"/>
      <c r="T807" s="65"/>
      <c r="U807" s="64"/>
      <c r="V807" s="64"/>
      <c r="W807" s="64"/>
      <c r="X807" s="64"/>
      <c r="Y807" s="64"/>
      <c r="Z807" s="64"/>
      <c r="AA807" s="64"/>
      <c r="AB807" s="64"/>
      <c r="AC807" s="64"/>
      <c r="AD807" s="64"/>
      <c r="AE807" s="64"/>
      <c r="AF807" s="64"/>
      <c r="AG807" s="64"/>
    </row>
    <row r="808">
      <c r="A808" s="64"/>
      <c r="B808" s="64"/>
      <c r="C808" s="64"/>
      <c r="D808" s="64"/>
      <c r="E808" s="65"/>
      <c r="F808" s="64"/>
      <c r="G808" s="67"/>
      <c r="H808" s="64"/>
      <c r="I808" s="64"/>
      <c r="J808" s="64"/>
      <c r="K808" s="64"/>
      <c r="L808" s="65"/>
      <c r="M808" s="64"/>
      <c r="N808" s="64"/>
      <c r="O808" s="64"/>
      <c r="P808" s="64"/>
      <c r="Q808" s="64"/>
      <c r="R808" s="64"/>
      <c r="S808" s="64"/>
      <c r="T808" s="65"/>
      <c r="U808" s="64"/>
      <c r="V808" s="64"/>
      <c r="W808" s="64"/>
      <c r="X808" s="64"/>
      <c r="Y808" s="64"/>
      <c r="Z808" s="64"/>
      <c r="AA808" s="64"/>
      <c r="AB808" s="64"/>
      <c r="AC808" s="64"/>
      <c r="AD808" s="64"/>
      <c r="AE808" s="64"/>
      <c r="AF808" s="64"/>
      <c r="AG808" s="64"/>
    </row>
    <row r="809">
      <c r="A809" s="64"/>
      <c r="B809" s="64"/>
      <c r="C809" s="64"/>
      <c r="D809" s="64"/>
      <c r="E809" s="65"/>
      <c r="F809" s="64"/>
      <c r="G809" s="67"/>
      <c r="H809" s="64"/>
      <c r="I809" s="64"/>
      <c r="J809" s="64"/>
      <c r="K809" s="64"/>
      <c r="L809" s="65"/>
      <c r="M809" s="64"/>
      <c r="N809" s="64"/>
      <c r="O809" s="64"/>
      <c r="P809" s="64"/>
      <c r="Q809" s="64"/>
      <c r="R809" s="64"/>
      <c r="S809" s="64"/>
      <c r="T809" s="65"/>
      <c r="U809" s="64"/>
      <c r="V809" s="64"/>
      <c r="W809" s="64"/>
      <c r="X809" s="64"/>
      <c r="Y809" s="64"/>
      <c r="Z809" s="64"/>
      <c r="AA809" s="64"/>
      <c r="AB809" s="64"/>
      <c r="AC809" s="64"/>
      <c r="AD809" s="64"/>
      <c r="AE809" s="64"/>
      <c r="AF809" s="64"/>
      <c r="AG809" s="64"/>
    </row>
    <row r="810">
      <c r="A810" s="64"/>
      <c r="B810" s="64"/>
      <c r="C810" s="64"/>
      <c r="D810" s="64"/>
      <c r="E810" s="65"/>
      <c r="F810" s="64"/>
      <c r="G810" s="67"/>
      <c r="H810" s="64"/>
      <c r="I810" s="64"/>
      <c r="J810" s="64"/>
      <c r="K810" s="64"/>
      <c r="L810" s="65"/>
      <c r="M810" s="64"/>
      <c r="N810" s="64"/>
      <c r="O810" s="64"/>
      <c r="P810" s="64"/>
      <c r="Q810" s="64"/>
      <c r="R810" s="64"/>
      <c r="S810" s="64"/>
      <c r="T810" s="65"/>
      <c r="U810" s="64"/>
      <c r="V810" s="64"/>
      <c r="W810" s="64"/>
      <c r="X810" s="64"/>
      <c r="Y810" s="64"/>
      <c r="Z810" s="64"/>
      <c r="AA810" s="64"/>
      <c r="AB810" s="64"/>
      <c r="AC810" s="64"/>
      <c r="AD810" s="64"/>
      <c r="AE810" s="64"/>
      <c r="AF810" s="64"/>
      <c r="AG810" s="64"/>
    </row>
    <row r="811">
      <c r="A811" s="64"/>
      <c r="B811" s="64"/>
      <c r="C811" s="64"/>
      <c r="D811" s="64"/>
      <c r="E811" s="65"/>
      <c r="F811" s="64"/>
      <c r="G811" s="67"/>
      <c r="H811" s="64"/>
      <c r="I811" s="64"/>
      <c r="J811" s="64"/>
      <c r="K811" s="64"/>
      <c r="L811" s="65"/>
      <c r="M811" s="64"/>
      <c r="N811" s="64"/>
      <c r="O811" s="64"/>
      <c r="P811" s="64"/>
      <c r="Q811" s="64"/>
      <c r="R811" s="64"/>
      <c r="S811" s="64"/>
      <c r="T811" s="65"/>
      <c r="U811" s="64"/>
      <c r="V811" s="64"/>
      <c r="W811" s="64"/>
      <c r="X811" s="64"/>
      <c r="Y811" s="64"/>
      <c r="Z811" s="64"/>
      <c r="AA811" s="64"/>
      <c r="AB811" s="64"/>
      <c r="AC811" s="64"/>
      <c r="AD811" s="64"/>
      <c r="AE811" s="64"/>
      <c r="AF811" s="64"/>
      <c r="AG811" s="64"/>
    </row>
    <row r="812">
      <c r="A812" s="64"/>
      <c r="B812" s="64"/>
      <c r="C812" s="64"/>
      <c r="D812" s="64"/>
      <c r="E812" s="65"/>
      <c r="F812" s="64"/>
      <c r="G812" s="67"/>
      <c r="H812" s="64"/>
      <c r="I812" s="64"/>
      <c r="J812" s="64"/>
      <c r="K812" s="64"/>
      <c r="L812" s="65"/>
      <c r="M812" s="64"/>
      <c r="N812" s="64"/>
      <c r="O812" s="64"/>
      <c r="P812" s="64"/>
      <c r="Q812" s="64"/>
      <c r="R812" s="64"/>
      <c r="S812" s="64"/>
      <c r="T812" s="65"/>
      <c r="U812" s="64"/>
      <c r="V812" s="64"/>
      <c r="W812" s="64"/>
      <c r="X812" s="64"/>
      <c r="Y812" s="64"/>
      <c r="Z812" s="64"/>
      <c r="AA812" s="64"/>
      <c r="AB812" s="64"/>
      <c r="AC812" s="64"/>
      <c r="AD812" s="64"/>
      <c r="AE812" s="64"/>
      <c r="AF812" s="64"/>
      <c r="AG812" s="64"/>
    </row>
    <row r="813">
      <c r="A813" s="64"/>
      <c r="B813" s="64"/>
      <c r="C813" s="64"/>
      <c r="D813" s="64"/>
      <c r="E813" s="65"/>
      <c r="F813" s="64"/>
      <c r="G813" s="67"/>
      <c r="H813" s="64"/>
      <c r="I813" s="64"/>
      <c r="J813" s="64"/>
      <c r="K813" s="64"/>
      <c r="L813" s="65"/>
      <c r="M813" s="64"/>
      <c r="N813" s="64"/>
      <c r="O813" s="64"/>
      <c r="P813" s="64"/>
      <c r="Q813" s="64"/>
      <c r="R813" s="64"/>
      <c r="S813" s="64"/>
      <c r="T813" s="65"/>
      <c r="U813" s="64"/>
      <c r="V813" s="64"/>
      <c r="W813" s="64"/>
      <c r="X813" s="64"/>
      <c r="Y813" s="64"/>
      <c r="Z813" s="64"/>
      <c r="AA813" s="64"/>
      <c r="AB813" s="64"/>
      <c r="AC813" s="64"/>
      <c r="AD813" s="64"/>
      <c r="AE813" s="64"/>
      <c r="AF813" s="64"/>
      <c r="AG813" s="64"/>
    </row>
    <row r="814">
      <c r="A814" s="64"/>
      <c r="B814" s="64"/>
      <c r="C814" s="64"/>
      <c r="D814" s="64"/>
      <c r="E814" s="65"/>
      <c r="F814" s="64"/>
      <c r="G814" s="67"/>
      <c r="H814" s="64"/>
      <c r="I814" s="64"/>
      <c r="J814" s="64"/>
      <c r="K814" s="64"/>
      <c r="L814" s="65"/>
      <c r="M814" s="64"/>
      <c r="N814" s="64"/>
      <c r="O814" s="64"/>
      <c r="P814" s="64"/>
      <c r="Q814" s="64"/>
      <c r="R814" s="64"/>
      <c r="S814" s="64"/>
      <c r="T814" s="65"/>
      <c r="U814" s="64"/>
      <c r="V814" s="64"/>
      <c r="W814" s="64"/>
      <c r="X814" s="64"/>
      <c r="Y814" s="64"/>
      <c r="Z814" s="64"/>
      <c r="AA814" s="64"/>
      <c r="AB814" s="64"/>
      <c r="AC814" s="64"/>
      <c r="AD814" s="64"/>
      <c r="AE814" s="64"/>
      <c r="AF814" s="64"/>
      <c r="AG814" s="64"/>
    </row>
    <row r="815">
      <c r="A815" s="64"/>
      <c r="B815" s="64"/>
      <c r="C815" s="64"/>
      <c r="D815" s="64"/>
      <c r="E815" s="65"/>
      <c r="F815" s="64"/>
      <c r="G815" s="67"/>
      <c r="H815" s="64"/>
      <c r="I815" s="64"/>
      <c r="J815" s="64"/>
      <c r="K815" s="64"/>
      <c r="L815" s="65"/>
      <c r="M815" s="64"/>
      <c r="N815" s="64"/>
      <c r="O815" s="64"/>
      <c r="P815" s="64"/>
      <c r="Q815" s="64"/>
      <c r="R815" s="64"/>
      <c r="S815" s="64"/>
      <c r="T815" s="65"/>
      <c r="U815" s="64"/>
      <c r="V815" s="64"/>
      <c r="W815" s="64"/>
      <c r="X815" s="64"/>
      <c r="Y815" s="64"/>
      <c r="Z815" s="64"/>
      <c r="AA815" s="64"/>
      <c r="AB815" s="64"/>
      <c r="AC815" s="64"/>
      <c r="AD815" s="64"/>
      <c r="AE815" s="64"/>
      <c r="AF815" s="64"/>
      <c r="AG815" s="64"/>
    </row>
    <row r="816">
      <c r="A816" s="64"/>
      <c r="B816" s="64"/>
      <c r="C816" s="64"/>
      <c r="D816" s="64"/>
      <c r="E816" s="65"/>
      <c r="F816" s="64"/>
      <c r="G816" s="67"/>
      <c r="H816" s="64"/>
      <c r="I816" s="64"/>
      <c r="J816" s="64"/>
      <c r="K816" s="64"/>
      <c r="L816" s="65"/>
      <c r="M816" s="64"/>
      <c r="N816" s="64"/>
      <c r="O816" s="64"/>
      <c r="P816" s="64"/>
      <c r="Q816" s="64"/>
      <c r="R816" s="64"/>
      <c r="S816" s="64"/>
      <c r="T816" s="65"/>
      <c r="U816" s="64"/>
      <c r="V816" s="64"/>
      <c r="W816" s="64"/>
      <c r="X816" s="64"/>
      <c r="Y816" s="64"/>
      <c r="Z816" s="64"/>
      <c r="AA816" s="64"/>
      <c r="AB816" s="64"/>
      <c r="AC816" s="64"/>
      <c r="AD816" s="64"/>
      <c r="AE816" s="64"/>
      <c r="AF816" s="64"/>
      <c r="AG816" s="64"/>
    </row>
    <row r="817">
      <c r="A817" s="64"/>
      <c r="B817" s="64"/>
      <c r="C817" s="64"/>
      <c r="D817" s="64"/>
      <c r="E817" s="65"/>
      <c r="F817" s="64"/>
      <c r="G817" s="67"/>
      <c r="H817" s="64"/>
      <c r="I817" s="64"/>
      <c r="J817" s="64"/>
      <c r="K817" s="64"/>
      <c r="L817" s="65"/>
      <c r="M817" s="64"/>
      <c r="N817" s="64"/>
      <c r="O817" s="64"/>
      <c r="P817" s="64"/>
      <c r="Q817" s="64"/>
      <c r="R817" s="64"/>
      <c r="S817" s="64"/>
      <c r="T817" s="65"/>
      <c r="U817" s="64"/>
      <c r="V817" s="64"/>
      <c r="W817" s="64"/>
      <c r="X817" s="64"/>
      <c r="Y817" s="64"/>
      <c r="Z817" s="64"/>
      <c r="AA817" s="64"/>
      <c r="AB817" s="64"/>
      <c r="AC817" s="64"/>
      <c r="AD817" s="64"/>
      <c r="AE817" s="64"/>
      <c r="AF817" s="64"/>
      <c r="AG817" s="64"/>
    </row>
    <row r="818">
      <c r="A818" s="64"/>
      <c r="B818" s="64"/>
      <c r="C818" s="64"/>
      <c r="D818" s="64"/>
      <c r="E818" s="65"/>
      <c r="F818" s="64"/>
      <c r="G818" s="67"/>
      <c r="H818" s="64"/>
      <c r="I818" s="64"/>
      <c r="J818" s="64"/>
      <c r="K818" s="64"/>
      <c r="L818" s="65"/>
      <c r="M818" s="64"/>
      <c r="N818" s="64"/>
      <c r="O818" s="64"/>
      <c r="P818" s="64"/>
      <c r="Q818" s="64"/>
      <c r="R818" s="64"/>
      <c r="S818" s="64"/>
      <c r="T818" s="65"/>
      <c r="U818" s="64"/>
      <c r="V818" s="64"/>
      <c r="W818" s="64"/>
      <c r="X818" s="64"/>
      <c r="Y818" s="64"/>
      <c r="Z818" s="64"/>
      <c r="AA818" s="64"/>
      <c r="AB818" s="64"/>
      <c r="AC818" s="64"/>
      <c r="AD818" s="64"/>
      <c r="AE818" s="64"/>
      <c r="AF818" s="64"/>
      <c r="AG818" s="64"/>
    </row>
    <row r="819">
      <c r="A819" s="64"/>
      <c r="B819" s="64"/>
      <c r="C819" s="64"/>
      <c r="D819" s="64"/>
      <c r="E819" s="65"/>
      <c r="F819" s="64"/>
      <c r="G819" s="67"/>
      <c r="H819" s="64"/>
      <c r="I819" s="64"/>
      <c r="J819" s="64"/>
      <c r="K819" s="64"/>
      <c r="L819" s="65"/>
      <c r="M819" s="64"/>
      <c r="N819" s="64"/>
      <c r="O819" s="64"/>
      <c r="P819" s="64"/>
      <c r="Q819" s="64"/>
      <c r="R819" s="64"/>
      <c r="S819" s="64"/>
      <c r="T819" s="65"/>
      <c r="U819" s="64"/>
      <c r="V819" s="64"/>
      <c r="W819" s="64"/>
      <c r="X819" s="64"/>
      <c r="Y819" s="64"/>
      <c r="Z819" s="64"/>
      <c r="AA819" s="64"/>
      <c r="AB819" s="64"/>
      <c r="AC819" s="64"/>
      <c r="AD819" s="64"/>
      <c r="AE819" s="64"/>
      <c r="AF819" s="64"/>
      <c r="AG819" s="64"/>
    </row>
    <row r="820">
      <c r="A820" s="64"/>
      <c r="B820" s="64"/>
      <c r="C820" s="64"/>
      <c r="D820" s="64"/>
      <c r="E820" s="65"/>
      <c r="F820" s="64"/>
      <c r="G820" s="67"/>
      <c r="H820" s="64"/>
      <c r="I820" s="64"/>
      <c r="J820" s="64"/>
      <c r="K820" s="64"/>
      <c r="L820" s="65"/>
      <c r="M820" s="64"/>
      <c r="N820" s="64"/>
      <c r="O820" s="64"/>
      <c r="P820" s="64"/>
      <c r="Q820" s="64"/>
      <c r="R820" s="64"/>
      <c r="S820" s="64"/>
      <c r="T820" s="65"/>
      <c r="U820" s="64"/>
      <c r="V820" s="64"/>
      <c r="W820" s="64"/>
      <c r="X820" s="64"/>
      <c r="Y820" s="64"/>
      <c r="Z820" s="64"/>
      <c r="AA820" s="64"/>
      <c r="AB820" s="64"/>
      <c r="AC820" s="64"/>
      <c r="AD820" s="64"/>
      <c r="AE820" s="64"/>
      <c r="AF820" s="64"/>
      <c r="AG820" s="64"/>
    </row>
    <row r="821">
      <c r="A821" s="64"/>
      <c r="B821" s="64"/>
      <c r="C821" s="64"/>
      <c r="D821" s="64"/>
      <c r="E821" s="65"/>
      <c r="F821" s="64"/>
      <c r="G821" s="67"/>
      <c r="H821" s="64"/>
      <c r="I821" s="64"/>
      <c r="J821" s="64"/>
      <c r="K821" s="64"/>
      <c r="L821" s="65"/>
      <c r="M821" s="64"/>
      <c r="N821" s="64"/>
      <c r="O821" s="64"/>
      <c r="P821" s="64"/>
      <c r="Q821" s="64"/>
      <c r="R821" s="64"/>
      <c r="S821" s="64"/>
      <c r="T821" s="65"/>
      <c r="U821" s="64"/>
      <c r="V821" s="64"/>
      <c r="W821" s="64"/>
      <c r="X821" s="64"/>
      <c r="Y821" s="64"/>
      <c r="Z821" s="64"/>
      <c r="AA821" s="64"/>
      <c r="AB821" s="64"/>
      <c r="AC821" s="64"/>
      <c r="AD821" s="64"/>
      <c r="AE821" s="64"/>
      <c r="AF821" s="64"/>
      <c r="AG821" s="64"/>
    </row>
    <row r="822">
      <c r="A822" s="64"/>
      <c r="B822" s="64"/>
      <c r="C822" s="64"/>
      <c r="D822" s="64"/>
      <c r="E822" s="65"/>
      <c r="F822" s="64"/>
      <c r="G822" s="67"/>
      <c r="H822" s="64"/>
      <c r="I822" s="64"/>
      <c r="J822" s="64"/>
      <c r="K822" s="64"/>
      <c r="L822" s="65"/>
      <c r="M822" s="64"/>
      <c r="N822" s="64"/>
      <c r="O822" s="64"/>
      <c r="P822" s="64"/>
      <c r="Q822" s="64"/>
      <c r="R822" s="64"/>
      <c r="S822" s="64"/>
      <c r="T822" s="65"/>
      <c r="U822" s="64"/>
      <c r="V822" s="64"/>
      <c r="W822" s="64"/>
      <c r="X822" s="64"/>
      <c r="Y822" s="64"/>
      <c r="Z822" s="64"/>
      <c r="AA822" s="64"/>
      <c r="AB822" s="64"/>
      <c r="AC822" s="64"/>
      <c r="AD822" s="64"/>
      <c r="AE822" s="64"/>
      <c r="AF822" s="64"/>
      <c r="AG822" s="64"/>
    </row>
    <row r="823">
      <c r="A823" s="64"/>
      <c r="B823" s="64"/>
      <c r="C823" s="64"/>
      <c r="D823" s="64"/>
      <c r="E823" s="65"/>
      <c r="F823" s="64"/>
      <c r="G823" s="67"/>
      <c r="H823" s="64"/>
      <c r="I823" s="64"/>
      <c r="J823" s="64"/>
      <c r="K823" s="64"/>
      <c r="L823" s="65"/>
      <c r="M823" s="64"/>
      <c r="N823" s="64"/>
      <c r="O823" s="64"/>
      <c r="P823" s="64"/>
      <c r="Q823" s="64"/>
      <c r="R823" s="64"/>
      <c r="S823" s="64"/>
      <c r="T823" s="65"/>
      <c r="U823" s="64"/>
      <c r="V823" s="64"/>
      <c r="W823" s="64"/>
      <c r="X823" s="64"/>
      <c r="Y823" s="64"/>
      <c r="Z823" s="64"/>
      <c r="AA823" s="64"/>
      <c r="AB823" s="64"/>
      <c r="AC823" s="64"/>
      <c r="AD823" s="64"/>
      <c r="AE823" s="64"/>
      <c r="AF823" s="64"/>
      <c r="AG823" s="64"/>
    </row>
    <row r="824">
      <c r="A824" s="64"/>
      <c r="B824" s="64"/>
      <c r="C824" s="64"/>
      <c r="D824" s="64"/>
      <c r="E824" s="65"/>
      <c r="F824" s="64"/>
      <c r="G824" s="67"/>
      <c r="H824" s="64"/>
      <c r="I824" s="64"/>
      <c r="J824" s="64"/>
      <c r="K824" s="64"/>
      <c r="L824" s="65"/>
      <c r="M824" s="64"/>
      <c r="N824" s="64"/>
      <c r="O824" s="64"/>
      <c r="P824" s="64"/>
      <c r="Q824" s="64"/>
      <c r="R824" s="64"/>
      <c r="S824" s="64"/>
      <c r="T824" s="65"/>
      <c r="U824" s="64"/>
      <c r="V824" s="64"/>
      <c r="W824" s="64"/>
      <c r="X824" s="64"/>
      <c r="Y824" s="64"/>
      <c r="Z824" s="64"/>
      <c r="AA824" s="64"/>
      <c r="AB824" s="64"/>
      <c r="AC824" s="64"/>
      <c r="AD824" s="64"/>
      <c r="AE824" s="64"/>
      <c r="AF824" s="64"/>
      <c r="AG824" s="64"/>
    </row>
    <row r="825">
      <c r="A825" s="64"/>
      <c r="B825" s="64"/>
      <c r="C825" s="64"/>
      <c r="D825" s="64"/>
      <c r="E825" s="65"/>
      <c r="F825" s="64"/>
      <c r="G825" s="67"/>
      <c r="H825" s="64"/>
      <c r="I825" s="64"/>
      <c r="J825" s="64"/>
      <c r="K825" s="64"/>
      <c r="L825" s="65"/>
      <c r="M825" s="64"/>
      <c r="N825" s="64"/>
      <c r="O825" s="64"/>
      <c r="P825" s="64"/>
      <c r="Q825" s="64"/>
      <c r="R825" s="64"/>
      <c r="S825" s="64"/>
      <c r="T825" s="65"/>
      <c r="U825" s="64"/>
      <c r="V825" s="64"/>
      <c r="W825" s="64"/>
      <c r="X825" s="64"/>
      <c r="Y825" s="64"/>
      <c r="Z825" s="64"/>
      <c r="AA825" s="64"/>
      <c r="AB825" s="64"/>
      <c r="AC825" s="64"/>
      <c r="AD825" s="64"/>
      <c r="AE825" s="64"/>
      <c r="AF825" s="64"/>
      <c r="AG825" s="64"/>
    </row>
    <row r="826">
      <c r="A826" s="64"/>
      <c r="B826" s="64"/>
      <c r="C826" s="64"/>
      <c r="D826" s="64"/>
      <c r="E826" s="65"/>
      <c r="F826" s="64"/>
      <c r="G826" s="67"/>
      <c r="H826" s="64"/>
      <c r="I826" s="64"/>
      <c r="J826" s="64"/>
      <c r="K826" s="64"/>
      <c r="L826" s="65"/>
      <c r="M826" s="64"/>
      <c r="N826" s="64"/>
      <c r="O826" s="64"/>
      <c r="P826" s="64"/>
      <c r="Q826" s="64"/>
      <c r="R826" s="64"/>
      <c r="S826" s="64"/>
      <c r="T826" s="65"/>
      <c r="U826" s="64"/>
      <c r="V826" s="64"/>
      <c r="W826" s="64"/>
      <c r="X826" s="64"/>
      <c r="Y826" s="64"/>
      <c r="Z826" s="64"/>
      <c r="AA826" s="64"/>
      <c r="AB826" s="64"/>
      <c r="AC826" s="64"/>
      <c r="AD826" s="64"/>
      <c r="AE826" s="64"/>
      <c r="AF826" s="64"/>
      <c r="AG826" s="64"/>
    </row>
    <row r="827">
      <c r="A827" s="64"/>
      <c r="B827" s="64"/>
      <c r="C827" s="64"/>
      <c r="D827" s="64"/>
      <c r="E827" s="65"/>
      <c r="F827" s="64"/>
      <c r="G827" s="67"/>
      <c r="H827" s="64"/>
      <c r="I827" s="64"/>
      <c r="J827" s="64"/>
      <c r="K827" s="64"/>
      <c r="L827" s="65"/>
      <c r="M827" s="64"/>
      <c r="N827" s="64"/>
      <c r="O827" s="64"/>
      <c r="P827" s="64"/>
      <c r="Q827" s="64"/>
      <c r="R827" s="64"/>
      <c r="S827" s="64"/>
      <c r="T827" s="65"/>
      <c r="U827" s="64"/>
      <c r="V827" s="64"/>
      <c r="W827" s="64"/>
      <c r="X827" s="64"/>
      <c r="Y827" s="64"/>
      <c r="Z827" s="64"/>
      <c r="AA827" s="64"/>
      <c r="AB827" s="64"/>
      <c r="AC827" s="64"/>
      <c r="AD827" s="64"/>
      <c r="AE827" s="64"/>
      <c r="AF827" s="64"/>
      <c r="AG827" s="64"/>
    </row>
    <row r="828">
      <c r="A828" s="64"/>
      <c r="B828" s="64"/>
      <c r="C828" s="64"/>
      <c r="D828" s="64"/>
      <c r="E828" s="65"/>
      <c r="F828" s="64"/>
      <c r="G828" s="67"/>
      <c r="H828" s="64"/>
      <c r="I828" s="64"/>
      <c r="J828" s="64"/>
      <c r="K828" s="64"/>
      <c r="L828" s="65"/>
      <c r="M828" s="64"/>
      <c r="N828" s="64"/>
      <c r="O828" s="64"/>
      <c r="P828" s="64"/>
      <c r="Q828" s="64"/>
      <c r="R828" s="64"/>
      <c r="S828" s="64"/>
      <c r="T828" s="65"/>
      <c r="U828" s="64"/>
      <c r="V828" s="64"/>
      <c r="W828" s="64"/>
      <c r="X828" s="64"/>
      <c r="Y828" s="64"/>
      <c r="Z828" s="64"/>
      <c r="AA828" s="64"/>
      <c r="AB828" s="64"/>
      <c r="AC828" s="64"/>
      <c r="AD828" s="64"/>
      <c r="AE828" s="64"/>
      <c r="AF828" s="64"/>
      <c r="AG828" s="64"/>
    </row>
    <row r="829">
      <c r="A829" s="64"/>
      <c r="B829" s="64"/>
      <c r="C829" s="64"/>
      <c r="D829" s="64"/>
      <c r="E829" s="65"/>
      <c r="F829" s="64"/>
      <c r="G829" s="67"/>
      <c r="H829" s="64"/>
      <c r="I829" s="64"/>
      <c r="J829" s="64"/>
      <c r="K829" s="64"/>
      <c r="L829" s="65"/>
      <c r="M829" s="64"/>
      <c r="N829" s="64"/>
      <c r="O829" s="64"/>
      <c r="P829" s="64"/>
      <c r="Q829" s="64"/>
      <c r="R829" s="64"/>
      <c r="S829" s="64"/>
      <c r="T829" s="65"/>
      <c r="U829" s="64"/>
      <c r="V829" s="64"/>
      <c r="W829" s="64"/>
      <c r="X829" s="64"/>
      <c r="Y829" s="64"/>
      <c r="Z829" s="64"/>
      <c r="AA829" s="64"/>
      <c r="AB829" s="64"/>
      <c r="AC829" s="64"/>
      <c r="AD829" s="64"/>
      <c r="AE829" s="64"/>
      <c r="AF829" s="64"/>
      <c r="AG829" s="64"/>
    </row>
    <row r="830">
      <c r="A830" s="64"/>
      <c r="B830" s="64"/>
      <c r="C830" s="64"/>
      <c r="D830" s="64"/>
      <c r="E830" s="65"/>
      <c r="F830" s="64"/>
      <c r="G830" s="67"/>
      <c r="H830" s="64"/>
      <c r="I830" s="64"/>
      <c r="J830" s="64"/>
      <c r="K830" s="64"/>
      <c r="L830" s="65"/>
      <c r="M830" s="64"/>
      <c r="N830" s="64"/>
      <c r="O830" s="64"/>
      <c r="P830" s="64"/>
      <c r="Q830" s="64"/>
      <c r="R830" s="64"/>
      <c r="S830" s="64"/>
      <c r="T830" s="65"/>
      <c r="U830" s="64"/>
      <c r="V830" s="64"/>
      <c r="W830" s="64"/>
      <c r="X830" s="64"/>
      <c r="Y830" s="64"/>
      <c r="Z830" s="64"/>
      <c r="AA830" s="64"/>
      <c r="AB830" s="64"/>
      <c r="AC830" s="64"/>
      <c r="AD830" s="64"/>
      <c r="AE830" s="64"/>
      <c r="AF830" s="64"/>
      <c r="AG830" s="64"/>
    </row>
    <row r="831">
      <c r="A831" s="64"/>
      <c r="B831" s="64"/>
      <c r="C831" s="64"/>
      <c r="D831" s="64"/>
      <c r="E831" s="65"/>
      <c r="F831" s="64"/>
      <c r="G831" s="67"/>
      <c r="H831" s="64"/>
      <c r="I831" s="64"/>
      <c r="J831" s="64"/>
      <c r="K831" s="64"/>
      <c r="L831" s="65"/>
      <c r="M831" s="64"/>
      <c r="N831" s="64"/>
      <c r="O831" s="64"/>
      <c r="P831" s="64"/>
      <c r="Q831" s="64"/>
      <c r="R831" s="64"/>
      <c r="S831" s="64"/>
      <c r="T831" s="65"/>
      <c r="U831" s="64"/>
      <c r="V831" s="64"/>
      <c r="W831" s="64"/>
      <c r="X831" s="64"/>
      <c r="Y831" s="64"/>
      <c r="Z831" s="64"/>
      <c r="AA831" s="64"/>
      <c r="AB831" s="64"/>
      <c r="AC831" s="64"/>
      <c r="AD831" s="64"/>
      <c r="AE831" s="64"/>
      <c r="AF831" s="64"/>
      <c r="AG831" s="64"/>
    </row>
    <row r="832">
      <c r="A832" s="64"/>
      <c r="B832" s="64"/>
      <c r="C832" s="64"/>
      <c r="D832" s="64"/>
      <c r="E832" s="65"/>
      <c r="F832" s="64"/>
      <c r="G832" s="67"/>
      <c r="H832" s="64"/>
      <c r="I832" s="64"/>
      <c r="J832" s="64"/>
      <c r="K832" s="64"/>
      <c r="L832" s="65"/>
      <c r="M832" s="64"/>
      <c r="N832" s="64"/>
      <c r="O832" s="64"/>
      <c r="P832" s="64"/>
      <c r="Q832" s="64"/>
      <c r="R832" s="64"/>
      <c r="S832" s="64"/>
      <c r="T832" s="65"/>
      <c r="U832" s="64"/>
      <c r="V832" s="64"/>
      <c r="W832" s="64"/>
      <c r="X832" s="64"/>
      <c r="Y832" s="64"/>
      <c r="Z832" s="64"/>
      <c r="AA832" s="64"/>
      <c r="AB832" s="64"/>
      <c r="AC832" s="64"/>
      <c r="AD832" s="64"/>
      <c r="AE832" s="64"/>
      <c r="AF832" s="64"/>
      <c r="AG832" s="64"/>
    </row>
    <row r="833">
      <c r="A833" s="64"/>
      <c r="B833" s="64"/>
      <c r="C833" s="64"/>
      <c r="D833" s="64"/>
      <c r="E833" s="65"/>
      <c r="F833" s="64"/>
      <c r="G833" s="67"/>
      <c r="H833" s="64"/>
      <c r="I833" s="64"/>
      <c r="J833" s="64"/>
      <c r="K833" s="64"/>
      <c r="L833" s="65"/>
      <c r="M833" s="64"/>
      <c r="N833" s="64"/>
      <c r="O833" s="64"/>
      <c r="P833" s="64"/>
      <c r="Q833" s="64"/>
      <c r="R833" s="64"/>
      <c r="S833" s="64"/>
      <c r="T833" s="65"/>
      <c r="U833" s="64"/>
      <c r="V833" s="64"/>
      <c r="W833" s="64"/>
      <c r="X833" s="64"/>
      <c r="Y833" s="64"/>
      <c r="Z833" s="64"/>
      <c r="AA833" s="64"/>
      <c r="AB833" s="64"/>
      <c r="AC833" s="64"/>
      <c r="AD833" s="64"/>
      <c r="AE833" s="64"/>
      <c r="AF833" s="64"/>
      <c r="AG833" s="64"/>
    </row>
    <row r="834">
      <c r="A834" s="64"/>
      <c r="B834" s="64"/>
      <c r="C834" s="64"/>
      <c r="D834" s="64"/>
      <c r="E834" s="65"/>
      <c r="F834" s="64"/>
      <c r="G834" s="67"/>
      <c r="H834" s="64"/>
      <c r="I834" s="64"/>
      <c r="J834" s="64"/>
      <c r="K834" s="64"/>
      <c r="L834" s="65"/>
      <c r="M834" s="64"/>
      <c r="N834" s="64"/>
      <c r="O834" s="64"/>
      <c r="P834" s="64"/>
      <c r="Q834" s="64"/>
      <c r="R834" s="64"/>
      <c r="S834" s="64"/>
      <c r="T834" s="65"/>
      <c r="U834" s="64"/>
      <c r="V834" s="64"/>
      <c r="W834" s="64"/>
      <c r="X834" s="64"/>
      <c r="Y834" s="64"/>
      <c r="Z834" s="64"/>
      <c r="AA834" s="64"/>
      <c r="AB834" s="64"/>
      <c r="AC834" s="64"/>
      <c r="AD834" s="64"/>
      <c r="AE834" s="64"/>
      <c r="AF834" s="64"/>
      <c r="AG834" s="64"/>
    </row>
    <row r="835">
      <c r="A835" s="64"/>
      <c r="B835" s="64"/>
      <c r="C835" s="64"/>
      <c r="D835" s="64"/>
      <c r="E835" s="65"/>
      <c r="F835" s="64"/>
      <c r="G835" s="67"/>
      <c r="H835" s="64"/>
      <c r="I835" s="64"/>
      <c r="J835" s="64"/>
      <c r="K835" s="64"/>
      <c r="L835" s="65"/>
      <c r="M835" s="64"/>
      <c r="N835" s="64"/>
      <c r="O835" s="64"/>
      <c r="P835" s="64"/>
      <c r="Q835" s="64"/>
      <c r="R835" s="64"/>
      <c r="S835" s="64"/>
      <c r="T835" s="65"/>
      <c r="U835" s="64"/>
      <c r="V835" s="64"/>
      <c r="W835" s="64"/>
      <c r="X835" s="64"/>
      <c r="Y835" s="64"/>
      <c r="Z835" s="64"/>
      <c r="AA835" s="64"/>
      <c r="AB835" s="64"/>
      <c r="AC835" s="64"/>
      <c r="AD835" s="64"/>
      <c r="AE835" s="64"/>
      <c r="AF835" s="64"/>
      <c r="AG835" s="64"/>
    </row>
    <row r="836">
      <c r="A836" s="64"/>
      <c r="B836" s="64"/>
      <c r="C836" s="64"/>
      <c r="D836" s="64"/>
      <c r="E836" s="65"/>
      <c r="F836" s="64"/>
      <c r="G836" s="67"/>
      <c r="H836" s="64"/>
      <c r="I836" s="64"/>
      <c r="J836" s="64"/>
      <c r="K836" s="64"/>
      <c r="L836" s="65"/>
      <c r="M836" s="64"/>
      <c r="N836" s="64"/>
      <c r="O836" s="64"/>
      <c r="P836" s="64"/>
      <c r="Q836" s="64"/>
      <c r="R836" s="64"/>
      <c r="S836" s="64"/>
      <c r="T836" s="65"/>
      <c r="U836" s="64"/>
      <c r="V836" s="64"/>
      <c r="W836" s="64"/>
      <c r="X836" s="64"/>
      <c r="Y836" s="64"/>
      <c r="Z836" s="64"/>
      <c r="AA836" s="64"/>
      <c r="AB836" s="64"/>
      <c r="AC836" s="64"/>
      <c r="AD836" s="64"/>
      <c r="AE836" s="64"/>
      <c r="AF836" s="64"/>
      <c r="AG836" s="64"/>
    </row>
    <row r="837">
      <c r="A837" s="64"/>
      <c r="B837" s="64"/>
      <c r="C837" s="64"/>
      <c r="D837" s="64"/>
      <c r="E837" s="65"/>
      <c r="F837" s="64"/>
      <c r="G837" s="67"/>
      <c r="H837" s="64"/>
      <c r="I837" s="64"/>
      <c r="J837" s="64"/>
      <c r="K837" s="64"/>
      <c r="L837" s="65"/>
      <c r="M837" s="64"/>
      <c r="N837" s="64"/>
      <c r="O837" s="64"/>
      <c r="P837" s="64"/>
      <c r="Q837" s="64"/>
      <c r="R837" s="64"/>
      <c r="S837" s="64"/>
      <c r="T837" s="65"/>
      <c r="U837" s="64"/>
      <c r="V837" s="64"/>
      <c r="W837" s="64"/>
      <c r="X837" s="64"/>
      <c r="Y837" s="64"/>
      <c r="Z837" s="64"/>
      <c r="AA837" s="64"/>
      <c r="AB837" s="64"/>
      <c r="AC837" s="64"/>
      <c r="AD837" s="64"/>
      <c r="AE837" s="64"/>
      <c r="AF837" s="64"/>
      <c r="AG837" s="64"/>
    </row>
    <row r="838">
      <c r="A838" s="64"/>
      <c r="B838" s="64"/>
      <c r="C838" s="64"/>
      <c r="D838" s="64"/>
      <c r="E838" s="65"/>
      <c r="F838" s="64"/>
      <c r="G838" s="67"/>
      <c r="H838" s="64"/>
      <c r="I838" s="64"/>
      <c r="J838" s="64"/>
      <c r="K838" s="64"/>
      <c r="L838" s="65"/>
      <c r="M838" s="64"/>
      <c r="N838" s="64"/>
      <c r="O838" s="64"/>
      <c r="P838" s="64"/>
      <c r="Q838" s="64"/>
      <c r="R838" s="64"/>
      <c r="S838" s="64"/>
      <c r="T838" s="65"/>
      <c r="U838" s="64"/>
      <c r="V838" s="64"/>
      <c r="W838" s="64"/>
      <c r="X838" s="64"/>
      <c r="Y838" s="64"/>
      <c r="Z838" s="64"/>
      <c r="AA838" s="64"/>
      <c r="AB838" s="64"/>
      <c r="AC838" s="64"/>
      <c r="AD838" s="64"/>
      <c r="AE838" s="64"/>
      <c r="AF838" s="64"/>
      <c r="AG838" s="64"/>
    </row>
    <row r="839">
      <c r="A839" s="64"/>
      <c r="B839" s="64"/>
      <c r="C839" s="64"/>
      <c r="D839" s="64"/>
      <c r="E839" s="65"/>
      <c r="F839" s="64"/>
      <c r="G839" s="67"/>
      <c r="H839" s="64"/>
      <c r="I839" s="64"/>
      <c r="J839" s="64"/>
      <c r="K839" s="64"/>
      <c r="L839" s="65"/>
      <c r="M839" s="64"/>
      <c r="N839" s="64"/>
      <c r="O839" s="64"/>
      <c r="P839" s="64"/>
      <c r="Q839" s="64"/>
      <c r="R839" s="64"/>
      <c r="S839" s="64"/>
      <c r="T839" s="65"/>
      <c r="U839" s="64"/>
      <c r="V839" s="64"/>
      <c r="W839" s="64"/>
      <c r="X839" s="64"/>
      <c r="Y839" s="64"/>
      <c r="Z839" s="64"/>
      <c r="AA839" s="64"/>
      <c r="AB839" s="64"/>
      <c r="AC839" s="64"/>
      <c r="AD839" s="64"/>
      <c r="AE839" s="64"/>
      <c r="AF839" s="64"/>
      <c r="AG839" s="64"/>
    </row>
    <row r="840">
      <c r="A840" s="64"/>
      <c r="B840" s="64"/>
      <c r="C840" s="64"/>
      <c r="D840" s="64"/>
      <c r="E840" s="65"/>
      <c r="F840" s="64"/>
      <c r="G840" s="67"/>
      <c r="H840" s="64"/>
      <c r="I840" s="64"/>
      <c r="J840" s="64"/>
      <c r="K840" s="64"/>
      <c r="L840" s="65"/>
      <c r="M840" s="64"/>
      <c r="N840" s="64"/>
      <c r="O840" s="64"/>
      <c r="P840" s="64"/>
      <c r="Q840" s="64"/>
      <c r="R840" s="64"/>
      <c r="S840" s="64"/>
      <c r="T840" s="65"/>
      <c r="U840" s="64"/>
      <c r="V840" s="64"/>
      <c r="W840" s="64"/>
      <c r="X840" s="64"/>
      <c r="Y840" s="64"/>
      <c r="Z840" s="64"/>
      <c r="AA840" s="64"/>
      <c r="AB840" s="64"/>
      <c r="AC840" s="64"/>
      <c r="AD840" s="64"/>
      <c r="AE840" s="64"/>
      <c r="AF840" s="64"/>
      <c r="AG840" s="64"/>
    </row>
    <row r="841">
      <c r="A841" s="64"/>
      <c r="B841" s="64"/>
      <c r="C841" s="64"/>
      <c r="D841" s="64"/>
      <c r="E841" s="65"/>
      <c r="F841" s="64"/>
      <c r="G841" s="67"/>
      <c r="H841" s="64"/>
      <c r="I841" s="64"/>
      <c r="J841" s="64"/>
      <c r="K841" s="64"/>
      <c r="L841" s="65"/>
      <c r="M841" s="64"/>
      <c r="N841" s="64"/>
      <c r="O841" s="64"/>
      <c r="P841" s="64"/>
      <c r="Q841" s="64"/>
      <c r="R841" s="64"/>
      <c r="S841" s="64"/>
      <c r="T841" s="65"/>
      <c r="U841" s="64"/>
      <c r="V841" s="64"/>
      <c r="W841" s="64"/>
      <c r="X841" s="64"/>
      <c r="Y841" s="64"/>
      <c r="Z841" s="64"/>
      <c r="AA841" s="64"/>
      <c r="AB841" s="64"/>
      <c r="AC841" s="64"/>
      <c r="AD841" s="64"/>
      <c r="AE841" s="64"/>
      <c r="AF841" s="64"/>
      <c r="AG841" s="64"/>
    </row>
    <row r="842">
      <c r="A842" s="64"/>
      <c r="B842" s="64"/>
      <c r="C842" s="64"/>
      <c r="D842" s="64"/>
      <c r="E842" s="65"/>
      <c r="F842" s="64"/>
      <c r="G842" s="67"/>
      <c r="H842" s="64"/>
      <c r="I842" s="64"/>
      <c r="J842" s="64"/>
      <c r="K842" s="64"/>
      <c r="L842" s="65"/>
      <c r="M842" s="64"/>
      <c r="N842" s="64"/>
      <c r="O842" s="64"/>
      <c r="P842" s="64"/>
      <c r="Q842" s="64"/>
      <c r="R842" s="64"/>
      <c r="S842" s="64"/>
      <c r="T842" s="65"/>
      <c r="U842" s="64"/>
      <c r="V842" s="64"/>
      <c r="W842" s="64"/>
      <c r="X842" s="64"/>
      <c r="Y842" s="64"/>
      <c r="Z842" s="64"/>
      <c r="AA842" s="64"/>
      <c r="AB842" s="64"/>
      <c r="AC842" s="64"/>
      <c r="AD842" s="64"/>
      <c r="AE842" s="64"/>
      <c r="AF842" s="64"/>
      <c r="AG842" s="64"/>
    </row>
    <row r="843">
      <c r="A843" s="64"/>
      <c r="B843" s="64"/>
      <c r="C843" s="64"/>
      <c r="D843" s="64"/>
      <c r="E843" s="65"/>
      <c r="F843" s="64"/>
      <c r="G843" s="67"/>
      <c r="H843" s="64"/>
      <c r="I843" s="64"/>
      <c r="J843" s="64"/>
      <c r="K843" s="64"/>
      <c r="L843" s="65"/>
      <c r="M843" s="64"/>
      <c r="N843" s="64"/>
      <c r="O843" s="64"/>
      <c r="P843" s="64"/>
      <c r="Q843" s="64"/>
      <c r="R843" s="64"/>
      <c r="S843" s="64"/>
      <c r="T843" s="65"/>
      <c r="U843" s="64"/>
      <c r="V843" s="64"/>
      <c r="W843" s="64"/>
      <c r="X843" s="64"/>
      <c r="Y843" s="64"/>
      <c r="Z843" s="64"/>
      <c r="AA843" s="64"/>
      <c r="AB843" s="64"/>
      <c r="AC843" s="64"/>
      <c r="AD843" s="64"/>
      <c r="AE843" s="64"/>
      <c r="AF843" s="64"/>
      <c r="AG843" s="64"/>
    </row>
    <row r="844">
      <c r="A844" s="64"/>
      <c r="B844" s="64"/>
      <c r="C844" s="64"/>
      <c r="D844" s="64"/>
      <c r="E844" s="65"/>
      <c r="F844" s="64"/>
      <c r="G844" s="67"/>
      <c r="H844" s="64"/>
      <c r="I844" s="64"/>
      <c r="J844" s="64"/>
      <c r="K844" s="64"/>
      <c r="L844" s="65"/>
      <c r="M844" s="64"/>
      <c r="N844" s="64"/>
      <c r="O844" s="64"/>
      <c r="P844" s="64"/>
      <c r="Q844" s="64"/>
      <c r="R844" s="64"/>
      <c r="S844" s="64"/>
      <c r="T844" s="65"/>
      <c r="U844" s="64"/>
      <c r="V844" s="64"/>
      <c r="W844" s="64"/>
      <c r="X844" s="64"/>
      <c r="Y844" s="64"/>
      <c r="Z844" s="64"/>
      <c r="AA844" s="64"/>
      <c r="AB844" s="64"/>
      <c r="AC844" s="64"/>
      <c r="AD844" s="64"/>
      <c r="AE844" s="64"/>
      <c r="AF844" s="64"/>
      <c r="AG844" s="64"/>
    </row>
    <row r="845">
      <c r="A845" s="64"/>
      <c r="B845" s="64"/>
      <c r="C845" s="64"/>
      <c r="D845" s="64"/>
      <c r="E845" s="65"/>
      <c r="F845" s="64"/>
      <c r="G845" s="67"/>
      <c r="H845" s="64"/>
      <c r="I845" s="64"/>
      <c r="J845" s="64"/>
      <c r="K845" s="64"/>
      <c r="L845" s="65"/>
      <c r="M845" s="64"/>
      <c r="N845" s="64"/>
      <c r="O845" s="64"/>
      <c r="P845" s="64"/>
      <c r="Q845" s="64"/>
      <c r="R845" s="64"/>
      <c r="S845" s="64"/>
      <c r="T845" s="65"/>
      <c r="U845" s="64"/>
      <c r="V845" s="64"/>
      <c r="W845" s="64"/>
      <c r="X845" s="64"/>
      <c r="Y845" s="64"/>
      <c r="Z845" s="64"/>
      <c r="AA845" s="64"/>
      <c r="AB845" s="64"/>
      <c r="AC845" s="64"/>
      <c r="AD845" s="64"/>
      <c r="AE845" s="64"/>
      <c r="AF845" s="64"/>
      <c r="AG845" s="64"/>
    </row>
    <row r="846">
      <c r="A846" s="64"/>
      <c r="B846" s="64"/>
      <c r="C846" s="64"/>
      <c r="D846" s="64"/>
      <c r="E846" s="65"/>
      <c r="F846" s="64"/>
      <c r="G846" s="67"/>
      <c r="H846" s="64"/>
      <c r="I846" s="64"/>
      <c r="J846" s="64"/>
      <c r="K846" s="64"/>
      <c r="L846" s="65"/>
      <c r="M846" s="64"/>
      <c r="N846" s="64"/>
      <c r="O846" s="64"/>
      <c r="P846" s="64"/>
      <c r="Q846" s="64"/>
      <c r="R846" s="64"/>
      <c r="S846" s="64"/>
      <c r="T846" s="65"/>
      <c r="U846" s="64"/>
      <c r="V846" s="64"/>
      <c r="W846" s="64"/>
      <c r="X846" s="64"/>
      <c r="Y846" s="64"/>
      <c r="Z846" s="64"/>
      <c r="AA846" s="64"/>
      <c r="AB846" s="64"/>
      <c r="AC846" s="64"/>
      <c r="AD846" s="64"/>
      <c r="AE846" s="64"/>
      <c r="AF846" s="64"/>
      <c r="AG846" s="64"/>
    </row>
    <row r="847">
      <c r="A847" s="64"/>
      <c r="B847" s="64"/>
      <c r="C847" s="64"/>
      <c r="D847" s="64"/>
      <c r="E847" s="65"/>
      <c r="F847" s="64"/>
      <c r="G847" s="67"/>
      <c r="H847" s="64"/>
      <c r="I847" s="64"/>
      <c r="J847" s="64"/>
      <c r="K847" s="64"/>
      <c r="L847" s="65"/>
      <c r="M847" s="64"/>
      <c r="N847" s="64"/>
      <c r="O847" s="64"/>
      <c r="P847" s="64"/>
      <c r="Q847" s="64"/>
      <c r="R847" s="64"/>
      <c r="S847" s="64"/>
      <c r="T847" s="65"/>
      <c r="U847" s="64"/>
      <c r="V847" s="64"/>
      <c r="W847" s="64"/>
      <c r="X847" s="64"/>
      <c r="Y847" s="64"/>
      <c r="Z847" s="64"/>
      <c r="AA847" s="64"/>
      <c r="AB847" s="64"/>
      <c r="AC847" s="64"/>
      <c r="AD847" s="64"/>
      <c r="AE847" s="64"/>
      <c r="AF847" s="64"/>
      <c r="AG847" s="64"/>
    </row>
    <row r="848">
      <c r="A848" s="64"/>
      <c r="B848" s="64"/>
      <c r="C848" s="64"/>
      <c r="D848" s="64"/>
      <c r="E848" s="65"/>
      <c r="F848" s="64"/>
      <c r="G848" s="67"/>
      <c r="H848" s="64"/>
      <c r="I848" s="64"/>
      <c r="J848" s="64"/>
      <c r="K848" s="64"/>
      <c r="L848" s="65"/>
      <c r="M848" s="64"/>
      <c r="N848" s="64"/>
      <c r="O848" s="64"/>
      <c r="P848" s="64"/>
      <c r="Q848" s="64"/>
      <c r="R848" s="64"/>
      <c r="S848" s="64"/>
      <c r="T848" s="65"/>
      <c r="U848" s="64"/>
      <c r="V848" s="64"/>
      <c r="W848" s="64"/>
      <c r="X848" s="64"/>
      <c r="Y848" s="64"/>
      <c r="Z848" s="64"/>
      <c r="AA848" s="64"/>
      <c r="AB848" s="64"/>
      <c r="AC848" s="64"/>
      <c r="AD848" s="64"/>
      <c r="AE848" s="64"/>
      <c r="AF848" s="64"/>
      <c r="AG848" s="64"/>
    </row>
    <row r="849">
      <c r="A849" s="64"/>
      <c r="B849" s="64"/>
      <c r="C849" s="64"/>
      <c r="D849" s="64"/>
      <c r="E849" s="65"/>
      <c r="F849" s="64"/>
      <c r="G849" s="67"/>
      <c r="H849" s="64"/>
      <c r="I849" s="64"/>
      <c r="J849" s="64"/>
      <c r="K849" s="64"/>
      <c r="L849" s="65"/>
      <c r="M849" s="64"/>
      <c r="N849" s="64"/>
      <c r="O849" s="64"/>
      <c r="P849" s="64"/>
      <c r="Q849" s="64"/>
      <c r="R849" s="64"/>
      <c r="S849" s="64"/>
      <c r="T849" s="65"/>
      <c r="U849" s="64"/>
      <c r="V849" s="64"/>
      <c r="W849" s="64"/>
      <c r="X849" s="64"/>
      <c r="Y849" s="64"/>
      <c r="Z849" s="64"/>
      <c r="AA849" s="64"/>
      <c r="AB849" s="64"/>
      <c r="AC849" s="64"/>
      <c r="AD849" s="64"/>
      <c r="AE849" s="64"/>
      <c r="AF849" s="64"/>
      <c r="AG849" s="64"/>
    </row>
    <row r="850">
      <c r="A850" s="64"/>
      <c r="B850" s="64"/>
      <c r="C850" s="64"/>
      <c r="D850" s="64"/>
      <c r="E850" s="65"/>
      <c r="F850" s="64"/>
      <c r="G850" s="67"/>
      <c r="H850" s="64"/>
      <c r="I850" s="64"/>
      <c r="J850" s="64"/>
      <c r="K850" s="64"/>
      <c r="L850" s="65"/>
      <c r="M850" s="64"/>
      <c r="N850" s="64"/>
      <c r="O850" s="64"/>
      <c r="P850" s="64"/>
      <c r="Q850" s="64"/>
      <c r="R850" s="64"/>
      <c r="S850" s="64"/>
      <c r="T850" s="65"/>
      <c r="U850" s="64"/>
      <c r="V850" s="64"/>
      <c r="W850" s="64"/>
      <c r="X850" s="64"/>
      <c r="Y850" s="64"/>
      <c r="Z850" s="64"/>
      <c r="AA850" s="64"/>
      <c r="AB850" s="64"/>
      <c r="AC850" s="64"/>
      <c r="AD850" s="64"/>
      <c r="AE850" s="64"/>
      <c r="AF850" s="64"/>
      <c r="AG850" s="64"/>
    </row>
    <row r="851">
      <c r="A851" s="64"/>
      <c r="B851" s="64"/>
      <c r="C851" s="64"/>
      <c r="D851" s="64"/>
      <c r="E851" s="65"/>
      <c r="F851" s="64"/>
      <c r="G851" s="67"/>
      <c r="H851" s="64"/>
      <c r="I851" s="64"/>
      <c r="J851" s="64"/>
      <c r="K851" s="64"/>
      <c r="L851" s="65"/>
      <c r="M851" s="64"/>
      <c r="N851" s="64"/>
      <c r="O851" s="64"/>
      <c r="P851" s="64"/>
      <c r="Q851" s="64"/>
      <c r="R851" s="64"/>
      <c r="S851" s="64"/>
      <c r="T851" s="65"/>
      <c r="U851" s="64"/>
      <c r="V851" s="64"/>
      <c r="W851" s="64"/>
      <c r="X851" s="64"/>
      <c r="Y851" s="64"/>
      <c r="Z851" s="64"/>
      <c r="AA851" s="64"/>
      <c r="AB851" s="64"/>
      <c r="AC851" s="64"/>
      <c r="AD851" s="64"/>
      <c r="AE851" s="64"/>
      <c r="AF851" s="64"/>
      <c r="AG851" s="64"/>
    </row>
    <row r="852">
      <c r="A852" s="64"/>
      <c r="B852" s="64"/>
      <c r="C852" s="64"/>
      <c r="D852" s="64"/>
      <c r="E852" s="65"/>
      <c r="F852" s="64"/>
      <c r="G852" s="67"/>
      <c r="H852" s="64"/>
      <c r="I852" s="64"/>
      <c r="J852" s="64"/>
      <c r="K852" s="64"/>
      <c r="L852" s="65"/>
      <c r="M852" s="64"/>
      <c r="N852" s="64"/>
      <c r="O852" s="64"/>
      <c r="P852" s="64"/>
      <c r="Q852" s="64"/>
      <c r="R852" s="64"/>
      <c r="S852" s="64"/>
      <c r="T852" s="65"/>
      <c r="U852" s="64"/>
      <c r="V852" s="64"/>
      <c r="W852" s="64"/>
      <c r="X852" s="64"/>
      <c r="Y852" s="64"/>
      <c r="Z852" s="64"/>
      <c r="AA852" s="64"/>
      <c r="AB852" s="64"/>
      <c r="AC852" s="64"/>
      <c r="AD852" s="64"/>
      <c r="AE852" s="64"/>
      <c r="AF852" s="64"/>
      <c r="AG852" s="64"/>
    </row>
    <row r="853">
      <c r="A853" s="64"/>
      <c r="B853" s="64"/>
      <c r="C853" s="64"/>
      <c r="D853" s="64"/>
      <c r="E853" s="65"/>
      <c r="F853" s="64"/>
      <c r="G853" s="67"/>
      <c r="H853" s="64"/>
      <c r="I853" s="64"/>
      <c r="J853" s="64"/>
      <c r="K853" s="64"/>
      <c r="L853" s="65"/>
      <c r="M853" s="64"/>
      <c r="N853" s="64"/>
      <c r="O853" s="64"/>
      <c r="P853" s="64"/>
      <c r="Q853" s="64"/>
      <c r="R853" s="64"/>
      <c r="S853" s="64"/>
      <c r="T853" s="65"/>
      <c r="U853" s="64"/>
      <c r="V853" s="64"/>
      <c r="W853" s="64"/>
      <c r="X853" s="64"/>
      <c r="Y853" s="64"/>
      <c r="Z853" s="64"/>
      <c r="AA853" s="64"/>
      <c r="AB853" s="64"/>
      <c r="AC853" s="64"/>
      <c r="AD853" s="64"/>
      <c r="AE853" s="64"/>
      <c r="AF853" s="64"/>
      <c r="AG853" s="64"/>
    </row>
    <row r="854">
      <c r="A854" s="64"/>
      <c r="B854" s="64"/>
      <c r="C854" s="64"/>
      <c r="D854" s="64"/>
      <c r="E854" s="65"/>
      <c r="F854" s="64"/>
      <c r="G854" s="67"/>
      <c r="H854" s="64"/>
      <c r="I854" s="64"/>
      <c r="J854" s="64"/>
      <c r="K854" s="64"/>
      <c r="L854" s="65"/>
      <c r="M854" s="64"/>
      <c r="N854" s="64"/>
      <c r="O854" s="64"/>
      <c r="P854" s="64"/>
      <c r="Q854" s="64"/>
      <c r="R854" s="64"/>
      <c r="S854" s="64"/>
      <c r="T854" s="65"/>
      <c r="U854" s="64"/>
      <c r="V854" s="64"/>
      <c r="W854" s="64"/>
      <c r="X854" s="64"/>
      <c r="Y854" s="64"/>
      <c r="Z854" s="64"/>
      <c r="AA854" s="64"/>
      <c r="AB854" s="64"/>
      <c r="AC854" s="64"/>
      <c r="AD854" s="64"/>
      <c r="AE854" s="64"/>
      <c r="AF854" s="64"/>
      <c r="AG854" s="64"/>
    </row>
    <row r="855">
      <c r="A855" s="64"/>
      <c r="B855" s="64"/>
      <c r="C855" s="64"/>
      <c r="D855" s="64"/>
      <c r="E855" s="65"/>
      <c r="F855" s="64"/>
      <c r="G855" s="67"/>
      <c r="H855" s="64"/>
      <c r="I855" s="64"/>
      <c r="J855" s="64"/>
      <c r="K855" s="64"/>
      <c r="L855" s="65"/>
      <c r="M855" s="64"/>
      <c r="N855" s="64"/>
      <c r="O855" s="64"/>
      <c r="P855" s="64"/>
      <c r="Q855" s="64"/>
      <c r="R855" s="64"/>
      <c r="S855" s="64"/>
      <c r="T855" s="65"/>
      <c r="U855" s="64"/>
      <c r="V855" s="64"/>
      <c r="W855" s="64"/>
      <c r="X855" s="64"/>
      <c r="Y855" s="64"/>
      <c r="Z855" s="64"/>
      <c r="AA855" s="64"/>
      <c r="AB855" s="64"/>
      <c r="AC855" s="64"/>
      <c r="AD855" s="64"/>
      <c r="AE855" s="64"/>
      <c r="AF855" s="64"/>
      <c r="AG855" s="64"/>
    </row>
    <row r="856">
      <c r="A856" s="64"/>
      <c r="B856" s="64"/>
      <c r="C856" s="64"/>
      <c r="D856" s="64"/>
      <c r="E856" s="65"/>
      <c r="F856" s="64"/>
      <c r="G856" s="67"/>
      <c r="H856" s="64"/>
      <c r="I856" s="64"/>
      <c r="J856" s="64"/>
      <c r="K856" s="64"/>
      <c r="L856" s="65"/>
      <c r="M856" s="64"/>
      <c r="N856" s="64"/>
      <c r="O856" s="64"/>
      <c r="P856" s="64"/>
      <c r="Q856" s="64"/>
      <c r="R856" s="64"/>
      <c r="S856" s="64"/>
      <c r="T856" s="65"/>
      <c r="U856" s="64"/>
      <c r="V856" s="64"/>
      <c r="W856" s="64"/>
      <c r="X856" s="64"/>
      <c r="Y856" s="64"/>
      <c r="Z856" s="64"/>
      <c r="AA856" s="64"/>
      <c r="AB856" s="64"/>
      <c r="AC856" s="64"/>
      <c r="AD856" s="64"/>
      <c r="AE856" s="64"/>
      <c r="AF856" s="64"/>
      <c r="AG856" s="64"/>
    </row>
    <row r="857">
      <c r="A857" s="64"/>
      <c r="B857" s="64"/>
      <c r="C857" s="64"/>
      <c r="D857" s="64"/>
      <c r="E857" s="65"/>
      <c r="F857" s="64"/>
      <c r="G857" s="67"/>
      <c r="H857" s="64"/>
      <c r="I857" s="64"/>
      <c r="J857" s="64"/>
      <c r="K857" s="64"/>
      <c r="L857" s="65"/>
      <c r="M857" s="64"/>
      <c r="N857" s="64"/>
      <c r="O857" s="64"/>
      <c r="P857" s="64"/>
      <c r="Q857" s="64"/>
      <c r="R857" s="64"/>
      <c r="S857" s="64"/>
      <c r="T857" s="65"/>
      <c r="U857" s="64"/>
      <c r="V857" s="64"/>
      <c r="W857" s="64"/>
      <c r="X857" s="64"/>
      <c r="Y857" s="64"/>
      <c r="Z857" s="64"/>
      <c r="AA857" s="64"/>
      <c r="AB857" s="64"/>
      <c r="AC857" s="64"/>
      <c r="AD857" s="64"/>
      <c r="AE857" s="64"/>
      <c r="AF857" s="64"/>
      <c r="AG857" s="64"/>
    </row>
    <row r="858">
      <c r="A858" s="64"/>
      <c r="B858" s="64"/>
      <c r="C858" s="64"/>
      <c r="D858" s="64"/>
      <c r="E858" s="65"/>
      <c r="F858" s="64"/>
      <c r="G858" s="67"/>
      <c r="H858" s="64"/>
      <c r="I858" s="64"/>
      <c r="J858" s="64"/>
      <c r="K858" s="64"/>
      <c r="L858" s="65"/>
      <c r="M858" s="64"/>
      <c r="N858" s="64"/>
      <c r="O858" s="64"/>
      <c r="P858" s="64"/>
      <c r="Q858" s="64"/>
      <c r="R858" s="64"/>
      <c r="S858" s="64"/>
      <c r="T858" s="65"/>
      <c r="U858" s="64"/>
      <c r="V858" s="64"/>
      <c r="W858" s="64"/>
      <c r="X858" s="64"/>
      <c r="Y858" s="64"/>
      <c r="Z858" s="64"/>
      <c r="AA858" s="64"/>
      <c r="AB858" s="64"/>
      <c r="AC858" s="64"/>
      <c r="AD858" s="64"/>
      <c r="AE858" s="64"/>
      <c r="AF858" s="64"/>
      <c r="AG858" s="64"/>
    </row>
    <row r="859">
      <c r="A859" s="64"/>
      <c r="B859" s="64"/>
      <c r="C859" s="64"/>
      <c r="D859" s="64"/>
      <c r="E859" s="65"/>
      <c r="F859" s="64"/>
      <c r="G859" s="67"/>
      <c r="H859" s="64"/>
      <c r="I859" s="64"/>
      <c r="J859" s="64"/>
      <c r="K859" s="64"/>
      <c r="L859" s="65"/>
      <c r="M859" s="64"/>
      <c r="N859" s="64"/>
      <c r="O859" s="64"/>
      <c r="P859" s="64"/>
      <c r="Q859" s="64"/>
      <c r="R859" s="64"/>
      <c r="S859" s="64"/>
      <c r="T859" s="65"/>
      <c r="U859" s="64"/>
      <c r="V859" s="64"/>
      <c r="W859" s="64"/>
      <c r="X859" s="64"/>
      <c r="Y859" s="64"/>
      <c r="Z859" s="64"/>
      <c r="AA859" s="64"/>
      <c r="AB859" s="64"/>
      <c r="AC859" s="64"/>
      <c r="AD859" s="64"/>
      <c r="AE859" s="64"/>
      <c r="AF859" s="64"/>
      <c r="AG859" s="64"/>
    </row>
    <row r="860">
      <c r="A860" s="64"/>
      <c r="B860" s="64"/>
      <c r="C860" s="64"/>
      <c r="D860" s="64"/>
      <c r="E860" s="65"/>
      <c r="F860" s="64"/>
      <c r="G860" s="67"/>
      <c r="H860" s="64"/>
      <c r="I860" s="64"/>
      <c r="J860" s="64"/>
      <c r="K860" s="64"/>
      <c r="L860" s="65"/>
      <c r="M860" s="64"/>
      <c r="N860" s="64"/>
      <c r="O860" s="64"/>
      <c r="P860" s="64"/>
      <c r="Q860" s="64"/>
      <c r="R860" s="64"/>
      <c r="S860" s="64"/>
      <c r="T860" s="65"/>
      <c r="U860" s="64"/>
      <c r="V860" s="64"/>
      <c r="W860" s="64"/>
      <c r="X860" s="64"/>
      <c r="Y860" s="64"/>
      <c r="Z860" s="64"/>
      <c r="AA860" s="64"/>
      <c r="AB860" s="64"/>
      <c r="AC860" s="64"/>
      <c r="AD860" s="64"/>
      <c r="AE860" s="64"/>
      <c r="AF860" s="64"/>
      <c r="AG860" s="64"/>
    </row>
    <row r="861">
      <c r="A861" s="64"/>
      <c r="B861" s="64"/>
      <c r="C861" s="64"/>
      <c r="D861" s="64"/>
      <c r="E861" s="65"/>
      <c r="F861" s="64"/>
      <c r="G861" s="67"/>
      <c r="H861" s="64"/>
      <c r="I861" s="64"/>
      <c r="J861" s="64"/>
      <c r="K861" s="64"/>
      <c r="L861" s="65"/>
      <c r="M861" s="64"/>
      <c r="N861" s="64"/>
      <c r="O861" s="64"/>
      <c r="P861" s="64"/>
      <c r="Q861" s="64"/>
      <c r="R861" s="64"/>
      <c r="S861" s="64"/>
      <c r="T861" s="65"/>
      <c r="U861" s="64"/>
      <c r="V861" s="64"/>
      <c r="W861" s="64"/>
      <c r="X861" s="64"/>
      <c r="Y861" s="64"/>
      <c r="Z861" s="64"/>
      <c r="AA861" s="64"/>
      <c r="AB861" s="64"/>
      <c r="AC861" s="64"/>
      <c r="AD861" s="64"/>
      <c r="AE861" s="64"/>
      <c r="AF861" s="64"/>
      <c r="AG861" s="64"/>
    </row>
    <row r="862">
      <c r="A862" s="64"/>
      <c r="B862" s="64"/>
      <c r="C862" s="64"/>
      <c r="D862" s="64"/>
      <c r="E862" s="65"/>
      <c r="F862" s="64"/>
      <c r="G862" s="67"/>
      <c r="H862" s="64"/>
      <c r="I862" s="64"/>
      <c r="J862" s="64"/>
      <c r="K862" s="64"/>
      <c r="L862" s="65"/>
      <c r="M862" s="64"/>
      <c r="N862" s="64"/>
      <c r="O862" s="64"/>
      <c r="P862" s="64"/>
      <c r="Q862" s="64"/>
      <c r="R862" s="64"/>
      <c r="S862" s="64"/>
      <c r="T862" s="65"/>
      <c r="U862" s="64"/>
      <c r="V862" s="64"/>
      <c r="W862" s="64"/>
      <c r="X862" s="64"/>
      <c r="Y862" s="64"/>
      <c r="Z862" s="64"/>
      <c r="AA862" s="64"/>
      <c r="AB862" s="64"/>
      <c r="AC862" s="64"/>
      <c r="AD862" s="64"/>
      <c r="AE862" s="64"/>
      <c r="AF862" s="64"/>
      <c r="AG862" s="64"/>
    </row>
    <row r="863">
      <c r="A863" s="64"/>
      <c r="B863" s="64"/>
      <c r="C863" s="64"/>
      <c r="D863" s="64"/>
      <c r="E863" s="65"/>
      <c r="F863" s="64"/>
      <c r="G863" s="67"/>
      <c r="H863" s="64"/>
      <c r="I863" s="64"/>
      <c r="J863" s="64"/>
      <c r="K863" s="64"/>
      <c r="L863" s="65"/>
      <c r="M863" s="64"/>
      <c r="N863" s="64"/>
      <c r="O863" s="64"/>
      <c r="P863" s="64"/>
      <c r="Q863" s="64"/>
      <c r="R863" s="64"/>
      <c r="S863" s="64"/>
      <c r="T863" s="65"/>
      <c r="U863" s="64"/>
      <c r="V863" s="64"/>
      <c r="W863" s="64"/>
      <c r="X863" s="64"/>
      <c r="Y863" s="64"/>
      <c r="Z863" s="64"/>
      <c r="AA863" s="64"/>
      <c r="AB863" s="64"/>
      <c r="AC863" s="64"/>
      <c r="AD863" s="64"/>
      <c r="AE863" s="64"/>
      <c r="AF863" s="64"/>
      <c r="AG863" s="64"/>
    </row>
    <row r="864">
      <c r="A864" s="64"/>
      <c r="B864" s="64"/>
      <c r="C864" s="64"/>
      <c r="D864" s="64"/>
      <c r="E864" s="65"/>
      <c r="F864" s="64"/>
      <c r="G864" s="67"/>
      <c r="H864" s="64"/>
      <c r="I864" s="64"/>
      <c r="J864" s="64"/>
      <c r="K864" s="64"/>
      <c r="L864" s="65"/>
      <c r="M864" s="64"/>
      <c r="N864" s="64"/>
      <c r="O864" s="64"/>
      <c r="P864" s="64"/>
      <c r="Q864" s="64"/>
      <c r="R864" s="64"/>
      <c r="S864" s="64"/>
      <c r="T864" s="65"/>
      <c r="U864" s="64"/>
      <c r="V864" s="64"/>
      <c r="W864" s="64"/>
      <c r="X864" s="64"/>
      <c r="Y864" s="64"/>
      <c r="Z864" s="64"/>
      <c r="AA864" s="64"/>
      <c r="AB864" s="64"/>
      <c r="AC864" s="64"/>
      <c r="AD864" s="64"/>
      <c r="AE864" s="64"/>
      <c r="AF864" s="64"/>
      <c r="AG864" s="64"/>
    </row>
    <row r="865">
      <c r="A865" s="64"/>
      <c r="B865" s="64"/>
      <c r="C865" s="64"/>
      <c r="D865" s="64"/>
      <c r="E865" s="65"/>
      <c r="F865" s="64"/>
      <c r="G865" s="67"/>
      <c r="H865" s="64"/>
      <c r="I865" s="64"/>
      <c r="J865" s="64"/>
      <c r="K865" s="64"/>
      <c r="L865" s="65"/>
      <c r="M865" s="64"/>
      <c r="N865" s="64"/>
      <c r="O865" s="64"/>
      <c r="P865" s="64"/>
      <c r="Q865" s="64"/>
      <c r="R865" s="64"/>
      <c r="S865" s="64"/>
      <c r="T865" s="65"/>
      <c r="U865" s="64"/>
      <c r="V865" s="64"/>
      <c r="W865" s="64"/>
      <c r="X865" s="64"/>
      <c r="Y865" s="64"/>
      <c r="Z865" s="64"/>
      <c r="AA865" s="64"/>
      <c r="AB865" s="64"/>
      <c r="AC865" s="64"/>
      <c r="AD865" s="64"/>
      <c r="AE865" s="64"/>
      <c r="AF865" s="64"/>
      <c r="AG865" s="64"/>
    </row>
    <row r="866">
      <c r="A866" s="64"/>
      <c r="B866" s="64"/>
      <c r="C866" s="64"/>
      <c r="D866" s="64"/>
      <c r="E866" s="65"/>
      <c r="F866" s="64"/>
      <c r="G866" s="67"/>
      <c r="H866" s="64"/>
      <c r="I866" s="64"/>
      <c r="J866" s="64"/>
      <c r="K866" s="64"/>
      <c r="L866" s="65"/>
      <c r="M866" s="64"/>
      <c r="N866" s="64"/>
      <c r="O866" s="64"/>
      <c r="P866" s="64"/>
      <c r="Q866" s="64"/>
      <c r="R866" s="64"/>
      <c r="S866" s="64"/>
      <c r="T866" s="65"/>
      <c r="U866" s="64"/>
      <c r="V866" s="64"/>
      <c r="W866" s="64"/>
      <c r="X866" s="64"/>
      <c r="Y866" s="64"/>
      <c r="Z866" s="64"/>
      <c r="AA866" s="64"/>
      <c r="AB866" s="64"/>
      <c r="AC866" s="64"/>
      <c r="AD866" s="64"/>
      <c r="AE866" s="64"/>
      <c r="AF866" s="64"/>
      <c r="AG866" s="64"/>
    </row>
    <row r="867">
      <c r="A867" s="64"/>
      <c r="B867" s="64"/>
      <c r="C867" s="64"/>
      <c r="D867" s="64"/>
      <c r="E867" s="65"/>
      <c r="F867" s="64"/>
      <c r="G867" s="67"/>
      <c r="H867" s="64"/>
      <c r="I867" s="64"/>
      <c r="J867" s="64"/>
      <c r="K867" s="64"/>
      <c r="L867" s="65"/>
      <c r="M867" s="64"/>
      <c r="N867" s="64"/>
      <c r="O867" s="64"/>
      <c r="P867" s="64"/>
      <c r="Q867" s="64"/>
      <c r="R867" s="64"/>
      <c r="S867" s="64"/>
      <c r="T867" s="65"/>
      <c r="U867" s="64"/>
      <c r="V867" s="64"/>
      <c r="W867" s="64"/>
      <c r="X867" s="64"/>
      <c r="Y867" s="64"/>
      <c r="Z867" s="64"/>
      <c r="AA867" s="64"/>
      <c r="AB867" s="64"/>
      <c r="AC867" s="64"/>
      <c r="AD867" s="64"/>
      <c r="AE867" s="64"/>
      <c r="AF867" s="64"/>
      <c r="AG867" s="64"/>
    </row>
    <row r="868">
      <c r="A868" s="64"/>
      <c r="B868" s="64"/>
      <c r="C868" s="64"/>
      <c r="D868" s="64"/>
      <c r="E868" s="65"/>
      <c r="F868" s="64"/>
      <c r="G868" s="67"/>
      <c r="H868" s="64"/>
      <c r="I868" s="64"/>
      <c r="J868" s="64"/>
      <c r="K868" s="64"/>
      <c r="L868" s="65"/>
      <c r="M868" s="64"/>
      <c r="N868" s="64"/>
      <c r="O868" s="64"/>
      <c r="P868" s="64"/>
      <c r="Q868" s="64"/>
      <c r="R868" s="64"/>
      <c r="S868" s="64"/>
      <c r="T868" s="65"/>
      <c r="U868" s="64"/>
      <c r="V868" s="64"/>
      <c r="W868" s="64"/>
      <c r="X868" s="64"/>
      <c r="Y868" s="64"/>
      <c r="Z868" s="64"/>
      <c r="AA868" s="64"/>
      <c r="AB868" s="64"/>
      <c r="AC868" s="64"/>
      <c r="AD868" s="64"/>
      <c r="AE868" s="64"/>
      <c r="AF868" s="64"/>
      <c r="AG868" s="64"/>
    </row>
    <row r="869">
      <c r="A869" s="64"/>
      <c r="B869" s="64"/>
      <c r="C869" s="64"/>
      <c r="D869" s="64"/>
      <c r="E869" s="65"/>
      <c r="F869" s="64"/>
      <c r="G869" s="67"/>
      <c r="H869" s="64"/>
      <c r="I869" s="64"/>
      <c r="J869" s="64"/>
      <c r="K869" s="64"/>
      <c r="L869" s="65"/>
      <c r="M869" s="64"/>
      <c r="N869" s="64"/>
      <c r="O869" s="64"/>
      <c r="P869" s="64"/>
      <c r="Q869" s="64"/>
      <c r="R869" s="64"/>
      <c r="S869" s="64"/>
      <c r="T869" s="65"/>
      <c r="U869" s="64"/>
      <c r="V869" s="64"/>
      <c r="W869" s="64"/>
      <c r="X869" s="64"/>
      <c r="Y869" s="64"/>
      <c r="Z869" s="64"/>
      <c r="AA869" s="64"/>
      <c r="AB869" s="64"/>
      <c r="AC869" s="64"/>
      <c r="AD869" s="64"/>
      <c r="AE869" s="64"/>
      <c r="AF869" s="64"/>
      <c r="AG869" s="64"/>
    </row>
    <row r="870">
      <c r="A870" s="64"/>
      <c r="B870" s="64"/>
      <c r="C870" s="64"/>
      <c r="D870" s="64"/>
      <c r="E870" s="65"/>
      <c r="F870" s="64"/>
      <c r="G870" s="67"/>
      <c r="H870" s="64"/>
      <c r="I870" s="64"/>
      <c r="J870" s="64"/>
      <c r="K870" s="64"/>
      <c r="L870" s="65"/>
      <c r="M870" s="64"/>
      <c r="N870" s="64"/>
      <c r="O870" s="64"/>
      <c r="P870" s="64"/>
      <c r="Q870" s="64"/>
      <c r="R870" s="64"/>
      <c r="S870" s="64"/>
      <c r="T870" s="65"/>
      <c r="U870" s="64"/>
      <c r="V870" s="64"/>
      <c r="W870" s="64"/>
      <c r="X870" s="64"/>
      <c r="Y870" s="64"/>
      <c r="Z870" s="64"/>
      <c r="AA870" s="64"/>
      <c r="AB870" s="64"/>
      <c r="AC870" s="64"/>
      <c r="AD870" s="64"/>
      <c r="AE870" s="64"/>
      <c r="AF870" s="64"/>
      <c r="AG870" s="64"/>
    </row>
    <row r="871">
      <c r="A871" s="64"/>
      <c r="B871" s="64"/>
      <c r="C871" s="64"/>
      <c r="D871" s="64"/>
      <c r="E871" s="65"/>
      <c r="F871" s="64"/>
      <c r="G871" s="67"/>
      <c r="H871" s="64"/>
      <c r="I871" s="64"/>
      <c r="J871" s="64"/>
      <c r="K871" s="64"/>
      <c r="L871" s="65"/>
      <c r="M871" s="64"/>
      <c r="N871" s="64"/>
      <c r="O871" s="64"/>
      <c r="P871" s="64"/>
      <c r="Q871" s="64"/>
      <c r="R871" s="64"/>
      <c r="S871" s="64"/>
      <c r="T871" s="65"/>
      <c r="U871" s="64"/>
      <c r="V871" s="64"/>
      <c r="W871" s="64"/>
      <c r="X871" s="64"/>
      <c r="Y871" s="64"/>
      <c r="Z871" s="64"/>
      <c r="AA871" s="64"/>
      <c r="AB871" s="64"/>
      <c r="AC871" s="64"/>
      <c r="AD871" s="64"/>
      <c r="AE871" s="64"/>
      <c r="AF871" s="64"/>
      <c r="AG871" s="64"/>
    </row>
    <row r="872">
      <c r="A872" s="64"/>
      <c r="B872" s="64"/>
      <c r="C872" s="64"/>
      <c r="D872" s="64"/>
      <c r="E872" s="65"/>
      <c r="F872" s="64"/>
      <c r="G872" s="67"/>
      <c r="H872" s="64"/>
      <c r="I872" s="64"/>
      <c r="J872" s="64"/>
      <c r="K872" s="64"/>
      <c r="L872" s="65"/>
      <c r="M872" s="64"/>
      <c r="N872" s="64"/>
      <c r="O872" s="64"/>
      <c r="P872" s="64"/>
      <c r="Q872" s="64"/>
      <c r="R872" s="64"/>
      <c r="S872" s="64"/>
      <c r="T872" s="65"/>
      <c r="U872" s="64"/>
      <c r="V872" s="64"/>
      <c r="W872" s="64"/>
      <c r="X872" s="64"/>
      <c r="Y872" s="64"/>
      <c r="Z872" s="64"/>
      <c r="AA872" s="64"/>
      <c r="AB872" s="64"/>
      <c r="AC872" s="64"/>
      <c r="AD872" s="64"/>
      <c r="AE872" s="64"/>
      <c r="AF872" s="64"/>
      <c r="AG872" s="64"/>
    </row>
    <row r="873">
      <c r="A873" s="64"/>
      <c r="B873" s="64"/>
      <c r="C873" s="64"/>
      <c r="D873" s="64"/>
      <c r="E873" s="65"/>
      <c r="F873" s="64"/>
      <c r="G873" s="67"/>
      <c r="H873" s="64"/>
      <c r="I873" s="64"/>
      <c r="J873" s="64"/>
      <c r="K873" s="64"/>
      <c r="L873" s="65"/>
      <c r="M873" s="64"/>
      <c r="N873" s="64"/>
      <c r="O873" s="64"/>
      <c r="P873" s="64"/>
      <c r="Q873" s="64"/>
      <c r="R873" s="64"/>
      <c r="S873" s="64"/>
      <c r="T873" s="65"/>
      <c r="U873" s="64"/>
      <c r="V873" s="64"/>
      <c r="W873" s="64"/>
      <c r="X873" s="64"/>
      <c r="Y873" s="64"/>
      <c r="Z873" s="64"/>
      <c r="AA873" s="64"/>
      <c r="AB873" s="64"/>
      <c r="AC873" s="64"/>
      <c r="AD873" s="64"/>
      <c r="AE873" s="64"/>
      <c r="AF873" s="64"/>
      <c r="AG873" s="64"/>
    </row>
    <row r="874">
      <c r="A874" s="64"/>
      <c r="B874" s="64"/>
      <c r="C874" s="64"/>
      <c r="D874" s="64"/>
      <c r="E874" s="65"/>
      <c r="F874" s="64"/>
      <c r="G874" s="67"/>
      <c r="H874" s="64"/>
      <c r="I874" s="64"/>
      <c r="J874" s="64"/>
      <c r="K874" s="64"/>
      <c r="L874" s="65"/>
      <c r="M874" s="64"/>
      <c r="N874" s="64"/>
      <c r="O874" s="64"/>
      <c r="P874" s="64"/>
      <c r="Q874" s="64"/>
      <c r="R874" s="64"/>
      <c r="S874" s="64"/>
      <c r="T874" s="65"/>
      <c r="U874" s="64"/>
      <c r="V874" s="64"/>
      <c r="W874" s="64"/>
      <c r="X874" s="64"/>
      <c r="Y874" s="64"/>
      <c r="Z874" s="64"/>
      <c r="AA874" s="64"/>
      <c r="AB874" s="64"/>
      <c r="AC874" s="64"/>
      <c r="AD874" s="64"/>
      <c r="AE874" s="64"/>
      <c r="AF874" s="64"/>
      <c r="AG874" s="64"/>
    </row>
    <row r="875">
      <c r="A875" s="64"/>
      <c r="B875" s="64"/>
      <c r="C875" s="64"/>
      <c r="D875" s="64"/>
      <c r="E875" s="65"/>
      <c r="F875" s="64"/>
      <c r="G875" s="67"/>
      <c r="H875" s="64"/>
      <c r="I875" s="64"/>
      <c r="J875" s="64"/>
      <c r="K875" s="64"/>
      <c r="L875" s="65"/>
      <c r="M875" s="64"/>
      <c r="N875" s="64"/>
      <c r="O875" s="64"/>
      <c r="P875" s="64"/>
      <c r="Q875" s="64"/>
      <c r="R875" s="64"/>
      <c r="S875" s="64"/>
      <c r="T875" s="65"/>
      <c r="U875" s="64"/>
      <c r="V875" s="64"/>
      <c r="W875" s="64"/>
      <c r="X875" s="64"/>
      <c r="Y875" s="64"/>
      <c r="Z875" s="64"/>
      <c r="AA875" s="64"/>
      <c r="AB875" s="64"/>
      <c r="AC875" s="64"/>
      <c r="AD875" s="64"/>
      <c r="AE875" s="64"/>
      <c r="AF875" s="64"/>
      <c r="AG875" s="64"/>
    </row>
    <row r="876">
      <c r="A876" s="64"/>
      <c r="B876" s="64"/>
      <c r="C876" s="64"/>
      <c r="D876" s="64"/>
      <c r="E876" s="65"/>
      <c r="F876" s="64"/>
      <c r="G876" s="67"/>
      <c r="H876" s="64"/>
      <c r="I876" s="64"/>
      <c r="J876" s="64"/>
      <c r="K876" s="64"/>
      <c r="L876" s="65"/>
      <c r="M876" s="64"/>
      <c r="N876" s="64"/>
      <c r="O876" s="64"/>
      <c r="P876" s="64"/>
      <c r="Q876" s="64"/>
      <c r="R876" s="64"/>
      <c r="S876" s="64"/>
      <c r="T876" s="65"/>
      <c r="U876" s="64"/>
      <c r="V876" s="64"/>
      <c r="W876" s="64"/>
      <c r="X876" s="64"/>
      <c r="Y876" s="64"/>
      <c r="Z876" s="64"/>
      <c r="AA876" s="64"/>
      <c r="AB876" s="64"/>
      <c r="AC876" s="64"/>
      <c r="AD876" s="64"/>
      <c r="AE876" s="64"/>
      <c r="AF876" s="64"/>
      <c r="AG876" s="64"/>
    </row>
    <row r="877">
      <c r="A877" s="64"/>
      <c r="B877" s="64"/>
      <c r="C877" s="64"/>
      <c r="D877" s="64"/>
      <c r="E877" s="65"/>
      <c r="F877" s="64"/>
      <c r="G877" s="67"/>
      <c r="H877" s="64"/>
      <c r="I877" s="64"/>
      <c r="J877" s="64"/>
      <c r="K877" s="64"/>
      <c r="L877" s="65"/>
      <c r="M877" s="64"/>
      <c r="N877" s="64"/>
      <c r="O877" s="64"/>
      <c r="P877" s="64"/>
      <c r="Q877" s="64"/>
      <c r="R877" s="64"/>
      <c r="S877" s="64"/>
      <c r="T877" s="65"/>
      <c r="U877" s="64"/>
      <c r="V877" s="64"/>
      <c r="W877" s="64"/>
      <c r="X877" s="64"/>
      <c r="Y877" s="64"/>
      <c r="Z877" s="64"/>
      <c r="AA877" s="64"/>
      <c r="AB877" s="64"/>
      <c r="AC877" s="64"/>
      <c r="AD877" s="64"/>
      <c r="AE877" s="64"/>
      <c r="AF877" s="64"/>
      <c r="AG877" s="64"/>
    </row>
    <row r="878">
      <c r="A878" s="64"/>
      <c r="B878" s="64"/>
      <c r="C878" s="64"/>
      <c r="D878" s="64"/>
      <c r="E878" s="65"/>
      <c r="F878" s="64"/>
      <c r="G878" s="67"/>
      <c r="H878" s="64"/>
      <c r="I878" s="64"/>
      <c r="J878" s="64"/>
      <c r="K878" s="64"/>
      <c r="L878" s="65"/>
      <c r="M878" s="64"/>
      <c r="N878" s="64"/>
      <c r="O878" s="64"/>
      <c r="P878" s="64"/>
      <c r="Q878" s="64"/>
      <c r="R878" s="64"/>
      <c r="S878" s="64"/>
      <c r="T878" s="65"/>
      <c r="U878" s="64"/>
      <c r="V878" s="64"/>
      <c r="W878" s="64"/>
      <c r="X878" s="64"/>
      <c r="Y878" s="64"/>
      <c r="Z878" s="64"/>
      <c r="AA878" s="64"/>
      <c r="AB878" s="64"/>
      <c r="AC878" s="64"/>
      <c r="AD878" s="64"/>
      <c r="AE878" s="64"/>
      <c r="AF878" s="64"/>
      <c r="AG878" s="64"/>
    </row>
    <row r="879">
      <c r="A879" s="64"/>
      <c r="B879" s="64"/>
      <c r="C879" s="64"/>
      <c r="D879" s="64"/>
      <c r="E879" s="65"/>
      <c r="F879" s="64"/>
      <c r="G879" s="67"/>
      <c r="H879" s="64"/>
      <c r="I879" s="64"/>
      <c r="J879" s="64"/>
      <c r="K879" s="64"/>
      <c r="L879" s="65"/>
      <c r="M879" s="64"/>
      <c r="N879" s="64"/>
      <c r="O879" s="64"/>
      <c r="P879" s="64"/>
      <c r="Q879" s="64"/>
      <c r="R879" s="64"/>
      <c r="S879" s="64"/>
      <c r="T879" s="65"/>
      <c r="U879" s="64"/>
      <c r="V879" s="64"/>
      <c r="W879" s="64"/>
      <c r="X879" s="64"/>
      <c r="Y879" s="64"/>
      <c r="Z879" s="64"/>
      <c r="AA879" s="64"/>
      <c r="AB879" s="64"/>
      <c r="AC879" s="64"/>
      <c r="AD879" s="64"/>
      <c r="AE879" s="64"/>
      <c r="AF879" s="64"/>
      <c r="AG879" s="64"/>
    </row>
    <row r="880">
      <c r="A880" s="64"/>
      <c r="B880" s="64"/>
      <c r="C880" s="64"/>
      <c r="D880" s="64"/>
      <c r="E880" s="65"/>
      <c r="F880" s="64"/>
      <c r="G880" s="67"/>
      <c r="H880" s="64"/>
      <c r="I880" s="64"/>
      <c r="J880" s="64"/>
      <c r="K880" s="64"/>
      <c r="L880" s="65"/>
      <c r="M880" s="64"/>
      <c r="N880" s="64"/>
      <c r="O880" s="64"/>
      <c r="P880" s="64"/>
      <c r="Q880" s="64"/>
      <c r="R880" s="64"/>
      <c r="S880" s="64"/>
      <c r="T880" s="65"/>
      <c r="U880" s="64"/>
      <c r="V880" s="64"/>
      <c r="W880" s="64"/>
      <c r="X880" s="64"/>
      <c r="Y880" s="64"/>
      <c r="Z880" s="64"/>
      <c r="AA880" s="64"/>
      <c r="AB880" s="64"/>
      <c r="AC880" s="64"/>
      <c r="AD880" s="64"/>
      <c r="AE880" s="64"/>
      <c r="AF880" s="64"/>
      <c r="AG880" s="64"/>
    </row>
    <row r="881">
      <c r="A881" s="64"/>
      <c r="B881" s="64"/>
      <c r="C881" s="64"/>
      <c r="D881" s="64"/>
      <c r="E881" s="65"/>
      <c r="F881" s="64"/>
      <c r="G881" s="67"/>
      <c r="H881" s="64"/>
      <c r="I881" s="64"/>
      <c r="J881" s="64"/>
      <c r="K881" s="64"/>
      <c r="L881" s="65"/>
      <c r="M881" s="64"/>
      <c r="N881" s="64"/>
      <c r="O881" s="64"/>
      <c r="P881" s="64"/>
      <c r="Q881" s="64"/>
      <c r="R881" s="64"/>
      <c r="S881" s="64"/>
      <c r="T881" s="65"/>
      <c r="U881" s="64"/>
      <c r="V881" s="64"/>
      <c r="W881" s="64"/>
      <c r="X881" s="64"/>
      <c r="Y881" s="64"/>
      <c r="Z881" s="64"/>
      <c r="AA881" s="64"/>
      <c r="AB881" s="64"/>
      <c r="AC881" s="64"/>
      <c r="AD881" s="64"/>
      <c r="AE881" s="64"/>
      <c r="AF881" s="64"/>
      <c r="AG881" s="64"/>
    </row>
    <row r="882">
      <c r="A882" s="64"/>
      <c r="B882" s="64"/>
      <c r="C882" s="64"/>
      <c r="D882" s="64"/>
      <c r="E882" s="65"/>
      <c r="F882" s="64"/>
      <c r="G882" s="67"/>
      <c r="H882" s="64"/>
      <c r="I882" s="64"/>
      <c r="J882" s="64"/>
      <c r="K882" s="64"/>
      <c r="L882" s="65"/>
      <c r="M882" s="64"/>
      <c r="N882" s="64"/>
      <c r="O882" s="64"/>
      <c r="P882" s="64"/>
      <c r="Q882" s="64"/>
      <c r="R882" s="64"/>
      <c r="S882" s="64"/>
      <c r="T882" s="65"/>
      <c r="U882" s="64"/>
      <c r="V882" s="64"/>
      <c r="W882" s="64"/>
      <c r="X882" s="64"/>
      <c r="Y882" s="64"/>
      <c r="Z882" s="64"/>
      <c r="AA882" s="64"/>
      <c r="AB882" s="64"/>
      <c r="AC882" s="64"/>
      <c r="AD882" s="64"/>
      <c r="AE882" s="64"/>
      <c r="AF882" s="64"/>
      <c r="AG882" s="64"/>
    </row>
    <row r="883">
      <c r="A883" s="64"/>
      <c r="B883" s="64"/>
      <c r="C883" s="64"/>
      <c r="D883" s="64"/>
      <c r="E883" s="65"/>
      <c r="F883" s="64"/>
      <c r="G883" s="67"/>
      <c r="H883" s="64"/>
      <c r="I883" s="64"/>
      <c r="J883" s="64"/>
      <c r="K883" s="64"/>
      <c r="L883" s="65"/>
      <c r="M883" s="64"/>
      <c r="N883" s="64"/>
      <c r="O883" s="64"/>
      <c r="P883" s="64"/>
      <c r="Q883" s="64"/>
      <c r="R883" s="64"/>
      <c r="S883" s="64"/>
      <c r="T883" s="65"/>
      <c r="U883" s="64"/>
      <c r="V883" s="64"/>
      <c r="W883" s="64"/>
      <c r="X883" s="64"/>
      <c r="Y883" s="64"/>
      <c r="Z883" s="64"/>
      <c r="AA883" s="64"/>
      <c r="AB883" s="64"/>
      <c r="AC883" s="64"/>
      <c r="AD883" s="64"/>
      <c r="AE883" s="64"/>
      <c r="AF883" s="64"/>
      <c r="AG883" s="64"/>
    </row>
    <row r="884">
      <c r="A884" s="64"/>
      <c r="B884" s="64"/>
      <c r="C884" s="64"/>
      <c r="D884" s="64"/>
      <c r="E884" s="65"/>
      <c r="F884" s="64"/>
      <c r="G884" s="67"/>
      <c r="H884" s="64"/>
      <c r="I884" s="64"/>
      <c r="J884" s="64"/>
      <c r="K884" s="64"/>
      <c r="L884" s="65"/>
      <c r="M884" s="64"/>
      <c r="N884" s="64"/>
      <c r="O884" s="64"/>
      <c r="P884" s="64"/>
      <c r="Q884" s="64"/>
      <c r="R884" s="64"/>
      <c r="S884" s="64"/>
      <c r="T884" s="65"/>
      <c r="U884" s="64"/>
      <c r="V884" s="64"/>
      <c r="W884" s="64"/>
      <c r="X884" s="64"/>
      <c r="Y884" s="64"/>
      <c r="Z884" s="64"/>
      <c r="AA884" s="64"/>
      <c r="AB884" s="64"/>
      <c r="AC884" s="64"/>
      <c r="AD884" s="64"/>
      <c r="AE884" s="64"/>
      <c r="AF884" s="64"/>
      <c r="AG884" s="64"/>
    </row>
    <row r="885">
      <c r="A885" s="64"/>
      <c r="B885" s="64"/>
      <c r="C885" s="64"/>
      <c r="D885" s="64"/>
      <c r="E885" s="65"/>
      <c r="F885" s="64"/>
      <c r="G885" s="67"/>
      <c r="H885" s="64"/>
      <c r="I885" s="64"/>
      <c r="J885" s="64"/>
      <c r="K885" s="64"/>
      <c r="L885" s="65"/>
      <c r="M885" s="64"/>
      <c r="N885" s="64"/>
      <c r="O885" s="64"/>
      <c r="P885" s="64"/>
      <c r="Q885" s="64"/>
      <c r="R885" s="64"/>
      <c r="S885" s="64"/>
      <c r="T885" s="65"/>
      <c r="U885" s="64"/>
      <c r="V885" s="64"/>
      <c r="W885" s="64"/>
      <c r="X885" s="64"/>
      <c r="Y885" s="64"/>
      <c r="Z885" s="64"/>
      <c r="AA885" s="64"/>
      <c r="AB885" s="64"/>
      <c r="AC885" s="64"/>
      <c r="AD885" s="64"/>
      <c r="AE885" s="64"/>
      <c r="AF885" s="64"/>
      <c r="AG885" s="64"/>
    </row>
    <row r="886">
      <c r="A886" s="64"/>
      <c r="B886" s="64"/>
      <c r="C886" s="64"/>
      <c r="D886" s="64"/>
      <c r="E886" s="65"/>
      <c r="F886" s="64"/>
      <c r="G886" s="67"/>
      <c r="H886" s="64"/>
      <c r="I886" s="64"/>
      <c r="J886" s="64"/>
      <c r="K886" s="64"/>
      <c r="L886" s="65"/>
      <c r="M886" s="64"/>
      <c r="N886" s="64"/>
      <c r="O886" s="64"/>
      <c r="P886" s="64"/>
      <c r="Q886" s="64"/>
      <c r="R886" s="64"/>
      <c r="S886" s="64"/>
      <c r="T886" s="65"/>
      <c r="U886" s="64"/>
      <c r="V886" s="64"/>
      <c r="W886" s="64"/>
      <c r="X886" s="64"/>
      <c r="Y886" s="64"/>
      <c r="Z886" s="64"/>
      <c r="AA886" s="64"/>
      <c r="AB886" s="64"/>
      <c r="AC886" s="64"/>
      <c r="AD886" s="64"/>
      <c r="AE886" s="64"/>
      <c r="AF886" s="64"/>
      <c r="AG886" s="64"/>
    </row>
    <row r="887">
      <c r="A887" s="64"/>
      <c r="B887" s="64"/>
      <c r="C887" s="64"/>
      <c r="D887" s="64"/>
      <c r="E887" s="65"/>
      <c r="F887" s="64"/>
      <c r="G887" s="67"/>
      <c r="H887" s="64"/>
      <c r="I887" s="64"/>
      <c r="J887" s="64"/>
      <c r="K887" s="64"/>
      <c r="L887" s="65"/>
      <c r="M887" s="64"/>
      <c r="N887" s="64"/>
      <c r="O887" s="64"/>
      <c r="P887" s="64"/>
      <c r="Q887" s="64"/>
      <c r="R887" s="64"/>
      <c r="S887" s="64"/>
      <c r="T887" s="65"/>
      <c r="U887" s="64"/>
      <c r="V887" s="64"/>
      <c r="W887" s="64"/>
      <c r="X887" s="64"/>
      <c r="Y887" s="64"/>
      <c r="Z887" s="64"/>
      <c r="AA887" s="64"/>
      <c r="AB887" s="64"/>
      <c r="AC887" s="64"/>
      <c r="AD887" s="64"/>
      <c r="AE887" s="64"/>
      <c r="AF887" s="64"/>
      <c r="AG887" s="64"/>
    </row>
    <row r="888">
      <c r="A888" s="64"/>
      <c r="B888" s="64"/>
      <c r="C888" s="64"/>
      <c r="D888" s="64"/>
      <c r="E888" s="65"/>
      <c r="F888" s="64"/>
      <c r="G888" s="67"/>
      <c r="H888" s="64"/>
      <c r="I888" s="64"/>
      <c r="J888" s="64"/>
      <c r="K888" s="64"/>
      <c r="L888" s="65"/>
      <c r="M888" s="64"/>
      <c r="N888" s="64"/>
      <c r="O888" s="64"/>
      <c r="P888" s="64"/>
      <c r="Q888" s="64"/>
      <c r="R888" s="64"/>
      <c r="S888" s="64"/>
      <c r="T888" s="65"/>
      <c r="U888" s="64"/>
      <c r="V888" s="64"/>
      <c r="W888" s="64"/>
      <c r="X888" s="64"/>
      <c r="Y888" s="64"/>
      <c r="Z888" s="64"/>
      <c r="AA888" s="64"/>
      <c r="AB888" s="64"/>
      <c r="AC888" s="64"/>
      <c r="AD888" s="64"/>
      <c r="AE888" s="64"/>
      <c r="AF888" s="64"/>
      <c r="AG888" s="64"/>
    </row>
    <row r="889">
      <c r="A889" s="64"/>
      <c r="B889" s="64"/>
      <c r="C889" s="64"/>
      <c r="D889" s="64"/>
      <c r="E889" s="65"/>
      <c r="F889" s="64"/>
      <c r="G889" s="67"/>
      <c r="H889" s="64"/>
      <c r="I889" s="64"/>
      <c r="J889" s="64"/>
      <c r="K889" s="64"/>
      <c r="L889" s="65"/>
      <c r="M889" s="64"/>
      <c r="N889" s="64"/>
      <c r="O889" s="64"/>
      <c r="P889" s="64"/>
      <c r="Q889" s="64"/>
      <c r="R889" s="64"/>
      <c r="S889" s="64"/>
      <c r="T889" s="65"/>
      <c r="U889" s="64"/>
      <c r="V889" s="64"/>
      <c r="W889" s="64"/>
      <c r="X889" s="64"/>
      <c r="Y889" s="64"/>
      <c r="Z889" s="64"/>
      <c r="AA889" s="64"/>
      <c r="AB889" s="64"/>
      <c r="AC889" s="64"/>
      <c r="AD889" s="64"/>
      <c r="AE889" s="64"/>
      <c r="AF889" s="64"/>
      <c r="AG889" s="64"/>
    </row>
    <row r="890">
      <c r="A890" s="64"/>
      <c r="B890" s="64"/>
      <c r="C890" s="64"/>
      <c r="D890" s="64"/>
      <c r="E890" s="65"/>
      <c r="F890" s="64"/>
      <c r="G890" s="67"/>
      <c r="H890" s="64"/>
      <c r="I890" s="64"/>
      <c r="J890" s="64"/>
      <c r="K890" s="64"/>
      <c r="L890" s="65"/>
      <c r="M890" s="64"/>
      <c r="N890" s="64"/>
      <c r="O890" s="64"/>
      <c r="P890" s="64"/>
      <c r="Q890" s="64"/>
      <c r="R890" s="64"/>
      <c r="S890" s="64"/>
      <c r="T890" s="65"/>
      <c r="U890" s="64"/>
      <c r="V890" s="64"/>
      <c r="W890" s="64"/>
      <c r="X890" s="64"/>
      <c r="Y890" s="64"/>
      <c r="Z890" s="64"/>
      <c r="AA890" s="64"/>
      <c r="AB890" s="64"/>
      <c r="AC890" s="64"/>
      <c r="AD890" s="64"/>
      <c r="AE890" s="64"/>
      <c r="AF890" s="64"/>
      <c r="AG890" s="64"/>
    </row>
    <row r="891">
      <c r="A891" s="64"/>
      <c r="B891" s="64"/>
      <c r="C891" s="64"/>
      <c r="D891" s="64"/>
      <c r="E891" s="65"/>
      <c r="F891" s="64"/>
      <c r="G891" s="67"/>
      <c r="H891" s="64"/>
      <c r="I891" s="64"/>
      <c r="J891" s="64"/>
      <c r="K891" s="64"/>
      <c r="L891" s="65"/>
      <c r="M891" s="64"/>
      <c r="N891" s="64"/>
      <c r="O891" s="64"/>
      <c r="P891" s="64"/>
      <c r="Q891" s="64"/>
      <c r="R891" s="64"/>
      <c r="S891" s="64"/>
      <c r="T891" s="65"/>
      <c r="U891" s="64"/>
      <c r="V891" s="64"/>
      <c r="W891" s="64"/>
      <c r="X891" s="64"/>
      <c r="Y891" s="64"/>
      <c r="Z891" s="64"/>
      <c r="AA891" s="64"/>
      <c r="AB891" s="64"/>
      <c r="AC891" s="64"/>
      <c r="AD891" s="64"/>
      <c r="AE891" s="64"/>
      <c r="AF891" s="64"/>
      <c r="AG891" s="64"/>
    </row>
    <row r="892">
      <c r="A892" s="64"/>
      <c r="B892" s="64"/>
      <c r="C892" s="64"/>
      <c r="D892" s="64"/>
      <c r="E892" s="65"/>
      <c r="F892" s="64"/>
      <c r="G892" s="67"/>
      <c r="H892" s="64"/>
      <c r="I892" s="64"/>
      <c r="J892" s="64"/>
      <c r="K892" s="64"/>
      <c r="L892" s="65"/>
      <c r="M892" s="64"/>
      <c r="N892" s="64"/>
      <c r="O892" s="64"/>
      <c r="P892" s="64"/>
      <c r="Q892" s="64"/>
      <c r="R892" s="64"/>
      <c r="S892" s="64"/>
      <c r="T892" s="65"/>
      <c r="U892" s="64"/>
      <c r="V892" s="64"/>
      <c r="W892" s="64"/>
      <c r="X892" s="64"/>
      <c r="Y892" s="64"/>
      <c r="Z892" s="64"/>
      <c r="AA892" s="64"/>
      <c r="AB892" s="64"/>
      <c r="AC892" s="64"/>
      <c r="AD892" s="64"/>
      <c r="AE892" s="64"/>
      <c r="AF892" s="64"/>
      <c r="AG892" s="64"/>
    </row>
    <row r="893">
      <c r="A893" s="64"/>
      <c r="B893" s="64"/>
      <c r="C893" s="64"/>
      <c r="D893" s="64"/>
      <c r="E893" s="65"/>
      <c r="F893" s="64"/>
      <c r="G893" s="67"/>
      <c r="H893" s="64"/>
      <c r="I893" s="64"/>
      <c r="J893" s="64"/>
      <c r="K893" s="64"/>
      <c r="L893" s="65"/>
      <c r="M893" s="64"/>
      <c r="N893" s="64"/>
      <c r="O893" s="64"/>
      <c r="P893" s="64"/>
      <c r="Q893" s="64"/>
      <c r="R893" s="64"/>
      <c r="S893" s="64"/>
      <c r="T893" s="65"/>
      <c r="U893" s="64"/>
      <c r="V893" s="64"/>
      <c r="W893" s="64"/>
      <c r="X893" s="64"/>
      <c r="Y893" s="64"/>
      <c r="Z893" s="64"/>
      <c r="AA893" s="64"/>
      <c r="AB893" s="64"/>
      <c r="AC893" s="64"/>
      <c r="AD893" s="64"/>
      <c r="AE893" s="64"/>
      <c r="AF893" s="64"/>
      <c r="AG893" s="64"/>
    </row>
    <row r="894">
      <c r="A894" s="64"/>
      <c r="B894" s="64"/>
      <c r="C894" s="64"/>
      <c r="D894" s="64"/>
      <c r="E894" s="65"/>
      <c r="F894" s="64"/>
      <c r="G894" s="67"/>
      <c r="H894" s="64"/>
      <c r="I894" s="64"/>
      <c r="J894" s="64"/>
      <c r="K894" s="64"/>
      <c r="L894" s="65"/>
      <c r="M894" s="64"/>
      <c r="N894" s="64"/>
      <c r="O894" s="64"/>
      <c r="P894" s="64"/>
      <c r="Q894" s="64"/>
      <c r="R894" s="64"/>
      <c r="S894" s="64"/>
      <c r="T894" s="65"/>
      <c r="U894" s="64"/>
      <c r="V894" s="64"/>
      <c r="W894" s="64"/>
      <c r="X894" s="64"/>
      <c r="Y894" s="64"/>
      <c r="Z894" s="64"/>
      <c r="AA894" s="64"/>
      <c r="AB894" s="64"/>
      <c r="AC894" s="64"/>
      <c r="AD894" s="64"/>
      <c r="AE894" s="64"/>
      <c r="AF894" s="64"/>
      <c r="AG894" s="64"/>
    </row>
    <row r="895">
      <c r="A895" s="64"/>
      <c r="B895" s="64"/>
      <c r="C895" s="64"/>
      <c r="D895" s="64"/>
      <c r="E895" s="65"/>
      <c r="F895" s="64"/>
      <c r="G895" s="67"/>
      <c r="H895" s="64"/>
      <c r="I895" s="64"/>
      <c r="J895" s="64"/>
      <c r="K895" s="64"/>
      <c r="L895" s="65"/>
      <c r="M895" s="64"/>
      <c r="N895" s="64"/>
      <c r="O895" s="64"/>
      <c r="P895" s="64"/>
      <c r="Q895" s="64"/>
      <c r="R895" s="64"/>
      <c r="S895" s="64"/>
      <c r="T895" s="65"/>
      <c r="U895" s="64"/>
      <c r="V895" s="64"/>
      <c r="W895" s="64"/>
      <c r="X895" s="64"/>
      <c r="Y895" s="64"/>
      <c r="Z895" s="64"/>
      <c r="AA895" s="64"/>
      <c r="AB895" s="64"/>
      <c r="AC895" s="64"/>
      <c r="AD895" s="64"/>
      <c r="AE895" s="64"/>
      <c r="AF895" s="64"/>
      <c r="AG895" s="64"/>
    </row>
    <row r="896">
      <c r="A896" s="64"/>
      <c r="B896" s="64"/>
      <c r="C896" s="64"/>
      <c r="D896" s="64"/>
      <c r="E896" s="65"/>
      <c r="F896" s="64"/>
      <c r="G896" s="67"/>
      <c r="H896" s="64"/>
      <c r="I896" s="64"/>
      <c r="J896" s="64"/>
      <c r="K896" s="64"/>
      <c r="L896" s="65"/>
      <c r="M896" s="64"/>
      <c r="N896" s="64"/>
      <c r="O896" s="64"/>
      <c r="P896" s="64"/>
      <c r="Q896" s="64"/>
      <c r="R896" s="64"/>
      <c r="S896" s="64"/>
      <c r="T896" s="65"/>
      <c r="U896" s="64"/>
      <c r="V896" s="64"/>
      <c r="W896" s="64"/>
      <c r="X896" s="64"/>
      <c r="Y896" s="64"/>
      <c r="Z896" s="64"/>
      <c r="AA896" s="64"/>
      <c r="AB896" s="64"/>
      <c r="AC896" s="64"/>
      <c r="AD896" s="64"/>
      <c r="AE896" s="64"/>
      <c r="AF896" s="64"/>
      <c r="AG896" s="64"/>
    </row>
    <row r="897">
      <c r="A897" s="64"/>
      <c r="B897" s="64"/>
      <c r="C897" s="64"/>
      <c r="D897" s="64"/>
      <c r="E897" s="65"/>
      <c r="F897" s="64"/>
      <c r="G897" s="67"/>
      <c r="H897" s="64"/>
      <c r="I897" s="64"/>
      <c r="J897" s="64"/>
      <c r="K897" s="64"/>
      <c r="L897" s="65"/>
      <c r="M897" s="64"/>
      <c r="N897" s="64"/>
      <c r="O897" s="64"/>
      <c r="P897" s="64"/>
      <c r="Q897" s="64"/>
      <c r="R897" s="64"/>
      <c r="S897" s="64"/>
      <c r="T897" s="65"/>
      <c r="U897" s="64"/>
      <c r="V897" s="64"/>
      <c r="W897" s="64"/>
      <c r="X897" s="64"/>
      <c r="Y897" s="64"/>
      <c r="Z897" s="64"/>
      <c r="AA897" s="64"/>
      <c r="AB897" s="64"/>
      <c r="AC897" s="64"/>
      <c r="AD897" s="64"/>
      <c r="AE897" s="64"/>
      <c r="AF897" s="64"/>
      <c r="AG897" s="64"/>
    </row>
    <row r="898">
      <c r="A898" s="64"/>
      <c r="B898" s="64"/>
      <c r="C898" s="64"/>
      <c r="D898" s="64"/>
      <c r="E898" s="65"/>
      <c r="F898" s="64"/>
      <c r="G898" s="67"/>
      <c r="H898" s="64"/>
      <c r="I898" s="64"/>
      <c r="J898" s="64"/>
      <c r="K898" s="64"/>
      <c r="L898" s="65"/>
      <c r="M898" s="64"/>
      <c r="N898" s="64"/>
      <c r="O898" s="64"/>
      <c r="P898" s="64"/>
      <c r="Q898" s="64"/>
      <c r="R898" s="64"/>
      <c r="S898" s="64"/>
      <c r="T898" s="65"/>
      <c r="U898" s="64"/>
      <c r="V898" s="64"/>
      <c r="W898" s="64"/>
      <c r="X898" s="64"/>
      <c r="Y898" s="64"/>
      <c r="Z898" s="64"/>
      <c r="AA898" s="64"/>
      <c r="AB898" s="64"/>
      <c r="AC898" s="64"/>
      <c r="AD898" s="64"/>
      <c r="AE898" s="64"/>
      <c r="AF898" s="64"/>
      <c r="AG898" s="64"/>
    </row>
    <row r="899">
      <c r="A899" s="64"/>
      <c r="B899" s="64"/>
      <c r="C899" s="64"/>
      <c r="D899" s="64"/>
      <c r="E899" s="65"/>
      <c r="F899" s="64"/>
      <c r="G899" s="67"/>
      <c r="H899" s="64"/>
      <c r="I899" s="64"/>
      <c r="J899" s="64"/>
      <c r="K899" s="64"/>
      <c r="L899" s="65"/>
      <c r="M899" s="64"/>
      <c r="N899" s="64"/>
      <c r="O899" s="64"/>
      <c r="P899" s="64"/>
      <c r="Q899" s="64"/>
      <c r="R899" s="64"/>
      <c r="S899" s="64"/>
      <c r="T899" s="65"/>
      <c r="U899" s="64"/>
      <c r="V899" s="64"/>
      <c r="W899" s="64"/>
      <c r="X899" s="64"/>
      <c r="Y899" s="64"/>
      <c r="Z899" s="64"/>
      <c r="AA899" s="64"/>
      <c r="AB899" s="64"/>
      <c r="AC899" s="64"/>
      <c r="AD899" s="64"/>
      <c r="AE899" s="64"/>
      <c r="AF899" s="64"/>
      <c r="AG899" s="64"/>
    </row>
    <row r="900">
      <c r="A900" s="64"/>
      <c r="B900" s="64"/>
      <c r="C900" s="64"/>
      <c r="D900" s="64"/>
      <c r="E900" s="65"/>
      <c r="F900" s="64"/>
      <c r="G900" s="67"/>
      <c r="H900" s="64"/>
      <c r="I900" s="64"/>
      <c r="J900" s="64"/>
      <c r="K900" s="64"/>
      <c r="L900" s="65"/>
      <c r="M900" s="64"/>
      <c r="N900" s="64"/>
      <c r="O900" s="64"/>
      <c r="P900" s="64"/>
      <c r="Q900" s="64"/>
      <c r="R900" s="64"/>
      <c r="S900" s="64"/>
      <c r="T900" s="65"/>
      <c r="U900" s="64"/>
      <c r="V900" s="64"/>
      <c r="W900" s="64"/>
      <c r="X900" s="64"/>
      <c r="Y900" s="64"/>
      <c r="Z900" s="64"/>
      <c r="AA900" s="64"/>
      <c r="AB900" s="64"/>
      <c r="AC900" s="64"/>
      <c r="AD900" s="64"/>
      <c r="AE900" s="64"/>
      <c r="AF900" s="64"/>
      <c r="AG900" s="64"/>
    </row>
    <row r="901">
      <c r="A901" s="64"/>
      <c r="B901" s="64"/>
      <c r="C901" s="64"/>
      <c r="D901" s="64"/>
      <c r="E901" s="65"/>
      <c r="F901" s="64"/>
      <c r="G901" s="67"/>
      <c r="H901" s="64"/>
      <c r="I901" s="64"/>
      <c r="J901" s="64"/>
      <c r="K901" s="64"/>
      <c r="L901" s="65"/>
      <c r="M901" s="64"/>
      <c r="N901" s="64"/>
      <c r="O901" s="64"/>
      <c r="P901" s="64"/>
      <c r="Q901" s="64"/>
      <c r="R901" s="64"/>
      <c r="S901" s="64"/>
      <c r="T901" s="65"/>
      <c r="U901" s="64"/>
      <c r="V901" s="64"/>
      <c r="W901" s="64"/>
      <c r="X901" s="64"/>
      <c r="Y901" s="64"/>
      <c r="Z901" s="64"/>
      <c r="AA901" s="64"/>
      <c r="AB901" s="64"/>
      <c r="AC901" s="64"/>
      <c r="AD901" s="64"/>
      <c r="AE901" s="64"/>
      <c r="AF901" s="64"/>
      <c r="AG901" s="64"/>
    </row>
    <row r="902">
      <c r="A902" s="64"/>
      <c r="B902" s="64"/>
      <c r="C902" s="64"/>
      <c r="D902" s="64"/>
      <c r="E902" s="65"/>
      <c r="F902" s="64"/>
      <c r="G902" s="67"/>
      <c r="H902" s="64"/>
      <c r="I902" s="64"/>
      <c r="J902" s="64"/>
      <c r="K902" s="64"/>
      <c r="L902" s="65"/>
      <c r="M902" s="64"/>
      <c r="N902" s="64"/>
      <c r="O902" s="64"/>
      <c r="P902" s="64"/>
      <c r="Q902" s="64"/>
      <c r="R902" s="64"/>
      <c r="S902" s="64"/>
      <c r="T902" s="65"/>
      <c r="U902" s="64"/>
      <c r="V902" s="64"/>
      <c r="W902" s="64"/>
      <c r="X902" s="64"/>
      <c r="Y902" s="64"/>
      <c r="Z902" s="64"/>
      <c r="AA902" s="64"/>
      <c r="AB902" s="64"/>
      <c r="AC902" s="64"/>
      <c r="AD902" s="64"/>
      <c r="AE902" s="64"/>
      <c r="AF902" s="64"/>
      <c r="AG902" s="64"/>
    </row>
    <row r="903">
      <c r="A903" s="64"/>
      <c r="B903" s="64"/>
      <c r="C903" s="64"/>
      <c r="D903" s="64"/>
      <c r="E903" s="65"/>
      <c r="F903" s="64"/>
      <c r="G903" s="67"/>
      <c r="H903" s="64"/>
      <c r="I903" s="64"/>
      <c r="J903" s="64"/>
      <c r="K903" s="64"/>
      <c r="L903" s="65"/>
      <c r="M903" s="64"/>
      <c r="N903" s="64"/>
      <c r="O903" s="64"/>
      <c r="P903" s="64"/>
      <c r="Q903" s="64"/>
      <c r="R903" s="64"/>
      <c r="S903" s="64"/>
      <c r="T903" s="65"/>
      <c r="U903" s="64"/>
      <c r="V903" s="64"/>
      <c r="W903" s="64"/>
      <c r="X903" s="64"/>
      <c r="Y903" s="64"/>
      <c r="Z903" s="64"/>
      <c r="AA903" s="64"/>
      <c r="AB903" s="64"/>
      <c r="AC903" s="64"/>
      <c r="AD903" s="64"/>
      <c r="AE903" s="64"/>
      <c r="AF903" s="64"/>
      <c r="AG903" s="64"/>
    </row>
    <row r="904">
      <c r="A904" s="64"/>
      <c r="B904" s="64"/>
      <c r="C904" s="64"/>
      <c r="D904" s="64"/>
      <c r="E904" s="65"/>
      <c r="F904" s="64"/>
      <c r="G904" s="67"/>
      <c r="H904" s="64"/>
      <c r="I904" s="64"/>
      <c r="J904" s="64"/>
      <c r="K904" s="64"/>
      <c r="L904" s="65"/>
      <c r="M904" s="64"/>
      <c r="N904" s="64"/>
      <c r="O904" s="64"/>
      <c r="P904" s="64"/>
      <c r="Q904" s="64"/>
      <c r="R904" s="64"/>
      <c r="S904" s="64"/>
      <c r="T904" s="65"/>
      <c r="U904" s="64"/>
      <c r="V904" s="64"/>
      <c r="W904" s="64"/>
      <c r="X904" s="64"/>
      <c r="Y904" s="64"/>
      <c r="Z904" s="64"/>
      <c r="AA904" s="64"/>
      <c r="AB904" s="64"/>
      <c r="AC904" s="64"/>
      <c r="AD904" s="64"/>
      <c r="AE904" s="64"/>
      <c r="AF904" s="64"/>
      <c r="AG904" s="64"/>
    </row>
    <row r="905">
      <c r="A905" s="64"/>
      <c r="B905" s="64"/>
      <c r="C905" s="64"/>
      <c r="D905" s="64"/>
      <c r="E905" s="65"/>
      <c r="F905" s="64"/>
      <c r="G905" s="67"/>
      <c r="H905" s="64"/>
      <c r="I905" s="64"/>
      <c r="J905" s="64"/>
      <c r="K905" s="64"/>
      <c r="L905" s="65"/>
      <c r="M905" s="64"/>
      <c r="N905" s="64"/>
      <c r="O905" s="64"/>
      <c r="P905" s="64"/>
      <c r="Q905" s="64"/>
      <c r="R905" s="64"/>
      <c r="S905" s="64"/>
      <c r="T905" s="65"/>
      <c r="U905" s="64"/>
      <c r="V905" s="64"/>
      <c r="W905" s="64"/>
      <c r="X905" s="64"/>
      <c r="Y905" s="64"/>
      <c r="Z905" s="64"/>
      <c r="AA905" s="64"/>
      <c r="AB905" s="64"/>
      <c r="AC905" s="64"/>
      <c r="AD905" s="64"/>
      <c r="AE905" s="64"/>
      <c r="AF905" s="64"/>
      <c r="AG905" s="64"/>
    </row>
    <row r="906">
      <c r="A906" s="64"/>
      <c r="B906" s="64"/>
      <c r="C906" s="64"/>
      <c r="D906" s="64"/>
      <c r="E906" s="65"/>
      <c r="F906" s="64"/>
      <c r="G906" s="67"/>
      <c r="H906" s="64"/>
      <c r="I906" s="64"/>
      <c r="J906" s="64"/>
      <c r="K906" s="64"/>
      <c r="L906" s="65"/>
      <c r="M906" s="64"/>
      <c r="N906" s="64"/>
      <c r="O906" s="64"/>
      <c r="P906" s="64"/>
      <c r="Q906" s="64"/>
      <c r="R906" s="64"/>
      <c r="S906" s="64"/>
      <c r="T906" s="65"/>
      <c r="U906" s="64"/>
      <c r="V906" s="64"/>
      <c r="W906" s="64"/>
      <c r="X906" s="64"/>
      <c r="Y906" s="64"/>
      <c r="Z906" s="64"/>
      <c r="AA906" s="64"/>
      <c r="AB906" s="64"/>
      <c r="AC906" s="64"/>
      <c r="AD906" s="64"/>
      <c r="AE906" s="64"/>
      <c r="AF906" s="64"/>
      <c r="AG906" s="64"/>
    </row>
    <row r="907">
      <c r="A907" s="64"/>
      <c r="B907" s="64"/>
      <c r="C907" s="64"/>
      <c r="D907" s="64"/>
      <c r="E907" s="65"/>
      <c r="F907" s="64"/>
      <c r="G907" s="67"/>
      <c r="H907" s="64"/>
      <c r="I907" s="64"/>
      <c r="J907" s="64"/>
      <c r="K907" s="64"/>
      <c r="L907" s="65"/>
      <c r="M907" s="64"/>
      <c r="N907" s="64"/>
      <c r="O907" s="64"/>
      <c r="P907" s="64"/>
      <c r="Q907" s="64"/>
      <c r="R907" s="64"/>
      <c r="S907" s="64"/>
      <c r="T907" s="65"/>
      <c r="U907" s="64"/>
      <c r="V907" s="64"/>
      <c r="W907" s="64"/>
      <c r="X907" s="64"/>
      <c r="Y907" s="64"/>
      <c r="Z907" s="64"/>
      <c r="AA907" s="64"/>
      <c r="AB907" s="64"/>
      <c r="AC907" s="64"/>
      <c r="AD907" s="64"/>
      <c r="AE907" s="64"/>
      <c r="AF907" s="64"/>
      <c r="AG907" s="64"/>
    </row>
    <row r="908">
      <c r="A908" s="64"/>
      <c r="B908" s="64"/>
      <c r="C908" s="64"/>
      <c r="D908" s="64"/>
      <c r="E908" s="65"/>
      <c r="F908" s="64"/>
      <c r="G908" s="67"/>
      <c r="H908" s="64"/>
      <c r="I908" s="64"/>
      <c r="J908" s="64"/>
      <c r="K908" s="64"/>
      <c r="L908" s="65"/>
      <c r="M908" s="64"/>
      <c r="N908" s="64"/>
      <c r="O908" s="64"/>
      <c r="P908" s="64"/>
      <c r="Q908" s="64"/>
      <c r="R908" s="64"/>
      <c r="S908" s="64"/>
      <c r="T908" s="65"/>
      <c r="U908" s="64"/>
      <c r="V908" s="64"/>
      <c r="W908" s="64"/>
      <c r="X908" s="64"/>
      <c r="Y908" s="64"/>
      <c r="Z908" s="64"/>
      <c r="AA908" s="64"/>
      <c r="AB908" s="64"/>
      <c r="AC908" s="64"/>
      <c r="AD908" s="64"/>
      <c r="AE908" s="64"/>
      <c r="AF908" s="64"/>
      <c r="AG908" s="64"/>
    </row>
    <row r="909">
      <c r="A909" s="64"/>
      <c r="B909" s="64"/>
      <c r="C909" s="64"/>
      <c r="D909" s="64"/>
      <c r="E909" s="65"/>
      <c r="F909" s="64"/>
      <c r="G909" s="67"/>
      <c r="H909" s="64"/>
      <c r="I909" s="64"/>
      <c r="J909" s="64"/>
      <c r="K909" s="64"/>
      <c r="L909" s="65"/>
      <c r="M909" s="64"/>
      <c r="N909" s="64"/>
      <c r="O909" s="64"/>
      <c r="P909" s="64"/>
      <c r="Q909" s="64"/>
      <c r="R909" s="64"/>
      <c r="S909" s="64"/>
      <c r="T909" s="65"/>
      <c r="U909" s="64"/>
      <c r="V909" s="64"/>
      <c r="W909" s="64"/>
      <c r="X909" s="64"/>
      <c r="Y909" s="64"/>
      <c r="Z909" s="64"/>
      <c r="AA909" s="64"/>
      <c r="AB909" s="64"/>
      <c r="AC909" s="64"/>
      <c r="AD909" s="64"/>
      <c r="AE909" s="64"/>
      <c r="AF909" s="64"/>
      <c r="AG909" s="64"/>
    </row>
    <row r="910">
      <c r="A910" s="64"/>
      <c r="B910" s="64"/>
      <c r="C910" s="64"/>
      <c r="D910" s="64"/>
      <c r="E910" s="65"/>
      <c r="F910" s="64"/>
      <c r="G910" s="67"/>
      <c r="H910" s="64"/>
      <c r="I910" s="64"/>
      <c r="J910" s="64"/>
      <c r="K910" s="64"/>
      <c r="L910" s="65"/>
      <c r="M910" s="64"/>
      <c r="N910" s="64"/>
      <c r="O910" s="64"/>
      <c r="P910" s="64"/>
      <c r="Q910" s="64"/>
      <c r="R910" s="64"/>
      <c r="S910" s="64"/>
      <c r="T910" s="65"/>
      <c r="U910" s="64"/>
      <c r="V910" s="64"/>
      <c r="W910" s="64"/>
      <c r="X910" s="64"/>
      <c r="Y910" s="64"/>
      <c r="Z910" s="64"/>
      <c r="AA910" s="64"/>
      <c r="AB910" s="64"/>
      <c r="AC910" s="64"/>
      <c r="AD910" s="64"/>
      <c r="AE910" s="64"/>
      <c r="AF910" s="64"/>
      <c r="AG910" s="64"/>
    </row>
    <row r="911">
      <c r="A911" s="64"/>
      <c r="B911" s="64"/>
      <c r="C911" s="64"/>
      <c r="D911" s="64"/>
      <c r="E911" s="65"/>
      <c r="F911" s="64"/>
      <c r="G911" s="67"/>
      <c r="H911" s="64"/>
      <c r="I911" s="64"/>
      <c r="J911" s="64"/>
      <c r="K911" s="64"/>
      <c r="L911" s="65"/>
      <c r="M911" s="64"/>
      <c r="N911" s="64"/>
      <c r="O911" s="64"/>
      <c r="P911" s="64"/>
      <c r="Q911" s="64"/>
      <c r="R911" s="64"/>
      <c r="S911" s="64"/>
      <c r="T911" s="65"/>
      <c r="U911" s="64"/>
      <c r="V911" s="64"/>
      <c r="W911" s="64"/>
      <c r="X911" s="64"/>
      <c r="Y911" s="64"/>
      <c r="Z911" s="64"/>
      <c r="AA911" s="64"/>
      <c r="AB911" s="64"/>
      <c r="AC911" s="64"/>
      <c r="AD911" s="64"/>
      <c r="AE911" s="64"/>
      <c r="AF911" s="64"/>
      <c r="AG911" s="64"/>
    </row>
    <row r="912">
      <c r="A912" s="64"/>
      <c r="B912" s="64"/>
      <c r="C912" s="64"/>
      <c r="D912" s="64"/>
      <c r="E912" s="65"/>
      <c r="F912" s="64"/>
      <c r="G912" s="67"/>
      <c r="H912" s="64"/>
      <c r="I912" s="64"/>
      <c r="J912" s="64"/>
      <c r="K912" s="64"/>
      <c r="L912" s="65"/>
      <c r="M912" s="64"/>
      <c r="N912" s="64"/>
      <c r="O912" s="64"/>
      <c r="P912" s="64"/>
      <c r="Q912" s="64"/>
      <c r="R912" s="64"/>
      <c r="S912" s="64"/>
      <c r="T912" s="65"/>
      <c r="U912" s="64"/>
      <c r="V912" s="64"/>
      <c r="W912" s="64"/>
      <c r="X912" s="64"/>
      <c r="Y912" s="64"/>
      <c r="Z912" s="64"/>
      <c r="AA912" s="64"/>
      <c r="AB912" s="64"/>
      <c r="AC912" s="64"/>
      <c r="AD912" s="64"/>
      <c r="AE912" s="64"/>
      <c r="AF912" s="64"/>
      <c r="AG912" s="64"/>
    </row>
    <row r="913">
      <c r="A913" s="64"/>
      <c r="B913" s="64"/>
      <c r="C913" s="64"/>
      <c r="D913" s="64"/>
      <c r="E913" s="65"/>
      <c r="F913" s="64"/>
      <c r="G913" s="67"/>
      <c r="H913" s="64"/>
      <c r="I913" s="64"/>
      <c r="J913" s="64"/>
      <c r="K913" s="64"/>
      <c r="L913" s="65"/>
      <c r="M913" s="64"/>
      <c r="N913" s="64"/>
      <c r="O913" s="64"/>
      <c r="P913" s="64"/>
      <c r="Q913" s="64"/>
      <c r="R913" s="64"/>
      <c r="S913" s="64"/>
      <c r="T913" s="65"/>
      <c r="U913" s="64"/>
      <c r="V913" s="64"/>
      <c r="W913" s="64"/>
      <c r="X913" s="64"/>
      <c r="Y913" s="64"/>
      <c r="Z913" s="64"/>
      <c r="AA913" s="64"/>
      <c r="AB913" s="64"/>
      <c r="AC913" s="64"/>
      <c r="AD913" s="64"/>
      <c r="AE913" s="64"/>
      <c r="AF913" s="64"/>
      <c r="AG913" s="64"/>
    </row>
    <row r="914">
      <c r="A914" s="64"/>
      <c r="B914" s="64"/>
      <c r="C914" s="64"/>
      <c r="D914" s="64"/>
      <c r="E914" s="65"/>
      <c r="F914" s="64"/>
      <c r="G914" s="67"/>
      <c r="H914" s="64"/>
      <c r="I914" s="64"/>
      <c r="J914" s="64"/>
      <c r="K914" s="64"/>
      <c r="L914" s="65"/>
      <c r="M914" s="64"/>
      <c r="N914" s="64"/>
      <c r="O914" s="64"/>
      <c r="P914" s="64"/>
      <c r="Q914" s="64"/>
      <c r="R914" s="64"/>
      <c r="S914" s="64"/>
      <c r="T914" s="65"/>
      <c r="U914" s="64"/>
      <c r="V914" s="64"/>
      <c r="W914" s="64"/>
      <c r="X914" s="64"/>
      <c r="Y914" s="64"/>
      <c r="Z914" s="64"/>
      <c r="AA914" s="64"/>
      <c r="AB914" s="64"/>
      <c r="AC914" s="64"/>
      <c r="AD914" s="64"/>
      <c r="AE914" s="64"/>
      <c r="AF914" s="64"/>
      <c r="AG914" s="64"/>
    </row>
    <row r="915">
      <c r="A915" s="64"/>
      <c r="B915" s="64"/>
      <c r="C915" s="64"/>
      <c r="D915" s="64"/>
      <c r="E915" s="65"/>
      <c r="F915" s="64"/>
      <c r="G915" s="67"/>
      <c r="H915" s="64"/>
      <c r="I915" s="64"/>
      <c r="J915" s="64"/>
      <c r="K915" s="64"/>
      <c r="L915" s="65"/>
      <c r="M915" s="64"/>
      <c r="N915" s="64"/>
      <c r="O915" s="64"/>
      <c r="P915" s="64"/>
      <c r="Q915" s="64"/>
      <c r="R915" s="64"/>
      <c r="S915" s="64"/>
      <c r="T915" s="65"/>
      <c r="U915" s="64"/>
      <c r="V915" s="64"/>
      <c r="W915" s="64"/>
      <c r="X915" s="64"/>
      <c r="Y915" s="64"/>
      <c r="Z915" s="64"/>
      <c r="AA915" s="64"/>
      <c r="AB915" s="64"/>
      <c r="AC915" s="64"/>
      <c r="AD915" s="64"/>
      <c r="AE915" s="64"/>
      <c r="AF915" s="64"/>
      <c r="AG915" s="64"/>
    </row>
    <row r="916">
      <c r="A916" s="64"/>
      <c r="B916" s="64"/>
      <c r="C916" s="64"/>
      <c r="D916" s="64"/>
      <c r="E916" s="65"/>
      <c r="F916" s="64"/>
      <c r="G916" s="67"/>
      <c r="H916" s="64"/>
      <c r="I916" s="64"/>
      <c r="J916" s="64"/>
      <c r="K916" s="64"/>
      <c r="L916" s="65"/>
      <c r="M916" s="64"/>
      <c r="N916" s="64"/>
      <c r="O916" s="64"/>
      <c r="P916" s="64"/>
      <c r="Q916" s="64"/>
      <c r="R916" s="64"/>
      <c r="S916" s="64"/>
      <c r="T916" s="65"/>
      <c r="U916" s="64"/>
      <c r="V916" s="64"/>
      <c r="W916" s="64"/>
      <c r="X916" s="64"/>
      <c r="Y916" s="64"/>
      <c r="Z916" s="64"/>
      <c r="AA916" s="64"/>
      <c r="AB916" s="64"/>
      <c r="AC916" s="64"/>
      <c r="AD916" s="64"/>
      <c r="AE916" s="64"/>
      <c r="AF916" s="64"/>
      <c r="AG916" s="64"/>
    </row>
    <row r="917">
      <c r="A917" s="64"/>
      <c r="B917" s="64"/>
      <c r="C917" s="64"/>
      <c r="D917" s="64"/>
      <c r="E917" s="65"/>
      <c r="F917" s="64"/>
      <c r="G917" s="67"/>
      <c r="H917" s="64"/>
      <c r="I917" s="64"/>
      <c r="J917" s="64"/>
      <c r="K917" s="64"/>
      <c r="L917" s="65"/>
      <c r="M917" s="64"/>
      <c r="N917" s="64"/>
      <c r="O917" s="64"/>
      <c r="P917" s="64"/>
      <c r="Q917" s="64"/>
      <c r="R917" s="64"/>
      <c r="S917" s="64"/>
      <c r="T917" s="65"/>
      <c r="U917" s="64"/>
      <c r="V917" s="64"/>
      <c r="W917" s="64"/>
      <c r="X917" s="64"/>
      <c r="Y917" s="64"/>
      <c r="Z917" s="64"/>
      <c r="AA917" s="64"/>
      <c r="AB917" s="64"/>
      <c r="AC917" s="64"/>
      <c r="AD917" s="64"/>
      <c r="AE917" s="64"/>
      <c r="AF917" s="64"/>
      <c r="AG917" s="64"/>
    </row>
    <row r="918">
      <c r="A918" s="64"/>
      <c r="B918" s="64"/>
      <c r="C918" s="64"/>
      <c r="D918" s="64"/>
      <c r="E918" s="65"/>
      <c r="F918" s="64"/>
      <c r="G918" s="67"/>
      <c r="H918" s="64"/>
      <c r="I918" s="64"/>
      <c r="J918" s="64"/>
      <c r="K918" s="64"/>
      <c r="L918" s="65"/>
      <c r="M918" s="64"/>
      <c r="N918" s="64"/>
      <c r="O918" s="64"/>
      <c r="P918" s="64"/>
      <c r="Q918" s="64"/>
      <c r="R918" s="64"/>
      <c r="S918" s="64"/>
      <c r="T918" s="65"/>
      <c r="U918" s="64"/>
      <c r="V918" s="64"/>
      <c r="W918" s="64"/>
      <c r="X918" s="64"/>
      <c r="Y918" s="64"/>
      <c r="Z918" s="64"/>
      <c r="AA918" s="64"/>
      <c r="AB918" s="64"/>
      <c r="AC918" s="64"/>
      <c r="AD918" s="64"/>
      <c r="AE918" s="64"/>
      <c r="AF918" s="64"/>
      <c r="AG918" s="64"/>
    </row>
    <row r="919">
      <c r="A919" s="64"/>
      <c r="B919" s="64"/>
      <c r="C919" s="64"/>
      <c r="D919" s="64"/>
      <c r="E919" s="65"/>
      <c r="F919" s="64"/>
      <c r="G919" s="67"/>
      <c r="H919" s="64"/>
      <c r="I919" s="64"/>
      <c r="J919" s="64"/>
      <c r="K919" s="64"/>
      <c r="L919" s="65"/>
      <c r="M919" s="64"/>
      <c r="N919" s="64"/>
      <c r="O919" s="64"/>
      <c r="P919" s="64"/>
      <c r="Q919" s="64"/>
      <c r="R919" s="64"/>
      <c r="S919" s="64"/>
      <c r="T919" s="65"/>
      <c r="U919" s="64"/>
      <c r="V919" s="64"/>
      <c r="W919" s="64"/>
      <c r="X919" s="64"/>
      <c r="Y919" s="64"/>
      <c r="Z919" s="64"/>
      <c r="AA919" s="64"/>
      <c r="AB919" s="64"/>
      <c r="AC919" s="64"/>
      <c r="AD919" s="64"/>
      <c r="AE919" s="64"/>
      <c r="AF919" s="64"/>
      <c r="AG919" s="64"/>
    </row>
    <row r="920">
      <c r="A920" s="64"/>
      <c r="B920" s="64"/>
      <c r="C920" s="64"/>
      <c r="D920" s="64"/>
      <c r="E920" s="65"/>
      <c r="F920" s="64"/>
      <c r="G920" s="67"/>
      <c r="H920" s="64"/>
      <c r="I920" s="64"/>
      <c r="J920" s="64"/>
      <c r="K920" s="64"/>
      <c r="L920" s="65"/>
      <c r="M920" s="64"/>
      <c r="N920" s="64"/>
      <c r="O920" s="64"/>
      <c r="P920" s="64"/>
      <c r="Q920" s="64"/>
      <c r="R920" s="64"/>
      <c r="S920" s="64"/>
      <c r="T920" s="65"/>
      <c r="U920" s="64"/>
      <c r="V920" s="64"/>
      <c r="W920" s="64"/>
      <c r="X920" s="64"/>
      <c r="Y920" s="64"/>
      <c r="Z920" s="64"/>
      <c r="AA920" s="64"/>
      <c r="AB920" s="64"/>
      <c r="AC920" s="64"/>
      <c r="AD920" s="64"/>
      <c r="AE920" s="64"/>
      <c r="AF920" s="64"/>
      <c r="AG920" s="64"/>
    </row>
    <row r="921">
      <c r="A921" s="64"/>
      <c r="B921" s="64"/>
      <c r="C921" s="64"/>
      <c r="D921" s="64"/>
      <c r="E921" s="65"/>
      <c r="F921" s="64"/>
      <c r="G921" s="67"/>
      <c r="H921" s="64"/>
      <c r="I921" s="64"/>
      <c r="J921" s="64"/>
      <c r="K921" s="64"/>
      <c r="L921" s="65"/>
      <c r="M921" s="64"/>
      <c r="N921" s="64"/>
      <c r="O921" s="64"/>
      <c r="P921" s="64"/>
      <c r="Q921" s="64"/>
      <c r="R921" s="64"/>
      <c r="S921" s="64"/>
      <c r="T921" s="65"/>
      <c r="U921" s="64"/>
      <c r="V921" s="64"/>
      <c r="W921" s="64"/>
      <c r="X921" s="64"/>
      <c r="Y921" s="64"/>
      <c r="Z921" s="64"/>
      <c r="AA921" s="64"/>
      <c r="AB921" s="64"/>
      <c r="AC921" s="64"/>
      <c r="AD921" s="64"/>
      <c r="AE921" s="64"/>
      <c r="AF921" s="64"/>
      <c r="AG921" s="64"/>
    </row>
    <row r="922">
      <c r="A922" s="64"/>
      <c r="B922" s="64"/>
      <c r="C922" s="64"/>
      <c r="D922" s="64"/>
      <c r="E922" s="65"/>
      <c r="F922" s="64"/>
      <c r="G922" s="67"/>
      <c r="H922" s="64"/>
      <c r="I922" s="64"/>
      <c r="J922" s="64"/>
      <c r="K922" s="64"/>
      <c r="L922" s="65"/>
      <c r="M922" s="64"/>
      <c r="N922" s="64"/>
      <c r="O922" s="64"/>
      <c r="P922" s="64"/>
      <c r="Q922" s="64"/>
      <c r="R922" s="64"/>
      <c r="S922" s="64"/>
      <c r="T922" s="65"/>
      <c r="U922" s="64"/>
      <c r="V922" s="64"/>
      <c r="W922" s="64"/>
      <c r="X922" s="64"/>
      <c r="Y922" s="64"/>
      <c r="Z922" s="64"/>
      <c r="AA922" s="64"/>
      <c r="AB922" s="64"/>
      <c r="AC922" s="64"/>
      <c r="AD922" s="64"/>
      <c r="AE922" s="64"/>
      <c r="AF922" s="64"/>
      <c r="AG922" s="64"/>
    </row>
    <row r="923">
      <c r="A923" s="64"/>
      <c r="B923" s="64"/>
      <c r="C923" s="64"/>
      <c r="D923" s="64"/>
      <c r="E923" s="65"/>
      <c r="F923" s="64"/>
      <c r="G923" s="67"/>
      <c r="H923" s="64"/>
      <c r="I923" s="64"/>
      <c r="J923" s="64"/>
      <c r="K923" s="64"/>
      <c r="L923" s="65"/>
      <c r="M923" s="64"/>
      <c r="N923" s="64"/>
      <c r="O923" s="64"/>
      <c r="P923" s="64"/>
      <c r="Q923" s="64"/>
      <c r="R923" s="64"/>
      <c r="S923" s="64"/>
      <c r="T923" s="65"/>
      <c r="U923" s="64"/>
      <c r="V923" s="64"/>
      <c r="W923" s="64"/>
      <c r="X923" s="64"/>
      <c r="Y923" s="64"/>
      <c r="Z923" s="64"/>
      <c r="AA923" s="64"/>
      <c r="AB923" s="64"/>
      <c r="AC923" s="64"/>
      <c r="AD923" s="64"/>
      <c r="AE923" s="64"/>
      <c r="AF923" s="64"/>
      <c r="AG923" s="64"/>
    </row>
    <row r="924">
      <c r="A924" s="64"/>
      <c r="B924" s="64"/>
      <c r="C924" s="64"/>
      <c r="D924" s="64"/>
      <c r="E924" s="65"/>
      <c r="F924" s="64"/>
      <c r="G924" s="67"/>
      <c r="H924" s="64"/>
      <c r="I924" s="64"/>
      <c r="J924" s="64"/>
      <c r="K924" s="64"/>
      <c r="L924" s="65"/>
      <c r="M924" s="64"/>
      <c r="N924" s="64"/>
      <c r="O924" s="64"/>
      <c r="P924" s="64"/>
      <c r="Q924" s="64"/>
      <c r="R924" s="64"/>
      <c r="S924" s="64"/>
      <c r="T924" s="65"/>
      <c r="U924" s="64"/>
      <c r="V924" s="64"/>
      <c r="W924" s="64"/>
      <c r="X924" s="64"/>
      <c r="Y924" s="64"/>
      <c r="Z924" s="64"/>
      <c r="AA924" s="64"/>
      <c r="AB924" s="64"/>
      <c r="AC924" s="64"/>
      <c r="AD924" s="64"/>
      <c r="AE924" s="64"/>
      <c r="AF924" s="64"/>
      <c r="AG924" s="64"/>
    </row>
    <row r="925">
      <c r="A925" s="64"/>
      <c r="B925" s="64"/>
      <c r="C925" s="64"/>
      <c r="D925" s="64"/>
      <c r="E925" s="65"/>
      <c r="F925" s="64"/>
      <c r="G925" s="67"/>
      <c r="H925" s="64"/>
      <c r="I925" s="64"/>
      <c r="J925" s="64"/>
      <c r="K925" s="64"/>
      <c r="L925" s="65"/>
      <c r="M925" s="64"/>
      <c r="N925" s="64"/>
      <c r="O925" s="64"/>
      <c r="P925" s="64"/>
      <c r="Q925" s="64"/>
      <c r="R925" s="64"/>
      <c r="S925" s="64"/>
      <c r="T925" s="65"/>
      <c r="U925" s="64"/>
      <c r="V925" s="64"/>
      <c r="W925" s="64"/>
      <c r="X925" s="64"/>
      <c r="Y925" s="64"/>
      <c r="Z925" s="64"/>
      <c r="AA925" s="64"/>
      <c r="AB925" s="64"/>
      <c r="AC925" s="64"/>
      <c r="AD925" s="64"/>
      <c r="AE925" s="64"/>
      <c r="AF925" s="64"/>
      <c r="AG925" s="64"/>
    </row>
    <row r="926">
      <c r="A926" s="64"/>
      <c r="B926" s="64"/>
      <c r="C926" s="64"/>
      <c r="D926" s="64"/>
      <c r="E926" s="65"/>
      <c r="F926" s="64"/>
      <c r="G926" s="67"/>
      <c r="H926" s="64"/>
      <c r="I926" s="64"/>
      <c r="J926" s="64"/>
      <c r="K926" s="64"/>
      <c r="L926" s="65"/>
      <c r="M926" s="64"/>
      <c r="N926" s="64"/>
      <c r="O926" s="64"/>
      <c r="P926" s="64"/>
      <c r="Q926" s="64"/>
      <c r="R926" s="64"/>
      <c r="S926" s="64"/>
      <c r="T926" s="65"/>
      <c r="U926" s="64"/>
      <c r="V926" s="64"/>
      <c r="W926" s="64"/>
      <c r="X926" s="64"/>
      <c r="Y926" s="64"/>
      <c r="Z926" s="64"/>
      <c r="AA926" s="64"/>
      <c r="AB926" s="64"/>
      <c r="AC926" s="64"/>
      <c r="AD926" s="64"/>
      <c r="AE926" s="64"/>
      <c r="AF926" s="64"/>
      <c r="AG926" s="64"/>
    </row>
    <row r="927">
      <c r="A927" s="64"/>
      <c r="B927" s="64"/>
      <c r="C927" s="64"/>
      <c r="D927" s="64"/>
      <c r="E927" s="65"/>
      <c r="F927" s="64"/>
      <c r="G927" s="67"/>
      <c r="H927" s="64"/>
      <c r="I927" s="64"/>
      <c r="J927" s="64"/>
      <c r="K927" s="64"/>
      <c r="L927" s="65"/>
      <c r="M927" s="64"/>
      <c r="N927" s="64"/>
      <c r="O927" s="64"/>
      <c r="P927" s="64"/>
      <c r="Q927" s="64"/>
      <c r="R927" s="64"/>
      <c r="S927" s="64"/>
      <c r="T927" s="65"/>
      <c r="U927" s="64"/>
      <c r="V927" s="64"/>
      <c r="W927" s="64"/>
      <c r="X927" s="64"/>
      <c r="Y927" s="64"/>
      <c r="Z927" s="64"/>
      <c r="AA927" s="64"/>
      <c r="AB927" s="64"/>
      <c r="AC927" s="64"/>
      <c r="AD927" s="64"/>
      <c r="AE927" s="64"/>
      <c r="AF927" s="64"/>
      <c r="AG927" s="64"/>
    </row>
    <row r="928">
      <c r="A928" s="64"/>
      <c r="B928" s="64"/>
      <c r="C928" s="64"/>
      <c r="D928" s="64"/>
      <c r="E928" s="65"/>
      <c r="F928" s="64"/>
      <c r="G928" s="67"/>
      <c r="H928" s="64"/>
      <c r="I928" s="64"/>
      <c r="J928" s="64"/>
      <c r="K928" s="64"/>
      <c r="L928" s="65"/>
      <c r="M928" s="64"/>
      <c r="N928" s="64"/>
      <c r="O928" s="64"/>
      <c r="P928" s="64"/>
      <c r="Q928" s="64"/>
      <c r="R928" s="64"/>
      <c r="S928" s="64"/>
      <c r="T928" s="65"/>
      <c r="U928" s="64"/>
      <c r="V928" s="64"/>
      <c r="W928" s="64"/>
      <c r="X928" s="64"/>
      <c r="Y928" s="64"/>
      <c r="Z928" s="64"/>
      <c r="AA928" s="64"/>
      <c r="AB928" s="64"/>
      <c r="AC928" s="64"/>
      <c r="AD928" s="64"/>
      <c r="AE928" s="64"/>
      <c r="AF928" s="64"/>
      <c r="AG928" s="64"/>
    </row>
    <row r="929">
      <c r="A929" s="64"/>
      <c r="B929" s="64"/>
      <c r="C929" s="64"/>
      <c r="D929" s="64"/>
      <c r="E929" s="65"/>
      <c r="F929" s="64"/>
      <c r="G929" s="67"/>
      <c r="H929" s="64"/>
      <c r="I929" s="64"/>
      <c r="J929" s="64"/>
      <c r="K929" s="64"/>
      <c r="L929" s="65"/>
      <c r="M929" s="64"/>
      <c r="N929" s="64"/>
      <c r="O929" s="64"/>
      <c r="P929" s="64"/>
      <c r="Q929" s="64"/>
      <c r="R929" s="64"/>
      <c r="S929" s="64"/>
      <c r="T929" s="65"/>
      <c r="U929" s="64"/>
      <c r="V929" s="64"/>
      <c r="W929" s="64"/>
      <c r="X929" s="64"/>
      <c r="Y929" s="64"/>
      <c r="Z929" s="64"/>
      <c r="AA929" s="64"/>
      <c r="AB929" s="64"/>
      <c r="AC929" s="64"/>
      <c r="AD929" s="64"/>
      <c r="AE929" s="64"/>
      <c r="AF929" s="64"/>
      <c r="AG929" s="64"/>
    </row>
    <row r="930">
      <c r="A930" s="64"/>
      <c r="B930" s="64"/>
      <c r="C930" s="64"/>
      <c r="D930" s="64"/>
      <c r="E930" s="65"/>
      <c r="F930" s="64"/>
      <c r="G930" s="67"/>
      <c r="H930" s="64"/>
      <c r="I930" s="64"/>
      <c r="J930" s="64"/>
      <c r="K930" s="64"/>
      <c r="L930" s="65"/>
      <c r="M930" s="64"/>
      <c r="N930" s="64"/>
      <c r="O930" s="64"/>
      <c r="P930" s="64"/>
      <c r="Q930" s="64"/>
      <c r="R930" s="64"/>
      <c r="S930" s="64"/>
      <c r="T930" s="65"/>
      <c r="U930" s="64"/>
      <c r="V930" s="64"/>
      <c r="W930" s="64"/>
      <c r="X930" s="64"/>
      <c r="Y930" s="64"/>
      <c r="Z930" s="64"/>
      <c r="AA930" s="64"/>
      <c r="AB930" s="64"/>
      <c r="AC930" s="64"/>
      <c r="AD930" s="64"/>
      <c r="AE930" s="64"/>
      <c r="AF930" s="64"/>
      <c r="AG930" s="64"/>
    </row>
    <row r="931">
      <c r="A931" s="64"/>
      <c r="B931" s="64"/>
      <c r="C931" s="64"/>
      <c r="D931" s="64"/>
      <c r="E931" s="65"/>
      <c r="F931" s="64"/>
      <c r="G931" s="67"/>
      <c r="H931" s="64"/>
      <c r="I931" s="64"/>
      <c r="J931" s="64"/>
      <c r="K931" s="64"/>
      <c r="L931" s="65"/>
      <c r="M931" s="64"/>
      <c r="N931" s="64"/>
      <c r="O931" s="64"/>
      <c r="P931" s="64"/>
      <c r="Q931" s="64"/>
      <c r="R931" s="64"/>
      <c r="S931" s="64"/>
      <c r="T931" s="65"/>
      <c r="U931" s="64"/>
      <c r="V931" s="64"/>
      <c r="W931" s="64"/>
      <c r="X931" s="64"/>
      <c r="Y931" s="64"/>
      <c r="Z931" s="64"/>
      <c r="AA931" s="64"/>
      <c r="AB931" s="64"/>
      <c r="AC931" s="64"/>
      <c r="AD931" s="64"/>
      <c r="AE931" s="64"/>
      <c r="AF931" s="64"/>
      <c r="AG931" s="64"/>
    </row>
    <row r="932">
      <c r="A932" s="64"/>
      <c r="B932" s="64"/>
      <c r="C932" s="64"/>
      <c r="D932" s="64"/>
      <c r="E932" s="65"/>
      <c r="F932" s="64"/>
      <c r="G932" s="67"/>
      <c r="H932" s="64"/>
      <c r="I932" s="64"/>
      <c r="J932" s="64"/>
      <c r="K932" s="64"/>
      <c r="L932" s="65"/>
      <c r="M932" s="64"/>
      <c r="N932" s="64"/>
      <c r="O932" s="64"/>
      <c r="P932" s="64"/>
      <c r="Q932" s="64"/>
      <c r="R932" s="64"/>
      <c r="S932" s="64"/>
      <c r="T932" s="65"/>
      <c r="U932" s="64"/>
      <c r="V932" s="64"/>
      <c r="W932" s="64"/>
      <c r="X932" s="64"/>
      <c r="Y932" s="64"/>
      <c r="Z932" s="64"/>
      <c r="AA932" s="64"/>
      <c r="AB932" s="64"/>
      <c r="AC932" s="64"/>
      <c r="AD932" s="64"/>
      <c r="AE932" s="64"/>
      <c r="AF932" s="64"/>
      <c r="AG932" s="64"/>
    </row>
    <row r="933">
      <c r="A933" s="64"/>
      <c r="B933" s="64"/>
      <c r="C933" s="64"/>
      <c r="D933" s="64"/>
      <c r="E933" s="65"/>
      <c r="F933" s="64"/>
      <c r="G933" s="67"/>
      <c r="H933" s="64"/>
      <c r="I933" s="64"/>
      <c r="J933" s="64"/>
      <c r="K933" s="64"/>
      <c r="L933" s="65"/>
      <c r="M933" s="64"/>
      <c r="N933" s="64"/>
      <c r="O933" s="64"/>
      <c r="P933" s="64"/>
      <c r="Q933" s="64"/>
      <c r="R933" s="64"/>
      <c r="S933" s="64"/>
      <c r="T933" s="65"/>
      <c r="U933" s="64"/>
      <c r="V933" s="64"/>
      <c r="W933" s="64"/>
      <c r="X933" s="64"/>
      <c r="Y933" s="64"/>
      <c r="Z933" s="64"/>
      <c r="AA933" s="64"/>
      <c r="AB933" s="64"/>
      <c r="AC933" s="64"/>
      <c r="AD933" s="64"/>
      <c r="AE933" s="64"/>
      <c r="AF933" s="64"/>
      <c r="AG933" s="64"/>
    </row>
    <row r="934">
      <c r="A934" s="64"/>
      <c r="B934" s="64"/>
      <c r="C934" s="64"/>
      <c r="D934" s="64"/>
      <c r="E934" s="65"/>
      <c r="F934" s="64"/>
      <c r="G934" s="67"/>
      <c r="H934" s="64"/>
      <c r="I934" s="64"/>
      <c r="J934" s="64"/>
      <c r="K934" s="64"/>
      <c r="L934" s="65"/>
      <c r="M934" s="64"/>
      <c r="N934" s="64"/>
      <c r="O934" s="64"/>
      <c r="P934" s="64"/>
      <c r="Q934" s="64"/>
      <c r="R934" s="64"/>
      <c r="S934" s="64"/>
      <c r="T934" s="65"/>
      <c r="U934" s="64"/>
      <c r="V934" s="64"/>
      <c r="W934" s="64"/>
      <c r="X934" s="64"/>
      <c r="Y934" s="64"/>
      <c r="Z934" s="64"/>
      <c r="AA934" s="64"/>
      <c r="AB934" s="64"/>
      <c r="AC934" s="64"/>
      <c r="AD934" s="64"/>
      <c r="AE934" s="64"/>
      <c r="AF934" s="64"/>
      <c r="AG934" s="64"/>
    </row>
    <row r="935">
      <c r="A935" s="64"/>
      <c r="B935" s="64"/>
      <c r="C935" s="64"/>
      <c r="D935" s="64"/>
      <c r="E935" s="65"/>
      <c r="F935" s="64"/>
      <c r="G935" s="67"/>
      <c r="H935" s="64"/>
      <c r="I935" s="64"/>
      <c r="J935" s="64"/>
      <c r="K935" s="64"/>
      <c r="L935" s="65"/>
      <c r="M935" s="64"/>
      <c r="N935" s="64"/>
      <c r="O935" s="64"/>
      <c r="P935" s="64"/>
      <c r="Q935" s="64"/>
      <c r="R935" s="64"/>
      <c r="S935" s="64"/>
      <c r="T935" s="65"/>
      <c r="U935" s="64"/>
      <c r="V935" s="64"/>
      <c r="W935" s="64"/>
      <c r="X935" s="64"/>
      <c r="Y935" s="64"/>
      <c r="Z935" s="64"/>
      <c r="AA935" s="64"/>
      <c r="AB935" s="64"/>
      <c r="AC935" s="64"/>
      <c r="AD935" s="64"/>
      <c r="AE935" s="64"/>
      <c r="AF935" s="64"/>
      <c r="AG935" s="64"/>
    </row>
    <row r="936">
      <c r="A936" s="64"/>
      <c r="B936" s="64"/>
      <c r="C936" s="64"/>
      <c r="D936" s="64"/>
      <c r="E936" s="65"/>
      <c r="F936" s="64"/>
      <c r="G936" s="67"/>
      <c r="H936" s="64"/>
      <c r="I936" s="64"/>
      <c r="J936" s="64"/>
      <c r="K936" s="64"/>
      <c r="L936" s="65"/>
      <c r="M936" s="64"/>
      <c r="N936" s="64"/>
      <c r="O936" s="64"/>
      <c r="P936" s="64"/>
      <c r="Q936" s="64"/>
      <c r="R936" s="64"/>
      <c r="S936" s="64"/>
      <c r="T936" s="65"/>
      <c r="U936" s="64"/>
      <c r="V936" s="64"/>
      <c r="W936" s="64"/>
      <c r="X936" s="64"/>
      <c r="Y936" s="64"/>
      <c r="Z936" s="64"/>
      <c r="AA936" s="64"/>
      <c r="AB936" s="64"/>
      <c r="AC936" s="64"/>
      <c r="AD936" s="64"/>
      <c r="AE936" s="64"/>
      <c r="AF936" s="64"/>
      <c r="AG936" s="64"/>
    </row>
    <row r="937">
      <c r="A937" s="64"/>
      <c r="B937" s="64"/>
      <c r="C937" s="64"/>
      <c r="D937" s="64"/>
      <c r="E937" s="65"/>
      <c r="F937" s="64"/>
      <c r="G937" s="67"/>
      <c r="H937" s="64"/>
      <c r="I937" s="64"/>
      <c r="J937" s="64"/>
      <c r="K937" s="64"/>
      <c r="L937" s="65"/>
      <c r="M937" s="64"/>
      <c r="N937" s="64"/>
      <c r="O937" s="64"/>
      <c r="P937" s="64"/>
      <c r="Q937" s="64"/>
      <c r="R937" s="64"/>
      <c r="S937" s="64"/>
      <c r="T937" s="65"/>
      <c r="U937" s="64"/>
      <c r="V937" s="64"/>
      <c r="W937" s="64"/>
      <c r="X937" s="64"/>
      <c r="Y937" s="64"/>
      <c r="Z937" s="64"/>
      <c r="AA937" s="64"/>
      <c r="AB937" s="64"/>
      <c r="AC937" s="64"/>
      <c r="AD937" s="64"/>
      <c r="AE937" s="64"/>
      <c r="AF937" s="64"/>
      <c r="AG937" s="64"/>
    </row>
    <row r="938">
      <c r="A938" s="64"/>
      <c r="B938" s="64"/>
      <c r="C938" s="64"/>
      <c r="D938" s="64"/>
      <c r="E938" s="65"/>
      <c r="F938" s="64"/>
      <c r="G938" s="67"/>
      <c r="H938" s="64"/>
      <c r="I938" s="64"/>
      <c r="J938" s="64"/>
      <c r="K938" s="64"/>
      <c r="L938" s="65"/>
      <c r="M938" s="64"/>
      <c r="N938" s="64"/>
      <c r="O938" s="64"/>
      <c r="P938" s="64"/>
      <c r="Q938" s="64"/>
      <c r="R938" s="64"/>
      <c r="S938" s="64"/>
      <c r="T938" s="65"/>
      <c r="U938" s="64"/>
      <c r="V938" s="64"/>
      <c r="W938" s="64"/>
      <c r="X938" s="64"/>
      <c r="Y938" s="64"/>
      <c r="Z938" s="64"/>
      <c r="AA938" s="64"/>
      <c r="AB938" s="64"/>
      <c r="AC938" s="64"/>
      <c r="AD938" s="64"/>
      <c r="AE938" s="64"/>
      <c r="AF938" s="64"/>
      <c r="AG938" s="64"/>
    </row>
    <row r="939">
      <c r="A939" s="64"/>
      <c r="B939" s="64"/>
      <c r="C939" s="64"/>
      <c r="D939" s="64"/>
      <c r="E939" s="65"/>
      <c r="F939" s="64"/>
      <c r="G939" s="67"/>
      <c r="H939" s="64"/>
      <c r="I939" s="64"/>
      <c r="J939" s="64"/>
      <c r="K939" s="64"/>
      <c r="L939" s="65"/>
      <c r="M939" s="64"/>
      <c r="N939" s="64"/>
      <c r="O939" s="64"/>
      <c r="P939" s="64"/>
      <c r="Q939" s="64"/>
      <c r="R939" s="64"/>
      <c r="S939" s="64"/>
      <c r="T939" s="65"/>
      <c r="U939" s="64"/>
      <c r="V939" s="64"/>
      <c r="W939" s="64"/>
      <c r="X939" s="64"/>
      <c r="Y939" s="64"/>
      <c r="Z939" s="64"/>
      <c r="AA939" s="64"/>
      <c r="AB939" s="64"/>
      <c r="AC939" s="64"/>
      <c r="AD939" s="64"/>
      <c r="AE939" s="64"/>
      <c r="AF939" s="64"/>
      <c r="AG939" s="64"/>
    </row>
    <row r="940">
      <c r="A940" s="64"/>
      <c r="B940" s="64"/>
      <c r="C940" s="64"/>
      <c r="D940" s="64"/>
      <c r="E940" s="65"/>
      <c r="F940" s="64"/>
      <c r="G940" s="67"/>
      <c r="H940" s="64"/>
      <c r="I940" s="64"/>
      <c r="J940" s="64"/>
      <c r="K940" s="64"/>
      <c r="L940" s="65"/>
      <c r="M940" s="64"/>
      <c r="N940" s="64"/>
      <c r="O940" s="64"/>
      <c r="P940" s="64"/>
      <c r="Q940" s="64"/>
      <c r="R940" s="64"/>
      <c r="S940" s="64"/>
      <c r="T940" s="65"/>
      <c r="U940" s="64"/>
      <c r="V940" s="64"/>
      <c r="W940" s="64"/>
      <c r="X940" s="64"/>
      <c r="Y940" s="64"/>
      <c r="Z940" s="64"/>
      <c r="AA940" s="64"/>
      <c r="AB940" s="64"/>
      <c r="AC940" s="64"/>
      <c r="AD940" s="64"/>
      <c r="AE940" s="64"/>
      <c r="AF940" s="64"/>
      <c r="AG940" s="64"/>
    </row>
    <row r="941">
      <c r="A941" s="64"/>
      <c r="B941" s="64"/>
      <c r="C941" s="64"/>
      <c r="D941" s="64"/>
      <c r="E941" s="65"/>
      <c r="F941" s="64"/>
      <c r="G941" s="67"/>
      <c r="H941" s="64"/>
      <c r="I941" s="64"/>
      <c r="J941" s="64"/>
      <c r="K941" s="64"/>
      <c r="L941" s="65"/>
      <c r="M941" s="64"/>
      <c r="N941" s="64"/>
      <c r="O941" s="64"/>
      <c r="P941" s="64"/>
      <c r="Q941" s="64"/>
      <c r="R941" s="64"/>
      <c r="S941" s="64"/>
      <c r="T941" s="65"/>
      <c r="U941" s="64"/>
      <c r="V941" s="64"/>
      <c r="W941" s="64"/>
      <c r="X941" s="64"/>
      <c r="Y941" s="64"/>
      <c r="Z941" s="64"/>
      <c r="AA941" s="64"/>
      <c r="AB941" s="64"/>
      <c r="AC941" s="64"/>
      <c r="AD941" s="64"/>
      <c r="AE941" s="64"/>
      <c r="AF941" s="64"/>
      <c r="AG941" s="64"/>
    </row>
    <row r="942">
      <c r="A942" s="64"/>
      <c r="B942" s="64"/>
      <c r="C942" s="64"/>
      <c r="D942" s="64"/>
      <c r="E942" s="65"/>
      <c r="F942" s="64"/>
      <c r="G942" s="67"/>
      <c r="H942" s="64"/>
      <c r="I942" s="64"/>
      <c r="J942" s="64"/>
      <c r="K942" s="64"/>
      <c r="L942" s="65"/>
      <c r="M942" s="64"/>
      <c r="N942" s="64"/>
      <c r="O942" s="64"/>
      <c r="P942" s="64"/>
      <c r="Q942" s="64"/>
      <c r="R942" s="64"/>
      <c r="S942" s="64"/>
      <c r="T942" s="65"/>
      <c r="U942" s="64"/>
      <c r="V942" s="64"/>
      <c r="W942" s="64"/>
      <c r="X942" s="64"/>
      <c r="Y942" s="64"/>
      <c r="Z942" s="64"/>
      <c r="AA942" s="64"/>
      <c r="AB942" s="64"/>
      <c r="AC942" s="64"/>
      <c r="AD942" s="64"/>
      <c r="AE942" s="64"/>
      <c r="AF942" s="64"/>
      <c r="AG942" s="64"/>
    </row>
    <row r="943">
      <c r="A943" s="64"/>
      <c r="B943" s="64"/>
      <c r="C943" s="64"/>
      <c r="D943" s="64"/>
      <c r="E943" s="65"/>
      <c r="F943" s="64"/>
      <c r="G943" s="67"/>
      <c r="H943" s="64"/>
      <c r="I943" s="64"/>
      <c r="J943" s="64"/>
      <c r="K943" s="64"/>
      <c r="L943" s="65"/>
      <c r="M943" s="64"/>
      <c r="N943" s="64"/>
      <c r="O943" s="64"/>
      <c r="P943" s="64"/>
      <c r="Q943" s="64"/>
      <c r="R943" s="64"/>
      <c r="S943" s="64"/>
      <c r="T943" s="65"/>
      <c r="U943" s="64"/>
      <c r="V943" s="64"/>
      <c r="W943" s="64"/>
      <c r="X943" s="64"/>
      <c r="Y943" s="64"/>
      <c r="Z943" s="64"/>
      <c r="AA943" s="64"/>
      <c r="AB943" s="64"/>
      <c r="AC943" s="64"/>
      <c r="AD943" s="64"/>
      <c r="AE943" s="64"/>
      <c r="AF943" s="64"/>
      <c r="AG943" s="64"/>
    </row>
    <row r="944">
      <c r="A944" s="64"/>
      <c r="B944" s="64"/>
      <c r="C944" s="64"/>
      <c r="D944" s="64"/>
      <c r="E944" s="65"/>
      <c r="F944" s="64"/>
      <c r="G944" s="67"/>
      <c r="H944" s="64"/>
      <c r="I944" s="64"/>
      <c r="J944" s="64"/>
      <c r="K944" s="64"/>
      <c r="L944" s="65"/>
      <c r="M944" s="64"/>
      <c r="N944" s="64"/>
      <c r="O944" s="64"/>
      <c r="P944" s="64"/>
      <c r="Q944" s="64"/>
      <c r="R944" s="64"/>
      <c r="S944" s="64"/>
      <c r="T944" s="65"/>
      <c r="U944" s="64"/>
      <c r="V944" s="64"/>
      <c r="W944" s="64"/>
      <c r="X944" s="64"/>
      <c r="Y944" s="64"/>
      <c r="Z944" s="64"/>
      <c r="AA944" s="64"/>
      <c r="AB944" s="64"/>
      <c r="AC944" s="64"/>
      <c r="AD944" s="64"/>
      <c r="AE944" s="64"/>
      <c r="AF944" s="64"/>
      <c r="AG944" s="64"/>
    </row>
    <row r="945">
      <c r="A945" s="64"/>
      <c r="B945" s="64"/>
      <c r="C945" s="64"/>
      <c r="D945" s="64"/>
      <c r="E945" s="65"/>
      <c r="F945" s="64"/>
      <c r="G945" s="67"/>
      <c r="H945" s="64"/>
      <c r="I945" s="64"/>
      <c r="J945" s="64"/>
      <c r="K945" s="64"/>
      <c r="L945" s="65"/>
      <c r="M945" s="64"/>
      <c r="N945" s="64"/>
      <c r="O945" s="64"/>
      <c r="P945" s="64"/>
      <c r="Q945" s="64"/>
      <c r="R945" s="64"/>
      <c r="S945" s="64"/>
      <c r="T945" s="65"/>
      <c r="U945" s="64"/>
      <c r="V945" s="64"/>
      <c r="W945" s="64"/>
      <c r="X945" s="64"/>
      <c r="Y945" s="64"/>
      <c r="Z945" s="64"/>
      <c r="AA945" s="64"/>
      <c r="AB945" s="64"/>
      <c r="AC945" s="64"/>
      <c r="AD945" s="64"/>
      <c r="AE945" s="64"/>
      <c r="AF945" s="64"/>
      <c r="AG945" s="64"/>
    </row>
    <row r="946">
      <c r="A946" s="64"/>
      <c r="B946" s="64"/>
      <c r="C946" s="64"/>
      <c r="D946" s="64"/>
      <c r="E946" s="65"/>
      <c r="F946" s="64"/>
      <c r="G946" s="67"/>
      <c r="H946" s="64"/>
      <c r="I946" s="64"/>
      <c r="J946" s="64"/>
      <c r="K946" s="64"/>
      <c r="L946" s="65"/>
      <c r="M946" s="64"/>
      <c r="N946" s="64"/>
      <c r="O946" s="64"/>
      <c r="P946" s="64"/>
      <c r="Q946" s="64"/>
      <c r="R946" s="64"/>
      <c r="S946" s="64"/>
      <c r="T946" s="65"/>
      <c r="U946" s="64"/>
      <c r="V946" s="64"/>
      <c r="W946" s="64"/>
      <c r="X946" s="64"/>
      <c r="Y946" s="64"/>
      <c r="Z946" s="64"/>
      <c r="AA946" s="64"/>
      <c r="AB946" s="64"/>
      <c r="AC946" s="64"/>
      <c r="AD946" s="64"/>
      <c r="AE946" s="64"/>
      <c r="AF946" s="64"/>
      <c r="AG946" s="64"/>
    </row>
    <row r="947">
      <c r="A947" s="64"/>
      <c r="B947" s="64"/>
      <c r="C947" s="64"/>
      <c r="D947" s="64"/>
      <c r="E947" s="65"/>
      <c r="F947" s="64"/>
      <c r="G947" s="67"/>
      <c r="H947" s="64"/>
      <c r="I947" s="64"/>
      <c r="J947" s="64"/>
      <c r="K947" s="64"/>
      <c r="L947" s="65"/>
      <c r="M947" s="64"/>
      <c r="N947" s="64"/>
      <c r="O947" s="64"/>
      <c r="P947" s="64"/>
      <c r="Q947" s="64"/>
      <c r="R947" s="64"/>
      <c r="S947" s="64"/>
      <c r="T947" s="65"/>
      <c r="U947" s="64"/>
      <c r="V947" s="64"/>
      <c r="W947" s="64"/>
      <c r="X947" s="64"/>
      <c r="Y947" s="64"/>
      <c r="Z947" s="64"/>
      <c r="AA947" s="64"/>
      <c r="AB947" s="64"/>
      <c r="AC947" s="64"/>
      <c r="AD947" s="64"/>
      <c r="AE947" s="64"/>
      <c r="AF947" s="64"/>
      <c r="AG947" s="64"/>
    </row>
    <row r="948">
      <c r="A948" s="64"/>
      <c r="B948" s="64"/>
      <c r="C948" s="64"/>
      <c r="D948" s="64"/>
      <c r="E948" s="65"/>
      <c r="F948" s="64"/>
      <c r="G948" s="67"/>
      <c r="H948" s="64"/>
      <c r="I948" s="64"/>
      <c r="J948" s="64"/>
      <c r="K948" s="64"/>
      <c r="L948" s="65"/>
      <c r="M948" s="64"/>
      <c r="N948" s="64"/>
      <c r="O948" s="64"/>
      <c r="P948" s="64"/>
      <c r="Q948" s="64"/>
      <c r="R948" s="64"/>
      <c r="S948" s="64"/>
      <c r="T948" s="65"/>
      <c r="U948" s="64"/>
      <c r="V948" s="64"/>
      <c r="W948" s="64"/>
      <c r="X948" s="64"/>
      <c r="Y948" s="64"/>
      <c r="Z948" s="64"/>
      <c r="AA948" s="64"/>
      <c r="AB948" s="64"/>
      <c r="AC948" s="64"/>
      <c r="AD948" s="64"/>
      <c r="AE948" s="64"/>
      <c r="AF948" s="64"/>
      <c r="AG948" s="64"/>
    </row>
    <row r="949">
      <c r="A949" s="64"/>
      <c r="B949" s="64"/>
      <c r="C949" s="64"/>
      <c r="D949" s="64"/>
      <c r="E949" s="65"/>
      <c r="F949" s="64"/>
      <c r="G949" s="67"/>
      <c r="H949" s="64"/>
      <c r="I949" s="64"/>
      <c r="J949" s="64"/>
      <c r="K949" s="64"/>
      <c r="L949" s="65"/>
      <c r="M949" s="64"/>
      <c r="N949" s="64"/>
      <c r="O949" s="64"/>
      <c r="P949" s="64"/>
      <c r="Q949" s="64"/>
      <c r="R949" s="64"/>
      <c r="S949" s="64"/>
      <c r="T949" s="65"/>
      <c r="U949" s="64"/>
      <c r="V949" s="64"/>
      <c r="W949" s="64"/>
      <c r="X949" s="64"/>
      <c r="Y949" s="64"/>
      <c r="Z949" s="64"/>
      <c r="AA949" s="64"/>
      <c r="AB949" s="64"/>
      <c r="AC949" s="64"/>
      <c r="AD949" s="64"/>
      <c r="AE949" s="64"/>
      <c r="AF949" s="64"/>
      <c r="AG949" s="64"/>
    </row>
    <row r="950">
      <c r="A950" s="64"/>
      <c r="B950" s="64"/>
      <c r="C950" s="64"/>
      <c r="D950" s="64"/>
      <c r="E950" s="65"/>
      <c r="F950" s="64"/>
      <c r="G950" s="67"/>
      <c r="H950" s="64"/>
      <c r="I950" s="64"/>
      <c r="J950" s="64"/>
      <c r="K950" s="64"/>
      <c r="L950" s="65"/>
      <c r="M950" s="64"/>
      <c r="N950" s="64"/>
      <c r="O950" s="64"/>
      <c r="P950" s="64"/>
      <c r="Q950" s="64"/>
      <c r="R950" s="64"/>
      <c r="S950" s="64"/>
      <c r="T950" s="65"/>
      <c r="U950" s="64"/>
      <c r="V950" s="64"/>
      <c r="W950" s="64"/>
      <c r="X950" s="64"/>
      <c r="Y950" s="64"/>
      <c r="Z950" s="64"/>
      <c r="AA950" s="64"/>
      <c r="AB950" s="64"/>
      <c r="AC950" s="64"/>
      <c r="AD950" s="64"/>
      <c r="AE950" s="64"/>
      <c r="AF950" s="64"/>
      <c r="AG950" s="64"/>
    </row>
    <row r="951">
      <c r="A951" s="64"/>
      <c r="B951" s="64"/>
      <c r="C951" s="64"/>
      <c r="D951" s="64"/>
      <c r="E951" s="65"/>
      <c r="F951" s="64"/>
      <c r="G951" s="67"/>
      <c r="H951" s="64"/>
      <c r="I951" s="64"/>
      <c r="J951" s="64"/>
      <c r="K951" s="64"/>
      <c r="L951" s="65"/>
      <c r="M951" s="64"/>
      <c r="N951" s="64"/>
      <c r="O951" s="64"/>
      <c r="P951" s="64"/>
      <c r="Q951" s="64"/>
      <c r="R951" s="64"/>
      <c r="S951" s="64"/>
      <c r="T951" s="65"/>
      <c r="U951" s="64"/>
      <c r="V951" s="64"/>
      <c r="W951" s="64"/>
      <c r="X951" s="64"/>
      <c r="Y951" s="64"/>
      <c r="Z951" s="64"/>
      <c r="AA951" s="64"/>
      <c r="AB951" s="64"/>
      <c r="AC951" s="64"/>
      <c r="AD951" s="64"/>
      <c r="AE951" s="64"/>
      <c r="AF951" s="64"/>
      <c r="AG951" s="64"/>
    </row>
    <row r="952">
      <c r="A952" s="64"/>
      <c r="B952" s="64"/>
      <c r="C952" s="64"/>
      <c r="D952" s="64"/>
      <c r="E952" s="65"/>
      <c r="F952" s="64"/>
      <c r="G952" s="67"/>
      <c r="H952" s="64"/>
      <c r="I952" s="64"/>
      <c r="J952" s="64"/>
      <c r="K952" s="64"/>
      <c r="L952" s="65"/>
      <c r="M952" s="64"/>
      <c r="N952" s="64"/>
      <c r="O952" s="64"/>
      <c r="P952" s="64"/>
      <c r="Q952" s="64"/>
      <c r="R952" s="64"/>
      <c r="S952" s="64"/>
      <c r="T952" s="65"/>
      <c r="U952" s="64"/>
      <c r="V952" s="64"/>
      <c r="W952" s="64"/>
      <c r="X952" s="64"/>
      <c r="Y952" s="64"/>
      <c r="Z952" s="64"/>
      <c r="AA952" s="64"/>
      <c r="AB952" s="64"/>
      <c r="AC952" s="64"/>
      <c r="AD952" s="64"/>
      <c r="AE952" s="64"/>
      <c r="AF952" s="64"/>
      <c r="AG952" s="64"/>
    </row>
    <row r="953">
      <c r="A953" s="64"/>
      <c r="B953" s="64"/>
      <c r="C953" s="64"/>
      <c r="D953" s="64"/>
      <c r="E953" s="65"/>
      <c r="F953" s="64"/>
      <c r="G953" s="67"/>
      <c r="H953" s="64"/>
      <c r="I953" s="64"/>
      <c r="J953" s="64"/>
      <c r="K953" s="64"/>
      <c r="L953" s="65"/>
      <c r="M953" s="64"/>
      <c r="N953" s="64"/>
      <c r="O953" s="64"/>
      <c r="P953" s="64"/>
      <c r="Q953" s="64"/>
      <c r="R953" s="64"/>
      <c r="S953" s="64"/>
      <c r="T953" s="65"/>
      <c r="U953" s="64"/>
      <c r="V953" s="64"/>
      <c r="W953" s="64"/>
      <c r="X953" s="64"/>
      <c r="Y953" s="64"/>
      <c r="Z953" s="64"/>
      <c r="AA953" s="64"/>
      <c r="AB953" s="64"/>
      <c r="AC953" s="64"/>
      <c r="AD953" s="64"/>
      <c r="AE953" s="64"/>
      <c r="AF953" s="64"/>
      <c r="AG953" s="64"/>
    </row>
    <row r="954">
      <c r="A954" s="64"/>
      <c r="B954" s="64"/>
      <c r="C954" s="64"/>
      <c r="D954" s="64"/>
      <c r="E954" s="65"/>
      <c r="F954" s="64"/>
      <c r="G954" s="67"/>
      <c r="H954" s="64"/>
      <c r="I954" s="64"/>
      <c r="J954" s="64"/>
      <c r="K954" s="64"/>
      <c r="L954" s="65"/>
      <c r="M954" s="64"/>
      <c r="N954" s="64"/>
      <c r="O954" s="64"/>
      <c r="P954" s="64"/>
      <c r="Q954" s="64"/>
      <c r="R954" s="64"/>
      <c r="S954" s="64"/>
      <c r="T954" s="65"/>
      <c r="U954" s="64"/>
      <c r="V954" s="64"/>
      <c r="W954" s="64"/>
      <c r="X954" s="64"/>
      <c r="Y954" s="64"/>
      <c r="Z954" s="64"/>
      <c r="AA954" s="64"/>
      <c r="AB954" s="64"/>
      <c r="AC954" s="64"/>
      <c r="AD954" s="64"/>
      <c r="AE954" s="64"/>
      <c r="AF954" s="64"/>
      <c r="AG954" s="64"/>
    </row>
    <row r="955">
      <c r="A955" s="64"/>
      <c r="B955" s="64"/>
      <c r="C955" s="64"/>
      <c r="D955" s="64"/>
      <c r="E955" s="65"/>
      <c r="F955" s="64"/>
      <c r="G955" s="67"/>
      <c r="H955" s="64"/>
      <c r="I955" s="64"/>
      <c r="J955" s="64"/>
      <c r="K955" s="64"/>
      <c r="L955" s="65"/>
      <c r="M955" s="64"/>
      <c r="N955" s="64"/>
      <c r="O955" s="64"/>
      <c r="P955" s="64"/>
      <c r="Q955" s="64"/>
      <c r="R955" s="64"/>
      <c r="S955" s="64"/>
      <c r="T955" s="65"/>
      <c r="U955" s="64"/>
      <c r="V955" s="64"/>
      <c r="W955" s="64"/>
      <c r="X955" s="64"/>
      <c r="Y955" s="64"/>
      <c r="Z955" s="64"/>
      <c r="AA955" s="64"/>
      <c r="AB955" s="64"/>
      <c r="AC955" s="64"/>
      <c r="AD955" s="64"/>
      <c r="AE955" s="64"/>
      <c r="AF955" s="64"/>
      <c r="AG955" s="64"/>
    </row>
    <row r="956">
      <c r="A956" s="64"/>
      <c r="B956" s="64"/>
      <c r="C956" s="64"/>
      <c r="D956" s="64"/>
      <c r="E956" s="65"/>
      <c r="F956" s="64"/>
      <c r="G956" s="67"/>
      <c r="H956" s="64"/>
      <c r="I956" s="64"/>
      <c r="J956" s="64"/>
      <c r="K956" s="64"/>
      <c r="L956" s="65"/>
      <c r="M956" s="64"/>
      <c r="N956" s="64"/>
      <c r="O956" s="64"/>
      <c r="P956" s="64"/>
      <c r="Q956" s="64"/>
      <c r="R956" s="64"/>
      <c r="S956" s="64"/>
      <c r="T956" s="65"/>
      <c r="U956" s="64"/>
      <c r="V956" s="64"/>
      <c r="W956" s="64"/>
      <c r="X956" s="64"/>
      <c r="Y956" s="64"/>
      <c r="Z956" s="64"/>
      <c r="AA956" s="64"/>
      <c r="AB956" s="64"/>
      <c r="AC956" s="64"/>
      <c r="AD956" s="64"/>
      <c r="AE956" s="64"/>
      <c r="AF956" s="64"/>
      <c r="AG956" s="64"/>
    </row>
    <row r="957">
      <c r="A957" s="64"/>
      <c r="B957" s="64"/>
      <c r="C957" s="64"/>
      <c r="D957" s="64"/>
      <c r="E957" s="65"/>
      <c r="F957" s="64"/>
      <c r="G957" s="67"/>
      <c r="H957" s="64"/>
      <c r="I957" s="64"/>
      <c r="J957" s="64"/>
      <c r="K957" s="64"/>
      <c r="L957" s="65"/>
      <c r="M957" s="64"/>
      <c r="N957" s="64"/>
      <c r="O957" s="64"/>
      <c r="P957" s="64"/>
      <c r="Q957" s="64"/>
      <c r="R957" s="64"/>
      <c r="S957" s="64"/>
      <c r="T957" s="65"/>
      <c r="U957" s="64"/>
      <c r="V957" s="64"/>
      <c r="W957" s="64"/>
      <c r="X957" s="64"/>
      <c r="Y957" s="64"/>
      <c r="Z957" s="64"/>
      <c r="AA957" s="64"/>
      <c r="AB957" s="64"/>
      <c r="AC957" s="64"/>
      <c r="AD957" s="64"/>
      <c r="AE957" s="64"/>
      <c r="AF957" s="64"/>
      <c r="AG957" s="64"/>
    </row>
    <row r="958">
      <c r="A958" s="64"/>
      <c r="B958" s="64"/>
      <c r="C958" s="64"/>
      <c r="D958" s="64"/>
      <c r="E958" s="65"/>
      <c r="F958" s="64"/>
      <c r="G958" s="67"/>
      <c r="H958" s="64"/>
      <c r="I958" s="64"/>
      <c r="J958" s="64"/>
      <c r="K958" s="64"/>
      <c r="L958" s="65"/>
      <c r="M958" s="64"/>
      <c r="N958" s="64"/>
      <c r="O958" s="64"/>
      <c r="P958" s="64"/>
      <c r="Q958" s="64"/>
      <c r="R958" s="64"/>
      <c r="S958" s="64"/>
      <c r="T958" s="65"/>
      <c r="U958" s="64"/>
      <c r="V958" s="64"/>
      <c r="W958" s="64"/>
      <c r="X958" s="64"/>
      <c r="Y958" s="64"/>
      <c r="Z958" s="64"/>
      <c r="AA958" s="64"/>
      <c r="AB958" s="64"/>
      <c r="AC958" s="64"/>
      <c r="AD958" s="64"/>
      <c r="AE958" s="64"/>
      <c r="AF958" s="64"/>
      <c r="AG958" s="64"/>
    </row>
    <row r="959">
      <c r="A959" s="64"/>
      <c r="B959" s="64"/>
      <c r="C959" s="64"/>
      <c r="D959" s="64"/>
      <c r="E959" s="65"/>
      <c r="F959" s="64"/>
      <c r="G959" s="67"/>
      <c r="H959" s="64"/>
      <c r="I959" s="64"/>
      <c r="J959" s="64"/>
      <c r="K959" s="64"/>
      <c r="L959" s="65"/>
      <c r="M959" s="64"/>
      <c r="N959" s="64"/>
      <c r="O959" s="64"/>
      <c r="P959" s="64"/>
      <c r="Q959" s="64"/>
      <c r="R959" s="64"/>
      <c r="S959" s="64"/>
      <c r="T959" s="65"/>
      <c r="U959" s="64"/>
      <c r="V959" s="64"/>
      <c r="W959" s="64"/>
      <c r="X959" s="64"/>
      <c r="Y959" s="64"/>
      <c r="Z959" s="64"/>
      <c r="AA959" s="64"/>
      <c r="AB959" s="64"/>
      <c r="AC959" s="64"/>
      <c r="AD959" s="64"/>
      <c r="AE959" s="64"/>
      <c r="AF959" s="64"/>
      <c r="AG959" s="64"/>
    </row>
    <row r="960">
      <c r="A960" s="64"/>
      <c r="B960" s="64"/>
      <c r="C960" s="64"/>
      <c r="D960" s="64"/>
      <c r="E960" s="65"/>
      <c r="F960" s="64"/>
      <c r="G960" s="67"/>
      <c r="H960" s="64"/>
      <c r="I960" s="64"/>
      <c r="J960" s="64"/>
      <c r="K960" s="64"/>
      <c r="L960" s="65"/>
      <c r="M960" s="64"/>
      <c r="N960" s="64"/>
      <c r="O960" s="64"/>
      <c r="P960" s="64"/>
      <c r="Q960" s="64"/>
      <c r="R960" s="64"/>
      <c r="S960" s="64"/>
      <c r="T960" s="65"/>
      <c r="U960" s="64"/>
      <c r="V960" s="64"/>
      <c r="W960" s="64"/>
      <c r="X960" s="64"/>
      <c r="Y960" s="64"/>
      <c r="Z960" s="64"/>
      <c r="AA960" s="64"/>
      <c r="AB960" s="64"/>
      <c r="AC960" s="64"/>
      <c r="AD960" s="64"/>
      <c r="AE960" s="64"/>
      <c r="AF960" s="64"/>
      <c r="AG960" s="64"/>
    </row>
    <row r="961">
      <c r="A961" s="64"/>
      <c r="B961" s="64"/>
      <c r="C961" s="64"/>
      <c r="D961" s="64"/>
      <c r="E961" s="65"/>
      <c r="F961" s="64"/>
      <c r="G961" s="67"/>
      <c r="H961" s="64"/>
      <c r="I961" s="64"/>
      <c r="J961" s="64"/>
      <c r="K961" s="64"/>
      <c r="L961" s="65"/>
      <c r="M961" s="64"/>
      <c r="N961" s="64"/>
      <c r="O961" s="64"/>
      <c r="P961" s="64"/>
      <c r="Q961" s="64"/>
      <c r="R961" s="64"/>
      <c r="S961" s="64"/>
      <c r="T961" s="65"/>
      <c r="U961" s="64"/>
      <c r="V961" s="64"/>
      <c r="W961" s="64"/>
      <c r="X961" s="64"/>
      <c r="Y961" s="64"/>
      <c r="Z961" s="64"/>
      <c r="AA961" s="64"/>
      <c r="AB961" s="64"/>
      <c r="AC961" s="64"/>
      <c r="AD961" s="64"/>
      <c r="AE961" s="64"/>
      <c r="AF961" s="64"/>
      <c r="AG961" s="64"/>
    </row>
    <row r="962">
      <c r="A962" s="64"/>
      <c r="B962" s="64"/>
      <c r="C962" s="64"/>
      <c r="D962" s="64"/>
      <c r="E962" s="65"/>
      <c r="F962" s="64"/>
      <c r="G962" s="67"/>
      <c r="H962" s="64"/>
      <c r="I962" s="64"/>
      <c r="J962" s="64"/>
      <c r="K962" s="64"/>
      <c r="L962" s="65"/>
      <c r="M962" s="64"/>
      <c r="N962" s="64"/>
      <c r="O962" s="64"/>
      <c r="P962" s="64"/>
      <c r="Q962" s="64"/>
      <c r="R962" s="64"/>
      <c r="S962" s="64"/>
      <c r="T962" s="65"/>
      <c r="U962" s="64"/>
      <c r="V962" s="64"/>
      <c r="W962" s="64"/>
      <c r="X962" s="64"/>
      <c r="Y962" s="64"/>
      <c r="Z962" s="64"/>
      <c r="AA962" s="64"/>
      <c r="AB962" s="64"/>
      <c r="AC962" s="64"/>
      <c r="AD962" s="64"/>
      <c r="AE962" s="64"/>
      <c r="AF962" s="64"/>
      <c r="AG962" s="64"/>
    </row>
    <row r="963">
      <c r="A963" s="64"/>
      <c r="B963" s="64"/>
      <c r="C963" s="64"/>
      <c r="D963" s="64"/>
      <c r="E963" s="65"/>
      <c r="F963" s="64"/>
      <c r="G963" s="67"/>
      <c r="H963" s="64"/>
      <c r="I963" s="64"/>
      <c r="J963" s="64"/>
      <c r="K963" s="64"/>
      <c r="L963" s="65"/>
      <c r="M963" s="64"/>
      <c r="N963" s="64"/>
      <c r="O963" s="64"/>
      <c r="P963" s="64"/>
      <c r="Q963" s="64"/>
      <c r="R963" s="64"/>
      <c r="S963" s="64"/>
      <c r="T963" s="65"/>
      <c r="U963" s="64"/>
      <c r="V963" s="64"/>
      <c r="W963" s="64"/>
      <c r="X963" s="64"/>
      <c r="Y963" s="64"/>
      <c r="Z963" s="64"/>
      <c r="AA963" s="64"/>
      <c r="AB963" s="64"/>
      <c r="AC963" s="64"/>
      <c r="AD963" s="64"/>
      <c r="AE963" s="64"/>
      <c r="AF963" s="64"/>
      <c r="AG963" s="64"/>
    </row>
    <row r="964">
      <c r="A964" s="64"/>
      <c r="B964" s="64"/>
      <c r="C964" s="64"/>
      <c r="D964" s="64"/>
      <c r="E964" s="65"/>
      <c r="F964" s="64"/>
      <c r="G964" s="67"/>
      <c r="H964" s="64"/>
      <c r="I964" s="64"/>
      <c r="J964" s="64"/>
      <c r="K964" s="64"/>
      <c r="L964" s="65"/>
      <c r="M964" s="64"/>
      <c r="N964" s="64"/>
      <c r="O964" s="64"/>
      <c r="P964" s="64"/>
      <c r="Q964" s="64"/>
      <c r="R964" s="64"/>
      <c r="S964" s="64"/>
      <c r="T964" s="65"/>
      <c r="U964" s="64"/>
      <c r="V964" s="64"/>
      <c r="W964" s="64"/>
      <c r="X964" s="64"/>
      <c r="Y964" s="64"/>
      <c r="Z964" s="64"/>
      <c r="AA964" s="64"/>
      <c r="AB964" s="64"/>
      <c r="AC964" s="64"/>
      <c r="AD964" s="64"/>
      <c r="AE964" s="64"/>
      <c r="AF964" s="64"/>
      <c r="AG964" s="64"/>
    </row>
    <row r="965">
      <c r="A965" s="64"/>
      <c r="B965" s="64"/>
      <c r="C965" s="64"/>
      <c r="D965" s="64"/>
      <c r="E965" s="65"/>
      <c r="F965" s="64"/>
      <c r="G965" s="67"/>
      <c r="H965" s="64"/>
      <c r="I965" s="64"/>
      <c r="J965" s="64"/>
      <c r="K965" s="64"/>
      <c r="L965" s="65"/>
      <c r="M965" s="64"/>
      <c r="N965" s="64"/>
      <c r="O965" s="64"/>
      <c r="P965" s="64"/>
      <c r="Q965" s="64"/>
      <c r="R965" s="64"/>
      <c r="S965" s="64"/>
      <c r="T965" s="65"/>
      <c r="U965" s="64"/>
      <c r="V965" s="64"/>
      <c r="W965" s="64"/>
      <c r="X965" s="64"/>
      <c r="Y965" s="64"/>
      <c r="Z965" s="64"/>
      <c r="AA965" s="64"/>
      <c r="AB965" s="64"/>
      <c r="AC965" s="64"/>
      <c r="AD965" s="64"/>
      <c r="AE965" s="64"/>
      <c r="AF965" s="64"/>
      <c r="AG965" s="64"/>
    </row>
    <row r="966">
      <c r="A966" s="64"/>
      <c r="B966" s="64"/>
      <c r="C966" s="64"/>
      <c r="D966" s="64"/>
      <c r="E966" s="65"/>
      <c r="F966" s="64"/>
      <c r="G966" s="67"/>
      <c r="H966" s="64"/>
      <c r="I966" s="64"/>
      <c r="J966" s="64"/>
      <c r="K966" s="64"/>
      <c r="L966" s="65"/>
      <c r="M966" s="64"/>
      <c r="N966" s="64"/>
      <c r="O966" s="64"/>
      <c r="P966" s="64"/>
      <c r="Q966" s="64"/>
      <c r="R966" s="64"/>
      <c r="S966" s="64"/>
      <c r="T966" s="65"/>
      <c r="U966" s="64"/>
      <c r="V966" s="64"/>
      <c r="W966" s="64"/>
      <c r="X966" s="64"/>
      <c r="Y966" s="64"/>
      <c r="Z966" s="64"/>
      <c r="AA966" s="64"/>
      <c r="AB966" s="64"/>
      <c r="AC966" s="64"/>
      <c r="AD966" s="64"/>
      <c r="AE966" s="64"/>
      <c r="AF966" s="64"/>
      <c r="AG966" s="64"/>
    </row>
    <row r="967">
      <c r="A967" s="64"/>
      <c r="B967" s="64"/>
      <c r="C967" s="64"/>
      <c r="D967" s="64"/>
      <c r="E967" s="65"/>
      <c r="F967" s="64"/>
      <c r="G967" s="67"/>
      <c r="H967" s="64"/>
      <c r="I967" s="64"/>
      <c r="J967" s="64"/>
      <c r="K967" s="64"/>
      <c r="L967" s="65"/>
      <c r="M967" s="64"/>
      <c r="N967" s="64"/>
      <c r="O967" s="64"/>
      <c r="P967" s="64"/>
      <c r="Q967" s="64"/>
      <c r="R967" s="64"/>
      <c r="S967" s="64"/>
      <c r="T967" s="65"/>
      <c r="U967" s="64"/>
      <c r="V967" s="64"/>
      <c r="W967" s="64"/>
      <c r="X967" s="64"/>
      <c r="Y967" s="64"/>
      <c r="Z967" s="64"/>
      <c r="AA967" s="64"/>
      <c r="AB967" s="64"/>
      <c r="AC967" s="64"/>
      <c r="AD967" s="64"/>
      <c r="AE967" s="64"/>
      <c r="AF967" s="64"/>
      <c r="AG967" s="64"/>
    </row>
    <row r="968">
      <c r="A968" s="64"/>
      <c r="B968" s="64"/>
      <c r="C968" s="64"/>
      <c r="D968" s="64"/>
      <c r="E968" s="65"/>
      <c r="F968" s="64"/>
      <c r="G968" s="67"/>
      <c r="H968" s="64"/>
      <c r="I968" s="64"/>
      <c r="J968" s="64"/>
      <c r="K968" s="64"/>
      <c r="L968" s="65"/>
      <c r="M968" s="64"/>
      <c r="N968" s="64"/>
      <c r="O968" s="64"/>
      <c r="P968" s="64"/>
      <c r="Q968" s="64"/>
      <c r="R968" s="64"/>
      <c r="S968" s="64"/>
      <c r="T968" s="65"/>
      <c r="U968" s="64"/>
      <c r="V968" s="64"/>
      <c r="W968" s="64"/>
      <c r="X968" s="64"/>
      <c r="Y968" s="64"/>
      <c r="Z968" s="64"/>
      <c r="AA968" s="64"/>
      <c r="AB968" s="64"/>
      <c r="AC968" s="64"/>
      <c r="AD968" s="64"/>
      <c r="AE968" s="64"/>
      <c r="AF968" s="64"/>
      <c r="AG968" s="64"/>
    </row>
    <row r="969">
      <c r="A969" s="64"/>
      <c r="B969" s="64"/>
      <c r="C969" s="64"/>
      <c r="D969" s="64"/>
      <c r="E969" s="65"/>
      <c r="F969" s="64"/>
      <c r="G969" s="67"/>
      <c r="H969" s="64"/>
      <c r="I969" s="64"/>
      <c r="J969" s="64"/>
      <c r="K969" s="64"/>
      <c r="L969" s="65"/>
      <c r="M969" s="64"/>
      <c r="N969" s="64"/>
      <c r="O969" s="64"/>
      <c r="P969" s="64"/>
      <c r="Q969" s="64"/>
      <c r="R969" s="64"/>
      <c r="S969" s="64"/>
      <c r="T969" s="65"/>
      <c r="U969" s="64"/>
      <c r="V969" s="64"/>
      <c r="W969" s="64"/>
      <c r="X969" s="64"/>
      <c r="Y969" s="64"/>
      <c r="Z969" s="64"/>
      <c r="AA969" s="64"/>
      <c r="AB969" s="64"/>
      <c r="AC969" s="64"/>
      <c r="AD969" s="64"/>
      <c r="AE969" s="64"/>
      <c r="AF969" s="64"/>
      <c r="AG969" s="64"/>
    </row>
    <row r="970">
      <c r="A970" s="64"/>
      <c r="B970" s="64"/>
      <c r="C970" s="64"/>
      <c r="D970" s="64"/>
      <c r="E970" s="65"/>
      <c r="F970" s="64"/>
      <c r="G970" s="67"/>
      <c r="H970" s="64"/>
      <c r="I970" s="64"/>
      <c r="J970" s="64"/>
      <c r="K970" s="64"/>
      <c r="L970" s="65"/>
      <c r="M970" s="64"/>
      <c r="N970" s="64"/>
      <c r="O970" s="64"/>
      <c r="P970" s="64"/>
      <c r="Q970" s="64"/>
      <c r="R970" s="64"/>
      <c r="S970" s="64"/>
      <c r="T970" s="65"/>
      <c r="U970" s="64"/>
      <c r="V970" s="64"/>
      <c r="W970" s="64"/>
      <c r="X970" s="64"/>
      <c r="Y970" s="64"/>
      <c r="Z970" s="64"/>
      <c r="AA970" s="64"/>
      <c r="AB970" s="64"/>
      <c r="AC970" s="64"/>
      <c r="AD970" s="64"/>
      <c r="AE970" s="64"/>
      <c r="AF970" s="64"/>
      <c r="AG970" s="64"/>
    </row>
    <row r="971">
      <c r="A971" s="64"/>
      <c r="B971" s="64"/>
      <c r="C971" s="64"/>
      <c r="D971" s="64"/>
      <c r="E971" s="65"/>
      <c r="F971" s="64"/>
      <c r="G971" s="67"/>
      <c r="H971" s="64"/>
      <c r="I971" s="64"/>
      <c r="J971" s="64"/>
      <c r="K971" s="64"/>
      <c r="L971" s="65"/>
      <c r="M971" s="64"/>
      <c r="N971" s="64"/>
      <c r="O971" s="64"/>
      <c r="P971" s="64"/>
      <c r="Q971" s="64"/>
      <c r="R971" s="64"/>
      <c r="S971" s="64"/>
      <c r="T971" s="65"/>
      <c r="U971" s="64"/>
      <c r="V971" s="64"/>
      <c r="W971" s="64"/>
      <c r="X971" s="64"/>
      <c r="Y971" s="64"/>
      <c r="Z971" s="64"/>
      <c r="AA971" s="64"/>
      <c r="AB971" s="64"/>
      <c r="AC971" s="64"/>
      <c r="AD971" s="64"/>
      <c r="AE971" s="64"/>
      <c r="AF971" s="64"/>
      <c r="AG971" s="64"/>
    </row>
    <row r="972">
      <c r="A972" s="64"/>
      <c r="B972" s="64"/>
      <c r="C972" s="64"/>
      <c r="D972" s="64"/>
      <c r="E972" s="65"/>
      <c r="F972" s="64"/>
      <c r="G972" s="67"/>
      <c r="H972" s="64"/>
      <c r="I972" s="64"/>
      <c r="J972" s="64"/>
      <c r="K972" s="64"/>
      <c r="L972" s="65"/>
      <c r="M972" s="64"/>
      <c r="N972" s="64"/>
      <c r="O972" s="64"/>
      <c r="P972" s="64"/>
      <c r="Q972" s="64"/>
      <c r="R972" s="64"/>
      <c r="S972" s="64"/>
      <c r="T972" s="65"/>
      <c r="U972" s="64"/>
      <c r="V972" s="64"/>
      <c r="W972" s="64"/>
      <c r="X972" s="64"/>
      <c r="Y972" s="64"/>
      <c r="Z972" s="64"/>
      <c r="AA972" s="64"/>
      <c r="AB972" s="64"/>
      <c r="AC972" s="64"/>
      <c r="AD972" s="64"/>
      <c r="AE972" s="64"/>
      <c r="AF972" s="64"/>
      <c r="AG972" s="64"/>
    </row>
    <row r="973">
      <c r="A973" s="64"/>
      <c r="B973" s="64"/>
      <c r="C973" s="64"/>
      <c r="D973" s="64"/>
      <c r="E973" s="65"/>
      <c r="F973" s="64"/>
      <c r="G973" s="67"/>
      <c r="H973" s="64"/>
      <c r="I973" s="64"/>
      <c r="J973" s="64"/>
      <c r="K973" s="64"/>
      <c r="L973" s="65"/>
      <c r="M973" s="64"/>
      <c r="N973" s="64"/>
      <c r="O973" s="64"/>
      <c r="P973" s="64"/>
      <c r="Q973" s="64"/>
      <c r="R973" s="64"/>
      <c r="S973" s="64"/>
      <c r="T973" s="65"/>
      <c r="U973" s="64"/>
      <c r="V973" s="64"/>
      <c r="W973" s="64"/>
      <c r="X973" s="64"/>
      <c r="Y973" s="64"/>
      <c r="Z973" s="64"/>
      <c r="AA973" s="64"/>
      <c r="AB973" s="64"/>
      <c r="AC973" s="64"/>
      <c r="AD973" s="64"/>
      <c r="AE973" s="64"/>
      <c r="AF973" s="64"/>
      <c r="AG973" s="64"/>
    </row>
    <row r="974">
      <c r="A974" s="64"/>
      <c r="B974" s="64"/>
      <c r="C974" s="64"/>
      <c r="D974" s="64"/>
      <c r="E974" s="65"/>
      <c r="F974" s="64"/>
      <c r="G974" s="67"/>
      <c r="H974" s="64"/>
      <c r="I974" s="64"/>
      <c r="J974" s="64"/>
      <c r="K974" s="64"/>
      <c r="L974" s="65"/>
      <c r="M974" s="64"/>
      <c r="N974" s="64"/>
      <c r="O974" s="64"/>
      <c r="P974" s="64"/>
      <c r="Q974" s="64"/>
      <c r="R974" s="64"/>
      <c r="S974" s="64"/>
      <c r="T974" s="65"/>
      <c r="U974" s="64"/>
      <c r="V974" s="64"/>
      <c r="W974" s="64"/>
      <c r="X974" s="64"/>
      <c r="Y974" s="64"/>
      <c r="Z974" s="64"/>
      <c r="AA974" s="64"/>
      <c r="AB974" s="64"/>
      <c r="AC974" s="64"/>
      <c r="AD974" s="64"/>
      <c r="AE974" s="64"/>
      <c r="AF974" s="64"/>
      <c r="AG974" s="64"/>
    </row>
    <row r="975">
      <c r="A975" s="64"/>
      <c r="B975" s="64"/>
      <c r="C975" s="64"/>
      <c r="D975" s="64"/>
      <c r="E975" s="65"/>
      <c r="F975" s="64"/>
      <c r="G975" s="67"/>
      <c r="H975" s="64"/>
      <c r="I975" s="64"/>
      <c r="J975" s="64"/>
      <c r="K975" s="64"/>
      <c r="L975" s="65"/>
      <c r="M975" s="64"/>
      <c r="N975" s="64"/>
      <c r="O975" s="64"/>
      <c r="P975" s="64"/>
      <c r="Q975" s="64"/>
      <c r="R975" s="64"/>
      <c r="S975" s="64"/>
      <c r="T975" s="65"/>
      <c r="U975" s="64"/>
      <c r="V975" s="64"/>
      <c r="W975" s="64"/>
      <c r="X975" s="64"/>
      <c r="Y975" s="64"/>
      <c r="Z975" s="64"/>
      <c r="AA975" s="64"/>
      <c r="AB975" s="64"/>
      <c r="AC975" s="64"/>
      <c r="AD975" s="64"/>
      <c r="AE975" s="64"/>
      <c r="AF975" s="64"/>
      <c r="AG975" s="64"/>
    </row>
    <row r="976">
      <c r="A976" s="64"/>
      <c r="B976" s="64"/>
      <c r="C976" s="64"/>
      <c r="D976" s="64"/>
      <c r="E976" s="65"/>
      <c r="F976" s="64"/>
      <c r="G976" s="67"/>
      <c r="H976" s="64"/>
      <c r="I976" s="64"/>
      <c r="J976" s="64"/>
      <c r="K976" s="64"/>
      <c r="L976" s="65"/>
      <c r="M976" s="64"/>
      <c r="N976" s="64"/>
      <c r="O976" s="64"/>
      <c r="P976" s="64"/>
      <c r="Q976" s="64"/>
      <c r="R976" s="64"/>
      <c r="S976" s="64"/>
      <c r="T976" s="65"/>
      <c r="U976" s="64"/>
      <c r="V976" s="64"/>
      <c r="W976" s="64"/>
      <c r="X976" s="64"/>
      <c r="Y976" s="64"/>
      <c r="Z976" s="64"/>
      <c r="AA976" s="64"/>
      <c r="AB976" s="64"/>
      <c r="AC976" s="64"/>
      <c r="AD976" s="64"/>
      <c r="AE976" s="64"/>
      <c r="AF976" s="64"/>
      <c r="AG976" s="64"/>
    </row>
    <row r="977">
      <c r="A977" s="64"/>
      <c r="B977" s="64"/>
      <c r="C977" s="64"/>
      <c r="D977" s="64"/>
      <c r="E977" s="65"/>
      <c r="F977" s="64"/>
      <c r="G977" s="67"/>
      <c r="H977" s="64"/>
      <c r="I977" s="64"/>
      <c r="J977" s="64"/>
      <c r="K977" s="64"/>
      <c r="L977" s="65"/>
      <c r="M977" s="64"/>
      <c r="N977" s="64"/>
      <c r="O977" s="64"/>
      <c r="P977" s="64"/>
      <c r="Q977" s="64"/>
      <c r="R977" s="64"/>
      <c r="S977" s="64"/>
      <c r="T977" s="65"/>
      <c r="U977" s="64"/>
      <c r="V977" s="64"/>
      <c r="W977" s="64"/>
      <c r="X977" s="64"/>
      <c r="Y977" s="64"/>
      <c r="Z977" s="64"/>
      <c r="AA977" s="64"/>
      <c r="AB977" s="64"/>
      <c r="AC977" s="64"/>
      <c r="AD977" s="64"/>
      <c r="AE977" s="64"/>
      <c r="AF977" s="64"/>
      <c r="AG977" s="64"/>
    </row>
    <row r="978">
      <c r="A978" s="64"/>
      <c r="B978" s="64"/>
      <c r="C978" s="64"/>
      <c r="D978" s="64"/>
      <c r="E978" s="65"/>
      <c r="F978" s="64"/>
      <c r="G978" s="67"/>
      <c r="H978" s="64"/>
      <c r="I978" s="64"/>
      <c r="J978" s="64"/>
      <c r="K978" s="64"/>
      <c r="L978" s="65"/>
      <c r="M978" s="64"/>
      <c r="N978" s="64"/>
      <c r="O978" s="64"/>
      <c r="P978" s="64"/>
      <c r="Q978" s="64"/>
      <c r="R978" s="64"/>
      <c r="S978" s="64"/>
      <c r="T978" s="65"/>
      <c r="U978" s="64"/>
      <c r="V978" s="64"/>
      <c r="W978" s="64"/>
      <c r="X978" s="64"/>
      <c r="Y978" s="64"/>
      <c r="Z978" s="64"/>
      <c r="AA978" s="64"/>
      <c r="AB978" s="64"/>
      <c r="AC978" s="64"/>
      <c r="AD978" s="64"/>
      <c r="AE978" s="64"/>
      <c r="AF978" s="64"/>
      <c r="AG978" s="64"/>
    </row>
    <row r="979">
      <c r="A979" s="64"/>
      <c r="B979" s="64"/>
      <c r="C979" s="64"/>
      <c r="D979" s="64"/>
      <c r="E979" s="65"/>
      <c r="F979" s="64"/>
      <c r="G979" s="67"/>
      <c r="H979" s="64"/>
      <c r="I979" s="64"/>
      <c r="J979" s="64"/>
      <c r="K979" s="64"/>
      <c r="L979" s="65"/>
      <c r="M979" s="64"/>
      <c r="N979" s="64"/>
      <c r="O979" s="64"/>
      <c r="P979" s="64"/>
      <c r="Q979" s="64"/>
      <c r="R979" s="64"/>
      <c r="S979" s="64"/>
      <c r="T979" s="65"/>
      <c r="U979" s="64"/>
      <c r="V979" s="64"/>
      <c r="W979" s="64"/>
      <c r="X979" s="64"/>
      <c r="Y979" s="64"/>
      <c r="Z979" s="64"/>
      <c r="AA979" s="64"/>
      <c r="AB979" s="64"/>
      <c r="AC979" s="64"/>
      <c r="AD979" s="64"/>
      <c r="AE979" s="64"/>
      <c r="AF979" s="64"/>
      <c r="AG979" s="64"/>
    </row>
    <row r="980">
      <c r="A980" s="64"/>
      <c r="B980" s="64"/>
      <c r="C980" s="64"/>
      <c r="D980" s="64"/>
      <c r="E980" s="65"/>
      <c r="F980" s="64"/>
      <c r="G980" s="67"/>
      <c r="H980" s="64"/>
      <c r="I980" s="64"/>
      <c r="J980" s="64"/>
      <c r="K980" s="64"/>
      <c r="L980" s="65"/>
      <c r="M980" s="64"/>
      <c r="N980" s="64"/>
      <c r="O980" s="64"/>
      <c r="P980" s="64"/>
      <c r="Q980" s="64"/>
      <c r="R980" s="64"/>
      <c r="S980" s="64"/>
      <c r="T980" s="65"/>
      <c r="U980" s="64"/>
      <c r="V980" s="64"/>
      <c r="W980" s="64"/>
      <c r="X980" s="64"/>
      <c r="Y980" s="64"/>
      <c r="Z980" s="64"/>
      <c r="AA980" s="64"/>
      <c r="AB980" s="64"/>
      <c r="AC980" s="64"/>
      <c r="AD980" s="64"/>
      <c r="AE980" s="64"/>
      <c r="AF980" s="64"/>
      <c r="AG980" s="64"/>
    </row>
    <row r="981">
      <c r="A981" s="64"/>
      <c r="B981" s="64"/>
      <c r="C981" s="64"/>
      <c r="D981" s="64"/>
      <c r="E981" s="65"/>
      <c r="F981" s="64"/>
      <c r="G981" s="67"/>
      <c r="H981" s="64"/>
      <c r="I981" s="64"/>
      <c r="J981" s="64"/>
      <c r="K981" s="64"/>
      <c r="L981" s="65"/>
      <c r="M981" s="64"/>
      <c r="N981" s="64"/>
      <c r="O981" s="64"/>
      <c r="P981" s="64"/>
      <c r="Q981" s="64"/>
      <c r="R981" s="64"/>
      <c r="S981" s="64"/>
      <c r="T981" s="65"/>
      <c r="U981" s="64"/>
      <c r="V981" s="64"/>
      <c r="W981" s="64"/>
      <c r="X981" s="64"/>
      <c r="Y981" s="64"/>
      <c r="Z981" s="64"/>
      <c r="AA981" s="64"/>
      <c r="AB981" s="64"/>
      <c r="AC981" s="64"/>
      <c r="AD981" s="64"/>
      <c r="AE981" s="64"/>
      <c r="AF981" s="64"/>
      <c r="AG981" s="64"/>
    </row>
    <row r="982">
      <c r="A982" s="64"/>
      <c r="B982" s="64"/>
      <c r="C982" s="64"/>
      <c r="D982" s="64"/>
      <c r="E982" s="65"/>
      <c r="F982" s="64"/>
      <c r="G982" s="67"/>
      <c r="H982" s="64"/>
      <c r="I982" s="64"/>
      <c r="J982" s="64"/>
      <c r="K982" s="64"/>
      <c r="L982" s="65"/>
      <c r="M982" s="64"/>
      <c r="N982" s="64"/>
      <c r="O982" s="64"/>
      <c r="P982" s="64"/>
      <c r="Q982" s="64"/>
      <c r="R982" s="64"/>
      <c r="S982" s="64"/>
      <c r="T982" s="65"/>
      <c r="U982" s="64"/>
      <c r="V982" s="64"/>
      <c r="W982" s="64"/>
      <c r="X982" s="64"/>
      <c r="Y982" s="64"/>
      <c r="Z982" s="64"/>
      <c r="AA982" s="64"/>
      <c r="AB982" s="64"/>
      <c r="AC982" s="64"/>
      <c r="AD982" s="64"/>
      <c r="AE982" s="64"/>
      <c r="AF982" s="64"/>
      <c r="AG982" s="64"/>
    </row>
    <row r="983">
      <c r="A983" s="64"/>
      <c r="B983" s="64"/>
      <c r="C983" s="64"/>
      <c r="D983" s="64"/>
      <c r="E983" s="65"/>
      <c r="F983" s="64"/>
      <c r="G983" s="67"/>
      <c r="H983" s="64"/>
      <c r="I983" s="64"/>
      <c r="J983" s="64"/>
      <c r="K983" s="64"/>
      <c r="L983" s="65"/>
      <c r="M983" s="64"/>
      <c r="N983" s="64"/>
      <c r="O983" s="64"/>
      <c r="P983" s="64"/>
      <c r="Q983" s="64"/>
      <c r="R983" s="64"/>
      <c r="S983" s="64"/>
      <c r="T983" s="65"/>
      <c r="U983" s="64"/>
      <c r="V983" s="64"/>
      <c r="W983" s="64"/>
      <c r="X983" s="64"/>
      <c r="Y983" s="64"/>
      <c r="Z983" s="64"/>
      <c r="AA983" s="64"/>
      <c r="AB983" s="64"/>
      <c r="AC983" s="64"/>
      <c r="AD983" s="64"/>
      <c r="AE983" s="64"/>
      <c r="AF983" s="64"/>
      <c r="AG983" s="64"/>
    </row>
    <row r="984">
      <c r="A984" s="64"/>
      <c r="B984" s="64"/>
      <c r="C984" s="64"/>
      <c r="D984" s="64"/>
      <c r="E984" s="65"/>
      <c r="F984" s="64"/>
      <c r="G984" s="67"/>
      <c r="H984" s="64"/>
      <c r="I984" s="64"/>
      <c r="J984" s="64"/>
      <c r="K984" s="64"/>
      <c r="L984" s="65"/>
      <c r="M984" s="64"/>
      <c r="N984" s="64"/>
      <c r="O984" s="64"/>
      <c r="P984" s="64"/>
      <c r="Q984" s="64"/>
      <c r="R984" s="64"/>
      <c r="S984" s="64"/>
      <c r="T984" s="65"/>
      <c r="U984" s="64"/>
      <c r="V984" s="64"/>
      <c r="W984" s="64"/>
      <c r="X984" s="64"/>
      <c r="Y984" s="64"/>
      <c r="Z984" s="64"/>
      <c r="AA984" s="64"/>
      <c r="AB984" s="64"/>
      <c r="AC984" s="64"/>
      <c r="AD984" s="64"/>
      <c r="AE984" s="64"/>
      <c r="AF984" s="64"/>
      <c r="AG984" s="64"/>
    </row>
    <row r="985">
      <c r="A985" s="64"/>
      <c r="B985" s="64"/>
      <c r="C985" s="64"/>
      <c r="D985" s="64"/>
      <c r="E985" s="65"/>
      <c r="F985" s="64"/>
      <c r="G985" s="67"/>
      <c r="H985" s="64"/>
      <c r="I985" s="64"/>
      <c r="J985" s="64"/>
      <c r="K985" s="64"/>
      <c r="L985" s="65"/>
      <c r="M985" s="64"/>
      <c r="N985" s="64"/>
      <c r="O985" s="64"/>
      <c r="P985" s="64"/>
      <c r="Q985" s="64"/>
      <c r="R985" s="64"/>
      <c r="S985" s="64"/>
      <c r="T985" s="65"/>
      <c r="U985" s="64"/>
      <c r="V985" s="64"/>
      <c r="W985" s="64"/>
      <c r="X985" s="64"/>
      <c r="Y985" s="64"/>
      <c r="Z985" s="64"/>
      <c r="AA985" s="64"/>
      <c r="AB985" s="64"/>
      <c r="AC985" s="64"/>
      <c r="AD985" s="64"/>
      <c r="AE985" s="64"/>
      <c r="AF985" s="64"/>
      <c r="AG985" s="64"/>
    </row>
    <row r="986">
      <c r="A986" s="64"/>
      <c r="B986" s="64"/>
      <c r="C986" s="64"/>
      <c r="D986" s="64"/>
      <c r="E986" s="65"/>
      <c r="F986" s="64"/>
      <c r="G986" s="67"/>
      <c r="H986" s="64"/>
      <c r="I986" s="64"/>
      <c r="J986" s="64"/>
      <c r="K986" s="64"/>
      <c r="L986" s="65"/>
      <c r="M986" s="64"/>
      <c r="N986" s="64"/>
      <c r="O986" s="64"/>
      <c r="P986" s="64"/>
      <c r="Q986" s="64"/>
      <c r="R986" s="64"/>
      <c r="S986" s="64"/>
      <c r="T986" s="65"/>
      <c r="U986" s="64"/>
      <c r="V986" s="64"/>
      <c r="W986" s="64"/>
      <c r="X986" s="64"/>
      <c r="Y986" s="64"/>
      <c r="Z986" s="64"/>
      <c r="AA986" s="64"/>
      <c r="AB986" s="64"/>
      <c r="AC986" s="64"/>
      <c r="AD986" s="64"/>
      <c r="AE986" s="64"/>
      <c r="AF986" s="64"/>
      <c r="AG986" s="64"/>
    </row>
    <row r="987">
      <c r="A987" s="64"/>
      <c r="B987" s="64"/>
      <c r="C987" s="64"/>
      <c r="D987" s="64"/>
      <c r="E987" s="65"/>
      <c r="F987" s="64"/>
      <c r="G987" s="67"/>
      <c r="H987" s="64"/>
      <c r="I987" s="64"/>
      <c r="J987" s="64"/>
      <c r="K987" s="64"/>
      <c r="L987" s="65"/>
      <c r="M987" s="64"/>
      <c r="N987" s="64"/>
      <c r="O987" s="64"/>
      <c r="P987" s="64"/>
      <c r="Q987" s="64"/>
      <c r="R987" s="64"/>
      <c r="S987" s="64"/>
      <c r="T987" s="65"/>
      <c r="U987" s="64"/>
      <c r="V987" s="64"/>
      <c r="W987" s="64"/>
      <c r="X987" s="64"/>
      <c r="Y987" s="64"/>
      <c r="Z987" s="64"/>
      <c r="AA987" s="64"/>
      <c r="AB987" s="64"/>
      <c r="AC987" s="64"/>
      <c r="AD987" s="64"/>
      <c r="AE987" s="64"/>
      <c r="AF987" s="64"/>
      <c r="AG987" s="64"/>
    </row>
    <row r="988">
      <c r="A988" s="64"/>
      <c r="B988" s="64"/>
      <c r="C988" s="64"/>
      <c r="D988" s="64"/>
      <c r="E988" s="65"/>
      <c r="F988" s="64"/>
      <c r="G988" s="67"/>
      <c r="H988" s="64"/>
      <c r="I988" s="64"/>
      <c r="J988" s="64"/>
      <c r="K988" s="64"/>
      <c r="L988" s="65"/>
      <c r="M988" s="64"/>
      <c r="N988" s="64"/>
      <c r="O988" s="64"/>
      <c r="P988" s="64"/>
      <c r="Q988" s="64"/>
      <c r="R988" s="64"/>
      <c r="S988" s="64"/>
      <c r="T988" s="65"/>
      <c r="U988" s="64"/>
      <c r="V988" s="64"/>
      <c r="W988" s="64"/>
      <c r="X988" s="64"/>
      <c r="Y988" s="64"/>
      <c r="Z988" s="64"/>
      <c r="AA988" s="64"/>
      <c r="AB988" s="64"/>
      <c r="AC988" s="64"/>
      <c r="AD988" s="64"/>
      <c r="AE988" s="64"/>
      <c r="AF988" s="64"/>
      <c r="AG988" s="64"/>
    </row>
  </sheetData>
  <dataValidations>
    <dataValidation type="list" allowBlank="1" sqref="C10:C12 C14:C16 C20:C21 C24:C26 C29:C30 C33:C39 C41:C43 C45:C47 C52:C55 C60:C69 C71:C73 C75:C77 C80:C86 C88:C126 C128:C142">
      <formula1>"Family Office,Fund of Funds,Multi-family Office,Government,Pension Fund,Insurance,Bank,Charitable Organization,Endowment,Utility Provider,Technology,Religious,Asset Manager,Union,Property Investment,Corporate,Angel,Incubator,HNWI,Other"</formula1>
    </dataValidation>
    <dataValidation type="list" allowBlank="1" sqref="C74">
      <formula1>"Family Office,Fund of Funds,Multi-family Office,Government,Pension Fund,Insurance,Bank,Charitable Organization,Endowment,Utility Provider,Technology,Religious,Asset Manager,Union,Property Investment,Corporate,Angel,Incubator,HNWI,Other,Investment Firm"</formula1>
    </dataValidation>
    <dataValidation type="list" allowBlank="1" showErrorMessage="1" sqref="F10:F31 F33:F50 F52:F69 F71:F142">
      <formula1>"Website,Private data provider,Public data provider,Internal data,LinkedIn,News article,Portfolio,Data manager judgement"</formula1>
    </dataValidation>
    <dataValidation type="list" allowBlank="1" showErrorMessage="1" sqref="C7">
      <formula1>"Green,Yellow,Red"</formula1>
    </dataValidation>
    <dataValidation type="list" allowBlank="1" showErrorMessage="1" sqref="U10:U39 U41:U59 X77:X85 X88:X93 U61:U118 H10:H142">
      <formula1>"Under review,Validated,Declined"</formula1>
    </dataValidation>
    <dataValidation type="list" allowBlank="1" showErrorMessage="1" sqref="I10:I142">
      <formula1>"Approved - Campaign,Approved - Don't campaign,Rejected - Seems to conflict with what I outlined in the IIP,Rejected - Blacklist"</formula1>
    </dataValidation>
    <dataValidation type="list" allowBlank="1" showErrorMessage="1" sqref="V10:V118">
      <formula1>"No response,Response - positive,Response - meeting scheduled,Response - not interested"</formula1>
    </dataValidation>
    <dataValidation type="list" allowBlank="1" showErrorMessage="1" sqref="F32 F51 F70">
      <formula1>"Website,Private data provider,Public data provider,Internal data,News article,Portfolio,Data manager judgement,LinkedIn"</formula1>
    </dataValidation>
    <dataValidation type="list" allowBlank="1" showErrorMessage="1" sqref="U40 U60">
      <formula1>"Valid,Catch-all,Invalid"</formula1>
    </dataValidation>
    <dataValidation type="list" allowBlank="1" sqref="C40">
      <formula1>"Family Office,Fund of Funds,Multi-family Office,Government,Pension Fund,Insurance,Bank,Charitable Organization,Endowment,Utility Provider,Technology,Religious,Asset Manager,Union,Property Investment,Corporate,Angel,Incubator,HNWI,Other,Investment firm"</formula1>
    </dataValidation>
    <dataValidation type="list" allowBlank="1" sqref="C13 C17:C19 C22:C23 C27:C28 C31:C32 C44 C48:C51 C56:C59 C70 C78:C79 C87 C127">
      <formula1>"Family Office,Fund of Funds,Multi-family Office,Government,Pension Fund,Insurance,Bank,Charitable Organization,Endowment,Utility Provider,Technology,Religious,Asset Manager,Union,Property Investment,Corporate,Angel,Incubator,HNWI,Other,Investment Firm"</formula1>
    </dataValidation>
  </dataValidations>
  <hyperlinks>
    <hyperlink r:id="rId1" ref="D10"/>
    <hyperlink r:id="rId2" ref="G10"/>
    <hyperlink r:id="rId3" ref="R10"/>
    <hyperlink r:id="rId4" ref="D11"/>
    <hyperlink r:id="rId5" ref="G11"/>
    <hyperlink r:id="rId6" ref="K11"/>
    <hyperlink r:id="rId7" ref="D12"/>
    <hyperlink r:id="rId8" ref="G12"/>
    <hyperlink r:id="rId9" ref="R12"/>
    <hyperlink r:id="rId10" ref="D13"/>
    <hyperlink r:id="rId11" ref="G13"/>
    <hyperlink r:id="rId12" ref="R13"/>
    <hyperlink r:id="rId13" ref="D14"/>
    <hyperlink r:id="rId14" ref="G14"/>
    <hyperlink r:id="rId15" ref="D15"/>
    <hyperlink r:id="rId16" location="strategic" ref="G15"/>
    <hyperlink r:id="rId17" location="strategic" ref="K15"/>
    <hyperlink r:id="rId18" ref="D16"/>
    <hyperlink r:id="rId19" ref="G16"/>
    <hyperlink r:id="rId20" ref="R16"/>
    <hyperlink r:id="rId21" ref="D17"/>
    <hyperlink r:id="rId22" ref="G17"/>
    <hyperlink r:id="rId23" ref="K17"/>
    <hyperlink r:id="rId24" ref="D18"/>
    <hyperlink r:id="rId25" ref="G18"/>
    <hyperlink r:id="rId26" ref="R18"/>
    <hyperlink r:id="rId27" ref="D19"/>
    <hyperlink r:id="rId28" ref="G19"/>
    <hyperlink r:id="rId29" ref="R19"/>
    <hyperlink r:id="rId30" ref="D20"/>
    <hyperlink r:id="rId31" ref="G20"/>
    <hyperlink r:id="rId32" ref="R20"/>
    <hyperlink r:id="rId33" ref="D21"/>
    <hyperlink r:id="rId34" ref="G21"/>
    <hyperlink r:id="rId35" ref="K21"/>
    <hyperlink r:id="rId36" ref="D22"/>
    <hyperlink r:id="rId37" ref="G22"/>
    <hyperlink r:id="rId38" ref="R22"/>
    <hyperlink r:id="rId39" ref="D23"/>
    <hyperlink r:id="rId40" ref="G23"/>
    <hyperlink r:id="rId41" ref="D24"/>
    <hyperlink r:id="rId42" ref="G24"/>
    <hyperlink r:id="rId43" ref="R24"/>
    <hyperlink r:id="rId44" ref="D25"/>
    <hyperlink r:id="rId45" ref="G25"/>
    <hyperlink r:id="rId46" ref="R25"/>
    <hyperlink r:id="rId47" ref="D26"/>
    <hyperlink r:id="rId48" ref="G26"/>
    <hyperlink r:id="rId49" ref="D27"/>
    <hyperlink r:id="rId50" ref="G27"/>
    <hyperlink r:id="rId51" ref="R27"/>
    <hyperlink r:id="rId52" ref="D28"/>
    <hyperlink r:id="rId53" ref="G28"/>
    <hyperlink r:id="rId54" ref="K28"/>
    <hyperlink r:id="rId55" ref="D29"/>
    <hyperlink r:id="rId56" ref="G29"/>
    <hyperlink r:id="rId57" ref="R29"/>
    <hyperlink r:id="rId58" ref="D30"/>
    <hyperlink r:id="rId59" ref="G30"/>
    <hyperlink r:id="rId60" ref="R30"/>
    <hyperlink r:id="rId61" ref="D31"/>
    <hyperlink r:id="rId62" location="capital-investments" ref="G31"/>
    <hyperlink r:id="rId63" ref="K31"/>
    <hyperlink r:id="rId64" ref="D32"/>
    <hyperlink r:id="rId65" location="investment-platforms" ref="G32"/>
    <hyperlink r:id="rId66" ref="D33"/>
    <hyperlink r:id="rId67" ref="G33"/>
    <hyperlink r:id="rId68" ref="R33"/>
    <hyperlink r:id="rId69" ref="D34"/>
    <hyperlink r:id="rId70" ref="G34"/>
    <hyperlink r:id="rId71" ref="R34"/>
    <hyperlink r:id="rId72" ref="D35"/>
    <hyperlink r:id="rId73" ref="G35"/>
    <hyperlink r:id="rId74" ref="D36"/>
    <hyperlink r:id="rId75" ref="G36"/>
    <hyperlink r:id="rId76" ref="R36"/>
    <hyperlink r:id="rId77" ref="D37"/>
    <hyperlink r:id="rId78" ref="G37"/>
    <hyperlink r:id="rId79" ref="R37"/>
    <hyperlink r:id="rId80" ref="D38"/>
    <hyperlink r:id="rId81" ref="G38"/>
    <hyperlink r:id="rId82" ref="R38"/>
    <hyperlink r:id="rId83" ref="D39"/>
    <hyperlink r:id="rId84" ref="G39"/>
    <hyperlink r:id="rId85" ref="R39"/>
    <hyperlink r:id="rId86" ref="D40"/>
    <hyperlink r:id="rId87" ref="G40"/>
    <hyperlink r:id="rId88" ref="D41"/>
    <hyperlink r:id="rId89" ref="G41"/>
    <hyperlink r:id="rId90" ref="R41"/>
    <hyperlink r:id="rId91" ref="D42"/>
    <hyperlink r:id="rId92" ref="G42"/>
    <hyperlink r:id="rId93" ref="D43"/>
    <hyperlink r:id="rId94" ref="G43"/>
    <hyperlink r:id="rId95" ref="D44"/>
    <hyperlink r:id="rId96" ref="G44"/>
    <hyperlink r:id="rId97" ref="R44"/>
    <hyperlink r:id="rId98" ref="D45"/>
    <hyperlink r:id="rId99" location="portfolio" ref="G45"/>
    <hyperlink r:id="rId100" ref="D46"/>
    <hyperlink r:id="rId101" ref="G46"/>
    <hyperlink r:id="rId102" ref="K46"/>
    <hyperlink r:id="rId103" ref="D47"/>
    <hyperlink r:id="rId104" ref="G47"/>
    <hyperlink r:id="rId105" ref="K47"/>
    <hyperlink r:id="rId106" ref="D48"/>
    <hyperlink r:id="rId107" ref="G48"/>
    <hyperlink r:id="rId108" ref="K48"/>
    <hyperlink r:id="rId109" ref="D49"/>
    <hyperlink r:id="rId110" ref="G49"/>
    <hyperlink r:id="rId111" ref="R49"/>
    <hyperlink r:id="rId112" ref="D50"/>
    <hyperlink r:id="rId113" ref="G50"/>
    <hyperlink r:id="rId114" ref="K50"/>
    <hyperlink r:id="rId115" ref="D51"/>
    <hyperlink r:id="rId116" ref="G51"/>
    <hyperlink r:id="rId117" ref="R51"/>
    <hyperlink r:id="rId118" ref="D52"/>
    <hyperlink r:id="rId119" ref="G52"/>
    <hyperlink r:id="rId120" ref="R52"/>
    <hyperlink r:id="rId121" ref="D53"/>
    <hyperlink r:id="rId122" ref="G53"/>
    <hyperlink r:id="rId123" ref="D54"/>
    <hyperlink r:id="rId124" ref="G54"/>
    <hyperlink r:id="rId125" ref="R54"/>
    <hyperlink r:id="rId126" ref="D55"/>
    <hyperlink r:id="rId127" ref="G55"/>
    <hyperlink r:id="rId128" ref="R55"/>
    <hyperlink r:id="rId129" ref="D56"/>
    <hyperlink r:id="rId130" ref="G56"/>
    <hyperlink r:id="rId131" ref="R56"/>
    <hyperlink r:id="rId132" ref="D57"/>
    <hyperlink r:id="rId133" ref="G57"/>
    <hyperlink r:id="rId134" ref="R57"/>
    <hyperlink r:id="rId135" ref="D58"/>
    <hyperlink r:id="rId136" ref="G58"/>
    <hyperlink r:id="rId137" ref="R58"/>
    <hyperlink r:id="rId138" ref="D59"/>
    <hyperlink r:id="rId139" ref="G59"/>
    <hyperlink r:id="rId140" ref="R59"/>
    <hyperlink r:id="rId141" ref="D60"/>
    <hyperlink r:id="rId142" ref="G60"/>
    <hyperlink r:id="rId143" ref="D61"/>
    <hyperlink r:id="rId144" ref="G61"/>
    <hyperlink r:id="rId145" ref="R61"/>
    <hyperlink r:id="rId146" ref="D62"/>
    <hyperlink r:id="rId147" ref="G62"/>
    <hyperlink r:id="rId148" ref="R62"/>
    <hyperlink r:id="rId149" ref="D63"/>
    <hyperlink r:id="rId150" ref="G63"/>
    <hyperlink r:id="rId151" ref="D64"/>
    <hyperlink r:id="rId152" ref="G64"/>
    <hyperlink r:id="rId153" ref="D65"/>
    <hyperlink r:id="rId154" ref="G65"/>
    <hyperlink r:id="rId155" ref="R65"/>
    <hyperlink r:id="rId156" ref="D66"/>
    <hyperlink r:id="rId157" ref="G66"/>
    <hyperlink r:id="rId158" ref="D67"/>
    <hyperlink r:id="rId159" ref="G67"/>
    <hyperlink r:id="rId160" ref="R67"/>
    <hyperlink r:id="rId161" ref="D68"/>
    <hyperlink r:id="rId162" ref="G68"/>
    <hyperlink r:id="rId163" ref="D69"/>
    <hyperlink r:id="rId164" ref="G69"/>
    <hyperlink r:id="rId165" ref="D70"/>
    <hyperlink r:id="rId166" ref="G70"/>
    <hyperlink r:id="rId167" ref="R70"/>
    <hyperlink r:id="rId168" ref="D71"/>
    <hyperlink r:id="rId169" ref="G71"/>
    <hyperlink r:id="rId170" location="key-management" ref="D72"/>
    <hyperlink r:id="rId171" location="key-management" ref="G72"/>
    <hyperlink r:id="rId172" ref="R72"/>
    <hyperlink r:id="rId173" ref="D73"/>
    <hyperlink r:id="rId174" ref="G73"/>
    <hyperlink r:id="rId175" ref="R73"/>
    <hyperlink r:id="rId176" ref="D74"/>
    <hyperlink r:id="rId177" ref="G74"/>
    <hyperlink r:id="rId178" ref="R74"/>
    <hyperlink r:id="rId179" ref="D75"/>
    <hyperlink r:id="rId180" location="About" ref="G75"/>
    <hyperlink r:id="rId181" location="About" ref="K75"/>
    <hyperlink r:id="rId182" location="illustrative" ref="D76"/>
    <hyperlink r:id="rId183" location="illustrative" ref="G76"/>
    <hyperlink r:id="rId184" ref="R76"/>
    <hyperlink r:id="rId185" ref="D77"/>
    <hyperlink r:id="rId186" ref="G77"/>
    <hyperlink r:id="rId187" ref="R77"/>
    <hyperlink r:id="rId188" ref="D78"/>
    <hyperlink r:id="rId189" ref="G78"/>
    <hyperlink r:id="rId190" ref="D79"/>
    <hyperlink r:id="rId191" ref="G79"/>
    <hyperlink r:id="rId192" ref="K79"/>
    <hyperlink r:id="rId193" ref="G80"/>
    <hyperlink r:id="rId194" ref="K80"/>
    <hyperlink r:id="rId195" ref="D81"/>
    <hyperlink r:id="rId196" ref="G81"/>
    <hyperlink r:id="rId197" ref="K81"/>
    <hyperlink r:id="rId198" ref="D82"/>
    <hyperlink r:id="rId199" ref="G82"/>
    <hyperlink r:id="rId200" ref="R82"/>
    <hyperlink r:id="rId201" ref="D83"/>
    <hyperlink r:id="rId202" ref="G83"/>
    <hyperlink r:id="rId203" ref="R83"/>
    <hyperlink r:id="rId204" ref="D84"/>
    <hyperlink r:id="rId205" ref="G84"/>
    <hyperlink r:id="rId206" ref="K84"/>
    <hyperlink r:id="rId207" location="about" ref="D85"/>
    <hyperlink r:id="rId208" ref="G85"/>
    <hyperlink r:id="rId209" ref="R85"/>
    <hyperlink r:id="rId210" ref="D86"/>
    <hyperlink r:id="rId211" ref="G86"/>
    <hyperlink r:id="rId212" ref="D87"/>
    <hyperlink r:id="rId213" ref="G87"/>
    <hyperlink r:id="rId214" ref="D88"/>
    <hyperlink r:id="rId215" ref="G88"/>
    <hyperlink r:id="rId216" ref="R88"/>
    <hyperlink r:id="rId217" ref="D89"/>
    <hyperlink r:id="rId218" ref="G89"/>
    <hyperlink r:id="rId219" ref="R89"/>
    <hyperlink r:id="rId220" ref="D90"/>
    <hyperlink r:id="rId221" ref="G90"/>
    <hyperlink r:id="rId222" ref="D91"/>
    <hyperlink r:id="rId223" ref="G91"/>
    <hyperlink r:id="rId224" ref="D92"/>
    <hyperlink r:id="rId225" ref="G92"/>
    <hyperlink r:id="rId226" ref="R92"/>
    <hyperlink r:id="rId227" ref="D93"/>
    <hyperlink r:id="rId228" ref="G93"/>
    <hyperlink r:id="rId229" ref="R93"/>
    <hyperlink r:id="rId230" ref="D94"/>
    <hyperlink r:id="rId231" location="overview" ref="G94"/>
    <hyperlink r:id="rId232" ref="D95"/>
    <hyperlink r:id="rId233" location="overview" ref="G95"/>
    <hyperlink r:id="rId234" ref="R95"/>
    <hyperlink r:id="rId235" location="about" ref="D96"/>
    <hyperlink r:id="rId236" location="about" ref="G96"/>
    <hyperlink r:id="rId237" ref="R96"/>
    <hyperlink r:id="rId238" ref="D97"/>
    <hyperlink r:id="rId239" ref="G97"/>
    <hyperlink r:id="rId240" ref="D98"/>
    <hyperlink r:id="rId241" ref="G98"/>
    <hyperlink r:id="rId242" ref="R98"/>
    <hyperlink r:id="rId243" ref="D99"/>
    <hyperlink r:id="rId244" ref="G99"/>
    <hyperlink r:id="rId245" ref="R99"/>
    <hyperlink r:id="rId246" ref="D100"/>
    <hyperlink r:id="rId247" ref="G100"/>
    <hyperlink r:id="rId248" ref="R100"/>
    <hyperlink r:id="rId249" ref="D101"/>
    <hyperlink r:id="rId250" ref="G101"/>
    <hyperlink r:id="rId251" ref="R101"/>
    <hyperlink r:id="rId252" ref="D102"/>
    <hyperlink r:id="rId253" ref="G102"/>
    <hyperlink r:id="rId254" ref="Q102"/>
    <hyperlink r:id="rId255" ref="D103"/>
    <hyperlink r:id="rId256" ref="G103"/>
    <hyperlink r:id="rId257" ref="Q103"/>
    <hyperlink r:id="rId258" ref="D104"/>
    <hyperlink r:id="rId259" ref="G104"/>
    <hyperlink r:id="rId260" ref="Q104"/>
    <hyperlink r:id="rId261" ref="D105"/>
    <hyperlink r:id="rId262" ref="G105"/>
    <hyperlink r:id="rId263" ref="D106"/>
    <hyperlink r:id="rId264" ref="G106"/>
    <hyperlink r:id="rId265" ref="D107"/>
    <hyperlink r:id="rId266" ref="G107"/>
    <hyperlink r:id="rId267" ref="D108"/>
    <hyperlink r:id="rId268" ref="G108"/>
    <hyperlink r:id="rId269" ref="D109"/>
    <hyperlink r:id="rId270" ref="G109"/>
    <hyperlink r:id="rId271" ref="D110"/>
    <hyperlink r:id="rId272" ref="G110"/>
    <hyperlink r:id="rId273" ref="D111"/>
    <hyperlink r:id="rId274" ref="G111"/>
    <hyperlink r:id="rId275" ref="R111"/>
    <hyperlink r:id="rId276" ref="D112"/>
    <hyperlink r:id="rId277" ref="G112"/>
    <hyperlink r:id="rId278" ref="R112"/>
    <hyperlink r:id="rId279" ref="D113"/>
    <hyperlink r:id="rId280" ref="G113"/>
    <hyperlink r:id="rId281" ref="R113"/>
    <hyperlink r:id="rId282" ref="D114"/>
    <hyperlink r:id="rId283" ref="G114"/>
    <hyperlink r:id="rId284" ref="R114"/>
    <hyperlink r:id="rId285" ref="D115"/>
    <hyperlink r:id="rId286" ref="G115"/>
    <hyperlink r:id="rId287" ref="R115"/>
    <hyperlink r:id="rId288" ref="D116"/>
    <hyperlink r:id="rId289" ref="G116"/>
    <hyperlink r:id="rId290" ref="R116"/>
    <hyperlink r:id="rId291" ref="D117"/>
    <hyperlink r:id="rId292" ref="G117"/>
    <hyperlink r:id="rId293" ref="R117"/>
    <hyperlink r:id="rId294" ref="D118"/>
    <hyperlink r:id="rId295" ref="G118"/>
    <hyperlink r:id="rId296" ref="R118"/>
    <hyperlink r:id="rId297" ref="D119"/>
    <hyperlink r:id="rId298" ref="G119"/>
    <hyperlink r:id="rId299" ref="R119"/>
    <hyperlink r:id="rId300" ref="D120"/>
    <hyperlink r:id="rId301" ref="G120"/>
    <hyperlink r:id="rId302" ref="R120"/>
    <hyperlink r:id="rId303" ref="D121"/>
    <hyperlink r:id="rId304" ref="G121"/>
    <hyperlink r:id="rId305" ref="R121"/>
    <hyperlink r:id="rId306" ref="D122"/>
    <hyperlink r:id="rId307" ref="G122"/>
    <hyperlink r:id="rId308" ref="R122"/>
    <hyperlink r:id="rId309" ref="D123"/>
    <hyperlink r:id="rId310" ref="G123"/>
    <hyperlink r:id="rId311" ref="R123"/>
    <hyperlink r:id="rId312" ref="D124"/>
    <hyperlink r:id="rId313" ref="G124"/>
    <hyperlink r:id="rId314" ref="R124"/>
    <hyperlink r:id="rId315" ref="D125"/>
    <hyperlink r:id="rId316" ref="G125"/>
    <hyperlink r:id="rId317" ref="R125"/>
    <hyperlink r:id="rId318" ref="D126"/>
    <hyperlink r:id="rId319" ref="G126"/>
    <hyperlink r:id="rId320" ref="R126"/>
    <hyperlink r:id="rId321" ref="D127"/>
    <hyperlink r:id="rId322" ref="G127"/>
    <hyperlink r:id="rId323" ref="R127"/>
    <hyperlink r:id="rId324" ref="D128"/>
    <hyperlink r:id="rId325" ref="G128"/>
    <hyperlink r:id="rId326" ref="R128"/>
    <hyperlink r:id="rId327" ref="D129"/>
    <hyperlink r:id="rId328" ref="G129"/>
    <hyperlink r:id="rId329" ref="R129"/>
    <hyperlink r:id="rId330" ref="D130"/>
    <hyperlink r:id="rId331" ref="G130"/>
    <hyperlink r:id="rId332" ref="R130"/>
    <hyperlink r:id="rId333" ref="D131"/>
    <hyperlink r:id="rId334" ref="G131"/>
    <hyperlink r:id="rId335" ref="R131"/>
    <hyperlink r:id="rId336" ref="D132"/>
    <hyperlink r:id="rId337" ref="G132"/>
    <hyperlink r:id="rId338" ref="R132"/>
    <hyperlink r:id="rId339" ref="D133"/>
    <hyperlink r:id="rId340" ref="G133"/>
    <hyperlink r:id="rId341" ref="R133"/>
    <hyperlink r:id="rId342" ref="D134"/>
    <hyperlink r:id="rId343" ref="G134"/>
    <hyperlink r:id="rId344" ref="R134"/>
    <hyperlink r:id="rId345" ref="D135"/>
    <hyperlink r:id="rId346" ref="G135"/>
    <hyperlink r:id="rId347" ref="R135"/>
    <hyperlink r:id="rId348" ref="D136"/>
    <hyperlink r:id="rId349" ref="G136"/>
    <hyperlink r:id="rId350" ref="R136"/>
    <hyperlink r:id="rId351" ref="D137"/>
    <hyperlink r:id="rId352" ref="G137"/>
    <hyperlink r:id="rId353" ref="R137"/>
    <hyperlink r:id="rId354" ref="D138"/>
    <hyperlink r:id="rId355" ref="G138"/>
    <hyperlink r:id="rId356" ref="R138"/>
    <hyperlink r:id="rId357" ref="D139"/>
    <hyperlink r:id="rId358" ref="G139"/>
    <hyperlink r:id="rId359" ref="R139"/>
    <hyperlink r:id="rId360" ref="D140"/>
    <hyperlink r:id="rId361" ref="G140"/>
    <hyperlink r:id="rId362" ref="R140"/>
    <hyperlink r:id="rId363" ref="D141"/>
    <hyperlink r:id="rId364" ref="G141"/>
    <hyperlink r:id="rId365" ref="R141"/>
    <hyperlink r:id="rId366" ref="D142"/>
    <hyperlink r:id="rId367" ref="G142"/>
    <hyperlink r:id="rId368" ref="R142"/>
  </hyperlinks>
  <drawing r:id="rId369"/>
  <tableParts count="16">
    <tablePart r:id="rId386"/>
    <tablePart r:id="rId387"/>
    <tablePart r:id="rId388"/>
    <tablePart r:id="rId389"/>
    <tablePart r:id="rId390"/>
    <tablePart r:id="rId391"/>
    <tablePart r:id="rId392"/>
    <tablePart r:id="rId393"/>
    <tablePart r:id="rId394"/>
    <tablePart r:id="rId395"/>
    <tablePart r:id="rId396"/>
    <tablePart r:id="rId397"/>
    <tablePart r:id="rId398"/>
    <tablePart r:id="rId399"/>
    <tablePart r:id="rId400"/>
    <tablePart r:id="rId401"/>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18.38"/>
    <col customWidth="1" min="5" max="5" width="23.75"/>
    <col customWidth="1" min="6" max="6" width="57.38"/>
    <col customWidth="1" min="7" max="7" width="64.25"/>
    <col customWidth="1" min="8" max="8" width="14.88"/>
    <col customWidth="1" min="9" max="9" width="15.38"/>
    <col customWidth="1" min="10" max="10" width="16.13"/>
  </cols>
  <sheetData>
    <row r="1">
      <c r="A1" s="80" t="s">
        <v>123</v>
      </c>
      <c r="B1" s="81" t="s">
        <v>57</v>
      </c>
      <c r="C1" s="80" t="s">
        <v>124</v>
      </c>
      <c r="D1" s="80" t="s">
        <v>132</v>
      </c>
      <c r="E1" s="80" t="s">
        <v>133</v>
      </c>
      <c r="F1" s="81" t="s">
        <v>2615</v>
      </c>
      <c r="G1" s="81" t="s">
        <v>2616</v>
      </c>
      <c r="H1" s="80" t="s">
        <v>134</v>
      </c>
      <c r="I1" s="80" t="s">
        <v>135</v>
      </c>
      <c r="J1" s="80" t="s">
        <v>136</v>
      </c>
      <c r="K1" s="279" t="s">
        <v>137</v>
      </c>
    </row>
    <row r="2">
      <c r="A2" s="100">
        <v>1.0</v>
      </c>
      <c r="B2" s="137" t="s">
        <v>1693</v>
      </c>
      <c r="C2" s="280" t="s">
        <v>1694</v>
      </c>
      <c r="D2" s="106" t="s">
        <v>1696</v>
      </c>
      <c r="E2" s="107" t="s">
        <v>1697</v>
      </c>
      <c r="F2" s="281" t="s">
        <v>2617</v>
      </c>
      <c r="G2" s="281" t="s">
        <v>2618</v>
      </c>
      <c r="H2" s="108" t="s">
        <v>1698</v>
      </c>
      <c r="I2" s="108" t="s">
        <v>1699</v>
      </c>
      <c r="J2" s="108" t="s">
        <v>1700</v>
      </c>
      <c r="K2" s="282" t="s">
        <v>1701</v>
      </c>
    </row>
    <row r="3">
      <c r="A3" s="100">
        <v>2.0</v>
      </c>
      <c r="B3" s="137" t="s">
        <v>1706</v>
      </c>
      <c r="C3" s="280" t="s">
        <v>1707</v>
      </c>
      <c r="D3" s="106" t="s">
        <v>1709</v>
      </c>
      <c r="E3" s="107" t="s">
        <v>1710</v>
      </c>
      <c r="F3" s="281" t="s">
        <v>2619</v>
      </c>
      <c r="G3" s="281" t="s">
        <v>2620</v>
      </c>
      <c r="H3" s="108" t="str">
        <f>IFERROR(__xludf.DUMMYFUNCTION("IFERROR(REGEXEXTRACT(TRIM(E3),""^\S+""),"""")
"),"Kah")</f>
        <v>Kah</v>
      </c>
      <c r="I3" s="108" t="str">
        <f>IFERROR(__xludf.DUMMYFUNCTION("IFERROR(TRIM(REGEXREPLACE(TRIM(E3),""^\S+\s*"","""")),"""")
"),"Ken Kam")</f>
        <v>Ken Kam</v>
      </c>
      <c r="J3" s="108" t="s">
        <v>1711</v>
      </c>
      <c r="K3" s="282" t="s">
        <v>1712</v>
      </c>
    </row>
    <row r="4">
      <c r="A4" s="100">
        <v>3.0</v>
      </c>
      <c r="B4" s="102" t="s">
        <v>1713</v>
      </c>
      <c r="C4" s="280" t="s">
        <v>1714</v>
      </c>
      <c r="D4" s="106" t="s">
        <v>250</v>
      </c>
      <c r="E4" s="107" t="s">
        <v>1716</v>
      </c>
      <c r="F4" s="281" t="s">
        <v>2621</v>
      </c>
      <c r="G4" s="281" t="s">
        <v>2622</v>
      </c>
      <c r="H4" s="108" t="s">
        <v>1717</v>
      </c>
      <c r="I4" s="108" t="s">
        <v>1718</v>
      </c>
      <c r="J4" s="108" t="s">
        <v>1719</v>
      </c>
      <c r="K4" s="282" t="s">
        <v>1720</v>
      </c>
    </row>
    <row r="5">
      <c r="A5" s="100">
        <v>4.0</v>
      </c>
      <c r="B5" s="137" t="s">
        <v>1730</v>
      </c>
      <c r="C5" s="280" t="s">
        <v>1731</v>
      </c>
      <c r="D5" s="106" t="s">
        <v>1733</v>
      </c>
      <c r="E5" s="107" t="s">
        <v>1734</v>
      </c>
      <c r="F5" s="281" t="s">
        <v>2623</v>
      </c>
      <c r="G5" s="281" t="s">
        <v>2624</v>
      </c>
      <c r="H5" s="108" t="s">
        <v>1735</v>
      </c>
      <c r="I5" s="108" t="s">
        <v>1736</v>
      </c>
      <c r="J5" s="108" t="s">
        <v>1737</v>
      </c>
      <c r="K5" s="282" t="s">
        <v>1738</v>
      </c>
    </row>
    <row r="6">
      <c r="A6" s="100">
        <v>5.0</v>
      </c>
      <c r="B6" s="102" t="s">
        <v>1744</v>
      </c>
      <c r="C6" s="280" t="s">
        <v>1745</v>
      </c>
      <c r="D6" s="122" t="s">
        <v>456</v>
      </c>
      <c r="E6" s="123" t="s">
        <v>1748</v>
      </c>
      <c r="F6" s="281" t="s">
        <v>2625</v>
      </c>
      <c r="G6" s="281" t="s">
        <v>2626</v>
      </c>
      <c r="H6" s="124" t="s">
        <v>1749</v>
      </c>
      <c r="I6" s="108" t="s">
        <v>1750</v>
      </c>
      <c r="J6" s="108" t="s">
        <v>1751</v>
      </c>
      <c r="K6" s="282" t="s">
        <v>1752</v>
      </c>
    </row>
    <row r="7">
      <c r="A7" s="100">
        <v>6.0</v>
      </c>
      <c r="B7" s="102" t="s">
        <v>1753</v>
      </c>
      <c r="C7" s="280" t="s">
        <v>1754</v>
      </c>
      <c r="D7" s="106" t="s">
        <v>1756</v>
      </c>
      <c r="E7" s="107" t="s">
        <v>1757</v>
      </c>
      <c r="F7" s="281" t="s">
        <v>2627</v>
      </c>
      <c r="G7" s="281" t="s">
        <v>2628</v>
      </c>
      <c r="H7" s="108" t="s">
        <v>1758</v>
      </c>
      <c r="I7" s="108" t="s">
        <v>1759</v>
      </c>
      <c r="J7" s="108" t="s">
        <v>1760</v>
      </c>
      <c r="K7" s="282" t="s">
        <v>1761</v>
      </c>
    </row>
    <row r="8">
      <c r="A8" s="100">
        <v>7.0</v>
      </c>
      <c r="B8" s="151" t="s">
        <v>1762</v>
      </c>
      <c r="C8" s="283" t="s">
        <v>1763</v>
      </c>
      <c r="D8" s="284" t="s">
        <v>1765</v>
      </c>
      <c r="E8" s="123" t="s">
        <v>1766</v>
      </c>
      <c r="F8" s="281" t="s">
        <v>2629</v>
      </c>
      <c r="G8" s="281" t="s">
        <v>2630</v>
      </c>
      <c r="H8" s="124" t="s">
        <v>1767</v>
      </c>
      <c r="I8" s="108" t="s">
        <v>1768</v>
      </c>
      <c r="J8" s="108" t="s">
        <v>1769</v>
      </c>
      <c r="K8" s="282" t="s">
        <v>1770</v>
      </c>
    </row>
    <row r="9">
      <c r="A9" s="100">
        <v>8.0</v>
      </c>
      <c r="B9" s="151" t="s">
        <v>1776</v>
      </c>
      <c r="C9" s="283" t="s">
        <v>1777</v>
      </c>
      <c r="D9" s="106" t="s">
        <v>1779</v>
      </c>
      <c r="E9" s="107" t="s">
        <v>1780</v>
      </c>
      <c r="F9" s="281" t="s">
        <v>2631</v>
      </c>
      <c r="G9" s="281" t="s">
        <v>2632</v>
      </c>
      <c r="H9" s="108" t="s">
        <v>1781</v>
      </c>
      <c r="I9" s="108" t="s">
        <v>1782</v>
      </c>
      <c r="J9" s="124" t="s">
        <v>1783</v>
      </c>
      <c r="K9" s="282" t="s">
        <v>1784</v>
      </c>
    </row>
    <row r="10">
      <c r="A10" s="100">
        <v>9.0</v>
      </c>
      <c r="B10" s="285" t="s">
        <v>1790</v>
      </c>
      <c r="C10" s="283" t="s">
        <v>1791</v>
      </c>
      <c r="D10" s="122" t="s">
        <v>196</v>
      </c>
      <c r="E10" s="123" t="s">
        <v>1793</v>
      </c>
      <c r="F10" s="281" t="s">
        <v>2633</v>
      </c>
      <c r="G10" s="281" t="s">
        <v>2634</v>
      </c>
      <c r="H10" s="117" t="s">
        <v>1794</v>
      </c>
      <c r="I10" s="118" t="s">
        <v>1795</v>
      </c>
      <c r="J10" s="108" t="s">
        <v>1796</v>
      </c>
      <c r="K10" s="282" t="s">
        <v>1797</v>
      </c>
    </row>
    <row r="11">
      <c r="A11" s="100">
        <v>10.0</v>
      </c>
      <c r="B11" s="137" t="s">
        <v>1798</v>
      </c>
      <c r="C11" s="283" t="s">
        <v>1799</v>
      </c>
      <c r="D11" s="134" t="s">
        <v>330</v>
      </c>
      <c r="E11" s="198" t="s">
        <v>1801</v>
      </c>
      <c r="F11" s="281" t="s">
        <v>2635</v>
      </c>
      <c r="G11" s="281" t="s">
        <v>2636</v>
      </c>
      <c r="H11" s="118" t="s">
        <v>1802</v>
      </c>
      <c r="I11" s="118" t="s">
        <v>1365</v>
      </c>
      <c r="J11" s="108" t="s">
        <v>1803</v>
      </c>
      <c r="K11" s="282" t="s">
        <v>1804</v>
      </c>
    </row>
    <row r="12">
      <c r="A12" s="100">
        <v>11.0</v>
      </c>
      <c r="B12" s="151" t="s">
        <v>1809</v>
      </c>
      <c r="C12" s="283" t="s">
        <v>1810</v>
      </c>
      <c r="D12" s="106" t="s">
        <v>1733</v>
      </c>
      <c r="E12" s="107" t="s">
        <v>1812</v>
      </c>
      <c r="F12" s="281" t="s">
        <v>2637</v>
      </c>
      <c r="G12" s="281" t="s">
        <v>2638</v>
      </c>
      <c r="H12" s="108" t="s">
        <v>753</v>
      </c>
      <c r="I12" s="108" t="s">
        <v>1813</v>
      </c>
      <c r="J12" s="108" t="s">
        <v>1814</v>
      </c>
      <c r="K12" s="282" t="s">
        <v>1815</v>
      </c>
    </row>
    <row r="13">
      <c r="A13" s="100">
        <v>12.0</v>
      </c>
      <c r="B13" s="224" t="s">
        <v>1821</v>
      </c>
      <c r="C13" s="283" t="s">
        <v>1822</v>
      </c>
      <c r="D13" s="134" t="s">
        <v>1414</v>
      </c>
      <c r="E13" s="198" t="s">
        <v>1824</v>
      </c>
      <c r="F13" s="286" t="s">
        <v>2639</v>
      </c>
      <c r="G13" s="286" t="s">
        <v>2640</v>
      </c>
      <c r="H13" s="118" t="s">
        <v>1825</v>
      </c>
      <c r="I13" s="118" t="s">
        <v>1826</v>
      </c>
      <c r="J13" s="108" t="s">
        <v>1827</v>
      </c>
      <c r="K13" s="282" t="s">
        <v>1828</v>
      </c>
    </row>
    <row r="14">
      <c r="A14" s="100">
        <v>13.0</v>
      </c>
      <c r="B14" s="137" t="s">
        <v>1829</v>
      </c>
      <c r="C14" s="283" t="s">
        <v>1830</v>
      </c>
      <c r="D14" s="106" t="s">
        <v>661</v>
      </c>
      <c r="E14" s="107" t="s">
        <v>1832</v>
      </c>
      <c r="F14" s="281" t="s">
        <v>2641</v>
      </c>
      <c r="G14" s="281" t="s">
        <v>2642</v>
      </c>
      <c r="H14" s="108" t="s">
        <v>1833</v>
      </c>
      <c r="I14" s="108" t="s">
        <v>1834</v>
      </c>
      <c r="J14" s="108" t="s">
        <v>1835</v>
      </c>
      <c r="K14" s="282" t="s">
        <v>1836</v>
      </c>
    </row>
    <row r="15">
      <c r="A15" s="100">
        <v>14.0</v>
      </c>
      <c r="B15" s="151" t="s">
        <v>1846</v>
      </c>
      <c r="C15" s="283" t="s">
        <v>1847</v>
      </c>
      <c r="D15" s="106" t="s">
        <v>456</v>
      </c>
      <c r="E15" s="107" t="s">
        <v>1849</v>
      </c>
      <c r="F15" s="281" t="s">
        <v>2643</v>
      </c>
      <c r="G15" s="281" t="s">
        <v>2644</v>
      </c>
      <c r="H15" s="108" t="s">
        <v>1850</v>
      </c>
      <c r="I15" s="108" t="s">
        <v>1851</v>
      </c>
      <c r="J15" s="108" t="s">
        <v>1852</v>
      </c>
      <c r="K15" s="282" t="s">
        <v>1853</v>
      </c>
    </row>
    <row r="16">
      <c r="A16" s="100">
        <v>15.0</v>
      </c>
      <c r="B16" s="133" t="s">
        <v>1854</v>
      </c>
      <c r="C16" s="283" t="s">
        <v>1855</v>
      </c>
      <c r="D16" s="106" t="s">
        <v>993</v>
      </c>
      <c r="E16" s="107" t="s">
        <v>1857</v>
      </c>
      <c r="F16" s="281" t="s">
        <v>2645</v>
      </c>
      <c r="G16" s="281" t="s">
        <v>2646</v>
      </c>
      <c r="H16" s="108" t="str">
        <f>IFERROR(__xludf.DUMMYFUNCTION("IFERROR(REGEXEXTRACT(TRIM(E16),""^\S+""),"""")
"),"Alexei")</f>
        <v>Alexei</v>
      </c>
      <c r="I16" s="108" t="str">
        <f>IFERROR(__xludf.DUMMYFUNCTION("IFERROR(TRIM(REGEXREPLACE(TRIM(E16),""^\S+\s*"","""")),"""")
"),"Kalinin")</f>
        <v>Kalinin</v>
      </c>
      <c r="J16" s="108" t="s">
        <v>1858</v>
      </c>
      <c r="K16" s="282" t="s">
        <v>1859</v>
      </c>
    </row>
    <row r="17">
      <c r="A17" s="100">
        <v>16.0</v>
      </c>
      <c r="B17" s="127" t="s">
        <v>1865</v>
      </c>
      <c r="C17" s="283" t="s">
        <v>1866</v>
      </c>
      <c r="D17" s="106" t="s">
        <v>1869</v>
      </c>
      <c r="E17" s="107" t="s">
        <v>1870</v>
      </c>
      <c r="F17" s="281" t="s">
        <v>2647</v>
      </c>
      <c r="G17" s="281" t="s">
        <v>2648</v>
      </c>
      <c r="H17" s="108" t="s">
        <v>1871</v>
      </c>
      <c r="I17" s="108" t="s">
        <v>1872</v>
      </c>
      <c r="J17" s="108" t="s">
        <v>1873</v>
      </c>
      <c r="K17" s="282" t="s">
        <v>1874</v>
      </c>
    </row>
    <row r="18">
      <c r="A18" s="100">
        <v>17.0</v>
      </c>
      <c r="B18" s="127" t="s">
        <v>1875</v>
      </c>
      <c r="C18" s="283" t="s">
        <v>1876</v>
      </c>
      <c r="D18" s="106" t="s">
        <v>153</v>
      </c>
      <c r="E18" s="107" t="s">
        <v>1878</v>
      </c>
      <c r="F18" s="281" t="s">
        <v>2649</v>
      </c>
      <c r="G18" s="281" t="s">
        <v>2650</v>
      </c>
      <c r="H18" s="108" t="s">
        <v>1879</v>
      </c>
      <c r="I18" s="108" t="s">
        <v>1880</v>
      </c>
      <c r="J18" s="108" t="s">
        <v>1881</v>
      </c>
      <c r="K18" s="282" t="s">
        <v>1882</v>
      </c>
    </row>
    <row r="19">
      <c r="A19" s="100">
        <v>18.0</v>
      </c>
      <c r="B19" s="133" t="s">
        <v>1883</v>
      </c>
      <c r="C19" s="283" t="s">
        <v>1884</v>
      </c>
      <c r="D19" s="106" t="s">
        <v>456</v>
      </c>
      <c r="E19" s="107" t="s">
        <v>1886</v>
      </c>
      <c r="F19" s="281" t="s">
        <v>2651</v>
      </c>
      <c r="G19" s="281" t="s">
        <v>2652</v>
      </c>
      <c r="H19" s="108" t="s">
        <v>1887</v>
      </c>
      <c r="I19" s="108" t="s">
        <v>1888</v>
      </c>
      <c r="J19" s="108" t="s">
        <v>1889</v>
      </c>
      <c r="K19" s="282" t="s">
        <v>1890</v>
      </c>
    </row>
    <row r="20">
      <c r="A20" s="100">
        <v>19.0</v>
      </c>
      <c r="B20" s="151" t="s">
        <v>1891</v>
      </c>
      <c r="C20" s="283" t="s">
        <v>1892</v>
      </c>
      <c r="D20" s="106" t="s">
        <v>153</v>
      </c>
      <c r="E20" s="107" t="s">
        <v>1894</v>
      </c>
      <c r="F20" s="281" t="s">
        <v>2653</v>
      </c>
      <c r="G20" s="281" t="s">
        <v>2654</v>
      </c>
      <c r="H20" s="108" t="s">
        <v>1895</v>
      </c>
      <c r="I20" s="108" t="s">
        <v>1896</v>
      </c>
      <c r="J20" s="108" t="s">
        <v>1897</v>
      </c>
      <c r="K20" s="282" t="s">
        <v>1898</v>
      </c>
    </row>
    <row r="21">
      <c r="A21" s="100">
        <v>20.0</v>
      </c>
      <c r="B21" s="133" t="s">
        <v>1904</v>
      </c>
      <c r="C21" s="283" t="s">
        <v>1905</v>
      </c>
      <c r="D21" s="106" t="s">
        <v>499</v>
      </c>
      <c r="E21" s="107" t="s">
        <v>1907</v>
      </c>
      <c r="F21" s="281" t="s">
        <v>2655</v>
      </c>
      <c r="G21" s="281" t="s">
        <v>2656</v>
      </c>
      <c r="H21" s="108" t="s">
        <v>1908</v>
      </c>
      <c r="I21" s="108" t="s">
        <v>1909</v>
      </c>
      <c r="J21" s="146" t="s">
        <v>1910</v>
      </c>
      <c r="K21" s="282" t="s">
        <v>1911</v>
      </c>
    </row>
    <row r="22">
      <c r="A22" s="100">
        <v>21.0</v>
      </c>
      <c r="B22" s="151" t="s">
        <v>1920</v>
      </c>
      <c r="C22" s="283" t="s">
        <v>1921</v>
      </c>
      <c r="D22" s="106" t="s">
        <v>1923</v>
      </c>
      <c r="E22" s="107" t="s">
        <v>1924</v>
      </c>
      <c r="F22" s="281" t="s">
        <v>2657</v>
      </c>
      <c r="G22" s="281" t="s">
        <v>2658</v>
      </c>
      <c r="H22" s="108" t="s">
        <v>1925</v>
      </c>
      <c r="I22" s="108" t="s">
        <v>1926</v>
      </c>
      <c r="J22" s="108" t="s">
        <v>1927</v>
      </c>
      <c r="K22" s="282" t="s">
        <v>1928</v>
      </c>
    </row>
    <row r="23">
      <c r="A23" s="100">
        <v>22.0</v>
      </c>
      <c r="B23" s="151" t="s">
        <v>1949</v>
      </c>
      <c r="C23" s="283" t="s">
        <v>1950</v>
      </c>
      <c r="D23" s="106" t="s">
        <v>1952</v>
      </c>
      <c r="E23" s="107" t="s">
        <v>1953</v>
      </c>
      <c r="F23" s="281" t="s">
        <v>2659</v>
      </c>
      <c r="G23" s="281" t="s">
        <v>2660</v>
      </c>
      <c r="H23" s="108" t="s">
        <v>1954</v>
      </c>
      <c r="I23" s="108" t="s">
        <v>1955</v>
      </c>
      <c r="J23" s="108" t="s">
        <v>1956</v>
      </c>
      <c r="K23" s="282" t="s">
        <v>1957</v>
      </c>
    </row>
    <row r="24">
      <c r="A24" s="100">
        <v>23.0</v>
      </c>
      <c r="B24" s="151" t="s">
        <v>1962</v>
      </c>
      <c r="C24" s="283" t="s">
        <v>1963</v>
      </c>
      <c r="D24" s="106" t="s">
        <v>1965</v>
      </c>
      <c r="E24" s="107" t="s">
        <v>1966</v>
      </c>
      <c r="F24" s="281" t="s">
        <v>2661</v>
      </c>
      <c r="G24" s="281" t="s">
        <v>2662</v>
      </c>
      <c r="H24" s="108" t="s">
        <v>1967</v>
      </c>
      <c r="I24" s="108" t="s">
        <v>1968</v>
      </c>
      <c r="J24" s="108" t="s">
        <v>1969</v>
      </c>
      <c r="K24" s="282" t="s">
        <v>1970</v>
      </c>
    </row>
    <row r="25">
      <c r="A25" s="100">
        <v>24.0</v>
      </c>
      <c r="B25" s="152" t="s">
        <v>1971</v>
      </c>
      <c r="C25" s="283" t="s">
        <v>1972</v>
      </c>
      <c r="D25" s="106" t="s">
        <v>1974</v>
      </c>
      <c r="E25" s="107" t="s">
        <v>1975</v>
      </c>
      <c r="F25" s="281" t="s">
        <v>2663</v>
      </c>
      <c r="G25" s="281" t="s">
        <v>2664</v>
      </c>
      <c r="H25" s="108" t="s">
        <v>1976</v>
      </c>
      <c r="I25" s="108" t="s">
        <v>1977</v>
      </c>
      <c r="J25" s="108" t="s">
        <v>1978</v>
      </c>
      <c r="K25" s="282" t="s">
        <v>1979</v>
      </c>
    </row>
    <row r="26">
      <c r="A26" s="100">
        <v>25.0</v>
      </c>
      <c r="B26" s="127" t="s">
        <v>1983</v>
      </c>
      <c r="C26" s="283" t="s">
        <v>1984</v>
      </c>
      <c r="D26" s="206" t="s">
        <v>1987</v>
      </c>
      <c r="E26" s="107" t="s">
        <v>1988</v>
      </c>
      <c r="F26" s="281" t="s">
        <v>2665</v>
      </c>
      <c r="G26" s="281" t="s">
        <v>2666</v>
      </c>
      <c r="H26" s="108" t="s">
        <v>1989</v>
      </c>
      <c r="I26" s="108" t="s">
        <v>1990</v>
      </c>
      <c r="J26" s="108" t="s">
        <v>1991</v>
      </c>
      <c r="K26" s="282" t="s">
        <v>1992</v>
      </c>
    </row>
    <row r="27">
      <c r="A27" s="100">
        <v>26.0</v>
      </c>
      <c r="B27" s="127" t="s">
        <v>1993</v>
      </c>
      <c r="C27" s="283" t="s">
        <v>1994</v>
      </c>
      <c r="D27" s="206" t="s">
        <v>367</v>
      </c>
      <c r="E27" s="107" t="s">
        <v>1996</v>
      </c>
      <c r="F27" s="281" t="s">
        <v>2667</v>
      </c>
      <c r="G27" s="281" t="s">
        <v>2668</v>
      </c>
      <c r="H27" s="108" t="s">
        <v>1908</v>
      </c>
      <c r="I27" s="108" t="s">
        <v>1997</v>
      </c>
      <c r="J27" s="108" t="s">
        <v>1998</v>
      </c>
      <c r="K27" s="282" t="s">
        <v>1999</v>
      </c>
    </row>
    <row r="28">
      <c r="A28" s="100">
        <v>27.0</v>
      </c>
      <c r="B28" s="151" t="s">
        <v>2000</v>
      </c>
      <c r="C28" s="283" t="s">
        <v>2001</v>
      </c>
      <c r="D28" s="206" t="s">
        <v>196</v>
      </c>
      <c r="E28" s="107" t="s">
        <v>2003</v>
      </c>
      <c r="F28" s="281" t="s">
        <v>2669</v>
      </c>
      <c r="G28" s="281" t="s">
        <v>2670</v>
      </c>
      <c r="H28" s="108" t="s">
        <v>2004</v>
      </c>
      <c r="I28" s="108" t="s">
        <v>2005</v>
      </c>
      <c r="J28" s="124" t="s">
        <v>2006</v>
      </c>
      <c r="K28" s="282" t="s">
        <v>2007</v>
      </c>
    </row>
    <row r="29">
      <c r="A29" s="100">
        <v>28.0</v>
      </c>
      <c r="B29" s="151" t="s">
        <v>2008</v>
      </c>
      <c r="C29" s="283" t="s">
        <v>2009</v>
      </c>
      <c r="D29" s="206" t="s">
        <v>470</v>
      </c>
      <c r="E29" s="107" t="s">
        <v>2011</v>
      </c>
      <c r="F29" s="281" t="s">
        <v>2671</v>
      </c>
      <c r="G29" s="281" t="s">
        <v>2672</v>
      </c>
      <c r="H29" s="108" t="s">
        <v>1577</v>
      </c>
      <c r="I29" s="108" t="s">
        <v>1768</v>
      </c>
      <c r="J29" s="108" t="s">
        <v>2012</v>
      </c>
      <c r="K29" s="282" t="s">
        <v>2013</v>
      </c>
    </row>
    <row r="30">
      <c r="A30" s="100">
        <v>29.0</v>
      </c>
      <c r="B30" s="151" t="s">
        <v>2014</v>
      </c>
      <c r="C30" s="283" t="s">
        <v>2015</v>
      </c>
      <c r="D30" s="206" t="s">
        <v>2017</v>
      </c>
      <c r="E30" s="107" t="s">
        <v>2018</v>
      </c>
      <c r="F30" s="281" t="s">
        <v>2673</v>
      </c>
      <c r="G30" s="281" t="s">
        <v>2674</v>
      </c>
      <c r="H30" s="108" t="s">
        <v>2019</v>
      </c>
      <c r="I30" s="108" t="s">
        <v>2020</v>
      </c>
      <c r="J30" s="108" t="s">
        <v>2021</v>
      </c>
      <c r="K30" s="282" t="s">
        <v>2022</v>
      </c>
    </row>
    <row r="31">
      <c r="A31" s="100">
        <v>30.0</v>
      </c>
      <c r="B31" s="151" t="s">
        <v>2023</v>
      </c>
      <c r="C31" s="283" t="s">
        <v>2024</v>
      </c>
      <c r="D31" s="206" t="s">
        <v>2026</v>
      </c>
      <c r="E31" s="107" t="s">
        <v>2027</v>
      </c>
      <c r="F31" s="281" t="s">
        <v>2675</v>
      </c>
      <c r="G31" s="281" t="s">
        <v>2676</v>
      </c>
      <c r="H31" s="108" t="s">
        <v>1871</v>
      </c>
      <c r="I31" s="108" t="s">
        <v>2028</v>
      </c>
      <c r="J31" s="108" t="s">
        <v>2029</v>
      </c>
      <c r="K31" s="282" t="s">
        <v>2030</v>
      </c>
    </row>
    <row r="32">
      <c r="A32" s="100">
        <v>31.0</v>
      </c>
      <c r="B32" s="133" t="s">
        <v>2035</v>
      </c>
      <c r="C32" s="283" t="s">
        <v>2036</v>
      </c>
      <c r="D32" s="206" t="s">
        <v>2038</v>
      </c>
      <c r="E32" s="107" t="s">
        <v>2039</v>
      </c>
      <c r="F32" s="281" t="s">
        <v>2677</v>
      </c>
      <c r="G32" s="281" t="s">
        <v>2678</v>
      </c>
      <c r="H32" s="108" t="s">
        <v>2040</v>
      </c>
      <c r="I32" s="108" t="s">
        <v>2041</v>
      </c>
      <c r="J32" s="108" t="s">
        <v>2042</v>
      </c>
      <c r="K32" s="282" t="s">
        <v>2043</v>
      </c>
    </row>
    <row r="33">
      <c r="A33" s="100">
        <v>32.0</v>
      </c>
      <c r="B33" s="285" t="s">
        <v>2044</v>
      </c>
      <c r="C33" s="283" t="s">
        <v>2045</v>
      </c>
      <c r="D33" s="287" t="s">
        <v>1414</v>
      </c>
      <c r="E33" s="198" t="s">
        <v>2047</v>
      </c>
      <c r="F33" s="281" t="s">
        <v>2679</v>
      </c>
      <c r="G33" s="281" t="s">
        <v>2680</v>
      </c>
      <c r="H33" s="118" t="s">
        <v>2048</v>
      </c>
      <c r="I33" s="118" t="s">
        <v>2049</v>
      </c>
      <c r="J33" s="108" t="s">
        <v>2050</v>
      </c>
      <c r="K33" s="282" t="s">
        <v>2051</v>
      </c>
    </row>
    <row r="34">
      <c r="A34" s="100">
        <v>33.0</v>
      </c>
      <c r="B34" s="133" t="s">
        <v>2060</v>
      </c>
      <c r="C34" s="283" t="s">
        <v>2061</v>
      </c>
      <c r="D34" s="106" t="s">
        <v>456</v>
      </c>
      <c r="E34" s="107" t="s">
        <v>2063</v>
      </c>
      <c r="F34" s="281" t="s">
        <v>2681</v>
      </c>
      <c r="G34" s="281" t="s">
        <v>2682</v>
      </c>
      <c r="H34" s="108" t="str">
        <f>IFERROR(__xludf.DUMMYFUNCTION("IFERROR(REGEXEXTRACT(TRIM(E34),""^\S+""),"""")
"),"Fares")</f>
        <v>Fares</v>
      </c>
      <c r="I34" s="108" t="str">
        <f>IFERROR(__xludf.DUMMYFUNCTION("IFERROR(TRIM(REGEXREPLACE(TRIM(E34),""^\S+\s*"","""")),"""")
"),"Bugshan")</f>
        <v>Bugshan</v>
      </c>
      <c r="J34" s="108" t="s">
        <v>2064</v>
      </c>
      <c r="K34" s="282" t="s">
        <v>2065</v>
      </c>
    </row>
    <row r="35">
      <c r="A35" s="100">
        <v>34.0</v>
      </c>
      <c r="B35" s="133" t="s">
        <v>2071</v>
      </c>
      <c r="C35" s="283" t="s">
        <v>2072</v>
      </c>
      <c r="D35" s="106" t="s">
        <v>2075</v>
      </c>
      <c r="E35" s="107" t="s">
        <v>2076</v>
      </c>
      <c r="F35" s="281" t="s">
        <v>2683</v>
      </c>
      <c r="G35" s="281" t="s">
        <v>2684</v>
      </c>
      <c r="H35" s="108" t="s">
        <v>2077</v>
      </c>
      <c r="I35" s="108" t="s">
        <v>2078</v>
      </c>
      <c r="J35" s="108" t="s">
        <v>2079</v>
      </c>
      <c r="K35" s="282" t="s">
        <v>2080</v>
      </c>
    </row>
    <row r="36">
      <c r="A36" s="100">
        <v>35.0</v>
      </c>
      <c r="B36" s="151" t="s">
        <v>2089</v>
      </c>
      <c r="C36" s="283" t="s">
        <v>2090</v>
      </c>
      <c r="D36" s="106" t="s">
        <v>827</v>
      </c>
      <c r="E36" s="107" t="s">
        <v>2092</v>
      </c>
      <c r="F36" s="281" t="s">
        <v>2685</v>
      </c>
      <c r="G36" s="281" t="s">
        <v>2686</v>
      </c>
      <c r="H36" s="108" t="s">
        <v>2093</v>
      </c>
      <c r="I36" s="108" t="s">
        <v>2094</v>
      </c>
      <c r="J36" s="108" t="s">
        <v>2095</v>
      </c>
      <c r="K36" s="282" t="s">
        <v>2096</v>
      </c>
    </row>
    <row r="37">
      <c r="A37" s="100">
        <v>36.0</v>
      </c>
      <c r="B37" s="133" t="s">
        <v>2101</v>
      </c>
      <c r="C37" s="283" t="s">
        <v>2102</v>
      </c>
      <c r="D37" s="106" t="s">
        <v>456</v>
      </c>
      <c r="E37" s="107" t="s">
        <v>2104</v>
      </c>
      <c r="F37" s="281" t="s">
        <v>2687</v>
      </c>
      <c r="G37" s="281" t="s">
        <v>2688</v>
      </c>
      <c r="H37" s="108" t="s">
        <v>2105</v>
      </c>
      <c r="I37" s="108" t="s">
        <v>2106</v>
      </c>
      <c r="J37" s="108" t="s">
        <v>2107</v>
      </c>
      <c r="K37" s="282" t="s">
        <v>2108</v>
      </c>
    </row>
    <row r="38">
      <c r="A38" s="100">
        <v>37.0</v>
      </c>
      <c r="B38" s="151" t="s">
        <v>2109</v>
      </c>
      <c r="C38" s="283" t="s">
        <v>2110</v>
      </c>
      <c r="D38" s="106" t="s">
        <v>2112</v>
      </c>
      <c r="E38" s="238" t="s">
        <v>2113</v>
      </c>
      <c r="F38" s="281" t="s">
        <v>2689</v>
      </c>
      <c r="G38" s="281" t="s">
        <v>2690</v>
      </c>
      <c r="H38" s="108" t="s">
        <v>2114</v>
      </c>
      <c r="I38" s="108" t="s">
        <v>2115</v>
      </c>
      <c r="J38" s="108" t="s">
        <v>2116</v>
      </c>
      <c r="K38" s="282" t="s">
        <v>2691</v>
      </c>
    </row>
    <row r="39">
      <c r="A39" s="100">
        <v>38.0</v>
      </c>
      <c r="B39" s="151" t="s">
        <v>2118</v>
      </c>
      <c r="C39" s="283" t="s">
        <v>2119</v>
      </c>
      <c r="D39" s="106" t="s">
        <v>2121</v>
      </c>
      <c r="E39" s="107" t="s">
        <v>2122</v>
      </c>
      <c r="F39" s="288" t="s">
        <v>2692</v>
      </c>
      <c r="G39" s="288" t="s">
        <v>2693</v>
      </c>
      <c r="H39" s="108" t="s">
        <v>285</v>
      </c>
      <c r="I39" s="108" t="s">
        <v>2123</v>
      </c>
      <c r="J39" s="108" t="s">
        <v>2124</v>
      </c>
      <c r="K39" s="282" t="s">
        <v>2125</v>
      </c>
    </row>
    <row r="40">
      <c r="A40" s="100">
        <v>39.0</v>
      </c>
      <c r="B40" s="133" t="s">
        <v>2131</v>
      </c>
      <c r="C40" s="283" t="s">
        <v>2132</v>
      </c>
      <c r="D40" s="106" t="s">
        <v>2134</v>
      </c>
      <c r="E40" s="107" t="s">
        <v>2135</v>
      </c>
      <c r="F40" s="281" t="s">
        <v>2694</v>
      </c>
      <c r="G40" s="281" t="s">
        <v>2695</v>
      </c>
      <c r="H40" s="108" t="str">
        <f>IFERROR(__xludf.DUMMYFUNCTION("IFERROR(REGEXEXTRACT(TRIM(E40),""^\S+""),"""")
"),"Hatan")</f>
        <v>Hatan</v>
      </c>
      <c r="I40" s="108" t="str">
        <f>IFERROR(__xludf.DUMMYFUNCTION("IFERROR(TRIM(REGEXREPLACE(TRIM(E40),""^\S+\s*"","""")),"""")
"),"Bin khalfan")</f>
        <v>Bin khalfan</v>
      </c>
      <c r="J40" s="108" t="s">
        <v>2136</v>
      </c>
      <c r="K40" s="282" t="s">
        <v>2137</v>
      </c>
    </row>
    <row r="41">
      <c r="A41" s="100">
        <v>40.0</v>
      </c>
      <c r="B41" s="151" t="s">
        <v>2138</v>
      </c>
      <c r="C41" s="283" t="s">
        <v>2139</v>
      </c>
      <c r="D41" s="206" t="s">
        <v>993</v>
      </c>
      <c r="E41" s="107" t="s">
        <v>2141</v>
      </c>
      <c r="F41" s="281" t="s">
        <v>2696</v>
      </c>
      <c r="G41" s="281" t="s">
        <v>2697</v>
      </c>
      <c r="H41" s="108" t="s">
        <v>2142</v>
      </c>
      <c r="I41" s="108" t="s">
        <v>2143</v>
      </c>
      <c r="J41" s="108" t="s">
        <v>2144</v>
      </c>
      <c r="K41" s="282" t="s">
        <v>2145</v>
      </c>
    </row>
    <row r="42">
      <c r="A42" s="100">
        <v>41.0</v>
      </c>
      <c r="B42" s="133" t="s">
        <v>2163</v>
      </c>
      <c r="C42" s="283" t="s">
        <v>2164</v>
      </c>
      <c r="D42" s="206" t="s">
        <v>2166</v>
      </c>
      <c r="E42" s="107" t="s">
        <v>2167</v>
      </c>
      <c r="F42" s="281" t="s">
        <v>2698</v>
      </c>
      <c r="G42" s="281" t="s">
        <v>2699</v>
      </c>
      <c r="H42" s="108" t="s">
        <v>2168</v>
      </c>
      <c r="I42" s="108" t="s">
        <v>2169</v>
      </c>
      <c r="J42" s="124" t="s">
        <v>2170</v>
      </c>
      <c r="K42" s="282" t="s">
        <v>2171</v>
      </c>
    </row>
    <row r="43">
      <c r="A43" s="100">
        <v>42.0</v>
      </c>
      <c r="B43" s="151" t="s">
        <v>2172</v>
      </c>
      <c r="C43" s="283" t="s">
        <v>2173</v>
      </c>
      <c r="D43" s="206" t="s">
        <v>1414</v>
      </c>
      <c r="E43" s="107" t="s">
        <v>2175</v>
      </c>
      <c r="F43" s="281" t="s">
        <v>2700</v>
      </c>
      <c r="G43" s="281" t="s">
        <v>2701</v>
      </c>
      <c r="H43" s="108" t="s">
        <v>2175</v>
      </c>
      <c r="I43" s="108" t="s">
        <v>2176</v>
      </c>
      <c r="J43" s="108" t="s">
        <v>2177</v>
      </c>
      <c r="K43" s="282" t="s">
        <v>2178</v>
      </c>
    </row>
    <row r="44">
      <c r="A44" s="100">
        <v>43.0</v>
      </c>
      <c r="B44" s="133" t="s">
        <v>2184</v>
      </c>
      <c r="C44" s="283" t="s">
        <v>2185</v>
      </c>
      <c r="D44" s="206" t="s">
        <v>2188</v>
      </c>
      <c r="E44" s="107" t="s">
        <v>2189</v>
      </c>
      <c r="F44" s="281" t="s">
        <v>2702</v>
      </c>
      <c r="G44" s="281" t="s">
        <v>2703</v>
      </c>
      <c r="H44" s="108" t="s">
        <v>2190</v>
      </c>
      <c r="I44" s="108" t="s">
        <v>2191</v>
      </c>
      <c r="J44" s="108" t="s">
        <v>2192</v>
      </c>
      <c r="K44" s="282" t="s">
        <v>2193</v>
      </c>
    </row>
    <row r="45">
      <c r="A45" s="100">
        <v>44.0</v>
      </c>
      <c r="B45" s="127" t="s">
        <v>2204</v>
      </c>
      <c r="C45" s="283" t="s">
        <v>2205</v>
      </c>
      <c r="D45" s="206" t="s">
        <v>2207</v>
      </c>
      <c r="E45" s="107" t="s">
        <v>2208</v>
      </c>
      <c r="F45" s="281" t="s">
        <v>2704</v>
      </c>
      <c r="G45" s="281" t="s">
        <v>2705</v>
      </c>
      <c r="H45" s="108" t="s">
        <v>2209</v>
      </c>
      <c r="I45" s="108" t="s">
        <v>2210</v>
      </c>
      <c r="J45" s="108" t="s">
        <v>2211</v>
      </c>
      <c r="K45" s="282" t="s">
        <v>2212</v>
      </c>
    </row>
    <row r="46">
      <c r="A46" s="100">
        <v>45.0</v>
      </c>
      <c r="B46" s="127" t="s">
        <v>2213</v>
      </c>
      <c r="C46" s="283" t="s">
        <v>2214</v>
      </c>
      <c r="D46" s="206" t="s">
        <v>1414</v>
      </c>
      <c r="E46" s="107" t="s">
        <v>2216</v>
      </c>
      <c r="F46" s="281" t="s">
        <v>2706</v>
      </c>
      <c r="G46" s="281" t="s">
        <v>2707</v>
      </c>
      <c r="H46" s="108" t="s">
        <v>2217</v>
      </c>
      <c r="I46" s="108" t="s">
        <v>2218</v>
      </c>
      <c r="J46" s="108" t="s">
        <v>2219</v>
      </c>
      <c r="K46" s="282" t="s">
        <v>2220</v>
      </c>
    </row>
    <row r="47">
      <c r="A47" s="100">
        <v>46.0</v>
      </c>
      <c r="B47" s="245" t="s">
        <v>2231</v>
      </c>
      <c r="C47" s="283" t="s">
        <v>2232</v>
      </c>
      <c r="D47" s="206" t="s">
        <v>257</v>
      </c>
      <c r="E47" s="107" t="s">
        <v>2231</v>
      </c>
      <c r="F47" s="281" t="s">
        <v>2708</v>
      </c>
      <c r="G47" s="281" t="s">
        <v>2709</v>
      </c>
      <c r="H47" s="108" t="s">
        <v>2234</v>
      </c>
      <c r="I47" s="108" t="s">
        <v>2235</v>
      </c>
      <c r="J47" s="108" t="s">
        <v>2236</v>
      </c>
      <c r="K47" s="282" t="s">
        <v>2232</v>
      </c>
    </row>
    <row r="48">
      <c r="A48" s="100">
        <v>47.0</v>
      </c>
      <c r="B48" s="248" t="s">
        <v>2237</v>
      </c>
      <c r="C48" s="283" t="s">
        <v>2238</v>
      </c>
      <c r="D48" s="206" t="s">
        <v>168</v>
      </c>
      <c r="E48" s="107" t="s">
        <v>2240</v>
      </c>
      <c r="F48" s="289" t="s">
        <v>2710</v>
      </c>
      <c r="G48" s="289" t="s">
        <v>2711</v>
      </c>
      <c r="H48" s="108" t="s">
        <v>2241</v>
      </c>
      <c r="I48" s="108" t="s">
        <v>2242</v>
      </c>
      <c r="J48" s="108" t="s">
        <v>2243</v>
      </c>
      <c r="K48" s="282" t="s">
        <v>2244</v>
      </c>
    </row>
    <row r="49">
      <c r="A49" s="100">
        <v>48.0</v>
      </c>
      <c r="B49" s="245" t="s">
        <v>2249</v>
      </c>
      <c r="C49" s="283" t="s">
        <v>2250</v>
      </c>
      <c r="D49" s="206" t="s">
        <v>499</v>
      </c>
      <c r="E49" s="107" t="s">
        <v>2252</v>
      </c>
      <c r="F49" s="281" t="s">
        <v>2712</v>
      </c>
      <c r="G49" s="281" t="s">
        <v>2713</v>
      </c>
      <c r="H49" s="108" t="s">
        <v>2253</v>
      </c>
      <c r="I49" s="108" t="s">
        <v>1245</v>
      </c>
      <c r="J49" s="108" t="s">
        <v>2254</v>
      </c>
      <c r="K49" s="282" t="s">
        <v>2255</v>
      </c>
    </row>
    <row r="50">
      <c r="A50" s="100">
        <v>49.0</v>
      </c>
      <c r="B50" s="245" t="s">
        <v>2256</v>
      </c>
      <c r="C50" s="283" t="s">
        <v>2257</v>
      </c>
      <c r="D50" s="206" t="s">
        <v>897</v>
      </c>
      <c r="E50" s="107" t="s">
        <v>2259</v>
      </c>
      <c r="F50" s="281" t="s">
        <v>2714</v>
      </c>
      <c r="G50" s="281" t="s">
        <v>2715</v>
      </c>
      <c r="H50" s="108" t="s">
        <v>2260</v>
      </c>
      <c r="I50" s="108" t="s">
        <v>387</v>
      </c>
      <c r="J50" s="108" t="s">
        <v>2261</v>
      </c>
      <c r="K50" s="282" t="s">
        <v>2262</v>
      </c>
    </row>
    <row r="51">
      <c r="A51" s="100">
        <v>50.0</v>
      </c>
      <c r="B51" s="245" t="s">
        <v>2267</v>
      </c>
      <c r="C51" s="283" t="s">
        <v>2268</v>
      </c>
      <c r="D51" s="206" t="s">
        <v>993</v>
      </c>
      <c r="E51" s="107" t="s">
        <v>2270</v>
      </c>
      <c r="F51" s="281" t="s">
        <v>2716</v>
      </c>
      <c r="G51" s="281" t="s">
        <v>2717</v>
      </c>
      <c r="H51" s="108" t="s">
        <v>2271</v>
      </c>
      <c r="I51" s="108" t="s">
        <v>2272</v>
      </c>
      <c r="J51" s="108" t="s">
        <v>2273</v>
      </c>
      <c r="K51" s="282" t="s">
        <v>2274</v>
      </c>
    </row>
    <row r="52">
      <c r="A52" s="100">
        <v>51.0</v>
      </c>
      <c r="B52" s="245" t="s">
        <v>2275</v>
      </c>
      <c r="C52" s="283" t="s">
        <v>2276</v>
      </c>
      <c r="D52" s="206" t="s">
        <v>2278</v>
      </c>
      <c r="E52" s="107" t="s">
        <v>2279</v>
      </c>
      <c r="F52" s="281" t="s">
        <v>2718</v>
      </c>
      <c r="G52" s="281" t="s">
        <v>2719</v>
      </c>
      <c r="H52" s="108" t="s">
        <v>2280</v>
      </c>
      <c r="I52" s="108" t="s">
        <v>2281</v>
      </c>
      <c r="J52" s="108" t="s">
        <v>2282</v>
      </c>
      <c r="K52" s="282" t="s">
        <v>2283</v>
      </c>
    </row>
    <row r="53">
      <c r="A53" s="100">
        <v>52.0</v>
      </c>
      <c r="B53" s="245" t="s">
        <v>2284</v>
      </c>
      <c r="C53" s="290" t="s">
        <v>2285</v>
      </c>
      <c r="D53" s="206" t="s">
        <v>2288</v>
      </c>
      <c r="E53" s="107" t="s">
        <v>2289</v>
      </c>
      <c r="F53" s="281" t="s">
        <v>2720</v>
      </c>
      <c r="G53" s="281" t="s">
        <v>2721</v>
      </c>
      <c r="H53" s="108" t="s">
        <v>2290</v>
      </c>
      <c r="I53" s="108" t="s">
        <v>2291</v>
      </c>
      <c r="J53" s="108" t="s">
        <v>2292</v>
      </c>
      <c r="K53" s="282" t="s">
        <v>2293</v>
      </c>
    </row>
    <row r="54">
      <c r="A54" s="100">
        <v>53.0</v>
      </c>
      <c r="B54" s="245" t="s">
        <v>2294</v>
      </c>
      <c r="C54" s="283" t="s">
        <v>2295</v>
      </c>
      <c r="D54" s="291" t="s">
        <v>2297</v>
      </c>
      <c r="E54" s="292" t="s">
        <v>2298</v>
      </c>
      <c r="F54" s="281" t="s">
        <v>2722</v>
      </c>
      <c r="G54" s="281" t="s">
        <v>2723</v>
      </c>
      <c r="H54" s="192" t="s">
        <v>2299</v>
      </c>
      <c r="I54" s="192" t="s">
        <v>2300</v>
      </c>
      <c r="J54" s="192" t="s">
        <v>2301</v>
      </c>
      <c r="K54" s="282" t="s">
        <v>2302</v>
      </c>
    </row>
    <row r="55">
      <c r="A55" s="100">
        <v>54.0</v>
      </c>
      <c r="B55" s="245" t="s">
        <v>2303</v>
      </c>
      <c r="C55" s="283" t="s">
        <v>2304</v>
      </c>
      <c r="D55" s="293" t="s">
        <v>257</v>
      </c>
      <c r="E55" s="294" t="s">
        <v>2303</v>
      </c>
      <c r="F55" s="281" t="s">
        <v>2724</v>
      </c>
      <c r="G55" s="295" t="s">
        <v>2725</v>
      </c>
      <c r="H55" s="296" t="s">
        <v>2307</v>
      </c>
      <c r="I55" s="297" t="s">
        <v>2308</v>
      </c>
      <c r="J55" s="297" t="s">
        <v>2309</v>
      </c>
      <c r="K55" s="298" t="s">
        <v>2304</v>
      </c>
    </row>
    <row r="56">
      <c r="A56" s="100">
        <v>55.0</v>
      </c>
      <c r="B56" s="245" t="s">
        <v>2310</v>
      </c>
      <c r="C56" s="283" t="s">
        <v>2311</v>
      </c>
      <c r="D56" s="293" t="s">
        <v>257</v>
      </c>
      <c r="E56" s="294" t="s">
        <v>2310</v>
      </c>
      <c r="F56" s="281" t="s">
        <v>2726</v>
      </c>
      <c r="G56" s="281" t="s">
        <v>2727</v>
      </c>
      <c r="H56" s="299" t="s">
        <v>2314</v>
      </c>
      <c r="I56" s="192" t="s">
        <v>2315</v>
      </c>
      <c r="J56" s="192" t="s">
        <v>2316</v>
      </c>
      <c r="K56" s="282" t="s">
        <v>2311</v>
      </c>
    </row>
    <row r="57">
      <c r="A57" s="100">
        <v>56.0</v>
      </c>
      <c r="B57" s="245" t="s">
        <v>2317</v>
      </c>
      <c r="C57" s="283" t="s">
        <v>2318</v>
      </c>
      <c r="D57" s="293" t="s">
        <v>257</v>
      </c>
      <c r="E57" s="294" t="s">
        <v>2317</v>
      </c>
      <c r="F57" s="281" t="s">
        <v>2728</v>
      </c>
      <c r="G57" s="281" t="s">
        <v>2729</v>
      </c>
      <c r="H57" s="299" t="s">
        <v>2320</v>
      </c>
      <c r="I57" s="192" t="s">
        <v>2315</v>
      </c>
      <c r="J57" s="192" t="s">
        <v>2321</v>
      </c>
      <c r="K57" s="282" t="s">
        <v>2318</v>
      </c>
    </row>
    <row r="58">
      <c r="A58" s="300">
        <v>57.0</v>
      </c>
      <c r="B58" s="301" t="s">
        <v>2346</v>
      </c>
      <c r="C58" s="302" t="s">
        <v>2347</v>
      </c>
      <c r="D58" s="293" t="s">
        <v>827</v>
      </c>
      <c r="E58" s="294" t="s">
        <v>2350</v>
      </c>
      <c r="F58" s="281" t="s">
        <v>2730</v>
      </c>
      <c r="G58" s="281" t="s">
        <v>2731</v>
      </c>
      <c r="H58" s="299" t="s">
        <v>734</v>
      </c>
      <c r="I58" s="192" t="s">
        <v>2351</v>
      </c>
      <c r="J58" s="192" t="s">
        <v>2352</v>
      </c>
      <c r="K58" s="303" t="s">
        <v>2353</v>
      </c>
    </row>
    <row r="59">
      <c r="A59" s="100">
        <v>58.0</v>
      </c>
      <c r="B59" s="301" t="s">
        <v>2354</v>
      </c>
      <c r="C59" s="302" t="s">
        <v>2355</v>
      </c>
      <c r="D59" s="293" t="s">
        <v>196</v>
      </c>
      <c r="E59" s="294" t="s">
        <v>2357</v>
      </c>
      <c r="F59" s="281" t="s">
        <v>2732</v>
      </c>
      <c r="G59" s="281" t="s">
        <v>2733</v>
      </c>
      <c r="H59" s="299" t="s">
        <v>2358</v>
      </c>
      <c r="I59" s="192" t="s">
        <v>2359</v>
      </c>
      <c r="J59" s="192" t="s">
        <v>2360</v>
      </c>
      <c r="K59" s="303" t="s">
        <v>2361</v>
      </c>
    </row>
    <row r="60">
      <c r="A60" s="223">
        <v>59.0</v>
      </c>
      <c r="B60" s="304" t="s">
        <v>2370</v>
      </c>
      <c r="C60" s="305" t="s">
        <v>2371</v>
      </c>
      <c r="D60" s="270" t="s">
        <v>1431</v>
      </c>
      <c r="E60" s="292" t="s">
        <v>2373</v>
      </c>
      <c r="F60" s="281" t="s">
        <v>2734</v>
      </c>
      <c r="G60" s="281" t="s">
        <v>2735</v>
      </c>
      <c r="H60" s="299" t="s">
        <v>526</v>
      </c>
      <c r="I60" s="192" t="s">
        <v>2374</v>
      </c>
      <c r="J60" s="192" t="s">
        <v>2375</v>
      </c>
      <c r="K60" s="257" t="s">
        <v>2376</v>
      </c>
      <c r="L60" s="306"/>
      <c r="M60" s="306"/>
      <c r="N60" s="306"/>
      <c r="O60" s="306"/>
      <c r="P60" s="306"/>
      <c r="Q60" s="306"/>
      <c r="R60" s="306"/>
      <c r="S60" s="306"/>
      <c r="T60" s="306"/>
      <c r="U60" s="306"/>
      <c r="V60" s="306"/>
      <c r="W60" s="306"/>
      <c r="X60" s="306"/>
      <c r="Y60" s="306"/>
      <c r="Z60" s="306"/>
    </row>
    <row r="61">
      <c r="A61" s="223">
        <v>60.0</v>
      </c>
      <c r="B61" s="304" t="s">
        <v>2377</v>
      </c>
      <c r="C61" s="307" t="s">
        <v>2378</v>
      </c>
      <c r="D61" s="148" t="s">
        <v>2380</v>
      </c>
      <c r="E61" s="292" t="s">
        <v>2381</v>
      </c>
      <c r="F61" s="281" t="s">
        <v>2736</v>
      </c>
      <c r="G61" s="281" t="s">
        <v>2737</v>
      </c>
      <c r="H61" s="299" t="s">
        <v>889</v>
      </c>
      <c r="I61" s="192" t="s">
        <v>2382</v>
      </c>
      <c r="J61" s="192" t="s">
        <v>2383</v>
      </c>
      <c r="K61" s="257" t="s">
        <v>2384</v>
      </c>
      <c r="L61" s="306"/>
      <c r="M61" s="306"/>
      <c r="N61" s="306"/>
      <c r="O61" s="306"/>
      <c r="P61" s="306"/>
      <c r="Q61" s="306"/>
      <c r="R61" s="306"/>
      <c r="S61" s="306"/>
      <c r="T61" s="306"/>
      <c r="U61" s="306"/>
      <c r="V61" s="306"/>
      <c r="W61" s="306"/>
      <c r="X61" s="306"/>
      <c r="Y61" s="306"/>
      <c r="Z61" s="306"/>
    </row>
    <row r="62">
      <c r="A62" s="223">
        <v>61.0</v>
      </c>
      <c r="B62" s="304" t="s">
        <v>2385</v>
      </c>
      <c r="C62" s="305" t="s">
        <v>2386</v>
      </c>
      <c r="D62" s="270" t="s">
        <v>1431</v>
      </c>
      <c r="E62" s="292" t="s">
        <v>2388</v>
      </c>
      <c r="F62" s="281" t="s">
        <v>2738</v>
      </c>
      <c r="G62" s="281" t="s">
        <v>2739</v>
      </c>
      <c r="H62" s="299" t="s">
        <v>2389</v>
      </c>
      <c r="I62" s="192" t="s">
        <v>2390</v>
      </c>
      <c r="J62" s="192" t="s">
        <v>2391</v>
      </c>
      <c r="K62" s="257" t="s">
        <v>2392</v>
      </c>
      <c r="L62" s="306"/>
      <c r="M62" s="306"/>
      <c r="N62" s="306"/>
      <c r="O62" s="306"/>
      <c r="P62" s="306"/>
      <c r="Q62" s="306"/>
      <c r="R62" s="306"/>
      <c r="S62" s="306"/>
      <c r="T62" s="306"/>
      <c r="U62" s="306"/>
      <c r="V62" s="306"/>
      <c r="W62" s="306"/>
      <c r="X62" s="306"/>
      <c r="Y62" s="306"/>
      <c r="Z62" s="306"/>
    </row>
    <row r="63">
      <c r="A63" s="223">
        <v>62.0</v>
      </c>
      <c r="B63" s="304" t="s">
        <v>2393</v>
      </c>
      <c r="C63" s="307" t="s">
        <v>2394</v>
      </c>
      <c r="D63" s="148" t="s">
        <v>2396</v>
      </c>
      <c r="E63" s="292" t="s">
        <v>2397</v>
      </c>
      <c r="F63" s="281" t="s">
        <v>2740</v>
      </c>
      <c r="G63" s="281" t="s">
        <v>2741</v>
      </c>
      <c r="H63" s="299" t="s">
        <v>2398</v>
      </c>
      <c r="I63" s="192" t="s">
        <v>2399</v>
      </c>
      <c r="J63" s="192" t="s">
        <v>2400</v>
      </c>
      <c r="K63" s="257" t="s">
        <v>2401</v>
      </c>
      <c r="L63" s="306"/>
      <c r="M63" s="306"/>
      <c r="N63" s="306"/>
      <c r="O63" s="306"/>
      <c r="P63" s="306"/>
      <c r="Q63" s="306"/>
      <c r="R63" s="306"/>
      <c r="S63" s="306"/>
      <c r="T63" s="306"/>
      <c r="U63" s="306"/>
      <c r="V63" s="306"/>
      <c r="W63" s="306"/>
      <c r="X63" s="306"/>
      <c r="Y63" s="306"/>
      <c r="Z63" s="306"/>
    </row>
    <row r="64">
      <c r="A64" s="223">
        <v>63.0</v>
      </c>
      <c r="B64" s="304" t="s">
        <v>2402</v>
      </c>
      <c r="C64" s="305" t="s">
        <v>2403</v>
      </c>
      <c r="D64" s="270" t="s">
        <v>168</v>
      </c>
      <c r="E64" s="292" t="s">
        <v>2406</v>
      </c>
      <c r="F64" s="281" t="s">
        <v>2742</v>
      </c>
      <c r="G64" s="281" t="s">
        <v>2743</v>
      </c>
      <c r="H64" s="299" t="s">
        <v>2407</v>
      </c>
      <c r="I64" s="192" t="s">
        <v>2408</v>
      </c>
      <c r="J64" s="192" t="s">
        <v>2409</v>
      </c>
      <c r="K64" s="257" t="s">
        <v>2410</v>
      </c>
      <c r="L64" s="306"/>
      <c r="M64" s="306"/>
      <c r="N64" s="306"/>
      <c r="O64" s="306"/>
      <c r="P64" s="306"/>
      <c r="Q64" s="306"/>
      <c r="R64" s="306"/>
      <c r="S64" s="306"/>
      <c r="T64" s="306"/>
      <c r="U64" s="306"/>
      <c r="V64" s="306"/>
      <c r="W64" s="306"/>
      <c r="X64" s="306"/>
      <c r="Y64" s="306"/>
      <c r="Z64" s="306"/>
    </row>
    <row r="65">
      <c r="A65" s="223">
        <v>64.0</v>
      </c>
      <c r="B65" s="304" t="s">
        <v>2411</v>
      </c>
      <c r="C65" s="307" t="s">
        <v>2412</v>
      </c>
      <c r="D65" s="148" t="s">
        <v>181</v>
      </c>
      <c r="E65" s="292" t="s">
        <v>2414</v>
      </c>
      <c r="F65" s="281" t="s">
        <v>2744</v>
      </c>
      <c r="G65" s="281" t="s">
        <v>2745</v>
      </c>
      <c r="H65" s="299" t="s">
        <v>2415</v>
      </c>
      <c r="I65" s="192" t="s">
        <v>2416</v>
      </c>
      <c r="J65" s="192" t="s">
        <v>2417</v>
      </c>
      <c r="K65" s="257" t="s">
        <v>2418</v>
      </c>
      <c r="L65" s="306"/>
      <c r="M65" s="306"/>
      <c r="N65" s="306"/>
      <c r="O65" s="306"/>
      <c r="P65" s="306"/>
      <c r="Q65" s="306"/>
      <c r="R65" s="306"/>
      <c r="S65" s="306"/>
      <c r="T65" s="306"/>
      <c r="U65" s="306"/>
      <c r="V65" s="306"/>
      <c r="W65" s="306"/>
      <c r="X65" s="306"/>
      <c r="Y65" s="306"/>
      <c r="Z65" s="306"/>
    </row>
    <row r="66">
      <c r="A66" s="223">
        <v>65.0</v>
      </c>
      <c r="B66" s="304" t="s">
        <v>2419</v>
      </c>
      <c r="C66" s="305" t="s">
        <v>2420</v>
      </c>
      <c r="D66" s="270" t="s">
        <v>168</v>
      </c>
      <c r="E66" s="292" t="s">
        <v>2422</v>
      </c>
      <c r="F66" s="281" t="s">
        <v>2746</v>
      </c>
      <c r="G66" s="281" t="s">
        <v>2747</v>
      </c>
      <c r="H66" s="299" t="s">
        <v>2423</v>
      </c>
      <c r="I66" s="192" t="s">
        <v>2424</v>
      </c>
      <c r="J66" s="192" t="s">
        <v>2425</v>
      </c>
      <c r="K66" s="257" t="s">
        <v>2426</v>
      </c>
      <c r="L66" s="306"/>
      <c r="M66" s="306"/>
      <c r="N66" s="306"/>
      <c r="O66" s="306"/>
      <c r="P66" s="306"/>
      <c r="Q66" s="306"/>
      <c r="R66" s="306"/>
      <c r="S66" s="306"/>
      <c r="T66" s="306"/>
      <c r="U66" s="306"/>
      <c r="V66" s="306"/>
      <c r="W66" s="306"/>
      <c r="X66" s="306"/>
      <c r="Y66" s="306"/>
      <c r="Z66" s="306"/>
    </row>
    <row r="67">
      <c r="A67" s="223">
        <v>66.0</v>
      </c>
      <c r="B67" s="304" t="s">
        <v>2427</v>
      </c>
      <c r="C67" s="307" t="s">
        <v>2428</v>
      </c>
      <c r="D67" s="148" t="s">
        <v>1349</v>
      </c>
      <c r="E67" s="292" t="s">
        <v>2430</v>
      </c>
      <c r="F67" s="281" t="s">
        <v>2748</v>
      </c>
      <c r="G67" s="281" t="s">
        <v>2749</v>
      </c>
      <c r="H67" s="299" t="s">
        <v>333</v>
      </c>
      <c r="I67" s="192" t="s">
        <v>2431</v>
      </c>
      <c r="J67" s="192" t="s">
        <v>2432</v>
      </c>
      <c r="K67" s="257" t="s">
        <v>2433</v>
      </c>
      <c r="L67" s="306"/>
      <c r="M67" s="306"/>
      <c r="N67" s="306"/>
      <c r="O67" s="306"/>
      <c r="P67" s="306"/>
      <c r="Q67" s="306"/>
      <c r="R67" s="306"/>
      <c r="S67" s="306"/>
      <c r="T67" s="306"/>
      <c r="U67" s="306"/>
      <c r="V67" s="306"/>
      <c r="W67" s="306"/>
      <c r="X67" s="306"/>
      <c r="Y67" s="306"/>
      <c r="Z67" s="306"/>
    </row>
    <row r="68">
      <c r="A68" s="223">
        <v>67.0</v>
      </c>
      <c r="B68" s="304" t="s">
        <v>2434</v>
      </c>
      <c r="C68" s="305" t="s">
        <v>2435</v>
      </c>
      <c r="D68" s="270" t="s">
        <v>2437</v>
      </c>
      <c r="E68" s="292" t="s">
        <v>2438</v>
      </c>
      <c r="F68" s="281" t="s">
        <v>2750</v>
      </c>
      <c r="G68" s="281" t="s">
        <v>2751</v>
      </c>
      <c r="H68" s="299" t="s">
        <v>2439</v>
      </c>
      <c r="I68" s="192" t="s">
        <v>2351</v>
      </c>
      <c r="J68" s="192" t="s">
        <v>2440</v>
      </c>
      <c r="K68" s="257" t="s">
        <v>2441</v>
      </c>
      <c r="L68" s="306"/>
      <c r="M68" s="306"/>
      <c r="N68" s="306"/>
      <c r="O68" s="306"/>
      <c r="P68" s="306"/>
      <c r="Q68" s="306"/>
      <c r="R68" s="306"/>
      <c r="S68" s="306"/>
      <c r="T68" s="306"/>
      <c r="U68" s="306"/>
      <c r="V68" s="306"/>
      <c r="W68" s="306"/>
      <c r="X68" s="306"/>
      <c r="Y68" s="306"/>
      <c r="Z68" s="306"/>
    </row>
    <row r="69">
      <c r="A69" s="223">
        <v>68.0</v>
      </c>
      <c r="B69" s="304" t="s">
        <v>2442</v>
      </c>
      <c r="C69" s="307" t="s">
        <v>2443</v>
      </c>
      <c r="D69" s="148" t="s">
        <v>339</v>
      </c>
      <c r="E69" s="292" t="s">
        <v>2445</v>
      </c>
      <c r="F69" s="281" t="s">
        <v>2752</v>
      </c>
      <c r="G69" s="281" t="s">
        <v>2753</v>
      </c>
      <c r="H69" s="299" t="s">
        <v>332</v>
      </c>
      <c r="I69" s="192" t="s">
        <v>2446</v>
      </c>
      <c r="J69" s="192" t="s">
        <v>2447</v>
      </c>
      <c r="K69" s="257" t="s">
        <v>2448</v>
      </c>
      <c r="L69" s="306"/>
      <c r="M69" s="306"/>
      <c r="N69" s="306"/>
      <c r="O69" s="306"/>
      <c r="P69" s="306"/>
      <c r="Q69" s="306"/>
      <c r="R69" s="306"/>
      <c r="S69" s="306"/>
      <c r="T69" s="306"/>
      <c r="U69" s="306"/>
      <c r="V69" s="306"/>
      <c r="W69" s="306"/>
      <c r="X69" s="306"/>
      <c r="Y69" s="306"/>
      <c r="Z69" s="306"/>
    </row>
    <row r="70">
      <c r="A70" s="223">
        <v>69.0</v>
      </c>
      <c r="B70" s="304" t="s">
        <v>2449</v>
      </c>
      <c r="C70" s="305" t="s">
        <v>2450</v>
      </c>
      <c r="D70" s="270" t="s">
        <v>1118</v>
      </c>
      <c r="E70" s="292" t="s">
        <v>2452</v>
      </c>
      <c r="F70" s="281" t="s">
        <v>2754</v>
      </c>
      <c r="G70" s="281" t="s">
        <v>2755</v>
      </c>
      <c r="H70" s="299" t="s">
        <v>2453</v>
      </c>
      <c r="I70" s="192" t="s">
        <v>2454</v>
      </c>
      <c r="J70" s="192" t="s">
        <v>2455</v>
      </c>
      <c r="K70" s="257" t="s">
        <v>2456</v>
      </c>
      <c r="L70" s="306"/>
      <c r="M70" s="306"/>
      <c r="N70" s="306"/>
      <c r="O70" s="306"/>
      <c r="P70" s="306"/>
      <c r="Q70" s="306"/>
      <c r="R70" s="306"/>
      <c r="S70" s="306"/>
      <c r="T70" s="306"/>
      <c r="U70" s="306"/>
      <c r="V70" s="306"/>
      <c r="W70" s="306"/>
      <c r="X70" s="306"/>
      <c r="Y70" s="306"/>
      <c r="Z70" s="306"/>
    </row>
    <row r="71">
      <c r="A71" s="223">
        <v>70.0</v>
      </c>
      <c r="B71" s="304" t="s">
        <v>2457</v>
      </c>
      <c r="C71" s="307" t="s">
        <v>2458</v>
      </c>
      <c r="D71" s="148" t="s">
        <v>2460</v>
      </c>
      <c r="E71" s="292" t="s">
        <v>2461</v>
      </c>
      <c r="F71" s="281" t="s">
        <v>2756</v>
      </c>
      <c r="G71" s="281" t="s">
        <v>2757</v>
      </c>
      <c r="H71" s="299" t="s">
        <v>2462</v>
      </c>
      <c r="I71" s="192" t="s">
        <v>2463</v>
      </c>
      <c r="J71" s="192" t="s">
        <v>2464</v>
      </c>
      <c r="K71" s="257" t="s">
        <v>2465</v>
      </c>
      <c r="L71" s="306"/>
      <c r="M71" s="306"/>
      <c r="N71" s="306"/>
      <c r="O71" s="306"/>
      <c r="P71" s="306"/>
      <c r="Q71" s="306"/>
      <c r="R71" s="306"/>
      <c r="S71" s="306"/>
      <c r="T71" s="306"/>
      <c r="U71" s="306"/>
      <c r="V71" s="306"/>
      <c r="W71" s="306"/>
      <c r="X71" s="306"/>
      <c r="Y71" s="306"/>
      <c r="Z71" s="306"/>
    </row>
    <row r="72">
      <c r="A72" s="223">
        <v>71.0</v>
      </c>
      <c r="B72" s="304" t="s">
        <v>2466</v>
      </c>
      <c r="C72" s="307" t="s">
        <v>2467</v>
      </c>
      <c r="D72" s="148" t="s">
        <v>1067</v>
      </c>
      <c r="E72" s="292" t="s">
        <v>2470</v>
      </c>
      <c r="F72" s="281" t="s">
        <v>2758</v>
      </c>
      <c r="G72" s="281" t="s">
        <v>2759</v>
      </c>
      <c r="H72" s="299" t="s">
        <v>2471</v>
      </c>
      <c r="I72" s="192" t="s">
        <v>2472</v>
      </c>
      <c r="J72" s="192" t="s">
        <v>2473</v>
      </c>
      <c r="K72" s="257" t="s">
        <v>2474</v>
      </c>
      <c r="L72" s="306"/>
      <c r="M72" s="306"/>
      <c r="N72" s="306"/>
      <c r="O72" s="306"/>
      <c r="P72" s="306"/>
      <c r="Q72" s="306"/>
      <c r="R72" s="306"/>
      <c r="S72" s="306"/>
      <c r="T72" s="306"/>
      <c r="U72" s="306"/>
      <c r="V72" s="306"/>
      <c r="W72" s="306"/>
      <c r="X72" s="306"/>
      <c r="Y72" s="306"/>
      <c r="Z72" s="306"/>
    </row>
    <row r="73">
      <c r="A73" s="223">
        <v>72.0</v>
      </c>
      <c r="B73" s="304" t="s">
        <v>2475</v>
      </c>
      <c r="C73" s="307" t="s">
        <v>2476</v>
      </c>
      <c r="D73" s="148" t="s">
        <v>2478</v>
      </c>
      <c r="E73" s="292" t="s">
        <v>2479</v>
      </c>
      <c r="F73" s="281" t="s">
        <v>2760</v>
      </c>
      <c r="G73" s="281" t="s">
        <v>2761</v>
      </c>
      <c r="H73" s="299" t="s">
        <v>2480</v>
      </c>
      <c r="I73" s="192" t="s">
        <v>2481</v>
      </c>
      <c r="J73" s="192" t="s">
        <v>2482</v>
      </c>
      <c r="K73" s="257" t="s">
        <v>2483</v>
      </c>
      <c r="L73" s="306"/>
      <c r="M73" s="306"/>
      <c r="N73" s="306"/>
      <c r="O73" s="306"/>
      <c r="P73" s="306"/>
      <c r="Q73" s="306"/>
      <c r="R73" s="306"/>
      <c r="S73" s="306"/>
      <c r="T73" s="306"/>
      <c r="U73" s="306"/>
      <c r="V73" s="306"/>
      <c r="W73" s="306"/>
      <c r="X73" s="306"/>
      <c r="Y73" s="306"/>
      <c r="Z73" s="306"/>
    </row>
    <row r="74">
      <c r="A74" s="223">
        <v>73.0</v>
      </c>
      <c r="B74" s="304" t="s">
        <v>2484</v>
      </c>
      <c r="C74" s="307" t="s">
        <v>2485</v>
      </c>
      <c r="D74" s="148" t="s">
        <v>2487</v>
      </c>
      <c r="E74" s="292" t="s">
        <v>2488</v>
      </c>
      <c r="F74" s="281" t="s">
        <v>2762</v>
      </c>
      <c r="G74" s="281" t="s">
        <v>2763</v>
      </c>
      <c r="H74" s="299" t="s">
        <v>2489</v>
      </c>
      <c r="I74" s="192" t="s">
        <v>2490</v>
      </c>
      <c r="J74" s="192" t="s">
        <v>2491</v>
      </c>
      <c r="K74" s="257" t="s">
        <v>2492</v>
      </c>
      <c r="L74" s="306"/>
      <c r="M74" s="306"/>
      <c r="N74" s="306"/>
      <c r="O74" s="306"/>
      <c r="P74" s="306"/>
      <c r="Q74" s="306"/>
      <c r="R74" s="306"/>
      <c r="S74" s="306"/>
      <c r="T74" s="306"/>
      <c r="U74" s="306"/>
      <c r="V74" s="306"/>
      <c r="W74" s="306"/>
      <c r="X74" s="306"/>
      <c r="Y74" s="306"/>
      <c r="Z74" s="306"/>
    </row>
    <row r="75">
      <c r="A75" s="223">
        <v>74.0</v>
      </c>
      <c r="B75" s="304" t="s">
        <v>2493</v>
      </c>
      <c r="C75" s="307" t="s">
        <v>2494</v>
      </c>
      <c r="D75" s="148" t="s">
        <v>993</v>
      </c>
      <c r="E75" s="292" t="s">
        <v>2496</v>
      </c>
      <c r="F75" s="281" t="s">
        <v>2764</v>
      </c>
      <c r="G75" s="281" t="s">
        <v>2765</v>
      </c>
      <c r="H75" s="299" t="s">
        <v>793</v>
      </c>
      <c r="I75" s="192" t="s">
        <v>2497</v>
      </c>
      <c r="J75" s="192" t="s">
        <v>2498</v>
      </c>
      <c r="K75" s="257" t="s">
        <v>2499</v>
      </c>
      <c r="L75" s="306"/>
      <c r="M75" s="306"/>
      <c r="N75" s="306"/>
      <c r="O75" s="306"/>
      <c r="P75" s="306"/>
      <c r="Q75" s="306"/>
      <c r="R75" s="306"/>
      <c r="S75" s="306"/>
      <c r="T75" s="306"/>
      <c r="U75" s="306"/>
      <c r="V75" s="306"/>
      <c r="W75" s="306"/>
      <c r="X75" s="306"/>
      <c r="Y75" s="306"/>
      <c r="Z75" s="306"/>
    </row>
    <row r="76">
      <c r="A76" s="223">
        <v>75.0</v>
      </c>
      <c r="B76" s="304" t="s">
        <v>2500</v>
      </c>
      <c r="C76" s="307" t="s">
        <v>2501</v>
      </c>
      <c r="D76" s="148" t="s">
        <v>2503</v>
      </c>
      <c r="E76" s="292" t="s">
        <v>2504</v>
      </c>
      <c r="F76" s="281" t="s">
        <v>2766</v>
      </c>
      <c r="G76" s="281" t="s">
        <v>2767</v>
      </c>
      <c r="H76" s="299" t="s">
        <v>2505</v>
      </c>
      <c r="I76" s="192" t="s">
        <v>2506</v>
      </c>
      <c r="J76" s="192" t="s">
        <v>2507</v>
      </c>
      <c r="K76" s="257" t="s">
        <v>2508</v>
      </c>
      <c r="L76" s="306"/>
      <c r="M76" s="306"/>
      <c r="N76" s="306"/>
      <c r="O76" s="306"/>
      <c r="P76" s="306"/>
      <c r="Q76" s="306"/>
      <c r="R76" s="306"/>
      <c r="S76" s="306"/>
      <c r="T76" s="306"/>
      <c r="U76" s="306"/>
      <c r="V76" s="306"/>
      <c r="W76" s="306"/>
      <c r="X76" s="306"/>
      <c r="Y76" s="306"/>
      <c r="Z76" s="306"/>
    </row>
    <row r="77">
      <c r="A77" s="223">
        <v>76.0</v>
      </c>
      <c r="B77" s="304" t="s">
        <v>2509</v>
      </c>
      <c r="C77" s="307" t="s">
        <v>2510</v>
      </c>
      <c r="D77" s="148" t="s">
        <v>196</v>
      </c>
      <c r="E77" s="292" t="s">
        <v>2512</v>
      </c>
      <c r="F77" s="281" t="s">
        <v>2768</v>
      </c>
      <c r="G77" s="281" t="s">
        <v>2769</v>
      </c>
      <c r="H77" s="299" t="s">
        <v>2513</v>
      </c>
      <c r="I77" s="192" t="s">
        <v>2514</v>
      </c>
      <c r="J77" s="192" t="s">
        <v>2515</v>
      </c>
      <c r="K77" s="257" t="s">
        <v>2516</v>
      </c>
      <c r="L77" s="306"/>
      <c r="M77" s="306"/>
      <c r="N77" s="306"/>
      <c r="O77" s="306"/>
      <c r="P77" s="306"/>
      <c r="Q77" s="306"/>
      <c r="R77" s="306"/>
      <c r="S77" s="306"/>
      <c r="T77" s="306"/>
      <c r="U77" s="306"/>
      <c r="V77" s="306"/>
      <c r="W77" s="306"/>
      <c r="X77" s="306"/>
      <c r="Y77" s="306"/>
      <c r="Z77" s="306"/>
    </row>
    <row r="78">
      <c r="A78" s="223">
        <v>77.0</v>
      </c>
      <c r="B78" s="304" t="s">
        <v>2517</v>
      </c>
      <c r="C78" s="307" t="s">
        <v>2518</v>
      </c>
      <c r="D78" s="148" t="s">
        <v>2520</v>
      </c>
      <c r="E78" s="292" t="s">
        <v>2521</v>
      </c>
      <c r="F78" s="281" t="s">
        <v>2770</v>
      </c>
      <c r="G78" s="281" t="s">
        <v>2771</v>
      </c>
      <c r="H78" s="299" t="s">
        <v>2522</v>
      </c>
      <c r="I78" s="192" t="s">
        <v>2523</v>
      </c>
      <c r="J78" s="192" t="s">
        <v>2524</v>
      </c>
      <c r="K78" s="257" t="s">
        <v>2525</v>
      </c>
      <c r="L78" s="306"/>
      <c r="M78" s="306"/>
      <c r="N78" s="306"/>
      <c r="O78" s="306"/>
      <c r="P78" s="306"/>
      <c r="Q78" s="306"/>
      <c r="R78" s="306"/>
      <c r="S78" s="306"/>
      <c r="T78" s="306"/>
      <c r="U78" s="306"/>
      <c r="V78" s="306"/>
      <c r="W78" s="306"/>
      <c r="X78" s="306"/>
      <c r="Y78" s="306"/>
      <c r="Z78" s="306"/>
    </row>
    <row r="79">
      <c r="A79" s="223">
        <v>78.0</v>
      </c>
      <c r="B79" s="304" t="s">
        <v>2526</v>
      </c>
      <c r="C79" s="307" t="s">
        <v>2527</v>
      </c>
      <c r="D79" s="148" t="s">
        <v>2529</v>
      </c>
      <c r="E79" s="292" t="s">
        <v>2530</v>
      </c>
      <c r="F79" s="281" t="s">
        <v>2772</v>
      </c>
      <c r="G79" s="281" t="s">
        <v>2773</v>
      </c>
      <c r="H79" s="299" t="s">
        <v>2531</v>
      </c>
      <c r="I79" s="192" t="s">
        <v>2532</v>
      </c>
      <c r="J79" s="192" t="s">
        <v>2533</v>
      </c>
      <c r="K79" s="257" t="s">
        <v>2534</v>
      </c>
      <c r="L79" s="306"/>
      <c r="M79" s="306"/>
      <c r="N79" s="306"/>
      <c r="O79" s="306"/>
      <c r="P79" s="306"/>
      <c r="Q79" s="306"/>
      <c r="R79" s="306"/>
      <c r="S79" s="306"/>
      <c r="T79" s="306"/>
      <c r="U79" s="306"/>
      <c r="V79" s="306"/>
      <c r="W79" s="306"/>
      <c r="X79" s="306"/>
      <c r="Y79" s="306"/>
      <c r="Z79" s="306"/>
    </row>
    <row r="80">
      <c r="A80" s="223">
        <v>79.0</v>
      </c>
      <c r="B80" s="304" t="s">
        <v>2535</v>
      </c>
      <c r="C80" s="307" t="s">
        <v>2536</v>
      </c>
      <c r="D80" s="148" t="s">
        <v>2538</v>
      </c>
      <c r="E80" s="292" t="s">
        <v>2539</v>
      </c>
      <c r="F80" s="281" t="s">
        <v>2774</v>
      </c>
      <c r="G80" s="281" t="s">
        <v>2775</v>
      </c>
      <c r="H80" s="299" t="s">
        <v>2540</v>
      </c>
      <c r="I80" s="192" t="s">
        <v>2541</v>
      </c>
      <c r="J80" s="192" t="s">
        <v>2542</v>
      </c>
      <c r="K80" s="257" t="s">
        <v>2543</v>
      </c>
      <c r="L80" s="306"/>
      <c r="M80" s="306"/>
      <c r="N80" s="306"/>
      <c r="O80" s="306"/>
      <c r="P80" s="306"/>
      <c r="Q80" s="306"/>
      <c r="R80" s="306"/>
      <c r="S80" s="306"/>
      <c r="T80" s="306"/>
      <c r="U80" s="306"/>
      <c r="V80" s="306"/>
      <c r="W80" s="306"/>
      <c r="X80" s="306"/>
      <c r="Y80" s="306"/>
      <c r="Z80" s="306"/>
    </row>
    <row r="81">
      <c r="A81" s="223">
        <v>80.0</v>
      </c>
      <c r="B81" s="304" t="s">
        <v>2544</v>
      </c>
      <c r="C81" s="307" t="s">
        <v>2545</v>
      </c>
      <c r="D81" s="148" t="s">
        <v>2548</v>
      </c>
      <c r="E81" s="292" t="s">
        <v>2549</v>
      </c>
      <c r="F81" s="281" t="s">
        <v>2776</v>
      </c>
      <c r="G81" s="281" t="s">
        <v>2777</v>
      </c>
      <c r="H81" s="299" t="s">
        <v>2550</v>
      </c>
      <c r="I81" s="192" t="s">
        <v>2551</v>
      </c>
      <c r="J81" s="192" t="s">
        <v>2552</v>
      </c>
      <c r="K81" s="257" t="s">
        <v>2553</v>
      </c>
      <c r="L81" s="306"/>
      <c r="M81" s="306"/>
      <c r="N81" s="306"/>
      <c r="O81" s="306"/>
      <c r="P81" s="306"/>
      <c r="Q81" s="306"/>
      <c r="R81" s="306"/>
      <c r="S81" s="306"/>
      <c r="T81" s="306"/>
      <c r="U81" s="306"/>
      <c r="V81" s="306"/>
      <c r="W81" s="306"/>
      <c r="X81" s="306"/>
      <c r="Y81" s="306"/>
      <c r="Z81" s="306"/>
    </row>
    <row r="82">
      <c r="A82" s="223">
        <v>81.0</v>
      </c>
      <c r="B82" s="304" t="s">
        <v>2554</v>
      </c>
      <c r="C82" s="307" t="s">
        <v>2555</v>
      </c>
      <c r="D82" s="148" t="s">
        <v>153</v>
      </c>
      <c r="E82" s="292" t="s">
        <v>2557</v>
      </c>
      <c r="F82" s="281" t="s">
        <v>2778</v>
      </c>
      <c r="G82" s="281" t="s">
        <v>2779</v>
      </c>
      <c r="H82" s="299" t="s">
        <v>2558</v>
      </c>
      <c r="I82" s="192" t="s">
        <v>2559</v>
      </c>
      <c r="J82" s="192" t="s">
        <v>2560</v>
      </c>
      <c r="K82" s="257" t="s">
        <v>2561</v>
      </c>
      <c r="L82" s="306"/>
      <c r="M82" s="306"/>
      <c r="N82" s="306"/>
      <c r="O82" s="306"/>
      <c r="P82" s="306"/>
      <c r="Q82" s="306"/>
      <c r="R82" s="306"/>
      <c r="S82" s="306"/>
      <c r="T82" s="306"/>
      <c r="U82" s="306"/>
      <c r="V82" s="306"/>
      <c r="W82" s="306"/>
      <c r="X82" s="306"/>
      <c r="Y82" s="306"/>
      <c r="Z82" s="306"/>
    </row>
    <row r="83">
      <c r="A83" s="223">
        <v>82.0</v>
      </c>
      <c r="B83" s="304" t="s">
        <v>2562</v>
      </c>
      <c r="C83" s="307" t="s">
        <v>2563</v>
      </c>
      <c r="D83" s="148" t="s">
        <v>2566</v>
      </c>
      <c r="E83" s="292" t="s">
        <v>2567</v>
      </c>
      <c r="F83" s="281" t="s">
        <v>2780</v>
      </c>
      <c r="G83" s="281" t="s">
        <v>2781</v>
      </c>
      <c r="H83" s="299" t="s">
        <v>2568</v>
      </c>
      <c r="I83" s="192" t="s">
        <v>2569</v>
      </c>
      <c r="J83" s="192" t="s">
        <v>2570</v>
      </c>
      <c r="K83" s="257" t="s">
        <v>2571</v>
      </c>
      <c r="L83" s="306"/>
      <c r="M83" s="306"/>
      <c r="N83" s="306"/>
      <c r="O83" s="306"/>
      <c r="P83" s="306"/>
      <c r="Q83" s="306"/>
      <c r="R83" s="306"/>
      <c r="S83" s="306"/>
      <c r="T83" s="306"/>
      <c r="U83" s="306"/>
      <c r="V83" s="306"/>
      <c r="W83" s="306"/>
      <c r="X83" s="306"/>
      <c r="Y83" s="306"/>
      <c r="Z83" s="306"/>
    </row>
    <row r="84">
      <c r="A84" s="223">
        <v>83.0</v>
      </c>
      <c r="B84" s="304" t="s">
        <v>2572</v>
      </c>
      <c r="C84" s="307" t="s">
        <v>2573</v>
      </c>
      <c r="D84" s="148" t="s">
        <v>2575</v>
      </c>
      <c r="E84" s="292" t="s">
        <v>2576</v>
      </c>
      <c r="F84" s="281" t="s">
        <v>2782</v>
      </c>
      <c r="G84" s="281" t="s">
        <v>2783</v>
      </c>
      <c r="H84" s="299" t="s">
        <v>2784</v>
      </c>
      <c r="I84" s="192" t="s">
        <v>2577</v>
      </c>
      <c r="J84" s="192" t="s">
        <v>2578</v>
      </c>
      <c r="K84" s="257" t="s">
        <v>2579</v>
      </c>
      <c r="L84" s="306"/>
      <c r="M84" s="306"/>
      <c r="N84" s="306"/>
      <c r="O84" s="306"/>
      <c r="P84" s="306"/>
      <c r="Q84" s="306"/>
      <c r="R84" s="306"/>
      <c r="S84" s="306"/>
      <c r="T84" s="306"/>
      <c r="U84" s="306"/>
      <c r="V84" s="306"/>
      <c r="W84" s="306"/>
      <c r="X84" s="306"/>
      <c r="Y84" s="306"/>
      <c r="Z84" s="306"/>
    </row>
    <row r="85">
      <c r="A85" s="223">
        <v>84.0</v>
      </c>
      <c r="B85" s="304" t="s">
        <v>2580</v>
      </c>
      <c r="C85" s="307" t="s">
        <v>2581</v>
      </c>
      <c r="D85" s="148" t="s">
        <v>2134</v>
      </c>
      <c r="E85" s="292" t="s">
        <v>2584</v>
      </c>
      <c r="F85" s="281" t="s">
        <v>2785</v>
      </c>
      <c r="G85" s="281" t="s">
        <v>2786</v>
      </c>
      <c r="H85" s="299" t="s">
        <v>2585</v>
      </c>
      <c r="I85" s="192" t="s">
        <v>2586</v>
      </c>
      <c r="J85" s="192" t="s">
        <v>2587</v>
      </c>
      <c r="K85" s="257" t="s">
        <v>2588</v>
      </c>
      <c r="L85" s="306"/>
      <c r="M85" s="306"/>
      <c r="N85" s="306"/>
      <c r="O85" s="306"/>
      <c r="P85" s="306"/>
      <c r="Q85" s="306"/>
      <c r="R85" s="306"/>
      <c r="S85" s="306"/>
      <c r="T85" s="306"/>
      <c r="U85" s="306"/>
      <c r="V85" s="306"/>
      <c r="W85" s="306"/>
      <c r="X85" s="306"/>
      <c r="Y85" s="306"/>
      <c r="Z85" s="306"/>
    </row>
    <row r="86">
      <c r="A86" s="223">
        <v>85.0</v>
      </c>
      <c r="B86" s="304" t="s">
        <v>2589</v>
      </c>
      <c r="C86" s="307" t="s">
        <v>2590</v>
      </c>
      <c r="D86" s="148" t="s">
        <v>2592</v>
      </c>
      <c r="E86" s="292" t="s">
        <v>2593</v>
      </c>
      <c r="F86" s="281" t="s">
        <v>2787</v>
      </c>
      <c r="G86" s="281" t="s">
        <v>2788</v>
      </c>
      <c r="H86" s="299" t="s">
        <v>2585</v>
      </c>
      <c r="I86" s="192" t="s">
        <v>2594</v>
      </c>
      <c r="J86" s="192" t="s">
        <v>2595</v>
      </c>
      <c r="K86" s="257" t="s">
        <v>2596</v>
      </c>
      <c r="L86" s="306"/>
      <c r="M86" s="306"/>
      <c r="N86" s="306"/>
      <c r="O86" s="306"/>
      <c r="P86" s="306"/>
      <c r="Q86" s="306"/>
      <c r="R86" s="306"/>
      <c r="S86" s="306"/>
      <c r="T86" s="306"/>
      <c r="U86" s="306"/>
      <c r="V86" s="306"/>
      <c r="W86" s="306"/>
      <c r="X86" s="306"/>
      <c r="Y86" s="306"/>
      <c r="Z86" s="306"/>
    </row>
    <row r="87">
      <c r="A87" s="223">
        <v>86.0</v>
      </c>
      <c r="B87" s="304" t="s">
        <v>2597</v>
      </c>
      <c r="C87" s="307" t="s">
        <v>2598</v>
      </c>
      <c r="D87" s="148" t="s">
        <v>2600</v>
      </c>
      <c r="E87" s="292" t="s">
        <v>2601</v>
      </c>
      <c r="F87" s="281" t="s">
        <v>2789</v>
      </c>
      <c r="G87" s="281" t="s">
        <v>2790</v>
      </c>
      <c r="H87" s="299" t="s">
        <v>2602</v>
      </c>
      <c r="I87" s="192" t="s">
        <v>2603</v>
      </c>
      <c r="J87" s="192" t="s">
        <v>2604</v>
      </c>
      <c r="K87" s="257" t="s">
        <v>2605</v>
      </c>
      <c r="L87" s="306"/>
      <c r="M87" s="306"/>
      <c r="N87" s="306"/>
      <c r="O87" s="306"/>
      <c r="P87" s="306"/>
      <c r="Q87" s="306"/>
      <c r="R87" s="306"/>
      <c r="S87" s="306"/>
      <c r="T87" s="306"/>
      <c r="U87" s="306"/>
      <c r="V87" s="306"/>
      <c r="W87" s="306"/>
      <c r="X87" s="306"/>
      <c r="Y87" s="306"/>
      <c r="Z87" s="306"/>
    </row>
    <row r="88">
      <c r="A88" s="223">
        <v>87.0</v>
      </c>
      <c r="B88" s="304" t="s">
        <v>2606</v>
      </c>
      <c r="C88" s="307" t="s">
        <v>2607</v>
      </c>
      <c r="D88" s="148" t="s">
        <v>2609</v>
      </c>
      <c r="E88" s="292" t="s">
        <v>2610</v>
      </c>
      <c r="F88" s="281" t="s">
        <v>2791</v>
      </c>
      <c r="G88" s="281" t="s">
        <v>2792</v>
      </c>
      <c r="H88" s="299" t="s">
        <v>2611</v>
      </c>
      <c r="I88" s="192" t="s">
        <v>2612</v>
      </c>
      <c r="J88" s="192" t="s">
        <v>2613</v>
      </c>
      <c r="K88" s="257" t="s">
        <v>2614</v>
      </c>
      <c r="L88" s="306"/>
      <c r="M88" s="306"/>
      <c r="N88" s="306"/>
      <c r="O88" s="306"/>
      <c r="P88" s="306"/>
      <c r="Q88" s="306"/>
      <c r="R88" s="306"/>
      <c r="S88" s="306"/>
      <c r="T88" s="306"/>
      <c r="U88" s="306"/>
      <c r="V88" s="306"/>
      <c r="W88" s="306"/>
      <c r="X88" s="306"/>
      <c r="Y88" s="306"/>
      <c r="Z88" s="306"/>
    </row>
    <row r="89">
      <c r="A89" s="223">
        <v>88.0</v>
      </c>
      <c r="B89" s="106"/>
      <c r="C89" s="142"/>
      <c r="D89" s="142"/>
      <c r="E89" s="108"/>
      <c r="F89" s="142"/>
      <c r="G89" s="142"/>
      <c r="H89" s="108"/>
      <c r="I89" s="108"/>
      <c r="J89" s="108"/>
      <c r="K89" s="142"/>
      <c r="L89" s="306"/>
      <c r="M89" s="306"/>
      <c r="N89" s="306"/>
      <c r="O89" s="306"/>
      <c r="P89" s="306"/>
      <c r="Q89" s="306"/>
      <c r="R89" s="306"/>
      <c r="S89" s="306"/>
      <c r="T89" s="306"/>
      <c r="U89" s="306"/>
      <c r="V89" s="306"/>
      <c r="W89" s="306"/>
      <c r="X89" s="306"/>
      <c r="Y89" s="306"/>
      <c r="Z89" s="306"/>
    </row>
    <row r="90">
      <c r="A90" s="223">
        <v>89.0</v>
      </c>
      <c r="B90" s="106"/>
      <c r="C90" s="237"/>
      <c r="D90" s="237"/>
      <c r="E90" s="108"/>
      <c r="F90" s="237"/>
      <c r="G90" s="237"/>
      <c r="H90" s="108"/>
      <c r="I90" s="108"/>
      <c r="J90" s="108"/>
      <c r="K90" s="237"/>
      <c r="L90" s="306"/>
      <c r="M90" s="306"/>
      <c r="N90" s="306"/>
      <c r="O90" s="306"/>
      <c r="P90" s="306"/>
      <c r="Q90" s="306"/>
      <c r="R90" s="306"/>
      <c r="S90" s="306"/>
      <c r="T90" s="306"/>
      <c r="U90" s="306"/>
      <c r="V90" s="306"/>
      <c r="W90" s="306"/>
      <c r="X90" s="306"/>
      <c r="Y90" s="306"/>
      <c r="Z90" s="306"/>
    </row>
    <row r="91">
      <c r="A91" s="223">
        <v>90.0</v>
      </c>
      <c r="B91" s="106"/>
      <c r="C91" s="142"/>
      <c r="D91" s="142"/>
      <c r="E91" s="108"/>
      <c r="F91" s="142"/>
      <c r="G91" s="142"/>
      <c r="H91" s="108"/>
      <c r="I91" s="108"/>
      <c r="J91" s="108"/>
      <c r="K91" s="142"/>
      <c r="L91" s="306"/>
      <c r="M91" s="306"/>
      <c r="N91" s="306"/>
      <c r="O91" s="306"/>
      <c r="P91" s="306"/>
      <c r="Q91" s="306"/>
      <c r="R91" s="306"/>
      <c r="S91" s="306"/>
      <c r="T91" s="306"/>
      <c r="U91" s="306"/>
      <c r="V91" s="306"/>
      <c r="W91" s="306"/>
      <c r="X91" s="306"/>
      <c r="Y91" s="306"/>
      <c r="Z91" s="306"/>
    </row>
    <row r="92">
      <c r="A92" s="308"/>
      <c r="B92" s="308"/>
      <c r="C92" s="308"/>
      <c r="D92" s="308"/>
      <c r="E92" s="308"/>
      <c r="F92" s="308"/>
      <c r="G92" s="308"/>
      <c r="H92" s="308"/>
      <c r="I92" s="308"/>
      <c r="J92" s="308"/>
      <c r="K92" s="308"/>
    </row>
  </sheetData>
  <hyperlinks>
    <hyperlink r:id="rId1" ref="C2"/>
    <hyperlink r:id="rId2" ref="K2"/>
    <hyperlink r:id="rId3" ref="C3"/>
    <hyperlink r:id="rId4" ref="K3"/>
    <hyperlink r:id="rId5" ref="C4"/>
    <hyperlink r:id="rId6" ref="K4"/>
    <hyperlink r:id="rId7" ref="C5"/>
    <hyperlink r:id="rId8" ref="K5"/>
    <hyperlink r:id="rId9" ref="C6"/>
    <hyperlink r:id="rId10" ref="K6"/>
    <hyperlink r:id="rId11" ref="C7"/>
    <hyperlink r:id="rId12" ref="K7"/>
    <hyperlink r:id="rId13" ref="C8"/>
    <hyperlink r:id="rId14" ref="K8"/>
    <hyperlink r:id="rId15" ref="C9"/>
    <hyperlink r:id="rId16" ref="K9"/>
    <hyperlink r:id="rId17" ref="C10"/>
    <hyperlink r:id="rId18" ref="K10"/>
    <hyperlink r:id="rId19" ref="C11"/>
    <hyperlink r:id="rId20" ref="K11"/>
    <hyperlink r:id="rId21" ref="C12"/>
    <hyperlink r:id="rId22" ref="K12"/>
    <hyperlink r:id="rId23" ref="C13"/>
    <hyperlink r:id="rId24" ref="K13"/>
    <hyperlink r:id="rId25" ref="C14"/>
    <hyperlink r:id="rId26" ref="K14"/>
    <hyperlink r:id="rId27" ref="C15"/>
    <hyperlink r:id="rId28" ref="K15"/>
    <hyperlink r:id="rId29" ref="C16"/>
    <hyperlink r:id="rId30" ref="K16"/>
    <hyperlink r:id="rId31" ref="C17"/>
    <hyperlink r:id="rId32" ref="K17"/>
    <hyperlink r:id="rId33" ref="C18"/>
    <hyperlink r:id="rId34" ref="K18"/>
    <hyperlink r:id="rId35" ref="C19"/>
    <hyperlink r:id="rId36" ref="K19"/>
    <hyperlink r:id="rId37" ref="C20"/>
    <hyperlink r:id="rId38" ref="K20"/>
    <hyperlink r:id="rId39" ref="C21"/>
    <hyperlink r:id="rId40" ref="K21"/>
    <hyperlink r:id="rId41" ref="C22"/>
    <hyperlink r:id="rId42" ref="K22"/>
    <hyperlink r:id="rId43" ref="C23"/>
    <hyperlink r:id="rId44" ref="K23"/>
    <hyperlink r:id="rId45" ref="C24"/>
    <hyperlink r:id="rId46" ref="K24"/>
    <hyperlink r:id="rId47" ref="C25"/>
    <hyperlink r:id="rId48" ref="K25"/>
    <hyperlink r:id="rId49" ref="C26"/>
    <hyperlink r:id="rId50" ref="K26"/>
    <hyperlink r:id="rId51" ref="C27"/>
    <hyperlink r:id="rId52" ref="K27"/>
    <hyperlink r:id="rId53" ref="C28"/>
    <hyperlink r:id="rId54" ref="K28"/>
    <hyperlink r:id="rId55" ref="C29"/>
    <hyperlink r:id="rId56" ref="K29"/>
    <hyperlink r:id="rId57" ref="C30"/>
    <hyperlink r:id="rId58" ref="K30"/>
    <hyperlink r:id="rId59" ref="C31"/>
    <hyperlink r:id="rId60" ref="K31"/>
    <hyperlink r:id="rId61" ref="C32"/>
    <hyperlink r:id="rId62" ref="K32"/>
    <hyperlink r:id="rId63" ref="C33"/>
    <hyperlink r:id="rId64" ref="K33"/>
    <hyperlink r:id="rId65" ref="C34"/>
    <hyperlink r:id="rId66" ref="K34"/>
    <hyperlink r:id="rId67" ref="C35"/>
    <hyperlink r:id="rId68" ref="K35"/>
    <hyperlink r:id="rId69" ref="C36"/>
    <hyperlink r:id="rId70" ref="K36"/>
    <hyperlink r:id="rId71" location="key-management" ref="C37"/>
    <hyperlink r:id="rId72" ref="K37"/>
    <hyperlink r:id="rId73" ref="C38"/>
    <hyperlink r:id="rId74" ref="K38"/>
    <hyperlink r:id="rId75" ref="C39"/>
    <hyperlink r:id="rId76" ref="K39"/>
    <hyperlink r:id="rId77" location="illustrative" ref="C40"/>
    <hyperlink r:id="rId78" ref="K40"/>
    <hyperlink r:id="rId79" ref="C41"/>
    <hyperlink r:id="rId80" ref="K41"/>
    <hyperlink r:id="rId81" ref="C42"/>
    <hyperlink r:id="rId82" ref="K42"/>
    <hyperlink r:id="rId83" ref="C43"/>
    <hyperlink r:id="rId84" ref="K43"/>
    <hyperlink r:id="rId85" location="about" ref="C44"/>
    <hyperlink r:id="rId86" ref="K44"/>
    <hyperlink r:id="rId87" ref="C45"/>
    <hyperlink r:id="rId88" ref="K45"/>
    <hyperlink r:id="rId89" ref="C46"/>
    <hyperlink r:id="rId90" ref="K46"/>
    <hyperlink r:id="rId91" ref="C47"/>
    <hyperlink r:id="rId92" ref="K47"/>
    <hyperlink r:id="rId93" ref="C48"/>
    <hyperlink r:id="rId94" ref="K48"/>
    <hyperlink r:id="rId95" ref="C49"/>
    <hyperlink r:id="rId96" ref="K49"/>
    <hyperlink r:id="rId97" location="about" ref="C50"/>
    <hyperlink r:id="rId98" ref="K50"/>
    <hyperlink r:id="rId99" ref="C51"/>
    <hyperlink r:id="rId100" ref="K51"/>
    <hyperlink r:id="rId101" ref="C52"/>
    <hyperlink r:id="rId102" ref="K52"/>
    <hyperlink r:id="rId103" ref="C53"/>
    <hyperlink r:id="rId104" ref="K53"/>
    <hyperlink r:id="rId105" ref="C54"/>
    <hyperlink r:id="rId106" ref="K54"/>
    <hyperlink r:id="rId107" ref="C55"/>
    <hyperlink r:id="rId108" ref="K55"/>
    <hyperlink r:id="rId109" ref="C56"/>
    <hyperlink r:id="rId110" ref="K56"/>
    <hyperlink r:id="rId111" ref="C57"/>
    <hyperlink r:id="rId112" ref="K57"/>
    <hyperlink r:id="rId113" ref="C58"/>
    <hyperlink r:id="rId114" ref="K58"/>
    <hyperlink r:id="rId115" ref="C59"/>
    <hyperlink r:id="rId116" ref="K59"/>
    <hyperlink r:id="rId117" ref="C60"/>
    <hyperlink r:id="rId118" ref="K60"/>
    <hyperlink r:id="rId119" ref="C61"/>
    <hyperlink r:id="rId120" ref="K61"/>
    <hyperlink r:id="rId121" ref="C62"/>
    <hyperlink r:id="rId122" ref="K62"/>
    <hyperlink r:id="rId123" ref="C63"/>
    <hyperlink r:id="rId124" ref="K63"/>
    <hyperlink r:id="rId125" ref="C64"/>
    <hyperlink r:id="rId126" ref="K64"/>
    <hyperlink r:id="rId127" ref="C65"/>
    <hyperlink r:id="rId128" ref="K65"/>
    <hyperlink r:id="rId129" ref="C66"/>
    <hyperlink r:id="rId130" ref="K66"/>
    <hyperlink r:id="rId131" ref="C67"/>
    <hyperlink r:id="rId132" ref="K67"/>
    <hyperlink r:id="rId133" ref="C68"/>
    <hyperlink r:id="rId134" ref="K68"/>
    <hyperlink r:id="rId135" ref="C69"/>
    <hyperlink r:id="rId136" ref="K69"/>
    <hyperlink r:id="rId137" ref="C70"/>
    <hyperlink r:id="rId138" ref="K70"/>
    <hyperlink r:id="rId139" ref="C71"/>
    <hyperlink r:id="rId140" ref="K71"/>
    <hyperlink r:id="rId141" ref="C72"/>
    <hyperlink r:id="rId142" ref="K72"/>
    <hyperlink r:id="rId143" ref="C73"/>
    <hyperlink r:id="rId144" ref="K73"/>
    <hyperlink r:id="rId145" ref="C74"/>
    <hyperlink r:id="rId146" ref="K74"/>
    <hyperlink r:id="rId147" ref="C75"/>
    <hyperlink r:id="rId148" ref="K75"/>
    <hyperlink r:id="rId149" ref="C76"/>
    <hyperlink r:id="rId150" ref="K76"/>
    <hyperlink r:id="rId151" ref="C77"/>
    <hyperlink r:id="rId152" ref="K77"/>
    <hyperlink r:id="rId153" ref="C78"/>
    <hyperlink r:id="rId154" ref="K78"/>
    <hyperlink r:id="rId155" ref="C79"/>
    <hyperlink r:id="rId156" ref="K79"/>
    <hyperlink r:id="rId157" ref="C80"/>
    <hyperlink r:id="rId158" ref="K80"/>
    <hyperlink r:id="rId159" ref="C81"/>
    <hyperlink r:id="rId160" ref="K81"/>
    <hyperlink r:id="rId161" ref="C82"/>
    <hyperlink r:id="rId162" ref="K82"/>
    <hyperlink r:id="rId163" ref="C83"/>
    <hyperlink r:id="rId164" ref="K83"/>
    <hyperlink r:id="rId165" ref="C84"/>
    <hyperlink r:id="rId166" ref="K84"/>
    <hyperlink r:id="rId167" ref="C85"/>
    <hyperlink r:id="rId168" ref="K85"/>
    <hyperlink r:id="rId169" ref="C86"/>
    <hyperlink r:id="rId170" ref="K86"/>
    <hyperlink r:id="rId171" ref="C87"/>
    <hyperlink r:id="rId172" ref="K87"/>
    <hyperlink r:id="rId173" ref="C88"/>
    <hyperlink r:id="rId174" ref="K88"/>
  </hyperlinks>
  <drawing r:id="rId175"/>
  <tableParts count="1">
    <tablePart r:id="rId177"/>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09" t="s">
        <v>2793</v>
      </c>
      <c r="B1" s="309" t="s">
        <v>2794</v>
      </c>
      <c r="C1" s="309" t="s">
        <v>2795</v>
      </c>
      <c r="D1" s="309" t="s">
        <v>2796</v>
      </c>
      <c r="E1" s="309" t="s">
        <v>2797</v>
      </c>
      <c r="F1" s="309" t="s">
        <v>2798</v>
      </c>
      <c r="G1" s="309" t="s">
        <v>2799</v>
      </c>
    </row>
    <row r="2">
      <c r="A2" s="310" t="s">
        <v>734</v>
      </c>
      <c r="B2" s="310" t="s">
        <v>2351</v>
      </c>
      <c r="C2" s="310" t="s">
        <v>2352</v>
      </c>
      <c r="D2" s="310" t="s">
        <v>2353</v>
      </c>
      <c r="E2" s="310" t="s">
        <v>827</v>
      </c>
      <c r="F2" s="310" t="s">
        <v>2346</v>
      </c>
      <c r="G2" s="310" t="s">
        <v>2731</v>
      </c>
    </row>
    <row r="3">
      <c r="A3" s="310" t="s">
        <v>2358</v>
      </c>
      <c r="B3" s="310" t="s">
        <v>2359</v>
      </c>
      <c r="C3" s="310" t="s">
        <v>2360</v>
      </c>
      <c r="D3" s="310" t="s">
        <v>2361</v>
      </c>
      <c r="E3" s="310" t="s">
        <v>196</v>
      </c>
      <c r="F3" s="310" t="s">
        <v>2354</v>
      </c>
      <c r="G3" s="310" t="s">
        <v>2733</v>
      </c>
    </row>
    <row r="4">
      <c r="A4" s="310" t="s">
        <v>526</v>
      </c>
      <c r="B4" s="310" t="s">
        <v>2374</v>
      </c>
      <c r="C4" s="310" t="s">
        <v>2375</v>
      </c>
      <c r="D4" s="310" t="s">
        <v>2376</v>
      </c>
      <c r="E4" s="310" t="s">
        <v>1431</v>
      </c>
      <c r="F4" s="310" t="s">
        <v>2370</v>
      </c>
      <c r="G4" s="310" t="s">
        <v>2735</v>
      </c>
    </row>
    <row r="5">
      <c r="A5" s="310" t="s">
        <v>889</v>
      </c>
      <c r="B5" s="310" t="s">
        <v>2382</v>
      </c>
      <c r="C5" s="310" t="s">
        <v>2383</v>
      </c>
      <c r="D5" s="310" t="s">
        <v>2384</v>
      </c>
      <c r="E5" s="310" t="s">
        <v>2380</v>
      </c>
      <c r="F5" s="310" t="s">
        <v>2377</v>
      </c>
      <c r="G5" s="310" t="s">
        <v>2737</v>
      </c>
    </row>
    <row r="6">
      <c r="A6" s="310" t="s">
        <v>2389</v>
      </c>
      <c r="B6" s="310" t="s">
        <v>2390</v>
      </c>
      <c r="C6" s="310" t="s">
        <v>2391</v>
      </c>
      <c r="D6" s="310" t="s">
        <v>2392</v>
      </c>
      <c r="E6" s="310" t="s">
        <v>1431</v>
      </c>
      <c r="F6" s="310" t="s">
        <v>2385</v>
      </c>
      <c r="G6" s="310" t="s">
        <v>2739</v>
      </c>
    </row>
    <row r="7">
      <c r="A7" s="310" t="s">
        <v>2398</v>
      </c>
      <c r="B7" s="310" t="s">
        <v>2399</v>
      </c>
      <c r="C7" s="310" t="s">
        <v>2400</v>
      </c>
      <c r="D7" s="310" t="s">
        <v>2401</v>
      </c>
      <c r="E7" s="310" t="s">
        <v>2396</v>
      </c>
      <c r="F7" s="310" t="s">
        <v>2393</v>
      </c>
      <c r="G7" s="310" t="s">
        <v>2741</v>
      </c>
    </row>
    <row r="8">
      <c r="A8" s="310" t="s">
        <v>2407</v>
      </c>
      <c r="B8" s="310" t="s">
        <v>2408</v>
      </c>
      <c r="C8" s="310" t="s">
        <v>2409</v>
      </c>
      <c r="D8" s="310" t="s">
        <v>2410</v>
      </c>
      <c r="E8" s="310" t="s">
        <v>168</v>
      </c>
      <c r="F8" s="310" t="s">
        <v>2402</v>
      </c>
      <c r="G8" s="310" t="s">
        <v>2743</v>
      </c>
    </row>
    <row r="9">
      <c r="A9" s="310" t="s">
        <v>2415</v>
      </c>
      <c r="B9" s="310" t="s">
        <v>2416</v>
      </c>
      <c r="C9" s="310" t="s">
        <v>2417</v>
      </c>
      <c r="D9" s="310" t="s">
        <v>2418</v>
      </c>
      <c r="E9" s="310" t="s">
        <v>181</v>
      </c>
      <c r="F9" s="310" t="s">
        <v>2411</v>
      </c>
      <c r="G9" s="310" t="s">
        <v>2745</v>
      </c>
    </row>
    <row r="10">
      <c r="A10" s="310" t="s">
        <v>2423</v>
      </c>
      <c r="B10" s="310" t="s">
        <v>2424</v>
      </c>
      <c r="C10" s="310" t="s">
        <v>2425</v>
      </c>
      <c r="D10" s="310" t="s">
        <v>2426</v>
      </c>
      <c r="E10" s="310" t="s">
        <v>168</v>
      </c>
      <c r="F10" s="310" t="s">
        <v>2419</v>
      </c>
      <c r="G10" s="310" t="s">
        <v>2747</v>
      </c>
    </row>
    <row r="11">
      <c r="A11" s="310" t="s">
        <v>333</v>
      </c>
      <c r="B11" s="310" t="s">
        <v>2431</v>
      </c>
      <c r="C11" s="310" t="s">
        <v>2432</v>
      </c>
      <c r="D11" s="310" t="s">
        <v>2433</v>
      </c>
      <c r="E11" s="310" t="s">
        <v>1349</v>
      </c>
      <c r="F11" s="310" t="s">
        <v>2427</v>
      </c>
      <c r="G11" s="310" t="s">
        <v>2749</v>
      </c>
    </row>
    <row r="12">
      <c r="A12" s="310" t="s">
        <v>2439</v>
      </c>
      <c r="B12" s="310" t="s">
        <v>2351</v>
      </c>
      <c r="C12" s="310" t="s">
        <v>2440</v>
      </c>
      <c r="D12" s="310" t="s">
        <v>2441</v>
      </c>
      <c r="E12" s="310" t="s">
        <v>2437</v>
      </c>
      <c r="F12" s="310" t="s">
        <v>2434</v>
      </c>
      <c r="G12" s="310" t="s">
        <v>2751</v>
      </c>
    </row>
    <row r="13">
      <c r="A13" s="310" t="s">
        <v>332</v>
      </c>
      <c r="B13" s="310" t="s">
        <v>2446</v>
      </c>
      <c r="C13" s="310" t="s">
        <v>2447</v>
      </c>
      <c r="D13" s="310" t="s">
        <v>2448</v>
      </c>
      <c r="E13" s="310" t="s">
        <v>339</v>
      </c>
      <c r="F13" s="310" t="s">
        <v>2442</v>
      </c>
      <c r="G13" s="310" t="s">
        <v>2753</v>
      </c>
    </row>
    <row r="14">
      <c r="A14" s="310" t="s">
        <v>2453</v>
      </c>
      <c r="B14" s="310" t="s">
        <v>2454</v>
      </c>
      <c r="C14" s="310" t="s">
        <v>2455</v>
      </c>
      <c r="D14" s="310" t="s">
        <v>2456</v>
      </c>
      <c r="E14" s="310" t="s">
        <v>1118</v>
      </c>
      <c r="F14" s="310" t="s">
        <v>2449</v>
      </c>
      <c r="G14" s="310" t="s">
        <v>2755</v>
      </c>
    </row>
    <row r="15">
      <c r="A15" s="310" t="s">
        <v>2462</v>
      </c>
      <c r="B15" s="310" t="s">
        <v>2463</v>
      </c>
      <c r="C15" s="310" t="s">
        <v>2464</v>
      </c>
      <c r="D15" s="310" t="s">
        <v>2465</v>
      </c>
      <c r="E15" s="310" t="s">
        <v>2460</v>
      </c>
      <c r="F15" s="310" t="s">
        <v>2457</v>
      </c>
      <c r="G15" s="310" t="s">
        <v>2757</v>
      </c>
    </row>
    <row r="16">
      <c r="A16" s="310" t="s">
        <v>2471</v>
      </c>
      <c r="B16" s="310" t="s">
        <v>2472</v>
      </c>
      <c r="C16" s="310" t="s">
        <v>2473</v>
      </c>
      <c r="D16" s="310" t="s">
        <v>2474</v>
      </c>
      <c r="E16" s="310" t="s">
        <v>1067</v>
      </c>
      <c r="F16" s="310" t="s">
        <v>2466</v>
      </c>
      <c r="G16" s="310" t="s">
        <v>2759</v>
      </c>
    </row>
    <row r="17">
      <c r="A17" s="310" t="s">
        <v>2480</v>
      </c>
      <c r="B17" s="310" t="s">
        <v>2481</v>
      </c>
      <c r="C17" s="310" t="s">
        <v>2482</v>
      </c>
      <c r="D17" s="310" t="s">
        <v>2483</v>
      </c>
      <c r="E17" s="310" t="s">
        <v>2478</v>
      </c>
      <c r="F17" s="310" t="s">
        <v>2475</v>
      </c>
      <c r="G17" s="310" t="s">
        <v>2761</v>
      </c>
    </row>
    <row r="18">
      <c r="A18" s="310" t="s">
        <v>2489</v>
      </c>
      <c r="B18" s="310" t="s">
        <v>2490</v>
      </c>
      <c r="C18" s="310" t="s">
        <v>2491</v>
      </c>
      <c r="D18" s="310" t="s">
        <v>2492</v>
      </c>
      <c r="E18" s="310" t="s">
        <v>2487</v>
      </c>
      <c r="F18" s="310" t="s">
        <v>2484</v>
      </c>
      <c r="G18" s="310" t="s">
        <v>2763</v>
      </c>
    </row>
    <row r="19">
      <c r="A19" s="310" t="s">
        <v>793</v>
      </c>
      <c r="B19" s="310" t="s">
        <v>2497</v>
      </c>
      <c r="C19" s="310" t="s">
        <v>2498</v>
      </c>
      <c r="D19" s="310" t="s">
        <v>2499</v>
      </c>
      <c r="E19" s="310" t="s">
        <v>993</v>
      </c>
      <c r="F19" s="310" t="s">
        <v>2493</v>
      </c>
      <c r="G19" s="310" t="s">
        <v>2765</v>
      </c>
    </row>
    <row r="20">
      <c r="A20" s="310" t="s">
        <v>2505</v>
      </c>
      <c r="B20" s="310" t="s">
        <v>2506</v>
      </c>
      <c r="C20" s="310" t="s">
        <v>2507</v>
      </c>
      <c r="D20" s="310" t="s">
        <v>2508</v>
      </c>
      <c r="E20" s="310" t="s">
        <v>2503</v>
      </c>
      <c r="F20" s="310" t="s">
        <v>2500</v>
      </c>
      <c r="G20" s="310" t="s">
        <v>2767</v>
      </c>
    </row>
    <row r="21">
      <c r="A21" s="310" t="s">
        <v>2513</v>
      </c>
      <c r="B21" s="310" t="s">
        <v>2514</v>
      </c>
      <c r="C21" s="310" t="s">
        <v>2515</v>
      </c>
      <c r="D21" s="310" t="s">
        <v>2516</v>
      </c>
      <c r="E21" s="310" t="s">
        <v>196</v>
      </c>
      <c r="F21" s="310" t="s">
        <v>2509</v>
      </c>
      <c r="G21" s="310" t="s">
        <v>2769</v>
      </c>
    </row>
    <row r="22">
      <c r="A22" s="310" t="s">
        <v>2522</v>
      </c>
      <c r="B22" s="310" t="s">
        <v>2523</v>
      </c>
      <c r="C22" s="310" t="s">
        <v>2524</v>
      </c>
      <c r="D22" s="310" t="s">
        <v>2525</v>
      </c>
      <c r="E22" s="310" t="s">
        <v>2520</v>
      </c>
      <c r="F22" s="310" t="s">
        <v>2517</v>
      </c>
      <c r="G22" s="310" t="s">
        <v>2771</v>
      </c>
    </row>
    <row r="23">
      <c r="A23" s="310" t="s">
        <v>2531</v>
      </c>
      <c r="B23" s="310" t="s">
        <v>2532</v>
      </c>
      <c r="C23" s="310" t="s">
        <v>2533</v>
      </c>
      <c r="D23" s="310" t="s">
        <v>2534</v>
      </c>
      <c r="E23" s="310" t="s">
        <v>2529</v>
      </c>
      <c r="F23" s="310" t="s">
        <v>2526</v>
      </c>
      <c r="G23" s="310" t="s">
        <v>2773</v>
      </c>
    </row>
    <row r="24">
      <c r="A24" s="310" t="s">
        <v>2540</v>
      </c>
      <c r="B24" s="310" t="s">
        <v>2541</v>
      </c>
      <c r="C24" s="310" t="s">
        <v>2542</v>
      </c>
      <c r="D24" s="310" t="s">
        <v>2543</v>
      </c>
      <c r="E24" s="310" t="s">
        <v>2538</v>
      </c>
      <c r="F24" s="310" t="s">
        <v>2535</v>
      </c>
      <c r="G24" s="310" t="s">
        <v>2775</v>
      </c>
    </row>
    <row r="25">
      <c r="A25" s="310" t="s">
        <v>2550</v>
      </c>
      <c r="B25" s="310" t="s">
        <v>2551</v>
      </c>
      <c r="C25" s="310" t="s">
        <v>2552</v>
      </c>
      <c r="D25" s="310" t="s">
        <v>2553</v>
      </c>
      <c r="E25" s="310" t="s">
        <v>2548</v>
      </c>
      <c r="F25" s="310" t="s">
        <v>2544</v>
      </c>
      <c r="G25" s="310" t="s">
        <v>2777</v>
      </c>
    </row>
    <row r="26">
      <c r="A26" s="310" t="s">
        <v>2558</v>
      </c>
      <c r="B26" s="310" t="s">
        <v>2559</v>
      </c>
      <c r="C26" s="310" t="s">
        <v>2560</v>
      </c>
      <c r="D26" s="310" t="s">
        <v>2561</v>
      </c>
      <c r="E26" s="310" t="s">
        <v>153</v>
      </c>
      <c r="F26" s="310" t="s">
        <v>2554</v>
      </c>
      <c r="G26" s="310" t="s">
        <v>2779</v>
      </c>
    </row>
    <row r="27">
      <c r="A27" s="310" t="s">
        <v>2568</v>
      </c>
      <c r="B27" s="310" t="s">
        <v>2569</v>
      </c>
      <c r="C27" s="310" t="s">
        <v>2570</v>
      </c>
      <c r="D27" s="310" t="s">
        <v>2571</v>
      </c>
      <c r="E27" s="310" t="s">
        <v>2566</v>
      </c>
      <c r="F27" s="310" t="s">
        <v>2562</v>
      </c>
      <c r="G27" s="310" t="s">
        <v>2781</v>
      </c>
    </row>
    <row r="28">
      <c r="A28" s="310" t="s">
        <v>2784</v>
      </c>
      <c r="B28" s="310" t="s">
        <v>2577</v>
      </c>
      <c r="C28" s="310" t="s">
        <v>2578</v>
      </c>
      <c r="D28" s="310" t="s">
        <v>2579</v>
      </c>
      <c r="E28" s="310" t="s">
        <v>2575</v>
      </c>
      <c r="F28" s="310" t="s">
        <v>2572</v>
      </c>
      <c r="G28" s="310" t="s">
        <v>2783</v>
      </c>
    </row>
    <row r="29">
      <c r="A29" s="310" t="s">
        <v>2585</v>
      </c>
      <c r="B29" s="310" t="s">
        <v>2586</v>
      </c>
      <c r="C29" s="310" t="s">
        <v>2587</v>
      </c>
      <c r="D29" s="310" t="s">
        <v>2588</v>
      </c>
      <c r="E29" s="310" t="s">
        <v>2134</v>
      </c>
      <c r="F29" s="310" t="s">
        <v>2580</v>
      </c>
      <c r="G29" s="310" t="s">
        <v>2786</v>
      </c>
    </row>
    <row r="30">
      <c r="A30" s="310" t="s">
        <v>2585</v>
      </c>
      <c r="B30" s="310" t="s">
        <v>2594</v>
      </c>
      <c r="C30" s="310" t="s">
        <v>2595</v>
      </c>
      <c r="D30" s="310" t="s">
        <v>2596</v>
      </c>
      <c r="E30" s="310" t="s">
        <v>2592</v>
      </c>
      <c r="F30" s="310" t="s">
        <v>2589</v>
      </c>
      <c r="G30" s="310" t="s">
        <v>2788</v>
      </c>
    </row>
    <row r="31">
      <c r="A31" s="310" t="s">
        <v>2602</v>
      </c>
      <c r="B31" s="310" t="s">
        <v>2603</v>
      </c>
      <c r="C31" s="310" t="s">
        <v>2604</v>
      </c>
      <c r="D31" s="310" t="s">
        <v>2605</v>
      </c>
      <c r="E31" s="310" t="s">
        <v>2600</v>
      </c>
      <c r="F31" s="310" t="s">
        <v>2597</v>
      </c>
      <c r="G31" s="310" t="s">
        <v>2790</v>
      </c>
    </row>
    <row r="32">
      <c r="A32" s="310" t="s">
        <v>2611</v>
      </c>
      <c r="B32" s="310" t="s">
        <v>2612</v>
      </c>
      <c r="C32" s="310" t="s">
        <v>2613</v>
      </c>
      <c r="D32" s="310" t="s">
        <v>2614</v>
      </c>
      <c r="E32" s="310" t="s">
        <v>2609</v>
      </c>
      <c r="F32" s="310" t="s">
        <v>2606</v>
      </c>
      <c r="G32" s="310" t="s">
        <v>2792</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9.0" topLeftCell="D10" activePane="bottomRight" state="frozen"/>
      <selection activeCell="D1" sqref="D1" pane="topRight"/>
      <selection activeCell="A10" sqref="A10" pane="bottomLeft"/>
      <selection activeCell="D10" sqref="D10" pane="bottomRight"/>
    </sheetView>
  </sheetViews>
  <sheetFormatPr customHeight="1" defaultColWidth="12.63" defaultRowHeight="15.75"/>
  <cols>
    <col customWidth="1" min="1" max="1" width="4.38"/>
    <col customWidth="1" min="4" max="4" width="15.63"/>
    <col customWidth="1" min="5" max="5" width="15.25"/>
    <col customWidth="1" min="8" max="8" width="48.25"/>
    <col customWidth="1" min="10" max="10" width="18.0"/>
  </cols>
  <sheetData>
    <row r="1">
      <c r="A1" s="311"/>
      <c r="B1" s="68"/>
      <c r="C1" s="68"/>
      <c r="D1" s="68"/>
      <c r="E1" s="68"/>
      <c r="F1" s="68"/>
      <c r="G1" s="68"/>
      <c r="H1" s="68"/>
      <c r="I1" s="68"/>
      <c r="J1" s="68"/>
      <c r="K1" s="68"/>
      <c r="L1" s="68"/>
      <c r="M1" s="68"/>
      <c r="N1" s="68"/>
      <c r="O1" s="68"/>
      <c r="P1" s="68"/>
      <c r="Q1" s="68"/>
      <c r="R1" s="68"/>
      <c r="S1" s="68"/>
      <c r="T1" s="68"/>
      <c r="U1" s="68"/>
      <c r="V1" s="68"/>
      <c r="W1" s="68"/>
      <c r="X1" s="68"/>
      <c r="Y1" s="68"/>
      <c r="Z1" s="68"/>
    </row>
    <row r="2">
      <c r="A2" s="68"/>
      <c r="B2" s="68"/>
      <c r="C2" s="68"/>
      <c r="D2" s="68"/>
      <c r="E2" s="68"/>
      <c r="F2" s="68"/>
      <c r="G2" s="68"/>
      <c r="H2" s="68"/>
      <c r="I2" s="68"/>
      <c r="J2" s="68"/>
      <c r="K2" s="68"/>
      <c r="L2" s="68"/>
      <c r="M2" s="68"/>
      <c r="N2" s="68"/>
      <c r="O2" s="68"/>
      <c r="P2" s="68"/>
      <c r="Q2" s="68"/>
      <c r="R2" s="68"/>
      <c r="S2" s="68"/>
      <c r="T2" s="68"/>
      <c r="U2" s="68"/>
      <c r="V2" s="68"/>
      <c r="W2" s="68"/>
      <c r="X2" s="68"/>
      <c r="Y2" s="68"/>
      <c r="Z2" s="68"/>
    </row>
    <row r="3">
      <c r="A3" s="68"/>
      <c r="B3" s="68" t="s">
        <v>108</v>
      </c>
      <c r="C3" s="312" t="s">
        <v>2800</v>
      </c>
      <c r="D3" s="68"/>
      <c r="E3" s="68"/>
      <c r="F3" s="68"/>
      <c r="G3" s="68"/>
      <c r="H3" s="68"/>
      <c r="I3" s="68"/>
      <c r="J3" s="68"/>
      <c r="K3" s="68"/>
      <c r="L3" s="68"/>
      <c r="M3" s="68"/>
      <c r="N3" s="68"/>
      <c r="O3" s="68"/>
      <c r="P3" s="68"/>
      <c r="Q3" s="68"/>
      <c r="R3" s="68"/>
      <c r="S3" s="68"/>
      <c r="T3" s="68"/>
      <c r="U3" s="68"/>
      <c r="V3" s="68"/>
      <c r="W3" s="68"/>
      <c r="X3" s="68"/>
      <c r="Y3" s="68"/>
      <c r="Z3" s="68"/>
    </row>
    <row r="4">
      <c r="A4" s="68"/>
      <c r="B4" s="68" t="s">
        <v>109</v>
      </c>
      <c r="C4" s="313">
        <f>CountA(B10:B980)</f>
        <v>23</v>
      </c>
      <c r="D4" s="68"/>
      <c r="E4" s="68"/>
      <c r="F4" s="68"/>
      <c r="G4" s="68"/>
      <c r="H4" s="68"/>
      <c r="I4" s="68"/>
      <c r="J4" s="68"/>
      <c r="K4" s="68"/>
      <c r="L4" s="68"/>
      <c r="M4" s="68"/>
      <c r="N4" s="68"/>
      <c r="O4" s="68"/>
      <c r="P4" s="68"/>
      <c r="Q4" s="68"/>
      <c r="R4" s="68"/>
      <c r="S4" s="68"/>
      <c r="T4" s="68"/>
      <c r="U4" s="68"/>
      <c r="V4" s="68"/>
      <c r="W4" s="68"/>
      <c r="X4" s="68"/>
      <c r="Y4" s="68"/>
      <c r="Z4" s="68"/>
    </row>
    <row r="5">
      <c r="A5" s="68"/>
      <c r="B5" s="68" t="s">
        <v>110</v>
      </c>
      <c r="C5" s="313">
        <f>SUM(COUNTIF(J10:J980, "Rejected - Blacklist"),COUNTIF(J10:J980, "Rejected - Seems to conflict with what I outlined in the IIP"))</f>
        <v>6</v>
      </c>
      <c r="D5" s="68"/>
      <c r="E5" s="68"/>
      <c r="F5" s="68"/>
      <c r="G5" s="68"/>
      <c r="H5" s="68"/>
      <c r="I5" s="68"/>
      <c r="J5" s="68"/>
      <c r="K5" s="68"/>
      <c r="L5" s="68"/>
      <c r="M5" s="68"/>
      <c r="N5" s="68"/>
      <c r="O5" s="68"/>
      <c r="P5" s="68"/>
      <c r="Q5" s="68"/>
      <c r="R5" s="68"/>
      <c r="S5" s="68"/>
      <c r="T5" s="68"/>
      <c r="U5" s="68"/>
      <c r="V5" s="68"/>
      <c r="W5" s="68"/>
      <c r="X5" s="68"/>
      <c r="Y5" s="68"/>
      <c r="Z5" s="68"/>
    </row>
    <row r="6">
      <c r="A6" s="68"/>
      <c r="B6" s="68" t="s">
        <v>111</v>
      </c>
      <c r="C6" s="314">
        <f>C5/C4</f>
        <v>0.2608695652</v>
      </c>
      <c r="D6" s="68"/>
      <c r="E6" s="68"/>
      <c r="F6" s="68"/>
      <c r="G6" s="68"/>
      <c r="H6" s="68"/>
      <c r="I6" s="68"/>
      <c r="J6" s="68"/>
      <c r="K6" s="68"/>
      <c r="L6" s="68"/>
      <c r="M6" s="68"/>
      <c r="N6" s="68"/>
      <c r="O6" s="68"/>
      <c r="P6" s="68"/>
      <c r="Q6" s="68"/>
      <c r="R6" s="68"/>
      <c r="S6" s="68"/>
      <c r="T6" s="68"/>
      <c r="U6" s="68"/>
      <c r="V6" s="68"/>
      <c r="W6" s="68"/>
      <c r="X6" s="68"/>
      <c r="Y6" s="68"/>
      <c r="Z6" s="68"/>
    </row>
    <row r="7">
      <c r="A7" s="68"/>
      <c r="B7" s="68" t="s">
        <v>112</v>
      </c>
      <c r="C7" s="315" t="s">
        <v>2801</v>
      </c>
      <c r="D7" s="68"/>
      <c r="E7" s="68"/>
      <c r="F7" s="68"/>
      <c r="G7" s="68"/>
      <c r="H7" s="316"/>
      <c r="I7" s="68"/>
      <c r="J7" s="68"/>
      <c r="K7" s="68"/>
      <c r="L7" s="68"/>
      <c r="M7" s="68"/>
      <c r="N7" s="68"/>
      <c r="O7" s="68"/>
      <c r="P7" s="68"/>
      <c r="Q7" s="68"/>
      <c r="R7" s="68"/>
      <c r="S7" s="68"/>
      <c r="T7" s="68"/>
      <c r="U7" s="68"/>
      <c r="V7" s="68"/>
      <c r="W7" s="68"/>
      <c r="X7" s="68"/>
      <c r="Y7" s="68"/>
      <c r="Z7" s="68"/>
    </row>
    <row r="8">
      <c r="A8" s="68"/>
      <c r="B8" s="68"/>
      <c r="C8" s="68"/>
      <c r="D8" s="68"/>
      <c r="E8" s="68"/>
      <c r="F8" s="68"/>
      <c r="G8" s="68"/>
      <c r="H8" s="68"/>
      <c r="I8" s="68"/>
      <c r="J8" s="68"/>
      <c r="K8" s="68"/>
      <c r="L8" s="68"/>
      <c r="M8" s="68"/>
      <c r="N8" s="68"/>
      <c r="O8" s="68"/>
      <c r="P8" s="68"/>
      <c r="Q8" s="68"/>
      <c r="R8" s="68"/>
      <c r="S8" s="68"/>
      <c r="T8" s="68"/>
      <c r="U8" s="68"/>
      <c r="V8" s="68"/>
      <c r="W8" s="68"/>
      <c r="X8" s="68"/>
      <c r="Y8" s="68"/>
      <c r="Z8" s="68"/>
    </row>
    <row r="9">
      <c r="A9" s="80" t="s">
        <v>123</v>
      </c>
      <c r="B9" s="80" t="s">
        <v>57</v>
      </c>
      <c r="C9" s="80" t="s">
        <v>59</v>
      </c>
      <c r="D9" s="80" t="s">
        <v>124</v>
      </c>
      <c r="E9" s="317" t="s">
        <v>125</v>
      </c>
      <c r="F9" s="317" t="s">
        <v>2802</v>
      </c>
      <c r="G9" s="318" t="s">
        <v>126</v>
      </c>
      <c r="H9" s="318" t="s">
        <v>127</v>
      </c>
      <c r="I9" s="80" t="s">
        <v>128</v>
      </c>
      <c r="J9" s="80" t="s">
        <v>129</v>
      </c>
      <c r="K9" s="80" t="s">
        <v>130</v>
      </c>
      <c r="L9" s="80" t="s">
        <v>131</v>
      </c>
      <c r="M9" s="317" t="s">
        <v>58</v>
      </c>
      <c r="N9" s="80" t="s">
        <v>132</v>
      </c>
      <c r="O9" s="80" t="s">
        <v>133</v>
      </c>
      <c r="P9" s="80" t="s">
        <v>134</v>
      </c>
      <c r="Q9" s="80" t="s">
        <v>135</v>
      </c>
      <c r="R9" s="80" t="s">
        <v>136</v>
      </c>
      <c r="S9" s="80" t="s">
        <v>137</v>
      </c>
      <c r="T9" s="319" t="s">
        <v>138</v>
      </c>
      <c r="U9" s="317" t="s">
        <v>139</v>
      </c>
      <c r="V9" s="80" t="s">
        <v>140</v>
      </c>
      <c r="W9" s="80" t="s">
        <v>141</v>
      </c>
      <c r="X9" s="80" t="s">
        <v>142</v>
      </c>
      <c r="Y9" s="80" t="s">
        <v>143</v>
      </c>
      <c r="Z9" s="68"/>
    </row>
    <row r="10">
      <c r="A10" s="100">
        <f t="shared" ref="A10:A26" si="1">IF(ISBLANK(B10),"",COUNTA($B$9:B9))</f>
        <v>1</v>
      </c>
      <c r="B10" s="320" t="s">
        <v>1359</v>
      </c>
      <c r="C10" s="106" t="s">
        <v>63</v>
      </c>
      <c r="D10" s="321" t="s">
        <v>1360</v>
      </c>
      <c r="E10" s="223" t="s">
        <v>240</v>
      </c>
      <c r="F10" s="223" t="s">
        <v>411</v>
      </c>
      <c r="G10" s="322" t="s">
        <v>194</v>
      </c>
      <c r="H10" s="323" t="s">
        <v>2803</v>
      </c>
      <c r="I10" s="223" t="s">
        <v>149</v>
      </c>
      <c r="J10" s="191" t="s">
        <v>165</v>
      </c>
      <c r="K10" s="96"/>
      <c r="L10" s="96"/>
      <c r="M10" s="96"/>
      <c r="N10" s="106" t="s">
        <v>1362</v>
      </c>
      <c r="O10" s="123" t="s">
        <v>1363</v>
      </c>
      <c r="P10" s="108" t="s">
        <v>1364</v>
      </c>
      <c r="Q10" s="108" t="s">
        <v>1365</v>
      </c>
      <c r="R10" s="108" t="s">
        <v>1366</v>
      </c>
      <c r="S10" s="120" t="s">
        <v>1367</v>
      </c>
      <c r="T10" s="324"/>
      <c r="U10" s="96"/>
      <c r="V10" s="96"/>
      <c r="W10" s="96"/>
      <c r="X10" s="96"/>
      <c r="Y10" s="96"/>
      <c r="Z10" s="68"/>
    </row>
    <row r="11">
      <c r="A11" s="100">
        <f t="shared" si="1"/>
        <v>2</v>
      </c>
      <c r="B11" s="325" t="s">
        <v>175</v>
      </c>
      <c r="C11" s="126" t="s">
        <v>63</v>
      </c>
      <c r="D11" s="176" t="s">
        <v>176</v>
      </c>
      <c r="E11" s="223" t="s">
        <v>240</v>
      </c>
      <c r="F11" s="291" t="s">
        <v>411</v>
      </c>
      <c r="G11" s="322" t="s">
        <v>147</v>
      </c>
      <c r="H11" s="208" t="s">
        <v>2804</v>
      </c>
      <c r="I11" s="223" t="s">
        <v>149</v>
      </c>
      <c r="J11" s="191" t="s">
        <v>165</v>
      </c>
      <c r="K11" s="96"/>
      <c r="L11" s="96"/>
      <c r="M11" s="96"/>
      <c r="N11" s="106" t="s">
        <v>2805</v>
      </c>
      <c r="O11" s="123" t="s">
        <v>2806</v>
      </c>
      <c r="P11" s="108" t="s">
        <v>2807</v>
      </c>
      <c r="Q11" s="108" t="s">
        <v>2808</v>
      </c>
      <c r="R11" s="108" t="s">
        <v>2809</v>
      </c>
      <c r="S11" s="120" t="s">
        <v>2810</v>
      </c>
      <c r="T11" s="324"/>
      <c r="U11" s="96"/>
      <c r="V11" s="96"/>
      <c r="W11" s="96"/>
      <c r="X11" s="96"/>
      <c r="Y11" s="96"/>
      <c r="Z11" s="68"/>
    </row>
    <row r="12">
      <c r="A12" s="100">
        <f t="shared" si="1"/>
        <v>3</v>
      </c>
      <c r="B12" s="252" t="s">
        <v>409</v>
      </c>
      <c r="C12" s="326" t="s">
        <v>63</v>
      </c>
      <c r="D12" s="327" t="s">
        <v>410</v>
      </c>
      <c r="E12" s="223" t="s">
        <v>240</v>
      </c>
      <c r="F12" s="291" t="s">
        <v>411</v>
      </c>
      <c r="G12" s="322" t="s">
        <v>248</v>
      </c>
      <c r="H12" s="208" t="s">
        <v>2811</v>
      </c>
      <c r="I12" s="223" t="s">
        <v>149</v>
      </c>
      <c r="J12" s="191" t="s">
        <v>165</v>
      </c>
      <c r="K12" s="96"/>
      <c r="L12" s="96"/>
      <c r="M12" s="96"/>
      <c r="N12" s="106" t="s">
        <v>196</v>
      </c>
      <c r="O12" s="123" t="s">
        <v>413</v>
      </c>
      <c r="P12" s="108" t="s">
        <v>414</v>
      </c>
      <c r="Q12" s="108" t="s">
        <v>415</v>
      </c>
      <c r="R12" s="146" t="s">
        <v>416</v>
      </c>
      <c r="S12" s="120" t="s">
        <v>417</v>
      </c>
      <c r="T12" s="324"/>
      <c r="U12" s="96"/>
      <c r="V12" s="96"/>
      <c r="W12" s="96"/>
      <c r="X12" s="96"/>
      <c r="Y12" s="96"/>
      <c r="Z12" s="68"/>
    </row>
    <row r="13">
      <c r="A13" s="100">
        <f t="shared" si="1"/>
        <v>4</v>
      </c>
      <c r="B13" s="252" t="s">
        <v>2812</v>
      </c>
      <c r="C13" s="106" t="s">
        <v>265</v>
      </c>
      <c r="D13" s="327" t="s">
        <v>2813</v>
      </c>
      <c r="E13" s="223" t="s">
        <v>240</v>
      </c>
      <c r="F13" s="291" t="s">
        <v>411</v>
      </c>
      <c r="G13" s="322" t="s">
        <v>194</v>
      </c>
      <c r="H13" s="328" t="s">
        <v>2814</v>
      </c>
      <c r="I13" s="223" t="s">
        <v>149</v>
      </c>
      <c r="J13" s="191" t="s">
        <v>150</v>
      </c>
      <c r="K13" s="191" t="s">
        <v>402</v>
      </c>
      <c r="L13" s="96"/>
      <c r="M13" s="96"/>
      <c r="N13" s="223" t="s">
        <v>2815</v>
      </c>
      <c r="O13" s="292" t="s">
        <v>2816</v>
      </c>
      <c r="P13" s="192" t="s">
        <v>2817</v>
      </c>
      <c r="Q13" s="192" t="s">
        <v>2818</v>
      </c>
      <c r="R13" s="192" t="s">
        <v>2819</v>
      </c>
      <c r="S13" s="329" t="s">
        <v>2820</v>
      </c>
      <c r="T13" s="324"/>
      <c r="U13" s="96"/>
      <c r="V13" s="96"/>
      <c r="W13" s="96"/>
      <c r="X13" s="96"/>
      <c r="Y13" s="96"/>
      <c r="Z13" s="68"/>
    </row>
    <row r="14">
      <c r="A14" s="100">
        <f t="shared" si="1"/>
        <v>5</v>
      </c>
      <c r="B14" s="251" t="s">
        <v>2821</v>
      </c>
      <c r="C14" s="106" t="s">
        <v>63</v>
      </c>
      <c r="D14" s="176" t="s">
        <v>2822</v>
      </c>
      <c r="E14" s="223" t="s">
        <v>240</v>
      </c>
      <c r="F14" s="291" t="s">
        <v>411</v>
      </c>
      <c r="G14" s="322" t="s">
        <v>376</v>
      </c>
      <c r="H14" s="330" t="s">
        <v>2823</v>
      </c>
      <c r="I14" s="223" t="s">
        <v>149</v>
      </c>
      <c r="J14" s="191" t="s">
        <v>165</v>
      </c>
      <c r="K14" s="96"/>
      <c r="L14" s="96"/>
      <c r="M14" s="96"/>
      <c r="N14" s="223" t="s">
        <v>196</v>
      </c>
      <c r="O14" s="292" t="s">
        <v>2824</v>
      </c>
      <c r="P14" s="192" t="s">
        <v>2825</v>
      </c>
      <c r="Q14" s="192" t="s">
        <v>2826</v>
      </c>
      <c r="R14" s="192" t="s">
        <v>2827</v>
      </c>
      <c r="S14" s="329" t="s">
        <v>2828</v>
      </c>
      <c r="T14" s="324"/>
      <c r="U14" s="96"/>
      <c r="V14" s="96"/>
      <c r="W14" s="96"/>
      <c r="X14" s="96"/>
      <c r="Y14" s="96"/>
      <c r="Z14" s="68"/>
    </row>
    <row r="15">
      <c r="A15" s="100">
        <f t="shared" si="1"/>
        <v>6</v>
      </c>
      <c r="B15" s="252" t="s">
        <v>1934</v>
      </c>
      <c r="C15" s="106" t="s">
        <v>63</v>
      </c>
      <c r="D15" s="321" t="s">
        <v>2829</v>
      </c>
      <c r="E15" s="223" t="s">
        <v>240</v>
      </c>
      <c r="F15" s="291" t="s">
        <v>411</v>
      </c>
      <c r="G15" s="322" t="s">
        <v>194</v>
      </c>
      <c r="H15" s="323" t="s">
        <v>2830</v>
      </c>
      <c r="I15" s="223" t="s">
        <v>149</v>
      </c>
      <c r="J15" s="191" t="s">
        <v>150</v>
      </c>
      <c r="K15" s="191" t="s">
        <v>324</v>
      </c>
      <c r="L15" s="96"/>
      <c r="M15" s="96"/>
      <c r="N15" s="223" t="s">
        <v>330</v>
      </c>
      <c r="O15" s="292" t="s">
        <v>2831</v>
      </c>
      <c r="P15" s="192" t="s">
        <v>1364</v>
      </c>
      <c r="Q15" s="192" t="s">
        <v>2832</v>
      </c>
      <c r="R15" s="192" t="s">
        <v>2833</v>
      </c>
      <c r="S15" s="329" t="s">
        <v>2834</v>
      </c>
      <c r="T15" s="324"/>
      <c r="U15" s="96"/>
      <c r="V15" s="96"/>
      <c r="W15" s="96"/>
      <c r="X15" s="96"/>
      <c r="Y15" s="96"/>
      <c r="Z15" s="68"/>
    </row>
    <row r="16">
      <c r="A16" s="100">
        <f t="shared" si="1"/>
        <v>7</v>
      </c>
      <c r="B16" s="331" t="s">
        <v>586</v>
      </c>
      <c r="C16" s="134" t="s">
        <v>63</v>
      </c>
      <c r="D16" s="332" t="s">
        <v>587</v>
      </c>
      <c r="E16" s="223" t="s">
        <v>240</v>
      </c>
      <c r="F16" s="291" t="s">
        <v>411</v>
      </c>
      <c r="G16" s="322" t="s">
        <v>307</v>
      </c>
      <c r="H16" s="323" t="s">
        <v>2835</v>
      </c>
      <c r="I16" s="223" t="s">
        <v>149</v>
      </c>
      <c r="J16" s="191" t="s">
        <v>150</v>
      </c>
      <c r="K16" s="191" t="s">
        <v>2836</v>
      </c>
      <c r="L16" s="96"/>
      <c r="M16" s="96"/>
      <c r="N16" s="223" t="s">
        <v>2837</v>
      </c>
      <c r="O16" s="292" t="s">
        <v>2838</v>
      </c>
      <c r="P16" s="192" t="s">
        <v>2839</v>
      </c>
      <c r="Q16" s="192" t="s">
        <v>2840</v>
      </c>
      <c r="R16" s="192" t="s">
        <v>2841</v>
      </c>
      <c r="S16" s="329" t="s">
        <v>2842</v>
      </c>
      <c r="T16" s="324"/>
      <c r="U16" s="96"/>
      <c r="V16" s="96"/>
      <c r="W16" s="96"/>
      <c r="X16" s="96"/>
      <c r="Y16" s="96"/>
      <c r="Z16" s="68"/>
    </row>
    <row r="17">
      <c r="A17" s="100">
        <f t="shared" si="1"/>
        <v>8</v>
      </c>
      <c r="B17" s="252" t="s">
        <v>2843</v>
      </c>
      <c r="C17" s="106" t="s">
        <v>63</v>
      </c>
      <c r="D17" s="176" t="s">
        <v>2844</v>
      </c>
      <c r="E17" s="223" t="s">
        <v>240</v>
      </c>
      <c r="F17" s="291" t="s">
        <v>411</v>
      </c>
      <c r="G17" s="322" t="s">
        <v>2186</v>
      </c>
      <c r="H17" s="328" t="s">
        <v>2845</v>
      </c>
      <c r="I17" s="223" t="s">
        <v>149</v>
      </c>
      <c r="J17" s="191" t="s">
        <v>165</v>
      </c>
      <c r="K17" s="96"/>
      <c r="L17" s="96"/>
      <c r="M17" s="96"/>
      <c r="N17" s="223" t="s">
        <v>2846</v>
      </c>
      <c r="O17" s="292" t="s">
        <v>2847</v>
      </c>
      <c r="P17" s="192" t="s">
        <v>2848</v>
      </c>
      <c r="Q17" s="192" t="s">
        <v>2849</v>
      </c>
      <c r="R17" s="192" t="s">
        <v>2850</v>
      </c>
      <c r="S17" s="333" t="s">
        <v>2851</v>
      </c>
      <c r="T17" s="324"/>
      <c r="U17" s="96"/>
      <c r="V17" s="96"/>
      <c r="W17" s="96"/>
      <c r="X17" s="96"/>
      <c r="Y17" s="96"/>
      <c r="Z17" s="68"/>
    </row>
    <row r="18">
      <c r="A18" s="100">
        <f t="shared" si="1"/>
        <v>9</v>
      </c>
      <c r="B18" s="334" t="s">
        <v>2852</v>
      </c>
      <c r="C18" s="223" t="s">
        <v>63</v>
      </c>
      <c r="D18" s="321" t="s">
        <v>2853</v>
      </c>
      <c r="E18" s="223" t="s">
        <v>240</v>
      </c>
      <c r="F18" s="291" t="s">
        <v>411</v>
      </c>
      <c r="G18" s="122" t="s">
        <v>2854</v>
      </c>
      <c r="H18" s="323" t="s">
        <v>2855</v>
      </c>
      <c r="I18" s="223" t="s">
        <v>149</v>
      </c>
      <c r="J18" s="191" t="s">
        <v>165</v>
      </c>
      <c r="K18" s="96"/>
      <c r="L18" s="96"/>
      <c r="M18" s="96"/>
      <c r="N18" s="223" t="s">
        <v>250</v>
      </c>
      <c r="O18" s="292" t="s">
        <v>2856</v>
      </c>
      <c r="P18" s="192" t="s">
        <v>2857</v>
      </c>
      <c r="Q18" s="192" t="s">
        <v>1080</v>
      </c>
      <c r="R18" s="192" t="s">
        <v>2858</v>
      </c>
      <c r="S18" s="329" t="s">
        <v>2859</v>
      </c>
      <c r="T18" s="324"/>
      <c r="U18" s="96"/>
      <c r="V18" s="96"/>
      <c r="W18" s="96"/>
      <c r="X18" s="96"/>
      <c r="Y18" s="96"/>
      <c r="Z18" s="68"/>
    </row>
    <row r="19">
      <c r="A19" s="100">
        <f t="shared" si="1"/>
        <v>10</v>
      </c>
      <c r="B19" s="335" t="s">
        <v>2860</v>
      </c>
      <c r="C19" s="223" t="s">
        <v>63</v>
      </c>
      <c r="D19" s="302" t="s">
        <v>2861</v>
      </c>
      <c r="E19" s="223" t="s">
        <v>240</v>
      </c>
      <c r="F19" s="291" t="s">
        <v>411</v>
      </c>
      <c r="G19" s="322" t="s">
        <v>2862</v>
      </c>
      <c r="H19" s="323" t="s">
        <v>2863</v>
      </c>
      <c r="I19" s="223" t="s">
        <v>149</v>
      </c>
      <c r="J19" s="191" t="s">
        <v>165</v>
      </c>
      <c r="K19" s="96"/>
      <c r="L19" s="96"/>
      <c r="M19" s="96"/>
      <c r="N19" s="106" t="s">
        <v>2864</v>
      </c>
      <c r="O19" s="123" t="s">
        <v>2865</v>
      </c>
      <c r="P19" s="108" t="str">
        <f>IFERROR(__xludf.DUMMYFUNCTION("IFERROR(REGEXEXTRACT(TRIM(O19),""^\S+""),"""")
"),"Jason")</f>
        <v>Jason</v>
      </c>
      <c r="Q19" s="108" t="str">
        <f>IFERROR(__xludf.DUMMYFUNCTION("IFERROR(TRIM(REGEXREPLACE(TRIM(O19),""^\S+\s*"","""")),"""")
"),"Guo")</f>
        <v>Guo</v>
      </c>
      <c r="R19" s="108" t="s">
        <v>2866</v>
      </c>
      <c r="S19" s="120" t="s">
        <v>2867</v>
      </c>
      <c r="T19" s="324"/>
      <c r="U19" s="96"/>
      <c r="V19" s="96"/>
      <c r="W19" s="96"/>
      <c r="X19" s="96"/>
      <c r="Y19" s="96"/>
      <c r="Z19" s="68"/>
    </row>
    <row r="20">
      <c r="A20" s="100">
        <f t="shared" si="1"/>
        <v>11</v>
      </c>
      <c r="B20" s="336" t="s">
        <v>2868</v>
      </c>
      <c r="C20" s="106" t="s">
        <v>67</v>
      </c>
      <c r="D20" s="176" t="s">
        <v>2869</v>
      </c>
      <c r="E20" s="223" t="s">
        <v>240</v>
      </c>
      <c r="F20" s="223" t="s">
        <v>411</v>
      </c>
      <c r="G20" s="223" t="s">
        <v>2870</v>
      </c>
      <c r="H20" s="328" t="s">
        <v>2871</v>
      </c>
      <c r="I20" s="223" t="s">
        <v>149</v>
      </c>
      <c r="J20" s="191" t="s">
        <v>150</v>
      </c>
      <c r="K20" s="191" t="s">
        <v>2872</v>
      </c>
      <c r="L20" s="96"/>
      <c r="M20" s="96"/>
      <c r="N20" s="223" t="s">
        <v>2873</v>
      </c>
      <c r="O20" s="292" t="s">
        <v>2874</v>
      </c>
      <c r="P20" s="192" t="s">
        <v>2875</v>
      </c>
      <c r="Q20" s="192" t="s">
        <v>2876</v>
      </c>
      <c r="R20" s="192" t="s">
        <v>2877</v>
      </c>
      <c r="S20" s="329" t="s">
        <v>2878</v>
      </c>
      <c r="T20" s="324"/>
      <c r="U20" s="96"/>
      <c r="V20" s="96"/>
      <c r="W20" s="96"/>
      <c r="X20" s="96"/>
      <c r="Y20" s="96"/>
      <c r="Z20" s="68"/>
    </row>
    <row r="21">
      <c r="A21" s="100">
        <f t="shared" si="1"/>
        <v>12</v>
      </c>
      <c r="B21" s="336" t="s">
        <v>2879</v>
      </c>
      <c r="C21" s="106" t="s">
        <v>63</v>
      </c>
      <c r="D21" s="176" t="s">
        <v>2880</v>
      </c>
      <c r="E21" s="223" t="s">
        <v>240</v>
      </c>
      <c r="F21" s="223" t="s">
        <v>411</v>
      </c>
      <c r="G21" s="276" t="s">
        <v>2186</v>
      </c>
      <c r="H21" s="125" t="s">
        <v>2881</v>
      </c>
      <c r="I21" s="223" t="s">
        <v>149</v>
      </c>
      <c r="J21" s="191" t="s">
        <v>165</v>
      </c>
      <c r="K21" s="96"/>
      <c r="L21" s="96"/>
      <c r="M21" s="96"/>
      <c r="N21" s="223" t="s">
        <v>250</v>
      </c>
      <c r="O21" s="292" t="s">
        <v>2882</v>
      </c>
      <c r="P21" s="192" t="s">
        <v>2883</v>
      </c>
      <c r="Q21" s="192" t="s">
        <v>2884</v>
      </c>
      <c r="R21" s="192" t="s">
        <v>2885</v>
      </c>
      <c r="S21" s="329" t="s">
        <v>2886</v>
      </c>
      <c r="T21" s="324"/>
      <c r="U21" s="96"/>
      <c r="V21" s="96"/>
      <c r="W21" s="96"/>
      <c r="X21" s="96"/>
      <c r="Y21" s="96"/>
      <c r="Z21" s="68"/>
    </row>
    <row r="22">
      <c r="A22" s="100">
        <f t="shared" si="1"/>
        <v>13</v>
      </c>
      <c r="B22" s="336" t="s">
        <v>2887</v>
      </c>
      <c r="C22" s="223" t="s">
        <v>265</v>
      </c>
      <c r="D22" s="176" t="s">
        <v>2888</v>
      </c>
      <c r="E22" s="223" t="s">
        <v>240</v>
      </c>
      <c r="F22" s="223" t="s">
        <v>411</v>
      </c>
      <c r="G22" s="276" t="s">
        <v>2186</v>
      </c>
      <c r="H22" s="323" t="s">
        <v>2889</v>
      </c>
      <c r="I22" s="223" t="s">
        <v>149</v>
      </c>
      <c r="J22" s="191" t="s">
        <v>150</v>
      </c>
      <c r="K22" s="96"/>
      <c r="L22" s="96"/>
      <c r="M22" s="96"/>
      <c r="N22" s="223" t="s">
        <v>2890</v>
      </c>
      <c r="O22" s="292" t="s">
        <v>2891</v>
      </c>
      <c r="P22" s="192" t="s">
        <v>734</v>
      </c>
      <c r="Q22" s="192" t="s">
        <v>2892</v>
      </c>
      <c r="R22" s="192" t="s">
        <v>2893</v>
      </c>
      <c r="S22" s="337" t="s">
        <v>2894</v>
      </c>
      <c r="T22" s="324"/>
      <c r="U22" s="96"/>
      <c r="V22" s="96"/>
      <c r="W22" s="96"/>
      <c r="X22" s="96"/>
      <c r="Y22" s="96"/>
      <c r="Z22" s="68"/>
    </row>
    <row r="23">
      <c r="A23" s="100">
        <f t="shared" si="1"/>
        <v>14</v>
      </c>
      <c r="B23" s="338" t="s">
        <v>2895</v>
      </c>
      <c r="C23" s="223" t="s">
        <v>63</v>
      </c>
      <c r="D23" s="321" t="s">
        <v>2896</v>
      </c>
      <c r="E23" s="223" t="s">
        <v>240</v>
      </c>
      <c r="F23" s="223" t="s">
        <v>411</v>
      </c>
      <c r="G23" s="276" t="s">
        <v>194</v>
      </c>
      <c r="H23" s="328" t="s">
        <v>2897</v>
      </c>
      <c r="I23" s="223" t="s">
        <v>149</v>
      </c>
      <c r="J23" s="191" t="s">
        <v>165</v>
      </c>
      <c r="K23" s="96"/>
      <c r="L23" s="96"/>
      <c r="M23" s="96"/>
      <c r="N23" s="223" t="s">
        <v>2898</v>
      </c>
      <c r="O23" s="292" t="s">
        <v>2899</v>
      </c>
      <c r="P23" s="192" t="s">
        <v>2900</v>
      </c>
      <c r="Q23" s="192" t="s">
        <v>2901</v>
      </c>
      <c r="R23" s="192" t="s">
        <v>2902</v>
      </c>
      <c r="S23" s="337" t="s">
        <v>2903</v>
      </c>
      <c r="T23" s="324"/>
      <c r="U23" s="96"/>
      <c r="V23" s="96"/>
      <c r="W23" s="96"/>
      <c r="X23" s="96"/>
      <c r="Y23" s="96"/>
      <c r="Z23" s="68"/>
    </row>
    <row r="24">
      <c r="A24" s="100">
        <f t="shared" si="1"/>
        <v>15</v>
      </c>
      <c r="B24" s="336" t="s">
        <v>2904</v>
      </c>
      <c r="C24" s="106" t="s">
        <v>67</v>
      </c>
      <c r="D24" s="321" t="s">
        <v>2905</v>
      </c>
      <c r="E24" s="223" t="s">
        <v>240</v>
      </c>
      <c r="F24" s="223" t="s">
        <v>411</v>
      </c>
      <c r="G24" s="276" t="s">
        <v>194</v>
      </c>
      <c r="H24" s="323" t="s">
        <v>2906</v>
      </c>
      <c r="I24" s="223" t="s">
        <v>149</v>
      </c>
      <c r="J24" s="191" t="s">
        <v>165</v>
      </c>
      <c r="K24" s="96"/>
      <c r="L24" s="96"/>
      <c r="M24" s="96"/>
      <c r="N24" s="223" t="s">
        <v>330</v>
      </c>
      <c r="O24" s="292" t="s">
        <v>2907</v>
      </c>
      <c r="P24" s="192" t="s">
        <v>2908</v>
      </c>
      <c r="Q24" s="192" t="s">
        <v>2209</v>
      </c>
      <c r="R24" s="192" t="s">
        <v>2909</v>
      </c>
      <c r="S24" s="329" t="s">
        <v>2910</v>
      </c>
      <c r="T24" s="324"/>
      <c r="U24" s="96"/>
      <c r="V24" s="96"/>
      <c r="W24" s="96"/>
      <c r="X24" s="339"/>
      <c r="Y24" s="96"/>
      <c r="Z24" s="68"/>
    </row>
    <row r="25">
      <c r="A25" s="100">
        <f t="shared" si="1"/>
        <v>16</v>
      </c>
      <c r="B25" s="340" t="s">
        <v>2911</v>
      </c>
      <c r="C25" s="223" t="s">
        <v>257</v>
      </c>
      <c r="D25" s="321" t="s">
        <v>2912</v>
      </c>
      <c r="E25" s="223" t="s">
        <v>240</v>
      </c>
      <c r="F25" s="223" t="s">
        <v>411</v>
      </c>
      <c r="G25" s="276" t="s">
        <v>1538</v>
      </c>
      <c r="H25" s="208" t="s">
        <v>2913</v>
      </c>
      <c r="I25" s="223" t="s">
        <v>149</v>
      </c>
      <c r="J25" s="191" t="s">
        <v>165</v>
      </c>
      <c r="K25" s="191" t="s">
        <v>2914</v>
      </c>
      <c r="L25" s="96"/>
      <c r="M25" s="96"/>
      <c r="N25" s="223" t="s">
        <v>257</v>
      </c>
      <c r="O25" s="292" t="s">
        <v>2911</v>
      </c>
      <c r="P25" s="192" t="s">
        <v>2915</v>
      </c>
      <c r="Q25" s="192" t="s">
        <v>2916</v>
      </c>
      <c r="R25" s="192" t="s">
        <v>2917</v>
      </c>
      <c r="S25" s="329" t="s">
        <v>2912</v>
      </c>
      <c r="T25" s="324"/>
      <c r="U25" s="96"/>
      <c r="V25" s="96"/>
      <c r="W25" s="96"/>
      <c r="X25" s="96"/>
      <c r="Y25" s="96"/>
      <c r="Z25" s="68"/>
    </row>
    <row r="26">
      <c r="A26" s="100">
        <f t="shared" si="1"/>
        <v>17</v>
      </c>
      <c r="B26" s="341" t="s">
        <v>2918</v>
      </c>
      <c r="C26" s="106" t="s">
        <v>257</v>
      </c>
      <c r="D26" s="176" t="s">
        <v>2919</v>
      </c>
      <c r="E26" s="223" t="s">
        <v>240</v>
      </c>
      <c r="F26" s="223" t="s">
        <v>411</v>
      </c>
      <c r="G26" s="276" t="s">
        <v>1538</v>
      </c>
      <c r="H26" s="330" t="s">
        <v>2920</v>
      </c>
      <c r="I26" s="223" t="s">
        <v>149</v>
      </c>
      <c r="J26" s="191" t="s">
        <v>165</v>
      </c>
      <c r="K26" s="191" t="s">
        <v>242</v>
      </c>
      <c r="L26" s="96"/>
      <c r="M26" s="191" t="s">
        <v>2921</v>
      </c>
      <c r="N26" s="223" t="s">
        <v>257</v>
      </c>
      <c r="O26" s="292" t="s">
        <v>2918</v>
      </c>
      <c r="P26" s="192" t="s">
        <v>2922</v>
      </c>
      <c r="Q26" s="192" t="s">
        <v>2923</v>
      </c>
      <c r="R26" s="192" t="s">
        <v>2924</v>
      </c>
      <c r="S26" s="329" t="s">
        <v>2919</v>
      </c>
      <c r="T26" s="324"/>
      <c r="U26" s="96"/>
      <c r="V26" s="96"/>
      <c r="W26" s="96"/>
      <c r="X26" s="96"/>
      <c r="Y26" s="96"/>
      <c r="Z26" s="68"/>
    </row>
    <row r="27">
      <c r="A27" s="126">
        <v>19.0</v>
      </c>
      <c r="B27" s="127" t="s">
        <v>2925</v>
      </c>
      <c r="C27" s="106" t="s">
        <v>67</v>
      </c>
      <c r="D27" s="176" t="s">
        <v>2926</v>
      </c>
      <c r="E27" s="106" t="s">
        <v>240</v>
      </c>
      <c r="F27" s="106" t="s">
        <v>411</v>
      </c>
      <c r="G27" s="106" t="s">
        <v>2927</v>
      </c>
      <c r="H27" s="342" t="s">
        <v>2928</v>
      </c>
      <c r="I27" s="106" t="s">
        <v>149</v>
      </c>
      <c r="J27" s="343" t="s">
        <v>165</v>
      </c>
      <c r="K27" s="96"/>
      <c r="L27" s="96"/>
      <c r="M27" s="96"/>
      <c r="N27" s="96"/>
      <c r="O27" s="96"/>
      <c r="P27" s="96"/>
      <c r="Q27" s="96"/>
      <c r="R27" s="96"/>
      <c r="S27" s="96"/>
      <c r="T27" s="96"/>
      <c r="U27" s="96"/>
      <c r="V27" s="96"/>
      <c r="W27" s="96"/>
      <c r="X27" s="96"/>
      <c r="Y27" s="96"/>
      <c r="Z27" s="68"/>
    </row>
    <row r="28">
      <c r="A28" s="126">
        <v>20.0</v>
      </c>
      <c r="B28" s="127" t="s">
        <v>2929</v>
      </c>
      <c r="C28" s="106" t="s">
        <v>257</v>
      </c>
      <c r="D28" s="176" t="s">
        <v>2930</v>
      </c>
      <c r="E28" s="106" t="s">
        <v>240</v>
      </c>
      <c r="F28" s="106" t="s">
        <v>411</v>
      </c>
      <c r="G28" s="106" t="s">
        <v>259</v>
      </c>
      <c r="H28" s="342" t="s">
        <v>2931</v>
      </c>
      <c r="I28" s="106" t="s">
        <v>149</v>
      </c>
      <c r="J28" s="343" t="s">
        <v>165</v>
      </c>
      <c r="K28" s="96"/>
      <c r="L28" s="96"/>
      <c r="M28" s="96"/>
      <c r="N28" s="96"/>
      <c r="O28" s="96"/>
      <c r="P28" s="96"/>
      <c r="Q28" s="96"/>
      <c r="R28" s="96"/>
      <c r="S28" s="96"/>
      <c r="T28" s="96"/>
      <c r="U28" s="96"/>
      <c r="V28" s="96"/>
      <c r="W28" s="96"/>
      <c r="X28" s="96"/>
      <c r="Y28" s="96"/>
      <c r="Z28" s="68"/>
    </row>
    <row r="29">
      <c r="A29" s="126">
        <v>21.0</v>
      </c>
      <c r="B29" s="127" t="s">
        <v>2932</v>
      </c>
      <c r="C29" s="106" t="s">
        <v>257</v>
      </c>
      <c r="D29" s="176" t="s">
        <v>2933</v>
      </c>
      <c r="E29" s="106" t="s">
        <v>240</v>
      </c>
      <c r="F29" s="106" t="s">
        <v>411</v>
      </c>
      <c r="G29" s="106" t="s">
        <v>259</v>
      </c>
      <c r="H29" s="342" t="s">
        <v>2934</v>
      </c>
      <c r="I29" s="126" t="s">
        <v>149</v>
      </c>
      <c r="J29" s="343" t="s">
        <v>165</v>
      </c>
      <c r="K29" s="96"/>
      <c r="L29" s="96"/>
      <c r="M29" s="96"/>
      <c r="N29" s="96"/>
      <c r="O29" s="96"/>
      <c r="P29" s="96"/>
      <c r="Q29" s="96"/>
      <c r="R29" s="96"/>
      <c r="S29" s="96"/>
      <c r="T29" s="96"/>
      <c r="U29" s="96"/>
      <c r="V29" s="96"/>
      <c r="W29" s="96"/>
      <c r="X29" s="96"/>
      <c r="Y29" s="96"/>
      <c r="Z29" s="68"/>
    </row>
    <row r="30">
      <c r="A30" s="126">
        <v>22.0</v>
      </c>
      <c r="B30" s="127" t="s">
        <v>2935</v>
      </c>
      <c r="C30" s="106" t="s">
        <v>257</v>
      </c>
      <c r="D30" s="176" t="s">
        <v>2936</v>
      </c>
      <c r="E30" s="106" t="s">
        <v>240</v>
      </c>
      <c r="F30" s="106" t="s">
        <v>411</v>
      </c>
      <c r="G30" s="106" t="s">
        <v>259</v>
      </c>
      <c r="H30" s="342" t="s">
        <v>2937</v>
      </c>
      <c r="I30" s="126" t="s">
        <v>149</v>
      </c>
      <c r="J30" s="343" t="s">
        <v>165</v>
      </c>
      <c r="K30" s="96"/>
      <c r="L30" s="96"/>
      <c r="M30" s="96"/>
      <c r="N30" s="96"/>
      <c r="O30" s="96"/>
      <c r="P30" s="96"/>
      <c r="Q30" s="96"/>
      <c r="R30" s="96"/>
      <c r="S30" s="96"/>
      <c r="T30" s="96"/>
      <c r="U30" s="96"/>
      <c r="V30" s="96"/>
      <c r="W30" s="96"/>
      <c r="X30" s="96"/>
      <c r="Y30" s="96"/>
      <c r="Z30" s="68"/>
    </row>
    <row r="31">
      <c r="A31" s="126">
        <v>25.0</v>
      </c>
      <c r="B31" s="133" t="s">
        <v>2938</v>
      </c>
      <c r="C31" s="106" t="s">
        <v>67</v>
      </c>
      <c r="D31" s="128" t="s">
        <v>2939</v>
      </c>
      <c r="E31" s="206" t="s">
        <v>240</v>
      </c>
      <c r="F31" s="206" t="s">
        <v>411</v>
      </c>
      <c r="G31" s="129" t="s">
        <v>163</v>
      </c>
      <c r="H31" s="342" t="s">
        <v>2940</v>
      </c>
      <c r="I31" s="126" t="s">
        <v>149</v>
      </c>
      <c r="J31" s="343" t="s">
        <v>165</v>
      </c>
      <c r="K31" s="96"/>
      <c r="L31" s="96"/>
      <c r="M31" s="96"/>
      <c r="N31" s="96"/>
      <c r="O31" s="96"/>
      <c r="P31" s="96"/>
      <c r="Q31" s="96"/>
      <c r="R31" s="96"/>
      <c r="S31" s="96"/>
      <c r="T31" s="96"/>
      <c r="U31" s="96"/>
      <c r="V31" s="96"/>
      <c r="W31" s="96"/>
      <c r="X31" s="96"/>
      <c r="Y31" s="96"/>
      <c r="Z31" s="68"/>
    </row>
    <row r="32">
      <c r="A32" s="126">
        <v>26.0</v>
      </c>
      <c r="B32" s="136" t="s">
        <v>2941</v>
      </c>
      <c r="C32" s="106" t="s">
        <v>67</v>
      </c>
      <c r="D32" s="128" t="s">
        <v>2942</v>
      </c>
      <c r="E32" s="206" t="s">
        <v>240</v>
      </c>
      <c r="F32" s="206" t="s">
        <v>411</v>
      </c>
      <c r="G32" s="129" t="s">
        <v>573</v>
      </c>
      <c r="H32" s="342" t="s">
        <v>2943</v>
      </c>
      <c r="I32" s="126" t="s">
        <v>149</v>
      </c>
      <c r="J32" s="343" t="s">
        <v>150</v>
      </c>
      <c r="K32" s="191" t="s">
        <v>2944</v>
      </c>
      <c r="L32" s="96"/>
      <c r="M32" s="96"/>
      <c r="N32" s="96"/>
      <c r="O32" s="96"/>
      <c r="P32" s="96"/>
      <c r="Q32" s="96"/>
      <c r="R32" s="96"/>
      <c r="S32" s="96"/>
      <c r="T32" s="96"/>
      <c r="U32" s="96"/>
      <c r="V32" s="96"/>
      <c r="W32" s="96"/>
      <c r="X32" s="96"/>
      <c r="Y32" s="96"/>
      <c r="Z32" s="68"/>
    </row>
    <row r="33">
      <c r="A33" s="68"/>
      <c r="B33" s="68"/>
      <c r="C33" s="68"/>
      <c r="D33" s="68"/>
      <c r="E33" s="68"/>
      <c r="F33" s="68"/>
      <c r="G33" s="68"/>
      <c r="H33" s="68"/>
      <c r="I33" s="68"/>
      <c r="J33" s="68"/>
      <c r="K33" s="68"/>
      <c r="L33" s="68"/>
      <c r="M33" s="68"/>
      <c r="N33" s="68"/>
      <c r="O33" s="68"/>
      <c r="P33" s="68"/>
      <c r="Q33" s="68"/>
      <c r="R33" s="68"/>
      <c r="S33" s="68"/>
      <c r="T33" s="68"/>
      <c r="U33" s="68"/>
      <c r="V33" s="68"/>
      <c r="W33" s="68"/>
      <c r="X33" s="68"/>
      <c r="Y33" s="68"/>
      <c r="Z33" s="68"/>
    </row>
    <row r="34">
      <c r="A34" s="68"/>
      <c r="B34" s="68"/>
      <c r="C34" s="68"/>
      <c r="D34" s="68"/>
      <c r="E34" s="68"/>
      <c r="F34" s="68"/>
      <c r="G34" s="68"/>
      <c r="H34" s="68"/>
      <c r="I34" s="68"/>
      <c r="J34" s="68"/>
      <c r="K34" s="68"/>
      <c r="L34" s="68"/>
      <c r="M34" s="68"/>
      <c r="N34" s="68"/>
      <c r="O34" s="68"/>
      <c r="P34" s="68"/>
      <c r="Q34" s="68"/>
      <c r="R34" s="68"/>
      <c r="S34" s="68"/>
      <c r="T34" s="68"/>
      <c r="U34" s="68"/>
      <c r="V34" s="68"/>
      <c r="W34" s="68"/>
      <c r="X34" s="68"/>
      <c r="Y34" s="68"/>
      <c r="Z34" s="68"/>
    </row>
    <row r="35">
      <c r="A35" s="68"/>
      <c r="B35" s="68"/>
      <c r="C35" s="68"/>
      <c r="D35" s="68"/>
      <c r="E35" s="68"/>
      <c r="F35" s="68"/>
      <c r="G35" s="68"/>
      <c r="H35" s="68"/>
      <c r="I35" s="68"/>
      <c r="J35" s="68"/>
      <c r="K35" s="68"/>
      <c r="L35" s="68"/>
      <c r="M35" s="68"/>
      <c r="N35" s="68"/>
      <c r="O35" s="68"/>
      <c r="P35" s="68"/>
      <c r="Q35" s="68"/>
      <c r="R35" s="68"/>
      <c r="S35" s="68"/>
      <c r="T35" s="68"/>
      <c r="U35" s="68"/>
      <c r="V35" s="68"/>
      <c r="W35" s="68"/>
      <c r="X35" s="68"/>
      <c r="Y35" s="68"/>
      <c r="Z35" s="68"/>
    </row>
    <row r="36">
      <c r="A36" s="68"/>
      <c r="B36" s="68"/>
      <c r="C36" s="68"/>
      <c r="D36" s="68"/>
      <c r="E36" s="68"/>
      <c r="F36" s="68"/>
      <c r="G36" s="68"/>
      <c r="H36" s="68"/>
      <c r="I36" s="68"/>
      <c r="J36" s="68"/>
      <c r="K36" s="68"/>
      <c r="L36" s="68"/>
      <c r="M36" s="68"/>
      <c r="N36" s="68"/>
      <c r="O36" s="68"/>
      <c r="P36" s="68"/>
      <c r="Q36" s="68"/>
      <c r="R36" s="68"/>
      <c r="S36" s="68"/>
      <c r="T36" s="68"/>
      <c r="U36" s="68"/>
      <c r="V36" s="68"/>
      <c r="W36" s="68"/>
      <c r="X36" s="68"/>
      <c r="Y36" s="68"/>
      <c r="Z36" s="68"/>
    </row>
    <row r="37">
      <c r="A37" s="68"/>
      <c r="B37" s="68"/>
      <c r="C37" s="68"/>
      <c r="D37" s="68"/>
      <c r="E37" s="68"/>
      <c r="F37" s="68"/>
      <c r="G37" s="68"/>
      <c r="H37" s="68"/>
      <c r="I37" s="68"/>
      <c r="J37" s="68"/>
      <c r="K37" s="68"/>
      <c r="L37" s="68"/>
      <c r="M37" s="68"/>
      <c r="N37" s="68"/>
      <c r="O37" s="68"/>
      <c r="P37" s="68"/>
      <c r="Q37" s="68"/>
      <c r="R37" s="68"/>
      <c r="S37" s="68"/>
      <c r="T37" s="68"/>
      <c r="U37" s="68"/>
      <c r="V37" s="68"/>
      <c r="W37" s="68"/>
      <c r="X37" s="68"/>
      <c r="Y37" s="68"/>
      <c r="Z37" s="68"/>
    </row>
    <row r="38">
      <c r="A38" s="68"/>
      <c r="B38" s="68"/>
      <c r="C38" s="68"/>
      <c r="D38" s="68"/>
      <c r="E38" s="68"/>
      <c r="F38" s="68"/>
      <c r="G38" s="68"/>
      <c r="H38" s="68"/>
      <c r="I38" s="68"/>
      <c r="J38" s="68"/>
      <c r="K38" s="68"/>
      <c r="L38" s="68"/>
      <c r="M38" s="68"/>
      <c r="N38" s="68"/>
      <c r="O38" s="68"/>
      <c r="P38" s="68"/>
      <c r="Q38" s="68"/>
      <c r="R38" s="68"/>
      <c r="S38" s="68"/>
      <c r="T38" s="68"/>
      <c r="U38" s="68"/>
      <c r="V38" s="68"/>
      <c r="W38" s="68"/>
      <c r="X38" s="68"/>
      <c r="Y38" s="68"/>
      <c r="Z38" s="68"/>
    </row>
    <row r="39">
      <c r="A39" s="68"/>
      <c r="B39" s="68"/>
      <c r="C39" s="68"/>
      <c r="D39" s="68"/>
      <c r="E39" s="68"/>
      <c r="F39" s="68"/>
      <c r="G39" s="68"/>
      <c r="H39" s="68"/>
      <c r="I39" s="68"/>
      <c r="J39" s="68"/>
      <c r="K39" s="68"/>
      <c r="L39" s="68"/>
      <c r="M39" s="68"/>
      <c r="N39" s="68"/>
      <c r="O39" s="68"/>
      <c r="P39" s="68"/>
      <c r="Q39" s="68"/>
      <c r="R39" s="68"/>
      <c r="S39" s="68"/>
      <c r="T39" s="68"/>
      <c r="U39" s="68"/>
      <c r="V39" s="68"/>
      <c r="W39" s="68"/>
      <c r="X39" s="68"/>
      <c r="Y39" s="68"/>
      <c r="Z39" s="68"/>
    </row>
    <row r="40">
      <c r="A40" s="68"/>
      <c r="B40" s="68"/>
      <c r="C40" s="68"/>
      <c r="D40" s="68"/>
      <c r="E40" s="68"/>
      <c r="F40" s="68"/>
      <c r="G40" s="68"/>
      <c r="H40" s="68"/>
      <c r="I40" s="68"/>
      <c r="J40" s="68"/>
      <c r="K40" s="68"/>
      <c r="L40" s="68"/>
      <c r="M40" s="68"/>
      <c r="N40" s="68"/>
      <c r="O40" s="68"/>
      <c r="P40" s="68"/>
      <c r="Q40" s="68"/>
      <c r="R40" s="68"/>
      <c r="S40" s="68"/>
      <c r="T40" s="68"/>
      <c r="U40" s="68"/>
      <c r="V40" s="68"/>
      <c r="W40" s="68"/>
      <c r="X40" s="68"/>
      <c r="Y40" s="68"/>
      <c r="Z40" s="68"/>
    </row>
    <row r="41">
      <c r="A41" s="68"/>
      <c r="B41" s="68"/>
      <c r="C41" s="68"/>
      <c r="D41" s="68"/>
      <c r="E41" s="68"/>
      <c r="F41" s="68"/>
      <c r="G41" s="68"/>
      <c r="H41" s="68"/>
      <c r="I41" s="68"/>
      <c r="J41" s="68"/>
      <c r="K41" s="68"/>
      <c r="L41" s="68"/>
      <c r="M41" s="68"/>
      <c r="N41" s="68"/>
      <c r="O41" s="68"/>
      <c r="P41" s="68"/>
      <c r="Q41" s="68"/>
      <c r="R41" s="68"/>
      <c r="S41" s="68"/>
      <c r="T41" s="68"/>
      <c r="U41" s="68"/>
      <c r="V41" s="68"/>
      <c r="W41" s="68"/>
      <c r="X41" s="68"/>
      <c r="Y41" s="68"/>
      <c r="Z41" s="68"/>
    </row>
    <row r="42">
      <c r="A42" s="68"/>
      <c r="B42" s="68"/>
      <c r="C42" s="68"/>
      <c r="D42" s="68"/>
      <c r="E42" s="68"/>
      <c r="F42" s="68"/>
      <c r="G42" s="68"/>
      <c r="H42" s="68"/>
      <c r="I42" s="68"/>
      <c r="J42" s="68"/>
      <c r="K42" s="68"/>
      <c r="L42" s="68"/>
      <c r="M42" s="68"/>
      <c r="N42" s="68"/>
      <c r="O42" s="68"/>
      <c r="P42" s="68"/>
      <c r="Q42" s="68"/>
      <c r="R42" s="68"/>
      <c r="S42" s="68"/>
      <c r="T42" s="68"/>
      <c r="U42" s="68"/>
      <c r="V42" s="68"/>
      <c r="W42" s="68"/>
      <c r="X42" s="68"/>
      <c r="Y42" s="68"/>
      <c r="Z42" s="68"/>
    </row>
    <row r="43">
      <c r="A43" s="68"/>
      <c r="B43" s="68"/>
      <c r="C43" s="68"/>
      <c r="D43" s="68"/>
      <c r="E43" s="68"/>
      <c r="F43" s="68"/>
      <c r="G43" s="68"/>
      <c r="H43" s="68"/>
      <c r="I43" s="68"/>
      <c r="J43" s="68"/>
      <c r="K43" s="68"/>
      <c r="L43" s="68"/>
      <c r="M43" s="68"/>
      <c r="N43" s="68"/>
      <c r="O43" s="68"/>
      <c r="P43" s="68"/>
      <c r="Q43" s="68"/>
      <c r="R43" s="68"/>
      <c r="S43" s="68"/>
      <c r="T43" s="68"/>
      <c r="U43" s="68"/>
      <c r="V43" s="68"/>
      <c r="W43" s="68"/>
      <c r="X43" s="68"/>
      <c r="Y43" s="68"/>
      <c r="Z43" s="68"/>
    </row>
    <row r="44">
      <c r="A44" s="68"/>
      <c r="B44" s="68"/>
      <c r="C44" s="68"/>
      <c r="D44" s="68"/>
      <c r="E44" s="68"/>
      <c r="F44" s="68"/>
      <c r="G44" s="68"/>
      <c r="H44" s="68"/>
      <c r="I44" s="68"/>
      <c r="J44" s="68"/>
      <c r="K44" s="68"/>
      <c r="L44" s="68"/>
      <c r="M44" s="68"/>
      <c r="N44" s="68"/>
      <c r="O44" s="68"/>
      <c r="P44" s="68"/>
      <c r="Q44" s="68"/>
      <c r="R44" s="68"/>
      <c r="S44" s="68"/>
      <c r="T44" s="68"/>
      <c r="U44" s="68"/>
      <c r="V44" s="68"/>
      <c r="W44" s="68"/>
      <c r="X44" s="68"/>
      <c r="Y44" s="68"/>
      <c r="Z44" s="68"/>
    </row>
    <row r="45">
      <c r="A45" s="68"/>
      <c r="B45" s="68"/>
      <c r="C45" s="68"/>
      <c r="D45" s="68"/>
      <c r="E45" s="68"/>
      <c r="F45" s="68"/>
      <c r="G45" s="68"/>
      <c r="H45" s="68"/>
      <c r="I45" s="68"/>
      <c r="J45" s="68"/>
      <c r="K45" s="68"/>
      <c r="L45" s="68"/>
      <c r="M45" s="68"/>
      <c r="N45" s="68"/>
      <c r="O45" s="68"/>
      <c r="P45" s="68"/>
      <c r="Q45" s="68"/>
      <c r="R45" s="68"/>
      <c r="S45" s="68"/>
      <c r="T45" s="68"/>
      <c r="U45" s="68"/>
      <c r="V45" s="68"/>
      <c r="W45" s="68"/>
      <c r="X45" s="68"/>
      <c r="Y45" s="68"/>
      <c r="Z45" s="68"/>
    </row>
    <row r="46">
      <c r="A46" s="68"/>
      <c r="B46" s="68"/>
      <c r="C46" s="68"/>
      <c r="D46" s="68"/>
      <c r="E46" s="68"/>
      <c r="F46" s="68"/>
      <c r="G46" s="68"/>
      <c r="H46" s="68"/>
      <c r="I46" s="68"/>
      <c r="J46" s="68"/>
      <c r="K46" s="68"/>
      <c r="L46" s="68"/>
      <c r="M46" s="68"/>
      <c r="N46" s="68"/>
      <c r="O46" s="68"/>
      <c r="P46" s="68"/>
      <c r="Q46" s="68"/>
      <c r="R46" s="68"/>
      <c r="S46" s="68"/>
      <c r="T46" s="68"/>
      <c r="U46" s="68"/>
      <c r="V46" s="68"/>
      <c r="W46" s="68"/>
      <c r="X46" s="68"/>
      <c r="Y46" s="68"/>
      <c r="Z46" s="68"/>
    </row>
    <row r="47">
      <c r="A47" s="68"/>
      <c r="B47" s="68"/>
      <c r="C47" s="68"/>
      <c r="D47" s="68"/>
      <c r="E47" s="68"/>
      <c r="F47" s="68"/>
      <c r="G47" s="68"/>
      <c r="H47" s="68"/>
      <c r="I47" s="68"/>
      <c r="J47" s="68"/>
      <c r="K47" s="68"/>
      <c r="L47" s="68"/>
      <c r="M47" s="68"/>
      <c r="N47" s="68"/>
      <c r="O47" s="68"/>
      <c r="P47" s="68"/>
      <c r="Q47" s="68"/>
      <c r="R47" s="68"/>
      <c r="S47" s="68"/>
      <c r="T47" s="68"/>
      <c r="U47" s="68"/>
      <c r="V47" s="68"/>
      <c r="W47" s="68"/>
      <c r="X47" s="68"/>
      <c r="Y47" s="68"/>
      <c r="Z47" s="68"/>
    </row>
    <row r="48">
      <c r="A48" s="68"/>
      <c r="B48" s="68"/>
      <c r="C48" s="68"/>
      <c r="D48" s="68"/>
      <c r="E48" s="68"/>
      <c r="F48" s="68"/>
      <c r="G48" s="68"/>
      <c r="H48" s="68"/>
      <c r="I48" s="68"/>
      <c r="J48" s="68"/>
      <c r="K48" s="68"/>
      <c r="L48" s="68"/>
      <c r="M48" s="68"/>
      <c r="N48" s="68"/>
      <c r="O48" s="68"/>
      <c r="P48" s="68"/>
      <c r="Q48" s="68"/>
      <c r="R48" s="68"/>
      <c r="S48" s="68"/>
      <c r="T48" s="68"/>
      <c r="U48" s="68"/>
      <c r="V48" s="68"/>
      <c r="W48" s="68"/>
      <c r="X48" s="68"/>
      <c r="Y48" s="68"/>
      <c r="Z48" s="68"/>
    </row>
    <row r="49">
      <c r="A49" s="68"/>
      <c r="B49" s="68"/>
      <c r="C49" s="68"/>
      <c r="D49" s="68"/>
      <c r="E49" s="68"/>
      <c r="F49" s="68"/>
      <c r="G49" s="68"/>
      <c r="H49" s="68"/>
      <c r="I49" s="68"/>
      <c r="J49" s="68"/>
      <c r="K49" s="68"/>
      <c r="L49" s="68"/>
      <c r="M49" s="68"/>
      <c r="N49" s="68"/>
      <c r="O49" s="68"/>
      <c r="P49" s="68"/>
      <c r="Q49" s="68"/>
      <c r="R49" s="68"/>
      <c r="S49" s="68"/>
      <c r="T49" s="68"/>
      <c r="U49" s="68"/>
      <c r="V49" s="68"/>
      <c r="W49" s="68"/>
      <c r="X49" s="68"/>
      <c r="Y49" s="68"/>
      <c r="Z49" s="68"/>
    </row>
    <row r="50">
      <c r="A50" s="68"/>
      <c r="B50" s="68"/>
      <c r="C50" s="68"/>
      <c r="D50" s="68"/>
      <c r="E50" s="68"/>
      <c r="F50" s="68"/>
      <c r="G50" s="68"/>
      <c r="H50" s="68"/>
      <c r="I50" s="68"/>
      <c r="J50" s="68"/>
      <c r="K50" s="68"/>
      <c r="L50" s="68"/>
      <c r="M50" s="68"/>
      <c r="N50" s="68"/>
      <c r="O50" s="68"/>
      <c r="P50" s="68"/>
      <c r="Q50" s="68"/>
      <c r="R50" s="68"/>
      <c r="S50" s="68"/>
      <c r="T50" s="68"/>
      <c r="U50" s="68"/>
      <c r="V50" s="68"/>
      <c r="W50" s="68"/>
      <c r="X50" s="68"/>
      <c r="Y50" s="68"/>
      <c r="Z50" s="68"/>
    </row>
    <row r="51">
      <c r="A51" s="68"/>
      <c r="B51" s="68"/>
      <c r="C51" s="68"/>
      <c r="D51" s="68"/>
      <c r="E51" s="68"/>
      <c r="F51" s="68"/>
      <c r="G51" s="68"/>
      <c r="H51" s="68"/>
      <c r="I51" s="68"/>
      <c r="J51" s="68"/>
      <c r="K51" s="68"/>
      <c r="L51" s="68"/>
      <c r="M51" s="68"/>
      <c r="N51" s="68"/>
      <c r="O51" s="68"/>
      <c r="P51" s="68"/>
      <c r="Q51" s="68"/>
      <c r="R51" s="68"/>
      <c r="S51" s="68"/>
      <c r="T51" s="68"/>
      <c r="U51" s="68"/>
      <c r="V51" s="68"/>
      <c r="W51" s="68"/>
      <c r="X51" s="68"/>
      <c r="Y51" s="68"/>
      <c r="Z51" s="68"/>
    </row>
    <row r="52">
      <c r="A52" s="68"/>
      <c r="B52" s="68"/>
      <c r="C52" s="68"/>
      <c r="D52" s="68"/>
      <c r="E52" s="68"/>
      <c r="F52" s="68"/>
      <c r="G52" s="68"/>
      <c r="H52" s="68"/>
      <c r="I52" s="68"/>
      <c r="J52" s="68"/>
      <c r="K52" s="68"/>
      <c r="L52" s="68"/>
      <c r="M52" s="68"/>
      <c r="N52" s="68"/>
      <c r="O52" s="68"/>
      <c r="P52" s="68"/>
      <c r="Q52" s="68"/>
      <c r="R52" s="68"/>
      <c r="S52" s="68"/>
      <c r="T52" s="68"/>
      <c r="U52" s="68"/>
      <c r="V52" s="68"/>
      <c r="W52" s="68"/>
      <c r="X52" s="68"/>
      <c r="Y52" s="68"/>
      <c r="Z52" s="68"/>
    </row>
    <row r="53">
      <c r="A53" s="68"/>
      <c r="B53" s="68"/>
      <c r="C53" s="68"/>
      <c r="D53" s="68"/>
      <c r="E53" s="68"/>
      <c r="F53" s="68"/>
      <c r="G53" s="68"/>
      <c r="H53" s="68"/>
      <c r="I53" s="68"/>
      <c r="J53" s="68"/>
      <c r="K53" s="68"/>
      <c r="L53" s="68"/>
      <c r="M53" s="68"/>
      <c r="N53" s="68"/>
      <c r="O53" s="68"/>
      <c r="P53" s="68"/>
      <c r="Q53" s="68"/>
      <c r="R53" s="68"/>
      <c r="S53" s="68"/>
      <c r="T53" s="68"/>
      <c r="U53" s="68"/>
      <c r="V53" s="68"/>
      <c r="W53" s="68"/>
      <c r="X53" s="68"/>
      <c r="Y53" s="68"/>
      <c r="Z53" s="68"/>
    </row>
    <row r="54">
      <c r="A54" s="68"/>
      <c r="B54" s="68"/>
      <c r="C54" s="68"/>
      <c r="D54" s="68"/>
      <c r="E54" s="68"/>
      <c r="F54" s="68"/>
      <c r="G54" s="68"/>
      <c r="H54" s="68"/>
      <c r="I54" s="68"/>
      <c r="J54" s="68"/>
      <c r="K54" s="68"/>
      <c r="L54" s="68"/>
      <c r="M54" s="68"/>
      <c r="N54" s="68"/>
      <c r="O54" s="68"/>
      <c r="P54" s="68"/>
      <c r="Q54" s="68"/>
      <c r="R54" s="68"/>
      <c r="S54" s="68"/>
      <c r="T54" s="68"/>
      <c r="U54" s="68"/>
      <c r="V54" s="68"/>
      <c r="W54" s="68"/>
      <c r="X54" s="68"/>
      <c r="Y54" s="68"/>
      <c r="Z54" s="68"/>
    </row>
    <row r="55">
      <c r="A55" s="68"/>
      <c r="B55" s="68"/>
      <c r="C55" s="68"/>
      <c r="D55" s="68"/>
      <c r="E55" s="68"/>
      <c r="F55" s="68"/>
      <c r="G55" s="68"/>
      <c r="H55" s="68"/>
      <c r="I55" s="68"/>
      <c r="J55" s="68"/>
      <c r="K55" s="68"/>
      <c r="L55" s="68"/>
      <c r="M55" s="68"/>
      <c r="N55" s="68"/>
      <c r="O55" s="68"/>
      <c r="P55" s="68"/>
      <c r="Q55" s="68"/>
      <c r="R55" s="68"/>
      <c r="S55" s="68"/>
      <c r="T55" s="68"/>
      <c r="U55" s="68"/>
      <c r="V55" s="68"/>
      <c r="W55" s="68"/>
      <c r="X55" s="68"/>
      <c r="Y55" s="68"/>
      <c r="Z55" s="68"/>
    </row>
    <row r="56">
      <c r="A56" s="68"/>
      <c r="B56" s="68"/>
      <c r="C56" s="68"/>
      <c r="D56" s="68"/>
      <c r="E56" s="68"/>
      <c r="F56" s="68"/>
      <c r="G56" s="68"/>
      <c r="H56" s="68"/>
      <c r="I56" s="68"/>
      <c r="J56" s="68"/>
      <c r="K56" s="68"/>
      <c r="L56" s="68"/>
      <c r="M56" s="68"/>
      <c r="N56" s="68"/>
      <c r="O56" s="68"/>
      <c r="P56" s="68"/>
      <c r="Q56" s="68"/>
      <c r="R56" s="68"/>
      <c r="S56" s="68"/>
      <c r="T56" s="68"/>
      <c r="U56" s="68"/>
      <c r="V56" s="68"/>
      <c r="W56" s="68"/>
      <c r="X56" s="68"/>
      <c r="Y56" s="68"/>
      <c r="Z56" s="68"/>
    </row>
    <row r="57">
      <c r="A57" s="68"/>
      <c r="B57" s="68"/>
      <c r="C57" s="68"/>
      <c r="D57" s="68"/>
      <c r="E57" s="68"/>
      <c r="F57" s="68"/>
      <c r="G57" s="68"/>
      <c r="H57" s="68"/>
      <c r="I57" s="68"/>
      <c r="J57" s="68"/>
      <c r="K57" s="68"/>
      <c r="L57" s="68"/>
      <c r="M57" s="68"/>
      <c r="N57" s="68"/>
      <c r="O57" s="68"/>
      <c r="P57" s="68"/>
      <c r="Q57" s="68"/>
      <c r="R57" s="68"/>
      <c r="S57" s="68"/>
      <c r="T57" s="68"/>
      <c r="U57" s="68"/>
      <c r="V57" s="68"/>
      <c r="W57" s="68"/>
      <c r="X57" s="68"/>
      <c r="Y57" s="68"/>
      <c r="Z57" s="68"/>
    </row>
    <row r="58">
      <c r="A58" s="68"/>
      <c r="B58" s="68"/>
      <c r="C58" s="68"/>
      <c r="D58" s="68"/>
      <c r="E58" s="68"/>
      <c r="F58" s="68"/>
      <c r="G58" s="68"/>
      <c r="H58" s="68"/>
      <c r="I58" s="68"/>
      <c r="J58" s="68"/>
      <c r="K58" s="68"/>
      <c r="L58" s="68"/>
      <c r="M58" s="68"/>
      <c r="N58" s="68"/>
      <c r="O58" s="68"/>
      <c r="P58" s="68"/>
      <c r="Q58" s="68"/>
      <c r="R58" s="68"/>
      <c r="S58" s="68"/>
      <c r="T58" s="68"/>
      <c r="U58" s="68"/>
      <c r="V58" s="68"/>
      <c r="W58" s="68"/>
      <c r="X58" s="68"/>
      <c r="Y58" s="68"/>
      <c r="Z58" s="68"/>
    </row>
    <row r="59">
      <c r="A59" s="68"/>
      <c r="B59" s="68"/>
      <c r="C59" s="68"/>
      <c r="D59" s="68"/>
      <c r="E59" s="68"/>
      <c r="F59" s="68"/>
      <c r="G59" s="68"/>
      <c r="H59" s="68"/>
      <c r="I59" s="68"/>
      <c r="J59" s="68"/>
      <c r="K59" s="68"/>
      <c r="L59" s="68"/>
      <c r="M59" s="68"/>
      <c r="N59" s="68"/>
      <c r="O59" s="68"/>
      <c r="P59" s="68"/>
      <c r="Q59" s="68"/>
      <c r="R59" s="68"/>
      <c r="S59" s="68"/>
      <c r="T59" s="68"/>
      <c r="U59" s="68"/>
      <c r="V59" s="68"/>
      <c r="W59" s="68"/>
      <c r="X59" s="68"/>
      <c r="Y59" s="68"/>
      <c r="Z59" s="68"/>
    </row>
    <row r="60">
      <c r="A60" s="68"/>
      <c r="B60" s="68"/>
      <c r="C60" s="68"/>
      <c r="D60" s="68"/>
      <c r="E60" s="68"/>
      <c r="F60" s="68"/>
      <c r="G60" s="68"/>
      <c r="H60" s="68"/>
      <c r="I60" s="68"/>
      <c r="J60" s="68"/>
      <c r="K60" s="68"/>
      <c r="L60" s="68"/>
      <c r="M60" s="68"/>
      <c r="N60" s="68"/>
      <c r="O60" s="68"/>
      <c r="P60" s="68"/>
      <c r="Q60" s="68"/>
      <c r="R60" s="68"/>
      <c r="S60" s="68"/>
      <c r="T60" s="68"/>
      <c r="U60" s="68"/>
      <c r="V60" s="68"/>
      <c r="W60" s="68"/>
      <c r="X60" s="68"/>
      <c r="Y60" s="68"/>
      <c r="Z60" s="68"/>
    </row>
    <row r="61">
      <c r="A61" s="68"/>
      <c r="B61" s="68"/>
      <c r="C61" s="68"/>
      <c r="D61" s="68"/>
      <c r="E61" s="68"/>
      <c r="F61" s="68"/>
      <c r="G61" s="68"/>
      <c r="H61" s="68"/>
      <c r="I61" s="68"/>
      <c r="J61" s="68"/>
      <c r="K61" s="68"/>
      <c r="L61" s="68"/>
      <c r="M61" s="68"/>
      <c r="N61" s="68"/>
      <c r="O61" s="68"/>
      <c r="P61" s="68"/>
      <c r="Q61" s="68"/>
      <c r="R61" s="68"/>
      <c r="S61" s="68"/>
      <c r="T61" s="68"/>
      <c r="U61" s="68"/>
      <c r="V61" s="68"/>
      <c r="W61" s="68"/>
      <c r="X61" s="68"/>
      <c r="Y61" s="68"/>
      <c r="Z61" s="68"/>
    </row>
    <row r="62">
      <c r="A62" s="68"/>
      <c r="B62" s="68"/>
      <c r="C62" s="68"/>
      <c r="D62" s="68"/>
      <c r="E62" s="68"/>
      <c r="F62" s="68"/>
      <c r="G62" s="68"/>
      <c r="H62" s="68"/>
      <c r="I62" s="68"/>
      <c r="J62" s="68"/>
      <c r="K62" s="68"/>
      <c r="L62" s="68"/>
      <c r="M62" s="68"/>
      <c r="N62" s="68"/>
      <c r="O62" s="68"/>
      <c r="P62" s="68"/>
      <c r="Q62" s="68"/>
      <c r="R62" s="68"/>
      <c r="S62" s="68"/>
      <c r="T62" s="68"/>
      <c r="U62" s="68"/>
      <c r="V62" s="68"/>
      <c r="W62" s="68"/>
      <c r="X62" s="68"/>
      <c r="Y62" s="68"/>
      <c r="Z62" s="68"/>
    </row>
    <row r="63">
      <c r="A63" s="68"/>
      <c r="B63" s="68"/>
      <c r="C63" s="68"/>
      <c r="D63" s="68"/>
      <c r="E63" s="68"/>
      <c r="F63" s="68"/>
      <c r="G63" s="68"/>
      <c r="H63" s="68"/>
      <c r="I63" s="68"/>
      <c r="J63" s="68"/>
      <c r="K63" s="68"/>
      <c r="L63" s="68"/>
      <c r="M63" s="68"/>
      <c r="N63" s="68"/>
      <c r="O63" s="68"/>
      <c r="P63" s="68"/>
      <c r="Q63" s="68"/>
      <c r="R63" s="68"/>
      <c r="S63" s="68"/>
      <c r="T63" s="68"/>
      <c r="U63" s="68"/>
      <c r="V63" s="68"/>
      <c r="W63" s="68"/>
      <c r="X63" s="68"/>
      <c r="Y63" s="68"/>
      <c r="Z63" s="68"/>
    </row>
    <row r="64">
      <c r="A64" s="68"/>
      <c r="B64" s="68"/>
      <c r="C64" s="68"/>
      <c r="D64" s="68"/>
      <c r="E64" s="68"/>
      <c r="F64" s="68"/>
      <c r="G64" s="68"/>
      <c r="H64" s="68"/>
      <c r="I64" s="68"/>
      <c r="J64" s="68"/>
      <c r="K64" s="68"/>
      <c r="L64" s="68"/>
      <c r="M64" s="68"/>
      <c r="N64" s="68"/>
      <c r="O64" s="68"/>
      <c r="P64" s="68"/>
      <c r="Q64" s="68"/>
      <c r="R64" s="68"/>
      <c r="S64" s="68"/>
      <c r="T64" s="68"/>
      <c r="U64" s="68"/>
      <c r="V64" s="68"/>
      <c r="W64" s="68"/>
      <c r="X64" s="68"/>
      <c r="Y64" s="68"/>
      <c r="Z64" s="68"/>
    </row>
    <row r="65">
      <c r="A65" s="68"/>
      <c r="B65" s="68"/>
      <c r="C65" s="68"/>
      <c r="D65" s="68"/>
      <c r="E65" s="68"/>
      <c r="F65" s="68"/>
      <c r="G65" s="68"/>
      <c r="H65" s="68"/>
      <c r="I65" s="68"/>
      <c r="J65" s="68"/>
      <c r="K65" s="68"/>
      <c r="L65" s="68"/>
      <c r="M65" s="68"/>
      <c r="N65" s="68"/>
      <c r="O65" s="68"/>
      <c r="P65" s="68"/>
      <c r="Q65" s="68"/>
      <c r="R65" s="68"/>
      <c r="S65" s="68"/>
      <c r="T65" s="68"/>
      <c r="U65" s="68"/>
      <c r="V65" s="68"/>
      <c r="W65" s="68"/>
      <c r="X65" s="68"/>
      <c r="Y65" s="68"/>
      <c r="Z65" s="68"/>
    </row>
    <row r="66">
      <c r="A66" s="68"/>
      <c r="B66" s="68"/>
      <c r="C66" s="68"/>
      <c r="D66" s="68"/>
      <c r="E66" s="68"/>
      <c r="F66" s="68"/>
      <c r="G66" s="68"/>
      <c r="H66" s="68"/>
      <c r="I66" s="68"/>
      <c r="J66" s="68"/>
      <c r="K66" s="68"/>
      <c r="L66" s="68"/>
      <c r="M66" s="68"/>
      <c r="N66" s="68"/>
      <c r="O66" s="68"/>
      <c r="P66" s="68"/>
      <c r="Q66" s="68"/>
      <c r="R66" s="68"/>
      <c r="S66" s="68"/>
      <c r="T66" s="68"/>
      <c r="U66" s="68"/>
      <c r="V66" s="68"/>
      <c r="W66" s="68"/>
      <c r="X66" s="68"/>
      <c r="Y66" s="68"/>
      <c r="Z66" s="68"/>
    </row>
    <row r="67">
      <c r="A67" s="68"/>
      <c r="B67" s="68"/>
      <c r="C67" s="68"/>
      <c r="D67" s="68"/>
      <c r="E67" s="68"/>
      <c r="F67" s="68"/>
      <c r="G67" s="68"/>
      <c r="H67" s="68"/>
      <c r="I67" s="68"/>
      <c r="J67" s="68"/>
      <c r="K67" s="68"/>
      <c r="L67" s="68"/>
      <c r="M67" s="68"/>
      <c r="N67" s="68"/>
      <c r="O67" s="68"/>
      <c r="P67" s="68"/>
      <c r="Q67" s="68"/>
      <c r="R67" s="68"/>
      <c r="S67" s="68"/>
      <c r="T67" s="68"/>
      <c r="U67" s="68"/>
      <c r="V67" s="68"/>
      <c r="W67" s="68"/>
      <c r="X67" s="68"/>
      <c r="Y67" s="68"/>
      <c r="Z67" s="68"/>
    </row>
    <row r="68">
      <c r="A68" s="68"/>
      <c r="B68" s="68"/>
      <c r="C68" s="68"/>
      <c r="D68" s="68"/>
      <c r="E68" s="68"/>
      <c r="F68" s="68"/>
      <c r="G68" s="68"/>
      <c r="H68" s="68"/>
      <c r="I68" s="68"/>
      <c r="J68" s="68"/>
      <c r="K68" s="68"/>
      <c r="L68" s="68"/>
      <c r="M68" s="68"/>
      <c r="N68" s="68"/>
      <c r="O68" s="68"/>
      <c r="P68" s="68"/>
      <c r="Q68" s="68"/>
      <c r="R68" s="68"/>
      <c r="S68" s="68"/>
      <c r="T68" s="68"/>
      <c r="U68" s="68"/>
      <c r="V68" s="68"/>
      <c r="W68" s="68"/>
      <c r="X68" s="68"/>
      <c r="Y68" s="68"/>
      <c r="Z68" s="68"/>
    </row>
    <row r="69">
      <c r="A69" s="68"/>
      <c r="B69" s="68"/>
      <c r="C69" s="68"/>
      <c r="D69" s="68"/>
      <c r="E69" s="68"/>
      <c r="F69" s="68"/>
      <c r="G69" s="68"/>
      <c r="H69" s="68"/>
      <c r="I69" s="68"/>
      <c r="J69" s="68"/>
      <c r="K69" s="68"/>
      <c r="L69" s="68"/>
      <c r="M69" s="68"/>
      <c r="N69" s="68"/>
      <c r="O69" s="68"/>
      <c r="P69" s="68"/>
      <c r="Q69" s="68"/>
      <c r="R69" s="68"/>
      <c r="S69" s="68"/>
      <c r="T69" s="68"/>
      <c r="U69" s="68"/>
      <c r="V69" s="68"/>
      <c r="W69" s="68"/>
      <c r="X69" s="68"/>
      <c r="Y69" s="68"/>
      <c r="Z69" s="68"/>
    </row>
    <row r="70">
      <c r="A70" s="68"/>
      <c r="B70" s="68"/>
      <c r="C70" s="68"/>
      <c r="D70" s="68"/>
      <c r="E70" s="68"/>
      <c r="F70" s="68"/>
      <c r="G70" s="68"/>
      <c r="H70" s="68"/>
      <c r="I70" s="68"/>
      <c r="J70" s="68"/>
      <c r="K70" s="68"/>
      <c r="L70" s="68"/>
      <c r="M70" s="68"/>
      <c r="N70" s="68"/>
      <c r="O70" s="68"/>
      <c r="P70" s="68"/>
      <c r="Q70" s="68"/>
      <c r="R70" s="68"/>
      <c r="S70" s="68"/>
      <c r="T70" s="68"/>
      <c r="U70" s="68"/>
      <c r="V70" s="68"/>
      <c r="W70" s="68"/>
      <c r="X70" s="68"/>
      <c r="Y70" s="68"/>
      <c r="Z70" s="68"/>
    </row>
    <row r="71">
      <c r="A71" s="68"/>
      <c r="B71" s="68"/>
      <c r="C71" s="68"/>
      <c r="D71" s="68"/>
      <c r="E71" s="68"/>
      <c r="F71" s="68"/>
      <c r="G71" s="68"/>
      <c r="H71" s="68"/>
      <c r="I71" s="68"/>
      <c r="J71" s="68"/>
      <c r="K71" s="68"/>
      <c r="L71" s="68"/>
      <c r="M71" s="68"/>
      <c r="N71" s="68"/>
      <c r="O71" s="68"/>
      <c r="P71" s="68"/>
      <c r="Q71" s="68"/>
      <c r="R71" s="68"/>
      <c r="S71" s="68"/>
      <c r="T71" s="68"/>
      <c r="U71" s="68"/>
      <c r="V71" s="68"/>
      <c r="W71" s="68"/>
      <c r="X71" s="68"/>
      <c r="Y71" s="68"/>
      <c r="Z71" s="68"/>
    </row>
    <row r="72">
      <c r="A72" s="68"/>
      <c r="B72" s="68"/>
      <c r="C72" s="68"/>
      <c r="D72" s="68"/>
      <c r="E72" s="68"/>
      <c r="F72" s="68"/>
      <c r="G72" s="68"/>
      <c r="H72" s="68"/>
      <c r="I72" s="68"/>
      <c r="J72" s="68"/>
      <c r="K72" s="68"/>
      <c r="L72" s="68"/>
      <c r="M72" s="68"/>
      <c r="N72" s="68"/>
      <c r="O72" s="68"/>
      <c r="P72" s="68"/>
      <c r="Q72" s="68"/>
      <c r="R72" s="68"/>
      <c r="S72" s="68"/>
      <c r="T72" s="68"/>
      <c r="U72" s="68"/>
      <c r="V72" s="68"/>
      <c r="W72" s="68"/>
      <c r="X72" s="68"/>
      <c r="Y72" s="68"/>
      <c r="Z72" s="68"/>
    </row>
    <row r="73">
      <c r="A73" s="68"/>
      <c r="B73" s="68"/>
      <c r="C73" s="68"/>
      <c r="D73" s="68"/>
      <c r="E73" s="68"/>
      <c r="F73" s="68"/>
      <c r="G73" s="68"/>
      <c r="H73" s="68"/>
      <c r="I73" s="68"/>
      <c r="J73" s="68"/>
      <c r="K73" s="68"/>
      <c r="L73" s="68"/>
      <c r="M73" s="68"/>
      <c r="N73" s="68"/>
      <c r="O73" s="68"/>
      <c r="P73" s="68"/>
      <c r="Q73" s="68"/>
      <c r="R73" s="68"/>
      <c r="S73" s="68"/>
      <c r="T73" s="68"/>
      <c r="U73" s="68"/>
      <c r="V73" s="68"/>
      <c r="W73" s="68"/>
      <c r="X73" s="68"/>
      <c r="Y73" s="68"/>
      <c r="Z73" s="68"/>
    </row>
    <row r="74">
      <c r="A74" s="68"/>
      <c r="B74" s="68"/>
      <c r="C74" s="68"/>
      <c r="D74" s="68"/>
      <c r="E74" s="68"/>
      <c r="F74" s="68"/>
      <c r="G74" s="68"/>
      <c r="H74" s="68"/>
      <c r="I74" s="68"/>
      <c r="J74" s="68"/>
      <c r="K74" s="68"/>
      <c r="L74" s="68"/>
      <c r="M74" s="68"/>
      <c r="N74" s="68"/>
      <c r="O74" s="68"/>
      <c r="P74" s="68"/>
      <c r="Q74" s="68"/>
      <c r="R74" s="68"/>
      <c r="S74" s="68"/>
      <c r="T74" s="68"/>
      <c r="U74" s="68"/>
      <c r="V74" s="68"/>
      <c r="W74" s="68"/>
      <c r="X74" s="68"/>
      <c r="Y74" s="68"/>
      <c r="Z74" s="68"/>
    </row>
    <row r="75">
      <c r="A75" s="68"/>
      <c r="B75" s="68"/>
      <c r="C75" s="68"/>
      <c r="D75" s="68"/>
      <c r="E75" s="68"/>
      <c r="F75" s="68"/>
      <c r="G75" s="68"/>
      <c r="H75" s="68"/>
      <c r="I75" s="68"/>
      <c r="J75" s="68"/>
      <c r="K75" s="68"/>
      <c r="L75" s="68"/>
      <c r="M75" s="68"/>
      <c r="N75" s="68"/>
      <c r="O75" s="68"/>
      <c r="P75" s="68"/>
      <c r="Q75" s="68"/>
      <c r="R75" s="68"/>
      <c r="S75" s="68"/>
      <c r="T75" s="68"/>
      <c r="U75" s="68"/>
      <c r="V75" s="68"/>
      <c r="W75" s="68"/>
      <c r="X75" s="68"/>
      <c r="Y75" s="68"/>
      <c r="Z75" s="68"/>
    </row>
    <row r="76">
      <c r="A76" s="68"/>
      <c r="B76" s="68"/>
      <c r="C76" s="68"/>
      <c r="D76" s="68"/>
      <c r="E76" s="68"/>
      <c r="F76" s="68"/>
      <c r="G76" s="68"/>
      <c r="H76" s="68"/>
      <c r="I76" s="68"/>
      <c r="J76" s="68"/>
      <c r="K76" s="68"/>
      <c r="L76" s="68"/>
      <c r="M76" s="68"/>
      <c r="N76" s="68"/>
      <c r="O76" s="68"/>
      <c r="P76" s="68"/>
      <c r="Q76" s="68"/>
      <c r="R76" s="68"/>
      <c r="S76" s="68"/>
      <c r="T76" s="68"/>
      <c r="U76" s="68"/>
      <c r="V76" s="68"/>
      <c r="W76" s="68"/>
      <c r="X76" s="68"/>
      <c r="Y76" s="68"/>
      <c r="Z76" s="68"/>
    </row>
    <row r="77">
      <c r="A77" s="68"/>
      <c r="B77" s="68"/>
      <c r="C77" s="68"/>
      <c r="D77" s="68"/>
      <c r="E77" s="68"/>
      <c r="F77" s="68"/>
      <c r="G77" s="68"/>
      <c r="H77" s="68"/>
      <c r="I77" s="68"/>
      <c r="J77" s="68"/>
      <c r="K77" s="68"/>
      <c r="L77" s="68"/>
      <c r="M77" s="68"/>
      <c r="N77" s="68"/>
      <c r="O77" s="68"/>
      <c r="P77" s="68"/>
      <c r="Q77" s="68"/>
      <c r="R77" s="68"/>
      <c r="S77" s="68"/>
      <c r="T77" s="68"/>
      <c r="U77" s="68"/>
      <c r="V77" s="68"/>
      <c r="W77" s="68"/>
      <c r="X77" s="68"/>
      <c r="Y77" s="68"/>
      <c r="Z77" s="68"/>
    </row>
    <row r="78">
      <c r="A78" s="68"/>
      <c r="B78" s="68"/>
      <c r="C78" s="68"/>
      <c r="D78" s="68"/>
      <c r="E78" s="68"/>
      <c r="F78" s="68"/>
      <c r="G78" s="68"/>
      <c r="H78" s="68"/>
      <c r="I78" s="68"/>
      <c r="J78" s="68"/>
      <c r="K78" s="68"/>
      <c r="L78" s="68"/>
      <c r="M78" s="68"/>
      <c r="N78" s="68"/>
      <c r="O78" s="68"/>
      <c r="P78" s="68"/>
      <c r="Q78" s="68"/>
      <c r="R78" s="68"/>
      <c r="S78" s="68"/>
      <c r="T78" s="68"/>
      <c r="U78" s="68"/>
      <c r="V78" s="68"/>
      <c r="W78" s="68"/>
      <c r="X78" s="68"/>
      <c r="Y78" s="68"/>
      <c r="Z78" s="68"/>
    </row>
    <row r="79">
      <c r="A79" s="68"/>
      <c r="B79" s="68"/>
      <c r="C79" s="68"/>
      <c r="D79" s="68"/>
      <c r="E79" s="68"/>
      <c r="F79" s="68"/>
      <c r="G79" s="68"/>
      <c r="H79" s="68"/>
      <c r="I79" s="68"/>
      <c r="J79" s="68"/>
      <c r="K79" s="68"/>
      <c r="L79" s="68"/>
      <c r="M79" s="68"/>
      <c r="N79" s="68"/>
      <c r="O79" s="68"/>
      <c r="P79" s="68"/>
      <c r="Q79" s="68"/>
      <c r="R79" s="68"/>
      <c r="S79" s="68"/>
      <c r="T79" s="68"/>
      <c r="U79" s="68"/>
      <c r="V79" s="68"/>
      <c r="W79" s="68"/>
      <c r="X79" s="68"/>
      <c r="Y79" s="68"/>
      <c r="Z79" s="68"/>
    </row>
    <row r="80">
      <c r="A80" s="68"/>
      <c r="B80" s="68"/>
      <c r="C80" s="68"/>
      <c r="D80" s="68"/>
      <c r="E80" s="68"/>
      <c r="F80" s="68"/>
      <c r="G80" s="68"/>
      <c r="H80" s="68"/>
      <c r="I80" s="68"/>
      <c r="J80" s="68"/>
      <c r="K80" s="68"/>
      <c r="L80" s="68"/>
      <c r="M80" s="68"/>
      <c r="N80" s="68"/>
      <c r="O80" s="68"/>
      <c r="P80" s="68"/>
      <c r="Q80" s="68"/>
      <c r="R80" s="68"/>
      <c r="S80" s="68"/>
      <c r="T80" s="68"/>
      <c r="U80" s="68"/>
      <c r="V80" s="68"/>
      <c r="W80" s="68"/>
      <c r="X80" s="68"/>
      <c r="Y80" s="68"/>
      <c r="Z80" s="68"/>
    </row>
    <row r="81">
      <c r="A81" s="68"/>
      <c r="B81" s="68"/>
      <c r="C81" s="68"/>
      <c r="D81" s="68"/>
      <c r="E81" s="68"/>
      <c r="F81" s="68"/>
      <c r="G81" s="68"/>
      <c r="H81" s="68"/>
      <c r="I81" s="68"/>
      <c r="J81" s="68"/>
      <c r="K81" s="68"/>
      <c r="L81" s="68"/>
      <c r="M81" s="68"/>
      <c r="N81" s="68"/>
      <c r="O81" s="68"/>
      <c r="P81" s="68"/>
      <c r="Q81" s="68"/>
      <c r="R81" s="68"/>
      <c r="S81" s="68"/>
      <c r="T81" s="68"/>
      <c r="U81" s="68"/>
      <c r="V81" s="68"/>
      <c r="W81" s="68"/>
      <c r="X81" s="68"/>
      <c r="Y81" s="68"/>
      <c r="Z81" s="68"/>
    </row>
    <row r="82">
      <c r="A82" s="68"/>
      <c r="B82" s="68"/>
      <c r="C82" s="68"/>
      <c r="D82" s="68"/>
      <c r="E82" s="68"/>
      <c r="F82" s="68"/>
      <c r="G82" s="68"/>
      <c r="H82" s="68"/>
      <c r="I82" s="68"/>
      <c r="J82" s="68"/>
      <c r="K82" s="68"/>
      <c r="L82" s="68"/>
      <c r="M82" s="68"/>
      <c r="N82" s="68"/>
      <c r="O82" s="68"/>
      <c r="P82" s="68"/>
      <c r="Q82" s="68"/>
      <c r="R82" s="68"/>
      <c r="S82" s="68"/>
      <c r="T82" s="68"/>
      <c r="U82" s="68"/>
      <c r="V82" s="68"/>
      <c r="W82" s="68"/>
      <c r="X82" s="68"/>
      <c r="Y82" s="68"/>
      <c r="Z82" s="68"/>
    </row>
    <row r="83">
      <c r="A83" s="68"/>
      <c r="B83" s="68"/>
      <c r="C83" s="68"/>
      <c r="D83" s="68"/>
      <c r="E83" s="68"/>
      <c r="F83" s="68"/>
      <c r="G83" s="68"/>
      <c r="H83" s="68"/>
      <c r="I83" s="68"/>
      <c r="J83" s="68"/>
      <c r="K83" s="68"/>
      <c r="L83" s="68"/>
      <c r="M83" s="68"/>
      <c r="N83" s="68"/>
      <c r="O83" s="68"/>
      <c r="P83" s="68"/>
      <c r="Q83" s="68"/>
      <c r="R83" s="68"/>
      <c r="S83" s="68"/>
      <c r="T83" s="68"/>
      <c r="U83" s="68"/>
      <c r="V83" s="68"/>
      <c r="W83" s="68"/>
      <c r="X83" s="68"/>
      <c r="Y83" s="68"/>
      <c r="Z83" s="68"/>
    </row>
    <row r="84">
      <c r="A84" s="68"/>
      <c r="B84" s="68"/>
      <c r="C84" s="68"/>
      <c r="D84" s="68"/>
      <c r="E84" s="68"/>
      <c r="F84" s="68"/>
      <c r="G84" s="68"/>
      <c r="H84" s="68"/>
      <c r="I84" s="68"/>
      <c r="J84" s="68"/>
      <c r="K84" s="68"/>
      <c r="L84" s="68"/>
      <c r="M84" s="68"/>
      <c r="N84" s="68"/>
      <c r="O84" s="68"/>
      <c r="P84" s="68"/>
      <c r="Q84" s="68"/>
      <c r="R84" s="68"/>
      <c r="S84" s="68"/>
      <c r="T84" s="68"/>
      <c r="U84" s="68"/>
      <c r="V84" s="68"/>
      <c r="W84" s="68"/>
      <c r="X84" s="68"/>
      <c r="Y84" s="68"/>
      <c r="Z84" s="68"/>
    </row>
    <row r="85">
      <c r="A85" s="68"/>
      <c r="B85" s="68"/>
      <c r="C85" s="68"/>
      <c r="D85" s="68"/>
      <c r="E85" s="68"/>
      <c r="F85" s="68"/>
      <c r="G85" s="68"/>
      <c r="H85" s="68"/>
      <c r="I85" s="68"/>
      <c r="J85" s="68"/>
      <c r="K85" s="68"/>
      <c r="L85" s="68"/>
      <c r="M85" s="68"/>
      <c r="N85" s="68"/>
      <c r="O85" s="68"/>
      <c r="P85" s="68"/>
      <c r="Q85" s="68"/>
      <c r="R85" s="68"/>
      <c r="S85" s="68"/>
      <c r="T85" s="68"/>
      <c r="U85" s="68"/>
      <c r="V85" s="68"/>
      <c r="W85" s="68"/>
      <c r="X85" s="68"/>
      <c r="Y85" s="68"/>
      <c r="Z85" s="68"/>
    </row>
    <row r="86">
      <c r="A86" s="68"/>
      <c r="B86" s="68"/>
      <c r="C86" s="68"/>
      <c r="D86" s="68"/>
      <c r="E86" s="68"/>
      <c r="F86" s="68"/>
      <c r="G86" s="68"/>
      <c r="H86" s="68"/>
      <c r="I86" s="68"/>
      <c r="J86" s="68"/>
      <c r="K86" s="68"/>
      <c r="L86" s="68"/>
      <c r="M86" s="68"/>
      <c r="N86" s="68"/>
      <c r="O86" s="68"/>
      <c r="P86" s="68"/>
      <c r="Q86" s="68"/>
      <c r="R86" s="68"/>
      <c r="S86" s="68"/>
      <c r="T86" s="68"/>
      <c r="U86" s="68"/>
      <c r="V86" s="68"/>
      <c r="W86" s="68"/>
      <c r="X86" s="68"/>
      <c r="Y86" s="68"/>
      <c r="Z86" s="68"/>
    </row>
    <row r="87">
      <c r="A87" s="68"/>
      <c r="B87" s="68"/>
      <c r="C87" s="68"/>
      <c r="D87" s="68"/>
      <c r="E87" s="68"/>
      <c r="F87" s="68"/>
      <c r="G87" s="68"/>
      <c r="H87" s="68"/>
      <c r="I87" s="68"/>
      <c r="J87" s="68"/>
      <c r="K87" s="68"/>
      <c r="L87" s="68"/>
      <c r="M87" s="68"/>
      <c r="N87" s="68"/>
      <c r="O87" s="68"/>
      <c r="P87" s="68"/>
      <c r="Q87" s="68"/>
      <c r="R87" s="68"/>
      <c r="S87" s="68"/>
      <c r="T87" s="68"/>
      <c r="U87" s="68"/>
      <c r="V87" s="68"/>
      <c r="W87" s="68"/>
      <c r="X87" s="68"/>
      <c r="Y87" s="68"/>
      <c r="Z87" s="68"/>
    </row>
    <row r="88">
      <c r="A88" s="68"/>
      <c r="B88" s="68"/>
      <c r="C88" s="68"/>
      <c r="D88" s="68"/>
      <c r="E88" s="68"/>
      <c r="F88" s="68"/>
      <c r="G88" s="68"/>
      <c r="H88" s="68"/>
      <c r="I88" s="68"/>
      <c r="J88" s="68"/>
      <c r="K88" s="68"/>
      <c r="L88" s="68"/>
      <c r="M88" s="68"/>
      <c r="N88" s="68"/>
      <c r="O88" s="68"/>
      <c r="P88" s="68"/>
      <c r="Q88" s="68"/>
      <c r="R88" s="68"/>
      <c r="S88" s="68"/>
      <c r="T88" s="68"/>
      <c r="U88" s="68"/>
      <c r="V88" s="68"/>
      <c r="W88" s="68"/>
      <c r="X88" s="68"/>
      <c r="Y88" s="68"/>
      <c r="Z88" s="68"/>
    </row>
    <row r="89">
      <c r="A89" s="68"/>
      <c r="B89" s="68"/>
      <c r="C89" s="68"/>
      <c r="D89" s="68"/>
      <c r="E89" s="68"/>
      <c r="F89" s="68"/>
      <c r="G89" s="68"/>
      <c r="H89" s="68"/>
      <c r="I89" s="68"/>
      <c r="J89" s="68"/>
      <c r="K89" s="68"/>
      <c r="L89" s="68"/>
      <c r="M89" s="68"/>
      <c r="N89" s="68"/>
      <c r="O89" s="68"/>
      <c r="P89" s="68"/>
      <c r="Q89" s="68"/>
      <c r="R89" s="68"/>
      <c r="S89" s="68"/>
      <c r="T89" s="68"/>
      <c r="U89" s="68"/>
      <c r="V89" s="68"/>
      <c r="W89" s="68"/>
      <c r="X89" s="68"/>
      <c r="Y89" s="68"/>
      <c r="Z89" s="68"/>
    </row>
    <row r="90">
      <c r="A90" s="68"/>
      <c r="B90" s="68"/>
      <c r="C90" s="68"/>
      <c r="D90" s="68"/>
      <c r="E90" s="68"/>
      <c r="F90" s="68"/>
      <c r="G90" s="68"/>
      <c r="H90" s="68"/>
      <c r="I90" s="68"/>
      <c r="J90" s="68"/>
      <c r="K90" s="68"/>
      <c r="L90" s="68"/>
      <c r="M90" s="68"/>
      <c r="N90" s="68"/>
      <c r="O90" s="68"/>
      <c r="P90" s="68"/>
      <c r="Q90" s="68"/>
      <c r="R90" s="68"/>
      <c r="S90" s="68"/>
      <c r="T90" s="68"/>
      <c r="U90" s="68"/>
      <c r="V90" s="68"/>
      <c r="W90" s="68"/>
      <c r="X90" s="68"/>
      <c r="Y90" s="68"/>
      <c r="Z90" s="68"/>
    </row>
    <row r="91">
      <c r="A91" s="68"/>
      <c r="B91" s="68"/>
      <c r="C91" s="68"/>
      <c r="D91" s="68"/>
      <c r="E91" s="68"/>
      <c r="F91" s="68"/>
      <c r="G91" s="68"/>
      <c r="H91" s="68"/>
      <c r="I91" s="68"/>
      <c r="J91" s="68"/>
      <c r="K91" s="68"/>
      <c r="L91" s="68"/>
      <c r="M91" s="68"/>
      <c r="N91" s="68"/>
      <c r="O91" s="68"/>
      <c r="P91" s="68"/>
      <c r="Q91" s="68"/>
      <c r="R91" s="68"/>
      <c r="S91" s="68"/>
      <c r="T91" s="68"/>
      <c r="U91" s="68"/>
      <c r="V91" s="68"/>
      <c r="W91" s="68"/>
      <c r="X91" s="68"/>
      <c r="Y91" s="68"/>
      <c r="Z91" s="68"/>
    </row>
    <row r="92">
      <c r="A92" s="68"/>
      <c r="B92" s="68"/>
      <c r="C92" s="68"/>
      <c r="D92" s="68"/>
      <c r="E92" s="68"/>
      <c r="F92" s="68"/>
      <c r="G92" s="68"/>
      <c r="H92" s="68"/>
      <c r="I92" s="68"/>
      <c r="J92" s="68"/>
      <c r="K92" s="68"/>
      <c r="L92" s="68"/>
      <c r="M92" s="68"/>
      <c r="N92" s="68"/>
      <c r="O92" s="68"/>
      <c r="P92" s="68"/>
      <c r="Q92" s="68"/>
      <c r="R92" s="68"/>
      <c r="S92" s="68"/>
      <c r="T92" s="68"/>
      <c r="U92" s="68"/>
      <c r="V92" s="68"/>
      <c r="W92" s="68"/>
      <c r="X92" s="68"/>
      <c r="Y92" s="68"/>
      <c r="Z92" s="68"/>
    </row>
    <row r="93">
      <c r="A93" s="68"/>
      <c r="B93" s="68"/>
      <c r="C93" s="68"/>
      <c r="D93" s="68"/>
      <c r="E93" s="68"/>
      <c r="F93" s="68"/>
      <c r="G93" s="68"/>
      <c r="H93" s="68"/>
      <c r="I93" s="68"/>
      <c r="J93" s="68"/>
      <c r="K93" s="68"/>
      <c r="L93" s="68"/>
      <c r="M93" s="68"/>
      <c r="N93" s="68"/>
      <c r="O93" s="68"/>
      <c r="P93" s="68"/>
      <c r="Q93" s="68"/>
      <c r="R93" s="68"/>
      <c r="S93" s="68"/>
      <c r="T93" s="68"/>
      <c r="U93" s="68"/>
      <c r="V93" s="68"/>
      <c r="W93" s="68"/>
      <c r="X93" s="68"/>
      <c r="Y93" s="68"/>
      <c r="Z93" s="68"/>
    </row>
    <row r="94">
      <c r="A94" s="68"/>
      <c r="B94" s="68"/>
      <c r="C94" s="68"/>
      <c r="D94" s="68"/>
      <c r="E94" s="68"/>
      <c r="F94" s="68"/>
      <c r="G94" s="68"/>
      <c r="H94" s="68"/>
      <c r="I94" s="68"/>
      <c r="J94" s="68"/>
      <c r="K94" s="68"/>
      <c r="L94" s="68"/>
      <c r="M94" s="68"/>
      <c r="N94" s="68"/>
      <c r="O94" s="68"/>
      <c r="P94" s="68"/>
      <c r="Q94" s="68"/>
      <c r="R94" s="68"/>
      <c r="S94" s="68"/>
      <c r="T94" s="68"/>
      <c r="U94" s="68"/>
      <c r="V94" s="68"/>
      <c r="W94" s="68"/>
      <c r="X94" s="68"/>
      <c r="Y94" s="68"/>
      <c r="Z94" s="68"/>
    </row>
    <row r="95">
      <c r="A95" s="68"/>
      <c r="B95" s="68"/>
      <c r="C95" s="68"/>
      <c r="D95" s="68"/>
      <c r="E95" s="68"/>
      <c r="F95" s="68"/>
      <c r="G95" s="68"/>
      <c r="H95" s="68"/>
      <c r="I95" s="68"/>
      <c r="J95" s="68"/>
      <c r="K95" s="68"/>
      <c r="L95" s="68"/>
      <c r="M95" s="68"/>
      <c r="N95" s="68"/>
      <c r="O95" s="68"/>
      <c r="P95" s="68"/>
      <c r="Q95" s="68"/>
      <c r="R95" s="68"/>
      <c r="S95" s="68"/>
      <c r="T95" s="68"/>
      <c r="U95" s="68"/>
      <c r="V95" s="68"/>
      <c r="W95" s="68"/>
      <c r="X95" s="68"/>
      <c r="Y95" s="68"/>
      <c r="Z95" s="68"/>
    </row>
    <row r="96">
      <c r="A96" s="68"/>
      <c r="B96" s="68"/>
      <c r="C96" s="68"/>
      <c r="D96" s="68"/>
      <c r="E96" s="68"/>
      <c r="F96" s="68"/>
      <c r="G96" s="68"/>
      <c r="H96" s="68"/>
      <c r="I96" s="68"/>
      <c r="J96" s="68"/>
      <c r="K96" s="68"/>
      <c r="L96" s="68"/>
      <c r="M96" s="68"/>
      <c r="N96" s="68"/>
      <c r="O96" s="68"/>
      <c r="P96" s="68"/>
      <c r="Q96" s="68"/>
      <c r="R96" s="68"/>
      <c r="S96" s="68"/>
      <c r="T96" s="68"/>
      <c r="U96" s="68"/>
      <c r="V96" s="68"/>
      <c r="W96" s="68"/>
      <c r="X96" s="68"/>
      <c r="Y96" s="68"/>
      <c r="Z96" s="68"/>
    </row>
    <row r="97">
      <c r="A97" s="68"/>
      <c r="B97" s="68"/>
      <c r="C97" s="68"/>
      <c r="D97" s="68"/>
      <c r="E97" s="68"/>
      <c r="F97" s="68"/>
      <c r="G97" s="68"/>
      <c r="H97" s="68"/>
      <c r="I97" s="68"/>
      <c r="J97" s="68"/>
      <c r="K97" s="68"/>
      <c r="L97" s="68"/>
      <c r="M97" s="68"/>
      <c r="N97" s="68"/>
      <c r="O97" s="68"/>
      <c r="P97" s="68"/>
      <c r="Q97" s="68"/>
      <c r="R97" s="68"/>
      <c r="S97" s="68"/>
      <c r="T97" s="68"/>
      <c r="U97" s="68"/>
      <c r="V97" s="68"/>
      <c r="W97" s="68"/>
      <c r="X97" s="68"/>
      <c r="Y97" s="68"/>
      <c r="Z97" s="68"/>
    </row>
    <row r="98">
      <c r="A98" s="68"/>
      <c r="B98" s="68"/>
      <c r="C98" s="68"/>
      <c r="D98" s="68"/>
      <c r="E98" s="68"/>
      <c r="F98" s="68"/>
      <c r="G98" s="68"/>
      <c r="H98" s="68"/>
      <c r="I98" s="68"/>
      <c r="J98" s="68"/>
      <c r="K98" s="68"/>
      <c r="L98" s="68"/>
      <c r="M98" s="68"/>
      <c r="N98" s="68"/>
      <c r="O98" s="68"/>
      <c r="P98" s="68"/>
      <c r="Q98" s="68"/>
      <c r="R98" s="68"/>
      <c r="S98" s="68"/>
      <c r="T98" s="68"/>
      <c r="U98" s="68"/>
      <c r="V98" s="68"/>
      <c r="W98" s="68"/>
      <c r="X98" s="68"/>
      <c r="Y98" s="68"/>
      <c r="Z98" s="68"/>
    </row>
    <row r="99">
      <c r="A99" s="68"/>
      <c r="B99" s="68"/>
      <c r="C99" s="68"/>
      <c r="D99" s="68"/>
      <c r="E99" s="68"/>
      <c r="F99" s="68"/>
      <c r="G99" s="68"/>
      <c r="H99" s="68"/>
      <c r="I99" s="68"/>
      <c r="J99" s="68"/>
      <c r="K99" s="68"/>
      <c r="L99" s="68"/>
      <c r="M99" s="68"/>
      <c r="N99" s="68"/>
      <c r="O99" s="68"/>
      <c r="P99" s="68"/>
      <c r="Q99" s="68"/>
      <c r="R99" s="68"/>
      <c r="S99" s="68"/>
      <c r="T99" s="68"/>
      <c r="U99" s="68"/>
      <c r="V99" s="68"/>
      <c r="W99" s="68"/>
      <c r="X99" s="68"/>
      <c r="Y99" s="68"/>
      <c r="Z99" s="68"/>
    </row>
    <row r="100">
      <c r="A100" s="68"/>
      <c r="B100" s="68"/>
      <c r="C100" s="68"/>
      <c r="D100" s="68"/>
      <c r="E100" s="68"/>
      <c r="F100" s="68"/>
      <c r="G100" s="68"/>
      <c r="H100" s="68"/>
      <c r="I100" s="68"/>
      <c r="J100" s="68"/>
      <c r="K100" s="68"/>
      <c r="L100" s="68"/>
      <c r="M100" s="68"/>
      <c r="N100" s="68"/>
      <c r="O100" s="68"/>
      <c r="P100" s="68"/>
      <c r="Q100" s="68"/>
      <c r="R100" s="68"/>
      <c r="S100" s="68"/>
      <c r="T100" s="68"/>
      <c r="U100" s="68"/>
      <c r="V100" s="68"/>
      <c r="W100" s="68"/>
      <c r="X100" s="68"/>
      <c r="Y100" s="68"/>
      <c r="Z100" s="68"/>
    </row>
    <row r="101">
      <c r="A101" s="68"/>
      <c r="B101" s="68"/>
      <c r="C101" s="68"/>
      <c r="D101" s="68"/>
      <c r="E101" s="68"/>
      <c r="F101" s="68"/>
      <c r="G101" s="68"/>
      <c r="H101" s="68"/>
      <c r="I101" s="68"/>
      <c r="J101" s="68"/>
      <c r="K101" s="68"/>
      <c r="L101" s="68"/>
      <c r="M101" s="68"/>
      <c r="N101" s="68"/>
      <c r="O101" s="68"/>
      <c r="P101" s="68"/>
      <c r="Q101" s="68"/>
      <c r="R101" s="68"/>
      <c r="S101" s="68"/>
      <c r="T101" s="68"/>
      <c r="U101" s="68"/>
      <c r="V101" s="68"/>
      <c r="W101" s="68"/>
      <c r="X101" s="68"/>
      <c r="Y101" s="68"/>
      <c r="Z101" s="68"/>
    </row>
    <row r="102">
      <c r="A102" s="68"/>
      <c r="B102" s="68"/>
      <c r="C102" s="68"/>
      <c r="D102" s="68"/>
      <c r="E102" s="68"/>
      <c r="F102" s="68"/>
      <c r="G102" s="68"/>
      <c r="H102" s="68"/>
      <c r="I102" s="68"/>
      <c r="J102" s="68"/>
      <c r="K102" s="68"/>
      <c r="L102" s="68"/>
      <c r="M102" s="68"/>
      <c r="N102" s="68"/>
      <c r="O102" s="68"/>
      <c r="P102" s="68"/>
      <c r="Q102" s="68"/>
      <c r="R102" s="68"/>
      <c r="S102" s="68"/>
      <c r="T102" s="68"/>
      <c r="U102" s="68"/>
      <c r="V102" s="68"/>
      <c r="W102" s="68"/>
      <c r="X102" s="68"/>
      <c r="Y102" s="68"/>
      <c r="Z102" s="68"/>
    </row>
    <row r="103">
      <c r="A103" s="68"/>
      <c r="B103" s="68"/>
      <c r="C103" s="68"/>
      <c r="D103" s="68"/>
      <c r="E103" s="68"/>
      <c r="F103" s="68"/>
      <c r="G103" s="68"/>
      <c r="H103" s="68"/>
      <c r="I103" s="68"/>
      <c r="J103" s="68"/>
      <c r="K103" s="68"/>
      <c r="L103" s="68"/>
      <c r="M103" s="68"/>
      <c r="N103" s="68"/>
      <c r="O103" s="68"/>
      <c r="P103" s="68"/>
      <c r="Q103" s="68"/>
      <c r="R103" s="68"/>
      <c r="S103" s="68"/>
      <c r="T103" s="68"/>
      <c r="U103" s="68"/>
      <c r="V103" s="68"/>
      <c r="W103" s="68"/>
      <c r="X103" s="68"/>
      <c r="Y103" s="68"/>
      <c r="Z103" s="68"/>
    </row>
    <row r="104">
      <c r="A104" s="68"/>
      <c r="B104" s="68"/>
      <c r="C104" s="68"/>
      <c r="D104" s="68"/>
      <c r="E104" s="68"/>
      <c r="F104" s="68"/>
      <c r="G104" s="68"/>
      <c r="H104" s="68"/>
      <c r="I104" s="68"/>
      <c r="J104" s="68"/>
      <c r="K104" s="68"/>
      <c r="L104" s="68"/>
      <c r="M104" s="68"/>
      <c r="N104" s="68"/>
      <c r="O104" s="68"/>
      <c r="P104" s="68"/>
      <c r="Q104" s="68"/>
      <c r="R104" s="68"/>
      <c r="S104" s="68"/>
      <c r="T104" s="68"/>
      <c r="U104" s="68"/>
      <c r="V104" s="68"/>
      <c r="W104" s="68"/>
      <c r="X104" s="68"/>
      <c r="Y104" s="68"/>
      <c r="Z104" s="68"/>
    </row>
    <row r="105">
      <c r="A105" s="68"/>
      <c r="B105" s="68"/>
      <c r="C105" s="68"/>
      <c r="D105" s="68"/>
      <c r="E105" s="68"/>
      <c r="F105" s="68"/>
      <c r="G105" s="68"/>
      <c r="H105" s="68"/>
      <c r="I105" s="68"/>
      <c r="J105" s="68"/>
      <c r="K105" s="68"/>
      <c r="L105" s="68"/>
      <c r="M105" s="68"/>
      <c r="N105" s="68"/>
      <c r="O105" s="68"/>
      <c r="P105" s="68"/>
      <c r="Q105" s="68"/>
      <c r="R105" s="68"/>
      <c r="S105" s="68"/>
      <c r="T105" s="68"/>
      <c r="U105" s="68"/>
      <c r="V105" s="68"/>
      <c r="W105" s="68"/>
      <c r="X105" s="68"/>
      <c r="Y105" s="68"/>
      <c r="Z105" s="68"/>
    </row>
    <row r="106">
      <c r="A106" s="68"/>
      <c r="B106" s="68"/>
      <c r="C106" s="68"/>
      <c r="D106" s="68"/>
      <c r="E106" s="68"/>
      <c r="F106" s="68"/>
      <c r="G106" s="68"/>
      <c r="H106" s="68"/>
      <c r="I106" s="68"/>
      <c r="J106" s="68"/>
      <c r="K106" s="68"/>
      <c r="L106" s="68"/>
      <c r="M106" s="68"/>
      <c r="N106" s="68"/>
      <c r="O106" s="68"/>
      <c r="P106" s="68"/>
      <c r="Q106" s="68"/>
      <c r="R106" s="68"/>
      <c r="S106" s="68"/>
      <c r="T106" s="68"/>
      <c r="U106" s="68"/>
      <c r="V106" s="68"/>
      <c r="W106" s="68"/>
      <c r="X106" s="68"/>
      <c r="Y106" s="68"/>
      <c r="Z106" s="68"/>
    </row>
    <row r="107">
      <c r="A107" s="68"/>
      <c r="B107" s="68"/>
      <c r="C107" s="68"/>
      <c r="D107" s="68"/>
      <c r="E107" s="68"/>
      <c r="F107" s="68"/>
      <c r="G107" s="68"/>
      <c r="H107" s="68"/>
      <c r="I107" s="68"/>
      <c r="J107" s="68"/>
      <c r="K107" s="68"/>
      <c r="L107" s="68"/>
      <c r="M107" s="68"/>
      <c r="N107" s="68"/>
      <c r="O107" s="68"/>
      <c r="P107" s="68"/>
      <c r="Q107" s="68"/>
      <c r="R107" s="68"/>
      <c r="S107" s="68"/>
      <c r="T107" s="68"/>
      <c r="U107" s="68"/>
      <c r="V107" s="68"/>
      <c r="W107" s="68"/>
      <c r="X107" s="68"/>
      <c r="Y107" s="68"/>
      <c r="Z107" s="68"/>
    </row>
    <row r="108">
      <c r="A108" s="68"/>
      <c r="B108" s="68"/>
      <c r="C108" s="68"/>
      <c r="D108" s="68"/>
      <c r="E108" s="68"/>
      <c r="F108" s="68"/>
      <c r="G108" s="68"/>
      <c r="H108" s="68"/>
      <c r="I108" s="68"/>
      <c r="J108" s="68"/>
      <c r="K108" s="68"/>
      <c r="L108" s="68"/>
      <c r="M108" s="68"/>
      <c r="N108" s="68"/>
      <c r="O108" s="68"/>
      <c r="P108" s="68"/>
      <c r="Q108" s="68"/>
      <c r="R108" s="68"/>
      <c r="S108" s="68"/>
      <c r="T108" s="68"/>
      <c r="U108" s="68"/>
      <c r="V108" s="68"/>
      <c r="W108" s="68"/>
      <c r="X108" s="68"/>
      <c r="Y108" s="68"/>
      <c r="Z108" s="68"/>
    </row>
    <row r="109">
      <c r="A109" s="68"/>
      <c r="B109" s="68"/>
      <c r="C109" s="68"/>
      <c r="D109" s="68"/>
      <c r="E109" s="68"/>
      <c r="F109" s="68"/>
      <c r="G109" s="68"/>
      <c r="H109" s="68"/>
      <c r="I109" s="68"/>
      <c r="J109" s="68"/>
      <c r="K109" s="68"/>
      <c r="L109" s="68"/>
      <c r="M109" s="68"/>
      <c r="N109" s="68"/>
      <c r="O109" s="68"/>
      <c r="P109" s="68"/>
      <c r="Q109" s="68"/>
      <c r="R109" s="68"/>
      <c r="S109" s="68"/>
      <c r="T109" s="68"/>
      <c r="U109" s="68"/>
      <c r="V109" s="68"/>
      <c r="W109" s="68"/>
      <c r="X109" s="68"/>
      <c r="Y109" s="68"/>
      <c r="Z109" s="68"/>
    </row>
    <row r="110">
      <c r="A110" s="68"/>
      <c r="B110" s="68"/>
      <c r="C110" s="68"/>
      <c r="D110" s="68"/>
      <c r="E110" s="68"/>
      <c r="F110" s="68"/>
      <c r="G110" s="68"/>
      <c r="H110" s="68"/>
      <c r="I110" s="68"/>
      <c r="J110" s="68"/>
      <c r="K110" s="68"/>
      <c r="L110" s="68"/>
      <c r="M110" s="68"/>
      <c r="N110" s="68"/>
      <c r="O110" s="68"/>
      <c r="P110" s="68"/>
      <c r="Q110" s="68"/>
      <c r="R110" s="68"/>
      <c r="S110" s="68"/>
      <c r="T110" s="68"/>
      <c r="U110" s="68"/>
      <c r="V110" s="68"/>
      <c r="W110" s="68"/>
      <c r="X110" s="68"/>
      <c r="Y110" s="68"/>
      <c r="Z110" s="68"/>
    </row>
    <row r="111">
      <c r="A111" s="68"/>
      <c r="B111" s="68"/>
      <c r="C111" s="68"/>
      <c r="D111" s="68"/>
      <c r="E111" s="68"/>
      <c r="F111" s="68"/>
      <c r="G111" s="68"/>
      <c r="H111" s="68"/>
      <c r="I111" s="68"/>
      <c r="J111" s="68"/>
      <c r="K111" s="68"/>
      <c r="L111" s="68"/>
      <c r="M111" s="68"/>
      <c r="N111" s="68"/>
      <c r="O111" s="68"/>
      <c r="P111" s="68"/>
      <c r="Q111" s="68"/>
      <c r="R111" s="68"/>
      <c r="S111" s="68"/>
      <c r="T111" s="68"/>
      <c r="U111" s="68"/>
      <c r="V111" s="68"/>
      <c r="W111" s="68"/>
      <c r="X111" s="68"/>
      <c r="Y111" s="68"/>
      <c r="Z111" s="68"/>
    </row>
    <row r="112">
      <c r="A112" s="68"/>
      <c r="B112" s="68"/>
      <c r="C112" s="68"/>
      <c r="D112" s="68"/>
      <c r="E112" s="68"/>
      <c r="F112" s="68"/>
      <c r="G112" s="68"/>
      <c r="H112" s="68"/>
      <c r="I112" s="68"/>
      <c r="J112" s="68"/>
      <c r="K112" s="68"/>
      <c r="L112" s="68"/>
      <c r="M112" s="68"/>
      <c r="N112" s="68"/>
      <c r="O112" s="68"/>
      <c r="P112" s="68"/>
      <c r="Q112" s="68"/>
      <c r="R112" s="68"/>
      <c r="S112" s="68"/>
      <c r="T112" s="68"/>
      <c r="U112" s="68"/>
      <c r="V112" s="68"/>
      <c r="W112" s="68"/>
      <c r="X112" s="68"/>
      <c r="Y112" s="68"/>
      <c r="Z112" s="68"/>
    </row>
    <row r="113">
      <c r="A113" s="68"/>
      <c r="B113" s="68"/>
      <c r="C113" s="68"/>
      <c r="D113" s="68"/>
      <c r="E113" s="68"/>
      <c r="F113" s="68"/>
      <c r="G113" s="68"/>
      <c r="H113" s="68"/>
      <c r="I113" s="68"/>
      <c r="J113" s="68"/>
      <c r="K113" s="68"/>
      <c r="L113" s="68"/>
      <c r="M113" s="68"/>
      <c r="N113" s="68"/>
      <c r="O113" s="68"/>
      <c r="P113" s="68"/>
      <c r="Q113" s="68"/>
      <c r="R113" s="68"/>
      <c r="S113" s="68"/>
      <c r="T113" s="68"/>
      <c r="U113" s="68"/>
      <c r="V113" s="68"/>
      <c r="W113" s="68"/>
      <c r="X113" s="68"/>
      <c r="Y113" s="68"/>
      <c r="Z113" s="68"/>
    </row>
    <row r="114">
      <c r="A114" s="68"/>
      <c r="B114" s="68"/>
      <c r="C114" s="68"/>
      <c r="D114" s="68"/>
      <c r="E114" s="68"/>
      <c r="F114" s="68"/>
      <c r="G114" s="68"/>
      <c r="H114" s="68"/>
      <c r="I114" s="68"/>
      <c r="J114" s="68"/>
      <c r="K114" s="68"/>
      <c r="L114" s="68"/>
      <c r="M114" s="68"/>
      <c r="N114" s="68"/>
      <c r="O114" s="68"/>
      <c r="P114" s="68"/>
      <c r="Q114" s="68"/>
      <c r="R114" s="68"/>
      <c r="S114" s="68"/>
      <c r="T114" s="68"/>
      <c r="U114" s="68"/>
      <c r="V114" s="68"/>
      <c r="W114" s="68"/>
      <c r="X114" s="68"/>
      <c r="Y114" s="68"/>
      <c r="Z114" s="68"/>
    </row>
    <row r="115">
      <c r="A115" s="68"/>
      <c r="B115" s="68"/>
      <c r="C115" s="68"/>
      <c r="D115" s="68"/>
      <c r="E115" s="68"/>
      <c r="F115" s="68"/>
      <c r="G115" s="68"/>
      <c r="H115" s="68"/>
      <c r="I115" s="68"/>
      <c r="J115" s="68"/>
      <c r="K115" s="68"/>
      <c r="L115" s="68"/>
      <c r="M115" s="68"/>
      <c r="N115" s="68"/>
      <c r="O115" s="68"/>
      <c r="P115" s="68"/>
      <c r="Q115" s="68"/>
      <c r="R115" s="68"/>
      <c r="S115" s="68"/>
      <c r="T115" s="68"/>
      <c r="U115" s="68"/>
      <c r="V115" s="68"/>
      <c r="W115" s="68"/>
      <c r="X115" s="68"/>
      <c r="Y115" s="68"/>
      <c r="Z115" s="68"/>
    </row>
    <row r="116">
      <c r="A116" s="68"/>
      <c r="B116" s="68"/>
      <c r="C116" s="68"/>
      <c r="D116" s="68"/>
      <c r="E116" s="68"/>
      <c r="F116" s="68"/>
      <c r="G116" s="68"/>
      <c r="H116" s="68"/>
      <c r="I116" s="68"/>
      <c r="J116" s="68"/>
      <c r="K116" s="68"/>
      <c r="L116" s="68"/>
      <c r="M116" s="68"/>
      <c r="N116" s="68"/>
      <c r="O116" s="68"/>
      <c r="P116" s="68"/>
      <c r="Q116" s="68"/>
      <c r="R116" s="68"/>
      <c r="S116" s="68"/>
      <c r="T116" s="68"/>
      <c r="U116" s="68"/>
      <c r="V116" s="68"/>
      <c r="W116" s="68"/>
      <c r="X116" s="68"/>
      <c r="Y116" s="68"/>
      <c r="Z116" s="68"/>
    </row>
    <row r="117">
      <c r="A117" s="68"/>
      <c r="B117" s="68"/>
      <c r="C117" s="68"/>
      <c r="D117" s="68"/>
      <c r="E117" s="68"/>
      <c r="F117" s="68"/>
      <c r="G117" s="68"/>
      <c r="H117" s="68"/>
      <c r="I117" s="68"/>
      <c r="J117" s="68"/>
      <c r="K117" s="68"/>
      <c r="L117" s="68"/>
      <c r="M117" s="68"/>
      <c r="N117" s="68"/>
      <c r="O117" s="68"/>
      <c r="P117" s="68"/>
      <c r="Q117" s="68"/>
      <c r="R117" s="68"/>
      <c r="S117" s="68"/>
      <c r="T117" s="68"/>
      <c r="U117" s="68"/>
      <c r="V117" s="68"/>
      <c r="W117" s="68"/>
      <c r="X117" s="68"/>
      <c r="Y117" s="68"/>
      <c r="Z117" s="68"/>
    </row>
    <row r="118">
      <c r="A118" s="68"/>
      <c r="B118" s="68"/>
      <c r="C118" s="68"/>
      <c r="D118" s="68"/>
      <c r="E118" s="68"/>
      <c r="F118" s="68"/>
      <c r="G118" s="68"/>
      <c r="H118" s="68"/>
      <c r="I118" s="68"/>
      <c r="J118" s="68"/>
      <c r="K118" s="68"/>
      <c r="L118" s="68"/>
      <c r="M118" s="68"/>
      <c r="N118" s="68"/>
      <c r="O118" s="68"/>
      <c r="P118" s="68"/>
      <c r="Q118" s="68"/>
      <c r="R118" s="68"/>
      <c r="S118" s="68"/>
      <c r="T118" s="68"/>
      <c r="U118" s="68"/>
      <c r="V118" s="68"/>
      <c r="W118" s="68"/>
      <c r="X118" s="68"/>
      <c r="Y118" s="68"/>
      <c r="Z118" s="68"/>
    </row>
    <row r="119">
      <c r="A119" s="68"/>
      <c r="B119" s="68"/>
      <c r="C119" s="68"/>
      <c r="D119" s="68"/>
      <c r="E119" s="68"/>
      <c r="F119" s="68"/>
      <c r="G119" s="68"/>
      <c r="H119" s="68"/>
      <c r="I119" s="68"/>
      <c r="J119" s="68"/>
      <c r="K119" s="68"/>
      <c r="L119" s="68"/>
      <c r="M119" s="68"/>
      <c r="N119" s="68"/>
      <c r="O119" s="68"/>
      <c r="P119" s="68"/>
      <c r="Q119" s="68"/>
      <c r="R119" s="68"/>
      <c r="S119" s="68"/>
      <c r="T119" s="68"/>
      <c r="U119" s="68"/>
      <c r="V119" s="68"/>
      <c r="W119" s="68"/>
      <c r="X119" s="68"/>
      <c r="Y119" s="68"/>
      <c r="Z119" s="68"/>
    </row>
    <row r="120">
      <c r="A120" s="68"/>
      <c r="B120" s="68"/>
      <c r="C120" s="68"/>
      <c r="D120" s="68"/>
      <c r="E120" s="68"/>
      <c r="F120" s="68"/>
      <c r="G120" s="68"/>
      <c r="H120" s="68"/>
      <c r="I120" s="68"/>
      <c r="J120" s="68"/>
      <c r="K120" s="68"/>
      <c r="L120" s="68"/>
      <c r="M120" s="68"/>
      <c r="N120" s="68"/>
      <c r="O120" s="68"/>
      <c r="P120" s="68"/>
      <c r="Q120" s="68"/>
      <c r="R120" s="68"/>
      <c r="S120" s="68"/>
      <c r="T120" s="68"/>
      <c r="U120" s="68"/>
      <c r="V120" s="68"/>
      <c r="W120" s="68"/>
      <c r="X120" s="68"/>
      <c r="Y120" s="68"/>
      <c r="Z120" s="68"/>
    </row>
    <row r="121">
      <c r="A121" s="68"/>
      <c r="B121" s="68"/>
      <c r="C121" s="68"/>
      <c r="D121" s="68"/>
      <c r="E121" s="68"/>
      <c r="F121" s="68"/>
      <c r="G121" s="68"/>
      <c r="H121" s="68"/>
      <c r="I121" s="68"/>
      <c r="J121" s="68"/>
      <c r="K121" s="68"/>
      <c r="L121" s="68"/>
      <c r="M121" s="68"/>
      <c r="N121" s="68"/>
      <c r="O121" s="68"/>
      <c r="P121" s="68"/>
      <c r="Q121" s="68"/>
      <c r="R121" s="68"/>
      <c r="S121" s="68"/>
      <c r="T121" s="68"/>
      <c r="U121" s="68"/>
      <c r="V121" s="68"/>
      <c r="W121" s="68"/>
      <c r="X121" s="68"/>
      <c r="Y121" s="68"/>
      <c r="Z121" s="68"/>
    </row>
    <row r="122">
      <c r="A122" s="68"/>
      <c r="B122" s="68"/>
      <c r="C122" s="68"/>
      <c r="D122" s="68"/>
      <c r="E122" s="68"/>
      <c r="F122" s="68"/>
      <c r="G122" s="68"/>
      <c r="H122" s="68"/>
      <c r="I122" s="68"/>
      <c r="J122" s="68"/>
      <c r="K122" s="68"/>
      <c r="L122" s="68"/>
      <c r="M122" s="68"/>
      <c r="N122" s="68"/>
      <c r="O122" s="68"/>
      <c r="P122" s="68"/>
      <c r="Q122" s="68"/>
      <c r="R122" s="68"/>
      <c r="S122" s="68"/>
      <c r="T122" s="68"/>
      <c r="U122" s="68"/>
      <c r="V122" s="68"/>
      <c r="W122" s="68"/>
      <c r="X122" s="68"/>
      <c r="Y122" s="68"/>
      <c r="Z122" s="68"/>
    </row>
    <row r="123">
      <c r="A123" s="68"/>
      <c r="B123" s="68"/>
      <c r="C123" s="68"/>
      <c r="D123" s="68"/>
      <c r="E123" s="68"/>
      <c r="F123" s="68"/>
      <c r="G123" s="68"/>
      <c r="H123" s="68"/>
      <c r="I123" s="68"/>
      <c r="J123" s="68"/>
      <c r="K123" s="68"/>
      <c r="L123" s="68"/>
      <c r="M123" s="68"/>
      <c r="N123" s="68"/>
      <c r="O123" s="68"/>
      <c r="P123" s="68"/>
      <c r="Q123" s="68"/>
      <c r="R123" s="68"/>
      <c r="S123" s="68"/>
      <c r="T123" s="68"/>
      <c r="U123" s="68"/>
      <c r="V123" s="68"/>
      <c r="W123" s="68"/>
      <c r="X123" s="68"/>
      <c r="Y123" s="68"/>
      <c r="Z123" s="68"/>
    </row>
    <row r="124">
      <c r="A124" s="68"/>
      <c r="B124" s="68"/>
      <c r="C124" s="68"/>
      <c r="D124" s="68"/>
      <c r="E124" s="68"/>
      <c r="F124" s="68"/>
      <c r="G124" s="68"/>
      <c r="H124" s="68"/>
      <c r="I124" s="68"/>
      <c r="J124" s="68"/>
      <c r="K124" s="68"/>
      <c r="L124" s="68"/>
      <c r="M124" s="68"/>
      <c r="N124" s="68"/>
      <c r="O124" s="68"/>
      <c r="P124" s="68"/>
      <c r="Q124" s="68"/>
      <c r="R124" s="68"/>
      <c r="S124" s="68"/>
      <c r="T124" s="68"/>
      <c r="U124" s="68"/>
      <c r="V124" s="68"/>
      <c r="W124" s="68"/>
      <c r="X124" s="68"/>
      <c r="Y124" s="68"/>
      <c r="Z124" s="68"/>
    </row>
    <row r="125">
      <c r="A125" s="68"/>
      <c r="B125" s="68"/>
      <c r="C125" s="68"/>
      <c r="D125" s="68"/>
      <c r="E125" s="68"/>
      <c r="F125" s="68"/>
      <c r="G125" s="68"/>
      <c r="H125" s="68"/>
      <c r="I125" s="68"/>
      <c r="J125" s="68"/>
      <c r="K125" s="68"/>
      <c r="L125" s="68"/>
      <c r="M125" s="68"/>
      <c r="N125" s="68"/>
      <c r="O125" s="68"/>
      <c r="P125" s="68"/>
      <c r="Q125" s="68"/>
      <c r="R125" s="68"/>
      <c r="S125" s="68"/>
      <c r="T125" s="68"/>
      <c r="U125" s="68"/>
      <c r="V125" s="68"/>
      <c r="W125" s="68"/>
      <c r="X125" s="68"/>
      <c r="Y125" s="68"/>
      <c r="Z125" s="68"/>
    </row>
    <row r="126">
      <c r="A126" s="68"/>
      <c r="B126" s="68"/>
      <c r="C126" s="68"/>
      <c r="D126" s="68"/>
      <c r="E126" s="68"/>
      <c r="F126" s="68"/>
      <c r="G126" s="68"/>
      <c r="H126" s="68"/>
      <c r="I126" s="68"/>
      <c r="J126" s="68"/>
      <c r="K126" s="68"/>
      <c r="L126" s="68"/>
      <c r="M126" s="68"/>
      <c r="N126" s="68"/>
      <c r="O126" s="68"/>
      <c r="P126" s="68"/>
      <c r="Q126" s="68"/>
      <c r="R126" s="68"/>
      <c r="S126" s="68"/>
      <c r="T126" s="68"/>
      <c r="U126" s="68"/>
      <c r="V126" s="68"/>
      <c r="W126" s="68"/>
      <c r="X126" s="68"/>
      <c r="Y126" s="68"/>
      <c r="Z126" s="68"/>
    </row>
    <row r="127">
      <c r="A127" s="68"/>
      <c r="B127" s="68"/>
      <c r="C127" s="68"/>
      <c r="D127" s="68"/>
      <c r="E127" s="68"/>
      <c r="F127" s="68"/>
      <c r="G127" s="68"/>
      <c r="H127" s="68"/>
      <c r="I127" s="68"/>
      <c r="J127" s="68"/>
      <c r="K127" s="68"/>
      <c r="L127" s="68"/>
      <c r="M127" s="68"/>
      <c r="N127" s="68"/>
      <c r="O127" s="68"/>
      <c r="P127" s="68"/>
      <c r="Q127" s="68"/>
      <c r="R127" s="68"/>
      <c r="S127" s="68"/>
      <c r="T127" s="68"/>
      <c r="U127" s="68"/>
      <c r="V127" s="68"/>
      <c r="W127" s="68"/>
      <c r="X127" s="68"/>
      <c r="Y127" s="68"/>
      <c r="Z127" s="68"/>
    </row>
    <row r="128">
      <c r="A128" s="68"/>
      <c r="B128" s="68"/>
      <c r="C128" s="68"/>
      <c r="D128" s="68"/>
      <c r="E128" s="68"/>
      <c r="F128" s="68"/>
      <c r="G128" s="68"/>
      <c r="H128" s="68"/>
      <c r="I128" s="68"/>
      <c r="J128" s="68"/>
      <c r="K128" s="68"/>
      <c r="L128" s="68"/>
      <c r="M128" s="68"/>
      <c r="N128" s="68"/>
      <c r="O128" s="68"/>
      <c r="P128" s="68"/>
      <c r="Q128" s="68"/>
      <c r="R128" s="68"/>
      <c r="S128" s="68"/>
      <c r="T128" s="68"/>
      <c r="U128" s="68"/>
      <c r="V128" s="68"/>
      <c r="W128" s="68"/>
      <c r="X128" s="68"/>
      <c r="Y128" s="68"/>
      <c r="Z128" s="68"/>
    </row>
    <row r="129">
      <c r="A129" s="68"/>
      <c r="B129" s="68"/>
      <c r="C129" s="68"/>
      <c r="D129" s="68"/>
      <c r="E129" s="68"/>
      <c r="F129" s="68"/>
      <c r="G129" s="68"/>
      <c r="H129" s="68"/>
      <c r="I129" s="68"/>
      <c r="J129" s="68"/>
      <c r="K129" s="68"/>
      <c r="L129" s="68"/>
      <c r="M129" s="68"/>
      <c r="N129" s="68"/>
      <c r="O129" s="68"/>
      <c r="P129" s="68"/>
      <c r="Q129" s="68"/>
      <c r="R129" s="68"/>
      <c r="S129" s="68"/>
      <c r="T129" s="68"/>
      <c r="U129" s="68"/>
      <c r="V129" s="68"/>
      <c r="W129" s="68"/>
      <c r="X129" s="68"/>
      <c r="Y129" s="68"/>
      <c r="Z129" s="68"/>
    </row>
    <row r="130">
      <c r="A130" s="68"/>
      <c r="B130" s="68"/>
      <c r="C130" s="68"/>
      <c r="D130" s="68"/>
      <c r="E130" s="68"/>
      <c r="F130" s="68"/>
      <c r="G130" s="68"/>
      <c r="H130" s="68"/>
      <c r="I130" s="68"/>
      <c r="J130" s="68"/>
      <c r="K130" s="68"/>
      <c r="L130" s="68"/>
      <c r="M130" s="68"/>
      <c r="N130" s="68"/>
      <c r="O130" s="68"/>
      <c r="P130" s="68"/>
      <c r="Q130" s="68"/>
      <c r="R130" s="68"/>
      <c r="S130" s="68"/>
      <c r="T130" s="68"/>
      <c r="U130" s="68"/>
      <c r="V130" s="68"/>
      <c r="W130" s="68"/>
      <c r="X130" s="68"/>
      <c r="Y130" s="68"/>
      <c r="Z130" s="68"/>
    </row>
    <row r="131">
      <c r="A131" s="68"/>
      <c r="B131" s="68"/>
      <c r="C131" s="68"/>
      <c r="D131" s="68"/>
      <c r="E131" s="68"/>
      <c r="F131" s="68"/>
      <c r="G131" s="68"/>
      <c r="H131" s="68"/>
      <c r="I131" s="68"/>
      <c r="J131" s="68"/>
      <c r="K131" s="68"/>
      <c r="L131" s="68"/>
      <c r="M131" s="68"/>
      <c r="N131" s="68"/>
      <c r="O131" s="68"/>
      <c r="P131" s="68"/>
      <c r="Q131" s="68"/>
      <c r="R131" s="68"/>
      <c r="S131" s="68"/>
      <c r="T131" s="68"/>
      <c r="U131" s="68"/>
      <c r="V131" s="68"/>
      <c r="W131" s="68"/>
      <c r="X131" s="68"/>
      <c r="Y131" s="68"/>
      <c r="Z131" s="68"/>
    </row>
    <row r="132">
      <c r="A132" s="68"/>
      <c r="B132" s="68"/>
      <c r="C132" s="68"/>
      <c r="D132" s="68"/>
      <c r="E132" s="68"/>
      <c r="F132" s="68"/>
      <c r="G132" s="68"/>
      <c r="H132" s="68"/>
      <c r="I132" s="68"/>
      <c r="J132" s="68"/>
      <c r="K132" s="68"/>
      <c r="L132" s="68"/>
      <c r="M132" s="68"/>
      <c r="N132" s="68"/>
      <c r="O132" s="68"/>
      <c r="P132" s="68"/>
      <c r="Q132" s="68"/>
      <c r="R132" s="68"/>
      <c r="S132" s="68"/>
      <c r="T132" s="68"/>
      <c r="U132" s="68"/>
      <c r="V132" s="68"/>
      <c r="W132" s="68"/>
      <c r="X132" s="68"/>
      <c r="Y132" s="68"/>
      <c r="Z132" s="68"/>
    </row>
    <row r="133">
      <c r="A133" s="68"/>
      <c r="B133" s="68"/>
      <c r="C133" s="68"/>
      <c r="D133" s="68"/>
      <c r="E133" s="68"/>
      <c r="F133" s="68"/>
      <c r="G133" s="68"/>
      <c r="H133" s="68"/>
      <c r="I133" s="68"/>
      <c r="J133" s="68"/>
      <c r="K133" s="68"/>
      <c r="L133" s="68"/>
      <c r="M133" s="68"/>
      <c r="N133" s="68"/>
      <c r="O133" s="68"/>
      <c r="P133" s="68"/>
      <c r="Q133" s="68"/>
      <c r="R133" s="68"/>
      <c r="S133" s="68"/>
      <c r="T133" s="68"/>
      <c r="U133" s="68"/>
      <c r="V133" s="68"/>
      <c r="W133" s="68"/>
      <c r="X133" s="68"/>
      <c r="Y133" s="68"/>
      <c r="Z133" s="68"/>
    </row>
    <row r="134">
      <c r="A134" s="68"/>
      <c r="B134" s="68"/>
      <c r="C134" s="68"/>
      <c r="D134" s="68"/>
      <c r="E134" s="68"/>
      <c r="F134" s="68"/>
      <c r="G134" s="68"/>
      <c r="H134" s="68"/>
      <c r="I134" s="68"/>
      <c r="J134" s="68"/>
      <c r="K134" s="68"/>
      <c r="L134" s="68"/>
      <c r="M134" s="68"/>
      <c r="N134" s="68"/>
      <c r="O134" s="68"/>
      <c r="P134" s="68"/>
      <c r="Q134" s="68"/>
      <c r="R134" s="68"/>
      <c r="S134" s="68"/>
      <c r="T134" s="68"/>
      <c r="U134" s="68"/>
      <c r="V134" s="68"/>
      <c r="W134" s="68"/>
      <c r="X134" s="68"/>
      <c r="Y134" s="68"/>
      <c r="Z134" s="68"/>
    </row>
    <row r="135">
      <c r="A135" s="68"/>
      <c r="B135" s="68"/>
      <c r="C135" s="68"/>
      <c r="D135" s="68"/>
      <c r="E135" s="68"/>
      <c r="F135" s="68"/>
      <c r="G135" s="68"/>
      <c r="H135" s="68"/>
      <c r="I135" s="68"/>
      <c r="J135" s="68"/>
      <c r="K135" s="68"/>
      <c r="L135" s="68"/>
      <c r="M135" s="68"/>
      <c r="N135" s="68"/>
      <c r="O135" s="68"/>
      <c r="P135" s="68"/>
      <c r="Q135" s="68"/>
      <c r="R135" s="68"/>
      <c r="S135" s="68"/>
      <c r="T135" s="68"/>
      <c r="U135" s="68"/>
      <c r="V135" s="68"/>
      <c r="W135" s="68"/>
      <c r="X135" s="68"/>
      <c r="Y135" s="68"/>
      <c r="Z135" s="68"/>
    </row>
    <row r="136">
      <c r="A136" s="68"/>
      <c r="B136" s="68"/>
      <c r="C136" s="68"/>
      <c r="D136" s="68"/>
      <c r="E136" s="68"/>
      <c r="F136" s="68"/>
      <c r="G136" s="68"/>
      <c r="H136" s="68"/>
      <c r="I136" s="68"/>
      <c r="J136" s="68"/>
      <c r="K136" s="68"/>
      <c r="L136" s="68"/>
      <c r="M136" s="68"/>
      <c r="N136" s="68"/>
      <c r="O136" s="68"/>
      <c r="P136" s="68"/>
      <c r="Q136" s="68"/>
      <c r="R136" s="68"/>
      <c r="S136" s="68"/>
      <c r="T136" s="68"/>
      <c r="U136" s="68"/>
      <c r="V136" s="68"/>
      <c r="W136" s="68"/>
      <c r="X136" s="68"/>
      <c r="Y136" s="68"/>
      <c r="Z136" s="68"/>
    </row>
    <row r="137">
      <c r="A137" s="68"/>
      <c r="B137" s="68"/>
      <c r="C137" s="68"/>
      <c r="D137" s="68"/>
      <c r="E137" s="68"/>
      <c r="F137" s="68"/>
      <c r="G137" s="68"/>
      <c r="H137" s="68"/>
      <c r="I137" s="68"/>
      <c r="J137" s="68"/>
      <c r="K137" s="68"/>
      <c r="L137" s="68"/>
      <c r="M137" s="68"/>
      <c r="N137" s="68"/>
      <c r="O137" s="68"/>
      <c r="P137" s="68"/>
      <c r="Q137" s="68"/>
      <c r="R137" s="68"/>
      <c r="S137" s="68"/>
      <c r="T137" s="68"/>
      <c r="U137" s="68"/>
      <c r="V137" s="68"/>
      <c r="W137" s="68"/>
      <c r="X137" s="68"/>
      <c r="Y137" s="68"/>
      <c r="Z137" s="68"/>
    </row>
    <row r="138">
      <c r="A138" s="68"/>
      <c r="B138" s="68"/>
      <c r="C138" s="68"/>
      <c r="D138" s="68"/>
      <c r="E138" s="68"/>
      <c r="F138" s="68"/>
      <c r="G138" s="68"/>
      <c r="H138" s="68"/>
      <c r="I138" s="68"/>
      <c r="J138" s="68"/>
      <c r="K138" s="68"/>
      <c r="L138" s="68"/>
      <c r="M138" s="68"/>
      <c r="N138" s="68"/>
      <c r="O138" s="68"/>
      <c r="P138" s="68"/>
      <c r="Q138" s="68"/>
      <c r="R138" s="68"/>
      <c r="S138" s="68"/>
      <c r="T138" s="68"/>
      <c r="U138" s="68"/>
      <c r="V138" s="68"/>
      <c r="W138" s="68"/>
      <c r="X138" s="68"/>
      <c r="Y138" s="68"/>
      <c r="Z138" s="68"/>
    </row>
    <row r="139">
      <c r="A139" s="68"/>
      <c r="B139" s="68"/>
      <c r="C139" s="68"/>
      <c r="D139" s="68"/>
      <c r="E139" s="68"/>
      <c r="F139" s="68"/>
      <c r="G139" s="68"/>
      <c r="H139" s="68"/>
      <c r="I139" s="68"/>
      <c r="J139" s="68"/>
      <c r="K139" s="68"/>
      <c r="L139" s="68"/>
      <c r="M139" s="68"/>
      <c r="N139" s="68"/>
      <c r="O139" s="68"/>
      <c r="P139" s="68"/>
      <c r="Q139" s="68"/>
      <c r="R139" s="68"/>
      <c r="S139" s="68"/>
      <c r="T139" s="68"/>
      <c r="U139" s="68"/>
      <c r="V139" s="68"/>
      <c r="W139" s="68"/>
      <c r="X139" s="68"/>
      <c r="Y139" s="68"/>
      <c r="Z139" s="68"/>
    </row>
    <row r="140">
      <c r="A140" s="68"/>
      <c r="B140" s="68"/>
      <c r="C140" s="68"/>
      <c r="D140" s="68"/>
      <c r="E140" s="68"/>
      <c r="F140" s="68"/>
      <c r="G140" s="68"/>
      <c r="H140" s="68"/>
      <c r="I140" s="68"/>
      <c r="J140" s="68"/>
      <c r="K140" s="68"/>
      <c r="L140" s="68"/>
      <c r="M140" s="68"/>
      <c r="N140" s="68"/>
      <c r="O140" s="68"/>
      <c r="P140" s="68"/>
      <c r="Q140" s="68"/>
      <c r="R140" s="68"/>
      <c r="S140" s="68"/>
      <c r="T140" s="68"/>
      <c r="U140" s="68"/>
      <c r="V140" s="68"/>
      <c r="W140" s="68"/>
      <c r="X140" s="68"/>
      <c r="Y140" s="68"/>
      <c r="Z140" s="68"/>
    </row>
    <row r="141">
      <c r="A141" s="68"/>
      <c r="B141" s="68"/>
      <c r="C141" s="68"/>
      <c r="D141" s="68"/>
      <c r="E141" s="68"/>
      <c r="F141" s="68"/>
      <c r="G141" s="68"/>
      <c r="H141" s="68"/>
      <c r="I141" s="68"/>
      <c r="J141" s="68"/>
      <c r="K141" s="68"/>
      <c r="L141" s="68"/>
      <c r="M141" s="68"/>
      <c r="N141" s="68"/>
      <c r="O141" s="68"/>
      <c r="P141" s="68"/>
      <c r="Q141" s="68"/>
      <c r="R141" s="68"/>
      <c r="S141" s="68"/>
      <c r="T141" s="68"/>
      <c r="U141" s="68"/>
      <c r="V141" s="68"/>
      <c r="W141" s="68"/>
      <c r="X141" s="68"/>
      <c r="Y141" s="68"/>
      <c r="Z141" s="68"/>
    </row>
    <row r="142">
      <c r="A142" s="68"/>
      <c r="B142" s="68"/>
      <c r="C142" s="68"/>
      <c r="D142" s="68"/>
      <c r="E142" s="68"/>
      <c r="F142" s="68"/>
      <c r="G142" s="68"/>
      <c r="H142" s="68"/>
      <c r="I142" s="68"/>
      <c r="J142" s="68"/>
      <c r="K142" s="68"/>
      <c r="L142" s="68"/>
      <c r="M142" s="68"/>
      <c r="N142" s="68"/>
      <c r="O142" s="68"/>
      <c r="P142" s="68"/>
      <c r="Q142" s="68"/>
      <c r="R142" s="68"/>
      <c r="S142" s="68"/>
      <c r="T142" s="68"/>
      <c r="U142" s="68"/>
      <c r="V142" s="68"/>
      <c r="W142" s="68"/>
      <c r="X142" s="68"/>
      <c r="Y142" s="68"/>
      <c r="Z142" s="68"/>
    </row>
    <row r="143">
      <c r="A143" s="68"/>
      <c r="B143" s="68"/>
      <c r="C143" s="68"/>
      <c r="D143" s="68"/>
      <c r="E143" s="68"/>
      <c r="F143" s="68"/>
      <c r="G143" s="68"/>
      <c r="H143" s="68"/>
      <c r="I143" s="68"/>
      <c r="J143" s="68"/>
      <c r="K143" s="68"/>
      <c r="L143" s="68"/>
      <c r="M143" s="68"/>
      <c r="N143" s="68"/>
      <c r="O143" s="68"/>
      <c r="P143" s="68"/>
      <c r="Q143" s="68"/>
      <c r="R143" s="68"/>
      <c r="S143" s="68"/>
      <c r="T143" s="68"/>
      <c r="U143" s="68"/>
      <c r="V143" s="68"/>
      <c r="W143" s="68"/>
      <c r="X143" s="68"/>
      <c r="Y143" s="68"/>
      <c r="Z143" s="68"/>
    </row>
    <row r="144">
      <c r="A144" s="68"/>
      <c r="B144" s="68"/>
      <c r="C144" s="68"/>
      <c r="D144" s="68"/>
      <c r="E144" s="68"/>
      <c r="F144" s="68"/>
      <c r="G144" s="68"/>
      <c r="H144" s="68"/>
      <c r="I144" s="68"/>
      <c r="J144" s="68"/>
      <c r="K144" s="68"/>
      <c r="L144" s="68"/>
      <c r="M144" s="68"/>
      <c r="N144" s="68"/>
      <c r="O144" s="68"/>
      <c r="P144" s="68"/>
      <c r="Q144" s="68"/>
      <c r="R144" s="68"/>
      <c r="S144" s="68"/>
      <c r="T144" s="68"/>
      <c r="U144" s="68"/>
      <c r="V144" s="68"/>
      <c r="W144" s="68"/>
      <c r="X144" s="68"/>
      <c r="Y144" s="68"/>
      <c r="Z144" s="68"/>
    </row>
    <row r="145">
      <c r="A145" s="68"/>
      <c r="B145" s="68"/>
      <c r="C145" s="68"/>
      <c r="D145" s="68"/>
      <c r="E145" s="68"/>
      <c r="F145" s="68"/>
      <c r="G145" s="68"/>
      <c r="H145" s="68"/>
      <c r="I145" s="68"/>
      <c r="J145" s="68"/>
      <c r="K145" s="68"/>
      <c r="L145" s="68"/>
      <c r="M145" s="68"/>
      <c r="N145" s="68"/>
      <c r="O145" s="68"/>
      <c r="P145" s="68"/>
      <c r="Q145" s="68"/>
      <c r="R145" s="68"/>
      <c r="S145" s="68"/>
      <c r="T145" s="68"/>
      <c r="U145" s="68"/>
      <c r="V145" s="68"/>
      <c r="W145" s="68"/>
      <c r="X145" s="68"/>
      <c r="Y145" s="68"/>
      <c r="Z145" s="68"/>
    </row>
    <row r="146">
      <c r="A146" s="68"/>
      <c r="B146" s="68"/>
      <c r="C146" s="68"/>
      <c r="D146" s="68"/>
      <c r="E146" s="68"/>
      <c r="F146" s="68"/>
      <c r="G146" s="68"/>
      <c r="H146" s="68"/>
      <c r="I146" s="68"/>
      <c r="J146" s="68"/>
      <c r="K146" s="68"/>
      <c r="L146" s="68"/>
      <c r="M146" s="68"/>
      <c r="N146" s="68"/>
      <c r="O146" s="68"/>
      <c r="P146" s="68"/>
      <c r="Q146" s="68"/>
      <c r="R146" s="68"/>
      <c r="S146" s="68"/>
      <c r="T146" s="68"/>
      <c r="U146" s="68"/>
      <c r="V146" s="68"/>
      <c r="W146" s="68"/>
      <c r="X146" s="68"/>
      <c r="Y146" s="68"/>
      <c r="Z146" s="68"/>
    </row>
    <row r="147">
      <c r="A147" s="68"/>
      <c r="B147" s="68"/>
      <c r="C147" s="68"/>
      <c r="D147" s="68"/>
      <c r="E147" s="68"/>
      <c r="F147" s="68"/>
      <c r="G147" s="68"/>
      <c r="H147" s="68"/>
      <c r="I147" s="68"/>
      <c r="J147" s="68"/>
      <c r="K147" s="68"/>
      <c r="L147" s="68"/>
      <c r="M147" s="68"/>
      <c r="N147" s="68"/>
      <c r="O147" s="68"/>
      <c r="P147" s="68"/>
      <c r="Q147" s="68"/>
      <c r="R147" s="68"/>
      <c r="S147" s="68"/>
      <c r="T147" s="68"/>
      <c r="U147" s="68"/>
      <c r="V147" s="68"/>
      <c r="W147" s="68"/>
      <c r="X147" s="68"/>
      <c r="Y147" s="68"/>
      <c r="Z147" s="68"/>
    </row>
    <row r="148">
      <c r="A148" s="68"/>
      <c r="B148" s="68"/>
      <c r="C148" s="68"/>
      <c r="D148" s="68"/>
      <c r="E148" s="68"/>
      <c r="F148" s="68"/>
      <c r="G148" s="68"/>
      <c r="H148" s="68"/>
      <c r="I148" s="68"/>
      <c r="J148" s="68"/>
      <c r="K148" s="68"/>
      <c r="L148" s="68"/>
      <c r="M148" s="68"/>
      <c r="N148" s="68"/>
      <c r="O148" s="68"/>
      <c r="P148" s="68"/>
      <c r="Q148" s="68"/>
      <c r="R148" s="68"/>
      <c r="S148" s="68"/>
      <c r="T148" s="68"/>
      <c r="U148" s="68"/>
      <c r="V148" s="68"/>
      <c r="W148" s="68"/>
      <c r="X148" s="68"/>
      <c r="Y148" s="68"/>
      <c r="Z148" s="68"/>
    </row>
    <row r="149">
      <c r="A149" s="68"/>
      <c r="B149" s="68"/>
      <c r="C149" s="68"/>
      <c r="D149" s="68"/>
      <c r="E149" s="68"/>
      <c r="F149" s="68"/>
      <c r="G149" s="68"/>
      <c r="H149" s="68"/>
      <c r="I149" s="68"/>
      <c r="J149" s="68"/>
      <c r="K149" s="68"/>
      <c r="L149" s="68"/>
      <c r="M149" s="68"/>
      <c r="N149" s="68"/>
      <c r="O149" s="68"/>
      <c r="P149" s="68"/>
      <c r="Q149" s="68"/>
      <c r="R149" s="68"/>
      <c r="S149" s="68"/>
      <c r="T149" s="68"/>
      <c r="U149" s="68"/>
      <c r="V149" s="68"/>
      <c r="W149" s="68"/>
      <c r="X149" s="68"/>
      <c r="Y149" s="68"/>
      <c r="Z149" s="68"/>
    </row>
    <row r="150">
      <c r="A150" s="68"/>
      <c r="B150" s="68"/>
      <c r="C150" s="68"/>
      <c r="D150" s="68"/>
      <c r="E150" s="68"/>
      <c r="F150" s="68"/>
      <c r="G150" s="68"/>
      <c r="H150" s="68"/>
      <c r="I150" s="68"/>
      <c r="J150" s="68"/>
      <c r="K150" s="68"/>
      <c r="L150" s="68"/>
      <c r="M150" s="68"/>
      <c r="N150" s="68"/>
      <c r="O150" s="68"/>
      <c r="P150" s="68"/>
      <c r="Q150" s="68"/>
      <c r="R150" s="68"/>
      <c r="S150" s="68"/>
      <c r="T150" s="68"/>
      <c r="U150" s="68"/>
      <c r="V150" s="68"/>
      <c r="W150" s="68"/>
      <c r="X150" s="68"/>
      <c r="Y150" s="68"/>
      <c r="Z150" s="68"/>
    </row>
    <row r="151">
      <c r="A151" s="68"/>
      <c r="B151" s="68"/>
      <c r="C151" s="68"/>
      <c r="D151" s="68"/>
      <c r="E151" s="68"/>
      <c r="F151" s="68"/>
      <c r="G151" s="68"/>
      <c r="H151" s="68"/>
      <c r="I151" s="68"/>
      <c r="J151" s="68"/>
      <c r="K151" s="68"/>
      <c r="L151" s="68"/>
      <c r="M151" s="68"/>
      <c r="N151" s="68"/>
      <c r="O151" s="68"/>
      <c r="P151" s="68"/>
      <c r="Q151" s="68"/>
      <c r="R151" s="68"/>
      <c r="S151" s="68"/>
      <c r="T151" s="68"/>
      <c r="U151" s="68"/>
      <c r="V151" s="68"/>
      <c r="W151" s="68"/>
      <c r="X151" s="68"/>
      <c r="Y151" s="68"/>
      <c r="Z151" s="68"/>
    </row>
    <row r="152">
      <c r="A152" s="68"/>
      <c r="B152" s="68"/>
      <c r="C152" s="68"/>
      <c r="D152" s="68"/>
      <c r="E152" s="68"/>
      <c r="F152" s="68"/>
      <c r="G152" s="68"/>
      <c r="H152" s="68"/>
      <c r="I152" s="68"/>
      <c r="J152" s="68"/>
      <c r="K152" s="68"/>
      <c r="L152" s="68"/>
      <c r="M152" s="68"/>
      <c r="N152" s="68"/>
      <c r="O152" s="68"/>
      <c r="P152" s="68"/>
      <c r="Q152" s="68"/>
      <c r="R152" s="68"/>
      <c r="S152" s="68"/>
      <c r="T152" s="68"/>
      <c r="U152" s="68"/>
      <c r="V152" s="68"/>
      <c r="W152" s="68"/>
      <c r="X152" s="68"/>
      <c r="Y152" s="68"/>
      <c r="Z152" s="68"/>
    </row>
    <row r="153">
      <c r="A153" s="68"/>
      <c r="B153" s="68"/>
      <c r="C153" s="68"/>
      <c r="D153" s="68"/>
      <c r="E153" s="68"/>
      <c r="F153" s="68"/>
      <c r="G153" s="68"/>
      <c r="H153" s="68"/>
      <c r="I153" s="68"/>
      <c r="J153" s="68"/>
      <c r="K153" s="68"/>
      <c r="L153" s="68"/>
      <c r="M153" s="68"/>
      <c r="N153" s="68"/>
      <c r="O153" s="68"/>
      <c r="P153" s="68"/>
      <c r="Q153" s="68"/>
      <c r="R153" s="68"/>
      <c r="S153" s="68"/>
      <c r="T153" s="68"/>
      <c r="U153" s="68"/>
      <c r="V153" s="68"/>
      <c r="W153" s="68"/>
      <c r="X153" s="68"/>
      <c r="Y153" s="68"/>
      <c r="Z153" s="68"/>
    </row>
    <row r="154">
      <c r="A154" s="68"/>
      <c r="B154" s="68"/>
      <c r="C154" s="68"/>
      <c r="D154" s="68"/>
      <c r="E154" s="68"/>
      <c r="F154" s="68"/>
      <c r="G154" s="68"/>
      <c r="H154" s="68"/>
      <c r="I154" s="68"/>
      <c r="J154" s="68"/>
      <c r="K154" s="68"/>
      <c r="L154" s="68"/>
      <c r="M154" s="68"/>
      <c r="N154" s="68"/>
      <c r="O154" s="68"/>
      <c r="P154" s="68"/>
      <c r="Q154" s="68"/>
      <c r="R154" s="68"/>
      <c r="S154" s="68"/>
      <c r="T154" s="68"/>
      <c r="U154" s="68"/>
      <c r="V154" s="68"/>
      <c r="W154" s="68"/>
      <c r="X154" s="68"/>
      <c r="Y154" s="68"/>
      <c r="Z154" s="68"/>
    </row>
    <row r="155">
      <c r="A155" s="68"/>
      <c r="B155" s="68"/>
      <c r="C155" s="68"/>
      <c r="D155" s="68"/>
      <c r="E155" s="68"/>
      <c r="F155" s="68"/>
      <c r="G155" s="68"/>
      <c r="H155" s="68"/>
      <c r="I155" s="68"/>
      <c r="J155" s="68"/>
      <c r="K155" s="68"/>
      <c r="L155" s="68"/>
      <c r="M155" s="68"/>
      <c r="N155" s="68"/>
      <c r="O155" s="68"/>
      <c r="P155" s="68"/>
      <c r="Q155" s="68"/>
      <c r="R155" s="68"/>
      <c r="S155" s="68"/>
      <c r="T155" s="68"/>
      <c r="U155" s="68"/>
      <c r="V155" s="68"/>
      <c r="W155" s="68"/>
      <c r="X155" s="68"/>
      <c r="Y155" s="68"/>
      <c r="Z155" s="68"/>
    </row>
    <row r="156">
      <c r="A156" s="68"/>
      <c r="B156" s="68"/>
      <c r="C156" s="68"/>
      <c r="D156" s="68"/>
      <c r="E156" s="68"/>
      <c r="F156" s="68"/>
      <c r="G156" s="68"/>
      <c r="H156" s="68"/>
      <c r="I156" s="68"/>
      <c r="J156" s="68"/>
      <c r="K156" s="68"/>
      <c r="L156" s="68"/>
      <c r="M156" s="68"/>
      <c r="N156" s="68"/>
      <c r="O156" s="68"/>
      <c r="P156" s="68"/>
      <c r="Q156" s="68"/>
      <c r="R156" s="68"/>
      <c r="S156" s="68"/>
      <c r="T156" s="68"/>
      <c r="U156" s="68"/>
      <c r="V156" s="68"/>
      <c r="W156" s="68"/>
      <c r="X156" s="68"/>
      <c r="Y156" s="68"/>
      <c r="Z156" s="68"/>
    </row>
    <row r="157">
      <c r="A157" s="68"/>
      <c r="B157" s="68"/>
      <c r="C157" s="68"/>
      <c r="D157" s="68"/>
      <c r="E157" s="68"/>
      <c r="F157" s="68"/>
      <c r="G157" s="68"/>
      <c r="H157" s="68"/>
      <c r="I157" s="68"/>
      <c r="J157" s="68"/>
      <c r="K157" s="68"/>
      <c r="L157" s="68"/>
      <c r="M157" s="68"/>
      <c r="N157" s="68"/>
      <c r="O157" s="68"/>
      <c r="P157" s="68"/>
      <c r="Q157" s="68"/>
      <c r="R157" s="68"/>
      <c r="S157" s="68"/>
      <c r="T157" s="68"/>
      <c r="U157" s="68"/>
      <c r="V157" s="68"/>
      <c r="W157" s="68"/>
      <c r="X157" s="68"/>
      <c r="Y157" s="68"/>
      <c r="Z157" s="68"/>
    </row>
    <row r="158">
      <c r="A158" s="68"/>
      <c r="B158" s="68"/>
      <c r="C158" s="68"/>
      <c r="D158" s="68"/>
      <c r="E158" s="68"/>
      <c r="F158" s="68"/>
      <c r="G158" s="68"/>
      <c r="H158" s="68"/>
      <c r="I158" s="68"/>
      <c r="J158" s="68"/>
      <c r="K158" s="68"/>
      <c r="L158" s="68"/>
      <c r="M158" s="68"/>
      <c r="N158" s="68"/>
      <c r="O158" s="68"/>
      <c r="P158" s="68"/>
      <c r="Q158" s="68"/>
      <c r="R158" s="68"/>
      <c r="S158" s="68"/>
      <c r="T158" s="68"/>
      <c r="U158" s="68"/>
      <c r="V158" s="68"/>
      <c r="W158" s="68"/>
      <c r="X158" s="68"/>
      <c r="Y158" s="68"/>
      <c r="Z158" s="68"/>
    </row>
    <row r="159">
      <c r="A159" s="68"/>
      <c r="B159" s="68"/>
      <c r="C159" s="68"/>
      <c r="D159" s="68"/>
      <c r="E159" s="68"/>
      <c r="F159" s="68"/>
      <c r="G159" s="68"/>
      <c r="H159" s="68"/>
      <c r="I159" s="68"/>
      <c r="J159" s="68"/>
      <c r="K159" s="68"/>
      <c r="L159" s="68"/>
      <c r="M159" s="68"/>
      <c r="N159" s="68"/>
      <c r="O159" s="68"/>
      <c r="P159" s="68"/>
      <c r="Q159" s="68"/>
      <c r="R159" s="68"/>
      <c r="S159" s="68"/>
      <c r="T159" s="68"/>
      <c r="U159" s="68"/>
      <c r="V159" s="68"/>
      <c r="W159" s="68"/>
      <c r="X159" s="68"/>
      <c r="Y159" s="68"/>
      <c r="Z159" s="68"/>
    </row>
    <row r="160">
      <c r="A160" s="68"/>
      <c r="B160" s="68"/>
      <c r="C160" s="68"/>
      <c r="D160" s="68"/>
      <c r="E160" s="68"/>
      <c r="F160" s="68"/>
      <c r="G160" s="68"/>
      <c r="H160" s="68"/>
      <c r="I160" s="68"/>
      <c r="J160" s="68"/>
      <c r="K160" s="68"/>
      <c r="L160" s="68"/>
      <c r="M160" s="68"/>
      <c r="N160" s="68"/>
      <c r="O160" s="68"/>
      <c r="P160" s="68"/>
      <c r="Q160" s="68"/>
      <c r="R160" s="68"/>
      <c r="S160" s="68"/>
      <c r="T160" s="68"/>
      <c r="U160" s="68"/>
      <c r="V160" s="68"/>
      <c r="W160" s="68"/>
      <c r="X160" s="68"/>
      <c r="Y160" s="68"/>
      <c r="Z160" s="68"/>
    </row>
    <row r="161">
      <c r="A161" s="68"/>
      <c r="B161" s="68"/>
      <c r="C161" s="68"/>
      <c r="D161" s="68"/>
      <c r="E161" s="68"/>
      <c r="F161" s="68"/>
      <c r="G161" s="68"/>
      <c r="H161" s="68"/>
      <c r="I161" s="68"/>
      <c r="J161" s="68"/>
      <c r="K161" s="68"/>
      <c r="L161" s="68"/>
      <c r="M161" s="68"/>
      <c r="N161" s="68"/>
      <c r="O161" s="68"/>
      <c r="P161" s="68"/>
      <c r="Q161" s="68"/>
      <c r="R161" s="68"/>
      <c r="S161" s="68"/>
      <c r="T161" s="68"/>
      <c r="U161" s="68"/>
      <c r="V161" s="68"/>
      <c r="W161" s="68"/>
      <c r="X161" s="68"/>
      <c r="Y161" s="68"/>
      <c r="Z161" s="68"/>
    </row>
    <row r="162">
      <c r="A162" s="68"/>
      <c r="B162" s="68"/>
      <c r="C162" s="68"/>
      <c r="D162" s="68"/>
      <c r="E162" s="68"/>
      <c r="F162" s="68"/>
      <c r="G162" s="68"/>
      <c r="H162" s="68"/>
      <c r="I162" s="68"/>
      <c r="J162" s="68"/>
      <c r="K162" s="68"/>
      <c r="L162" s="68"/>
      <c r="M162" s="68"/>
      <c r="N162" s="68"/>
      <c r="O162" s="68"/>
      <c r="P162" s="68"/>
      <c r="Q162" s="68"/>
      <c r="R162" s="68"/>
      <c r="S162" s="68"/>
      <c r="T162" s="68"/>
      <c r="U162" s="68"/>
      <c r="V162" s="68"/>
      <c r="W162" s="68"/>
      <c r="X162" s="68"/>
      <c r="Y162" s="68"/>
      <c r="Z162" s="68"/>
    </row>
    <row r="163">
      <c r="A163" s="68"/>
      <c r="B163" s="68"/>
      <c r="C163" s="68"/>
      <c r="D163" s="68"/>
      <c r="E163" s="68"/>
      <c r="F163" s="68"/>
      <c r="G163" s="68"/>
      <c r="H163" s="68"/>
      <c r="I163" s="68"/>
      <c r="J163" s="68"/>
      <c r="K163" s="68"/>
      <c r="L163" s="68"/>
      <c r="M163" s="68"/>
      <c r="N163" s="68"/>
      <c r="O163" s="68"/>
      <c r="P163" s="68"/>
      <c r="Q163" s="68"/>
      <c r="R163" s="68"/>
      <c r="S163" s="68"/>
      <c r="T163" s="68"/>
      <c r="U163" s="68"/>
      <c r="V163" s="68"/>
      <c r="W163" s="68"/>
      <c r="X163" s="68"/>
      <c r="Y163" s="68"/>
      <c r="Z163" s="68"/>
    </row>
    <row r="164">
      <c r="A164" s="68"/>
      <c r="B164" s="68"/>
      <c r="C164" s="68"/>
      <c r="D164" s="68"/>
      <c r="E164" s="68"/>
      <c r="F164" s="68"/>
      <c r="G164" s="68"/>
      <c r="H164" s="68"/>
      <c r="I164" s="68"/>
      <c r="J164" s="68"/>
      <c r="K164" s="68"/>
      <c r="L164" s="68"/>
      <c r="M164" s="68"/>
      <c r="N164" s="68"/>
      <c r="O164" s="68"/>
      <c r="P164" s="68"/>
      <c r="Q164" s="68"/>
      <c r="R164" s="68"/>
      <c r="S164" s="68"/>
      <c r="T164" s="68"/>
      <c r="U164" s="68"/>
      <c r="V164" s="68"/>
      <c r="W164" s="68"/>
      <c r="X164" s="68"/>
      <c r="Y164" s="68"/>
      <c r="Z164" s="68"/>
    </row>
    <row r="165">
      <c r="A165" s="68"/>
      <c r="B165" s="68"/>
      <c r="C165" s="68"/>
      <c r="D165" s="68"/>
      <c r="E165" s="68"/>
      <c r="F165" s="68"/>
      <c r="G165" s="68"/>
      <c r="H165" s="68"/>
      <c r="I165" s="68"/>
      <c r="J165" s="68"/>
      <c r="K165" s="68"/>
      <c r="L165" s="68"/>
      <c r="M165" s="68"/>
      <c r="N165" s="68"/>
      <c r="O165" s="68"/>
      <c r="P165" s="68"/>
      <c r="Q165" s="68"/>
      <c r="R165" s="68"/>
      <c r="S165" s="68"/>
      <c r="T165" s="68"/>
      <c r="U165" s="68"/>
      <c r="V165" s="68"/>
      <c r="W165" s="68"/>
      <c r="X165" s="68"/>
      <c r="Y165" s="68"/>
      <c r="Z165" s="68"/>
    </row>
    <row r="166">
      <c r="A166" s="68"/>
      <c r="B166" s="68"/>
      <c r="C166" s="68"/>
      <c r="D166" s="68"/>
      <c r="E166" s="68"/>
      <c r="F166" s="68"/>
      <c r="G166" s="68"/>
      <c r="H166" s="68"/>
      <c r="I166" s="68"/>
      <c r="J166" s="68"/>
      <c r="K166" s="68"/>
      <c r="L166" s="68"/>
      <c r="M166" s="68"/>
      <c r="N166" s="68"/>
      <c r="O166" s="68"/>
      <c r="P166" s="68"/>
      <c r="Q166" s="68"/>
      <c r="R166" s="68"/>
      <c r="S166" s="68"/>
      <c r="T166" s="68"/>
      <c r="U166" s="68"/>
      <c r="V166" s="68"/>
      <c r="W166" s="68"/>
      <c r="X166" s="68"/>
      <c r="Y166" s="68"/>
      <c r="Z166" s="68"/>
    </row>
    <row r="167">
      <c r="A167" s="68"/>
      <c r="B167" s="68"/>
      <c r="C167" s="68"/>
      <c r="D167" s="68"/>
      <c r="E167" s="68"/>
      <c r="F167" s="68"/>
      <c r="G167" s="68"/>
      <c r="H167" s="68"/>
      <c r="I167" s="68"/>
      <c r="J167" s="68"/>
      <c r="K167" s="68"/>
      <c r="L167" s="68"/>
      <c r="M167" s="68"/>
      <c r="N167" s="68"/>
      <c r="O167" s="68"/>
      <c r="P167" s="68"/>
      <c r="Q167" s="68"/>
      <c r="R167" s="68"/>
      <c r="S167" s="68"/>
      <c r="T167" s="68"/>
      <c r="U167" s="68"/>
      <c r="V167" s="68"/>
      <c r="W167" s="68"/>
      <c r="X167" s="68"/>
      <c r="Y167" s="68"/>
      <c r="Z167" s="68"/>
    </row>
    <row r="168">
      <c r="A168" s="68"/>
      <c r="B168" s="68"/>
      <c r="C168" s="68"/>
      <c r="D168" s="68"/>
      <c r="E168" s="68"/>
      <c r="F168" s="68"/>
      <c r="G168" s="68"/>
      <c r="H168" s="68"/>
      <c r="I168" s="68"/>
      <c r="J168" s="68"/>
      <c r="K168" s="68"/>
      <c r="L168" s="68"/>
      <c r="M168" s="68"/>
      <c r="N168" s="68"/>
      <c r="O168" s="68"/>
      <c r="P168" s="68"/>
      <c r="Q168" s="68"/>
      <c r="R168" s="68"/>
      <c r="S168" s="68"/>
      <c r="T168" s="68"/>
      <c r="U168" s="68"/>
      <c r="V168" s="68"/>
      <c r="W168" s="68"/>
      <c r="X168" s="68"/>
      <c r="Y168" s="68"/>
      <c r="Z168" s="68"/>
    </row>
    <row r="169">
      <c r="A169" s="68"/>
      <c r="B169" s="68"/>
      <c r="C169" s="68"/>
      <c r="D169" s="68"/>
      <c r="E169" s="68"/>
      <c r="F169" s="68"/>
      <c r="G169" s="68"/>
      <c r="H169" s="68"/>
      <c r="I169" s="68"/>
      <c r="J169" s="68"/>
      <c r="K169" s="68"/>
      <c r="L169" s="68"/>
      <c r="M169" s="68"/>
      <c r="N169" s="68"/>
      <c r="O169" s="68"/>
      <c r="P169" s="68"/>
      <c r="Q169" s="68"/>
      <c r="R169" s="68"/>
      <c r="S169" s="68"/>
      <c r="T169" s="68"/>
      <c r="U169" s="68"/>
      <c r="V169" s="68"/>
      <c r="W169" s="68"/>
      <c r="X169" s="68"/>
      <c r="Y169" s="68"/>
      <c r="Z169" s="68"/>
    </row>
    <row r="170">
      <c r="A170" s="68"/>
      <c r="B170" s="68"/>
      <c r="C170" s="68"/>
      <c r="D170" s="68"/>
      <c r="E170" s="68"/>
      <c r="F170" s="68"/>
      <c r="G170" s="68"/>
      <c r="H170" s="68"/>
      <c r="I170" s="68"/>
      <c r="J170" s="68"/>
      <c r="K170" s="68"/>
      <c r="L170" s="68"/>
      <c r="M170" s="68"/>
      <c r="N170" s="68"/>
      <c r="O170" s="68"/>
      <c r="P170" s="68"/>
      <c r="Q170" s="68"/>
      <c r="R170" s="68"/>
      <c r="S170" s="68"/>
      <c r="T170" s="68"/>
      <c r="U170" s="68"/>
      <c r="V170" s="68"/>
      <c r="W170" s="68"/>
      <c r="X170" s="68"/>
      <c r="Y170" s="68"/>
      <c r="Z170" s="68"/>
    </row>
    <row r="171">
      <c r="A171" s="68"/>
      <c r="B171" s="68"/>
      <c r="C171" s="68"/>
      <c r="D171" s="68"/>
      <c r="E171" s="68"/>
      <c r="F171" s="68"/>
      <c r="G171" s="68"/>
      <c r="H171" s="68"/>
      <c r="I171" s="68"/>
      <c r="J171" s="68"/>
      <c r="K171" s="68"/>
      <c r="L171" s="68"/>
      <c r="M171" s="68"/>
      <c r="N171" s="68"/>
      <c r="O171" s="68"/>
      <c r="P171" s="68"/>
      <c r="Q171" s="68"/>
      <c r="R171" s="68"/>
      <c r="S171" s="68"/>
      <c r="T171" s="68"/>
      <c r="U171" s="68"/>
      <c r="V171" s="68"/>
      <c r="W171" s="68"/>
      <c r="X171" s="68"/>
      <c r="Y171" s="68"/>
      <c r="Z171" s="68"/>
    </row>
    <row r="172">
      <c r="A172" s="68"/>
      <c r="B172" s="68"/>
      <c r="C172" s="68"/>
      <c r="D172" s="68"/>
      <c r="E172" s="68"/>
      <c r="F172" s="68"/>
      <c r="G172" s="68"/>
      <c r="H172" s="68"/>
      <c r="I172" s="68"/>
      <c r="J172" s="68"/>
      <c r="K172" s="68"/>
      <c r="L172" s="68"/>
      <c r="M172" s="68"/>
      <c r="N172" s="68"/>
      <c r="O172" s="68"/>
      <c r="P172" s="68"/>
      <c r="Q172" s="68"/>
      <c r="R172" s="68"/>
      <c r="S172" s="68"/>
      <c r="T172" s="68"/>
      <c r="U172" s="68"/>
      <c r="V172" s="68"/>
      <c r="W172" s="68"/>
      <c r="X172" s="68"/>
      <c r="Y172" s="68"/>
      <c r="Z172" s="68"/>
    </row>
    <row r="173">
      <c r="A173" s="68"/>
      <c r="B173" s="68"/>
      <c r="C173" s="68"/>
      <c r="D173" s="68"/>
      <c r="E173" s="68"/>
      <c r="F173" s="68"/>
      <c r="G173" s="68"/>
      <c r="H173" s="68"/>
      <c r="I173" s="68"/>
      <c r="J173" s="68"/>
      <c r="K173" s="68"/>
      <c r="L173" s="68"/>
      <c r="M173" s="68"/>
      <c r="N173" s="68"/>
      <c r="O173" s="68"/>
      <c r="P173" s="68"/>
      <c r="Q173" s="68"/>
      <c r="R173" s="68"/>
      <c r="S173" s="68"/>
      <c r="T173" s="68"/>
      <c r="U173" s="68"/>
      <c r="V173" s="68"/>
      <c r="W173" s="68"/>
      <c r="X173" s="68"/>
      <c r="Y173" s="68"/>
      <c r="Z173" s="68"/>
    </row>
    <row r="174">
      <c r="A174" s="68"/>
      <c r="B174" s="68"/>
      <c r="C174" s="68"/>
      <c r="D174" s="68"/>
      <c r="E174" s="68"/>
      <c r="F174" s="68"/>
      <c r="G174" s="68"/>
      <c r="H174" s="68"/>
      <c r="I174" s="68"/>
      <c r="J174" s="68"/>
      <c r="K174" s="68"/>
      <c r="L174" s="68"/>
      <c r="M174" s="68"/>
      <c r="N174" s="68"/>
      <c r="O174" s="68"/>
      <c r="P174" s="68"/>
      <c r="Q174" s="68"/>
      <c r="R174" s="68"/>
      <c r="S174" s="68"/>
      <c r="T174" s="68"/>
      <c r="U174" s="68"/>
      <c r="V174" s="68"/>
      <c r="W174" s="68"/>
      <c r="X174" s="68"/>
      <c r="Y174" s="68"/>
      <c r="Z174" s="68"/>
    </row>
    <row r="175">
      <c r="A175" s="68"/>
      <c r="B175" s="68"/>
      <c r="C175" s="68"/>
      <c r="D175" s="68"/>
      <c r="E175" s="68"/>
      <c r="F175" s="68"/>
      <c r="G175" s="68"/>
      <c r="H175" s="68"/>
      <c r="I175" s="68"/>
      <c r="J175" s="68"/>
      <c r="K175" s="68"/>
      <c r="L175" s="68"/>
      <c r="M175" s="68"/>
      <c r="N175" s="68"/>
      <c r="O175" s="68"/>
      <c r="P175" s="68"/>
      <c r="Q175" s="68"/>
      <c r="R175" s="68"/>
      <c r="S175" s="68"/>
      <c r="T175" s="68"/>
      <c r="U175" s="68"/>
      <c r="V175" s="68"/>
      <c r="W175" s="68"/>
      <c r="X175" s="68"/>
      <c r="Y175" s="68"/>
      <c r="Z175" s="68"/>
    </row>
    <row r="176">
      <c r="A176" s="68"/>
      <c r="B176" s="68"/>
      <c r="C176" s="68"/>
      <c r="D176" s="68"/>
      <c r="E176" s="68"/>
      <c r="F176" s="68"/>
      <c r="G176" s="68"/>
      <c r="H176" s="68"/>
      <c r="I176" s="68"/>
      <c r="J176" s="68"/>
      <c r="K176" s="68"/>
      <c r="L176" s="68"/>
      <c r="M176" s="68"/>
      <c r="N176" s="68"/>
      <c r="O176" s="68"/>
      <c r="P176" s="68"/>
      <c r="Q176" s="68"/>
      <c r="R176" s="68"/>
      <c r="S176" s="68"/>
      <c r="T176" s="68"/>
      <c r="U176" s="68"/>
      <c r="V176" s="68"/>
      <c r="W176" s="68"/>
      <c r="X176" s="68"/>
      <c r="Y176" s="68"/>
      <c r="Z176" s="68"/>
    </row>
    <row r="177">
      <c r="A177" s="68"/>
      <c r="B177" s="68"/>
      <c r="C177" s="68"/>
      <c r="D177" s="68"/>
      <c r="E177" s="68"/>
      <c r="F177" s="68"/>
      <c r="G177" s="68"/>
      <c r="H177" s="68"/>
      <c r="I177" s="68"/>
      <c r="J177" s="68"/>
      <c r="K177" s="68"/>
      <c r="L177" s="68"/>
      <c r="M177" s="68"/>
      <c r="N177" s="68"/>
      <c r="O177" s="68"/>
      <c r="P177" s="68"/>
      <c r="Q177" s="68"/>
      <c r="R177" s="68"/>
      <c r="S177" s="68"/>
      <c r="T177" s="68"/>
      <c r="U177" s="68"/>
      <c r="V177" s="68"/>
      <c r="W177" s="68"/>
      <c r="X177" s="68"/>
      <c r="Y177" s="68"/>
      <c r="Z177" s="68"/>
    </row>
    <row r="178">
      <c r="A178" s="68"/>
      <c r="B178" s="68"/>
      <c r="C178" s="68"/>
      <c r="D178" s="68"/>
      <c r="E178" s="68"/>
      <c r="F178" s="68"/>
      <c r="G178" s="68"/>
      <c r="H178" s="68"/>
      <c r="I178" s="68"/>
      <c r="J178" s="68"/>
      <c r="K178" s="68"/>
      <c r="L178" s="68"/>
      <c r="M178" s="68"/>
      <c r="N178" s="68"/>
      <c r="O178" s="68"/>
      <c r="P178" s="68"/>
      <c r="Q178" s="68"/>
      <c r="R178" s="68"/>
      <c r="S178" s="68"/>
      <c r="T178" s="68"/>
      <c r="U178" s="68"/>
      <c r="V178" s="68"/>
      <c r="W178" s="68"/>
      <c r="X178" s="68"/>
      <c r="Y178" s="68"/>
      <c r="Z178" s="68"/>
    </row>
    <row r="179">
      <c r="A179" s="68"/>
      <c r="B179" s="68"/>
      <c r="C179" s="68"/>
      <c r="D179" s="68"/>
      <c r="E179" s="68"/>
      <c r="F179" s="68"/>
      <c r="G179" s="68"/>
      <c r="H179" s="68"/>
      <c r="I179" s="68"/>
      <c r="J179" s="68"/>
      <c r="K179" s="68"/>
      <c r="L179" s="68"/>
      <c r="M179" s="68"/>
      <c r="N179" s="68"/>
      <c r="O179" s="68"/>
      <c r="P179" s="68"/>
      <c r="Q179" s="68"/>
      <c r="R179" s="68"/>
      <c r="S179" s="68"/>
      <c r="T179" s="68"/>
      <c r="U179" s="68"/>
      <c r="V179" s="68"/>
      <c r="W179" s="68"/>
      <c r="X179" s="68"/>
      <c r="Y179" s="68"/>
      <c r="Z179" s="68"/>
    </row>
    <row r="180">
      <c r="A180" s="68"/>
      <c r="B180" s="68"/>
      <c r="C180" s="68"/>
      <c r="D180" s="68"/>
      <c r="E180" s="68"/>
      <c r="F180" s="68"/>
      <c r="G180" s="68"/>
      <c r="H180" s="68"/>
      <c r="I180" s="68"/>
      <c r="J180" s="68"/>
      <c r="K180" s="68"/>
      <c r="L180" s="68"/>
      <c r="M180" s="68"/>
      <c r="N180" s="68"/>
      <c r="O180" s="68"/>
      <c r="P180" s="68"/>
      <c r="Q180" s="68"/>
      <c r="R180" s="68"/>
      <c r="S180" s="68"/>
      <c r="T180" s="68"/>
      <c r="U180" s="68"/>
      <c r="V180" s="68"/>
      <c r="W180" s="68"/>
      <c r="X180" s="68"/>
      <c r="Y180" s="68"/>
      <c r="Z180" s="68"/>
    </row>
    <row r="181">
      <c r="A181" s="68"/>
      <c r="B181" s="68"/>
      <c r="C181" s="68"/>
      <c r="D181" s="68"/>
      <c r="E181" s="68"/>
      <c r="F181" s="68"/>
      <c r="G181" s="68"/>
      <c r="H181" s="68"/>
      <c r="I181" s="68"/>
      <c r="J181" s="68"/>
      <c r="K181" s="68"/>
      <c r="L181" s="68"/>
      <c r="M181" s="68"/>
      <c r="N181" s="68"/>
      <c r="O181" s="68"/>
      <c r="P181" s="68"/>
      <c r="Q181" s="68"/>
      <c r="R181" s="68"/>
      <c r="S181" s="68"/>
      <c r="T181" s="68"/>
      <c r="U181" s="68"/>
      <c r="V181" s="68"/>
      <c r="W181" s="68"/>
      <c r="X181" s="68"/>
      <c r="Y181" s="68"/>
      <c r="Z181" s="68"/>
    </row>
    <row r="182">
      <c r="A182" s="68"/>
      <c r="B182" s="68"/>
      <c r="C182" s="68"/>
      <c r="D182" s="68"/>
      <c r="E182" s="68"/>
      <c r="F182" s="68"/>
      <c r="G182" s="68"/>
      <c r="H182" s="68"/>
      <c r="I182" s="68"/>
      <c r="J182" s="68"/>
      <c r="K182" s="68"/>
      <c r="L182" s="68"/>
      <c r="M182" s="68"/>
      <c r="N182" s="68"/>
      <c r="O182" s="68"/>
      <c r="P182" s="68"/>
      <c r="Q182" s="68"/>
      <c r="R182" s="68"/>
      <c r="S182" s="68"/>
      <c r="T182" s="68"/>
      <c r="U182" s="68"/>
      <c r="V182" s="68"/>
      <c r="W182" s="68"/>
      <c r="X182" s="68"/>
      <c r="Y182" s="68"/>
      <c r="Z182" s="68"/>
    </row>
    <row r="183">
      <c r="A183" s="68"/>
      <c r="B183" s="68"/>
      <c r="C183" s="68"/>
      <c r="D183" s="68"/>
      <c r="E183" s="68"/>
      <c r="F183" s="68"/>
      <c r="G183" s="68"/>
      <c r="H183" s="68"/>
      <c r="I183" s="68"/>
      <c r="J183" s="68"/>
      <c r="K183" s="68"/>
      <c r="L183" s="68"/>
      <c r="M183" s="68"/>
      <c r="N183" s="68"/>
      <c r="O183" s="68"/>
      <c r="P183" s="68"/>
      <c r="Q183" s="68"/>
      <c r="R183" s="68"/>
      <c r="S183" s="68"/>
      <c r="T183" s="68"/>
      <c r="U183" s="68"/>
      <c r="V183" s="68"/>
      <c r="W183" s="68"/>
      <c r="X183" s="68"/>
      <c r="Y183" s="68"/>
      <c r="Z183" s="68"/>
    </row>
    <row r="184">
      <c r="A184" s="68"/>
      <c r="B184" s="68"/>
      <c r="C184" s="68"/>
      <c r="D184" s="68"/>
      <c r="E184" s="68"/>
      <c r="F184" s="68"/>
      <c r="G184" s="68"/>
      <c r="H184" s="68"/>
      <c r="I184" s="68"/>
      <c r="J184" s="68"/>
      <c r="K184" s="68"/>
      <c r="L184" s="68"/>
      <c r="M184" s="68"/>
      <c r="N184" s="68"/>
      <c r="O184" s="68"/>
      <c r="P184" s="68"/>
      <c r="Q184" s="68"/>
      <c r="R184" s="68"/>
      <c r="S184" s="68"/>
      <c r="T184" s="68"/>
      <c r="U184" s="68"/>
      <c r="V184" s="68"/>
      <c r="W184" s="68"/>
      <c r="X184" s="68"/>
      <c r="Y184" s="68"/>
      <c r="Z184" s="68"/>
    </row>
    <row r="185">
      <c r="A185" s="68"/>
      <c r="B185" s="68"/>
      <c r="C185" s="68"/>
      <c r="D185" s="68"/>
      <c r="E185" s="68"/>
      <c r="F185" s="68"/>
      <c r="G185" s="68"/>
      <c r="H185" s="68"/>
      <c r="I185" s="68"/>
      <c r="J185" s="68"/>
      <c r="K185" s="68"/>
      <c r="L185" s="68"/>
      <c r="M185" s="68"/>
      <c r="N185" s="68"/>
      <c r="O185" s="68"/>
      <c r="P185" s="68"/>
      <c r="Q185" s="68"/>
      <c r="R185" s="68"/>
      <c r="S185" s="68"/>
      <c r="T185" s="68"/>
      <c r="U185" s="68"/>
      <c r="V185" s="68"/>
      <c r="W185" s="68"/>
      <c r="X185" s="68"/>
      <c r="Y185" s="68"/>
      <c r="Z185" s="68"/>
    </row>
    <row r="186">
      <c r="A186" s="68"/>
      <c r="B186" s="68"/>
      <c r="C186" s="68"/>
      <c r="D186" s="68"/>
      <c r="E186" s="68"/>
      <c r="F186" s="68"/>
      <c r="G186" s="68"/>
      <c r="H186" s="68"/>
      <c r="I186" s="68"/>
      <c r="J186" s="68"/>
      <c r="K186" s="68"/>
      <c r="L186" s="68"/>
      <c r="M186" s="68"/>
      <c r="N186" s="68"/>
      <c r="O186" s="68"/>
      <c r="P186" s="68"/>
      <c r="Q186" s="68"/>
      <c r="R186" s="68"/>
      <c r="S186" s="68"/>
      <c r="T186" s="68"/>
      <c r="U186" s="68"/>
      <c r="V186" s="68"/>
      <c r="W186" s="68"/>
      <c r="X186" s="68"/>
      <c r="Y186" s="68"/>
      <c r="Z186" s="68"/>
    </row>
    <row r="187">
      <c r="A187" s="68"/>
      <c r="B187" s="68"/>
      <c r="C187" s="68"/>
      <c r="D187" s="68"/>
      <c r="E187" s="68"/>
      <c r="F187" s="68"/>
      <c r="G187" s="68"/>
      <c r="H187" s="68"/>
      <c r="I187" s="68"/>
      <c r="J187" s="68"/>
      <c r="K187" s="68"/>
      <c r="L187" s="68"/>
      <c r="M187" s="68"/>
      <c r="N187" s="68"/>
      <c r="O187" s="68"/>
      <c r="P187" s="68"/>
      <c r="Q187" s="68"/>
      <c r="R187" s="68"/>
      <c r="S187" s="68"/>
      <c r="T187" s="68"/>
      <c r="U187" s="68"/>
      <c r="V187" s="68"/>
      <c r="W187" s="68"/>
      <c r="X187" s="68"/>
      <c r="Y187" s="68"/>
      <c r="Z187" s="68"/>
    </row>
    <row r="188">
      <c r="A188" s="68"/>
      <c r="B188" s="68"/>
      <c r="C188" s="68"/>
      <c r="D188" s="68"/>
      <c r="E188" s="68"/>
      <c r="F188" s="68"/>
      <c r="G188" s="68"/>
      <c r="H188" s="68"/>
      <c r="I188" s="68"/>
      <c r="J188" s="68"/>
      <c r="K188" s="68"/>
      <c r="L188" s="68"/>
      <c r="M188" s="68"/>
      <c r="N188" s="68"/>
      <c r="O188" s="68"/>
      <c r="P188" s="68"/>
      <c r="Q188" s="68"/>
      <c r="R188" s="68"/>
      <c r="S188" s="68"/>
      <c r="T188" s="68"/>
      <c r="U188" s="68"/>
      <c r="V188" s="68"/>
      <c r="W188" s="68"/>
      <c r="X188" s="68"/>
      <c r="Y188" s="68"/>
      <c r="Z188" s="68"/>
    </row>
    <row r="189">
      <c r="A189" s="68"/>
      <c r="B189" s="68"/>
      <c r="C189" s="68"/>
      <c r="D189" s="68"/>
      <c r="E189" s="68"/>
      <c r="F189" s="68"/>
      <c r="G189" s="68"/>
      <c r="H189" s="68"/>
      <c r="I189" s="68"/>
      <c r="J189" s="68"/>
      <c r="K189" s="68"/>
      <c r="L189" s="68"/>
      <c r="M189" s="68"/>
      <c r="N189" s="68"/>
      <c r="O189" s="68"/>
      <c r="P189" s="68"/>
      <c r="Q189" s="68"/>
      <c r="R189" s="68"/>
      <c r="S189" s="68"/>
      <c r="T189" s="68"/>
      <c r="U189" s="68"/>
      <c r="V189" s="68"/>
      <c r="W189" s="68"/>
      <c r="X189" s="68"/>
      <c r="Y189" s="68"/>
      <c r="Z189" s="68"/>
    </row>
    <row r="190">
      <c r="A190" s="68"/>
      <c r="B190" s="68"/>
      <c r="C190" s="68"/>
      <c r="D190" s="68"/>
      <c r="E190" s="68"/>
      <c r="F190" s="68"/>
      <c r="G190" s="68"/>
      <c r="H190" s="68"/>
      <c r="I190" s="68"/>
      <c r="J190" s="68"/>
      <c r="K190" s="68"/>
      <c r="L190" s="68"/>
      <c r="M190" s="68"/>
      <c r="N190" s="68"/>
      <c r="O190" s="68"/>
      <c r="P190" s="68"/>
      <c r="Q190" s="68"/>
      <c r="R190" s="68"/>
      <c r="S190" s="68"/>
      <c r="T190" s="68"/>
      <c r="U190" s="68"/>
      <c r="V190" s="68"/>
      <c r="W190" s="68"/>
      <c r="X190" s="68"/>
      <c r="Y190" s="68"/>
      <c r="Z190" s="68"/>
    </row>
    <row r="191">
      <c r="A191" s="68"/>
      <c r="B191" s="68"/>
      <c r="C191" s="68"/>
      <c r="D191" s="68"/>
      <c r="E191" s="68"/>
      <c r="F191" s="68"/>
      <c r="G191" s="68"/>
      <c r="H191" s="68"/>
      <c r="I191" s="68"/>
      <c r="J191" s="68"/>
      <c r="K191" s="68"/>
      <c r="L191" s="68"/>
      <c r="M191" s="68"/>
      <c r="N191" s="68"/>
      <c r="O191" s="68"/>
      <c r="P191" s="68"/>
      <c r="Q191" s="68"/>
      <c r="R191" s="68"/>
      <c r="S191" s="68"/>
      <c r="T191" s="68"/>
      <c r="U191" s="68"/>
      <c r="V191" s="68"/>
      <c r="W191" s="68"/>
      <c r="X191" s="68"/>
      <c r="Y191" s="68"/>
      <c r="Z191" s="68"/>
    </row>
    <row r="192">
      <c r="A192" s="68"/>
      <c r="B192" s="68"/>
      <c r="C192" s="68"/>
      <c r="D192" s="68"/>
      <c r="E192" s="68"/>
      <c r="F192" s="68"/>
      <c r="G192" s="68"/>
      <c r="H192" s="68"/>
      <c r="I192" s="68"/>
      <c r="J192" s="68"/>
      <c r="K192" s="68"/>
      <c r="L192" s="68"/>
      <c r="M192" s="68"/>
      <c r="N192" s="68"/>
      <c r="O192" s="68"/>
      <c r="P192" s="68"/>
      <c r="Q192" s="68"/>
      <c r="R192" s="68"/>
      <c r="S192" s="68"/>
      <c r="T192" s="68"/>
      <c r="U192" s="68"/>
      <c r="V192" s="68"/>
      <c r="W192" s="68"/>
      <c r="X192" s="68"/>
      <c r="Y192" s="68"/>
      <c r="Z192" s="68"/>
    </row>
    <row r="193">
      <c r="A193" s="68"/>
      <c r="B193" s="68"/>
      <c r="C193" s="68"/>
      <c r="D193" s="68"/>
      <c r="E193" s="68"/>
      <c r="F193" s="68"/>
      <c r="G193" s="68"/>
      <c r="H193" s="68"/>
      <c r="I193" s="68"/>
      <c r="J193" s="68"/>
      <c r="K193" s="68"/>
      <c r="L193" s="68"/>
      <c r="M193" s="68"/>
      <c r="N193" s="68"/>
      <c r="O193" s="68"/>
      <c r="P193" s="68"/>
      <c r="Q193" s="68"/>
      <c r="R193" s="68"/>
      <c r="S193" s="68"/>
      <c r="T193" s="68"/>
      <c r="U193" s="68"/>
      <c r="V193" s="68"/>
      <c r="W193" s="68"/>
      <c r="X193" s="68"/>
      <c r="Y193" s="68"/>
      <c r="Z193" s="68"/>
    </row>
    <row r="194">
      <c r="A194" s="68"/>
      <c r="B194" s="68"/>
      <c r="C194" s="68"/>
      <c r="D194" s="68"/>
      <c r="E194" s="68"/>
      <c r="F194" s="68"/>
      <c r="G194" s="68"/>
      <c r="H194" s="68"/>
      <c r="I194" s="68"/>
      <c r="J194" s="68"/>
      <c r="K194" s="68"/>
      <c r="L194" s="68"/>
      <c r="M194" s="68"/>
      <c r="N194" s="68"/>
      <c r="O194" s="68"/>
      <c r="P194" s="68"/>
      <c r="Q194" s="68"/>
      <c r="R194" s="68"/>
      <c r="S194" s="68"/>
      <c r="T194" s="68"/>
      <c r="U194" s="68"/>
      <c r="V194" s="68"/>
      <c r="W194" s="68"/>
      <c r="X194" s="68"/>
      <c r="Y194" s="68"/>
      <c r="Z194" s="68"/>
    </row>
    <row r="195">
      <c r="A195" s="68"/>
      <c r="B195" s="68"/>
      <c r="C195" s="68"/>
      <c r="D195" s="68"/>
      <c r="E195" s="68"/>
      <c r="F195" s="68"/>
      <c r="G195" s="68"/>
      <c r="H195" s="68"/>
      <c r="I195" s="68"/>
      <c r="J195" s="68"/>
      <c r="K195" s="68"/>
      <c r="L195" s="68"/>
      <c r="M195" s="68"/>
      <c r="N195" s="68"/>
      <c r="O195" s="68"/>
      <c r="P195" s="68"/>
      <c r="Q195" s="68"/>
      <c r="R195" s="68"/>
      <c r="S195" s="68"/>
      <c r="T195" s="68"/>
      <c r="U195" s="68"/>
      <c r="V195" s="68"/>
      <c r="W195" s="68"/>
      <c r="X195" s="68"/>
      <c r="Y195" s="68"/>
      <c r="Z195" s="68"/>
    </row>
    <row r="196">
      <c r="A196" s="68"/>
      <c r="B196" s="68"/>
      <c r="C196" s="68"/>
      <c r="D196" s="68"/>
      <c r="E196" s="68"/>
      <c r="F196" s="68"/>
      <c r="G196" s="68"/>
      <c r="H196" s="68"/>
      <c r="I196" s="68"/>
      <c r="J196" s="68"/>
      <c r="K196" s="68"/>
      <c r="L196" s="68"/>
      <c r="M196" s="68"/>
      <c r="N196" s="68"/>
      <c r="O196" s="68"/>
      <c r="P196" s="68"/>
      <c r="Q196" s="68"/>
      <c r="R196" s="68"/>
      <c r="S196" s="68"/>
      <c r="T196" s="68"/>
      <c r="U196" s="68"/>
      <c r="V196" s="68"/>
      <c r="W196" s="68"/>
      <c r="X196" s="68"/>
      <c r="Y196" s="68"/>
      <c r="Z196" s="68"/>
    </row>
    <row r="197">
      <c r="A197" s="68"/>
      <c r="B197" s="68"/>
      <c r="C197" s="68"/>
      <c r="D197" s="68"/>
      <c r="E197" s="68"/>
      <c r="F197" s="68"/>
      <c r="G197" s="68"/>
      <c r="H197" s="68"/>
      <c r="I197" s="68"/>
      <c r="J197" s="68"/>
      <c r="K197" s="68"/>
      <c r="L197" s="68"/>
      <c r="M197" s="68"/>
      <c r="N197" s="68"/>
      <c r="O197" s="68"/>
      <c r="P197" s="68"/>
      <c r="Q197" s="68"/>
      <c r="R197" s="68"/>
      <c r="S197" s="68"/>
      <c r="T197" s="68"/>
      <c r="U197" s="68"/>
      <c r="V197" s="68"/>
      <c r="W197" s="68"/>
      <c r="X197" s="68"/>
      <c r="Y197" s="68"/>
      <c r="Z197" s="68"/>
    </row>
    <row r="198">
      <c r="A198" s="68"/>
      <c r="B198" s="68"/>
      <c r="C198" s="68"/>
      <c r="D198" s="68"/>
      <c r="E198" s="68"/>
      <c r="F198" s="68"/>
      <c r="G198" s="68"/>
      <c r="H198" s="68"/>
      <c r="I198" s="68"/>
      <c r="J198" s="68"/>
      <c r="K198" s="68"/>
      <c r="L198" s="68"/>
      <c r="M198" s="68"/>
      <c r="N198" s="68"/>
      <c r="O198" s="68"/>
      <c r="P198" s="68"/>
      <c r="Q198" s="68"/>
      <c r="R198" s="68"/>
      <c r="S198" s="68"/>
      <c r="T198" s="68"/>
      <c r="U198" s="68"/>
      <c r="V198" s="68"/>
      <c r="W198" s="68"/>
      <c r="X198" s="68"/>
      <c r="Y198" s="68"/>
      <c r="Z198" s="68"/>
    </row>
    <row r="199">
      <c r="A199" s="68"/>
      <c r="B199" s="68"/>
      <c r="C199" s="68"/>
      <c r="D199" s="68"/>
      <c r="E199" s="68"/>
      <c r="F199" s="68"/>
      <c r="G199" s="68"/>
      <c r="H199" s="68"/>
      <c r="I199" s="68"/>
      <c r="J199" s="68"/>
      <c r="K199" s="68"/>
      <c r="L199" s="68"/>
      <c r="M199" s="68"/>
      <c r="N199" s="68"/>
      <c r="O199" s="68"/>
      <c r="P199" s="68"/>
      <c r="Q199" s="68"/>
      <c r="R199" s="68"/>
      <c r="S199" s="68"/>
      <c r="T199" s="68"/>
      <c r="U199" s="68"/>
      <c r="V199" s="68"/>
      <c r="W199" s="68"/>
      <c r="X199" s="68"/>
      <c r="Y199" s="68"/>
      <c r="Z199" s="68"/>
    </row>
    <row r="200">
      <c r="A200" s="68"/>
      <c r="B200" s="68"/>
      <c r="C200" s="68"/>
      <c r="D200" s="68"/>
      <c r="E200" s="68"/>
      <c r="F200" s="68"/>
      <c r="G200" s="68"/>
      <c r="H200" s="68"/>
      <c r="I200" s="68"/>
      <c r="J200" s="68"/>
      <c r="K200" s="68"/>
      <c r="L200" s="68"/>
      <c r="M200" s="68"/>
      <c r="N200" s="68"/>
      <c r="O200" s="68"/>
      <c r="P200" s="68"/>
      <c r="Q200" s="68"/>
      <c r="R200" s="68"/>
      <c r="S200" s="68"/>
      <c r="T200" s="68"/>
      <c r="U200" s="68"/>
      <c r="V200" s="68"/>
      <c r="W200" s="68"/>
      <c r="X200" s="68"/>
      <c r="Y200" s="68"/>
      <c r="Z200" s="68"/>
    </row>
    <row r="201">
      <c r="A201" s="68"/>
      <c r="B201" s="68"/>
      <c r="C201" s="68"/>
      <c r="D201" s="68"/>
      <c r="E201" s="68"/>
      <c r="F201" s="68"/>
      <c r="G201" s="68"/>
      <c r="H201" s="68"/>
      <c r="I201" s="68"/>
      <c r="J201" s="68"/>
      <c r="K201" s="68"/>
      <c r="L201" s="68"/>
      <c r="M201" s="68"/>
      <c r="N201" s="68"/>
      <c r="O201" s="68"/>
      <c r="P201" s="68"/>
      <c r="Q201" s="68"/>
      <c r="R201" s="68"/>
      <c r="S201" s="68"/>
      <c r="T201" s="68"/>
      <c r="U201" s="68"/>
      <c r="V201" s="68"/>
      <c r="W201" s="68"/>
      <c r="X201" s="68"/>
      <c r="Y201" s="68"/>
      <c r="Z201" s="68"/>
    </row>
    <row r="202">
      <c r="A202" s="68"/>
      <c r="B202" s="68"/>
      <c r="C202" s="68"/>
      <c r="D202" s="68"/>
      <c r="E202" s="68"/>
      <c r="F202" s="68"/>
      <c r="G202" s="68"/>
      <c r="H202" s="68"/>
      <c r="I202" s="68"/>
      <c r="J202" s="68"/>
      <c r="K202" s="68"/>
      <c r="L202" s="68"/>
      <c r="M202" s="68"/>
      <c r="N202" s="68"/>
      <c r="O202" s="68"/>
      <c r="P202" s="68"/>
      <c r="Q202" s="68"/>
      <c r="R202" s="68"/>
      <c r="S202" s="68"/>
      <c r="T202" s="68"/>
      <c r="U202" s="68"/>
      <c r="V202" s="68"/>
      <c r="W202" s="68"/>
      <c r="X202" s="68"/>
      <c r="Y202" s="68"/>
      <c r="Z202" s="68"/>
    </row>
    <row r="203">
      <c r="A203" s="68"/>
      <c r="B203" s="68"/>
      <c r="C203" s="68"/>
      <c r="D203" s="68"/>
      <c r="E203" s="68"/>
      <c r="F203" s="68"/>
      <c r="G203" s="68"/>
      <c r="H203" s="68"/>
      <c r="I203" s="68"/>
      <c r="J203" s="68"/>
      <c r="K203" s="68"/>
      <c r="L203" s="68"/>
      <c r="M203" s="68"/>
      <c r="N203" s="68"/>
      <c r="O203" s="68"/>
      <c r="P203" s="68"/>
      <c r="Q203" s="68"/>
      <c r="R203" s="68"/>
      <c r="S203" s="68"/>
      <c r="T203" s="68"/>
      <c r="U203" s="68"/>
      <c r="V203" s="68"/>
      <c r="W203" s="68"/>
      <c r="X203" s="68"/>
      <c r="Y203" s="68"/>
      <c r="Z203" s="68"/>
    </row>
    <row r="204">
      <c r="A204" s="68"/>
      <c r="B204" s="68"/>
      <c r="C204" s="68"/>
      <c r="D204" s="68"/>
      <c r="E204" s="68"/>
      <c r="F204" s="68"/>
      <c r="G204" s="68"/>
      <c r="H204" s="68"/>
      <c r="I204" s="68"/>
      <c r="J204" s="68"/>
      <c r="K204" s="68"/>
      <c r="L204" s="68"/>
      <c r="M204" s="68"/>
      <c r="N204" s="68"/>
      <c r="O204" s="68"/>
      <c r="P204" s="68"/>
      <c r="Q204" s="68"/>
      <c r="R204" s="68"/>
      <c r="S204" s="68"/>
      <c r="T204" s="68"/>
      <c r="U204" s="68"/>
      <c r="V204" s="68"/>
      <c r="W204" s="68"/>
      <c r="X204" s="68"/>
      <c r="Y204" s="68"/>
      <c r="Z204" s="68"/>
    </row>
    <row r="205">
      <c r="A205" s="68"/>
      <c r="B205" s="68"/>
      <c r="C205" s="68"/>
      <c r="D205" s="68"/>
      <c r="E205" s="68"/>
      <c r="F205" s="68"/>
      <c r="G205" s="68"/>
      <c r="H205" s="68"/>
      <c r="I205" s="68"/>
      <c r="J205" s="68"/>
      <c r="K205" s="68"/>
      <c r="L205" s="68"/>
      <c r="M205" s="68"/>
      <c r="N205" s="68"/>
      <c r="O205" s="68"/>
      <c r="P205" s="68"/>
      <c r="Q205" s="68"/>
      <c r="R205" s="68"/>
      <c r="S205" s="68"/>
      <c r="T205" s="68"/>
      <c r="U205" s="68"/>
      <c r="V205" s="68"/>
      <c r="W205" s="68"/>
      <c r="X205" s="68"/>
      <c r="Y205" s="68"/>
      <c r="Z205" s="68"/>
    </row>
    <row r="206">
      <c r="A206" s="68"/>
      <c r="B206" s="68"/>
      <c r="C206" s="68"/>
      <c r="D206" s="68"/>
      <c r="E206" s="68"/>
      <c r="F206" s="68"/>
      <c r="G206" s="68"/>
      <c r="H206" s="68"/>
      <c r="I206" s="68"/>
      <c r="J206" s="68"/>
      <c r="K206" s="68"/>
      <c r="L206" s="68"/>
      <c r="M206" s="68"/>
      <c r="N206" s="68"/>
      <c r="O206" s="68"/>
      <c r="P206" s="68"/>
      <c r="Q206" s="68"/>
      <c r="R206" s="68"/>
      <c r="S206" s="68"/>
      <c r="T206" s="68"/>
      <c r="U206" s="68"/>
      <c r="V206" s="68"/>
      <c r="W206" s="68"/>
      <c r="X206" s="68"/>
      <c r="Y206" s="68"/>
      <c r="Z206" s="68"/>
    </row>
    <row r="207">
      <c r="A207" s="68"/>
      <c r="B207" s="68"/>
      <c r="C207" s="68"/>
      <c r="D207" s="68"/>
      <c r="E207" s="68"/>
      <c r="F207" s="68"/>
      <c r="G207" s="68"/>
      <c r="H207" s="68"/>
      <c r="I207" s="68"/>
      <c r="J207" s="68"/>
      <c r="K207" s="68"/>
      <c r="L207" s="68"/>
      <c r="M207" s="68"/>
      <c r="N207" s="68"/>
      <c r="O207" s="68"/>
      <c r="P207" s="68"/>
      <c r="Q207" s="68"/>
      <c r="R207" s="68"/>
      <c r="S207" s="68"/>
      <c r="T207" s="68"/>
      <c r="U207" s="68"/>
      <c r="V207" s="68"/>
      <c r="W207" s="68"/>
      <c r="X207" s="68"/>
      <c r="Y207" s="68"/>
      <c r="Z207" s="68"/>
    </row>
    <row r="208">
      <c r="A208" s="68"/>
      <c r="B208" s="68"/>
      <c r="C208" s="68"/>
      <c r="D208" s="68"/>
      <c r="E208" s="68"/>
      <c r="F208" s="68"/>
      <c r="G208" s="68"/>
      <c r="H208" s="68"/>
      <c r="I208" s="68"/>
      <c r="J208" s="68"/>
      <c r="K208" s="68"/>
      <c r="L208" s="68"/>
      <c r="M208" s="68"/>
      <c r="N208" s="68"/>
      <c r="O208" s="68"/>
      <c r="P208" s="68"/>
      <c r="Q208" s="68"/>
      <c r="R208" s="68"/>
      <c r="S208" s="68"/>
      <c r="T208" s="68"/>
      <c r="U208" s="68"/>
      <c r="V208" s="68"/>
      <c r="W208" s="68"/>
      <c r="X208" s="68"/>
      <c r="Y208" s="68"/>
      <c r="Z208" s="68"/>
    </row>
    <row r="209">
      <c r="A209" s="68"/>
      <c r="B209" s="68"/>
      <c r="C209" s="68"/>
      <c r="D209" s="68"/>
      <c r="E209" s="68"/>
      <c r="F209" s="68"/>
      <c r="G209" s="68"/>
      <c r="H209" s="68"/>
      <c r="I209" s="68"/>
      <c r="J209" s="68"/>
      <c r="K209" s="68"/>
      <c r="L209" s="68"/>
      <c r="M209" s="68"/>
      <c r="N209" s="68"/>
      <c r="O209" s="68"/>
      <c r="P209" s="68"/>
      <c r="Q209" s="68"/>
      <c r="R209" s="68"/>
      <c r="S209" s="68"/>
      <c r="T209" s="68"/>
      <c r="U209" s="68"/>
      <c r="V209" s="68"/>
      <c r="W209" s="68"/>
      <c r="X209" s="68"/>
      <c r="Y209" s="68"/>
      <c r="Z209" s="68"/>
    </row>
    <row r="210">
      <c r="A210" s="68"/>
      <c r="B210" s="68"/>
      <c r="C210" s="68"/>
      <c r="D210" s="68"/>
      <c r="E210" s="68"/>
      <c r="F210" s="68"/>
      <c r="G210" s="68"/>
      <c r="H210" s="68"/>
      <c r="I210" s="68"/>
      <c r="J210" s="68"/>
      <c r="K210" s="68"/>
      <c r="L210" s="68"/>
      <c r="M210" s="68"/>
      <c r="N210" s="68"/>
      <c r="O210" s="68"/>
      <c r="P210" s="68"/>
      <c r="Q210" s="68"/>
      <c r="R210" s="68"/>
      <c r="S210" s="68"/>
      <c r="T210" s="68"/>
      <c r="U210" s="68"/>
      <c r="V210" s="68"/>
      <c r="W210" s="68"/>
      <c r="X210" s="68"/>
      <c r="Y210" s="68"/>
      <c r="Z210" s="68"/>
    </row>
    <row r="211">
      <c r="A211" s="68"/>
      <c r="B211" s="68"/>
      <c r="C211" s="68"/>
      <c r="D211" s="68"/>
      <c r="E211" s="68"/>
      <c r="F211" s="68"/>
      <c r="G211" s="68"/>
      <c r="H211" s="68"/>
      <c r="I211" s="68"/>
      <c r="J211" s="68"/>
      <c r="K211" s="68"/>
      <c r="L211" s="68"/>
      <c r="M211" s="68"/>
      <c r="N211" s="68"/>
      <c r="O211" s="68"/>
      <c r="P211" s="68"/>
      <c r="Q211" s="68"/>
      <c r="R211" s="68"/>
      <c r="S211" s="68"/>
      <c r="T211" s="68"/>
      <c r="U211" s="68"/>
      <c r="V211" s="68"/>
      <c r="W211" s="68"/>
      <c r="X211" s="68"/>
      <c r="Y211" s="68"/>
      <c r="Z211" s="68"/>
    </row>
    <row r="212">
      <c r="A212" s="68"/>
      <c r="B212" s="68"/>
      <c r="C212" s="68"/>
      <c r="D212" s="68"/>
      <c r="E212" s="68"/>
      <c r="F212" s="68"/>
      <c r="G212" s="68"/>
      <c r="H212" s="68"/>
      <c r="I212" s="68"/>
      <c r="J212" s="68"/>
      <c r="K212" s="68"/>
      <c r="L212" s="68"/>
      <c r="M212" s="68"/>
      <c r="N212" s="68"/>
      <c r="O212" s="68"/>
      <c r="P212" s="68"/>
      <c r="Q212" s="68"/>
      <c r="R212" s="68"/>
      <c r="S212" s="68"/>
      <c r="T212" s="68"/>
      <c r="U212" s="68"/>
      <c r="V212" s="68"/>
      <c r="W212" s="68"/>
      <c r="X212" s="68"/>
      <c r="Y212" s="68"/>
      <c r="Z212" s="68"/>
    </row>
    <row r="213">
      <c r="A213" s="68"/>
      <c r="B213" s="68"/>
      <c r="C213" s="68"/>
      <c r="D213" s="68"/>
      <c r="E213" s="68"/>
      <c r="F213" s="68"/>
      <c r="G213" s="68"/>
      <c r="H213" s="68"/>
      <c r="I213" s="68"/>
      <c r="J213" s="68"/>
      <c r="K213" s="68"/>
      <c r="L213" s="68"/>
      <c r="M213" s="68"/>
      <c r="N213" s="68"/>
      <c r="O213" s="68"/>
      <c r="P213" s="68"/>
      <c r="Q213" s="68"/>
      <c r="R213" s="68"/>
      <c r="S213" s="68"/>
      <c r="T213" s="68"/>
      <c r="U213" s="68"/>
      <c r="V213" s="68"/>
      <c r="W213" s="68"/>
      <c r="X213" s="68"/>
      <c r="Y213" s="68"/>
      <c r="Z213" s="68"/>
    </row>
    <row r="214">
      <c r="A214" s="68"/>
      <c r="B214" s="68"/>
      <c r="C214" s="68"/>
      <c r="D214" s="68"/>
      <c r="E214" s="68"/>
      <c r="F214" s="68"/>
      <c r="G214" s="68"/>
      <c r="H214" s="68"/>
      <c r="I214" s="68"/>
      <c r="J214" s="68"/>
      <c r="K214" s="68"/>
      <c r="L214" s="68"/>
      <c r="M214" s="68"/>
      <c r="N214" s="68"/>
      <c r="O214" s="68"/>
      <c r="P214" s="68"/>
      <c r="Q214" s="68"/>
      <c r="R214" s="68"/>
      <c r="S214" s="68"/>
      <c r="T214" s="68"/>
      <c r="U214" s="68"/>
      <c r="V214" s="68"/>
      <c r="W214" s="68"/>
      <c r="X214" s="68"/>
      <c r="Y214" s="68"/>
      <c r="Z214" s="68"/>
    </row>
    <row r="215">
      <c r="A215" s="68"/>
      <c r="B215" s="68"/>
      <c r="C215" s="68"/>
      <c r="D215" s="68"/>
      <c r="E215" s="68"/>
      <c r="F215" s="68"/>
      <c r="G215" s="68"/>
      <c r="H215" s="68"/>
      <c r="I215" s="68"/>
      <c r="J215" s="68"/>
      <c r="K215" s="68"/>
      <c r="L215" s="68"/>
      <c r="M215" s="68"/>
      <c r="N215" s="68"/>
      <c r="O215" s="68"/>
      <c r="P215" s="68"/>
      <c r="Q215" s="68"/>
      <c r="R215" s="68"/>
      <c r="S215" s="68"/>
      <c r="T215" s="68"/>
      <c r="U215" s="68"/>
      <c r="V215" s="68"/>
      <c r="W215" s="68"/>
      <c r="X215" s="68"/>
      <c r="Y215" s="68"/>
      <c r="Z215" s="68"/>
    </row>
    <row r="216">
      <c r="A216" s="68"/>
      <c r="B216" s="68"/>
      <c r="C216" s="68"/>
      <c r="D216" s="68"/>
      <c r="E216" s="68"/>
      <c r="F216" s="68"/>
      <c r="G216" s="68"/>
      <c r="H216" s="68"/>
      <c r="I216" s="68"/>
      <c r="J216" s="68"/>
      <c r="K216" s="68"/>
      <c r="L216" s="68"/>
      <c r="M216" s="68"/>
      <c r="N216" s="68"/>
      <c r="O216" s="68"/>
      <c r="P216" s="68"/>
      <c r="Q216" s="68"/>
      <c r="R216" s="68"/>
      <c r="S216" s="68"/>
      <c r="T216" s="68"/>
      <c r="U216" s="68"/>
      <c r="V216" s="68"/>
      <c r="W216" s="68"/>
      <c r="X216" s="68"/>
      <c r="Y216" s="68"/>
      <c r="Z216" s="68"/>
    </row>
    <row r="217">
      <c r="A217" s="68"/>
      <c r="B217" s="68"/>
      <c r="C217" s="68"/>
      <c r="D217" s="68"/>
      <c r="E217" s="68"/>
      <c r="F217" s="68"/>
      <c r="G217" s="68"/>
      <c r="H217" s="68"/>
      <c r="I217" s="68"/>
      <c r="J217" s="68"/>
      <c r="K217" s="68"/>
      <c r="L217" s="68"/>
      <c r="M217" s="68"/>
      <c r="N217" s="68"/>
      <c r="O217" s="68"/>
      <c r="P217" s="68"/>
      <c r="Q217" s="68"/>
      <c r="R217" s="68"/>
      <c r="S217" s="68"/>
      <c r="T217" s="68"/>
      <c r="U217" s="68"/>
      <c r="V217" s="68"/>
      <c r="W217" s="68"/>
      <c r="X217" s="68"/>
      <c r="Y217" s="68"/>
      <c r="Z217" s="68"/>
    </row>
    <row r="218">
      <c r="A218" s="68"/>
      <c r="B218" s="68"/>
      <c r="C218" s="68"/>
      <c r="D218" s="68"/>
      <c r="E218" s="68"/>
      <c r="F218" s="68"/>
      <c r="G218" s="68"/>
      <c r="H218" s="68"/>
      <c r="I218" s="68"/>
      <c r="J218" s="68"/>
      <c r="K218" s="68"/>
      <c r="L218" s="68"/>
      <c r="M218" s="68"/>
      <c r="N218" s="68"/>
      <c r="O218" s="68"/>
      <c r="P218" s="68"/>
      <c r="Q218" s="68"/>
      <c r="R218" s="68"/>
      <c r="S218" s="68"/>
      <c r="T218" s="68"/>
      <c r="U218" s="68"/>
      <c r="V218" s="68"/>
      <c r="W218" s="68"/>
      <c r="X218" s="68"/>
      <c r="Y218" s="68"/>
      <c r="Z218" s="68"/>
    </row>
    <row r="219">
      <c r="A219" s="68"/>
      <c r="B219" s="68"/>
      <c r="C219" s="68"/>
      <c r="D219" s="68"/>
      <c r="E219" s="68"/>
      <c r="F219" s="68"/>
      <c r="G219" s="68"/>
      <c r="H219" s="68"/>
      <c r="I219" s="68"/>
      <c r="J219" s="68"/>
      <c r="K219" s="68"/>
      <c r="L219" s="68"/>
      <c r="M219" s="68"/>
      <c r="N219" s="68"/>
      <c r="O219" s="68"/>
      <c r="P219" s="68"/>
      <c r="Q219" s="68"/>
      <c r="R219" s="68"/>
      <c r="S219" s="68"/>
      <c r="T219" s="68"/>
      <c r="U219" s="68"/>
      <c r="V219" s="68"/>
      <c r="W219" s="68"/>
      <c r="X219" s="68"/>
      <c r="Y219" s="68"/>
      <c r="Z219" s="68"/>
    </row>
    <row r="220">
      <c r="A220" s="68"/>
      <c r="B220" s="68"/>
      <c r="C220" s="68"/>
      <c r="D220" s="68"/>
      <c r="E220" s="68"/>
      <c r="F220" s="68"/>
      <c r="G220" s="68"/>
      <c r="H220" s="68"/>
      <c r="I220" s="68"/>
      <c r="J220" s="68"/>
      <c r="K220" s="68"/>
      <c r="L220" s="68"/>
      <c r="M220" s="68"/>
      <c r="N220" s="68"/>
      <c r="O220" s="68"/>
      <c r="P220" s="68"/>
      <c r="Q220" s="68"/>
      <c r="R220" s="68"/>
      <c r="S220" s="68"/>
      <c r="T220" s="68"/>
      <c r="U220" s="68"/>
      <c r="V220" s="68"/>
      <c r="W220" s="68"/>
      <c r="X220" s="68"/>
      <c r="Y220" s="68"/>
      <c r="Z220" s="68"/>
    </row>
    <row r="221">
      <c r="A221" s="68"/>
      <c r="B221" s="68"/>
      <c r="C221" s="68"/>
      <c r="D221" s="68"/>
      <c r="E221" s="68"/>
      <c r="F221" s="68"/>
      <c r="G221" s="68"/>
      <c r="H221" s="68"/>
      <c r="I221" s="68"/>
      <c r="J221" s="68"/>
      <c r="K221" s="68"/>
      <c r="L221" s="68"/>
      <c r="M221" s="68"/>
      <c r="N221" s="68"/>
      <c r="O221" s="68"/>
      <c r="P221" s="68"/>
      <c r="Q221" s="68"/>
      <c r="R221" s="68"/>
      <c r="S221" s="68"/>
      <c r="T221" s="68"/>
      <c r="U221" s="68"/>
      <c r="V221" s="68"/>
      <c r="W221" s="68"/>
      <c r="X221" s="68"/>
      <c r="Y221" s="68"/>
      <c r="Z221" s="68"/>
    </row>
    <row r="222">
      <c r="A222" s="68"/>
      <c r="B222" s="68"/>
      <c r="C222" s="68"/>
      <c r="D222" s="68"/>
      <c r="E222" s="68"/>
      <c r="F222" s="68"/>
      <c r="G222" s="68"/>
      <c r="H222" s="68"/>
      <c r="I222" s="68"/>
      <c r="J222" s="68"/>
      <c r="K222" s="68"/>
      <c r="L222" s="68"/>
      <c r="M222" s="68"/>
      <c r="N222" s="68"/>
      <c r="O222" s="68"/>
      <c r="P222" s="68"/>
      <c r="Q222" s="68"/>
      <c r="R222" s="68"/>
      <c r="S222" s="68"/>
      <c r="T222" s="68"/>
      <c r="U222" s="68"/>
      <c r="V222" s="68"/>
      <c r="W222" s="68"/>
      <c r="X222" s="68"/>
      <c r="Y222" s="68"/>
      <c r="Z222" s="68"/>
    </row>
    <row r="223">
      <c r="A223" s="68"/>
      <c r="B223" s="68"/>
      <c r="C223" s="68"/>
      <c r="D223" s="68"/>
      <c r="E223" s="68"/>
      <c r="F223" s="68"/>
      <c r="G223" s="68"/>
      <c r="H223" s="68"/>
      <c r="I223" s="68"/>
      <c r="J223" s="68"/>
      <c r="K223" s="68"/>
      <c r="L223" s="68"/>
      <c r="M223" s="68"/>
      <c r="N223" s="68"/>
      <c r="O223" s="68"/>
      <c r="P223" s="68"/>
      <c r="Q223" s="68"/>
      <c r="R223" s="68"/>
      <c r="S223" s="68"/>
      <c r="T223" s="68"/>
      <c r="U223" s="68"/>
      <c r="V223" s="68"/>
      <c r="W223" s="68"/>
      <c r="X223" s="68"/>
      <c r="Y223" s="68"/>
      <c r="Z223" s="68"/>
    </row>
    <row r="224">
      <c r="A224" s="68"/>
      <c r="B224" s="68"/>
      <c r="C224" s="68"/>
      <c r="D224" s="68"/>
      <c r="E224" s="68"/>
      <c r="F224" s="68"/>
      <c r="G224" s="68"/>
      <c r="H224" s="68"/>
      <c r="I224" s="68"/>
      <c r="J224" s="68"/>
      <c r="K224" s="68"/>
      <c r="L224" s="68"/>
      <c r="M224" s="68"/>
      <c r="N224" s="68"/>
      <c r="O224" s="68"/>
      <c r="P224" s="68"/>
      <c r="Q224" s="68"/>
      <c r="R224" s="68"/>
      <c r="S224" s="68"/>
      <c r="T224" s="68"/>
      <c r="U224" s="68"/>
      <c r="V224" s="68"/>
      <c r="W224" s="68"/>
      <c r="X224" s="68"/>
      <c r="Y224" s="68"/>
      <c r="Z224" s="68"/>
    </row>
    <row r="225">
      <c r="A225" s="68"/>
      <c r="B225" s="68"/>
      <c r="C225" s="68"/>
      <c r="D225" s="68"/>
      <c r="E225" s="68"/>
      <c r="F225" s="68"/>
      <c r="G225" s="68"/>
      <c r="H225" s="68"/>
      <c r="I225" s="68"/>
      <c r="J225" s="68"/>
      <c r="K225" s="68"/>
      <c r="L225" s="68"/>
      <c r="M225" s="68"/>
      <c r="N225" s="68"/>
      <c r="O225" s="68"/>
      <c r="P225" s="68"/>
      <c r="Q225" s="68"/>
      <c r="R225" s="68"/>
      <c r="S225" s="68"/>
      <c r="T225" s="68"/>
      <c r="U225" s="68"/>
      <c r="V225" s="68"/>
      <c r="W225" s="68"/>
      <c r="X225" s="68"/>
      <c r="Y225" s="68"/>
      <c r="Z225" s="68"/>
    </row>
    <row r="226">
      <c r="A226" s="68"/>
      <c r="B226" s="68"/>
      <c r="C226" s="68"/>
      <c r="D226" s="68"/>
      <c r="E226" s="68"/>
      <c r="F226" s="68"/>
      <c r="G226" s="68"/>
      <c r="H226" s="68"/>
      <c r="I226" s="68"/>
      <c r="J226" s="68"/>
      <c r="K226" s="68"/>
      <c r="L226" s="68"/>
      <c r="M226" s="68"/>
      <c r="N226" s="68"/>
      <c r="O226" s="68"/>
      <c r="P226" s="68"/>
      <c r="Q226" s="68"/>
      <c r="R226" s="68"/>
      <c r="S226" s="68"/>
      <c r="T226" s="68"/>
      <c r="U226" s="68"/>
      <c r="V226" s="68"/>
      <c r="W226" s="68"/>
      <c r="X226" s="68"/>
      <c r="Y226" s="68"/>
      <c r="Z226" s="68"/>
    </row>
    <row r="227">
      <c r="A227" s="68"/>
      <c r="B227" s="68"/>
      <c r="C227" s="68"/>
      <c r="D227" s="68"/>
      <c r="E227" s="68"/>
      <c r="F227" s="68"/>
      <c r="G227" s="68"/>
      <c r="H227" s="68"/>
      <c r="I227" s="68"/>
      <c r="J227" s="68"/>
      <c r="K227" s="68"/>
      <c r="L227" s="68"/>
      <c r="M227" s="68"/>
      <c r="N227" s="68"/>
      <c r="O227" s="68"/>
      <c r="P227" s="68"/>
      <c r="Q227" s="68"/>
      <c r="R227" s="68"/>
      <c r="S227" s="68"/>
      <c r="T227" s="68"/>
      <c r="U227" s="68"/>
      <c r="V227" s="68"/>
      <c r="W227" s="68"/>
      <c r="X227" s="68"/>
      <c r="Y227" s="68"/>
      <c r="Z227" s="68"/>
    </row>
    <row r="228">
      <c r="A228" s="68"/>
      <c r="B228" s="68"/>
      <c r="C228" s="68"/>
      <c r="D228" s="68"/>
      <c r="E228" s="68"/>
      <c r="F228" s="68"/>
      <c r="G228" s="68"/>
      <c r="H228" s="68"/>
      <c r="I228" s="68"/>
      <c r="J228" s="68"/>
      <c r="K228" s="68"/>
      <c r="L228" s="68"/>
      <c r="M228" s="68"/>
      <c r="N228" s="68"/>
      <c r="O228" s="68"/>
      <c r="P228" s="68"/>
      <c r="Q228" s="68"/>
      <c r="R228" s="68"/>
      <c r="S228" s="68"/>
      <c r="T228" s="68"/>
      <c r="U228" s="68"/>
      <c r="V228" s="68"/>
      <c r="W228" s="68"/>
      <c r="X228" s="68"/>
      <c r="Y228" s="68"/>
      <c r="Z228" s="68"/>
    </row>
    <row r="229">
      <c r="A229" s="68"/>
      <c r="B229" s="68"/>
      <c r="C229" s="68"/>
      <c r="D229" s="68"/>
      <c r="E229" s="68"/>
      <c r="F229" s="68"/>
      <c r="G229" s="68"/>
      <c r="H229" s="68"/>
      <c r="I229" s="68"/>
      <c r="J229" s="68"/>
      <c r="K229" s="68"/>
      <c r="L229" s="68"/>
      <c r="M229" s="68"/>
      <c r="N229" s="68"/>
      <c r="O229" s="68"/>
      <c r="P229" s="68"/>
      <c r="Q229" s="68"/>
      <c r="R229" s="68"/>
      <c r="S229" s="68"/>
      <c r="T229" s="68"/>
      <c r="U229" s="68"/>
      <c r="V229" s="68"/>
      <c r="W229" s="68"/>
      <c r="X229" s="68"/>
      <c r="Y229" s="68"/>
      <c r="Z229" s="68"/>
    </row>
    <row r="230">
      <c r="A230" s="68"/>
      <c r="B230" s="68"/>
      <c r="C230" s="68"/>
      <c r="D230" s="68"/>
      <c r="E230" s="68"/>
      <c r="F230" s="68"/>
      <c r="G230" s="68"/>
      <c r="H230" s="68"/>
      <c r="I230" s="68"/>
      <c r="J230" s="68"/>
      <c r="K230" s="68"/>
      <c r="L230" s="68"/>
      <c r="M230" s="68"/>
      <c r="N230" s="68"/>
      <c r="O230" s="68"/>
      <c r="P230" s="68"/>
      <c r="Q230" s="68"/>
      <c r="R230" s="68"/>
      <c r="S230" s="68"/>
      <c r="T230" s="68"/>
      <c r="U230" s="68"/>
      <c r="V230" s="68"/>
      <c r="W230" s="68"/>
      <c r="X230" s="68"/>
      <c r="Y230" s="68"/>
      <c r="Z230" s="68"/>
    </row>
    <row r="231">
      <c r="A231" s="68"/>
      <c r="B231" s="68"/>
      <c r="C231" s="68"/>
      <c r="D231" s="68"/>
      <c r="E231" s="68"/>
      <c r="F231" s="68"/>
      <c r="G231" s="68"/>
      <c r="H231" s="68"/>
      <c r="I231" s="68"/>
      <c r="J231" s="68"/>
      <c r="K231" s="68"/>
      <c r="L231" s="68"/>
      <c r="M231" s="68"/>
      <c r="N231" s="68"/>
      <c r="O231" s="68"/>
      <c r="P231" s="68"/>
      <c r="Q231" s="68"/>
      <c r="R231" s="68"/>
      <c r="S231" s="68"/>
      <c r="T231" s="68"/>
      <c r="U231" s="68"/>
      <c r="V231" s="68"/>
      <c r="W231" s="68"/>
      <c r="X231" s="68"/>
      <c r="Y231" s="68"/>
      <c r="Z231" s="68"/>
    </row>
    <row r="232">
      <c r="A232" s="68"/>
      <c r="B232" s="68"/>
      <c r="C232" s="68"/>
      <c r="D232" s="68"/>
      <c r="E232" s="68"/>
      <c r="F232" s="68"/>
      <c r="G232" s="68"/>
      <c r="H232" s="68"/>
      <c r="I232" s="68"/>
      <c r="J232" s="68"/>
      <c r="K232" s="68"/>
      <c r="L232" s="68"/>
      <c r="M232" s="68"/>
      <c r="N232" s="68"/>
      <c r="O232" s="68"/>
      <c r="P232" s="68"/>
      <c r="Q232" s="68"/>
      <c r="R232" s="68"/>
      <c r="S232" s="68"/>
      <c r="T232" s="68"/>
      <c r="U232" s="68"/>
      <c r="V232" s="68"/>
      <c r="W232" s="68"/>
      <c r="X232" s="68"/>
      <c r="Y232" s="68"/>
      <c r="Z232" s="68"/>
    </row>
    <row r="233">
      <c r="A233" s="68"/>
      <c r="B233" s="68"/>
      <c r="C233" s="68"/>
      <c r="D233" s="68"/>
      <c r="E233" s="68"/>
      <c r="F233" s="68"/>
      <c r="G233" s="68"/>
      <c r="H233" s="68"/>
      <c r="I233" s="68"/>
      <c r="J233" s="68"/>
      <c r="K233" s="68"/>
      <c r="L233" s="68"/>
      <c r="M233" s="68"/>
      <c r="N233" s="68"/>
      <c r="O233" s="68"/>
      <c r="P233" s="68"/>
      <c r="Q233" s="68"/>
      <c r="R233" s="68"/>
      <c r="S233" s="68"/>
      <c r="T233" s="68"/>
      <c r="U233" s="68"/>
      <c r="V233" s="68"/>
      <c r="W233" s="68"/>
      <c r="X233" s="68"/>
      <c r="Y233" s="68"/>
      <c r="Z233" s="68"/>
    </row>
    <row r="234">
      <c r="A234" s="68"/>
      <c r="B234" s="68"/>
      <c r="C234" s="68"/>
      <c r="D234" s="68"/>
      <c r="E234" s="68"/>
      <c r="F234" s="68"/>
      <c r="G234" s="68"/>
      <c r="H234" s="68"/>
      <c r="I234" s="68"/>
      <c r="J234" s="68"/>
      <c r="K234" s="68"/>
      <c r="L234" s="68"/>
      <c r="M234" s="68"/>
      <c r="N234" s="68"/>
      <c r="O234" s="68"/>
      <c r="P234" s="68"/>
      <c r="Q234" s="68"/>
      <c r="R234" s="68"/>
      <c r="S234" s="68"/>
      <c r="T234" s="68"/>
      <c r="U234" s="68"/>
      <c r="V234" s="68"/>
      <c r="W234" s="68"/>
      <c r="X234" s="68"/>
      <c r="Y234" s="68"/>
      <c r="Z234" s="68"/>
    </row>
    <row r="235">
      <c r="A235" s="68"/>
      <c r="B235" s="68"/>
      <c r="C235" s="68"/>
      <c r="D235" s="68"/>
      <c r="E235" s="68"/>
      <c r="F235" s="68"/>
      <c r="G235" s="68"/>
      <c r="H235" s="68"/>
      <c r="I235" s="68"/>
      <c r="J235" s="68"/>
      <c r="K235" s="68"/>
      <c r="L235" s="68"/>
      <c r="M235" s="68"/>
      <c r="N235" s="68"/>
      <c r="O235" s="68"/>
      <c r="P235" s="68"/>
      <c r="Q235" s="68"/>
      <c r="R235" s="68"/>
      <c r="S235" s="68"/>
      <c r="T235" s="68"/>
      <c r="U235" s="68"/>
      <c r="V235" s="68"/>
      <c r="W235" s="68"/>
      <c r="X235" s="68"/>
      <c r="Y235" s="68"/>
      <c r="Z235" s="68"/>
    </row>
    <row r="236">
      <c r="A236" s="68"/>
      <c r="B236" s="68"/>
      <c r="C236" s="68"/>
      <c r="D236" s="68"/>
      <c r="E236" s="68"/>
      <c r="F236" s="68"/>
      <c r="G236" s="68"/>
      <c r="H236" s="68"/>
      <c r="I236" s="68"/>
      <c r="J236" s="68"/>
      <c r="K236" s="68"/>
      <c r="L236" s="68"/>
      <c r="M236" s="68"/>
      <c r="N236" s="68"/>
      <c r="O236" s="68"/>
      <c r="P236" s="68"/>
      <c r="Q236" s="68"/>
      <c r="R236" s="68"/>
      <c r="S236" s="68"/>
      <c r="T236" s="68"/>
      <c r="U236" s="68"/>
      <c r="V236" s="68"/>
      <c r="W236" s="68"/>
      <c r="X236" s="68"/>
      <c r="Y236" s="68"/>
      <c r="Z236" s="68"/>
    </row>
    <row r="237">
      <c r="A237" s="68"/>
      <c r="B237" s="68"/>
      <c r="C237" s="68"/>
      <c r="D237" s="68"/>
      <c r="E237" s="68"/>
      <c r="F237" s="68"/>
      <c r="G237" s="68"/>
      <c r="H237" s="68"/>
      <c r="I237" s="68"/>
      <c r="J237" s="68"/>
      <c r="K237" s="68"/>
      <c r="L237" s="68"/>
      <c r="M237" s="68"/>
      <c r="N237" s="68"/>
      <c r="O237" s="68"/>
      <c r="P237" s="68"/>
      <c r="Q237" s="68"/>
      <c r="R237" s="68"/>
      <c r="S237" s="68"/>
      <c r="T237" s="68"/>
      <c r="U237" s="68"/>
      <c r="V237" s="68"/>
      <c r="W237" s="68"/>
      <c r="X237" s="68"/>
      <c r="Y237" s="68"/>
      <c r="Z237" s="68"/>
    </row>
    <row r="238">
      <c r="A238" s="68"/>
      <c r="B238" s="68"/>
      <c r="C238" s="68"/>
      <c r="D238" s="68"/>
      <c r="E238" s="68"/>
      <c r="F238" s="68"/>
      <c r="G238" s="68"/>
      <c r="H238" s="68"/>
      <c r="I238" s="68"/>
      <c r="J238" s="68"/>
      <c r="K238" s="68"/>
      <c r="L238" s="68"/>
      <c r="M238" s="68"/>
      <c r="N238" s="68"/>
      <c r="O238" s="68"/>
      <c r="P238" s="68"/>
      <c r="Q238" s="68"/>
      <c r="R238" s="68"/>
      <c r="S238" s="68"/>
      <c r="T238" s="68"/>
      <c r="U238" s="68"/>
      <c r="V238" s="68"/>
      <c r="W238" s="68"/>
      <c r="X238" s="68"/>
      <c r="Y238" s="68"/>
      <c r="Z238" s="68"/>
    </row>
    <row r="239">
      <c r="A239" s="68"/>
      <c r="B239" s="68"/>
      <c r="C239" s="68"/>
      <c r="D239" s="68"/>
      <c r="E239" s="68"/>
      <c r="F239" s="68"/>
      <c r="G239" s="68"/>
      <c r="H239" s="68"/>
      <c r="I239" s="68"/>
      <c r="J239" s="68"/>
      <c r="K239" s="68"/>
      <c r="L239" s="68"/>
      <c r="M239" s="68"/>
      <c r="N239" s="68"/>
      <c r="O239" s="68"/>
      <c r="P239" s="68"/>
      <c r="Q239" s="68"/>
      <c r="R239" s="68"/>
      <c r="S239" s="68"/>
      <c r="T239" s="68"/>
      <c r="U239" s="68"/>
      <c r="V239" s="68"/>
      <c r="W239" s="68"/>
      <c r="X239" s="68"/>
      <c r="Y239" s="68"/>
      <c r="Z239" s="68"/>
    </row>
    <row r="240">
      <c r="A240" s="68"/>
      <c r="B240" s="68"/>
      <c r="C240" s="68"/>
      <c r="D240" s="68"/>
      <c r="E240" s="68"/>
      <c r="F240" s="68"/>
      <c r="G240" s="68"/>
      <c r="H240" s="68"/>
      <c r="I240" s="68"/>
      <c r="J240" s="68"/>
      <c r="K240" s="68"/>
      <c r="L240" s="68"/>
      <c r="M240" s="68"/>
      <c r="N240" s="68"/>
      <c r="O240" s="68"/>
      <c r="P240" s="68"/>
      <c r="Q240" s="68"/>
      <c r="R240" s="68"/>
      <c r="S240" s="68"/>
      <c r="T240" s="68"/>
      <c r="U240" s="68"/>
      <c r="V240" s="68"/>
      <c r="W240" s="68"/>
      <c r="X240" s="68"/>
      <c r="Y240" s="68"/>
      <c r="Z240" s="68"/>
    </row>
    <row r="241">
      <c r="A241" s="68"/>
      <c r="B241" s="68"/>
      <c r="C241" s="68"/>
      <c r="D241" s="68"/>
      <c r="E241" s="68"/>
      <c r="F241" s="68"/>
      <c r="G241" s="68"/>
      <c r="H241" s="68"/>
      <c r="I241" s="68"/>
      <c r="J241" s="68"/>
      <c r="K241" s="68"/>
      <c r="L241" s="68"/>
      <c r="M241" s="68"/>
      <c r="N241" s="68"/>
      <c r="O241" s="68"/>
      <c r="P241" s="68"/>
      <c r="Q241" s="68"/>
      <c r="R241" s="68"/>
      <c r="S241" s="68"/>
      <c r="T241" s="68"/>
      <c r="U241" s="68"/>
      <c r="V241" s="68"/>
      <c r="W241" s="68"/>
      <c r="X241" s="68"/>
      <c r="Y241" s="68"/>
      <c r="Z241" s="68"/>
    </row>
    <row r="242">
      <c r="A242" s="68"/>
      <c r="B242" s="68"/>
      <c r="C242" s="68"/>
      <c r="D242" s="68"/>
      <c r="E242" s="68"/>
      <c r="F242" s="68"/>
      <c r="G242" s="68"/>
      <c r="H242" s="68"/>
      <c r="I242" s="68"/>
      <c r="J242" s="68"/>
      <c r="K242" s="68"/>
      <c r="L242" s="68"/>
      <c r="M242" s="68"/>
      <c r="N242" s="68"/>
      <c r="O242" s="68"/>
      <c r="P242" s="68"/>
      <c r="Q242" s="68"/>
      <c r="R242" s="68"/>
      <c r="S242" s="68"/>
      <c r="T242" s="68"/>
      <c r="U242" s="68"/>
      <c r="V242" s="68"/>
      <c r="W242" s="68"/>
      <c r="X242" s="68"/>
      <c r="Y242" s="68"/>
      <c r="Z242" s="68"/>
    </row>
    <row r="243">
      <c r="A243" s="68"/>
      <c r="B243" s="68"/>
      <c r="C243" s="68"/>
      <c r="D243" s="68"/>
      <c r="E243" s="68"/>
      <c r="F243" s="68"/>
      <c r="G243" s="68"/>
      <c r="H243" s="68"/>
      <c r="I243" s="68"/>
      <c r="J243" s="68"/>
      <c r="K243" s="68"/>
      <c r="L243" s="68"/>
      <c r="M243" s="68"/>
      <c r="N243" s="68"/>
      <c r="O243" s="68"/>
      <c r="P243" s="68"/>
      <c r="Q243" s="68"/>
      <c r="R243" s="68"/>
      <c r="S243" s="68"/>
      <c r="T243" s="68"/>
      <c r="U243" s="68"/>
      <c r="V243" s="68"/>
      <c r="W243" s="68"/>
      <c r="X243" s="68"/>
      <c r="Y243" s="68"/>
      <c r="Z243" s="68"/>
    </row>
    <row r="244">
      <c r="A244" s="68"/>
      <c r="B244" s="68"/>
      <c r="C244" s="68"/>
      <c r="D244" s="68"/>
      <c r="E244" s="68"/>
      <c r="F244" s="68"/>
      <c r="G244" s="68"/>
      <c r="H244" s="68"/>
      <c r="I244" s="68"/>
      <c r="J244" s="68"/>
      <c r="K244" s="68"/>
      <c r="L244" s="68"/>
      <c r="M244" s="68"/>
      <c r="N244" s="68"/>
      <c r="O244" s="68"/>
      <c r="P244" s="68"/>
      <c r="Q244" s="68"/>
      <c r="R244" s="68"/>
      <c r="S244" s="68"/>
      <c r="T244" s="68"/>
      <c r="U244" s="68"/>
      <c r="V244" s="68"/>
      <c r="W244" s="68"/>
      <c r="X244" s="68"/>
      <c r="Y244" s="68"/>
      <c r="Z244" s="68"/>
    </row>
    <row r="245">
      <c r="A245" s="68"/>
      <c r="B245" s="68"/>
      <c r="C245" s="68"/>
      <c r="D245" s="68"/>
      <c r="E245" s="68"/>
      <c r="F245" s="68"/>
      <c r="G245" s="68"/>
      <c r="H245" s="68"/>
      <c r="I245" s="68"/>
      <c r="J245" s="68"/>
      <c r="K245" s="68"/>
      <c r="L245" s="68"/>
      <c r="M245" s="68"/>
      <c r="N245" s="68"/>
      <c r="O245" s="68"/>
      <c r="P245" s="68"/>
      <c r="Q245" s="68"/>
      <c r="R245" s="68"/>
      <c r="S245" s="68"/>
      <c r="T245" s="68"/>
      <c r="U245" s="68"/>
      <c r="V245" s="68"/>
      <c r="W245" s="68"/>
      <c r="X245" s="68"/>
      <c r="Y245" s="68"/>
      <c r="Z245" s="68"/>
    </row>
    <row r="246">
      <c r="A246" s="68"/>
      <c r="B246" s="68"/>
      <c r="C246" s="68"/>
      <c r="D246" s="68"/>
      <c r="E246" s="68"/>
      <c r="F246" s="68"/>
      <c r="G246" s="68"/>
      <c r="H246" s="68"/>
      <c r="I246" s="68"/>
      <c r="J246" s="68"/>
      <c r="K246" s="68"/>
      <c r="L246" s="68"/>
      <c r="M246" s="68"/>
      <c r="N246" s="68"/>
      <c r="O246" s="68"/>
      <c r="P246" s="68"/>
      <c r="Q246" s="68"/>
      <c r="R246" s="68"/>
      <c r="S246" s="68"/>
      <c r="T246" s="68"/>
      <c r="U246" s="68"/>
      <c r="V246" s="68"/>
      <c r="W246" s="68"/>
      <c r="X246" s="68"/>
      <c r="Y246" s="68"/>
      <c r="Z246" s="68"/>
    </row>
    <row r="247">
      <c r="A247" s="68"/>
      <c r="B247" s="68"/>
      <c r="C247" s="68"/>
      <c r="D247" s="68"/>
      <c r="E247" s="68"/>
      <c r="F247" s="68"/>
      <c r="G247" s="68"/>
      <c r="H247" s="68"/>
      <c r="I247" s="68"/>
      <c r="J247" s="68"/>
      <c r="K247" s="68"/>
      <c r="L247" s="68"/>
      <c r="M247" s="68"/>
      <c r="N247" s="68"/>
      <c r="O247" s="68"/>
      <c r="P247" s="68"/>
      <c r="Q247" s="68"/>
      <c r="R247" s="68"/>
      <c r="S247" s="68"/>
      <c r="T247" s="68"/>
      <c r="U247" s="68"/>
      <c r="V247" s="68"/>
      <c r="W247" s="68"/>
      <c r="X247" s="68"/>
      <c r="Y247" s="68"/>
      <c r="Z247" s="68"/>
    </row>
    <row r="248">
      <c r="A248" s="68"/>
      <c r="B248" s="68"/>
      <c r="C248" s="68"/>
      <c r="D248" s="68"/>
      <c r="E248" s="68"/>
      <c r="F248" s="68"/>
      <c r="G248" s="68"/>
      <c r="H248" s="68"/>
      <c r="I248" s="68"/>
      <c r="J248" s="68"/>
      <c r="K248" s="68"/>
      <c r="L248" s="68"/>
      <c r="M248" s="68"/>
      <c r="N248" s="68"/>
      <c r="O248" s="68"/>
      <c r="P248" s="68"/>
      <c r="Q248" s="68"/>
      <c r="R248" s="68"/>
      <c r="S248" s="68"/>
      <c r="T248" s="68"/>
      <c r="U248" s="68"/>
      <c r="V248" s="68"/>
      <c r="W248" s="68"/>
      <c r="X248" s="68"/>
      <c r="Y248" s="68"/>
      <c r="Z248" s="68"/>
    </row>
    <row r="249">
      <c r="A249" s="68"/>
      <c r="B249" s="68"/>
      <c r="C249" s="68"/>
      <c r="D249" s="68"/>
      <c r="E249" s="68"/>
      <c r="F249" s="68"/>
      <c r="G249" s="68"/>
      <c r="H249" s="68"/>
      <c r="I249" s="68"/>
      <c r="J249" s="68"/>
      <c r="K249" s="68"/>
      <c r="L249" s="68"/>
      <c r="M249" s="68"/>
      <c r="N249" s="68"/>
      <c r="O249" s="68"/>
      <c r="P249" s="68"/>
      <c r="Q249" s="68"/>
      <c r="R249" s="68"/>
      <c r="S249" s="68"/>
      <c r="T249" s="68"/>
      <c r="U249" s="68"/>
      <c r="V249" s="68"/>
      <c r="W249" s="68"/>
      <c r="X249" s="68"/>
      <c r="Y249" s="68"/>
      <c r="Z249" s="68"/>
    </row>
    <row r="250">
      <c r="A250" s="68"/>
      <c r="B250" s="68"/>
      <c r="C250" s="68"/>
      <c r="D250" s="68"/>
      <c r="E250" s="68"/>
      <c r="F250" s="68"/>
      <c r="G250" s="68"/>
      <c r="H250" s="68"/>
      <c r="I250" s="68"/>
      <c r="J250" s="68"/>
      <c r="K250" s="68"/>
      <c r="L250" s="68"/>
      <c r="M250" s="68"/>
      <c r="N250" s="68"/>
      <c r="O250" s="68"/>
      <c r="P250" s="68"/>
      <c r="Q250" s="68"/>
      <c r="R250" s="68"/>
      <c r="S250" s="68"/>
      <c r="T250" s="68"/>
      <c r="U250" s="68"/>
      <c r="V250" s="68"/>
      <c r="W250" s="68"/>
      <c r="X250" s="68"/>
      <c r="Y250" s="68"/>
      <c r="Z250" s="68"/>
    </row>
    <row r="251">
      <c r="A251" s="68"/>
      <c r="B251" s="68"/>
      <c r="C251" s="68"/>
      <c r="D251" s="68"/>
      <c r="E251" s="68"/>
      <c r="F251" s="68"/>
      <c r="G251" s="68"/>
      <c r="H251" s="68"/>
      <c r="I251" s="68"/>
      <c r="J251" s="68"/>
      <c r="K251" s="68"/>
      <c r="L251" s="68"/>
      <c r="M251" s="68"/>
      <c r="N251" s="68"/>
      <c r="O251" s="68"/>
      <c r="P251" s="68"/>
      <c r="Q251" s="68"/>
      <c r="R251" s="68"/>
      <c r="S251" s="68"/>
      <c r="T251" s="68"/>
      <c r="U251" s="68"/>
      <c r="V251" s="68"/>
      <c r="W251" s="68"/>
      <c r="X251" s="68"/>
      <c r="Y251" s="68"/>
      <c r="Z251" s="68"/>
    </row>
    <row r="252">
      <c r="A252" s="68"/>
      <c r="B252" s="68"/>
      <c r="C252" s="68"/>
      <c r="D252" s="68"/>
      <c r="E252" s="68"/>
      <c r="F252" s="68"/>
      <c r="G252" s="68"/>
      <c r="H252" s="68"/>
      <c r="I252" s="68"/>
      <c r="J252" s="68"/>
      <c r="K252" s="68"/>
      <c r="L252" s="68"/>
      <c r="M252" s="68"/>
      <c r="N252" s="68"/>
      <c r="O252" s="68"/>
      <c r="P252" s="68"/>
      <c r="Q252" s="68"/>
      <c r="R252" s="68"/>
      <c r="S252" s="68"/>
      <c r="T252" s="68"/>
      <c r="U252" s="68"/>
      <c r="V252" s="68"/>
      <c r="W252" s="68"/>
      <c r="X252" s="68"/>
      <c r="Y252" s="68"/>
      <c r="Z252" s="68"/>
    </row>
    <row r="253">
      <c r="A253" s="68"/>
      <c r="B253" s="68"/>
      <c r="C253" s="68"/>
      <c r="D253" s="68"/>
      <c r="E253" s="68"/>
      <c r="F253" s="68"/>
      <c r="G253" s="68"/>
      <c r="H253" s="68"/>
      <c r="I253" s="68"/>
      <c r="J253" s="68"/>
      <c r="K253" s="68"/>
      <c r="L253" s="68"/>
      <c r="M253" s="68"/>
      <c r="N253" s="68"/>
      <c r="O253" s="68"/>
      <c r="P253" s="68"/>
      <c r="Q253" s="68"/>
      <c r="R253" s="68"/>
      <c r="S253" s="68"/>
      <c r="T253" s="68"/>
      <c r="U253" s="68"/>
      <c r="V253" s="68"/>
      <c r="W253" s="68"/>
      <c r="X253" s="68"/>
      <c r="Y253" s="68"/>
      <c r="Z253" s="68"/>
    </row>
    <row r="254">
      <c r="A254" s="68"/>
      <c r="B254" s="68"/>
      <c r="C254" s="68"/>
      <c r="D254" s="68"/>
      <c r="E254" s="68"/>
      <c r="F254" s="68"/>
      <c r="G254" s="68"/>
      <c r="H254" s="68"/>
      <c r="I254" s="68"/>
      <c r="J254" s="68"/>
      <c r="K254" s="68"/>
      <c r="L254" s="68"/>
      <c r="M254" s="68"/>
      <c r="N254" s="68"/>
      <c r="O254" s="68"/>
      <c r="P254" s="68"/>
      <c r="Q254" s="68"/>
      <c r="R254" s="68"/>
      <c r="S254" s="68"/>
      <c r="T254" s="68"/>
      <c r="U254" s="68"/>
      <c r="V254" s="68"/>
      <c r="W254" s="68"/>
      <c r="X254" s="68"/>
      <c r="Y254" s="68"/>
      <c r="Z254" s="68"/>
    </row>
    <row r="255">
      <c r="A255" s="68"/>
      <c r="B255" s="68"/>
      <c r="C255" s="68"/>
      <c r="D255" s="68"/>
      <c r="E255" s="68"/>
      <c r="F255" s="68"/>
      <c r="G255" s="68"/>
      <c r="H255" s="68"/>
      <c r="I255" s="68"/>
      <c r="J255" s="68"/>
      <c r="K255" s="68"/>
      <c r="L255" s="68"/>
      <c r="M255" s="68"/>
      <c r="N255" s="68"/>
      <c r="O255" s="68"/>
      <c r="P255" s="68"/>
      <c r="Q255" s="68"/>
      <c r="R255" s="68"/>
      <c r="S255" s="68"/>
      <c r="T255" s="68"/>
      <c r="U255" s="68"/>
      <c r="V255" s="68"/>
      <c r="W255" s="68"/>
      <c r="X255" s="68"/>
      <c r="Y255" s="68"/>
      <c r="Z255" s="68"/>
    </row>
    <row r="256">
      <c r="A256" s="68"/>
      <c r="B256" s="68"/>
      <c r="C256" s="68"/>
      <c r="D256" s="68"/>
      <c r="E256" s="68"/>
      <c r="F256" s="68"/>
      <c r="G256" s="68"/>
      <c r="H256" s="68"/>
      <c r="I256" s="68"/>
      <c r="J256" s="68"/>
      <c r="K256" s="68"/>
      <c r="L256" s="68"/>
      <c r="M256" s="68"/>
      <c r="N256" s="68"/>
      <c r="O256" s="68"/>
      <c r="P256" s="68"/>
      <c r="Q256" s="68"/>
      <c r="R256" s="68"/>
      <c r="S256" s="68"/>
      <c r="T256" s="68"/>
      <c r="U256" s="68"/>
      <c r="V256" s="68"/>
      <c r="W256" s="68"/>
      <c r="X256" s="68"/>
      <c r="Y256" s="68"/>
      <c r="Z256" s="68"/>
    </row>
    <row r="257">
      <c r="A257" s="68"/>
      <c r="B257" s="68"/>
      <c r="C257" s="68"/>
      <c r="D257" s="68"/>
      <c r="E257" s="68"/>
      <c r="F257" s="68"/>
      <c r="G257" s="68"/>
      <c r="H257" s="68"/>
      <c r="I257" s="68"/>
      <c r="J257" s="68"/>
      <c r="K257" s="68"/>
      <c r="L257" s="68"/>
      <c r="M257" s="68"/>
      <c r="N257" s="68"/>
      <c r="O257" s="68"/>
      <c r="P257" s="68"/>
      <c r="Q257" s="68"/>
      <c r="R257" s="68"/>
      <c r="S257" s="68"/>
      <c r="T257" s="68"/>
      <c r="U257" s="68"/>
      <c r="V257" s="68"/>
      <c r="W257" s="68"/>
      <c r="X257" s="68"/>
      <c r="Y257" s="68"/>
      <c r="Z257" s="68"/>
    </row>
    <row r="258">
      <c r="A258" s="68"/>
      <c r="B258" s="68"/>
      <c r="C258" s="68"/>
      <c r="D258" s="68"/>
      <c r="E258" s="68"/>
      <c r="F258" s="68"/>
      <c r="G258" s="68"/>
      <c r="H258" s="68"/>
      <c r="I258" s="68"/>
      <c r="J258" s="68"/>
      <c r="K258" s="68"/>
      <c r="L258" s="68"/>
      <c r="M258" s="68"/>
      <c r="N258" s="68"/>
      <c r="O258" s="68"/>
      <c r="P258" s="68"/>
      <c r="Q258" s="68"/>
      <c r="R258" s="68"/>
      <c r="S258" s="68"/>
      <c r="T258" s="68"/>
      <c r="U258" s="68"/>
      <c r="V258" s="68"/>
      <c r="W258" s="68"/>
      <c r="X258" s="68"/>
      <c r="Y258" s="68"/>
      <c r="Z258" s="68"/>
    </row>
    <row r="259">
      <c r="A259" s="68"/>
      <c r="B259" s="68"/>
      <c r="C259" s="68"/>
      <c r="D259" s="68"/>
      <c r="E259" s="68"/>
      <c r="F259" s="68"/>
      <c r="G259" s="68"/>
      <c r="H259" s="68"/>
      <c r="I259" s="68"/>
      <c r="J259" s="68"/>
      <c r="K259" s="68"/>
      <c r="L259" s="68"/>
      <c r="M259" s="68"/>
      <c r="N259" s="68"/>
      <c r="O259" s="68"/>
      <c r="P259" s="68"/>
      <c r="Q259" s="68"/>
      <c r="R259" s="68"/>
      <c r="S259" s="68"/>
      <c r="T259" s="68"/>
      <c r="U259" s="68"/>
      <c r="V259" s="68"/>
      <c r="W259" s="68"/>
      <c r="X259" s="68"/>
      <c r="Y259" s="68"/>
      <c r="Z259" s="68"/>
    </row>
    <row r="260">
      <c r="A260" s="68"/>
      <c r="B260" s="68"/>
      <c r="C260" s="68"/>
      <c r="D260" s="68"/>
      <c r="E260" s="68"/>
      <c r="F260" s="68"/>
      <c r="G260" s="68"/>
      <c r="H260" s="68"/>
      <c r="I260" s="68"/>
      <c r="J260" s="68"/>
      <c r="K260" s="68"/>
      <c r="L260" s="68"/>
      <c r="M260" s="68"/>
      <c r="N260" s="68"/>
      <c r="O260" s="68"/>
      <c r="P260" s="68"/>
      <c r="Q260" s="68"/>
      <c r="R260" s="68"/>
      <c r="S260" s="68"/>
      <c r="T260" s="68"/>
      <c r="U260" s="68"/>
      <c r="V260" s="68"/>
      <c r="W260" s="68"/>
      <c r="X260" s="68"/>
      <c r="Y260" s="68"/>
      <c r="Z260" s="68"/>
    </row>
    <row r="261">
      <c r="A261" s="68"/>
      <c r="B261" s="68"/>
      <c r="C261" s="68"/>
      <c r="D261" s="68"/>
      <c r="E261" s="68"/>
      <c r="F261" s="68"/>
      <c r="G261" s="68"/>
      <c r="H261" s="68"/>
      <c r="I261" s="68"/>
      <c r="J261" s="68"/>
      <c r="K261" s="68"/>
      <c r="L261" s="68"/>
      <c r="M261" s="68"/>
      <c r="N261" s="68"/>
      <c r="O261" s="68"/>
      <c r="P261" s="68"/>
      <c r="Q261" s="68"/>
      <c r="R261" s="68"/>
      <c r="S261" s="68"/>
      <c r="T261" s="68"/>
      <c r="U261" s="68"/>
      <c r="V261" s="68"/>
      <c r="W261" s="68"/>
      <c r="X261" s="68"/>
      <c r="Y261" s="68"/>
      <c r="Z261" s="68"/>
    </row>
    <row r="262">
      <c r="A262" s="68"/>
      <c r="B262" s="68"/>
      <c r="C262" s="68"/>
      <c r="D262" s="68"/>
      <c r="E262" s="68"/>
      <c r="F262" s="68"/>
      <c r="G262" s="68"/>
      <c r="H262" s="68"/>
      <c r="I262" s="68"/>
      <c r="J262" s="68"/>
      <c r="K262" s="68"/>
      <c r="L262" s="68"/>
      <c r="M262" s="68"/>
      <c r="N262" s="68"/>
      <c r="O262" s="68"/>
      <c r="P262" s="68"/>
      <c r="Q262" s="68"/>
      <c r="R262" s="68"/>
      <c r="S262" s="68"/>
      <c r="T262" s="68"/>
      <c r="U262" s="68"/>
      <c r="V262" s="68"/>
      <c r="W262" s="68"/>
      <c r="X262" s="68"/>
      <c r="Y262" s="68"/>
      <c r="Z262" s="68"/>
    </row>
    <row r="263">
      <c r="A263" s="68"/>
      <c r="B263" s="68"/>
      <c r="C263" s="68"/>
      <c r="D263" s="68"/>
      <c r="E263" s="68"/>
      <c r="F263" s="68"/>
      <c r="G263" s="68"/>
      <c r="H263" s="68"/>
      <c r="I263" s="68"/>
      <c r="J263" s="68"/>
      <c r="K263" s="68"/>
      <c r="L263" s="68"/>
      <c r="M263" s="68"/>
      <c r="N263" s="68"/>
      <c r="O263" s="68"/>
      <c r="P263" s="68"/>
      <c r="Q263" s="68"/>
      <c r="R263" s="68"/>
      <c r="S263" s="68"/>
      <c r="T263" s="68"/>
      <c r="U263" s="68"/>
      <c r="V263" s="68"/>
      <c r="W263" s="68"/>
      <c r="X263" s="68"/>
      <c r="Y263" s="68"/>
      <c r="Z263" s="68"/>
    </row>
    <row r="264">
      <c r="A264" s="68"/>
      <c r="B264" s="68"/>
      <c r="C264" s="68"/>
      <c r="D264" s="68"/>
      <c r="E264" s="68"/>
      <c r="F264" s="68"/>
      <c r="G264" s="68"/>
      <c r="H264" s="68"/>
      <c r="I264" s="68"/>
      <c r="J264" s="68"/>
      <c r="K264" s="68"/>
      <c r="L264" s="68"/>
      <c r="M264" s="68"/>
      <c r="N264" s="68"/>
      <c r="O264" s="68"/>
      <c r="P264" s="68"/>
      <c r="Q264" s="68"/>
      <c r="R264" s="68"/>
      <c r="S264" s="68"/>
      <c r="T264" s="68"/>
      <c r="U264" s="68"/>
      <c r="V264" s="68"/>
      <c r="W264" s="68"/>
      <c r="X264" s="68"/>
      <c r="Y264" s="68"/>
      <c r="Z264" s="68"/>
    </row>
    <row r="265">
      <c r="A265" s="68"/>
      <c r="B265" s="68"/>
      <c r="C265" s="68"/>
      <c r="D265" s="68"/>
      <c r="E265" s="68"/>
      <c r="F265" s="68"/>
      <c r="G265" s="68"/>
      <c r="H265" s="68"/>
      <c r="I265" s="68"/>
      <c r="J265" s="68"/>
      <c r="K265" s="68"/>
      <c r="L265" s="68"/>
      <c r="M265" s="68"/>
      <c r="N265" s="68"/>
      <c r="O265" s="68"/>
      <c r="P265" s="68"/>
      <c r="Q265" s="68"/>
      <c r="R265" s="68"/>
      <c r="S265" s="68"/>
      <c r="T265" s="68"/>
      <c r="U265" s="68"/>
      <c r="V265" s="68"/>
      <c r="W265" s="68"/>
      <c r="X265" s="68"/>
      <c r="Y265" s="68"/>
      <c r="Z265" s="68"/>
    </row>
    <row r="266">
      <c r="A266" s="68"/>
      <c r="B266" s="68"/>
      <c r="C266" s="68"/>
      <c r="D266" s="68"/>
      <c r="E266" s="68"/>
      <c r="F266" s="68"/>
      <c r="G266" s="68"/>
      <c r="H266" s="68"/>
      <c r="I266" s="68"/>
      <c r="J266" s="68"/>
      <c r="K266" s="68"/>
      <c r="L266" s="68"/>
      <c r="M266" s="68"/>
      <c r="N266" s="68"/>
      <c r="O266" s="68"/>
      <c r="P266" s="68"/>
      <c r="Q266" s="68"/>
      <c r="R266" s="68"/>
      <c r="S266" s="68"/>
      <c r="T266" s="68"/>
      <c r="U266" s="68"/>
      <c r="V266" s="68"/>
      <c r="W266" s="68"/>
      <c r="X266" s="68"/>
      <c r="Y266" s="68"/>
      <c r="Z266" s="68"/>
    </row>
    <row r="267">
      <c r="A267" s="68"/>
      <c r="B267" s="68"/>
      <c r="C267" s="68"/>
      <c r="D267" s="68"/>
      <c r="E267" s="68"/>
      <c r="F267" s="68"/>
      <c r="G267" s="68"/>
      <c r="H267" s="68"/>
      <c r="I267" s="68"/>
      <c r="J267" s="68"/>
      <c r="K267" s="68"/>
      <c r="L267" s="68"/>
      <c r="M267" s="68"/>
      <c r="N267" s="68"/>
      <c r="O267" s="68"/>
      <c r="P267" s="68"/>
      <c r="Q267" s="68"/>
      <c r="R267" s="68"/>
      <c r="S267" s="68"/>
      <c r="T267" s="68"/>
      <c r="U267" s="68"/>
      <c r="V267" s="68"/>
      <c r="W267" s="68"/>
      <c r="X267" s="68"/>
      <c r="Y267" s="68"/>
      <c r="Z267" s="68"/>
    </row>
    <row r="268">
      <c r="A268" s="68"/>
      <c r="B268" s="68"/>
      <c r="C268" s="68"/>
      <c r="D268" s="68"/>
      <c r="E268" s="68"/>
      <c r="F268" s="68"/>
      <c r="G268" s="68"/>
      <c r="H268" s="68"/>
      <c r="I268" s="68"/>
      <c r="J268" s="68"/>
      <c r="K268" s="68"/>
      <c r="L268" s="68"/>
      <c r="M268" s="68"/>
      <c r="N268" s="68"/>
      <c r="O268" s="68"/>
      <c r="P268" s="68"/>
      <c r="Q268" s="68"/>
      <c r="R268" s="68"/>
      <c r="S268" s="68"/>
      <c r="T268" s="68"/>
      <c r="U268" s="68"/>
      <c r="V268" s="68"/>
      <c r="W268" s="68"/>
      <c r="X268" s="68"/>
      <c r="Y268" s="68"/>
      <c r="Z268" s="68"/>
    </row>
    <row r="269">
      <c r="A269" s="68"/>
      <c r="B269" s="68"/>
      <c r="C269" s="68"/>
      <c r="D269" s="68"/>
      <c r="E269" s="68"/>
      <c r="F269" s="68"/>
      <c r="G269" s="68"/>
      <c r="H269" s="68"/>
      <c r="I269" s="68"/>
      <c r="J269" s="68"/>
      <c r="K269" s="68"/>
      <c r="L269" s="68"/>
      <c r="M269" s="68"/>
      <c r="N269" s="68"/>
      <c r="O269" s="68"/>
      <c r="P269" s="68"/>
      <c r="Q269" s="68"/>
      <c r="R269" s="68"/>
      <c r="S269" s="68"/>
      <c r="T269" s="68"/>
      <c r="U269" s="68"/>
      <c r="V269" s="68"/>
      <c r="W269" s="68"/>
      <c r="X269" s="68"/>
      <c r="Y269" s="68"/>
      <c r="Z269" s="68"/>
    </row>
    <row r="270">
      <c r="A270" s="68"/>
      <c r="B270" s="68"/>
      <c r="C270" s="68"/>
      <c r="D270" s="68"/>
      <c r="E270" s="68"/>
      <c r="F270" s="68"/>
      <c r="G270" s="68"/>
      <c r="H270" s="68"/>
      <c r="I270" s="68"/>
      <c r="J270" s="68"/>
      <c r="K270" s="68"/>
      <c r="L270" s="68"/>
      <c r="M270" s="68"/>
      <c r="N270" s="68"/>
      <c r="O270" s="68"/>
      <c r="P270" s="68"/>
      <c r="Q270" s="68"/>
      <c r="R270" s="68"/>
      <c r="S270" s="68"/>
      <c r="T270" s="68"/>
      <c r="U270" s="68"/>
      <c r="V270" s="68"/>
      <c r="W270" s="68"/>
      <c r="X270" s="68"/>
      <c r="Y270" s="68"/>
      <c r="Z270" s="68"/>
    </row>
    <row r="271">
      <c r="A271" s="68"/>
      <c r="B271" s="68"/>
      <c r="C271" s="68"/>
      <c r="D271" s="68"/>
      <c r="E271" s="68"/>
      <c r="F271" s="68"/>
      <c r="G271" s="68"/>
      <c r="H271" s="68"/>
      <c r="I271" s="68"/>
      <c r="J271" s="68"/>
      <c r="K271" s="68"/>
      <c r="L271" s="68"/>
      <c r="M271" s="68"/>
      <c r="N271" s="68"/>
      <c r="O271" s="68"/>
      <c r="P271" s="68"/>
      <c r="Q271" s="68"/>
      <c r="R271" s="68"/>
      <c r="S271" s="68"/>
      <c r="T271" s="68"/>
      <c r="U271" s="68"/>
      <c r="V271" s="68"/>
      <c r="W271" s="68"/>
      <c r="X271" s="68"/>
      <c r="Y271" s="68"/>
      <c r="Z271" s="68"/>
    </row>
    <row r="272">
      <c r="A272" s="68"/>
      <c r="B272" s="68"/>
      <c r="C272" s="68"/>
      <c r="D272" s="68"/>
      <c r="E272" s="68"/>
      <c r="F272" s="68"/>
      <c r="G272" s="68"/>
      <c r="H272" s="68"/>
      <c r="I272" s="68"/>
      <c r="J272" s="68"/>
      <c r="K272" s="68"/>
      <c r="L272" s="68"/>
      <c r="M272" s="68"/>
      <c r="N272" s="68"/>
      <c r="O272" s="68"/>
      <c r="P272" s="68"/>
      <c r="Q272" s="68"/>
      <c r="R272" s="68"/>
      <c r="S272" s="68"/>
      <c r="T272" s="68"/>
      <c r="U272" s="68"/>
      <c r="V272" s="68"/>
      <c r="W272" s="68"/>
      <c r="X272" s="68"/>
      <c r="Y272" s="68"/>
      <c r="Z272" s="68"/>
    </row>
    <row r="273">
      <c r="A273" s="68"/>
      <c r="B273" s="68"/>
      <c r="C273" s="68"/>
      <c r="D273" s="68"/>
      <c r="E273" s="68"/>
      <c r="F273" s="68"/>
      <c r="G273" s="68"/>
      <c r="H273" s="68"/>
      <c r="I273" s="68"/>
      <c r="J273" s="68"/>
      <c r="K273" s="68"/>
      <c r="L273" s="68"/>
      <c r="M273" s="68"/>
      <c r="N273" s="68"/>
      <c r="O273" s="68"/>
      <c r="P273" s="68"/>
      <c r="Q273" s="68"/>
      <c r="R273" s="68"/>
      <c r="S273" s="68"/>
      <c r="T273" s="68"/>
      <c r="U273" s="68"/>
      <c r="V273" s="68"/>
      <c r="W273" s="68"/>
      <c r="X273" s="68"/>
      <c r="Y273" s="68"/>
      <c r="Z273" s="68"/>
    </row>
    <row r="274">
      <c r="A274" s="68"/>
      <c r="B274" s="68"/>
      <c r="C274" s="68"/>
      <c r="D274" s="68"/>
      <c r="E274" s="68"/>
      <c r="F274" s="68"/>
      <c r="G274" s="68"/>
      <c r="H274" s="68"/>
      <c r="I274" s="68"/>
      <c r="J274" s="68"/>
      <c r="K274" s="68"/>
      <c r="L274" s="68"/>
      <c r="M274" s="68"/>
      <c r="N274" s="68"/>
      <c r="O274" s="68"/>
      <c r="P274" s="68"/>
      <c r="Q274" s="68"/>
      <c r="R274" s="68"/>
      <c r="S274" s="68"/>
      <c r="T274" s="68"/>
      <c r="U274" s="68"/>
      <c r="V274" s="68"/>
      <c r="W274" s="68"/>
      <c r="X274" s="68"/>
      <c r="Y274" s="68"/>
      <c r="Z274" s="68"/>
    </row>
    <row r="275">
      <c r="A275" s="68"/>
      <c r="B275" s="68"/>
      <c r="C275" s="68"/>
      <c r="D275" s="68"/>
      <c r="E275" s="68"/>
      <c r="F275" s="68"/>
      <c r="G275" s="68"/>
      <c r="H275" s="68"/>
      <c r="I275" s="68"/>
      <c r="J275" s="68"/>
      <c r="K275" s="68"/>
      <c r="L275" s="68"/>
      <c r="M275" s="68"/>
      <c r="N275" s="68"/>
      <c r="O275" s="68"/>
      <c r="P275" s="68"/>
      <c r="Q275" s="68"/>
      <c r="R275" s="68"/>
      <c r="S275" s="68"/>
      <c r="T275" s="68"/>
      <c r="U275" s="68"/>
      <c r="V275" s="68"/>
      <c r="W275" s="68"/>
      <c r="X275" s="68"/>
      <c r="Y275" s="68"/>
      <c r="Z275" s="68"/>
    </row>
    <row r="276">
      <c r="A276" s="68"/>
      <c r="B276" s="68"/>
      <c r="C276" s="68"/>
      <c r="D276" s="68"/>
      <c r="E276" s="68"/>
      <c r="F276" s="68"/>
      <c r="G276" s="68"/>
      <c r="H276" s="68"/>
      <c r="I276" s="68"/>
      <c r="J276" s="68"/>
      <c r="K276" s="68"/>
      <c r="L276" s="68"/>
      <c r="M276" s="68"/>
      <c r="N276" s="68"/>
      <c r="O276" s="68"/>
      <c r="P276" s="68"/>
      <c r="Q276" s="68"/>
      <c r="R276" s="68"/>
      <c r="S276" s="68"/>
      <c r="T276" s="68"/>
      <c r="U276" s="68"/>
      <c r="V276" s="68"/>
      <c r="W276" s="68"/>
      <c r="X276" s="68"/>
      <c r="Y276" s="68"/>
      <c r="Z276" s="68"/>
    </row>
    <row r="277">
      <c r="A277" s="68"/>
      <c r="B277" s="68"/>
      <c r="C277" s="68"/>
      <c r="D277" s="68"/>
      <c r="E277" s="68"/>
      <c r="F277" s="68"/>
      <c r="G277" s="68"/>
      <c r="H277" s="68"/>
      <c r="I277" s="68"/>
      <c r="J277" s="68"/>
      <c r="K277" s="68"/>
      <c r="L277" s="68"/>
      <c r="M277" s="68"/>
      <c r="N277" s="68"/>
      <c r="O277" s="68"/>
      <c r="P277" s="68"/>
      <c r="Q277" s="68"/>
      <c r="R277" s="68"/>
      <c r="S277" s="68"/>
      <c r="T277" s="68"/>
      <c r="U277" s="68"/>
      <c r="V277" s="68"/>
      <c r="W277" s="68"/>
      <c r="X277" s="68"/>
      <c r="Y277" s="68"/>
      <c r="Z277" s="68"/>
    </row>
    <row r="278">
      <c r="A278" s="68"/>
      <c r="B278" s="68"/>
      <c r="C278" s="68"/>
      <c r="D278" s="68"/>
      <c r="E278" s="68"/>
      <c r="F278" s="68"/>
      <c r="G278" s="68"/>
      <c r="H278" s="68"/>
      <c r="I278" s="68"/>
      <c r="J278" s="68"/>
      <c r="K278" s="68"/>
      <c r="L278" s="68"/>
      <c r="M278" s="68"/>
      <c r="N278" s="68"/>
      <c r="O278" s="68"/>
      <c r="P278" s="68"/>
      <c r="Q278" s="68"/>
      <c r="R278" s="68"/>
      <c r="S278" s="68"/>
      <c r="T278" s="68"/>
      <c r="U278" s="68"/>
      <c r="V278" s="68"/>
      <c r="W278" s="68"/>
      <c r="X278" s="68"/>
      <c r="Y278" s="68"/>
      <c r="Z278" s="68"/>
    </row>
    <row r="279">
      <c r="A279" s="68"/>
      <c r="B279" s="68"/>
      <c r="C279" s="68"/>
      <c r="D279" s="68"/>
      <c r="E279" s="68"/>
      <c r="F279" s="68"/>
      <c r="G279" s="68"/>
      <c r="H279" s="68"/>
      <c r="I279" s="68"/>
      <c r="J279" s="68"/>
      <c r="K279" s="68"/>
      <c r="L279" s="68"/>
      <c r="M279" s="68"/>
      <c r="N279" s="68"/>
      <c r="O279" s="68"/>
      <c r="P279" s="68"/>
      <c r="Q279" s="68"/>
      <c r="R279" s="68"/>
      <c r="S279" s="68"/>
      <c r="T279" s="68"/>
      <c r="U279" s="68"/>
      <c r="V279" s="68"/>
      <c r="W279" s="68"/>
      <c r="X279" s="68"/>
      <c r="Y279" s="68"/>
      <c r="Z279" s="68"/>
    </row>
    <row r="280">
      <c r="A280" s="68"/>
      <c r="B280" s="68"/>
      <c r="C280" s="68"/>
      <c r="D280" s="68"/>
      <c r="E280" s="68"/>
      <c r="F280" s="68"/>
      <c r="G280" s="68"/>
      <c r="H280" s="68"/>
      <c r="I280" s="68"/>
      <c r="J280" s="68"/>
      <c r="K280" s="68"/>
      <c r="L280" s="68"/>
      <c r="M280" s="68"/>
      <c r="N280" s="68"/>
      <c r="O280" s="68"/>
      <c r="P280" s="68"/>
      <c r="Q280" s="68"/>
      <c r="R280" s="68"/>
      <c r="S280" s="68"/>
      <c r="T280" s="68"/>
      <c r="U280" s="68"/>
      <c r="V280" s="68"/>
      <c r="W280" s="68"/>
      <c r="X280" s="68"/>
      <c r="Y280" s="68"/>
      <c r="Z280" s="68"/>
    </row>
    <row r="281">
      <c r="A281" s="68"/>
      <c r="B281" s="68"/>
      <c r="C281" s="68"/>
      <c r="D281" s="68"/>
      <c r="E281" s="68"/>
      <c r="F281" s="68"/>
      <c r="G281" s="68"/>
      <c r="H281" s="68"/>
      <c r="I281" s="68"/>
      <c r="J281" s="68"/>
      <c r="K281" s="68"/>
      <c r="L281" s="68"/>
      <c r="M281" s="68"/>
      <c r="N281" s="68"/>
      <c r="O281" s="68"/>
      <c r="P281" s="68"/>
      <c r="Q281" s="68"/>
      <c r="R281" s="68"/>
      <c r="S281" s="68"/>
      <c r="T281" s="68"/>
      <c r="U281" s="68"/>
      <c r="V281" s="68"/>
      <c r="W281" s="68"/>
      <c r="X281" s="68"/>
      <c r="Y281" s="68"/>
      <c r="Z281" s="68"/>
    </row>
    <row r="282">
      <c r="A282" s="68"/>
      <c r="B282" s="68"/>
      <c r="C282" s="68"/>
      <c r="D282" s="68"/>
      <c r="E282" s="68"/>
      <c r="F282" s="68"/>
      <c r="G282" s="68"/>
      <c r="H282" s="68"/>
      <c r="I282" s="68"/>
      <c r="J282" s="68"/>
      <c r="K282" s="68"/>
      <c r="L282" s="68"/>
      <c r="M282" s="68"/>
      <c r="N282" s="68"/>
      <c r="O282" s="68"/>
      <c r="P282" s="68"/>
      <c r="Q282" s="68"/>
      <c r="R282" s="68"/>
      <c r="S282" s="68"/>
      <c r="T282" s="68"/>
      <c r="U282" s="68"/>
      <c r="V282" s="68"/>
      <c r="W282" s="68"/>
      <c r="X282" s="68"/>
      <c r="Y282" s="68"/>
      <c r="Z282" s="68"/>
    </row>
    <row r="283">
      <c r="A283" s="68"/>
      <c r="B283" s="68"/>
      <c r="C283" s="68"/>
      <c r="D283" s="68"/>
      <c r="E283" s="68"/>
      <c r="F283" s="68"/>
      <c r="G283" s="68"/>
      <c r="H283" s="68"/>
      <c r="I283" s="68"/>
      <c r="J283" s="68"/>
      <c r="K283" s="68"/>
      <c r="L283" s="68"/>
      <c r="M283" s="68"/>
      <c r="N283" s="68"/>
      <c r="O283" s="68"/>
      <c r="P283" s="68"/>
      <c r="Q283" s="68"/>
      <c r="R283" s="68"/>
      <c r="S283" s="68"/>
      <c r="T283" s="68"/>
      <c r="U283" s="68"/>
      <c r="V283" s="68"/>
      <c r="W283" s="68"/>
      <c r="X283" s="68"/>
      <c r="Y283" s="68"/>
      <c r="Z283" s="68"/>
    </row>
    <row r="284">
      <c r="A284" s="68"/>
      <c r="B284" s="68"/>
      <c r="C284" s="68"/>
      <c r="D284" s="68"/>
      <c r="E284" s="68"/>
      <c r="F284" s="68"/>
      <c r="G284" s="68"/>
      <c r="H284" s="68"/>
      <c r="I284" s="68"/>
      <c r="J284" s="68"/>
      <c r="K284" s="68"/>
      <c r="L284" s="68"/>
      <c r="M284" s="68"/>
      <c r="N284" s="68"/>
      <c r="O284" s="68"/>
      <c r="P284" s="68"/>
      <c r="Q284" s="68"/>
      <c r="R284" s="68"/>
      <c r="S284" s="68"/>
      <c r="T284" s="68"/>
      <c r="U284" s="68"/>
      <c r="V284" s="68"/>
      <c r="W284" s="68"/>
      <c r="X284" s="68"/>
      <c r="Y284" s="68"/>
      <c r="Z284" s="68"/>
    </row>
    <row r="285">
      <c r="A285" s="68"/>
      <c r="B285" s="68"/>
      <c r="C285" s="68"/>
      <c r="D285" s="68"/>
      <c r="E285" s="68"/>
      <c r="F285" s="68"/>
      <c r="G285" s="68"/>
      <c r="H285" s="68"/>
      <c r="I285" s="68"/>
      <c r="J285" s="68"/>
      <c r="K285" s="68"/>
      <c r="L285" s="68"/>
      <c r="M285" s="68"/>
      <c r="N285" s="68"/>
      <c r="O285" s="68"/>
      <c r="P285" s="68"/>
      <c r="Q285" s="68"/>
      <c r="R285" s="68"/>
      <c r="S285" s="68"/>
      <c r="T285" s="68"/>
      <c r="U285" s="68"/>
      <c r="V285" s="68"/>
      <c r="W285" s="68"/>
      <c r="X285" s="68"/>
      <c r="Y285" s="68"/>
      <c r="Z285" s="68"/>
    </row>
    <row r="286">
      <c r="A286" s="68"/>
      <c r="B286" s="68"/>
      <c r="C286" s="68"/>
      <c r="D286" s="68"/>
      <c r="E286" s="68"/>
      <c r="F286" s="68"/>
      <c r="G286" s="68"/>
      <c r="H286" s="68"/>
      <c r="I286" s="68"/>
      <c r="J286" s="68"/>
      <c r="K286" s="68"/>
      <c r="L286" s="68"/>
      <c r="M286" s="68"/>
      <c r="N286" s="68"/>
      <c r="O286" s="68"/>
      <c r="P286" s="68"/>
      <c r="Q286" s="68"/>
      <c r="R286" s="68"/>
      <c r="S286" s="68"/>
      <c r="T286" s="68"/>
      <c r="U286" s="68"/>
      <c r="V286" s="68"/>
      <c r="W286" s="68"/>
      <c r="X286" s="68"/>
      <c r="Y286" s="68"/>
      <c r="Z286" s="68"/>
    </row>
    <row r="287">
      <c r="A287" s="68"/>
      <c r="B287" s="68"/>
      <c r="C287" s="68"/>
      <c r="D287" s="68"/>
      <c r="E287" s="68"/>
      <c r="F287" s="68"/>
      <c r="G287" s="68"/>
      <c r="H287" s="68"/>
      <c r="I287" s="68"/>
      <c r="J287" s="68"/>
      <c r="K287" s="68"/>
      <c r="L287" s="68"/>
      <c r="M287" s="68"/>
      <c r="N287" s="68"/>
      <c r="O287" s="68"/>
      <c r="P287" s="68"/>
      <c r="Q287" s="68"/>
      <c r="R287" s="68"/>
      <c r="S287" s="68"/>
      <c r="T287" s="68"/>
      <c r="U287" s="68"/>
      <c r="V287" s="68"/>
      <c r="W287" s="68"/>
      <c r="X287" s="68"/>
      <c r="Y287" s="68"/>
      <c r="Z287" s="68"/>
    </row>
    <row r="288">
      <c r="A288" s="68"/>
      <c r="B288" s="68"/>
      <c r="C288" s="68"/>
      <c r="D288" s="68"/>
      <c r="E288" s="68"/>
      <c r="F288" s="68"/>
      <c r="G288" s="68"/>
      <c r="H288" s="68"/>
      <c r="I288" s="68"/>
      <c r="J288" s="68"/>
      <c r="K288" s="68"/>
      <c r="L288" s="68"/>
      <c r="M288" s="68"/>
      <c r="N288" s="68"/>
      <c r="O288" s="68"/>
      <c r="P288" s="68"/>
      <c r="Q288" s="68"/>
      <c r="R288" s="68"/>
      <c r="S288" s="68"/>
      <c r="T288" s="68"/>
      <c r="U288" s="68"/>
      <c r="V288" s="68"/>
      <c r="W288" s="68"/>
      <c r="X288" s="68"/>
      <c r="Y288" s="68"/>
      <c r="Z288" s="68"/>
    </row>
    <row r="289">
      <c r="A289" s="68"/>
      <c r="B289" s="68"/>
      <c r="C289" s="68"/>
      <c r="D289" s="68"/>
      <c r="E289" s="68"/>
      <c r="F289" s="68"/>
      <c r="G289" s="68"/>
      <c r="H289" s="68"/>
      <c r="I289" s="68"/>
      <c r="J289" s="68"/>
      <c r="K289" s="68"/>
      <c r="L289" s="68"/>
      <c r="M289" s="68"/>
      <c r="N289" s="68"/>
      <c r="O289" s="68"/>
      <c r="P289" s="68"/>
      <c r="Q289" s="68"/>
      <c r="R289" s="68"/>
      <c r="S289" s="68"/>
      <c r="T289" s="68"/>
      <c r="U289" s="68"/>
      <c r="V289" s="68"/>
      <c r="W289" s="68"/>
      <c r="X289" s="68"/>
      <c r="Y289" s="68"/>
      <c r="Z289" s="68"/>
    </row>
    <row r="290">
      <c r="A290" s="68"/>
      <c r="B290" s="68"/>
      <c r="C290" s="68"/>
      <c r="D290" s="68"/>
      <c r="E290" s="68"/>
      <c r="F290" s="68"/>
      <c r="G290" s="68"/>
      <c r="H290" s="68"/>
      <c r="I290" s="68"/>
      <c r="J290" s="68"/>
      <c r="K290" s="68"/>
      <c r="L290" s="68"/>
      <c r="M290" s="68"/>
      <c r="N290" s="68"/>
      <c r="O290" s="68"/>
      <c r="P290" s="68"/>
      <c r="Q290" s="68"/>
      <c r="R290" s="68"/>
      <c r="S290" s="68"/>
      <c r="T290" s="68"/>
      <c r="U290" s="68"/>
      <c r="V290" s="68"/>
      <c r="W290" s="68"/>
      <c r="X290" s="68"/>
      <c r="Y290" s="68"/>
      <c r="Z290" s="68"/>
    </row>
    <row r="291">
      <c r="A291" s="68"/>
      <c r="B291" s="68"/>
      <c r="C291" s="68"/>
      <c r="D291" s="68"/>
      <c r="E291" s="68"/>
      <c r="F291" s="68"/>
      <c r="G291" s="68"/>
      <c r="H291" s="68"/>
      <c r="I291" s="68"/>
      <c r="J291" s="68"/>
      <c r="K291" s="68"/>
      <c r="L291" s="68"/>
      <c r="M291" s="68"/>
      <c r="N291" s="68"/>
      <c r="O291" s="68"/>
      <c r="P291" s="68"/>
      <c r="Q291" s="68"/>
      <c r="R291" s="68"/>
      <c r="S291" s="68"/>
      <c r="T291" s="68"/>
      <c r="U291" s="68"/>
      <c r="V291" s="68"/>
      <c r="W291" s="68"/>
      <c r="X291" s="68"/>
      <c r="Y291" s="68"/>
      <c r="Z291" s="68"/>
    </row>
    <row r="292">
      <c r="A292" s="68"/>
      <c r="B292" s="68"/>
      <c r="C292" s="68"/>
      <c r="D292" s="68"/>
      <c r="E292" s="68"/>
      <c r="F292" s="68"/>
      <c r="G292" s="68"/>
      <c r="H292" s="68"/>
      <c r="I292" s="68"/>
      <c r="J292" s="68"/>
      <c r="K292" s="68"/>
      <c r="L292" s="68"/>
      <c r="M292" s="68"/>
      <c r="N292" s="68"/>
      <c r="O292" s="68"/>
      <c r="P292" s="68"/>
      <c r="Q292" s="68"/>
      <c r="R292" s="68"/>
      <c r="S292" s="68"/>
      <c r="T292" s="68"/>
      <c r="U292" s="68"/>
      <c r="V292" s="68"/>
      <c r="W292" s="68"/>
      <c r="X292" s="68"/>
      <c r="Y292" s="68"/>
      <c r="Z292" s="68"/>
    </row>
    <row r="293">
      <c r="A293" s="68"/>
      <c r="B293" s="68"/>
      <c r="C293" s="68"/>
      <c r="D293" s="68"/>
      <c r="E293" s="68"/>
      <c r="F293" s="68"/>
      <c r="G293" s="68"/>
      <c r="H293" s="68"/>
      <c r="I293" s="68"/>
      <c r="J293" s="68"/>
      <c r="K293" s="68"/>
      <c r="L293" s="68"/>
      <c r="M293" s="68"/>
      <c r="N293" s="68"/>
      <c r="O293" s="68"/>
      <c r="P293" s="68"/>
      <c r="Q293" s="68"/>
      <c r="R293" s="68"/>
      <c r="S293" s="68"/>
      <c r="T293" s="68"/>
      <c r="U293" s="68"/>
      <c r="V293" s="68"/>
      <c r="W293" s="68"/>
      <c r="X293" s="68"/>
      <c r="Y293" s="68"/>
      <c r="Z293" s="68"/>
    </row>
    <row r="294">
      <c r="A294" s="68"/>
      <c r="B294" s="68"/>
      <c r="C294" s="68"/>
      <c r="D294" s="68"/>
      <c r="E294" s="68"/>
      <c r="F294" s="68"/>
      <c r="G294" s="68"/>
      <c r="H294" s="68"/>
      <c r="I294" s="68"/>
      <c r="J294" s="68"/>
      <c r="K294" s="68"/>
      <c r="L294" s="68"/>
      <c r="M294" s="68"/>
      <c r="N294" s="68"/>
      <c r="O294" s="68"/>
      <c r="P294" s="68"/>
      <c r="Q294" s="68"/>
      <c r="R294" s="68"/>
      <c r="S294" s="68"/>
      <c r="T294" s="68"/>
      <c r="U294" s="68"/>
      <c r="V294" s="68"/>
      <c r="W294" s="68"/>
      <c r="X294" s="68"/>
      <c r="Y294" s="68"/>
      <c r="Z294" s="68"/>
    </row>
    <row r="295">
      <c r="A295" s="68"/>
      <c r="B295" s="68"/>
      <c r="C295" s="68"/>
      <c r="D295" s="68"/>
      <c r="E295" s="68"/>
      <c r="F295" s="68"/>
      <c r="G295" s="68"/>
      <c r="H295" s="68"/>
      <c r="I295" s="68"/>
      <c r="J295" s="68"/>
      <c r="K295" s="68"/>
      <c r="L295" s="68"/>
      <c r="M295" s="68"/>
      <c r="N295" s="68"/>
      <c r="O295" s="68"/>
      <c r="P295" s="68"/>
      <c r="Q295" s="68"/>
      <c r="R295" s="68"/>
      <c r="S295" s="68"/>
      <c r="T295" s="68"/>
      <c r="U295" s="68"/>
      <c r="V295" s="68"/>
      <c r="W295" s="68"/>
      <c r="X295" s="68"/>
      <c r="Y295" s="68"/>
      <c r="Z295" s="68"/>
    </row>
    <row r="296">
      <c r="A296" s="68"/>
      <c r="B296" s="68"/>
      <c r="C296" s="68"/>
      <c r="D296" s="68"/>
      <c r="E296" s="68"/>
      <c r="F296" s="68"/>
      <c r="G296" s="68"/>
      <c r="H296" s="68"/>
      <c r="I296" s="68"/>
      <c r="J296" s="68"/>
      <c r="K296" s="68"/>
      <c r="L296" s="68"/>
      <c r="M296" s="68"/>
      <c r="N296" s="68"/>
      <c r="O296" s="68"/>
      <c r="P296" s="68"/>
      <c r="Q296" s="68"/>
      <c r="R296" s="68"/>
      <c r="S296" s="68"/>
      <c r="T296" s="68"/>
      <c r="U296" s="68"/>
      <c r="V296" s="68"/>
      <c r="W296" s="68"/>
      <c r="X296" s="68"/>
      <c r="Y296" s="68"/>
      <c r="Z296" s="68"/>
    </row>
    <row r="297">
      <c r="A297" s="68"/>
      <c r="B297" s="68"/>
      <c r="C297" s="68"/>
      <c r="D297" s="68"/>
      <c r="E297" s="68"/>
      <c r="F297" s="68"/>
      <c r="G297" s="68"/>
      <c r="H297" s="68"/>
      <c r="I297" s="68"/>
      <c r="J297" s="68"/>
      <c r="K297" s="68"/>
      <c r="L297" s="68"/>
      <c r="M297" s="68"/>
      <c r="N297" s="68"/>
      <c r="O297" s="68"/>
      <c r="P297" s="68"/>
      <c r="Q297" s="68"/>
      <c r="R297" s="68"/>
      <c r="S297" s="68"/>
      <c r="T297" s="68"/>
      <c r="U297" s="68"/>
      <c r="V297" s="68"/>
      <c r="W297" s="68"/>
      <c r="X297" s="68"/>
      <c r="Y297" s="68"/>
      <c r="Z297" s="68"/>
    </row>
    <row r="298">
      <c r="A298" s="68"/>
      <c r="B298" s="68"/>
      <c r="C298" s="68"/>
      <c r="D298" s="68"/>
      <c r="E298" s="68"/>
      <c r="F298" s="68"/>
      <c r="G298" s="68"/>
      <c r="H298" s="68"/>
      <c r="I298" s="68"/>
      <c r="J298" s="68"/>
      <c r="K298" s="68"/>
      <c r="L298" s="68"/>
      <c r="M298" s="68"/>
      <c r="N298" s="68"/>
      <c r="O298" s="68"/>
      <c r="P298" s="68"/>
      <c r="Q298" s="68"/>
      <c r="R298" s="68"/>
      <c r="S298" s="68"/>
      <c r="T298" s="68"/>
      <c r="U298" s="68"/>
      <c r="V298" s="68"/>
      <c r="W298" s="68"/>
      <c r="X298" s="68"/>
      <c r="Y298" s="68"/>
      <c r="Z298" s="68"/>
    </row>
    <row r="299">
      <c r="A299" s="68"/>
      <c r="B299" s="68"/>
      <c r="C299" s="68"/>
      <c r="D299" s="68"/>
      <c r="E299" s="68"/>
      <c r="F299" s="68"/>
      <c r="G299" s="68"/>
      <c r="H299" s="68"/>
      <c r="I299" s="68"/>
      <c r="J299" s="68"/>
      <c r="K299" s="68"/>
      <c r="L299" s="68"/>
      <c r="M299" s="68"/>
      <c r="N299" s="68"/>
      <c r="O299" s="68"/>
      <c r="P299" s="68"/>
      <c r="Q299" s="68"/>
      <c r="R299" s="68"/>
      <c r="S299" s="68"/>
      <c r="T299" s="68"/>
      <c r="U299" s="68"/>
      <c r="V299" s="68"/>
      <c r="W299" s="68"/>
      <c r="X299" s="68"/>
      <c r="Y299" s="68"/>
      <c r="Z299" s="68"/>
    </row>
    <row r="300">
      <c r="A300" s="68"/>
      <c r="B300" s="68"/>
      <c r="C300" s="68"/>
      <c r="D300" s="68"/>
      <c r="E300" s="68"/>
      <c r="F300" s="68"/>
      <c r="G300" s="68"/>
      <c r="H300" s="68"/>
      <c r="I300" s="68"/>
      <c r="J300" s="68"/>
      <c r="K300" s="68"/>
      <c r="L300" s="68"/>
      <c r="M300" s="68"/>
      <c r="N300" s="68"/>
      <c r="O300" s="68"/>
      <c r="P300" s="68"/>
      <c r="Q300" s="68"/>
      <c r="R300" s="68"/>
      <c r="S300" s="68"/>
      <c r="T300" s="68"/>
      <c r="U300" s="68"/>
      <c r="V300" s="68"/>
      <c r="W300" s="68"/>
      <c r="X300" s="68"/>
      <c r="Y300" s="68"/>
      <c r="Z300" s="68"/>
    </row>
    <row r="301">
      <c r="A301" s="68"/>
      <c r="B301" s="68"/>
      <c r="C301" s="68"/>
      <c r="D301" s="68"/>
      <c r="E301" s="68"/>
      <c r="F301" s="68"/>
      <c r="G301" s="68"/>
      <c r="H301" s="68"/>
      <c r="I301" s="68"/>
      <c r="J301" s="68"/>
      <c r="K301" s="68"/>
      <c r="L301" s="68"/>
      <c r="M301" s="68"/>
      <c r="N301" s="68"/>
      <c r="O301" s="68"/>
      <c r="P301" s="68"/>
      <c r="Q301" s="68"/>
      <c r="R301" s="68"/>
      <c r="S301" s="68"/>
      <c r="T301" s="68"/>
      <c r="U301" s="68"/>
      <c r="V301" s="68"/>
      <c r="W301" s="68"/>
      <c r="X301" s="68"/>
      <c r="Y301" s="68"/>
      <c r="Z301" s="68"/>
    </row>
    <row r="302">
      <c r="A302" s="68"/>
      <c r="B302" s="68"/>
      <c r="C302" s="68"/>
      <c r="D302" s="68"/>
      <c r="E302" s="68"/>
      <c r="F302" s="68"/>
      <c r="G302" s="68"/>
      <c r="H302" s="68"/>
      <c r="I302" s="68"/>
      <c r="J302" s="68"/>
      <c r="K302" s="68"/>
      <c r="L302" s="68"/>
      <c r="M302" s="68"/>
      <c r="N302" s="68"/>
      <c r="O302" s="68"/>
      <c r="P302" s="68"/>
      <c r="Q302" s="68"/>
      <c r="R302" s="68"/>
      <c r="S302" s="68"/>
      <c r="T302" s="68"/>
      <c r="U302" s="68"/>
      <c r="V302" s="68"/>
      <c r="W302" s="68"/>
      <c r="X302" s="68"/>
      <c r="Y302" s="68"/>
      <c r="Z302" s="68"/>
    </row>
    <row r="303">
      <c r="A303" s="68"/>
      <c r="B303" s="68"/>
      <c r="C303" s="68"/>
      <c r="D303" s="68"/>
      <c r="E303" s="68"/>
      <c r="F303" s="68"/>
      <c r="G303" s="68"/>
      <c r="H303" s="68"/>
      <c r="I303" s="68"/>
      <c r="J303" s="68"/>
      <c r="K303" s="68"/>
      <c r="L303" s="68"/>
      <c r="M303" s="68"/>
      <c r="N303" s="68"/>
      <c r="O303" s="68"/>
      <c r="P303" s="68"/>
      <c r="Q303" s="68"/>
      <c r="R303" s="68"/>
      <c r="S303" s="68"/>
      <c r="T303" s="68"/>
      <c r="U303" s="68"/>
      <c r="V303" s="68"/>
      <c r="W303" s="68"/>
      <c r="X303" s="68"/>
      <c r="Y303" s="68"/>
      <c r="Z303" s="68"/>
    </row>
    <row r="304">
      <c r="A304" s="68"/>
      <c r="B304" s="68"/>
      <c r="C304" s="68"/>
      <c r="D304" s="68"/>
      <c r="E304" s="68"/>
      <c r="F304" s="68"/>
      <c r="G304" s="68"/>
      <c r="H304" s="68"/>
      <c r="I304" s="68"/>
      <c r="J304" s="68"/>
      <c r="K304" s="68"/>
      <c r="L304" s="68"/>
      <c r="M304" s="68"/>
      <c r="N304" s="68"/>
      <c r="O304" s="68"/>
      <c r="P304" s="68"/>
      <c r="Q304" s="68"/>
      <c r="R304" s="68"/>
      <c r="S304" s="68"/>
      <c r="T304" s="68"/>
      <c r="U304" s="68"/>
      <c r="V304" s="68"/>
      <c r="W304" s="68"/>
      <c r="X304" s="68"/>
      <c r="Y304" s="68"/>
      <c r="Z304" s="68"/>
    </row>
    <row r="305">
      <c r="A305" s="68"/>
      <c r="B305" s="68"/>
      <c r="C305" s="68"/>
      <c r="D305" s="68"/>
      <c r="E305" s="68"/>
      <c r="F305" s="68"/>
      <c r="G305" s="68"/>
      <c r="H305" s="68"/>
      <c r="I305" s="68"/>
      <c r="J305" s="68"/>
      <c r="K305" s="68"/>
      <c r="L305" s="68"/>
      <c r="M305" s="68"/>
      <c r="N305" s="68"/>
      <c r="O305" s="68"/>
      <c r="P305" s="68"/>
      <c r="Q305" s="68"/>
      <c r="R305" s="68"/>
      <c r="S305" s="68"/>
      <c r="T305" s="68"/>
      <c r="U305" s="68"/>
      <c r="V305" s="68"/>
      <c r="W305" s="68"/>
      <c r="X305" s="68"/>
      <c r="Y305" s="68"/>
      <c r="Z305" s="68"/>
    </row>
    <row r="306">
      <c r="A306" s="68"/>
      <c r="B306" s="68"/>
      <c r="C306" s="68"/>
      <c r="D306" s="68"/>
      <c r="E306" s="68"/>
      <c r="F306" s="68"/>
      <c r="G306" s="68"/>
      <c r="H306" s="68"/>
      <c r="I306" s="68"/>
      <c r="J306" s="68"/>
      <c r="K306" s="68"/>
      <c r="L306" s="68"/>
      <c r="M306" s="68"/>
      <c r="N306" s="68"/>
      <c r="O306" s="68"/>
      <c r="P306" s="68"/>
      <c r="Q306" s="68"/>
      <c r="R306" s="68"/>
      <c r="S306" s="68"/>
      <c r="T306" s="68"/>
      <c r="U306" s="68"/>
      <c r="V306" s="68"/>
      <c r="W306" s="68"/>
      <c r="X306" s="68"/>
      <c r="Y306" s="68"/>
      <c r="Z306" s="68"/>
    </row>
    <row r="307">
      <c r="A307" s="68"/>
      <c r="B307" s="68"/>
      <c r="C307" s="68"/>
      <c r="D307" s="68"/>
      <c r="E307" s="68"/>
      <c r="F307" s="68"/>
      <c r="G307" s="68"/>
      <c r="H307" s="68"/>
      <c r="I307" s="68"/>
      <c r="J307" s="68"/>
      <c r="K307" s="68"/>
      <c r="L307" s="68"/>
      <c r="M307" s="68"/>
      <c r="N307" s="68"/>
      <c r="O307" s="68"/>
      <c r="P307" s="68"/>
      <c r="Q307" s="68"/>
      <c r="R307" s="68"/>
      <c r="S307" s="68"/>
      <c r="T307" s="68"/>
      <c r="U307" s="68"/>
      <c r="V307" s="68"/>
      <c r="W307" s="68"/>
      <c r="X307" s="68"/>
      <c r="Y307" s="68"/>
      <c r="Z307" s="68"/>
    </row>
    <row r="308">
      <c r="A308" s="68"/>
      <c r="B308" s="68"/>
      <c r="C308" s="68"/>
      <c r="D308" s="68"/>
      <c r="E308" s="68"/>
      <c r="F308" s="68"/>
      <c r="G308" s="68"/>
      <c r="H308" s="68"/>
      <c r="I308" s="68"/>
      <c r="J308" s="68"/>
      <c r="K308" s="68"/>
      <c r="L308" s="68"/>
      <c r="M308" s="68"/>
      <c r="N308" s="68"/>
      <c r="O308" s="68"/>
      <c r="P308" s="68"/>
      <c r="Q308" s="68"/>
      <c r="R308" s="68"/>
      <c r="S308" s="68"/>
      <c r="T308" s="68"/>
      <c r="U308" s="68"/>
      <c r="V308" s="68"/>
      <c r="W308" s="68"/>
      <c r="X308" s="68"/>
      <c r="Y308" s="68"/>
      <c r="Z308" s="68"/>
    </row>
    <row r="309">
      <c r="A309" s="68"/>
      <c r="B309" s="68"/>
      <c r="C309" s="68"/>
      <c r="D309" s="68"/>
      <c r="E309" s="68"/>
      <c r="F309" s="68"/>
      <c r="G309" s="68"/>
      <c r="H309" s="68"/>
      <c r="I309" s="68"/>
      <c r="J309" s="68"/>
      <c r="K309" s="68"/>
      <c r="L309" s="68"/>
      <c r="M309" s="68"/>
      <c r="N309" s="68"/>
      <c r="O309" s="68"/>
      <c r="P309" s="68"/>
      <c r="Q309" s="68"/>
      <c r="R309" s="68"/>
      <c r="S309" s="68"/>
      <c r="T309" s="68"/>
      <c r="U309" s="68"/>
      <c r="V309" s="68"/>
      <c r="W309" s="68"/>
      <c r="X309" s="68"/>
      <c r="Y309" s="68"/>
      <c r="Z309" s="68"/>
    </row>
    <row r="310">
      <c r="A310" s="68"/>
      <c r="B310" s="68"/>
      <c r="C310" s="68"/>
      <c r="D310" s="68"/>
      <c r="E310" s="68"/>
      <c r="F310" s="68"/>
      <c r="G310" s="68"/>
      <c r="H310" s="68"/>
      <c r="I310" s="68"/>
      <c r="J310" s="68"/>
      <c r="K310" s="68"/>
      <c r="L310" s="68"/>
      <c r="M310" s="68"/>
      <c r="N310" s="68"/>
      <c r="O310" s="68"/>
      <c r="P310" s="68"/>
      <c r="Q310" s="68"/>
      <c r="R310" s="68"/>
      <c r="S310" s="68"/>
      <c r="T310" s="68"/>
      <c r="U310" s="68"/>
      <c r="V310" s="68"/>
      <c r="W310" s="68"/>
      <c r="X310" s="68"/>
      <c r="Y310" s="68"/>
      <c r="Z310" s="68"/>
    </row>
    <row r="311">
      <c r="A311" s="68"/>
      <c r="B311" s="68"/>
      <c r="C311" s="68"/>
      <c r="D311" s="68"/>
      <c r="E311" s="68"/>
      <c r="F311" s="68"/>
      <c r="G311" s="68"/>
      <c r="H311" s="68"/>
      <c r="I311" s="68"/>
      <c r="J311" s="68"/>
      <c r="K311" s="68"/>
      <c r="L311" s="68"/>
      <c r="M311" s="68"/>
      <c r="N311" s="68"/>
      <c r="O311" s="68"/>
      <c r="P311" s="68"/>
      <c r="Q311" s="68"/>
      <c r="R311" s="68"/>
      <c r="S311" s="68"/>
      <c r="T311" s="68"/>
      <c r="U311" s="68"/>
      <c r="V311" s="68"/>
      <c r="W311" s="68"/>
      <c r="X311" s="68"/>
      <c r="Y311" s="68"/>
      <c r="Z311" s="68"/>
    </row>
    <row r="312">
      <c r="A312" s="68"/>
      <c r="B312" s="68"/>
      <c r="C312" s="68"/>
      <c r="D312" s="68"/>
      <c r="E312" s="68"/>
      <c r="F312" s="68"/>
      <c r="G312" s="68"/>
      <c r="H312" s="68"/>
      <c r="I312" s="68"/>
      <c r="J312" s="68"/>
      <c r="K312" s="68"/>
      <c r="L312" s="68"/>
      <c r="M312" s="68"/>
      <c r="N312" s="68"/>
      <c r="O312" s="68"/>
      <c r="P312" s="68"/>
      <c r="Q312" s="68"/>
      <c r="R312" s="68"/>
      <c r="S312" s="68"/>
      <c r="T312" s="68"/>
      <c r="U312" s="68"/>
      <c r="V312" s="68"/>
      <c r="W312" s="68"/>
      <c r="X312" s="68"/>
      <c r="Y312" s="68"/>
      <c r="Z312" s="68"/>
    </row>
    <row r="313">
      <c r="A313" s="68"/>
      <c r="B313" s="68"/>
      <c r="C313" s="68"/>
      <c r="D313" s="68"/>
      <c r="E313" s="68"/>
      <c r="F313" s="68"/>
      <c r="G313" s="68"/>
      <c r="H313" s="68"/>
      <c r="I313" s="68"/>
      <c r="J313" s="68"/>
      <c r="K313" s="68"/>
      <c r="L313" s="68"/>
      <c r="M313" s="68"/>
      <c r="N313" s="68"/>
      <c r="O313" s="68"/>
      <c r="P313" s="68"/>
      <c r="Q313" s="68"/>
      <c r="R313" s="68"/>
      <c r="S313" s="68"/>
      <c r="T313" s="68"/>
      <c r="U313" s="68"/>
      <c r="V313" s="68"/>
      <c r="W313" s="68"/>
      <c r="X313" s="68"/>
      <c r="Y313" s="68"/>
      <c r="Z313" s="68"/>
    </row>
    <row r="314">
      <c r="A314" s="68"/>
      <c r="B314" s="68"/>
      <c r="C314" s="68"/>
      <c r="D314" s="68"/>
      <c r="E314" s="68"/>
      <c r="F314" s="68"/>
      <c r="G314" s="68"/>
      <c r="H314" s="68"/>
      <c r="I314" s="68"/>
      <c r="J314" s="68"/>
      <c r="K314" s="68"/>
      <c r="L314" s="68"/>
      <c r="M314" s="68"/>
      <c r="N314" s="68"/>
      <c r="O314" s="68"/>
      <c r="P314" s="68"/>
      <c r="Q314" s="68"/>
      <c r="R314" s="68"/>
      <c r="S314" s="68"/>
      <c r="T314" s="68"/>
      <c r="U314" s="68"/>
      <c r="V314" s="68"/>
      <c r="W314" s="68"/>
      <c r="X314" s="68"/>
      <c r="Y314" s="68"/>
      <c r="Z314" s="68"/>
    </row>
    <row r="315">
      <c r="A315" s="68"/>
      <c r="B315" s="68"/>
      <c r="C315" s="68"/>
      <c r="D315" s="68"/>
      <c r="E315" s="68"/>
      <c r="F315" s="68"/>
      <c r="G315" s="68"/>
      <c r="H315" s="68"/>
      <c r="I315" s="68"/>
      <c r="J315" s="68"/>
      <c r="K315" s="68"/>
      <c r="L315" s="68"/>
      <c r="M315" s="68"/>
      <c r="N315" s="68"/>
      <c r="O315" s="68"/>
      <c r="P315" s="68"/>
      <c r="Q315" s="68"/>
      <c r="R315" s="68"/>
      <c r="S315" s="68"/>
      <c r="T315" s="68"/>
      <c r="U315" s="68"/>
      <c r="V315" s="68"/>
      <c r="W315" s="68"/>
      <c r="X315" s="68"/>
      <c r="Y315" s="68"/>
      <c r="Z315" s="68"/>
    </row>
    <row r="316">
      <c r="A316" s="68"/>
      <c r="B316" s="68"/>
      <c r="C316" s="68"/>
      <c r="D316" s="68"/>
      <c r="E316" s="68"/>
      <c r="F316" s="68"/>
      <c r="G316" s="68"/>
      <c r="H316" s="68"/>
      <c r="I316" s="68"/>
      <c r="J316" s="68"/>
      <c r="K316" s="68"/>
      <c r="L316" s="68"/>
      <c r="M316" s="68"/>
      <c r="N316" s="68"/>
      <c r="O316" s="68"/>
      <c r="P316" s="68"/>
      <c r="Q316" s="68"/>
      <c r="R316" s="68"/>
      <c r="S316" s="68"/>
      <c r="T316" s="68"/>
      <c r="U316" s="68"/>
      <c r="V316" s="68"/>
      <c r="W316" s="68"/>
      <c r="X316" s="68"/>
      <c r="Y316" s="68"/>
      <c r="Z316" s="68"/>
    </row>
    <row r="317">
      <c r="A317" s="68"/>
      <c r="B317" s="68"/>
      <c r="C317" s="68"/>
      <c r="D317" s="68"/>
      <c r="E317" s="68"/>
      <c r="F317" s="68"/>
      <c r="G317" s="68"/>
      <c r="H317" s="68"/>
      <c r="I317" s="68"/>
      <c r="J317" s="68"/>
      <c r="K317" s="68"/>
      <c r="L317" s="68"/>
      <c r="M317" s="68"/>
      <c r="N317" s="68"/>
      <c r="O317" s="68"/>
      <c r="P317" s="68"/>
      <c r="Q317" s="68"/>
      <c r="R317" s="68"/>
      <c r="S317" s="68"/>
      <c r="T317" s="68"/>
      <c r="U317" s="68"/>
      <c r="V317" s="68"/>
      <c r="W317" s="68"/>
      <c r="X317" s="68"/>
      <c r="Y317" s="68"/>
      <c r="Z317" s="68"/>
    </row>
    <row r="318">
      <c r="A318" s="68"/>
      <c r="B318" s="68"/>
      <c r="C318" s="68"/>
      <c r="D318" s="68"/>
      <c r="E318" s="68"/>
      <c r="F318" s="68"/>
      <c r="G318" s="68"/>
      <c r="H318" s="68"/>
      <c r="I318" s="68"/>
      <c r="J318" s="68"/>
      <c r="K318" s="68"/>
      <c r="L318" s="68"/>
      <c r="M318" s="68"/>
      <c r="N318" s="68"/>
      <c r="O318" s="68"/>
      <c r="P318" s="68"/>
      <c r="Q318" s="68"/>
      <c r="R318" s="68"/>
      <c r="S318" s="68"/>
      <c r="T318" s="68"/>
      <c r="U318" s="68"/>
      <c r="V318" s="68"/>
      <c r="W318" s="68"/>
      <c r="X318" s="68"/>
      <c r="Y318" s="68"/>
      <c r="Z318" s="68"/>
    </row>
    <row r="319">
      <c r="A319" s="68"/>
      <c r="B319" s="68"/>
      <c r="C319" s="68"/>
      <c r="D319" s="68"/>
      <c r="E319" s="68"/>
      <c r="F319" s="68"/>
      <c r="G319" s="68"/>
      <c r="H319" s="68"/>
      <c r="I319" s="68"/>
      <c r="J319" s="68"/>
      <c r="K319" s="68"/>
      <c r="L319" s="68"/>
      <c r="M319" s="68"/>
      <c r="N319" s="68"/>
      <c r="O319" s="68"/>
      <c r="P319" s="68"/>
      <c r="Q319" s="68"/>
      <c r="R319" s="68"/>
      <c r="S319" s="68"/>
      <c r="T319" s="68"/>
      <c r="U319" s="68"/>
      <c r="V319" s="68"/>
      <c r="W319" s="68"/>
      <c r="X319" s="68"/>
      <c r="Y319" s="68"/>
      <c r="Z319" s="68"/>
    </row>
    <row r="320">
      <c r="A320" s="68"/>
      <c r="B320" s="68"/>
      <c r="C320" s="68"/>
      <c r="D320" s="68"/>
      <c r="E320" s="68"/>
      <c r="F320" s="68"/>
      <c r="G320" s="68"/>
      <c r="H320" s="68"/>
      <c r="I320" s="68"/>
      <c r="J320" s="68"/>
      <c r="K320" s="68"/>
      <c r="L320" s="68"/>
      <c r="M320" s="68"/>
      <c r="N320" s="68"/>
      <c r="O320" s="68"/>
      <c r="P320" s="68"/>
      <c r="Q320" s="68"/>
      <c r="R320" s="68"/>
      <c r="S320" s="68"/>
      <c r="T320" s="68"/>
      <c r="U320" s="68"/>
      <c r="V320" s="68"/>
      <c r="W320" s="68"/>
      <c r="X320" s="68"/>
      <c r="Y320" s="68"/>
      <c r="Z320" s="68"/>
    </row>
    <row r="321">
      <c r="A321" s="68"/>
      <c r="B321" s="68"/>
      <c r="C321" s="68"/>
      <c r="D321" s="68"/>
      <c r="E321" s="68"/>
      <c r="F321" s="68"/>
      <c r="G321" s="68"/>
      <c r="H321" s="68"/>
      <c r="I321" s="68"/>
      <c r="J321" s="68"/>
      <c r="K321" s="68"/>
      <c r="L321" s="68"/>
      <c r="M321" s="68"/>
      <c r="N321" s="68"/>
      <c r="O321" s="68"/>
      <c r="P321" s="68"/>
      <c r="Q321" s="68"/>
      <c r="R321" s="68"/>
      <c r="S321" s="68"/>
      <c r="T321" s="68"/>
      <c r="U321" s="68"/>
      <c r="V321" s="68"/>
      <c r="W321" s="68"/>
      <c r="X321" s="68"/>
      <c r="Y321" s="68"/>
      <c r="Z321" s="68"/>
    </row>
    <row r="322">
      <c r="A322" s="68"/>
      <c r="B322" s="68"/>
      <c r="C322" s="68"/>
      <c r="D322" s="68"/>
      <c r="E322" s="68"/>
      <c r="F322" s="68"/>
      <c r="G322" s="68"/>
      <c r="H322" s="68"/>
      <c r="I322" s="68"/>
      <c r="J322" s="68"/>
      <c r="K322" s="68"/>
      <c r="L322" s="68"/>
      <c r="M322" s="68"/>
      <c r="N322" s="68"/>
      <c r="O322" s="68"/>
      <c r="P322" s="68"/>
      <c r="Q322" s="68"/>
      <c r="R322" s="68"/>
      <c r="S322" s="68"/>
      <c r="T322" s="68"/>
      <c r="U322" s="68"/>
      <c r="V322" s="68"/>
      <c r="W322" s="68"/>
      <c r="X322" s="68"/>
      <c r="Y322" s="68"/>
      <c r="Z322" s="68"/>
    </row>
    <row r="323">
      <c r="A323" s="68"/>
      <c r="B323" s="68"/>
      <c r="C323" s="68"/>
      <c r="D323" s="68"/>
      <c r="E323" s="68"/>
      <c r="F323" s="68"/>
      <c r="G323" s="68"/>
      <c r="H323" s="68"/>
      <c r="I323" s="68"/>
      <c r="J323" s="68"/>
      <c r="K323" s="68"/>
      <c r="L323" s="68"/>
      <c r="M323" s="68"/>
      <c r="N323" s="68"/>
      <c r="O323" s="68"/>
      <c r="P323" s="68"/>
      <c r="Q323" s="68"/>
      <c r="R323" s="68"/>
      <c r="S323" s="68"/>
      <c r="T323" s="68"/>
      <c r="U323" s="68"/>
      <c r="V323" s="68"/>
      <c r="W323" s="68"/>
      <c r="X323" s="68"/>
      <c r="Y323" s="68"/>
      <c r="Z323" s="68"/>
    </row>
    <row r="324">
      <c r="A324" s="68"/>
      <c r="B324" s="68"/>
      <c r="C324" s="68"/>
      <c r="D324" s="68"/>
      <c r="E324" s="68"/>
      <c r="F324" s="68"/>
      <c r="G324" s="68"/>
      <c r="H324" s="68"/>
      <c r="I324" s="68"/>
      <c r="J324" s="68"/>
      <c r="K324" s="68"/>
      <c r="L324" s="68"/>
      <c r="M324" s="68"/>
      <c r="N324" s="68"/>
      <c r="O324" s="68"/>
      <c r="P324" s="68"/>
      <c r="Q324" s="68"/>
      <c r="R324" s="68"/>
      <c r="S324" s="68"/>
      <c r="T324" s="68"/>
      <c r="U324" s="68"/>
      <c r="V324" s="68"/>
      <c r="W324" s="68"/>
      <c r="X324" s="68"/>
      <c r="Y324" s="68"/>
      <c r="Z324" s="68"/>
    </row>
    <row r="325">
      <c r="A325" s="68"/>
      <c r="B325" s="68"/>
      <c r="C325" s="68"/>
      <c r="D325" s="68"/>
      <c r="E325" s="68"/>
      <c r="F325" s="68"/>
      <c r="G325" s="68"/>
      <c r="H325" s="68"/>
      <c r="I325" s="68"/>
      <c r="J325" s="68"/>
      <c r="K325" s="68"/>
      <c r="L325" s="68"/>
      <c r="M325" s="68"/>
      <c r="N325" s="68"/>
      <c r="O325" s="68"/>
      <c r="P325" s="68"/>
      <c r="Q325" s="68"/>
      <c r="R325" s="68"/>
      <c r="S325" s="68"/>
      <c r="T325" s="68"/>
      <c r="U325" s="68"/>
      <c r="V325" s="68"/>
      <c r="W325" s="68"/>
      <c r="X325" s="68"/>
      <c r="Y325" s="68"/>
      <c r="Z325" s="68"/>
    </row>
    <row r="326">
      <c r="A326" s="68"/>
      <c r="B326" s="68"/>
      <c r="C326" s="68"/>
      <c r="D326" s="68"/>
      <c r="E326" s="68"/>
      <c r="F326" s="68"/>
      <c r="G326" s="68"/>
      <c r="H326" s="68"/>
      <c r="I326" s="68"/>
      <c r="J326" s="68"/>
      <c r="K326" s="68"/>
      <c r="L326" s="68"/>
      <c r="M326" s="68"/>
      <c r="N326" s="68"/>
      <c r="O326" s="68"/>
      <c r="P326" s="68"/>
      <c r="Q326" s="68"/>
      <c r="R326" s="68"/>
      <c r="S326" s="68"/>
      <c r="T326" s="68"/>
      <c r="U326" s="68"/>
      <c r="V326" s="68"/>
      <c r="W326" s="68"/>
      <c r="X326" s="68"/>
      <c r="Y326" s="68"/>
      <c r="Z326" s="68"/>
    </row>
    <row r="327">
      <c r="A327" s="68"/>
      <c r="B327" s="68"/>
      <c r="C327" s="68"/>
      <c r="D327" s="68"/>
      <c r="E327" s="68"/>
      <c r="F327" s="68"/>
      <c r="G327" s="68"/>
      <c r="H327" s="68"/>
      <c r="I327" s="68"/>
      <c r="J327" s="68"/>
      <c r="K327" s="68"/>
      <c r="L327" s="68"/>
      <c r="M327" s="68"/>
      <c r="N327" s="68"/>
      <c r="O327" s="68"/>
      <c r="P327" s="68"/>
      <c r="Q327" s="68"/>
      <c r="R327" s="68"/>
      <c r="S327" s="68"/>
      <c r="T327" s="68"/>
      <c r="U327" s="68"/>
      <c r="V327" s="68"/>
      <c r="W327" s="68"/>
      <c r="X327" s="68"/>
      <c r="Y327" s="68"/>
      <c r="Z327" s="68"/>
    </row>
    <row r="328">
      <c r="A328" s="68"/>
      <c r="B328" s="68"/>
      <c r="C328" s="68"/>
      <c r="D328" s="68"/>
      <c r="E328" s="68"/>
      <c r="F328" s="68"/>
      <c r="G328" s="68"/>
      <c r="H328" s="68"/>
      <c r="I328" s="68"/>
      <c r="J328" s="68"/>
      <c r="K328" s="68"/>
      <c r="L328" s="68"/>
      <c r="M328" s="68"/>
      <c r="N328" s="68"/>
      <c r="O328" s="68"/>
      <c r="P328" s="68"/>
      <c r="Q328" s="68"/>
      <c r="R328" s="68"/>
      <c r="S328" s="68"/>
      <c r="T328" s="68"/>
      <c r="U328" s="68"/>
      <c r="V328" s="68"/>
      <c r="W328" s="68"/>
      <c r="X328" s="68"/>
      <c r="Y328" s="68"/>
      <c r="Z328" s="68"/>
    </row>
    <row r="329">
      <c r="A329" s="68"/>
      <c r="B329" s="68"/>
      <c r="C329" s="68"/>
      <c r="D329" s="68"/>
      <c r="E329" s="68"/>
      <c r="F329" s="68"/>
      <c r="G329" s="68"/>
      <c r="H329" s="68"/>
      <c r="I329" s="68"/>
      <c r="J329" s="68"/>
      <c r="K329" s="68"/>
      <c r="L329" s="68"/>
      <c r="M329" s="68"/>
      <c r="N329" s="68"/>
      <c r="O329" s="68"/>
      <c r="P329" s="68"/>
      <c r="Q329" s="68"/>
      <c r="R329" s="68"/>
      <c r="S329" s="68"/>
      <c r="T329" s="68"/>
      <c r="U329" s="68"/>
      <c r="V329" s="68"/>
      <c r="W329" s="68"/>
      <c r="X329" s="68"/>
      <c r="Y329" s="68"/>
      <c r="Z329" s="68"/>
    </row>
    <row r="330">
      <c r="A330" s="68"/>
      <c r="B330" s="68"/>
      <c r="C330" s="68"/>
      <c r="D330" s="68"/>
      <c r="E330" s="68"/>
      <c r="F330" s="68"/>
      <c r="G330" s="68"/>
      <c r="H330" s="68"/>
      <c r="I330" s="68"/>
      <c r="J330" s="68"/>
      <c r="K330" s="68"/>
      <c r="L330" s="68"/>
      <c r="M330" s="68"/>
      <c r="N330" s="68"/>
      <c r="O330" s="68"/>
      <c r="P330" s="68"/>
      <c r="Q330" s="68"/>
      <c r="R330" s="68"/>
      <c r="S330" s="68"/>
      <c r="T330" s="68"/>
      <c r="U330" s="68"/>
      <c r="V330" s="68"/>
      <c r="W330" s="68"/>
      <c r="X330" s="68"/>
      <c r="Y330" s="68"/>
      <c r="Z330" s="68"/>
    </row>
    <row r="331">
      <c r="A331" s="68"/>
      <c r="B331" s="68"/>
      <c r="C331" s="68"/>
      <c r="D331" s="68"/>
      <c r="E331" s="68"/>
      <c r="F331" s="68"/>
      <c r="G331" s="68"/>
      <c r="H331" s="68"/>
      <c r="I331" s="68"/>
      <c r="J331" s="68"/>
      <c r="K331" s="68"/>
      <c r="L331" s="68"/>
      <c r="M331" s="68"/>
      <c r="N331" s="68"/>
      <c r="O331" s="68"/>
      <c r="P331" s="68"/>
      <c r="Q331" s="68"/>
      <c r="R331" s="68"/>
      <c r="S331" s="68"/>
      <c r="T331" s="68"/>
      <c r="U331" s="68"/>
      <c r="V331" s="68"/>
      <c r="W331" s="68"/>
      <c r="X331" s="68"/>
      <c r="Y331" s="68"/>
      <c r="Z331" s="68"/>
    </row>
    <row r="332">
      <c r="A332" s="68"/>
      <c r="B332" s="68"/>
      <c r="C332" s="68"/>
      <c r="D332" s="68"/>
      <c r="E332" s="68"/>
      <c r="F332" s="68"/>
      <c r="G332" s="68"/>
      <c r="H332" s="68"/>
      <c r="I332" s="68"/>
      <c r="J332" s="68"/>
      <c r="K332" s="68"/>
      <c r="L332" s="68"/>
      <c r="M332" s="68"/>
      <c r="N332" s="68"/>
      <c r="O332" s="68"/>
      <c r="P332" s="68"/>
      <c r="Q332" s="68"/>
      <c r="R332" s="68"/>
      <c r="S332" s="68"/>
      <c r="T332" s="68"/>
      <c r="U332" s="68"/>
      <c r="V332" s="68"/>
      <c r="W332" s="68"/>
      <c r="X332" s="68"/>
      <c r="Y332" s="68"/>
      <c r="Z332" s="68"/>
    </row>
    <row r="333">
      <c r="A333" s="68"/>
      <c r="B333" s="68"/>
      <c r="C333" s="68"/>
      <c r="D333" s="68"/>
      <c r="E333" s="68"/>
      <c r="F333" s="68"/>
      <c r="G333" s="68"/>
      <c r="H333" s="68"/>
      <c r="I333" s="68"/>
      <c r="J333" s="68"/>
      <c r="K333" s="68"/>
      <c r="L333" s="68"/>
      <c r="M333" s="68"/>
      <c r="N333" s="68"/>
      <c r="O333" s="68"/>
      <c r="P333" s="68"/>
      <c r="Q333" s="68"/>
      <c r="R333" s="68"/>
      <c r="S333" s="68"/>
      <c r="T333" s="68"/>
      <c r="U333" s="68"/>
      <c r="V333" s="68"/>
      <c r="W333" s="68"/>
      <c r="X333" s="68"/>
      <c r="Y333" s="68"/>
      <c r="Z333" s="68"/>
    </row>
    <row r="334">
      <c r="A334" s="68"/>
      <c r="B334" s="68"/>
      <c r="C334" s="68"/>
      <c r="D334" s="68"/>
      <c r="E334" s="68"/>
      <c r="F334" s="68"/>
      <c r="G334" s="68"/>
      <c r="H334" s="68"/>
      <c r="I334" s="68"/>
      <c r="J334" s="68"/>
      <c r="K334" s="68"/>
      <c r="L334" s="68"/>
      <c r="M334" s="68"/>
      <c r="N334" s="68"/>
      <c r="O334" s="68"/>
      <c r="P334" s="68"/>
      <c r="Q334" s="68"/>
      <c r="R334" s="68"/>
      <c r="S334" s="68"/>
      <c r="T334" s="68"/>
      <c r="U334" s="68"/>
      <c r="V334" s="68"/>
      <c r="W334" s="68"/>
      <c r="X334" s="68"/>
      <c r="Y334" s="68"/>
      <c r="Z334" s="68"/>
    </row>
    <row r="335">
      <c r="A335" s="68"/>
      <c r="B335" s="68"/>
      <c r="C335" s="68"/>
      <c r="D335" s="68"/>
      <c r="E335" s="68"/>
      <c r="F335" s="68"/>
      <c r="G335" s="68"/>
      <c r="H335" s="68"/>
      <c r="I335" s="68"/>
      <c r="J335" s="68"/>
      <c r="K335" s="68"/>
      <c r="L335" s="68"/>
      <c r="M335" s="68"/>
      <c r="N335" s="68"/>
      <c r="O335" s="68"/>
      <c r="P335" s="68"/>
      <c r="Q335" s="68"/>
      <c r="R335" s="68"/>
      <c r="S335" s="68"/>
      <c r="T335" s="68"/>
      <c r="U335" s="68"/>
      <c r="V335" s="68"/>
      <c r="W335" s="68"/>
      <c r="X335" s="68"/>
      <c r="Y335" s="68"/>
      <c r="Z335" s="68"/>
    </row>
    <row r="336">
      <c r="A336" s="68"/>
      <c r="B336" s="68"/>
      <c r="C336" s="68"/>
      <c r="D336" s="68"/>
      <c r="E336" s="68"/>
      <c r="F336" s="68"/>
      <c r="G336" s="68"/>
      <c r="H336" s="68"/>
      <c r="I336" s="68"/>
      <c r="J336" s="68"/>
      <c r="K336" s="68"/>
      <c r="L336" s="68"/>
      <c r="M336" s="68"/>
      <c r="N336" s="68"/>
      <c r="O336" s="68"/>
      <c r="P336" s="68"/>
      <c r="Q336" s="68"/>
      <c r="R336" s="68"/>
      <c r="S336" s="68"/>
      <c r="T336" s="68"/>
      <c r="U336" s="68"/>
      <c r="V336" s="68"/>
      <c r="W336" s="68"/>
      <c r="X336" s="68"/>
      <c r="Y336" s="68"/>
      <c r="Z336" s="68"/>
    </row>
    <row r="337">
      <c r="A337" s="68"/>
      <c r="B337" s="68"/>
      <c r="C337" s="68"/>
      <c r="D337" s="68"/>
      <c r="E337" s="68"/>
      <c r="F337" s="68"/>
      <c r="G337" s="68"/>
      <c r="H337" s="68"/>
      <c r="I337" s="68"/>
      <c r="J337" s="68"/>
      <c r="K337" s="68"/>
      <c r="L337" s="68"/>
      <c r="M337" s="68"/>
      <c r="N337" s="68"/>
      <c r="O337" s="68"/>
      <c r="P337" s="68"/>
      <c r="Q337" s="68"/>
      <c r="R337" s="68"/>
      <c r="S337" s="68"/>
      <c r="T337" s="68"/>
      <c r="U337" s="68"/>
      <c r="V337" s="68"/>
      <c r="W337" s="68"/>
      <c r="X337" s="68"/>
      <c r="Y337" s="68"/>
      <c r="Z337" s="68"/>
    </row>
    <row r="338">
      <c r="A338" s="68"/>
      <c r="B338" s="68"/>
      <c r="C338" s="68"/>
      <c r="D338" s="68"/>
      <c r="E338" s="68"/>
      <c r="F338" s="68"/>
      <c r="G338" s="68"/>
      <c r="H338" s="68"/>
      <c r="I338" s="68"/>
      <c r="J338" s="68"/>
      <c r="K338" s="68"/>
      <c r="L338" s="68"/>
      <c r="M338" s="68"/>
      <c r="N338" s="68"/>
      <c r="O338" s="68"/>
      <c r="P338" s="68"/>
      <c r="Q338" s="68"/>
      <c r="R338" s="68"/>
      <c r="S338" s="68"/>
      <c r="T338" s="68"/>
      <c r="U338" s="68"/>
      <c r="V338" s="68"/>
      <c r="W338" s="68"/>
      <c r="X338" s="68"/>
      <c r="Y338" s="68"/>
      <c r="Z338" s="68"/>
    </row>
    <row r="339">
      <c r="A339" s="68"/>
      <c r="B339" s="68"/>
      <c r="C339" s="68"/>
      <c r="D339" s="68"/>
      <c r="E339" s="68"/>
      <c r="F339" s="68"/>
      <c r="G339" s="68"/>
      <c r="H339" s="68"/>
      <c r="I339" s="68"/>
      <c r="J339" s="68"/>
      <c r="K339" s="68"/>
      <c r="L339" s="68"/>
      <c r="M339" s="68"/>
      <c r="N339" s="68"/>
      <c r="O339" s="68"/>
      <c r="P339" s="68"/>
      <c r="Q339" s="68"/>
      <c r="R339" s="68"/>
      <c r="S339" s="68"/>
      <c r="T339" s="68"/>
      <c r="U339" s="68"/>
      <c r="V339" s="68"/>
      <c r="W339" s="68"/>
      <c r="X339" s="68"/>
      <c r="Y339" s="68"/>
      <c r="Z339" s="68"/>
    </row>
    <row r="340">
      <c r="A340" s="68"/>
      <c r="B340" s="68"/>
      <c r="C340" s="68"/>
      <c r="D340" s="68"/>
      <c r="E340" s="68"/>
      <c r="F340" s="68"/>
      <c r="G340" s="68"/>
      <c r="H340" s="68"/>
      <c r="I340" s="68"/>
      <c r="J340" s="68"/>
      <c r="K340" s="68"/>
      <c r="L340" s="68"/>
      <c r="M340" s="68"/>
      <c r="N340" s="68"/>
      <c r="O340" s="68"/>
      <c r="P340" s="68"/>
      <c r="Q340" s="68"/>
      <c r="R340" s="68"/>
      <c r="S340" s="68"/>
      <c r="T340" s="68"/>
      <c r="U340" s="68"/>
      <c r="V340" s="68"/>
      <c r="W340" s="68"/>
      <c r="X340" s="68"/>
      <c r="Y340" s="68"/>
      <c r="Z340" s="68"/>
    </row>
    <row r="341">
      <c r="A341" s="68"/>
      <c r="B341" s="68"/>
      <c r="C341" s="68"/>
      <c r="D341" s="68"/>
      <c r="E341" s="68"/>
      <c r="F341" s="68"/>
      <c r="G341" s="68"/>
      <c r="H341" s="68"/>
      <c r="I341" s="68"/>
      <c r="J341" s="68"/>
      <c r="K341" s="68"/>
      <c r="L341" s="68"/>
      <c r="M341" s="68"/>
      <c r="N341" s="68"/>
      <c r="O341" s="68"/>
      <c r="P341" s="68"/>
      <c r="Q341" s="68"/>
      <c r="R341" s="68"/>
      <c r="S341" s="68"/>
      <c r="T341" s="68"/>
      <c r="U341" s="68"/>
      <c r="V341" s="68"/>
      <c r="W341" s="68"/>
      <c r="X341" s="68"/>
      <c r="Y341" s="68"/>
      <c r="Z341" s="68"/>
    </row>
    <row r="342">
      <c r="A342" s="68"/>
      <c r="B342" s="68"/>
      <c r="C342" s="68"/>
      <c r="D342" s="68"/>
      <c r="E342" s="68"/>
      <c r="F342" s="68"/>
      <c r="G342" s="68"/>
      <c r="H342" s="68"/>
      <c r="I342" s="68"/>
      <c r="J342" s="68"/>
      <c r="K342" s="68"/>
      <c r="L342" s="68"/>
      <c r="M342" s="68"/>
      <c r="N342" s="68"/>
      <c r="O342" s="68"/>
      <c r="P342" s="68"/>
      <c r="Q342" s="68"/>
      <c r="R342" s="68"/>
      <c r="S342" s="68"/>
      <c r="T342" s="68"/>
      <c r="U342" s="68"/>
      <c r="V342" s="68"/>
      <c r="W342" s="68"/>
      <c r="X342" s="68"/>
      <c r="Y342" s="68"/>
      <c r="Z342" s="68"/>
    </row>
    <row r="343">
      <c r="A343" s="68"/>
      <c r="B343" s="68"/>
      <c r="C343" s="68"/>
      <c r="D343" s="68"/>
      <c r="E343" s="68"/>
      <c r="F343" s="68"/>
      <c r="G343" s="68"/>
      <c r="H343" s="68"/>
      <c r="I343" s="68"/>
      <c r="J343" s="68"/>
      <c r="K343" s="68"/>
      <c r="L343" s="68"/>
      <c r="M343" s="68"/>
      <c r="N343" s="68"/>
      <c r="O343" s="68"/>
      <c r="P343" s="68"/>
      <c r="Q343" s="68"/>
      <c r="R343" s="68"/>
      <c r="S343" s="68"/>
      <c r="T343" s="68"/>
      <c r="U343" s="68"/>
      <c r="V343" s="68"/>
      <c r="W343" s="68"/>
      <c r="X343" s="68"/>
      <c r="Y343" s="68"/>
      <c r="Z343" s="68"/>
    </row>
    <row r="344">
      <c r="A344" s="68"/>
      <c r="B344" s="68"/>
      <c r="C344" s="68"/>
      <c r="D344" s="68"/>
      <c r="E344" s="68"/>
      <c r="F344" s="68"/>
      <c r="G344" s="68"/>
      <c r="H344" s="68"/>
      <c r="I344" s="68"/>
      <c r="J344" s="68"/>
      <c r="K344" s="68"/>
      <c r="L344" s="68"/>
      <c r="M344" s="68"/>
      <c r="N344" s="68"/>
      <c r="O344" s="68"/>
      <c r="P344" s="68"/>
      <c r="Q344" s="68"/>
      <c r="R344" s="68"/>
      <c r="S344" s="68"/>
      <c r="T344" s="68"/>
      <c r="U344" s="68"/>
      <c r="V344" s="68"/>
      <c r="W344" s="68"/>
      <c r="X344" s="68"/>
      <c r="Y344" s="68"/>
      <c r="Z344" s="68"/>
    </row>
    <row r="345">
      <c r="A345" s="68"/>
      <c r="B345" s="68"/>
      <c r="C345" s="68"/>
      <c r="D345" s="68"/>
      <c r="E345" s="68"/>
      <c r="F345" s="68"/>
      <c r="G345" s="68"/>
      <c r="H345" s="68"/>
      <c r="I345" s="68"/>
      <c r="J345" s="68"/>
      <c r="K345" s="68"/>
      <c r="L345" s="68"/>
      <c r="M345" s="68"/>
      <c r="N345" s="68"/>
      <c r="O345" s="68"/>
      <c r="P345" s="68"/>
      <c r="Q345" s="68"/>
      <c r="R345" s="68"/>
      <c r="S345" s="68"/>
      <c r="T345" s="68"/>
      <c r="U345" s="68"/>
      <c r="V345" s="68"/>
      <c r="W345" s="68"/>
      <c r="X345" s="68"/>
      <c r="Y345" s="68"/>
      <c r="Z345" s="68"/>
    </row>
    <row r="346">
      <c r="A346" s="68"/>
      <c r="B346" s="68"/>
      <c r="C346" s="68"/>
      <c r="D346" s="68"/>
      <c r="E346" s="68"/>
      <c r="F346" s="68"/>
      <c r="G346" s="68"/>
      <c r="H346" s="68"/>
      <c r="I346" s="68"/>
      <c r="J346" s="68"/>
      <c r="K346" s="68"/>
      <c r="L346" s="68"/>
      <c r="M346" s="68"/>
      <c r="N346" s="68"/>
      <c r="O346" s="68"/>
      <c r="P346" s="68"/>
      <c r="Q346" s="68"/>
      <c r="R346" s="68"/>
      <c r="S346" s="68"/>
      <c r="T346" s="68"/>
      <c r="U346" s="68"/>
      <c r="V346" s="68"/>
      <c r="W346" s="68"/>
      <c r="X346" s="68"/>
      <c r="Y346" s="68"/>
      <c r="Z346" s="68"/>
    </row>
    <row r="347">
      <c r="A347" s="68"/>
      <c r="B347" s="68"/>
      <c r="C347" s="68"/>
      <c r="D347" s="68"/>
      <c r="E347" s="68"/>
      <c r="F347" s="68"/>
      <c r="G347" s="68"/>
      <c r="H347" s="68"/>
      <c r="I347" s="68"/>
      <c r="J347" s="68"/>
      <c r="K347" s="68"/>
      <c r="L347" s="68"/>
      <c r="M347" s="68"/>
      <c r="N347" s="68"/>
      <c r="O347" s="68"/>
      <c r="P347" s="68"/>
      <c r="Q347" s="68"/>
      <c r="R347" s="68"/>
      <c r="S347" s="68"/>
      <c r="T347" s="68"/>
      <c r="U347" s="68"/>
      <c r="V347" s="68"/>
      <c r="W347" s="68"/>
      <c r="X347" s="68"/>
      <c r="Y347" s="68"/>
      <c r="Z347" s="68"/>
    </row>
    <row r="348">
      <c r="A348" s="68"/>
      <c r="B348" s="68"/>
      <c r="C348" s="68"/>
      <c r="D348" s="68"/>
      <c r="E348" s="68"/>
      <c r="F348" s="68"/>
      <c r="G348" s="68"/>
      <c r="H348" s="68"/>
      <c r="I348" s="68"/>
      <c r="J348" s="68"/>
      <c r="K348" s="68"/>
      <c r="L348" s="68"/>
      <c r="M348" s="68"/>
      <c r="N348" s="68"/>
      <c r="O348" s="68"/>
      <c r="P348" s="68"/>
      <c r="Q348" s="68"/>
      <c r="R348" s="68"/>
      <c r="S348" s="68"/>
      <c r="T348" s="68"/>
      <c r="U348" s="68"/>
      <c r="V348" s="68"/>
      <c r="W348" s="68"/>
      <c r="X348" s="68"/>
      <c r="Y348" s="68"/>
      <c r="Z348" s="68"/>
    </row>
    <row r="349">
      <c r="A349" s="68"/>
      <c r="B349" s="68"/>
      <c r="C349" s="68"/>
      <c r="D349" s="68"/>
      <c r="E349" s="68"/>
      <c r="F349" s="68"/>
      <c r="G349" s="68"/>
      <c r="H349" s="68"/>
      <c r="I349" s="68"/>
      <c r="J349" s="68"/>
      <c r="K349" s="68"/>
      <c r="L349" s="68"/>
      <c r="M349" s="68"/>
      <c r="N349" s="68"/>
      <c r="O349" s="68"/>
      <c r="P349" s="68"/>
      <c r="Q349" s="68"/>
      <c r="R349" s="68"/>
      <c r="S349" s="68"/>
      <c r="T349" s="68"/>
      <c r="U349" s="68"/>
      <c r="V349" s="68"/>
      <c r="W349" s="68"/>
      <c r="X349" s="68"/>
      <c r="Y349" s="68"/>
      <c r="Z349" s="68"/>
    </row>
    <row r="350">
      <c r="A350" s="68"/>
      <c r="B350" s="68"/>
      <c r="C350" s="68"/>
      <c r="D350" s="68"/>
      <c r="E350" s="68"/>
      <c r="F350" s="68"/>
      <c r="G350" s="68"/>
      <c r="H350" s="68"/>
      <c r="I350" s="68"/>
      <c r="J350" s="68"/>
      <c r="K350" s="68"/>
      <c r="L350" s="68"/>
      <c r="M350" s="68"/>
      <c r="N350" s="68"/>
      <c r="O350" s="68"/>
      <c r="P350" s="68"/>
      <c r="Q350" s="68"/>
      <c r="R350" s="68"/>
      <c r="S350" s="68"/>
      <c r="T350" s="68"/>
      <c r="U350" s="68"/>
      <c r="V350" s="68"/>
      <c r="W350" s="68"/>
      <c r="X350" s="68"/>
      <c r="Y350" s="68"/>
      <c r="Z350" s="68"/>
    </row>
    <row r="351">
      <c r="A351" s="68"/>
      <c r="B351" s="68"/>
      <c r="C351" s="68"/>
      <c r="D351" s="68"/>
      <c r="E351" s="68"/>
      <c r="F351" s="68"/>
      <c r="G351" s="68"/>
      <c r="H351" s="68"/>
      <c r="I351" s="68"/>
      <c r="J351" s="68"/>
      <c r="K351" s="68"/>
      <c r="L351" s="68"/>
      <c r="M351" s="68"/>
      <c r="N351" s="68"/>
      <c r="O351" s="68"/>
      <c r="P351" s="68"/>
      <c r="Q351" s="68"/>
      <c r="R351" s="68"/>
      <c r="S351" s="68"/>
      <c r="T351" s="68"/>
      <c r="U351" s="68"/>
      <c r="V351" s="68"/>
      <c r="W351" s="68"/>
      <c r="X351" s="68"/>
      <c r="Y351" s="68"/>
      <c r="Z351" s="68"/>
    </row>
    <row r="352">
      <c r="A352" s="68"/>
      <c r="B352" s="68"/>
      <c r="C352" s="68"/>
      <c r="D352" s="68"/>
      <c r="E352" s="68"/>
      <c r="F352" s="68"/>
      <c r="G352" s="68"/>
      <c r="H352" s="68"/>
      <c r="I352" s="68"/>
      <c r="J352" s="68"/>
      <c r="K352" s="68"/>
      <c r="L352" s="68"/>
      <c r="M352" s="68"/>
      <c r="N352" s="68"/>
      <c r="O352" s="68"/>
      <c r="P352" s="68"/>
      <c r="Q352" s="68"/>
      <c r="R352" s="68"/>
      <c r="S352" s="68"/>
      <c r="T352" s="68"/>
      <c r="U352" s="68"/>
      <c r="V352" s="68"/>
      <c r="W352" s="68"/>
      <c r="X352" s="68"/>
      <c r="Y352" s="68"/>
      <c r="Z352" s="68"/>
    </row>
    <row r="353">
      <c r="A353" s="68"/>
      <c r="B353" s="68"/>
      <c r="C353" s="68"/>
      <c r="D353" s="68"/>
      <c r="E353" s="68"/>
      <c r="F353" s="68"/>
      <c r="G353" s="68"/>
      <c r="H353" s="68"/>
      <c r="I353" s="68"/>
      <c r="J353" s="68"/>
      <c r="K353" s="68"/>
      <c r="L353" s="68"/>
      <c r="M353" s="68"/>
      <c r="N353" s="68"/>
      <c r="O353" s="68"/>
      <c r="P353" s="68"/>
      <c r="Q353" s="68"/>
      <c r="R353" s="68"/>
      <c r="S353" s="68"/>
      <c r="T353" s="68"/>
      <c r="U353" s="68"/>
      <c r="V353" s="68"/>
      <c r="W353" s="68"/>
      <c r="X353" s="68"/>
      <c r="Y353" s="68"/>
      <c r="Z353" s="68"/>
    </row>
    <row r="354">
      <c r="A354" s="68"/>
      <c r="B354" s="68"/>
      <c r="C354" s="68"/>
      <c r="D354" s="68"/>
      <c r="E354" s="68"/>
      <c r="F354" s="68"/>
      <c r="G354" s="68"/>
      <c r="H354" s="68"/>
      <c r="I354" s="68"/>
      <c r="J354" s="68"/>
      <c r="K354" s="68"/>
      <c r="L354" s="68"/>
      <c r="M354" s="68"/>
      <c r="N354" s="68"/>
      <c r="O354" s="68"/>
      <c r="P354" s="68"/>
      <c r="Q354" s="68"/>
      <c r="R354" s="68"/>
      <c r="S354" s="68"/>
      <c r="T354" s="68"/>
      <c r="U354" s="68"/>
      <c r="V354" s="68"/>
      <c r="W354" s="68"/>
      <c r="X354" s="68"/>
      <c r="Y354" s="68"/>
      <c r="Z354" s="68"/>
    </row>
    <row r="355">
      <c r="A355" s="68"/>
      <c r="B355" s="68"/>
      <c r="C355" s="68"/>
      <c r="D355" s="68"/>
      <c r="E355" s="68"/>
      <c r="F355" s="68"/>
      <c r="G355" s="68"/>
      <c r="H355" s="68"/>
      <c r="I355" s="68"/>
      <c r="J355" s="68"/>
      <c r="K355" s="68"/>
      <c r="L355" s="68"/>
      <c r="M355" s="68"/>
      <c r="N355" s="68"/>
      <c r="O355" s="68"/>
      <c r="P355" s="68"/>
      <c r="Q355" s="68"/>
      <c r="R355" s="68"/>
      <c r="S355" s="68"/>
      <c r="T355" s="68"/>
      <c r="U355" s="68"/>
      <c r="V355" s="68"/>
      <c r="W355" s="68"/>
      <c r="X355" s="68"/>
      <c r="Y355" s="68"/>
      <c r="Z355" s="68"/>
    </row>
    <row r="356">
      <c r="A356" s="68"/>
      <c r="B356" s="68"/>
      <c r="C356" s="68"/>
      <c r="D356" s="68"/>
      <c r="E356" s="68"/>
      <c r="F356" s="68"/>
      <c r="G356" s="68"/>
      <c r="H356" s="68"/>
      <c r="I356" s="68"/>
      <c r="J356" s="68"/>
      <c r="K356" s="68"/>
      <c r="L356" s="68"/>
      <c r="M356" s="68"/>
      <c r="N356" s="68"/>
      <c r="O356" s="68"/>
      <c r="P356" s="68"/>
      <c r="Q356" s="68"/>
      <c r="R356" s="68"/>
      <c r="S356" s="68"/>
      <c r="T356" s="68"/>
      <c r="U356" s="68"/>
      <c r="V356" s="68"/>
      <c r="W356" s="68"/>
      <c r="X356" s="68"/>
      <c r="Y356" s="68"/>
      <c r="Z356" s="68"/>
    </row>
    <row r="357">
      <c r="A357" s="68"/>
      <c r="B357" s="68"/>
      <c r="C357" s="68"/>
      <c r="D357" s="68"/>
      <c r="E357" s="68"/>
      <c r="F357" s="68"/>
      <c r="G357" s="68"/>
      <c r="H357" s="68"/>
      <c r="I357" s="68"/>
      <c r="J357" s="68"/>
      <c r="K357" s="68"/>
      <c r="L357" s="68"/>
      <c r="M357" s="68"/>
      <c r="N357" s="68"/>
      <c r="O357" s="68"/>
      <c r="P357" s="68"/>
      <c r="Q357" s="68"/>
      <c r="R357" s="68"/>
      <c r="S357" s="68"/>
      <c r="T357" s="68"/>
      <c r="U357" s="68"/>
      <c r="V357" s="68"/>
      <c r="W357" s="68"/>
      <c r="X357" s="68"/>
      <c r="Y357" s="68"/>
      <c r="Z357" s="68"/>
    </row>
    <row r="358">
      <c r="A358" s="68"/>
      <c r="B358" s="68"/>
      <c r="C358" s="68"/>
      <c r="D358" s="68"/>
      <c r="E358" s="68"/>
      <c r="F358" s="68"/>
      <c r="G358" s="68"/>
      <c r="H358" s="68"/>
      <c r="I358" s="68"/>
      <c r="J358" s="68"/>
      <c r="K358" s="68"/>
      <c r="L358" s="68"/>
      <c r="M358" s="68"/>
      <c r="N358" s="68"/>
      <c r="O358" s="68"/>
      <c r="P358" s="68"/>
      <c r="Q358" s="68"/>
      <c r="R358" s="68"/>
      <c r="S358" s="68"/>
      <c r="T358" s="68"/>
      <c r="U358" s="68"/>
      <c r="V358" s="68"/>
      <c r="W358" s="68"/>
      <c r="X358" s="68"/>
      <c r="Y358" s="68"/>
      <c r="Z358" s="68"/>
    </row>
    <row r="359">
      <c r="A359" s="68"/>
      <c r="B359" s="68"/>
      <c r="C359" s="68"/>
      <c r="D359" s="68"/>
      <c r="E359" s="68"/>
      <c r="F359" s="68"/>
      <c r="G359" s="68"/>
      <c r="H359" s="68"/>
      <c r="I359" s="68"/>
      <c r="J359" s="68"/>
      <c r="K359" s="68"/>
      <c r="L359" s="68"/>
      <c r="M359" s="68"/>
      <c r="N359" s="68"/>
      <c r="O359" s="68"/>
      <c r="P359" s="68"/>
      <c r="Q359" s="68"/>
      <c r="R359" s="68"/>
      <c r="S359" s="68"/>
      <c r="T359" s="68"/>
      <c r="U359" s="68"/>
      <c r="V359" s="68"/>
      <c r="W359" s="68"/>
      <c r="X359" s="68"/>
      <c r="Y359" s="68"/>
      <c r="Z359" s="68"/>
    </row>
    <row r="360">
      <c r="A360" s="68"/>
      <c r="B360" s="68"/>
      <c r="C360" s="68"/>
      <c r="D360" s="68"/>
      <c r="E360" s="68"/>
      <c r="F360" s="68"/>
      <c r="G360" s="68"/>
      <c r="H360" s="68"/>
      <c r="I360" s="68"/>
      <c r="J360" s="68"/>
      <c r="K360" s="68"/>
      <c r="L360" s="68"/>
      <c r="M360" s="68"/>
      <c r="N360" s="68"/>
      <c r="O360" s="68"/>
      <c r="P360" s="68"/>
      <c r="Q360" s="68"/>
      <c r="R360" s="68"/>
      <c r="S360" s="68"/>
      <c r="T360" s="68"/>
      <c r="U360" s="68"/>
      <c r="V360" s="68"/>
      <c r="W360" s="68"/>
      <c r="X360" s="68"/>
      <c r="Y360" s="68"/>
      <c r="Z360" s="68"/>
    </row>
    <row r="361">
      <c r="A361" s="68"/>
      <c r="B361" s="68"/>
      <c r="C361" s="68"/>
      <c r="D361" s="68"/>
      <c r="E361" s="68"/>
      <c r="F361" s="68"/>
      <c r="G361" s="68"/>
      <c r="H361" s="68"/>
      <c r="I361" s="68"/>
      <c r="J361" s="68"/>
      <c r="K361" s="68"/>
      <c r="L361" s="68"/>
      <c r="M361" s="68"/>
      <c r="N361" s="68"/>
      <c r="O361" s="68"/>
      <c r="P361" s="68"/>
      <c r="Q361" s="68"/>
      <c r="R361" s="68"/>
      <c r="S361" s="68"/>
      <c r="T361" s="68"/>
      <c r="U361" s="68"/>
      <c r="V361" s="68"/>
      <c r="W361" s="68"/>
      <c r="X361" s="68"/>
      <c r="Y361" s="68"/>
      <c r="Z361" s="68"/>
    </row>
    <row r="362">
      <c r="A362" s="68"/>
      <c r="B362" s="68"/>
      <c r="C362" s="68"/>
      <c r="D362" s="68"/>
      <c r="E362" s="68"/>
      <c r="F362" s="68"/>
      <c r="G362" s="68"/>
      <c r="H362" s="68"/>
      <c r="I362" s="68"/>
      <c r="J362" s="68"/>
      <c r="K362" s="68"/>
      <c r="L362" s="68"/>
      <c r="M362" s="68"/>
      <c r="N362" s="68"/>
      <c r="O362" s="68"/>
      <c r="P362" s="68"/>
      <c r="Q362" s="68"/>
      <c r="R362" s="68"/>
      <c r="S362" s="68"/>
      <c r="T362" s="68"/>
      <c r="U362" s="68"/>
      <c r="V362" s="68"/>
      <c r="W362" s="68"/>
      <c r="X362" s="68"/>
      <c r="Y362" s="68"/>
      <c r="Z362" s="68"/>
    </row>
    <row r="363">
      <c r="A363" s="68"/>
      <c r="B363" s="68"/>
      <c r="C363" s="68"/>
      <c r="D363" s="68"/>
      <c r="E363" s="68"/>
      <c r="F363" s="68"/>
      <c r="G363" s="68"/>
      <c r="H363" s="68"/>
      <c r="I363" s="68"/>
      <c r="J363" s="68"/>
      <c r="K363" s="68"/>
      <c r="L363" s="68"/>
      <c r="M363" s="68"/>
      <c r="N363" s="68"/>
      <c r="O363" s="68"/>
      <c r="P363" s="68"/>
      <c r="Q363" s="68"/>
      <c r="R363" s="68"/>
      <c r="S363" s="68"/>
      <c r="T363" s="68"/>
      <c r="U363" s="68"/>
      <c r="V363" s="68"/>
      <c r="W363" s="68"/>
      <c r="X363" s="68"/>
      <c r="Y363" s="68"/>
      <c r="Z363" s="68"/>
    </row>
    <row r="364">
      <c r="A364" s="68"/>
      <c r="B364" s="68"/>
      <c r="C364" s="68"/>
      <c r="D364" s="68"/>
      <c r="E364" s="68"/>
      <c r="F364" s="68"/>
      <c r="G364" s="68"/>
      <c r="H364" s="68"/>
      <c r="I364" s="68"/>
      <c r="J364" s="68"/>
      <c r="K364" s="68"/>
      <c r="L364" s="68"/>
      <c r="M364" s="68"/>
      <c r="N364" s="68"/>
      <c r="O364" s="68"/>
      <c r="P364" s="68"/>
      <c r="Q364" s="68"/>
      <c r="R364" s="68"/>
      <c r="S364" s="68"/>
      <c r="T364" s="68"/>
      <c r="U364" s="68"/>
      <c r="V364" s="68"/>
      <c r="W364" s="68"/>
      <c r="X364" s="68"/>
      <c r="Y364" s="68"/>
      <c r="Z364" s="68"/>
    </row>
    <row r="365">
      <c r="A365" s="68"/>
      <c r="B365" s="68"/>
      <c r="C365" s="68"/>
      <c r="D365" s="68"/>
      <c r="E365" s="68"/>
      <c r="F365" s="68"/>
      <c r="G365" s="68"/>
      <c r="H365" s="68"/>
      <c r="I365" s="68"/>
      <c r="J365" s="68"/>
      <c r="K365" s="68"/>
      <c r="L365" s="68"/>
      <c r="M365" s="68"/>
      <c r="N365" s="68"/>
      <c r="O365" s="68"/>
      <c r="P365" s="68"/>
      <c r="Q365" s="68"/>
      <c r="R365" s="68"/>
      <c r="S365" s="68"/>
      <c r="T365" s="68"/>
      <c r="U365" s="68"/>
      <c r="V365" s="68"/>
      <c r="W365" s="68"/>
      <c r="X365" s="68"/>
      <c r="Y365" s="68"/>
      <c r="Z365" s="68"/>
    </row>
    <row r="366">
      <c r="A366" s="68"/>
      <c r="B366" s="68"/>
      <c r="C366" s="68"/>
      <c r="D366" s="68"/>
      <c r="E366" s="68"/>
      <c r="F366" s="68"/>
      <c r="G366" s="68"/>
      <c r="H366" s="68"/>
      <c r="I366" s="68"/>
      <c r="J366" s="68"/>
      <c r="K366" s="68"/>
      <c r="L366" s="68"/>
      <c r="M366" s="68"/>
      <c r="N366" s="68"/>
      <c r="O366" s="68"/>
      <c r="P366" s="68"/>
      <c r="Q366" s="68"/>
      <c r="R366" s="68"/>
      <c r="S366" s="68"/>
      <c r="T366" s="68"/>
      <c r="U366" s="68"/>
      <c r="V366" s="68"/>
      <c r="W366" s="68"/>
      <c r="X366" s="68"/>
      <c r="Y366" s="68"/>
      <c r="Z366" s="68"/>
    </row>
    <row r="367">
      <c r="A367" s="68"/>
      <c r="B367" s="68"/>
      <c r="C367" s="68"/>
      <c r="D367" s="68"/>
      <c r="E367" s="68"/>
      <c r="F367" s="68"/>
      <c r="G367" s="68"/>
      <c r="H367" s="68"/>
      <c r="I367" s="68"/>
      <c r="J367" s="68"/>
      <c r="K367" s="68"/>
      <c r="L367" s="68"/>
      <c r="M367" s="68"/>
      <c r="N367" s="68"/>
      <c r="O367" s="68"/>
      <c r="P367" s="68"/>
      <c r="Q367" s="68"/>
      <c r="R367" s="68"/>
      <c r="S367" s="68"/>
      <c r="T367" s="68"/>
      <c r="U367" s="68"/>
      <c r="V367" s="68"/>
      <c r="W367" s="68"/>
      <c r="X367" s="68"/>
      <c r="Y367" s="68"/>
      <c r="Z367" s="68"/>
    </row>
    <row r="368">
      <c r="A368" s="68"/>
      <c r="B368" s="68"/>
      <c r="C368" s="68"/>
      <c r="D368" s="68"/>
      <c r="E368" s="68"/>
      <c r="F368" s="68"/>
      <c r="G368" s="68"/>
      <c r="H368" s="68"/>
      <c r="I368" s="68"/>
      <c r="J368" s="68"/>
      <c r="K368" s="68"/>
      <c r="L368" s="68"/>
      <c r="M368" s="68"/>
      <c r="N368" s="68"/>
      <c r="O368" s="68"/>
      <c r="P368" s="68"/>
      <c r="Q368" s="68"/>
      <c r="R368" s="68"/>
      <c r="S368" s="68"/>
      <c r="T368" s="68"/>
      <c r="U368" s="68"/>
      <c r="V368" s="68"/>
      <c r="W368" s="68"/>
      <c r="X368" s="68"/>
      <c r="Y368" s="68"/>
      <c r="Z368" s="68"/>
    </row>
    <row r="369">
      <c r="A369" s="68"/>
      <c r="B369" s="68"/>
      <c r="C369" s="68"/>
      <c r="D369" s="68"/>
      <c r="E369" s="68"/>
      <c r="F369" s="68"/>
      <c r="G369" s="68"/>
      <c r="H369" s="68"/>
      <c r="I369" s="68"/>
      <c r="J369" s="68"/>
      <c r="K369" s="68"/>
      <c r="L369" s="68"/>
      <c r="M369" s="68"/>
      <c r="N369" s="68"/>
      <c r="O369" s="68"/>
      <c r="P369" s="68"/>
      <c r="Q369" s="68"/>
      <c r="R369" s="68"/>
      <c r="S369" s="68"/>
      <c r="T369" s="68"/>
      <c r="U369" s="68"/>
      <c r="V369" s="68"/>
      <c r="W369" s="68"/>
      <c r="X369" s="68"/>
      <c r="Y369" s="68"/>
      <c r="Z369" s="68"/>
    </row>
    <row r="370">
      <c r="A370" s="68"/>
      <c r="B370" s="68"/>
      <c r="C370" s="68"/>
      <c r="D370" s="68"/>
      <c r="E370" s="68"/>
      <c r="F370" s="68"/>
      <c r="G370" s="68"/>
      <c r="H370" s="68"/>
      <c r="I370" s="68"/>
      <c r="J370" s="68"/>
      <c r="K370" s="68"/>
      <c r="L370" s="68"/>
      <c r="M370" s="68"/>
      <c r="N370" s="68"/>
      <c r="O370" s="68"/>
      <c r="P370" s="68"/>
      <c r="Q370" s="68"/>
      <c r="R370" s="68"/>
      <c r="S370" s="68"/>
      <c r="T370" s="68"/>
      <c r="U370" s="68"/>
      <c r="V370" s="68"/>
      <c r="W370" s="68"/>
      <c r="X370" s="68"/>
      <c r="Y370" s="68"/>
      <c r="Z370" s="68"/>
    </row>
    <row r="371">
      <c r="A371" s="68"/>
      <c r="B371" s="68"/>
      <c r="C371" s="68"/>
      <c r="D371" s="68"/>
      <c r="E371" s="68"/>
      <c r="F371" s="68"/>
      <c r="G371" s="68"/>
      <c r="H371" s="68"/>
      <c r="I371" s="68"/>
      <c r="J371" s="68"/>
      <c r="K371" s="68"/>
      <c r="L371" s="68"/>
      <c r="M371" s="68"/>
      <c r="N371" s="68"/>
      <c r="O371" s="68"/>
      <c r="P371" s="68"/>
      <c r="Q371" s="68"/>
      <c r="R371" s="68"/>
      <c r="S371" s="68"/>
      <c r="T371" s="68"/>
      <c r="U371" s="68"/>
      <c r="V371" s="68"/>
      <c r="W371" s="68"/>
      <c r="X371" s="68"/>
      <c r="Y371" s="68"/>
      <c r="Z371" s="68"/>
    </row>
    <row r="372">
      <c r="A372" s="68"/>
      <c r="B372" s="68"/>
      <c r="C372" s="68"/>
      <c r="D372" s="68"/>
      <c r="E372" s="68"/>
      <c r="F372" s="68"/>
      <c r="G372" s="68"/>
      <c r="H372" s="68"/>
      <c r="I372" s="68"/>
      <c r="J372" s="68"/>
      <c r="K372" s="68"/>
      <c r="L372" s="68"/>
      <c r="M372" s="68"/>
      <c r="N372" s="68"/>
      <c r="O372" s="68"/>
      <c r="P372" s="68"/>
      <c r="Q372" s="68"/>
      <c r="R372" s="68"/>
      <c r="S372" s="68"/>
      <c r="T372" s="68"/>
      <c r="U372" s="68"/>
      <c r="V372" s="68"/>
      <c r="W372" s="68"/>
      <c r="X372" s="68"/>
      <c r="Y372" s="68"/>
      <c r="Z372" s="68"/>
    </row>
    <row r="373">
      <c r="A373" s="68"/>
      <c r="B373" s="68"/>
      <c r="C373" s="68"/>
      <c r="D373" s="68"/>
      <c r="E373" s="68"/>
      <c r="F373" s="68"/>
      <c r="G373" s="68"/>
      <c r="H373" s="68"/>
      <c r="I373" s="68"/>
      <c r="J373" s="68"/>
      <c r="K373" s="68"/>
      <c r="L373" s="68"/>
      <c r="M373" s="68"/>
      <c r="N373" s="68"/>
      <c r="O373" s="68"/>
      <c r="P373" s="68"/>
      <c r="Q373" s="68"/>
      <c r="R373" s="68"/>
      <c r="S373" s="68"/>
      <c r="T373" s="68"/>
      <c r="U373" s="68"/>
      <c r="V373" s="68"/>
      <c r="W373" s="68"/>
      <c r="X373" s="68"/>
      <c r="Y373" s="68"/>
      <c r="Z373" s="68"/>
    </row>
    <row r="374">
      <c r="A374" s="68"/>
      <c r="B374" s="68"/>
      <c r="C374" s="68"/>
      <c r="D374" s="68"/>
      <c r="E374" s="68"/>
      <c r="F374" s="68"/>
      <c r="G374" s="68"/>
      <c r="H374" s="68"/>
      <c r="I374" s="68"/>
      <c r="J374" s="68"/>
      <c r="K374" s="68"/>
      <c r="L374" s="68"/>
      <c r="M374" s="68"/>
      <c r="N374" s="68"/>
      <c r="O374" s="68"/>
      <c r="P374" s="68"/>
      <c r="Q374" s="68"/>
      <c r="R374" s="68"/>
      <c r="S374" s="68"/>
      <c r="T374" s="68"/>
      <c r="U374" s="68"/>
      <c r="V374" s="68"/>
      <c r="W374" s="68"/>
      <c r="X374" s="68"/>
      <c r="Y374" s="68"/>
      <c r="Z374" s="68"/>
    </row>
    <row r="375">
      <c r="A375" s="68"/>
      <c r="B375" s="68"/>
      <c r="C375" s="68"/>
      <c r="D375" s="68"/>
      <c r="E375" s="68"/>
      <c r="F375" s="68"/>
      <c r="G375" s="68"/>
      <c r="H375" s="68"/>
      <c r="I375" s="68"/>
      <c r="J375" s="68"/>
      <c r="K375" s="68"/>
      <c r="L375" s="68"/>
      <c r="M375" s="68"/>
      <c r="N375" s="68"/>
      <c r="O375" s="68"/>
      <c r="P375" s="68"/>
      <c r="Q375" s="68"/>
      <c r="R375" s="68"/>
      <c r="S375" s="68"/>
      <c r="T375" s="68"/>
      <c r="U375" s="68"/>
      <c r="V375" s="68"/>
      <c r="W375" s="68"/>
      <c r="X375" s="68"/>
      <c r="Y375" s="68"/>
      <c r="Z375" s="68"/>
    </row>
    <row r="376">
      <c r="A376" s="68"/>
      <c r="B376" s="68"/>
      <c r="C376" s="68"/>
      <c r="D376" s="68"/>
      <c r="E376" s="68"/>
      <c r="F376" s="68"/>
      <c r="G376" s="68"/>
      <c r="H376" s="68"/>
      <c r="I376" s="68"/>
      <c r="J376" s="68"/>
      <c r="K376" s="68"/>
      <c r="L376" s="68"/>
      <c r="M376" s="68"/>
      <c r="N376" s="68"/>
      <c r="O376" s="68"/>
      <c r="P376" s="68"/>
      <c r="Q376" s="68"/>
      <c r="R376" s="68"/>
      <c r="S376" s="68"/>
      <c r="T376" s="68"/>
      <c r="U376" s="68"/>
      <c r="V376" s="68"/>
      <c r="W376" s="68"/>
      <c r="X376" s="68"/>
      <c r="Y376" s="68"/>
      <c r="Z376" s="68"/>
    </row>
    <row r="377">
      <c r="A377" s="68"/>
      <c r="B377" s="68"/>
      <c r="C377" s="68"/>
      <c r="D377" s="68"/>
      <c r="E377" s="68"/>
      <c r="F377" s="68"/>
      <c r="G377" s="68"/>
      <c r="H377" s="68"/>
      <c r="I377" s="68"/>
      <c r="J377" s="68"/>
      <c r="K377" s="68"/>
      <c r="L377" s="68"/>
      <c r="M377" s="68"/>
      <c r="N377" s="68"/>
      <c r="O377" s="68"/>
      <c r="P377" s="68"/>
      <c r="Q377" s="68"/>
      <c r="R377" s="68"/>
      <c r="S377" s="68"/>
      <c r="T377" s="68"/>
      <c r="U377" s="68"/>
      <c r="V377" s="68"/>
      <c r="W377" s="68"/>
      <c r="X377" s="68"/>
      <c r="Y377" s="68"/>
      <c r="Z377" s="68"/>
    </row>
    <row r="378">
      <c r="A378" s="68"/>
      <c r="B378" s="68"/>
      <c r="C378" s="68"/>
      <c r="D378" s="68"/>
      <c r="E378" s="68"/>
      <c r="F378" s="68"/>
      <c r="G378" s="68"/>
      <c r="H378" s="68"/>
      <c r="I378" s="68"/>
      <c r="J378" s="68"/>
      <c r="K378" s="68"/>
      <c r="L378" s="68"/>
      <c r="M378" s="68"/>
      <c r="N378" s="68"/>
      <c r="O378" s="68"/>
      <c r="P378" s="68"/>
      <c r="Q378" s="68"/>
      <c r="R378" s="68"/>
      <c r="S378" s="68"/>
      <c r="T378" s="68"/>
      <c r="U378" s="68"/>
      <c r="V378" s="68"/>
      <c r="W378" s="68"/>
      <c r="X378" s="68"/>
      <c r="Y378" s="68"/>
      <c r="Z378" s="68"/>
    </row>
    <row r="379">
      <c r="A379" s="68"/>
      <c r="B379" s="68"/>
      <c r="C379" s="68"/>
      <c r="D379" s="68"/>
      <c r="E379" s="68"/>
      <c r="F379" s="68"/>
      <c r="G379" s="68"/>
      <c r="H379" s="68"/>
      <c r="I379" s="68"/>
      <c r="J379" s="68"/>
      <c r="K379" s="68"/>
      <c r="L379" s="68"/>
      <c r="M379" s="68"/>
      <c r="N379" s="68"/>
      <c r="O379" s="68"/>
      <c r="P379" s="68"/>
      <c r="Q379" s="68"/>
      <c r="R379" s="68"/>
      <c r="S379" s="68"/>
      <c r="T379" s="68"/>
      <c r="U379" s="68"/>
      <c r="V379" s="68"/>
      <c r="W379" s="68"/>
      <c r="X379" s="68"/>
      <c r="Y379" s="68"/>
      <c r="Z379" s="68"/>
    </row>
    <row r="380">
      <c r="A380" s="68"/>
      <c r="B380" s="68"/>
      <c r="C380" s="68"/>
      <c r="D380" s="68"/>
      <c r="E380" s="68"/>
      <c r="F380" s="68"/>
      <c r="G380" s="68"/>
      <c r="H380" s="68"/>
      <c r="I380" s="68"/>
      <c r="J380" s="68"/>
      <c r="K380" s="68"/>
      <c r="L380" s="68"/>
      <c r="M380" s="68"/>
      <c r="N380" s="68"/>
      <c r="O380" s="68"/>
      <c r="P380" s="68"/>
      <c r="Q380" s="68"/>
      <c r="R380" s="68"/>
      <c r="S380" s="68"/>
      <c r="T380" s="68"/>
      <c r="U380" s="68"/>
      <c r="V380" s="68"/>
      <c r="W380" s="68"/>
      <c r="X380" s="68"/>
      <c r="Y380" s="68"/>
      <c r="Z380" s="68"/>
    </row>
    <row r="381">
      <c r="A381" s="68"/>
      <c r="B381" s="68"/>
      <c r="C381" s="68"/>
      <c r="D381" s="68"/>
      <c r="E381" s="68"/>
      <c r="F381" s="68"/>
      <c r="G381" s="68"/>
      <c r="H381" s="68"/>
      <c r="I381" s="68"/>
      <c r="J381" s="68"/>
      <c r="K381" s="68"/>
      <c r="L381" s="68"/>
      <c r="M381" s="68"/>
      <c r="N381" s="68"/>
      <c r="O381" s="68"/>
      <c r="P381" s="68"/>
      <c r="Q381" s="68"/>
      <c r="R381" s="68"/>
      <c r="S381" s="68"/>
      <c r="T381" s="68"/>
      <c r="U381" s="68"/>
      <c r="V381" s="68"/>
      <c r="W381" s="68"/>
      <c r="X381" s="68"/>
      <c r="Y381" s="68"/>
      <c r="Z381" s="68"/>
    </row>
    <row r="382">
      <c r="A382" s="68"/>
      <c r="B382" s="68"/>
      <c r="C382" s="68"/>
      <c r="D382" s="68"/>
      <c r="E382" s="68"/>
      <c r="F382" s="68"/>
      <c r="G382" s="68"/>
      <c r="H382" s="68"/>
      <c r="I382" s="68"/>
      <c r="J382" s="68"/>
      <c r="K382" s="68"/>
      <c r="L382" s="68"/>
      <c r="M382" s="68"/>
      <c r="N382" s="68"/>
      <c r="O382" s="68"/>
      <c r="P382" s="68"/>
      <c r="Q382" s="68"/>
      <c r="R382" s="68"/>
      <c r="S382" s="68"/>
      <c r="T382" s="68"/>
      <c r="U382" s="68"/>
      <c r="V382" s="68"/>
      <c r="W382" s="68"/>
      <c r="X382" s="68"/>
      <c r="Y382" s="68"/>
      <c r="Z382" s="68"/>
    </row>
    <row r="383">
      <c r="A383" s="68"/>
      <c r="B383" s="68"/>
      <c r="C383" s="68"/>
      <c r="D383" s="68"/>
      <c r="E383" s="68"/>
      <c r="F383" s="68"/>
      <c r="G383" s="68"/>
      <c r="H383" s="68"/>
      <c r="I383" s="68"/>
      <c r="J383" s="68"/>
      <c r="K383" s="68"/>
      <c r="L383" s="68"/>
      <c r="M383" s="68"/>
      <c r="N383" s="68"/>
      <c r="O383" s="68"/>
      <c r="P383" s="68"/>
      <c r="Q383" s="68"/>
      <c r="R383" s="68"/>
      <c r="S383" s="68"/>
      <c r="T383" s="68"/>
      <c r="U383" s="68"/>
      <c r="V383" s="68"/>
      <c r="W383" s="68"/>
      <c r="X383" s="68"/>
      <c r="Y383" s="68"/>
      <c r="Z383" s="68"/>
    </row>
    <row r="384">
      <c r="A384" s="68"/>
      <c r="B384" s="68"/>
      <c r="C384" s="68"/>
      <c r="D384" s="68"/>
      <c r="E384" s="68"/>
      <c r="F384" s="68"/>
      <c r="G384" s="68"/>
      <c r="H384" s="68"/>
      <c r="I384" s="68"/>
      <c r="J384" s="68"/>
      <c r="K384" s="68"/>
      <c r="L384" s="68"/>
      <c r="M384" s="68"/>
      <c r="N384" s="68"/>
      <c r="O384" s="68"/>
      <c r="P384" s="68"/>
      <c r="Q384" s="68"/>
      <c r="R384" s="68"/>
      <c r="S384" s="68"/>
      <c r="T384" s="68"/>
      <c r="U384" s="68"/>
      <c r="V384" s="68"/>
      <c r="W384" s="68"/>
      <c r="X384" s="68"/>
      <c r="Y384" s="68"/>
      <c r="Z384" s="68"/>
    </row>
    <row r="385">
      <c r="A385" s="68"/>
      <c r="B385" s="68"/>
      <c r="C385" s="68"/>
      <c r="D385" s="68"/>
      <c r="E385" s="68"/>
      <c r="F385" s="68"/>
      <c r="G385" s="68"/>
      <c r="H385" s="68"/>
      <c r="I385" s="68"/>
      <c r="J385" s="68"/>
      <c r="K385" s="68"/>
      <c r="L385" s="68"/>
      <c r="M385" s="68"/>
      <c r="N385" s="68"/>
      <c r="O385" s="68"/>
      <c r="P385" s="68"/>
      <c r="Q385" s="68"/>
      <c r="R385" s="68"/>
      <c r="S385" s="68"/>
      <c r="T385" s="68"/>
      <c r="U385" s="68"/>
      <c r="V385" s="68"/>
      <c r="W385" s="68"/>
      <c r="X385" s="68"/>
      <c r="Y385" s="68"/>
      <c r="Z385" s="68"/>
    </row>
    <row r="386">
      <c r="A386" s="68"/>
      <c r="B386" s="68"/>
      <c r="C386" s="68"/>
      <c r="D386" s="68"/>
      <c r="E386" s="68"/>
      <c r="F386" s="68"/>
      <c r="G386" s="68"/>
      <c r="H386" s="68"/>
      <c r="I386" s="68"/>
      <c r="J386" s="68"/>
      <c r="K386" s="68"/>
      <c r="L386" s="68"/>
      <c r="M386" s="68"/>
      <c r="N386" s="68"/>
      <c r="O386" s="68"/>
      <c r="P386" s="68"/>
      <c r="Q386" s="68"/>
      <c r="R386" s="68"/>
      <c r="S386" s="68"/>
      <c r="T386" s="68"/>
      <c r="U386" s="68"/>
      <c r="V386" s="68"/>
      <c r="W386" s="68"/>
      <c r="X386" s="68"/>
      <c r="Y386" s="68"/>
      <c r="Z386" s="68"/>
    </row>
    <row r="387">
      <c r="A387" s="68"/>
      <c r="B387" s="68"/>
      <c r="C387" s="68"/>
      <c r="D387" s="68"/>
      <c r="E387" s="68"/>
      <c r="F387" s="68"/>
      <c r="G387" s="68"/>
      <c r="H387" s="68"/>
      <c r="I387" s="68"/>
      <c r="J387" s="68"/>
      <c r="K387" s="68"/>
      <c r="L387" s="68"/>
      <c r="M387" s="68"/>
      <c r="N387" s="68"/>
      <c r="O387" s="68"/>
      <c r="P387" s="68"/>
      <c r="Q387" s="68"/>
      <c r="R387" s="68"/>
      <c r="S387" s="68"/>
      <c r="T387" s="68"/>
      <c r="U387" s="68"/>
      <c r="V387" s="68"/>
      <c r="W387" s="68"/>
      <c r="X387" s="68"/>
      <c r="Y387" s="68"/>
      <c r="Z387" s="68"/>
    </row>
    <row r="388">
      <c r="A388" s="68"/>
      <c r="B388" s="68"/>
      <c r="C388" s="68"/>
      <c r="D388" s="68"/>
      <c r="E388" s="68"/>
      <c r="F388" s="68"/>
      <c r="G388" s="68"/>
      <c r="H388" s="68"/>
      <c r="I388" s="68"/>
      <c r="J388" s="68"/>
      <c r="K388" s="68"/>
      <c r="L388" s="68"/>
      <c r="M388" s="68"/>
      <c r="N388" s="68"/>
      <c r="O388" s="68"/>
      <c r="P388" s="68"/>
      <c r="Q388" s="68"/>
      <c r="R388" s="68"/>
      <c r="S388" s="68"/>
      <c r="T388" s="68"/>
      <c r="U388" s="68"/>
      <c r="V388" s="68"/>
      <c r="W388" s="68"/>
      <c r="X388" s="68"/>
      <c r="Y388" s="68"/>
      <c r="Z388" s="68"/>
    </row>
    <row r="389">
      <c r="A389" s="68"/>
      <c r="B389" s="68"/>
      <c r="C389" s="68"/>
      <c r="D389" s="68"/>
      <c r="E389" s="68"/>
      <c r="F389" s="68"/>
      <c r="G389" s="68"/>
      <c r="H389" s="68"/>
      <c r="I389" s="68"/>
      <c r="J389" s="68"/>
      <c r="K389" s="68"/>
      <c r="L389" s="68"/>
      <c r="M389" s="68"/>
      <c r="N389" s="68"/>
      <c r="O389" s="68"/>
      <c r="P389" s="68"/>
      <c r="Q389" s="68"/>
      <c r="R389" s="68"/>
      <c r="S389" s="68"/>
      <c r="T389" s="68"/>
      <c r="U389" s="68"/>
      <c r="V389" s="68"/>
      <c r="W389" s="68"/>
      <c r="X389" s="68"/>
      <c r="Y389" s="68"/>
      <c r="Z389" s="68"/>
    </row>
    <row r="390">
      <c r="A390" s="68"/>
      <c r="B390" s="68"/>
      <c r="C390" s="68"/>
      <c r="D390" s="68"/>
      <c r="E390" s="68"/>
      <c r="F390" s="68"/>
      <c r="G390" s="68"/>
      <c r="H390" s="68"/>
      <c r="I390" s="68"/>
      <c r="J390" s="68"/>
      <c r="K390" s="68"/>
      <c r="L390" s="68"/>
      <c r="M390" s="68"/>
      <c r="N390" s="68"/>
      <c r="O390" s="68"/>
      <c r="P390" s="68"/>
      <c r="Q390" s="68"/>
      <c r="R390" s="68"/>
      <c r="S390" s="68"/>
      <c r="T390" s="68"/>
      <c r="U390" s="68"/>
      <c r="V390" s="68"/>
      <c r="W390" s="68"/>
      <c r="X390" s="68"/>
      <c r="Y390" s="68"/>
      <c r="Z390" s="68"/>
    </row>
    <row r="391">
      <c r="A391" s="68"/>
      <c r="B391" s="68"/>
      <c r="C391" s="68"/>
      <c r="D391" s="68"/>
      <c r="E391" s="68"/>
      <c r="F391" s="68"/>
      <c r="G391" s="68"/>
      <c r="H391" s="68"/>
      <c r="I391" s="68"/>
      <c r="J391" s="68"/>
      <c r="K391" s="68"/>
      <c r="L391" s="68"/>
      <c r="M391" s="68"/>
      <c r="N391" s="68"/>
      <c r="O391" s="68"/>
      <c r="P391" s="68"/>
      <c r="Q391" s="68"/>
      <c r="R391" s="68"/>
      <c r="S391" s="68"/>
      <c r="T391" s="68"/>
      <c r="U391" s="68"/>
      <c r="V391" s="68"/>
      <c r="W391" s="68"/>
      <c r="X391" s="68"/>
      <c r="Y391" s="68"/>
      <c r="Z391" s="68"/>
    </row>
    <row r="392">
      <c r="A392" s="68"/>
      <c r="B392" s="68"/>
      <c r="C392" s="68"/>
      <c r="D392" s="68"/>
      <c r="E392" s="68"/>
      <c r="F392" s="68"/>
      <c r="G392" s="68"/>
      <c r="H392" s="68"/>
      <c r="I392" s="68"/>
      <c r="J392" s="68"/>
      <c r="K392" s="68"/>
      <c r="L392" s="68"/>
      <c r="M392" s="68"/>
      <c r="N392" s="68"/>
      <c r="O392" s="68"/>
      <c r="P392" s="68"/>
      <c r="Q392" s="68"/>
      <c r="R392" s="68"/>
      <c r="S392" s="68"/>
      <c r="T392" s="68"/>
      <c r="U392" s="68"/>
      <c r="V392" s="68"/>
      <c r="W392" s="68"/>
      <c r="X392" s="68"/>
      <c r="Y392" s="68"/>
      <c r="Z392" s="68"/>
    </row>
    <row r="393">
      <c r="A393" s="68"/>
      <c r="B393" s="68"/>
      <c r="C393" s="68"/>
      <c r="D393" s="68"/>
      <c r="E393" s="68"/>
      <c r="F393" s="68"/>
      <c r="G393" s="68"/>
      <c r="H393" s="68"/>
      <c r="I393" s="68"/>
      <c r="J393" s="68"/>
      <c r="K393" s="68"/>
      <c r="L393" s="68"/>
      <c r="M393" s="68"/>
      <c r="N393" s="68"/>
      <c r="O393" s="68"/>
      <c r="P393" s="68"/>
      <c r="Q393" s="68"/>
      <c r="R393" s="68"/>
      <c r="S393" s="68"/>
      <c r="T393" s="68"/>
      <c r="U393" s="68"/>
      <c r="V393" s="68"/>
      <c r="W393" s="68"/>
      <c r="X393" s="68"/>
      <c r="Y393" s="68"/>
      <c r="Z393" s="68"/>
    </row>
    <row r="394">
      <c r="A394" s="68"/>
      <c r="B394" s="68"/>
      <c r="C394" s="68"/>
      <c r="D394" s="68"/>
      <c r="E394" s="68"/>
      <c r="F394" s="68"/>
      <c r="G394" s="68"/>
      <c r="H394" s="68"/>
      <c r="I394" s="68"/>
      <c r="J394" s="68"/>
      <c r="K394" s="68"/>
      <c r="L394" s="68"/>
      <c r="M394" s="68"/>
      <c r="N394" s="68"/>
      <c r="O394" s="68"/>
      <c r="P394" s="68"/>
      <c r="Q394" s="68"/>
      <c r="R394" s="68"/>
      <c r="S394" s="68"/>
      <c r="T394" s="68"/>
      <c r="U394" s="68"/>
      <c r="V394" s="68"/>
      <c r="W394" s="68"/>
      <c r="X394" s="68"/>
      <c r="Y394" s="68"/>
      <c r="Z394" s="68"/>
    </row>
    <row r="395">
      <c r="A395" s="68"/>
      <c r="B395" s="68"/>
      <c r="C395" s="68"/>
      <c r="D395" s="68"/>
      <c r="E395" s="68"/>
      <c r="F395" s="68"/>
      <c r="G395" s="68"/>
      <c r="H395" s="68"/>
      <c r="I395" s="68"/>
      <c r="J395" s="68"/>
      <c r="K395" s="68"/>
      <c r="L395" s="68"/>
      <c r="M395" s="68"/>
      <c r="N395" s="68"/>
      <c r="O395" s="68"/>
      <c r="P395" s="68"/>
      <c r="Q395" s="68"/>
      <c r="R395" s="68"/>
      <c r="S395" s="68"/>
      <c r="T395" s="68"/>
      <c r="U395" s="68"/>
      <c r="V395" s="68"/>
      <c r="W395" s="68"/>
      <c r="X395" s="68"/>
      <c r="Y395" s="68"/>
      <c r="Z395" s="68"/>
    </row>
    <row r="396">
      <c r="A396" s="68"/>
      <c r="B396" s="68"/>
      <c r="C396" s="68"/>
      <c r="D396" s="68"/>
      <c r="E396" s="68"/>
      <c r="F396" s="68"/>
      <c r="G396" s="68"/>
      <c r="H396" s="68"/>
      <c r="I396" s="68"/>
      <c r="J396" s="68"/>
      <c r="K396" s="68"/>
      <c r="L396" s="68"/>
      <c r="M396" s="68"/>
      <c r="N396" s="68"/>
      <c r="O396" s="68"/>
      <c r="P396" s="68"/>
      <c r="Q396" s="68"/>
      <c r="R396" s="68"/>
      <c r="S396" s="68"/>
      <c r="T396" s="68"/>
      <c r="U396" s="68"/>
      <c r="V396" s="68"/>
      <c r="W396" s="68"/>
      <c r="X396" s="68"/>
      <c r="Y396" s="68"/>
      <c r="Z396" s="68"/>
    </row>
    <row r="397">
      <c r="A397" s="68"/>
      <c r="B397" s="68"/>
      <c r="C397" s="68"/>
      <c r="D397" s="68"/>
      <c r="E397" s="68"/>
      <c r="F397" s="68"/>
      <c r="G397" s="68"/>
      <c r="H397" s="68"/>
      <c r="I397" s="68"/>
      <c r="J397" s="68"/>
      <c r="K397" s="68"/>
      <c r="L397" s="68"/>
      <c r="M397" s="68"/>
      <c r="N397" s="68"/>
      <c r="O397" s="68"/>
      <c r="P397" s="68"/>
      <c r="Q397" s="68"/>
      <c r="R397" s="68"/>
      <c r="S397" s="68"/>
      <c r="T397" s="68"/>
      <c r="U397" s="68"/>
      <c r="V397" s="68"/>
      <c r="W397" s="68"/>
      <c r="X397" s="68"/>
      <c r="Y397" s="68"/>
      <c r="Z397" s="68"/>
    </row>
    <row r="398">
      <c r="A398" s="68"/>
      <c r="B398" s="68"/>
      <c r="C398" s="68"/>
      <c r="D398" s="68"/>
      <c r="E398" s="68"/>
      <c r="F398" s="68"/>
      <c r="G398" s="68"/>
      <c r="H398" s="68"/>
      <c r="I398" s="68"/>
      <c r="J398" s="68"/>
      <c r="K398" s="68"/>
      <c r="L398" s="68"/>
      <c r="M398" s="68"/>
      <c r="N398" s="68"/>
      <c r="O398" s="68"/>
      <c r="P398" s="68"/>
      <c r="Q398" s="68"/>
      <c r="R398" s="68"/>
      <c r="S398" s="68"/>
      <c r="T398" s="68"/>
      <c r="U398" s="68"/>
      <c r="V398" s="68"/>
      <c r="W398" s="68"/>
      <c r="X398" s="68"/>
      <c r="Y398" s="68"/>
      <c r="Z398" s="68"/>
    </row>
    <row r="399">
      <c r="A399" s="68"/>
      <c r="B399" s="68"/>
      <c r="C399" s="68"/>
      <c r="D399" s="68"/>
      <c r="E399" s="68"/>
      <c r="F399" s="68"/>
      <c r="G399" s="68"/>
      <c r="H399" s="68"/>
      <c r="I399" s="68"/>
      <c r="J399" s="68"/>
      <c r="K399" s="68"/>
      <c r="L399" s="68"/>
      <c r="M399" s="68"/>
      <c r="N399" s="68"/>
      <c r="O399" s="68"/>
      <c r="P399" s="68"/>
      <c r="Q399" s="68"/>
      <c r="R399" s="68"/>
      <c r="S399" s="68"/>
      <c r="T399" s="68"/>
      <c r="U399" s="68"/>
      <c r="V399" s="68"/>
      <c r="W399" s="68"/>
      <c r="X399" s="68"/>
      <c r="Y399" s="68"/>
      <c r="Z399" s="68"/>
    </row>
    <row r="400">
      <c r="A400" s="68"/>
      <c r="B400" s="68"/>
      <c r="C400" s="68"/>
      <c r="D400" s="68"/>
      <c r="E400" s="68"/>
      <c r="F400" s="68"/>
      <c r="G400" s="68"/>
      <c r="H400" s="68"/>
      <c r="I400" s="68"/>
      <c r="J400" s="68"/>
      <c r="K400" s="68"/>
      <c r="L400" s="68"/>
      <c r="M400" s="68"/>
      <c r="N400" s="68"/>
      <c r="O400" s="68"/>
      <c r="P400" s="68"/>
      <c r="Q400" s="68"/>
      <c r="R400" s="68"/>
      <c r="S400" s="68"/>
      <c r="T400" s="68"/>
      <c r="U400" s="68"/>
      <c r="V400" s="68"/>
      <c r="W400" s="68"/>
      <c r="X400" s="68"/>
      <c r="Y400" s="68"/>
      <c r="Z400" s="68"/>
    </row>
    <row r="401">
      <c r="A401" s="68"/>
      <c r="B401" s="68"/>
      <c r="C401" s="68"/>
      <c r="D401" s="68"/>
      <c r="E401" s="68"/>
      <c r="F401" s="68"/>
      <c r="G401" s="68"/>
      <c r="H401" s="68"/>
      <c r="I401" s="68"/>
      <c r="J401" s="68"/>
      <c r="K401" s="68"/>
      <c r="L401" s="68"/>
      <c r="M401" s="68"/>
      <c r="N401" s="68"/>
      <c r="O401" s="68"/>
      <c r="P401" s="68"/>
      <c r="Q401" s="68"/>
      <c r="R401" s="68"/>
      <c r="S401" s="68"/>
      <c r="T401" s="68"/>
      <c r="U401" s="68"/>
      <c r="V401" s="68"/>
      <c r="W401" s="68"/>
      <c r="X401" s="68"/>
      <c r="Y401" s="68"/>
      <c r="Z401" s="68"/>
    </row>
    <row r="402">
      <c r="A402" s="68"/>
      <c r="B402" s="68"/>
      <c r="C402" s="68"/>
      <c r="D402" s="68"/>
      <c r="E402" s="68"/>
      <c r="F402" s="68"/>
      <c r="G402" s="68"/>
      <c r="H402" s="68"/>
      <c r="I402" s="68"/>
      <c r="J402" s="68"/>
      <c r="K402" s="68"/>
      <c r="L402" s="68"/>
      <c r="M402" s="68"/>
      <c r="N402" s="68"/>
      <c r="O402" s="68"/>
      <c r="P402" s="68"/>
      <c r="Q402" s="68"/>
      <c r="R402" s="68"/>
      <c r="S402" s="68"/>
      <c r="T402" s="68"/>
      <c r="U402" s="68"/>
      <c r="V402" s="68"/>
      <c r="W402" s="68"/>
      <c r="X402" s="68"/>
      <c r="Y402" s="68"/>
      <c r="Z402" s="68"/>
    </row>
    <row r="403">
      <c r="A403" s="68"/>
      <c r="B403" s="68"/>
      <c r="C403" s="68"/>
      <c r="D403" s="68"/>
      <c r="E403" s="68"/>
      <c r="F403" s="68"/>
      <c r="G403" s="68"/>
      <c r="H403" s="68"/>
      <c r="I403" s="68"/>
      <c r="J403" s="68"/>
      <c r="K403" s="68"/>
      <c r="L403" s="68"/>
      <c r="M403" s="68"/>
      <c r="N403" s="68"/>
      <c r="O403" s="68"/>
      <c r="P403" s="68"/>
      <c r="Q403" s="68"/>
      <c r="R403" s="68"/>
      <c r="S403" s="68"/>
      <c r="T403" s="68"/>
      <c r="U403" s="68"/>
      <c r="V403" s="68"/>
      <c r="W403" s="68"/>
      <c r="X403" s="68"/>
      <c r="Y403" s="68"/>
      <c r="Z403" s="68"/>
    </row>
    <row r="404">
      <c r="A404" s="68"/>
      <c r="B404" s="68"/>
      <c r="C404" s="68"/>
      <c r="D404" s="68"/>
      <c r="E404" s="68"/>
      <c r="F404" s="68"/>
      <c r="G404" s="68"/>
      <c r="H404" s="68"/>
      <c r="I404" s="68"/>
      <c r="J404" s="68"/>
      <c r="K404" s="68"/>
      <c r="L404" s="68"/>
      <c r="M404" s="68"/>
      <c r="N404" s="68"/>
      <c r="O404" s="68"/>
      <c r="P404" s="68"/>
      <c r="Q404" s="68"/>
      <c r="R404" s="68"/>
      <c r="S404" s="68"/>
      <c r="T404" s="68"/>
      <c r="U404" s="68"/>
      <c r="V404" s="68"/>
      <c r="W404" s="68"/>
      <c r="X404" s="68"/>
      <c r="Y404" s="68"/>
      <c r="Z404" s="68"/>
    </row>
    <row r="405">
      <c r="A405" s="68"/>
      <c r="B405" s="68"/>
      <c r="C405" s="68"/>
      <c r="D405" s="68"/>
      <c r="E405" s="68"/>
      <c r="F405" s="68"/>
      <c r="G405" s="68"/>
      <c r="H405" s="68"/>
      <c r="I405" s="68"/>
      <c r="J405" s="68"/>
      <c r="K405" s="68"/>
      <c r="L405" s="68"/>
      <c r="M405" s="68"/>
      <c r="N405" s="68"/>
      <c r="O405" s="68"/>
      <c r="P405" s="68"/>
      <c r="Q405" s="68"/>
      <c r="R405" s="68"/>
      <c r="S405" s="68"/>
      <c r="T405" s="68"/>
      <c r="U405" s="68"/>
      <c r="V405" s="68"/>
      <c r="W405" s="68"/>
      <c r="X405" s="68"/>
      <c r="Y405" s="68"/>
      <c r="Z405" s="68"/>
    </row>
    <row r="406">
      <c r="A406" s="68"/>
      <c r="B406" s="68"/>
      <c r="C406" s="68"/>
      <c r="D406" s="68"/>
      <c r="E406" s="68"/>
      <c r="F406" s="68"/>
      <c r="G406" s="68"/>
      <c r="H406" s="68"/>
      <c r="I406" s="68"/>
      <c r="J406" s="68"/>
      <c r="K406" s="68"/>
      <c r="L406" s="68"/>
      <c r="M406" s="68"/>
      <c r="N406" s="68"/>
      <c r="O406" s="68"/>
      <c r="P406" s="68"/>
      <c r="Q406" s="68"/>
      <c r="R406" s="68"/>
      <c r="S406" s="68"/>
      <c r="T406" s="68"/>
      <c r="U406" s="68"/>
      <c r="V406" s="68"/>
      <c r="W406" s="68"/>
      <c r="X406" s="68"/>
      <c r="Y406" s="68"/>
      <c r="Z406" s="68"/>
    </row>
    <row r="407">
      <c r="A407" s="68"/>
      <c r="B407" s="68"/>
      <c r="C407" s="68"/>
      <c r="D407" s="68"/>
      <c r="E407" s="68"/>
      <c r="F407" s="68"/>
      <c r="G407" s="68"/>
      <c r="H407" s="68"/>
      <c r="I407" s="68"/>
      <c r="J407" s="68"/>
      <c r="K407" s="68"/>
      <c r="L407" s="68"/>
      <c r="M407" s="68"/>
      <c r="N407" s="68"/>
      <c r="O407" s="68"/>
      <c r="P407" s="68"/>
      <c r="Q407" s="68"/>
      <c r="R407" s="68"/>
      <c r="S407" s="68"/>
      <c r="T407" s="68"/>
      <c r="U407" s="68"/>
      <c r="V407" s="68"/>
      <c r="W407" s="68"/>
      <c r="X407" s="68"/>
      <c r="Y407" s="68"/>
      <c r="Z407" s="68"/>
    </row>
    <row r="408">
      <c r="A408" s="68"/>
      <c r="B408" s="68"/>
      <c r="C408" s="68"/>
      <c r="D408" s="68"/>
      <c r="E408" s="68"/>
      <c r="F408" s="68"/>
      <c r="G408" s="68"/>
      <c r="H408" s="68"/>
      <c r="I408" s="68"/>
      <c r="J408" s="68"/>
      <c r="K408" s="68"/>
      <c r="L408" s="68"/>
      <c r="M408" s="68"/>
      <c r="N408" s="68"/>
      <c r="O408" s="68"/>
      <c r="P408" s="68"/>
      <c r="Q408" s="68"/>
      <c r="R408" s="68"/>
      <c r="S408" s="68"/>
      <c r="T408" s="68"/>
      <c r="U408" s="68"/>
      <c r="V408" s="68"/>
      <c r="W408" s="68"/>
      <c r="X408" s="68"/>
      <c r="Y408" s="68"/>
      <c r="Z408" s="68"/>
    </row>
    <row r="409">
      <c r="A409" s="68"/>
      <c r="B409" s="68"/>
      <c r="C409" s="68"/>
      <c r="D409" s="68"/>
      <c r="E409" s="68"/>
      <c r="F409" s="68"/>
      <c r="G409" s="68"/>
      <c r="H409" s="68"/>
      <c r="I409" s="68"/>
      <c r="J409" s="68"/>
      <c r="K409" s="68"/>
      <c r="L409" s="68"/>
      <c r="M409" s="68"/>
      <c r="N409" s="68"/>
      <c r="O409" s="68"/>
      <c r="P409" s="68"/>
      <c r="Q409" s="68"/>
      <c r="R409" s="68"/>
      <c r="S409" s="68"/>
      <c r="T409" s="68"/>
      <c r="U409" s="68"/>
      <c r="V409" s="68"/>
      <c r="W409" s="68"/>
      <c r="X409" s="68"/>
      <c r="Y409" s="68"/>
      <c r="Z409" s="68"/>
    </row>
    <row r="410">
      <c r="A410" s="68"/>
      <c r="B410" s="68"/>
      <c r="C410" s="68"/>
      <c r="D410" s="68"/>
      <c r="E410" s="68"/>
      <c r="F410" s="68"/>
      <c r="G410" s="68"/>
      <c r="H410" s="68"/>
      <c r="I410" s="68"/>
      <c r="J410" s="68"/>
      <c r="K410" s="68"/>
      <c r="L410" s="68"/>
      <c r="M410" s="68"/>
      <c r="N410" s="68"/>
      <c r="O410" s="68"/>
      <c r="P410" s="68"/>
      <c r="Q410" s="68"/>
      <c r="R410" s="68"/>
      <c r="S410" s="68"/>
      <c r="T410" s="68"/>
      <c r="U410" s="68"/>
      <c r="V410" s="68"/>
      <c r="W410" s="68"/>
      <c r="X410" s="68"/>
      <c r="Y410" s="68"/>
      <c r="Z410" s="68"/>
    </row>
    <row r="411">
      <c r="A411" s="68"/>
      <c r="B411" s="68"/>
      <c r="C411" s="68"/>
      <c r="D411" s="68"/>
      <c r="E411" s="68"/>
      <c r="F411" s="68"/>
      <c r="G411" s="68"/>
      <c r="H411" s="68"/>
      <c r="I411" s="68"/>
      <c r="J411" s="68"/>
      <c r="K411" s="68"/>
      <c r="L411" s="68"/>
      <c r="M411" s="68"/>
      <c r="N411" s="68"/>
      <c r="O411" s="68"/>
      <c r="P411" s="68"/>
      <c r="Q411" s="68"/>
      <c r="R411" s="68"/>
      <c r="S411" s="68"/>
      <c r="T411" s="68"/>
      <c r="U411" s="68"/>
      <c r="V411" s="68"/>
      <c r="W411" s="68"/>
      <c r="X411" s="68"/>
      <c r="Y411" s="68"/>
      <c r="Z411" s="68"/>
    </row>
    <row r="412">
      <c r="A412" s="68"/>
      <c r="B412" s="68"/>
      <c r="C412" s="68"/>
      <c r="D412" s="68"/>
      <c r="E412" s="68"/>
      <c r="F412" s="68"/>
      <c r="G412" s="68"/>
      <c r="H412" s="68"/>
      <c r="I412" s="68"/>
      <c r="J412" s="68"/>
      <c r="K412" s="68"/>
      <c r="L412" s="68"/>
      <c r="M412" s="68"/>
      <c r="N412" s="68"/>
      <c r="O412" s="68"/>
      <c r="P412" s="68"/>
      <c r="Q412" s="68"/>
      <c r="R412" s="68"/>
      <c r="S412" s="68"/>
      <c r="T412" s="68"/>
      <c r="U412" s="68"/>
      <c r="V412" s="68"/>
      <c r="W412" s="68"/>
      <c r="X412" s="68"/>
      <c r="Y412" s="68"/>
      <c r="Z412" s="68"/>
    </row>
    <row r="413">
      <c r="A413" s="68"/>
      <c r="B413" s="68"/>
      <c r="C413" s="68"/>
      <c r="D413" s="68"/>
      <c r="E413" s="68"/>
      <c r="F413" s="68"/>
      <c r="G413" s="68"/>
      <c r="H413" s="68"/>
      <c r="I413" s="68"/>
      <c r="J413" s="68"/>
      <c r="K413" s="68"/>
      <c r="L413" s="68"/>
      <c r="M413" s="68"/>
      <c r="N413" s="68"/>
      <c r="O413" s="68"/>
      <c r="P413" s="68"/>
      <c r="Q413" s="68"/>
      <c r="R413" s="68"/>
      <c r="S413" s="68"/>
      <c r="T413" s="68"/>
      <c r="U413" s="68"/>
      <c r="V413" s="68"/>
      <c r="W413" s="68"/>
      <c r="X413" s="68"/>
      <c r="Y413" s="68"/>
      <c r="Z413" s="68"/>
    </row>
    <row r="414">
      <c r="A414" s="68"/>
      <c r="B414" s="68"/>
      <c r="C414" s="68"/>
      <c r="D414" s="68"/>
      <c r="E414" s="68"/>
      <c r="F414" s="68"/>
      <c r="G414" s="68"/>
      <c r="H414" s="68"/>
      <c r="I414" s="68"/>
      <c r="J414" s="68"/>
      <c r="K414" s="68"/>
      <c r="L414" s="68"/>
      <c r="M414" s="68"/>
      <c r="N414" s="68"/>
      <c r="O414" s="68"/>
      <c r="P414" s="68"/>
      <c r="Q414" s="68"/>
      <c r="R414" s="68"/>
      <c r="S414" s="68"/>
      <c r="T414" s="68"/>
      <c r="U414" s="68"/>
      <c r="V414" s="68"/>
      <c r="W414" s="68"/>
      <c r="X414" s="68"/>
      <c r="Y414" s="68"/>
      <c r="Z414" s="68"/>
    </row>
    <row r="415">
      <c r="A415" s="68"/>
      <c r="B415" s="68"/>
      <c r="C415" s="68"/>
      <c r="D415" s="68"/>
      <c r="E415" s="68"/>
      <c r="F415" s="68"/>
      <c r="G415" s="68"/>
      <c r="H415" s="68"/>
      <c r="I415" s="68"/>
      <c r="J415" s="68"/>
      <c r="K415" s="68"/>
      <c r="L415" s="68"/>
      <c r="M415" s="68"/>
      <c r="N415" s="68"/>
      <c r="O415" s="68"/>
      <c r="P415" s="68"/>
      <c r="Q415" s="68"/>
      <c r="R415" s="68"/>
      <c r="S415" s="68"/>
      <c r="T415" s="68"/>
      <c r="U415" s="68"/>
      <c r="V415" s="68"/>
      <c r="W415" s="68"/>
      <c r="X415" s="68"/>
      <c r="Y415" s="68"/>
      <c r="Z415" s="68"/>
    </row>
    <row r="416">
      <c r="A416" s="68"/>
      <c r="B416" s="68"/>
      <c r="C416" s="68"/>
      <c r="D416" s="68"/>
      <c r="E416" s="68"/>
      <c r="F416" s="68"/>
      <c r="G416" s="68"/>
      <c r="H416" s="68"/>
      <c r="I416" s="68"/>
      <c r="J416" s="68"/>
      <c r="K416" s="68"/>
      <c r="L416" s="68"/>
      <c r="M416" s="68"/>
      <c r="N416" s="68"/>
      <c r="O416" s="68"/>
      <c r="P416" s="68"/>
      <c r="Q416" s="68"/>
      <c r="R416" s="68"/>
      <c r="S416" s="68"/>
      <c r="T416" s="68"/>
      <c r="U416" s="68"/>
      <c r="V416" s="68"/>
      <c r="W416" s="68"/>
      <c r="X416" s="68"/>
      <c r="Y416" s="68"/>
      <c r="Z416" s="68"/>
    </row>
    <row r="417">
      <c r="A417" s="68"/>
      <c r="B417" s="68"/>
      <c r="C417" s="68"/>
      <c r="D417" s="68"/>
      <c r="E417" s="68"/>
      <c r="F417" s="68"/>
      <c r="G417" s="68"/>
      <c r="H417" s="68"/>
      <c r="I417" s="68"/>
      <c r="J417" s="68"/>
      <c r="K417" s="68"/>
      <c r="L417" s="68"/>
      <c r="M417" s="68"/>
      <c r="N417" s="68"/>
      <c r="O417" s="68"/>
      <c r="P417" s="68"/>
      <c r="Q417" s="68"/>
      <c r="R417" s="68"/>
      <c r="S417" s="68"/>
      <c r="T417" s="68"/>
      <c r="U417" s="68"/>
      <c r="V417" s="68"/>
      <c r="W417" s="68"/>
      <c r="X417" s="68"/>
      <c r="Y417" s="68"/>
      <c r="Z417" s="68"/>
    </row>
    <row r="418">
      <c r="A418" s="68"/>
      <c r="B418" s="68"/>
      <c r="C418" s="68"/>
      <c r="D418" s="68"/>
      <c r="E418" s="68"/>
      <c r="F418" s="68"/>
      <c r="G418" s="68"/>
      <c r="H418" s="68"/>
      <c r="I418" s="68"/>
      <c r="J418" s="68"/>
      <c r="K418" s="68"/>
      <c r="L418" s="68"/>
      <c r="M418" s="68"/>
      <c r="N418" s="68"/>
      <c r="O418" s="68"/>
      <c r="P418" s="68"/>
      <c r="Q418" s="68"/>
      <c r="R418" s="68"/>
      <c r="S418" s="68"/>
      <c r="T418" s="68"/>
      <c r="U418" s="68"/>
      <c r="V418" s="68"/>
      <c r="W418" s="68"/>
      <c r="X418" s="68"/>
      <c r="Y418" s="68"/>
      <c r="Z418" s="68"/>
    </row>
    <row r="419">
      <c r="A419" s="68"/>
      <c r="B419" s="68"/>
      <c r="C419" s="68"/>
      <c r="D419" s="68"/>
      <c r="E419" s="68"/>
      <c r="F419" s="68"/>
      <c r="G419" s="68"/>
      <c r="H419" s="68"/>
      <c r="I419" s="68"/>
      <c r="J419" s="68"/>
      <c r="K419" s="68"/>
      <c r="L419" s="68"/>
      <c r="M419" s="68"/>
      <c r="N419" s="68"/>
      <c r="O419" s="68"/>
      <c r="P419" s="68"/>
      <c r="Q419" s="68"/>
      <c r="R419" s="68"/>
      <c r="S419" s="68"/>
      <c r="T419" s="68"/>
      <c r="U419" s="68"/>
      <c r="V419" s="68"/>
      <c r="W419" s="68"/>
      <c r="X419" s="68"/>
      <c r="Y419" s="68"/>
      <c r="Z419" s="68"/>
    </row>
    <row r="420">
      <c r="A420" s="68"/>
      <c r="B420" s="68"/>
      <c r="C420" s="68"/>
      <c r="D420" s="68"/>
      <c r="E420" s="68"/>
      <c r="F420" s="68"/>
      <c r="G420" s="68"/>
      <c r="H420" s="68"/>
      <c r="I420" s="68"/>
      <c r="J420" s="68"/>
      <c r="K420" s="68"/>
      <c r="L420" s="68"/>
      <c r="M420" s="68"/>
      <c r="N420" s="68"/>
      <c r="O420" s="68"/>
      <c r="P420" s="68"/>
      <c r="Q420" s="68"/>
      <c r="R420" s="68"/>
      <c r="S420" s="68"/>
      <c r="T420" s="68"/>
      <c r="U420" s="68"/>
      <c r="V420" s="68"/>
      <c r="W420" s="68"/>
      <c r="X420" s="68"/>
      <c r="Y420" s="68"/>
      <c r="Z420" s="68"/>
    </row>
    <row r="421">
      <c r="A421" s="68"/>
      <c r="B421" s="68"/>
      <c r="C421" s="68"/>
      <c r="D421" s="68"/>
      <c r="E421" s="68"/>
      <c r="F421" s="68"/>
      <c r="G421" s="68"/>
      <c r="H421" s="68"/>
      <c r="I421" s="68"/>
      <c r="J421" s="68"/>
      <c r="K421" s="68"/>
      <c r="L421" s="68"/>
      <c r="M421" s="68"/>
      <c r="N421" s="68"/>
      <c r="O421" s="68"/>
      <c r="P421" s="68"/>
      <c r="Q421" s="68"/>
      <c r="R421" s="68"/>
      <c r="S421" s="68"/>
      <c r="T421" s="68"/>
      <c r="U421" s="68"/>
      <c r="V421" s="68"/>
      <c r="W421" s="68"/>
      <c r="X421" s="68"/>
      <c r="Y421" s="68"/>
      <c r="Z421" s="68"/>
    </row>
    <row r="422">
      <c r="A422" s="68"/>
      <c r="B422" s="68"/>
      <c r="C422" s="68"/>
      <c r="D422" s="68"/>
      <c r="E422" s="68"/>
      <c r="F422" s="68"/>
      <c r="G422" s="68"/>
      <c r="H422" s="68"/>
      <c r="I422" s="68"/>
      <c r="J422" s="68"/>
      <c r="K422" s="68"/>
      <c r="L422" s="68"/>
      <c r="M422" s="68"/>
      <c r="N422" s="68"/>
      <c r="O422" s="68"/>
      <c r="P422" s="68"/>
      <c r="Q422" s="68"/>
      <c r="R422" s="68"/>
      <c r="S422" s="68"/>
      <c r="T422" s="68"/>
      <c r="U422" s="68"/>
      <c r="V422" s="68"/>
      <c r="W422" s="68"/>
      <c r="X422" s="68"/>
      <c r="Y422" s="68"/>
      <c r="Z422" s="68"/>
    </row>
    <row r="423">
      <c r="A423" s="68"/>
      <c r="B423" s="68"/>
      <c r="C423" s="68"/>
      <c r="D423" s="68"/>
      <c r="E423" s="68"/>
      <c r="F423" s="68"/>
      <c r="G423" s="68"/>
      <c r="H423" s="68"/>
      <c r="I423" s="68"/>
      <c r="J423" s="68"/>
      <c r="K423" s="68"/>
      <c r="L423" s="68"/>
      <c r="M423" s="68"/>
      <c r="N423" s="68"/>
      <c r="O423" s="68"/>
      <c r="P423" s="68"/>
      <c r="Q423" s="68"/>
      <c r="R423" s="68"/>
      <c r="S423" s="68"/>
      <c r="T423" s="68"/>
      <c r="U423" s="68"/>
      <c r="V423" s="68"/>
      <c r="W423" s="68"/>
      <c r="X423" s="68"/>
      <c r="Y423" s="68"/>
      <c r="Z423" s="68"/>
    </row>
    <row r="424">
      <c r="A424" s="68"/>
      <c r="B424" s="68"/>
      <c r="C424" s="68"/>
      <c r="D424" s="68"/>
      <c r="E424" s="68"/>
      <c r="F424" s="68"/>
      <c r="G424" s="68"/>
      <c r="H424" s="68"/>
      <c r="I424" s="68"/>
      <c r="J424" s="68"/>
      <c r="K424" s="68"/>
      <c r="L424" s="68"/>
      <c r="M424" s="68"/>
      <c r="N424" s="68"/>
      <c r="O424" s="68"/>
      <c r="P424" s="68"/>
      <c r="Q424" s="68"/>
      <c r="R424" s="68"/>
      <c r="S424" s="68"/>
      <c r="T424" s="68"/>
      <c r="U424" s="68"/>
      <c r="V424" s="68"/>
      <c r="W424" s="68"/>
      <c r="X424" s="68"/>
      <c r="Y424" s="68"/>
      <c r="Z424" s="68"/>
    </row>
    <row r="425">
      <c r="A425" s="68"/>
      <c r="B425" s="68"/>
      <c r="C425" s="68"/>
      <c r="D425" s="68"/>
      <c r="E425" s="68"/>
      <c r="F425" s="68"/>
      <c r="G425" s="68"/>
      <c r="H425" s="68"/>
      <c r="I425" s="68"/>
      <c r="J425" s="68"/>
      <c r="K425" s="68"/>
      <c r="L425" s="68"/>
      <c r="M425" s="68"/>
      <c r="N425" s="68"/>
      <c r="O425" s="68"/>
      <c r="P425" s="68"/>
      <c r="Q425" s="68"/>
      <c r="R425" s="68"/>
      <c r="S425" s="68"/>
      <c r="T425" s="68"/>
      <c r="U425" s="68"/>
      <c r="V425" s="68"/>
      <c r="W425" s="68"/>
      <c r="X425" s="68"/>
      <c r="Y425" s="68"/>
      <c r="Z425" s="68"/>
    </row>
    <row r="426">
      <c r="A426" s="68"/>
      <c r="B426" s="68"/>
      <c r="C426" s="68"/>
      <c r="D426" s="68"/>
      <c r="E426" s="68"/>
      <c r="F426" s="68"/>
      <c r="G426" s="68"/>
      <c r="H426" s="68"/>
      <c r="I426" s="68"/>
      <c r="J426" s="68"/>
      <c r="K426" s="68"/>
      <c r="L426" s="68"/>
      <c r="M426" s="68"/>
      <c r="N426" s="68"/>
      <c r="O426" s="68"/>
      <c r="P426" s="68"/>
      <c r="Q426" s="68"/>
      <c r="R426" s="68"/>
      <c r="S426" s="68"/>
      <c r="T426" s="68"/>
      <c r="U426" s="68"/>
      <c r="V426" s="68"/>
      <c r="W426" s="68"/>
      <c r="X426" s="68"/>
      <c r="Y426" s="68"/>
      <c r="Z426" s="68"/>
    </row>
    <row r="427">
      <c r="A427" s="68"/>
      <c r="B427" s="68"/>
      <c r="C427" s="68"/>
      <c r="D427" s="68"/>
      <c r="E427" s="68"/>
      <c r="F427" s="68"/>
      <c r="G427" s="68"/>
      <c r="H427" s="68"/>
      <c r="I427" s="68"/>
      <c r="J427" s="68"/>
      <c r="K427" s="68"/>
      <c r="L427" s="68"/>
      <c r="M427" s="68"/>
      <c r="N427" s="68"/>
      <c r="O427" s="68"/>
      <c r="P427" s="68"/>
      <c r="Q427" s="68"/>
      <c r="R427" s="68"/>
      <c r="S427" s="68"/>
      <c r="T427" s="68"/>
      <c r="U427" s="68"/>
      <c r="V427" s="68"/>
      <c r="W427" s="68"/>
      <c r="X427" s="68"/>
      <c r="Y427" s="68"/>
      <c r="Z427" s="68"/>
    </row>
    <row r="428">
      <c r="A428" s="68"/>
      <c r="B428" s="68"/>
      <c r="C428" s="68"/>
      <c r="D428" s="68"/>
      <c r="E428" s="68"/>
      <c r="F428" s="68"/>
      <c r="G428" s="68"/>
      <c r="H428" s="68"/>
      <c r="I428" s="68"/>
      <c r="J428" s="68"/>
      <c r="K428" s="68"/>
      <c r="L428" s="68"/>
      <c r="M428" s="68"/>
      <c r="N428" s="68"/>
      <c r="O428" s="68"/>
      <c r="P428" s="68"/>
      <c r="Q428" s="68"/>
      <c r="R428" s="68"/>
      <c r="S428" s="68"/>
      <c r="T428" s="68"/>
      <c r="U428" s="68"/>
      <c r="V428" s="68"/>
      <c r="W428" s="68"/>
      <c r="X428" s="68"/>
      <c r="Y428" s="68"/>
      <c r="Z428" s="68"/>
    </row>
    <row r="429">
      <c r="A429" s="68"/>
      <c r="B429" s="68"/>
      <c r="C429" s="68"/>
      <c r="D429" s="68"/>
      <c r="E429" s="68"/>
      <c r="F429" s="68"/>
      <c r="G429" s="68"/>
      <c r="H429" s="68"/>
      <c r="I429" s="68"/>
      <c r="J429" s="68"/>
      <c r="K429" s="68"/>
      <c r="L429" s="68"/>
      <c r="M429" s="68"/>
      <c r="N429" s="68"/>
      <c r="O429" s="68"/>
      <c r="P429" s="68"/>
      <c r="Q429" s="68"/>
      <c r="R429" s="68"/>
      <c r="S429" s="68"/>
      <c r="T429" s="68"/>
      <c r="U429" s="68"/>
      <c r="V429" s="68"/>
      <c r="W429" s="68"/>
      <c r="X429" s="68"/>
      <c r="Y429" s="68"/>
      <c r="Z429" s="68"/>
    </row>
    <row r="430">
      <c r="A430" s="68"/>
      <c r="B430" s="68"/>
      <c r="C430" s="68"/>
      <c r="D430" s="68"/>
      <c r="E430" s="68"/>
      <c r="F430" s="68"/>
      <c r="G430" s="68"/>
      <c r="H430" s="68"/>
      <c r="I430" s="68"/>
      <c r="J430" s="68"/>
      <c r="K430" s="68"/>
      <c r="L430" s="68"/>
      <c r="M430" s="68"/>
      <c r="N430" s="68"/>
      <c r="O430" s="68"/>
      <c r="P430" s="68"/>
      <c r="Q430" s="68"/>
      <c r="R430" s="68"/>
      <c r="S430" s="68"/>
      <c r="T430" s="68"/>
      <c r="U430" s="68"/>
      <c r="V430" s="68"/>
      <c r="W430" s="68"/>
      <c r="X430" s="68"/>
      <c r="Y430" s="68"/>
      <c r="Z430" s="68"/>
    </row>
    <row r="431">
      <c r="A431" s="68"/>
      <c r="B431" s="68"/>
      <c r="C431" s="68"/>
      <c r="D431" s="68"/>
      <c r="E431" s="68"/>
      <c r="F431" s="68"/>
      <c r="G431" s="68"/>
      <c r="H431" s="68"/>
      <c r="I431" s="68"/>
      <c r="J431" s="68"/>
      <c r="K431" s="68"/>
      <c r="L431" s="68"/>
      <c r="M431" s="68"/>
      <c r="N431" s="68"/>
      <c r="O431" s="68"/>
      <c r="P431" s="68"/>
      <c r="Q431" s="68"/>
      <c r="R431" s="68"/>
      <c r="S431" s="68"/>
      <c r="T431" s="68"/>
      <c r="U431" s="68"/>
      <c r="V431" s="68"/>
      <c r="W431" s="68"/>
      <c r="X431" s="68"/>
      <c r="Y431" s="68"/>
      <c r="Z431" s="68"/>
    </row>
    <row r="432">
      <c r="A432" s="68"/>
      <c r="B432" s="68"/>
      <c r="C432" s="68"/>
      <c r="D432" s="68"/>
      <c r="E432" s="68"/>
      <c r="F432" s="68"/>
      <c r="G432" s="68"/>
      <c r="H432" s="68"/>
      <c r="I432" s="68"/>
      <c r="J432" s="68"/>
      <c r="K432" s="68"/>
      <c r="L432" s="68"/>
      <c r="M432" s="68"/>
      <c r="N432" s="68"/>
      <c r="O432" s="68"/>
      <c r="P432" s="68"/>
      <c r="Q432" s="68"/>
      <c r="R432" s="68"/>
      <c r="S432" s="68"/>
      <c r="T432" s="68"/>
      <c r="U432" s="68"/>
      <c r="V432" s="68"/>
      <c r="W432" s="68"/>
      <c r="X432" s="68"/>
      <c r="Y432" s="68"/>
      <c r="Z432" s="68"/>
    </row>
    <row r="433">
      <c r="A433" s="68"/>
      <c r="B433" s="68"/>
      <c r="C433" s="68"/>
      <c r="D433" s="68"/>
      <c r="E433" s="68"/>
      <c r="F433" s="68"/>
      <c r="G433" s="68"/>
      <c r="H433" s="68"/>
      <c r="I433" s="68"/>
      <c r="J433" s="68"/>
      <c r="K433" s="68"/>
      <c r="L433" s="68"/>
      <c r="M433" s="68"/>
      <c r="N433" s="68"/>
      <c r="O433" s="68"/>
      <c r="P433" s="68"/>
      <c r="Q433" s="68"/>
      <c r="R433" s="68"/>
      <c r="S433" s="68"/>
      <c r="T433" s="68"/>
      <c r="U433" s="68"/>
      <c r="V433" s="68"/>
      <c r="W433" s="68"/>
      <c r="X433" s="68"/>
      <c r="Y433" s="68"/>
      <c r="Z433" s="68"/>
    </row>
    <row r="434">
      <c r="A434" s="68"/>
      <c r="B434" s="68"/>
      <c r="C434" s="68"/>
      <c r="D434" s="68"/>
      <c r="E434" s="68"/>
      <c r="F434" s="68"/>
      <c r="G434" s="68"/>
      <c r="H434" s="68"/>
      <c r="I434" s="68"/>
      <c r="J434" s="68"/>
      <c r="K434" s="68"/>
      <c r="L434" s="68"/>
      <c r="M434" s="68"/>
      <c r="N434" s="68"/>
      <c r="O434" s="68"/>
      <c r="P434" s="68"/>
      <c r="Q434" s="68"/>
      <c r="R434" s="68"/>
      <c r="S434" s="68"/>
      <c r="T434" s="68"/>
      <c r="U434" s="68"/>
      <c r="V434" s="68"/>
      <c r="W434" s="68"/>
      <c r="X434" s="68"/>
      <c r="Y434" s="68"/>
      <c r="Z434" s="68"/>
    </row>
    <row r="435">
      <c r="A435" s="68"/>
      <c r="B435" s="68"/>
      <c r="C435" s="68"/>
      <c r="D435" s="68"/>
      <c r="E435" s="68"/>
      <c r="F435" s="68"/>
      <c r="G435" s="68"/>
      <c r="H435" s="68"/>
      <c r="I435" s="68"/>
      <c r="J435" s="68"/>
      <c r="K435" s="68"/>
      <c r="L435" s="68"/>
      <c r="M435" s="68"/>
      <c r="N435" s="68"/>
      <c r="O435" s="68"/>
      <c r="P435" s="68"/>
      <c r="Q435" s="68"/>
      <c r="R435" s="68"/>
      <c r="S435" s="68"/>
      <c r="T435" s="68"/>
      <c r="U435" s="68"/>
      <c r="V435" s="68"/>
      <c r="W435" s="68"/>
      <c r="X435" s="68"/>
      <c r="Y435" s="68"/>
      <c r="Z435" s="68"/>
    </row>
    <row r="436">
      <c r="A436" s="68"/>
      <c r="B436" s="68"/>
      <c r="C436" s="68"/>
      <c r="D436" s="68"/>
      <c r="E436" s="68"/>
      <c r="F436" s="68"/>
      <c r="G436" s="68"/>
      <c r="H436" s="68"/>
      <c r="I436" s="68"/>
      <c r="J436" s="68"/>
      <c r="K436" s="68"/>
      <c r="L436" s="68"/>
      <c r="M436" s="68"/>
      <c r="N436" s="68"/>
      <c r="O436" s="68"/>
      <c r="P436" s="68"/>
      <c r="Q436" s="68"/>
      <c r="R436" s="68"/>
      <c r="S436" s="68"/>
      <c r="T436" s="68"/>
      <c r="U436" s="68"/>
      <c r="V436" s="68"/>
      <c r="W436" s="68"/>
      <c r="X436" s="68"/>
      <c r="Y436" s="68"/>
      <c r="Z436" s="68"/>
    </row>
    <row r="437">
      <c r="A437" s="68"/>
      <c r="B437" s="68"/>
      <c r="C437" s="68"/>
      <c r="D437" s="68"/>
      <c r="E437" s="68"/>
      <c r="F437" s="68"/>
      <c r="G437" s="68"/>
      <c r="H437" s="68"/>
      <c r="I437" s="68"/>
      <c r="J437" s="68"/>
      <c r="K437" s="68"/>
      <c r="L437" s="68"/>
      <c r="M437" s="68"/>
      <c r="N437" s="68"/>
      <c r="O437" s="68"/>
      <c r="P437" s="68"/>
      <c r="Q437" s="68"/>
      <c r="R437" s="68"/>
      <c r="S437" s="68"/>
      <c r="T437" s="68"/>
      <c r="U437" s="68"/>
      <c r="V437" s="68"/>
      <c r="W437" s="68"/>
      <c r="X437" s="68"/>
      <c r="Y437" s="68"/>
      <c r="Z437" s="68"/>
    </row>
    <row r="438">
      <c r="A438" s="68"/>
      <c r="B438" s="68"/>
      <c r="C438" s="68"/>
      <c r="D438" s="68"/>
      <c r="E438" s="68"/>
      <c r="F438" s="68"/>
      <c r="G438" s="68"/>
      <c r="H438" s="68"/>
      <c r="I438" s="68"/>
      <c r="J438" s="68"/>
      <c r="K438" s="68"/>
      <c r="L438" s="68"/>
      <c r="M438" s="68"/>
      <c r="N438" s="68"/>
      <c r="O438" s="68"/>
      <c r="P438" s="68"/>
      <c r="Q438" s="68"/>
      <c r="R438" s="68"/>
      <c r="S438" s="68"/>
      <c r="T438" s="68"/>
      <c r="U438" s="68"/>
      <c r="V438" s="68"/>
      <c r="W438" s="68"/>
      <c r="X438" s="68"/>
      <c r="Y438" s="68"/>
      <c r="Z438" s="68"/>
    </row>
    <row r="439">
      <c r="A439" s="68"/>
      <c r="B439" s="68"/>
      <c r="C439" s="68"/>
      <c r="D439" s="68"/>
      <c r="E439" s="68"/>
      <c r="F439" s="68"/>
      <c r="G439" s="68"/>
      <c r="H439" s="68"/>
      <c r="I439" s="68"/>
      <c r="J439" s="68"/>
      <c r="K439" s="68"/>
      <c r="L439" s="68"/>
      <c r="M439" s="68"/>
      <c r="N439" s="68"/>
      <c r="O439" s="68"/>
      <c r="P439" s="68"/>
      <c r="Q439" s="68"/>
      <c r="R439" s="68"/>
      <c r="S439" s="68"/>
      <c r="T439" s="68"/>
      <c r="U439" s="68"/>
      <c r="V439" s="68"/>
      <c r="W439" s="68"/>
      <c r="X439" s="68"/>
      <c r="Y439" s="68"/>
      <c r="Z439" s="68"/>
    </row>
    <row r="440">
      <c r="A440" s="68"/>
      <c r="B440" s="68"/>
      <c r="C440" s="68"/>
      <c r="D440" s="68"/>
      <c r="E440" s="68"/>
      <c r="F440" s="68"/>
      <c r="G440" s="68"/>
      <c r="H440" s="68"/>
      <c r="I440" s="68"/>
      <c r="J440" s="68"/>
      <c r="K440" s="68"/>
      <c r="L440" s="68"/>
      <c r="M440" s="68"/>
      <c r="N440" s="68"/>
      <c r="O440" s="68"/>
      <c r="P440" s="68"/>
      <c r="Q440" s="68"/>
      <c r="R440" s="68"/>
      <c r="S440" s="68"/>
      <c r="T440" s="68"/>
      <c r="U440" s="68"/>
      <c r="V440" s="68"/>
      <c r="W440" s="68"/>
      <c r="X440" s="68"/>
      <c r="Y440" s="68"/>
      <c r="Z440" s="68"/>
    </row>
    <row r="441">
      <c r="A441" s="68"/>
      <c r="B441" s="68"/>
      <c r="C441" s="68"/>
      <c r="D441" s="68"/>
      <c r="E441" s="68"/>
      <c r="F441" s="68"/>
      <c r="G441" s="68"/>
      <c r="H441" s="68"/>
      <c r="I441" s="68"/>
      <c r="J441" s="68"/>
      <c r="K441" s="68"/>
      <c r="L441" s="68"/>
      <c r="M441" s="68"/>
      <c r="N441" s="68"/>
      <c r="O441" s="68"/>
      <c r="P441" s="68"/>
      <c r="Q441" s="68"/>
      <c r="R441" s="68"/>
      <c r="S441" s="68"/>
      <c r="T441" s="68"/>
      <c r="U441" s="68"/>
      <c r="V441" s="68"/>
      <c r="W441" s="68"/>
      <c r="X441" s="68"/>
      <c r="Y441" s="68"/>
      <c r="Z441" s="68"/>
    </row>
    <row r="442">
      <c r="A442" s="68"/>
      <c r="B442" s="68"/>
      <c r="C442" s="68"/>
      <c r="D442" s="68"/>
      <c r="E442" s="68"/>
      <c r="F442" s="68"/>
      <c r="G442" s="68"/>
      <c r="H442" s="68"/>
      <c r="I442" s="68"/>
      <c r="J442" s="68"/>
      <c r="K442" s="68"/>
      <c r="L442" s="68"/>
      <c r="M442" s="68"/>
      <c r="N442" s="68"/>
      <c r="O442" s="68"/>
      <c r="P442" s="68"/>
      <c r="Q442" s="68"/>
      <c r="R442" s="68"/>
      <c r="S442" s="68"/>
      <c r="T442" s="68"/>
      <c r="U442" s="68"/>
      <c r="V442" s="68"/>
      <c r="W442" s="68"/>
      <c r="X442" s="68"/>
      <c r="Y442" s="68"/>
      <c r="Z442" s="68"/>
    </row>
    <row r="443">
      <c r="A443" s="68"/>
      <c r="B443" s="68"/>
      <c r="C443" s="68"/>
      <c r="D443" s="68"/>
      <c r="E443" s="68"/>
      <c r="F443" s="68"/>
      <c r="G443" s="68"/>
      <c r="H443" s="68"/>
      <c r="I443" s="68"/>
      <c r="J443" s="68"/>
      <c r="K443" s="68"/>
      <c r="L443" s="68"/>
      <c r="M443" s="68"/>
      <c r="N443" s="68"/>
      <c r="O443" s="68"/>
      <c r="P443" s="68"/>
      <c r="Q443" s="68"/>
      <c r="R443" s="68"/>
      <c r="S443" s="68"/>
      <c r="T443" s="68"/>
      <c r="U443" s="68"/>
      <c r="V443" s="68"/>
      <c r="W443" s="68"/>
      <c r="X443" s="68"/>
      <c r="Y443" s="68"/>
      <c r="Z443" s="68"/>
    </row>
    <row r="444">
      <c r="A444" s="68"/>
      <c r="B444" s="68"/>
      <c r="C444" s="68"/>
      <c r="D444" s="68"/>
      <c r="E444" s="68"/>
      <c r="F444" s="68"/>
      <c r="G444" s="68"/>
      <c r="H444" s="68"/>
      <c r="I444" s="68"/>
      <c r="J444" s="68"/>
      <c r="K444" s="68"/>
      <c r="L444" s="68"/>
      <c r="M444" s="68"/>
      <c r="N444" s="68"/>
      <c r="O444" s="68"/>
      <c r="P444" s="68"/>
      <c r="Q444" s="68"/>
      <c r="R444" s="68"/>
      <c r="S444" s="68"/>
      <c r="T444" s="68"/>
      <c r="U444" s="68"/>
      <c r="V444" s="68"/>
      <c r="W444" s="68"/>
      <c r="X444" s="68"/>
      <c r="Y444" s="68"/>
      <c r="Z444" s="68"/>
    </row>
    <row r="445">
      <c r="A445" s="68"/>
      <c r="B445" s="68"/>
      <c r="C445" s="68"/>
      <c r="D445" s="68"/>
      <c r="E445" s="68"/>
      <c r="F445" s="68"/>
      <c r="G445" s="68"/>
      <c r="H445" s="68"/>
      <c r="I445" s="68"/>
      <c r="J445" s="68"/>
      <c r="K445" s="68"/>
      <c r="L445" s="68"/>
      <c r="M445" s="68"/>
      <c r="N445" s="68"/>
      <c r="O445" s="68"/>
      <c r="P445" s="68"/>
      <c r="Q445" s="68"/>
      <c r="R445" s="68"/>
      <c r="S445" s="68"/>
      <c r="T445" s="68"/>
      <c r="U445" s="68"/>
      <c r="V445" s="68"/>
      <c r="W445" s="68"/>
      <c r="X445" s="68"/>
      <c r="Y445" s="68"/>
      <c r="Z445" s="68"/>
    </row>
    <row r="446">
      <c r="A446" s="68"/>
      <c r="B446" s="68"/>
      <c r="C446" s="68"/>
      <c r="D446" s="68"/>
      <c r="E446" s="68"/>
      <c r="F446" s="68"/>
      <c r="G446" s="68"/>
      <c r="H446" s="68"/>
      <c r="I446" s="68"/>
      <c r="J446" s="68"/>
      <c r="K446" s="68"/>
      <c r="L446" s="68"/>
      <c r="M446" s="68"/>
      <c r="N446" s="68"/>
      <c r="O446" s="68"/>
      <c r="P446" s="68"/>
      <c r="Q446" s="68"/>
      <c r="R446" s="68"/>
      <c r="S446" s="68"/>
      <c r="T446" s="68"/>
      <c r="U446" s="68"/>
      <c r="V446" s="68"/>
      <c r="W446" s="68"/>
      <c r="X446" s="68"/>
      <c r="Y446" s="68"/>
      <c r="Z446" s="68"/>
    </row>
    <row r="447">
      <c r="A447" s="68"/>
      <c r="B447" s="68"/>
      <c r="C447" s="68"/>
      <c r="D447" s="68"/>
      <c r="E447" s="68"/>
      <c r="F447" s="68"/>
      <c r="G447" s="68"/>
      <c r="H447" s="68"/>
      <c r="I447" s="68"/>
      <c r="J447" s="68"/>
      <c r="K447" s="68"/>
      <c r="L447" s="68"/>
      <c r="M447" s="68"/>
      <c r="N447" s="68"/>
      <c r="O447" s="68"/>
      <c r="P447" s="68"/>
      <c r="Q447" s="68"/>
      <c r="R447" s="68"/>
      <c r="S447" s="68"/>
      <c r="T447" s="68"/>
      <c r="U447" s="68"/>
      <c r="V447" s="68"/>
      <c r="W447" s="68"/>
      <c r="X447" s="68"/>
      <c r="Y447" s="68"/>
      <c r="Z447" s="68"/>
    </row>
    <row r="448">
      <c r="A448" s="68"/>
      <c r="B448" s="68"/>
      <c r="C448" s="68"/>
      <c r="D448" s="68"/>
      <c r="E448" s="68"/>
      <c r="F448" s="68"/>
      <c r="G448" s="68"/>
      <c r="H448" s="68"/>
      <c r="I448" s="68"/>
      <c r="J448" s="68"/>
      <c r="K448" s="68"/>
      <c r="L448" s="68"/>
      <c r="M448" s="68"/>
      <c r="N448" s="68"/>
      <c r="O448" s="68"/>
      <c r="P448" s="68"/>
      <c r="Q448" s="68"/>
      <c r="R448" s="68"/>
      <c r="S448" s="68"/>
      <c r="T448" s="68"/>
      <c r="U448" s="68"/>
      <c r="V448" s="68"/>
      <c r="W448" s="68"/>
      <c r="X448" s="68"/>
      <c r="Y448" s="68"/>
      <c r="Z448" s="68"/>
    </row>
    <row r="449">
      <c r="A449" s="68"/>
      <c r="B449" s="68"/>
      <c r="C449" s="68"/>
      <c r="D449" s="68"/>
      <c r="E449" s="68"/>
      <c r="F449" s="68"/>
      <c r="G449" s="68"/>
      <c r="H449" s="68"/>
      <c r="I449" s="68"/>
      <c r="J449" s="68"/>
      <c r="K449" s="68"/>
      <c r="L449" s="68"/>
      <c r="M449" s="68"/>
      <c r="N449" s="68"/>
      <c r="O449" s="68"/>
      <c r="P449" s="68"/>
      <c r="Q449" s="68"/>
      <c r="R449" s="68"/>
      <c r="S449" s="68"/>
      <c r="T449" s="68"/>
      <c r="U449" s="68"/>
      <c r="V449" s="68"/>
      <c r="W449" s="68"/>
      <c r="X449" s="68"/>
      <c r="Y449" s="68"/>
      <c r="Z449" s="68"/>
    </row>
    <row r="450">
      <c r="A450" s="68"/>
      <c r="B450" s="68"/>
      <c r="C450" s="68"/>
      <c r="D450" s="68"/>
      <c r="E450" s="68"/>
      <c r="F450" s="68"/>
      <c r="G450" s="68"/>
      <c r="H450" s="68"/>
      <c r="I450" s="68"/>
      <c r="J450" s="68"/>
      <c r="K450" s="68"/>
      <c r="L450" s="68"/>
      <c r="M450" s="68"/>
      <c r="N450" s="68"/>
      <c r="O450" s="68"/>
      <c r="P450" s="68"/>
      <c r="Q450" s="68"/>
      <c r="R450" s="68"/>
      <c r="S450" s="68"/>
      <c r="T450" s="68"/>
      <c r="U450" s="68"/>
      <c r="V450" s="68"/>
      <c r="W450" s="68"/>
      <c r="X450" s="68"/>
      <c r="Y450" s="68"/>
      <c r="Z450" s="68"/>
    </row>
    <row r="451">
      <c r="A451" s="68"/>
      <c r="B451" s="68"/>
      <c r="C451" s="68"/>
      <c r="D451" s="68"/>
      <c r="E451" s="68"/>
      <c r="F451" s="68"/>
      <c r="G451" s="68"/>
      <c r="H451" s="68"/>
      <c r="I451" s="68"/>
      <c r="J451" s="68"/>
      <c r="K451" s="68"/>
      <c r="L451" s="68"/>
      <c r="M451" s="68"/>
      <c r="N451" s="68"/>
      <c r="O451" s="68"/>
      <c r="P451" s="68"/>
      <c r="Q451" s="68"/>
      <c r="R451" s="68"/>
      <c r="S451" s="68"/>
      <c r="T451" s="68"/>
      <c r="U451" s="68"/>
      <c r="V451" s="68"/>
      <c r="W451" s="68"/>
      <c r="X451" s="68"/>
      <c r="Y451" s="68"/>
      <c r="Z451" s="68"/>
    </row>
    <row r="452">
      <c r="A452" s="68"/>
      <c r="B452" s="68"/>
      <c r="C452" s="68"/>
      <c r="D452" s="68"/>
      <c r="E452" s="68"/>
      <c r="F452" s="68"/>
      <c r="G452" s="68"/>
      <c r="H452" s="68"/>
      <c r="I452" s="68"/>
      <c r="J452" s="68"/>
      <c r="K452" s="68"/>
      <c r="L452" s="68"/>
      <c r="M452" s="68"/>
      <c r="N452" s="68"/>
      <c r="O452" s="68"/>
      <c r="P452" s="68"/>
      <c r="Q452" s="68"/>
      <c r="R452" s="68"/>
      <c r="S452" s="68"/>
      <c r="T452" s="68"/>
      <c r="U452" s="68"/>
      <c r="V452" s="68"/>
      <c r="W452" s="68"/>
      <c r="X452" s="68"/>
      <c r="Y452" s="68"/>
      <c r="Z452" s="68"/>
    </row>
    <row r="453">
      <c r="A453" s="68"/>
      <c r="B453" s="68"/>
      <c r="C453" s="68"/>
      <c r="D453" s="68"/>
      <c r="E453" s="68"/>
      <c r="F453" s="68"/>
      <c r="G453" s="68"/>
      <c r="H453" s="68"/>
      <c r="I453" s="68"/>
      <c r="J453" s="68"/>
      <c r="K453" s="68"/>
      <c r="L453" s="68"/>
      <c r="M453" s="68"/>
      <c r="N453" s="68"/>
      <c r="O453" s="68"/>
      <c r="P453" s="68"/>
      <c r="Q453" s="68"/>
      <c r="R453" s="68"/>
      <c r="S453" s="68"/>
      <c r="T453" s="68"/>
      <c r="U453" s="68"/>
      <c r="V453" s="68"/>
      <c r="W453" s="68"/>
      <c r="X453" s="68"/>
      <c r="Y453" s="68"/>
      <c r="Z453" s="68"/>
    </row>
    <row r="454">
      <c r="A454" s="68"/>
      <c r="B454" s="68"/>
      <c r="C454" s="68"/>
      <c r="D454" s="68"/>
      <c r="E454" s="68"/>
      <c r="F454" s="68"/>
      <c r="G454" s="68"/>
      <c r="H454" s="68"/>
      <c r="I454" s="68"/>
      <c r="J454" s="68"/>
      <c r="K454" s="68"/>
      <c r="L454" s="68"/>
      <c r="M454" s="68"/>
      <c r="N454" s="68"/>
      <c r="O454" s="68"/>
      <c r="P454" s="68"/>
      <c r="Q454" s="68"/>
      <c r="R454" s="68"/>
      <c r="S454" s="68"/>
      <c r="T454" s="68"/>
      <c r="U454" s="68"/>
      <c r="V454" s="68"/>
      <c r="W454" s="68"/>
      <c r="X454" s="68"/>
      <c r="Y454" s="68"/>
      <c r="Z454" s="68"/>
    </row>
    <row r="455">
      <c r="A455" s="68"/>
      <c r="B455" s="68"/>
      <c r="C455" s="68"/>
      <c r="D455" s="68"/>
      <c r="E455" s="68"/>
      <c r="F455" s="68"/>
      <c r="G455" s="68"/>
      <c r="H455" s="68"/>
      <c r="I455" s="68"/>
      <c r="J455" s="68"/>
      <c r="K455" s="68"/>
      <c r="L455" s="68"/>
      <c r="M455" s="68"/>
      <c r="N455" s="68"/>
      <c r="O455" s="68"/>
      <c r="P455" s="68"/>
      <c r="Q455" s="68"/>
      <c r="R455" s="68"/>
      <c r="S455" s="68"/>
      <c r="T455" s="68"/>
      <c r="U455" s="68"/>
      <c r="V455" s="68"/>
      <c r="W455" s="68"/>
      <c r="X455" s="68"/>
      <c r="Y455" s="68"/>
      <c r="Z455" s="68"/>
    </row>
    <row r="456">
      <c r="A456" s="68"/>
      <c r="B456" s="68"/>
      <c r="C456" s="68"/>
      <c r="D456" s="68"/>
      <c r="E456" s="68"/>
      <c r="F456" s="68"/>
      <c r="G456" s="68"/>
      <c r="H456" s="68"/>
      <c r="I456" s="68"/>
      <c r="J456" s="68"/>
      <c r="K456" s="68"/>
      <c r="L456" s="68"/>
      <c r="M456" s="68"/>
      <c r="N456" s="68"/>
      <c r="O456" s="68"/>
      <c r="P456" s="68"/>
      <c r="Q456" s="68"/>
      <c r="R456" s="68"/>
      <c r="S456" s="68"/>
      <c r="T456" s="68"/>
      <c r="U456" s="68"/>
      <c r="V456" s="68"/>
      <c r="W456" s="68"/>
      <c r="X456" s="68"/>
      <c r="Y456" s="68"/>
      <c r="Z456" s="68"/>
    </row>
    <row r="457">
      <c r="A457" s="68"/>
      <c r="B457" s="68"/>
      <c r="C457" s="68"/>
      <c r="D457" s="68"/>
      <c r="E457" s="68"/>
      <c r="F457" s="68"/>
      <c r="G457" s="68"/>
      <c r="H457" s="68"/>
      <c r="I457" s="68"/>
      <c r="J457" s="68"/>
      <c r="K457" s="68"/>
      <c r="L457" s="68"/>
      <c r="M457" s="68"/>
      <c r="N457" s="68"/>
      <c r="O457" s="68"/>
      <c r="P457" s="68"/>
      <c r="Q457" s="68"/>
      <c r="R457" s="68"/>
      <c r="S457" s="68"/>
      <c r="T457" s="68"/>
      <c r="U457" s="68"/>
      <c r="V457" s="68"/>
      <c r="W457" s="68"/>
      <c r="X457" s="68"/>
      <c r="Y457" s="68"/>
      <c r="Z457" s="68"/>
    </row>
    <row r="458">
      <c r="A458" s="68"/>
      <c r="B458" s="68"/>
      <c r="C458" s="68"/>
      <c r="D458" s="68"/>
      <c r="E458" s="68"/>
      <c r="F458" s="68"/>
      <c r="G458" s="68"/>
      <c r="H458" s="68"/>
      <c r="I458" s="68"/>
      <c r="J458" s="68"/>
      <c r="K458" s="68"/>
      <c r="L458" s="68"/>
      <c r="M458" s="68"/>
      <c r="N458" s="68"/>
      <c r="O458" s="68"/>
      <c r="P458" s="68"/>
      <c r="Q458" s="68"/>
      <c r="R458" s="68"/>
      <c r="S458" s="68"/>
      <c r="T458" s="68"/>
      <c r="U458" s="68"/>
      <c r="V458" s="68"/>
      <c r="W458" s="68"/>
      <c r="X458" s="68"/>
      <c r="Y458" s="68"/>
      <c r="Z458" s="68"/>
    </row>
    <row r="459">
      <c r="A459" s="68"/>
      <c r="B459" s="68"/>
      <c r="C459" s="68"/>
      <c r="D459" s="68"/>
      <c r="E459" s="68"/>
      <c r="F459" s="68"/>
      <c r="G459" s="68"/>
      <c r="H459" s="68"/>
      <c r="I459" s="68"/>
      <c r="J459" s="68"/>
      <c r="K459" s="68"/>
      <c r="L459" s="68"/>
      <c r="M459" s="68"/>
      <c r="N459" s="68"/>
      <c r="O459" s="68"/>
      <c r="P459" s="68"/>
      <c r="Q459" s="68"/>
      <c r="R459" s="68"/>
      <c r="S459" s="68"/>
      <c r="T459" s="68"/>
      <c r="U459" s="68"/>
      <c r="V459" s="68"/>
      <c r="W459" s="68"/>
      <c r="X459" s="68"/>
      <c r="Y459" s="68"/>
      <c r="Z459" s="68"/>
    </row>
    <row r="460">
      <c r="A460" s="68"/>
      <c r="B460" s="68"/>
      <c r="C460" s="68"/>
      <c r="D460" s="68"/>
      <c r="E460" s="68"/>
      <c r="F460" s="68"/>
      <c r="G460" s="68"/>
      <c r="H460" s="68"/>
      <c r="I460" s="68"/>
      <c r="J460" s="68"/>
      <c r="K460" s="68"/>
      <c r="L460" s="68"/>
      <c r="M460" s="68"/>
      <c r="N460" s="68"/>
      <c r="O460" s="68"/>
      <c r="P460" s="68"/>
      <c r="Q460" s="68"/>
      <c r="R460" s="68"/>
      <c r="S460" s="68"/>
      <c r="T460" s="68"/>
      <c r="U460" s="68"/>
      <c r="V460" s="68"/>
      <c r="W460" s="68"/>
      <c r="X460" s="68"/>
      <c r="Y460" s="68"/>
      <c r="Z460" s="68"/>
    </row>
    <row r="461">
      <c r="A461" s="68"/>
      <c r="B461" s="68"/>
      <c r="C461" s="68"/>
      <c r="D461" s="68"/>
      <c r="E461" s="68"/>
      <c r="F461" s="68"/>
      <c r="G461" s="68"/>
      <c r="H461" s="68"/>
      <c r="I461" s="68"/>
      <c r="J461" s="68"/>
      <c r="K461" s="68"/>
      <c r="L461" s="68"/>
      <c r="M461" s="68"/>
      <c r="N461" s="68"/>
      <c r="O461" s="68"/>
      <c r="P461" s="68"/>
      <c r="Q461" s="68"/>
      <c r="R461" s="68"/>
      <c r="S461" s="68"/>
      <c r="T461" s="68"/>
      <c r="U461" s="68"/>
      <c r="V461" s="68"/>
      <c r="W461" s="68"/>
      <c r="X461" s="68"/>
      <c r="Y461" s="68"/>
      <c r="Z461" s="68"/>
    </row>
    <row r="462">
      <c r="A462" s="68"/>
      <c r="B462" s="68"/>
      <c r="C462" s="68"/>
      <c r="D462" s="68"/>
      <c r="E462" s="68"/>
      <c r="F462" s="68"/>
      <c r="G462" s="68"/>
      <c r="H462" s="68"/>
      <c r="I462" s="68"/>
      <c r="J462" s="68"/>
      <c r="K462" s="68"/>
      <c r="L462" s="68"/>
      <c r="M462" s="68"/>
      <c r="N462" s="68"/>
      <c r="O462" s="68"/>
      <c r="P462" s="68"/>
      <c r="Q462" s="68"/>
      <c r="R462" s="68"/>
      <c r="S462" s="68"/>
      <c r="T462" s="68"/>
      <c r="U462" s="68"/>
      <c r="V462" s="68"/>
      <c r="W462" s="68"/>
      <c r="X462" s="68"/>
      <c r="Y462" s="68"/>
      <c r="Z462" s="68"/>
    </row>
    <row r="463">
      <c r="A463" s="68"/>
      <c r="B463" s="68"/>
      <c r="C463" s="68"/>
      <c r="D463" s="68"/>
      <c r="E463" s="68"/>
      <c r="F463" s="68"/>
      <c r="G463" s="68"/>
      <c r="H463" s="68"/>
      <c r="I463" s="68"/>
      <c r="J463" s="68"/>
      <c r="K463" s="68"/>
      <c r="L463" s="68"/>
      <c r="M463" s="68"/>
      <c r="N463" s="68"/>
      <c r="O463" s="68"/>
      <c r="P463" s="68"/>
      <c r="Q463" s="68"/>
      <c r="R463" s="68"/>
      <c r="S463" s="68"/>
      <c r="T463" s="68"/>
      <c r="U463" s="68"/>
      <c r="V463" s="68"/>
      <c r="W463" s="68"/>
      <c r="X463" s="68"/>
      <c r="Y463" s="68"/>
      <c r="Z463" s="68"/>
    </row>
    <row r="464">
      <c r="A464" s="68"/>
      <c r="B464" s="68"/>
      <c r="C464" s="68"/>
      <c r="D464" s="68"/>
      <c r="E464" s="68"/>
      <c r="F464" s="68"/>
      <c r="G464" s="68"/>
      <c r="H464" s="68"/>
      <c r="I464" s="68"/>
      <c r="J464" s="68"/>
      <c r="K464" s="68"/>
      <c r="L464" s="68"/>
      <c r="M464" s="68"/>
      <c r="N464" s="68"/>
      <c r="O464" s="68"/>
      <c r="P464" s="68"/>
      <c r="Q464" s="68"/>
      <c r="R464" s="68"/>
      <c r="S464" s="68"/>
      <c r="T464" s="68"/>
      <c r="U464" s="68"/>
      <c r="V464" s="68"/>
      <c r="W464" s="68"/>
      <c r="X464" s="68"/>
      <c r="Y464" s="68"/>
      <c r="Z464" s="68"/>
    </row>
    <row r="465">
      <c r="A465" s="68"/>
      <c r="B465" s="68"/>
      <c r="C465" s="68"/>
      <c r="D465" s="68"/>
      <c r="E465" s="68"/>
      <c r="F465" s="68"/>
      <c r="G465" s="68"/>
      <c r="H465" s="68"/>
      <c r="I465" s="68"/>
      <c r="J465" s="68"/>
      <c r="K465" s="68"/>
      <c r="L465" s="68"/>
      <c r="M465" s="68"/>
      <c r="N465" s="68"/>
      <c r="O465" s="68"/>
      <c r="P465" s="68"/>
      <c r="Q465" s="68"/>
      <c r="R465" s="68"/>
      <c r="S465" s="68"/>
      <c r="T465" s="68"/>
      <c r="U465" s="68"/>
      <c r="V465" s="68"/>
      <c r="W465" s="68"/>
      <c r="X465" s="68"/>
      <c r="Y465" s="68"/>
      <c r="Z465" s="68"/>
    </row>
    <row r="466">
      <c r="A466" s="68"/>
      <c r="B466" s="68"/>
      <c r="C466" s="68"/>
      <c r="D466" s="68"/>
      <c r="E466" s="68"/>
      <c r="F466" s="68"/>
      <c r="G466" s="68"/>
      <c r="H466" s="68"/>
      <c r="I466" s="68"/>
      <c r="J466" s="68"/>
      <c r="K466" s="68"/>
      <c r="L466" s="68"/>
      <c r="M466" s="68"/>
      <c r="N466" s="68"/>
      <c r="O466" s="68"/>
      <c r="P466" s="68"/>
      <c r="Q466" s="68"/>
      <c r="R466" s="68"/>
      <c r="S466" s="68"/>
      <c r="T466" s="68"/>
      <c r="U466" s="68"/>
      <c r="V466" s="68"/>
      <c r="W466" s="68"/>
      <c r="X466" s="68"/>
      <c r="Y466" s="68"/>
      <c r="Z466" s="68"/>
    </row>
    <row r="467">
      <c r="A467" s="68"/>
      <c r="B467" s="68"/>
      <c r="C467" s="68"/>
      <c r="D467" s="68"/>
      <c r="E467" s="68"/>
      <c r="F467" s="68"/>
      <c r="G467" s="68"/>
      <c r="H467" s="68"/>
      <c r="I467" s="68"/>
      <c r="J467" s="68"/>
      <c r="K467" s="68"/>
      <c r="L467" s="68"/>
      <c r="M467" s="68"/>
      <c r="N467" s="68"/>
      <c r="O467" s="68"/>
      <c r="P467" s="68"/>
      <c r="Q467" s="68"/>
      <c r="R467" s="68"/>
      <c r="S467" s="68"/>
      <c r="T467" s="68"/>
      <c r="U467" s="68"/>
      <c r="V467" s="68"/>
      <c r="W467" s="68"/>
      <c r="X467" s="68"/>
      <c r="Y467" s="68"/>
      <c r="Z467" s="68"/>
    </row>
    <row r="468">
      <c r="A468" s="68"/>
      <c r="B468" s="68"/>
      <c r="C468" s="68"/>
      <c r="D468" s="68"/>
      <c r="E468" s="68"/>
      <c r="F468" s="68"/>
      <c r="G468" s="68"/>
      <c r="H468" s="68"/>
      <c r="I468" s="68"/>
      <c r="J468" s="68"/>
      <c r="K468" s="68"/>
      <c r="L468" s="68"/>
      <c r="M468" s="68"/>
      <c r="N468" s="68"/>
      <c r="O468" s="68"/>
      <c r="P468" s="68"/>
      <c r="Q468" s="68"/>
      <c r="R468" s="68"/>
      <c r="S468" s="68"/>
      <c r="T468" s="68"/>
      <c r="U468" s="68"/>
      <c r="V468" s="68"/>
      <c r="W468" s="68"/>
      <c r="X468" s="68"/>
      <c r="Y468" s="68"/>
      <c r="Z468" s="68"/>
    </row>
    <row r="469">
      <c r="A469" s="68"/>
      <c r="B469" s="68"/>
      <c r="C469" s="68"/>
      <c r="D469" s="68"/>
      <c r="E469" s="68"/>
      <c r="F469" s="68"/>
      <c r="G469" s="68"/>
      <c r="H469" s="68"/>
      <c r="I469" s="68"/>
      <c r="J469" s="68"/>
      <c r="K469" s="68"/>
      <c r="L469" s="68"/>
      <c r="M469" s="68"/>
      <c r="N469" s="68"/>
      <c r="O469" s="68"/>
      <c r="P469" s="68"/>
      <c r="Q469" s="68"/>
      <c r="R469" s="68"/>
      <c r="S469" s="68"/>
      <c r="T469" s="68"/>
      <c r="U469" s="68"/>
      <c r="V469" s="68"/>
      <c r="W469" s="68"/>
      <c r="X469" s="68"/>
      <c r="Y469" s="68"/>
      <c r="Z469" s="68"/>
    </row>
    <row r="470">
      <c r="A470" s="68"/>
      <c r="B470" s="68"/>
      <c r="C470" s="68"/>
      <c r="D470" s="68"/>
      <c r="E470" s="68"/>
      <c r="F470" s="68"/>
      <c r="G470" s="68"/>
      <c r="H470" s="68"/>
      <c r="I470" s="68"/>
      <c r="J470" s="68"/>
      <c r="K470" s="68"/>
      <c r="L470" s="68"/>
      <c r="M470" s="68"/>
      <c r="N470" s="68"/>
      <c r="O470" s="68"/>
      <c r="P470" s="68"/>
      <c r="Q470" s="68"/>
      <c r="R470" s="68"/>
      <c r="S470" s="68"/>
      <c r="T470" s="68"/>
      <c r="U470" s="68"/>
      <c r="V470" s="68"/>
      <c r="W470" s="68"/>
      <c r="X470" s="68"/>
      <c r="Y470" s="68"/>
      <c r="Z470" s="68"/>
    </row>
    <row r="471">
      <c r="A471" s="68"/>
      <c r="B471" s="68"/>
      <c r="C471" s="68"/>
      <c r="D471" s="68"/>
      <c r="E471" s="68"/>
      <c r="F471" s="68"/>
      <c r="G471" s="68"/>
      <c r="H471" s="68"/>
      <c r="I471" s="68"/>
      <c r="J471" s="68"/>
      <c r="K471" s="68"/>
      <c r="L471" s="68"/>
      <c r="M471" s="68"/>
      <c r="N471" s="68"/>
      <c r="O471" s="68"/>
      <c r="P471" s="68"/>
      <c r="Q471" s="68"/>
      <c r="R471" s="68"/>
      <c r="S471" s="68"/>
      <c r="T471" s="68"/>
      <c r="U471" s="68"/>
      <c r="V471" s="68"/>
      <c r="W471" s="68"/>
      <c r="X471" s="68"/>
      <c r="Y471" s="68"/>
      <c r="Z471" s="68"/>
    </row>
    <row r="472">
      <c r="A472" s="68"/>
      <c r="B472" s="68"/>
      <c r="C472" s="68"/>
      <c r="D472" s="68"/>
      <c r="E472" s="68"/>
      <c r="F472" s="68"/>
      <c r="G472" s="68"/>
      <c r="H472" s="68"/>
      <c r="I472" s="68"/>
      <c r="J472" s="68"/>
      <c r="K472" s="68"/>
      <c r="L472" s="68"/>
      <c r="M472" s="68"/>
      <c r="N472" s="68"/>
      <c r="O472" s="68"/>
      <c r="P472" s="68"/>
      <c r="Q472" s="68"/>
      <c r="R472" s="68"/>
      <c r="S472" s="68"/>
      <c r="T472" s="68"/>
      <c r="U472" s="68"/>
      <c r="V472" s="68"/>
      <c r="W472" s="68"/>
      <c r="X472" s="68"/>
      <c r="Y472" s="68"/>
      <c r="Z472" s="68"/>
    </row>
    <row r="473">
      <c r="A473" s="68"/>
      <c r="B473" s="68"/>
      <c r="C473" s="68"/>
      <c r="D473" s="68"/>
      <c r="E473" s="68"/>
      <c r="F473" s="68"/>
      <c r="G473" s="68"/>
      <c r="H473" s="68"/>
      <c r="I473" s="68"/>
      <c r="J473" s="68"/>
      <c r="K473" s="68"/>
      <c r="L473" s="68"/>
      <c r="M473" s="68"/>
      <c r="N473" s="68"/>
      <c r="O473" s="68"/>
      <c r="P473" s="68"/>
      <c r="Q473" s="68"/>
      <c r="R473" s="68"/>
      <c r="S473" s="68"/>
      <c r="T473" s="68"/>
      <c r="U473" s="68"/>
      <c r="V473" s="68"/>
      <c r="W473" s="68"/>
      <c r="X473" s="68"/>
      <c r="Y473" s="68"/>
      <c r="Z473" s="68"/>
    </row>
    <row r="474">
      <c r="A474" s="68"/>
      <c r="B474" s="68"/>
      <c r="C474" s="68"/>
      <c r="D474" s="68"/>
      <c r="E474" s="68"/>
      <c r="F474" s="68"/>
      <c r="G474" s="68"/>
      <c r="H474" s="68"/>
      <c r="I474" s="68"/>
      <c r="J474" s="68"/>
      <c r="K474" s="68"/>
      <c r="L474" s="68"/>
      <c r="M474" s="68"/>
      <c r="N474" s="68"/>
      <c r="O474" s="68"/>
      <c r="P474" s="68"/>
      <c r="Q474" s="68"/>
      <c r="R474" s="68"/>
      <c r="S474" s="68"/>
      <c r="T474" s="68"/>
      <c r="U474" s="68"/>
      <c r="V474" s="68"/>
      <c r="W474" s="68"/>
      <c r="X474" s="68"/>
      <c r="Y474" s="68"/>
      <c r="Z474" s="68"/>
    </row>
    <row r="475">
      <c r="A475" s="68"/>
      <c r="B475" s="68"/>
      <c r="C475" s="68"/>
      <c r="D475" s="68"/>
      <c r="E475" s="68"/>
      <c r="F475" s="68"/>
      <c r="G475" s="68"/>
      <c r="H475" s="68"/>
      <c r="I475" s="68"/>
      <c r="J475" s="68"/>
      <c r="K475" s="68"/>
      <c r="L475" s="68"/>
      <c r="M475" s="68"/>
      <c r="N475" s="68"/>
      <c r="O475" s="68"/>
      <c r="P475" s="68"/>
      <c r="Q475" s="68"/>
      <c r="R475" s="68"/>
      <c r="S475" s="68"/>
      <c r="T475" s="68"/>
      <c r="U475" s="68"/>
      <c r="V475" s="68"/>
      <c r="W475" s="68"/>
      <c r="X475" s="68"/>
      <c r="Y475" s="68"/>
      <c r="Z475" s="68"/>
    </row>
    <row r="476">
      <c r="A476" s="68"/>
      <c r="B476" s="68"/>
      <c r="C476" s="68"/>
      <c r="D476" s="68"/>
      <c r="E476" s="68"/>
      <c r="F476" s="68"/>
      <c r="G476" s="68"/>
      <c r="H476" s="68"/>
      <c r="I476" s="68"/>
      <c r="J476" s="68"/>
      <c r="K476" s="68"/>
      <c r="L476" s="68"/>
      <c r="M476" s="68"/>
      <c r="N476" s="68"/>
      <c r="O476" s="68"/>
      <c r="P476" s="68"/>
      <c r="Q476" s="68"/>
      <c r="R476" s="68"/>
      <c r="S476" s="68"/>
      <c r="T476" s="68"/>
      <c r="U476" s="68"/>
      <c r="V476" s="68"/>
      <c r="W476" s="68"/>
      <c r="X476" s="68"/>
      <c r="Y476" s="68"/>
      <c r="Z476" s="68"/>
    </row>
    <row r="477">
      <c r="A477" s="68"/>
      <c r="B477" s="68"/>
      <c r="C477" s="68"/>
      <c r="D477" s="68"/>
      <c r="E477" s="68"/>
      <c r="F477" s="68"/>
      <c r="G477" s="68"/>
      <c r="H477" s="68"/>
      <c r="I477" s="68"/>
      <c r="J477" s="68"/>
      <c r="K477" s="68"/>
      <c r="L477" s="68"/>
      <c r="M477" s="68"/>
      <c r="N477" s="68"/>
      <c r="O477" s="68"/>
      <c r="P477" s="68"/>
      <c r="Q477" s="68"/>
      <c r="R477" s="68"/>
      <c r="S477" s="68"/>
      <c r="T477" s="68"/>
      <c r="U477" s="68"/>
      <c r="V477" s="68"/>
      <c r="W477" s="68"/>
      <c r="X477" s="68"/>
      <c r="Y477" s="68"/>
      <c r="Z477" s="68"/>
    </row>
    <row r="478">
      <c r="A478" s="68"/>
      <c r="B478" s="68"/>
      <c r="C478" s="68"/>
      <c r="D478" s="68"/>
      <c r="E478" s="68"/>
      <c r="F478" s="68"/>
      <c r="G478" s="68"/>
      <c r="H478" s="68"/>
      <c r="I478" s="68"/>
      <c r="J478" s="68"/>
      <c r="K478" s="68"/>
      <c r="L478" s="68"/>
      <c r="M478" s="68"/>
      <c r="N478" s="68"/>
      <c r="O478" s="68"/>
      <c r="P478" s="68"/>
      <c r="Q478" s="68"/>
      <c r="R478" s="68"/>
      <c r="S478" s="68"/>
      <c r="T478" s="68"/>
      <c r="U478" s="68"/>
      <c r="V478" s="68"/>
      <c r="W478" s="68"/>
      <c r="X478" s="68"/>
      <c r="Y478" s="68"/>
      <c r="Z478" s="68"/>
    </row>
    <row r="479">
      <c r="A479" s="68"/>
      <c r="B479" s="68"/>
      <c r="C479" s="68"/>
      <c r="D479" s="68"/>
      <c r="E479" s="68"/>
      <c r="F479" s="68"/>
      <c r="G479" s="68"/>
      <c r="H479" s="68"/>
      <c r="I479" s="68"/>
      <c r="J479" s="68"/>
      <c r="K479" s="68"/>
      <c r="L479" s="68"/>
      <c r="M479" s="68"/>
      <c r="N479" s="68"/>
      <c r="O479" s="68"/>
      <c r="P479" s="68"/>
      <c r="Q479" s="68"/>
      <c r="R479" s="68"/>
      <c r="S479" s="68"/>
      <c r="T479" s="68"/>
      <c r="U479" s="68"/>
      <c r="V479" s="68"/>
      <c r="W479" s="68"/>
      <c r="X479" s="68"/>
      <c r="Y479" s="68"/>
      <c r="Z479" s="68"/>
    </row>
    <row r="480">
      <c r="A480" s="68"/>
      <c r="B480" s="68"/>
      <c r="C480" s="68"/>
      <c r="D480" s="68"/>
      <c r="E480" s="68"/>
      <c r="F480" s="68"/>
      <c r="G480" s="68"/>
      <c r="H480" s="68"/>
      <c r="I480" s="68"/>
      <c r="J480" s="68"/>
      <c r="K480" s="68"/>
      <c r="L480" s="68"/>
      <c r="M480" s="68"/>
      <c r="N480" s="68"/>
      <c r="O480" s="68"/>
      <c r="P480" s="68"/>
      <c r="Q480" s="68"/>
      <c r="R480" s="68"/>
      <c r="S480" s="68"/>
      <c r="T480" s="68"/>
      <c r="U480" s="68"/>
      <c r="V480" s="68"/>
      <c r="W480" s="68"/>
      <c r="X480" s="68"/>
      <c r="Y480" s="68"/>
      <c r="Z480" s="68"/>
    </row>
    <row r="481">
      <c r="A481" s="68"/>
      <c r="B481" s="68"/>
      <c r="C481" s="68"/>
      <c r="D481" s="68"/>
      <c r="E481" s="68"/>
      <c r="F481" s="68"/>
      <c r="G481" s="68"/>
      <c r="H481" s="68"/>
      <c r="I481" s="68"/>
      <c r="J481" s="68"/>
      <c r="K481" s="68"/>
      <c r="L481" s="68"/>
      <c r="M481" s="68"/>
      <c r="N481" s="68"/>
      <c r="O481" s="68"/>
      <c r="P481" s="68"/>
      <c r="Q481" s="68"/>
      <c r="R481" s="68"/>
      <c r="S481" s="68"/>
      <c r="T481" s="68"/>
      <c r="U481" s="68"/>
      <c r="V481" s="68"/>
      <c r="W481" s="68"/>
      <c r="X481" s="68"/>
      <c r="Y481" s="68"/>
      <c r="Z481" s="68"/>
    </row>
    <row r="482">
      <c r="A482" s="68"/>
      <c r="B482" s="68"/>
      <c r="C482" s="68"/>
      <c r="D482" s="68"/>
      <c r="E482" s="68"/>
      <c r="F482" s="68"/>
      <c r="G482" s="68"/>
      <c r="H482" s="68"/>
      <c r="I482" s="68"/>
      <c r="J482" s="68"/>
      <c r="K482" s="68"/>
      <c r="L482" s="68"/>
      <c r="M482" s="68"/>
      <c r="N482" s="68"/>
      <c r="O482" s="68"/>
      <c r="P482" s="68"/>
      <c r="Q482" s="68"/>
      <c r="R482" s="68"/>
      <c r="S482" s="68"/>
      <c r="T482" s="68"/>
      <c r="U482" s="68"/>
      <c r="V482" s="68"/>
      <c r="W482" s="68"/>
      <c r="X482" s="68"/>
      <c r="Y482" s="68"/>
      <c r="Z482" s="68"/>
    </row>
    <row r="483">
      <c r="A483" s="68"/>
      <c r="B483" s="68"/>
      <c r="C483" s="68"/>
      <c r="D483" s="68"/>
      <c r="E483" s="68"/>
      <c r="F483" s="68"/>
      <c r="G483" s="68"/>
      <c r="H483" s="68"/>
      <c r="I483" s="68"/>
      <c r="J483" s="68"/>
      <c r="K483" s="68"/>
      <c r="L483" s="68"/>
      <c r="M483" s="68"/>
      <c r="N483" s="68"/>
      <c r="O483" s="68"/>
      <c r="P483" s="68"/>
      <c r="Q483" s="68"/>
      <c r="R483" s="68"/>
      <c r="S483" s="68"/>
      <c r="T483" s="68"/>
      <c r="U483" s="68"/>
      <c r="V483" s="68"/>
      <c r="W483" s="68"/>
      <c r="X483" s="68"/>
      <c r="Y483" s="68"/>
      <c r="Z483" s="68"/>
    </row>
    <row r="484">
      <c r="A484" s="68"/>
      <c r="B484" s="68"/>
      <c r="C484" s="68"/>
      <c r="D484" s="68"/>
      <c r="E484" s="68"/>
      <c r="F484" s="68"/>
      <c r="G484" s="68"/>
      <c r="H484" s="68"/>
      <c r="I484" s="68"/>
      <c r="J484" s="68"/>
      <c r="K484" s="68"/>
      <c r="L484" s="68"/>
      <c r="M484" s="68"/>
      <c r="N484" s="68"/>
      <c r="O484" s="68"/>
      <c r="P484" s="68"/>
      <c r="Q484" s="68"/>
      <c r="R484" s="68"/>
      <c r="S484" s="68"/>
      <c r="T484" s="68"/>
      <c r="U484" s="68"/>
      <c r="V484" s="68"/>
      <c r="W484" s="68"/>
      <c r="X484" s="68"/>
      <c r="Y484" s="68"/>
      <c r="Z484" s="68"/>
    </row>
    <row r="485">
      <c r="A485" s="68"/>
      <c r="B485" s="68"/>
      <c r="C485" s="68"/>
      <c r="D485" s="68"/>
      <c r="E485" s="68"/>
      <c r="F485" s="68"/>
      <c r="G485" s="68"/>
      <c r="H485" s="68"/>
      <c r="I485" s="68"/>
      <c r="J485" s="68"/>
      <c r="K485" s="68"/>
      <c r="L485" s="68"/>
      <c r="M485" s="68"/>
      <c r="N485" s="68"/>
      <c r="O485" s="68"/>
      <c r="P485" s="68"/>
      <c r="Q485" s="68"/>
      <c r="R485" s="68"/>
      <c r="S485" s="68"/>
      <c r="T485" s="68"/>
      <c r="U485" s="68"/>
      <c r="V485" s="68"/>
      <c r="W485" s="68"/>
      <c r="X485" s="68"/>
      <c r="Y485" s="68"/>
      <c r="Z485" s="68"/>
    </row>
    <row r="486">
      <c r="A486" s="68"/>
      <c r="B486" s="68"/>
      <c r="C486" s="68"/>
      <c r="D486" s="68"/>
      <c r="E486" s="68"/>
      <c r="F486" s="68"/>
      <c r="G486" s="68"/>
      <c r="H486" s="68"/>
      <c r="I486" s="68"/>
      <c r="J486" s="68"/>
      <c r="K486" s="68"/>
      <c r="L486" s="68"/>
      <c r="M486" s="68"/>
      <c r="N486" s="68"/>
      <c r="O486" s="68"/>
      <c r="P486" s="68"/>
      <c r="Q486" s="68"/>
      <c r="R486" s="68"/>
      <c r="S486" s="68"/>
      <c r="T486" s="68"/>
      <c r="U486" s="68"/>
      <c r="V486" s="68"/>
      <c r="W486" s="68"/>
      <c r="X486" s="68"/>
      <c r="Y486" s="68"/>
      <c r="Z486" s="68"/>
    </row>
    <row r="487">
      <c r="A487" s="68"/>
      <c r="B487" s="68"/>
      <c r="C487" s="68"/>
      <c r="D487" s="68"/>
      <c r="E487" s="68"/>
      <c r="F487" s="68"/>
      <c r="G487" s="68"/>
      <c r="H487" s="68"/>
      <c r="I487" s="68"/>
      <c r="J487" s="68"/>
      <c r="K487" s="68"/>
      <c r="L487" s="68"/>
      <c r="M487" s="68"/>
      <c r="N487" s="68"/>
      <c r="O487" s="68"/>
      <c r="P487" s="68"/>
      <c r="Q487" s="68"/>
      <c r="R487" s="68"/>
      <c r="S487" s="68"/>
      <c r="T487" s="68"/>
      <c r="U487" s="68"/>
      <c r="V487" s="68"/>
      <c r="W487" s="68"/>
      <c r="X487" s="68"/>
      <c r="Y487" s="68"/>
      <c r="Z487" s="68"/>
    </row>
    <row r="488">
      <c r="A488" s="68"/>
      <c r="B488" s="68"/>
      <c r="C488" s="68"/>
      <c r="D488" s="68"/>
      <c r="E488" s="68"/>
      <c r="F488" s="68"/>
      <c r="G488" s="68"/>
      <c r="H488" s="68"/>
      <c r="I488" s="68"/>
      <c r="J488" s="68"/>
      <c r="K488" s="68"/>
      <c r="L488" s="68"/>
      <c r="M488" s="68"/>
      <c r="N488" s="68"/>
      <c r="O488" s="68"/>
      <c r="P488" s="68"/>
      <c r="Q488" s="68"/>
      <c r="R488" s="68"/>
      <c r="S488" s="68"/>
      <c r="T488" s="68"/>
      <c r="U488" s="68"/>
      <c r="V488" s="68"/>
      <c r="W488" s="68"/>
      <c r="X488" s="68"/>
      <c r="Y488" s="68"/>
      <c r="Z488" s="68"/>
    </row>
    <row r="489">
      <c r="A489" s="68"/>
      <c r="B489" s="68"/>
      <c r="C489" s="68"/>
      <c r="D489" s="68"/>
      <c r="E489" s="68"/>
      <c r="F489" s="68"/>
      <c r="G489" s="68"/>
      <c r="H489" s="68"/>
      <c r="I489" s="68"/>
      <c r="J489" s="68"/>
      <c r="K489" s="68"/>
      <c r="L489" s="68"/>
      <c r="M489" s="68"/>
      <c r="N489" s="68"/>
      <c r="O489" s="68"/>
      <c r="P489" s="68"/>
      <c r="Q489" s="68"/>
      <c r="R489" s="68"/>
      <c r="S489" s="68"/>
      <c r="T489" s="68"/>
      <c r="U489" s="68"/>
      <c r="V489" s="68"/>
      <c r="W489" s="68"/>
      <c r="X489" s="68"/>
      <c r="Y489" s="68"/>
      <c r="Z489" s="68"/>
    </row>
    <row r="490">
      <c r="A490" s="68"/>
      <c r="B490" s="68"/>
      <c r="C490" s="68"/>
      <c r="D490" s="68"/>
      <c r="E490" s="68"/>
      <c r="F490" s="68"/>
      <c r="G490" s="68"/>
      <c r="H490" s="68"/>
      <c r="I490" s="68"/>
      <c r="J490" s="68"/>
      <c r="K490" s="68"/>
      <c r="L490" s="68"/>
      <c r="M490" s="68"/>
      <c r="N490" s="68"/>
      <c r="O490" s="68"/>
      <c r="P490" s="68"/>
      <c r="Q490" s="68"/>
      <c r="R490" s="68"/>
      <c r="S490" s="68"/>
      <c r="T490" s="68"/>
      <c r="U490" s="68"/>
      <c r="V490" s="68"/>
      <c r="W490" s="68"/>
      <c r="X490" s="68"/>
      <c r="Y490" s="68"/>
      <c r="Z490" s="68"/>
    </row>
    <row r="491">
      <c r="A491" s="68"/>
      <c r="B491" s="68"/>
      <c r="C491" s="68"/>
      <c r="D491" s="68"/>
      <c r="E491" s="68"/>
      <c r="F491" s="68"/>
      <c r="G491" s="68"/>
      <c r="H491" s="68"/>
      <c r="I491" s="68"/>
      <c r="J491" s="68"/>
      <c r="K491" s="68"/>
      <c r="L491" s="68"/>
      <c r="M491" s="68"/>
      <c r="N491" s="68"/>
      <c r="O491" s="68"/>
      <c r="P491" s="68"/>
      <c r="Q491" s="68"/>
      <c r="R491" s="68"/>
      <c r="S491" s="68"/>
      <c r="T491" s="68"/>
      <c r="U491" s="68"/>
      <c r="V491" s="68"/>
      <c r="W491" s="68"/>
      <c r="X491" s="68"/>
      <c r="Y491" s="68"/>
      <c r="Z491" s="68"/>
    </row>
    <row r="492">
      <c r="A492" s="68"/>
      <c r="B492" s="68"/>
      <c r="C492" s="68"/>
      <c r="D492" s="68"/>
      <c r="E492" s="68"/>
      <c r="F492" s="68"/>
      <c r="G492" s="68"/>
      <c r="H492" s="68"/>
      <c r="I492" s="68"/>
      <c r="J492" s="68"/>
      <c r="K492" s="68"/>
      <c r="L492" s="68"/>
      <c r="M492" s="68"/>
      <c r="N492" s="68"/>
      <c r="O492" s="68"/>
      <c r="P492" s="68"/>
      <c r="Q492" s="68"/>
      <c r="R492" s="68"/>
      <c r="S492" s="68"/>
      <c r="T492" s="68"/>
      <c r="U492" s="68"/>
      <c r="V492" s="68"/>
      <c r="W492" s="68"/>
      <c r="X492" s="68"/>
      <c r="Y492" s="68"/>
      <c r="Z492" s="68"/>
    </row>
    <row r="493">
      <c r="A493" s="68"/>
      <c r="B493" s="68"/>
      <c r="C493" s="68"/>
      <c r="D493" s="68"/>
      <c r="E493" s="68"/>
      <c r="F493" s="68"/>
      <c r="G493" s="68"/>
      <c r="H493" s="68"/>
      <c r="I493" s="68"/>
      <c r="J493" s="68"/>
      <c r="K493" s="68"/>
      <c r="L493" s="68"/>
      <c r="M493" s="68"/>
      <c r="N493" s="68"/>
      <c r="O493" s="68"/>
      <c r="P493" s="68"/>
      <c r="Q493" s="68"/>
      <c r="R493" s="68"/>
      <c r="S493" s="68"/>
      <c r="T493" s="68"/>
      <c r="U493" s="68"/>
      <c r="V493" s="68"/>
      <c r="W493" s="68"/>
      <c r="X493" s="68"/>
      <c r="Y493" s="68"/>
      <c r="Z493" s="68"/>
    </row>
    <row r="494">
      <c r="A494" s="68"/>
      <c r="B494" s="68"/>
      <c r="C494" s="68"/>
      <c r="D494" s="68"/>
      <c r="E494" s="68"/>
      <c r="F494" s="68"/>
      <c r="G494" s="68"/>
      <c r="H494" s="68"/>
      <c r="I494" s="68"/>
      <c r="J494" s="68"/>
      <c r="K494" s="68"/>
      <c r="L494" s="68"/>
      <c r="M494" s="68"/>
      <c r="N494" s="68"/>
      <c r="O494" s="68"/>
      <c r="P494" s="68"/>
      <c r="Q494" s="68"/>
      <c r="R494" s="68"/>
      <c r="S494" s="68"/>
      <c r="T494" s="68"/>
      <c r="U494" s="68"/>
      <c r="V494" s="68"/>
      <c r="W494" s="68"/>
      <c r="X494" s="68"/>
      <c r="Y494" s="68"/>
      <c r="Z494" s="68"/>
    </row>
    <row r="495">
      <c r="A495" s="68"/>
      <c r="B495" s="68"/>
      <c r="C495" s="68"/>
      <c r="D495" s="68"/>
      <c r="E495" s="68"/>
      <c r="F495" s="68"/>
      <c r="G495" s="68"/>
      <c r="H495" s="68"/>
      <c r="I495" s="68"/>
      <c r="J495" s="68"/>
      <c r="K495" s="68"/>
      <c r="L495" s="68"/>
      <c r="M495" s="68"/>
      <c r="N495" s="68"/>
      <c r="O495" s="68"/>
      <c r="P495" s="68"/>
      <c r="Q495" s="68"/>
      <c r="R495" s="68"/>
      <c r="S495" s="68"/>
      <c r="T495" s="68"/>
      <c r="U495" s="68"/>
      <c r="V495" s="68"/>
      <c r="W495" s="68"/>
      <c r="X495" s="68"/>
      <c r="Y495" s="68"/>
      <c r="Z495" s="68"/>
    </row>
    <row r="496">
      <c r="A496" s="68"/>
      <c r="B496" s="68"/>
      <c r="C496" s="68"/>
      <c r="D496" s="68"/>
      <c r="E496" s="68"/>
      <c r="F496" s="68"/>
      <c r="G496" s="68"/>
      <c r="H496" s="68"/>
      <c r="I496" s="68"/>
      <c r="J496" s="68"/>
      <c r="K496" s="68"/>
      <c r="L496" s="68"/>
      <c r="M496" s="68"/>
      <c r="N496" s="68"/>
      <c r="O496" s="68"/>
      <c r="P496" s="68"/>
      <c r="Q496" s="68"/>
      <c r="R496" s="68"/>
      <c r="S496" s="68"/>
      <c r="T496" s="68"/>
      <c r="U496" s="68"/>
      <c r="V496" s="68"/>
      <c r="W496" s="68"/>
      <c r="X496" s="68"/>
      <c r="Y496" s="68"/>
      <c r="Z496" s="68"/>
    </row>
    <row r="497">
      <c r="A497" s="68"/>
      <c r="B497" s="68"/>
      <c r="C497" s="68"/>
      <c r="D497" s="68"/>
      <c r="E497" s="68"/>
      <c r="F497" s="68"/>
      <c r="G497" s="68"/>
      <c r="H497" s="68"/>
      <c r="I497" s="68"/>
      <c r="J497" s="68"/>
      <c r="K497" s="68"/>
      <c r="L497" s="68"/>
      <c r="M497" s="68"/>
      <c r="N497" s="68"/>
      <c r="O497" s="68"/>
      <c r="P497" s="68"/>
      <c r="Q497" s="68"/>
      <c r="R497" s="68"/>
      <c r="S497" s="68"/>
      <c r="T497" s="68"/>
      <c r="U497" s="68"/>
      <c r="V497" s="68"/>
      <c r="W497" s="68"/>
      <c r="X497" s="68"/>
      <c r="Y497" s="68"/>
      <c r="Z497" s="68"/>
    </row>
    <row r="498">
      <c r="A498" s="68"/>
      <c r="B498" s="68"/>
      <c r="C498" s="68"/>
      <c r="D498" s="68"/>
      <c r="E498" s="68"/>
      <c r="F498" s="68"/>
      <c r="G498" s="68"/>
      <c r="H498" s="68"/>
      <c r="I498" s="68"/>
      <c r="J498" s="68"/>
      <c r="K498" s="68"/>
      <c r="L498" s="68"/>
      <c r="M498" s="68"/>
      <c r="N498" s="68"/>
      <c r="O498" s="68"/>
      <c r="P498" s="68"/>
      <c r="Q498" s="68"/>
      <c r="R498" s="68"/>
      <c r="S498" s="68"/>
      <c r="T498" s="68"/>
      <c r="U498" s="68"/>
      <c r="V498" s="68"/>
      <c r="W498" s="68"/>
      <c r="X498" s="68"/>
      <c r="Y498" s="68"/>
      <c r="Z498" s="68"/>
    </row>
    <row r="499">
      <c r="A499" s="68"/>
      <c r="B499" s="68"/>
      <c r="C499" s="68"/>
      <c r="D499" s="68"/>
      <c r="E499" s="68"/>
      <c r="F499" s="68"/>
      <c r="G499" s="68"/>
      <c r="H499" s="68"/>
      <c r="I499" s="68"/>
      <c r="J499" s="68"/>
      <c r="K499" s="68"/>
      <c r="L499" s="68"/>
      <c r="M499" s="68"/>
      <c r="N499" s="68"/>
      <c r="O499" s="68"/>
      <c r="P499" s="68"/>
      <c r="Q499" s="68"/>
      <c r="R499" s="68"/>
      <c r="S499" s="68"/>
      <c r="T499" s="68"/>
      <c r="U499" s="68"/>
      <c r="V499" s="68"/>
      <c r="W499" s="68"/>
      <c r="X499" s="68"/>
      <c r="Y499" s="68"/>
      <c r="Z499" s="68"/>
    </row>
    <row r="500">
      <c r="A500" s="68"/>
      <c r="B500" s="68"/>
      <c r="C500" s="68"/>
      <c r="D500" s="68"/>
      <c r="E500" s="68"/>
      <c r="F500" s="68"/>
      <c r="G500" s="68"/>
      <c r="H500" s="68"/>
      <c r="I500" s="68"/>
      <c r="J500" s="68"/>
      <c r="K500" s="68"/>
      <c r="L500" s="68"/>
      <c r="M500" s="68"/>
      <c r="N500" s="68"/>
      <c r="O500" s="68"/>
      <c r="P500" s="68"/>
      <c r="Q500" s="68"/>
      <c r="R500" s="68"/>
      <c r="S500" s="68"/>
      <c r="T500" s="68"/>
      <c r="U500" s="68"/>
      <c r="V500" s="68"/>
      <c r="W500" s="68"/>
      <c r="X500" s="68"/>
      <c r="Y500" s="68"/>
      <c r="Z500" s="68"/>
    </row>
    <row r="501">
      <c r="A501" s="68"/>
      <c r="B501" s="68"/>
      <c r="C501" s="68"/>
      <c r="D501" s="68"/>
      <c r="E501" s="68"/>
      <c r="F501" s="68"/>
      <c r="G501" s="68"/>
      <c r="H501" s="68"/>
      <c r="I501" s="68"/>
      <c r="J501" s="68"/>
      <c r="K501" s="68"/>
      <c r="L501" s="68"/>
      <c r="M501" s="68"/>
      <c r="N501" s="68"/>
      <c r="O501" s="68"/>
      <c r="P501" s="68"/>
      <c r="Q501" s="68"/>
      <c r="R501" s="68"/>
      <c r="S501" s="68"/>
      <c r="T501" s="68"/>
      <c r="U501" s="68"/>
      <c r="V501" s="68"/>
      <c r="W501" s="68"/>
      <c r="X501" s="68"/>
      <c r="Y501" s="68"/>
      <c r="Z501" s="68"/>
    </row>
    <row r="502">
      <c r="A502" s="68"/>
      <c r="B502" s="68"/>
      <c r="C502" s="68"/>
      <c r="D502" s="68"/>
      <c r="E502" s="68"/>
      <c r="F502" s="68"/>
      <c r="G502" s="68"/>
      <c r="H502" s="68"/>
      <c r="I502" s="68"/>
      <c r="J502" s="68"/>
      <c r="K502" s="68"/>
      <c r="L502" s="68"/>
      <c r="M502" s="68"/>
      <c r="N502" s="68"/>
      <c r="O502" s="68"/>
      <c r="P502" s="68"/>
      <c r="Q502" s="68"/>
      <c r="R502" s="68"/>
      <c r="S502" s="68"/>
      <c r="T502" s="68"/>
      <c r="U502" s="68"/>
      <c r="V502" s="68"/>
      <c r="W502" s="68"/>
      <c r="X502" s="68"/>
      <c r="Y502" s="68"/>
      <c r="Z502" s="68"/>
    </row>
    <row r="503">
      <c r="A503" s="68"/>
      <c r="B503" s="68"/>
      <c r="C503" s="68"/>
      <c r="D503" s="68"/>
      <c r="E503" s="68"/>
      <c r="F503" s="68"/>
      <c r="G503" s="68"/>
      <c r="H503" s="68"/>
      <c r="I503" s="68"/>
      <c r="J503" s="68"/>
      <c r="K503" s="68"/>
      <c r="L503" s="68"/>
      <c r="M503" s="68"/>
      <c r="N503" s="68"/>
      <c r="O503" s="68"/>
      <c r="P503" s="68"/>
      <c r="Q503" s="68"/>
      <c r="R503" s="68"/>
      <c r="S503" s="68"/>
      <c r="T503" s="68"/>
      <c r="U503" s="68"/>
      <c r="V503" s="68"/>
      <c r="W503" s="68"/>
      <c r="X503" s="68"/>
      <c r="Y503" s="68"/>
      <c r="Z503" s="68"/>
    </row>
    <row r="504">
      <c r="A504" s="68"/>
      <c r="B504" s="68"/>
      <c r="C504" s="68"/>
      <c r="D504" s="68"/>
      <c r="E504" s="68"/>
      <c r="F504" s="68"/>
      <c r="G504" s="68"/>
      <c r="H504" s="68"/>
      <c r="I504" s="68"/>
      <c r="J504" s="68"/>
      <c r="K504" s="68"/>
      <c r="L504" s="68"/>
      <c r="M504" s="68"/>
      <c r="N504" s="68"/>
      <c r="O504" s="68"/>
      <c r="P504" s="68"/>
      <c r="Q504" s="68"/>
      <c r="R504" s="68"/>
      <c r="S504" s="68"/>
      <c r="T504" s="68"/>
      <c r="U504" s="68"/>
      <c r="V504" s="68"/>
      <c r="W504" s="68"/>
      <c r="X504" s="68"/>
      <c r="Y504" s="68"/>
      <c r="Z504" s="68"/>
    </row>
    <row r="505">
      <c r="A505" s="68"/>
      <c r="B505" s="68"/>
      <c r="C505" s="68"/>
      <c r="D505" s="68"/>
      <c r="E505" s="68"/>
      <c r="F505" s="68"/>
      <c r="G505" s="68"/>
      <c r="H505" s="68"/>
      <c r="I505" s="68"/>
      <c r="J505" s="68"/>
      <c r="K505" s="68"/>
      <c r="L505" s="68"/>
      <c r="M505" s="68"/>
      <c r="N505" s="68"/>
      <c r="O505" s="68"/>
      <c r="P505" s="68"/>
      <c r="Q505" s="68"/>
      <c r="R505" s="68"/>
      <c r="S505" s="68"/>
      <c r="T505" s="68"/>
      <c r="U505" s="68"/>
      <c r="V505" s="68"/>
      <c r="W505" s="68"/>
      <c r="X505" s="68"/>
      <c r="Y505" s="68"/>
      <c r="Z505" s="68"/>
    </row>
    <row r="506">
      <c r="A506" s="68"/>
      <c r="B506" s="68"/>
      <c r="C506" s="68"/>
      <c r="D506" s="68"/>
      <c r="E506" s="68"/>
      <c r="F506" s="68"/>
      <c r="G506" s="68"/>
      <c r="H506" s="68"/>
      <c r="I506" s="68"/>
      <c r="J506" s="68"/>
      <c r="K506" s="68"/>
      <c r="L506" s="68"/>
      <c r="M506" s="68"/>
      <c r="N506" s="68"/>
      <c r="O506" s="68"/>
      <c r="P506" s="68"/>
      <c r="Q506" s="68"/>
      <c r="R506" s="68"/>
      <c r="S506" s="68"/>
      <c r="T506" s="68"/>
      <c r="U506" s="68"/>
      <c r="V506" s="68"/>
      <c r="W506" s="68"/>
      <c r="X506" s="68"/>
      <c r="Y506" s="68"/>
      <c r="Z506" s="68"/>
    </row>
    <row r="507">
      <c r="A507" s="68"/>
      <c r="B507" s="68"/>
      <c r="C507" s="68"/>
      <c r="D507" s="68"/>
      <c r="E507" s="68"/>
      <c r="F507" s="68"/>
      <c r="G507" s="68"/>
      <c r="H507" s="68"/>
      <c r="I507" s="68"/>
      <c r="J507" s="68"/>
      <c r="K507" s="68"/>
      <c r="L507" s="68"/>
      <c r="M507" s="68"/>
      <c r="N507" s="68"/>
      <c r="O507" s="68"/>
      <c r="P507" s="68"/>
      <c r="Q507" s="68"/>
      <c r="R507" s="68"/>
      <c r="S507" s="68"/>
      <c r="T507" s="68"/>
      <c r="U507" s="68"/>
      <c r="V507" s="68"/>
      <c r="W507" s="68"/>
      <c r="X507" s="68"/>
      <c r="Y507" s="68"/>
      <c r="Z507" s="68"/>
    </row>
    <row r="508">
      <c r="A508" s="68"/>
      <c r="B508" s="68"/>
      <c r="C508" s="68"/>
      <c r="D508" s="68"/>
      <c r="E508" s="68"/>
      <c r="F508" s="68"/>
      <c r="G508" s="68"/>
      <c r="H508" s="68"/>
      <c r="I508" s="68"/>
      <c r="J508" s="68"/>
      <c r="K508" s="68"/>
      <c r="L508" s="68"/>
      <c r="M508" s="68"/>
      <c r="N508" s="68"/>
      <c r="O508" s="68"/>
      <c r="P508" s="68"/>
      <c r="Q508" s="68"/>
      <c r="R508" s="68"/>
      <c r="S508" s="68"/>
      <c r="T508" s="68"/>
      <c r="U508" s="68"/>
      <c r="V508" s="68"/>
      <c r="W508" s="68"/>
      <c r="X508" s="68"/>
      <c r="Y508" s="68"/>
      <c r="Z508" s="68"/>
    </row>
    <row r="509">
      <c r="A509" s="68"/>
      <c r="B509" s="68"/>
      <c r="C509" s="68"/>
      <c r="D509" s="68"/>
      <c r="E509" s="68"/>
      <c r="F509" s="68"/>
      <c r="G509" s="68"/>
      <c r="H509" s="68"/>
      <c r="I509" s="68"/>
      <c r="J509" s="68"/>
      <c r="K509" s="68"/>
      <c r="L509" s="68"/>
      <c r="M509" s="68"/>
      <c r="N509" s="68"/>
      <c r="O509" s="68"/>
      <c r="P509" s="68"/>
      <c r="Q509" s="68"/>
      <c r="R509" s="68"/>
      <c r="S509" s="68"/>
      <c r="T509" s="68"/>
      <c r="U509" s="68"/>
      <c r="V509" s="68"/>
      <c r="W509" s="68"/>
      <c r="X509" s="68"/>
      <c r="Y509" s="68"/>
      <c r="Z509" s="68"/>
    </row>
    <row r="510">
      <c r="A510" s="68"/>
      <c r="B510" s="68"/>
      <c r="C510" s="68"/>
      <c r="D510" s="68"/>
      <c r="E510" s="68"/>
      <c r="F510" s="68"/>
      <c r="G510" s="68"/>
      <c r="H510" s="68"/>
      <c r="I510" s="68"/>
      <c r="J510" s="68"/>
      <c r="K510" s="68"/>
      <c r="L510" s="68"/>
      <c r="M510" s="68"/>
      <c r="N510" s="68"/>
      <c r="O510" s="68"/>
      <c r="P510" s="68"/>
      <c r="Q510" s="68"/>
      <c r="R510" s="68"/>
      <c r="S510" s="68"/>
      <c r="T510" s="68"/>
      <c r="U510" s="68"/>
      <c r="V510" s="68"/>
      <c r="W510" s="68"/>
      <c r="X510" s="68"/>
      <c r="Y510" s="68"/>
      <c r="Z510" s="68"/>
    </row>
    <row r="511">
      <c r="A511" s="68"/>
      <c r="B511" s="68"/>
      <c r="C511" s="68"/>
      <c r="D511" s="68"/>
      <c r="E511" s="68"/>
      <c r="F511" s="68"/>
      <c r="G511" s="68"/>
      <c r="H511" s="68"/>
      <c r="I511" s="68"/>
      <c r="J511" s="68"/>
      <c r="K511" s="68"/>
      <c r="L511" s="68"/>
      <c r="M511" s="68"/>
      <c r="N511" s="68"/>
      <c r="O511" s="68"/>
      <c r="P511" s="68"/>
      <c r="Q511" s="68"/>
      <c r="R511" s="68"/>
      <c r="S511" s="68"/>
      <c r="T511" s="68"/>
      <c r="U511" s="68"/>
      <c r="V511" s="68"/>
      <c r="W511" s="68"/>
      <c r="X511" s="68"/>
      <c r="Y511" s="68"/>
      <c r="Z511" s="68"/>
    </row>
    <row r="512">
      <c r="A512" s="68"/>
      <c r="B512" s="68"/>
      <c r="C512" s="68"/>
      <c r="D512" s="68"/>
      <c r="E512" s="68"/>
      <c r="F512" s="68"/>
      <c r="G512" s="68"/>
      <c r="H512" s="68"/>
      <c r="I512" s="68"/>
      <c r="J512" s="68"/>
      <c r="K512" s="68"/>
      <c r="L512" s="68"/>
      <c r="M512" s="68"/>
      <c r="N512" s="68"/>
      <c r="O512" s="68"/>
      <c r="P512" s="68"/>
      <c r="Q512" s="68"/>
      <c r="R512" s="68"/>
      <c r="S512" s="68"/>
      <c r="T512" s="68"/>
      <c r="U512" s="68"/>
      <c r="V512" s="68"/>
      <c r="W512" s="68"/>
      <c r="X512" s="68"/>
      <c r="Y512" s="68"/>
      <c r="Z512" s="68"/>
    </row>
    <row r="513">
      <c r="A513" s="68"/>
      <c r="B513" s="68"/>
      <c r="C513" s="68"/>
      <c r="D513" s="68"/>
      <c r="E513" s="68"/>
      <c r="F513" s="68"/>
      <c r="G513" s="68"/>
      <c r="H513" s="68"/>
      <c r="I513" s="68"/>
      <c r="J513" s="68"/>
      <c r="K513" s="68"/>
      <c r="L513" s="68"/>
      <c r="M513" s="68"/>
      <c r="N513" s="68"/>
      <c r="O513" s="68"/>
      <c r="P513" s="68"/>
      <c r="Q513" s="68"/>
      <c r="R513" s="68"/>
      <c r="S513" s="68"/>
      <c r="T513" s="68"/>
      <c r="U513" s="68"/>
      <c r="V513" s="68"/>
      <c r="W513" s="68"/>
      <c r="X513" s="68"/>
      <c r="Y513" s="68"/>
      <c r="Z513" s="68"/>
    </row>
    <row r="514">
      <c r="A514" s="68"/>
      <c r="B514" s="68"/>
      <c r="C514" s="68"/>
      <c r="D514" s="68"/>
      <c r="E514" s="68"/>
      <c r="F514" s="68"/>
      <c r="G514" s="68"/>
      <c r="H514" s="68"/>
      <c r="I514" s="68"/>
      <c r="J514" s="68"/>
      <c r="K514" s="68"/>
      <c r="L514" s="68"/>
      <c r="M514" s="68"/>
      <c r="N514" s="68"/>
      <c r="O514" s="68"/>
      <c r="P514" s="68"/>
      <c r="Q514" s="68"/>
      <c r="R514" s="68"/>
      <c r="S514" s="68"/>
      <c r="T514" s="68"/>
      <c r="U514" s="68"/>
      <c r="V514" s="68"/>
      <c r="W514" s="68"/>
      <c r="X514" s="68"/>
      <c r="Y514" s="68"/>
      <c r="Z514" s="68"/>
    </row>
    <row r="515">
      <c r="A515" s="68"/>
      <c r="B515" s="68"/>
      <c r="C515" s="68"/>
      <c r="D515" s="68"/>
      <c r="E515" s="68"/>
      <c r="F515" s="68"/>
      <c r="G515" s="68"/>
      <c r="H515" s="68"/>
      <c r="I515" s="68"/>
      <c r="J515" s="68"/>
      <c r="K515" s="68"/>
      <c r="L515" s="68"/>
      <c r="M515" s="68"/>
      <c r="N515" s="68"/>
      <c r="O515" s="68"/>
      <c r="P515" s="68"/>
      <c r="Q515" s="68"/>
      <c r="R515" s="68"/>
      <c r="S515" s="68"/>
      <c r="T515" s="68"/>
      <c r="U515" s="68"/>
      <c r="V515" s="68"/>
      <c r="W515" s="68"/>
      <c r="X515" s="68"/>
      <c r="Y515" s="68"/>
      <c r="Z515" s="68"/>
    </row>
    <row r="516">
      <c r="A516" s="68"/>
      <c r="B516" s="68"/>
      <c r="C516" s="68"/>
      <c r="D516" s="68"/>
      <c r="E516" s="68"/>
      <c r="F516" s="68"/>
      <c r="G516" s="68"/>
      <c r="H516" s="68"/>
      <c r="I516" s="68"/>
      <c r="J516" s="68"/>
      <c r="K516" s="68"/>
      <c r="L516" s="68"/>
      <c r="M516" s="68"/>
      <c r="N516" s="68"/>
      <c r="O516" s="68"/>
      <c r="P516" s="68"/>
      <c r="Q516" s="68"/>
      <c r="R516" s="68"/>
      <c r="S516" s="68"/>
      <c r="T516" s="68"/>
      <c r="U516" s="68"/>
      <c r="V516" s="68"/>
      <c r="W516" s="68"/>
      <c r="X516" s="68"/>
      <c r="Y516" s="68"/>
      <c r="Z516" s="68"/>
    </row>
    <row r="517">
      <c r="A517" s="68"/>
      <c r="B517" s="68"/>
      <c r="C517" s="68"/>
      <c r="D517" s="68"/>
      <c r="E517" s="68"/>
      <c r="F517" s="68"/>
      <c r="G517" s="68"/>
      <c r="H517" s="68"/>
      <c r="I517" s="68"/>
      <c r="J517" s="68"/>
      <c r="K517" s="68"/>
      <c r="L517" s="68"/>
      <c r="M517" s="68"/>
      <c r="N517" s="68"/>
      <c r="O517" s="68"/>
      <c r="P517" s="68"/>
      <c r="Q517" s="68"/>
      <c r="R517" s="68"/>
      <c r="S517" s="68"/>
      <c r="T517" s="68"/>
      <c r="U517" s="68"/>
      <c r="V517" s="68"/>
      <c r="W517" s="68"/>
      <c r="X517" s="68"/>
      <c r="Y517" s="68"/>
      <c r="Z517" s="68"/>
    </row>
    <row r="518">
      <c r="A518" s="68"/>
      <c r="B518" s="68"/>
      <c r="C518" s="68"/>
      <c r="D518" s="68"/>
      <c r="E518" s="68"/>
      <c r="F518" s="68"/>
      <c r="G518" s="68"/>
      <c r="H518" s="68"/>
      <c r="I518" s="68"/>
      <c r="J518" s="68"/>
      <c r="K518" s="68"/>
      <c r="L518" s="68"/>
      <c r="M518" s="68"/>
      <c r="N518" s="68"/>
      <c r="O518" s="68"/>
      <c r="P518" s="68"/>
      <c r="Q518" s="68"/>
      <c r="R518" s="68"/>
      <c r="S518" s="68"/>
      <c r="T518" s="68"/>
      <c r="U518" s="68"/>
      <c r="V518" s="68"/>
      <c r="W518" s="68"/>
      <c r="X518" s="68"/>
      <c r="Y518" s="68"/>
      <c r="Z518" s="68"/>
    </row>
    <row r="519">
      <c r="A519" s="68"/>
      <c r="B519" s="68"/>
      <c r="C519" s="68"/>
      <c r="D519" s="68"/>
      <c r="E519" s="68"/>
      <c r="F519" s="68"/>
      <c r="G519" s="68"/>
      <c r="H519" s="68"/>
      <c r="I519" s="68"/>
      <c r="J519" s="68"/>
      <c r="K519" s="68"/>
      <c r="L519" s="68"/>
      <c r="M519" s="68"/>
      <c r="N519" s="68"/>
      <c r="O519" s="68"/>
      <c r="P519" s="68"/>
      <c r="Q519" s="68"/>
      <c r="R519" s="68"/>
      <c r="S519" s="68"/>
      <c r="T519" s="68"/>
      <c r="U519" s="68"/>
      <c r="V519" s="68"/>
      <c r="W519" s="68"/>
      <c r="X519" s="68"/>
      <c r="Y519" s="68"/>
      <c r="Z519" s="68"/>
    </row>
    <row r="520">
      <c r="A520" s="68"/>
      <c r="B520" s="68"/>
      <c r="C520" s="68"/>
      <c r="D520" s="68"/>
      <c r="E520" s="68"/>
      <c r="F520" s="68"/>
      <c r="G520" s="68"/>
      <c r="H520" s="68"/>
      <c r="I520" s="68"/>
      <c r="J520" s="68"/>
      <c r="K520" s="68"/>
      <c r="L520" s="68"/>
      <c r="M520" s="68"/>
      <c r="N520" s="68"/>
      <c r="O520" s="68"/>
      <c r="P520" s="68"/>
      <c r="Q520" s="68"/>
      <c r="R520" s="68"/>
      <c r="S520" s="68"/>
      <c r="T520" s="68"/>
      <c r="U520" s="68"/>
      <c r="V520" s="68"/>
      <c r="W520" s="68"/>
      <c r="X520" s="68"/>
      <c r="Y520" s="68"/>
      <c r="Z520" s="68"/>
    </row>
    <row r="521">
      <c r="A521" s="68"/>
      <c r="B521" s="68"/>
      <c r="C521" s="68"/>
      <c r="D521" s="68"/>
      <c r="E521" s="68"/>
      <c r="F521" s="68"/>
      <c r="G521" s="68"/>
      <c r="H521" s="68"/>
      <c r="I521" s="68"/>
      <c r="J521" s="68"/>
      <c r="K521" s="68"/>
      <c r="L521" s="68"/>
      <c r="M521" s="68"/>
      <c r="N521" s="68"/>
      <c r="O521" s="68"/>
      <c r="P521" s="68"/>
      <c r="Q521" s="68"/>
      <c r="R521" s="68"/>
      <c r="S521" s="68"/>
      <c r="T521" s="68"/>
      <c r="U521" s="68"/>
      <c r="V521" s="68"/>
      <c r="W521" s="68"/>
      <c r="X521" s="68"/>
      <c r="Y521" s="68"/>
      <c r="Z521" s="68"/>
    </row>
    <row r="522">
      <c r="A522" s="68"/>
      <c r="B522" s="68"/>
      <c r="C522" s="68"/>
      <c r="D522" s="68"/>
      <c r="E522" s="68"/>
      <c r="F522" s="68"/>
      <c r="G522" s="68"/>
      <c r="H522" s="68"/>
      <c r="I522" s="68"/>
      <c r="J522" s="68"/>
      <c r="K522" s="68"/>
      <c r="L522" s="68"/>
      <c r="M522" s="68"/>
      <c r="N522" s="68"/>
      <c r="O522" s="68"/>
      <c r="P522" s="68"/>
      <c r="Q522" s="68"/>
      <c r="R522" s="68"/>
      <c r="S522" s="68"/>
      <c r="T522" s="68"/>
      <c r="U522" s="68"/>
      <c r="V522" s="68"/>
      <c r="W522" s="68"/>
      <c r="X522" s="68"/>
      <c r="Y522" s="68"/>
      <c r="Z522" s="68"/>
    </row>
    <row r="523">
      <c r="A523" s="68"/>
      <c r="B523" s="68"/>
      <c r="C523" s="68"/>
      <c r="D523" s="68"/>
      <c r="E523" s="68"/>
      <c r="F523" s="68"/>
      <c r="G523" s="68"/>
      <c r="H523" s="68"/>
      <c r="I523" s="68"/>
      <c r="J523" s="68"/>
      <c r="K523" s="68"/>
      <c r="L523" s="68"/>
      <c r="M523" s="68"/>
      <c r="N523" s="68"/>
      <c r="O523" s="68"/>
      <c r="P523" s="68"/>
      <c r="Q523" s="68"/>
      <c r="R523" s="68"/>
      <c r="S523" s="68"/>
      <c r="T523" s="68"/>
      <c r="U523" s="68"/>
      <c r="V523" s="68"/>
      <c r="W523" s="68"/>
      <c r="X523" s="68"/>
      <c r="Y523" s="68"/>
      <c r="Z523" s="68"/>
    </row>
    <row r="524">
      <c r="A524" s="68"/>
      <c r="B524" s="68"/>
      <c r="C524" s="68"/>
      <c r="D524" s="68"/>
      <c r="E524" s="68"/>
      <c r="F524" s="68"/>
      <c r="G524" s="68"/>
      <c r="H524" s="68"/>
      <c r="I524" s="68"/>
      <c r="J524" s="68"/>
      <c r="K524" s="68"/>
      <c r="L524" s="68"/>
      <c r="M524" s="68"/>
      <c r="N524" s="68"/>
      <c r="O524" s="68"/>
      <c r="P524" s="68"/>
      <c r="Q524" s="68"/>
      <c r="R524" s="68"/>
      <c r="S524" s="68"/>
      <c r="T524" s="68"/>
      <c r="U524" s="68"/>
      <c r="V524" s="68"/>
      <c r="W524" s="68"/>
      <c r="X524" s="68"/>
      <c r="Y524" s="68"/>
      <c r="Z524" s="68"/>
    </row>
    <row r="525">
      <c r="A525" s="68"/>
      <c r="B525" s="68"/>
      <c r="C525" s="68"/>
      <c r="D525" s="68"/>
      <c r="E525" s="68"/>
      <c r="F525" s="68"/>
      <c r="G525" s="68"/>
      <c r="H525" s="68"/>
      <c r="I525" s="68"/>
      <c r="J525" s="68"/>
      <c r="K525" s="68"/>
      <c r="L525" s="68"/>
      <c r="M525" s="68"/>
      <c r="N525" s="68"/>
      <c r="O525" s="68"/>
      <c r="P525" s="68"/>
      <c r="Q525" s="68"/>
      <c r="R525" s="68"/>
      <c r="S525" s="68"/>
      <c r="T525" s="68"/>
      <c r="U525" s="68"/>
      <c r="V525" s="68"/>
      <c r="W525" s="68"/>
      <c r="X525" s="68"/>
      <c r="Y525" s="68"/>
      <c r="Z525" s="68"/>
    </row>
    <row r="526">
      <c r="A526" s="68"/>
      <c r="B526" s="68"/>
      <c r="C526" s="68"/>
      <c r="D526" s="68"/>
      <c r="E526" s="68"/>
      <c r="F526" s="68"/>
      <c r="G526" s="68"/>
      <c r="H526" s="68"/>
      <c r="I526" s="68"/>
      <c r="J526" s="68"/>
      <c r="K526" s="68"/>
      <c r="L526" s="68"/>
      <c r="M526" s="68"/>
      <c r="N526" s="68"/>
      <c r="O526" s="68"/>
      <c r="P526" s="68"/>
      <c r="Q526" s="68"/>
      <c r="R526" s="68"/>
      <c r="S526" s="68"/>
      <c r="T526" s="68"/>
      <c r="U526" s="68"/>
      <c r="V526" s="68"/>
      <c r="W526" s="68"/>
      <c r="X526" s="68"/>
      <c r="Y526" s="68"/>
      <c r="Z526" s="68"/>
    </row>
    <row r="527">
      <c r="A527" s="68"/>
      <c r="B527" s="68"/>
      <c r="C527" s="68"/>
      <c r="D527" s="68"/>
      <c r="E527" s="68"/>
      <c r="F527" s="68"/>
      <c r="G527" s="68"/>
      <c r="H527" s="68"/>
      <c r="I527" s="68"/>
      <c r="J527" s="68"/>
      <c r="K527" s="68"/>
      <c r="L527" s="68"/>
      <c r="M527" s="68"/>
      <c r="N527" s="68"/>
      <c r="O527" s="68"/>
      <c r="P527" s="68"/>
      <c r="Q527" s="68"/>
      <c r="R527" s="68"/>
      <c r="S527" s="68"/>
      <c r="T527" s="68"/>
      <c r="U527" s="68"/>
      <c r="V527" s="68"/>
      <c r="W527" s="68"/>
      <c r="X527" s="68"/>
      <c r="Y527" s="68"/>
      <c r="Z527" s="68"/>
    </row>
    <row r="528">
      <c r="A528" s="68"/>
      <c r="B528" s="68"/>
      <c r="C528" s="68"/>
      <c r="D528" s="68"/>
      <c r="E528" s="68"/>
      <c r="F528" s="68"/>
      <c r="G528" s="68"/>
      <c r="H528" s="68"/>
      <c r="I528" s="68"/>
      <c r="J528" s="68"/>
      <c r="K528" s="68"/>
      <c r="L528" s="68"/>
      <c r="M528" s="68"/>
      <c r="N528" s="68"/>
      <c r="O528" s="68"/>
      <c r="P528" s="68"/>
      <c r="Q528" s="68"/>
      <c r="R528" s="68"/>
      <c r="S528" s="68"/>
      <c r="T528" s="68"/>
      <c r="U528" s="68"/>
      <c r="V528" s="68"/>
      <c r="W528" s="68"/>
      <c r="X528" s="68"/>
      <c r="Y528" s="68"/>
      <c r="Z528" s="68"/>
    </row>
    <row r="529">
      <c r="A529" s="68"/>
      <c r="B529" s="68"/>
      <c r="C529" s="68"/>
      <c r="D529" s="68"/>
      <c r="E529" s="68"/>
      <c r="F529" s="68"/>
      <c r="G529" s="68"/>
      <c r="H529" s="68"/>
      <c r="I529" s="68"/>
      <c r="J529" s="68"/>
      <c r="K529" s="68"/>
      <c r="L529" s="68"/>
      <c r="M529" s="68"/>
      <c r="N529" s="68"/>
      <c r="O529" s="68"/>
      <c r="P529" s="68"/>
      <c r="Q529" s="68"/>
      <c r="R529" s="68"/>
      <c r="S529" s="68"/>
      <c r="T529" s="68"/>
      <c r="U529" s="68"/>
      <c r="V529" s="68"/>
      <c r="W529" s="68"/>
      <c r="X529" s="68"/>
      <c r="Y529" s="68"/>
      <c r="Z529" s="68"/>
    </row>
    <row r="530">
      <c r="A530" s="68"/>
      <c r="B530" s="68"/>
      <c r="C530" s="68"/>
      <c r="D530" s="68"/>
      <c r="E530" s="68"/>
      <c r="F530" s="68"/>
      <c r="G530" s="68"/>
      <c r="H530" s="68"/>
      <c r="I530" s="68"/>
      <c r="J530" s="68"/>
      <c r="K530" s="68"/>
      <c r="L530" s="68"/>
      <c r="M530" s="68"/>
      <c r="N530" s="68"/>
      <c r="O530" s="68"/>
      <c r="P530" s="68"/>
      <c r="Q530" s="68"/>
      <c r="R530" s="68"/>
      <c r="S530" s="68"/>
      <c r="T530" s="68"/>
      <c r="U530" s="68"/>
      <c r="V530" s="68"/>
      <c r="W530" s="68"/>
      <c r="X530" s="68"/>
      <c r="Y530" s="68"/>
      <c r="Z530" s="68"/>
    </row>
    <row r="531">
      <c r="A531" s="68"/>
      <c r="B531" s="68"/>
      <c r="C531" s="68"/>
      <c r="D531" s="68"/>
      <c r="E531" s="68"/>
      <c r="F531" s="68"/>
      <c r="G531" s="68"/>
      <c r="H531" s="68"/>
      <c r="I531" s="68"/>
      <c r="J531" s="68"/>
      <c r="K531" s="68"/>
      <c r="L531" s="68"/>
      <c r="M531" s="68"/>
      <c r="N531" s="68"/>
      <c r="O531" s="68"/>
      <c r="P531" s="68"/>
      <c r="Q531" s="68"/>
      <c r="R531" s="68"/>
      <c r="S531" s="68"/>
      <c r="T531" s="68"/>
      <c r="U531" s="68"/>
      <c r="V531" s="68"/>
      <c r="W531" s="68"/>
      <c r="X531" s="68"/>
      <c r="Y531" s="68"/>
      <c r="Z531" s="68"/>
    </row>
    <row r="532">
      <c r="A532" s="68"/>
      <c r="B532" s="68"/>
      <c r="C532" s="68"/>
      <c r="D532" s="68"/>
      <c r="E532" s="68"/>
      <c r="F532" s="68"/>
      <c r="G532" s="68"/>
      <c r="H532" s="68"/>
      <c r="I532" s="68"/>
      <c r="J532" s="68"/>
      <c r="K532" s="68"/>
      <c r="L532" s="68"/>
      <c r="M532" s="68"/>
      <c r="N532" s="68"/>
      <c r="O532" s="68"/>
      <c r="P532" s="68"/>
      <c r="Q532" s="68"/>
      <c r="R532" s="68"/>
      <c r="S532" s="68"/>
      <c r="T532" s="68"/>
      <c r="U532" s="68"/>
      <c r="V532" s="68"/>
      <c r="W532" s="68"/>
      <c r="X532" s="68"/>
      <c r="Y532" s="68"/>
      <c r="Z532" s="68"/>
    </row>
    <row r="533">
      <c r="A533" s="68"/>
      <c r="B533" s="68"/>
      <c r="C533" s="68"/>
      <c r="D533" s="68"/>
      <c r="E533" s="68"/>
      <c r="F533" s="68"/>
      <c r="G533" s="68"/>
      <c r="H533" s="68"/>
      <c r="I533" s="68"/>
      <c r="J533" s="68"/>
      <c r="K533" s="68"/>
      <c r="L533" s="68"/>
      <c r="M533" s="68"/>
      <c r="N533" s="68"/>
      <c r="O533" s="68"/>
      <c r="P533" s="68"/>
      <c r="Q533" s="68"/>
      <c r="R533" s="68"/>
      <c r="S533" s="68"/>
      <c r="T533" s="68"/>
      <c r="U533" s="68"/>
      <c r="V533" s="68"/>
      <c r="W533" s="68"/>
      <c r="X533" s="68"/>
      <c r="Y533" s="68"/>
      <c r="Z533" s="68"/>
    </row>
    <row r="534">
      <c r="A534" s="68"/>
      <c r="B534" s="68"/>
      <c r="C534" s="68"/>
      <c r="D534" s="68"/>
      <c r="E534" s="68"/>
      <c r="F534" s="68"/>
      <c r="G534" s="68"/>
      <c r="H534" s="68"/>
      <c r="I534" s="68"/>
      <c r="J534" s="68"/>
      <c r="K534" s="68"/>
      <c r="L534" s="68"/>
      <c r="M534" s="68"/>
      <c r="N534" s="68"/>
      <c r="O534" s="68"/>
      <c r="P534" s="68"/>
      <c r="Q534" s="68"/>
      <c r="R534" s="68"/>
      <c r="S534" s="68"/>
      <c r="T534" s="68"/>
      <c r="U534" s="68"/>
      <c r="V534" s="68"/>
      <c r="W534" s="68"/>
      <c r="X534" s="68"/>
      <c r="Y534" s="68"/>
      <c r="Z534" s="68"/>
    </row>
    <row r="535">
      <c r="A535" s="68"/>
      <c r="B535" s="68"/>
      <c r="C535" s="68"/>
      <c r="D535" s="68"/>
      <c r="E535" s="68"/>
      <c r="F535" s="68"/>
      <c r="G535" s="68"/>
      <c r="H535" s="68"/>
      <c r="I535" s="68"/>
      <c r="J535" s="68"/>
      <c r="K535" s="68"/>
      <c r="L535" s="68"/>
      <c r="M535" s="68"/>
      <c r="N535" s="68"/>
      <c r="O535" s="68"/>
      <c r="P535" s="68"/>
      <c r="Q535" s="68"/>
      <c r="R535" s="68"/>
      <c r="S535" s="68"/>
      <c r="T535" s="68"/>
      <c r="U535" s="68"/>
      <c r="V535" s="68"/>
      <c r="W535" s="68"/>
      <c r="X535" s="68"/>
      <c r="Y535" s="68"/>
      <c r="Z535" s="68"/>
    </row>
    <row r="536">
      <c r="A536" s="68"/>
      <c r="B536" s="68"/>
      <c r="C536" s="68"/>
      <c r="D536" s="68"/>
      <c r="E536" s="68"/>
      <c r="F536" s="68"/>
      <c r="G536" s="68"/>
      <c r="H536" s="68"/>
      <c r="I536" s="68"/>
      <c r="J536" s="68"/>
      <c r="K536" s="68"/>
      <c r="L536" s="68"/>
      <c r="M536" s="68"/>
      <c r="N536" s="68"/>
      <c r="O536" s="68"/>
      <c r="P536" s="68"/>
      <c r="Q536" s="68"/>
      <c r="R536" s="68"/>
      <c r="S536" s="68"/>
      <c r="T536" s="68"/>
      <c r="U536" s="68"/>
      <c r="V536" s="68"/>
      <c r="W536" s="68"/>
      <c r="X536" s="68"/>
      <c r="Y536" s="68"/>
      <c r="Z536" s="68"/>
    </row>
    <row r="537">
      <c r="A537" s="68"/>
      <c r="B537" s="68"/>
      <c r="C537" s="68"/>
      <c r="D537" s="68"/>
      <c r="E537" s="68"/>
      <c r="F537" s="68"/>
      <c r="G537" s="68"/>
      <c r="H537" s="68"/>
      <c r="I537" s="68"/>
      <c r="J537" s="68"/>
      <c r="K537" s="68"/>
      <c r="L537" s="68"/>
      <c r="M537" s="68"/>
      <c r="N537" s="68"/>
      <c r="O537" s="68"/>
      <c r="P537" s="68"/>
      <c r="Q537" s="68"/>
      <c r="R537" s="68"/>
      <c r="S537" s="68"/>
      <c r="T537" s="68"/>
      <c r="U537" s="68"/>
      <c r="V537" s="68"/>
      <c r="W537" s="68"/>
      <c r="X537" s="68"/>
      <c r="Y537" s="68"/>
      <c r="Z537" s="68"/>
    </row>
    <row r="538">
      <c r="A538" s="68"/>
      <c r="B538" s="68"/>
      <c r="C538" s="68"/>
      <c r="D538" s="68"/>
      <c r="E538" s="68"/>
      <c r="F538" s="68"/>
      <c r="G538" s="68"/>
      <c r="H538" s="68"/>
      <c r="I538" s="68"/>
      <c r="J538" s="68"/>
      <c r="K538" s="68"/>
      <c r="L538" s="68"/>
      <c r="M538" s="68"/>
      <c r="N538" s="68"/>
      <c r="O538" s="68"/>
      <c r="P538" s="68"/>
      <c r="Q538" s="68"/>
      <c r="R538" s="68"/>
      <c r="S538" s="68"/>
      <c r="T538" s="68"/>
      <c r="U538" s="68"/>
      <c r="V538" s="68"/>
      <c r="W538" s="68"/>
      <c r="X538" s="68"/>
      <c r="Y538" s="68"/>
      <c r="Z538" s="68"/>
    </row>
    <row r="539">
      <c r="A539" s="68"/>
      <c r="B539" s="68"/>
      <c r="C539" s="68"/>
      <c r="D539" s="68"/>
      <c r="E539" s="68"/>
      <c r="F539" s="68"/>
      <c r="G539" s="68"/>
      <c r="H539" s="68"/>
      <c r="I539" s="68"/>
      <c r="J539" s="68"/>
      <c r="K539" s="68"/>
      <c r="L539" s="68"/>
      <c r="M539" s="68"/>
      <c r="N539" s="68"/>
      <c r="O539" s="68"/>
      <c r="P539" s="68"/>
      <c r="Q539" s="68"/>
      <c r="R539" s="68"/>
      <c r="S539" s="68"/>
      <c r="T539" s="68"/>
      <c r="U539" s="68"/>
      <c r="V539" s="68"/>
      <c r="W539" s="68"/>
      <c r="X539" s="68"/>
      <c r="Y539" s="68"/>
      <c r="Z539" s="68"/>
    </row>
    <row r="540">
      <c r="A540" s="68"/>
      <c r="B540" s="68"/>
      <c r="C540" s="68"/>
      <c r="D540" s="68"/>
      <c r="E540" s="68"/>
      <c r="F540" s="68"/>
      <c r="G540" s="68"/>
      <c r="H540" s="68"/>
      <c r="I540" s="68"/>
      <c r="J540" s="68"/>
      <c r="K540" s="68"/>
      <c r="L540" s="68"/>
      <c r="M540" s="68"/>
      <c r="N540" s="68"/>
      <c r="O540" s="68"/>
      <c r="P540" s="68"/>
      <c r="Q540" s="68"/>
      <c r="R540" s="68"/>
      <c r="S540" s="68"/>
      <c r="T540" s="68"/>
      <c r="U540" s="68"/>
      <c r="V540" s="68"/>
      <c r="W540" s="68"/>
      <c r="X540" s="68"/>
      <c r="Y540" s="68"/>
      <c r="Z540" s="68"/>
    </row>
    <row r="541">
      <c r="A541" s="68"/>
      <c r="B541" s="68"/>
      <c r="C541" s="68"/>
      <c r="D541" s="68"/>
      <c r="E541" s="68"/>
      <c r="F541" s="68"/>
      <c r="G541" s="68"/>
      <c r="H541" s="68"/>
      <c r="I541" s="68"/>
      <c r="J541" s="68"/>
      <c r="K541" s="68"/>
      <c r="L541" s="68"/>
      <c r="M541" s="68"/>
      <c r="N541" s="68"/>
      <c r="O541" s="68"/>
      <c r="P541" s="68"/>
      <c r="Q541" s="68"/>
      <c r="R541" s="68"/>
      <c r="S541" s="68"/>
      <c r="T541" s="68"/>
      <c r="U541" s="68"/>
      <c r="V541" s="68"/>
      <c r="W541" s="68"/>
      <c r="X541" s="68"/>
      <c r="Y541" s="68"/>
      <c r="Z541" s="68"/>
    </row>
    <row r="542">
      <c r="A542" s="68"/>
      <c r="B542" s="68"/>
      <c r="C542" s="68"/>
      <c r="D542" s="68"/>
      <c r="E542" s="68"/>
      <c r="F542" s="68"/>
      <c r="G542" s="68"/>
      <c r="H542" s="68"/>
      <c r="I542" s="68"/>
      <c r="J542" s="68"/>
      <c r="K542" s="68"/>
      <c r="L542" s="68"/>
      <c r="M542" s="68"/>
      <c r="N542" s="68"/>
      <c r="O542" s="68"/>
      <c r="P542" s="68"/>
      <c r="Q542" s="68"/>
      <c r="R542" s="68"/>
      <c r="S542" s="68"/>
      <c r="T542" s="68"/>
      <c r="U542" s="68"/>
      <c r="V542" s="68"/>
      <c r="W542" s="68"/>
      <c r="X542" s="68"/>
      <c r="Y542" s="68"/>
      <c r="Z542" s="68"/>
    </row>
    <row r="543">
      <c r="A543" s="68"/>
      <c r="B543" s="68"/>
      <c r="C543" s="68"/>
      <c r="D543" s="68"/>
      <c r="E543" s="68"/>
      <c r="F543" s="68"/>
      <c r="G543" s="68"/>
      <c r="H543" s="68"/>
      <c r="I543" s="68"/>
      <c r="J543" s="68"/>
      <c r="K543" s="68"/>
      <c r="L543" s="68"/>
      <c r="M543" s="68"/>
      <c r="N543" s="68"/>
      <c r="O543" s="68"/>
      <c r="P543" s="68"/>
      <c r="Q543" s="68"/>
      <c r="R543" s="68"/>
      <c r="S543" s="68"/>
      <c r="T543" s="68"/>
      <c r="U543" s="68"/>
      <c r="V543" s="68"/>
      <c r="W543" s="68"/>
      <c r="X543" s="68"/>
      <c r="Y543" s="68"/>
      <c r="Z543" s="68"/>
    </row>
    <row r="544">
      <c r="A544" s="68"/>
      <c r="B544" s="68"/>
      <c r="C544" s="68"/>
      <c r="D544" s="68"/>
      <c r="E544" s="68"/>
      <c r="F544" s="68"/>
      <c r="G544" s="68"/>
      <c r="H544" s="68"/>
      <c r="I544" s="68"/>
      <c r="J544" s="68"/>
      <c r="K544" s="68"/>
      <c r="L544" s="68"/>
      <c r="M544" s="68"/>
      <c r="N544" s="68"/>
      <c r="O544" s="68"/>
      <c r="P544" s="68"/>
      <c r="Q544" s="68"/>
      <c r="R544" s="68"/>
      <c r="S544" s="68"/>
      <c r="T544" s="68"/>
      <c r="U544" s="68"/>
      <c r="V544" s="68"/>
      <c r="W544" s="68"/>
      <c r="X544" s="68"/>
      <c r="Y544" s="68"/>
      <c r="Z544" s="68"/>
    </row>
    <row r="545">
      <c r="A545" s="68"/>
      <c r="B545" s="68"/>
      <c r="C545" s="68"/>
      <c r="D545" s="68"/>
      <c r="E545" s="68"/>
      <c r="F545" s="68"/>
      <c r="G545" s="68"/>
      <c r="H545" s="68"/>
      <c r="I545" s="68"/>
      <c r="J545" s="68"/>
      <c r="K545" s="68"/>
      <c r="L545" s="68"/>
      <c r="M545" s="68"/>
      <c r="N545" s="68"/>
      <c r="O545" s="68"/>
      <c r="P545" s="68"/>
      <c r="Q545" s="68"/>
      <c r="R545" s="68"/>
      <c r="S545" s="68"/>
      <c r="T545" s="68"/>
      <c r="U545" s="68"/>
      <c r="V545" s="68"/>
      <c r="W545" s="68"/>
      <c r="X545" s="68"/>
      <c r="Y545" s="68"/>
      <c r="Z545" s="68"/>
    </row>
    <row r="546">
      <c r="A546" s="68"/>
      <c r="B546" s="68"/>
      <c r="C546" s="68"/>
      <c r="D546" s="68"/>
      <c r="E546" s="68"/>
      <c r="F546" s="68"/>
      <c r="G546" s="68"/>
      <c r="H546" s="68"/>
      <c r="I546" s="68"/>
      <c r="J546" s="68"/>
      <c r="K546" s="68"/>
      <c r="L546" s="68"/>
      <c r="M546" s="68"/>
      <c r="N546" s="68"/>
      <c r="O546" s="68"/>
      <c r="P546" s="68"/>
      <c r="Q546" s="68"/>
      <c r="R546" s="68"/>
      <c r="S546" s="68"/>
      <c r="T546" s="68"/>
      <c r="U546" s="68"/>
      <c r="V546" s="68"/>
      <c r="W546" s="68"/>
      <c r="X546" s="68"/>
      <c r="Y546" s="68"/>
      <c r="Z546" s="68"/>
    </row>
    <row r="547">
      <c r="A547" s="68"/>
      <c r="B547" s="68"/>
      <c r="C547" s="68"/>
      <c r="D547" s="68"/>
      <c r="E547" s="68"/>
      <c r="F547" s="68"/>
      <c r="G547" s="68"/>
      <c r="H547" s="68"/>
      <c r="I547" s="68"/>
      <c r="J547" s="68"/>
      <c r="K547" s="68"/>
      <c r="L547" s="68"/>
      <c r="M547" s="68"/>
      <c r="N547" s="68"/>
      <c r="O547" s="68"/>
      <c r="P547" s="68"/>
      <c r="Q547" s="68"/>
      <c r="R547" s="68"/>
      <c r="S547" s="68"/>
      <c r="T547" s="68"/>
      <c r="U547" s="68"/>
      <c r="V547" s="68"/>
      <c r="W547" s="68"/>
      <c r="X547" s="68"/>
      <c r="Y547" s="68"/>
      <c r="Z547" s="68"/>
    </row>
    <row r="548">
      <c r="A548" s="68"/>
      <c r="B548" s="68"/>
      <c r="C548" s="68"/>
      <c r="D548" s="68"/>
      <c r="E548" s="68"/>
      <c r="F548" s="68"/>
      <c r="G548" s="68"/>
      <c r="H548" s="68"/>
      <c r="I548" s="68"/>
      <c r="J548" s="68"/>
      <c r="K548" s="68"/>
      <c r="L548" s="68"/>
      <c r="M548" s="68"/>
      <c r="N548" s="68"/>
      <c r="O548" s="68"/>
      <c r="P548" s="68"/>
      <c r="Q548" s="68"/>
      <c r="R548" s="68"/>
      <c r="S548" s="68"/>
      <c r="T548" s="68"/>
      <c r="U548" s="68"/>
      <c r="V548" s="68"/>
      <c r="W548" s="68"/>
      <c r="X548" s="68"/>
      <c r="Y548" s="68"/>
      <c r="Z548" s="68"/>
    </row>
    <row r="549">
      <c r="A549" s="68"/>
      <c r="B549" s="68"/>
      <c r="C549" s="68"/>
      <c r="D549" s="68"/>
      <c r="E549" s="68"/>
      <c r="F549" s="68"/>
      <c r="G549" s="68"/>
      <c r="H549" s="68"/>
      <c r="I549" s="68"/>
      <c r="J549" s="68"/>
      <c r="K549" s="68"/>
      <c r="L549" s="68"/>
      <c r="M549" s="68"/>
      <c r="N549" s="68"/>
      <c r="O549" s="68"/>
      <c r="P549" s="68"/>
      <c r="Q549" s="68"/>
      <c r="R549" s="68"/>
      <c r="S549" s="68"/>
      <c r="T549" s="68"/>
      <c r="U549" s="68"/>
      <c r="V549" s="68"/>
      <c r="W549" s="68"/>
      <c r="X549" s="68"/>
      <c r="Y549" s="68"/>
      <c r="Z549" s="68"/>
    </row>
    <row r="550">
      <c r="A550" s="68"/>
      <c r="B550" s="68"/>
      <c r="C550" s="68"/>
      <c r="D550" s="68"/>
      <c r="E550" s="68"/>
      <c r="F550" s="68"/>
      <c r="G550" s="68"/>
      <c r="H550" s="68"/>
      <c r="I550" s="68"/>
      <c r="J550" s="68"/>
      <c r="K550" s="68"/>
      <c r="L550" s="68"/>
      <c r="M550" s="68"/>
      <c r="N550" s="68"/>
      <c r="O550" s="68"/>
      <c r="P550" s="68"/>
      <c r="Q550" s="68"/>
      <c r="R550" s="68"/>
      <c r="S550" s="68"/>
      <c r="T550" s="68"/>
      <c r="U550" s="68"/>
      <c r="V550" s="68"/>
      <c r="W550" s="68"/>
      <c r="X550" s="68"/>
      <c r="Y550" s="68"/>
      <c r="Z550" s="68"/>
    </row>
    <row r="551">
      <c r="A551" s="68"/>
      <c r="B551" s="68"/>
      <c r="C551" s="68"/>
      <c r="D551" s="68"/>
      <c r="E551" s="68"/>
      <c r="F551" s="68"/>
      <c r="G551" s="68"/>
      <c r="H551" s="68"/>
      <c r="I551" s="68"/>
      <c r="J551" s="68"/>
      <c r="K551" s="68"/>
      <c r="L551" s="68"/>
      <c r="M551" s="68"/>
      <c r="N551" s="68"/>
      <c r="O551" s="68"/>
      <c r="P551" s="68"/>
      <c r="Q551" s="68"/>
      <c r="R551" s="68"/>
      <c r="S551" s="68"/>
      <c r="T551" s="68"/>
      <c r="U551" s="68"/>
      <c r="V551" s="68"/>
      <c r="W551" s="68"/>
      <c r="X551" s="68"/>
      <c r="Y551" s="68"/>
      <c r="Z551" s="68"/>
    </row>
    <row r="552">
      <c r="A552" s="68"/>
      <c r="B552" s="68"/>
      <c r="C552" s="68"/>
      <c r="D552" s="68"/>
      <c r="E552" s="68"/>
      <c r="F552" s="68"/>
      <c r="G552" s="68"/>
      <c r="H552" s="68"/>
      <c r="I552" s="68"/>
      <c r="J552" s="68"/>
      <c r="K552" s="68"/>
      <c r="L552" s="68"/>
      <c r="M552" s="68"/>
      <c r="N552" s="68"/>
      <c r="O552" s="68"/>
      <c r="P552" s="68"/>
      <c r="Q552" s="68"/>
      <c r="R552" s="68"/>
      <c r="S552" s="68"/>
      <c r="T552" s="68"/>
      <c r="U552" s="68"/>
      <c r="V552" s="68"/>
      <c r="W552" s="68"/>
      <c r="X552" s="68"/>
      <c r="Y552" s="68"/>
      <c r="Z552" s="68"/>
    </row>
    <row r="553">
      <c r="A553" s="68"/>
      <c r="B553" s="68"/>
      <c r="C553" s="68"/>
      <c r="D553" s="68"/>
      <c r="E553" s="68"/>
      <c r="F553" s="68"/>
      <c r="G553" s="68"/>
      <c r="H553" s="68"/>
      <c r="I553" s="68"/>
      <c r="J553" s="68"/>
      <c r="K553" s="68"/>
      <c r="L553" s="68"/>
      <c r="M553" s="68"/>
      <c r="N553" s="68"/>
      <c r="O553" s="68"/>
      <c r="P553" s="68"/>
      <c r="Q553" s="68"/>
      <c r="R553" s="68"/>
      <c r="S553" s="68"/>
      <c r="T553" s="68"/>
      <c r="U553" s="68"/>
      <c r="V553" s="68"/>
      <c r="W553" s="68"/>
      <c r="X553" s="68"/>
      <c r="Y553" s="68"/>
      <c r="Z553" s="68"/>
    </row>
    <row r="554">
      <c r="A554" s="68"/>
      <c r="B554" s="68"/>
      <c r="C554" s="68"/>
      <c r="D554" s="68"/>
      <c r="E554" s="68"/>
      <c r="F554" s="68"/>
      <c r="G554" s="68"/>
      <c r="H554" s="68"/>
      <c r="I554" s="68"/>
      <c r="J554" s="68"/>
      <c r="K554" s="68"/>
      <c r="L554" s="68"/>
      <c r="M554" s="68"/>
      <c r="N554" s="68"/>
      <c r="O554" s="68"/>
      <c r="P554" s="68"/>
      <c r="Q554" s="68"/>
      <c r="R554" s="68"/>
      <c r="S554" s="68"/>
      <c r="T554" s="68"/>
      <c r="U554" s="68"/>
      <c r="V554" s="68"/>
      <c r="W554" s="68"/>
      <c r="X554" s="68"/>
      <c r="Y554" s="68"/>
      <c r="Z554" s="68"/>
    </row>
    <row r="555">
      <c r="A555" s="68"/>
      <c r="B555" s="68"/>
      <c r="C555" s="68"/>
      <c r="D555" s="68"/>
      <c r="E555" s="68"/>
      <c r="F555" s="68"/>
      <c r="G555" s="68"/>
      <c r="H555" s="68"/>
      <c r="I555" s="68"/>
      <c r="J555" s="68"/>
      <c r="K555" s="68"/>
      <c r="L555" s="68"/>
      <c r="M555" s="68"/>
      <c r="N555" s="68"/>
      <c r="O555" s="68"/>
      <c r="P555" s="68"/>
      <c r="Q555" s="68"/>
      <c r="R555" s="68"/>
      <c r="S555" s="68"/>
      <c r="T555" s="68"/>
      <c r="U555" s="68"/>
      <c r="V555" s="68"/>
      <c r="W555" s="68"/>
      <c r="X555" s="68"/>
      <c r="Y555" s="68"/>
      <c r="Z555" s="68"/>
    </row>
    <row r="556">
      <c r="A556" s="68"/>
      <c r="B556" s="68"/>
      <c r="C556" s="68"/>
      <c r="D556" s="68"/>
      <c r="E556" s="68"/>
      <c r="F556" s="68"/>
      <c r="G556" s="68"/>
      <c r="H556" s="68"/>
      <c r="I556" s="68"/>
      <c r="J556" s="68"/>
      <c r="K556" s="68"/>
      <c r="L556" s="68"/>
      <c r="M556" s="68"/>
      <c r="N556" s="68"/>
      <c r="O556" s="68"/>
      <c r="P556" s="68"/>
      <c r="Q556" s="68"/>
      <c r="R556" s="68"/>
      <c r="S556" s="68"/>
      <c r="T556" s="68"/>
      <c r="U556" s="68"/>
      <c r="V556" s="68"/>
      <c r="W556" s="68"/>
      <c r="X556" s="68"/>
      <c r="Y556" s="68"/>
      <c r="Z556" s="68"/>
    </row>
    <row r="557">
      <c r="A557" s="68"/>
      <c r="B557" s="68"/>
      <c r="C557" s="68"/>
      <c r="D557" s="68"/>
      <c r="E557" s="68"/>
      <c r="F557" s="68"/>
      <c r="G557" s="68"/>
      <c r="H557" s="68"/>
      <c r="I557" s="68"/>
      <c r="J557" s="68"/>
      <c r="K557" s="68"/>
      <c r="L557" s="68"/>
      <c r="M557" s="68"/>
      <c r="N557" s="68"/>
      <c r="O557" s="68"/>
      <c r="P557" s="68"/>
      <c r="Q557" s="68"/>
      <c r="R557" s="68"/>
      <c r="S557" s="68"/>
      <c r="T557" s="68"/>
      <c r="U557" s="68"/>
      <c r="V557" s="68"/>
      <c r="W557" s="68"/>
      <c r="X557" s="68"/>
      <c r="Y557" s="68"/>
      <c r="Z557" s="68"/>
    </row>
    <row r="558">
      <c r="A558" s="68"/>
      <c r="B558" s="68"/>
      <c r="C558" s="68"/>
      <c r="D558" s="68"/>
      <c r="E558" s="68"/>
      <c r="F558" s="68"/>
      <c r="G558" s="68"/>
      <c r="H558" s="68"/>
      <c r="I558" s="68"/>
      <c r="J558" s="68"/>
      <c r="K558" s="68"/>
      <c r="L558" s="68"/>
      <c r="M558" s="68"/>
      <c r="N558" s="68"/>
      <c r="O558" s="68"/>
      <c r="P558" s="68"/>
      <c r="Q558" s="68"/>
      <c r="R558" s="68"/>
      <c r="S558" s="68"/>
      <c r="T558" s="68"/>
      <c r="U558" s="68"/>
      <c r="V558" s="68"/>
      <c r="W558" s="68"/>
      <c r="X558" s="68"/>
      <c r="Y558" s="68"/>
      <c r="Z558" s="68"/>
    </row>
    <row r="559">
      <c r="A559" s="68"/>
      <c r="B559" s="68"/>
      <c r="C559" s="68"/>
      <c r="D559" s="68"/>
      <c r="E559" s="68"/>
      <c r="F559" s="68"/>
      <c r="G559" s="68"/>
      <c r="H559" s="68"/>
      <c r="I559" s="68"/>
      <c r="J559" s="68"/>
      <c r="K559" s="68"/>
      <c r="L559" s="68"/>
      <c r="M559" s="68"/>
      <c r="N559" s="68"/>
      <c r="O559" s="68"/>
      <c r="P559" s="68"/>
      <c r="Q559" s="68"/>
      <c r="R559" s="68"/>
      <c r="S559" s="68"/>
      <c r="T559" s="68"/>
      <c r="U559" s="68"/>
      <c r="V559" s="68"/>
      <c r="W559" s="68"/>
      <c r="X559" s="68"/>
      <c r="Y559" s="68"/>
      <c r="Z559" s="68"/>
    </row>
    <row r="560">
      <c r="A560" s="68"/>
      <c r="B560" s="68"/>
      <c r="C560" s="68"/>
      <c r="D560" s="68"/>
      <c r="E560" s="68"/>
      <c r="F560" s="68"/>
      <c r="G560" s="68"/>
      <c r="H560" s="68"/>
      <c r="I560" s="68"/>
      <c r="J560" s="68"/>
      <c r="K560" s="68"/>
      <c r="L560" s="68"/>
      <c r="M560" s="68"/>
      <c r="N560" s="68"/>
      <c r="O560" s="68"/>
      <c r="P560" s="68"/>
      <c r="Q560" s="68"/>
      <c r="R560" s="68"/>
      <c r="S560" s="68"/>
      <c r="T560" s="68"/>
      <c r="U560" s="68"/>
      <c r="V560" s="68"/>
      <c r="W560" s="68"/>
      <c r="X560" s="68"/>
      <c r="Y560" s="68"/>
      <c r="Z560" s="68"/>
    </row>
    <row r="561">
      <c r="A561" s="68"/>
      <c r="B561" s="68"/>
      <c r="C561" s="68"/>
      <c r="D561" s="68"/>
      <c r="E561" s="68"/>
      <c r="F561" s="68"/>
      <c r="G561" s="68"/>
      <c r="H561" s="68"/>
      <c r="I561" s="68"/>
      <c r="J561" s="68"/>
      <c r="K561" s="68"/>
      <c r="L561" s="68"/>
      <c r="M561" s="68"/>
      <c r="N561" s="68"/>
      <c r="O561" s="68"/>
      <c r="P561" s="68"/>
      <c r="Q561" s="68"/>
      <c r="R561" s="68"/>
      <c r="S561" s="68"/>
      <c r="T561" s="68"/>
      <c r="U561" s="68"/>
      <c r="V561" s="68"/>
      <c r="W561" s="68"/>
      <c r="X561" s="68"/>
      <c r="Y561" s="68"/>
      <c r="Z561" s="68"/>
    </row>
    <row r="562">
      <c r="A562" s="68"/>
      <c r="B562" s="68"/>
      <c r="C562" s="68"/>
      <c r="D562" s="68"/>
      <c r="E562" s="68"/>
      <c r="F562" s="68"/>
      <c r="G562" s="68"/>
      <c r="H562" s="68"/>
      <c r="I562" s="68"/>
      <c r="J562" s="68"/>
      <c r="K562" s="68"/>
      <c r="L562" s="68"/>
      <c r="M562" s="68"/>
      <c r="N562" s="68"/>
      <c r="O562" s="68"/>
      <c r="P562" s="68"/>
      <c r="Q562" s="68"/>
      <c r="R562" s="68"/>
      <c r="S562" s="68"/>
      <c r="T562" s="68"/>
      <c r="U562" s="68"/>
      <c r="V562" s="68"/>
      <c r="W562" s="68"/>
      <c r="X562" s="68"/>
      <c r="Y562" s="68"/>
      <c r="Z562" s="68"/>
    </row>
    <row r="563">
      <c r="A563" s="68"/>
      <c r="B563" s="68"/>
      <c r="C563" s="68"/>
      <c r="D563" s="68"/>
      <c r="E563" s="68"/>
      <c r="F563" s="68"/>
      <c r="G563" s="68"/>
      <c r="H563" s="68"/>
      <c r="I563" s="68"/>
      <c r="J563" s="68"/>
      <c r="K563" s="68"/>
      <c r="L563" s="68"/>
      <c r="M563" s="68"/>
      <c r="N563" s="68"/>
      <c r="O563" s="68"/>
      <c r="P563" s="68"/>
      <c r="Q563" s="68"/>
      <c r="R563" s="68"/>
      <c r="S563" s="68"/>
      <c r="T563" s="68"/>
      <c r="U563" s="68"/>
      <c r="V563" s="68"/>
      <c r="W563" s="68"/>
      <c r="X563" s="68"/>
      <c r="Y563" s="68"/>
      <c r="Z563" s="68"/>
    </row>
    <row r="564">
      <c r="A564" s="68"/>
      <c r="B564" s="68"/>
      <c r="C564" s="68"/>
      <c r="D564" s="68"/>
      <c r="E564" s="68"/>
      <c r="F564" s="68"/>
      <c r="G564" s="68"/>
      <c r="H564" s="68"/>
      <c r="I564" s="68"/>
      <c r="J564" s="68"/>
      <c r="K564" s="68"/>
      <c r="L564" s="68"/>
      <c r="M564" s="68"/>
      <c r="N564" s="68"/>
      <c r="O564" s="68"/>
      <c r="P564" s="68"/>
      <c r="Q564" s="68"/>
      <c r="R564" s="68"/>
      <c r="S564" s="68"/>
      <c r="T564" s="68"/>
      <c r="U564" s="68"/>
      <c r="V564" s="68"/>
      <c r="W564" s="68"/>
      <c r="X564" s="68"/>
      <c r="Y564" s="68"/>
      <c r="Z564" s="68"/>
    </row>
    <row r="565">
      <c r="A565" s="68"/>
      <c r="B565" s="68"/>
      <c r="C565" s="68"/>
      <c r="D565" s="68"/>
      <c r="E565" s="68"/>
      <c r="F565" s="68"/>
      <c r="G565" s="68"/>
      <c r="H565" s="68"/>
      <c r="I565" s="68"/>
      <c r="J565" s="68"/>
      <c r="K565" s="68"/>
      <c r="L565" s="68"/>
      <c r="M565" s="68"/>
      <c r="N565" s="68"/>
      <c r="O565" s="68"/>
      <c r="P565" s="68"/>
      <c r="Q565" s="68"/>
      <c r="R565" s="68"/>
      <c r="S565" s="68"/>
      <c r="T565" s="68"/>
      <c r="U565" s="68"/>
      <c r="V565" s="68"/>
      <c r="W565" s="68"/>
      <c r="X565" s="68"/>
      <c r="Y565" s="68"/>
      <c r="Z565" s="68"/>
    </row>
    <row r="566">
      <c r="A566" s="68"/>
      <c r="B566" s="68"/>
      <c r="C566" s="68"/>
      <c r="D566" s="68"/>
      <c r="E566" s="68"/>
      <c r="F566" s="68"/>
      <c r="G566" s="68"/>
      <c r="H566" s="68"/>
      <c r="I566" s="68"/>
      <c r="J566" s="68"/>
      <c r="K566" s="68"/>
      <c r="L566" s="68"/>
      <c r="M566" s="68"/>
      <c r="N566" s="68"/>
      <c r="O566" s="68"/>
      <c r="P566" s="68"/>
      <c r="Q566" s="68"/>
      <c r="R566" s="68"/>
      <c r="S566" s="68"/>
      <c r="T566" s="68"/>
      <c r="U566" s="68"/>
      <c r="V566" s="68"/>
      <c r="W566" s="68"/>
      <c r="X566" s="68"/>
      <c r="Y566" s="68"/>
      <c r="Z566" s="68"/>
    </row>
    <row r="567">
      <c r="A567" s="68"/>
      <c r="B567" s="68"/>
      <c r="C567" s="68"/>
      <c r="D567" s="68"/>
      <c r="E567" s="68"/>
      <c r="F567" s="68"/>
      <c r="G567" s="68"/>
      <c r="H567" s="68"/>
      <c r="I567" s="68"/>
      <c r="J567" s="68"/>
      <c r="K567" s="68"/>
      <c r="L567" s="68"/>
      <c r="M567" s="68"/>
      <c r="N567" s="68"/>
      <c r="O567" s="68"/>
      <c r="P567" s="68"/>
      <c r="Q567" s="68"/>
      <c r="R567" s="68"/>
      <c r="S567" s="68"/>
      <c r="T567" s="68"/>
      <c r="U567" s="68"/>
      <c r="V567" s="68"/>
      <c r="W567" s="68"/>
      <c r="X567" s="68"/>
      <c r="Y567" s="68"/>
      <c r="Z567" s="68"/>
    </row>
    <row r="568">
      <c r="A568" s="68"/>
      <c r="B568" s="68"/>
      <c r="C568" s="68"/>
      <c r="D568" s="68"/>
      <c r="E568" s="68"/>
      <c r="F568" s="68"/>
      <c r="G568" s="68"/>
      <c r="H568" s="68"/>
      <c r="I568" s="68"/>
      <c r="J568" s="68"/>
      <c r="K568" s="68"/>
      <c r="L568" s="68"/>
      <c r="M568" s="68"/>
      <c r="N568" s="68"/>
      <c r="O568" s="68"/>
      <c r="P568" s="68"/>
      <c r="Q568" s="68"/>
      <c r="R568" s="68"/>
      <c r="S568" s="68"/>
      <c r="T568" s="68"/>
      <c r="U568" s="68"/>
      <c r="V568" s="68"/>
      <c r="W568" s="68"/>
      <c r="X568" s="68"/>
      <c r="Y568" s="68"/>
      <c r="Z568" s="68"/>
    </row>
    <row r="569">
      <c r="A569" s="68"/>
      <c r="B569" s="68"/>
      <c r="C569" s="68"/>
      <c r="D569" s="68"/>
      <c r="E569" s="68"/>
      <c r="F569" s="68"/>
      <c r="G569" s="68"/>
      <c r="H569" s="68"/>
      <c r="I569" s="68"/>
      <c r="J569" s="68"/>
      <c r="K569" s="68"/>
      <c r="L569" s="68"/>
      <c r="M569" s="68"/>
      <c r="N569" s="68"/>
      <c r="O569" s="68"/>
      <c r="P569" s="68"/>
      <c r="Q569" s="68"/>
      <c r="R569" s="68"/>
      <c r="S569" s="68"/>
      <c r="T569" s="68"/>
      <c r="U569" s="68"/>
      <c r="V569" s="68"/>
      <c r="W569" s="68"/>
      <c r="X569" s="68"/>
      <c r="Y569" s="68"/>
      <c r="Z569" s="68"/>
    </row>
    <row r="570">
      <c r="A570" s="68"/>
      <c r="B570" s="68"/>
      <c r="C570" s="68"/>
      <c r="D570" s="68"/>
      <c r="E570" s="68"/>
      <c r="F570" s="68"/>
      <c r="G570" s="68"/>
      <c r="H570" s="68"/>
      <c r="I570" s="68"/>
      <c r="J570" s="68"/>
      <c r="K570" s="68"/>
      <c r="L570" s="68"/>
      <c r="M570" s="68"/>
      <c r="N570" s="68"/>
      <c r="O570" s="68"/>
      <c r="P570" s="68"/>
      <c r="Q570" s="68"/>
      <c r="R570" s="68"/>
      <c r="S570" s="68"/>
      <c r="T570" s="68"/>
      <c r="U570" s="68"/>
      <c r="V570" s="68"/>
      <c r="W570" s="68"/>
      <c r="X570" s="68"/>
      <c r="Y570" s="68"/>
      <c r="Z570" s="68"/>
    </row>
    <row r="571">
      <c r="A571" s="68"/>
      <c r="B571" s="68"/>
      <c r="C571" s="68"/>
      <c r="D571" s="68"/>
      <c r="E571" s="68"/>
      <c r="F571" s="68"/>
      <c r="G571" s="68"/>
      <c r="H571" s="68"/>
      <c r="I571" s="68"/>
      <c r="J571" s="68"/>
      <c r="K571" s="68"/>
      <c r="L571" s="68"/>
      <c r="M571" s="68"/>
      <c r="N571" s="68"/>
      <c r="O571" s="68"/>
      <c r="P571" s="68"/>
      <c r="Q571" s="68"/>
      <c r="R571" s="68"/>
      <c r="S571" s="68"/>
      <c r="T571" s="68"/>
      <c r="U571" s="68"/>
      <c r="V571" s="68"/>
      <c r="W571" s="68"/>
      <c r="X571" s="68"/>
      <c r="Y571" s="68"/>
      <c r="Z571" s="68"/>
    </row>
    <row r="572">
      <c r="A572" s="68"/>
      <c r="B572" s="68"/>
      <c r="C572" s="68"/>
      <c r="D572" s="68"/>
      <c r="E572" s="68"/>
      <c r="F572" s="68"/>
      <c r="G572" s="68"/>
      <c r="H572" s="68"/>
      <c r="I572" s="68"/>
      <c r="J572" s="68"/>
      <c r="K572" s="68"/>
      <c r="L572" s="68"/>
      <c r="M572" s="68"/>
      <c r="N572" s="68"/>
      <c r="O572" s="68"/>
      <c r="P572" s="68"/>
      <c r="Q572" s="68"/>
      <c r="R572" s="68"/>
      <c r="S572" s="68"/>
      <c r="T572" s="68"/>
      <c r="U572" s="68"/>
      <c r="V572" s="68"/>
      <c r="W572" s="68"/>
      <c r="X572" s="68"/>
      <c r="Y572" s="68"/>
      <c r="Z572" s="68"/>
    </row>
    <row r="573">
      <c r="A573" s="68"/>
      <c r="B573" s="68"/>
      <c r="C573" s="68"/>
      <c r="D573" s="68"/>
      <c r="E573" s="68"/>
      <c r="F573" s="68"/>
      <c r="G573" s="68"/>
      <c r="H573" s="68"/>
      <c r="I573" s="68"/>
      <c r="J573" s="68"/>
      <c r="K573" s="68"/>
      <c r="L573" s="68"/>
      <c r="M573" s="68"/>
      <c r="N573" s="68"/>
      <c r="O573" s="68"/>
      <c r="P573" s="68"/>
      <c r="Q573" s="68"/>
      <c r="R573" s="68"/>
      <c r="S573" s="68"/>
      <c r="T573" s="68"/>
      <c r="U573" s="68"/>
      <c r="V573" s="68"/>
      <c r="W573" s="68"/>
      <c r="X573" s="68"/>
      <c r="Y573" s="68"/>
      <c r="Z573" s="68"/>
    </row>
    <row r="574">
      <c r="A574" s="68"/>
      <c r="B574" s="68"/>
      <c r="C574" s="68"/>
      <c r="D574" s="68"/>
      <c r="E574" s="68"/>
      <c r="F574" s="68"/>
      <c r="G574" s="68"/>
      <c r="H574" s="68"/>
      <c r="I574" s="68"/>
      <c r="J574" s="68"/>
      <c r="K574" s="68"/>
      <c r="L574" s="68"/>
      <c r="M574" s="68"/>
      <c r="N574" s="68"/>
      <c r="O574" s="68"/>
      <c r="P574" s="68"/>
      <c r="Q574" s="68"/>
      <c r="R574" s="68"/>
      <c r="S574" s="68"/>
      <c r="T574" s="68"/>
      <c r="U574" s="68"/>
      <c r="V574" s="68"/>
      <c r="W574" s="68"/>
      <c r="X574" s="68"/>
      <c r="Y574" s="68"/>
      <c r="Z574" s="68"/>
    </row>
    <row r="575">
      <c r="A575" s="68"/>
      <c r="B575" s="68"/>
      <c r="C575" s="68"/>
      <c r="D575" s="68"/>
      <c r="E575" s="68"/>
      <c r="F575" s="68"/>
      <c r="G575" s="68"/>
      <c r="H575" s="68"/>
      <c r="I575" s="68"/>
      <c r="J575" s="68"/>
      <c r="K575" s="68"/>
      <c r="L575" s="68"/>
      <c r="M575" s="68"/>
      <c r="N575" s="68"/>
      <c r="O575" s="68"/>
      <c r="P575" s="68"/>
      <c r="Q575" s="68"/>
      <c r="R575" s="68"/>
      <c r="S575" s="68"/>
      <c r="T575" s="68"/>
      <c r="U575" s="68"/>
      <c r="V575" s="68"/>
      <c r="W575" s="68"/>
      <c r="X575" s="68"/>
      <c r="Y575" s="68"/>
      <c r="Z575" s="68"/>
    </row>
    <row r="576">
      <c r="A576" s="68"/>
      <c r="B576" s="68"/>
      <c r="C576" s="68"/>
      <c r="D576" s="68"/>
      <c r="E576" s="68"/>
      <c r="F576" s="68"/>
      <c r="G576" s="68"/>
      <c r="H576" s="68"/>
      <c r="I576" s="68"/>
      <c r="J576" s="68"/>
      <c r="K576" s="68"/>
      <c r="L576" s="68"/>
      <c r="M576" s="68"/>
      <c r="N576" s="68"/>
      <c r="O576" s="68"/>
      <c r="P576" s="68"/>
      <c r="Q576" s="68"/>
      <c r="R576" s="68"/>
      <c r="S576" s="68"/>
      <c r="T576" s="68"/>
      <c r="U576" s="68"/>
      <c r="V576" s="68"/>
      <c r="W576" s="68"/>
      <c r="X576" s="68"/>
      <c r="Y576" s="68"/>
      <c r="Z576" s="68"/>
    </row>
    <row r="577">
      <c r="A577" s="68"/>
      <c r="B577" s="68"/>
      <c r="C577" s="68"/>
      <c r="D577" s="68"/>
      <c r="E577" s="68"/>
      <c r="F577" s="68"/>
      <c r="G577" s="68"/>
      <c r="H577" s="68"/>
      <c r="I577" s="68"/>
      <c r="J577" s="68"/>
      <c r="K577" s="68"/>
      <c r="L577" s="68"/>
      <c r="M577" s="68"/>
      <c r="N577" s="68"/>
      <c r="O577" s="68"/>
      <c r="P577" s="68"/>
      <c r="Q577" s="68"/>
      <c r="R577" s="68"/>
      <c r="S577" s="68"/>
      <c r="T577" s="68"/>
      <c r="U577" s="68"/>
      <c r="V577" s="68"/>
      <c r="W577" s="68"/>
      <c r="X577" s="68"/>
      <c r="Y577" s="68"/>
      <c r="Z577" s="68"/>
    </row>
    <row r="578">
      <c r="A578" s="68"/>
      <c r="B578" s="68"/>
      <c r="C578" s="68"/>
      <c r="D578" s="68"/>
      <c r="E578" s="68"/>
      <c r="F578" s="68"/>
      <c r="G578" s="68"/>
      <c r="H578" s="68"/>
      <c r="I578" s="68"/>
      <c r="J578" s="68"/>
      <c r="K578" s="68"/>
      <c r="L578" s="68"/>
      <c r="M578" s="68"/>
      <c r="N578" s="68"/>
      <c r="O578" s="68"/>
      <c r="P578" s="68"/>
      <c r="Q578" s="68"/>
      <c r="R578" s="68"/>
      <c r="S578" s="68"/>
      <c r="T578" s="68"/>
      <c r="U578" s="68"/>
      <c r="V578" s="68"/>
      <c r="W578" s="68"/>
      <c r="X578" s="68"/>
      <c r="Y578" s="68"/>
      <c r="Z578" s="68"/>
    </row>
    <row r="579">
      <c r="A579" s="68"/>
      <c r="B579" s="68"/>
      <c r="C579" s="68"/>
      <c r="D579" s="68"/>
      <c r="E579" s="68"/>
      <c r="F579" s="68"/>
      <c r="G579" s="68"/>
      <c r="H579" s="68"/>
      <c r="I579" s="68"/>
      <c r="J579" s="68"/>
      <c r="K579" s="68"/>
      <c r="L579" s="68"/>
      <c r="M579" s="68"/>
      <c r="N579" s="68"/>
      <c r="O579" s="68"/>
      <c r="P579" s="68"/>
      <c r="Q579" s="68"/>
      <c r="R579" s="68"/>
      <c r="S579" s="68"/>
      <c r="T579" s="68"/>
      <c r="U579" s="68"/>
      <c r="V579" s="68"/>
      <c r="W579" s="68"/>
      <c r="X579" s="68"/>
      <c r="Y579" s="68"/>
      <c r="Z579" s="68"/>
    </row>
    <row r="580">
      <c r="A580" s="68"/>
      <c r="B580" s="68"/>
      <c r="C580" s="68"/>
      <c r="D580" s="68"/>
      <c r="E580" s="68"/>
      <c r="F580" s="68"/>
      <c r="G580" s="68"/>
      <c r="H580" s="68"/>
      <c r="I580" s="68"/>
      <c r="J580" s="68"/>
      <c r="K580" s="68"/>
      <c r="L580" s="68"/>
      <c r="M580" s="68"/>
      <c r="N580" s="68"/>
      <c r="O580" s="68"/>
      <c r="P580" s="68"/>
      <c r="Q580" s="68"/>
      <c r="R580" s="68"/>
      <c r="S580" s="68"/>
      <c r="T580" s="68"/>
      <c r="U580" s="68"/>
      <c r="V580" s="68"/>
      <c r="W580" s="68"/>
      <c r="X580" s="68"/>
      <c r="Y580" s="68"/>
      <c r="Z580" s="68"/>
    </row>
    <row r="581">
      <c r="A581" s="68"/>
      <c r="B581" s="68"/>
      <c r="C581" s="68"/>
      <c r="D581" s="68"/>
      <c r="E581" s="68"/>
      <c r="F581" s="68"/>
      <c r="G581" s="68"/>
      <c r="H581" s="68"/>
      <c r="I581" s="68"/>
      <c r="J581" s="68"/>
      <c r="K581" s="68"/>
      <c r="L581" s="68"/>
      <c r="M581" s="68"/>
      <c r="N581" s="68"/>
      <c r="O581" s="68"/>
      <c r="P581" s="68"/>
      <c r="Q581" s="68"/>
      <c r="R581" s="68"/>
      <c r="S581" s="68"/>
      <c r="T581" s="68"/>
      <c r="U581" s="68"/>
      <c r="V581" s="68"/>
      <c r="W581" s="68"/>
      <c r="X581" s="68"/>
      <c r="Y581" s="68"/>
      <c r="Z581" s="68"/>
    </row>
    <row r="582">
      <c r="A582" s="68"/>
      <c r="B582" s="68"/>
      <c r="C582" s="68"/>
      <c r="D582" s="68"/>
      <c r="E582" s="68"/>
      <c r="F582" s="68"/>
      <c r="G582" s="68"/>
      <c r="H582" s="68"/>
      <c r="I582" s="68"/>
      <c r="J582" s="68"/>
      <c r="K582" s="68"/>
      <c r="L582" s="68"/>
      <c r="M582" s="68"/>
      <c r="N582" s="68"/>
      <c r="O582" s="68"/>
      <c r="P582" s="68"/>
      <c r="Q582" s="68"/>
      <c r="R582" s="68"/>
      <c r="S582" s="68"/>
      <c r="T582" s="68"/>
      <c r="U582" s="68"/>
      <c r="V582" s="68"/>
      <c r="W582" s="68"/>
      <c r="X582" s="68"/>
      <c r="Y582" s="68"/>
      <c r="Z582" s="68"/>
    </row>
    <row r="583">
      <c r="A583" s="68"/>
      <c r="B583" s="68"/>
      <c r="C583" s="68"/>
      <c r="D583" s="68"/>
      <c r="E583" s="68"/>
      <c r="F583" s="68"/>
      <c r="G583" s="68"/>
      <c r="H583" s="68"/>
      <c r="I583" s="68"/>
      <c r="J583" s="68"/>
      <c r="K583" s="68"/>
      <c r="L583" s="68"/>
      <c r="M583" s="68"/>
      <c r="N583" s="68"/>
      <c r="O583" s="68"/>
      <c r="P583" s="68"/>
      <c r="Q583" s="68"/>
      <c r="R583" s="68"/>
      <c r="S583" s="68"/>
      <c r="T583" s="68"/>
      <c r="U583" s="68"/>
      <c r="V583" s="68"/>
      <c r="W583" s="68"/>
      <c r="X583" s="68"/>
      <c r="Y583" s="68"/>
      <c r="Z583" s="68"/>
    </row>
    <row r="584">
      <c r="A584" s="68"/>
      <c r="B584" s="68"/>
      <c r="C584" s="68"/>
      <c r="D584" s="68"/>
      <c r="E584" s="68"/>
      <c r="F584" s="68"/>
      <c r="G584" s="68"/>
      <c r="H584" s="68"/>
      <c r="I584" s="68"/>
      <c r="J584" s="68"/>
      <c r="K584" s="68"/>
      <c r="L584" s="68"/>
      <c r="M584" s="68"/>
      <c r="N584" s="68"/>
      <c r="O584" s="68"/>
      <c r="P584" s="68"/>
      <c r="Q584" s="68"/>
      <c r="R584" s="68"/>
      <c r="S584" s="68"/>
      <c r="T584" s="68"/>
      <c r="U584" s="68"/>
      <c r="V584" s="68"/>
      <c r="W584" s="68"/>
      <c r="X584" s="68"/>
      <c r="Y584" s="68"/>
      <c r="Z584" s="68"/>
    </row>
    <row r="585">
      <c r="A585" s="68"/>
      <c r="B585" s="68"/>
      <c r="C585" s="68"/>
      <c r="D585" s="68"/>
      <c r="E585" s="68"/>
      <c r="F585" s="68"/>
      <c r="G585" s="68"/>
      <c r="H585" s="68"/>
      <c r="I585" s="68"/>
      <c r="J585" s="68"/>
      <c r="K585" s="68"/>
      <c r="L585" s="68"/>
      <c r="M585" s="68"/>
      <c r="N585" s="68"/>
      <c r="O585" s="68"/>
      <c r="P585" s="68"/>
      <c r="Q585" s="68"/>
      <c r="R585" s="68"/>
      <c r="S585" s="68"/>
      <c r="T585" s="68"/>
      <c r="U585" s="68"/>
      <c r="V585" s="68"/>
      <c r="W585" s="68"/>
      <c r="X585" s="68"/>
      <c r="Y585" s="68"/>
      <c r="Z585" s="68"/>
    </row>
    <row r="586">
      <c r="A586" s="68"/>
      <c r="B586" s="68"/>
      <c r="C586" s="68"/>
      <c r="D586" s="68"/>
      <c r="E586" s="68"/>
      <c r="F586" s="68"/>
      <c r="G586" s="68"/>
      <c r="H586" s="68"/>
      <c r="I586" s="68"/>
      <c r="J586" s="68"/>
      <c r="K586" s="68"/>
      <c r="L586" s="68"/>
      <c r="M586" s="68"/>
      <c r="N586" s="68"/>
      <c r="O586" s="68"/>
      <c r="P586" s="68"/>
      <c r="Q586" s="68"/>
      <c r="R586" s="68"/>
      <c r="S586" s="68"/>
      <c r="T586" s="68"/>
      <c r="U586" s="68"/>
      <c r="V586" s="68"/>
      <c r="W586" s="68"/>
      <c r="X586" s="68"/>
      <c r="Y586" s="68"/>
      <c r="Z586" s="68"/>
    </row>
    <row r="587">
      <c r="A587" s="68"/>
      <c r="B587" s="68"/>
      <c r="C587" s="68"/>
      <c r="D587" s="68"/>
      <c r="E587" s="68"/>
      <c r="F587" s="68"/>
      <c r="G587" s="68"/>
      <c r="H587" s="68"/>
      <c r="I587" s="68"/>
      <c r="J587" s="68"/>
      <c r="K587" s="68"/>
      <c r="L587" s="68"/>
      <c r="M587" s="68"/>
      <c r="N587" s="68"/>
      <c r="O587" s="68"/>
      <c r="P587" s="68"/>
      <c r="Q587" s="68"/>
      <c r="R587" s="68"/>
      <c r="S587" s="68"/>
      <c r="T587" s="68"/>
      <c r="U587" s="68"/>
      <c r="V587" s="68"/>
      <c r="W587" s="68"/>
      <c r="X587" s="68"/>
      <c r="Y587" s="68"/>
      <c r="Z587" s="68"/>
    </row>
    <row r="588">
      <c r="A588" s="68"/>
      <c r="B588" s="68"/>
      <c r="C588" s="68"/>
      <c r="D588" s="68"/>
      <c r="E588" s="68"/>
      <c r="F588" s="68"/>
      <c r="G588" s="68"/>
      <c r="H588" s="68"/>
      <c r="I588" s="68"/>
      <c r="J588" s="68"/>
      <c r="K588" s="68"/>
      <c r="L588" s="68"/>
      <c r="M588" s="68"/>
      <c r="N588" s="68"/>
      <c r="O588" s="68"/>
      <c r="P588" s="68"/>
      <c r="Q588" s="68"/>
      <c r="R588" s="68"/>
      <c r="S588" s="68"/>
      <c r="T588" s="68"/>
      <c r="U588" s="68"/>
      <c r="V588" s="68"/>
      <c r="W588" s="68"/>
      <c r="X588" s="68"/>
      <c r="Y588" s="68"/>
      <c r="Z588" s="68"/>
    </row>
    <row r="589">
      <c r="A589" s="68"/>
      <c r="B589" s="68"/>
      <c r="C589" s="68"/>
      <c r="D589" s="68"/>
      <c r="E589" s="68"/>
      <c r="F589" s="68"/>
      <c r="G589" s="68"/>
      <c r="H589" s="68"/>
      <c r="I589" s="68"/>
      <c r="J589" s="68"/>
      <c r="K589" s="68"/>
      <c r="L589" s="68"/>
      <c r="M589" s="68"/>
      <c r="N589" s="68"/>
      <c r="O589" s="68"/>
      <c r="P589" s="68"/>
      <c r="Q589" s="68"/>
      <c r="R589" s="68"/>
      <c r="S589" s="68"/>
      <c r="T589" s="68"/>
      <c r="U589" s="68"/>
      <c r="V589" s="68"/>
      <c r="W589" s="68"/>
      <c r="X589" s="68"/>
      <c r="Y589" s="68"/>
      <c r="Z589" s="68"/>
    </row>
    <row r="590">
      <c r="A590" s="68"/>
      <c r="B590" s="68"/>
      <c r="C590" s="68"/>
      <c r="D590" s="68"/>
      <c r="E590" s="68"/>
      <c r="F590" s="68"/>
      <c r="G590" s="68"/>
      <c r="H590" s="68"/>
      <c r="I590" s="68"/>
      <c r="J590" s="68"/>
      <c r="K590" s="68"/>
      <c r="L590" s="68"/>
      <c r="M590" s="68"/>
      <c r="N590" s="68"/>
      <c r="O590" s="68"/>
      <c r="P590" s="68"/>
      <c r="Q590" s="68"/>
      <c r="R590" s="68"/>
      <c r="S590" s="68"/>
      <c r="T590" s="68"/>
      <c r="U590" s="68"/>
      <c r="V590" s="68"/>
      <c r="W590" s="68"/>
      <c r="X590" s="68"/>
      <c r="Y590" s="68"/>
      <c r="Z590" s="68"/>
    </row>
    <row r="591">
      <c r="A591" s="68"/>
      <c r="B591" s="68"/>
      <c r="C591" s="68"/>
      <c r="D591" s="68"/>
      <c r="E591" s="68"/>
      <c r="F591" s="68"/>
      <c r="G591" s="68"/>
      <c r="H591" s="68"/>
      <c r="I591" s="68"/>
      <c r="J591" s="68"/>
      <c r="K591" s="68"/>
      <c r="L591" s="68"/>
      <c r="M591" s="68"/>
      <c r="N591" s="68"/>
      <c r="O591" s="68"/>
      <c r="P591" s="68"/>
      <c r="Q591" s="68"/>
      <c r="R591" s="68"/>
      <c r="S591" s="68"/>
      <c r="T591" s="68"/>
      <c r="U591" s="68"/>
      <c r="V591" s="68"/>
      <c r="W591" s="68"/>
      <c r="X591" s="68"/>
      <c r="Y591" s="68"/>
      <c r="Z591" s="68"/>
    </row>
    <row r="592">
      <c r="A592" s="68"/>
      <c r="B592" s="68"/>
      <c r="C592" s="68"/>
      <c r="D592" s="68"/>
      <c r="E592" s="68"/>
      <c r="F592" s="68"/>
      <c r="G592" s="68"/>
      <c r="H592" s="68"/>
      <c r="I592" s="68"/>
      <c r="J592" s="68"/>
      <c r="K592" s="68"/>
      <c r="L592" s="68"/>
      <c r="M592" s="68"/>
      <c r="N592" s="68"/>
      <c r="O592" s="68"/>
      <c r="P592" s="68"/>
      <c r="Q592" s="68"/>
      <c r="R592" s="68"/>
      <c r="S592" s="68"/>
      <c r="T592" s="68"/>
      <c r="U592" s="68"/>
      <c r="V592" s="68"/>
      <c r="W592" s="68"/>
      <c r="X592" s="68"/>
      <c r="Y592" s="68"/>
      <c r="Z592" s="68"/>
    </row>
    <row r="593">
      <c r="A593" s="68"/>
      <c r="B593" s="68"/>
      <c r="C593" s="68"/>
      <c r="D593" s="68"/>
      <c r="E593" s="68"/>
      <c r="F593" s="68"/>
      <c r="G593" s="68"/>
      <c r="H593" s="68"/>
      <c r="I593" s="68"/>
      <c r="J593" s="68"/>
      <c r="K593" s="68"/>
      <c r="L593" s="68"/>
      <c r="M593" s="68"/>
      <c r="N593" s="68"/>
      <c r="O593" s="68"/>
      <c r="P593" s="68"/>
      <c r="Q593" s="68"/>
      <c r="R593" s="68"/>
      <c r="S593" s="68"/>
      <c r="T593" s="68"/>
      <c r="U593" s="68"/>
      <c r="V593" s="68"/>
      <c r="W593" s="68"/>
      <c r="X593" s="68"/>
      <c r="Y593" s="68"/>
      <c r="Z593" s="68"/>
    </row>
    <row r="594">
      <c r="A594" s="68"/>
      <c r="B594" s="68"/>
      <c r="C594" s="68"/>
      <c r="D594" s="68"/>
      <c r="E594" s="68"/>
      <c r="F594" s="68"/>
      <c r="G594" s="68"/>
      <c r="H594" s="68"/>
      <c r="I594" s="68"/>
      <c r="J594" s="68"/>
      <c r="K594" s="68"/>
      <c r="L594" s="68"/>
      <c r="M594" s="68"/>
      <c r="N594" s="68"/>
      <c r="O594" s="68"/>
      <c r="P594" s="68"/>
      <c r="Q594" s="68"/>
      <c r="R594" s="68"/>
      <c r="S594" s="68"/>
      <c r="T594" s="68"/>
      <c r="U594" s="68"/>
      <c r="V594" s="68"/>
      <c r="W594" s="68"/>
      <c r="X594" s="68"/>
      <c r="Y594" s="68"/>
      <c r="Z594" s="68"/>
    </row>
    <row r="595">
      <c r="A595" s="68"/>
      <c r="B595" s="68"/>
      <c r="C595" s="68"/>
      <c r="D595" s="68"/>
      <c r="E595" s="68"/>
      <c r="F595" s="68"/>
      <c r="G595" s="68"/>
      <c r="H595" s="68"/>
      <c r="I595" s="68"/>
      <c r="J595" s="68"/>
      <c r="K595" s="68"/>
      <c r="L595" s="68"/>
      <c r="M595" s="68"/>
      <c r="N595" s="68"/>
      <c r="O595" s="68"/>
      <c r="P595" s="68"/>
      <c r="Q595" s="68"/>
      <c r="R595" s="68"/>
      <c r="S595" s="68"/>
      <c r="T595" s="68"/>
      <c r="U595" s="68"/>
      <c r="V595" s="68"/>
      <c r="W595" s="68"/>
      <c r="X595" s="68"/>
      <c r="Y595" s="68"/>
      <c r="Z595" s="68"/>
    </row>
    <row r="596">
      <c r="A596" s="68"/>
      <c r="B596" s="68"/>
      <c r="C596" s="68"/>
      <c r="D596" s="68"/>
      <c r="E596" s="68"/>
      <c r="F596" s="68"/>
      <c r="G596" s="68"/>
      <c r="H596" s="68"/>
      <c r="I596" s="68"/>
      <c r="J596" s="68"/>
      <c r="K596" s="68"/>
      <c r="L596" s="68"/>
      <c r="M596" s="68"/>
      <c r="N596" s="68"/>
      <c r="O596" s="68"/>
      <c r="P596" s="68"/>
      <c r="Q596" s="68"/>
      <c r="R596" s="68"/>
      <c r="S596" s="68"/>
      <c r="T596" s="68"/>
      <c r="U596" s="68"/>
      <c r="V596" s="68"/>
      <c r="W596" s="68"/>
      <c r="X596" s="68"/>
      <c r="Y596" s="68"/>
      <c r="Z596" s="68"/>
    </row>
    <row r="597">
      <c r="A597" s="68"/>
      <c r="B597" s="68"/>
      <c r="C597" s="68"/>
      <c r="D597" s="68"/>
      <c r="E597" s="68"/>
      <c r="F597" s="68"/>
      <c r="G597" s="68"/>
      <c r="H597" s="68"/>
      <c r="I597" s="68"/>
      <c r="J597" s="68"/>
      <c r="K597" s="68"/>
      <c r="L597" s="68"/>
      <c r="M597" s="68"/>
      <c r="N597" s="68"/>
      <c r="O597" s="68"/>
      <c r="P597" s="68"/>
      <c r="Q597" s="68"/>
      <c r="R597" s="68"/>
      <c r="S597" s="68"/>
      <c r="T597" s="68"/>
      <c r="U597" s="68"/>
      <c r="V597" s="68"/>
      <c r="W597" s="68"/>
      <c r="X597" s="68"/>
      <c r="Y597" s="68"/>
      <c r="Z597" s="68"/>
    </row>
    <row r="598">
      <c r="A598" s="68"/>
      <c r="B598" s="68"/>
      <c r="C598" s="68"/>
      <c r="D598" s="68"/>
      <c r="E598" s="68"/>
      <c r="F598" s="68"/>
      <c r="G598" s="68"/>
      <c r="H598" s="68"/>
      <c r="I598" s="68"/>
      <c r="J598" s="68"/>
      <c r="K598" s="68"/>
      <c r="L598" s="68"/>
      <c r="M598" s="68"/>
      <c r="N598" s="68"/>
      <c r="O598" s="68"/>
      <c r="P598" s="68"/>
      <c r="Q598" s="68"/>
      <c r="R598" s="68"/>
      <c r="S598" s="68"/>
      <c r="T598" s="68"/>
      <c r="U598" s="68"/>
      <c r="V598" s="68"/>
      <c r="W598" s="68"/>
      <c r="X598" s="68"/>
      <c r="Y598" s="68"/>
      <c r="Z598" s="68"/>
    </row>
    <row r="599">
      <c r="A599" s="68"/>
      <c r="B599" s="68"/>
      <c r="C599" s="68"/>
      <c r="D599" s="68"/>
      <c r="E599" s="68"/>
      <c r="F599" s="68"/>
      <c r="G599" s="68"/>
      <c r="H599" s="68"/>
      <c r="I599" s="68"/>
      <c r="J599" s="68"/>
      <c r="K599" s="68"/>
      <c r="L599" s="68"/>
      <c r="M599" s="68"/>
      <c r="N599" s="68"/>
      <c r="O599" s="68"/>
      <c r="P599" s="68"/>
      <c r="Q599" s="68"/>
      <c r="R599" s="68"/>
      <c r="S599" s="68"/>
      <c r="T599" s="68"/>
      <c r="U599" s="68"/>
      <c r="V599" s="68"/>
      <c r="W599" s="68"/>
      <c r="X599" s="68"/>
      <c r="Y599" s="68"/>
      <c r="Z599" s="68"/>
    </row>
    <row r="600">
      <c r="A600" s="68"/>
      <c r="B600" s="68"/>
      <c r="C600" s="68"/>
      <c r="D600" s="68"/>
      <c r="E600" s="68"/>
      <c r="F600" s="68"/>
      <c r="G600" s="68"/>
      <c r="H600" s="68"/>
      <c r="I600" s="68"/>
      <c r="J600" s="68"/>
      <c r="K600" s="68"/>
      <c r="L600" s="68"/>
      <c r="M600" s="68"/>
      <c r="N600" s="68"/>
      <c r="O600" s="68"/>
      <c r="P600" s="68"/>
      <c r="Q600" s="68"/>
      <c r="R600" s="68"/>
      <c r="S600" s="68"/>
      <c r="T600" s="68"/>
      <c r="U600" s="68"/>
      <c r="V600" s="68"/>
      <c r="W600" s="68"/>
      <c r="X600" s="68"/>
      <c r="Y600" s="68"/>
      <c r="Z600" s="68"/>
    </row>
    <row r="601">
      <c r="A601" s="68"/>
      <c r="B601" s="68"/>
      <c r="C601" s="68"/>
      <c r="D601" s="68"/>
      <c r="E601" s="68"/>
      <c r="F601" s="68"/>
      <c r="G601" s="68"/>
      <c r="H601" s="68"/>
      <c r="I601" s="68"/>
      <c r="J601" s="68"/>
      <c r="K601" s="68"/>
      <c r="L601" s="68"/>
      <c r="M601" s="68"/>
      <c r="N601" s="68"/>
      <c r="O601" s="68"/>
      <c r="P601" s="68"/>
      <c r="Q601" s="68"/>
      <c r="R601" s="68"/>
      <c r="S601" s="68"/>
      <c r="T601" s="68"/>
      <c r="U601" s="68"/>
      <c r="V601" s="68"/>
      <c r="W601" s="68"/>
      <c r="X601" s="68"/>
      <c r="Y601" s="68"/>
      <c r="Z601" s="68"/>
    </row>
    <row r="602">
      <c r="A602" s="68"/>
      <c r="B602" s="68"/>
      <c r="C602" s="68"/>
      <c r="D602" s="68"/>
      <c r="E602" s="68"/>
      <c r="F602" s="68"/>
      <c r="G602" s="68"/>
      <c r="H602" s="68"/>
      <c r="I602" s="68"/>
      <c r="J602" s="68"/>
      <c r="K602" s="68"/>
      <c r="L602" s="68"/>
      <c r="M602" s="68"/>
      <c r="N602" s="68"/>
      <c r="O602" s="68"/>
      <c r="P602" s="68"/>
      <c r="Q602" s="68"/>
      <c r="R602" s="68"/>
      <c r="S602" s="68"/>
      <c r="T602" s="68"/>
      <c r="U602" s="68"/>
      <c r="V602" s="68"/>
      <c r="W602" s="68"/>
      <c r="X602" s="68"/>
      <c r="Y602" s="68"/>
      <c r="Z602" s="68"/>
    </row>
    <row r="603">
      <c r="A603" s="68"/>
      <c r="B603" s="68"/>
      <c r="C603" s="68"/>
      <c r="D603" s="68"/>
      <c r="E603" s="68"/>
      <c r="F603" s="68"/>
      <c r="G603" s="68"/>
      <c r="H603" s="68"/>
      <c r="I603" s="68"/>
      <c r="J603" s="68"/>
      <c r="K603" s="68"/>
      <c r="L603" s="68"/>
      <c r="M603" s="68"/>
      <c r="N603" s="68"/>
      <c r="O603" s="68"/>
      <c r="P603" s="68"/>
      <c r="Q603" s="68"/>
      <c r="R603" s="68"/>
      <c r="S603" s="68"/>
      <c r="T603" s="68"/>
      <c r="U603" s="68"/>
      <c r="V603" s="68"/>
      <c r="W603" s="68"/>
      <c r="X603" s="68"/>
      <c r="Y603" s="68"/>
      <c r="Z603" s="68"/>
    </row>
    <row r="604">
      <c r="A604" s="68"/>
      <c r="B604" s="68"/>
      <c r="C604" s="68"/>
      <c r="D604" s="68"/>
      <c r="E604" s="68"/>
      <c r="F604" s="68"/>
      <c r="G604" s="68"/>
      <c r="H604" s="68"/>
      <c r="I604" s="68"/>
      <c r="J604" s="68"/>
      <c r="K604" s="68"/>
      <c r="L604" s="68"/>
      <c r="M604" s="68"/>
      <c r="N604" s="68"/>
      <c r="O604" s="68"/>
      <c r="P604" s="68"/>
      <c r="Q604" s="68"/>
      <c r="R604" s="68"/>
      <c r="S604" s="68"/>
      <c r="T604" s="68"/>
      <c r="U604" s="68"/>
      <c r="V604" s="68"/>
      <c r="W604" s="68"/>
      <c r="X604" s="68"/>
      <c r="Y604" s="68"/>
      <c r="Z604" s="68"/>
    </row>
    <row r="605">
      <c r="A605" s="68"/>
      <c r="B605" s="68"/>
      <c r="C605" s="68"/>
      <c r="D605" s="68"/>
      <c r="E605" s="68"/>
      <c r="F605" s="68"/>
      <c r="G605" s="68"/>
      <c r="H605" s="68"/>
      <c r="I605" s="68"/>
      <c r="J605" s="68"/>
      <c r="K605" s="68"/>
      <c r="L605" s="68"/>
      <c r="M605" s="68"/>
      <c r="N605" s="68"/>
      <c r="O605" s="68"/>
      <c r="P605" s="68"/>
      <c r="Q605" s="68"/>
      <c r="R605" s="68"/>
      <c r="S605" s="68"/>
      <c r="T605" s="68"/>
      <c r="U605" s="68"/>
      <c r="V605" s="68"/>
      <c r="W605" s="68"/>
      <c r="X605" s="68"/>
      <c r="Y605" s="68"/>
      <c r="Z605" s="68"/>
    </row>
    <row r="606">
      <c r="A606" s="68"/>
      <c r="B606" s="68"/>
      <c r="C606" s="68"/>
      <c r="D606" s="68"/>
      <c r="E606" s="68"/>
      <c r="F606" s="68"/>
      <c r="G606" s="68"/>
      <c r="H606" s="68"/>
      <c r="I606" s="68"/>
      <c r="J606" s="68"/>
      <c r="K606" s="68"/>
      <c r="L606" s="68"/>
      <c r="M606" s="68"/>
      <c r="N606" s="68"/>
      <c r="O606" s="68"/>
      <c r="P606" s="68"/>
      <c r="Q606" s="68"/>
      <c r="R606" s="68"/>
      <c r="S606" s="68"/>
      <c r="T606" s="68"/>
      <c r="U606" s="68"/>
      <c r="V606" s="68"/>
      <c r="W606" s="68"/>
      <c r="X606" s="68"/>
      <c r="Y606" s="68"/>
      <c r="Z606" s="68"/>
    </row>
    <row r="607">
      <c r="A607" s="68"/>
      <c r="B607" s="68"/>
      <c r="C607" s="68"/>
      <c r="D607" s="68"/>
      <c r="E607" s="68"/>
      <c r="F607" s="68"/>
      <c r="G607" s="68"/>
      <c r="H607" s="68"/>
      <c r="I607" s="68"/>
      <c r="J607" s="68"/>
      <c r="K607" s="68"/>
      <c r="L607" s="68"/>
      <c r="M607" s="68"/>
      <c r="N607" s="68"/>
      <c r="O607" s="68"/>
      <c r="P607" s="68"/>
      <c r="Q607" s="68"/>
      <c r="R607" s="68"/>
      <c r="S607" s="68"/>
      <c r="T607" s="68"/>
      <c r="U607" s="68"/>
      <c r="V607" s="68"/>
      <c r="W607" s="68"/>
      <c r="X607" s="68"/>
      <c r="Y607" s="68"/>
      <c r="Z607" s="68"/>
    </row>
    <row r="608">
      <c r="A608" s="68"/>
      <c r="B608" s="68"/>
      <c r="C608" s="68"/>
      <c r="D608" s="68"/>
      <c r="E608" s="68"/>
      <c r="F608" s="68"/>
      <c r="G608" s="68"/>
      <c r="H608" s="68"/>
      <c r="I608" s="68"/>
      <c r="J608" s="68"/>
      <c r="K608" s="68"/>
      <c r="L608" s="68"/>
      <c r="M608" s="68"/>
      <c r="N608" s="68"/>
      <c r="O608" s="68"/>
      <c r="P608" s="68"/>
      <c r="Q608" s="68"/>
      <c r="R608" s="68"/>
      <c r="S608" s="68"/>
      <c r="T608" s="68"/>
      <c r="U608" s="68"/>
      <c r="V608" s="68"/>
      <c r="W608" s="68"/>
      <c r="X608" s="68"/>
      <c r="Y608" s="68"/>
      <c r="Z608" s="68"/>
    </row>
    <row r="609">
      <c r="A609" s="68"/>
      <c r="B609" s="68"/>
      <c r="C609" s="68"/>
      <c r="D609" s="68"/>
      <c r="E609" s="68"/>
      <c r="F609" s="68"/>
      <c r="G609" s="68"/>
      <c r="H609" s="68"/>
      <c r="I609" s="68"/>
      <c r="J609" s="68"/>
      <c r="K609" s="68"/>
      <c r="L609" s="68"/>
      <c r="M609" s="68"/>
      <c r="N609" s="68"/>
      <c r="O609" s="68"/>
      <c r="P609" s="68"/>
      <c r="Q609" s="68"/>
      <c r="R609" s="68"/>
      <c r="S609" s="68"/>
      <c r="T609" s="68"/>
      <c r="U609" s="68"/>
      <c r="V609" s="68"/>
      <c r="W609" s="68"/>
      <c r="X609" s="68"/>
      <c r="Y609" s="68"/>
      <c r="Z609" s="68"/>
    </row>
    <row r="610">
      <c r="A610" s="68"/>
      <c r="B610" s="68"/>
      <c r="C610" s="68"/>
      <c r="D610" s="68"/>
      <c r="E610" s="68"/>
      <c r="F610" s="68"/>
      <c r="G610" s="68"/>
      <c r="H610" s="68"/>
      <c r="I610" s="68"/>
      <c r="J610" s="68"/>
      <c r="K610" s="68"/>
      <c r="L610" s="68"/>
      <c r="M610" s="68"/>
      <c r="N610" s="68"/>
      <c r="O610" s="68"/>
      <c r="P610" s="68"/>
      <c r="Q610" s="68"/>
      <c r="R610" s="68"/>
      <c r="S610" s="68"/>
      <c r="T610" s="68"/>
      <c r="U610" s="68"/>
      <c r="V610" s="68"/>
      <c r="W610" s="68"/>
      <c r="X610" s="68"/>
      <c r="Y610" s="68"/>
      <c r="Z610" s="68"/>
    </row>
    <row r="611">
      <c r="A611" s="68"/>
      <c r="B611" s="68"/>
      <c r="C611" s="68"/>
      <c r="D611" s="68"/>
      <c r="E611" s="68"/>
      <c r="F611" s="68"/>
      <c r="G611" s="68"/>
      <c r="H611" s="68"/>
      <c r="I611" s="68"/>
      <c r="J611" s="68"/>
      <c r="K611" s="68"/>
      <c r="L611" s="68"/>
      <c r="M611" s="68"/>
      <c r="N611" s="68"/>
      <c r="O611" s="68"/>
      <c r="P611" s="68"/>
      <c r="Q611" s="68"/>
      <c r="R611" s="68"/>
      <c r="S611" s="68"/>
      <c r="T611" s="68"/>
      <c r="U611" s="68"/>
      <c r="V611" s="68"/>
      <c r="W611" s="68"/>
      <c r="X611" s="68"/>
      <c r="Y611" s="68"/>
      <c r="Z611" s="68"/>
    </row>
    <row r="612">
      <c r="A612" s="68"/>
      <c r="B612" s="68"/>
      <c r="C612" s="68"/>
      <c r="D612" s="68"/>
      <c r="E612" s="68"/>
      <c r="F612" s="68"/>
      <c r="G612" s="68"/>
      <c r="H612" s="68"/>
      <c r="I612" s="68"/>
      <c r="J612" s="68"/>
      <c r="K612" s="68"/>
      <c r="L612" s="68"/>
      <c r="M612" s="68"/>
      <c r="N612" s="68"/>
      <c r="O612" s="68"/>
      <c r="P612" s="68"/>
      <c r="Q612" s="68"/>
      <c r="R612" s="68"/>
      <c r="S612" s="68"/>
      <c r="T612" s="68"/>
      <c r="U612" s="68"/>
      <c r="V612" s="68"/>
      <c r="W612" s="68"/>
      <c r="X612" s="68"/>
      <c r="Y612" s="68"/>
      <c r="Z612" s="68"/>
    </row>
    <row r="613">
      <c r="A613" s="68"/>
      <c r="B613" s="68"/>
      <c r="C613" s="68"/>
      <c r="D613" s="68"/>
      <c r="E613" s="68"/>
      <c r="F613" s="68"/>
      <c r="G613" s="68"/>
      <c r="H613" s="68"/>
      <c r="I613" s="68"/>
      <c r="J613" s="68"/>
      <c r="K613" s="68"/>
      <c r="L613" s="68"/>
      <c r="M613" s="68"/>
      <c r="N613" s="68"/>
      <c r="O613" s="68"/>
      <c r="P613" s="68"/>
      <c r="Q613" s="68"/>
      <c r="R613" s="68"/>
      <c r="S613" s="68"/>
      <c r="T613" s="68"/>
      <c r="U613" s="68"/>
      <c r="V613" s="68"/>
      <c r="W613" s="68"/>
      <c r="X613" s="68"/>
      <c r="Y613" s="68"/>
      <c r="Z613" s="68"/>
    </row>
    <row r="614">
      <c r="A614" s="68"/>
      <c r="B614" s="68"/>
      <c r="C614" s="68"/>
      <c r="D614" s="68"/>
      <c r="E614" s="68"/>
      <c r="F614" s="68"/>
      <c r="G614" s="68"/>
      <c r="H614" s="68"/>
      <c r="I614" s="68"/>
      <c r="J614" s="68"/>
      <c r="K614" s="68"/>
      <c r="L614" s="68"/>
      <c r="M614" s="68"/>
      <c r="N614" s="68"/>
      <c r="O614" s="68"/>
      <c r="P614" s="68"/>
      <c r="Q614" s="68"/>
      <c r="R614" s="68"/>
      <c r="S614" s="68"/>
      <c r="T614" s="68"/>
      <c r="U614" s="68"/>
      <c r="V614" s="68"/>
      <c r="W614" s="68"/>
      <c r="X614" s="68"/>
      <c r="Y614" s="68"/>
      <c r="Z614" s="68"/>
    </row>
    <row r="615">
      <c r="A615" s="68"/>
      <c r="B615" s="68"/>
      <c r="C615" s="68"/>
      <c r="D615" s="68"/>
      <c r="E615" s="68"/>
      <c r="F615" s="68"/>
      <c r="G615" s="68"/>
      <c r="H615" s="68"/>
      <c r="I615" s="68"/>
      <c r="J615" s="68"/>
      <c r="K615" s="68"/>
      <c r="L615" s="68"/>
      <c r="M615" s="68"/>
      <c r="N615" s="68"/>
      <c r="O615" s="68"/>
      <c r="P615" s="68"/>
      <c r="Q615" s="68"/>
      <c r="R615" s="68"/>
      <c r="S615" s="68"/>
      <c r="T615" s="68"/>
      <c r="U615" s="68"/>
      <c r="V615" s="68"/>
      <c r="W615" s="68"/>
      <c r="X615" s="68"/>
      <c r="Y615" s="68"/>
      <c r="Z615" s="68"/>
    </row>
    <row r="616">
      <c r="A616" s="68"/>
      <c r="B616" s="68"/>
      <c r="C616" s="68"/>
      <c r="D616" s="68"/>
      <c r="E616" s="68"/>
      <c r="F616" s="68"/>
      <c r="G616" s="68"/>
      <c r="H616" s="68"/>
      <c r="I616" s="68"/>
      <c r="J616" s="68"/>
      <c r="K616" s="68"/>
      <c r="L616" s="68"/>
      <c r="M616" s="68"/>
      <c r="N616" s="68"/>
      <c r="O616" s="68"/>
      <c r="P616" s="68"/>
      <c r="Q616" s="68"/>
      <c r="R616" s="68"/>
      <c r="S616" s="68"/>
      <c r="T616" s="68"/>
      <c r="U616" s="68"/>
      <c r="V616" s="68"/>
      <c r="W616" s="68"/>
      <c r="X616" s="68"/>
      <c r="Y616" s="68"/>
      <c r="Z616" s="68"/>
    </row>
    <row r="617">
      <c r="A617" s="68"/>
      <c r="B617" s="68"/>
      <c r="C617" s="68"/>
      <c r="D617" s="68"/>
      <c r="E617" s="68"/>
      <c r="F617" s="68"/>
      <c r="G617" s="68"/>
      <c r="H617" s="68"/>
      <c r="I617" s="68"/>
      <c r="J617" s="68"/>
      <c r="K617" s="68"/>
      <c r="L617" s="68"/>
      <c r="M617" s="68"/>
      <c r="N617" s="68"/>
      <c r="O617" s="68"/>
      <c r="P617" s="68"/>
      <c r="Q617" s="68"/>
      <c r="R617" s="68"/>
      <c r="S617" s="68"/>
      <c r="T617" s="68"/>
      <c r="U617" s="68"/>
      <c r="V617" s="68"/>
      <c r="W617" s="68"/>
      <c r="X617" s="68"/>
      <c r="Y617" s="68"/>
      <c r="Z617" s="68"/>
    </row>
    <row r="618">
      <c r="A618" s="68"/>
      <c r="B618" s="68"/>
      <c r="C618" s="68"/>
      <c r="D618" s="68"/>
      <c r="E618" s="68"/>
      <c r="F618" s="68"/>
      <c r="G618" s="68"/>
      <c r="H618" s="68"/>
      <c r="I618" s="68"/>
      <c r="J618" s="68"/>
      <c r="K618" s="68"/>
      <c r="L618" s="68"/>
      <c r="M618" s="68"/>
      <c r="N618" s="68"/>
      <c r="O618" s="68"/>
      <c r="P618" s="68"/>
      <c r="Q618" s="68"/>
      <c r="R618" s="68"/>
      <c r="S618" s="68"/>
      <c r="T618" s="68"/>
      <c r="U618" s="68"/>
      <c r="V618" s="68"/>
      <c r="W618" s="68"/>
      <c r="X618" s="68"/>
      <c r="Y618" s="68"/>
      <c r="Z618" s="68"/>
    </row>
    <row r="619">
      <c r="A619" s="68"/>
      <c r="B619" s="68"/>
      <c r="C619" s="68"/>
      <c r="D619" s="68"/>
      <c r="E619" s="68"/>
      <c r="F619" s="68"/>
      <c r="G619" s="68"/>
      <c r="H619" s="68"/>
      <c r="I619" s="68"/>
      <c r="J619" s="68"/>
      <c r="K619" s="68"/>
      <c r="L619" s="68"/>
      <c r="M619" s="68"/>
      <c r="N619" s="68"/>
      <c r="O619" s="68"/>
      <c r="P619" s="68"/>
      <c r="Q619" s="68"/>
      <c r="R619" s="68"/>
      <c r="S619" s="68"/>
      <c r="T619" s="68"/>
      <c r="U619" s="68"/>
      <c r="V619" s="68"/>
      <c r="W619" s="68"/>
      <c r="X619" s="68"/>
      <c r="Y619" s="68"/>
      <c r="Z619" s="68"/>
    </row>
    <row r="620">
      <c r="A620" s="68"/>
      <c r="B620" s="68"/>
      <c r="C620" s="68"/>
      <c r="D620" s="68"/>
      <c r="E620" s="68"/>
      <c r="F620" s="68"/>
      <c r="G620" s="68"/>
      <c r="H620" s="68"/>
      <c r="I620" s="68"/>
      <c r="J620" s="68"/>
      <c r="K620" s="68"/>
      <c r="L620" s="68"/>
      <c r="M620" s="68"/>
      <c r="N620" s="68"/>
      <c r="O620" s="68"/>
      <c r="P620" s="68"/>
      <c r="Q620" s="68"/>
      <c r="R620" s="68"/>
      <c r="S620" s="68"/>
      <c r="T620" s="68"/>
      <c r="U620" s="68"/>
      <c r="V620" s="68"/>
      <c r="W620" s="68"/>
      <c r="X620" s="68"/>
      <c r="Y620" s="68"/>
      <c r="Z620" s="68"/>
    </row>
    <row r="621">
      <c r="A621" s="68"/>
      <c r="B621" s="68"/>
      <c r="C621" s="68"/>
      <c r="D621" s="68"/>
      <c r="E621" s="68"/>
      <c r="F621" s="68"/>
      <c r="G621" s="68"/>
      <c r="H621" s="68"/>
      <c r="I621" s="68"/>
      <c r="J621" s="68"/>
      <c r="K621" s="68"/>
      <c r="L621" s="68"/>
      <c r="M621" s="68"/>
      <c r="N621" s="68"/>
      <c r="O621" s="68"/>
      <c r="P621" s="68"/>
      <c r="Q621" s="68"/>
      <c r="R621" s="68"/>
      <c r="S621" s="68"/>
      <c r="T621" s="68"/>
      <c r="U621" s="68"/>
      <c r="V621" s="68"/>
      <c r="W621" s="68"/>
      <c r="X621" s="68"/>
      <c r="Y621" s="68"/>
      <c r="Z621" s="68"/>
    </row>
    <row r="622">
      <c r="A622" s="68"/>
      <c r="B622" s="68"/>
      <c r="C622" s="68"/>
      <c r="D622" s="68"/>
      <c r="E622" s="68"/>
      <c r="F622" s="68"/>
      <c r="G622" s="68"/>
      <c r="H622" s="68"/>
      <c r="I622" s="68"/>
      <c r="J622" s="68"/>
      <c r="K622" s="68"/>
      <c r="L622" s="68"/>
      <c r="M622" s="68"/>
      <c r="N622" s="68"/>
      <c r="O622" s="68"/>
      <c r="P622" s="68"/>
      <c r="Q622" s="68"/>
      <c r="R622" s="68"/>
      <c r="S622" s="68"/>
      <c r="T622" s="68"/>
      <c r="U622" s="68"/>
      <c r="V622" s="68"/>
      <c r="W622" s="68"/>
      <c r="X622" s="68"/>
      <c r="Y622" s="68"/>
      <c r="Z622" s="68"/>
    </row>
    <row r="623">
      <c r="A623" s="68"/>
      <c r="B623" s="68"/>
      <c r="C623" s="68"/>
      <c r="D623" s="68"/>
      <c r="E623" s="68"/>
      <c r="F623" s="68"/>
      <c r="G623" s="68"/>
      <c r="H623" s="68"/>
      <c r="I623" s="68"/>
      <c r="J623" s="68"/>
      <c r="K623" s="68"/>
      <c r="L623" s="68"/>
      <c r="M623" s="68"/>
      <c r="N623" s="68"/>
      <c r="O623" s="68"/>
      <c r="P623" s="68"/>
      <c r="Q623" s="68"/>
      <c r="R623" s="68"/>
      <c r="S623" s="68"/>
      <c r="T623" s="68"/>
      <c r="U623" s="68"/>
      <c r="V623" s="68"/>
      <c r="W623" s="68"/>
      <c r="X623" s="68"/>
      <c r="Y623" s="68"/>
      <c r="Z623" s="68"/>
    </row>
    <row r="624">
      <c r="A624" s="68"/>
      <c r="B624" s="68"/>
      <c r="C624" s="68"/>
      <c r="D624" s="68"/>
      <c r="E624" s="68"/>
      <c r="F624" s="68"/>
      <c r="G624" s="68"/>
      <c r="H624" s="68"/>
      <c r="I624" s="68"/>
      <c r="J624" s="68"/>
      <c r="K624" s="68"/>
      <c r="L624" s="68"/>
      <c r="M624" s="68"/>
      <c r="N624" s="68"/>
      <c r="O624" s="68"/>
      <c r="P624" s="68"/>
      <c r="Q624" s="68"/>
      <c r="R624" s="68"/>
      <c r="S624" s="68"/>
      <c r="T624" s="68"/>
      <c r="U624" s="68"/>
      <c r="V624" s="68"/>
      <c r="W624" s="68"/>
      <c r="X624" s="68"/>
      <c r="Y624" s="68"/>
      <c r="Z624" s="68"/>
    </row>
    <row r="625">
      <c r="A625" s="68"/>
      <c r="B625" s="68"/>
      <c r="C625" s="68"/>
      <c r="D625" s="68"/>
      <c r="E625" s="68"/>
      <c r="F625" s="68"/>
      <c r="G625" s="68"/>
      <c r="H625" s="68"/>
      <c r="I625" s="68"/>
      <c r="J625" s="68"/>
      <c r="K625" s="68"/>
      <c r="L625" s="68"/>
      <c r="M625" s="68"/>
      <c r="N625" s="68"/>
      <c r="O625" s="68"/>
      <c r="P625" s="68"/>
      <c r="Q625" s="68"/>
      <c r="R625" s="68"/>
      <c r="S625" s="68"/>
      <c r="T625" s="68"/>
      <c r="U625" s="68"/>
      <c r="V625" s="68"/>
      <c r="W625" s="68"/>
      <c r="X625" s="68"/>
      <c r="Y625" s="68"/>
      <c r="Z625" s="68"/>
    </row>
    <row r="626">
      <c r="A626" s="68"/>
      <c r="B626" s="68"/>
      <c r="C626" s="68"/>
      <c r="D626" s="68"/>
      <c r="E626" s="68"/>
      <c r="F626" s="68"/>
      <c r="G626" s="68"/>
      <c r="H626" s="68"/>
      <c r="I626" s="68"/>
      <c r="J626" s="68"/>
      <c r="K626" s="68"/>
      <c r="L626" s="68"/>
      <c r="M626" s="68"/>
      <c r="N626" s="68"/>
      <c r="O626" s="68"/>
      <c r="P626" s="68"/>
      <c r="Q626" s="68"/>
      <c r="R626" s="68"/>
      <c r="S626" s="68"/>
      <c r="T626" s="68"/>
      <c r="U626" s="68"/>
      <c r="V626" s="68"/>
      <c r="W626" s="68"/>
      <c r="X626" s="68"/>
      <c r="Y626" s="68"/>
      <c r="Z626" s="68"/>
    </row>
    <row r="627">
      <c r="A627" s="68"/>
      <c r="B627" s="68"/>
      <c r="C627" s="68"/>
      <c r="D627" s="68"/>
      <c r="E627" s="68"/>
      <c r="F627" s="68"/>
      <c r="G627" s="68"/>
      <c r="H627" s="68"/>
      <c r="I627" s="68"/>
      <c r="J627" s="68"/>
      <c r="K627" s="68"/>
      <c r="L627" s="68"/>
      <c r="M627" s="68"/>
      <c r="N627" s="68"/>
      <c r="O627" s="68"/>
      <c r="P627" s="68"/>
      <c r="Q627" s="68"/>
      <c r="R627" s="68"/>
      <c r="S627" s="68"/>
      <c r="T627" s="68"/>
      <c r="U627" s="68"/>
      <c r="V627" s="68"/>
      <c r="W627" s="68"/>
      <c r="X627" s="68"/>
      <c r="Y627" s="68"/>
      <c r="Z627" s="68"/>
    </row>
    <row r="628">
      <c r="A628" s="68"/>
      <c r="B628" s="68"/>
      <c r="C628" s="68"/>
      <c r="D628" s="68"/>
      <c r="E628" s="68"/>
      <c r="F628" s="68"/>
      <c r="G628" s="68"/>
      <c r="H628" s="68"/>
      <c r="I628" s="68"/>
      <c r="J628" s="68"/>
      <c r="K628" s="68"/>
      <c r="L628" s="68"/>
      <c r="M628" s="68"/>
      <c r="N628" s="68"/>
      <c r="O628" s="68"/>
      <c r="P628" s="68"/>
      <c r="Q628" s="68"/>
      <c r="R628" s="68"/>
      <c r="S628" s="68"/>
      <c r="T628" s="68"/>
      <c r="U628" s="68"/>
      <c r="V628" s="68"/>
      <c r="W628" s="68"/>
      <c r="X628" s="68"/>
      <c r="Y628" s="68"/>
      <c r="Z628" s="68"/>
    </row>
    <row r="629">
      <c r="A629" s="68"/>
      <c r="B629" s="68"/>
      <c r="C629" s="68"/>
      <c r="D629" s="68"/>
      <c r="E629" s="68"/>
      <c r="F629" s="68"/>
      <c r="G629" s="68"/>
      <c r="H629" s="68"/>
      <c r="I629" s="68"/>
      <c r="J629" s="68"/>
      <c r="K629" s="68"/>
      <c r="L629" s="68"/>
      <c r="M629" s="68"/>
      <c r="N629" s="68"/>
      <c r="O629" s="68"/>
      <c r="P629" s="68"/>
      <c r="Q629" s="68"/>
      <c r="R629" s="68"/>
      <c r="S629" s="68"/>
      <c r="T629" s="68"/>
      <c r="U629" s="68"/>
      <c r="V629" s="68"/>
      <c r="W629" s="68"/>
      <c r="X629" s="68"/>
      <c r="Y629" s="68"/>
      <c r="Z629" s="68"/>
    </row>
    <row r="630">
      <c r="A630" s="68"/>
      <c r="B630" s="68"/>
      <c r="C630" s="68"/>
      <c r="D630" s="68"/>
      <c r="E630" s="68"/>
      <c r="F630" s="68"/>
      <c r="G630" s="68"/>
      <c r="H630" s="68"/>
      <c r="I630" s="68"/>
      <c r="J630" s="68"/>
      <c r="K630" s="68"/>
      <c r="L630" s="68"/>
      <c r="M630" s="68"/>
      <c r="N630" s="68"/>
      <c r="O630" s="68"/>
      <c r="P630" s="68"/>
      <c r="Q630" s="68"/>
      <c r="R630" s="68"/>
      <c r="S630" s="68"/>
      <c r="T630" s="68"/>
      <c r="U630" s="68"/>
      <c r="V630" s="68"/>
      <c r="W630" s="68"/>
      <c r="X630" s="68"/>
      <c r="Y630" s="68"/>
      <c r="Z630" s="68"/>
    </row>
    <row r="631">
      <c r="A631" s="68"/>
      <c r="B631" s="68"/>
      <c r="C631" s="68"/>
      <c r="D631" s="68"/>
      <c r="E631" s="68"/>
      <c r="F631" s="68"/>
      <c r="G631" s="68"/>
      <c r="H631" s="68"/>
      <c r="I631" s="68"/>
      <c r="J631" s="68"/>
      <c r="K631" s="68"/>
      <c r="L631" s="68"/>
      <c r="M631" s="68"/>
      <c r="N631" s="68"/>
      <c r="O631" s="68"/>
      <c r="P631" s="68"/>
      <c r="Q631" s="68"/>
      <c r="R631" s="68"/>
      <c r="S631" s="68"/>
      <c r="T631" s="68"/>
      <c r="U631" s="68"/>
      <c r="V631" s="68"/>
      <c r="W631" s="68"/>
      <c r="X631" s="68"/>
      <c r="Y631" s="68"/>
      <c r="Z631" s="68"/>
    </row>
    <row r="632">
      <c r="A632" s="68"/>
      <c r="B632" s="68"/>
      <c r="C632" s="68"/>
      <c r="D632" s="68"/>
      <c r="E632" s="68"/>
      <c r="F632" s="68"/>
      <c r="G632" s="68"/>
      <c r="H632" s="68"/>
      <c r="I632" s="68"/>
      <c r="J632" s="68"/>
      <c r="K632" s="68"/>
      <c r="L632" s="68"/>
      <c r="M632" s="68"/>
      <c r="N632" s="68"/>
      <c r="O632" s="68"/>
      <c r="P632" s="68"/>
      <c r="Q632" s="68"/>
      <c r="R632" s="68"/>
      <c r="S632" s="68"/>
      <c r="T632" s="68"/>
      <c r="U632" s="68"/>
      <c r="V632" s="68"/>
      <c r="W632" s="68"/>
      <c r="X632" s="68"/>
      <c r="Y632" s="68"/>
      <c r="Z632" s="68"/>
    </row>
    <row r="633">
      <c r="A633" s="68"/>
      <c r="B633" s="68"/>
      <c r="C633" s="68"/>
      <c r="D633" s="68"/>
      <c r="E633" s="68"/>
      <c r="F633" s="68"/>
      <c r="G633" s="68"/>
      <c r="H633" s="68"/>
      <c r="I633" s="68"/>
      <c r="J633" s="68"/>
      <c r="K633" s="68"/>
      <c r="L633" s="68"/>
      <c r="M633" s="68"/>
      <c r="N633" s="68"/>
      <c r="O633" s="68"/>
      <c r="P633" s="68"/>
      <c r="Q633" s="68"/>
      <c r="R633" s="68"/>
      <c r="S633" s="68"/>
      <c r="T633" s="68"/>
      <c r="U633" s="68"/>
      <c r="V633" s="68"/>
      <c r="W633" s="68"/>
      <c r="X633" s="68"/>
      <c r="Y633" s="68"/>
      <c r="Z633" s="68"/>
    </row>
    <row r="634">
      <c r="A634" s="68"/>
      <c r="B634" s="68"/>
      <c r="C634" s="68"/>
      <c r="D634" s="68"/>
      <c r="E634" s="68"/>
      <c r="F634" s="68"/>
      <c r="G634" s="68"/>
      <c r="H634" s="68"/>
      <c r="I634" s="68"/>
      <c r="J634" s="68"/>
      <c r="K634" s="68"/>
      <c r="L634" s="68"/>
      <c r="M634" s="68"/>
      <c r="N634" s="68"/>
      <c r="O634" s="68"/>
      <c r="P634" s="68"/>
      <c r="Q634" s="68"/>
      <c r="R634" s="68"/>
      <c r="S634" s="68"/>
      <c r="T634" s="68"/>
      <c r="U634" s="68"/>
      <c r="V634" s="68"/>
      <c r="W634" s="68"/>
      <c r="X634" s="68"/>
      <c r="Y634" s="68"/>
      <c r="Z634" s="68"/>
    </row>
    <row r="635">
      <c r="A635" s="68"/>
      <c r="B635" s="68"/>
      <c r="C635" s="68"/>
      <c r="D635" s="68"/>
      <c r="E635" s="68"/>
      <c r="F635" s="68"/>
      <c r="G635" s="68"/>
      <c r="H635" s="68"/>
      <c r="I635" s="68"/>
      <c r="J635" s="68"/>
      <c r="K635" s="68"/>
      <c r="L635" s="68"/>
      <c r="M635" s="68"/>
      <c r="N635" s="68"/>
      <c r="O635" s="68"/>
      <c r="P635" s="68"/>
      <c r="Q635" s="68"/>
      <c r="R635" s="68"/>
      <c r="S635" s="68"/>
      <c r="T635" s="68"/>
      <c r="U635" s="68"/>
      <c r="V635" s="68"/>
      <c r="W635" s="68"/>
      <c r="X635" s="68"/>
      <c r="Y635" s="68"/>
      <c r="Z635" s="68"/>
    </row>
    <row r="636">
      <c r="A636" s="68"/>
      <c r="B636" s="68"/>
      <c r="C636" s="68"/>
      <c r="D636" s="68"/>
      <c r="E636" s="68"/>
      <c r="F636" s="68"/>
      <c r="G636" s="68"/>
      <c r="H636" s="68"/>
      <c r="I636" s="68"/>
      <c r="J636" s="68"/>
      <c r="K636" s="68"/>
      <c r="L636" s="68"/>
      <c r="M636" s="68"/>
      <c r="N636" s="68"/>
      <c r="O636" s="68"/>
      <c r="P636" s="68"/>
      <c r="Q636" s="68"/>
      <c r="R636" s="68"/>
      <c r="S636" s="68"/>
      <c r="T636" s="68"/>
      <c r="U636" s="68"/>
      <c r="V636" s="68"/>
      <c r="W636" s="68"/>
      <c r="X636" s="68"/>
      <c r="Y636" s="68"/>
      <c r="Z636" s="68"/>
    </row>
    <row r="637">
      <c r="A637" s="68"/>
      <c r="B637" s="68"/>
      <c r="C637" s="68"/>
      <c r="D637" s="68"/>
      <c r="E637" s="68"/>
      <c r="F637" s="68"/>
      <c r="G637" s="68"/>
      <c r="H637" s="68"/>
      <c r="I637" s="68"/>
      <c r="J637" s="68"/>
      <c r="K637" s="68"/>
      <c r="L637" s="68"/>
      <c r="M637" s="68"/>
      <c r="N637" s="68"/>
      <c r="O637" s="68"/>
      <c r="P637" s="68"/>
      <c r="Q637" s="68"/>
      <c r="R637" s="68"/>
      <c r="S637" s="68"/>
      <c r="T637" s="68"/>
      <c r="U637" s="68"/>
      <c r="V637" s="68"/>
      <c r="W637" s="68"/>
      <c r="X637" s="68"/>
      <c r="Y637" s="68"/>
      <c r="Z637" s="68"/>
    </row>
    <row r="638">
      <c r="A638" s="68"/>
      <c r="B638" s="68"/>
      <c r="C638" s="68"/>
      <c r="D638" s="68"/>
      <c r="E638" s="68"/>
      <c r="F638" s="68"/>
      <c r="G638" s="68"/>
      <c r="H638" s="68"/>
      <c r="I638" s="68"/>
      <c r="J638" s="68"/>
      <c r="K638" s="68"/>
      <c r="L638" s="68"/>
      <c r="M638" s="68"/>
      <c r="N638" s="68"/>
      <c r="O638" s="68"/>
      <c r="P638" s="68"/>
      <c r="Q638" s="68"/>
      <c r="R638" s="68"/>
      <c r="S638" s="68"/>
      <c r="T638" s="68"/>
      <c r="U638" s="68"/>
      <c r="V638" s="68"/>
      <c r="W638" s="68"/>
      <c r="X638" s="68"/>
      <c r="Y638" s="68"/>
      <c r="Z638" s="68"/>
    </row>
    <row r="639">
      <c r="A639" s="68"/>
      <c r="B639" s="68"/>
      <c r="C639" s="68"/>
      <c r="D639" s="68"/>
      <c r="E639" s="68"/>
      <c r="F639" s="68"/>
      <c r="G639" s="68"/>
      <c r="H639" s="68"/>
      <c r="I639" s="68"/>
      <c r="J639" s="68"/>
      <c r="K639" s="68"/>
      <c r="L639" s="68"/>
      <c r="M639" s="68"/>
      <c r="N639" s="68"/>
      <c r="O639" s="68"/>
      <c r="P639" s="68"/>
      <c r="Q639" s="68"/>
      <c r="R639" s="68"/>
      <c r="S639" s="68"/>
      <c r="T639" s="68"/>
      <c r="U639" s="68"/>
      <c r="V639" s="68"/>
      <c r="W639" s="68"/>
      <c r="X639" s="68"/>
      <c r="Y639" s="68"/>
      <c r="Z639" s="68"/>
    </row>
    <row r="640">
      <c r="A640" s="68"/>
      <c r="B640" s="68"/>
      <c r="C640" s="68"/>
      <c r="D640" s="68"/>
      <c r="E640" s="68"/>
      <c r="F640" s="68"/>
      <c r="G640" s="68"/>
      <c r="H640" s="68"/>
      <c r="I640" s="68"/>
      <c r="J640" s="68"/>
      <c r="K640" s="68"/>
      <c r="L640" s="68"/>
      <c r="M640" s="68"/>
      <c r="N640" s="68"/>
      <c r="O640" s="68"/>
      <c r="P640" s="68"/>
      <c r="Q640" s="68"/>
      <c r="R640" s="68"/>
      <c r="S640" s="68"/>
      <c r="T640" s="68"/>
      <c r="U640" s="68"/>
      <c r="V640" s="68"/>
      <c r="W640" s="68"/>
      <c r="X640" s="68"/>
      <c r="Y640" s="68"/>
      <c r="Z640" s="68"/>
    </row>
    <row r="641">
      <c r="A641" s="68"/>
      <c r="B641" s="68"/>
      <c r="C641" s="68"/>
      <c r="D641" s="68"/>
      <c r="E641" s="68"/>
      <c r="F641" s="68"/>
      <c r="G641" s="68"/>
      <c r="H641" s="68"/>
      <c r="I641" s="68"/>
      <c r="J641" s="68"/>
      <c r="K641" s="68"/>
      <c r="L641" s="68"/>
      <c r="M641" s="68"/>
      <c r="N641" s="68"/>
      <c r="O641" s="68"/>
      <c r="P641" s="68"/>
      <c r="Q641" s="68"/>
      <c r="R641" s="68"/>
      <c r="S641" s="68"/>
      <c r="T641" s="68"/>
      <c r="U641" s="68"/>
      <c r="V641" s="68"/>
      <c r="W641" s="68"/>
      <c r="X641" s="68"/>
      <c r="Y641" s="68"/>
      <c r="Z641" s="68"/>
    </row>
    <row r="642">
      <c r="A642" s="68"/>
      <c r="B642" s="68"/>
      <c r="C642" s="68"/>
      <c r="D642" s="68"/>
      <c r="E642" s="68"/>
      <c r="F642" s="68"/>
      <c r="G642" s="68"/>
      <c r="H642" s="68"/>
      <c r="I642" s="68"/>
      <c r="J642" s="68"/>
      <c r="K642" s="68"/>
      <c r="L642" s="68"/>
      <c r="M642" s="68"/>
      <c r="N642" s="68"/>
      <c r="O642" s="68"/>
      <c r="P642" s="68"/>
      <c r="Q642" s="68"/>
      <c r="R642" s="68"/>
      <c r="S642" s="68"/>
      <c r="T642" s="68"/>
      <c r="U642" s="68"/>
      <c r="V642" s="68"/>
      <c r="W642" s="68"/>
      <c r="X642" s="68"/>
      <c r="Y642" s="68"/>
      <c r="Z642" s="68"/>
    </row>
    <row r="643">
      <c r="A643" s="68"/>
      <c r="B643" s="68"/>
      <c r="C643" s="68"/>
      <c r="D643" s="68"/>
      <c r="E643" s="68"/>
      <c r="F643" s="68"/>
      <c r="G643" s="68"/>
      <c r="H643" s="68"/>
      <c r="I643" s="68"/>
      <c r="J643" s="68"/>
      <c r="K643" s="68"/>
      <c r="L643" s="68"/>
      <c r="M643" s="68"/>
      <c r="N643" s="68"/>
      <c r="O643" s="68"/>
      <c r="P643" s="68"/>
      <c r="Q643" s="68"/>
      <c r="R643" s="68"/>
      <c r="S643" s="68"/>
      <c r="T643" s="68"/>
      <c r="U643" s="68"/>
      <c r="V643" s="68"/>
      <c r="W643" s="68"/>
      <c r="X643" s="68"/>
      <c r="Y643" s="68"/>
      <c r="Z643" s="68"/>
    </row>
    <row r="644">
      <c r="A644" s="68"/>
      <c r="B644" s="68"/>
      <c r="C644" s="68"/>
      <c r="D644" s="68"/>
      <c r="E644" s="68"/>
      <c r="F644" s="68"/>
      <c r="G644" s="68"/>
      <c r="H644" s="68"/>
      <c r="I644" s="68"/>
      <c r="J644" s="68"/>
      <c r="K644" s="68"/>
      <c r="L644" s="68"/>
      <c r="M644" s="68"/>
      <c r="N644" s="68"/>
      <c r="O644" s="68"/>
      <c r="P644" s="68"/>
      <c r="Q644" s="68"/>
      <c r="R644" s="68"/>
      <c r="S644" s="68"/>
      <c r="T644" s="68"/>
      <c r="U644" s="68"/>
      <c r="V644" s="68"/>
      <c r="W644" s="68"/>
      <c r="X644" s="68"/>
      <c r="Y644" s="68"/>
      <c r="Z644" s="68"/>
    </row>
    <row r="645">
      <c r="A645" s="68"/>
      <c r="B645" s="68"/>
      <c r="C645" s="68"/>
      <c r="D645" s="68"/>
      <c r="E645" s="68"/>
      <c r="F645" s="68"/>
      <c r="G645" s="68"/>
      <c r="H645" s="68"/>
      <c r="I645" s="68"/>
      <c r="J645" s="68"/>
      <c r="K645" s="68"/>
      <c r="L645" s="68"/>
      <c r="M645" s="68"/>
      <c r="N645" s="68"/>
      <c r="O645" s="68"/>
      <c r="P645" s="68"/>
      <c r="Q645" s="68"/>
      <c r="R645" s="68"/>
      <c r="S645" s="68"/>
      <c r="T645" s="68"/>
      <c r="U645" s="68"/>
      <c r="V645" s="68"/>
      <c r="W645" s="68"/>
      <c r="X645" s="68"/>
      <c r="Y645" s="68"/>
      <c r="Z645" s="68"/>
    </row>
    <row r="646">
      <c r="A646" s="68"/>
      <c r="B646" s="68"/>
      <c r="C646" s="68"/>
      <c r="D646" s="68"/>
      <c r="E646" s="68"/>
      <c r="F646" s="68"/>
      <c r="G646" s="68"/>
      <c r="H646" s="68"/>
      <c r="I646" s="68"/>
      <c r="J646" s="68"/>
      <c r="K646" s="68"/>
      <c r="L646" s="68"/>
      <c r="M646" s="68"/>
      <c r="N646" s="68"/>
      <c r="O646" s="68"/>
      <c r="P646" s="68"/>
      <c r="Q646" s="68"/>
      <c r="R646" s="68"/>
      <c r="S646" s="68"/>
      <c r="T646" s="68"/>
      <c r="U646" s="68"/>
      <c r="V646" s="68"/>
      <c r="W646" s="68"/>
      <c r="X646" s="68"/>
      <c r="Y646" s="68"/>
      <c r="Z646" s="68"/>
    </row>
    <row r="647">
      <c r="A647" s="68"/>
      <c r="B647" s="68"/>
      <c r="C647" s="68"/>
      <c r="D647" s="68"/>
      <c r="E647" s="68"/>
      <c r="F647" s="68"/>
      <c r="G647" s="68"/>
      <c r="H647" s="68"/>
      <c r="I647" s="68"/>
      <c r="J647" s="68"/>
      <c r="K647" s="68"/>
      <c r="L647" s="68"/>
      <c r="M647" s="68"/>
      <c r="N647" s="68"/>
      <c r="O647" s="68"/>
      <c r="P647" s="68"/>
      <c r="Q647" s="68"/>
      <c r="R647" s="68"/>
      <c r="S647" s="68"/>
      <c r="T647" s="68"/>
      <c r="U647" s="68"/>
      <c r="V647" s="68"/>
      <c r="W647" s="68"/>
      <c r="X647" s="68"/>
      <c r="Y647" s="68"/>
      <c r="Z647" s="68"/>
    </row>
    <row r="648">
      <c r="A648" s="68"/>
      <c r="B648" s="68"/>
      <c r="C648" s="68"/>
      <c r="D648" s="68"/>
      <c r="E648" s="68"/>
      <c r="F648" s="68"/>
      <c r="G648" s="68"/>
      <c r="H648" s="68"/>
      <c r="I648" s="68"/>
      <c r="J648" s="68"/>
      <c r="K648" s="68"/>
      <c r="L648" s="68"/>
      <c r="M648" s="68"/>
      <c r="N648" s="68"/>
      <c r="O648" s="68"/>
      <c r="P648" s="68"/>
      <c r="Q648" s="68"/>
      <c r="R648" s="68"/>
      <c r="S648" s="68"/>
      <c r="T648" s="68"/>
      <c r="U648" s="68"/>
      <c r="V648" s="68"/>
      <c r="W648" s="68"/>
      <c r="X648" s="68"/>
      <c r="Y648" s="68"/>
      <c r="Z648" s="68"/>
    </row>
    <row r="649">
      <c r="A649" s="68"/>
      <c r="B649" s="68"/>
      <c r="C649" s="68"/>
      <c r="D649" s="68"/>
      <c r="E649" s="68"/>
      <c r="F649" s="68"/>
      <c r="G649" s="68"/>
      <c r="H649" s="68"/>
      <c r="I649" s="68"/>
      <c r="J649" s="68"/>
      <c r="K649" s="68"/>
      <c r="L649" s="68"/>
      <c r="M649" s="68"/>
      <c r="N649" s="68"/>
      <c r="O649" s="68"/>
      <c r="P649" s="68"/>
      <c r="Q649" s="68"/>
      <c r="R649" s="68"/>
      <c r="S649" s="68"/>
      <c r="T649" s="68"/>
      <c r="U649" s="68"/>
      <c r="V649" s="68"/>
      <c r="W649" s="68"/>
      <c r="X649" s="68"/>
      <c r="Y649" s="68"/>
      <c r="Z649" s="68"/>
    </row>
    <row r="650">
      <c r="A650" s="68"/>
      <c r="B650" s="68"/>
      <c r="C650" s="68"/>
      <c r="D650" s="68"/>
      <c r="E650" s="68"/>
      <c r="F650" s="68"/>
      <c r="G650" s="68"/>
      <c r="H650" s="68"/>
      <c r="I650" s="68"/>
      <c r="J650" s="68"/>
      <c r="K650" s="68"/>
      <c r="L650" s="68"/>
      <c r="M650" s="68"/>
      <c r="N650" s="68"/>
      <c r="O650" s="68"/>
      <c r="P650" s="68"/>
      <c r="Q650" s="68"/>
      <c r="R650" s="68"/>
      <c r="S650" s="68"/>
      <c r="T650" s="68"/>
      <c r="U650" s="68"/>
      <c r="V650" s="68"/>
      <c r="W650" s="68"/>
      <c r="X650" s="68"/>
      <c r="Y650" s="68"/>
      <c r="Z650" s="68"/>
    </row>
    <row r="651">
      <c r="A651" s="68"/>
      <c r="B651" s="68"/>
      <c r="C651" s="68"/>
      <c r="D651" s="68"/>
      <c r="E651" s="68"/>
      <c r="F651" s="68"/>
      <c r="G651" s="68"/>
      <c r="H651" s="68"/>
      <c r="I651" s="68"/>
      <c r="J651" s="68"/>
      <c r="K651" s="68"/>
      <c r="L651" s="68"/>
      <c r="M651" s="68"/>
      <c r="N651" s="68"/>
      <c r="O651" s="68"/>
      <c r="P651" s="68"/>
      <c r="Q651" s="68"/>
      <c r="R651" s="68"/>
      <c r="S651" s="68"/>
      <c r="T651" s="68"/>
      <c r="U651" s="68"/>
      <c r="V651" s="68"/>
      <c r="W651" s="68"/>
      <c r="X651" s="68"/>
      <c r="Y651" s="68"/>
      <c r="Z651" s="68"/>
    </row>
    <row r="652">
      <c r="A652" s="68"/>
      <c r="B652" s="68"/>
      <c r="C652" s="68"/>
      <c r="D652" s="68"/>
      <c r="E652" s="68"/>
      <c r="F652" s="68"/>
      <c r="G652" s="68"/>
      <c r="H652" s="68"/>
      <c r="I652" s="68"/>
      <c r="J652" s="68"/>
      <c r="K652" s="68"/>
      <c r="L652" s="68"/>
      <c r="M652" s="68"/>
      <c r="N652" s="68"/>
      <c r="O652" s="68"/>
      <c r="P652" s="68"/>
      <c r="Q652" s="68"/>
      <c r="R652" s="68"/>
      <c r="S652" s="68"/>
      <c r="T652" s="68"/>
      <c r="U652" s="68"/>
      <c r="V652" s="68"/>
      <c r="W652" s="68"/>
      <c r="X652" s="68"/>
      <c r="Y652" s="68"/>
      <c r="Z652" s="68"/>
    </row>
    <row r="653">
      <c r="A653" s="68"/>
      <c r="B653" s="68"/>
      <c r="C653" s="68"/>
      <c r="D653" s="68"/>
      <c r="E653" s="68"/>
      <c r="F653" s="68"/>
      <c r="G653" s="68"/>
      <c r="H653" s="68"/>
      <c r="I653" s="68"/>
      <c r="J653" s="68"/>
      <c r="K653" s="68"/>
      <c r="L653" s="68"/>
      <c r="M653" s="68"/>
      <c r="N653" s="68"/>
      <c r="O653" s="68"/>
      <c r="P653" s="68"/>
      <c r="Q653" s="68"/>
      <c r="R653" s="68"/>
      <c r="S653" s="68"/>
      <c r="T653" s="68"/>
      <c r="U653" s="68"/>
      <c r="V653" s="68"/>
      <c r="W653" s="68"/>
      <c r="X653" s="68"/>
      <c r="Y653" s="68"/>
      <c r="Z653" s="68"/>
    </row>
    <row r="654">
      <c r="A654" s="68"/>
      <c r="B654" s="68"/>
      <c r="C654" s="68"/>
      <c r="D654" s="68"/>
      <c r="E654" s="68"/>
      <c r="F654" s="68"/>
      <c r="G654" s="68"/>
      <c r="H654" s="68"/>
      <c r="I654" s="68"/>
      <c r="J654" s="68"/>
      <c r="K654" s="68"/>
      <c r="L654" s="68"/>
      <c r="M654" s="68"/>
      <c r="N654" s="68"/>
      <c r="O654" s="68"/>
      <c r="P654" s="68"/>
      <c r="Q654" s="68"/>
      <c r="R654" s="68"/>
      <c r="S654" s="68"/>
      <c r="T654" s="68"/>
      <c r="U654" s="68"/>
      <c r="V654" s="68"/>
      <c r="W654" s="68"/>
      <c r="X654" s="68"/>
      <c r="Y654" s="68"/>
      <c r="Z654" s="68"/>
    </row>
    <row r="655">
      <c r="A655" s="68"/>
      <c r="B655" s="68"/>
      <c r="C655" s="68"/>
      <c r="D655" s="68"/>
      <c r="E655" s="68"/>
      <c r="F655" s="68"/>
      <c r="G655" s="68"/>
      <c r="H655" s="68"/>
      <c r="I655" s="68"/>
      <c r="J655" s="68"/>
      <c r="K655" s="68"/>
      <c r="L655" s="68"/>
      <c r="M655" s="68"/>
      <c r="N655" s="68"/>
      <c r="O655" s="68"/>
      <c r="P655" s="68"/>
      <c r="Q655" s="68"/>
      <c r="R655" s="68"/>
      <c r="S655" s="68"/>
      <c r="T655" s="68"/>
      <c r="U655" s="68"/>
      <c r="V655" s="68"/>
      <c r="W655" s="68"/>
      <c r="X655" s="68"/>
      <c r="Y655" s="68"/>
      <c r="Z655" s="68"/>
    </row>
    <row r="656">
      <c r="A656" s="68"/>
      <c r="B656" s="68"/>
      <c r="C656" s="68"/>
      <c r="D656" s="68"/>
      <c r="E656" s="68"/>
      <c r="F656" s="68"/>
      <c r="G656" s="68"/>
      <c r="H656" s="68"/>
      <c r="I656" s="68"/>
      <c r="J656" s="68"/>
      <c r="K656" s="68"/>
      <c r="L656" s="68"/>
      <c r="M656" s="68"/>
      <c r="N656" s="68"/>
      <c r="O656" s="68"/>
      <c r="P656" s="68"/>
      <c r="Q656" s="68"/>
      <c r="R656" s="68"/>
      <c r="S656" s="68"/>
      <c r="T656" s="68"/>
      <c r="U656" s="68"/>
      <c r="V656" s="68"/>
      <c r="W656" s="68"/>
      <c r="X656" s="68"/>
      <c r="Y656" s="68"/>
      <c r="Z656" s="68"/>
    </row>
    <row r="657">
      <c r="A657" s="68"/>
      <c r="B657" s="68"/>
      <c r="C657" s="68"/>
      <c r="D657" s="68"/>
      <c r="E657" s="68"/>
      <c r="F657" s="68"/>
      <c r="G657" s="68"/>
      <c r="H657" s="68"/>
      <c r="I657" s="68"/>
      <c r="J657" s="68"/>
      <c r="K657" s="68"/>
      <c r="L657" s="68"/>
      <c r="M657" s="68"/>
      <c r="N657" s="68"/>
      <c r="O657" s="68"/>
      <c r="P657" s="68"/>
      <c r="Q657" s="68"/>
      <c r="R657" s="68"/>
      <c r="S657" s="68"/>
      <c r="T657" s="68"/>
      <c r="U657" s="68"/>
      <c r="V657" s="68"/>
      <c r="W657" s="68"/>
      <c r="X657" s="68"/>
      <c r="Y657" s="68"/>
      <c r="Z657" s="68"/>
    </row>
    <row r="658">
      <c r="A658" s="68"/>
      <c r="B658" s="68"/>
      <c r="C658" s="68"/>
      <c r="D658" s="68"/>
      <c r="E658" s="68"/>
      <c r="F658" s="68"/>
      <c r="G658" s="68"/>
      <c r="H658" s="68"/>
      <c r="I658" s="68"/>
      <c r="J658" s="68"/>
      <c r="K658" s="68"/>
      <c r="L658" s="68"/>
      <c r="M658" s="68"/>
      <c r="N658" s="68"/>
      <c r="O658" s="68"/>
      <c r="P658" s="68"/>
      <c r="Q658" s="68"/>
      <c r="R658" s="68"/>
      <c r="S658" s="68"/>
      <c r="T658" s="68"/>
      <c r="U658" s="68"/>
      <c r="V658" s="68"/>
      <c r="W658" s="68"/>
      <c r="X658" s="68"/>
      <c r="Y658" s="68"/>
      <c r="Z658" s="68"/>
    </row>
    <row r="659">
      <c r="A659" s="68"/>
      <c r="B659" s="68"/>
      <c r="C659" s="68"/>
      <c r="D659" s="68"/>
      <c r="E659" s="68"/>
      <c r="F659" s="68"/>
      <c r="G659" s="68"/>
      <c r="H659" s="68"/>
      <c r="I659" s="68"/>
      <c r="J659" s="68"/>
      <c r="K659" s="68"/>
      <c r="L659" s="68"/>
      <c r="M659" s="68"/>
      <c r="N659" s="68"/>
      <c r="O659" s="68"/>
      <c r="P659" s="68"/>
      <c r="Q659" s="68"/>
      <c r="R659" s="68"/>
      <c r="S659" s="68"/>
      <c r="T659" s="68"/>
      <c r="U659" s="68"/>
      <c r="V659" s="68"/>
      <c r="W659" s="68"/>
      <c r="X659" s="68"/>
      <c r="Y659" s="68"/>
      <c r="Z659" s="68"/>
    </row>
    <row r="660">
      <c r="A660" s="68"/>
      <c r="B660" s="68"/>
      <c r="C660" s="68"/>
      <c r="D660" s="68"/>
      <c r="E660" s="68"/>
      <c r="F660" s="68"/>
      <c r="G660" s="68"/>
      <c r="H660" s="68"/>
      <c r="I660" s="68"/>
      <c r="J660" s="68"/>
      <c r="K660" s="68"/>
      <c r="L660" s="68"/>
      <c r="M660" s="68"/>
      <c r="N660" s="68"/>
      <c r="O660" s="68"/>
      <c r="P660" s="68"/>
      <c r="Q660" s="68"/>
      <c r="R660" s="68"/>
      <c r="S660" s="68"/>
      <c r="T660" s="68"/>
      <c r="U660" s="68"/>
      <c r="V660" s="68"/>
      <c r="W660" s="68"/>
      <c r="X660" s="68"/>
      <c r="Y660" s="68"/>
      <c r="Z660" s="68"/>
    </row>
    <row r="661">
      <c r="A661" s="68"/>
      <c r="B661" s="68"/>
      <c r="C661" s="68"/>
      <c r="D661" s="68"/>
      <c r="E661" s="68"/>
      <c r="F661" s="68"/>
      <c r="G661" s="68"/>
      <c r="H661" s="68"/>
      <c r="I661" s="68"/>
      <c r="J661" s="68"/>
      <c r="K661" s="68"/>
      <c r="L661" s="68"/>
      <c r="M661" s="68"/>
      <c r="N661" s="68"/>
      <c r="O661" s="68"/>
      <c r="P661" s="68"/>
      <c r="Q661" s="68"/>
      <c r="R661" s="68"/>
      <c r="S661" s="68"/>
      <c r="T661" s="68"/>
      <c r="U661" s="68"/>
      <c r="V661" s="68"/>
      <c r="W661" s="68"/>
      <c r="X661" s="68"/>
      <c r="Y661" s="68"/>
      <c r="Z661" s="68"/>
    </row>
    <row r="662">
      <c r="A662" s="68"/>
      <c r="B662" s="68"/>
      <c r="C662" s="68"/>
      <c r="D662" s="68"/>
      <c r="E662" s="68"/>
      <c r="F662" s="68"/>
      <c r="G662" s="68"/>
      <c r="H662" s="68"/>
      <c r="I662" s="68"/>
      <c r="J662" s="68"/>
      <c r="K662" s="68"/>
      <c r="L662" s="68"/>
      <c r="M662" s="68"/>
      <c r="N662" s="68"/>
      <c r="O662" s="68"/>
      <c r="P662" s="68"/>
      <c r="Q662" s="68"/>
      <c r="R662" s="68"/>
      <c r="S662" s="68"/>
      <c r="T662" s="68"/>
      <c r="U662" s="68"/>
      <c r="V662" s="68"/>
      <c r="W662" s="68"/>
      <c r="X662" s="68"/>
      <c r="Y662" s="68"/>
      <c r="Z662" s="68"/>
    </row>
    <row r="663">
      <c r="A663" s="68"/>
      <c r="B663" s="68"/>
      <c r="C663" s="68"/>
      <c r="D663" s="68"/>
      <c r="E663" s="68"/>
      <c r="F663" s="68"/>
      <c r="G663" s="68"/>
      <c r="H663" s="68"/>
      <c r="I663" s="68"/>
      <c r="J663" s="68"/>
      <c r="K663" s="68"/>
      <c r="L663" s="68"/>
      <c r="M663" s="68"/>
      <c r="N663" s="68"/>
      <c r="O663" s="68"/>
      <c r="P663" s="68"/>
      <c r="Q663" s="68"/>
      <c r="R663" s="68"/>
      <c r="S663" s="68"/>
      <c r="T663" s="68"/>
      <c r="U663" s="68"/>
      <c r="V663" s="68"/>
      <c r="W663" s="68"/>
      <c r="X663" s="68"/>
      <c r="Y663" s="68"/>
      <c r="Z663" s="68"/>
    </row>
    <row r="664">
      <c r="A664" s="68"/>
      <c r="B664" s="68"/>
      <c r="C664" s="68"/>
      <c r="D664" s="68"/>
      <c r="E664" s="68"/>
      <c r="F664" s="68"/>
      <c r="G664" s="68"/>
      <c r="H664" s="68"/>
      <c r="I664" s="68"/>
      <c r="J664" s="68"/>
      <c r="K664" s="68"/>
      <c r="L664" s="68"/>
      <c r="M664" s="68"/>
      <c r="N664" s="68"/>
      <c r="O664" s="68"/>
      <c r="P664" s="68"/>
      <c r="Q664" s="68"/>
      <c r="R664" s="68"/>
      <c r="S664" s="68"/>
      <c r="T664" s="68"/>
      <c r="U664" s="68"/>
      <c r="V664" s="68"/>
      <c r="W664" s="68"/>
      <c r="X664" s="68"/>
      <c r="Y664" s="68"/>
      <c r="Z664" s="68"/>
    </row>
    <row r="665">
      <c r="A665" s="68"/>
      <c r="B665" s="68"/>
      <c r="C665" s="68"/>
      <c r="D665" s="68"/>
      <c r="E665" s="68"/>
      <c r="F665" s="68"/>
      <c r="G665" s="68"/>
      <c r="H665" s="68"/>
      <c r="I665" s="68"/>
      <c r="J665" s="68"/>
      <c r="K665" s="68"/>
      <c r="L665" s="68"/>
      <c r="M665" s="68"/>
      <c r="N665" s="68"/>
      <c r="O665" s="68"/>
      <c r="P665" s="68"/>
      <c r="Q665" s="68"/>
      <c r="R665" s="68"/>
      <c r="S665" s="68"/>
      <c r="T665" s="68"/>
      <c r="U665" s="68"/>
      <c r="V665" s="68"/>
      <c r="W665" s="68"/>
      <c r="X665" s="68"/>
      <c r="Y665" s="68"/>
      <c r="Z665" s="68"/>
    </row>
    <row r="666">
      <c r="A666" s="68"/>
      <c r="B666" s="68"/>
      <c r="C666" s="68"/>
      <c r="D666" s="68"/>
      <c r="E666" s="68"/>
      <c r="F666" s="68"/>
      <c r="G666" s="68"/>
      <c r="H666" s="68"/>
      <c r="I666" s="68"/>
      <c r="J666" s="68"/>
      <c r="K666" s="68"/>
      <c r="L666" s="68"/>
      <c r="M666" s="68"/>
      <c r="N666" s="68"/>
      <c r="O666" s="68"/>
      <c r="P666" s="68"/>
      <c r="Q666" s="68"/>
      <c r="R666" s="68"/>
      <c r="S666" s="68"/>
      <c r="T666" s="68"/>
      <c r="U666" s="68"/>
      <c r="V666" s="68"/>
      <c r="W666" s="68"/>
      <c r="X666" s="68"/>
      <c r="Y666" s="68"/>
      <c r="Z666" s="68"/>
    </row>
    <row r="667">
      <c r="A667" s="68"/>
      <c r="B667" s="68"/>
      <c r="C667" s="68"/>
      <c r="D667" s="68"/>
      <c r="E667" s="68"/>
      <c r="F667" s="68"/>
      <c r="G667" s="68"/>
      <c r="H667" s="68"/>
      <c r="I667" s="68"/>
      <c r="J667" s="68"/>
      <c r="K667" s="68"/>
      <c r="L667" s="68"/>
      <c r="M667" s="68"/>
      <c r="N667" s="68"/>
      <c r="O667" s="68"/>
      <c r="P667" s="68"/>
      <c r="Q667" s="68"/>
      <c r="R667" s="68"/>
      <c r="S667" s="68"/>
      <c r="T667" s="68"/>
      <c r="U667" s="68"/>
      <c r="V667" s="68"/>
      <c r="W667" s="68"/>
      <c r="X667" s="68"/>
      <c r="Y667" s="68"/>
      <c r="Z667" s="68"/>
    </row>
    <row r="668">
      <c r="A668" s="68"/>
      <c r="B668" s="68"/>
      <c r="C668" s="68"/>
      <c r="D668" s="68"/>
      <c r="E668" s="68"/>
      <c r="F668" s="68"/>
      <c r="G668" s="68"/>
      <c r="H668" s="68"/>
      <c r="I668" s="68"/>
      <c r="J668" s="68"/>
      <c r="K668" s="68"/>
      <c r="L668" s="68"/>
      <c r="M668" s="68"/>
      <c r="N668" s="68"/>
      <c r="O668" s="68"/>
      <c r="P668" s="68"/>
      <c r="Q668" s="68"/>
      <c r="R668" s="68"/>
      <c r="S668" s="68"/>
      <c r="T668" s="68"/>
      <c r="U668" s="68"/>
      <c r="V668" s="68"/>
      <c r="W668" s="68"/>
      <c r="X668" s="68"/>
      <c r="Y668" s="68"/>
      <c r="Z668" s="68"/>
    </row>
    <row r="669">
      <c r="A669" s="68"/>
      <c r="B669" s="68"/>
      <c r="C669" s="68"/>
      <c r="D669" s="68"/>
      <c r="E669" s="68"/>
      <c r="F669" s="68"/>
      <c r="G669" s="68"/>
      <c r="H669" s="68"/>
      <c r="I669" s="68"/>
      <c r="J669" s="68"/>
      <c r="K669" s="68"/>
      <c r="L669" s="68"/>
      <c r="M669" s="68"/>
      <c r="N669" s="68"/>
      <c r="O669" s="68"/>
      <c r="P669" s="68"/>
      <c r="Q669" s="68"/>
      <c r="R669" s="68"/>
      <c r="S669" s="68"/>
      <c r="T669" s="68"/>
      <c r="U669" s="68"/>
      <c r="V669" s="68"/>
      <c r="W669" s="68"/>
      <c r="X669" s="68"/>
      <c r="Y669" s="68"/>
      <c r="Z669" s="68"/>
    </row>
    <row r="670">
      <c r="A670" s="68"/>
      <c r="B670" s="68"/>
      <c r="C670" s="68"/>
      <c r="D670" s="68"/>
      <c r="E670" s="68"/>
      <c r="F670" s="68"/>
      <c r="G670" s="68"/>
      <c r="H670" s="68"/>
      <c r="I670" s="68"/>
      <c r="J670" s="68"/>
      <c r="K670" s="68"/>
      <c r="L670" s="68"/>
      <c r="M670" s="68"/>
      <c r="N670" s="68"/>
      <c r="O670" s="68"/>
      <c r="P670" s="68"/>
      <c r="Q670" s="68"/>
      <c r="R670" s="68"/>
      <c r="S670" s="68"/>
      <c r="T670" s="68"/>
      <c r="U670" s="68"/>
      <c r="V670" s="68"/>
      <c r="W670" s="68"/>
      <c r="X670" s="68"/>
      <c r="Y670" s="68"/>
      <c r="Z670" s="68"/>
    </row>
    <row r="671">
      <c r="A671" s="68"/>
      <c r="B671" s="68"/>
      <c r="C671" s="68"/>
      <c r="D671" s="68"/>
      <c r="E671" s="68"/>
      <c r="F671" s="68"/>
      <c r="G671" s="68"/>
      <c r="H671" s="68"/>
      <c r="I671" s="68"/>
      <c r="J671" s="68"/>
      <c r="K671" s="68"/>
      <c r="L671" s="68"/>
      <c r="M671" s="68"/>
      <c r="N671" s="68"/>
      <c r="O671" s="68"/>
      <c r="P671" s="68"/>
      <c r="Q671" s="68"/>
      <c r="R671" s="68"/>
      <c r="S671" s="68"/>
      <c r="T671" s="68"/>
      <c r="U671" s="68"/>
      <c r="V671" s="68"/>
      <c r="W671" s="68"/>
      <c r="X671" s="68"/>
      <c r="Y671" s="68"/>
      <c r="Z671" s="68"/>
    </row>
    <row r="672">
      <c r="A672" s="68"/>
      <c r="B672" s="68"/>
      <c r="C672" s="68"/>
      <c r="D672" s="68"/>
      <c r="E672" s="68"/>
      <c r="F672" s="68"/>
      <c r="G672" s="68"/>
      <c r="H672" s="68"/>
      <c r="I672" s="68"/>
      <c r="J672" s="68"/>
      <c r="K672" s="68"/>
      <c r="L672" s="68"/>
      <c r="M672" s="68"/>
      <c r="N672" s="68"/>
      <c r="O672" s="68"/>
      <c r="P672" s="68"/>
      <c r="Q672" s="68"/>
      <c r="R672" s="68"/>
      <c r="S672" s="68"/>
      <c r="T672" s="68"/>
      <c r="U672" s="68"/>
      <c r="V672" s="68"/>
      <c r="W672" s="68"/>
      <c r="X672" s="68"/>
      <c r="Y672" s="68"/>
      <c r="Z672" s="68"/>
    </row>
    <row r="673">
      <c r="A673" s="68"/>
      <c r="B673" s="68"/>
      <c r="C673" s="68"/>
      <c r="D673" s="68"/>
      <c r="E673" s="68"/>
      <c r="F673" s="68"/>
      <c r="G673" s="68"/>
      <c r="H673" s="68"/>
      <c r="I673" s="68"/>
      <c r="J673" s="68"/>
      <c r="K673" s="68"/>
      <c r="L673" s="68"/>
      <c r="M673" s="68"/>
      <c r="N673" s="68"/>
      <c r="O673" s="68"/>
      <c r="P673" s="68"/>
      <c r="Q673" s="68"/>
      <c r="R673" s="68"/>
      <c r="S673" s="68"/>
      <c r="T673" s="68"/>
      <c r="U673" s="68"/>
      <c r="V673" s="68"/>
      <c r="W673" s="68"/>
      <c r="X673" s="68"/>
      <c r="Y673" s="68"/>
      <c r="Z673" s="68"/>
    </row>
    <row r="674">
      <c r="A674" s="68"/>
      <c r="B674" s="68"/>
      <c r="C674" s="68"/>
      <c r="D674" s="68"/>
      <c r="E674" s="68"/>
      <c r="F674" s="68"/>
      <c r="G674" s="68"/>
      <c r="H674" s="68"/>
      <c r="I674" s="68"/>
      <c r="J674" s="68"/>
      <c r="K674" s="68"/>
      <c r="L674" s="68"/>
      <c r="M674" s="68"/>
      <c r="N674" s="68"/>
      <c r="O674" s="68"/>
      <c r="P674" s="68"/>
      <c r="Q674" s="68"/>
      <c r="R674" s="68"/>
      <c r="S674" s="68"/>
      <c r="T674" s="68"/>
      <c r="U674" s="68"/>
      <c r="V674" s="68"/>
      <c r="W674" s="68"/>
      <c r="X674" s="68"/>
      <c r="Y674" s="68"/>
      <c r="Z674" s="68"/>
    </row>
    <row r="675">
      <c r="A675" s="68"/>
      <c r="B675" s="68"/>
      <c r="C675" s="68"/>
      <c r="D675" s="68"/>
      <c r="E675" s="68"/>
      <c r="F675" s="68"/>
      <c r="G675" s="68"/>
      <c r="H675" s="68"/>
      <c r="I675" s="68"/>
      <c r="J675" s="68"/>
      <c r="K675" s="68"/>
      <c r="L675" s="68"/>
      <c r="M675" s="68"/>
      <c r="N675" s="68"/>
      <c r="O675" s="68"/>
      <c r="P675" s="68"/>
      <c r="Q675" s="68"/>
      <c r="R675" s="68"/>
      <c r="S675" s="68"/>
      <c r="T675" s="68"/>
      <c r="U675" s="68"/>
      <c r="V675" s="68"/>
      <c r="W675" s="68"/>
      <c r="X675" s="68"/>
      <c r="Y675" s="68"/>
      <c r="Z675" s="68"/>
    </row>
    <row r="676">
      <c r="A676" s="68"/>
      <c r="B676" s="68"/>
      <c r="C676" s="68"/>
      <c r="D676" s="68"/>
      <c r="E676" s="68"/>
      <c r="F676" s="68"/>
      <c r="G676" s="68"/>
      <c r="H676" s="68"/>
      <c r="I676" s="68"/>
      <c r="J676" s="68"/>
      <c r="K676" s="68"/>
      <c r="L676" s="68"/>
      <c r="M676" s="68"/>
      <c r="N676" s="68"/>
      <c r="O676" s="68"/>
      <c r="P676" s="68"/>
      <c r="Q676" s="68"/>
      <c r="R676" s="68"/>
      <c r="S676" s="68"/>
      <c r="T676" s="68"/>
      <c r="U676" s="68"/>
      <c r="V676" s="68"/>
      <c r="W676" s="68"/>
      <c r="X676" s="68"/>
      <c r="Y676" s="68"/>
      <c r="Z676" s="68"/>
    </row>
    <row r="677">
      <c r="A677" s="68"/>
      <c r="B677" s="68"/>
      <c r="C677" s="68"/>
      <c r="D677" s="68"/>
      <c r="E677" s="68"/>
      <c r="F677" s="68"/>
      <c r="G677" s="68"/>
      <c r="H677" s="68"/>
      <c r="I677" s="68"/>
      <c r="J677" s="68"/>
      <c r="K677" s="68"/>
      <c r="L677" s="68"/>
      <c r="M677" s="68"/>
      <c r="N677" s="68"/>
      <c r="O677" s="68"/>
      <c r="P677" s="68"/>
      <c r="Q677" s="68"/>
      <c r="R677" s="68"/>
      <c r="S677" s="68"/>
      <c r="T677" s="68"/>
      <c r="U677" s="68"/>
      <c r="V677" s="68"/>
      <c r="W677" s="68"/>
      <c r="X677" s="68"/>
      <c r="Y677" s="68"/>
      <c r="Z677" s="68"/>
    </row>
    <row r="678">
      <c r="A678" s="68"/>
      <c r="B678" s="68"/>
      <c r="C678" s="68"/>
      <c r="D678" s="68"/>
      <c r="E678" s="68"/>
      <c r="F678" s="68"/>
      <c r="G678" s="68"/>
      <c r="H678" s="68"/>
      <c r="I678" s="68"/>
      <c r="J678" s="68"/>
      <c r="K678" s="68"/>
      <c r="L678" s="68"/>
      <c r="M678" s="68"/>
      <c r="N678" s="68"/>
      <c r="O678" s="68"/>
      <c r="P678" s="68"/>
      <c r="Q678" s="68"/>
      <c r="R678" s="68"/>
      <c r="S678" s="68"/>
      <c r="T678" s="68"/>
      <c r="U678" s="68"/>
      <c r="V678" s="68"/>
      <c r="W678" s="68"/>
      <c r="X678" s="68"/>
      <c r="Y678" s="68"/>
      <c r="Z678" s="68"/>
    </row>
    <row r="679">
      <c r="A679" s="68"/>
      <c r="B679" s="68"/>
      <c r="C679" s="68"/>
      <c r="D679" s="68"/>
      <c r="E679" s="68"/>
      <c r="F679" s="68"/>
      <c r="G679" s="68"/>
      <c r="H679" s="68"/>
      <c r="I679" s="68"/>
      <c r="J679" s="68"/>
      <c r="K679" s="68"/>
      <c r="L679" s="68"/>
      <c r="M679" s="68"/>
      <c r="N679" s="68"/>
      <c r="O679" s="68"/>
      <c r="P679" s="68"/>
      <c r="Q679" s="68"/>
      <c r="R679" s="68"/>
      <c r="S679" s="68"/>
      <c r="T679" s="68"/>
      <c r="U679" s="68"/>
      <c r="V679" s="68"/>
      <c r="W679" s="68"/>
      <c r="X679" s="68"/>
      <c r="Y679" s="68"/>
      <c r="Z679" s="68"/>
    </row>
    <row r="680">
      <c r="A680" s="68"/>
      <c r="B680" s="68"/>
      <c r="C680" s="68"/>
      <c r="D680" s="68"/>
      <c r="E680" s="68"/>
      <c r="F680" s="68"/>
      <c r="G680" s="68"/>
      <c r="H680" s="68"/>
      <c r="I680" s="68"/>
      <c r="J680" s="68"/>
      <c r="K680" s="68"/>
      <c r="L680" s="68"/>
      <c r="M680" s="68"/>
      <c r="N680" s="68"/>
      <c r="O680" s="68"/>
      <c r="P680" s="68"/>
      <c r="Q680" s="68"/>
      <c r="R680" s="68"/>
      <c r="S680" s="68"/>
      <c r="T680" s="68"/>
      <c r="U680" s="68"/>
      <c r="V680" s="68"/>
      <c r="W680" s="68"/>
      <c r="X680" s="68"/>
      <c r="Y680" s="68"/>
      <c r="Z680" s="68"/>
    </row>
    <row r="681">
      <c r="A681" s="68"/>
      <c r="B681" s="68"/>
      <c r="C681" s="68"/>
      <c r="D681" s="68"/>
      <c r="E681" s="68"/>
      <c r="F681" s="68"/>
      <c r="G681" s="68"/>
      <c r="H681" s="68"/>
      <c r="I681" s="68"/>
      <c r="J681" s="68"/>
      <c r="K681" s="68"/>
      <c r="L681" s="68"/>
      <c r="M681" s="68"/>
      <c r="N681" s="68"/>
      <c r="O681" s="68"/>
      <c r="P681" s="68"/>
      <c r="Q681" s="68"/>
      <c r="R681" s="68"/>
      <c r="S681" s="68"/>
      <c r="T681" s="68"/>
      <c r="U681" s="68"/>
      <c r="V681" s="68"/>
      <c r="W681" s="68"/>
      <c r="X681" s="68"/>
      <c r="Y681" s="68"/>
      <c r="Z681" s="68"/>
    </row>
    <row r="682">
      <c r="A682" s="68"/>
      <c r="B682" s="68"/>
      <c r="C682" s="68"/>
      <c r="D682" s="68"/>
      <c r="E682" s="68"/>
      <c r="F682" s="68"/>
      <c r="G682" s="68"/>
      <c r="H682" s="68"/>
      <c r="I682" s="68"/>
      <c r="J682" s="68"/>
      <c r="K682" s="68"/>
      <c r="L682" s="68"/>
      <c r="M682" s="68"/>
      <c r="N682" s="68"/>
      <c r="O682" s="68"/>
      <c r="P682" s="68"/>
      <c r="Q682" s="68"/>
      <c r="R682" s="68"/>
      <c r="S682" s="68"/>
      <c r="T682" s="68"/>
      <c r="U682" s="68"/>
      <c r="V682" s="68"/>
      <c r="W682" s="68"/>
      <c r="X682" s="68"/>
      <c r="Y682" s="68"/>
      <c r="Z682" s="68"/>
    </row>
    <row r="683">
      <c r="A683" s="68"/>
      <c r="B683" s="68"/>
      <c r="C683" s="68"/>
      <c r="D683" s="68"/>
      <c r="E683" s="68"/>
      <c r="F683" s="68"/>
      <c r="G683" s="68"/>
      <c r="H683" s="68"/>
      <c r="I683" s="68"/>
      <c r="J683" s="68"/>
      <c r="K683" s="68"/>
      <c r="L683" s="68"/>
      <c r="M683" s="68"/>
      <c r="N683" s="68"/>
      <c r="O683" s="68"/>
      <c r="P683" s="68"/>
      <c r="Q683" s="68"/>
      <c r="R683" s="68"/>
      <c r="S683" s="68"/>
      <c r="T683" s="68"/>
      <c r="U683" s="68"/>
      <c r="V683" s="68"/>
      <c r="W683" s="68"/>
      <c r="X683" s="68"/>
      <c r="Y683" s="68"/>
      <c r="Z683" s="68"/>
    </row>
    <row r="684">
      <c r="A684" s="68"/>
      <c r="B684" s="68"/>
      <c r="C684" s="68"/>
      <c r="D684" s="68"/>
      <c r="E684" s="68"/>
      <c r="F684" s="68"/>
      <c r="G684" s="68"/>
      <c r="H684" s="68"/>
      <c r="I684" s="68"/>
      <c r="J684" s="68"/>
      <c r="K684" s="68"/>
      <c r="L684" s="68"/>
      <c r="M684" s="68"/>
      <c r="N684" s="68"/>
      <c r="O684" s="68"/>
      <c r="P684" s="68"/>
      <c r="Q684" s="68"/>
      <c r="R684" s="68"/>
      <c r="S684" s="68"/>
      <c r="T684" s="68"/>
      <c r="U684" s="68"/>
      <c r="V684" s="68"/>
      <c r="W684" s="68"/>
      <c r="X684" s="68"/>
      <c r="Y684" s="68"/>
      <c r="Z684" s="68"/>
    </row>
    <row r="685">
      <c r="A685" s="68"/>
      <c r="B685" s="68"/>
      <c r="C685" s="68"/>
      <c r="D685" s="68"/>
      <c r="E685" s="68"/>
      <c r="F685" s="68"/>
      <c r="G685" s="68"/>
      <c r="H685" s="68"/>
      <c r="I685" s="68"/>
      <c r="J685" s="68"/>
      <c r="K685" s="68"/>
      <c r="L685" s="68"/>
      <c r="M685" s="68"/>
      <c r="N685" s="68"/>
      <c r="O685" s="68"/>
      <c r="P685" s="68"/>
      <c r="Q685" s="68"/>
      <c r="R685" s="68"/>
      <c r="S685" s="68"/>
      <c r="T685" s="68"/>
      <c r="U685" s="68"/>
      <c r="V685" s="68"/>
      <c r="W685" s="68"/>
      <c r="X685" s="68"/>
      <c r="Y685" s="68"/>
      <c r="Z685" s="68"/>
    </row>
    <row r="686">
      <c r="A686" s="68"/>
      <c r="B686" s="68"/>
      <c r="C686" s="68"/>
      <c r="D686" s="68"/>
      <c r="E686" s="68"/>
      <c r="F686" s="68"/>
      <c r="G686" s="68"/>
      <c r="H686" s="68"/>
      <c r="I686" s="68"/>
      <c r="J686" s="68"/>
      <c r="K686" s="68"/>
      <c r="L686" s="68"/>
      <c r="M686" s="68"/>
      <c r="N686" s="68"/>
      <c r="O686" s="68"/>
      <c r="P686" s="68"/>
      <c r="Q686" s="68"/>
      <c r="R686" s="68"/>
      <c r="S686" s="68"/>
      <c r="T686" s="68"/>
      <c r="U686" s="68"/>
      <c r="V686" s="68"/>
      <c r="W686" s="68"/>
      <c r="X686" s="68"/>
      <c r="Y686" s="68"/>
      <c r="Z686" s="68"/>
    </row>
    <row r="687">
      <c r="A687" s="68"/>
      <c r="B687" s="68"/>
      <c r="C687" s="68"/>
      <c r="D687" s="68"/>
      <c r="E687" s="68"/>
      <c r="F687" s="68"/>
      <c r="G687" s="68"/>
      <c r="H687" s="68"/>
      <c r="I687" s="68"/>
      <c r="J687" s="68"/>
      <c r="K687" s="68"/>
      <c r="L687" s="68"/>
      <c r="M687" s="68"/>
      <c r="N687" s="68"/>
      <c r="O687" s="68"/>
      <c r="P687" s="68"/>
      <c r="Q687" s="68"/>
      <c r="R687" s="68"/>
      <c r="S687" s="68"/>
      <c r="T687" s="68"/>
      <c r="U687" s="68"/>
      <c r="V687" s="68"/>
      <c r="W687" s="68"/>
      <c r="X687" s="68"/>
      <c r="Y687" s="68"/>
      <c r="Z687" s="68"/>
    </row>
    <row r="688">
      <c r="A688" s="68"/>
      <c r="B688" s="68"/>
      <c r="C688" s="68"/>
      <c r="D688" s="68"/>
      <c r="E688" s="68"/>
      <c r="F688" s="68"/>
      <c r="G688" s="68"/>
      <c r="H688" s="68"/>
      <c r="I688" s="68"/>
      <c r="J688" s="68"/>
      <c r="K688" s="68"/>
      <c r="L688" s="68"/>
      <c r="M688" s="68"/>
      <c r="N688" s="68"/>
      <c r="O688" s="68"/>
      <c r="P688" s="68"/>
      <c r="Q688" s="68"/>
      <c r="R688" s="68"/>
      <c r="S688" s="68"/>
      <c r="T688" s="68"/>
      <c r="U688" s="68"/>
      <c r="V688" s="68"/>
      <c r="W688" s="68"/>
      <c r="X688" s="68"/>
      <c r="Y688" s="68"/>
      <c r="Z688" s="68"/>
    </row>
    <row r="689">
      <c r="A689" s="68"/>
      <c r="B689" s="68"/>
      <c r="C689" s="68"/>
      <c r="D689" s="68"/>
      <c r="E689" s="68"/>
      <c r="F689" s="68"/>
      <c r="G689" s="68"/>
      <c r="H689" s="68"/>
      <c r="I689" s="68"/>
      <c r="J689" s="68"/>
      <c r="K689" s="68"/>
      <c r="L689" s="68"/>
      <c r="M689" s="68"/>
      <c r="N689" s="68"/>
      <c r="O689" s="68"/>
      <c r="P689" s="68"/>
      <c r="Q689" s="68"/>
      <c r="R689" s="68"/>
      <c r="S689" s="68"/>
      <c r="T689" s="68"/>
      <c r="U689" s="68"/>
      <c r="V689" s="68"/>
      <c r="W689" s="68"/>
      <c r="X689" s="68"/>
      <c r="Y689" s="68"/>
      <c r="Z689" s="68"/>
    </row>
    <row r="690">
      <c r="A690" s="68"/>
      <c r="B690" s="68"/>
      <c r="C690" s="68"/>
      <c r="D690" s="68"/>
      <c r="E690" s="68"/>
      <c r="F690" s="68"/>
      <c r="G690" s="68"/>
      <c r="H690" s="68"/>
      <c r="I690" s="68"/>
      <c r="J690" s="68"/>
      <c r="K690" s="68"/>
      <c r="L690" s="68"/>
      <c r="M690" s="68"/>
      <c r="N690" s="68"/>
      <c r="O690" s="68"/>
      <c r="P690" s="68"/>
      <c r="Q690" s="68"/>
      <c r="R690" s="68"/>
      <c r="S690" s="68"/>
      <c r="T690" s="68"/>
      <c r="U690" s="68"/>
      <c r="V690" s="68"/>
      <c r="W690" s="68"/>
      <c r="X690" s="68"/>
      <c r="Y690" s="68"/>
      <c r="Z690" s="68"/>
    </row>
    <row r="691">
      <c r="A691" s="68"/>
      <c r="B691" s="68"/>
      <c r="C691" s="68"/>
      <c r="D691" s="68"/>
      <c r="E691" s="68"/>
      <c r="F691" s="68"/>
      <c r="G691" s="68"/>
      <c r="H691" s="68"/>
      <c r="I691" s="68"/>
      <c r="J691" s="68"/>
      <c r="K691" s="68"/>
      <c r="L691" s="68"/>
      <c r="M691" s="68"/>
      <c r="N691" s="68"/>
      <c r="O691" s="68"/>
      <c r="P691" s="68"/>
      <c r="Q691" s="68"/>
      <c r="R691" s="68"/>
      <c r="S691" s="68"/>
      <c r="T691" s="68"/>
      <c r="U691" s="68"/>
      <c r="V691" s="68"/>
      <c r="W691" s="68"/>
      <c r="X691" s="68"/>
      <c r="Y691" s="68"/>
      <c r="Z691" s="68"/>
    </row>
    <row r="692">
      <c r="A692" s="68"/>
      <c r="B692" s="68"/>
      <c r="C692" s="68"/>
      <c r="D692" s="68"/>
      <c r="E692" s="68"/>
      <c r="F692" s="68"/>
      <c r="G692" s="68"/>
      <c r="H692" s="68"/>
      <c r="I692" s="68"/>
      <c r="J692" s="68"/>
      <c r="K692" s="68"/>
      <c r="L692" s="68"/>
      <c r="M692" s="68"/>
      <c r="N692" s="68"/>
      <c r="O692" s="68"/>
      <c r="P692" s="68"/>
      <c r="Q692" s="68"/>
      <c r="R692" s="68"/>
      <c r="S692" s="68"/>
      <c r="T692" s="68"/>
      <c r="U692" s="68"/>
      <c r="V692" s="68"/>
      <c r="W692" s="68"/>
      <c r="X692" s="68"/>
      <c r="Y692" s="68"/>
      <c r="Z692" s="68"/>
    </row>
    <row r="693">
      <c r="A693" s="68"/>
      <c r="B693" s="68"/>
      <c r="C693" s="68"/>
      <c r="D693" s="68"/>
      <c r="E693" s="68"/>
      <c r="F693" s="68"/>
      <c r="G693" s="68"/>
      <c r="H693" s="68"/>
      <c r="I693" s="68"/>
      <c r="J693" s="68"/>
      <c r="K693" s="68"/>
      <c r="L693" s="68"/>
      <c r="M693" s="68"/>
      <c r="N693" s="68"/>
      <c r="O693" s="68"/>
      <c r="P693" s="68"/>
      <c r="Q693" s="68"/>
      <c r="R693" s="68"/>
      <c r="S693" s="68"/>
      <c r="T693" s="68"/>
      <c r="U693" s="68"/>
      <c r="V693" s="68"/>
      <c r="W693" s="68"/>
      <c r="X693" s="68"/>
      <c r="Y693" s="68"/>
      <c r="Z693" s="68"/>
    </row>
    <row r="694">
      <c r="A694" s="68"/>
      <c r="B694" s="68"/>
      <c r="C694" s="68"/>
      <c r="D694" s="68"/>
      <c r="E694" s="68"/>
      <c r="F694" s="68"/>
      <c r="G694" s="68"/>
      <c r="H694" s="68"/>
      <c r="I694" s="68"/>
      <c r="J694" s="68"/>
      <c r="K694" s="68"/>
      <c r="L694" s="68"/>
      <c r="M694" s="68"/>
      <c r="N694" s="68"/>
      <c r="O694" s="68"/>
      <c r="P694" s="68"/>
      <c r="Q694" s="68"/>
      <c r="R694" s="68"/>
      <c r="S694" s="68"/>
      <c r="T694" s="68"/>
      <c r="U694" s="68"/>
      <c r="V694" s="68"/>
      <c r="W694" s="68"/>
      <c r="X694" s="68"/>
      <c r="Y694" s="68"/>
      <c r="Z694" s="68"/>
    </row>
    <row r="695">
      <c r="A695" s="68"/>
      <c r="B695" s="68"/>
      <c r="C695" s="68"/>
      <c r="D695" s="68"/>
      <c r="E695" s="68"/>
      <c r="F695" s="68"/>
      <c r="G695" s="68"/>
      <c r="H695" s="68"/>
      <c r="I695" s="68"/>
      <c r="J695" s="68"/>
      <c r="K695" s="68"/>
      <c r="L695" s="68"/>
      <c r="M695" s="68"/>
      <c r="N695" s="68"/>
      <c r="O695" s="68"/>
      <c r="P695" s="68"/>
      <c r="Q695" s="68"/>
      <c r="R695" s="68"/>
      <c r="S695" s="68"/>
      <c r="T695" s="68"/>
      <c r="U695" s="68"/>
      <c r="V695" s="68"/>
      <c r="W695" s="68"/>
      <c r="X695" s="68"/>
      <c r="Y695" s="68"/>
      <c r="Z695" s="68"/>
    </row>
    <row r="696">
      <c r="A696" s="68"/>
      <c r="B696" s="68"/>
      <c r="C696" s="68"/>
      <c r="D696" s="68"/>
      <c r="E696" s="68"/>
      <c r="F696" s="68"/>
      <c r="G696" s="68"/>
      <c r="H696" s="68"/>
      <c r="I696" s="68"/>
      <c r="J696" s="68"/>
      <c r="K696" s="68"/>
      <c r="L696" s="68"/>
      <c r="M696" s="68"/>
      <c r="N696" s="68"/>
      <c r="O696" s="68"/>
      <c r="P696" s="68"/>
      <c r="Q696" s="68"/>
      <c r="R696" s="68"/>
      <c r="S696" s="68"/>
      <c r="T696" s="68"/>
      <c r="U696" s="68"/>
      <c r="V696" s="68"/>
      <c r="W696" s="68"/>
      <c r="X696" s="68"/>
      <c r="Y696" s="68"/>
      <c r="Z696" s="68"/>
    </row>
    <row r="697">
      <c r="A697" s="68"/>
      <c r="B697" s="68"/>
      <c r="C697" s="68"/>
      <c r="D697" s="68"/>
      <c r="E697" s="68"/>
      <c r="F697" s="68"/>
      <c r="G697" s="68"/>
      <c r="H697" s="68"/>
      <c r="I697" s="68"/>
      <c r="J697" s="68"/>
      <c r="K697" s="68"/>
      <c r="L697" s="68"/>
      <c r="M697" s="68"/>
      <c r="N697" s="68"/>
      <c r="O697" s="68"/>
      <c r="P697" s="68"/>
      <c r="Q697" s="68"/>
      <c r="R697" s="68"/>
      <c r="S697" s="68"/>
      <c r="T697" s="68"/>
      <c r="U697" s="68"/>
      <c r="V697" s="68"/>
      <c r="W697" s="68"/>
      <c r="X697" s="68"/>
      <c r="Y697" s="68"/>
      <c r="Z697" s="68"/>
    </row>
    <row r="698">
      <c r="A698" s="68"/>
      <c r="B698" s="68"/>
      <c r="C698" s="68"/>
      <c r="D698" s="68"/>
      <c r="E698" s="68"/>
      <c r="F698" s="68"/>
      <c r="G698" s="68"/>
      <c r="H698" s="68"/>
      <c r="I698" s="68"/>
      <c r="J698" s="68"/>
      <c r="K698" s="68"/>
      <c r="L698" s="68"/>
      <c r="M698" s="68"/>
      <c r="N698" s="68"/>
      <c r="O698" s="68"/>
      <c r="P698" s="68"/>
      <c r="Q698" s="68"/>
      <c r="R698" s="68"/>
      <c r="S698" s="68"/>
      <c r="T698" s="68"/>
      <c r="U698" s="68"/>
      <c r="V698" s="68"/>
      <c r="W698" s="68"/>
      <c r="X698" s="68"/>
      <c r="Y698" s="68"/>
      <c r="Z698" s="68"/>
    </row>
    <row r="699">
      <c r="A699" s="68"/>
      <c r="B699" s="68"/>
      <c r="C699" s="68"/>
      <c r="D699" s="68"/>
      <c r="E699" s="68"/>
      <c r="F699" s="68"/>
      <c r="G699" s="68"/>
      <c r="H699" s="68"/>
      <c r="I699" s="68"/>
      <c r="J699" s="68"/>
      <c r="K699" s="68"/>
      <c r="L699" s="68"/>
      <c r="M699" s="68"/>
      <c r="N699" s="68"/>
      <c r="O699" s="68"/>
      <c r="P699" s="68"/>
      <c r="Q699" s="68"/>
      <c r="R699" s="68"/>
      <c r="S699" s="68"/>
      <c r="T699" s="68"/>
      <c r="U699" s="68"/>
      <c r="V699" s="68"/>
      <c r="W699" s="68"/>
      <c r="X699" s="68"/>
      <c r="Y699" s="68"/>
      <c r="Z699" s="68"/>
    </row>
    <row r="700">
      <c r="A700" s="68"/>
      <c r="B700" s="68"/>
      <c r="C700" s="68"/>
      <c r="D700" s="68"/>
      <c r="E700" s="68"/>
      <c r="F700" s="68"/>
      <c r="G700" s="68"/>
      <c r="H700" s="68"/>
      <c r="I700" s="68"/>
      <c r="J700" s="68"/>
      <c r="K700" s="68"/>
      <c r="L700" s="68"/>
      <c r="M700" s="68"/>
      <c r="N700" s="68"/>
      <c r="O700" s="68"/>
      <c r="P700" s="68"/>
      <c r="Q700" s="68"/>
      <c r="R700" s="68"/>
      <c r="S700" s="68"/>
      <c r="T700" s="68"/>
      <c r="U700" s="68"/>
      <c r="V700" s="68"/>
      <c r="W700" s="68"/>
      <c r="X700" s="68"/>
      <c r="Y700" s="68"/>
      <c r="Z700" s="68"/>
    </row>
    <row r="701">
      <c r="A701" s="68"/>
      <c r="B701" s="68"/>
      <c r="C701" s="68"/>
      <c r="D701" s="68"/>
      <c r="E701" s="68"/>
      <c r="F701" s="68"/>
      <c r="G701" s="68"/>
      <c r="H701" s="68"/>
      <c r="I701" s="68"/>
      <c r="J701" s="68"/>
      <c r="K701" s="68"/>
      <c r="L701" s="68"/>
      <c r="M701" s="68"/>
      <c r="N701" s="68"/>
      <c r="O701" s="68"/>
      <c r="P701" s="68"/>
      <c r="Q701" s="68"/>
      <c r="R701" s="68"/>
      <c r="S701" s="68"/>
      <c r="T701" s="68"/>
      <c r="U701" s="68"/>
      <c r="V701" s="68"/>
      <c r="W701" s="68"/>
      <c r="X701" s="68"/>
      <c r="Y701" s="68"/>
      <c r="Z701" s="68"/>
    </row>
    <row r="702">
      <c r="A702" s="68"/>
      <c r="B702" s="68"/>
      <c r="C702" s="68"/>
      <c r="D702" s="68"/>
      <c r="E702" s="68"/>
      <c r="F702" s="68"/>
      <c r="G702" s="68"/>
      <c r="H702" s="68"/>
      <c r="I702" s="68"/>
      <c r="J702" s="68"/>
      <c r="K702" s="68"/>
      <c r="L702" s="68"/>
      <c r="M702" s="68"/>
      <c r="N702" s="68"/>
      <c r="O702" s="68"/>
      <c r="P702" s="68"/>
      <c r="Q702" s="68"/>
      <c r="R702" s="68"/>
      <c r="S702" s="68"/>
      <c r="T702" s="68"/>
      <c r="U702" s="68"/>
      <c r="V702" s="68"/>
      <c r="W702" s="68"/>
      <c r="X702" s="68"/>
      <c r="Y702" s="68"/>
      <c r="Z702" s="68"/>
    </row>
    <row r="703">
      <c r="A703" s="68"/>
      <c r="B703" s="68"/>
      <c r="C703" s="68"/>
      <c r="D703" s="68"/>
      <c r="E703" s="68"/>
      <c r="F703" s="68"/>
      <c r="G703" s="68"/>
      <c r="H703" s="68"/>
      <c r="I703" s="68"/>
      <c r="J703" s="68"/>
      <c r="K703" s="68"/>
      <c r="L703" s="68"/>
      <c r="M703" s="68"/>
      <c r="N703" s="68"/>
      <c r="O703" s="68"/>
      <c r="P703" s="68"/>
      <c r="Q703" s="68"/>
      <c r="R703" s="68"/>
      <c r="S703" s="68"/>
      <c r="T703" s="68"/>
      <c r="U703" s="68"/>
      <c r="V703" s="68"/>
      <c r="W703" s="68"/>
      <c r="X703" s="68"/>
      <c r="Y703" s="68"/>
      <c r="Z703" s="68"/>
    </row>
    <row r="704">
      <c r="A704" s="68"/>
      <c r="B704" s="68"/>
      <c r="C704" s="68"/>
      <c r="D704" s="68"/>
      <c r="E704" s="68"/>
      <c r="F704" s="68"/>
      <c r="G704" s="68"/>
      <c r="H704" s="68"/>
      <c r="I704" s="68"/>
      <c r="J704" s="68"/>
      <c r="K704" s="68"/>
      <c r="L704" s="68"/>
      <c r="M704" s="68"/>
      <c r="N704" s="68"/>
      <c r="O704" s="68"/>
      <c r="P704" s="68"/>
      <c r="Q704" s="68"/>
      <c r="R704" s="68"/>
      <c r="S704" s="68"/>
      <c r="T704" s="68"/>
      <c r="U704" s="68"/>
      <c r="V704" s="68"/>
      <c r="W704" s="68"/>
      <c r="X704" s="68"/>
      <c r="Y704" s="68"/>
      <c r="Z704" s="68"/>
    </row>
    <row r="705">
      <c r="A705" s="68"/>
      <c r="B705" s="68"/>
      <c r="C705" s="68"/>
      <c r="D705" s="68"/>
      <c r="E705" s="68"/>
      <c r="F705" s="68"/>
      <c r="G705" s="68"/>
      <c r="H705" s="68"/>
      <c r="I705" s="68"/>
      <c r="J705" s="68"/>
      <c r="K705" s="68"/>
      <c r="L705" s="68"/>
      <c r="M705" s="68"/>
      <c r="N705" s="68"/>
      <c r="O705" s="68"/>
      <c r="P705" s="68"/>
      <c r="Q705" s="68"/>
      <c r="R705" s="68"/>
      <c r="S705" s="68"/>
      <c r="T705" s="68"/>
      <c r="U705" s="68"/>
      <c r="V705" s="68"/>
      <c r="W705" s="68"/>
      <c r="X705" s="68"/>
      <c r="Y705" s="68"/>
      <c r="Z705" s="68"/>
    </row>
    <row r="706">
      <c r="A706" s="68"/>
      <c r="B706" s="68"/>
      <c r="C706" s="68"/>
      <c r="D706" s="68"/>
      <c r="E706" s="68"/>
      <c r="F706" s="68"/>
      <c r="G706" s="68"/>
      <c r="H706" s="68"/>
      <c r="I706" s="68"/>
      <c r="J706" s="68"/>
      <c r="K706" s="68"/>
      <c r="L706" s="68"/>
      <c r="M706" s="68"/>
      <c r="N706" s="68"/>
      <c r="O706" s="68"/>
      <c r="P706" s="68"/>
      <c r="Q706" s="68"/>
      <c r="R706" s="68"/>
      <c r="S706" s="68"/>
      <c r="T706" s="68"/>
      <c r="U706" s="68"/>
      <c r="V706" s="68"/>
      <c r="W706" s="68"/>
      <c r="X706" s="68"/>
      <c r="Y706" s="68"/>
      <c r="Z706" s="68"/>
    </row>
    <row r="707">
      <c r="A707" s="68"/>
      <c r="B707" s="68"/>
      <c r="C707" s="68"/>
      <c r="D707" s="68"/>
      <c r="E707" s="68"/>
      <c r="F707" s="68"/>
      <c r="G707" s="68"/>
      <c r="H707" s="68"/>
      <c r="I707" s="68"/>
      <c r="J707" s="68"/>
      <c r="K707" s="68"/>
      <c r="L707" s="68"/>
      <c r="M707" s="68"/>
      <c r="N707" s="68"/>
      <c r="O707" s="68"/>
      <c r="P707" s="68"/>
      <c r="Q707" s="68"/>
      <c r="R707" s="68"/>
      <c r="S707" s="68"/>
      <c r="T707" s="68"/>
      <c r="U707" s="68"/>
      <c r="V707" s="68"/>
      <c r="W707" s="68"/>
      <c r="X707" s="68"/>
      <c r="Y707" s="68"/>
      <c r="Z707" s="68"/>
    </row>
    <row r="708">
      <c r="A708" s="68"/>
      <c r="B708" s="68"/>
      <c r="C708" s="68"/>
      <c r="D708" s="68"/>
      <c r="E708" s="68"/>
      <c r="F708" s="68"/>
      <c r="G708" s="68"/>
      <c r="H708" s="68"/>
      <c r="I708" s="68"/>
      <c r="J708" s="68"/>
      <c r="K708" s="68"/>
      <c r="L708" s="68"/>
      <c r="M708" s="68"/>
      <c r="N708" s="68"/>
      <c r="O708" s="68"/>
      <c r="P708" s="68"/>
      <c r="Q708" s="68"/>
      <c r="R708" s="68"/>
      <c r="S708" s="68"/>
      <c r="T708" s="68"/>
      <c r="U708" s="68"/>
      <c r="V708" s="68"/>
      <c r="W708" s="68"/>
      <c r="X708" s="68"/>
      <c r="Y708" s="68"/>
      <c r="Z708" s="68"/>
    </row>
    <row r="709">
      <c r="A709" s="68"/>
      <c r="B709" s="68"/>
      <c r="C709" s="68"/>
      <c r="D709" s="68"/>
      <c r="E709" s="68"/>
      <c r="F709" s="68"/>
      <c r="G709" s="68"/>
      <c r="H709" s="68"/>
      <c r="I709" s="68"/>
      <c r="J709" s="68"/>
      <c r="K709" s="68"/>
      <c r="L709" s="68"/>
      <c r="M709" s="68"/>
      <c r="N709" s="68"/>
      <c r="O709" s="68"/>
      <c r="P709" s="68"/>
      <c r="Q709" s="68"/>
      <c r="R709" s="68"/>
      <c r="S709" s="68"/>
      <c r="T709" s="68"/>
      <c r="U709" s="68"/>
      <c r="V709" s="68"/>
      <c r="W709" s="68"/>
      <c r="X709" s="68"/>
      <c r="Y709" s="68"/>
      <c r="Z709" s="68"/>
    </row>
    <row r="710">
      <c r="A710" s="68"/>
      <c r="B710" s="68"/>
      <c r="C710" s="68"/>
      <c r="D710" s="68"/>
      <c r="E710" s="68"/>
      <c r="F710" s="68"/>
      <c r="G710" s="68"/>
      <c r="H710" s="68"/>
      <c r="I710" s="68"/>
      <c r="J710" s="68"/>
      <c r="K710" s="68"/>
      <c r="L710" s="68"/>
      <c r="M710" s="68"/>
      <c r="N710" s="68"/>
      <c r="O710" s="68"/>
      <c r="P710" s="68"/>
      <c r="Q710" s="68"/>
      <c r="R710" s="68"/>
      <c r="S710" s="68"/>
      <c r="T710" s="68"/>
      <c r="U710" s="68"/>
      <c r="V710" s="68"/>
      <c r="W710" s="68"/>
      <c r="X710" s="68"/>
      <c r="Y710" s="68"/>
      <c r="Z710" s="68"/>
    </row>
    <row r="711">
      <c r="A711" s="68"/>
      <c r="B711" s="68"/>
      <c r="C711" s="68"/>
      <c r="D711" s="68"/>
      <c r="E711" s="68"/>
      <c r="F711" s="68"/>
      <c r="G711" s="68"/>
      <c r="H711" s="68"/>
      <c r="I711" s="68"/>
      <c r="J711" s="68"/>
      <c r="K711" s="68"/>
      <c r="L711" s="68"/>
      <c r="M711" s="68"/>
      <c r="N711" s="68"/>
      <c r="O711" s="68"/>
      <c r="P711" s="68"/>
      <c r="Q711" s="68"/>
      <c r="R711" s="68"/>
      <c r="S711" s="68"/>
      <c r="T711" s="68"/>
      <c r="U711" s="68"/>
      <c r="V711" s="68"/>
      <c r="W711" s="68"/>
      <c r="X711" s="68"/>
      <c r="Y711" s="68"/>
      <c r="Z711" s="68"/>
    </row>
    <row r="712">
      <c r="A712" s="68"/>
      <c r="B712" s="68"/>
      <c r="C712" s="68"/>
      <c r="D712" s="68"/>
      <c r="E712" s="68"/>
      <c r="F712" s="68"/>
      <c r="G712" s="68"/>
      <c r="H712" s="68"/>
      <c r="I712" s="68"/>
      <c r="J712" s="68"/>
      <c r="K712" s="68"/>
      <c r="L712" s="68"/>
      <c r="M712" s="68"/>
      <c r="N712" s="68"/>
      <c r="O712" s="68"/>
      <c r="P712" s="68"/>
      <c r="Q712" s="68"/>
      <c r="R712" s="68"/>
      <c r="S712" s="68"/>
      <c r="T712" s="68"/>
      <c r="U712" s="68"/>
      <c r="V712" s="68"/>
      <c r="W712" s="68"/>
      <c r="X712" s="68"/>
      <c r="Y712" s="68"/>
      <c r="Z712" s="68"/>
    </row>
    <row r="713">
      <c r="A713" s="68"/>
      <c r="B713" s="68"/>
      <c r="C713" s="68"/>
      <c r="D713" s="68"/>
      <c r="E713" s="68"/>
      <c r="F713" s="68"/>
      <c r="G713" s="68"/>
      <c r="H713" s="68"/>
      <c r="I713" s="68"/>
      <c r="J713" s="68"/>
      <c r="K713" s="68"/>
      <c r="L713" s="68"/>
      <c r="M713" s="68"/>
      <c r="N713" s="68"/>
      <c r="O713" s="68"/>
      <c r="P713" s="68"/>
      <c r="Q713" s="68"/>
      <c r="R713" s="68"/>
      <c r="S713" s="68"/>
      <c r="T713" s="68"/>
      <c r="U713" s="68"/>
      <c r="V713" s="68"/>
      <c r="W713" s="68"/>
      <c r="X713" s="68"/>
      <c r="Y713" s="68"/>
      <c r="Z713" s="68"/>
    </row>
    <row r="714">
      <c r="A714" s="68"/>
      <c r="B714" s="68"/>
      <c r="C714" s="68"/>
      <c r="D714" s="68"/>
      <c r="E714" s="68"/>
      <c r="F714" s="68"/>
      <c r="G714" s="68"/>
      <c r="H714" s="68"/>
      <c r="I714" s="68"/>
      <c r="J714" s="68"/>
      <c r="K714" s="68"/>
      <c r="L714" s="68"/>
      <c r="M714" s="68"/>
      <c r="N714" s="68"/>
      <c r="O714" s="68"/>
      <c r="P714" s="68"/>
      <c r="Q714" s="68"/>
      <c r="R714" s="68"/>
      <c r="S714" s="68"/>
      <c r="T714" s="68"/>
      <c r="U714" s="68"/>
      <c r="V714" s="68"/>
      <c r="W714" s="68"/>
      <c r="X714" s="68"/>
      <c r="Y714" s="68"/>
      <c r="Z714" s="68"/>
    </row>
    <row r="715">
      <c r="A715" s="68"/>
      <c r="B715" s="68"/>
      <c r="C715" s="68"/>
      <c r="D715" s="68"/>
      <c r="E715" s="68"/>
      <c r="F715" s="68"/>
      <c r="G715" s="68"/>
      <c r="H715" s="68"/>
      <c r="I715" s="68"/>
      <c r="J715" s="68"/>
      <c r="K715" s="68"/>
      <c r="L715" s="68"/>
      <c r="M715" s="68"/>
      <c r="N715" s="68"/>
      <c r="O715" s="68"/>
      <c r="P715" s="68"/>
      <c r="Q715" s="68"/>
      <c r="R715" s="68"/>
      <c r="S715" s="68"/>
      <c r="T715" s="68"/>
      <c r="U715" s="68"/>
      <c r="V715" s="68"/>
      <c r="W715" s="68"/>
      <c r="X715" s="68"/>
      <c r="Y715" s="68"/>
      <c r="Z715" s="68"/>
    </row>
    <row r="716">
      <c r="A716" s="68"/>
      <c r="B716" s="68"/>
      <c r="C716" s="68"/>
      <c r="D716" s="68"/>
      <c r="E716" s="68"/>
      <c r="F716" s="68"/>
      <c r="G716" s="68"/>
      <c r="H716" s="68"/>
      <c r="I716" s="68"/>
      <c r="J716" s="68"/>
      <c r="K716" s="68"/>
      <c r="L716" s="68"/>
      <c r="M716" s="68"/>
      <c r="N716" s="68"/>
      <c r="O716" s="68"/>
      <c r="P716" s="68"/>
      <c r="Q716" s="68"/>
      <c r="R716" s="68"/>
      <c r="S716" s="68"/>
      <c r="T716" s="68"/>
      <c r="U716" s="68"/>
      <c r="V716" s="68"/>
      <c r="W716" s="68"/>
      <c r="X716" s="68"/>
      <c r="Y716" s="68"/>
      <c r="Z716" s="68"/>
    </row>
    <row r="717">
      <c r="A717" s="68"/>
      <c r="B717" s="68"/>
      <c r="C717" s="68"/>
      <c r="D717" s="68"/>
      <c r="E717" s="68"/>
      <c r="F717" s="68"/>
      <c r="G717" s="68"/>
      <c r="H717" s="68"/>
      <c r="I717" s="68"/>
      <c r="J717" s="68"/>
      <c r="K717" s="68"/>
      <c r="L717" s="68"/>
      <c r="M717" s="68"/>
      <c r="N717" s="68"/>
      <c r="O717" s="68"/>
      <c r="P717" s="68"/>
      <c r="Q717" s="68"/>
      <c r="R717" s="68"/>
      <c r="S717" s="68"/>
      <c r="T717" s="68"/>
      <c r="U717" s="68"/>
      <c r="V717" s="68"/>
      <c r="W717" s="68"/>
      <c r="X717" s="68"/>
      <c r="Y717" s="68"/>
      <c r="Z717" s="68"/>
    </row>
    <row r="718">
      <c r="A718" s="68"/>
      <c r="B718" s="68"/>
      <c r="C718" s="68"/>
      <c r="D718" s="68"/>
      <c r="E718" s="68"/>
      <c r="F718" s="68"/>
      <c r="G718" s="68"/>
      <c r="H718" s="68"/>
      <c r="I718" s="68"/>
      <c r="J718" s="68"/>
      <c r="K718" s="68"/>
      <c r="L718" s="68"/>
      <c r="M718" s="68"/>
      <c r="N718" s="68"/>
      <c r="O718" s="68"/>
      <c r="P718" s="68"/>
      <c r="Q718" s="68"/>
      <c r="R718" s="68"/>
      <c r="S718" s="68"/>
      <c r="T718" s="68"/>
      <c r="U718" s="68"/>
      <c r="V718" s="68"/>
      <c r="W718" s="68"/>
      <c r="X718" s="68"/>
      <c r="Y718" s="68"/>
      <c r="Z718" s="68"/>
    </row>
    <row r="719">
      <c r="A719" s="68"/>
      <c r="B719" s="68"/>
      <c r="C719" s="68"/>
      <c r="D719" s="68"/>
      <c r="E719" s="68"/>
      <c r="F719" s="68"/>
      <c r="G719" s="68"/>
      <c r="H719" s="68"/>
      <c r="I719" s="68"/>
      <c r="J719" s="68"/>
      <c r="K719" s="68"/>
      <c r="L719" s="68"/>
      <c r="M719" s="68"/>
      <c r="N719" s="68"/>
      <c r="O719" s="68"/>
      <c r="P719" s="68"/>
      <c r="Q719" s="68"/>
      <c r="R719" s="68"/>
      <c r="S719" s="68"/>
      <c r="T719" s="68"/>
      <c r="U719" s="68"/>
      <c r="V719" s="68"/>
      <c r="W719" s="68"/>
      <c r="X719" s="68"/>
      <c r="Y719" s="68"/>
      <c r="Z719" s="68"/>
    </row>
    <row r="720">
      <c r="A720" s="68"/>
      <c r="B720" s="68"/>
      <c r="C720" s="68"/>
      <c r="D720" s="68"/>
      <c r="E720" s="68"/>
      <c r="F720" s="68"/>
      <c r="G720" s="68"/>
      <c r="H720" s="68"/>
      <c r="I720" s="68"/>
      <c r="J720" s="68"/>
      <c r="K720" s="68"/>
      <c r="L720" s="68"/>
      <c r="M720" s="68"/>
      <c r="N720" s="68"/>
      <c r="O720" s="68"/>
      <c r="P720" s="68"/>
      <c r="Q720" s="68"/>
      <c r="R720" s="68"/>
      <c r="S720" s="68"/>
      <c r="T720" s="68"/>
      <c r="U720" s="68"/>
      <c r="V720" s="68"/>
      <c r="W720" s="68"/>
      <c r="X720" s="68"/>
      <c r="Y720" s="68"/>
      <c r="Z720" s="68"/>
    </row>
    <row r="721">
      <c r="A721" s="68"/>
      <c r="B721" s="68"/>
      <c r="C721" s="68"/>
      <c r="D721" s="68"/>
      <c r="E721" s="68"/>
      <c r="F721" s="68"/>
      <c r="G721" s="68"/>
      <c r="H721" s="68"/>
      <c r="I721" s="68"/>
      <c r="J721" s="68"/>
      <c r="K721" s="68"/>
      <c r="L721" s="68"/>
      <c r="M721" s="68"/>
      <c r="N721" s="68"/>
      <c r="O721" s="68"/>
      <c r="P721" s="68"/>
      <c r="Q721" s="68"/>
      <c r="R721" s="68"/>
      <c r="S721" s="68"/>
      <c r="T721" s="68"/>
      <c r="U721" s="68"/>
      <c r="V721" s="68"/>
      <c r="W721" s="68"/>
      <c r="X721" s="68"/>
      <c r="Y721" s="68"/>
      <c r="Z721" s="68"/>
    </row>
    <row r="722">
      <c r="A722" s="68"/>
      <c r="B722" s="68"/>
      <c r="C722" s="68"/>
      <c r="D722" s="68"/>
      <c r="E722" s="68"/>
      <c r="F722" s="68"/>
      <c r="G722" s="68"/>
      <c r="H722" s="68"/>
      <c r="I722" s="68"/>
      <c r="J722" s="68"/>
      <c r="K722" s="68"/>
      <c r="L722" s="68"/>
      <c r="M722" s="68"/>
      <c r="N722" s="68"/>
      <c r="O722" s="68"/>
      <c r="P722" s="68"/>
      <c r="Q722" s="68"/>
      <c r="R722" s="68"/>
      <c r="S722" s="68"/>
      <c r="T722" s="68"/>
      <c r="U722" s="68"/>
      <c r="V722" s="68"/>
      <c r="W722" s="68"/>
      <c r="X722" s="68"/>
      <c r="Y722" s="68"/>
      <c r="Z722" s="68"/>
    </row>
    <row r="723">
      <c r="A723" s="68"/>
      <c r="B723" s="68"/>
      <c r="C723" s="68"/>
      <c r="D723" s="68"/>
      <c r="E723" s="68"/>
      <c r="F723" s="68"/>
      <c r="G723" s="68"/>
      <c r="H723" s="68"/>
      <c r="I723" s="68"/>
      <c r="J723" s="68"/>
      <c r="K723" s="68"/>
      <c r="L723" s="68"/>
      <c r="M723" s="68"/>
      <c r="N723" s="68"/>
      <c r="O723" s="68"/>
      <c r="P723" s="68"/>
      <c r="Q723" s="68"/>
      <c r="R723" s="68"/>
      <c r="S723" s="68"/>
      <c r="T723" s="68"/>
      <c r="U723" s="68"/>
      <c r="V723" s="68"/>
      <c r="W723" s="68"/>
      <c r="X723" s="68"/>
      <c r="Y723" s="68"/>
      <c r="Z723" s="68"/>
    </row>
    <row r="724">
      <c r="A724" s="68"/>
      <c r="B724" s="68"/>
      <c r="C724" s="68"/>
      <c r="D724" s="68"/>
      <c r="E724" s="68"/>
      <c r="F724" s="68"/>
      <c r="G724" s="68"/>
      <c r="H724" s="68"/>
      <c r="I724" s="68"/>
      <c r="J724" s="68"/>
      <c r="K724" s="68"/>
      <c r="L724" s="68"/>
      <c r="M724" s="68"/>
      <c r="N724" s="68"/>
      <c r="O724" s="68"/>
      <c r="P724" s="68"/>
      <c r="Q724" s="68"/>
      <c r="R724" s="68"/>
      <c r="S724" s="68"/>
      <c r="T724" s="68"/>
      <c r="U724" s="68"/>
      <c r="V724" s="68"/>
      <c r="W724" s="68"/>
      <c r="X724" s="68"/>
      <c r="Y724" s="68"/>
      <c r="Z724" s="68"/>
    </row>
    <row r="725">
      <c r="A725" s="68"/>
      <c r="B725" s="68"/>
      <c r="C725" s="68"/>
      <c r="D725" s="68"/>
      <c r="E725" s="68"/>
      <c r="F725" s="68"/>
      <c r="G725" s="68"/>
      <c r="H725" s="68"/>
      <c r="I725" s="68"/>
      <c r="J725" s="68"/>
      <c r="K725" s="68"/>
      <c r="L725" s="68"/>
      <c r="M725" s="68"/>
      <c r="N725" s="68"/>
      <c r="O725" s="68"/>
      <c r="P725" s="68"/>
      <c r="Q725" s="68"/>
      <c r="R725" s="68"/>
      <c r="S725" s="68"/>
      <c r="T725" s="68"/>
      <c r="U725" s="68"/>
      <c r="V725" s="68"/>
      <c r="W725" s="68"/>
      <c r="X725" s="68"/>
      <c r="Y725" s="68"/>
      <c r="Z725" s="68"/>
    </row>
    <row r="726">
      <c r="A726" s="68"/>
      <c r="B726" s="68"/>
      <c r="C726" s="68"/>
      <c r="D726" s="68"/>
      <c r="E726" s="68"/>
      <c r="F726" s="68"/>
      <c r="G726" s="68"/>
      <c r="H726" s="68"/>
      <c r="I726" s="68"/>
      <c r="J726" s="68"/>
      <c r="K726" s="68"/>
      <c r="L726" s="68"/>
      <c r="M726" s="68"/>
      <c r="N726" s="68"/>
      <c r="O726" s="68"/>
      <c r="P726" s="68"/>
      <c r="Q726" s="68"/>
      <c r="R726" s="68"/>
      <c r="S726" s="68"/>
      <c r="T726" s="68"/>
      <c r="U726" s="68"/>
      <c r="V726" s="68"/>
      <c r="W726" s="68"/>
      <c r="X726" s="68"/>
      <c r="Y726" s="68"/>
      <c r="Z726" s="68"/>
    </row>
    <row r="727">
      <c r="A727" s="68"/>
      <c r="B727" s="68"/>
      <c r="C727" s="68"/>
      <c r="D727" s="68"/>
      <c r="E727" s="68"/>
      <c r="F727" s="68"/>
      <c r="G727" s="68"/>
      <c r="H727" s="68"/>
      <c r="I727" s="68"/>
      <c r="J727" s="68"/>
      <c r="K727" s="68"/>
      <c r="L727" s="68"/>
      <c r="M727" s="68"/>
      <c r="N727" s="68"/>
      <c r="O727" s="68"/>
      <c r="P727" s="68"/>
      <c r="Q727" s="68"/>
      <c r="R727" s="68"/>
      <c r="S727" s="68"/>
      <c r="T727" s="68"/>
      <c r="U727" s="68"/>
      <c r="V727" s="68"/>
      <c r="W727" s="68"/>
      <c r="X727" s="68"/>
      <c r="Y727" s="68"/>
      <c r="Z727" s="68"/>
    </row>
    <row r="728">
      <c r="A728" s="68"/>
      <c r="B728" s="68"/>
      <c r="C728" s="68"/>
      <c r="D728" s="68"/>
      <c r="E728" s="68"/>
      <c r="F728" s="68"/>
      <c r="G728" s="68"/>
      <c r="H728" s="68"/>
      <c r="I728" s="68"/>
      <c r="J728" s="68"/>
      <c r="K728" s="68"/>
      <c r="L728" s="68"/>
      <c r="M728" s="68"/>
      <c r="N728" s="68"/>
      <c r="O728" s="68"/>
      <c r="P728" s="68"/>
      <c r="Q728" s="68"/>
      <c r="R728" s="68"/>
      <c r="S728" s="68"/>
      <c r="T728" s="68"/>
      <c r="U728" s="68"/>
      <c r="V728" s="68"/>
      <c r="W728" s="68"/>
      <c r="X728" s="68"/>
      <c r="Y728" s="68"/>
      <c r="Z728" s="68"/>
    </row>
    <row r="729">
      <c r="A729" s="68"/>
      <c r="B729" s="68"/>
      <c r="C729" s="68"/>
      <c r="D729" s="68"/>
      <c r="E729" s="68"/>
      <c r="F729" s="68"/>
      <c r="G729" s="68"/>
      <c r="H729" s="68"/>
      <c r="I729" s="68"/>
      <c r="J729" s="68"/>
      <c r="K729" s="68"/>
      <c r="L729" s="68"/>
      <c r="M729" s="68"/>
      <c r="N729" s="68"/>
      <c r="O729" s="68"/>
      <c r="P729" s="68"/>
      <c r="Q729" s="68"/>
      <c r="R729" s="68"/>
      <c r="S729" s="68"/>
      <c r="T729" s="68"/>
      <c r="U729" s="68"/>
      <c r="V729" s="68"/>
      <c r="W729" s="68"/>
      <c r="X729" s="68"/>
      <c r="Y729" s="68"/>
      <c r="Z729" s="68"/>
    </row>
    <row r="730">
      <c r="A730" s="68"/>
      <c r="B730" s="68"/>
      <c r="C730" s="68"/>
      <c r="D730" s="68"/>
      <c r="E730" s="68"/>
      <c r="F730" s="68"/>
      <c r="G730" s="68"/>
      <c r="H730" s="68"/>
      <c r="I730" s="68"/>
      <c r="J730" s="68"/>
      <c r="K730" s="68"/>
      <c r="L730" s="68"/>
      <c r="M730" s="68"/>
      <c r="N730" s="68"/>
      <c r="O730" s="68"/>
      <c r="P730" s="68"/>
      <c r="Q730" s="68"/>
      <c r="R730" s="68"/>
      <c r="S730" s="68"/>
      <c r="T730" s="68"/>
      <c r="U730" s="68"/>
      <c r="V730" s="68"/>
      <c r="W730" s="68"/>
      <c r="X730" s="68"/>
      <c r="Y730" s="68"/>
      <c r="Z730" s="68"/>
    </row>
    <row r="731">
      <c r="A731" s="68"/>
      <c r="B731" s="68"/>
      <c r="C731" s="68"/>
      <c r="D731" s="68"/>
      <c r="E731" s="68"/>
      <c r="F731" s="68"/>
      <c r="G731" s="68"/>
      <c r="H731" s="68"/>
      <c r="I731" s="68"/>
      <c r="J731" s="68"/>
      <c r="K731" s="68"/>
      <c r="L731" s="68"/>
      <c r="M731" s="68"/>
      <c r="N731" s="68"/>
      <c r="O731" s="68"/>
      <c r="P731" s="68"/>
      <c r="Q731" s="68"/>
      <c r="R731" s="68"/>
      <c r="S731" s="68"/>
      <c r="T731" s="68"/>
      <c r="U731" s="68"/>
      <c r="V731" s="68"/>
      <c r="W731" s="68"/>
      <c r="X731" s="68"/>
      <c r="Y731" s="68"/>
      <c r="Z731" s="68"/>
    </row>
    <row r="732">
      <c r="A732" s="68"/>
      <c r="B732" s="68"/>
      <c r="C732" s="68"/>
      <c r="D732" s="68"/>
      <c r="E732" s="68"/>
      <c r="F732" s="68"/>
      <c r="G732" s="68"/>
      <c r="H732" s="68"/>
      <c r="I732" s="68"/>
      <c r="J732" s="68"/>
      <c r="K732" s="68"/>
      <c r="L732" s="68"/>
      <c r="M732" s="68"/>
      <c r="N732" s="68"/>
      <c r="O732" s="68"/>
      <c r="P732" s="68"/>
      <c r="Q732" s="68"/>
      <c r="R732" s="68"/>
      <c r="S732" s="68"/>
      <c r="T732" s="68"/>
      <c r="U732" s="68"/>
      <c r="V732" s="68"/>
      <c r="W732" s="68"/>
      <c r="X732" s="68"/>
      <c r="Y732" s="68"/>
      <c r="Z732" s="68"/>
    </row>
    <row r="733">
      <c r="A733" s="68"/>
      <c r="B733" s="68"/>
      <c r="C733" s="68"/>
      <c r="D733" s="68"/>
      <c r="E733" s="68"/>
      <c r="F733" s="68"/>
      <c r="G733" s="68"/>
      <c r="H733" s="68"/>
      <c r="I733" s="68"/>
      <c r="J733" s="68"/>
      <c r="K733" s="68"/>
      <c r="L733" s="68"/>
      <c r="M733" s="68"/>
      <c r="N733" s="68"/>
      <c r="O733" s="68"/>
      <c r="P733" s="68"/>
      <c r="Q733" s="68"/>
      <c r="R733" s="68"/>
      <c r="S733" s="68"/>
      <c r="T733" s="68"/>
      <c r="U733" s="68"/>
      <c r="V733" s="68"/>
      <c r="W733" s="68"/>
      <c r="X733" s="68"/>
      <c r="Y733" s="68"/>
      <c r="Z733" s="68"/>
    </row>
    <row r="734">
      <c r="A734" s="68"/>
      <c r="B734" s="68"/>
      <c r="C734" s="68"/>
      <c r="D734" s="68"/>
      <c r="E734" s="68"/>
      <c r="F734" s="68"/>
      <c r="G734" s="68"/>
      <c r="H734" s="68"/>
      <c r="I734" s="68"/>
      <c r="J734" s="68"/>
      <c r="K734" s="68"/>
      <c r="L734" s="68"/>
      <c r="M734" s="68"/>
      <c r="N734" s="68"/>
      <c r="O734" s="68"/>
      <c r="P734" s="68"/>
      <c r="Q734" s="68"/>
      <c r="R734" s="68"/>
      <c r="S734" s="68"/>
      <c r="T734" s="68"/>
      <c r="U734" s="68"/>
      <c r="V734" s="68"/>
      <c r="W734" s="68"/>
      <c r="X734" s="68"/>
      <c r="Y734" s="68"/>
      <c r="Z734" s="68"/>
    </row>
    <row r="735">
      <c r="A735" s="68"/>
      <c r="B735" s="68"/>
      <c r="C735" s="68"/>
      <c r="D735" s="68"/>
      <c r="E735" s="68"/>
      <c r="F735" s="68"/>
      <c r="G735" s="68"/>
      <c r="H735" s="68"/>
      <c r="I735" s="68"/>
      <c r="J735" s="68"/>
      <c r="K735" s="68"/>
      <c r="L735" s="68"/>
      <c r="M735" s="68"/>
      <c r="N735" s="68"/>
      <c r="O735" s="68"/>
      <c r="P735" s="68"/>
      <c r="Q735" s="68"/>
      <c r="R735" s="68"/>
      <c r="S735" s="68"/>
      <c r="T735" s="68"/>
      <c r="U735" s="68"/>
      <c r="V735" s="68"/>
      <c r="W735" s="68"/>
      <c r="X735" s="68"/>
      <c r="Y735" s="68"/>
      <c r="Z735" s="68"/>
    </row>
    <row r="736">
      <c r="A736" s="68"/>
      <c r="B736" s="68"/>
      <c r="C736" s="68"/>
      <c r="D736" s="68"/>
      <c r="E736" s="68"/>
      <c r="F736" s="68"/>
      <c r="G736" s="68"/>
      <c r="H736" s="68"/>
      <c r="I736" s="68"/>
      <c r="J736" s="68"/>
      <c r="K736" s="68"/>
      <c r="L736" s="68"/>
      <c r="M736" s="68"/>
      <c r="N736" s="68"/>
      <c r="O736" s="68"/>
      <c r="P736" s="68"/>
      <c r="Q736" s="68"/>
      <c r="R736" s="68"/>
      <c r="S736" s="68"/>
      <c r="T736" s="68"/>
      <c r="U736" s="68"/>
      <c r="V736" s="68"/>
      <c r="W736" s="68"/>
      <c r="X736" s="68"/>
      <c r="Y736" s="68"/>
      <c r="Z736" s="68"/>
    </row>
    <row r="737">
      <c r="A737" s="68"/>
      <c r="B737" s="68"/>
      <c r="C737" s="68"/>
      <c r="D737" s="68"/>
      <c r="E737" s="68"/>
      <c r="F737" s="68"/>
      <c r="G737" s="68"/>
      <c r="H737" s="68"/>
      <c r="I737" s="68"/>
      <c r="J737" s="68"/>
      <c r="K737" s="68"/>
      <c r="L737" s="68"/>
      <c r="M737" s="68"/>
      <c r="N737" s="68"/>
      <c r="O737" s="68"/>
      <c r="P737" s="68"/>
      <c r="Q737" s="68"/>
      <c r="R737" s="68"/>
      <c r="S737" s="68"/>
      <c r="T737" s="68"/>
      <c r="U737" s="68"/>
      <c r="V737" s="68"/>
      <c r="W737" s="68"/>
      <c r="X737" s="68"/>
      <c r="Y737" s="68"/>
      <c r="Z737" s="68"/>
    </row>
    <row r="738">
      <c r="A738" s="68"/>
      <c r="B738" s="68"/>
      <c r="C738" s="68"/>
      <c r="D738" s="68"/>
      <c r="E738" s="68"/>
      <c r="F738" s="68"/>
      <c r="G738" s="68"/>
      <c r="H738" s="68"/>
      <c r="I738" s="68"/>
      <c r="J738" s="68"/>
      <c r="K738" s="68"/>
      <c r="L738" s="68"/>
      <c r="M738" s="68"/>
      <c r="N738" s="68"/>
      <c r="O738" s="68"/>
      <c r="P738" s="68"/>
      <c r="Q738" s="68"/>
      <c r="R738" s="68"/>
      <c r="S738" s="68"/>
      <c r="T738" s="68"/>
      <c r="U738" s="68"/>
      <c r="V738" s="68"/>
      <c r="W738" s="68"/>
      <c r="X738" s="68"/>
      <c r="Y738" s="68"/>
      <c r="Z738" s="68"/>
    </row>
    <row r="739">
      <c r="A739" s="68"/>
      <c r="B739" s="68"/>
      <c r="C739" s="68"/>
      <c r="D739" s="68"/>
      <c r="E739" s="68"/>
      <c r="F739" s="68"/>
      <c r="G739" s="68"/>
      <c r="H739" s="68"/>
      <c r="I739" s="68"/>
      <c r="J739" s="68"/>
      <c r="K739" s="68"/>
      <c r="L739" s="68"/>
      <c r="M739" s="68"/>
      <c r="N739" s="68"/>
      <c r="O739" s="68"/>
      <c r="P739" s="68"/>
      <c r="Q739" s="68"/>
      <c r="R739" s="68"/>
      <c r="S739" s="68"/>
      <c r="T739" s="68"/>
      <c r="U739" s="68"/>
      <c r="V739" s="68"/>
      <c r="W739" s="68"/>
      <c r="X739" s="68"/>
      <c r="Y739" s="68"/>
      <c r="Z739" s="68"/>
    </row>
    <row r="740">
      <c r="A740" s="68"/>
      <c r="B740" s="68"/>
      <c r="C740" s="68"/>
      <c r="D740" s="68"/>
      <c r="E740" s="68"/>
      <c r="F740" s="68"/>
      <c r="G740" s="68"/>
      <c r="H740" s="68"/>
      <c r="I740" s="68"/>
      <c r="J740" s="68"/>
      <c r="K740" s="68"/>
      <c r="L740" s="68"/>
      <c r="M740" s="68"/>
      <c r="N740" s="68"/>
      <c r="O740" s="68"/>
      <c r="P740" s="68"/>
      <c r="Q740" s="68"/>
      <c r="R740" s="68"/>
      <c r="S740" s="68"/>
      <c r="T740" s="68"/>
      <c r="U740" s="68"/>
      <c r="V740" s="68"/>
      <c r="W740" s="68"/>
      <c r="X740" s="68"/>
      <c r="Y740" s="68"/>
      <c r="Z740" s="68"/>
    </row>
    <row r="741">
      <c r="A741" s="68"/>
      <c r="B741" s="68"/>
      <c r="C741" s="68"/>
      <c r="D741" s="68"/>
      <c r="E741" s="68"/>
      <c r="F741" s="68"/>
      <c r="G741" s="68"/>
      <c r="H741" s="68"/>
      <c r="I741" s="68"/>
      <c r="J741" s="68"/>
      <c r="K741" s="68"/>
      <c r="L741" s="68"/>
      <c r="M741" s="68"/>
      <c r="N741" s="68"/>
      <c r="O741" s="68"/>
      <c r="P741" s="68"/>
      <c r="Q741" s="68"/>
      <c r="R741" s="68"/>
      <c r="S741" s="68"/>
      <c r="T741" s="68"/>
      <c r="U741" s="68"/>
      <c r="V741" s="68"/>
      <c r="W741" s="68"/>
      <c r="X741" s="68"/>
      <c r="Y741" s="68"/>
      <c r="Z741" s="68"/>
    </row>
    <row r="742">
      <c r="A742" s="68"/>
      <c r="B742" s="68"/>
      <c r="C742" s="68"/>
      <c r="D742" s="68"/>
      <c r="E742" s="68"/>
      <c r="F742" s="68"/>
      <c r="G742" s="68"/>
      <c r="H742" s="68"/>
      <c r="I742" s="68"/>
      <c r="J742" s="68"/>
      <c r="K742" s="68"/>
      <c r="L742" s="68"/>
      <c r="M742" s="68"/>
      <c r="N742" s="68"/>
      <c r="O742" s="68"/>
      <c r="P742" s="68"/>
      <c r="Q742" s="68"/>
      <c r="R742" s="68"/>
      <c r="S742" s="68"/>
      <c r="T742" s="68"/>
      <c r="U742" s="68"/>
      <c r="V742" s="68"/>
      <c r="W742" s="68"/>
      <c r="X742" s="68"/>
      <c r="Y742" s="68"/>
      <c r="Z742" s="68"/>
    </row>
    <row r="743">
      <c r="A743" s="68"/>
      <c r="B743" s="68"/>
      <c r="C743" s="68"/>
      <c r="D743" s="68"/>
      <c r="E743" s="68"/>
      <c r="F743" s="68"/>
      <c r="G743" s="68"/>
      <c r="H743" s="68"/>
      <c r="I743" s="68"/>
      <c r="J743" s="68"/>
      <c r="K743" s="68"/>
      <c r="L743" s="68"/>
      <c r="M743" s="68"/>
      <c r="N743" s="68"/>
      <c r="O743" s="68"/>
      <c r="P743" s="68"/>
      <c r="Q743" s="68"/>
      <c r="R743" s="68"/>
      <c r="S743" s="68"/>
      <c r="T743" s="68"/>
      <c r="U743" s="68"/>
      <c r="V743" s="68"/>
      <c r="W743" s="68"/>
      <c r="X743" s="68"/>
      <c r="Y743" s="68"/>
      <c r="Z743" s="68"/>
    </row>
    <row r="744">
      <c r="A744" s="68"/>
      <c r="B744" s="68"/>
      <c r="C744" s="68"/>
      <c r="D744" s="68"/>
      <c r="E744" s="68"/>
      <c r="F744" s="68"/>
      <c r="G744" s="68"/>
      <c r="H744" s="68"/>
      <c r="I744" s="68"/>
      <c r="J744" s="68"/>
      <c r="K744" s="68"/>
      <c r="L744" s="68"/>
      <c r="M744" s="68"/>
      <c r="N744" s="68"/>
      <c r="O744" s="68"/>
      <c r="P744" s="68"/>
      <c r="Q744" s="68"/>
      <c r="R744" s="68"/>
      <c r="S744" s="68"/>
      <c r="T744" s="68"/>
      <c r="U744" s="68"/>
      <c r="V744" s="68"/>
      <c r="W744" s="68"/>
      <c r="X744" s="68"/>
      <c r="Y744" s="68"/>
      <c r="Z744" s="68"/>
    </row>
    <row r="745">
      <c r="A745" s="68"/>
      <c r="B745" s="68"/>
      <c r="C745" s="68"/>
      <c r="D745" s="68"/>
      <c r="E745" s="68"/>
      <c r="F745" s="68"/>
      <c r="G745" s="68"/>
      <c r="H745" s="68"/>
      <c r="I745" s="68"/>
      <c r="J745" s="68"/>
      <c r="K745" s="68"/>
      <c r="L745" s="68"/>
      <c r="M745" s="68"/>
      <c r="N745" s="68"/>
      <c r="O745" s="68"/>
      <c r="P745" s="68"/>
      <c r="Q745" s="68"/>
      <c r="R745" s="68"/>
      <c r="S745" s="68"/>
      <c r="T745" s="68"/>
      <c r="U745" s="68"/>
      <c r="V745" s="68"/>
      <c r="W745" s="68"/>
      <c r="X745" s="68"/>
      <c r="Y745" s="68"/>
      <c r="Z745" s="68"/>
    </row>
    <row r="746">
      <c r="A746" s="68"/>
      <c r="B746" s="68"/>
      <c r="C746" s="68"/>
      <c r="D746" s="68"/>
      <c r="E746" s="68"/>
      <c r="F746" s="68"/>
      <c r="G746" s="68"/>
      <c r="H746" s="68"/>
      <c r="I746" s="68"/>
      <c r="J746" s="68"/>
      <c r="K746" s="68"/>
      <c r="L746" s="68"/>
      <c r="M746" s="68"/>
      <c r="N746" s="68"/>
      <c r="O746" s="68"/>
      <c r="P746" s="68"/>
      <c r="Q746" s="68"/>
      <c r="R746" s="68"/>
      <c r="S746" s="68"/>
      <c r="T746" s="68"/>
      <c r="U746" s="68"/>
      <c r="V746" s="68"/>
      <c r="W746" s="68"/>
      <c r="X746" s="68"/>
      <c r="Y746" s="68"/>
      <c r="Z746" s="68"/>
    </row>
    <row r="747">
      <c r="A747" s="68"/>
      <c r="B747" s="68"/>
      <c r="C747" s="68"/>
      <c r="D747" s="68"/>
      <c r="E747" s="68"/>
      <c r="F747" s="68"/>
      <c r="G747" s="68"/>
      <c r="H747" s="68"/>
      <c r="I747" s="68"/>
      <c r="J747" s="68"/>
      <c r="K747" s="68"/>
      <c r="L747" s="68"/>
      <c r="M747" s="68"/>
      <c r="N747" s="68"/>
      <c r="O747" s="68"/>
      <c r="P747" s="68"/>
      <c r="Q747" s="68"/>
      <c r="R747" s="68"/>
      <c r="S747" s="68"/>
      <c r="T747" s="68"/>
      <c r="U747" s="68"/>
      <c r="V747" s="68"/>
      <c r="W747" s="68"/>
      <c r="X747" s="68"/>
      <c r="Y747" s="68"/>
      <c r="Z747" s="68"/>
    </row>
    <row r="748">
      <c r="A748" s="68"/>
      <c r="B748" s="68"/>
      <c r="C748" s="68"/>
      <c r="D748" s="68"/>
      <c r="E748" s="68"/>
      <c r="F748" s="68"/>
      <c r="G748" s="68"/>
      <c r="H748" s="68"/>
      <c r="I748" s="68"/>
      <c r="J748" s="68"/>
      <c r="K748" s="68"/>
      <c r="L748" s="68"/>
      <c r="M748" s="68"/>
      <c r="N748" s="68"/>
      <c r="O748" s="68"/>
      <c r="P748" s="68"/>
      <c r="Q748" s="68"/>
      <c r="R748" s="68"/>
      <c r="S748" s="68"/>
      <c r="T748" s="68"/>
      <c r="U748" s="68"/>
      <c r="V748" s="68"/>
      <c r="W748" s="68"/>
      <c r="X748" s="68"/>
      <c r="Y748" s="68"/>
      <c r="Z748" s="68"/>
    </row>
    <row r="749">
      <c r="A749" s="68"/>
      <c r="B749" s="68"/>
      <c r="C749" s="68"/>
      <c r="D749" s="68"/>
      <c r="E749" s="68"/>
      <c r="F749" s="68"/>
      <c r="G749" s="68"/>
      <c r="H749" s="68"/>
      <c r="I749" s="68"/>
      <c r="J749" s="68"/>
      <c r="K749" s="68"/>
      <c r="L749" s="68"/>
      <c r="M749" s="68"/>
      <c r="N749" s="68"/>
      <c r="O749" s="68"/>
      <c r="P749" s="68"/>
      <c r="Q749" s="68"/>
      <c r="R749" s="68"/>
      <c r="S749" s="68"/>
      <c r="T749" s="68"/>
      <c r="U749" s="68"/>
      <c r="V749" s="68"/>
      <c r="W749" s="68"/>
      <c r="X749" s="68"/>
      <c r="Y749" s="68"/>
      <c r="Z749" s="68"/>
    </row>
    <row r="750">
      <c r="A750" s="68"/>
      <c r="B750" s="68"/>
      <c r="C750" s="68"/>
      <c r="D750" s="68"/>
      <c r="E750" s="68"/>
      <c r="F750" s="68"/>
      <c r="G750" s="68"/>
      <c r="H750" s="68"/>
      <c r="I750" s="68"/>
      <c r="J750" s="68"/>
      <c r="K750" s="68"/>
      <c r="L750" s="68"/>
      <c r="M750" s="68"/>
      <c r="N750" s="68"/>
      <c r="O750" s="68"/>
      <c r="P750" s="68"/>
      <c r="Q750" s="68"/>
      <c r="R750" s="68"/>
      <c r="S750" s="68"/>
      <c r="T750" s="68"/>
      <c r="U750" s="68"/>
      <c r="V750" s="68"/>
      <c r="W750" s="68"/>
      <c r="X750" s="68"/>
      <c r="Y750" s="68"/>
      <c r="Z750" s="68"/>
    </row>
    <row r="751">
      <c r="A751" s="68"/>
      <c r="B751" s="68"/>
      <c r="C751" s="68"/>
      <c r="D751" s="68"/>
      <c r="E751" s="68"/>
      <c r="F751" s="68"/>
      <c r="G751" s="68"/>
      <c r="H751" s="68"/>
      <c r="I751" s="68"/>
      <c r="J751" s="68"/>
      <c r="K751" s="68"/>
      <c r="L751" s="68"/>
      <c r="M751" s="68"/>
      <c r="N751" s="68"/>
      <c r="O751" s="68"/>
      <c r="P751" s="68"/>
      <c r="Q751" s="68"/>
      <c r="R751" s="68"/>
      <c r="S751" s="68"/>
      <c r="T751" s="68"/>
      <c r="U751" s="68"/>
      <c r="V751" s="68"/>
      <c r="W751" s="68"/>
      <c r="X751" s="68"/>
      <c r="Y751" s="68"/>
      <c r="Z751" s="68"/>
    </row>
    <row r="752">
      <c r="A752" s="68"/>
      <c r="B752" s="68"/>
      <c r="C752" s="68"/>
      <c r="D752" s="68"/>
      <c r="E752" s="68"/>
      <c r="F752" s="68"/>
      <c r="G752" s="68"/>
      <c r="H752" s="68"/>
      <c r="I752" s="68"/>
      <c r="J752" s="68"/>
      <c r="K752" s="68"/>
      <c r="L752" s="68"/>
      <c r="M752" s="68"/>
      <c r="N752" s="68"/>
      <c r="O752" s="68"/>
      <c r="P752" s="68"/>
      <c r="Q752" s="68"/>
      <c r="R752" s="68"/>
      <c r="S752" s="68"/>
      <c r="T752" s="68"/>
      <c r="U752" s="68"/>
      <c r="V752" s="68"/>
      <c r="W752" s="68"/>
      <c r="X752" s="68"/>
      <c r="Y752" s="68"/>
      <c r="Z752" s="68"/>
    </row>
    <row r="753">
      <c r="A753" s="68"/>
      <c r="B753" s="68"/>
      <c r="C753" s="68"/>
      <c r="D753" s="68"/>
      <c r="E753" s="68"/>
      <c r="F753" s="68"/>
      <c r="G753" s="68"/>
      <c r="H753" s="68"/>
      <c r="I753" s="68"/>
      <c r="J753" s="68"/>
      <c r="K753" s="68"/>
      <c r="L753" s="68"/>
      <c r="M753" s="68"/>
      <c r="N753" s="68"/>
      <c r="O753" s="68"/>
      <c r="P753" s="68"/>
      <c r="Q753" s="68"/>
      <c r="R753" s="68"/>
      <c r="S753" s="68"/>
      <c r="T753" s="68"/>
      <c r="U753" s="68"/>
      <c r="V753" s="68"/>
      <c r="W753" s="68"/>
      <c r="X753" s="68"/>
      <c r="Y753" s="68"/>
      <c r="Z753" s="68"/>
    </row>
    <row r="754">
      <c r="A754" s="68"/>
      <c r="B754" s="68"/>
      <c r="C754" s="68"/>
      <c r="D754" s="68"/>
      <c r="E754" s="68"/>
      <c r="F754" s="68"/>
      <c r="G754" s="68"/>
      <c r="H754" s="68"/>
      <c r="I754" s="68"/>
      <c r="J754" s="68"/>
      <c r="K754" s="68"/>
      <c r="L754" s="68"/>
      <c r="M754" s="68"/>
      <c r="N754" s="68"/>
      <c r="O754" s="68"/>
      <c r="P754" s="68"/>
      <c r="Q754" s="68"/>
      <c r="R754" s="68"/>
      <c r="S754" s="68"/>
      <c r="T754" s="68"/>
      <c r="U754" s="68"/>
      <c r="V754" s="68"/>
      <c r="W754" s="68"/>
      <c r="X754" s="68"/>
      <c r="Y754" s="68"/>
      <c r="Z754" s="68"/>
    </row>
    <row r="755">
      <c r="A755" s="68"/>
      <c r="B755" s="68"/>
      <c r="C755" s="68"/>
      <c r="D755" s="68"/>
      <c r="E755" s="68"/>
      <c r="F755" s="68"/>
      <c r="G755" s="68"/>
      <c r="H755" s="68"/>
      <c r="I755" s="68"/>
      <c r="J755" s="68"/>
      <c r="K755" s="68"/>
      <c r="L755" s="68"/>
      <c r="M755" s="68"/>
      <c r="N755" s="68"/>
      <c r="O755" s="68"/>
      <c r="P755" s="68"/>
      <c r="Q755" s="68"/>
      <c r="R755" s="68"/>
      <c r="S755" s="68"/>
      <c r="T755" s="68"/>
      <c r="U755" s="68"/>
      <c r="V755" s="68"/>
      <c r="W755" s="68"/>
      <c r="X755" s="68"/>
      <c r="Y755" s="68"/>
      <c r="Z755" s="68"/>
    </row>
    <row r="756">
      <c r="A756" s="68"/>
      <c r="B756" s="68"/>
      <c r="C756" s="68"/>
      <c r="D756" s="68"/>
      <c r="E756" s="68"/>
      <c r="F756" s="68"/>
      <c r="G756" s="68"/>
      <c r="H756" s="68"/>
      <c r="I756" s="68"/>
      <c r="J756" s="68"/>
      <c r="K756" s="68"/>
      <c r="L756" s="68"/>
      <c r="M756" s="68"/>
      <c r="N756" s="68"/>
      <c r="O756" s="68"/>
      <c r="P756" s="68"/>
      <c r="Q756" s="68"/>
      <c r="R756" s="68"/>
      <c r="S756" s="68"/>
      <c r="T756" s="68"/>
      <c r="U756" s="68"/>
      <c r="V756" s="68"/>
      <c r="W756" s="68"/>
      <c r="X756" s="68"/>
      <c r="Y756" s="68"/>
      <c r="Z756" s="68"/>
    </row>
    <row r="757">
      <c r="A757" s="68"/>
      <c r="B757" s="68"/>
      <c r="C757" s="68"/>
      <c r="D757" s="68"/>
      <c r="E757" s="68"/>
      <c r="F757" s="68"/>
      <c r="G757" s="68"/>
      <c r="H757" s="68"/>
      <c r="I757" s="68"/>
      <c r="J757" s="68"/>
      <c r="K757" s="68"/>
      <c r="L757" s="68"/>
      <c r="M757" s="68"/>
      <c r="N757" s="68"/>
      <c r="O757" s="68"/>
      <c r="P757" s="68"/>
      <c r="Q757" s="68"/>
      <c r="R757" s="68"/>
      <c r="S757" s="68"/>
      <c r="T757" s="68"/>
      <c r="U757" s="68"/>
      <c r="V757" s="68"/>
      <c r="W757" s="68"/>
      <c r="X757" s="68"/>
      <c r="Y757" s="68"/>
      <c r="Z757" s="68"/>
    </row>
    <row r="758">
      <c r="A758" s="68"/>
      <c r="B758" s="68"/>
      <c r="C758" s="68"/>
      <c r="D758" s="68"/>
      <c r="E758" s="68"/>
      <c r="F758" s="68"/>
      <c r="G758" s="68"/>
      <c r="H758" s="68"/>
      <c r="I758" s="68"/>
      <c r="J758" s="68"/>
      <c r="K758" s="68"/>
      <c r="L758" s="68"/>
      <c r="M758" s="68"/>
      <c r="N758" s="68"/>
      <c r="O758" s="68"/>
      <c r="P758" s="68"/>
      <c r="Q758" s="68"/>
      <c r="R758" s="68"/>
      <c r="S758" s="68"/>
      <c r="T758" s="68"/>
      <c r="U758" s="68"/>
      <c r="V758" s="68"/>
      <c r="W758" s="68"/>
      <c r="X758" s="68"/>
      <c r="Y758" s="68"/>
      <c r="Z758" s="68"/>
    </row>
    <row r="759">
      <c r="A759" s="68"/>
      <c r="B759" s="68"/>
      <c r="C759" s="68"/>
      <c r="D759" s="68"/>
      <c r="E759" s="68"/>
      <c r="F759" s="68"/>
      <c r="G759" s="68"/>
      <c r="H759" s="68"/>
      <c r="I759" s="68"/>
      <c r="J759" s="68"/>
      <c r="K759" s="68"/>
      <c r="L759" s="68"/>
      <c r="M759" s="68"/>
      <c r="N759" s="68"/>
      <c r="O759" s="68"/>
      <c r="P759" s="68"/>
      <c r="Q759" s="68"/>
      <c r="R759" s="68"/>
      <c r="S759" s="68"/>
      <c r="T759" s="68"/>
      <c r="U759" s="68"/>
      <c r="V759" s="68"/>
      <c r="W759" s="68"/>
      <c r="X759" s="68"/>
      <c r="Y759" s="68"/>
      <c r="Z759" s="68"/>
    </row>
    <row r="760">
      <c r="A760" s="68"/>
      <c r="B760" s="68"/>
      <c r="C760" s="68"/>
      <c r="D760" s="68"/>
      <c r="E760" s="68"/>
      <c r="F760" s="68"/>
      <c r="G760" s="68"/>
      <c r="H760" s="68"/>
      <c r="I760" s="68"/>
      <c r="J760" s="68"/>
      <c r="K760" s="68"/>
      <c r="L760" s="68"/>
      <c r="M760" s="68"/>
      <c r="N760" s="68"/>
      <c r="O760" s="68"/>
      <c r="P760" s="68"/>
      <c r="Q760" s="68"/>
      <c r="R760" s="68"/>
      <c r="S760" s="68"/>
      <c r="T760" s="68"/>
      <c r="U760" s="68"/>
      <c r="V760" s="68"/>
      <c r="W760" s="68"/>
      <c r="X760" s="68"/>
      <c r="Y760" s="68"/>
      <c r="Z760" s="68"/>
    </row>
    <row r="761">
      <c r="A761" s="68"/>
      <c r="B761" s="68"/>
      <c r="C761" s="68"/>
      <c r="D761" s="68"/>
      <c r="E761" s="68"/>
      <c r="F761" s="68"/>
      <c r="G761" s="68"/>
      <c r="H761" s="68"/>
      <c r="I761" s="68"/>
      <c r="J761" s="68"/>
      <c r="K761" s="68"/>
      <c r="L761" s="68"/>
      <c r="M761" s="68"/>
      <c r="N761" s="68"/>
      <c r="O761" s="68"/>
      <c r="P761" s="68"/>
      <c r="Q761" s="68"/>
      <c r="R761" s="68"/>
      <c r="S761" s="68"/>
      <c r="T761" s="68"/>
      <c r="U761" s="68"/>
      <c r="V761" s="68"/>
      <c r="W761" s="68"/>
      <c r="X761" s="68"/>
      <c r="Y761" s="68"/>
      <c r="Z761" s="68"/>
    </row>
    <row r="762">
      <c r="A762" s="68"/>
      <c r="B762" s="68"/>
      <c r="C762" s="68"/>
      <c r="D762" s="68"/>
      <c r="E762" s="68"/>
      <c r="F762" s="68"/>
      <c r="G762" s="68"/>
      <c r="H762" s="68"/>
      <c r="I762" s="68"/>
      <c r="J762" s="68"/>
      <c r="K762" s="68"/>
      <c r="L762" s="68"/>
      <c r="M762" s="68"/>
      <c r="N762" s="68"/>
      <c r="O762" s="68"/>
      <c r="P762" s="68"/>
      <c r="Q762" s="68"/>
      <c r="R762" s="68"/>
      <c r="S762" s="68"/>
      <c r="T762" s="68"/>
      <c r="U762" s="68"/>
      <c r="V762" s="68"/>
      <c r="W762" s="68"/>
      <c r="X762" s="68"/>
      <c r="Y762" s="68"/>
      <c r="Z762" s="68"/>
    </row>
    <row r="763">
      <c r="A763" s="68"/>
      <c r="B763" s="68"/>
      <c r="C763" s="68"/>
      <c r="D763" s="68"/>
      <c r="E763" s="68"/>
      <c r="F763" s="68"/>
      <c r="G763" s="68"/>
      <c r="H763" s="68"/>
      <c r="I763" s="68"/>
      <c r="J763" s="68"/>
      <c r="K763" s="68"/>
      <c r="L763" s="68"/>
      <c r="M763" s="68"/>
      <c r="N763" s="68"/>
      <c r="O763" s="68"/>
      <c r="P763" s="68"/>
      <c r="Q763" s="68"/>
      <c r="R763" s="68"/>
      <c r="S763" s="68"/>
      <c r="T763" s="68"/>
      <c r="U763" s="68"/>
      <c r="V763" s="68"/>
      <c r="W763" s="68"/>
      <c r="X763" s="68"/>
      <c r="Y763" s="68"/>
      <c r="Z763" s="68"/>
    </row>
    <row r="764">
      <c r="A764" s="68"/>
      <c r="B764" s="68"/>
      <c r="C764" s="68"/>
      <c r="D764" s="68"/>
      <c r="E764" s="68"/>
      <c r="F764" s="68"/>
      <c r="G764" s="68"/>
      <c r="H764" s="68"/>
      <c r="I764" s="68"/>
      <c r="J764" s="68"/>
      <c r="K764" s="68"/>
      <c r="L764" s="68"/>
      <c r="M764" s="68"/>
      <c r="N764" s="68"/>
      <c r="O764" s="68"/>
      <c r="P764" s="68"/>
      <c r="Q764" s="68"/>
      <c r="R764" s="68"/>
      <c r="S764" s="68"/>
      <c r="T764" s="68"/>
      <c r="U764" s="68"/>
      <c r="V764" s="68"/>
      <c r="W764" s="68"/>
      <c r="X764" s="68"/>
      <c r="Y764" s="68"/>
      <c r="Z764" s="68"/>
    </row>
    <row r="765">
      <c r="A765" s="68"/>
      <c r="B765" s="68"/>
      <c r="C765" s="68"/>
      <c r="D765" s="68"/>
      <c r="E765" s="68"/>
      <c r="F765" s="68"/>
      <c r="G765" s="68"/>
      <c r="H765" s="68"/>
      <c r="I765" s="68"/>
      <c r="J765" s="68"/>
      <c r="K765" s="68"/>
      <c r="L765" s="68"/>
      <c r="M765" s="68"/>
      <c r="N765" s="68"/>
      <c r="O765" s="68"/>
      <c r="P765" s="68"/>
      <c r="Q765" s="68"/>
      <c r="R765" s="68"/>
      <c r="S765" s="68"/>
      <c r="T765" s="68"/>
      <c r="U765" s="68"/>
      <c r="V765" s="68"/>
      <c r="W765" s="68"/>
      <c r="X765" s="68"/>
      <c r="Y765" s="68"/>
      <c r="Z765" s="68"/>
    </row>
    <row r="766">
      <c r="A766" s="68"/>
      <c r="B766" s="68"/>
      <c r="C766" s="68"/>
      <c r="D766" s="68"/>
      <c r="E766" s="68"/>
      <c r="F766" s="68"/>
      <c r="G766" s="68"/>
      <c r="H766" s="68"/>
      <c r="I766" s="68"/>
      <c r="J766" s="68"/>
      <c r="K766" s="68"/>
      <c r="L766" s="68"/>
      <c r="M766" s="68"/>
      <c r="N766" s="68"/>
      <c r="O766" s="68"/>
      <c r="P766" s="68"/>
      <c r="Q766" s="68"/>
      <c r="R766" s="68"/>
      <c r="S766" s="68"/>
      <c r="T766" s="68"/>
      <c r="U766" s="68"/>
      <c r="V766" s="68"/>
      <c r="W766" s="68"/>
      <c r="X766" s="68"/>
      <c r="Y766" s="68"/>
      <c r="Z766" s="68"/>
    </row>
    <row r="767">
      <c r="A767" s="68"/>
      <c r="B767" s="68"/>
      <c r="C767" s="68"/>
      <c r="D767" s="68"/>
      <c r="E767" s="68"/>
      <c r="F767" s="68"/>
      <c r="G767" s="68"/>
      <c r="H767" s="68"/>
      <c r="I767" s="68"/>
      <c r="J767" s="68"/>
      <c r="K767" s="68"/>
      <c r="L767" s="68"/>
      <c r="M767" s="68"/>
      <c r="N767" s="68"/>
      <c r="O767" s="68"/>
      <c r="P767" s="68"/>
      <c r="Q767" s="68"/>
      <c r="R767" s="68"/>
      <c r="S767" s="68"/>
      <c r="T767" s="68"/>
      <c r="U767" s="68"/>
      <c r="V767" s="68"/>
      <c r="W767" s="68"/>
      <c r="X767" s="68"/>
      <c r="Y767" s="68"/>
      <c r="Z767" s="68"/>
    </row>
    <row r="768">
      <c r="A768" s="68"/>
      <c r="B768" s="68"/>
      <c r="C768" s="68"/>
      <c r="D768" s="68"/>
      <c r="E768" s="68"/>
      <c r="F768" s="68"/>
      <c r="G768" s="68"/>
      <c r="H768" s="68"/>
      <c r="I768" s="68"/>
      <c r="J768" s="68"/>
      <c r="K768" s="68"/>
      <c r="L768" s="68"/>
      <c r="M768" s="68"/>
      <c r="N768" s="68"/>
      <c r="O768" s="68"/>
      <c r="P768" s="68"/>
      <c r="Q768" s="68"/>
      <c r="R768" s="68"/>
      <c r="S768" s="68"/>
      <c r="T768" s="68"/>
      <c r="U768" s="68"/>
      <c r="V768" s="68"/>
      <c r="W768" s="68"/>
      <c r="X768" s="68"/>
      <c r="Y768" s="68"/>
      <c r="Z768" s="68"/>
    </row>
    <row r="769">
      <c r="A769" s="68"/>
      <c r="B769" s="68"/>
      <c r="C769" s="68"/>
      <c r="D769" s="68"/>
      <c r="E769" s="68"/>
      <c r="F769" s="68"/>
      <c r="G769" s="68"/>
      <c r="H769" s="68"/>
      <c r="I769" s="68"/>
      <c r="J769" s="68"/>
      <c r="K769" s="68"/>
      <c r="L769" s="68"/>
      <c r="M769" s="68"/>
      <c r="N769" s="68"/>
      <c r="O769" s="68"/>
      <c r="P769" s="68"/>
      <c r="Q769" s="68"/>
      <c r="R769" s="68"/>
      <c r="S769" s="68"/>
      <c r="T769" s="68"/>
      <c r="U769" s="68"/>
      <c r="V769" s="68"/>
      <c r="W769" s="68"/>
      <c r="X769" s="68"/>
      <c r="Y769" s="68"/>
      <c r="Z769" s="68"/>
    </row>
    <row r="770">
      <c r="A770" s="68"/>
      <c r="B770" s="68"/>
      <c r="C770" s="68"/>
      <c r="D770" s="68"/>
      <c r="E770" s="68"/>
      <c r="F770" s="68"/>
      <c r="G770" s="68"/>
      <c r="H770" s="68"/>
      <c r="I770" s="68"/>
      <c r="J770" s="68"/>
      <c r="K770" s="68"/>
      <c r="L770" s="68"/>
      <c r="M770" s="68"/>
      <c r="N770" s="68"/>
      <c r="O770" s="68"/>
      <c r="P770" s="68"/>
      <c r="Q770" s="68"/>
      <c r="R770" s="68"/>
      <c r="S770" s="68"/>
      <c r="T770" s="68"/>
      <c r="U770" s="68"/>
      <c r="V770" s="68"/>
      <c r="W770" s="68"/>
      <c r="X770" s="68"/>
      <c r="Y770" s="68"/>
      <c r="Z770" s="68"/>
    </row>
    <row r="771">
      <c r="A771" s="68"/>
      <c r="B771" s="68"/>
      <c r="C771" s="68"/>
      <c r="D771" s="68"/>
      <c r="E771" s="68"/>
      <c r="F771" s="68"/>
      <c r="G771" s="68"/>
      <c r="H771" s="68"/>
      <c r="I771" s="68"/>
      <c r="J771" s="68"/>
      <c r="K771" s="68"/>
      <c r="L771" s="68"/>
      <c r="M771" s="68"/>
      <c r="N771" s="68"/>
      <c r="O771" s="68"/>
      <c r="P771" s="68"/>
      <c r="Q771" s="68"/>
      <c r="R771" s="68"/>
      <c r="S771" s="68"/>
      <c r="T771" s="68"/>
      <c r="U771" s="68"/>
      <c r="V771" s="68"/>
      <c r="W771" s="68"/>
      <c r="X771" s="68"/>
      <c r="Y771" s="68"/>
      <c r="Z771" s="68"/>
    </row>
    <row r="772">
      <c r="A772" s="68"/>
      <c r="B772" s="68"/>
      <c r="C772" s="68"/>
      <c r="D772" s="68"/>
      <c r="E772" s="68"/>
      <c r="F772" s="68"/>
      <c r="G772" s="68"/>
      <c r="H772" s="68"/>
      <c r="I772" s="68"/>
      <c r="J772" s="68"/>
      <c r="K772" s="68"/>
      <c r="L772" s="68"/>
      <c r="M772" s="68"/>
      <c r="N772" s="68"/>
      <c r="O772" s="68"/>
      <c r="P772" s="68"/>
      <c r="Q772" s="68"/>
      <c r="R772" s="68"/>
      <c r="S772" s="68"/>
      <c r="T772" s="68"/>
      <c r="U772" s="68"/>
      <c r="V772" s="68"/>
      <c r="W772" s="68"/>
      <c r="X772" s="68"/>
      <c r="Y772" s="68"/>
      <c r="Z772" s="68"/>
    </row>
    <row r="773">
      <c r="A773" s="68"/>
      <c r="B773" s="68"/>
      <c r="C773" s="68"/>
      <c r="D773" s="68"/>
      <c r="E773" s="68"/>
      <c r="F773" s="68"/>
      <c r="G773" s="68"/>
      <c r="H773" s="68"/>
      <c r="I773" s="68"/>
      <c r="J773" s="68"/>
      <c r="K773" s="68"/>
      <c r="L773" s="68"/>
      <c r="M773" s="68"/>
      <c r="N773" s="68"/>
      <c r="O773" s="68"/>
      <c r="P773" s="68"/>
      <c r="Q773" s="68"/>
      <c r="R773" s="68"/>
      <c r="S773" s="68"/>
      <c r="T773" s="68"/>
      <c r="U773" s="68"/>
      <c r="V773" s="68"/>
      <c r="W773" s="68"/>
      <c r="X773" s="68"/>
      <c r="Y773" s="68"/>
      <c r="Z773" s="68"/>
    </row>
    <row r="774">
      <c r="A774" s="68"/>
      <c r="B774" s="68"/>
      <c r="C774" s="68"/>
      <c r="D774" s="68"/>
      <c r="E774" s="68"/>
      <c r="F774" s="68"/>
      <c r="G774" s="68"/>
      <c r="H774" s="68"/>
      <c r="I774" s="68"/>
      <c r="J774" s="68"/>
      <c r="K774" s="68"/>
      <c r="L774" s="68"/>
      <c r="M774" s="68"/>
      <c r="N774" s="68"/>
      <c r="O774" s="68"/>
      <c r="P774" s="68"/>
      <c r="Q774" s="68"/>
      <c r="R774" s="68"/>
      <c r="S774" s="68"/>
      <c r="T774" s="68"/>
      <c r="U774" s="68"/>
      <c r="V774" s="68"/>
      <c r="W774" s="68"/>
      <c r="X774" s="68"/>
      <c r="Y774" s="68"/>
      <c r="Z774" s="68"/>
    </row>
    <row r="775">
      <c r="A775" s="68"/>
      <c r="B775" s="68"/>
      <c r="C775" s="68"/>
      <c r="D775" s="68"/>
      <c r="E775" s="68"/>
      <c r="F775" s="68"/>
      <c r="G775" s="68"/>
      <c r="H775" s="68"/>
      <c r="I775" s="68"/>
      <c r="J775" s="68"/>
      <c r="K775" s="68"/>
      <c r="L775" s="68"/>
      <c r="M775" s="68"/>
      <c r="N775" s="68"/>
      <c r="O775" s="68"/>
      <c r="P775" s="68"/>
      <c r="Q775" s="68"/>
      <c r="R775" s="68"/>
      <c r="S775" s="68"/>
      <c r="T775" s="68"/>
      <c r="U775" s="68"/>
      <c r="V775" s="68"/>
      <c r="W775" s="68"/>
      <c r="X775" s="68"/>
      <c r="Y775" s="68"/>
      <c r="Z775" s="68"/>
    </row>
    <row r="776">
      <c r="A776" s="68"/>
      <c r="B776" s="68"/>
      <c r="C776" s="68"/>
      <c r="D776" s="68"/>
      <c r="E776" s="68"/>
      <c r="F776" s="68"/>
      <c r="G776" s="68"/>
      <c r="H776" s="68"/>
      <c r="I776" s="68"/>
      <c r="J776" s="68"/>
      <c r="K776" s="68"/>
      <c r="L776" s="68"/>
      <c r="M776" s="68"/>
      <c r="N776" s="68"/>
      <c r="O776" s="68"/>
      <c r="P776" s="68"/>
      <c r="Q776" s="68"/>
      <c r="R776" s="68"/>
      <c r="S776" s="68"/>
      <c r="T776" s="68"/>
      <c r="U776" s="68"/>
      <c r="V776" s="68"/>
      <c r="W776" s="68"/>
      <c r="X776" s="68"/>
      <c r="Y776" s="68"/>
      <c r="Z776" s="68"/>
    </row>
    <row r="777">
      <c r="A777" s="68"/>
      <c r="B777" s="68"/>
      <c r="C777" s="68"/>
      <c r="D777" s="68"/>
      <c r="E777" s="68"/>
      <c r="F777" s="68"/>
      <c r="G777" s="68"/>
      <c r="H777" s="68"/>
      <c r="I777" s="68"/>
      <c r="J777" s="68"/>
      <c r="K777" s="68"/>
      <c r="L777" s="68"/>
      <c r="M777" s="68"/>
      <c r="N777" s="68"/>
      <c r="O777" s="68"/>
      <c r="P777" s="68"/>
      <c r="Q777" s="68"/>
      <c r="R777" s="68"/>
      <c r="S777" s="68"/>
      <c r="T777" s="68"/>
      <c r="U777" s="68"/>
      <c r="V777" s="68"/>
      <c r="W777" s="68"/>
      <c r="X777" s="68"/>
      <c r="Y777" s="68"/>
      <c r="Z777" s="68"/>
    </row>
    <row r="778">
      <c r="A778" s="68"/>
      <c r="B778" s="68"/>
      <c r="C778" s="68"/>
      <c r="D778" s="68"/>
      <c r="E778" s="68"/>
      <c r="F778" s="68"/>
      <c r="G778" s="68"/>
      <c r="H778" s="68"/>
      <c r="I778" s="68"/>
      <c r="J778" s="68"/>
      <c r="K778" s="68"/>
      <c r="L778" s="68"/>
      <c r="M778" s="68"/>
      <c r="N778" s="68"/>
      <c r="O778" s="68"/>
      <c r="P778" s="68"/>
      <c r="Q778" s="68"/>
      <c r="R778" s="68"/>
      <c r="S778" s="68"/>
      <c r="T778" s="68"/>
      <c r="U778" s="68"/>
      <c r="V778" s="68"/>
      <c r="W778" s="68"/>
      <c r="X778" s="68"/>
      <c r="Y778" s="68"/>
      <c r="Z778" s="68"/>
    </row>
    <row r="779">
      <c r="A779" s="68"/>
      <c r="B779" s="68"/>
      <c r="C779" s="68"/>
      <c r="D779" s="68"/>
      <c r="E779" s="68"/>
      <c r="F779" s="68"/>
      <c r="G779" s="68"/>
      <c r="H779" s="68"/>
      <c r="I779" s="68"/>
      <c r="J779" s="68"/>
      <c r="K779" s="68"/>
      <c r="L779" s="68"/>
      <c r="M779" s="68"/>
      <c r="N779" s="68"/>
      <c r="O779" s="68"/>
      <c r="P779" s="68"/>
      <c r="Q779" s="68"/>
      <c r="R779" s="68"/>
      <c r="S779" s="68"/>
      <c r="T779" s="68"/>
      <c r="U779" s="68"/>
      <c r="V779" s="68"/>
      <c r="W779" s="68"/>
      <c r="X779" s="68"/>
      <c r="Y779" s="68"/>
      <c r="Z779" s="68"/>
    </row>
    <row r="780">
      <c r="A780" s="68"/>
      <c r="B780" s="68"/>
      <c r="C780" s="68"/>
      <c r="D780" s="68"/>
      <c r="E780" s="68"/>
      <c r="F780" s="68"/>
      <c r="G780" s="68"/>
      <c r="H780" s="68"/>
      <c r="I780" s="68"/>
      <c r="J780" s="68"/>
      <c r="K780" s="68"/>
      <c r="L780" s="68"/>
      <c r="M780" s="68"/>
      <c r="N780" s="68"/>
      <c r="O780" s="68"/>
      <c r="P780" s="68"/>
      <c r="Q780" s="68"/>
      <c r="R780" s="68"/>
      <c r="S780" s="68"/>
      <c r="T780" s="68"/>
      <c r="U780" s="68"/>
      <c r="V780" s="68"/>
      <c r="W780" s="68"/>
      <c r="X780" s="68"/>
      <c r="Y780" s="68"/>
      <c r="Z780" s="68"/>
    </row>
    <row r="781">
      <c r="A781" s="68"/>
      <c r="B781" s="68"/>
      <c r="C781" s="68"/>
      <c r="D781" s="68"/>
      <c r="E781" s="68"/>
      <c r="F781" s="68"/>
      <c r="G781" s="68"/>
      <c r="H781" s="68"/>
      <c r="I781" s="68"/>
      <c r="J781" s="68"/>
      <c r="K781" s="68"/>
      <c r="L781" s="68"/>
      <c r="M781" s="68"/>
      <c r="N781" s="68"/>
      <c r="O781" s="68"/>
      <c r="P781" s="68"/>
      <c r="Q781" s="68"/>
      <c r="R781" s="68"/>
      <c r="S781" s="68"/>
      <c r="T781" s="68"/>
      <c r="U781" s="68"/>
      <c r="V781" s="68"/>
      <c r="W781" s="68"/>
      <c r="X781" s="68"/>
      <c r="Y781" s="68"/>
      <c r="Z781" s="68"/>
    </row>
    <row r="782">
      <c r="A782" s="68"/>
      <c r="B782" s="68"/>
      <c r="C782" s="68"/>
      <c r="D782" s="68"/>
      <c r="E782" s="68"/>
      <c r="F782" s="68"/>
      <c r="G782" s="68"/>
      <c r="H782" s="68"/>
      <c r="I782" s="68"/>
      <c r="J782" s="68"/>
      <c r="K782" s="68"/>
      <c r="L782" s="68"/>
      <c r="M782" s="68"/>
      <c r="N782" s="68"/>
      <c r="O782" s="68"/>
      <c r="P782" s="68"/>
      <c r="Q782" s="68"/>
      <c r="R782" s="68"/>
      <c r="S782" s="68"/>
      <c r="T782" s="68"/>
      <c r="U782" s="68"/>
      <c r="V782" s="68"/>
      <c r="W782" s="68"/>
      <c r="X782" s="68"/>
      <c r="Y782" s="68"/>
      <c r="Z782" s="68"/>
    </row>
    <row r="783">
      <c r="A783" s="68"/>
      <c r="B783" s="68"/>
      <c r="C783" s="68"/>
      <c r="D783" s="68"/>
      <c r="E783" s="68"/>
      <c r="F783" s="68"/>
      <c r="G783" s="68"/>
      <c r="H783" s="68"/>
      <c r="I783" s="68"/>
      <c r="J783" s="68"/>
      <c r="K783" s="68"/>
      <c r="L783" s="68"/>
      <c r="M783" s="68"/>
      <c r="N783" s="68"/>
      <c r="O783" s="68"/>
      <c r="P783" s="68"/>
      <c r="Q783" s="68"/>
      <c r="R783" s="68"/>
      <c r="S783" s="68"/>
      <c r="T783" s="68"/>
      <c r="U783" s="68"/>
      <c r="V783" s="68"/>
      <c r="W783" s="68"/>
      <c r="X783" s="68"/>
      <c r="Y783" s="68"/>
      <c r="Z783" s="68"/>
    </row>
    <row r="784">
      <c r="A784" s="68"/>
      <c r="B784" s="68"/>
      <c r="C784" s="68"/>
      <c r="D784" s="68"/>
      <c r="E784" s="68"/>
      <c r="F784" s="68"/>
      <c r="G784" s="68"/>
      <c r="H784" s="68"/>
      <c r="I784" s="68"/>
      <c r="J784" s="68"/>
      <c r="K784" s="68"/>
      <c r="L784" s="68"/>
      <c r="M784" s="68"/>
      <c r="N784" s="68"/>
      <c r="O784" s="68"/>
      <c r="P784" s="68"/>
      <c r="Q784" s="68"/>
      <c r="R784" s="68"/>
      <c r="S784" s="68"/>
      <c r="T784" s="68"/>
      <c r="U784" s="68"/>
      <c r="V784" s="68"/>
      <c r="W784" s="68"/>
      <c r="X784" s="68"/>
      <c r="Y784" s="68"/>
      <c r="Z784" s="68"/>
    </row>
    <row r="785">
      <c r="A785" s="68"/>
      <c r="B785" s="68"/>
      <c r="C785" s="68"/>
      <c r="D785" s="68"/>
      <c r="E785" s="68"/>
      <c r="F785" s="68"/>
      <c r="G785" s="68"/>
      <c r="H785" s="68"/>
      <c r="I785" s="68"/>
      <c r="J785" s="68"/>
      <c r="K785" s="68"/>
      <c r="L785" s="68"/>
      <c r="M785" s="68"/>
      <c r="N785" s="68"/>
      <c r="O785" s="68"/>
      <c r="P785" s="68"/>
      <c r="Q785" s="68"/>
      <c r="R785" s="68"/>
      <c r="S785" s="68"/>
      <c r="T785" s="68"/>
      <c r="U785" s="68"/>
      <c r="V785" s="68"/>
      <c r="W785" s="68"/>
      <c r="X785" s="68"/>
      <c r="Y785" s="68"/>
      <c r="Z785" s="68"/>
    </row>
    <row r="786">
      <c r="A786" s="68"/>
      <c r="B786" s="68"/>
      <c r="C786" s="68"/>
      <c r="D786" s="68"/>
      <c r="E786" s="68"/>
      <c r="F786" s="68"/>
      <c r="G786" s="68"/>
      <c r="H786" s="68"/>
      <c r="I786" s="68"/>
      <c r="J786" s="68"/>
      <c r="K786" s="68"/>
      <c r="L786" s="68"/>
      <c r="M786" s="68"/>
      <c r="N786" s="68"/>
      <c r="O786" s="68"/>
      <c r="P786" s="68"/>
      <c r="Q786" s="68"/>
      <c r="R786" s="68"/>
      <c r="S786" s="68"/>
      <c r="T786" s="68"/>
      <c r="U786" s="68"/>
      <c r="V786" s="68"/>
      <c r="W786" s="68"/>
      <c r="X786" s="68"/>
      <c r="Y786" s="68"/>
      <c r="Z786" s="68"/>
    </row>
    <row r="787">
      <c r="A787" s="68"/>
      <c r="B787" s="68"/>
      <c r="C787" s="68"/>
      <c r="D787" s="68"/>
      <c r="E787" s="68"/>
      <c r="F787" s="68"/>
      <c r="G787" s="68"/>
      <c r="H787" s="68"/>
      <c r="I787" s="68"/>
      <c r="J787" s="68"/>
      <c r="K787" s="68"/>
      <c r="L787" s="68"/>
      <c r="M787" s="68"/>
      <c r="N787" s="68"/>
      <c r="O787" s="68"/>
      <c r="P787" s="68"/>
      <c r="Q787" s="68"/>
      <c r="R787" s="68"/>
      <c r="S787" s="68"/>
      <c r="T787" s="68"/>
      <c r="U787" s="68"/>
      <c r="V787" s="68"/>
      <c r="W787" s="68"/>
      <c r="X787" s="68"/>
      <c r="Y787" s="68"/>
      <c r="Z787" s="68"/>
    </row>
    <row r="788">
      <c r="A788" s="68"/>
      <c r="B788" s="68"/>
      <c r="C788" s="68"/>
      <c r="D788" s="68"/>
      <c r="E788" s="68"/>
      <c r="F788" s="68"/>
      <c r="G788" s="68"/>
      <c r="H788" s="68"/>
      <c r="I788" s="68"/>
      <c r="J788" s="68"/>
      <c r="K788" s="68"/>
      <c r="L788" s="68"/>
      <c r="M788" s="68"/>
      <c r="N788" s="68"/>
      <c r="O788" s="68"/>
      <c r="P788" s="68"/>
      <c r="Q788" s="68"/>
      <c r="R788" s="68"/>
      <c r="S788" s="68"/>
      <c r="T788" s="68"/>
      <c r="U788" s="68"/>
      <c r="V788" s="68"/>
      <c r="W788" s="68"/>
      <c r="X788" s="68"/>
      <c r="Y788" s="68"/>
      <c r="Z788" s="68"/>
    </row>
    <row r="789">
      <c r="A789" s="68"/>
      <c r="B789" s="68"/>
      <c r="C789" s="68"/>
      <c r="D789" s="68"/>
      <c r="E789" s="68"/>
      <c r="F789" s="68"/>
      <c r="G789" s="68"/>
      <c r="H789" s="68"/>
      <c r="I789" s="68"/>
      <c r="J789" s="68"/>
      <c r="K789" s="68"/>
      <c r="L789" s="68"/>
      <c r="M789" s="68"/>
      <c r="N789" s="68"/>
      <c r="O789" s="68"/>
      <c r="P789" s="68"/>
      <c r="Q789" s="68"/>
      <c r="R789" s="68"/>
      <c r="S789" s="68"/>
      <c r="T789" s="68"/>
      <c r="U789" s="68"/>
      <c r="V789" s="68"/>
      <c r="W789" s="68"/>
      <c r="X789" s="68"/>
      <c r="Y789" s="68"/>
      <c r="Z789" s="68"/>
    </row>
    <row r="790">
      <c r="A790" s="68"/>
      <c r="B790" s="68"/>
      <c r="C790" s="68"/>
      <c r="D790" s="68"/>
      <c r="E790" s="68"/>
      <c r="F790" s="68"/>
      <c r="G790" s="68"/>
      <c r="H790" s="68"/>
      <c r="I790" s="68"/>
      <c r="J790" s="68"/>
      <c r="K790" s="68"/>
      <c r="L790" s="68"/>
      <c r="M790" s="68"/>
      <c r="N790" s="68"/>
      <c r="O790" s="68"/>
      <c r="P790" s="68"/>
      <c r="Q790" s="68"/>
      <c r="R790" s="68"/>
      <c r="S790" s="68"/>
      <c r="T790" s="68"/>
      <c r="U790" s="68"/>
      <c r="V790" s="68"/>
      <c r="W790" s="68"/>
      <c r="X790" s="68"/>
      <c r="Y790" s="68"/>
      <c r="Z790" s="68"/>
    </row>
    <row r="791">
      <c r="A791" s="68"/>
      <c r="B791" s="68"/>
      <c r="C791" s="68"/>
      <c r="D791" s="68"/>
      <c r="E791" s="68"/>
      <c r="F791" s="68"/>
      <c r="G791" s="68"/>
      <c r="H791" s="68"/>
      <c r="I791" s="68"/>
      <c r="J791" s="68"/>
      <c r="K791" s="68"/>
      <c r="L791" s="68"/>
      <c r="M791" s="68"/>
      <c r="N791" s="68"/>
      <c r="O791" s="68"/>
      <c r="P791" s="68"/>
      <c r="Q791" s="68"/>
      <c r="R791" s="68"/>
      <c r="S791" s="68"/>
      <c r="T791" s="68"/>
      <c r="U791" s="68"/>
      <c r="V791" s="68"/>
      <c r="W791" s="68"/>
      <c r="X791" s="68"/>
      <c r="Y791" s="68"/>
      <c r="Z791" s="68"/>
    </row>
    <row r="792">
      <c r="A792" s="68"/>
      <c r="B792" s="68"/>
      <c r="C792" s="68"/>
      <c r="D792" s="68"/>
      <c r="E792" s="68"/>
      <c r="F792" s="68"/>
      <c r="G792" s="68"/>
      <c r="H792" s="68"/>
      <c r="I792" s="68"/>
      <c r="J792" s="68"/>
      <c r="K792" s="68"/>
      <c r="L792" s="68"/>
      <c r="M792" s="68"/>
      <c r="N792" s="68"/>
      <c r="O792" s="68"/>
      <c r="P792" s="68"/>
      <c r="Q792" s="68"/>
      <c r="R792" s="68"/>
      <c r="S792" s="68"/>
      <c r="T792" s="68"/>
      <c r="U792" s="68"/>
      <c r="V792" s="68"/>
      <c r="W792" s="68"/>
      <c r="X792" s="68"/>
      <c r="Y792" s="68"/>
      <c r="Z792" s="68"/>
    </row>
    <row r="793">
      <c r="A793" s="68"/>
      <c r="B793" s="68"/>
      <c r="C793" s="68"/>
      <c r="D793" s="68"/>
      <c r="E793" s="68"/>
      <c r="F793" s="68"/>
      <c r="G793" s="68"/>
      <c r="H793" s="68"/>
      <c r="I793" s="68"/>
      <c r="J793" s="68"/>
      <c r="K793" s="68"/>
      <c r="L793" s="68"/>
      <c r="M793" s="68"/>
      <c r="N793" s="68"/>
      <c r="O793" s="68"/>
      <c r="P793" s="68"/>
      <c r="Q793" s="68"/>
      <c r="R793" s="68"/>
      <c r="S793" s="68"/>
      <c r="T793" s="68"/>
      <c r="U793" s="68"/>
      <c r="V793" s="68"/>
      <c r="W793" s="68"/>
      <c r="X793" s="68"/>
      <c r="Y793" s="68"/>
      <c r="Z793" s="68"/>
    </row>
    <row r="794">
      <c r="A794" s="68"/>
      <c r="B794" s="68"/>
      <c r="C794" s="68"/>
      <c r="D794" s="68"/>
      <c r="E794" s="68"/>
      <c r="F794" s="68"/>
      <c r="G794" s="68"/>
      <c r="H794" s="68"/>
      <c r="I794" s="68"/>
      <c r="J794" s="68"/>
      <c r="K794" s="68"/>
      <c r="L794" s="68"/>
      <c r="M794" s="68"/>
      <c r="N794" s="68"/>
      <c r="O794" s="68"/>
      <c r="P794" s="68"/>
      <c r="Q794" s="68"/>
      <c r="R794" s="68"/>
      <c r="S794" s="68"/>
      <c r="T794" s="68"/>
      <c r="U794" s="68"/>
      <c r="V794" s="68"/>
      <c r="W794" s="68"/>
      <c r="X794" s="68"/>
      <c r="Y794" s="68"/>
      <c r="Z794" s="68"/>
    </row>
    <row r="795">
      <c r="A795" s="68"/>
      <c r="B795" s="68"/>
      <c r="C795" s="68"/>
      <c r="D795" s="68"/>
      <c r="E795" s="68"/>
      <c r="F795" s="68"/>
      <c r="G795" s="68"/>
      <c r="H795" s="68"/>
      <c r="I795" s="68"/>
      <c r="J795" s="68"/>
      <c r="K795" s="68"/>
      <c r="L795" s="68"/>
      <c r="M795" s="68"/>
      <c r="N795" s="68"/>
      <c r="O795" s="68"/>
      <c r="P795" s="68"/>
      <c r="Q795" s="68"/>
      <c r="R795" s="68"/>
      <c r="S795" s="68"/>
      <c r="T795" s="68"/>
      <c r="U795" s="68"/>
      <c r="V795" s="68"/>
      <c r="W795" s="68"/>
      <c r="X795" s="68"/>
      <c r="Y795" s="68"/>
      <c r="Z795" s="68"/>
    </row>
    <row r="796">
      <c r="A796" s="68"/>
      <c r="B796" s="68"/>
      <c r="C796" s="68"/>
      <c r="D796" s="68"/>
      <c r="E796" s="68"/>
      <c r="F796" s="68"/>
      <c r="G796" s="68"/>
      <c r="H796" s="68"/>
      <c r="I796" s="68"/>
      <c r="J796" s="68"/>
      <c r="K796" s="68"/>
      <c r="L796" s="68"/>
      <c r="M796" s="68"/>
      <c r="N796" s="68"/>
      <c r="O796" s="68"/>
      <c r="P796" s="68"/>
      <c r="Q796" s="68"/>
      <c r="R796" s="68"/>
      <c r="S796" s="68"/>
      <c r="T796" s="68"/>
      <c r="U796" s="68"/>
      <c r="V796" s="68"/>
      <c r="W796" s="68"/>
      <c r="X796" s="68"/>
      <c r="Y796" s="68"/>
      <c r="Z796" s="68"/>
    </row>
    <row r="797">
      <c r="A797" s="68"/>
      <c r="B797" s="68"/>
      <c r="C797" s="68"/>
      <c r="D797" s="68"/>
      <c r="E797" s="68"/>
      <c r="F797" s="68"/>
      <c r="G797" s="68"/>
      <c r="H797" s="68"/>
      <c r="I797" s="68"/>
      <c r="J797" s="68"/>
      <c r="K797" s="68"/>
      <c r="L797" s="68"/>
      <c r="M797" s="68"/>
      <c r="N797" s="68"/>
      <c r="O797" s="68"/>
      <c r="P797" s="68"/>
      <c r="Q797" s="68"/>
      <c r="R797" s="68"/>
      <c r="S797" s="68"/>
      <c r="T797" s="68"/>
      <c r="U797" s="68"/>
      <c r="V797" s="68"/>
      <c r="W797" s="68"/>
      <c r="X797" s="68"/>
      <c r="Y797" s="68"/>
      <c r="Z797" s="68"/>
    </row>
    <row r="798">
      <c r="A798" s="68"/>
      <c r="B798" s="68"/>
      <c r="C798" s="68"/>
      <c r="D798" s="68"/>
      <c r="E798" s="68"/>
      <c r="F798" s="68"/>
      <c r="G798" s="68"/>
      <c r="H798" s="68"/>
      <c r="I798" s="68"/>
      <c r="J798" s="68"/>
      <c r="K798" s="68"/>
      <c r="L798" s="68"/>
      <c r="M798" s="68"/>
      <c r="N798" s="68"/>
      <c r="O798" s="68"/>
      <c r="P798" s="68"/>
      <c r="Q798" s="68"/>
      <c r="R798" s="68"/>
      <c r="S798" s="68"/>
      <c r="T798" s="68"/>
      <c r="U798" s="68"/>
      <c r="V798" s="68"/>
      <c r="W798" s="68"/>
      <c r="X798" s="68"/>
      <c r="Y798" s="68"/>
      <c r="Z798" s="68"/>
    </row>
    <row r="799">
      <c r="A799" s="68"/>
      <c r="B799" s="68"/>
      <c r="C799" s="68"/>
      <c r="D799" s="68"/>
      <c r="E799" s="68"/>
      <c r="F799" s="68"/>
      <c r="G799" s="68"/>
      <c r="H799" s="68"/>
      <c r="I799" s="68"/>
      <c r="J799" s="68"/>
      <c r="K799" s="68"/>
      <c r="L799" s="68"/>
      <c r="M799" s="68"/>
      <c r="N799" s="68"/>
      <c r="O799" s="68"/>
      <c r="P799" s="68"/>
      <c r="Q799" s="68"/>
      <c r="R799" s="68"/>
      <c r="S799" s="68"/>
      <c r="T799" s="68"/>
      <c r="U799" s="68"/>
      <c r="V799" s="68"/>
      <c r="W799" s="68"/>
      <c r="X799" s="68"/>
      <c r="Y799" s="68"/>
      <c r="Z799" s="68"/>
    </row>
    <row r="800">
      <c r="A800" s="68"/>
      <c r="B800" s="68"/>
      <c r="C800" s="68"/>
      <c r="D800" s="68"/>
      <c r="E800" s="68"/>
      <c r="F800" s="68"/>
      <c r="G800" s="68"/>
      <c r="H800" s="68"/>
      <c r="I800" s="68"/>
      <c r="J800" s="68"/>
      <c r="K800" s="68"/>
      <c r="L800" s="68"/>
      <c r="M800" s="68"/>
      <c r="N800" s="68"/>
      <c r="O800" s="68"/>
      <c r="P800" s="68"/>
      <c r="Q800" s="68"/>
      <c r="R800" s="68"/>
      <c r="S800" s="68"/>
      <c r="T800" s="68"/>
      <c r="U800" s="68"/>
      <c r="V800" s="68"/>
      <c r="W800" s="68"/>
      <c r="X800" s="68"/>
      <c r="Y800" s="68"/>
      <c r="Z800" s="68"/>
    </row>
    <row r="801">
      <c r="A801" s="68"/>
      <c r="B801" s="68"/>
      <c r="C801" s="68"/>
      <c r="D801" s="68"/>
      <c r="E801" s="68"/>
      <c r="F801" s="68"/>
      <c r="G801" s="68"/>
      <c r="H801" s="68"/>
      <c r="I801" s="68"/>
      <c r="J801" s="68"/>
      <c r="K801" s="68"/>
      <c r="L801" s="68"/>
      <c r="M801" s="68"/>
      <c r="N801" s="68"/>
      <c r="O801" s="68"/>
      <c r="P801" s="68"/>
      <c r="Q801" s="68"/>
      <c r="R801" s="68"/>
      <c r="S801" s="68"/>
      <c r="T801" s="68"/>
      <c r="U801" s="68"/>
      <c r="V801" s="68"/>
      <c r="W801" s="68"/>
      <c r="X801" s="68"/>
      <c r="Y801" s="68"/>
      <c r="Z801" s="68"/>
    </row>
    <row r="802">
      <c r="A802" s="68"/>
      <c r="B802" s="68"/>
      <c r="C802" s="68"/>
      <c r="D802" s="68"/>
      <c r="E802" s="68"/>
      <c r="F802" s="68"/>
      <c r="G802" s="68"/>
      <c r="H802" s="68"/>
      <c r="I802" s="68"/>
      <c r="J802" s="68"/>
      <c r="K802" s="68"/>
      <c r="L802" s="68"/>
      <c r="M802" s="68"/>
      <c r="N802" s="68"/>
      <c r="O802" s="68"/>
      <c r="P802" s="68"/>
      <c r="Q802" s="68"/>
      <c r="R802" s="68"/>
      <c r="S802" s="68"/>
      <c r="T802" s="68"/>
      <c r="U802" s="68"/>
      <c r="V802" s="68"/>
      <c r="W802" s="68"/>
      <c r="X802" s="68"/>
      <c r="Y802" s="68"/>
      <c r="Z802" s="68"/>
    </row>
    <row r="803">
      <c r="A803" s="68"/>
      <c r="B803" s="68"/>
      <c r="C803" s="68"/>
      <c r="D803" s="68"/>
      <c r="E803" s="68"/>
      <c r="F803" s="68"/>
      <c r="G803" s="68"/>
      <c r="H803" s="68"/>
      <c r="I803" s="68"/>
      <c r="J803" s="68"/>
      <c r="K803" s="68"/>
      <c r="L803" s="68"/>
      <c r="M803" s="68"/>
      <c r="N803" s="68"/>
      <c r="O803" s="68"/>
      <c r="P803" s="68"/>
      <c r="Q803" s="68"/>
      <c r="R803" s="68"/>
      <c r="S803" s="68"/>
      <c r="T803" s="68"/>
      <c r="U803" s="68"/>
      <c r="V803" s="68"/>
      <c r="W803" s="68"/>
      <c r="X803" s="68"/>
      <c r="Y803" s="68"/>
      <c r="Z803" s="68"/>
    </row>
    <row r="804">
      <c r="A804" s="68"/>
      <c r="B804" s="68"/>
      <c r="C804" s="68"/>
      <c r="D804" s="68"/>
      <c r="E804" s="68"/>
      <c r="F804" s="68"/>
      <c r="G804" s="68"/>
      <c r="H804" s="68"/>
      <c r="I804" s="68"/>
      <c r="J804" s="68"/>
      <c r="K804" s="68"/>
      <c r="L804" s="68"/>
      <c r="M804" s="68"/>
      <c r="N804" s="68"/>
      <c r="O804" s="68"/>
      <c r="P804" s="68"/>
      <c r="Q804" s="68"/>
      <c r="R804" s="68"/>
      <c r="S804" s="68"/>
      <c r="T804" s="68"/>
      <c r="U804" s="68"/>
      <c r="V804" s="68"/>
      <c r="W804" s="68"/>
      <c r="X804" s="68"/>
      <c r="Y804" s="68"/>
      <c r="Z804" s="68"/>
    </row>
    <row r="805">
      <c r="A805" s="68"/>
      <c r="B805" s="68"/>
      <c r="C805" s="68"/>
      <c r="D805" s="68"/>
      <c r="E805" s="68"/>
      <c r="F805" s="68"/>
      <c r="G805" s="68"/>
      <c r="H805" s="68"/>
      <c r="I805" s="68"/>
      <c r="J805" s="68"/>
      <c r="K805" s="68"/>
      <c r="L805" s="68"/>
      <c r="M805" s="68"/>
      <c r="N805" s="68"/>
      <c r="O805" s="68"/>
      <c r="P805" s="68"/>
      <c r="Q805" s="68"/>
      <c r="R805" s="68"/>
      <c r="S805" s="68"/>
      <c r="T805" s="68"/>
      <c r="U805" s="68"/>
      <c r="V805" s="68"/>
      <c r="W805" s="68"/>
      <c r="X805" s="68"/>
      <c r="Y805" s="68"/>
      <c r="Z805" s="68"/>
    </row>
    <row r="806">
      <c r="A806" s="68"/>
      <c r="B806" s="68"/>
      <c r="C806" s="68"/>
      <c r="D806" s="68"/>
      <c r="E806" s="68"/>
      <c r="F806" s="68"/>
      <c r="G806" s="68"/>
      <c r="H806" s="68"/>
      <c r="I806" s="68"/>
      <c r="J806" s="68"/>
      <c r="K806" s="68"/>
      <c r="L806" s="68"/>
      <c r="M806" s="68"/>
      <c r="N806" s="68"/>
      <c r="O806" s="68"/>
      <c r="P806" s="68"/>
      <c r="Q806" s="68"/>
      <c r="R806" s="68"/>
      <c r="S806" s="68"/>
      <c r="T806" s="68"/>
      <c r="U806" s="68"/>
      <c r="V806" s="68"/>
      <c r="W806" s="68"/>
      <c r="X806" s="68"/>
      <c r="Y806" s="68"/>
      <c r="Z806" s="68"/>
    </row>
    <row r="807">
      <c r="A807" s="68"/>
      <c r="B807" s="68"/>
      <c r="C807" s="68"/>
      <c r="D807" s="68"/>
      <c r="E807" s="68"/>
      <c r="F807" s="68"/>
      <c r="G807" s="68"/>
      <c r="H807" s="68"/>
      <c r="I807" s="68"/>
      <c r="J807" s="68"/>
      <c r="K807" s="68"/>
      <c r="L807" s="68"/>
      <c r="M807" s="68"/>
      <c r="N807" s="68"/>
      <c r="O807" s="68"/>
      <c r="P807" s="68"/>
      <c r="Q807" s="68"/>
      <c r="R807" s="68"/>
      <c r="S807" s="68"/>
      <c r="T807" s="68"/>
      <c r="U807" s="68"/>
      <c r="V807" s="68"/>
      <c r="W807" s="68"/>
      <c r="X807" s="68"/>
      <c r="Y807" s="68"/>
      <c r="Z807" s="68"/>
    </row>
    <row r="808">
      <c r="A808" s="68"/>
      <c r="B808" s="68"/>
      <c r="C808" s="68"/>
      <c r="D808" s="68"/>
      <c r="E808" s="68"/>
      <c r="F808" s="68"/>
      <c r="G808" s="68"/>
      <c r="H808" s="68"/>
      <c r="I808" s="68"/>
      <c r="J808" s="68"/>
      <c r="K808" s="68"/>
      <c r="L808" s="68"/>
      <c r="M808" s="68"/>
      <c r="N808" s="68"/>
      <c r="O808" s="68"/>
      <c r="P808" s="68"/>
      <c r="Q808" s="68"/>
      <c r="R808" s="68"/>
      <c r="S808" s="68"/>
      <c r="T808" s="68"/>
      <c r="U808" s="68"/>
      <c r="V808" s="68"/>
      <c r="W808" s="68"/>
      <c r="X808" s="68"/>
      <c r="Y808" s="68"/>
      <c r="Z808" s="68"/>
    </row>
    <row r="809">
      <c r="A809" s="68"/>
      <c r="B809" s="68"/>
      <c r="C809" s="68"/>
      <c r="D809" s="68"/>
      <c r="E809" s="68"/>
      <c r="F809" s="68"/>
      <c r="G809" s="68"/>
      <c r="H809" s="68"/>
      <c r="I809" s="68"/>
      <c r="J809" s="68"/>
      <c r="K809" s="68"/>
      <c r="L809" s="68"/>
      <c r="M809" s="68"/>
      <c r="N809" s="68"/>
      <c r="O809" s="68"/>
      <c r="P809" s="68"/>
      <c r="Q809" s="68"/>
      <c r="R809" s="68"/>
      <c r="S809" s="68"/>
      <c r="T809" s="68"/>
      <c r="U809" s="68"/>
      <c r="V809" s="68"/>
      <c r="W809" s="68"/>
      <c r="X809" s="68"/>
      <c r="Y809" s="68"/>
      <c r="Z809" s="68"/>
    </row>
    <row r="810">
      <c r="A810" s="68"/>
      <c r="B810" s="68"/>
      <c r="C810" s="68"/>
      <c r="D810" s="68"/>
      <c r="E810" s="68"/>
      <c r="F810" s="68"/>
      <c r="G810" s="68"/>
      <c r="H810" s="68"/>
      <c r="I810" s="68"/>
      <c r="J810" s="68"/>
      <c r="K810" s="68"/>
      <c r="L810" s="68"/>
      <c r="M810" s="68"/>
      <c r="N810" s="68"/>
      <c r="O810" s="68"/>
      <c r="P810" s="68"/>
      <c r="Q810" s="68"/>
      <c r="R810" s="68"/>
      <c r="S810" s="68"/>
      <c r="T810" s="68"/>
      <c r="U810" s="68"/>
      <c r="V810" s="68"/>
      <c r="W810" s="68"/>
      <c r="X810" s="68"/>
      <c r="Y810" s="68"/>
      <c r="Z810" s="68"/>
    </row>
    <row r="811">
      <c r="A811" s="68"/>
      <c r="B811" s="68"/>
      <c r="C811" s="68"/>
      <c r="D811" s="68"/>
      <c r="E811" s="68"/>
      <c r="F811" s="68"/>
      <c r="G811" s="68"/>
      <c r="H811" s="68"/>
      <c r="I811" s="68"/>
      <c r="J811" s="68"/>
      <c r="K811" s="68"/>
      <c r="L811" s="68"/>
      <c r="M811" s="68"/>
      <c r="N811" s="68"/>
      <c r="O811" s="68"/>
      <c r="P811" s="68"/>
      <c r="Q811" s="68"/>
      <c r="R811" s="68"/>
      <c r="S811" s="68"/>
      <c r="T811" s="68"/>
      <c r="U811" s="68"/>
      <c r="V811" s="68"/>
      <c r="W811" s="68"/>
      <c r="X811" s="68"/>
      <c r="Y811" s="68"/>
      <c r="Z811" s="68"/>
    </row>
    <row r="812">
      <c r="A812" s="68"/>
      <c r="B812" s="68"/>
      <c r="C812" s="68"/>
      <c r="D812" s="68"/>
      <c r="E812" s="68"/>
      <c r="F812" s="68"/>
      <c r="G812" s="68"/>
      <c r="H812" s="68"/>
      <c r="I812" s="68"/>
      <c r="J812" s="68"/>
      <c r="K812" s="68"/>
      <c r="L812" s="68"/>
      <c r="M812" s="68"/>
      <c r="N812" s="68"/>
      <c r="O812" s="68"/>
      <c r="P812" s="68"/>
      <c r="Q812" s="68"/>
      <c r="R812" s="68"/>
      <c r="S812" s="68"/>
      <c r="T812" s="68"/>
      <c r="U812" s="68"/>
      <c r="V812" s="68"/>
      <c r="W812" s="68"/>
      <c r="X812" s="68"/>
      <c r="Y812" s="68"/>
      <c r="Z812" s="68"/>
    </row>
    <row r="813">
      <c r="A813" s="68"/>
      <c r="B813" s="68"/>
      <c r="C813" s="68"/>
      <c r="D813" s="68"/>
      <c r="E813" s="68"/>
      <c r="F813" s="68"/>
      <c r="G813" s="68"/>
      <c r="H813" s="68"/>
      <c r="I813" s="68"/>
      <c r="J813" s="68"/>
      <c r="K813" s="68"/>
      <c r="L813" s="68"/>
      <c r="M813" s="68"/>
      <c r="N813" s="68"/>
      <c r="O813" s="68"/>
      <c r="P813" s="68"/>
      <c r="Q813" s="68"/>
      <c r="R813" s="68"/>
      <c r="S813" s="68"/>
      <c r="T813" s="68"/>
      <c r="U813" s="68"/>
      <c r="V813" s="68"/>
      <c r="W813" s="68"/>
      <c r="X813" s="68"/>
      <c r="Y813" s="68"/>
      <c r="Z813" s="68"/>
    </row>
    <row r="814">
      <c r="A814" s="68"/>
      <c r="B814" s="68"/>
      <c r="C814" s="68"/>
      <c r="D814" s="68"/>
      <c r="E814" s="68"/>
      <c r="F814" s="68"/>
      <c r="G814" s="68"/>
      <c r="H814" s="68"/>
      <c r="I814" s="68"/>
      <c r="J814" s="68"/>
      <c r="K814" s="68"/>
      <c r="L814" s="68"/>
      <c r="M814" s="68"/>
      <c r="N814" s="68"/>
      <c r="O814" s="68"/>
      <c r="P814" s="68"/>
      <c r="Q814" s="68"/>
      <c r="R814" s="68"/>
      <c r="S814" s="68"/>
      <c r="T814" s="68"/>
      <c r="U814" s="68"/>
      <c r="V814" s="68"/>
      <c r="W814" s="68"/>
      <c r="X814" s="68"/>
      <c r="Y814" s="68"/>
      <c r="Z814" s="68"/>
    </row>
    <row r="815">
      <c r="A815" s="68"/>
      <c r="B815" s="68"/>
      <c r="C815" s="68"/>
      <c r="D815" s="68"/>
      <c r="E815" s="68"/>
      <c r="F815" s="68"/>
      <c r="G815" s="68"/>
      <c r="H815" s="68"/>
      <c r="I815" s="68"/>
      <c r="J815" s="68"/>
      <c r="K815" s="68"/>
      <c r="L815" s="68"/>
      <c r="M815" s="68"/>
      <c r="N815" s="68"/>
      <c r="O815" s="68"/>
      <c r="P815" s="68"/>
      <c r="Q815" s="68"/>
      <c r="R815" s="68"/>
      <c r="S815" s="68"/>
      <c r="T815" s="68"/>
      <c r="U815" s="68"/>
      <c r="V815" s="68"/>
      <c r="W815" s="68"/>
      <c r="X815" s="68"/>
      <c r="Y815" s="68"/>
      <c r="Z815" s="68"/>
    </row>
    <row r="816">
      <c r="A816" s="68"/>
      <c r="B816" s="68"/>
      <c r="C816" s="68"/>
      <c r="D816" s="68"/>
      <c r="E816" s="68"/>
      <c r="F816" s="68"/>
      <c r="G816" s="68"/>
      <c r="H816" s="68"/>
      <c r="I816" s="68"/>
      <c r="J816" s="68"/>
      <c r="K816" s="68"/>
      <c r="L816" s="68"/>
      <c r="M816" s="68"/>
      <c r="N816" s="68"/>
      <c r="O816" s="68"/>
      <c r="P816" s="68"/>
      <c r="Q816" s="68"/>
      <c r="R816" s="68"/>
      <c r="S816" s="68"/>
      <c r="T816" s="68"/>
      <c r="U816" s="68"/>
      <c r="V816" s="68"/>
      <c r="W816" s="68"/>
      <c r="X816" s="68"/>
      <c r="Y816" s="68"/>
      <c r="Z816" s="68"/>
    </row>
    <row r="817">
      <c r="A817" s="68"/>
      <c r="B817" s="68"/>
      <c r="C817" s="68"/>
      <c r="D817" s="68"/>
      <c r="E817" s="68"/>
      <c r="F817" s="68"/>
      <c r="G817" s="68"/>
      <c r="H817" s="68"/>
      <c r="I817" s="68"/>
      <c r="J817" s="68"/>
      <c r="K817" s="68"/>
      <c r="L817" s="68"/>
      <c r="M817" s="68"/>
      <c r="N817" s="68"/>
      <c r="O817" s="68"/>
      <c r="P817" s="68"/>
      <c r="Q817" s="68"/>
      <c r="R817" s="68"/>
      <c r="S817" s="68"/>
      <c r="T817" s="68"/>
      <c r="U817" s="68"/>
      <c r="V817" s="68"/>
      <c r="W817" s="68"/>
      <c r="X817" s="68"/>
      <c r="Y817" s="68"/>
      <c r="Z817" s="68"/>
    </row>
    <row r="818">
      <c r="A818" s="68"/>
      <c r="B818" s="68"/>
      <c r="C818" s="68"/>
      <c r="D818" s="68"/>
      <c r="E818" s="68"/>
      <c r="F818" s="68"/>
      <c r="G818" s="68"/>
      <c r="H818" s="68"/>
      <c r="I818" s="68"/>
      <c r="J818" s="68"/>
      <c r="K818" s="68"/>
      <c r="L818" s="68"/>
      <c r="M818" s="68"/>
      <c r="N818" s="68"/>
      <c r="O818" s="68"/>
      <c r="P818" s="68"/>
      <c r="Q818" s="68"/>
      <c r="R818" s="68"/>
      <c r="S818" s="68"/>
      <c r="T818" s="68"/>
      <c r="U818" s="68"/>
      <c r="V818" s="68"/>
      <c r="W818" s="68"/>
      <c r="X818" s="68"/>
      <c r="Y818" s="68"/>
      <c r="Z818" s="68"/>
    </row>
    <row r="819">
      <c r="A819" s="68"/>
      <c r="B819" s="68"/>
      <c r="C819" s="68"/>
      <c r="D819" s="68"/>
      <c r="E819" s="68"/>
      <c r="F819" s="68"/>
      <c r="G819" s="68"/>
      <c r="H819" s="68"/>
      <c r="I819" s="68"/>
      <c r="J819" s="68"/>
      <c r="K819" s="68"/>
      <c r="L819" s="68"/>
      <c r="M819" s="68"/>
      <c r="N819" s="68"/>
      <c r="O819" s="68"/>
      <c r="P819" s="68"/>
      <c r="Q819" s="68"/>
      <c r="R819" s="68"/>
      <c r="S819" s="68"/>
      <c r="T819" s="68"/>
      <c r="U819" s="68"/>
      <c r="V819" s="68"/>
      <c r="W819" s="68"/>
      <c r="X819" s="68"/>
      <c r="Y819" s="68"/>
      <c r="Z819" s="68"/>
    </row>
    <row r="820">
      <c r="A820" s="68"/>
      <c r="B820" s="68"/>
      <c r="C820" s="68"/>
      <c r="D820" s="68"/>
      <c r="E820" s="68"/>
      <c r="F820" s="68"/>
      <c r="G820" s="68"/>
      <c r="H820" s="68"/>
      <c r="I820" s="68"/>
      <c r="J820" s="68"/>
      <c r="K820" s="68"/>
      <c r="L820" s="68"/>
      <c r="M820" s="68"/>
      <c r="N820" s="68"/>
      <c r="O820" s="68"/>
      <c r="P820" s="68"/>
      <c r="Q820" s="68"/>
      <c r="R820" s="68"/>
      <c r="S820" s="68"/>
      <c r="T820" s="68"/>
      <c r="U820" s="68"/>
      <c r="V820" s="68"/>
      <c r="W820" s="68"/>
      <c r="X820" s="68"/>
      <c r="Y820" s="68"/>
      <c r="Z820" s="68"/>
    </row>
    <row r="821">
      <c r="A821" s="68"/>
      <c r="B821" s="68"/>
      <c r="C821" s="68"/>
      <c r="D821" s="68"/>
      <c r="E821" s="68"/>
      <c r="F821" s="68"/>
      <c r="G821" s="68"/>
      <c r="H821" s="68"/>
      <c r="I821" s="68"/>
      <c r="J821" s="68"/>
      <c r="K821" s="68"/>
      <c r="L821" s="68"/>
      <c r="M821" s="68"/>
      <c r="N821" s="68"/>
      <c r="O821" s="68"/>
      <c r="P821" s="68"/>
      <c r="Q821" s="68"/>
      <c r="R821" s="68"/>
      <c r="S821" s="68"/>
      <c r="T821" s="68"/>
      <c r="U821" s="68"/>
      <c r="V821" s="68"/>
      <c r="W821" s="68"/>
      <c r="X821" s="68"/>
      <c r="Y821" s="68"/>
      <c r="Z821" s="68"/>
    </row>
    <row r="822">
      <c r="A822" s="68"/>
      <c r="B822" s="68"/>
      <c r="C822" s="68"/>
      <c r="D822" s="68"/>
      <c r="E822" s="68"/>
      <c r="F822" s="68"/>
      <c r="G822" s="68"/>
      <c r="H822" s="68"/>
      <c r="I822" s="68"/>
      <c r="J822" s="68"/>
      <c r="K822" s="68"/>
      <c r="L822" s="68"/>
      <c r="M822" s="68"/>
      <c r="N822" s="68"/>
      <c r="O822" s="68"/>
      <c r="P822" s="68"/>
      <c r="Q822" s="68"/>
      <c r="R822" s="68"/>
      <c r="S822" s="68"/>
      <c r="T822" s="68"/>
      <c r="U822" s="68"/>
      <c r="V822" s="68"/>
      <c r="W822" s="68"/>
      <c r="X822" s="68"/>
      <c r="Y822" s="68"/>
      <c r="Z822" s="68"/>
    </row>
    <row r="823">
      <c r="A823" s="68"/>
      <c r="B823" s="68"/>
      <c r="C823" s="68"/>
      <c r="D823" s="68"/>
      <c r="E823" s="68"/>
      <c r="F823" s="68"/>
      <c r="G823" s="68"/>
      <c r="H823" s="68"/>
      <c r="I823" s="68"/>
      <c r="J823" s="68"/>
      <c r="K823" s="68"/>
      <c r="L823" s="68"/>
      <c r="M823" s="68"/>
      <c r="N823" s="68"/>
      <c r="O823" s="68"/>
      <c r="P823" s="68"/>
      <c r="Q823" s="68"/>
      <c r="R823" s="68"/>
      <c r="S823" s="68"/>
      <c r="T823" s="68"/>
      <c r="U823" s="68"/>
      <c r="V823" s="68"/>
      <c r="W823" s="68"/>
      <c r="X823" s="68"/>
      <c r="Y823" s="68"/>
      <c r="Z823" s="68"/>
    </row>
    <row r="824">
      <c r="A824" s="68"/>
      <c r="B824" s="68"/>
      <c r="C824" s="68"/>
      <c r="D824" s="68"/>
      <c r="E824" s="68"/>
      <c r="F824" s="68"/>
      <c r="G824" s="68"/>
      <c r="H824" s="68"/>
      <c r="I824" s="68"/>
      <c r="J824" s="68"/>
      <c r="K824" s="68"/>
      <c r="L824" s="68"/>
      <c r="M824" s="68"/>
      <c r="N824" s="68"/>
      <c r="O824" s="68"/>
      <c r="P824" s="68"/>
      <c r="Q824" s="68"/>
      <c r="R824" s="68"/>
      <c r="S824" s="68"/>
      <c r="T824" s="68"/>
      <c r="U824" s="68"/>
      <c r="V824" s="68"/>
      <c r="W824" s="68"/>
      <c r="X824" s="68"/>
      <c r="Y824" s="68"/>
      <c r="Z824" s="68"/>
    </row>
    <row r="825">
      <c r="A825" s="68"/>
      <c r="B825" s="68"/>
      <c r="C825" s="68"/>
      <c r="D825" s="68"/>
      <c r="E825" s="68"/>
      <c r="F825" s="68"/>
      <c r="G825" s="68"/>
      <c r="H825" s="68"/>
      <c r="I825" s="68"/>
      <c r="J825" s="68"/>
      <c r="K825" s="68"/>
      <c r="L825" s="68"/>
      <c r="M825" s="68"/>
      <c r="N825" s="68"/>
      <c r="O825" s="68"/>
      <c r="P825" s="68"/>
      <c r="Q825" s="68"/>
      <c r="R825" s="68"/>
      <c r="S825" s="68"/>
      <c r="T825" s="68"/>
      <c r="U825" s="68"/>
      <c r="V825" s="68"/>
      <c r="W825" s="68"/>
      <c r="X825" s="68"/>
      <c r="Y825" s="68"/>
      <c r="Z825" s="68"/>
    </row>
    <row r="826">
      <c r="A826" s="68"/>
      <c r="B826" s="68"/>
      <c r="C826" s="68"/>
      <c r="D826" s="68"/>
      <c r="E826" s="68"/>
      <c r="F826" s="68"/>
      <c r="G826" s="68"/>
      <c r="H826" s="68"/>
      <c r="I826" s="68"/>
      <c r="J826" s="68"/>
      <c r="K826" s="68"/>
      <c r="L826" s="68"/>
      <c r="M826" s="68"/>
      <c r="N826" s="68"/>
      <c r="O826" s="68"/>
      <c r="P826" s="68"/>
      <c r="Q826" s="68"/>
      <c r="R826" s="68"/>
      <c r="S826" s="68"/>
      <c r="T826" s="68"/>
      <c r="U826" s="68"/>
      <c r="V826" s="68"/>
      <c r="W826" s="68"/>
      <c r="X826" s="68"/>
      <c r="Y826" s="68"/>
      <c r="Z826" s="68"/>
    </row>
    <row r="827">
      <c r="A827" s="68"/>
      <c r="B827" s="68"/>
      <c r="C827" s="68"/>
      <c r="D827" s="68"/>
      <c r="E827" s="68"/>
      <c r="F827" s="68"/>
      <c r="G827" s="68"/>
      <c r="H827" s="68"/>
      <c r="I827" s="68"/>
      <c r="J827" s="68"/>
      <c r="K827" s="68"/>
      <c r="L827" s="68"/>
      <c r="M827" s="68"/>
      <c r="N827" s="68"/>
      <c r="O827" s="68"/>
      <c r="P827" s="68"/>
      <c r="Q827" s="68"/>
      <c r="R827" s="68"/>
      <c r="S827" s="68"/>
      <c r="T827" s="68"/>
      <c r="U827" s="68"/>
      <c r="V827" s="68"/>
      <c r="W827" s="68"/>
      <c r="X827" s="68"/>
      <c r="Y827" s="68"/>
      <c r="Z827" s="68"/>
    </row>
    <row r="828">
      <c r="A828" s="68"/>
      <c r="B828" s="68"/>
      <c r="C828" s="68"/>
      <c r="D828" s="68"/>
      <c r="E828" s="68"/>
      <c r="F828" s="68"/>
      <c r="G828" s="68"/>
      <c r="H828" s="68"/>
      <c r="I828" s="68"/>
      <c r="J828" s="68"/>
      <c r="K828" s="68"/>
      <c r="L828" s="68"/>
      <c r="M828" s="68"/>
      <c r="N828" s="68"/>
      <c r="O828" s="68"/>
      <c r="P828" s="68"/>
      <c r="Q828" s="68"/>
      <c r="R828" s="68"/>
      <c r="S828" s="68"/>
      <c r="T828" s="68"/>
      <c r="U828" s="68"/>
      <c r="V828" s="68"/>
      <c r="W828" s="68"/>
      <c r="X828" s="68"/>
      <c r="Y828" s="68"/>
      <c r="Z828" s="68"/>
    </row>
    <row r="829">
      <c r="A829" s="68"/>
      <c r="B829" s="68"/>
      <c r="C829" s="68"/>
      <c r="D829" s="68"/>
      <c r="E829" s="68"/>
      <c r="F829" s="68"/>
      <c r="G829" s="68"/>
      <c r="H829" s="68"/>
      <c r="I829" s="68"/>
      <c r="J829" s="68"/>
      <c r="K829" s="68"/>
      <c r="L829" s="68"/>
      <c r="M829" s="68"/>
      <c r="N829" s="68"/>
      <c r="O829" s="68"/>
      <c r="P829" s="68"/>
      <c r="Q829" s="68"/>
      <c r="R829" s="68"/>
      <c r="S829" s="68"/>
      <c r="T829" s="68"/>
      <c r="U829" s="68"/>
      <c r="V829" s="68"/>
      <c r="W829" s="68"/>
      <c r="X829" s="68"/>
      <c r="Y829" s="68"/>
      <c r="Z829" s="68"/>
    </row>
    <row r="830">
      <c r="A830" s="68"/>
      <c r="B830" s="68"/>
      <c r="C830" s="68"/>
      <c r="D830" s="68"/>
      <c r="E830" s="68"/>
      <c r="F830" s="68"/>
      <c r="G830" s="68"/>
      <c r="H830" s="68"/>
      <c r="I830" s="68"/>
      <c r="J830" s="68"/>
      <c r="K830" s="68"/>
      <c r="L830" s="68"/>
      <c r="M830" s="68"/>
      <c r="N830" s="68"/>
      <c r="O830" s="68"/>
      <c r="P830" s="68"/>
      <c r="Q830" s="68"/>
      <c r="R830" s="68"/>
      <c r="S830" s="68"/>
      <c r="T830" s="68"/>
      <c r="U830" s="68"/>
      <c r="V830" s="68"/>
      <c r="W830" s="68"/>
      <c r="X830" s="68"/>
      <c r="Y830" s="68"/>
      <c r="Z830" s="68"/>
    </row>
    <row r="831">
      <c r="A831" s="68"/>
      <c r="B831" s="68"/>
      <c r="C831" s="68"/>
      <c r="D831" s="68"/>
      <c r="E831" s="68"/>
      <c r="F831" s="68"/>
      <c r="G831" s="68"/>
      <c r="H831" s="68"/>
      <c r="I831" s="68"/>
      <c r="J831" s="68"/>
      <c r="K831" s="68"/>
      <c r="L831" s="68"/>
      <c r="M831" s="68"/>
      <c r="N831" s="68"/>
      <c r="O831" s="68"/>
      <c r="P831" s="68"/>
      <c r="Q831" s="68"/>
      <c r="R831" s="68"/>
      <c r="S831" s="68"/>
      <c r="T831" s="68"/>
      <c r="U831" s="68"/>
      <c r="V831" s="68"/>
      <c r="W831" s="68"/>
      <c r="X831" s="68"/>
      <c r="Y831" s="68"/>
      <c r="Z831" s="68"/>
    </row>
    <row r="832">
      <c r="A832" s="68"/>
      <c r="B832" s="68"/>
      <c r="C832" s="68"/>
      <c r="D832" s="68"/>
      <c r="E832" s="68"/>
      <c r="F832" s="68"/>
      <c r="G832" s="68"/>
      <c r="H832" s="68"/>
      <c r="I832" s="68"/>
      <c r="J832" s="68"/>
      <c r="K832" s="68"/>
      <c r="L832" s="68"/>
      <c r="M832" s="68"/>
      <c r="N832" s="68"/>
      <c r="O832" s="68"/>
      <c r="P832" s="68"/>
      <c r="Q832" s="68"/>
      <c r="R832" s="68"/>
      <c r="S832" s="68"/>
      <c r="T832" s="68"/>
      <c r="U832" s="68"/>
      <c r="V832" s="68"/>
      <c r="W832" s="68"/>
      <c r="X832" s="68"/>
      <c r="Y832" s="68"/>
      <c r="Z832" s="68"/>
    </row>
    <row r="833">
      <c r="A833" s="68"/>
      <c r="B833" s="68"/>
      <c r="C833" s="68"/>
      <c r="D833" s="68"/>
      <c r="E833" s="68"/>
      <c r="F833" s="68"/>
      <c r="G833" s="68"/>
      <c r="H833" s="68"/>
      <c r="I833" s="68"/>
      <c r="J833" s="68"/>
      <c r="K833" s="68"/>
      <c r="L833" s="68"/>
      <c r="M833" s="68"/>
      <c r="N833" s="68"/>
      <c r="O833" s="68"/>
      <c r="P833" s="68"/>
      <c r="Q833" s="68"/>
      <c r="R833" s="68"/>
      <c r="S833" s="68"/>
      <c r="T833" s="68"/>
      <c r="U833" s="68"/>
      <c r="V833" s="68"/>
      <c r="W833" s="68"/>
      <c r="X833" s="68"/>
      <c r="Y833" s="68"/>
      <c r="Z833" s="68"/>
    </row>
    <row r="834">
      <c r="A834" s="68"/>
      <c r="B834" s="68"/>
      <c r="C834" s="68"/>
      <c r="D834" s="68"/>
      <c r="E834" s="68"/>
      <c r="F834" s="68"/>
      <c r="G834" s="68"/>
      <c r="H834" s="68"/>
      <c r="I834" s="68"/>
      <c r="J834" s="68"/>
      <c r="K834" s="68"/>
      <c r="L834" s="68"/>
      <c r="M834" s="68"/>
      <c r="N834" s="68"/>
      <c r="O834" s="68"/>
      <c r="P834" s="68"/>
      <c r="Q834" s="68"/>
      <c r="R834" s="68"/>
      <c r="S834" s="68"/>
      <c r="T834" s="68"/>
      <c r="U834" s="68"/>
      <c r="V834" s="68"/>
      <c r="W834" s="68"/>
      <c r="X834" s="68"/>
      <c r="Y834" s="68"/>
      <c r="Z834" s="68"/>
    </row>
    <row r="835">
      <c r="A835" s="68"/>
      <c r="B835" s="68"/>
      <c r="C835" s="68"/>
      <c r="D835" s="68"/>
      <c r="E835" s="68"/>
      <c r="F835" s="68"/>
      <c r="G835" s="68"/>
      <c r="H835" s="68"/>
      <c r="I835" s="68"/>
      <c r="J835" s="68"/>
      <c r="K835" s="68"/>
      <c r="L835" s="68"/>
      <c r="M835" s="68"/>
      <c r="N835" s="68"/>
      <c r="O835" s="68"/>
      <c r="P835" s="68"/>
      <c r="Q835" s="68"/>
      <c r="R835" s="68"/>
      <c r="S835" s="68"/>
      <c r="T835" s="68"/>
      <c r="U835" s="68"/>
      <c r="V835" s="68"/>
      <c r="W835" s="68"/>
      <c r="X835" s="68"/>
      <c r="Y835" s="68"/>
      <c r="Z835" s="68"/>
    </row>
    <row r="836">
      <c r="A836" s="68"/>
      <c r="B836" s="68"/>
      <c r="C836" s="68"/>
      <c r="D836" s="68"/>
      <c r="E836" s="68"/>
      <c r="F836" s="68"/>
      <c r="G836" s="68"/>
      <c r="H836" s="68"/>
      <c r="I836" s="68"/>
      <c r="J836" s="68"/>
      <c r="K836" s="68"/>
      <c r="L836" s="68"/>
      <c r="M836" s="68"/>
      <c r="N836" s="68"/>
      <c r="O836" s="68"/>
      <c r="P836" s="68"/>
      <c r="Q836" s="68"/>
      <c r="R836" s="68"/>
      <c r="S836" s="68"/>
      <c r="T836" s="68"/>
      <c r="U836" s="68"/>
      <c r="V836" s="68"/>
      <c r="W836" s="68"/>
      <c r="X836" s="68"/>
      <c r="Y836" s="68"/>
      <c r="Z836" s="68"/>
    </row>
    <row r="837">
      <c r="A837" s="68"/>
      <c r="B837" s="68"/>
      <c r="C837" s="68"/>
      <c r="D837" s="68"/>
      <c r="E837" s="68"/>
      <c r="F837" s="68"/>
      <c r="G837" s="68"/>
      <c r="H837" s="68"/>
      <c r="I837" s="68"/>
      <c r="J837" s="68"/>
      <c r="K837" s="68"/>
      <c r="L837" s="68"/>
      <c r="M837" s="68"/>
      <c r="N837" s="68"/>
      <c r="O837" s="68"/>
      <c r="P837" s="68"/>
      <c r="Q837" s="68"/>
      <c r="R837" s="68"/>
      <c r="S837" s="68"/>
      <c r="T837" s="68"/>
      <c r="U837" s="68"/>
      <c r="V837" s="68"/>
      <c r="W837" s="68"/>
      <c r="X837" s="68"/>
      <c r="Y837" s="68"/>
      <c r="Z837" s="68"/>
    </row>
    <row r="838">
      <c r="A838" s="68"/>
      <c r="B838" s="68"/>
      <c r="C838" s="68"/>
      <c r="D838" s="68"/>
      <c r="E838" s="68"/>
      <c r="F838" s="68"/>
      <c r="G838" s="68"/>
      <c r="H838" s="68"/>
      <c r="I838" s="68"/>
      <c r="J838" s="68"/>
      <c r="K838" s="68"/>
      <c r="L838" s="68"/>
      <c r="M838" s="68"/>
      <c r="N838" s="68"/>
      <c r="O838" s="68"/>
      <c r="P838" s="68"/>
      <c r="Q838" s="68"/>
      <c r="R838" s="68"/>
      <c r="S838" s="68"/>
      <c r="T838" s="68"/>
      <c r="U838" s="68"/>
      <c r="V838" s="68"/>
      <c r="W838" s="68"/>
      <c r="X838" s="68"/>
      <c r="Y838" s="68"/>
      <c r="Z838" s="68"/>
    </row>
    <row r="839">
      <c r="A839" s="68"/>
      <c r="B839" s="68"/>
      <c r="C839" s="68"/>
      <c r="D839" s="68"/>
      <c r="E839" s="68"/>
      <c r="F839" s="68"/>
      <c r="G839" s="68"/>
      <c r="H839" s="68"/>
      <c r="I839" s="68"/>
      <c r="J839" s="68"/>
      <c r="K839" s="68"/>
      <c r="L839" s="68"/>
      <c r="M839" s="68"/>
      <c r="N839" s="68"/>
      <c r="O839" s="68"/>
      <c r="P839" s="68"/>
      <c r="Q839" s="68"/>
      <c r="R839" s="68"/>
      <c r="S839" s="68"/>
      <c r="T839" s="68"/>
      <c r="U839" s="68"/>
      <c r="V839" s="68"/>
      <c r="W839" s="68"/>
      <c r="X839" s="68"/>
      <c r="Y839" s="68"/>
      <c r="Z839" s="68"/>
    </row>
    <row r="840">
      <c r="A840" s="68"/>
      <c r="B840" s="68"/>
      <c r="C840" s="68"/>
      <c r="D840" s="68"/>
      <c r="E840" s="68"/>
      <c r="F840" s="68"/>
      <c r="G840" s="68"/>
      <c r="H840" s="68"/>
      <c r="I840" s="68"/>
      <c r="J840" s="68"/>
      <c r="K840" s="68"/>
      <c r="L840" s="68"/>
      <c r="M840" s="68"/>
      <c r="N840" s="68"/>
      <c r="O840" s="68"/>
      <c r="P840" s="68"/>
      <c r="Q840" s="68"/>
      <c r="R840" s="68"/>
      <c r="S840" s="68"/>
      <c r="T840" s="68"/>
      <c r="U840" s="68"/>
      <c r="V840" s="68"/>
      <c r="W840" s="68"/>
      <c r="X840" s="68"/>
      <c r="Y840" s="68"/>
      <c r="Z840" s="68"/>
    </row>
    <row r="841">
      <c r="A841" s="68"/>
      <c r="B841" s="68"/>
      <c r="C841" s="68"/>
      <c r="D841" s="68"/>
      <c r="E841" s="68"/>
      <c r="F841" s="68"/>
      <c r="G841" s="68"/>
      <c r="H841" s="68"/>
      <c r="I841" s="68"/>
      <c r="J841" s="68"/>
      <c r="K841" s="68"/>
      <c r="L841" s="68"/>
      <c r="M841" s="68"/>
      <c r="N841" s="68"/>
      <c r="O841" s="68"/>
      <c r="P841" s="68"/>
      <c r="Q841" s="68"/>
      <c r="R841" s="68"/>
      <c r="S841" s="68"/>
      <c r="T841" s="68"/>
      <c r="U841" s="68"/>
      <c r="V841" s="68"/>
      <c r="W841" s="68"/>
      <c r="X841" s="68"/>
      <c r="Y841" s="68"/>
      <c r="Z841" s="68"/>
    </row>
    <row r="842">
      <c r="A842" s="68"/>
      <c r="B842" s="68"/>
      <c r="C842" s="68"/>
      <c r="D842" s="68"/>
      <c r="E842" s="68"/>
      <c r="F842" s="68"/>
      <c r="G842" s="68"/>
      <c r="H842" s="68"/>
      <c r="I842" s="68"/>
      <c r="J842" s="68"/>
      <c r="K842" s="68"/>
      <c r="L842" s="68"/>
      <c r="M842" s="68"/>
      <c r="N842" s="68"/>
      <c r="O842" s="68"/>
      <c r="P842" s="68"/>
      <c r="Q842" s="68"/>
      <c r="R842" s="68"/>
      <c r="S842" s="68"/>
      <c r="T842" s="68"/>
      <c r="U842" s="68"/>
      <c r="V842" s="68"/>
      <c r="W842" s="68"/>
      <c r="X842" s="68"/>
      <c r="Y842" s="68"/>
      <c r="Z842" s="68"/>
    </row>
    <row r="843">
      <c r="A843" s="68"/>
      <c r="B843" s="68"/>
      <c r="C843" s="68"/>
      <c r="D843" s="68"/>
      <c r="E843" s="68"/>
      <c r="F843" s="68"/>
      <c r="G843" s="68"/>
      <c r="H843" s="68"/>
      <c r="I843" s="68"/>
      <c r="J843" s="68"/>
      <c r="K843" s="68"/>
      <c r="L843" s="68"/>
      <c r="M843" s="68"/>
      <c r="N843" s="68"/>
      <c r="O843" s="68"/>
      <c r="P843" s="68"/>
      <c r="Q843" s="68"/>
      <c r="R843" s="68"/>
      <c r="S843" s="68"/>
      <c r="T843" s="68"/>
      <c r="U843" s="68"/>
      <c r="V843" s="68"/>
      <c r="W843" s="68"/>
      <c r="X843" s="68"/>
      <c r="Y843" s="68"/>
      <c r="Z843" s="68"/>
    </row>
    <row r="844">
      <c r="A844" s="68"/>
      <c r="B844" s="68"/>
      <c r="C844" s="68"/>
      <c r="D844" s="68"/>
      <c r="E844" s="68"/>
      <c r="F844" s="68"/>
      <c r="G844" s="68"/>
      <c r="H844" s="68"/>
      <c r="I844" s="68"/>
      <c r="J844" s="68"/>
      <c r="K844" s="68"/>
      <c r="L844" s="68"/>
      <c r="M844" s="68"/>
      <c r="N844" s="68"/>
      <c r="O844" s="68"/>
      <c r="P844" s="68"/>
      <c r="Q844" s="68"/>
      <c r="R844" s="68"/>
      <c r="S844" s="68"/>
      <c r="T844" s="68"/>
      <c r="U844" s="68"/>
      <c r="V844" s="68"/>
      <c r="W844" s="68"/>
      <c r="X844" s="68"/>
      <c r="Y844" s="68"/>
      <c r="Z844" s="68"/>
    </row>
    <row r="845">
      <c r="A845" s="68"/>
      <c r="B845" s="68"/>
      <c r="C845" s="68"/>
      <c r="D845" s="68"/>
      <c r="E845" s="68"/>
      <c r="F845" s="68"/>
      <c r="G845" s="68"/>
      <c r="H845" s="68"/>
      <c r="I845" s="68"/>
      <c r="J845" s="68"/>
      <c r="K845" s="68"/>
      <c r="L845" s="68"/>
      <c r="M845" s="68"/>
      <c r="N845" s="68"/>
      <c r="O845" s="68"/>
      <c r="P845" s="68"/>
      <c r="Q845" s="68"/>
      <c r="R845" s="68"/>
      <c r="S845" s="68"/>
      <c r="T845" s="68"/>
      <c r="U845" s="68"/>
      <c r="V845" s="68"/>
      <c r="W845" s="68"/>
      <c r="X845" s="68"/>
      <c r="Y845" s="68"/>
      <c r="Z845" s="68"/>
    </row>
    <row r="846">
      <c r="A846" s="68"/>
      <c r="B846" s="68"/>
      <c r="C846" s="68"/>
      <c r="D846" s="68"/>
      <c r="E846" s="68"/>
      <c r="F846" s="68"/>
      <c r="G846" s="68"/>
      <c r="H846" s="68"/>
      <c r="I846" s="68"/>
      <c r="J846" s="68"/>
      <c r="K846" s="68"/>
      <c r="L846" s="68"/>
      <c r="M846" s="68"/>
      <c r="N846" s="68"/>
      <c r="O846" s="68"/>
      <c r="P846" s="68"/>
      <c r="Q846" s="68"/>
      <c r="R846" s="68"/>
      <c r="S846" s="68"/>
      <c r="T846" s="68"/>
      <c r="U846" s="68"/>
      <c r="V846" s="68"/>
      <c r="W846" s="68"/>
      <c r="X846" s="68"/>
      <c r="Y846" s="68"/>
      <c r="Z846" s="68"/>
    </row>
    <row r="847">
      <c r="A847" s="68"/>
      <c r="B847" s="68"/>
      <c r="C847" s="68"/>
      <c r="D847" s="68"/>
      <c r="E847" s="68"/>
      <c r="F847" s="68"/>
      <c r="G847" s="68"/>
      <c r="H847" s="68"/>
      <c r="I847" s="68"/>
      <c r="J847" s="68"/>
      <c r="K847" s="68"/>
      <c r="L847" s="68"/>
      <c r="M847" s="68"/>
      <c r="N847" s="68"/>
      <c r="O847" s="68"/>
      <c r="P847" s="68"/>
      <c r="Q847" s="68"/>
      <c r="R847" s="68"/>
      <c r="S847" s="68"/>
      <c r="T847" s="68"/>
      <c r="U847" s="68"/>
      <c r="V847" s="68"/>
      <c r="W847" s="68"/>
      <c r="X847" s="68"/>
      <c r="Y847" s="68"/>
      <c r="Z847" s="68"/>
    </row>
    <row r="848">
      <c r="A848" s="68"/>
      <c r="B848" s="68"/>
      <c r="C848" s="68"/>
      <c r="D848" s="68"/>
      <c r="E848" s="68"/>
      <c r="F848" s="68"/>
      <c r="G848" s="68"/>
      <c r="H848" s="68"/>
      <c r="I848" s="68"/>
      <c r="J848" s="68"/>
      <c r="K848" s="68"/>
      <c r="L848" s="68"/>
      <c r="M848" s="68"/>
      <c r="N848" s="68"/>
      <c r="O848" s="68"/>
      <c r="P848" s="68"/>
      <c r="Q848" s="68"/>
      <c r="R848" s="68"/>
      <c r="S848" s="68"/>
      <c r="T848" s="68"/>
      <c r="U848" s="68"/>
      <c r="V848" s="68"/>
      <c r="W848" s="68"/>
      <c r="X848" s="68"/>
      <c r="Y848" s="68"/>
      <c r="Z848" s="68"/>
    </row>
    <row r="849">
      <c r="A849" s="68"/>
      <c r="B849" s="68"/>
      <c r="C849" s="68"/>
      <c r="D849" s="68"/>
      <c r="E849" s="68"/>
      <c r="F849" s="68"/>
      <c r="G849" s="68"/>
      <c r="H849" s="68"/>
      <c r="I849" s="68"/>
      <c r="J849" s="68"/>
      <c r="K849" s="68"/>
      <c r="L849" s="68"/>
      <c r="M849" s="68"/>
      <c r="N849" s="68"/>
      <c r="O849" s="68"/>
      <c r="P849" s="68"/>
      <c r="Q849" s="68"/>
      <c r="R849" s="68"/>
      <c r="S849" s="68"/>
      <c r="T849" s="68"/>
      <c r="U849" s="68"/>
      <c r="V849" s="68"/>
      <c r="W849" s="68"/>
      <c r="X849" s="68"/>
      <c r="Y849" s="68"/>
      <c r="Z849" s="68"/>
    </row>
    <row r="850">
      <c r="A850" s="68"/>
      <c r="B850" s="68"/>
      <c r="C850" s="68"/>
      <c r="D850" s="68"/>
      <c r="E850" s="68"/>
      <c r="F850" s="68"/>
      <c r="G850" s="68"/>
      <c r="H850" s="68"/>
      <c r="I850" s="68"/>
      <c r="J850" s="68"/>
      <c r="K850" s="68"/>
      <c r="L850" s="68"/>
      <c r="M850" s="68"/>
      <c r="N850" s="68"/>
      <c r="O850" s="68"/>
      <c r="P850" s="68"/>
      <c r="Q850" s="68"/>
      <c r="R850" s="68"/>
      <c r="S850" s="68"/>
      <c r="T850" s="68"/>
      <c r="U850" s="68"/>
      <c r="V850" s="68"/>
      <c r="W850" s="68"/>
      <c r="X850" s="68"/>
      <c r="Y850" s="68"/>
      <c r="Z850" s="68"/>
    </row>
    <row r="851">
      <c r="A851" s="68"/>
      <c r="B851" s="68"/>
      <c r="C851" s="68"/>
      <c r="D851" s="68"/>
      <c r="E851" s="68"/>
      <c r="F851" s="68"/>
      <c r="G851" s="68"/>
      <c r="H851" s="68"/>
      <c r="I851" s="68"/>
      <c r="J851" s="68"/>
      <c r="K851" s="68"/>
      <c r="L851" s="68"/>
      <c r="M851" s="68"/>
      <c r="N851" s="68"/>
      <c r="O851" s="68"/>
      <c r="P851" s="68"/>
      <c r="Q851" s="68"/>
      <c r="R851" s="68"/>
      <c r="S851" s="68"/>
      <c r="T851" s="68"/>
      <c r="U851" s="68"/>
      <c r="V851" s="68"/>
      <c r="W851" s="68"/>
      <c r="X851" s="68"/>
      <c r="Y851" s="68"/>
      <c r="Z851" s="68"/>
    </row>
    <row r="852">
      <c r="A852" s="68"/>
      <c r="B852" s="68"/>
      <c r="C852" s="68"/>
      <c r="D852" s="68"/>
      <c r="E852" s="68"/>
      <c r="F852" s="68"/>
      <c r="G852" s="68"/>
      <c r="H852" s="68"/>
      <c r="I852" s="68"/>
      <c r="J852" s="68"/>
      <c r="K852" s="68"/>
      <c r="L852" s="68"/>
      <c r="M852" s="68"/>
      <c r="N852" s="68"/>
      <c r="O852" s="68"/>
      <c r="P852" s="68"/>
      <c r="Q852" s="68"/>
      <c r="R852" s="68"/>
      <c r="S852" s="68"/>
      <c r="T852" s="68"/>
      <c r="U852" s="68"/>
      <c r="V852" s="68"/>
      <c r="W852" s="68"/>
      <c r="X852" s="68"/>
      <c r="Y852" s="68"/>
      <c r="Z852" s="68"/>
    </row>
    <row r="853">
      <c r="A853" s="68"/>
      <c r="B853" s="68"/>
      <c r="C853" s="68"/>
      <c r="D853" s="68"/>
      <c r="E853" s="68"/>
      <c r="F853" s="68"/>
      <c r="G853" s="68"/>
      <c r="H853" s="68"/>
      <c r="I853" s="68"/>
      <c r="J853" s="68"/>
      <c r="K853" s="68"/>
      <c r="L853" s="68"/>
      <c r="M853" s="68"/>
      <c r="N853" s="68"/>
      <c r="O853" s="68"/>
      <c r="P853" s="68"/>
      <c r="Q853" s="68"/>
      <c r="R853" s="68"/>
      <c r="S853" s="68"/>
      <c r="T853" s="68"/>
      <c r="U853" s="68"/>
      <c r="V853" s="68"/>
      <c r="W853" s="68"/>
      <c r="X853" s="68"/>
      <c r="Y853" s="68"/>
      <c r="Z853" s="68"/>
    </row>
    <row r="854">
      <c r="A854" s="68"/>
      <c r="B854" s="68"/>
      <c r="C854" s="68"/>
      <c r="D854" s="68"/>
      <c r="E854" s="68"/>
      <c r="F854" s="68"/>
      <c r="G854" s="68"/>
      <c r="H854" s="68"/>
      <c r="I854" s="68"/>
      <c r="J854" s="68"/>
      <c r="K854" s="68"/>
      <c r="L854" s="68"/>
      <c r="M854" s="68"/>
      <c r="N854" s="68"/>
      <c r="O854" s="68"/>
      <c r="P854" s="68"/>
      <c r="Q854" s="68"/>
      <c r="R854" s="68"/>
      <c r="S854" s="68"/>
      <c r="T854" s="68"/>
      <c r="U854" s="68"/>
      <c r="V854" s="68"/>
      <c r="W854" s="68"/>
      <c r="X854" s="68"/>
      <c r="Y854" s="68"/>
      <c r="Z854" s="68"/>
    </row>
    <row r="855">
      <c r="A855" s="68"/>
      <c r="B855" s="68"/>
      <c r="C855" s="68"/>
      <c r="D855" s="68"/>
      <c r="E855" s="68"/>
      <c r="F855" s="68"/>
      <c r="G855" s="68"/>
      <c r="H855" s="68"/>
      <c r="I855" s="68"/>
      <c r="J855" s="68"/>
      <c r="K855" s="68"/>
      <c r="L855" s="68"/>
      <c r="M855" s="68"/>
      <c r="N855" s="68"/>
      <c r="O855" s="68"/>
      <c r="P855" s="68"/>
      <c r="Q855" s="68"/>
      <c r="R855" s="68"/>
      <c r="S855" s="68"/>
      <c r="T855" s="68"/>
      <c r="U855" s="68"/>
      <c r="V855" s="68"/>
      <c r="W855" s="68"/>
      <c r="X855" s="68"/>
      <c r="Y855" s="68"/>
      <c r="Z855" s="68"/>
    </row>
    <row r="856">
      <c r="A856" s="68"/>
      <c r="B856" s="68"/>
      <c r="C856" s="68"/>
      <c r="D856" s="68"/>
      <c r="E856" s="68"/>
      <c r="F856" s="68"/>
      <c r="G856" s="68"/>
      <c r="H856" s="68"/>
      <c r="I856" s="68"/>
      <c r="J856" s="68"/>
      <c r="K856" s="68"/>
      <c r="L856" s="68"/>
      <c r="M856" s="68"/>
      <c r="N856" s="68"/>
      <c r="O856" s="68"/>
      <c r="P856" s="68"/>
      <c r="Q856" s="68"/>
      <c r="R856" s="68"/>
      <c r="S856" s="68"/>
      <c r="T856" s="68"/>
      <c r="U856" s="68"/>
      <c r="V856" s="68"/>
      <c r="W856" s="68"/>
      <c r="X856" s="68"/>
      <c r="Y856" s="68"/>
      <c r="Z856" s="68"/>
    </row>
    <row r="857">
      <c r="A857" s="68"/>
      <c r="B857" s="68"/>
      <c r="C857" s="68"/>
      <c r="D857" s="68"/>
      <c r="E857" s="68"/>
      <c r="F857" s="68"/>
      <c r="G857" s="68"/>
      <c r="H857" s="68"/>
      <c r="I857" s="68"/>
      <c r="J857" s="68"/>
      <c r="K857" s="68"/>
      <c r="L857" s="68"/>
      <c r="M857" s="68"/>
      <c r="N857" s="68"/>
      <c r="O857" s="68"/>
      <c r="P857" s="68"/>
      <c r="Q857" s="68"/>
      <c r="R857" s="68"/>
      <c r="S857" s="68"/>
      <c r="T857" s="68"/>
      <c r="U857" s="68"/>
      <c r="V857" s="68"/>
      <c r="W857" s="68"/>
      <c r="X857" s="68"/>
      <c r="Y857" s="68"/>
      <c r="Z857" s="68"/>
    </row>
    <row r="858">
      <c r="A858" s="68"/>
      <c r="B858" s="68"/>
      <c r="C858" s="68"/>
      <c r="D858" s="68"/>
      <c r="E858" s="68"/>
      <c r="F858" s="68"/>
      <c r="G858" s="68"/>
      <c r="H858" s="68"/>
      <c r="I858" s="68"/>
      <c r="J858" s="68"/>
      <c r="K858" s="68"/>
      <c r="L858" s="68"/>
      <c r="M858" s="68"/>
      <c r="N858" s="68"/>
      <c r="O858" s="68"/>
      <c r="P858" s="68"/>
      <c r="Q858" s="68"/>
      <c r="R858" s="68"/>
      <c r="S858" s="68"/>
      <c r="T858" s="68"/>
      <c r="U858" s="68"/>
      <c r="V858" s="68"/>
      <c r="W858" s="68"/>
      <c r="X858" s="68"/>
      <c r="Y858" s="68"/>
      <c r="Z858" s="68"/>
    </row>
    <row r="859">
      <c r="A859" s="68"/>
      <c r="B859" s="68"/>
      <c r="C859" s="68"/>
      <c r="D859" s="68"/>
      <c r="E859" s="68"/>
      <c r="F859" s="68"/>
      <c r="G859" s="68"/>
      <c r="H859" s="68"/>
      <c r="I859" s="68"/>
      <c r="J859" s="68"/>
      <c r="K859" s="68"/>
      <c r="L859" s="68"/>
      <c r="M859" s="68"/>
      <c r="N859" s="68"/>
      <c r="O859" s="68"/>
      <c r="P859" s="68"/>
      <c r="Q859" s="68"/>
      <c r="R859" s="68"/>
      <c r="S859" s="68"/>
      <c r="T859" s="68"/>
      <c r="U859" s="68"/>
      <c r="V859" s="68"/>
      <c r="W859" s="68"/>
      <c r="X859" s="68"/>
      <c r="Y859" s="68"/>
      <c r="Z859" s="68"/>
    </row>
    <row r="860">
      <c r="A860" s="68"/>
      <c r="B860" s="68"/>
      <c r="C860" s="68"/>
      <c r="D860" s="68"/>
      <c r="E860" s="68"/>
      <c r="F860" s="68"/>
      <c r="G860" s="68"/>
      <c r="H860" s="68"/>
      <c r="I860" s="68"/>
      <c r="J860" s="68"/>
      <c r="K860" s="68"/>
      <c r="L860" s="68"/>
      <c r="M860" s="68"/>
      <c r="N860" s="68"/>
      <c r="O860" s="68"/>
      <c r="P860" s="68"/>
      <c r="Q860" s="68"/>
      <c r="R860" s="68"/>
      <c r="S860" s="68"/>
      <c r="T860" s="68"/>
      <c r="U860" s="68"/>
      <c r="V860" s="68"/>
      <c r="W860" s="68"/>
      <c r="X860" s="68"/>
      <c r="Y860" s="68"/>
      <c r="Z860" s="68"/>
    </row>
    <row r="861">
      <c r="A861" s="68"/>
      <c r="B861" s="68"/>
      <c r="C861" s="68"/>
      <c r="D861" s="68"/>
      <c r="E861" s="68"/>
      <c r="F861" s="68"/>
      <c r="G861" s="68"/>
      <c r="H861" s="68"/>
      <c r="I861" s="68"/>
      <c r="J861" s="68"/>
      <c r="K861" s="68"/>
      <c r="L861" s="68"/>
      <c r="M861" s="68"/>
      <c r="N861" s="68"/>
      <c r="O861" s="68"/>
      <c r="P861" s="68"/>
      <c r="Q861" s="68"/>
      <c r="R861" s="68"/>
      <c r="S861" s="68"/>
      <c r="T861" s="68"/>
      <c r="U861" s="68"/>
      <c r="V861" s="68"/>
      <c r="W861" s="68"/>
      <c r="X861" s="68"/>
      <c r="Y861" s="68"/>
      <c r="Z861" s="68"/>
    </row>
    <row r="862">
      <c r="A862" s="68"/>
      <c r="B862" s="68"/>
      <c r="C862" s="68"/>
      <c r="D862" s="68"/>
      <c r="E862" s="68"/>
      <c r="F862" s="68"/>
      <c r="G862" s="68"/>
      <c r="H862" s="68"/>
      <c r="I862" s="68"/>
      <c r="J862" s="68"/>
      <c r="K862" s="68"/>
      <c r="L862" s="68"/>
      <c r="M862" s="68"/>
      <c r="N862" s="68"/>
      <c r="O862" s="68"/>
      <c r="P862" s="68"/>
      <c r="Q862" s="68"/>
      <c r="R862" s="68"/>
      <c r="S862" s="68"/>
      <c r="T862" s="68"/>
      <c r="U862" s="68"/>
      <c r="V862" s="68"/>
      <c r="W862" s="68"/>
      <c r="X862" s="68"/>
      <c r="Y862" s="68"/>
      <c r="Z862" s="68"/>
    </row>
    <row r="863">
      <c r="A863" s="68"/>
      <c r="B863" s="68"/>
      <c r="C863" s="68"/>
      <c r="D863" s="68"/>
      <c r="E863" s="68"/>
      <c r="F863" s="68"/>
      <c r="G863" s="68"/>
      <c r="H863" s="68"/>
      <c r="I863" s="68"/>
      <c r="J863" s="68"/>
      <c r="K863" s="68"/>
      <c r="L863" s="68"/>
      <c r="M863" s="68"/>
      <c r="N863" s="68"/>
      <c r="O863" s="68"/>
      <c r="P863" s="68"/>
      <c r="Q863" s="68"/>
      <c r="R863" s="68"/>
      <c r="S863" s="68"/>
      <c r="T863" s="68"/>
      <c r="U863" s="68"/>
      <c r="V863" s="68"/>
      <c r="W863" s="68"/>
      <c r="X863" s="68"/>
      <c r="Y863" s="68"/>
      <c r="Z863" s="68"/>
    </row>
    <row r="864">
      <c r="A864" s="68"/>
      <c r="B864" s="68"/>
      <c r="C864" s="68"/>
      <c r="D864" s="68"/>
      <c r="E864" s="68"/>
      <c r="F864" s="68"/>
      <c r="G864" s="68"/>
      <c r="H864" s="68"/>
      <c r="I864" s="68"/>
      <c r="J864" s="68"/>
      <c r="K864" s="68"/>
      <c r="L864" s="68"/>
      <c r="M864" s="68"/>
      <c r="N864" s="68"/>
      <c r="O864" s="68"/>
      <c r="P864" s="68"/>
      <c r="Q864" s="68"/>
      <c r="R864" s="68"/>
      <c r="S864" s="68"/>
      <c r="T864" s="68"/>
      <c r="U864" s="68"/>
      <c r="V864" s="68"/>
      <c r="W864" s="68"/>
      <c r="X864" s="68"/>
      <c r="Y864" s="68"/>
      <c r="Z864" s="68"/>
    </row>
    <row r="865">
      <c r="A865" s="68"/>
      <c r="B865" s="68"/>
      <c r="C865" s="68"/>
      <c r="D865" s="68"/>
      <c r="E865" s="68"/>
      <c r="F865" s="68"/>
      <c r="G865" s="68"/>
      <c r="H865" s="68"/>
      <c r="I865" s="68"/>
      <c r="J865" s="68"/>
      <c r="K865" s="68"/>
      <c r="L865" s="68"/>
      <c r="M865" s="68"/>
      <c r="N865" s="68"/>
      <c r="O865" s="68"/>
      <c r="P865" s="68"/>
      <c r="Q865" s="68"/>
      <c r="R865" s="68"/>
      <c r="S865" s="68"/>
      <c r="T865" s="68"/>
      <c r="U865" s="68"/>
      <c r="V865" s="68"/>
      <c r="W865" s="68"/>
      <c r="X865" s="68"/>
      <c r="Y865" s="68"/>
      <c r="Z865" s="68"/>
    </row>
    <row r="866">
      <c r="A866" s="68"/>
      <c r="B866" s="68"/>
      <c r="C866" s="68"/>
      <c r="D866" s="68"/>
      <c r="E866" s="68"/>
      <c r="F866" s="68"/>
      <c r="G866" s="68"/>
      <c r="H866" s="68"/>
      <c r="I866" s="68"/>
      <c r="J866" s="68"/>
      <c r="K866" s="68"/>
      <c r="L866" s="68"/>
      <c r="M866" s="68"/>
      <c r="N866" s="68"/>
      <c r="O866" s="68"/>
      <c r="P866" s="68"/>
      <c r="Q866" s="68"/>
      <c r="R866" s="68"/>
      <c r="S866" s="68"/>
      <c r="T866" s="68"/>
      <c r="U866" s="68"/>
      <c r="V866" s="68"/>
      <c r="W866" s="68"/>
      <c r="X866" s="68"/>
      <c r="Y866" s="68"/>
      <c r="Z866" s="68"/>
    </row>
    <row r="867">
      <c r="A867" s="68"/>
      <c r="B867" s="68"/>
      <c r="C867" s="68"/>
      <c r="D867" s="68"/>
      <c r="E867" s="68"/>
      <c r="F867" s="68"/>
      <c r="G867" s="68"/>
      <c r="H867" s="68"/>
      <c r="I867" s="68"/>
      <c r="J867" s="68"/>
      <c r="K867" s="68"/>
      <c r="L867" s="68"/>
      <c r="M867" s="68"/>
      <c r="N867" s="68"/>
      <c r="O867" s="68"/>
      <c r="P867" s="68"/>
      <c r="Q867" s="68"/>
      <c r="R867" s="68"/>
      <c r="S867" s="68"/>
      <c r="T867" s="68"/>
      <c r="U867" s="68"/>
      <c r="V867" s="68"/>
      <c r="W867" s="68"/>
      <c r="X867" s="68"/>
      <c r="Y867" s="68"/>
      <c r="Z867" s="68"/>
    </row>
    <row r="868">
      <c r="A868" s="68"/>
      <c r="B868" s="68"/>
      <c r="C868" s="68"/>
      <c r="D868" s="68"/>
      <c r="E868" s="68"/>
      <c r="F868" s="68"/>
      <c r="G868" s="68"/>
      <c r="H868" s="68"/>
      <c r="I868" s="68"/>
      <c r="J868" s="68"/>
      <c r="K868" s="68"/>
      <c r="L868" s="68"/>
      <c r="M868" s="68"/>
      <c r="N868" s="68"/>
      <c r="O868" s="68"/>
      <c r="P868" s="68"/>
      <c r="Q868" s="68"/>
      <c r="R868" s="68"/>
      <c r="S868" s="68"/>
      <c r="T868" s="68"/>
      <c r="U868" s="68"/>
      <c r="V868" s="68"/>
      <c r="W868" s="68"/>
      <c r="X868" s="68"/>
      <c r="Y868" s="68"/>
      <c r="Z868" s="68"/>
    </row>
    <row r="869">
      <c r="A869" s="68"/>
      <c r="B869" s="68"/>
      <c r="C869" s="68"/>
      <c r="D869" s="68"/>
      <c r="E869" s="68"/>
      <c r="F869" s="68"/>
      <c r="G869" s="68"/>
      <c r="H869" s="68"/>
      <c r="I869" s="68"/>
      <c r="J869" s="68"/>
      <c r="K869" s="68"/>
      <c r="L869" s="68"/>
      <c r="M869" s="68"/>
      <c r="N869" s="68"/>
      <c r="O869" s="68"/>
      <c r="P869" s="68"/>
      <c r="Q869" s="68"/>
      <c r="R869" s="68"/>
      <c r="S869" s="68"/>
      <c r="T869" s="68"/>
      <c r="U869" s="68"/>
      <c r="V869" s="68"/>
      <c r="W869" s="68"/>
      <c r="X869" s="68"/>
      <c r="Y869" s="68"/>
      <c r="Z869" s="68"/>
    </row>
    <row r="870">
      <c r="A870" s="68"/>
      <c r="B870" s="68"/>
      <c r="C870" s="68"/>
      <c r="D870" s="68"/>
      <c r="E870" s="68"/>
      <c r="F870" s="68"/>
      <c r="G870" s="68"/>
      <c r="H870" s="68"/>
      <c r="I870" s="68"/>
      <c r="J870" s="68"/>
      <c r="K870" s="68"/>
      <c r="L870" s="68"/>
      <c r="M870" s="68"/>
      <c r="N870" s="68"/>
      <c r="O870" s="68"/>
      <c r="P870" s="68"/>
      <c r="Q870" s="68"/>
      <c r="R870" s="68"/>
      <c r="S870" s="68"/>
      <c r="T870" s="68"/>
      <c r="U870" s="68"/>
      <c r="V870" s="68"/>
      <c r="W870" s="68"/>
      <c r="X870" s="68"/>
      <c r="Y870" s="68"/>
      <c r="Z870" s="68"/>
    </row>
    <row r="871">
      <c r="A871" s="68"/>
      <c r="B871" s="68"/>
      <c r="C871" s="68"/>
      <c r="D871" s="68"/>
      <c r="E871" s="68"/>
      <c r="F871" s="68"/>
      <c r="G871" s="68"/>
      <c r="H871" s="68"/>
      <c r="I871" s="68"/>
      <c r="J871" s="68"/>
      <c r="K871" s="68"/>
      <c r="L871" s="68"/>
      <c r="M871" s="68"/>
      <c r="N871" s="68"/>
      <c r="O871" s="68"/>
      <c r="P871" s="68"/>
      <c r="Q871" s="68"/>
      <c r="R871" s="68"/>
      <c r="S871" s="68"/>
      <c r="T871" s="68"/>
      <c r="U871" s="68"/>
      <c r="V871" s="68"/>
      <c r="W871" s="68"/>
      <c r="X871" s="68"/>
      <c r="Y871" s="68"/>
      <c r="Z871" s="68"/>
    </row>
    <row r="872">
      <c r="A872" s="68"/>
      <c r="B872" s="68"/>
      <c r="C872" s="68"/>
      <c r="D872" s="68"/>
      <c r="E872" s="68"/>
      <c r="F872" s="68"/>
      <c r="G872" s="68"/>
      <c r="H872" s="68"/>
      <c r="I872" s="68"/>
      <c r="J872" s="68"/>
      <c r="K872" s="68"/>
      <c r="L872" s="68"/>
      <c r="M872" s="68"/>
      <c r="N872" s="68"/>
      <c r="O872" s="68"/>
      <c r="P872" s="68"/>
      <c r="Q872" s="68"/>
      <c r="R872" s="68"/>
      <c r="S872" s="68"/>
      <c r="T872" s="68"/>
      <c r="U872" s="68"/>
      <c r="V872" s="68"/>
      <c r="W872" s="68"/>
      <c r="X872" s="68"/>
      <c r="Y872" s="68"/>
      <c r="Z872" s="68"/>
    </row>
    <row r="873">
      <c r="A873" s="68"/>
      <c r="B873" s="68"/>
      <c r="C873" s="68"/>
      <c r="D873" s="68"/>
      <c r="E873" s="68"/>
      <c r="F873" s="68"/>
      <c r="G873" s="68"/>
      <c r="H873" s="68"/>
      <c r="I873" s="68"/>
      <c r="J873" s="68"/>
      <c r="K873" s="68"/>
      <c r="L873" s="68"/>
      <c r="M873" s="68"/>
      <c r="N873" s="68"/>
      <c r="O873" s="68"/>
      <c r="P873" s="68"/>
      <c r="Q873" s="68"/>
      <c r="R873" s="68"/>
      <c r="S873" s="68"/>
      <c r="T873" s="68"/>
      <c r="U873" s="68"/>
      <c r="V873" s="68"/>
      <c r="W873" s="68"/>
      <c r="X873" s="68"/>
      <c r="Y873" s="68"/>
      <c r="Z873" s="68"/>
    </row>
    <row r="874">
      <c r="A874" s="68"/>
      <c r="B874" s="68"/>
      <c r="C874" s="68"/>
      <c r="D874" s="68"/>
      <c r="E874" s="68"/>
      <c r="F874" s="68"/>
      <c r="G874" s="68"/>
      <c r="H874" s="68"/>
      <c r="I874" s="68"/>
      <c r="J874" s="68"/>
      <c r="K874" s="68"/>
      <c r="L874" s="68"/>
      <c r="M874" s="68"/>
      <c r="N874" s="68"/>
      <c r="O874" s="68"/>
      <c r="P874" s="68"/>
      <c r="Q874" s="68"/>
      <c r="R874" s="68"/>
      <c r="S874" s="68"/>
      <c r="T874" s="68"/>
      <c r="U874" s="68"/>
      <c r="V874" s="68"/>
      <c r="W874" s="68"/>
      <c r="X874" s="68"/>
      <c r="Y874" s="68"/>
      <c r="Z874" s="68"/>
    </row>
    <row r="875">
      <c r="A875" s="68"/>
      <c r="B875" s="68"/>
      <c r="C875" s="68"/>
      <c r="D875" s="68"/>
      <c r="E875" s="68"/>
      <c r="F875" s="68"/>
      <c r="G875" s="68"/>
      <c r="H875" s="68"/>
      <c r="I875" s="68"/>
      <c r="J875" s="68"/>
      <c r="K875" s="68"/>
      <c r="L875" s="68"/>
      <c r="M875" s="68"/>
      <c r="N875" s="68"/>
      <c r="O875" s="68"/>
      <c r="P875" s="68"/>
      <c r="Q875" s="68"/>
      <c r="R875" s="68"/>
      <c r="S875" s="68"/>
      <c r="T875" s="68"/>
      <c r="U875" s="68"/>
      <c r="V875" s="68"/>
      <c r="W875" s="68"/>
      <c r="X875" s="68"/>
      <c r="Y875" s="68"/>
      <c r="Z875" s="68"/>
    </row>
    <row r="876">
      <c r="A876" s="68"/>
      <c r="B876" s="68"/>
      <c r="C876" s="68"/>
      <c r="D876" s="68"/>
      <c r="E876" s="68"/>
      <c r="F876" s="68"/>
      <c r="G876" s="68"/>
      <c r="H876" s="68"/>
      <c r="I876" s="68"/>
      <c r="J876" s="68"/>
      <c r="K876" s="68"/>
      <c r="L876" s="68"/>
      <c r="M876" s="68"/>
      <c r="N876" s="68"/>
      <c r="O876" s="68"/>
      <c r="P876" s="68"/>
      <c r="Q876" s="68"/>
      <c r="R876" s="68"/>
      <c r="S876" s="68"/>
      <c r="T876" s="68"/>
      <c r="U876" s="68"/>
      <c r="V876" s="68"/>
      <c r="W876" s="68"/>
      <c r="X876" s="68"/>
      <c r="Y876" s="68"/>
      <c r="Z876" s="68"/>
    </row>
    <row r="877">
      <c r="A877" s="68"/>
      <c r="B877" s="68"/>
      <c r="C877" s="68"/>
      <c r="D877" s="68"/>
      <c r="E877" s="68"/>
      <c r="F877" s="68"/>
      <c r="G877" s="68"/>
      <c r="H877" s="68"/>
      <c r="I877" s="68"/>
      <c r="J877" s="68"/>
      <c r="K877" s="68"/>
      <c r="L877" s="68"/>
      <c r="M877" s="68"/>
      <c r="N877" s="68"/>
      <c r="O877" s="68"/>
      <c r="P877" s="68"/>
      <c r="Q877" s="68"/>
      <c r="R877" s="68"/>
      <c r="S877" s="68"/>
      <c r="T877" s="68"/>
      <c r="U877" s="68"/>
      <c r="V877" s="68"/>
      <c r="W877" s="68"/>
      <c r="X877" s="68"/>
      <c r="Y877" s="68"/>
      <c r="Z877" s="68"/>
    </row>
    <row r="878">
      <c r="A878" s="68"/>
      <c r="B878" s="68"/>
      <c r="C878" s="68"/>
      <c r="D878" s="68"/>
      <c r="E878" s="68"/>
      <c r="F878" s="68"/>
      <c r="G878" s="68"/>
      <c r="H878" s="68"/>
      <c r="I878" s="68"/>
      <c r="J878" s="68"/>
      <c r="K878" s="68"/>
      <c r="L878" s="68"/>
      <c r="M878" s="68"/>
      <c r="N878" s="68"/>
      <c r="O878" s="68"/>
      <c r="P878" s="68"/>
      <c r="Q878" s="68"/>
      <c r="R878" s="68"/>
      <c r="S878" s="68"/>
      <c r="T878" s="68"/>
      <c r="U878" s="68"/>
      <c r="V878" s="68"/>
      <c r="W878" s="68"/>
      <c r="X878" s="68"/>
      <c r="Y878" s="68"/>
      <c r="Z878" s="68"/>
    </row>
    <row r="879">
      <c r="A879" s="68"/>
      <c r="B879" s="68"/>
      <c r="C879" s="68"/>
      <c r="D879" s="68"/>
      <c r="E879" s="68"/>
      <c r="F879" s="68"/>
      <c r="G879" s="68"/>
      <c r="H879" s="68"/>
      <c r="I879" s="68"/>
      <c r="J879" s="68"/>
      <c r="K879" s="68"/>
      <c r="L879" s="68"/>
      <c r="M879" s="68"/>
      <c r="N879" s="68"/>
      <c r="O879" s="68"/>
      <c r="P879" s="68"/>
      <c r="Q879" s="68"/>
      <c r="R879" s="68"/>
      <c r="S879" s="68"/>
      <c r="T879" s="68"/>
      <c r="U879" s="68"/>
      <c r="V879" s="68"/>
      <c r="W879" s="68"/>
      <c r="X879" s="68"/>
      <c r="Y879" s="68"/>
      <c r="Z879" s="68"/>
    </row>
    <row r="880">
      <c r="A880" s="68"/>
      <c r="B880" s="68"/>
      <c r="C880" s="68"/>
      <c r="D880" s="68"/>
      <c r="E880" s="68"/>
      <c r="F880" s="68"/>
      <c r="G880" s="68"/>
      <c r="H880" s="68"/>
      <c r="I880" s="68"/>
      <c r="J880" s="68"/>
      <c r="K880" s="68"/>
      <c r="L880" s="68"/>
      <c r="M880" s="68"/>
      <c r="N880" s="68"/>
      <c r="O880" s="68"/>
      <c r="P880" s="68"/>
      <c r="Q880" s="68"/>
      <c r="R880" s="68"/>
      <c r="S880" s="68"/>
      <c r="T880" s="68"/>
      <c r="U880" s="68"/>
      <c r="V880" s="68"/>
      <c r="W880" s="68"/>
      <c r="X880" s="68"/>
      <c r="Y880" s="68"/>
      <c r="Z880" s="68"/>
    </row>
    <row r="881">
      <c r="A881" s="68"/>
      <c r="B881" s="68"/>
      <c r="C881" s="68"/>
      <c r="D881" s="68"/>
      <c r="E881" s="68"/>
      <c r="F881" s="68"/>
      <c r="G881" s="68"/>
      <c r="H881" s="68"/>
      <c r="I881" s="68"/>
      <c r="J881" s="68"/>
      <c r="K881" s="68"/>
      <c r="L881" s="68"/>
      <c r="M881" s="68"/>
      <c r="N881" s="68"/>
      <c r="O881" s="68"/>
      <c r="P881" s="68"/>
      <c r="Q881" s="68"/>
      <c r="R881" s="68"/>
      <c r="S881" s="68"/>
      <c r="T881" s="68"/>
      <c r="U881" s="68"/>
      <c r="V881" s="68"/>
      <c r="W881" s="68"/>
      <c r="X881" s="68"/>
      <c r="Y881" s="68"/>
      <c r="Z881" s="68"/>
    </row>
    <row r="882">
      <c r="A882" s="68"/>
      <c r="B882" s="68"/>
      <c r="C882" s="68"/>
      <c r="D882" s="68"/>
      <c r="E882" s="68"/>
      <c r="F882" s="68"/>
      <c r="G882" s="68"/>
      <c r="H882" s="68"/>
      <c r="I882" s="68"/>
      <c r="J882" s="68"/>
      <c r="K882" s="68"/>
      <c r="L882" s="68"/>
      <c r="M882" s="68"/>
      <c r="N882" s="68"/>
      <c r="O882" s="68"/>
      <c r="P882" s="68"/>
      <c r="Q882" s="68"/>
      <c r="R882" s="68"/>
      <c r="S882" s="68"/>
      <c r="T882" s="68"/>
      <c r="U882" s="68"/>
      <c r="V882" s="68"/>
      <c r="W882" s="68"/>
      <c r="X882" s="68"/>
      <c r="Y882" s="68"/>
      <c r="Z882" s="68"/>
    </row>
    <row r="883">
      <c r="A883" s="68"/>
      <c r="B883" s="68"/>
      <c r="C883" s="68"/>
      <c r="D883" s="68"/>
      <c r="E883" s="68"/>
      <c r="F883" s="68"/>
      <c r="G883" s="68"/>
      <c r="H883" s="68"/>
      <c r="I883" s="68"/>
      <c r="J883" s="68"/>
      <c r="K883" s="68"/>
      <c r="L883" s="68"/>
      <c r="M883" s="68"/>
      <c r="N883" s="68"/>
      <c r="O883" s="68"/>
      <c r="P883" s="68"/>
      <c r="Q883" s="68"/>
      <c r="R883" s="68"/>
      <c r="S883" s="68"/>
      <c r="T883" s="68"/>
      <c r="U883" s="68"/>
      <c r="V883" s="68"/>
      <c r="W883" s="68"/>
      <c r="X883" s="68"/>
      <c r="Y883" s="68"/>
      <c r="Z883" s="68"/>
    </row>
    <row r="884">
      <c r="A884" s="68"/>
      <c r="B884" s="68"/>
      <c r="C884" s="68"/>
      <c r="D884" s="68"/>
      <c r="E884" s="68"/>
      <c r="F884" s="68"/>
      <c r="G884" s="68"/>
      <c r="H884" s="68"/>
      <c r="I884" s="68"/>
      <c r="J884" s="68"/>
      <c r="K884" s="68"/>
      <c r="L884" s="68"/>
      <c r="M884" s="68"/>
      <c r="N884" s="68"/>
      <c r="O884" s="68"/>
      <c r="P884" s="68"/>
      <c r="Q884" s="68"/>
      <c r="R884" s="68"/>
      <c r="S884" s="68"/>
      <c r="T884" s="68"/>
      <c r="U884" s="68"/>
      <c r="V884" s="68"/>
      <c r="W884" s="68"/>
      <c r="X884" s="68"/>
      <c r="Y884" s="68"/>
      <c r="Z884" s="68"/>
    </row>
    <row r="885">
      <c r="A885" s="68"/>
      <c r="B885" s="68"/>
      <c r="C885" s="68"/>
      <c r="D885" s="68"/>
      <c r="E885" s="68"/>
      <c r="F885" s="68"/>
      <c r="G885" s="68"/>
      <c r="H885" s="68"/>
      <c r="I885" s="68"/>
      <c r="J885" s="68"/>
      <c r="K885" s="68"/>
      <c r="L885" s="68"/>
      <c r="M885" s="68"/>
      <c r="N885" s="68"/>
      <c r="O885" s="68"/>
      <c r="P885" s="68"/>
      <c r="Q885" s="68"/>
      <c r="R885" s="68"/>
      <c r="S885" s="68"/>
      <c r="T885" s="68"/>
      <c r="U885" s="68"/>
      <c r="V885" s="68"/>
      <c r="W885" s="68"/>
      <c r="X885" s="68"/>
      <c r="Y885" s="68"/>
      <c r="Z885" s="68"/>
    </row>
    <row r="886">
      <c r="A886" s="68"/>
      <c r="B886" s="68"/>
      <c r="C886" s="68"/>
      <c r="D886" s="68"/>
      <c r="E886" s="68"/>
      <c r="F886" s="68"/>
      <c r="G886" s="68"/>
      <c r="H886" s="68"/>
      <c r="I886" s="68"/>
      <c r="J886" s="68"/>
      <c r="K886" s="68"/>
      <c r="L886" s="68"/>
      <c r="M886" s="68"/>
      <c r="N886" s="68"/>
      <c r="O886" s="68"/>
      <c r="P886" s="68"/>
      <c r="Q886" s="68"/>
      <c r="R886" s="68"/>
      <c r="S886" s="68"/>
      <c r="T886" s="68"/>
      <c r="U886" s="68"/>
      <c r="V886" s="68"/>
      <c r="W886" s="68"/>
      <c r="X886" s="68"/>
      <c r="Y886" s="68"/>
      <c r="Z886" s="68"/>
    </row>
    <row r="887">
      <c r="A887" s="68"/>
      <c r="B887" s="68"/>
      <c r="C887" s="68"/>
      <c r="D887" s="68"/>
      <c r="E887" s="68"/>
      <c r="F887" s="68"/>
      <c r="G887" s="68"/>
      <c r="H887" s="68"/>
      <c r="I887" s="68"/>
      <c r="J887" s="68"/>
      <c r="K887" s="68"/>
      <c r="L887" s="68"/>
      <c r="M887" s="68"/>
      <c r="N887" s="68"/>
      <c r="O887" s="68"/>
      <c r="P887" s="68"/>
      <c r="Q887" s="68"/>
      <c r="R887" s="68"/>
      <c r="S887" s="68"/>
      <c r="T887" s="68"/>
      <c r="U887" s="68"/>
      <c r="V887" s="68"/>
      <c r="W887" s="68"/>
      <c r="X887" s="68"/>
      <c r="Y887" s="68"/>
      <c r="Z887" s="68"/>
    </row>
    <row r="888">
      <c r="A888" s="68"/>
      <c r="B888" s="68"/>
      <c r="C888" s="68"/>
      <c r="D888" s="68"/>
      <c r="E888" s="68"/>
      <c r="F888" s="68"/>
      <c r="G888" s="68"/>
      <c r="H888" s="68"/>
      <c r="I888" s="68"/>
      <c r="J888" s="68"/>
      <c r="K888" s="68"/>
      <c r="L888" s="68"/>
      <c r="M888" s="68"/>
      <c r="N888" s="68"/>
      <c r="O888" s="68"/>
      <c r="P888" s="68"/>
      <c r="Q888" s="68"/>
      <c r="R888" s="68"/>
      <c r="S888" s="68"/>
      <c r="T888" s="68"/>
      <c r="U888" s="68"/>
      <c r="V888" s="68"/>
      <c r="W888" s="68"/>
      <c r="X888" s="68"/>
      <c r="Y888" s="68"/>
      <c r="Z888" s="68"/>
    </row>
    <row r="889">
      <c r="A889" s="68"/>
      <c r="B889" s="68"/>
      <c r="C889" s="68"/>
      <c r="D889" s="68"/>
      <c r="E889" s="68"/>
      <c r="F889" s="68"/>
      <c r="G889" s="68"/>
      <c r="H889" s="68"/>
      <c r="I889" s="68"/>
      <c r="J889" s="68"/>
      <c r="K889" s="68"/>
      <c r="L889" s="68"/>
      <c r="M889" s="68"/>
      <c r="N889" s="68"/>
      <c r="O889" s="68"/>
      <c r="P889" s="68"/>
      <c r="Q889" s="68"/>
      <c r="R889" s="68"/>
      <c r="S889" s="68"/>
      <c r="T889" s="68"/>
      <c r="U889" s="68"/>
      <c r="V889" s="68"/>
      <c r="W889" s="68"/>
      <c r="X889" s="68"/>
      <c r="Y889" s="68"/>
      <c r="Z889" s="68"/>
    </row>
    <row r="890">
      <c r="A890" s="68"/>
      <c r="B890" s="68"/>
      <c r="C890" s="68"/>
      <c r="D890" s="68"/>
      <c r="E890" s="68"/>
      <c r="F890" s="68"/>
      <c r="G890" s="68"/>
      <c r="H890" s="68"/>
      <c r="I890" s="68"/>
      <c r="J890" s="68"/>
      <c r="K890" s="68"/>
      <c r="L890" s="68"/>
      <c r="M890" s="68"/>
      <c r="N890" s="68"/>
      <c r="O890" s="68"/>
      <c r="P890" s="68"/>
      <c r="Q890" s="68"/>
      <c r="R890" s="68"/>
      <c r="S890" s="68"/>
      <c r="T890" s="68"/>
      <c r="U890" s="68"/>
      <c r="V890" s="68"/>
      <c r="W890" s="68"/>
      <c r="X890" s="68"/>
      <c r="Y890" s="68"/>
      <c r="Z890" s="68"/>
    </row>
    <row r="891">
      <c r="A891" s="68"/>
      <c r="B891" s="68"/>
      <c r="C891" s="68"/>
      <c r="D891" s="68"/>
      <c r="E891" s="68"/>
      <c r="F891" s="68"/>
      <c r="G891" s="68"/>
      <c r="H891" s="68"/>
      <c r="I891" s="68"/>
      <c r="J891" s="68"/>
      <c r="K891" s="68"/>
      <c r="L891" s="68"/>
      <c r="M891" s="68"/>
      <c r="N891" s="68"/>
      <c r="O891" s="68"/>
      <c r="P891" s="68"/>
      <c r="Q891" s="68"/>
      <c r="R891" s="68"/>
      <c r="S891" s="68"/>
      <c r="T891" s="68"/>
      <c r="U891" s="68"/>
      <c r="V891" s="68"/>
      <c r="W891" s="68"/>
      <c r="X891" s="68"/>
      <c r="Y891" s="68"/>
      <c r="Z891" s="68"/>
    </row>
    <row r="892">
      <c r="A892" s="68"/>
      <c r="B892" s="68"/>
      <c r="C892" s="68"/>
      <c r="D892" s="68"/>
      <c r="E892" s="68"/>
      <c r="F892" s="68"/>
      <c r="G892" s="68"/>
      <c r="H892" s="68"/>
      <c r="I892" s="68"/>
      <c r="J892" s="68"/>
      <c r="K892" s="68"/>
      <c r="L892" s="68"/>
      <c r="M892" s="68"/>
      <c r="N892" s="68"/>
      <c r="O892" s="68"/>
      <c r="P892" s="68"/>
      <c r="Q892" s="68"/>
      <c r="R892" s="68"/>
      <c r="S892" s="68"/>
      <c r="T892" s="68"/>
      <c r="U892" s="68"/>
      <c r="V892" s="68"/>
      <c r="W892" s="68"/>
      <c r="X892" s="68"/>
      <c r="Y892" s="68"/>
      <c r="Z892" s="68"/>
    </row>
    <row r="893">
      <c r="A893" s="68"/>
      <c r="B893" s="68"/>
      <c r="C893" s="68"/>
      <c r="D893" s="68"/>
      <c r="E893" s="68"/>
      <c r="F893" s="68"/>
      <c r="G893" s="68"/>
      <c r="H893" s="68"/>
      <c r="I893" s="68"/>
      <c r="J893" s="68"/>
      <c r="K893" s="68"/>
      <c r="L893" s="68"/>
      <c r="M893" s="68"/>
      <c r="N893" s="68"/>
      <c r="O893" s="68"/>
      <c r="P893" s="68"/>
      <c r="Q893" s="68"/>
      <c r="R893" s="68"/>
      <c r="S893" s="68"/>
      <c r="T893" s="68"/>
      <c r="U893" s="68"/>
      <c r="V893" s="68"/>
      <c r="W893" s="68"/>
      <c r="X893" s="68"/>
      <c r="Y893" s="68"/>
      <c r="Z893" s="68"/>
    </row>
    <row r="894">
      <c r="A894" s="68"/>
      <c r="B894" s="68"/>
      <c r="C894" s="68"/>
      <c r="D894" s="68"/>
      <c r="E894" s="68"/>
      <c r="F894" s="68"/>
      <c r="G894" s="68"/>
      <c r="H894" s="68"/>
      <c r="I894" s="68"/>
      <c r="J894" s="68"/>
      <c r="K894" s="68"/>
      <c r="L894" s="68"/>
      <c r="M894" s="68"/>
      <c r="N894" s="68"/>
      <c r="O894" s="68"/>
      <c r="P894" s="68"/>
      <c r="Q894" s="68"/>
      <c r="R894" s="68"/>
      <c r="S894" s="68"/>
      <c r="T894" s="68"/>
      <c r="U894" s="68"/>
      <c r="V894" s="68"/>
      <c r="W894" s="68"/>
      <c r="X894" s="68"/>
      <c r="Y894" s="68"/>
      <c r="Z894" s="68"/>
    </row>
    <row r="895">
      <c r="A895" s="68"/>
      <c r="B895" s="68"/>
      <c r="C895" s="68"/>
      <c r="D895" s="68"/>
      <c r="E895" s="68"/>
      <c r="F895" s="68"/>
      <c r="G895" s="68"/>
      <c r="H895" s="68"/>
      <c r="I895" s="68"/>
      <c r="J895" s="68"/>
      <c r="K895" s="68"/>
      <c r="L895" s="68"/>
      <c r="M895" s="68"/>
      <c r="N895" s="68"/>
      <c r="O895" s="68"/>
      <c r="P895" s="68"/>
      <c r="Q895" s="68"/>
      <c r="R895" s="68"/>
      <c r="S895" s="68"/>
      <c r="T895" s="68"/>
      <c r="U895" s="68"/>
      <c r="V895" s="68"/>
      <c r="W895" s="68"/>
      <c r="X895" s="68"/>
      <c r="Y895" s="68"/>
      <c r="Z895" s="68"/>
    </row>
    <row r="896">
      <c r="A896" s="68"/>
      <c r="B896" s="68"/>
      <c r="C896" s="68"/>
      <c r="D896" s="68"/>
      <c r="E896" s="68"/>
      <c r="F896" s="68"/>
      <c r="G896" s="68"/>
      <c r="H896" s="68"/>
      <c r="I896" s="68"/>
      <c r="J896" s="68"/>
      <c r="K896" s="68"/>
      <c r="L896" s="68"/>
      <c r="M896" s="68"/>
      <c r="N896" s="68"/>
      <c r="O896" s="68"/>
      <c r="P896" s="68"/>
      <c r="Q896" s="68"/>
      <c r="R896" s="68"/>
      <c r="S896" s="68"/>
      <c r="T896" s="68"/>
      <c r="U896" s="68"/>
      <c r="V896" s="68"/>
      <c r="W896" s="68"/>
      <c r="X896" s="68"/>
      <c r="Y896" s="68"/>
      <c r="Z896" s="68"/>
    </row>
    <row r="897">
      <c r="A897" s="68"/>
      <c r="B897" s="68"/>
      <c r="C897" s="68"/>
      <c r="D897" s="68"/>
      <c r="E897" s="68"/>
      <c r="F897" s="68"/>
      <c r="G897" s="68"/>
      <c r="H897" s="68"/>
      <c r="I897" s="68"/>
      <c r="J897" s="68"/>
      <c r="K897" s="68"/>
      <c r="L897" s="68"/>
      <c r="M897" s="68"/>
      <c r="N897" s="68"/>
      <c r="O897" s="68"/>
      <c r="P897" s="68"/>
      <c r="Q897" s="68"/>
      <c r="R897" s="68"/>
      <c r="S897" s="68"/>
      <c r="T897" s="68"/>
      <c r="U897" s="68"/>
      <c r="V897" s="68"/>
      <c r="W897" s="68"/>
      <c r="X897" s="68"/>
      <c r="Y897" s="68"/>
      <c r="Z897" s="68"/>
    </row>
    <row r="898">
      <c r="A898" s="68"/>
      <c r="B898" s="68"/>
      <c r="C898" s="68"/>
      <c r="D898" s="68"/>
      <c r="E898" s="68"/>
      <c r="F898" s="68"/>
      <c r="G898" s="68"/>
      <c r="H898" s="68"/>
      <c r="I898" s="68"/>
      <c r="J898" s="68"/>
      <c r="K898" s="68"/>
      <c r="L898" s="68"/>
      <c r="M898" s="68"/>
      <c r="N898" s="68"/>
      <c r="O898" s="68"/>
      <c r="P898" s="68"/>
      <c r="Q898" s="68"/>
      <c r="R898" s="68"/>
      <c r="S898" s="68"/>
      <c r="T898" s="68"/>
      <c r="U898" s="68"/>
      <c r="V898" s="68"/>
      <c r="W898" s="68"/>
      <c r="X898" s="68"/>
      <c r="Y898" s="68"/>
      <c r="Z898" s="68"/>
    </row>
    <row r="899">
      <c r="A899" s="68"/>
      <c r="B899" s="68"/>
      <c r="C899" s="68"/>
      <c r="D899" s="68"/>
      <c r="E899" s="68"/>
      <c r="F899" s="68"/>
      <c r="G899" s="68"/>
      <c r="H899" s="68"/>
      <c r="I899" s="68"/>
      <c r="J899" s="68"/>
      <c r="K899" s="68"/>
      <c r="L899" s="68"/>
      <c r="M899" s="68"/>
      <c r="N899" s="68"/>
      <c r="O899" s="68"/>
      <c r="P899" s="68"/>
      <c r="Q899" s="68"/>
      <c r="R899" s="68"/>
      <c r="S899" s="68"/>
      <c r="T899" s="68"/>
      <c r="U899" s="68"/>
      <c r="V899" s="68"/>
      <c r="W899" s="68"/>
      <c r="X899" s="68"/>
      <c r="Y899" s="68"/>
      <c r="Z899" s="68"/>
    </row>
    <row r="900">
      <c r="A900" s="68"/>
      <c r="B900" s="68"/>
      <c r="C900" s="68"/>
      <c r="D900" s="68"/>
      <c r="E900" s="68"/>
      <c r="F900" s="68"/>
      <c r="G900" s="68"/>
      <c r="H900" s="68"/>
      <c r="I900" s="68"/>
      <c r="J900" s="68"/>
      <c r="K900" s="68"/>
      <c r="L900" s="68"/>
      <c r="M900" s="68"/>
      <c r="N900" s="68"/>
      <c r="O900" s="68"/>
      <c r="P900" s="68"/>
      <c r="Q900" s="68"/>
      <c r="R900" s="68"/>
      <c r="S900" s="68"/>
      <c r="T900" s="68"/>
      <c r="U900" s="68"/>
      <c r="V900" s="68"/>
      <c r="W900" s="68"/>
      <c r="X900" s="68"/>
      <c r="Y900" s="68"/>
      <c r="Z900" s="68"/>
    </row>
    <row r="901">
      <c r="A901" s="68"/>
      <c r="B901" s="68"/>
      <c r="C901" s="68"/>
      <c r="D901" s="68"/>
      <c r="E901" s="68"/>
      <c r="F901" s="68"/>
      <c r="G901" s="68"/>
      <c r="H901" s="68"/>
      <c r="I901" s="68"/>
      <c r="J901" s="68"/>
      <c r="K901" s="68"/>
      <c r="L901" s="68"/>
      <c r="M901" s="68"/>
      <c r="N901" s="68"/>
      <c r="O901" s="68"/>
      <c r="P901" s="68"/>
      <c r="Q901" s="68"/>
      <c r="R901" s="68"/>
      <c r="S901" s="68"/>
      <c r="T901" s="68"/>
      <c r="U901" s="68"/>
      <c r="V901" s="68"/>
      <c r="W901" s="68"/>
      <c r="X901" s="68"/>
      <c r="Y901" s="68"/>
      <c r="Z901" s="68"/>
    </row>
    <row r="902">
      <c r="A902" s="68"/>
      <c r="B902" s="68"/>
      <c r="C902" s="68"/>
      <c r="D902" s="68"/>
      <c r="E902" s="68"/>
      <c r="F902" s="68"/>
      <c r="G902" s="68"/>
      <c r="H902" s="68"/>
      <c r="I902" s="68"/>
      <c r="J902" s="68"/>
      <c r="K902" s="68"/>
      <c r="L902" s="68"/>
      <c r="M902" s="68"/>
      <c r="N902" s="68"/>
      <c r="O902" s="68"/>
      <c r="P902" s="68"/>
      <c r="Q902" s="68"/>
      <c r="R902" s="68"/>
      <c r="S902" s="68"/>
      <c r="T902" s="68"/>
      <c r="U902" s="68"/>
      <c r="V902" s="68"/>
      <c r="W902" s="68"/>
      <c r="X902" s="68"/>
      <c r="Y902" s="68"/>
      <c r="Z902" s="68"/>
    </row>
    <row r="903">
      <c r="A903" s="68"/>
      <c r="B903" s="68"/>
      <c r="C903" s="68"/>
      <c r="D903" s="68"/>
      <c r="E903" s="68"/>
      <c r="F903" s="68"/>
      <c r="G903" s="68"/>
      <c r="H903" s="68"/>
      <c r="I903" s="68"/>
      <c r="J903" s="68"/>
      <c r="K903" s="68"/>
      <c r="L903" s="68"/>
      <c r="M903" s="68"/>
      <c r="N903" s="68"/>
      <c r="O903" s="68"/>
      <c r="P903" s="68"/>
      <c r="Q903" s="68"/>
      <c r="R903" s="68"/>
      <c r="S903" s="68"/>
      <c r="T903" s="68"/>
      <c r="U903" s="68"/>
      <c r="V903" s="68"/>
      <c r="W903" s="68"/>
      <c r="X903" s="68"/>
      <c r="Y903" s="68"/>
      <c r="Z903" s="68"/>
    </row>
    <row r="904">
      <c r="A904" s="68"/>
      <c r="B904" s="68"/>
      <c r="C904" s="68"/>
      <c r="D904" s="68"/>
      <c r="E904" s="68"/>
      <c r="F904" s="68"/>
      <c r="G904" s="68"/>
      <c r="H904" s="68"/>
      <c r="I904" s="68"/>
      <c r="J904" s="68"/>
      <c r="K904" s="68"/>
      <c r="L904" s="68"/>
      <c r="M904" s="68"/>
      <c r="N904" s="68"/>
      <c r="O904" s="68"/>
      <c r="P904" s="68"/>
      <c r="Q904" s="68"/>
      <c r="R904" s="68"/>
      <c r="S904" s="68"/>
      <c r="T904" s="68"/>
      <c r="U904" s="68"/>
      <c r="V904" s="68"/>
      <c r="W904" s="68"/>
      <c r="X904" s="68"/>
      <c r="Y904" s="68"/>
      <c r="Z904" s="68"/>
    </row>
    <row r="905">
      <c r="A905" s="68"/>
      <c r="B905" s="68"/>
      <c r="C905" s="68"/>
      <c r="D905" s="68"/>
      <c r="E905" s="68"/>
      <c r="F905" s="68"/>
      <c r="G905" s="68"/>
      <c r="H905" s="68"/>
      <c r="I905" s="68"/>
      <c r="J905" s="68"/>
      <c r="K905" s="68"/>
      <c r="L905" s="68"/>
      <c r="M905" s="68"/>
      <c r="N905" s="68"/>
      <c r="O905" s="68"/>
      <c r="P905" s="68"/>
      <c r="Q905" s="68"/>
      <c r="R905" s="68"/>
      <c r="S905" s="68"/>
      <c r="T905" s="68"/>
      <c r="U905" s="68"/>
      <c r="V905" s="68"/>
      <c r="W905" s="68"/>
      <c r="X905" s="68"/>
      <c r="Y905" s="68"/>
      <c r="Z905" s="68"/>
    </row>
    <row r="906">
      <c r="A906" s="68"/>
      <c r="B906" s="68"/>
      <c r="C906" s="68"/>
      <c r="D906" s="68"/>
      <c r="E906" s="68"/>
      <c r="F906" s="68"/>
      <c r="G906" s="68"/>
      <c r="H906" s="68"/>
      <c r="I906" s="68"/>
      <c r="J906" s="68"/>
      <c r="K906" s="68"/>
      <c r="L906" s="68"/>
      <c r="M906" s="68"/>
      <c r="N906" s="68"/>
      <c r="O906" s="68"/>
      <c r="P906" s="68"/>
      <c r="Q906" s="68"/>
      <c r="R906" s="68"/>
      <c r="S906" s="68"/>
      <c r="T906" s="68"/>
      <c r="U906" s="68"/>
      <c r="V906" s="68"/>
      <c r="W906" s="68"/>
      <c r="X906" s="68"/>
      <c r="Y906" s="68"/>
      <c r="Z906" s="68"/>
    </row>
    <row r="907">
      <c r="A907" s="68"/>
      <c r="B907" s="68"/>
      <c r="C907" s="68"/>
      <c r="D907" s="68"/>
      <c r="E907" s="68"/>
      <c r="F907" s="68"/>
      <c r="G907" s="68"/>
      <c r="H907" s="68"/>
      <c r="I907" s="68"/>
      <c r="J907" s="68"/>
      <c r="K907" s="68"/>
      <c r="L907" s="68"/>
      <c r="M907" s="68"/>
      <c r="N907" s="68"/>
      <c r="O907" s="68"/>
      <c r="P907" s="68"/>
      <c r="Q907" s="68"/>
      <c r="R907" s="68"/>
      <c r="S907" s="68"/>
      <c r="T907" s="68"/>
      <c r="U907" s="68"/>
      <c r="V907" s="68"/>
      <c r="W907" s="68"/>
      <c r="X907" s="68"/>
      <c r="Y907" s="68"/>
      <c r="Z907" s="68"/>
    </row>
    <row r="908">
      <c r="A908" s="68"/>
      <c r="B908" s="68"/>
      <c r="C908" s="68"/>
      <c r="D908" s="68"/>
      <c r="E908" s="68"/>
      <c r="F908" s="68"/>
      <c r="G908" s="68"/>
      <c r="H908" s="68"/>
      <c r="I908" s="68"/>
      <c r="J908" s="68"/>
      <c r="K908" s="68"/>
      <c r="L908" s="68"/>
      <c r="M908" s="68"/>
      <c r="N908" s="68"/>
      <c r="O908" s="68"/>
      <c r="P908" s="68"/>
      <c r="Q908" s="68"/>
      <c r="R908" s="68"/>
      <c r="S908" s="68"/>
      <c r="T908" s="68"/>
      <c r="U908" s="68"/>
      <c r="V908" s="68"/>
      <c r="W908" s="68"/>
      <c r="X908" s="68"/>
      <c r="Y908" s="68"/>
      <c r="Z908" s="68"/>
    </row>
    <row r="909">
      <c r="A909" s="68"/>
      <c r="B909" s="68"/>
      <c r="C909" s="68"/>
      <c r="D909" s="68"/>
      <c r="E909" s="68"/>
      <c r="F909" s="68"/>
      <c r="G909" s="68"/>
      <c r="H909" s="68"/>
      <c r="I909" s="68"/>
      <c r="J909" s="68"/>
      <c r="K909" s="68"/>
      <c r="L909" s="68"/>
      <c r="M909" s="68"/>
      <c r="N909" s="68"/>
      <c r="O909" s="68"/>
      <c r="P909" s="68"/>
      <c r="Q909" s="68"/>
      <c r="R909" s="68"/>
      <c r="S909" s="68"/>
      <c r="T909" s="68"/>
      <c r="U909" s="68"/>
      <c r="V909" s="68"/>
      <c r="W909" s="68"/>
      <c r="X909" s="68"/>
      <c r="Y909" s="68"/>
      <c r="Z909" s="68"/>
    </row>
    <row r="910">
      <c r="A910" s="68"/>
      <c r="B910" s="68"/>
      <c r="C910" s="68"/>
      <c r="D910" s="68"/>
      <c r="E910" s="68"/>
      <c r="F910" s="68"/>
      <c r="G910" s="68"/>
      <c r="H910" s="68"/>
      <c r="I910" s="68"/>
      <c r="J910" s="68"/>
      <c r="K910" s="68"/>
      <c r="L910" s="68"/>
      <c r="M910" s="68"/>
      <c r="N910" s="68"/>
      <c r="O910" s="68"/>
      <c r="P910" s="68"/>
      <c r="Q910" s="68"/>
      <c r="R910" s="68"/>
      <c r="S910" s="68"/>
      <c r="T910" s="68"/>
      <c r="U910" s="68"/>
      <c r="V910" s="68"/>
      <c r="W910" s="68"/>
      <c r="X910" s="68"/>
      <c r="Y910" s="68"/>
      <c r="Z910" s="68"/>
    </row>
    <row r="911">
      <c r="A911" s="68"/>
      <c r="B911" s="68"/>
      <c r="C911" s="68"/>
      <c r="D911" s="68"/>
      <c r="E911" s="68"/>
      <c r="F911" s="68"/>
      <c r="G911" s="68"/>
      <c r="H911" s="68"/>
      <c r="I911" s="68"/>
      <c r="J911" s="68"/>
      <c r="K911" s="68"/>
      <c r="L911" s="68"/>
      <c r="M911" s="68"/>
      <c r="N911" s="68"/>
      <c r="O911" s="68"/>
      <c r="P911" s="68"/>
      <c r="Q911" s="68"/>
      <c r="R911" s="68"/>
      <c r="S911" s="68"/>
      <c r="T911" s="68"/>
      <c r="U911" s="68"/>
      <c r="V911" s="68"/>
      <c r="W911" s="68"/>
      <c r="X911" s="68"/>
      <c r="Y911" s="68"/>
      <c r="Z911" s="68"/>
    </row>
    <row r="912">
      <c r="A912" s="68"/>
      <c r="B912" s="68"/>
      <c r="C912" s="68"/>
      <c r="D912" s="68"/>
      <c r="E912" s="68"/>
      <c r="F912" s="68"/>
      <c r="G912" s="68"/>
      <c r="H912" s="68"/>
      <c r="I912" s="68"/>
      <c r="J912" s="68"/>
      <c r="K912" s="68"/>
      <c r="L912" s="68"/>
      <c r="M912" s="68"/>
      <c r="N912" s="68"/>
      <c r="O912" s="68"/>
      <c r="P912" s="68"/>
      <c r="Q912" s="68"/>
      <c r="R912" s="68"/>
      <c r="S912" s="68"/>
      <c r="T912" s="68"/>
      <c r="U912" s="68"/>
      <c r="V912" s="68"/>
      <c r="W912" s="68"/>
      <c r="X912" s="68"/>
      <c r="Y912" s="68"/>
      <c r="Z912" s="68"/>
    </row>
    <row r="913">
      <c r="A913" s="68"/>
      <c r="B913" s="68"/>
      <c r="C913" s="68"/>
      <c r="D913" s="68"/>
      <c r="E913" s="68"/>
      <c r="F913" s="68"/>
      <c r="G913" s="68"/>
      <c r="H913" s="68"/>
      <c r="I913" s="68"/>
      <c r="J913" s="68"/>
      <c r="K913" s="68"/>
      <c r="L913" s="68"/>
      <c r="M913" s="68"/>
      <c r="N913" s="68"/>
      <c r="O913" s="68"/>
      <c r="P913" s="68"/>
      <c r="Q913" s="68"/>
      <c r="R913" s="68"/>
      <c r="S913" s="68"/>
      <c r="T913" s="68"/>
      <c r="U913" s="68"/>
      <c r="V913" s="68"/>
      <c r="W913" s="68"/>
      <c r="X913" s="68"/>
      <c r="Y913" s="68"/>
      <c r="Z913" s="68"/>
    </row>
    <row r="914">
      <c r="A914" s="68"/>
      <c r="B914" s="68"/>
      <c r="C914" s="68"/>
      <c r="D914" s="68"/>
      <c r="E914" s="68"/>
      <c r="F914" s="68"/>
      <c r="G914" s="68"/>
      <c r="H914" s="68"/>
      <c r="I914" s="68"/>
      <c r="J914" s="68"/>
      <c r="K914" s="68"/>
      <c r="L914" s="68"/>
      <c r="M914" s="68"/>
      <c r="N914" s="68"/>
      <c r="O914" s="68"/>
      <c r="P914" s="68"/>
      <c r="Q914" s="68"/>
      <c r="R914" s="68"/>
      <c r="S914" s="68"/>
      <c r="T914" s="68"/>
      <c r="U914" s="68"/>
      <c r="V914" s="68"/>
      <c r="W914" s="68"/>
      <c r="X914" s="68"/>
      <c r="Y914" s="68"/>
      <c r="Z914" s="68"/>
    </row>
    <row r="915">
      <c r="A915" s="68"/>
      <c r="B915" s="68"/>
      <c r="C915" s="68"/>
      <c r="D915" s="68"/>
      <c r="E915" s="68"/>
      <c r="F915" s="68"/>
      <c r="G915" s="68"/>
      <c r="H915" s="68"/>
      <c r="I915" s="68"/>
      <c r="J915" s="68"/>
      <c r="K915" s="68"/>
      <c r="L915" s="68"/>
      <c r="M915" s="68"/>
      <c r="N915" s="68"/>
      <c r="O915" s="68"/>
      <c r="P915" s="68"/>
      <c r="Q915" s="68"/>
      <c r="R915" s="68"/>
      <c r="S915" s="68"/>
      <c r="T915" s="68"/>
      <c r="U915" s="68"/>
      <c r="V915" s="68"/>
      <c r="W915" s="68"/>
      <c r="X915" s="68"/>
      <c r="Y915" s="68"/>
      <c r="Z915" s="68"/>
    </row>
    <row r="916">
      <c r="A916" s="68"/>
      <c r="B916" s="68"/>
      <c r="C916" s="68"/>
      <c r="D916" s="68"/>
      <c r="E916" s="68"/>
      <c r="F916" s="68"/>
      <c r="G916" s="68"/>
      <c r="H916" s="68"/>
      <c r="I916" s="68"/>
      <c r="J916" s="68"/>
      <c r="K916" s="68"/>
      <c r="L916" s="68"/>
      <c r="M916" s="68"/>
      <c r="N916" s="68"/>
      <c r="O916" s="68"/>
      <c r="P916" s="68"/>
      <c r="Q916" s="68"/>
      <c r="R916" s="68"/>
      <c r="S916" s="68"/>
      <c r="T916" s="68"/>
      <c r="U916" s="68"/>
      <c r="V916" s="68"/>
      <c r="W916" s="68"/>
      <c r="X916" s="68"/>
      <c r="Y916" s="68"/>
      <c r="Z916" s="68"/>
    </row>
    <row r="917">
      <c r="A917" s="68"/>
      <c r="B917" s="68"/>
      <c r="C917" s="68"/>
      <c r="D917" s="68"/>
      <c r="E917" s="68"/>
      <c r="F917" s="68"/>
      <c r="G917" s="68"/>
      <c r="H917" s="68"/>
      <c r="I917" s="68"/>
      <c r="J917" s="68"/>
      <c r="K917" s="68"/>
      <c r="L917" s="68"/>
      <c r="M917" s="68"/>
      <c r="N917" s="68"/>
      <c r="O917" s="68"/>
      <c r="P917" s="68"/>
      <c r="Q917" s="68"/>
      <c r="R917" s="68"/>
      <c r="S917" s="68"/>
      <c r="T917" s="68"/>
      <c r="U917" s="68"/>
      <c r="V917" s="68"/>
      <c r="W917" s="68"/>
      <c r="X917" s="68"/>
      <c r="Y917" s="68"/>
      <c r="Z917" s="68"/>
    </row>
    <row r="918">
      <c r="A918" s="68"/>
      <c r="B918" s="68"/>
      <c r="C918" s="68"/>
      <c r="D918" s="68"/>
      <c r="E918" s="68"/>
      <c r="F918" s="68"/>
      <c r="G918" s="68"/>
      <c r="H918" s="68"/>
      <c r="I918" s="68"/>
      <c r="J918" s="68"/>
      <c r="K918" s="68"/>
      <c r="L918" s="68"/>
      <c r="M918" s="68"/>
      <c r="N918" s="68"/>
      <c r="O918" s="68"/>
      <c r="P918" s="68"/>
      <c r="Q918" s="68"/>
      <c r="R918" s="68"/>
      <c r="S918" s="68"/>
      <c r="T918" s="68"/>
      <c r="U918" s="68"/>
      <c r="V918" s="68"/>
      <c r="W918" s="68"/>
      <c r="X918" s="68"/>
      <c r="Y918" s="68"/>
      <c r="Z918" s="68"/>
    </row>
    <row r="919">
      <c r="A919" s="68"/>
      <c r="B919" s="68"/>
      <c r="C919" s="68"/>
      <c r="D919" s="68"/>
      <c r="E919" s="68"/>
      <c r="F919" s="68"/>
      <c r="G919" s="68"/>
      <c r="H919" s="68"/>
      <c r="I919" s="68"/>
      <c r="J919" s="68"/>
      <c r="K919" s="68"/>
      <c r="L919" s="68"/>
      <c r="M919" s="68"/>
      <c r="N919" s="68"/>
      <c r="O919" s="68"/>
      <c r="P919" s="68"/>
      <c r="Q919" s="68"/>
      <c r="R919" s="68"/>
      <c r="S919" s="68"/>
      <c r="T919" s="68"/>
      <c r="U919" s="68"/>
      <c r="V919" s="68"/>
      <c r="W919" s="68"/>
      <c r="X919" s="68"/>
      <c r="Y919" s="68"/>
      <c r="Z919" s="68"/>
    </row>
    <row r="920">
      <c r="A920" s="68"/>
      <c r="B920" s="68"/>
      <c r="C920" s="68"/>
      <c r="D920" s="68"/>
      <c r="E920" s="68"/>
      <c r="F920" s="68"/>
      <c r="G920" s="68"/>
      <c r="H920" s="68"/>
      <c r="I920" s="68"/>
      <c r="J920" s="68"/>
      <c r="K920" s="68"/>
      <c r="L920" s="68"/>
      <c r="M920" s="68"/>
      <c r="N920" s="68"/>
      <c r="O920" s="68"/>
      <c r="P920" s="68"/>
      <c r="Q920" s="68"/>
      <c r="R920" s="68"/>
      <c r="S920" s="68"/>
      <c r="T920" s="68"/>
      <c r="U920" s="68"/>
      <c r="V920" s="68"/>
      <c r="W920" s="68"/>
      <c r="X920" s="68"/>
      <c r="Y920" s="68"/>
      <c r="Z920" s="68"/>
    </row>
    <row r="921">
      <c r="A921" s="68"/>
      <c r="B921" s="68"/>
      <c r="C921" s="68"/>
      <c r="D921" s="68"/>
      <c r="E921" s="68"/>
      <c r="F921" s="68"/>
      <c r="G921" s="68"/>
      <c r="H921" s="68"/>
      <c r="I921" s="68"/>
      <c r="J921" s="68"/>
      <c r="K921" s="68"/>
      <c r="L921" s="68"/>
      <c r="M921" s="68"/>
      <c r="N921" s="68"/>
      <c r="O921" s="68"/>
      <c r="P921" s="68"/>
      <c r="Q921" s="68"/>
      <c r="R921" s="68"/>
      <c r="S921" s="68"/>
      <c r="T921" s="68"/>
      <c r="U921" s="68"/>
      <c r="V921" s="68"/>
      <c r="W921" s="68"/>
      <c r="X921" s="68"/>
      <c r="Y921" s="68"/>
      <c r="Z921" s="68"/>
    </row>
    <row r="922">
      <c r="A922" s="68"/>
      <c r="B922" s="68"/>
      <c r="C922" s="68"/>
      <c r="D922" s="68"/>
      <c r="E922" s="68"/>
      <c r="F922" s="68"/>
      <c r="G922" s="68"/>
      <c r="H922" s="68"/>
      <c r="I922" s="68"/>
      <c r="J922" s="68"/>
      <c r="K922" s="68"/>
      <c r="L922" s="68"/>
      <c r="M922" s="68"/>
      <c r="N922" s="68"/>
      <c r="O922" s="68"/>
      <c r="P922" s="68"/>
      <c r="Q922" s="68"/>
      <c r="R922" s="68"/>
      <c r="S922" s="68"/>
      <c r="T922" s="68"/>
      <c r="U922" s="68"/>
      <c r="V922" s="68"/>
      <c r="W922" s="68"/>
      <c r="X922" s="68"/>
      <c r="Y922" s="68"/>
      <c r="Z922" s="68"/>
    </row>
    <row r="923">
      <c r="A923" s="68"/>
      <c r="B923" s="68"/>
      <c r="C923" s="68"/>
      <c r="D923" s="68"/>
      <c r="E923" s="68"/>
      <c r="F923" s="68"/>
      <c r="G923" s="68"/>
      <c r="H923" s="68"/>
      <c r="I923" s="68"/>
      <c r="J923" s="68"/>
      <c r="K923" s="68"/>
      <c r="L923" s="68"/>
      <c r="M923" s="68"/>
      <c r="N923" s="68"/>
      <c r="O923" s="68"/>
      <c r="P923" s="68"/>
      <c r="Q923" s="68"/>
      <c r="R923" s="68"/>
      <c r="S923" s="68"/>
      <c r="T923" s="68"/>
      <c r="U923" s="68"/>
      <c r="V923" s="68"/>
      <c r="W923" s="68"/>
      <c r="X923" s="68"/>
      <c r="Y923" s="68"/>
      <c r="Z923" s="68"/>
    </row>
    <row r="924">
      <c r="A924" s="68"/>
      <c r="B924" s="68"/>
      <c r="C924" s="68"/>
      <c r="D924" s="68"/>
      <c r="E924" s="68"/>
      <c r="F924" s="68"/>
      <c r="G924" s="68"/>
      <c r="H924" s="68"/>
      <c r="I924" s="68"/>
      <c r="J924" s="68"/>
      <c r="K924" s="68"/>
      <c r="L924" s="68"/>
      <c r="M924" s="68"/>
      <c r="N924" s="68"/>
      <c r="O924" s="68"/>
      <c r="P924" s="68"/>
      <c r="Q924" s="68"/>
      <c r="R924" s="68"/>
      <c r="S924" s="68"/>
      <c r="T924" s="68"/>
      <c r="U924" s="68"/>
      <c r="V924" s="68"/>
      <c r="W924" s="68"/>
      <c r="X924" s="68"/>
      <c r="Y924" s="68"/>
      <c r="Z924" s="68"/>
    </row>
    <row r="925">
      <c r="A925" s="68"/>
      <c r="B925" s="68"/>
      <c r="C925" s="68"/>
      <c r="D925" s="68"/>
      <c r="E925" s="68"/>
      <c r="F925" s="68"/>
      <c r="G925" s="68"/>
      <c r="H925" s="68"/>
      <c r="I925" s="68"/>
      <c r="J925" s="68"/>
      <c r="K925" s="68"/>
      <c r="L925" s="68"/>
      <c r="M925" s="68"/>
      <c r="N925" s="68"/>
      <c r="O925" s="68"/>
      <c r="P925" s="68"/>
      <c r="Q925" s="68"/>
      <c r="R925" s="68"/>
      <c r="S925" s="68"/>
      <c r="T925" s="68"/>
      <c r="U925" s="68"/>
      <c r="V925" s="68"/>
      <c r="W925" s="68"/>
      <c r="X925" s="68"/>
      <c r="Y925" s="68"/>
      <c r="Z925" s="68"/>
    </row>
    <row r="926">
      <c r="A926" s="68"/>
      <c r="B926" s="68"/>
      <c r="C926" s="68"/>
      <c r="D926" s="68"/>
      <c r="E926" s="68"/>
      <c r="F926" s="68"/>
      <c r="G926" s="68"/>
      <c r="H926" s="68"/>
      <c r="I926" s="68"/>
      <c r="J926" s="68"/>
      <c r="K926" s="68"/>
      <c r="L926" s="68"/>
      <c r="M926" s="68"/>
      <c r="N926" s="68"/>
      <c r="O926" s="68"/>
      <c r="P926" s="68"/>
      <c r="Q926" s="68"/>
      <c r="R926" s="68"/>
      <c r="S926" s="68"/>
      <c r="T926" s="68"/>
      <c r="U926" s="68"/>
      <c r="V926" s="68"/>
      <c r="W926" s="68"/>
      <c r="X926" s="68"/>
      <c r="Y926" s="68"/>
      <c r="Z926" s="68"/>
    </row>
    <row r="927">
      <c r="A927" s="68"/>
      <c r="B927" s="68"/>
      <c r="C927" s="68"/>
      <c r="D927" s="68"/>
      <c r="E927" s="68"/>
      <c r="F927" s="68"/>
      <c r="G927" s="68"/>
      <c r="H927" s="68"/>
      <c r="I927" s="68"/>
      <c r="J927" s="68"/>
      <c r="K927" s="68"/>
      <c r="L927" s="68"/>
      <c r="M927" s="68"/>
      <c r="N927" s="68"/>
      <c r="O927" s="68"/>
      <c r="P927" s="68"/>
      <c r="Q927" s="68"/>
      <c r="R927" s="68"/>
      <c r="S927" s="68"/>
      <c r="T927" s="68"/>
      <c r="U927" s="68"/>
      <c r="V927" s="68"/>
      <c r="W927" s="68"/>
      <c r="X927" s="68"/>
      <c r="Y927" s="68"/>
      <c r="Z927" s="68"/>
    </row>
    <row r="928">
      <c r="A928" s="68"/>
      <c r="B928" s="68"/>
      <c r="C928" s="68"/>
      <c r="D928" s="68"/>
      <c r="E928" s="68"/>
      <c r="F928" s="68"/>
      <c r="G928" s="68"/>
      <c r="H928" s="68"/>
      <c r="I928" s="68"/>
      <c r="J928" s="68"/>
      <c r="K928" s="68"/>
      <c r="L928" s="68"/>
      <c r="M928" s="68"/>
      <c r="N928" s="68"/>
      <c r="O928" s="68"/>
      <c r="P928" s="68"/>
      <c r="Q928" s="68"/>
      <c r="R928" s="68"/>
      <c r="S928" s="68"/>
      <c r="T928" s="68"/>
      <c r="U928" s="68"/>
      <c r="V928" s="68"/>
      <c r="W928" s="68"/>
      <c r="X928" s="68"/>
      <c r="Y928" s="68"/>
      <c r="Z928" s="68"/>
    </row>
    <row r="929">
      <c r="A929" s="68"/>
      <c r="B929" s="68"/>
      <c r="C929" s="68"/>
      <c r="D929" s="68"/>
      <c r="E929" s="68"/>
      <c r="F929" s="68"/>
      <c r="G929" s="68"/>
      <c r="H929" s="68"/>
      <c r="I929" s="68"/>
      <c r="J929" s="68"/>
      <c r="K929" s="68"/>
      <c r="L929" s="68"/>
      <c r="M929" s="68"/>
      <c r="N929" s="68"/>
      <c r="O929" s="68"/>
      <c r="P929" s="68"/>
      <c r="Q929" s="68"/>
      <c r="R929" s="68"/>
      <c r="S929" s="68"/>
      <c r="T929" s="68"/>
      <c r="U929" s="68"/>
      <c r="V929" s="68"/>
      <c r="W929" s="68"/>
      <c r="X929" s="68"/>
      <c r="Y929" s="68"/>
      <c r="Z929" s="68"/>
    </row>
    <row r="930">
      <c r="A930" s="68"/>
      <c r="B930" s="68"/>
      <c r="C930" s="68"/>
      <c r="D930" s="68"/>
      <c r="E930" s="68"/>
      <c r="F930" s="68"/>
      <c r="G930" s="68"/>
      <c r="H930" s="68"/>
      <c r="I930" s="68"/>
      <c r="J930" s="68"/>
      <c r="K930" s="68"/>
      <c r="L930" s="68"/>
      <c r="M930" s="68"/>
      <c r="N930" s="68"/>
      <c r="O930" s="68"/>
      <c r="P930" s="68"/>
      <c r="Q930" s="68"/>
      <c r="R930" s="68"/>
      <c r="S930" s="68"/>
      <c r="T930" s="68"/>
      <c r="U930" s="68"/>
      <c r="V930" s="68"/>
      <c r="W930" s="68"/>
      <c r="X930" s="68"/>
      <c r="Y930" s="68"/>
      <c r="Z930" s="68"/>
    </row>
    <row r="931">
      <c r="A931" s="68"/>
      <c r="B931" s="68"/>
      <c r="C931" s="68"/>
      <c r="D931" s="68"/>
      <c r="E931" s="68"/>
      <c r="F931" s="68"/>
      <c r="G931" s="68"/>
      <c r="H931" s="68"/>
      <c r="I931" s="68"/>
      <c r="J931" s="68"/>
      <c r="K931" s="68"/>
      <c r="L931" s="68"/>
      <c r="M931" s="68"/>
      <c r="N931" s="68"/>
      <c r="O931" s="68"/>
      <c r="P931" s="68"/>
      <c r="Q931" s="68"/>
      <c r="R931" s="68"/>
      <c r="S931" s="68"/>
      <c r="T931" s="68"/>
      <c r="U931" s="68"/>
      <c r="V931" s="68"/>
      <c r="W931" s="68"/>
      <c r="X931" s="68"/>
      <c r="Y931" s="68"/>
      <c r="Z931" s="68"/>
    </row>
    <row r="932">
      <c r="A932" s="68"/>
      <c r="B932" s="68"/>
      <c r="C932" s="68"/>
      <c r="D932" s="68"/>
      <c r="E932" s="68"/>
      <c r="F932" s="68"/>
      <c r="G932" s="68"/>
      <c r="H932" s="68"/>
      <c r="I932" s="68"/>
      <c r="J932" s="68"/>
      <c r="K932" s="68"/>
      <c r="L932" s="68"/>
      <c r="M932" s="68"/>
      <c r="N932" s="68"/>
      <c r="O932" s="68"/>
      <c r="P932" s="68"/>
      <c r="Q932" s="68"/>
      <c r="R932" s="68"/>
      <c r="S932" s="68"/>
      <c r="T932" s="68"/>
      <c r="U932" s="68"/>
      <c r="V932" s="68"/>
      <c r="W932" s="68"/>
      <c r="X932" s="68"/>
      <c r="Y932" s="68"/>
      <c r="Z932" s="68"/>
    </row>
    <row r="933">
      <c r="A933" s="68"/>
      <c r="B933" s="68"/>
      <c r="C933" s="68"/>
      <c r="D933" s="68"/>
      <c r="E933" s="68"/>
      <c r="F933" s="68"/>
      <c r="G933" s="68"/>
      <c r="H933" s="68"/>
      <c r="I933" s="68"/>
      <c r="J933" s="68"/>
      <c r="K933" s="68"/>
      <c r="L933" s="68"/>
      <c r="M933" s="68"/>
      <c r="N933" s="68"/>
      <c r="O933" s="68"/>
      <c r="P933" s="68"/>
      <c r="Q933" s="68"/>
      <c r="R933" s="68"/>
      <c r="S933" s="68"/>
      <c r="T933" s="68"/>
      <c r="U933" s="68"/>
      <c r="V933" s="68"/>
      <c r="W933" s="68"/>
      <c r="X933" s="68"/>
      <c r="Y933" s="68"/>
      <c r="Z933" s="68"/>
    </row>
    <row r="934">
      <c r="A934" s="68"/>
      <c r="B934" s="68"/>
      <c r="C934" s="68"/>
      <c r="D934" s="68"/>
      <c r="E934" s="68"/>
      <c r="F934" s="68"/>
      <c r="G934" s="68"/>
      <c r="H934" s="68"/>
      <c r="I934" s="68"/>
      <c r="J934" s="68"/>
      <c r="K934" s="68"/>
      <c r="L934" s="68"/>
      <c r="M934" s="68"/>
      <c r="N934" s="68"/>
      <c r="O934" s="68"/>
      <c r="P934" s="68"/>
      <c r="Q934" s="68"/>
      <c r="R934" s="68"/>
      <c r="S934" s="68"/>
      <c r="T934" s="68"/>
      <c r="U934" s="68"/>
      <c r="V934" s="68"/>
      <c r="W934" s="68"/>
      <c r="X934" s="68"/>
      <c r="Y934" s="68"/>
      <c r="Z934" s="68"/>
    </row>
    <row r="935">
      <c r="A935" s="68"/>
      <c r="B935" s="68"/>
      <c r="C935" s="68"/>
      <c r="D935" s="68"/>
      <c r="E935" s="68"/>
      <c r="F935" s="68"/>
      <c r="G935" s="68"/>
      <c r="H935" s="68"/>
      <c r="I935" s="68"/>
      <c r="J935" s="68"/>
      <c r="K935" s="68"/>
      <c r="L935" s="68"/>
      <c r="M935" s="68"/>
      <c r="N935" s="68"/>
      <c r="O935" s="68"/>
      <c r="P935" s="68"/>
      <c r="Q935" s="68"/>
      <c r="R935" s="68"/>
      <c r="S935" s="68"/>
      <c r="T935" s="68"/>
      <c r="U935" s="68"/>
      <c r="V935" s="68"/>
      <c r="W935" s="68"/>
      <c r="X935" s="68"/>
      <c r="Y935" s="68"/>
      <c r="Z935" s="68"/>
    </row>
    <row r="936">
      <c r="A936" s="68"/>
      <c r="B936" s="68"/>
      <c r="C936" s="68"/>
      <c r="D936" s="68"/>
      <c r="E936" s="68"/>
      <c r="F936" s="68"/>
      <c r="G936" s="68"/>
      <c r="H936" s="68"/>
      <c r="I936" s="68"/>
      <c r="J936" s="68"/>
      <c r="K936" s="68"/>
      <c r="L936" s="68"/>
      <c r="M936" s="68"/>
      <c r="N936" s="68"/>
      <c r="O936" s="68"/>
      <c r="P936" s="68"/>
      <c r="Q936" s="68"/>
      <c r="R936" s="68"/>
      <c r="S936" s="68"/>
      <c r="T936" s="68"/>
      <c r="U936" s="68"/>
      <c r="V936" s="68"/>
      <c r="W936" s="68"/>
      <c r="X936" s="68"/>
      <c r="Y936" s="68"/>
      <c r="Z936" s="68"/>
    </row>
    <row r="937">
      <c r="A937" s="68"/>
      <c r="B937" s="68"/>
      <c r="C937" s="68"/>
      <c r="D937" s="68"/>
      <c r="E937" s="68"/>
      <c r="F937" s="68"/>
      <c r="G937" s="68"/>
      <c r="H937" s="68"/>
      <c r="I937" s="68"/>
      <c r="J937" s="68"/>
      <c r="K937" s="68"/>
      <c r="L937" s="68"/>
      <c r="M937" s="68"/>
      <c r="N937" s="68"/>
      <c r="O937" s="68"/>
      <c r="P937" s="68"/>
      <c r="Q937" s="68"/>
      <c r="R937" s="68"/>
      <c r="S937" s="68"/>
      <c r="T937" s="68"/>
      <c r="U937" s="68"/>
      <c r="V937" s="68"/>
      <c r="W937" s="68"/>
      <c r="X937" s="68"/>
      <c r="Y937" s="68"/>
      <c r="Z937" s="68"/>
    </row>
    <row r="938">
      <c r="A938" s="68"/>
      <c r="B938" s="68"/>
      <c r="C938" s="68"/>
      <c r="D938" s="68"/>
      <c r="E938" s="68"/>
      <c r="F938" s="68"/>
      <c r="G938" s="68"/>
      <c r="H938" s="68"/>
      <c r="I938" s="68"/>
      <c r="J938" s="68"/>
      <c r="K938" s="68"/>
      <c r="L938" s="68"/>
      <c r="M938" s="68"/>
      <c r="N938" s="68"/>
      <c r="O938" s="68"/>
      <c r="P938" s="68"/>
      <c r="Q938" s="68"/>
      <c r="R938" s="68"/>
      <c r="S938" s="68"/>
      <c r="T938" s="68"/>
      <c r="U938" s="68"/>
      <c r="V938" s="68"/>
      <c r="W938" s="68"/>
      <c r="X938" s="68"/>
      <c r="Y938" s="68"/>
      <c r="Z938" s="68"/>
    </row>
    <row r="939">
      <c r="A939" s="68"/>
      <c r="B939" s="68"/>
      <c r="C939" s="68"/>
      <c r="D939" s="68"/>
      <c r="E939" s="68"/>
      <c r="F939" s="68"/>
      <c r="G939" s="68"/>
      <c r="H939" s="68"/>
      <c r="I939" s="68"/>
      <c r="J939" s="68"/>
      <c r="K939" s="68"/>
      <c r="L939" s="68"/>
      <c r="M939" s="68"/>
      <c r="N939" s="68"/>
      <c r="O939" s="68"/>
      <c r="P939" s="68"/>
      <c r="Q939" s="68"/>
      <c r="R939" s="68"/>
      <c r="S939" s="68"/>
      <c r="T939" s="68"/>
      <c r="U939" s="68"/>
      <c r="V939" s="68"/>
      <c r="W939" s="68"/>
      <c r="X939" s="68"/>
      <c r="Y939" s="68"/>
      <c r="Z939" s="68"/>
    </row>
    <row r="940">
      <c r="A940" s="68"/>
      <c r="B940" s="68"/>
      <c r="C940" s="68"/>
      <c r="D940" s="68"/>
      <c r="E940" s="68"/>
      <c r="F940" s="68"/>
      <c r="G940" s="68"/>
      <c r="H940" s="68"/>
      <c r="I940" s="68"/>
      <c r="J940" s="68"/>
      <c r="K940" s="68"/>
      <c r="L940" s="68"/>
      <c r="M940" s="68"/>
      <c r="N940" s="68"/>
      <c r="O940" s="68"/>
      <c r="P940" s="68"/>
      <c r="Q940" s="68"/>
      <c r="R940" s="68"/>
      <c r="S940" s="68"/>
      <c r="T940" s="68"/>
      <c r="U940" s="68"/>
      <c r="V940" s="68"/>
      <c r="W940" s="68"/>
      <c r="X940" s="68"/>
      <c r="Y940" s="68"/>
      <c r="Z940" s="68"/>
    </row>
    <row r="941">
      <c r="A941" s="68"/>
      <c r="B941" s="68"/>
      <c r="C941" s="68"/>
      <c r="D941" s="68"/>
      <c r="E941" s="68"/>
      <c r="F941" s="68"/>
      <c r="G941" s="68"/>
      <c r="H941" s="68"/>
      <c r="I941" s="68"/>
      <c r="J941" s="68"/>
      <c r="K941" s="68"/>
      <c r="L941" s="68"/>
      <c r="M941" s="68"/>
      <c r="N941" s="68"/>
      <c r="O941" s="68"/>
      <c r="P941" s="68"/>
      <c r="Q941" s="68"/>
      <c r="R941" s="68"/>
      <c r="S941" s="68"/>
      <c r="T941" s="68"/>
      <c r="U941" s="68"/>
      <c r="V941" s="68"/>
      <c r="W941" s="68"/>
      <c r="X941" s="68"/>
      <c r="Y941" s="68"/>
      <c r="Z941" s="68"/>
    </row>
    <row r="942">
      <c r="A942" s="68"/>
      <c r="B942" s="68"/>
      <c r="C942" s="68"/>
      <c r="D942" s="68"/>
      <c r="E942" s="68"/>
      <c r="F942" s="68"/>
      <c r="G942" s="68"/>
      <c r="H942" s="68"/>
      <c r="I942" s="68"/>
      <c r="J942" s="68"/>
      <c r="K942" s="68"/>
      <c r="L942" s="68"/>
      <c r="M942" s="68"/>
      <c r="N942" s="68"/>
      <c r="O942" s="68"/>
      <c r="P942" s="68"/>
      <c r="Q942" s="68"/>
      <c r="R942" s="68"/>
      <c r="S942" s="68"/>
      <c r="T942" s="68"/>
      <c r="U942" s="68"/>
      <c r="V942" s="68"/>
      <c r="W942" s="68"/>
      <c r="X942" s="68"/>
      <c r="Y942" s="68"/>
      <c r="Z942" s="68"/>
    </row>
    <row r="943">
      <c r="A943" s="68"/>
      <c r="B943" s="68"/>
      <c r="C943" s="68"/>
      <c r="D943" s="68"/>
      <c r="E943" s="68"/>
      <c r="F943" s="68"/>
      <c r="G943" s="68"/>
      <c r="H943" s="68"/>
      <c r="I943" s="68"/>
      <c r="J943" s="68"/>
      <c r="K943" s="68"/>
      <c r="L943" s="68"/>
      <c r="M943" s="68"/>
      <c r="N943" s="68"/>
      <c r="O943" s="68"/>
      <c r="P943" s="68"/>
      <c r="Q943" s="68"/>
      <c r="R943" s="68"/>
      <c r="S943" s="68"/>
      <c r="T943" s="68"/>
      <c r="U943" s="68"/>
      <c r="V943" s="68"/>
      <c r="W943" s="68"/>
      <c r="X943" s="68"/>
      <c r="Y943" s="68"/>
      <c r="Z943" s="68"/>
    </row>
    <row r="944">
      <c r="A944" s="68"/>
      <c r="B944" s="68"/>
      <c r="C944" s="68"/>
      <c r="D944" s="68"/>
      <c r="E944" s="68"/>
      <c r="F944" s="68"/>
      <c r="G944" s="68"/>
      <c r="H944" s="68"/>
      <c r="I944" s="68"/>
      <c r="J944" s="68"/>
      <c r="K944" s="68"/>
      <c r="L944" s="68"/>
      <c r="M944" s="68"/>
      <c r="N944" s="68"/>
      <c r="O944" s="68"/>
      <c r="P944" s="68"/>
      <c r="Q944" s="68"/>
      <c r="R944" s="68"/>
      <c r="S944" s="68"/>
      <c r="T944" s="68"/>
      <c r="U944" s="68"/>
      <c r="V944" s="68"/>
      <c r="W944" s="68"/>
      <c r="X944" s="68"/>
      <c r="Y944" s="68"/>
      <c r="Z944" s="68"/>
    </row>
    <row r="945">
      <c r="A945" s="68"/>
      <c r="B945" s="68"/>
      <c r="C945" s="68"/>
      <c r="D945" s="68"/>
      <c r="E945" s="68"/>
      <c r="F945" s="68"/>
      <c r="G945" s="68"/>
      <c r="H945" s="68"/>
      <c r="I945" s="68"/>
      <c r="J945" s="68"/>
      <c r="K945" s="68"/>
      <c r="L945" s="68"/>
      <c r="M945" s="68"/>
      <c r="N945" s="68"/>
      <c r="O945" s="68"/>
      <c r="P945" s="68"/>
      <c r="Q945" s="68"/>
      <c r="R945" s="68"/>
      <c r="S945" s="68"/>
      <c r="T945" s="68"/>
      <c r="U945" s="68"/>
      <c r="V945" s="68"/>
      <c r="W945" s="68"/>
      <c r="X945" s="68"/>
      <c r="Y945" s="68"/>
      <c r="Z945" s="68"/>
    </row>
    <row r="946">
      <c r="A946" s="68"/>
      <c r="B946" s="68"/>
      <c r="C946" s="68"/>
      <c r="D946" s="68"/>
      <c r="E946" s="68"/>
      <c r="F946" s="68"/>
      <c r="G946" s="68"/>
      <c r="H946" s="68"/>
      <c r="I946" s="68"/>
      <c r="J946" s="68"/>
      <c r="K946" s="68"/>
      <c r="L946" s="68"/>
      <c r="M946" s="68"/>
      <c r="N946" s="68"/>
      <c r="O946" s="68"/>
      <c r="P946" s="68"/>
      <c r="Q946" s="68"/>
      <c r="R946" s="68"/>
      <c r="S946" s="68"/>
      <c r="T946" s="68"/>
      <c r="U946" s="68"/>
      <c r="V946" s="68"/>
      <c r="W946" s="68"/>
      <c r="X946" s="68"/>
      <c r="Y946" s="68"/>
      <c r="Z946" s="68"/>
    </row>
    <row r="947">
      <c r="A947" s="68"/>
      <c r="B947" s="68"/>
      <c r="C947" s="68"/>
      <c r="D947" s="68"/>
      <c r="E947" s="68"/>
      <c r="F947" s="68"/>
      <c r="G947" s="68"/>
      <c r="H947" s="68"/>
      <c r="I947" s="68"/>
      <c r="J947" s="68"/>
      <c r="K947" s="68"/>
      <c r="L947" s="68"/>
      <c r="M947" s="68"/>
      <c r="N947" s="68"/>
      <c r="O947" s="68"/>
      <c r="P947" s="68"/>
      <c r="Q947" s="68"/>
      <c r="R947" s="68"/>
      <c r="S947" s="68"/>
      <c r="T947" s="68"/>
      <c r="U947" s="68"/>
      <c r="V947" s="68"/>
      <c r="W947" s="68"/>
      <c r="X947" s="68"/>
      <c r="Y947" s="68"/>
      <c r="Z947" s="68"/>
    </row>
    <row r="948">
      <c r="A948" s="68"/>
      <c r="B948" s="68"/>
      <c r="C948" s="68"/>
      <c r="D948" s="68"/>
      <c r="E948" s="68"/>
      <c r="F948" s="68"/>
      <c r="G948" s="68"/>
      <c r="H948" s="68"/>
      <c r="I948" s="68"/>
      <c r="J948" s="68"/>
      <c r="K948" s="68"/>
      <c r="L948" s="68"/>
      <c r="M948" s="68"/>
      <c r="N948" s="68"/>
      <c r="O948" s="68"/>
      <c r="P948" s="68"/>
      <c r="Q948" s="68"/>
      <c r="R948" s="68"/>
      <c r="S948" s="68"/>
      <c r="T948" s="68"/>
      <c r="U948" s="68"/>
      <c r="V948" s="68"/>
      <c r="W948" s="68"/>
      <c r="X948" s="68"/>
      <c r="Y948" s="68"/>
      <c r="Z948" s="68"/>
    </row>
    <row r="949">
      <c r="A949" s="68"/>
      <c r="B949" s="68"/>
      <c r="C949" s="68"/>
      <c r="D949" s="68"/>
      <c r="E949" s="68"/>
      <c r="F949" s="68"/>
      <c r="G949" s="68"/>
      <c r="H949" s="68"/>
      <c r="I949" s="68"/>
      <c r="J949" s="68"/>
      <c r="K949" s="68"/>
      <c r="L949" s="68"/>
      <c r="M949" s="68"/>
      <c r="N949" s="68"/>
      <c r="O949" s="68"/>
      <c r="P949" s="68"/>
      <c r="Q949" s="68"/>
      <c r="R949" s="68"/>
      <c r="S949" s="68"/>
      <c r="T949" s="68"/>
      <c r="U949" s="68"/>
      <c r="V949" s="68"/>
      <c r="W949" s="68"/>
      <c r="X949" s="68"/>
      <c r="Y949" s="68"/>
      <c r="Z949" s="68"/>
    </row>
    <row r="950">
      <c r="A950" s="68"/>
      <c r="B950" s="68"/>
      <c r="C950" s="68"/>
      <c r="D950" s="68"/>
      <c r="E950" s="68"/>
      <c r="F950" s="68"/>
      <c r="G950" s="68"/>
      <c r="H950" s="68"/>
      <c r="I950" s="68"/>
      <c r="J950" s="68"/>
      <c r="K950" s="68"/>
      <c r="L950" s="68"/>
      <c r="M950" s="68"/>
      <c r="N950" s="68"/>
      <c r="O950" s="68"/>
      <c r="P950" s="68"/>
      <c r="Q950" s="68"/>
      <c r="R950" s="68"/>
      <c r="S950" s="68"/>
      <c r="T950" s="68"/>
      <c r="U950" s="68"/>
      <c r="V950" s="68"/>
      <c r="W950" s="68"/>
      <c r="X950" s="68"/>
      <c r="Y950" s="68"/>
      <c r="Z950" s="68"/>
    </row>
    <row r="951">
      <c r="A951" s="68"/>
      <c r="B951" s="68"/>
      <c r="C951" s="68"/>
      <c r="D951" s="68"/>
      <c r="E951" s="68"/>
      <c r="F951" s="68"/>
      <c r="G951" s="68"/>
      <c r="H951" s="68"/>
      <c r="I951" s="68"/>
      <c r="J951" s="68"/>
      <c r="K951" s="68"/>
      <c r="L951" s="68"/>
      <c r="M951" s="68"/>
      <c r="N951" s="68"/>
      <c r="O951" s="68"/>
      <c r="P951" s="68"/>
      <c r="Q951" s="68"/>
      <c r="R951" s="68"/>
      <c r="S951" s="68"/>
      <c r="T951" s="68"/>
      <c r="U951" s="68"/>
      <c r="V951" s="68"/>
      <c r="W951" s="68"/>
      <c r="X951" s="68"/>
      <c r="Y951" s="68"/>
      <c r="Z951" s="68"/>
    </row>
    <row r="952">
      <c r="A952" s="68"/>
      <c r="B952" s="68"/>
      <c r="C952" s="68"/>
      <c r="D952" s="68"/>
      <c r="E952" s="68"/>
      <c r="F952" s="68"/>
      <c r="G952" s="68"/>
      <c r="H952" s="68"/>
      <c r="I952" s="68"/>
      <c r="J952" s="68"/>
      <c r="K952" s="68"/>
      <c r="L952" s="68"/>
      <c r="M952" s="68"/>
      <c r="N952" s="68"/>
      <c r="O952" s="68"/>
      <c r="P952" s="68"/>
      <c r="Q952" s="68"/>
      <c r="R952" s="68"/>
      <c r="S952" s="68"/>
      <c r="T952" s="68"/>
      <c r="U952" s="68"/>
      <c r="V952" s="68"/>
      <c r="W952" s="68"/>
      <c r="X952" s="68"/>
      <c r="Y952" s="68"/>
      <c r="Z952" s="68"/>
    </row>
    <row r="953">
      <c r="A953" s="68"/>
      <c r="B953" s="68"/>
      <c r="C953" s="68"/>
      <c r="D953" s="68"/>
      <c r="E953" s="68"/>
      <c r="F953" s="68"/>
      <c r="G953" s="68"/>
      <c r="H953" s="68"/>
      <c r="I953" s="68"/>
      <c r="J953" s="68"/>
      <c r="K953" s="68"/>
      <c r="L953" s="68"/>
      <c r="M953" s="68"/>
      <c r="N953" s="68"/>
      <c r="O953" s="68"/>
      <c r="P953" s="68"/>
      <c r="Q953" s="68"/>
      <c r="R953" s="68"/>
      <c r="S953" s="68"/>
      <c r="T953" s="68"/>
      <c r="U953" s="68"/>
      <c r="V953" s="68"/>
      <c r="W953" s="68"/>
      <c r="X953" s="68"/>
      <c r="Y953" s="68"/>
      <c r="Z953" s="68"/>
    </row>
    <row r="954">
      <c r="A954" s="68"/>
      <c r="B954" s="68"/>
      <c r="C954" s="68"/>
      <c r="D954" s="68"/>
      <c r="E954" s="68"/>
      <c r="F954" s="68"/>
      <c r="G954" s="68"/>
      <c r="H954" s="68"/>
      <c r="I954" s="68"/>
      <c r="J954" s="68"/>
      <c r="K954" s="68"/>
      <c r="L954" s="68"/>
      <c r="M954" s="68"/>
      <c r="N954" s="68"/>
      <c r="O954" s="68"/>
      <c r="P954" s="68"/>
      <c r="Q954" s="68"/>
      <c r="R954" s="68"/>
      <c r="S954" s="68"/>
      <c r="T954" s="68"/>
      <c r="U954" s="68"/>
      <c r="V954" s="68"/>
      <c r="W954" s="68"/>
      <c r="X954" s="68"/>
      <c r="Y954" s="68"/>
      <c r="Z954" s="68"/>
    </row>
    <row r="955">
      <c r="A955" s="68"/>
      <c r="B955" s="68"/>
      <c r="C955" s="68"/>
      <c r="D955" s="68"/>
      <c r="E955" s="68"/>
      <c r="F955" s="68"/>
      <c r="G955" s="68"/>
      <c r="H955" s="68"/>
      <c r="I955" s="68"/>
      <c r="J955" s="68"/>
      <c r="K955" s="68"/>
      <c r="L955" s="68"/>
      <c r="M955" s="68"/>
      <c r="N955" s="68"/>
      <c r="O955" s="68"/>
      <c r="P955" s="68"/>
      <c r="Q955" s="68"/>
      <c r="R955" s="68"/>
      <c r="S955" s="68"/>
      <c r="T955" s="68"/>
      <c r="U955" s="68"/>
      <c r="V955" s="68"/>
      <c r="W955" s="68"/>
      <c r="X955" s="68"/>
      <c r="Y955" s="68"/>
      <c r="Z955" s="68"/>
    </row>
    <row r="956">
      <c r="A956" s="68"/>
      <c r="B956" s="68"/>
      <c r="C956" s="68"/>
      <c r="D956" s="68"/>
      <c r="E956" s="68"/>
      <c r="F956" s="68"/>
      <c r="G956" s="68"/>
      <c r="H956" s="68"/>
      <c r="I956" s="68"/>
      <c r="J956" s="68"/>
      <c r="K956" s="68"/>
      <c r="L956" s="68"/>
      <c r="M956" s="68"/>
      <c r="N956" s="68"/>
      <c r="O956" s="68"/>
      <c r="P956" s="68"/>
      <c r="Q956" s="68"/>
      <c r="R956" s="68"/>
      <c r="S956" s="68"/>
      <c r="T956" s="68"/>
      <c r="U956" s="68"/>
      <c r="V956" s="68"/>
      <c r="W956" s="68"/>
      <c r="X956" s="68"/>
      <c r="Y956" s="68"/>
      <c r="Z956" s="68"/>
    </row>
    <row r="957">
      <c r="A957" s="68"/>
      <c r="B957" s="68"/>
      <c r="C957" s="68"/>
      <c r="D957" s="68"/>
      <c r="E957" s="68"/>
      <c r="F957" s="68"/>
      <c r="G957" s="68"/>
      <c r="H957" s="68"/>
      <c r="I957" s="68"/>
      <c r="J957" s="68"/>
      <c r="K957" s="68"/>
      <c r="L957" s="68"/>
      <c r="M957" s="68"/>
      <c r="N957" s="68"/>
      <c r="O957" s="68"/>
      <c r="P957" s="68"/>
      <c r="Q957" s="68"/>
      <c r="R957" s="68"/>
      <c r="S957" s="68"/>
      <c r="T957" s="68"/>
      <c r="U957" s="68"/>
      <c r="V957" s="68"/>
      <c r="W957" s="68"/>
      <c r="X957" s="68"/>
      <c r="Y957" s="68"/>
      <c r="Z957" s="68"/>
    </row>
    <row r="958">
      <c r="A958" s="68"/>
      <c r="B958" s="68"/>
      <c r="C958" s="68"/>
      <c r="D958" s="68"/>
      <c r="E958" s="68"/>
      <c r="F958" s="68"/>
      <c r="G958" s="68"/>
      <c r="H958" s="68"/>
      <c r="I958" s="68"/>
      <c r="J958" s="68"/>
      <c r="K958" s="68"/>
      <c r="L958" s="68"/>
      <c r="M958" s="68"/>
      <c r="N958" s="68"/>
      <c r="O958" s="68"/>
      <c r="P958" s="68"/>
      <c r="Q958" s="68"/>
      <c r="R958" s="68"/>
      <c r="S958" s="68"/>
      <c r="T958" s="68"/>
      <c r="U958" s="68"/>
      <c r="V958" s="68"/>
      <c r="W958" s="68"/>
      <c r="X958" s="68"/>
      <c r="Y958" s="68"/>
      <c r="Z958" s="68"/>
    </row>
    <row r="959">
      <c r="A959" s="68"/>
      <c r="B959" s="68"/>
      <c r="C959" s="68"/>
      <c r="D959" s="68"/>
      <c r="E959" s="68"/>
      <c r="F959" s="68"/>
      <c r="G959" s="68"/>
      <c r="H959" s="68"/>
      <c r="I959" s="68"/>
      <c r="J959" s="68"/>
      <c r="K959" s="68"/>
      <c r="L959" s="68"/>
      <c r="M959" s="68"/>
      <c r="N959" s="68"/>
      <c r="O959" s="68"/>
      <c r="P959" s="68"/>
      <c r="Q959" s="68"/>
      <c r="R959" s="68"/>
      <c r="S959" s="68"/>
      <c r="T959" s="68"/>
      <c r="U959" s="68"/>
      <c r="V959" s="68"/>
      <c r="W959" s="68"/>
      <c r="X959" s="68"/>
      <c r="Y959" s="68"/>
      <c r="Z959" s="68"/>
    </row>
    <row r="960">
      <c r="A960" s="68"/>
      <c r="B960" s="68"/>
      <c r="C960" s="68"/>
      <c r="D960" s="68"/>
      <c r="E960" s="68"/>
      <c r="F960" s="68"/>
      <c r="G960" s="68"/>
      <c r="H960" s="68"/>
      <c r="I960" s="68"/>
      <c r="J960" s="68"/>
      <c r="K960" s="68"/>
      <c r="L960" s="68"/>
      <c r="M960" s="68"/>
      <c r="N960" s="68"/>
      <c r="O960" s="68"/>
      <c r="P960" s="68"/>
      <c r="Q960" s="68"/>
      <c r="R960" s="68"/>
      <c r="S960" s="68"/>
      <c r="T960" s="68"/>
      <c r="U960" s="68"/>
      <c r="V960" s="68"/>
      <c r="W960" s="68"/>
      <c r="X960" s="68"/>
      <c r="Y960" s="68"/>
      <c r="Z960" s="68"/>
    </row>
    <row r="961">
      <c r="A961" s="68"/>
      <c r="B961" s="68"/>
      <c r="C961" s="68"/>
      <c r="D961" s="68"/>
      <c r="E961" s="68"/>
      <c r="F961" s="68"/>
      <c r="G961" s="68"/>
      <c r="H961" s="68"/>
      <c r="I961" s="68"/>
      <c r="J961" s="68"/>
      <c r="K961" s="68"/>
      <c r="L961" s="68"/>
      <c r="M961" s="68"/>
      <c r="N961" s="68"/>
      <c r="O961" s="68"/>
      <c r="P961" s="68"/>
      <c r="Q961" s="68"/>
      <c r="R961" s="68"/>
      <c r="S961" s="68"/>
      <c r="T961" s="68"/>
      <c r="U961" s="68"/>
      <c r="V961" s="68"/>
      <c r="W961" s="68"/>
      <c r="X961" s="68"/>
      <c r="Y961" s="68"/>
      <c r="Z961" s="68"/>
    </row>
    <row r="962">
      <c r="A962" s="68"/>
      <c r="B962" s="68"/>
      <c r="C962" s="68"/>
      <c r="D962" s="68"/>
      <c r="E962" s="68"/>
      <c r="F962" s="68"/>
      <c r="G962" s="68"/>
      <c r="H962" s="68"/>
      <c r="I962" s="68"/>
      <c r="J962" s="68"/>
      <c r="K962" s="68"/>
      <c r="L962" s="68"/>
      <c r="M962" s="68"/>
      <c r="N962" s="68"/>
      <c r="O962" s="68"/>
      <c r="P962" s="68"/>
      <c r="Q962" s="68"/>
      <c r="R962" s="68"/>
      <c r="S962" s="68"/>
      <c r="T962" s="68"/>
      <c r="U962" s="68"/>
      <c r="V962" s="68"/>
      <c r="W962" s="68"/>
      <c r="X962" s="68"/>
      <c r="Y962" s="68"/>
      <c r="Z962" s="68"/>
    </row>
    <row r="963">
      <c r="A963" s="68"/>
      <c r="B963" s="68"/>
      <c r="C963" s="68"/>
      <c r="D963" s="68"/>
      <c r="E963" s="68"/>
      <c r="F963" s="68"/>
      <c r="G963" s="68"/>
      <c r="H963" s="68"/>
      <c r="I963" s="68"/>
      <c r="J963" s="68"/>
      <c r="K963" s="68"/>
      <c r="L963" s="68"/>
      <c r="M963" s="68"/>
      <c r="N963" s="68"/>
      <c r="O963" s="68"/>
      <c r="P963" s="68"/>
      <c r="Q963" s="68"/>
      <c r="R963" s="68"/>
      <c r="S963" s="68"/>
      <c r="T963" s="68"/>
      <c r="U963" s="68"/>
      <c r="V963" s="68"/>
      <c r="W963" s="68"/>
      <c r="X963" s="68"/>
      <c r="Y963" s="68"/>
      <c r="Z963" s="68"/>
    </row>
    <row r="964">
      <c r="A964" s="68"/>
      <c r="B964" s="68"/>
      <c r="C964" s="68"/>
      <c r="D964" s="68"/>
      <c r="E964" s="68"/>
      <c r="F964" s="68"/>
      <c r="G964" s="68"/>
      <c r="H964" s="68"/>
      <c r="I964" s="68"/>
      <c r="J964" s="68"/>
      <c r="K964" s="68"/>
      <c r="L964" s="68"/>
      <c r="M964" s="68"/>
      <c r="N964" s="68"/>
      <c r="O964" s="68"/>
      <c r="P964" s="68"/>
      <c r="Q964" s="68"/>
      <c r="R964" s="68"/>
      <c r="S964" s="68"/>
      <c r="T964" s="68"/>
      <c r="U964" s="68"/>
      <c r="V964" s="68"/>
      <c r="W964" s="68"/>
      <c r="X964" s="68"/>
      <c r="Y964" s="68"/>
      <c r="Z964" s="68"/>
    </row>
    <row r="965">
      <c r="A965" s="68"/>
      <c r="B965" s="68"/>
      <c r="C965" s="68"/>
      <c r="D965" s="68"/>
      <c r="E965" s="68"/>
      <c r="F965" s="68"/>
      <c r="G965" s="68"/>
      <c r="H965" s="68"/>
      <c r="I965" s="68"/>
      <c r="J965" s="68"/>
      <c r="K965" s="68"/>
      <c r="L965" s="68"/>
      <c r="M965" s="68"/>
      <c r="N965" s="68"/>
      <c r="O965" s="68"/>
      <c r="P965" s="68"/>
      <c r="Q965" s="68"/>
      <c r="R965" s="68"/>
      <c r="S965" s="68"/>
      <c r="T965" s="68"/>
      <c r="U965" s="68"/>
      <c r="V965" s="68"/>
      <c r="W965" s="68"/>
      <c r="X965" s="68"/>
      <c r="Y965" s="68"/>
      <c r="Z965" s="68"/>
    </row>
    <row r="966">
      <c r="A966" s="68"/>
      <c r="B966" s="68"/>
      <c r="C966" s="68"/>
      <c r="D966" s="68"/>
      <c r="E966" s="68"/>
      <c r="F966" s="68"/>
      <c r="G966" s="68"/>
      <c r="H966" s="68"/>
      <c r="I966" s="68"/>
      <c r="J966" s="68"/>
      <c r="K966" s="68"/>
      <c r="L966" s="68"/>
      <c r="M966" s="68"/>
      <c r="N966" s="68"/>
      <c r="O966" s="68"/>
      <c r="P966" s="68"/>
      <c r="Q966" s="68"/>
      <c r="R966" s="68"/>
      <c r="S966" s="68"/>
      <c r="T966" s="68"/>
      <c r="U966" s="68"/>
      <c r="V966" s="68"/>
      <c r="W966" s="68"/>
      <c r="X966" s="68"/>
      <c r="Y966" s="68"/>
      <c r="Z966" s="68"/>
    </row>
    <row r="967">
      <c r="A967" s="68"/>
      <c r="B967" s="68"/>
      <c r="C967" s="68"/>
      <c r="D967" s="68"/>
      <c r="E967" s="68"/>
      <c r="F967" s="68"/>
      <c r="G967" s="68"/>
      <c r="H967" s="68"/>
      <c r="I967" s="68"/>
      <c r="J967" s="68"/>
      <c r="K967" s="68"/>
      <c r="L967" s="68"/>
      <c r="M967" s="68"/>
      <c r="N967" s="68"/>
      <c r="O967" s="68"/>
      <c r="P967" s="68"/>
      <c r="Q967" s="68"/>
      <c r="R967" s="68"/>
      <c r="S967" s="68"/>
      <c r="T967" s="68"/>
      <c r="U967" s="68"/>
      <c r="V967" s="68"/>
      <c r="W967" s="68"/>
      <c r="X967" s="68"/>
      <c r="Y967" s="68"/>
      <c r="Z967" s="68"/>
    </row>
    <row r="968">
      <c r="A968" s="68"/>
      <c r="B968" s="68"/>
      <c r="C968" s="68"/>
      <c r="D968" s="68"/>
      <c r="E968" s="68"/>
      <c r="F968" s="68"/>
      <c r="G968" s="68"/>
      <c r="H968" s="68"/>
      <c r="I968" s="68"/>
      <c r="J968" s="68"/>
      <c r="K968" s="68"/>
      <c r="L968" s="68"/>
      <c r="M968" s="68"/>
      <c r="N968" s="68"/>
      <c r="O968" s="68"/>
      <c r="P968" s="68"/>
      <c r="Q968" s="68"/>
      <c r="R968" s="68"/>
      <c r="S968" s="68"/>
      <c r="T968" s="68"/>
      <c r="U968" s="68"/>
      <c r="V968" s="68"/>
      <c r="W968" s="68"/>
      <c r="X968" s="68"/>
      <c r="Y968" s="68"/>
      <c r="Z968" s="68"/>
    </row>
    <row r="969">
      <c r="A969" s="68"/>
      <c r="B969" s="68"/>
      <c r="C969" s="68"/>
      <c r="D969" s="68"/>
      <c r="E969" s="68"/>
      <c r="F969" s="68"/>
      <c r="G969" s="68"/>
      <c r="H969" s="68"/>
      <c r="I969" s="68"/>
      <c r="J969" s="68"/>
      <c r="K969" s="68"/>
      <c r="L969" s="68"/>
      <c r="M969" s="68"/>
      <c r="N969" s="68"/>
      <c r="O969" s="68"/>
      <c r="P969" s="68"/>
      <c r="Q969" s="68"/>
      <c r="R969" s="68"/>
      <c r="S969" s="68"/>
      <c r="T969" s="68"/>
      <c r="U969" s="68"/>
      <c r="V969" s="68"/>
      <c r="W969" s="68"/>
      <c r="X969" s="68"/>
      <c r="Y969" s="68"/>
      <c r="Z969" s="68"/>
    </row>
    <row r="970">
      <c r="A970" s="68"/>
      <c r="B970" s="68"/>
      <c r="C970" s="68"/>
      <c r="D970" s="68"/>
      <c r="E970" s="68"/>
      <c r="F970" s="68"/>
      <c r="G970" s="68"/>
      <c r="H970" s="68"/>
      <c r="I970" s="68"/>
      <c r="J970" s="68"/>
      <c r="K970" s="68"/>
      <c r="L970" s="68"/>
      <c r="M970" s="68"/>
      <c r="N970" s="68"/>
      <c r="O970" s="68"/>
      <c r="P970" s="68"/>
      <c r="Q970" s="68"/>
      <c r="R970" s="68"/>
      <c r="S970" s="68"/>
      <c r="T970" s="68"/>
      <c r="U970" s="68"/>
      <c r="V970" s="68"/>
      <c r="W970" s="68"/>
      <c r="X970" s="68"/>
      <c r="Y970" s="68"/>
      <c r="Z970" s="68"/>
    </row>
    <row r="971">
      <c r="A971" s="68"/>
      <c r="B971" s="68"/>
      <c r="C971" s="68"/>
      <c r="D971" s="68"/>
      <c r="E971" s="68"/>
      <c r="F971" s="68"/>
      <c r="G971" s="68"/>
      <c r="H971" s="68"/>
      <c r="I971" s="68"/>
      <c r="J971" s="68"/>
      <c r="K971" s="68"/>
      <c r="L971" s="68"/>
      <c r="M971" s="68"/>
      <c r="N971" s="68"/>
      <c r="O971" s="68"/>
      <c r="P971" s="68"/>
      <c r="Q971" s="68"/>
      <c r="R971" s="68"/>
      <c r="S971" s="68"/>
      <c r="T971" s="68"/>
      <c r="U971" s="68"/>
      <c r="V971" s="68"/>
      <c r="W971" s="68"/>
      <c r="X971" s="68"/>
      <c r="Y971" s="68"/>
      <c r="Z971" s="68"/>
    </row>
    <row r="972">
      <c r="A972" s="68"/>
      <c r="B972" s="68"/>
      <c r="C972" s="68"/>
      <c r="D972" s="68"/>
      <c r="E972" s="68"/>
      <c r="F972" s="68"/>
      <c r="G972" s="68"/>
      <c r="H972" s="68"/>
      <c r="I972" s="68"/>
      <c r="J972" s="68"/>
      <c r="K972" s="68"/>
      <c r="L972" s="68"/>
      <c r="M972" s="68"/>
      <c r="N972" s="68"/>
      <c r="O972" s="68"/>
      <c r="P972" s="68"/>
      <c r="Q972" s="68"/>
      <c r="R972" s="68"/>
      <c r="S972" s="68"/>
      <c r="T972" s="68"/>
      <c r="U972" s="68"/>
      <c r="V972" s="68"/>
      <c r="W972" s="68"/>
      <c r="X972" s="68"/>
      <c r="Y972" s="68"/>
      <c r="Z972" s="68"/>
    </row>
    <row r="973">
      <c r="A973" s="68"/>
      <c r="B973" s="68"/>
      <c r="C973" s="68"/>
      <c r="D973" s="68"/>
      <c r="E973" s="68"/>
      <c r="F973" s="68"/>
      <c r="G973" s="68"/>
      <c r="H973" s="68"/>
      <c r="I973" s="68"/>
      <c r="J973" s="68"/>
      <c r="K973" s="68"/>
      <c r="L973" s="68"/>
      <c r="M973" s="68"/>
      <c r="N973" s="68"/>
      <c r="O973" s="68"/>
      <c r="P973" s="68"/>
      <c r="Q973" s="68"/>
      <c r="R973" s="68"/>
      <c r="S973" s="68"/>
      <c r="T973" s="68"/>
      <c r="U973" s="68"/>
      <c r="V973" s="68"/>
      <c r="W973" s="68"/>
      <c r="X973" s="68"/>
      <c r="Y973" s="68"/>
      <c r="Z973" s="68"/>
    </row>
    <row r="974">
      <c r="A974" s="68"/>
      <c r="B974" s="68"/>
      <c r="C974" s="68"/>
      <c r="D974" s="68"/>
      <c r="E974" s="68"/>
      <c r="F974" s="68"/>
      <c r="G974" s="68"/>
      <c r="H974" s="68"/>
      <c r="I974" s="68"/>
      <c r="J974" s="68"/>
      <c r="K974" s="68"/>
      <c r="L974" s="68"/>
      <c r="M974" s="68"/>
      <c r="N974" s="68"/>
      <c r="O974" s="68"/>
      <c r="P974" s="68"/>
      <c r="Q974" s="68"/>
      <c r="R974" s="68"/>
      <c r="S974" s="68"/>
      <c r="T974" s="68"/>
      <c r="U974" s="68"/>
      <c r="V974" s="68"/>
      <c r="W974" s="68"/>
      <c r="X974" s="68"/>
      <c r="Y974" s="68"/>
      <c r="Z974" s="68"/>
    </row>
    <row r="975">
      <c r="A975" s="68"/>
      <c r="B975" s="68"/>
      <c r="C975" s="68"/>
      <c r="D975" s="68"/>
      <c r="E975" s="68"/>
      <c r="F975" s="68"/>
      <c r="G975" s="68"/>
      <c r="H975" s="68"/>
      <c r="I975" s="68"/>
      <c r="J975" s="68"/>
      <c r="K975" s="68"/>
      <c r="L975" s="68"/>
      <c r="M975" s="68"/>
      <c r="N975" s="68"/>
      <c r="O975" s="68"/>
      <c r="P975" s="68"/>
      <c r="Q975" s="68"/>
      <c r="R975" s="68"/>
      <c r="S975" s="68"/>
      <c r="T975" s="68"/>
      <c r="U975" s="68"/>
      <c r="V975" s="68"/>
      <c r="W975" s="68"/>
      <c r="X975" s="68"/>
      <c r="Y975" s="68"/>
      <c r="Z975" s="68"/>
    </row>
    <row r="976">
      <c r="A976" s="68"/>
      <c r="B976" s="68"/>
      <c r="C976" s="68"/>
      <c r="D976" s="68"/>
      <c r="E976" s="68"/>
      <c r="F976" s="68"/>
      <c r="G976" s="68"/>
      <c r="H976" s="68"/>
      <c r="I976" s="68"/>
      <c r="J976" s="68"/>
      <c r="K976" s="68"/>
      <c r="L976" s="68"/>
      <c r="M976" s="68"/>
      <c r="N976" s="68"/>
      <c r="O976" s="68"/>
      <c r="P976" s="68"/>
      <c r="Q976" s="68"/>
      <c r="R976" s="68"/>
      <c r="S976" s="68"/>
      <c r="T976" s="68"/>
      <c r="U976" s="68"/>
      <c r="V976" s="68"/>
      <c r="W976" s="68"/>
      <c r="X976" s="68"/>
      <c r="Y976" s="68"/>
      <c r="Z976" s="68"/>
    </row>
    <row r="977">
      <c r="A977" s="68"/>
      <c r="B977" s="68"/>
      <c r="C977" s="68"/>
      <c r="D977" s="68"/>
      <c r="E977" s="68"/>
      <c r="F977" s="68"/>
      <c r="G977" s="68"/>
      <c r="H977" s="68"/>
      <c r="I977" s="68"/>
      <c r="J977" s="68"/>
      <c r="K977" s="68"/>
      <c r="L977" s="68"/>
      <c r="M977" s="68"/>
      <c r="N977" s="68"/>
      <c r="O977" s="68"/>
      <c r="P977" s="68"/>
      <c r="Q977" s="68"/>
      <c r="R977" s="68"/>
      <c r="S977" s="68"/>
      <c r="T977" s="68"/>
      <c r="U977" s="68"/>
      <c r="V977" s="68"/>
      <c r="W977" s="68"/>
      <c r="X977" s="68"/>
      <c r="Y977" s="68"/>
      <c r="Z977" s="68"/>
    </row>
    <row r="978">
      <c r="A978" s="68"/>
      <c r="B978" s="68"/>
      <c r="C978" s="68"/>
      <c r="D978" s="68"/>
      <c r="E978" s="68"/>
      <c r="F978" s="68"/>
      <c r="G978" s="68"/>
      <c r="H978" s="68"/>
      <c r="I978" s="68"/>
      <c r="J978" s="68"/>
      <c r="K978" s="68"/>
      <c r="L978" s="68"/>
      <c r="M978" s="68"/>
      <c r="N978" s="68"/>
      <c r="O978" s="68"/>
      <c r="P978" s="68"/>
      <c r="Q978" s="68"/>
      <c r="R978" s="68"/>
      <c r="S978" s="68"/>
      <c r="T978" s="68"/>
      <c r="U978" s="68"/>
      <c r="V978" s="68"/>
      <c r="W978" s="68"/>
      <c r="X978" s="68"/>
      <c r="Y978" s="68"/>
      <c r="Z978" s="68"/>
    </row>
    <row r="979">
      <c r="A979" s="68"/>
      <c r="B979" s="68"/>
      <c r="C979" s="68"/>
      <c r="D979" s="68"/>
      <c r="E979" s="68"/>
      <c r="F979" s="68"/>
      <c r="G979" s="68"/>
      <c r="H979" s="68"/>
      <c r="I979" s="68"/>
      <c r="J979" s="68"/>
      <c r="K979" s="68"/>
      <c r="L979" s="68"/>
      <c r="M979" s="68"/>
      <c r="N979" s="68"/>
      <c r="O979" s="68"/>
      <c r="P979" s="68"/>
      <c r="Q979" s="68"/>
      <c r="R979" s="68"/>
      <c r="S979" s="68"/>
      <c r="T979" s="68"/>
      <c r="U979" s="68"/>
      <c r="V979" s="68"/>
      <c r="W979" s="68"/>
      <c r="X979" s="68"/>
      <c r="Y979" s="68"/>
      <c r="Z979" s="68"/>
    </row>
    <row r="980">
      <c r="A980" s="68"/>
      <c r="B980" s="68"/>
      <c r="C980" s="68"/>
      <c r="D980" s="68"/>
      <c r="E980" s="68"/>
      <c r="F980" s="68"/>
      <c r="G980" s="68"/>
      <c r="H980" s="68"/>
      <c r="I980" s="68"/>
      <c r="J980" s="68"/>
      <c r="K980" s="68"/>
      <c r="L980" s="68"/>
      <c r="M980" s="68"/>
      <c r="N980" s="68"/>
      <c r="O980" s="68"/>
      <c r="P980" s="68"/>
      <c r="Q980" s="68"/>
      <c r="R980" s="68"/>
      <c r="S980" s="68"/>
      <c r="T980" s="68"/>
      <c r="U980" s="68"/>
      <c r="V980" s="68"/>
      <c r="W980" s="68"/>
      <c r="X980" s="68"/>
      <c r="Y980" s="68"/>
      <c r="Z980" s="68"/>
    </row>
  </sheetData>
  <dataValidations>
    <dataValidation type="list" allowBlank="1" sqref="C10:C15 C17:C19 C23 C25:C32">
      <formula1>"Family Office,Fund of Funds,Multi-family Office,Government,Pension Fund,Insurance,Bank,Charitable Organization,Endowment,Utility Provider,Technology,Religious,Asset Manager,Union,Property Investment,Corporate,Angel,Incubator,HNWI,Other"</formula1>
    </dataValidation>
    <dataValidation type="list" allowBlank="1" showErrorMessage="1" sqref="F11:F32">
      <formula1>"China,Hong Kong"</formula1>
    </dataValidation>
    <dataValidation type="list" allowBlank="1" sqref="C16">
      <formula1>"Family Office,Fund of Funds,Multi-family Office,Government,Pension Fund,Insurance,Bank,Charitable Organization,Endowment,Utility Provider,Technology,Religious,Asset Manager,Union,Property Investment,Corporate,Angel,Incubator,HNWI,Other,Investment Firm"</formula1>
    </dataValidation>
    <dataValidation type="list" allowBlank="1" showErrorMessage="1" sqref="F10">
      <formula1>"Hong Kong,China"</formula1>
    </dataValidation>
    <dataValidation type="list" allowBlank="1" showErrorMessage="1" sqref="G10:G32">
      <formula1>"Website,Private data provider,Public data provider,Internal data,LinkedIn,News article,Portfolio,Data manager judgement"</formula1>
    </dataValidation>
    <dataValidation type="list" allowBlank="1" showErrorMessage="1" sqref="C7">
      <formula1>"Green,Yellow,Red"</formula1>
    </dataValidation>
    <dataValidation type="list" allowBlank="1" showErrorMessage="1" sqref="V10:V26 I10:I32">
      <formula1>"Under review,Validated,Declined"</formula1>
    </dataValidation>
    <dataValidation type="list" allowBlank="1" showErrorMessage="1" sqref="J10:J32">
      <formula1>"Approved - Campaign,Approved - Don't campaign,Rejected - Seems to conflict with what I outlined in the IIP,Rejected - Blacklist"</formula1>
    </dataValidation>
    <dataValidation type="list" allowBlank="1" showErrorMessage="1" sqref="E10:E32">
      <formula1>"China"</formula1>
    </dataValidation>
    <dataValidation type="list" allowBlank="1" showErrorMessage="1" sqref="W10:W26">
      <formula1>"No response,Response - positive,Response - meeting scheduled,Response - not interested"</formula1>
    </dataValidation>
    <dataValidation type="list" allowBlank="1" sqref="C20:C22 C24">
      <formula1>"Family Office,Fund of Funds,Multi-family Office,Government,Pension Fund,Insurance,Bank,Charitable Organization,Endowment,Utility Provider,Technology,Religious,Asset Manager,Union,Property Investment,Corporate,Angel,Incubator,HNWI,Other,Investment Firm"</formula1>
    </dataValidation>
  </dataValidations>
  <hyperlinks>
    <hyperlink r:id="rId1" ref="D10"/>
    <hyperlink r:id="rId2" ref="H10"/>
    <hyperlink r:id="rId3" ref="S10"/>
    <hyperlink r:id="rId4" ref="D11"/>
    <hyperlink r:id="rId5" ref="H11"/>
    <hyperlink r:id="rId6" ref="S11"/>
    <hyperlink r:id="rId7" ref="D12"/>
    <hyperlink r:id="rId8" ref="H12"/>
    <hyperlink r:id="rId9" ref="S12"/>
    <hyperlink r:id="rId10" ref="D13"/>
    <hyperlink r:id="rId11" ref="H13"/>
    <hyperlink r:id="rId12" ref="S13"/>
    <hyperlink r:id="rId13" ref="D14"/>
    <hyperlink r:id="rId14" ref="H14"/>
    <hyperlink r:id="rId15" ref="S14"/>
    <hyperlink r:id="rId16" ref="D15"/>
    <hyperlink r:id="rId17" ref="H15"/>
    <hyperlink r:id="rId18" ref="S15"/>
    <hyperlink r:id="rId19" ref="D16"/>
    <hyperlink r:id="rId20" ref="H16"/>
    <hyperlink r:id="rId21" ref="S16"/>
    <hyperlink r:id="rId22" ref="D17"/>
    <hyperlink r:id="rId23" ref="H17"/>
    <hyperlink r:id="rId24" ref="S17"/>
    <hyperlink r:id="rId25" ref="D18"/>
    <hyperlink r:id="rId26" ref="H18"/>
    <hyperlink r:id="rId27" ref="S18"/>
    <hyperlink r:id="rId28" ref="D19"/>
    <hyperlink r:id="rId29" ref="H19"/>
    <hyperlink r:id="rId30" ref="S19"/>
    <hyperlink r:id="rId31" ref="D20"/>
    <hyperlink r:id="rId32" ref="H20"/>
    <hyperlink r:id="rId33" ref="S20"/>
    <hyperlink r:id="rId34" location="/index" ref="D21"/>
    <hyperlink r:id="rId35" location="/index" ref="H21"/>
    <hyperlink r:id="rId36" ref="S21"/>
    <hyperlink r:id="rId37" ref="D22"/>
    <hyperlink r:id="rId38" ref="H22"/>
    <hyperlink r:id="rId39" ref="S22"/>
    <hyperlink r:id="rId40" ref="D23"/>
    <hyperlink r:id="rId41" ref="H23"/>
    <hyperlink r:id="rId42" ref="S23"/>
    <hyperlink r:id="rId43" ref="D24"/>
    <hyperlink r:id="rId44" ref="H24"/>
    <hyperlink r:id="rId45" ref="S24"/>
    <hyperlink r:id="rId46" ref="D25"/>
    <hyperlink r:id="rId47" ref="H25"/>
    <hyperlink r:id="rId48" ref="S25"/>
    <hyperlink r:id="rId49" ref="D26"/>
    <hyperlink r:id="rId50" ref="H26"/>
    <hyperlink r:id="rId51" ref="S26"/>
    <hyperlink r:id="rId52" location="top" ref="D27"/>
    <hyperlink r:id="rId53" location="top" ref="H27"/>
    <hyperlink r:id="rId54" ref="D28"/>
    <hyperlink r:id="rId55" ref="H28"/>
    <hyperlink r:id="rId56" ref="D29"/>
    <hyperlink r:id="rId57" ref="H29"/>
    <hyperlink r:id="rId58" ref="D30"/>
    <hyperlink r:id="rId59" ref="H30"/>
    <hyperlink r:id="rId60" ref="D31"/>
    <hyperlink r:id="rId61" ref="H31"/>
    <hyperlink r:id="rId62" ref="D32"/>
    <hyperlink r:id="rId63" ref="H32"/>
  </hyperlinks>
  <drawing r:id="rId64"/>
  <tableParts count="3">
    <tablePart r:id="rId68"/>
    <tablePart r:id="rId69"/>
    <tablePart r:id="rId70"/>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38"/>
    <col customWidth="1" min="4" max="4" width="15.63"/>
    <col customWidth="1" min="5" max="5" width="14.25"/>
    <col customWidth="1" min="8" max="8" width="48.25"/>
  </cols>
  <sheetData>
    <row r="1">
      <c r="A1" s="311"/>
      <c r="B1" s="68"/>
      <c r="C1" s="68"/>
      <c r="D1" s="68"/>
      <c r="E1" s="68"/>
      <c r="F1" s="68"/>
      <c r="G1" s="68"/>
      <c r="H1" s="68"/>
      <c r="I1" s="68"/>
      <c r="J1" s="68"/>
      <c r="K1" s="68"/>
      <c r="L1" s="68"/>
      <c r="M1" s="68"/>
      <c r="N1" s="68"/>
      <c r="O1" s="68"/>
      <c r="P1" s="68"/>
      <c r="Q1" s="68"/>
      <c r="R1" s="68"/>
      <c r="S1" s="68"/>
      <c r="T1" s="68"/>
      <c r="U1" s="68"/>
      <c r="V1" s="68"/>
      <c r="W1" s="68"/>
      <c r="X1" s="68"/>
      <c r="Y1" s="68"/>
      <c r="Z1" s="68"/>
    </row>
    <row r="2">
      <c r="A2" s="68"/>
      <c r="B2" s="68"/>
      <c r="C2" s="68"/>
      <c r="D2" s="68"/>
      <c r="E2" s="68"/>
      <c r="F2" s="68"/>
      <c r="G2" s="68"/>
      <c r="H2" s="68"/>
      <c r="I2" s="68"/>
      <c r="J2" s="68"/>
      <c r="K2" s="68"/>
      <c r="L2" s="68"/>
      <c r="M2" s="68"/>
      <c r="N2" s="68"/>
      <c r="O2" s="68"/>
      <c r="P2" s="68"/>
      <c r="Q2" s="68"/>
      <c r="R2" s="68"/>
      <c r="S2" s="68"/>
      <c r="T2" s="68"/>
      <c r="U2" s="68"/>
      <c r="V2" s="68"/>
      <c r="W2" s="68"/>
      <c r="X2" s="68"/>
      <c r="Y2" s="68"/>
      <c r="Z2" s="68"/>
    </row>
    <row r="3">
      <c r="A3" s="68"/>
      <c r="B3" s="68" t="s">
        <v>108</v>
      </c>
      <c r="C3" s="344">
        <v>1.0</v>
      </c>
      <c r="D3" s="68"/>
      <c r="E3" s="68"/>
      <c r="F3" s="68"/>
      <c r="G3" s="68"/>
      <c r="H3" s="68"/>
      <c r="I3" s="68"/>
      <c r="J3" s="68"/>
      <c r="K3" s="68"/>
      <c r="L3" s="68"/>
      <c r="M3" s="68"/>
      <c r="N3" s="68"/>
      <c r="O3" s="68"/>
      <c r="P3" s="68"/>
      <c r="Q3" s="68"/>
      <c r="R3" s="68"/>
      <c r="S3" s="68"/>
      <c r="T3" s="68"/>
      <c r="U3" s="68"/>
      <c r="V3" s="68"/>
      <c r="W3" s="68"/>
      <c r="X3" s="68"/>
      <c r="Y3" s="68"/>
      <c r="Z3" s="68"/>
    </row>
    <row r="4">
      <c r="A4" s="68"/>
      <c r="B4" s="68" t="s">
        <v>109</v>
      </c>
      <c r="C4" s="313">
        <f>CountA(B10:B997)</f>
        <v>16</v>
      </c>
      <c r="D4" s="68"/>
      <c r="E4" s="68"/>
      <c r="F4" s="68"/>
      <c r="G4" s="68"/>
      <c r="H4" s="68"/>
      <c r="I4" s="68"/>
      <c r="J4" s="68"/>
      <c r="K4" s="68"/>
      <c r="L4" s="68"/>
      <c r="M4" s="68"/>
      <c r="N4" s="68"/>
      <c r="O4" s="68"/>
      <c r="P4" s="68"/>
      <c r="Q4" s="68"/>
      <c r="R4" s="68"/>
      <c r="S4" s="68"/>
      <c r="T4" s="68"/>
      <c r="U4" s="68"/>
      <c r="V4" s="68"/>
      <c r="W4" s="68"/>
      <c r="X4" s="68"/>
      <c r="Y4" s="68"/>
      <c r="Z4" s="68"/>
    </row>
    <row r="5">
      <c r="A5" s="68"/>
      <c r="B5" s="68" t="s">
        <v>110</v>
      </c>
      <c r="C5" s="313">
        <f>SUM(COUNTIF(J10:J997, "Rejected - Blacklist"),COUNTIF(J10:J997, "Rejected - Seems to conflict with what I outlined in the IIP"))</f>
        <v>2</v>
      </c>
      <c r="D5" s="68"/>
      <c r="E5" s="68"/>
      <c r="F5" s="68"/>
      <c r="G5" s="68"/>
      <c r="H5" s="68"/>
      <c r="I5" s="68"/>
      <c r="J5" s="68"/>
      <c r="K5" s="68"/>
      <c r="L5" s="68"/>
      <c r="M5" s="68"/>
      <c r="N5" s="68"/>
      <c r="O5" s="68"/>
      <c r="P5" s="68"/>
      <c r="Q5" s="68"/>
      <c r="R5" s="68"/>
      <c r="S5" s="68"/>
      <c r="T5" s="68"/>
      <c r="U5" s="68"/>
      <c r="V5" s="68"/>
      <c r="W5" s="68"/>
      <c r="X5" s="68"/>
      <c r="Y5" s="68"/>
      <c r="Z5" s="68"/>
    </row>
    <row r="6">
      <c r="A6" s="68"/>
      <c r="B6" s="68" t="s">
        <v>111</v>
      </c>
      <c r="C6" s="314">
        <f>C5/C4</f>
        <v>0.125</v>
      </c>
      <c r="D6" s="68"/>
      <c r="E6" s="68"/>
      <c r="F6" s="68"/>
      <c r="G6" s="68"/>
      <c r="H6" s="68"/>
      <c r="I6" s="68"/>
      <c r="J6" s="68"/>
      <c r="K6" s="68"/>
      <c r="L6" s="68"/>
      <c r="M6" s="68"/>
      <c r="N6" s="68"/>
      <c r="O6" s="68"/>
      <c r="P6" s="68"/>
      <c r="Q6" s="68"/>
      <c r="R6" s="68"/>
      <c r="S6" s="68"/>
      <c r="T6" s="68"/>
      <c r="U6" s="68"/>
      <c r="V6" s="68"/>
      <c r="W6" s="68"/>
      <c r="X6" s="68"/>
      <c r="Y6" s="68"/>
      <c r="Z6" s="68"/>
    </row>
    <row r="7">
      <c r="A7" s="68"/>
      <c r="B7" s="68" t="s">
        <v>112</v>
      </c>
      <c r="C7" s="315" t="s">
        <v>2801</v>
      </c>
      <c r="D7" s="68"/>
      <c r="E7" s="68"/>
      <c r="F7" s="68"/>
      <c r="G7" s="68"/>
      <c r="H7" s="316"/>
      <c r="I7" s="68"/>
      <c r="J7" s="68"/>
      <c r="K7" s="68"/>
      <c r="L7" s="68"/>
      <c r="M7" s="68"/>
      <c r="N7" s="68"/>
      <c r="O7" s="68"/>
      <c r="P7" s="68"/>
      <c r="Q7" s="68"/>
      <c r="R7" s="68"/>
      <c r="S7" s="68"/>
      <c r="T7" s="68"/>
      <c r="U7" s="68"/>
      <c r="V7" s="68"/>
      <c r="W7" s="68"/>
      <c r="X7" s="68"/>
      <c r="Y7" s="68"/>
      <c r="Z7" s="68"/>
    </row>
    <row r="8">
      <c r="A8" s="68"/>
      <c r="B8" s="68"/>
      <c r="C8" s="68"/>
      <c r="D8" s="68"/>
      <c r="E8" s="68"/>
      <c r="F8" s="68"/>
      <c r="G8" s="68"/>
      <c r="H8" s="68"/>
      <c r="I8" s="68"/>
      <c r="J8" s="68"/>
      <c r="K8" s="68"/>
      <c r="L8" s="68"/>
      <c r="M8" s="68"/>
      <c r="N8" s="68"/>
      <c r="O8" s="68"/>
      <c r="P8" s="68"/>
      <c r="Q8" s="68"/>
      <c r="R8" s="68"/>
      <c r="S8" s="68"/>
      <c r="T8" s="68"/>
      <c r="U8" s="68"/>
      <c r="V8" s="68"/>
      <c r="W8" s="68"/>
      <c r="X8" s="68"/>
      <c r="Y8" s="68"/>
      <c r="Z8" s="68"/>
    </row>
    <row r="9">
      <c r="A9" s="80" t="s">
        <v>123</v>
      </c>
      <c r="B9" s="80" t="s">
        <v>57</v>
      </c>
      <c r="C9" s="80" t="s">
        <v>59</v>
      </c>
      <c r="D9" s="80" t="s">
        <v>124</v>
      </c>
      <c r="E9" s="317" t="s">
        <v>125</v>
      </c>
      <c r="F9" s="317" t="s">
        <v>2802</v>
      </c>
      <c r="G9" s="318" t="s">
        <v>126</v>
      </c>
      <c r="H9" s="318" t="s">
        <v>127</v>
      </c>
      <c r="I9" s="80" t="s">
        <v>128</v>
      </c>
      <c r="J9" s="80" t="s">
        <v>129</v>
      </c>
      <c r="K9" s="80" t="s">
        <v>130</v>
      </c>
      <c r="L9" s="80" t="s">
        <v>131</v>
      </c>
      <c r="M9" s="317" t="s">
        <v>58</v>
      </c>
      <c r="N9" s="80" t="s">
        <v>132</v>
      </c>
      <c r="O9" s="80" t="s">
        <v>133</v>
      </c>
      <c r="P9" s="80" t="s">
        <v>134</v>
      </c>
      <c r="Q9" s="80" t="s">
        <v>135</v>
      </c>
      <c r="R9" s="80" t="s">
        <v>136</v>
      </c>
      <c r="S9" s="80" t="s">
        <v>137</v>
      </c>
      <c r="T9" s="319" t="s">
        <v>138</v>
      </c>
      <c r="U9" s="317" t="s">
        <v>139</v>
      </c>
      <c r="V9" s="80" t="s">
        <v>140</v>
      </c>
      <c r="W9" s="80" t="s">
        <v>141</v>
      </c>
      <c r="X9" s="80" t="s">
        <v>142</v>
      </c>
      <c r="Y9" s="80" t="s">
        <v>143</v>
      </c>
      <c r="Z9" s="68"/>
    </row>
    <row r="10">
      <c r="A10" s="100">
        <v>1.0</v>
      </c>
      <c r="B10" s="252" t="s">
        <v>2945</v>
      </c>
      <c r="C10" s="106" t="s">
        <v>257</v>
      </c>
      <c r="D10" s="345" t="s">
        <v>2946</v>
      </c>
      <c r="E10" s="122" t="s">
        <v>351</v>
      </c>
      <c r="F10" s="223" t="s">
        <v>2947</v>
      </c>
      <c r="G10" s="223" t="s">
        <v>259</v>
      </c>
      <c r="H10" s="346" t="s">
        <v>2948</v>
      </c>
      <c r="I10" s="347" t="s">
        <v>149</v>
      </c>
      <c r="J10" s="347" t="s">
        <v>165</v>
      </c>
      <c r="K10" s="96"/>
      <c r="L10" s="96"/>
      <c r="M10" s="96"/>
      <c r="N10" s="106" t="s">
        <v>257</v>
      </c>
      <c r="O10" s="123" t="s">
        <v>2945</v>
      </c>
      <c r="P10" s="299" t="s">
        <v>712</v>
      </c>
      <c r="Q10" s="299" t="s">
        <v>2949</v>
      </c>
      <c r="R10" s="108" t="s">
        <v>2950</v>
      </c>
      <c r="S10" s="337" t="s">
        <v>2946</v>
      </c>
      <c r="T10" s="324"/>
      <c r="U10" s="96"/>
      <c r="V10" s="96"/>
      <c r="W10" s="96"/>
      <c r="X10" s="96"/>
      <c r="Y10" s="96"/>
      <c r="Z10" s="68"/>
    </row>
    <row r="11">
      <c r="A11" s="100">
        <v>2.0</v>
      </c>
      <c r="B11" s="336" t="s">
        <v>2951</v>
      </c>
      <c r="C11" s="106" t="s">
        <v>257</v>
      </c>
      <c r="D11" s="128" t="s">
        <v>2952</v>
      </c>
      <c r="E11" s="122" t="s">
        <v>351</v>
      </c>
      <c r="F11" s="223" t="s">
        <v>2947</v>
      </c>
      <c r="G11" s="322" t="s">
        <v>259</v>
      </c>
      <c r="H11" s="348" t="s">
        <v>2953</v>
      </c>
      <c r="I11" s="347" t="s">
        <v>149</v>
      </c>
      <c r="J11" s="347" t="s">
        <v>165</v>
      </c>
      <c r="K11" s="96"/>
      <c r="L11" s="96"/>
      <c r="M11" s="96"/>
      <c r="N11" s="106" t="s">
        <v>257</v>
      </c>
      <c r="O11" s="123" t="s">
        <v>2951</v>
      </c>
      <c r="P11" s="108" t="str">
        <f>IFERROR(__xludf.DUMMYFUNCTION("IFERROR(REGEXEXTRACT(TRIM(O11),""^\S+""),"""")
"),"Parvin")</f>
        <v>Parvin</v>
      </c>
      <c r="Q11" s="108" t="str">
        <f>IFERROR(__xludf.DUMMYFUNCTION("IFERROR(TRIM(REGEXREPLACE(TRIM(O11),""^\S+\s*"","""")),"""")
"),"Mammadov")</f>
        <v>Mammadov</v>
      </c>
      <c r="R11" s="108" t="s">
        <v>2954</v>
      </c>
      <c r="S11" s="120" t="s">
        <v>2952</v>
      </c>
      <c r="T11" s="324"/>
      <c r="U11" s="96"/>
      <c r="V11" s="96"/>
      <c r="W11" s="96"/>
      <c r="X11" s="96"/>
      <c r="Y11" s="96"/>
      <c r="Z11" s="68"/>
    </row>
    <row r="12">
      <c r="A12" s="100">
        <v>3.0</v>
      </c>
      <c r="B12" s="349" t="s">
        <v>2955</v>
      </c>
      <c r="C12" s="350" t="s">
        <v>257</v>
      </c>
      <c r="D12" s="351" t="s">
        <v>2956</v>
      </c>
      <c r="E12" s="223" t="s">
        <v>351</v>
      </c>
      <c r="F12" s="223" t="s">
        <v>2947</v>
      </c>
      <c r="G12" s="322" t="s">
        <v>259</v>
      </c>
      <c r="H12" s="91" t="s">
        <v>2957</v>
      </c>
      <c r="I12" s="347" t="s">
        <v>149</v>
      </c>
      <c r="J12" s="347" t="s">
        <v>165</v>
      </c>
      <c r="K12" s="96"/>
      <c r="L12" s="96"/>
      <c r="M12" s="96"/>
      <c r="N12" s="106" t="s">
        <v>257</v>
      </c>
      <c r="O12" s="292" t="s">
        <v>2955</v>
      </c>
      <c r="P12" s="192" t="s">
        <v>2280</v>
      </c>
      <c r="Q12" s="192" t="s">
        <v>2958</v>
      </c>
      <c r="R12" s="352" t="s">
        <v>2959</v>
      </c>
      <c r="S12" s="329" t="s">
        <v>2956</v>
      </c>
      <c r="T12" s="324"/>
      <c r="U12" s="96"/>
      <c r="V12" s="96"/>
      <c r="W12" s="96"/>
      <c r="X12" s="96"/>
      <c r="Y12" s="96"/>
      <c r="Z12" s="68"/>
    </row>
    <row r="13">
      <c r="A13" s="100">
        <v>4.0</v>
      </c>
      <c r="B13" s="349" t="s">
        <v>2960</v>
      </c>
      <c r="C13" s="223" t="s">
        <v>257</v>
      </c>
      <c r="D13" s="351" t="s">
        <v>2961</v>
      </c>
      <c r="E13" s="223" t="s">
        <v>351</v>
      </c>
      <c r="F13" s="223" t="s">
        <v>2947</v>
      </c>
      <c r="G13" s="322" t="s">
        <v>259</v>
      </c>
      <c r="H13" s="105" t="s">
        <v>2962</v>
      </c>
      <c r="I13" s="347" t="s">
        <v>149</v>
      </c>
      <c r="J13" s="347" t="s">
        <v>165</v>
      </c>
      <c r="K13" s="96"/>
      <c r="L13" s="96"/>
      <c r="M13" s="96"/>
      <c r="N13" s="223" t="s">
        <v>257</v>
      </c>
      <c r="O13" s="292" t="s">
        <v>2960</v>
      </c>
      <c r="P13" s="192" t="s">
        <v>753</v>
      </c>
      <c r="Q13" s="192" t="s">
        <v>2209</v>
      </c>
      <c r="R13" s="192" t="s">
        <v>2963</v>
      </c>
      <c r="S13" s="329" t="s">
        <v>2964</v>
      </c>
      <c r="T13" s="324"/>
      <c r="U13" s="96"/>
      <c r="V13" s="96"/>
      <c r="W13" s="96"/>
      <c r="X13" s="96"/>
      <c r="Y13" s="96"/>
      <c r="Z13" s="68"/>
    </row>
    <row r="14">
      <c r="A14" s="100">
        <v>5.0</v>
      </c>
      <c r="B14" s="252" t="s">
        <v>2965</v>
      </c>
      <c r="C14" s="106" t="s">
        <v>257</v>
      </c>
      <c r="D14" s="176" t="s">
        <v>2966</v>
      </c>
      <c r="E14" s="223" t="s">
        <v>351</v>
      </c>
      <c r="F14" s="223" t="s">
        <v>2947</v>
      </c>
      <c r="G14" s="322" t="s">
        <v>259</v>
      </c>
      <c r="H14" s="328" t="s">
        <v>2967</v>
      </c>
      <c r="I14" s="347" t="s">
        <v>149</v>
      </c>
      <c r="J14" s="347" t="s">
        <v>165</v>
      </c>
      <c r="K14" s="96"/>
      <c r="L14" s="96"/>
      <c r="M14" s="96"/>
      <c r="N14" s="122" t="s">
        <v>257</v>
      </c>
      <c r="O14" s="107" t="s">
        <v>2965</v>
      </c>
      <c r="P14" s="124" t="str">
        <f>IFERROR(__xludf.DUMMYFUNCTION("IFERROR(REGEXEXTRACT(TRIM(O14),""^\S+""),"""")
"),"Gabbi")</f>
        <v>Gabbi</v>
      </c>
      <c r="Q14" s="124" t="str">
        <f>IFERROR(__xludf.DUMMYFUNCTION("IFERROR(TRIM(REGEXREPLACE(TRIM(O14),""^\S+\s*"","""")),"""")
"),"Cahane")</f>
        <v>Cahane</v>
      </c>
      <c r="R14" s="124" t="s">
        <v>2968</v>
      </c>
      <c r="S14" s="353" t="s">
        <v>2966</v>
      </c>
      <c r="T14" s="324"/>
      <c r="U14" s="96"/>
      <c r="V14" s="96"/>
      <c r="W14" s="96"/>
      <c r="X14" s="96"/>
      <c r="Y14" s="96"/>
      <c r="Z14" s="68"/>
    </row>
    <row r="15">
      <c r="A15" s="100">
        <v>6.0</v>
      </c>
      <c r="B15" s="252" t="s">
        <v>2969</v>
      </c>
      <c r="C15" s="106" t="s">
        <v>257</v>
      </c>
      <c r="D15" s="345" t="s">
        <v>2970</v>
      </c>
      <c r="E15" s="223" t="s">
        <v>351</v>
      </c>
      <c r="F15" s="223" t="s">
        <v>2947</v>
      </c>
      <c r="G15" s="322" t="s">
        <v>259</v>
      </c>
      <c r="H15" s="323" t="s">
        <v>2971</v>
      </c>
      <c r="I15" s="347" t="s">
        <v>149</v>
      </c>
      <c r="J15" s="347" t="s">
        <v>150</v>
      </c>
      <c r="K15" s="96"/>
      <c r="L15" s="96"/>
      <c r="M15" s="96"/>
      <c r="N15" s="122" t="s">
        <v>257</v>
      </c>
      <c r="O15" s="107" t="s">
        <v>2969</v>
      </c>
      <c r="P15" s="124" t="str">
        <f>IFERROR(__xludf.DUMMYFUNCTION("IFERROR(REGEXEXTRACT(TRIM(O15),""^\S+""),"""")
"),"Morten")</f>
        <v>Morten</v>
      </c>
      <c r="Q15" s="124" t="str">
        <f>IFERROR(__xludf.DUMMYFUNCTION("IFERROR(TRIM(REGEXREPLACE(TRIM(O15),""^\S+\s*"","""")),"""")
"),"Schlosser")</f>
        <v>Schlosser</v>
      </c>
      <c r="R15" s="124" t="s">
        <v>2972</v>
      </c>
      <c r="S15" s="353" t="s">
        <v>2970</v>
      </c>
      <c r="T15" s="324"/>
      <c r="U15" s="96"/>
      <c r="V15" s="96"/>
      <c r="W15" s="96"/>
      <c r="X15" s="96"/>
      <c r="Y15" s="96"/>
      <c r="Z15" s="68"/>
    </row>
    <row r="16">
      <c r="A16" s="100">
        <v>7.0</v>
      </c>
      <c r="B16" s="251" t="s">
        <v>2973</v>
      </c>
      <c r="C16" s="106" t="s">
        <v>257</v>
      </c>
      <c r="D16" s="176" t="s">
        <v>2974</v>
      </c>
      <c r="E16" s="223" t="s">
        <v>351</v>
      </c>
      <c r="F16" s="223" t="s">
        <v>2947</v>
      </c>
      <c r="G16" s="322" t="s">
        <v>259</v>
      </c>
      <c r="H16" s="330" t="s">
        <v>2975</v>
      </c>
      <c r="I16" s="347" t="s">
        <v>149</v>
      </c>
      <c r="J16" s="347" t="s">
        <v>165</v>
      </c>
      <c r="K16" s="96"/>
      <c r="L16" s="96"/>
      <c r="M16" s="96"/>
      <c r="N16" s="223" t="s">
        <v>257</v>
      </c>
      <c r="O16" s="123" t="s">
        <v>2973</v>
      </c>
      <c r="P16" s="192" t="s">
        <v>2976</v>
      </c>
      <c r="Q16" s="192" t="s">
        <v>2977</v>
      </c>
      <c r="R16" s="192" t="s">
        <v>2978</v>
      </c>
      <c r="S16" s="333" t="s">
        <v>2974</v>
      </c>
      <c r="T16" s="324"/>
      <c r="U16" s="96"/>
      <c r="V16" s="96"/>
      <c r="W16" s="96"/>
      <c r="X16" s="96"/>
      <c r="Y16" s="96"/>
      <c r="Z16" s="68"/>
    </row>
    <row r="17">
      <c r="A17" s="100">
        <v>8.0</v>
      </c>
      <c r="B17" s="354" t="s">
        <v>2979</v>
      </c>
      <c r="C17" s="122" t="s">
        <v>257</v>
      </c>
      <c r="D17" s="345" t="s">
        <v>2980</v>
      </c>
      <c r="E17" s="223" t="s">
        <v>351</v>
      </c>
      <c r="F17" s="223" t="s">
        <v>2947</v>
      </c>
      <c r="G17" s="223" t="s">
        <v>259</v>
      </c>
      <c r="H17" s="323" t="s">
        <v>2981</v>
      </c>
      <c r="I17" s="347" t="s">
        <v>149</v>
      </c>
      <c r="J17" s="347" t="s">
        <v>165</v>
      </c>
      <c r="K17" s="96"/>
      <c r="L17" s="96"/>
      <c r="M17" s="96"/>
      <c r="N17" s="122" t="s">
        <v>257</v>
      </c>
      <c r="O17" s="107" t="s">
        <v>2979</v>
      </c>
      <c r="P17" s="124" t="str">
        <f>IFERROR(__xludf.DUMMYFUNCTION("IFERROR(REGEXEXTRACT(TRIM(O17),""^\S+""),"""")
"),"Ben")</f>
        <v>Ben</v>
      </c>
      <c r="Q17" s="124" t="str">
        <f>IFERROR(__xludf.DUMMYFUNCTION("IFERROR(TRIM(REGEXREPLACE(TRIM(O17),""^\S+\s*"","""")),"""")
"),"Wright")</f>
        <v>Wright</v>
      </c>
      <c r="R17" s="124" t="s">
        <v>2982</v>
      </c>
      <c r="S17" s="353" t="s">
        <v>2980</v>
      </c>
      <c r="T17" s="324"/>
      <c r="U17" s="96"/>
      <c r="V17" s="96"/>
      <c r="W17" s="96"/>
      <c r="X17" s="96"/>
      <c r="Y17" s="96"/>
      <c r="Z17" s="68"/>
    </row>
    <row r="18">
      <c r="A18" s="100">
        <v>9.0</v>
      </c>
      <c r="B18" s="354" t="s">
        <v>2983</v>
      </c>
      <c r="C18" s="122" t="s">
        <v>257</v>
      </c>
      <c r="D18" s="345" t="s">
        <v>2984</v>
      </c>
      <c r="E18" s="223" t="s">
        <v>351</v>
      </c>
      <c r="F18" s="223" t="s">
        <v>2947</v>
      </c>
      <c r="G18" s="223" t="s">
        <v>259</v>
      </c>
      <c r="H18" s="323" t="s">
        <v>2985</v>
      </c>
      <c r="I18" s="347" t="s">
        <v>149</v>
      </c>
      <c r="J18" s="347" t="s">
        <v>165</v>
      </c>
      <c r="K18" s="96"/>
      <c r="L18" s="96"/>
      <c r="M18" s="96"/>
      <c r="N18" s="106" t="s">
        <v>257</v>
      </c>
      <c r="O18" s="123" t="s">
        <v>2983</v>
      </c>
      <c r="P18" s="108" t="s">
        <v>2922</v>
      </c>
      <c r="Q18" s="108" t="s">
        <v>2986</v>
      </c>
      <c r="R18" s="108" t="s">
        <v>2987</v>
      </c>
      <c r="S18" s="120" t="s">
        <v>2984</v>
      </c>
      <c r="T18" s="324"/>
      <c r="U18" s="96"/>
      <c r="V18" s="96"/>
      <c r="W18" s="96"/>
      <c r="X18" s="96"/>
      <c r="Y18" s="96"/>
      <c r="Z18" s="68"/>
    </row>
    <row r="19">
      <c r="A19" s="100">
        <v>11.0</v>
      </c>
      <c r="B19" s="335" t="s">
        <v>2988</v>
      </c>
      <c r="C19" s="223" t="s">
        <v>63</v>
      </c>
      <c r="D19" s="302" t="s">
        <v>2989</v>
      </c>
      <c r="E19" s="291" t="s">
        <v>351</v>
      </c>
      <c r="F19" s="223" t="s">
        <v>2947</v>
      </c>
      <c r="G19" s="322" t="s">
        <v>194</v>
      </c>
      <c r="H19" s="323" t="s">
        <v>2990</v>
      </c>
      <c r="I19" s="347" t="s">
        <v>149</v>
      </c>
      <c r="J19" s="347" t="s">
        <v>165</v>
      </c>
      <c r="K19" s="96"/>
      <c r="L19" s="96"/>
      <c r="M19" s="96"/>
      <c r="N19" s="223" t="s">
        <v>897</v>
      </c>
      <c r="O19" s="292" t="s">
        <v>2991</v>
      </c>
      <c r="P19" s="192" t="s">
        <v>2992</v>
      </c>
      <c r="Q19" s="192" t="s">
        <v>2993</v>
      </c>
      <c r="R19" s="192" t="s">
        <v>2994</v>
      </c>
      <c r="S19" s="329" t="s">
        <v>2995</v>
      </c>
      <c r="T19" s="324"/>
      <c r="U19" s="96"/>
      <c r="V19" s="96"/>
      <c r="W19" s="96"/>
      <c r="X19" s="96"/>
      <c r="Y19" s="96"/>
      <c r="Z19" s="68"/>
    </row>
    <row r="20">
      <c r="A20" s="100">
        <v>12.0</v>
      </c>
      <c r="B20" s="338" t="s">
        <v>1654</v>
      </c>
      <c r="C20" s="223" t="s">
        <v>257</v>
      </c>
      <c r="D20" s="302" t="s">
        <v>1655</v>
      </c>
      <c r="E20" s="291" t="s">
        <v>351</v>
      </c>
      <c r="F20" s="223" t="s">
        <v>2947</v>
      </c>
      <c r="G20" s="322" t="s">
        <v>259</v>
      </c>
      <c r="H20" s="125" t="s">
        <v>2996</v>
      </c>
      <c r="I20" s="347" t="s">
        <v>149</v>
      </c>
      <c r="J20" s="347" t="s">
        <v>165</v>
      </c>
      <c r="K20" s="96"/>
      <c r="L20" s="96"/>
      <c r="M20" s="96"/>
      <c r="N20" s="223" t="s">
        <v>257</v>
      </c>
      <c r="O20" s="292" t="s">
        <v>1654</v>
      </c>
      <c r="P20" s="192" t="s">
        <v>2997</v>
      </c>
      <c r="Q20" s="192" t="s">
        <v>2998</v>
      </c>
      <c r="R20" s="192" t="s">
        <v>1657</v>
      </c>
      <c r="S20" s="337" t="s">
        <v>1655</v>
      </c>
      <c r="T20" s="324"/>
      <c r="U20" s="96"/>
      <c r="V20" s="96"/>
      <c r="W20" s="96"/>
      <c r="X20" s="96"/>
      <c r="Y20" s="96"/>
      <c r="Z20" s="68"/>
    </row>
    <row r="21">
      <c r="A21" s="100">
        <v>13.0</v>
      </c>
      <c r="B21" s="335" t="s">
        <v>2999</v>
      </c>
      <c r="C21" s="223" t="s">
        <v>257</v>
      </c>
      <c r="D21" s="332" t="s">
        <v>3000</v>
      </c>
      <c r="E21" s="291" t="s">
        <v>351</v>
      </c>
      <c r="F21" s="223" t="s">
        <v>2947</v>
      </c>
      <c r="G21" s="322" t="s">
        <v>259</v>
      </c>
      <c r="H21" s="328" t="s">
        <v>3001</v>
      </c>
      <c r="I21" s="347" t="s">
        <v>149</v>
      </c>
      <c r="J21" s="347" t="s">
        <v>150</v>
      </c>
      <c r="K21" s="96"/>
      <c r="L21" s="96"/>
      <c r="M21" s="96"/>
      <c r="N21" s="122" t="s">
        <v>257</v>
      </c>
      <c r="O21" s="107" t="s">
        <v>2999</v>
      </c>
      <c r="P21" s="124" t="str">
        <f>IFERROR(__xludf.DUMMYFUNCTION("IFERROR(REGEXEXTRACT(TRIM(O21),""^\S+""),"""")
"),"Ferdinand")</f>
        <v>Ferdinand</v>
      </c>
      <c r="Q21" s="124" t="str">
        <f>IFERROR(__xludf.DUMMYFUNCTION("IFERROR(TRIM(REGEXREPLACE(TRIM(O21),""^\S+\s*"","""")),"""")
"),"Reynolds")</f>
        <v>Reynolds</v>
      </c>
      <c r="R21" s="124" t="s">
        <v>3002</v>
      </c>
      <c r="S21" s="353" t="s">
        <v>3000</v>
      </c>
      <c r="T21" s="324"/>
      <c r="U21" s="96"/>
      <c r="V21" s="96"/>
      <c r="W21" s="96"/>
      <c r="X21" s="96"/>
      <c r="Y21" s="96"/>
      <c r="Z21" s="68"/>
    </row>
    <row r="22">
      <c r="A22" s="100">
        <v>14.0</v>
      </c>
      <c r="B22" s="338" t="s">
        <v>1650</v>
      </c>
      <c r="C22" s="223" t="s">
        <v>257</v>
      </c>
      <c r="D22" s="332" t="s">
        <v>1651</v>
      </c>
      <c r="E22" s="291" t="s">
        <v>351</v>
      </c>
      <c r="F22" s="223" t="s">
        <v>2947</v>
      </c>
      <c r="G22" s="223" t="s">
        <v>259</v>
      </c>
      <c r="H22" s="328" t="s">
        <v>3003</v>
      </c>
      <c r="I22" s="347" t="s">
        <v>149</v>
      </c>
      <c r="J22" s="347" t="s">
        <v>165</v>
      </c>
      <c r="K22" s="96"/>
      <c r="L22" s="96"/>
      <c r="M22" s="96"/>
      <c r="N22" s="122" t="s">
        <v>257</v>
      </c>
      <c r="O22" s="107" t="s">
        <v>1650</v>
      </c>
      <c r="P22" s="124" t="str">
        <f>IFERROR(__xludf.DUMMYFUNCTION("IFERROR(REGEXEXTRACT(TRIM(O22),""^\S+""),"""")
"),"Andrey")</f>
        <v>Andrey</v>
      </c>
      <c r="Q22" s="124" t="str">
        <f>IFERROR(__xludf.DUMMYFUNCTION("IFERROR(TRIM(REGEXREPLACE(TRIM(O22),""^\S+\s*"","""")),"""")
"),"Anishchenko")</f>
        <v>Anishchenko</v>
      </c>
      <c r="R22" s="124" t="s">
        <v>1653</v>
      </c>
      <c r="S22" s="353" t="s">
        <v>1651</v>
      </c>
      <c r="T22" s="324"/>
      <c r="U22" s="96"/>
      <c r="V22" s="96"/>
      <c r="W22" s="96"/>
      <c r="X22" s="339"/>
      <c r="Y22" s="96"/>
      <c r="Z22" s="68"/>
    </row>
    <row r="23">
      <c r="A23" s="100">
        <v>15.0</v>
      </c>
      <c r="B23" s="354" t="s">
        <v>3004</v>
      </c>
      <c r="C23" s="122" t="s">
        <v>257</v>
      </c>
      <c r="D23" s="345" t="s">
        <v>3005</v>
      </c>
      <c r="E23" s="122" t="s">
        <v>351</v>
      </c>
      <c r="F23" s="223" t="s">
        <v>2947</v>
      </c>
      <c r="G23" s="322" t="s">
        <v>259</v>
      </c>
      <c r="H23" s="328" t="s">
        <v>3006</v>
      </c>
      <c r="I23" s="347" t="s">
        <v>149</v>
      </c>
      <c r="J23" s="347" t="s">
        <v>165</v>
      </c>
      <c r="K23" s="96"/>
      <c r="L23" s="96"/>
      <c r="M23" s="96"/>
      <c r="N23" s="122" t="s">
        <v>257</v>
      </c>
      <c r="O23" s="107" t="s">
        <v>3004</v>
      </c>
      <c r="P23" s="124" t="s">
        <v>3007</v>
      </c>
      <c r="Q23" s="124" t="s">
        <v>3008</v>
      </c>
      <c r="R23" s="124" t="s">
        <v>3009</v>
      </c>
      <c r="S23" s="353" t="s">
        <v>3005</v>
      </c>
      <c r="T23" s="324"/>
      <c r="U23" s="96"/>
      <c r="V23" s="96"/>
      <c r="W23" s="96"/>
      <c r="X23" s="96"/>
      <c r="Y23" s="96"/>
      <c r="Z23" s="68"/>
    </row>
    <row r="24">
      <c r="A24" s="100">
        <v>16.0</v>
      </c>
      <c r="B24" s="354" t="s">
        <v>3010</v>
      </c>
      <c r="C24" s="106" t="s">
        <v>257</v>
      </c>
      <c r="D24" s="176" t="s">
        <v>3011</v>
      </c>
      <c r="E24" s="122" t="s">
        <v>351</v>
      </c>
      <c r="F24" s="223" t="s">
        <v>2947</v>
      </c>
      <c r="G24" s="322" t="s">
        <v>259</v>
      </c>
      <c r="H24" s="323" t="s">
        <v>3012</v>
      </c>
      <c r="I24" s="347" t="s">
        <v>149</v>
      </c>
      <c r="J24" s="347" t="s">
        <v>165</v>
      </c>
      <c r="K24" s="96"/>
      <c r="L24" s="96"/>
      <c r="M24" s="191"/>
      <c r="N24" s="122" t="s">
        <v>257</v>
      </c>
      <c r="O24" s="107" t="s">
        <v>3010</v>
      </c>
      <c r="P24" s="124" t="str">
        <f>IFERROR(__xludf.DUMMYFUNCTION("IFERROR(REGEXEXTRACT(TRIM(O24),""^\S+""),"""")
"),"Alex")</f>
        <v>Alex</v>
      </c>
      <c r="Q24" s="124" t="str">
        <f>IFERROR(__xludf.DUMMYFUNCTION("IFERROR(TRIM(REGEXREPLACE(TRIM(O24),""^\S+\s*"","""")),"""")
"),"Macdonald")</f>
        <v>Macdonald</v>
      </c>
      <c r="R24" s="124" t="s">
        <v>3013</v>
      </c>
      <c r="S24" s="353" t="s">
        <v>3014</v>
      </c>
      <c r="T24" s="324"/>
      <c r="U24" s="96"/>
      <c r="V24" s="96"/>
      <c r="W24" s="96"/>
      <c r="X24" s="96"/>
      <c r="Y24" s="96"/>
      <c r="Z24" s="68"/>
    </row>
    <row r="25">
      <c r="A25" s="100">
        <v>17.0</v>
      </c>
      <c r="B25" s="354" t="s">
        <v>1640</v>
      </c>
      <c r="C25" s="122" t="s">
        <v>257</v>
      </c>
      <c r="D25" s="345" t="s">
        <v>1641</v>
      </c>
      <c r="E25" s="122" t="s">
        <v>351</v>
      </c>
      <c r="F25" s="223" t="s">
        <v>2947</v>
      </c>
      <c r="G25" s="322" t="s">
        <v>259</v>
      </c>
      <c r="H25" s="346" t="s">
        <v>3015</v>
      </c>
      <c r="I25" s="347" t="s">
        <v>149</v>
      </c>
      <c r="J25" s="347" t="s">
        <v>165</v>
      </c>
      <c r="K25" s="96"/>
      <c r="L25" s="96"/>
      <c r="M25" s="191"/>
      <c r="N25" s="122" t="s">
        <v>257</v>
      </c>
      <c r="O25" s="107" t="s">
        <v>1640</v>
      </c>
      <c r="P25" s="124" t="str">
        <f>IFERROR(__xludf.DUMMYFUNCTION("IFERROR(REGEXEXTRACT(TRIM(O25),""^\S+""),"""")
"),"Natalia")</f>
        <v>Natalia</v>
      </c>
      <c r="Q25" s="124" t="str">
        <f>IFERROR(__xludf.DUMMYFUNCTION("IFERROR(TRIM(REGEXREPLACE(TRIM(O25),""^\S+\s*"","""")),"""")
"),"Simonenko")</f>
        <v>Simonenko</v>
      </c>
      <c r="R25" s="124" t="s">
        <v>1643</v>
      </c>
      <c r="S25" s="353" t="s">
        <v>1641</v>
      </c>
      <c r="T25" s="324"/>
      <c r="U25" s="96"/>
      <c r="V25" s="96"/>
      <c r="W25" s="96"/>
      <c r="X25" s="96"/>
      <c r="Y25" s="96"/>
      <c r="Z25" s="68"/>
    </row>
    <row r="26">
      <c r="A26" s="100"/>
      <c r="B26" s="355"/>
      <c r="C26" s="223"/>
      <c r="D26" s="302"/>
      <c r="E26" s="291"/>
      <c r="F26" s="223"/>
      <c r="G26" s="322"/>
      <c r="H26" s="356"/>
      <c r="I26" s="347"/>
      <c r="J26" s="357"/>
      <c r="K26" s="96"/>
      <c r="L26" s="96"/>
      <c r="M26" s="191"/>
      <c r="N26" s="223"/>
      <c r="O26" s="292"/>
      <c r="P26" s="192"/>
      <c r="Q26" s="192"/>
      <c r="R26" s="192"/>
      <c r="S26" s="329"/>
      <c r="T26" s="324"/>
      <c r="U26" s="96"/>
      <c r="V26" s="96"/>
      <c r="W26" s="96"/>
      <c r="X26" s="96"/>
      <c r="Y26" s="96"/>
      <c r="Z26" s="68"/>
    </row>
    <row r="27">
      <c r="A27" s="100"/>
      <c r="B27" s="355"/>
      <c r="C27" s="223"/>
      <c r="D27" s="302"/>
      <c r="E27" s="291"/>
      <c r="F27" s="223"/>
      <c r="G27" s="322"/>
      <c r="H27" s="356"/>
      <c r="I27" s="347"/>
      <c r="J27" s="357"/>
      <c r="K27" s="96"/>
      <c r="L27" s="96"/>
      <c r="M27" s="191"/>
      <c r="N27" s="223"/>
      <c r="O27" s="292"/>
      <c r="P27" s="192"/>
      <c r="Q27" s="192"/>
      <c r="R27" s="192"/>
      <c r="S27" s="329"/>
      <c r="T27" s="324"/>
      <c r="U27" s="96"/>
      <c r="V27" s="96"/>
      <c r="W27" s="96"/>
      <c r="X27" s="96"/>
      <c r="Y27" s="96"/>
      <c r="Z27" s="68"/>
    </row>
    <row r="28">
      <c r="A28" s="100"/>
      <c r="B28" s="341"/>
      <c r="C28" s="106"/>
      <c r="D28" s="358"/>
      <c r="E28" s="291"/>
      <c r="F28" s="223"/>
      <c r="G28" s="322"/>
      <c r="H28" s="356"/>
      <c r="I28" s="347"/>
      <c r="J28" s="357"/>
      <c r="K28" s="96"/>
      <c r="L28" s="96"/>
      <c r="M28" s="191"/>
      <c r="N28" s="223"/>
      <c r="O28" s="292"/>
      <c r="P28" s="192"/>
      <c r="Q28" s="192"/>
      <c r="R28" s="192"/>
      <c r="S28" s="329"/>
      <c r="T28" s="324"/>
      <c r="U28" s="96"/>
      <c r="V28" s="96"/>
      <c r="W28" s="96"/>
      <c r="X28" s="96"/>
      <c r="Y28" s="96"/>
      <c r="Z28" s="68"/>
    </row>
    <row r="29">
      <c r="A29" s="100"/>
      <c r="B29" s="341"/>
      <c r="C29" s="106"/>
      <c r="D29" s="358"/>
      <c r="E29" s="291"/>
      <c r="F29" s="223"/>
      <c r="G29" s="322"/>
      <c r="H29" s="356"/>
      <c r="I29" s="347"/>
      <c r="J29" s="357"/>
      <c r="K29" s="96"/>
      <c r="L29" s="96"/>
      <c r="M29" s="191"/>
      <c r="N29" s="223"/>
      <c r="O29" s="292"/>
      <c r="P29" s="192"/>
      <c r="Q29" s="192"/>
      <c r="R29" s="192"/>
      <c r="S29" s="329"/>
      <c r="T29" s="324"/>
      <c r="U29" s="96"/>
      <c r="V29" s="96"/>
      <c r="W29" s="96"/>
      <c r="X29" s="96"/>
      <c r="Y29" s="96"/>
      <c r="Z29" s="68"/>
    </row>
    <row r="30">
      <c r="A30" s="100"/>
      <c r="B30" s="341"/>
      <c r="C30" s="106"/>
      <c r="D30" s="358"/>
      <c r="E30" s="291"/>
      <c r="F30" s="223"/>
      <c r="G30" s="322"/>
      <c r="H30" s="356"/>
      <c r="I30" s="347"/>
      <c r="J30" s="357"/>
      <c r="K30" s="96"/>
      <c r="L30" s="96"/>
      <c r="M30" s="191"/>
      <c r="N30" s="223"/>
      <c r="O30" s="292"/>
      <c r="P30" s="192"/>
      <c r="Q30" s="192"/>
      <c r="R30" s="192"/>
      <c r="S30" s="329"/>
      <c r="T30" s="324"/>
      <c r="U30" s="96"/>
      <c r="V30" s="96"/>
      <c r="W30" s="96"/>
      <c r="X30" s="96"/>
      <c r="Y30" s="96"/>
      <c r="Z30" s="68"/>
    </row>
    <row r="31">
      <c r="A31" s="68"/>
      <c r="B31" s="68"/>
      <c r="C31" s="68"/>
      <c r="D31" s="68"/>
      <c r="E31" s="68"/>
      <c r="F31" s="68"/>
      <c r="G31" s="68"/>
      <c r="H31" s="68"/>
      <c r="I31" s="68"/>
      <c r="J31" s="68"/>
      <c r="K31" s="68"/>
      <c r="L31" s="68"/>
      <c r="M31" s="68"/>
      <c r="N31" s="68"/>
      <c r="O31" s="68"/>
      <c r="P31" s="68"/>
      <c r="Q31" s="68"/>
      <c r="R31" s="68"/>
      <c r="S31" s="68"/>
      <c r="T31" s="68"/>
      <c r="U31" s="68"/>
      <c r="V31" s="68"/>
      <c r="W31" s="68"/>
      <c r="X31" s="68"/>
      <c r="Y31" s="68"/>
      <c r="Z31" s="68"/>
    </row>
    <row r="32">
      <c r="A32" s="68"/>
      <c r="B32" s="68"/>
      <c r="C32" s="68"/>
      <c r="D32" s="68"/>
      <c r="E32" s="68"/>
      <c r="F32" s="68"/>
      <c r="G32" s="68"/>
      <c r="H32" s="68"/>
      <c r="I32" s="68"/>
      <c r="J32" s="68"/>
      <c r="K32" s="68"/>
      <c r="L32" s="68"/>
      <c r="M32" s="68"/>
      <c r="N32" s="68"/>
      <c r="O32" s="68"/>
      <c r="P32" s="68"/>
      <c r="Q32" s="68"/>
      <c r="R32" s="68"/>
      <c r="S32" s="68"/>
      <c r="T32" s="68"/>
      <c r="U32" s="68"/>
      <c r="V32" s="68"/>
      <c r="W32" s="68"/>
      <c r="X32" s="68"/>
      <c r="Y32" s="68"/>
      <c r="Z32" s="68"/>
    </row>
    <row r="33">
      <c r="A33" s="68"/>
      <c r="B33" s="68"/>
      <c r="C33" s="68"/>
      <c r="D33" s="68"/>
      <c r="E33" s="68"/>
      <c r="F33" s="68"/>
      <c r="G33" s="68"/>
      <c r="H33" s="68"/>
      <c r="I33" s="68"/>
      <c r="J33" s="68"/>
      <c r="K33" s="68"/>
      <c r="L33" s="68"/>
      <c r="M33" s="68"/>
      <c r="N33" s="68"/>
      <c r="O33" s="68"/>
      <c r="P33" s="68"/>
      <c r="Q33" s="68"/>
      <c r="R33" s="68"/>
      <c r="S33" s="68"/>
      <c r="T33" s="68"/>
      <c r="U33" s="68"/>
      <c r="V33" s="68"/>
      <c r="W33" s="68"/>
      <c r="X33" s="68"/>
      <c r="Y33" s="68"/>
      <c r="Z33" s="68"/>
    </row>
    <row r="34">
      <c r="A34" s="68"/>
      <c r="B34" s="68"/>
      <c r="C34" s="68"/>
      <c r="D34" s="68"/>
      <c r="E34" s="68"/>
      <c r="F34" s="68"/>
      <c r="G34" s="68"/>
      <c r="H34" s="68"/>
      <c r="I34" s="68"/>
      <c r="J34" s="68"/>
      <c r="K34" s="68"/>
      <c r="L34" s="68"/>
      <c r="M34" s="68"/>
      <c r="N34" s="68"/>
      <c r="O34" s="68"/>
      <c r="P34" s="68"/>
      <c r="Q34" s="68"/>
      <c r="R34" s="68"/>
      <c r="S34" s="68"/>
      <c r="T34" s="68"/>
      <c r="U34" s="68"/>
      <c r="V34" s="68"/>
      <c r="W34" s="68"/>
      <c r="X34" s="68"/>
      <c r="Y34" s="68"/>
      <c r="Z34" s="68"/>
    </row>
    <row r="35">
      <c r="A35" s="68"/>
      <c r="B35" s="68"/>
      <c r="C35" s="68"/>
      <c r="D35" s="68"/>
      <c r="E35" s="68"/>
      <c r="F35" s="68"/>
      <c r="G35" s="68"/>
      <c r="H35" s="68"/>
      <c r="I35" s="68"/>
      <c r="J35" s="68"/>
      <c r="K35" s="68"/>
      <c r="L35" s="68"/>
      <c r="M35" s="68"/>
      <c r="N35" s="68"/>
      <c r="O35" s="68"/>
      <c r="P35" s="68"/>
      <c r="Q35" s="68"/>
      <c r="R35" s="68"/>
      <c r="S35" s="68"/>
      <c r="T35" s="68"/>
      <c r="U35" s="68"/>
      <c r="V35" s="68"/>
      <c r="W35" s="68"/>
      <c r="X35" s="68"/>
      <c r="Y35" s="68"/>
      <c r="Z35" s="68"/>
    </row>
    <row r="36">
      <c r="A36" s="68"/>
      <c r="B36" s="68"/>
      <c r="C36" s="68"/>
      <c r="D36" s="68"/>
      <c r="E36" s="68"/>
      <c r="F36" s="68"/>
      <c r="G36" s="68"/>
      <c r="H36" s="68"/>
      <c r="I36" s="68"/>
      <c r="J36" s="68"/>
      <c r="K36" s="68"/>
      <c r="L36" s="68"/>
      <c r="M36" s="68"/>
      <c r="N36" s="68"/>
      <c r="O36" s="68"/>
      <c r="P36" s="68"/>
      <c r="Q36" s="68"/>
      <c r="R36" s="68"/>
      <c r="S36" s="68"/>
      <c r="T36" s="68"/>
      <c r="U36" s="68"/>
      <c r="V36" s="68"/>
      <c r="W36" s="68"/>
      <c r="X36" s="68"/>
      <c r="Y36" s="68"/>
      <c r="Z36" s="68"/>
    </row>
    <row r="37">
      <c r="A37" s="68"/>
      <c r="B37" s="68"/>
      <c r="C37" s="68"/>
      <c r="D37" s="68"/>
      <c r="E37" s="68"/>
      <c r="F37" s="68"/>
      <c r="G37" s="68"/>
      <c r="H37" s="68"/>
      <c r="I37" s="68"/>
      <c r="J37" s="68"/>
      <c r="K37" s="68"/>
      <c r="L37" s="68"/>
      <c r="M37" s="68"/>
      <c r="N37" s="68"/>
      <c r="O37" s="68"/>
      <c r="P37" s="68"/>
      <c r="Q37" s="68"/>
      <c r="R37" s="68"/>
      <c r="S37" s="68"/>
      <c r="T37" s="68"/>
      <c r="U37" s="68"/>
      <c r="V37" s="68"/>
      <c r="W37" s="68"/>
      <c r="X37" s="68"/>
      <c r="Y37" s="68"/>
      <c r="Z37" s="68"/>
    </row>
    <row r="38">
      <c r="A38" s="68"/>
      <c r="B38" s="68"/>
      <c r="C38" s="68"/>
      <c r="D38" s="68"/>
      <c r="E38" s="68"/>
      <c r="F38" s="68"/>
      <c r="G38" s="68"/>
      <c r="H38" s="68"/>
      <c r="I38" s="68"/>
      <c r="J38" s="68"/>
      <c r="K38" s="68"/>
      <c r="L38" s="68"/>
      <c r="M38" s="68"/>
      <c r="N38" s="68"/>
      <c r="O38" s="68"/>
      <c r="P38" s="68"/>
      <c r="Q38" s="68"/>
      <c r="R38" s="68"/>
      <c r="S38" s="68"/>
      <c r="T38" s="68"/>
      <c r="U38" s="68"/>
      <c r="V38" s="68"/>
      <c r="W38" s="68"/>
      <c r="X38" s="68"/>
      <c r="Y38" s="68"/>
      <c r="Z38" s="68"/>
    </row>
    <row r="39">
      <c r="A39" s="68"/>
      <c r="B39" s="68"/>
      <c r="C39" s="68"/>
      <c r="D39" s="68"/>
      <c r="E39" s="68"/>
      <c r="F39" s="68"/>
      <c r="G39" s="68"/>
      <c r="H39" s="68"/>
      <c r="I39" s="68"/>
      <c r="J39" s="68"/>
      <c r="K39" s="68"/>
      <c r="L39" s="68"/>
      <c r="M39" s="68"/>
      <c r="N39" s="68"/>
      <c r="O39" s="68"/>
      <c r="P39" s="68"/>
      <c r="Q39" s="68"/>
      <c r="R39" s="68"/>
      <c r="S39" s="68"/>
      <c r="T39" s="68"/>
      <c r="U39" s="68"/>
      <c r="V39" s="68"/>
      <c r="W39" s="68"/>
      <c r="X39" s="68"/>
      <c r="Y39" s="68"/>
      <c r="Z39" s="68"/>
    </row>
    <row r="40">
      <c r="A40" s="68"/>
      <c r="B40" s="68"/>
      <c r="C40" s="68"/>
      <c r="D40" s="68"/>
      <c r="E40" s="68"/>
      <c r="F40" s="68"/>
      <c r="G40" s="68"/>
      <c r="H40" s="68"/>
      <c r="I40" s="68"/>
      <c r="J40" s="68"/>
      <c r="K40" s="68"/>
      <c r="L40" s="68"/>
      <c r="M40" s="68"/>
      <c r="N40" s="68"/>
      <c r="O40" s="68"/>
      <c r="P40" s="68"/>
      <c r="Q40" s="68"/>
      <c r="R40" s="68"/>
      <c r="S40" s="68"/>
      <c r="T40" s="68"/>
      <c r="U40" s="68"/>
      <c r="V40" s="68"/>
      <c r="W40" s="68"/>
      <c r="X40" s="68"/>
      <c r="Y40" s="68"/>
      <c r="Z40" s="68"/>
    </row>
    <row r="41">
      <c r="A41" s="68"/>
      <c r="B41" s="68"/>
      <c r="C41" s="68"/>
      <c r="D41" s="68"/>
      <c r="E41" s="68"/>
      <c r="F41" s="68"/>
      <c r="G41" s="68"/>
      <c r="H41" s="68"/>
      <c r="I41" s="68"/>
      <c r="J41" s="68"/>
      <c r="K41" s="68"/>
      <c r="L41" s="68"/>
      <c r="M41" s="68"/>
      <c r="N41" s="68"/>
      <c r="O41" s="68"/>
      <c r="P41" s="68"/>
      <c r="Q41" s="68"/>
      <c r="R41" s="68"/>
      <c r="S41" s="68"/>
      <c r="T41" s="68"/>
      <c r="U41" s="68"/>
      <c r="V41" s="68"/>
      <c r="W41" s="68"/>
      <c r="X41" s="68"/>
      <c r="Y41" s="68"/>
      <c r="Z41" s="68"/>
    </row>
    <row r="42">
      <c r="A42" s="68"/>
      <c r="B42" s="68"/>
      <c r="C42" s="68"/>
      <c r="D42" s="68"/>
      <c r="E42" s="68"/>
      <c r="F42" s="68"/>
      <c r="G42" s="68"/>
      <c r="H42" s="68"/>
      <c r="I42" s="68"/>
      <c r="J42" s="68"/>
      <c r="K42" s="68"/>
      <c r="L42" s="68"/>
      <c r="M42" s="68"/>
      <c r="N42" s="68"/>
      <c r="O42" s="68"/>
      <c r="P42" s="68"/>
      <c r="Q42" s="68"/>
      <c r="R42" s="68"/>
      <c r="S42" s="68"/>
      <c r="T42" s="68"/>
      <c r="U42" s="68"/>
      <c r="V42" s="68"/>
      <c r="W42" s="68"/>
      <c r="X42" s="68"/>
      <c r="Y42" s="68"/>
      <c r="Z42" s="68"/>
    </row>
    <row r="43">
      <c r="A43" s="68"/>
      <c r="B43" s="68"/>
      <c r="C43" s="68"/>
      <c r="D43" s="68"/>
      <c r="E43" s="68"/>
      <c r="F43" s="68"/>
      <c r="G43" s="68"/>
      <c r="H43" s="68"/>
      <c r="I43" s="68"/>
      <c r="J43" s="68"/>
      <c r="K43" s="68"/>
      <c r="L43" s="68"/>
      <c r="M43" s="68"/>
      <c r="N43" s="68"/>
      <c r="O43" s="68"/>
      <c r="P43" s="68"/>
      <c r="Q43" s="68"/>
      <c r="R43" s="68"/>
      <c r="S43" s="68"/>
      <c r="T43" s="68"/>
      <c r="U43" s="68"/>
      <c r="V43" s="68"/>
      <c r="W43" s="68"/>
      <c r="X43" s="68"/>
      <c r="Y43" s="68"/>
      <c r="Z43" s="68"/>
    </row>
    <row r="44">
      <c r="A44" s="68"/>
      <c r="B44" s="68"/>
      <c r="C44" s="68"/>
      <c r="D44" s="68"/>
      <c r="E44" s="68"/>
      <c r="F44" s="68"/>
      <c r="G44" s="68"/>
      <c r="H44" s="68"/>
      <c r="I44" s="68"/>
      <c r="J44" s="68"/>
      <c r="K44" s="68"/>
      <c r="L44" s="68"/>
      <c r="M44" s="68"/>
      <c r="N44" s="68"/>
      <c r="O44" s="68"/>
      <c r="P44" s="68"/>
      <c r="Q44" s="68"/>
      <c r="R44" s="68"/>
      <c r="S44" s="68"/>
      <c r="T44" s="68"/>
      <c r="U44" s="68"/>
      <c r="V44" s="68"/>
      <c r="W44" s="68"/>
      <c r="X44" s="68"/>
      <c r="Y44" s="68"/>
      <c r="Z44" s="68"/>
    </row>
    <row r="45">
      <c r="A45" s="68"/>
      <c r="B45" s="68"/>
      <c r="C45" s="68"/>
      <c r="D45" s="68"/>
      <c r="E45" s="68"/>
      <c r="F45" s="68"/>
      <c r="G45" s="68"/>
      <c r="H45" s="68"/>
      <c r="I45" s="68"/>
      <c r="J45" s="68"/>
      <c r="K45" s="68"/>
      <c r="L45" s="68"/>
      <c r="M45" s="68"/>
      <c r="N45" s="68"/>
      <c r="O45" s="68"/>
      <c r="P45" s="68"/>
      <c r="Q45" s="68"/>
      <c r="R45" s="68"/>
      <c r="S45" s="68"/>
      <c r="T45" s="68"/>
      <c r="U45" s="68"/>
      <c r="V45" s="68"/>
      <c r="W45" s="68"/>
      <c r="X45" s="68"/>
      <c r="Y45" s="68"/>
      <c r="Z45" s="68"/>
    </row>
    <row r="46">
      <c r="A46" s="68"/>
      <c r="B46" s="68"/>
      <c r="C46" s="68"/>
      <c r="D46" s="68"/>
      <c r="E46" s="68"/>
      <c r="F46" s="68"/>
      <c r="G46" s="68"/>
      <c r="H46" s="68"/>
      <c r="I46" s="68"/>
      <c r="J46" s="68"/>
      <c r="K46" s="68"/>
      <c r="L46" s="68"/>
      <c r="M46" s="68"/>
      <c r="N46" s="68"/>
      <c r="O46" s="68"/>
      <c r="P46" s="68"/>
      <c r="Q46" s="68"/>
      <c r="R46" s="68"/>
      <c r="S46" s="68"/>
      <c r="T46" s="68"/>
      <c r="U46" s="68"/>
      <c r="V46" s="68"/>
      <c r="W46" s="68"/>
      <c r="X46" s="68"/>
      <c r="Y46" s="68"/>
      <c r="Z46" s="68"/>
    </row>
    <row r="47">
      <c r="A47" s="68"/>
      <c r="B47" s="68"/>
      <c r="C47" s="68"/>
      <c r="D47" s="68"/>
      <c r="E47" s="68"/>
      <c r="F47" s="68"/>
      <c r="G47" s="68"/>
      <c r="H47" s="68"/>
      <c r="I47" s="68"/>
      <c r="J47" s="68"/>
      <c r="K47" s="68"/>
      <c r="L47" s="68"/>
      <c r="M47" s="68"/>
      <c r="N47" s="68"/>
      <c r="O47" s="68"/>
      <c r="P47" s="68"/>
      <c r="Q47" s="68"/>
      <c r="R47" s="68"/>
      <c r="S47" s="68"/>
      <c r="T47" s="68"/>
      <c r="U47" s="68"/>
      <c r="V47" s="68"/>
      <c r="W47" s="68"/>
      <c r="X47" s="68"/>
      <c r="Y47" s="68"/>
      <c r="Z47" s="68"/>
    </row>
    <row r="48">
      <c r="A48" s="68"/>
      <c r="B48" s="68"/>
      <c r="C48" s="68"/>
      <c r="D48" s="68"/>
      <c r="E48" s="68"/>
      <c r="F48" s="68"/>
      <c r="G48" s="68"/>
      <c r="H48" s="68"/>
      <c r="I48" s="68"/>
      <c r="J48" s="68"/>
      <c r="K48" s="68"/>
      <c r="L48" s="68"/>
      <c r="M48" s="68"/>
      <c r="N48" s="68"/>
      <c r="O48" s="68"/>
      <c r="P48" s="68"/>
      <c r="Q48" s="68"/>
      <c r="R48" s="68"/>
      <c r="S48" s="68"/>
      <c r="T48" s="68"/>
      <c r="U48" s="68"/>
      <c r="V48" s="68"/>
      <c r="W48" s="68"/>
      <c r="X48" s="68"/>
      <c r="Y48" s="68"/>
      <c r="Z48" s="68"/>
    </row>
    <row r="49">
      <c r="A49" s="68"/>
      <c r="B49" s="68"/>
      <c r="C49" s="68"/>
      <c r="D49" s="68"/>
      <c r="E49" s="68"/>
      <c r="F49" s="68"/>
      <c r="G49" s="68"/>
      <c r="H49" s="68"/>
      <c r="I49" s="68"/>
      <c r="J49" s="68"/>
      <c r="K49" s="68"/>
      <c r="L49" s="68"/>
      <c r="M49" s="68"/>
      <c r="N49" s="68"/>
      <c r="O49" s="68"/>
      <c r="P49" s="68"/>
      <c r="Q49" s="68"/>
      <c r="R49" s="68"/>
      <c r="S49" s="68"/>
      <c r="T49" s="68"/>
      <c r="U49" s="68"/>
      <c r="V49" s="68"/>
      <c r="W49" s="68"/>
      <c r="X49" s="68"/>
      <c r="Y49" s="68"/>
      <c r="Z49" s="68"/>
    </row>
    <row r="50">
      <c r="A50" s="68"/>
      <c r="B50" s="68"/>
      <c r="C50" s="68"/>
      <c r="D50" s="68"/>
      <c r="E50" s="68"/>
      <c r="F50" s="68"/>
      <c r="G50" s="68"/>
      <c r="H50" s="68"/>
      <c r="I50" s="68"/>
      <c r="J50" s="68"/>
      <c r="K50" s="68"/>
      <c r="L50" s="68"/>
      <c r="M50" s="68"/>
      <c r="N50" s="68"/>
      <c r="O50" s="68"/>
      <c r="P50" s="68"/>
      <c r="Q50" s="68"/>
      <c r="R50" s="68"/>
      <c r="S50" s="68"/>
      <c r="T50" s="68"/>
      <c r="U50" s="68"/>
      <c r="V50" s="68"/>
      <c r="W50" s="68"/>
      <c r="X50" s="68"/>
      <c r="Y50" s="68"/>
      <c r="Z50" s="68"/>
    </row>
    <row r="51">
      <c r="A51" s="68"/>
      <c r="B51" s="68"/>
      <c r="C51" s="68"/>
      <c r="D51" s="68"/>
      <c r="E51" s="68"/>
      <c r="F51" s="68"/>
      <c r="G51" s="68"/>
      <c r="H51" s="68"/>
      <c r="I51" s="68"/>
      <c r="J51" s="68"/>
      <c r="K51" s="68"/>
      <c r="L51" s="68"/>
      <c r="M51" s="68"/>
      <c r="N51" s="68"/>
      <c r="O51" s="68"/>
      <c r="P51" s="68"/>
      <c r="Q51" s="68"/>
      <c r="R51" s="68"/>
      <c r="S51" s="68"/>
      <c r="T51" s="68"/>
      <c r="U51" s="68"/>
      <c r="V51" s="68"/>
      <c r="W51" s="68"/>
      <c r="X51" s="68"/>
      <c r="Y51" s="68"/>
      <c r="Z51" s="68"/>
    </row>
    <row r="52">
      <c r="A52" s="68"/>
      <c r="B52" s="68"/>
      <c r="C52" s="68"/>
      <c r="D52" s="68"/>
      <c r="E52" s="68"/>
      <c r="F52" s="68"/>
      <c r="G52" s="68"/>
      <c r="H52" s="68"/>
      <c r="I52" s="68"/>
      <c r="J52" s="68"/>
      <c r="K52" s="68"/>
      <c r="L52" s="68"/>
      <c r="M52" s="68"/>
      <c r="N52" s="68"/>
      <c r="O52" s="68"/>
      <c r="P52" s="68"/>
      <c r="Q52" s="68"/>
      <c r="R52" s="68"/>
      <c r="S52" s="68"/>
      <c r="T52" s="68"/>
      <c r="U52" s="68"/>
      <c r="V52" s="68"/>
      <c r="W52" s="68"/>
      <c r="X52" s="68"/>
      <c r="Y52" s="68"/>
      <c r="Z52" s="68"/>
    </row>
    <row r="53">
      <c r="A53" s="68"/>
      <c r="B53" s="68"/>
      <c r="C53" s="68"/>
      <c r="D53" s="68"/>
      <c r="E53" s="68"/>
      <c r="F53" s="68"/>
      <c r="G53" s="68"/>
      <c r="H53" s="68"/>
      <c r="I53" s="68"/>
      <c r="J53" s="68"/>
      <c r="K53" s="68"/>
      <c r="L53" s="68"/>
      <c r="M53" s="68"/>
      <c r="N53" s="68"/>
      <c r="O53" s="68"/>
      <c r="P53" s="68"/>
      <c r="Q53" s="68"/>
      <c r="R53" s="68"/>
      <c r="S53" s="68"/>
      <c r="T53" s="68"/>
      <c r="U53" s="68"/>
      <c r="V53" s="68"/>
      <c r="W53" s="68"/>
      <c r="X53" s="68"/>
      <c r="Y53" s="68"/>
      <c r="Z53" s="68"/>
    </row>
    <row r="54">
      <c r="A54" s="68"/>
      <c r="B54" s="68"/>
      <c r="C54" s="68"/>
      <c r="D54" s="68"/>
      <c r="E54" s="68"/>
      <c r="F54" s="68"/>
      <c r="G54" s="68"/>
      <c r="H54" s="68"/>
      <c r="I54" s="68"/>
      <c r="J54" s="68"/>
      <c r="K54" s="68"/>
      <c r="L54" s="68"/>
      <c r="M54" s="68"/>
      <c r="N54" s="68"/>
      <c r="O54" s="68"/>
      <c r="P54" s="68"/>
      <c r="Q54" s="68"/>
      <c r="R54" s="68"/>
      <c r="S54" s="68"/>
      <c r="T54" s="68"/>
      <c r="U54" s="68"/>
      <c r="V54" s="68"/>
      <c r="W54" s="68"/>
      <c r="X54" s="68"/>
      <c r="Y54" s="68"/>
      <c r="Z54" s="68"/>
    </row>
    <row r="55">
      <c r="A55" s="68"/>
      <c r="B55" s="68"/>
      <c r="C55" s="68"/>
      <c r="D55" s="68"/>
      <c r="E55" s="68"/>
      <c r="F55" s="68"/>
      <c r="G55" s="68"/>
      <c r="H55" s="68"/>
      <c r="I55" s="68"/>
      <c r="J55" s="68"/>
      <c r="K55" s="68"/>
      <c r="L55" s="68"/>
      <c r="M55" s="68"/>
      <c r="N55" s="68"/>
      <c r="O55" s="68"/>
      <c r="P55" s="68"/>
      <c r="Q55" s="68"/>
      <c r="R55" s="68"/>
      <c r="S55" s="68"/>
      <c r="T55" s="68"/>
      <c r="U55" s="68"/>
      <c r="V55" s="68"/>
      <c r="W55" s="68"/>
      <c r="X55" s="68"/>
      <c r="Y55" s="68"/>
      <c r="Z55" s="68"/>
    </row>
    <row r="56">
      <c r="A56" s="68"/>
      <c r="B56" s="68"/>
      <c r="C56" s="68"/>
      <c r="D56" s="68"/>
      <c r="E56" s="68"/>
      <c r="F56" s="68"/>
      <c r="G56" s="68"/>
      <c r="H56" s="68"/>
      <c r="I56" s="68"/>
      <c r="J56" s="68"/>
      <c r="K56" s="68"/>
      <c r="L56" s="68"/>
      <c r="M56" s="68"/>
      <c r="N56" s="68"/>
      <c r="O56" s="68"/>
      <c r="P56" s="68"/>
      <c r="Q56" s="68"/>
      <c r="R56" s="68"/>
      <c r="S56" s="68"/>
      <c r="T56" s="68"/>
      <c r="U56" s="68"/>
      <c r="V56" s="68"/>
      <c r="W56" s="68"/>
      <c r="X56" s="68"/>
      <c r="Y56" s="68"/>
      <c r="Z56" s="68"/>
    </row>
    <row r="57">
      <c r="A57" s="68"/>
      <c r="B57" s="68"/>
      <c r="C57" s="68"/>
      <c r="D57" s="68"/>
      <c r="E57" s="68"/>
      <c r="F57" s="68"/>
      <c r="G57" s="68"/>
      <c r="H57" s="68"/>
      <c r="I57" s="68"/>
      <c r="J57" s="68"/>
      <c r="K57" s="68"/>
      <c r="L57" s="68"/>
      <c r="M57" s="68"/>
      <c r="N57" s="68"/>
      <c r="O57" s="68"/>
      <c r="P57" s="68"/>
      <c r="Q57" s="68"/>
      <c r="R57" s="68"/>
      <c r="S57" s="68"/>
      <c r="T57" s="68"/>
      <c r="U57" s="68"/>
      <c r="V57" s="68"/>
      <c r="W57" s="68"/>
      <c r="X57" s="68"/>
      <c r="Y57" s="68"/>
      <c r="Z57" s="68"/>
    </row>
    <row r="58">
      <c r="A58" s="68"/>
      <c r="B58" s="68"/>
      <c r="C58" s="68"/>
      <c r="D58" s="68"/>
      <c r="E58" s="68"/>
      <c r="F58" s="68"/>
      <c r="G58" s="68"/>
      <c r="H58" s="68"/>
      <c r="I58" s="68"/>
      <c r="J58" s="68"/>
      <c r="K58" s="68"/>
      <c r="L58" s="68"/>
      <c r="M58" s="68"/>
      <c r="N58" s="68"/>
      <c r="O58" s="68"/>
      <c r="P58" s="68"/>
      <c r="Q58" s="68"/>
      <c r="R58" s="68"/>
      <c r="S58" s="68"/>
      <c r="T58" s="68"/>
      <c r="U58" s="68"/>
      <c r="V58" s="68"/>
      <c r="W58" s="68"/>
      <c r="X58" s="68"/>
      <c r="Y58" s="68"/>
      <c r="Z58" s="68"/>
    </row>
    <row r="59">
      <c r="A59" s="68"/>
      <c r="B59" s="68"/>
      <c r="C59" s="68"/>
      <c r="D59" s="68"/>
      <c r="E59" s="68"/>
      <c r="F59" s="68"/>
      <c r="G59" s="68"/>
      <c r="H59" s="68"/>
      <c r="I59" s="68"/>
      <c r="J59" s="68"/>
      <c r="K59" s="68"/>
      <c r="L59" s="68"/>
      <c r="M59" s="68"/>
      <c r="N59" s="68"/>
      <c r="O59" s="68"/>
      <c r="P59" s="68"/>
      <c r="Q59" s="68"/>
      <c r="R59" s="68"/>
      <c r="S59" s="68"/>
      <c r="T59" s="68"/>
      <c r="U59" s="68"/>
      <c r="V59" s="68"/>
      <c r="W59" s="68"/>
      <c r="X59" s="68"/>
      <c r="Y59" s="68"/>
      <c r="Z59" s="68"/>
    </row>
    <row r="60">
      <c r="A60" s="68"/>
      <c r="B60" s="68"/>
      <c r="C60" s="68"/>
      <c r="D60" s="68"/>
      <c r="E60" s="68"/>
      <c r="F60" s="68"/>
      <c r="G60" s="68"/>
      <c r="H60" s="68"/>
      <c r="I60" s="68"/>
      <c r="J60" s="68"/>
      <c r="K60" s="68"/>
      <c r="L60" s="68"/>
      <c r="M60" s="68"/>
      <c r="N60" s="68"/>
      <c r="O60" s="68"/>
      <c r="P60" s="68"/>
      <c r="Q60" s="68"/>
      <c r="R60" s="68"/>
      <c r="S60" s="68"/>
      <c r="T60" s="68"/>
      <c r="U60" s="68"/>
      <c r="V60" s="68"/>
      <c r="W60" s="68"/>
      <c r="X60" s="68"/>
      <c r="Y60" s="68"/>
      <c r="Z60" s="68"/>
    </row>
    <row r="61">
      <c r="A61" s="68"/>
      <c r="B61" s="68"/>
      <c r="C61" s="68"/>
      <c r="D61" s="68"/>
      <c r="E61" s="68"/>
      <c r="F61" s="68"/>
      <c r="G61" s="68"/>
      <c r="H61" s="68"/>
      <c r="I61" s="68"/>
      <c r="J61" s="68"/>
      <c r="K61" s="68"/>
      <c r="L61" s="68"/>
      <c r="M61" s="68"/>
      <c r="N61" s="68"/>
      <c r="O61" s="68"/>
      <c r="P61" s="68"/>
      <c r="Q61" s="68"/>
      <c r="R61" s="68"/>
      <c r="S61" s="68"/>
      <c r="T61" s="68"/>
      <c r="U61" s="68"/>
      <c r="V61" s="68"/>
      <c r="W61" s="68"/>
      <c r="X61" s="68"/>
      <c r="Y61" s="68"/>
      <c r="Z61" s="68"/>
    </row>
    <row r="62">
      <c r="A62" s="68"/>
      <c r="B62" s="68"/>
      <c r="C62" s="68"/>
      <c r="D62" s="68"/>
      <c r="E62" s="68"/>
      <c r="F62" s="68"/>
      <c r="G62" s="68"/>
      <c r="H62" s="68"/>
      <c r="I62" s="68"/>
      <c r="J62" s="68"/>
      <c r="K62" s="68"/>
      <c r="L62" s="68"/>
      <c r="M62" s="68"/>
      <c r="N62" s="68"/>
      <c r="O62" s="68"/>
      <c r="P62" s="68"/>
      <c r="Q62" s="68"/>
      <c r="R62" s="68"/>
      <c r="S62" s="68"/>
      <c r="T62" s="68"/>
      <c r="U62" s="68"/>
      <c r="V62" s="68"/>
      <c r="W62" s="68"/>
      <c r="X62" s="68"/>
      <c r="Y62" s="68"/>
      <c r="Z62" s="68"/>
    </row>
    <row r="63">
      <c r="A63" s="68"/>
      <c r="B63" s="68"/>
      <c r="C63" s="68"/>
      <c r="D63" s="68"/>
      <c r="E63" s="68"/>
      <c r="F63" s="68"/>
      <c r="G63" s="68"/>
      <c r="H63" s="68"/>
      <c r="I63" s="68"/>
      <c r="J63" s="68"/>
      <c r="K63" s="68"/>
      <c r="L63" s="68"/>
      <c r="M63" s="68"/>
      <c r="N63" s="68"/>
      <c r="O63" s="68"/>
      <c r="P63" s="68"/>
      <c r="Q63" s="68"/>
      <c r="R63" s="68"/>
      <c r="S63" s="68"/>
      <c r="T63" s="68"/>
      <c r="U63" s="68"/>
      <c r="V63" s="68"/>
      <c r="W63" s="68"/>
      <c r="X63" s="68"/>
      <c r="Y63" s="68"/>
      <c r="Z63" s="68"/>
    </row>
    <row r="64">
      <c r="A64" s="68"/>
      <c r="B64" s="68"/>
      <c r="C64" s="68"/>
      <c r="D64" s="68"/>
      <c r="E64" s="68"/>
      <c r="F64" s="68"/>
      <c r="G64" s="68"/>
      <c r="H64" s="68"/>
      <c r="I64" s="68"/>
      <c r="J64" s="68"/>
      <c r="K64" s="68"/>
      <c r="L64" s="68"/>
      <c r="M64" s="68"/>
      <c r="N64" s="68"/>
      <c r="O64" s="68"/>
      <c r="P64" s="68"/>
      <c r="Q64" s="68"/>
      <c r="R64" s="68"/>
      <c r="S64" s="68"/>
      <c r="T64" s="68"/>
      <c r="U64" s="68"/>
      <c r="V64" s="68"/>
      <c r="W64" s="68"/>
      <c r="X64" s="68"/>
      <c r="Y64" s="68"/>
      <c r="Z64" s="68"/>
    </row>
    <row r="65">
      <c r="A65" s="68"/>
      <c r="B65" s="68"/>
      <c r="C65" s="68"/>
      <c r="D65" s="68"/>
      <c r="E65" s="68"/>
      <c r="F65" s="68"/>
      <c r="G65" s="68"/>
      <c r="H65" s="68"/>
      <c r="I65" s="68"/>
      <c r="J65" s="68"/>
      <c r="K65" s="68"/>
      <c r="L65" s="68"/>
      <c r="M65" s="68"/>
      <c r="N65" s="68"/>
      <c r="O65" s="68"/>
      <c r="P65" s="68"/>
      <c r="Q65" s="68"/>
      <c r="R65" s="68"/>
      <c r="S65" s="68"/>
      <c r="T65" s="68"/>
      <c r="U65" s="68"/>
      <c r="V65" s="68"/>
      <c r="W65" s="68"/>
      <c r="X65" s="68"/>
      <c r="Y65" s="68"/>
      <c r="Z65" s="68"/>
    </row>
    <row r="66">
      <c r="A66" s="68"/>
      <c r="B66" s="68"/>
      <c r="C66" s="68"/>
      <c r="D66" s="68"/>
      <c r="E66" s="68"/>
      <c r="F66" s="68"/>
      <c r="G66" s="68"/>
      <c r="H66" s="68"/>
      <c r="I66" s="68"/>
      <c r="J66" s="68"/>
      <c r="K66" s="68"/>
      <c r="L66" s="68"/>
      <c r="M66" s="68"/>
      <c r="N66" s="68"/>
      <c r="O66" s="68"/>
      <c r="P66" s="68"/>
      <c r="Q66" s="68"/>
      <c r="R66" s="68"/>
      <c r="S66" s="68"/>
      <c r="T66" s="68"/>
      <c r="U66" s="68"/>
      <c r="V66" s="68"/>
      <c r="W66" s="68"/>
      <c r="X66" s="68"/>
      <c r="Y66" s="68"/>
      <c r="Z66" s="68"/>
    </row>
    <row r="67">
      <c r="A67" s="68"/>
      <c r="B67" s="68"/>
      <c r="C67" s="68"/>
      <c r="D67" s="68"/>
      <c r="E67" s="68"/>
      <c r="F67" s="68"/>
      <c r="G67" s="68"/>
      <c r="H67" s="68"/>
      <c r="I67" s="68"/>
      <c r="J67" s="68"/>
      <c r="K67" s="68"/>
      <c r="L67" s="68"/>
      <c r="M67" s="68"/>
      <c r="N67" s="68"/>
      <c r="O67" s="68"/>
      <c r="P67" s="68"/>
      <c r="Q67" s="68"/>
      <c r="R67" s="68"/>
      <c r="S67" s="68"/>
      <c r="T67" s="68"/>
      <c r="U67" s="68"/>
      <c r="V67" s="68"/>
      <c r="W67" s="68"/>
      <c r="X67" s="68"/>
      <c r="Y67" s="68"/>
      <c r="Z67" s="68"/>
    </row>
    <row r="68">
      <c r="A68" s="68"/>
      <c r="B68" s="68"/>
      <c r="C68" s="68"/>
      <c r="D68" s="68"/>
      <c r="E68" s="68"/>
      <c r="F68" s="68"/>
      <c r="G68" s="68"/>
      <c r="H68" s="68"/>
      <c r="I68" s="68"/>
      <c r="J68" s="68"/>
      <c r="K68" s="68"/>
      <c r="L68" s="68"/>
      <c r="M68" s="68"/>
      <c r="N68" s="68"/>
      <c r="O68" s="68"/>
      <c r="P68" s="68"/>
      <c r="Q68" s="68"/>
      <c r="R68" s="68"/>
      <c r="S68" s="68"/>
      <c r="T68" s="68"/>
      <c r="U68" s="68"/>
      <c r="V68" s="68"/>
      <c r="W68" s="68"/>
      <c r="X68" s="68"/>
      <c r="Y68" s="68"/>
      <c r="Z68" s="68"/>
    </row>
    <row r="69">
      <c r="A69" s="68"/>
      <c r="B69" s="68"/>
      <c r="C69" s="68"/>
      <c r="D69" s="68"/>
      <c r="E69" s="68"/>
      <c r="F69" s="68"/>
      <c r="G69" s="68"/>
      <c r="H69" s="68"/>
      <c r="I69" s="68"/>
      <c r="J69" s="68"/>
      <c r="K69" s="68"/>
      <c r="L69" s="68"/>
      <c r="M69" s="68"/>
      <c r="N69" s="68"/>
      <c r="O69" s="68"/>
      <c r="P69" s="68"/>
      <c r="Q69" s="68"/>
      <c r="R69" s="68"/>
      <c r="S69" s="68"/>
      <c r="T69" s="68"/>
      <c r="U69" s="68"/>
      <c r="V69" s="68"/>
      <c r="W69" s="68"/>
      <c r="X69" s="68"/>
      <c r="Y69" s="68"/>
      <c r="Z69" s="68"/>
    </row>
    <row r="70">
      <c r="A70" s="68"/>
      <c r="B70" s="68"/>
      <c r="C70" s="68"/>
      <c r="D70" s="68"/>
      <c r="E70" s="68"/>
      <c r="F70" s="68"/>
      <c r="G70" s="68"/>
      <c r="H70" s="68"/>
      <c r="I70" s="68"/>
      <c r="J70" s="68"/>
      <c r="K70" s="68"/>
      <c r="L70" s="68"/>
      <c r="M70" s="68"/>
      <c r="N70" s="68"/>
      <c r="O70" s="68"/>
      <c r="P70" s="68"/>
      <c r="Q70" s="68"/>
      <c r="R70" s="68"/>
      <c r="S70" s="68"/>
      <c r="T70" s="68"/>
      <c r="U70" s="68"/>
      <c r="V70" s="68"/>
      <c r="W70" s="68"/>
      <c r="X70" s="68"/>
      <c r="Y70" s="68"/>
      <c r="Z70" s="68"/>
    </row>
    <row r="71">
      <c r="A71" s="68"/>
      <c r="B71" s="68"/>
      <c r="C71" s="68"/>
      <c r="D71" s="68"/>
      <c r="E71" s="68"/>
      <c r="F71" s="68"/>
      <c r="G71" s="68"/>
      <c r="H71" s="68"/>
      <c r="I71" s="68"/>
      <c r="J71" s="68"/>
      <c r="K71" s="68"/>
      <c r="L71" s="68"/>
      <c r="M71" s="68"/>
      <c r="N71" s="68"/>
      <c r="O71" s="68"/>
      <c r="P71" s="68"/>
      <c r="Q71" s="68"/>
      <c r="R71" s="68"/>
      <c r="S71" s="68"/>
      <c r="T71" s="68"/>
      <c r="U71" s="68"/>
      <c r="V71" s="68"/>
      <c r="W71" s="68"/>
      <c r="X71" s="68"/>
      <c r="Y71" s="68"/>
      <c r="Z71" s="68"/>
    </row>
    <row r="72">
      <c r="A72" s="68"/>
      <c r="B72" s="68"/>
      <c r="C72" s="68"/>
      <c r="D72" s="68"/>
      <c r="E72" s="68"/>
      <c r="F72" s="68"/>
      <c r="G72" s="68"/>
      <c r="H72" s="68"/>
      <c r="I72" s="68"/>
      <c r="J72" s="68"/>
      <c r="K72" s="68"/>
      <c r="L72" s="68"/>
      <c r="M72" s="68"/>
      <c r="N72" s="68"/>
      <c r="O72" s="68"/>
      <c r="P72" s="68"/>
      <c r="Q72" s="68"/>
      <c r="R72" s="68"/>
      <c r="S72" s="68"/>
      <c r="T72" s="68"/>
      <c r="U72" s="68"/>
      <c r="V72" s="68"/>
      <c r="W72" s="68"/>
      <c r="X72" s="68"/>
      <c r="Y72" s="68"/>
      <c r="Z72" s="68"/>
    </row>
    <row r="73">
      <c r="A73" s="68"/>
      <c r="B73" s="68"/>
      <c r="C73" s="68"/>
      <c r="D73" s="68"/>
      <c r="E73" s="68"/>
      <c r="F73" s="68"/>
      <c r="G73" s="68"/>
      <c r="H73" s="68"/>
      <c r="I73" s="68"/>
      <c r="J73" s="68"/>
      <c r="K73" s="68"/>
      <c r="L73" s="68"/>
      <c r="M73" s="68"/>
      <c r="N73" s="68"/>
      <c r="O73" s="68"/>
      <c r="P73" s="68"/>
      <c r="Q73" s="68"/>
      <c r="R73" s="68"/>
      <c r="S73" s="68"/>
      <c r="T73" s="68"/>
      <c r="U73" s="68"/>
      <c r="V73" s="68"/>
      <c r="W73" s="68"/>
      <c r="X73" s="68"/>
      <c r="Y73" s="68"/>
      <c r="Z73" s="68"/>
    </row>
    <row r="74">
      <c r="A74" s="68"/>
      <c r="B74" s="68"/>
      <c r="C74" s="68"/>
      <c r="D74" s="68"/>
      <c r="E74" s="68"/>
      <c r="F74" s="68"/>
      <c r="G74" s="68"/>
      <c r="H74" s="68"/>
      <c r="I74" s="68"/>
      <c r="J74" s="68"/>
      <c r="K74" s="68"/>
      <c r="L74" s="68"/>
      <c r="M74" s="68"/>
      <c r="N74" s="68"/>
      <c r="O74" s="68"/>
      <c r="P74" s="68"/>
      <c r="Q74" s="68"/>
      <c r="R74" s="68"/>
      <c r="S74" s="68"/>
      <c r="T74" s="68"/>
      <c r="U74" s="68"/>
      <c r="V74" s="68"/>
      <c r="W74" s="68"/>
      <c r="X74" s="68"/>
      <c r="Y74" s="68"/>
      <c r="Z74" s="68"/>
    </row>
    <row r="75">
      <c r="A75" s="68"/>
      <c r="B75" s="68"/>
      <c r="C75" s="68"/>
      <c r="D75" s="68"/>
      <c r="E75" s="68"/>
      <c r="F75" s="68"/>
      <c r="G75" s="68"/>
      <c r="H75" s="68"/>
      <c r="I75" s="68"/>
      <c r="J75" s="68"/>
      <c r="K75" s="68"/>
      <c r="L75" s="68"/>
      <c r="M75" s="68"/>
      <c r="N75" s="68"/>
      <c r="O75" s="68"/>
      <c r="P75" s="68"/>
      <c r="Q75" s="68"/>
      <c r="R75" s="68"/>
      <c r="S75" s="68"/>
      <c r="T75" s="68"/>
      <c r="U75" s="68"/>
      <c r="V75" s="68"/>
      <c r="W75" s="68"/>
      <c r="X75" s="68"/>
      <c r="Y75" s="68"/>
      <c r="Z75" s="68"/>
    </row>
    <row r="76">
      <c r="A76" s="68"/>
      <c r="B76" s="68"/>
      <c r="C76" s="68"/>
      <c r="D76" s="68"/>
      <c r="E76" s="68"/>
      <c r="F76" s="68"/>
      <c r="G76" s="68"/>
      <c r="H76" s="68"/>
      <c r="I76" s="68"/>
      <c r="J76" s="68"/>
      <c r="K76" s="68"/>
      <c r="L76" s="68"/>
      <c r="M76" s="68"/>
      <c r="N76" s="68"/>
      <c r="O76" s="68"/>
      <c r="P76" s="68"/>
      <c r="Q76" s="68"/>
      <c r="R76" s="68"/>
      <c r="S76" s="68"/>
      <c r="T76" s="68"/>
      <c r="U76" s="68"/>
      <c r="V76" s="68"/>
      <c r="W76" s="68"/>
      <c r="X76" s="68"/>
      <c r="Y76" s="68"/>
      <c r="Z76" s="68"/>
    </row>
    <row r="77">
      <c r="A77" s="68"/>
      <c r="B77" s="68"/>
      <c r="C77" s="68"/>
      <c r="D77" s="68"/>
      <c r="E77" s="68"/>
      <c r="F77" s="68"/>
      <c r="G77" s="68"/>
      <c r="H77" s="68"/>
      <c r="I77" s="68"/>
      <c r="J77" s="68"/>
      <c r="K77" s="68"/>
      <c r="L77" s="68"/>
      <c r="M77" s="68"/>
      <c r="N77" s="68"/>
      <c r="O77" s="68"/>
      <c r="P77" s="68"/>
      <c r="Q77" s="68"/>
      <c r="R77" s="68"/>
      <c r="S77" s="68"/>
      <c r="T77" s="68"/>
      <c r="U77" s="68"/>
      <c r="V77" s="68"/>
      <c r="W77" s="68"/>
      <c r="X77" s="68"/>
      <c r="Y77" s="68"/>
      <c r="Z77" s="68"/>
    </row>
    <row r="78">
      <c r="A78" s="68"/>
      <c r="B78" s="68"/>
      <c r="C78" s="68"/>
      <c r="D78" s="68"/>
      <c r="E78" s="68"/>
      <c r="F78" s="68"/>
      <c r="G78" s="68"/>
      <c r="H78" s="68"/>
      <c r="I78" s="68"/>
      <c r="J78" s="68"/>
      <c r="K78" s="68"/>
      <c r="L78" s="68"/>
      <c r="M78" s="68"/>
      <c r="N78" s="68"/>
      <c r="O78" s="68"/>
      <c r="P78" s="68"/>
      <c r="Q78" s="68"/>
      <c r="R78" s="68"/>
      <c r="S78" s="68"/>
      <c r="T78" s="68"/>
      <c r="U78" s="68"/>
      <c r="V78" s="68"/>
      <c r="W78" s="68"/>
      <c r="X78" s="68"/>
      <c r="Y78" s="68"/>
      <c r="Z78" s="68"/>
    </row>
    <row r="79">
      <c r="A79" s="68"/>
      <c r="B79" s="68"/>
      <c r="C79" s="68"/>
      <c r="D79" s="68"/>
      <c r="E79" s="68"/>
      <c r="F79" s="68"/>
      <c r="G79" s="68"/>
      <c r="H79" s="68"/>
      <c r="I79" s="68"/>
      <c r="J79" s="68"/>
      <c r="K79" s="68"/>
      <c r="L79" s="68"/>
      <c r="M79" s="68"/>
      <c r="N79" s="68"/>
      <c r="O79" s="68"/>
      <c r="P79" s="68"/>
      <c r="Q79" s="68"/>
      <c r="R79" s="68"/>
      <c r="S79" s="68"/>
      <c r="T79" s="68"/>
      <c r="U79" s="68"/>
      <c r="V79" s="68"/>
      <c r="W79" s="68"/>
      <c r="X79" s="68"/>
      <c r="Y79" s="68"/>
      <c r="Z79" s="68"/>
    </row>
    <row r="80">
      <c r="A80" s="68"/>
      <c r="B80" s="68"/>
      <c r="C80" s="68"/>
      <c r="D80" s="68"/>
      <c r="E80" s="68"/>
      <c r="F80" s="68"/>
      <c r="G80" s="68"/>
      <c r="H80" s="68"/>
      <c r="I80" s="68"/>
      <c r="J80" s="68"/>
      <c r="K80" s="68"/>
      <c r="L80" s="68"/>
      <c r="M80" s="68"/>
      <c r="N80" s="68"/>
      <c r="O80" s="68"/>
      <c r="P80" s="68"/>
      <c r="Q80" s="68"/>
      <c r="R80" s="68"/>
      <c r="S80" s="68"/>
      <c r="T80" s="68"/>
      <c r="U80" s="68"/>
      <c r="V80" s="68"/>
      <c r="W80" s="68"/>
      <c r="X80" s="68"/>
      <c r="Y80" s="68"/>
      <c r="Z80" s="68"/>
    </row>
    <row r="81">
      <c r="A81" s="68"/>
      <c r="B81" s="68"/>
      <c r="C81" s="68"/>
      <c r="D81" s="68"/>
      <c r="E81" s="68"/>
      <c r="F81" s="68"/>
      <c r="G81" s="68"/>
      <c r="H81" s="68"/>
      <c r="I81" s="68"/>
      <c r="J81" s="68"/>
      <c r="K81" s="68"/>
      <c r="L81" s="68"/>
      <c r="M81" s="68"/>
      <c r="N81" s="68"/>
      <c r="O81" s="68"/>
      <c r="P81" s="68"/>
      <c r="Q81" s="68"/>
      <c r="R81" s="68"/>
      <c r="S81" s="68"/>
      <c r="T81" s="68"/>
      <c r="U81" s="68"/>
      <c r="V81" s="68"/>
      <c r="W81" s="68"/>
      <c r="X81" s="68"/>
      <c r="Y81" s="68"/>
      <c r="Z81" s="68"/>
    </row>
    <row r="82">
      <c r="A82" s="68"/>
      <c r="B82" s="68"/>
      <c r="C82" s="68"/>
      <c r="D82" s="68"/>
      <c r="E82" s="68"/>
      <c r="F82" s="68"/>
      <c r="G82" s="68"/>
      <c r="H82" s="68"/>
      <c r="I82" s="68"/>
      <c r="J82" s="68"/>
      <c r="K82" s="68"/>
      <c r="L82" s="68"/>
      <c r="M82" s="68"/>
      <c r="N82" s="68"/>
      <c r="O82" s="68"/>
      <c r="P82" s="68"/>
      <c r="Q82" s="68"/>
      <c r="R82" s="68"/>
      <c r="S82" s="68"/>
      <c r="T82" s="68"/>
      <c r="U82" s="68"/>
      <c r="V82" s="68"/>
      <c r="W82" s="68"/>
      <c r="X82" s="68"/>
      <c r="Y82" s="68"/>
      <c r="Z82" s="68"/>
    </row>
    <row r="83">
      <c r="A83" s="68"/>
      <c r="B83" s="68"/>
      <c r="C83" s="68"/>
      <c r="D83" s="68"/>
      <c r="E83" s="68"/>
      <c r="F83" s="68"/>
      <c r="G83" s="68"/>
      <c r="H83" s="68"/>
      <c r="I83" s="68"/>
      <c r="J83" s="68"/>
      <c r="K83" s="68"/>
      <c r="L83" s="68"/>
      <c r="M83" s="68"/>
      <c r="N83" s="68"/>
      <c r="O83" s="68"/>
      <c r="P83" s="68"/>
      <c r="Q83" s="68"/>
      <c r="R83" s="68"/>
      <c r="S83" s="68"/>
      <c r="T83" s="68"/>
      <c r="U83" s="68"/>
      <c r="V83" s="68"/>
      <c r="W83" s="68"/>
      <c r="X83" s="68"/>
      <c r="Y83" s="68"/>
      <c r="Z83" s="68"/>
    </row>
    <row r="84">
      <c r="A84" s="68"/>
      <c r="B84" s="68"/>
      <c r="C84" s="68"/>
      <c r="D84" s="68"/>
      <c r="E84" s="68"/>
      <c r="F84" s="68"/>
      <c r="G84" s="68"/>
      <c r="H84" s="68"/>
      <c r="I84" s="68"/>
      <c r="J84" s="68"/>
      <c r="K84" s="68"/>
      <c r="L84" s="68"/>
      <c r="M84" s="68"/>
      <c r="N84" s="68"/>
      <c r="O84" s="68"/>
      <c r="P84" s="68"/>
      <c r="Q84" s="68"/>
      <c r="R84" s="68"/>
      <c r="S84" s="68"/>
      <c r="T84" s="68"/>
      <c r="U84" s="68"/>
      <c r="V84" s="68"/>
      <c r="W84" s="68"/>
      <c r="X84" s="68"/>
      <c r="Y84" s="68"/>
      <c r="Z84" s="68"/>
    </row>
    <row r="85">
      <c r="A85" s="68"/>
      <c r="B85" s="68"/>
      <c r="C85" s="68"/>
      <c r="D85" s="68"/>
      <c r="E85" s="68"/>
      <c r="F85" s="68"/>
      <c r="G85" s="68"/>
      <c r="H85" s="68"/>
      <c r="I85" s="68"/>
      <c r="J85" s="68"/>
      <c r="K85" s="68"/>
      <c r="L85" s="68"/>
      <c r="M85" s="68"/>
      <c r="N85" s="68"/>
      <c r="O85" s="68"/>
      <c r="P85" s="68"/>
      <c r="Q85" s="68"/>
      <c r="R85" s="68"/>
      <c r="S85" s="68"/>
      <c r="T85" s="68"/>
      <c r="U85" s="68"/>
      <c r="V85" s="68"/>
      <c r="W85" s="68"/>
      <c r="X85" s="68"/>
      <c r="Y85" s="68"/>
      <c r="Z85" s="68"/>
    </row>
    <row r="86">
      <c r="A86" s="68"/>
      <c r="B86" s="68"/>
      <c r="C86" s="68"/>
      <c r="D86" s="68"/>
      <c r="E86" s="68"/>
      <c r="F86" s="68"/>
      <c r="G86" s="68"/>
      <c r="H86" s="68"/>
      <c r="I86" s="68"/>
      <c r="J86" s="68"/>
      <c r="K86" s="68"/>
      <c r="L86" s="68"/>
      <c r="M86" s="68"/>
      <c r="N86" s="68"/>
      <c r="O86" s="68"/>
      <c r="P86" s="68"/>
      <c r="Q86" s="68"/>
      <c r="R86" s="68"/>
      <c r="S86" s="68"/>
      <c r="T86" s="68"/>
      <c r="U86" s="68"/>
      <c r="V86" s="68"/>
      <c r="W86" s="68"/>
      <c r="X86" s="68"/>
      <c r="Y86" s="68"/>
      <c r="Z86" s="68"/>
    </row>
    <row r="87">
      <c r="A87" s="68"/>
      <c r="B87" s="68"/>
      <c r="C87" s="68"/>
      <c r="D87" s="68"/>
      <c r="E87" s="68"/>
      <c r="F87" s="68"/>
      <c r="G87" s="68"/>
      <c r="H87" s="68"/>
      <c r="I87" s="68"/>
      <c r="J87" s="68"/>
      <c r="K87" s="68"/>
      <c r="L87" s="68"/>
      <c r="M87" s="68"/>
      <c r="N87" s="68"/>
      <c r="O87" s="68"/>
      <c r="P87" s="68"/>
      <c r="Q87" s="68"/>
      <c r="R87" s="68"/>
      <c r="S87" s="68"/>
      <c r="T87" s="68"/>
      <c r="U87" s="68"/>
      <c r="V87" s="68"/>
      <c r="W87" s="68"/>
      <c r="X87" s="68"/>
      <c r="Y87" s="68"/>
      <c r="Z87" s="68"/>
    </row>
    <row r="88">
      <c r="A88" s="68"/>
      <c r="B88" s="68"/>
      <c r="C88" s="68"/>
      <c r="D88" s="68"/>
      <c r="E88" s="68"/>
      <c r="F88" s="68"/>
      <c r="G88" s="68"/>
      <c r="H88" s="68"/>
      <c r="I88" s="68"/>
      <c r="J88" s="68"/>
      <c r="K88" s="68"/>
      <c r="L88" s="68"/>
      <c r="M88" s="68"/>
      <c r="N88" s="68"/>
      <c r="O88" s="68"/>
      <c r="P88" s="68"/>
      <c r="Q88" s="68"/>
      <c r="R88" s="68"/>
      <c r="S88" s="68"/>
      <c r="T88" s="68"/>
      <c r="U88" s="68"/>
      <c r="V88" s="68"/>
      <c r="W88" s="68"/>
      <c r="X88" s="68"/>
      <c r="Y88" s="68"/>
      <c r="Z88" s="68"/>
    </row>
    <row r="89">
      <c r="A89" s="68"/>
      <c r="B89" s="68"/>
      <c r="C89" s="68"/>
      <c r="D89" s="68"/>
      <c r="E89" s="68"/>
      <c r="F89" s="68"/>
      <c r="G89" s="68"/>
      <c r="H89" s="68"/>
      <c r="I89" s="68"/>
      <c r="J89" s="68"/>
      <c r="K89" s="68"/>
      <c r="L89" s="68"/>
      <c r="M89" s="68"/>
      <c r="N89" s="68"/>
      <c r="O89" s="68"/>
      <c r="P89" s="68"/>
      <c r="Q89" s="68"/>
      <c r="R89" s="68"/>
      <c r="S89" s="68"/>
      <c r="T89" s="68"/>
      <c r="U89" s="68"/>
      <c r="V89" s="68"/>
      <c r="W89" s="68"/>
      <c r="X89" s="68"/>
      <c r="Y89" s="68"/>
      <c r="Z89" s="68"/>
    </row>
    <row r="90">
      <c r="A90" s="68"/>
      <c r="B90" s="68"/>
      <c r="C90" s="68"/>
      <c r="D90" s="68"/>
      <c r="E90" s="68"/>
      <c r="F90" s="68"/>
      <c r="G90" s="68"/>
      <c r="H90" s="68"/>
      <c r="I90" s="68"/>
      <c r="J90" s="68"/>
      <c r="K90" s="68"/>
      <c r="L90" s="68"/>
      <c r="M90" s="68"/>
      <c r="N90" s="68"/>
      <c r="O90" s="68"/>
      <c r="P90" s="68"/>
      <c r="Q90" s="68"/>
      <c r="R90" s="68"/>
      <c r="S90" s="68"/>
      <c r="T90" s="68"/>
      <c r="U90" s="68"/>
      <c r="V90" s="68"/>
      <c r="W90" s="68"/>
      <c r="X90" s="68"/>
      <c r="Y90" s="68"/>
      <c r="Z90" s="68"/>
    </row>
    <row r="91">
      <c r="A91" s="68"/>
      <c r="B91" s="68"/>
      <c r="C91" s="68"/>
      <c r="D91" s="68"/>
      <c r="E91" s="68"/>
      <c r="F91" s="68"/>
      <c r="G91" s="68"/>
      <c r="H91" s="68"/>
      <c r="I91" s="68"/>
      <c r="J91" s="68"/>
      <c r="K91" s="68"/>
      <c r="L91" s="68"/>
      <c r="M91" s="68"/>
      <c r="N91" s="68"/>
      <c r="O91" s="68"/>
      <c r="P91" s="68"/>
      <c r="Q91" s="68"/>
      <c r="R91" s="68"/>
      <c r="S91" s="68"/>
      <c r="T91" s="68"/>
      <c r="U91" s="68"/>
      <c r="V91" s="68"/>
      <c r="W91" s="68"/>
      <c r="X91" s="68"/>
      <c r="Y91" s="68"/>
      <c r="Z91" s="68"/>
    </row>
    <row r="92">
      <c r="A92" s="68"/>
      <c r="B92" s="68"/>
      <c r="C92" s="68"/>
      <c r="D92" s="68"/>
      <c r="E92" s="68"/>
      <c r="F92" s="68"/>
      <c r="G92" s="68"/>
      <c r="H92" s="68"/>
      <c r="I92" s="68"/>
      <c r="J92" s="68"/>
      <c r="K92" s="68"/>
      <c r="L92" s="68"/>
      <c r="M92" s="68"/>
      <c r="N92" s="68"/>
      <c r="O92" s="68"/>
      <c r="P92" s="68"/>
      <c r="Q92" s="68"/>
      <c r="R92" s="68"/>
      <c r="S92" s="68"/>
      <c r="T92" s="68"/>
      <c r="U92" s="68"/>
      <c r="V92" s="68"/>
      <c r="W92" s="68"/>
      <c r="X92" s="68"/>
      <c r="Y92" s="68"/>
      <c r="Z92" s="68"/>
    </row>
    <row r="93">
      <c r="A93" s="68"/>
      <c r="B93" s="68"/>
      <c r="C93" s="68"/>
      <c r="D93" s="68"/>
      <c r="E93" s="68"/>
      <c r="F93" s="68"/>
      <c r="G93" s="68"/>
      <c r="H93" s="68"/>
      <c r="I93" s="68"/>
      <c r="J93" s="68"/>
      <c r="K93" s="68"/>
      <c r="L93" s="68"/>
      <c r="M93" s="68"/>
      <c r="N93" s="68"/>
      <c r="O93" s="68"/>
      <c r="P93" s="68"/>
      <c r="Q93" s="68"/>
      <c r="R93" s="68"/>
      <c r="S93" s="68"/>
      <c r="T93" s="68"/>
      <c r="U93" s="68"/>
      <c r="V93" s="68"/>
      <c r="W93" s="68"/>
      <c r="X93" s="68"/>
      <c r="Y93" s="68"/>
      <c r="Z93" s="68"/>
    </row>
    <row r="94">
      <c r="A94" s="68"/>
      <c r="B94" s="68"/>
      <c r="C94" s="68"/>
      <c r="D94" s="68"/>
      <c r="E94" s="68"/>
      <c r="F94" s="68"/>
      <c r="G94" s="68"/>
      <c r="H94" s="68"/>
      <c r="I94" s="68"/>
      <c r="J94" s="68"/>
      <c r="K94" s="68"/>
      <c r="L94" s="68"/>
      <c r="M94" s="68"/>
      <c r="N94" s="68"/>
      <c r="O94" s="68"/>
      <c r="P94" s="68"/>
      <c r="Q94" s="68"/>
      <c r="R94" s="68"/>
      <c r="S94" s="68"/>
      <c r="T94" s="68"/>
      <c r="U94" s="68"/>
      <c r="V94" s="68"/>
      <c r="W94" s="68"/>
      <c r="X94" s="68"/>
      <c r="Y94" s="68"/>
      <c r="Z94" s="68"/>
    </row>
    <row r="95">
      <c r="A95" s="68"/>
      <c r="B95" s="68"/>
      <c r="C95" s="68"/>
      <c r="D95" s="68"/>
      <c r="E95" s="68"/>
      <c r="F95" s="68"/>
      <c r="G95" s="68"/>
      <c r="H95" s="68"/>
      <c r="I95" s="68"/>
      <c r="J95" s="68"/>
      <c r="K95" s="68"/>
      <c r="L95" s="68"/>
      <c r="M95" s="68"/>
      <c r="N95" s="68"/>
      <c r="O95" s="68"/>
      <c r="P95" s="68"/>
      <c r="Q95" s="68"/>
      <c r="R95" s="68"/>
      <c r="S95" s="68"/>
      <c r="T95" s="68"/>
      <c r="U95" s="68"/>
      <c r="V95" s="68"/>
      <c r="W95" s="68"/>
      <c r="X95" s="68"/>
      <c r="Y95" s="68"/>
      <c r="Z95" s="68"/>
    </row>
    <row r="96">
      <c r="A96" s="68"/>
      <c r="B96" s="68"/>
      <c r="C96" s="68"/>
      <c r="D96" s="68"/>
      <c r="E96" s="68"/>
      <c r="F96" s="68"/>
      <c r="G96" s="68"/>
      <c r="H96" s="68"/>
      <c r="I96" s="68"/>
      <c r="J96" s="68"/>
      <c r="K96" s="68"/>
      <c r="L96" s="68"/>
      <c r="M96" s="68"/>
      <c r="N96" s="68"/>
      <c r="O96" s="68"/>
      <c r="P96" s="68"/>
      <c r="Q96" s="68"/>
      <c r="R96" s="68"/>
      <c r="S96" s="68"/>
      <c r="T96" s="68"/>
      <c r="U96" s="68"/>
      <c r="V96" s="68"/>
      <c r="W96" s="68"/>
      <c r="X96" s="68"/>
      <c r="Y96" s="68"/>
      <c r="Z96" s="68"/>
    </row>
    <row r="97">
      <c r="A97" s="68"/>
      <c r="B97" s="68"/>
      <c r="C97" s="68"/>
      <c r="D97" s="68"/>
      <c r="E97" s="68"/>
      <c r="F97" s="68"/>
      <c r="G97" s="68"/>
      <c r="H97" s="68"/>
      <c r="I97" s="68"/>
      <c r="J97" s="68"/>
      <c r="K97" s="68"/>
      <c r="L97" s="68"/>
      <c r="M97" s="68"/>
      <c r="N97" s="68"/>
      <c r="O97" s="68"/>
      <c r="P97" s="68"/>
      <c r="Q97" s="68"/>
      <c r="R97" s="68"/>
      <c r="S97" s="68"/>
      <c r="T97" s="68"/>
      <c r="U97" s="68"/>
      <c r="V97" s="68"/>
      <c r="W97" s="68"/>
      <c r="X97" s="68"/>
      <c r="Y97" s="68"/>
      <c r="Z97" s="68"/>
    </row>
    <row r="98">
      <c r="A98" s="68"/>
      <c r="B98" s="68"/>
      <c r="C98" s="68"/>
      <c r="D98" s="68"/>
      <c r="E98" s="68"/>
      <c r="F98" s="68"/>
      <c r="G98" s="68"/>
      <c r="H98" s="68"/>
      <c r="I98" s="68"/>
      <c r="J98" s="68"/>
      <c r="K98" s="68"/>
      <c r="L98" s="68"/>
      <c r="M98" s="68"/>
      <c r="N98" s="68"/>
      <c r="O98" s="68"/>
      <c r="P98" s="68"/>
      <c r="Q98" s="68"/>
      <c r="R98" s="68"/>
      <c r="S98" s="68"/>
      <c r="T98" s="68"/>
      <c r="U98" s="68"/>
      <c r="V98" s="68"/>
      <c r="W98" s="68"/>
      <c r="X98" s="68"/>
      <c r="Y98" s="68"/>
      <c r="Z98" s="68"/>
    </row>
    <row r="99">
      <c r="A99" s="68"/>
      <c r="B99" s="68"/>
      <c r="C99" s="68"/>
      <c r="D99" s="68"/>
      <c r="E99" s="68"/>
      <c r="F99" s="68"/>
      <c r="G99" s="68"/>
      <c r="H99" s="68"/>
      <c r="I99" s="68"/>
      <c r="J99" s="68"/>
      <c r="K99" s="68"/>
      <c r="L99" s="68"/>
      <c r="M99" s="68"/>
      <c r="N99" s="68"/>
      <c r="O99" s="68"/>
      <c r="P99" s="68"/>
      <c r="Q99" s="68"/>
      <c r="R99" s="68"/>
      <c r="S99" s="68"/>
      <c r="T99" s="68"/>
      <c r="U99" s="68"/>
      <c r="V99" s="68"/>
      <c r="W99" s="68"/>
      <c r="X99" s="68"/>
      <c r="Y99" s="68"/>
      <c r="Z99" s="68"/>
    </row>
    <row r="100">
      <c r="A100" s="68"/>
      <c r="B100" s="68"/>
      <c r="C100" s="68"/>
      <c r="D100" s="68"/>
      <c r="E100" s="68"/>
      <c r="F100" s="68"/>
      <c r="G100" s="68"/>
      <c r="H100" s="68"/>
      <c r="I100" s="68"/>
      <c r="J100" s="68"/>
      <c r="K100" s="68"/>
      <c r="L100" s="68"/>
      <c r="M100" s="68"/>
      <c r="N100" s="68"/>
      <c r="O100" s="68"/>
      <c r="P100" s="68"/>
      <c r="Q100" s="68"/>
      <c r="R100" s="68"/>
      <c r="S100" s="68"/>
      <c r="T100" s="68"/>
      <c r="U100" s="68"/>
      <c r="V100" s="68"/>
      <c r="W100" s="68"/>
      <c r="X100" s="68"/>
      <c r="Y100" s="68"/>
      <c r="Z100" s="68"/>
    </row>
    <row r="101">
      <c r="A101" s="68"/>
      <c r="B101" s="68"/>
      <c r="C101" s="68"/>
      <c r="D101" s="68"/>
      <c r="E101" s="68"/>
      <c r="F101" s="68"/>
      <c r="G101" s="68"/>
      <c r="H101" s="68"/>
      <c r="I101" s="68"/>
      <c r="J101" s="68"/>
      <c r="K101" s="68"/>
      <c r="L101" s="68"/>
      <c r="M101" s="68"/>
      <c r="N101" s="68"/>
      <c r="O101" s="68"/>
      <c r="P101" s="68"/>
      <c r="Q101" s="68"/>
      <c r="R101" s="68"/>
      <c r="S101" s="68"/>
      <c r="T101" s="68"/>
      <c r="U101" s="68"/>
      <c r="V101" s="68"/>
      <c r="W101" s="68"/>
      <c r="X101" s="68"/>
      <c r="Y101" s="68"/>
      <c r="Z101" s="68"/>
    </row>
    <row r="102">
      <c r="A102" s="68"/>
      <c r="B102" s="68"/>
      <c r="C102" s="68"/>
      <c r="D102" s="68"/>
      <c r="E102" s="68"/>
      <c r="F102" s="68"/>
      <c r="G102" s="68"/>
      <c r="H102" s="68"/>
      <c r="I102" s="68"/>
      <c r="J102" s="68"/>
      <c r="K102" s="68"/>
      <c r="L102" s="68"/>
      <c r="M102" s="68"/>
      <c r="N102" s="68"/>
      <c r="O102" s="68"/>
      <c r="P102" s="68"/>
      <c r="Q102" s="68"/>
      <c r="R102" s="68"/>
      <c r="S102" s="68"/>
      <c r="T102" s="68"/>
      <c r="U102" s="68"/>
      <c r="V102" s="68"/>
      <c r="W102" s="68"/>
      <c r="X102" s="68"/>
      <c r="Y102" s="68"/>
      <c r="Z102" s="68"/>
    </row>
    <row r="103">
      <c r="A103" s="68"/>
      <c r="B103" s="68"/>
      <c r="C103" s="68"/>
      <c r="D103" s="68"/>
      <c r="E103" s="68"/>
      <c r="F103" s="68"/>
      <c r="G103" s="68"/>
      <c r="H103" s="68"/>
      <c r="I103" s="68"/>
      <c r="J103" s="68"/>
      <c r="K103" s="68"/>
      <c r="L103" s="68"/>
      <c r="M103" s="68"/>
      <c r="N103" s="68"/>
      <c r="O103" s="68"/>
      <c r="P103" s="68"/>
      <c r="Q103" s="68"/>
      <c r="R103" s="68"/>
      <c r="S103" s="68"/>
      <c r="T103" s="68"/>
      <c r="U103" s="68"/>
      <c r="V103" s="68"/>
      <c r="W103" s="68"/>
      <c r="X103" s="68"/>
      <c r="Y103" s="68"/>
      <c r="Z103" s="68"/>
    </row>
    <row r="104">
      <c r="A104" s="68"/>
      <c r="B104" s="68"/>
      <c r="C104" s="68"/>
      <c r="D104" s="68"/>
      <c r="E104" s="68"/>
      <c r="F104" s="68"/>
      <c r="G104" s="68"/>
      <c r="H104" s="68"/>
      <c r="I104" s="68"/>
      <c r="J104" s="68"/>
      <c r="K104" s="68"/>
      <c r="L104" s="68"/>
      <c r="M104" s="68"/>
      <c r="N104" s="68"/>
      <c r="O104" s="68"/>
      <c r="P104" s="68"/>
      <c r="Q104" s="68"/>
      <c r="R104" s="68"/>
      <c r="S104" s="68"/>
      <c r="T104" s="68"/>
      <c r="U104" s="68"/>
      <c r="V104" s="68"/>
      <c r="W104" s="68"/>
      <c r="X104" s="68"/>
      <c r="Y104" s="68"/>
      <c r="Z104" s="68"/>
    </row>
    <row r="105">
      <c r="A105" s="68"/>
      <c r="B105" s="68"/>
      <c r="C105" s="68"/>
      <c r="D105" s="68"/>
      <c r="E105" s="68"/>
      <c r="F105" s="68"/>
      <c r="G105" s="68"/>
      <c r="H105" s="68"/>
      <c r="I105" s="68"/>
      <c r="J105" s="68"/>
      <c r="K105" s="68"/>
      <c r="L105" s="68"/>
      <c r="M105" s="68"/>
      <c r="N105" s="68"/>
      <c r="O105" s="68"/>
      <c r="P105" s="68"/>
      <c r="Q105" s="68"/>
      <c r="R105" s="68"/>
      <c r="S105" s="68"/>
      <c r="T105" s="68"/>
      <c r="U105" s="68"/>
      <c r="V105" s="68"/>
      <c r="W105" s="68"/>
      <c r="X105" s="68"/>
      <c r="Y105" s="68"/>
      <c r="Z105" s="68"/>
    </row>
    <row r="106">
      <c r="A106" s="68"/>
      <c r="B106" s="68"/>
      <c r="C106" s="68"/>
      <c r="D106" s="68"/>
      <c r="E106" s="68"/>
      <c r="F106" s="68"/>
      <c r="G106" s="68"/>
      <c r="H106" s="68"/>
      <c r="I106" s="68"/>
      <c r="J106" s="68"/>
      <c r="K106" s="68"/>
      <c r="L106" s="68"/>
      <c r="M106" s="68"/>
      <c r="N106" s="68"/>
      <c r="O106" s="68"/>
      <c r="P106" s="68"/>
      <c r="Q106" s="68"/>
      <c r="R106" s="68"/>
      <c r="S106" s="68"/>
      <c r="T106" s="68"/>
      <c r="U106" s="68"/>
      <c r="V106" s="68"/>
      <c r="W106" s="68"/>
      <c r="X106" s="68"/>
      <c r="Y106" s="68"/>
      <c r="Z106" s="68"/>
    </row>
    <row r="107">
      <c r="A107" s="68"/>
      <c r="B107" s="68"/>
      <c r="C107" s="68"/>
      <c r="D107" s="68"/>
      <c r="E107" s="68"/>
      <c r="F107" s="68"/>
      <c r="G107" s="68"/>
      <c r="H107" s="68"/>
      <c r="I107" s="68"/>
      <c r="J107" s="68"/>
      <c r="K107" s="68"/>
      <c r="L107" s="68"/>
      <c r="M107" s="68"/>
      <c r="N107" s="68"/>
      <c r="O107" s="68"/>
      <c r="P107" s="68"/>
      <c r="Q107" s="68"/>
      <c r="R107" s="68"/>
      <c r="S107" s="68"/>
      <c r="T107" s="68"/>
      <c r="U107" s="68"/>
      <c r="V107" s="68"/>
      <c r="W107" s="68"/>
      <c r="X107" s="68"/>
      <c r="Y107" s="68"/>
      <c r="Z107" s="68"/>
    </row>
    <row r="108">
      <c r="A108" s="68"/>
      <c r="B108" s="68"/>
      <c r="C108" s="68"/>
      <c r="D108" s="68"/>
      <c r="E108" s="68"/>
      <c r="F108" s="68"/>
      <c r="G108" s="68"/>
      <c r="H108" s="68"/>
      <c r="I108" s="68"/>
      <c r="J108" s="68"/>
      <c r="K108" s="68"/>
      <c r="L108" s="68"/>
      <c r="M108" s="68"/>
      <c r="N108" s="68"/>
      <c r="O108" s="68"/>
      <c r="P108" s="68"/>
      <c r="Q108" s="68"/>
      <c r="R108" s="68"/>
      <c r="S108" s="68"/>
      <c r="T108" s="68"/>
      <c r="U108" s="68"/>
      <c r="V108" s="68"/>
      <c r="W108" s="68"/>
      <c r="X108" s="68"/>
      <c r="Y108" s="68"/>
      <c r="Z108" s="68"/>
    </row>
    <row r="109">
      <c r="A109" s="68"/>
      <c r="B109" s="68"/>
      <c r="C109" s="68"/>
      <c r="D109" s="68"/>
      <c r="E109" s="68"/>
      <c r="F109" s="68"/>
      <c r="G109" s="68"/>
      <c r="H109" s="68"/>
      <c r="I109" s="68"/>
      <c r="J109" s="68"/>
      <c r="K109" s="68"/>
      <c r="L109" s="68"/>
      <c r="M109" s="68"/>
      <c r="N109" s="68"/>
      <c r="O109" s="68"/>
      <c r="P109" s="68"/>
      <c r="Q109" s="68"/>
      <c r="R109" s="68"/>
      <c r="S109" s="68"/>
      <c r="T109" s="68"/>
      <c r="U109" s="68"/>
      <c r="V109" s="68"/>
      <c r="W109" s="68"/>
      <c r="X109" s="68"/>
      <c r="Y109" s="68"/>
      <c r="Z109" s="68"/>
    </row>
    <row r="110">
      <c r="A110" s="68"/>
      <c r="B110" s="68"/>
      <c r="C110" s="68"/>
      <c r="D110" s="68"/>
      <c r="E110" s="68"/>
      <c r="F110" s="68"/>
      <c r="G110" s="68"/>
      <c r="H110" s="68"/>
      <c r="I110" s="68"/>
      <c r="J110" s="68"/>
      <c r="K110" s="68"/>
      <c r="L110" s="68"/>
      <c r="M110" s="68"/>
      <c r="N110" s="68"/>
      <c r="O110" s="68"/>
      <c r="P110" s="68"/>
      <c r="Q110" s="68"/>
      <c r="R110" s="68"/>
      <c r="S110" s="68"/>
      <c r="T110" s="68"/>
      <c r="U110" s="68"/>
      <c r="V110" s="68"/>
      <c r="W110" s="68"/>
      <c r="X110" s="68"/>
      <c r="Y110" s="68"/>
      <c r="Z110" s="68"/>
    </row>
    <row r="111">
      <c r="A111" s="68"/>
      <c r="B111" s="68"/>
      <c r="C111" s="68"/>
      <c r="D111" s="68"/>
      <c r="E111" s="68"/>
      <c r="F111" s="68"/>
      <c r="G111" s="68"/>
      <c r="H111" s="68"/>
      <c r="I111" s="68"/>
      <c r="J111" s="68"/>
      <c r="K111" s="68"/>
      <c r="L111" s="68"/>
      <c r="M111" s="68"/>
      <c r="N111" s="68"/>
      <c r="O111" s="68"/>
      <c r="P111" s="68"/>
      <c r="Q111" s="68"/>
      <c r="R111" s="68"/>
      <c r="S111" s="68"/>
      <c r="T111" s="68"/>
      <c r="U111" s="68"/>
      <c r="V111" s="68"/>
      <c r="W111" s="68"/>
      <c r="X111" s="68"/>
      <c r="Y111" s="68"/>
      <c r="Z111" s="68"/>
    </row>
    <row r="112">
      <c r="A112" s="68"/>
      <c r="B112" s="68"/>
      <c r="C112" s="68"/>
      <c r="D112" s="68"/>
      <c r="E112" s="68"/>
      <c r="F112" s="68"/>
      <c r="G112" s="68"/>
      <c r="H112" s="68"/>
      <c r="I112" s="68"/>
      <c r="J112" s="68"/>
      <c r="K112" s="68"/>
      <c r="L112" s="68"/>
      <c r="M112" s="68"/>
      <c r="N112" s="68"/>
      <c r="O112" s="68"/>
      <c r="P112" s="68"/>
      <c r="Q112" s="68"/>
      <c r="R112" s="68"/>
      <c r="S112" s="68"/>
      <c r="T112" s="68"/>
      <c r="U112" s="68"/>
      <c r="V112" s="68"/>
      <c r="W112" s="68"/>
      <c r="X112" s="68"/>
      <c r="Y112" s="68"/>
      <c r="Z112" s="68"/>
    </row>
    <row r="113">
      <c r="A113" s="68"/>
      <c r="B113" s="68"/>
      <c r="C113" s="68"/>
      <c r="D113" s="68"/>
      <c r="E113" s="68"/>
      <c r="F113" s="68"/>
      <c r="G113" s="68"/>
      <c r="H113" s="68"/>
      <c r="I113" s="68"/>
      <c r="J113" s="68"/>
      <c r="K113" s="68"/>
      <c r="L113" s="68"/>
      <c r="M113" s="68"/>
      <c r="N113" s="68"/>
      <c r="O113" s="68"/>
      <c r="P113" s="68"/>
      <c r="Q113" s="68"/>
      <c r="R113" s="68"/>
      <c r="S113" s="68"/>
      <c r="T113" s="68"/>
      <c r="U113" s="68"/>
      <c r="V113" s="68"/>
      <c r="W113" s="68"/>
      <c r="X113" s="68"/>
      <c r="Y113" s="68"/>
      <c r="Z113" s="68"/>
    </row>
    <row r="114">
      <c r="A114" s="68"/>
      <c r="B114" s="68"/>
      <c r="C114" s="68"/>
      <c r="D114" s="68"/>
      <c r="E114" s="68"/>
      <c r="F114" s="68"/>
      <c r="G114" s="68"/>
      <c r="H114" s="68"/>
      <c r="I114" s="68"/>
      <c r="J114" s="68"/>
      <c r="K114" s="68"/>
      <c r="L114" s="68"/>
      <c r="M114" s="68"/>
      <c r="N114" s="68"/>
      <c r="O114" s="68"/>
      <c r="P114" s="68"/>
      <c r="Q114" s="68"/>
      <c r="R114" s="68"/>
      <c r="S114" s="68"/>
      <c r="T114" s="68"/>
      <c r="U114" s="68"/>
      <c r="V114" s="68"/>
      <c r="W114" s="68"/>
      <c r="X114" s="68"/>
      <c r="Y114" s="68"/>
      <c r="Z114" s="68"/>
    </row>
    <row r="115">
      <c r="A115" s="68"/>
      <c r="B115" s="68"/>
      <c r="C115" s="68"/>
      <c r="D115" s="68"/>
      <c r="E115" s="68"/>
      <c r="F115" s="68"/>
      <c r="G115" s="68"/>
      <c r="H115" s="68"/>
      <c r="I115" s="68"/>
      <c r="J115" s="68"/>
      <c r="K115" s="68"/>
      <c r="L115" s="68"/>
      <c r="M115" s="68"/>
      <c r="N115" s="68"/>
      <c r="O115" s="68"/>
      <c r="P115" s="68"/>
      <c r="Q115" s="68"/>
      <c r="R115" s="68"/>
      <c r="S115" s="68"/>
      <c r="T115" s="68"/>
      <c r="U115" s="68"/>
      <c r="V115" s="68"/>
      <c r="W115" s="68"/>
      <c r="X115" s="68"/>
      <c r="Y115" s="68"/>
      <c r="Z115" s="68"/>
    </row>
    <row r="116">
      <c r="A116" s="68"/>
      <c r="B116" s="68"/>
      <c r="C116" s="68"/>
      <c r="D116" s="68"/>
      <c r="E116" s="68"/>
      <c r="F116" s="68"/>
      <c r="G116" s="68"/>
      <c r="H116" s="68"/>
      <c r="I116" s="68"/>
      <c r="J116" s="68"/>
      <c r="K116" s="68"/>
      <c r="L116" s="68"/>
      <c r="M116" s="68"/>
      <c r="N116" s="68"/>
      <c r="O116" s="68"/>
      <c r="P116" s="68"/>
      <c r="Q116" s="68"/>
      <c r="R116" s="68"/>
      <c r="S116" s="68"/>
      <c r="T116" s="68"/>
      <c r="U116" s="68"/>
      <c r="V116" s="68"/>
      <c r="W116" s="68"/>
      <c r="X116" s="68"/>
      <c r="Y116" s="68"/>
      <c r="Z116" s="68"/>
    </row>
    <row r="117">
      <c r="A117" s="68"/>
      <c r="B117" s="68"/>
      <c r="C117" s="68"/>
      <c r="D117" s="68"/>
      <c r="E117" s="68"/>
      <c r="F117" s="68"/>
      <c r="G117" s="68"/>
      <c r="H117" s="68"/>
      <c r="I117" s="68"/>
      <c r="J117" s="68"/>
      <c r="K117" s="68"/>
      <c r="L117" s="68"/>
      <c r="M117" s="68"/>
      <c r="N117" s="68"/>
      <c r="O117" s="68"/>
      <c r="P117" s="68"/>
      <c r="Q117" s="68"/>
      <c r="R117" s="68"/>
      <c r="S117" s="68"/>
      <c r="T117" s="68"/>
      <c r="U117" s="68"/>
      <c r="V117" s="68"/>
      <c r="W117" s="68"/>
      <c r="X117" s="68"/>
      <c r="Y117" s="68"/>
      <c r="Z117" s="68"/>
    </row>
    <row r="118">
      <c r="A118" s="68"/>
      <c r="B118" s="68"/>
      <c r="C118" s="68"/>
      <c r="D118" s="68"/>
      <c r="E118" s="68"/>
      <c r="F118" s="68"/>
      <c r="G118" s="68"/>
      <c r="H118" s="68"/>
      <c r="I118" s="68"/>
      <c r="J118" s="68"/>
      <c r="K118" s="68"/>
      <c r="L118" s="68"/>
      <c r="M118" s="68"/>
      <c r="N118" s="68"/>
      <c r="O118" s="68"/>
      <c r="P118" s="68"/>
      <c r="Q118" s="68"/>
      <c r="R118" s="68"/>
      <c r="S118" s="68"/>
      <c r="T118" s="68"/>
      <c r="U118" s="68"/>
      <c r="V118" s="68"/>
      <c r="W118" s="68"/>
      <c r="X118" s="68"/>
      <c r="Y118" s="68"/>
      <c r="Z118" s="68"/>
    </row>
    <row r="119">
      <c r="A119" s="68"/>
      <c r="B119" s="68"/>
      <c r="C119" s="68"/>
      <c r="D119" s="68"/>
      <c r="E119" s="68"/>
      <c r="F119" s="68"/>
      <c r="G119" s="68"/>
      <c r="H119" s="68"/>
      <c r="I119" s="68"/>
      <c r="J119" s="68"/>
      <c r="K119" s="68"/>
      <c r="L119" s="68"/>
      <c r="M119" s="68"/>
      <c r="N119" s="68"/>
      <c r="O119" s="68"/>
      <c r="P119" s="68"/>
      <c r="Q119" s="68"/>
      <c r="R119" s="68"/>
      <c r="S119" s="68"/>
      <c r="T119" s="68"/>
      <c r="U119" s="68"/>
      <c r="V119" s="68"/>
      <c r="W119" s="68"/>
      <c r="X119" s="68"/>
      <c r="Y119" s="68"/>
      <c r="Z119" s="68"/>
    </row>
    <row r="120">
      <c r="A120" s="68"/>
      <c r="B120" s="68"/>
      <c r="C120" s="68"/>
      <c r="D120" s="68"/>
      <c r="E120" s="68"/>
      <c r="F120" s="68"/>
      <c r="G120" s="68"/>
      <c r="H120" s="68"/>
      <c r="I120" s="68"/>
      <c r="J120" s="68"/>
      <c r="K120" s="68"/>
      <c r="L120" s="68"/>
      <c r="M120" s="68"/>
      <c r="N120" s="68"/>
      <c r="O120" s="68"/>
      <c r="P120" s="68"/>
      <c r="Q120" s="68"/>
      <c r="R120" s="68"/>
      <c r="S120" s="68"/>
      <c r="T120" s="68"/>
      <c r="U120" s="68"/>
      <c r="V120" s="68"/>
      <c r="W120" s="68"/>
      <c r="X120" s="68"/>
      <c r="Y120" s="68"/>
      <c r="Z120" s="68"/>
    </row>
    <row r="121">
      <c r="A121" s="68"/>
      <c r="B121" s="68"/>
      <c r="C121" s="68"/>
      <c r="D121" s="68"/>
      <c r="E121" s="68"/>
      <c r="F121" s="68"/>
      <c r="G121" s="68"/>
      <c r="H121" s="68"/>
      <c r="I121" s="68"/>
      <c r="J121" s="68"/>
      <c r="K121" s="68"/>
      <c r="L121" s="68"/>
      <c r="M121" s="68"/>
      <c r="N121" s="68"/>
      <c r="O121" s="68"/>
      <c r="P121" s="68"/>
      <c r="Q121" s="68"/>
      <c r="R121" s="68"/>
      <c r="S121" s="68"/>
      <c r="T121" s="68"/>
      <c r="U121" s="68"/>
      <c r="V121" s="68"/>
      <c r="W121" s="68"/>
      <c r="X121" s="68"/>
      <c r="Y121" s="68"/>
      <c r="Z121" s="68"/>
    </row>
    <row r="122">
      <c r="A122" s="68"/>
      <c r="B122" s="68"/>
      <c r="C122" s="68"/>
      <c r="D122" s="68"/>
      <c r="E122" s="68"/>
      <c r="F122" s="68"/>
      <c r="G122" s="68"/>
      <c r="H122" s="68"/>
      <c r="I122" s="68"/>
      <c r="J122" s="68"/>
      <c r="K122" s="68"/>
      <c r="L122" s="68"/>
      <c r="M122" s="68"/>
      <c r="N122" s="68"/>
      <c r="O122" s="68"/>
      <c r="P122" s="68"/>
      <c r="Q122" s="68"/>
      <c r="R122" s="68"/>
      <c r="S122" s="68"/>
      <c r="T122" s="68"/>
      <c r="U122" s="68"/>
      <c r="V122" s="68"/>
      <c r="W122" s="68"/>
      <c r="X122" s="68"/>
      <c r="Y122" s="68"/>
      <c r="Z122" s="68"/>
    </row>
    <row r="123">
      <c r="A123" s="68"/>
      <c r="B123" s="68"/>
      <c r="C123" s="68"/>
      <c r="D123" s="68"/>
      <c r="E123" s="68"/>
      <c r="F123" s="68"/>
      <c r="G123" s="68"/>
      <c r="H123" s="68"/>
      <c r="I123" s="68"/>
      <c r="J123" s="68"/>
      <c r="K123" s="68"/>
      <c r="L123" s="68"/>
      <c r="M123" s="68"/>
      <c r="N123" s="68"/>
      <c r="O123" s="68"/>
      <c r="P123" s="68"/>
      <c r="Q123" s="68"/>
      <c r="R123" s="68"/>
      <c r="S123" s="68"/>
      <c r="T123" s="68"/>
      <c r="U123" s="68"/>
      <c r="V123" s="68"/>
      <c r="W123" s="68"/>
      <c r="X123" s="68"/>
      <c r="Y123" s="68"/>
      <c r="Z123" s="68"/>
    </row>
    <row r="124">
      <c r="A124" s="68"/>
      <c r="B124" s="68"/>
      <c r="C124" s="68"/>
      <c r="D124" s="68"/>
      <c r="E124" s="68"/>
      <c r="F124" s="68"/>
      <c r="G124" s="68"/>
      <c r="H124" s="68"/>
      <c r="I124" s="68"/>
      <c r="J124" s="68"/>
      <c r="K124" s="68"/>
      <c r="L124" s="68"/>
      <c r="M124" s="68"/>
      <c r="N124" s="68"/>
      <c r="O124" s="68"/>
      <c r="P124" s="68"/>
      <c r="Q124" s="68"/>
      <c r="R124" s="68"/>
      <c r="S124" s="68"/>
      <c r="T124" s="68"/>
      <c r="U124" s="68"/>
      <c r="V124" s="68"/>
      <c r="W124" s="68"/>
      <c r="X124" s="68"/>
      <c r="Y124" s="68"/>
      <c r="Z124" s="68"/>
    </row>
    <row r="125">
      <c r="A125" s="68"/>
      <c r="B125" s="68"/>
      <c r="C125" s="68"/>
      <c r="D125" s="68"/>
      <c r="E125" s="68"/>
      <c r="F125" s="68"/>
      <c r="G125" s="68"/>
      <c r="H125" s="68"/>
      <c r="I125" s="68"/>
      <c r="J125" s="68"/>
      <c r="K125" s="68"/>
      <c r="L125" s="68"/>
      <c r="M125" s="68"/>
      <c r="N125" s="68"/>
      <c r="O125" s="68"/>
      <c r="P125" s="68"/>
      <c r="Q125" s="68"/>
      <c r="R125" s="68"/>
      <c r="S125" s="68"/>
      <c r="T125" s="68"/>
      <c r="U125" s="68"/>
      <c r="V125" s="68"/>
      <c r="W125" s="68"/>
      <c r="X125" s="68"/>
      <c r="Y125" s="68"/>
      <c r="Z125" s="68"/>
    </row>
    <row r="126">
      <c r="A126" s="68"/>
      <c r="B126" s="68"/>
      <c r="C126" s="68"/>
      <c r="D126" s="68"/>
      <c r="E126" s="68"/>
      <c r="F126" s="68"/>
      <c r="G126" s="68"/>
      <c r="H126" s="68"/>
      <c r="I126" s="68"/>
      <c r="J126" s="68"/>
      <c r="K126" s="68"/>
      <c r="L126" s="68"/>
      <c r="M126" s="68"/>
      <c r="N126" s="68"/>
      <c r="O126" s="68"/>
      <c r="P126" s="68"/>
      <c r="Q126" s="68"/>
      <c r="R126" s="68"/>
      <c r="S126" s="68"/>
      <c r="T126" s="68"/>
      <c r="U126" s="68"/>
      <c r="V126" s="68"/>
      <c r="W126" s="68"/>
      <c r="X126" s="68"/>
      <c r="Y126" s="68"/>
      <c r="Z126" s="68"/>
    </row>
    <row r="127">
      <c r="A127" s="68"/>
      <c r="B127" s="68"/>
      <c r="C127" s="68"/>
      <c r="D127" s="68"/>
      <c r="E127" s="68"/>
      <c r="F127" s="68"/>
      <c r="G127" s="68"/>
      <c r="H127" s="68"/>
      <c r="I127" s="68"/>
      <c r="J127" s="68"/>
      <c r="K127" s="68"/>
      <c r="L127" s="68"/>
      <c r="M127" s="68"/>
      <c r="N127" s="68"/>
      <c r="O127" s="68"/>
      <c r="P127" s="68"/>
      <c r="Q127" s="68"/>
      <c r="R127" s="68"/>
      <c r="S127" s="68"/>
      <c r="T127" s="68"/>
      <c r="U127" s="68"/>
      <c r="V127" s="68"/>
      <c r="W127" s="68"/>
      <c r="X127" s="68"/>
      <c r="Y127" s="68"/>
      <c r="Z127" s="68"/>
    </row>
    <row r="128">
      <c r="A128" s="68"/>
      <c r="B128" s="68"/>
      <c r="C128" s="68"/>
      <c r="D128" s="68"/>
      <c r="E128" s="68"/>
      <c r="F128" s="68"/>
      <c r="G128" s="68"/>
      <c r="H128" s="68"/>
      <c r="I128" s="68"/>
      <c r="J128" s="68"/>
      <c r="K128" s="68"/>
      <c r="L128" s="68"/>
      <c r="M128" s="68"/>
      <c r="N128" s="68"/>
      <c r="O128" s="68"/>
      <c r="P128" s="68"/>
      <c r="Q128" s="68"/>
      <c r="R128" s="68"/>
      <c r="S128" s="68"/>
      <c r="T128" s="68"/>
      <c r="U128" s="68"/>
      <c r="V128" s="68"/>
      <c r="W128" s="68"/>
      <c r="X128" s="68"/>
      <c r="Y128" s="68"/>
      <c r="Z128" s="68"/>
    </row>
    <row r="129">
      <c r="A129" s="68"/>
      <c r="B129" s="68"/>
      <c r="C129" s="68"/>
      <c r="D129" s="68"/>
      <c r="E129" s="68"/>
      <c r="F129" s="68"/>
      <c r="G129" s="68"/>
      <c r="H129" s="68"/>
      <c r="I129" s="68"/>
      <c r="J129" s="68"/>
      <c r="K129" s="68"/>
      <c r="L129" s="68"/>
      <c r="M129" s="68"/>
      <c r="N129" s="68"/>
      <c r="O129" s="68"/>
      <c r="P129" s="68"/>
      <c r="Q129" s="68"/>
      <c r="R129" s="68"/>
      <c r="S129" s="68"/>
      <c r="T129" s="68"/>
      <c r="U129" s="68"/>
      <c r="V129" s="68"/>
      <c r="W129" s="68"/>
      <c r="X129" s="68"/>
      <c r="Y129" s="68"/>
      <c r="Z129" s="68"/>
    </row>
    <row r="130">
      <c r="A130" s="68"/>
      <c r="B130" s="68"/>
      <c r="C130" s="68"/>
      <c r="D130" s="68"/>
      <c r="E130" s="68"/>
      <c r="F130" s="68"/>
      <c r="G130" s="68"/>
      <c r="H130" s="68"/>
      <c r="I130" s="68"/>
      <c r="J130" s="68"/>
      <c r="K130" s="68"/>
      <c r="L130" s="68"/>
      <c r="M130" s="68"/>
      <c r="N130" s="68"/>
      <c r="O130" s="68"/>
      <c r="P130" s="68"/>
      <c r="Q130" s="68"/>
      <c r="R130" s="68"/>
      <c r="S130" s="68"/>
      <c r="T130" s="68"/>
      <c r="U130" s="68"/>
      <c r="V130" s="68"/>
      <c r="W130" s="68"/>
      <c r="X130" s="68"/>
      <c r="Y130" s="68"/>
      <c r="Z130" s="68"/>
    </row>
    <row r="131">
      <c r="A131" s="68"/>
      <c r="B131" s="68"/>
      <c r="C131" s="68"/>
      <c r="D131" s="68"/>
      <c r="E131" s="68"/>
      <c r="F131" s="68"/>
      <c r="G131" s="68"/>
      <c r="H131" s="68"/>
      <c r="I131" s="68"/>
      <c r="J131" s="68"/>
      <c r="K131" s="68"/>
      <c r="L131" s="68"/>
      <c r="M131" s="68"/>
      <c r="N131" s="68"/>
      <c r="O131" s="68"/>
      <c r="P131" s="68"/>
      <c r="Q131" s="68"/>
      <c r="R131" s="68"/>
      <c r="S131" s="68"/>
      <c r="T131" s="68"/>
      <c r="U131" s="68"/>
      <c r="V131" s="68"/>
      <c r="W131" s="68"/>
      <c r="X131" s="68"/>
      <c r="Y131" s="68"/>
      <c r="Z131" s="68"/>
    </row>
    <row r="132">
      <c r="A132" s="68"/>
      <c r="B132" s="68"/>
      <c r="C132" s="68"/>
      <c r="D132" s="68"/>
      <c r="E132" s="68"/>
      <c r="F132" s="68"/>
      <c r="G132" s="68"/>
      <c r="H132" s="68"/>
      <c r="I132" s="68"/>
      <c r="J132" s="68"/>
      <c r="K132" s="68"/>
      <c r="L132" s="68"/>
      <c r="M132" s="68"/>
      <c r="N132" s="68"/>
      <c r="O132" s="68"/>
      <c r="P132" s="68"/>
      <c r="Q132" s="68"/>
      <c r="R132" s="68"/>
      <c r="S132" s="68"/>
      <c r="T132" s="68"/>
      <c r="U132" s="68"/>
      <c r="V132" s="68"/>
      <c r="W132" s="68"/>
      <c r="X132" s="68"/>
      <c r="Y132" s="68"/>
      <c r="Z132" s="68"/>
    </row>
    <row r="133">
      <c r="A133" s="68"/>
      <c r="B133" s="68"/>
      <c r="C133" s="68"/>
      <c r="D133" s="68"/>
      <c r="E133" s="68"/>
      <c r="F133" s="68"/>
      <c r="G133" s="68"/>
      <c r="H133" s="68"/>
      <c r="I133" s="68"/>
      <c r="J133" s="68"/>
      <c r="K133" s="68"/>
      <c r="L133" s="68"/>
      <c r="M133" s="68"/>
      <c r="N133" s="68"/>
      <c r="O133" s="68"/>
      <c r="P133" s="68"/>
      <c r="Q133" s="68"/>
      <c r="R133" s="68"/>
      <c r="S133" s="68"/>
      <c r="T133" s="68"/>
      <c r="U133" s="68"/>
      <c r="V133" s="68"/>
      <c r="W133" s="68"/>
      <c r="X133" s="68"/>
      <c r="Y133" s="68"/>
      <c r="Z133" s="68"/>
    </row>
    <row r="134">
      <c r="A134" s="68"/>
      <c r="B134" s="68"/>
      <c r="C134" s="68"/>
      <c r="D134" s="68"/>
      <c r="E134" s="68"/>
      <c r="F134" s="68"/>
      <c r="G134" s="68"/>
      <c r="H134" s="68"/>
      <c r="I134" s="68"/>
      <c r="J134" s="68"/>
      <c r="K134" s="68"/>
      <c r="L134" s="68"/>
      <c r="M134" s="68"/>
      <c r="N134" s="68"/>
      <c r="O134" s="68"/>
      <c r="P134" s="68"/>
      <c r="Q134" s="68"/>
      <c r="R134" s="68"/>
      <c r="S134" s="68"/>
      <c r="T134" s="68"/>
      <c r="U134" s="68"/>
      <c r="V134" s="68"/>
      <c r="W134" s="68"/>
      <c r="X134" s="68"/>
      <c r="Y134" s="68"/>
      <c r="Z134" s="68"/>
    </row>
    <row r="135">
      <c r="A135" s="68"/>
      <c r="B135" s="68"/>
      <c r="C135" s="68"/>
      <c r="D135" s="68"/>
      <c r="E135" s="68"/>
      <c r="F135" s="68"/>
      <c r="G135" s="68"/>
      <c r="H135" s="68"/>
      <c r="I135" s="68"/>
      <c r="J135" s="68"/>
      <c r="K135" s="68"/>
      <c r="L135" s="68"/>
      <c r="M135" s="68"/>
      <c r="N135" s="68"/>
      <c r="O135" s="68"/>
      <c r="P135" s="68"/>
      <c r="Q135" s="68"/>
      <c r="R135" s="68"/>
      <c r="S135" s="68"/>
      <c r="T135" s="68"/>
      <c r="U135" s="68"/>
      <c r="V135" s="68"/>
      <c r="W135" s="68"/>
      <c r="X135" s="68"/>
      <c r="Y135" s="68"/>
      <c r="Z135" s="68"/>
    </row>
    <row r="136">
      <c r="A136" s="68"/>
      <c r="B136" s="68"/>
      <c r="C136" s="68"/>
      <c r="D136" s="68"/>
      <c r="E136" s="68"/>
      <c r="F136" s="68"/>
      <c r="G136" s="68"/>
      <c r="H136" s="68"/>
      <c r="I136" s="68"/>
      <c r="J136" s="68"/>
      <c r="K136" s="68"/>
      <c r="L136" s="68"/>
      <c r="M136" s="68"/>
      <c r="N136" s="68"/>
      <c r="O136" s="68"/>
      <c r="P136" s="68"/>
      <c r="Q136" s="68"/>
      <c r="R136" s="68"/>
      <c r="S136" s="68"/>
      <c r="T136" s="68"/>
      <c r="U136" s="68"/>
      <c r="V136" s="68"/>
      <c r="W136" s="68"/>
      <c r="X136" s="68"/>
      <c r="Y136" s="68"/>
      <c r="Z136" s="68"/>
    </row>
    <row r="137">
      <c r="A137" s="68"/>
      <c r="B137" s="68"/>
      <c r="C137" s="68"/>
      <c r="D137" s="68"/>
      <c r="E137" s="68"/>
      <c r="F137" s="68"/>
      <c r="G137" s="68"/>
      <c r="H137" s="68"/>
      <c r="I137" s="68"/>
      <c r="J137" s="68"/>
      <c r="K137" s="68"/>
      <c r="L137" s="68"/>
      <c r="M137" s="68"/>
      <c r="N137" s="68"/>
      <c r="O137" s="68"/>
      <c r="P137" s="68"/>
      <c r="Q137" s="68"/>
      <c r="R137" s="68"/>
      <c r="S137" s="68"/>
      <c r="T137" s="68"/>
      <c r="U137" s="68"/>
      <c r="V137" s="68"/>
      <c r="W137" s="68"/>
      <c r="X137" s="68"/>
      <c r="Y137" s="68"/>
      <c r="Z137" s="68"/>
    </row>
    <row r="138">
      <c r="A138" s="68"/>
      <c r="B138" s="68"/>
      <c r="C138" s="68"/>
      <c r="D138" s="68"/>
      <c r="E138" s="68"/>
      <c r="F138" s="68"/>
      <c r="G138" s="68"/>
      <c r="H138" s="68"/>
      <c r="I138" s="68"/>
      <c r="J138" s="68"/>
      <c r="K138" s="68"/>
      <c r="L138" s="68"/>
      <c r="M138" s="68"/>
      <c r="N138" s="68"/>
      <c r="O138" s="68"/>
      <c r="P138" s="68"/>
      <c r="Q138" s="68"/>
      <c r="R138" s="68"/>
      <c r="S138" s="68"/>
      <c r="T138" s="68"/>
      <c r="U138" s="68"/>
      <c r="V138" s="68"/>
      <c r="W138" s="68"/>
      <c r="X138" s="68"/>
      <c r="Y138" s="68"/>
      <c r="Z138" s="68"/>
    </row>
    <row r="139">
      <c r="A139" s="68"/>
      <c r="B139" s="68"/>
      <c r="C139" s="68"/>
      <c r="D139" s="68"/>
      <c r="E139" s="68"/>
      <c r="F139" s="68"/>
      <c r="G139" s="68"/>
      <c r="H139" s="68"/>
      <c r="I139" s="68"/>
      <c r="J139" s="68"/>
      <c r="K139" s="68"/>
      <c r="L139" s="68"/>
      <c r="M139" s="68"/>
      <c r="N139" s="68"/>
      <c r="O139" s="68"/>
      <c r="P139" s="68"/>
      <c r="Q139" s="68"/>
      <c r="R139" s="68"/>
      <c r="S139" s="68"/>
      <c r="T139" s="68"/>
      <c r="U139" s="68"/>
      <c r="V139" s="68"/>
      <c r="W139" s="68"/>
      <c r="X139" s="68"/>
      <c r="Y139" s="68"/>
      <c r="Z139" s="68"/>
    </row>
    <row r="140">
      <c r="A140" s="68"/>
      <c r="B140" s="68"/>
      <c r="C140" s="68"/>
      <c r="D140" s="68"/>
      <c r="E140" s="68"/>
      <c r="F140" s="68"/>
      <c r="G140" s="68"/>
      <c r="H140" s="68"/>
      <c r="I140" s="68"/>
      <c r="J140" s="68"/>
      <c r="K140" s="68"/>
      <c r="L140" s="68"/>
      <c r="M140" s="68"/>
      <c r="N140" s="68"/>
      <c r="O140" s="68"/>
      <c r="P140" s="68"/>
      <c r="Q140" s="68"/>
      <c r="R140" s="68"/>
      <c r="S140" s="68"/>
      <c r="T140" s="68"/>
      <c r="U140" s="68"/>
      <c r="V140" s="68"/>
      <c r="W140" s="68"/>
      <c r="X140" s="68"/>
      <c r="Y140" s="68"/>
      <c r="Z140" s="68"/>
    </row>
    <row r="141">
      <c r="A141" s="68"/>
      <c r="B141" s="68"/>
      <c r="C141" s="68"/>
      <c r="D141" s="68"/>
      <c r="E141" s="68"/>
      <c r="F141" s="68"/>
      <c r="G141" s="68"/>
      <c r="H141" s="68"/>
      <c r="I141" s="68"/>
      <c r="J141" s="68"/>
      <c r="K141" s="68"/>
      <c r="L141" s="68"/>
      <c r="M141" s="68"/>
      <c r="N141" s="68"/>
      <c r="O141" s="68"/>
      <c r="P141" s="68"/>
      <c r="Q141" s="68"/>
      <c r="R141" s="68"/>
      <c r="S141" s="68"/>
      <c r="T141" s="68"/>
      <c r="U141" s="68"/>
      <c r="V141" s="68"/>
      <c r="W141" s="68"/>
      <c r="X141" s="68"/>
      <c r="Y141" s="68"/>
      <c r="Z141" s="68"/>
    </row>
    <row r="142">
      <c r="A142" s="68"/>
      <c r="B142" s="68"/>
      <c r="C142" s="68"/>
      <c r="D142" s="68"/>
      <c r="E142" s="68"/>
      <c r="F142" s="68"/>
      <c r="G142" s="68"/>
      <c r="H142" s="68"/>
      <c r="I142" s="68"/>
      <c r="J142" s="68"/>
      <c r="K142" s="68"/>
      <c r="L142" s="68"/>
      <c r="M142" s="68"/>
      <c r="N142" s="68"/>
      <c r="O142" s="68"/>
      <c r="P142" s="68"/>
      <c r="Q142" s="68"/>
      <c r="R142" s="68"/>
      <c r="S142" s="68"/>
      <c r="T142" s="68"/>
      <c r="U142" s="68"/>
      <c r="V142" s="68"/>
      <c r="W142" s="68"/>
      <c r="X142" s="68"/>
      <c r="Y142" s="68"/>
      <c r="Z142" s="68"/>
    </row>
    <row r="143">
      <c r="A143" s="68"/>
      <c r="B143" s="68"/>
      <c r="C143" s="68"/>
      <c r="D143" s="68"/>
      <c r="E143" s="68"/>
      <c r="F143" s="68"/>
      <c r="G143" s="68"/>
      <c r="H143" s="68"/>
      <c r="I143" s="68"/>
      <c r="J143" s="68"/>
      <c r="K143" s="68"/>
      <c r="L143" s="68"/>
      <c r="M143" s="68"/>
      <c r="N143" s="68"/>
      <c r="O143" s="68"/>
      <c r="P143" s="68"/>
      <c r="Q143" s="68"/>
      <c r="R143" s="68"/>
      <c r="S143" s="68"/>
      <c r="T143" s="68"/>
      <c r="U143" s="68"/>
      <c r="V143" s="68"/>
      <c r="W143" s="68"/>
      <c r="X143" s="68"/>
      <c r="Y143" s="68"/>
      <c r="Z143" s="68"/>
    </row>
    <row r="144">
      <c r="A144" s="68"/>
      <c r="B144" s="68"/>
      <c r="C144" s="68"/>
      <c r="D144" s="68"/>
      <c r="E144" s="68"/>
      <c r="F144" s="68"/>
      <c r="G144" s="68"/>
      <c r="H144" s="68"/>
      <c r="I144" s="68"/>
      <c r="J144" s="68"/>
      <c r="K144" s="68"/>
      <c r="L144" s="68"/>
      <c r="M144" s="68"/>
      <c r="N144" s="68"/>
      <c r="O144" s="68"/>
      <c r="P144" s="68"/>
      <c r="Q144" s="68"/>
      <c r="R144" s="68"/>
      <c r="S144" s="68"/>
      <c r="T144" s="68"/>
      <c r="U144" s="68"/>
      <c r="V144" s="68"/>
      <c r="W144" s="68"/>
      <c r="X144" s="68"/>
      <c r="Y144" s="68"/>
      <c r="Z144" s="68"/>
    </row>
    <row r="145">
      <c r="A145" s="68"/>
      <c r="B145" s="68"/>
      <c r="C145" s="68"/>
      <c r="D145" s="68"/>
      <c r="E145" s="68"/>
      <c r="F145" s="68"/>
      <c r="G145" s="68"/>
      <c r="H145" s="68"/>
      <c r="I145" s="68"/>
      <c r="J145" s="68"/>
      <c r="K145" s="68"/>
      <c r="L145" s="68"/>
      <c r="M145" s="68"/>
      <c r="N145" s="68"/>
      <c r="O145" s="68"/>
      <c r="P145" s="68"/>
      <c r="Q145" s="68"/>
      <c r="R145" s="68"/>
      <c r="S145" s="68"/>
      <c r="T145" s="68"/>
      <c r="U145" s="68"/>
      <c r="V145" s="68"/>
      <c r="W145" s="68"/>
      <c r="X145" s="68"/>
      <c r="Y145" s="68"/>
      <c r="Z145" s="68"/>
    </row>
    <row r="146">
      <c r="A146" s="68"/>
      <c r="B146" s="68"/>
      <c r="C146" s="68"/>
      <c r="D146" s="68"/>
      <c r="E146" s="68"/>
      <c r="F146" s="68"/>
      <c r="G146" s="68"/>
      <c r="H146" s="68"/>
      <c r="I146" s="68"/>
      <c r="J146" s="68"/>
      <c r="K146" s="68"/>
      <c r="L146" s="68"/>
      <c r="M146" s="68"/>
      <c r="N146" s="68"/>
      <c r="O146" s="68"/>
      <c r="P146" s="68"/>
      <c r="Q146" s="68"/>
      <c r="R146" s="68"/>
      <c r="S146" s="68"/>
      <c r="T146" s="68"/>
      <c r="U146" s="68"/>
      <c r="V146" s="68"/>
      <c r="W146" s="68"/>
      <c r="X146" s="68"/>
      <c r="Y146" s="68"/>
      <c r="Z146" s="68"/>
    </row>
    <row r="147">
      <c r="A147" s="68"/>
      <c r="B147" s="68"/>
      <c r="C147" s="68"/>
      <c r="D147" s="68"/>
      <c r="E147" s="68"/>
      <c r="F147" s="68"/>
      <c r="G147" s="68"/>
      <c r="H147" s="68"/>
      <c r="I147" s="68"/>
      <c r="J147" s="68"/>
      <c r="K147" s="68"/>
      <c r="L147" s="68"/>
      <c r="M147" s="68"/>
      <c r="N147" s="68"/>
      <c r="O147" s="68"/>
      <c r="P147" s="68"/>
      <c r="Q147" s="68"/>
      <c r="R147" s="68"/>
      <c r="S147" s="68"/>
      <c r="T147" s="68"/>
      <c r="U147" s="68"/>
      <c r="V147" s="68"/>
      <c r="W147" s="68"/>
      <c r="X147" s="68"/>
      <c r="Y147" s="68"/>
      <c r="Z147" s="68"/>
    </row>
    <row r="148">
      <c r="A148" s="68"/>
      <c r="B148" s="68"/>
      <c r="C148" s="68"/>
      <c r="D148" s="68"/>
      <c r="E148" s="68"/>
      <c r="F148" s="68"/>
      <c r="G148" s="68"/>
      <c r="H148" s="68"/>
      <c r="I148" s="68"/>
      <c r="J148" s="68"/>
      <c r="K148" s="68"/>
      <c r="L148" s="68"/>
      <c r="M148" s="68"/>
      <c r="N148" s="68"/>
      <c r="O148" s="68"/>
      <c r="P148" s="68"/>
      <c r="Q148" s="68"/>
      <c r="R148" s="68"/>
      <c r="S148" s="68"/>
      <c r="T148" s="68"/>
      <c r="U148" s="68"/>
      <c r="V148" s="68"/>
      <c r="W148" s="68"/>
      <c r="X148" s="68"/>
      <c r="Y148" s="68"/>
      <c r="Z148" s="68"/>
    </row>
    <row r="149">
      <c r="A149" s="68"/>
      <c r="B149" s="68"/>
      <c r="C149" s="68"/>
      <c r="D149" s="68"/>
      <c r="E149" s="68"/>
      <c r="F149" s="68"/>
      <c r="G149" s="68"/>
      <c r="H149" s="68"/>
      <c r="I149" s="68"/>
      <c r="J149" s="68"/>
      <c r="K149" s="68"/>
      <c r="L149" s="68"/>
      <c r="M149" s="68"/>
      <c r="N149" s="68"/>
      <c r="O149" s="68"/>
      <c r="P149" s="68"/>
      <c r="Q149" s="68"/>
      <c r="R149" s="68"/>
      <c r="S149" s="68"/>
      <c r="T149" s="68"/>
      <c r="U149" s="68"/>
      <c r="V149" s="68"/>
      <c r="W149" s="68"/>
      <c r="X149" s="68"/>
      <c r="Y149" s="68"/>
      <c r="Z149" s="68"/>
    </row>
    <row r="150">
      <c r="A150" s="68"/>
      <c r="B150" s="68"/>
      <c r="C150" s="68"/>
      <c r="D150" s="68"/>
      <c r="E150" s="68"/>
      <c r="F150" s="68"/>
      <c r="G150" s="68"/>
      <c r="H150" s="68"/>
      <c r="I150" s="68"/>
      <c r="J150" s="68"/>
      <c r="K150" s="68"/>
      <c r="L150" s="68"/>
      <c r="M150" s="68"/>
      <c r="N150" s="68"/>
      <c r="O150" s="68"/>
      <c r="P150" s="68"/>
      <c r="Q150" s="68"/>
      <c r="R150" s="68"/>
      <c r="S150" s="68"/>
      <c r="T150" s="68"/>
      <c r="U150" s="68"/>
      <c r="V150" s="68"/>
      <c r="W150" s="68"/>
      <c r="X150" s="68"/>
      <c r="Y150" s="68"/>
      <c r="Z150" s="68"/>
    </row>
    <row r="151">
      <c r="A151" s="68"/>
      <c r="B151" s="68"/>
      <c r="C151" s="68"/>
      <c r="D151" s="68"/>
      <c r="E151" s="68"/>
      <c r="F151" s="68"/>
      <c r="G151" s="68"/>
      <c r="H151" s="68"/>
      <c r="I151" s="68"/>
      <c r="J151" s="68"/>
      <c r="K151" s="68"/>
      <c r="L151" s="68"/>
      <c r="M151" s="68"/>
      <c r="N151" s="68"/>
      <c r="O151" s="68"/>
      <c r="P151" s="68"/>
      <c r="Q151" s="68"/>
      <c r="R151" s="68"/>
      <c r="S151" s="68"/>
      <c r="T151" s="68"/>
      <c r="U151" s="68"/>
      <c r="V151" s="68"/>
      <c r="W151" s="68"/>
      <c r="X151" s="68"/>
      <c r="Y151" s="68"/>
      <c r="Z151" s="68"/>
    </row>
    <row r="152">
      <c r="A152" s="68"/>
      <c r="B152" s="68"/>
      <c r="C152" s="68"/>
      <c r="D152" s="68"/>
      <c r="E152" s="68"/>
      <c r="F152" s="68"/>
      <c r="G152" s="68"/>
      <c r="H152" s="68"/>
      <c r="I152" s="68"/>
      <c r="J152" s="68"/>
      <c r="K152" s="68"/>
      <c r="L152" s="68"/>
      <c r="M152" s="68"/>
      <c r="N152" s="68"/>
      <c r="O152" s="68"/>
      <c r="P152" s="68"/>
      <c r="Q152" s="68"/>
      <c r="R152" s="68"/>
      <c r="S152" s="68"/>
      <c r="T152" s="68"/>
      <c r="U152" s="68"/>
      <c r="V152" s="68"/>
      <c r="W152" s="68"/>
      <c r="X152" s="68"/>
      <c r="Y152" s="68"/>
      <c r="Z152" s="68"/>
    </row>
    <row r="153">
      <c r="A153" s="68"/>
      <c r="B153" s="68"/>
      <c r="C153" s="68"/>
      <c r="D153" s="68"/>
      <c r="E153" s="68"/>
      <c r="F153" s="68"/>
      <c r="G153" s="68"/>
      <c r="H153" s="68"/>
      <c r="I153" s="68"/>
      <c r="J153" s="68"/>
      <c r="K153" s="68"/>
      <c r="L153" s="68"/>
      <c r="M153" s="68"/>
      <c r="N153" s="68"/>
      <c r="O153" s="68"/>
      <c r="P153" s="68"/>
      <c r="Q153" s="68"/>
      <c r="R153" s="68"/>
      <c r="S153" s="68"/>
      <c r="T153" s="68"/>
      <c r="U153" s="68"/>
      <c r="V153" s="68"/>
      <c r="W153" s="68"/>
      <c r="X153" s="68"/>
      <c r="Y153" s="68"/>
      <c r="Z153" s="68"/>
    </row>
    <row r="154">
      <c r="A154" s="68"/>
      <c r="B154" s="68"/>
      <c r="C154" s="68"/>
      <c r="D154" s="68"/>
      <c r="E154" s="68"/>
      <c r="F154" s="68"/>
      <c r="G154" s="68"/>
      <c r="H154" s="68"/>
      <c r="I154" s="68"/>
      <c r="J154" s="68"/>
      <c r="K154" s="68"/>
      <c r="L154" s="68"/>
      <c r="M154" s="68"/>
      <c r="N154" s="68"/>
      <c r="O154" s="68"/>
      <c r="P154" s="68"/>
      <c r="Q154" s="68"/>
      <c r="R154" s="68"/>
      <c r="S154" s="68"/>
      <c r="T154" s="68"/>
      <c r="U154" s="68"/>
      <c r="V154" s="68"/>
      <c r="W154" s="68"/>
      <c r="X154" s="68"/>
      <c r="Y154" s="68"/>
      <c r="Z154" s="68"/>
    </row>
    <row r="155">
      <c r="A155" s="68"/>
      <c r="B155" s="68"/>
      <c r="C155" s="68"/>
      <c r="D155" s="68"/>
      <c r="E155" s="68"/>
      <c r="F155" s="68"/>
      <c r="G155" s="68"/>
      <c r="H155" s="68"/>
      <c r="I155" s="68"/>
      <c r="J155" s="68"/>
      <c r="K155" s="68"/>
      <c r="L155" s="68"/>
      <c r="M155" s="68"/>
      <c r="N155" s="68"/>
      <c r="O155" s="68"/>
      <c r="P155" s="68"/>
      <c r="Q155" s="68"/>
      <c r="R155" s="68"/>
      <c r="S155" s="68"/>
      <c r="T155" s="68"/>
      <c r="U155" s="68"/>
      <c r="V155" s="68"/>
      <c r="W155" s="68"/>
      <c r="X155" s="68"/>
      <c r="Y155" s="68"/>
      <c r="Z155" s="68"/>
    </row>
    <row r="156">
      <c r="A156" s="68"/>
      <c r="B156" s="68"/>
      <c r="C156" s="68"/>
      <c r="D156" s="68"/>
      <c r="E156" s="68"/>
      <c r="F156" s="68"/>
      <c r="G156" s="68"/>
      <c r="H156" s="68"/>
      <c r="I156" s="68"/>
      <c r="J156" s="68"/>
      <c r="K156" s="68"/>
      <c r="L156" s="68"/>
      <c r="M156" s="68"/>
      <c r="N156" s="68"/>
      <c r="O156" s="68"/>
      <c r="P156" s="68"/>
      <c r="Q156" s="68"/>
      <c r="R156" s="68"/>
      <c r="S156" s="68"/>
      <c r="T156" s="68"/>
      <c r="U156" s="68"/>
      <c r="V156" s="68"/>
      <c r="W156" s="68"/>
      <c r="X156" s="68"/>
      <c r="Y156" s="68"/>
      <c r="Z156" s="68"/>
    </row>
    <row r="157">
      <c r="A157" s="68"/>
      <c r="B157" s="68"/>
      <c r="C157" s="68"/>
      <c r="D157" s="68"/>
      <c r="E157" s="68"/>
      <c r="F157" s="68"/>
      <c r="G157" s="68"/>
      <c r="H157" s="68"/>
      <c r="I157" s="68"/>
      <c r="J157" s="68"/>
      <c r="K157" s="68"/>
      <c r="L157" s="68"/>
      <c r="M157" s="68"/>
      <c r="N157" s="68"/>
      <c r="O157" s="68"/>
      <c r="P157" s="68"/>
      <c r="Q157" s="68"/>
      <c r="R157" s="68"/>
      <c r="S157" s="68"/>
      <c r="T157" s="68"/>
      <c r="U157" s="68"/>
      <c r="V157" s="68"/>
      <c r="W157" s="68"/>
      <c r="X157" s="68"/>
      <c r="Y157" s="68"/>
      <c r="Z157" s="68"/>
    </row>
    <row r="158">
      <c r="A158" s="68"/>
      <c r="B158" s="68"/>
      <c r="C158" s="68"/>
      <c r="D158" s="68"/>
      <c r="E158" s="68"/>
      <c r="F158" s="68"/>
      <c r="G158" s="68"/>
      <c r="H158" s="68"/>
      <c r="I158" s="68"/>
      <c r="J158" s="68"/>
      <c r="K158" s="68"/>
      <c r="L158" s="68"/>
      <c r="M158" s="68"/>
      <c r="N158" s="68"/>
      <c r="O158" s="68"/>
      <c r="P158" s="68"/>
      <c r="Q158" s="68"/>
      <c r="R158" s="68"/>
      <c r="S158" s="68"/>
      <c r="T158" s="68"/>
      <c r="U158" s="68"/>
      <c r="V158" s="68"/>
      <c r="W158" s="68"/>
      <c r="X158" s="68"/>
      <c r="Y158" s="68"/>
      <c r="Z158" s="68"/>
    </row>
    <row r="159">
      <c r="A159" s="68"/>
      <c r="B159" s="68"/>
      <c r="C159" s="68"/>
      <c r="D159" s="68"/>
      <c r="E159" s="68"/>
      <c r="F159" s="68"/>
      <c r="G159" s="68"/>
      <c r="H159" s="68"/>
      <c r="I159" s="68"/>
      <c r="J159" s="68"/>
      <c r="K159" s="68"/>
      <c r="L159" s="68"/>
      <c r="M159" s="68"/>
      <c r="N159" s="68"/>
      <c r="O159" s="68"/>
      <c r="P159" s="68"/>
      <c r="Q159" s="68"/>
      <c r="R159" s="68"/>
      <c r="S159" s="68"/>
      <c r="T159" s="68"/>
      <c r="U159" s="68"/>
      <c r="V159" s="68"/>
      <c r="W159" s="68"/>
      <c r="X159" s="68"/>
      <c r="Y159" s="68"/>
      <c r="Z159" s="68"/>
    </row>
    <row r="160">
      <c r="A160" s="68"/>
      <c r="B160" s="68"/>
      <c r="C160" s="68"/>
      <c r="D160" s="68"/>
      <c r="E160" s="68"/>
      <c r="F160" s="68"/>
      <c r="G160" s="68"/>
      <c r="H160" s="68"/>
      <c r="I160" s="68"/>
      <c r="J160" s="68"/>
      <c r="K160" s="68"/>
      <c r="L160" s="68"/>
      <c r="M160" s="68"/>
      <c r="N160" s="68"/>
      <c r="O160" s="68"/>
      <c r="P160" s="68"/>
      <c r="Q160" s="68"/>
      <c r="R160" s="68"/>
      <c r="S160" s="68"/>
      <c r="T160" s="68"/>
      <c r="U160" s="68"/>
      <c r="V160" s="68"/>
      <c r="W160" s="68"/>
      <c r="X160" s="68"/>
      <c r="Y160" s="68"/>
      <c r="Z160" s="68"/>
    </row>
    <row r="161">
      <c r="A161" s="68"/>
      <c r="B161" s="68"/>
      <c r="C161" s="68"/>
      <c r="D161" s="68"/>
      <c r="E161" s="68"/>
      <c r="F161" s="68"/>
      <c r="G161" s="68"/>
      <c r="H161" s="68"/>
      <c r="I161" s="68"/>
      <c r="J161" s="68"/>
      <c r="K161" s="68"/>
      <c r="L161" s="68"/>
      <c r="M161" s="68"/>
      <c r="N161" s="68"/>
      <c r="O161" s="68"/>
      <c r="P161" s="68"/>
      <c r="Q161" s="68"/>
      <c r="R161" s="68"/>
      <c r="S161" s="68"/>
      <c r="T161" s="68"/>
      <c r="U161" s="68"/>
      <c r="V161" s="68"/>
      <c r="W161" s="68"/>
      <c r="X161" s="68"/>
      <c r="Y161" s="68"/>
      <c r="Z161" s="68"/>
    </row>
    <row r="162">
      <c r="A162" s="68"/>
      <c r="B162" s="68"/>
      <c r="C162" s="68"/>
      <c r="D162" s="68"/>
      <c r="E162" s="68"/>
      <c r="F162" s="68"/>
      <c r="G162" s="68"/>
      <c r="H162" s="68"/>
      <c r="I162" s="68"/>
      <c r="J162" s="68"/>
      <c r="K162" s="68"/>
      <c r="L162" s="68"/>
      <c r="M162" s="68"/>
      <c r="N162" s="68"/>
      <c r="O162" s="68"/>
      <c r="P162" s="68"/>
      <c r="Q162" s="68"/>
      <c r="R162" s="68"/>
      <c r="S162" s="68"/>
      <c r="T162" s="68"/>
      <c r="U162" s="68"/>
      <c r="V162" s="68"/>
      <c r="W162" s="68"/>
      <c r="X162" s="68"/>
      <c r="Y162" s="68"/>
      <c r="Z162" s="68"/>
    </row>
    <row r="163">
      <c r="A163" s="68"/>
      <c r="B163" s="68"/>
      <c r="C163" s="68"/>
      <c r="D163" s="68"/>
      <c r="E163" s="68"/>
      <c r="F163" s="68"/>
      <c r="G163" s="68"/>
      <c r="H163" s="68"/>
      <c r="I163" s="68"/>
      <c r="J163" s="68"/>
      <c r="K163" s="68"/>
      <c r="L163" s="68"/>
      <c r="M163" s="68"/>
      <c r="N163" s="68"/>
      <c r="O163" s="68"/>
      <c r="P163" s="68"/>
      <c r="Q163" s="68"/>
      <c r="R163" s="68"/>
      <c r="S163" s="68"/>
      <c r="T163" s="68"/>
      <c r="U163" s="68"/>
      <c r="V163" s="68"/>
      <c r="W163" s="68"/>
      <c r="X163" s="68"/>
      <c r="Y163" s="68"/>
      <c r="Z163" s="68"/>
    </row>
    <row r="164">
      <c r="A164" s="68"/>
      <c r="B164" s="68"/>
      <c r="C164" s="68"/>
      <c r="D164" s="68"/>
      <c r="E164" s="68"/>
      <c r="F164" s="68"/>
      <c r="G164" s="68"/>
      <c r="H164" s="68"/>
      <c r="I164" s="68"/>
      <c r="J164" s="68"/>
      <c r="K164" s="68"/>
      <c r="L164" s="68"/>
      <c r="M164" s="68"/>
      <c r="N164" s="68"/>
      <c r="O164" s="68"/>
      <c r="P164" s="68"/>
      <c r="Q164" s="68"/>
      <c r="R164" s="68"/>
      <c r="S164" s="68"/>
      <c r="T164" s="68"/>
      <c r="U164" s="68"/>
      <c r="V164" s="68"/>
      <c r="W164" s="68"/>
      <c r="X164" s="68"/>
      <c r="Y164" s="68"/>
      <c r="Z164" s="68"/>
    </row>
    <row r="165">
      <c r="A165" s="68"/>
      <c r="B165" s="68"/>
      <c r="C165" s="68"/>
      <c r="D165" s="68"/>
      <c r="E165" s="68"/>
      <c r="F165" s="68"/>
      <c r="G165" s="68"/>
      <c r="H165" s="68"/>
      <c r="I165" s="68"/>
      <c r="J165" s="68"/>
      <c r="K165" s="68"/>
      <c r="L165" s="68"/>
      <c r="M165" s="68"/>
      <c r="N165" s="68"/>
      <c r="O165" s="68"/>
      <c r="P165" s="68"/>
      <c r="Q165" s="68"/>
      <c r="R165" s="68"/>
      <c r="S165" s="68"/>
      <c r="T165" s="68"/>
      <c r="U165" s="68"/>
      <c r="V165" s="68"/>
      <c r="W165" s="68"/>
      <c r="X165" s="68"/>
      <c r="Y165" s="68"/>
      <c r="Z165" s="68"/>
    </row>
    <row r="166">
      <c r="A166" s="68"/>
      <c r="B166" s="68"/>
      <c r="C166" s="68"/>
      <c r="D166" s="68"/>
      <c r="E166" s="68"/>
      <c r="F166" s="68"/>
      <c r="G166" s="68"/>
      <c r="H166" s="68"/>
      <c r="I166" s="68"/>
      <c r="J166" s="68"/>
      <c r="K166" s="68"/>
      <c r="L166" s="68"/>
      <c r="M166" s="68"/>
      <c r="N166" s="68"/>
      <c r="O166" s="68"/>
      <c r="P166" s="68"/>
      <c r="Q166" s="68"/>
      <c r="R166" s="68"/>
      <c r="S166" s="68"/>
      <c r="T166" s="68"/>
      <c r="U166" s="68"/>
      <c r="V166" s="68"/>
      <c r="W166" s="68"/>
      <c r="X166" s="68"/>
      <c r="Y166" s="68"/>
      <c r="Z166" s="68"/>
    </row>
    <row r="167">
      <c r="A167" s="68"/>
      <c r="B167" s="68"/>
      <c r="C167" s="68"/>
      <c r="D167" s="68"/>
      <c r="E167" s="68"/>
      <c r="F167" s="68"/>
      <c r="G167" s="68"/>
      <c r="H167" s="68"/>
      <c r="I167" s="68"/>
      <c r="J167" s="68"/>
      <c r="K167" s="68"/>
      <c r="L167" s="68"/>
      <c r="M167" s="68"/>
      <c r="N167" s="68"/>
      <c r="O167" s="68"/>
      <c r="P167" s="68"/>
      <c r="Q167" s="68"/>
      <c r="R167" s="68"/>
      <c r="S167" s="68"/>
      <c r="T167" s="68"/>
      <c r="U167" s="68"/>
      <c r="V167" s="68"/>
      <c r="W167" s="68"/>
      <c r="X167" s="68"/>
      <c r="Y167" s="68"/>
      <c r="Z167" s="68"/>
    </row>
    <row r="168">
      <c r="A168" s="68"/>
      <c r="B168" s="68"/>
      <c r="C168" s="68"/>
      <c r="D168" s="68"/>
      <c r="E168" s="68"/>
      <c r="F168" s="68"/>
      <c r="G168" s="68"/>
      <c r="H168" s="68"/>
      <c r="I168" s="68"/>
      <c r="J168" s="68"/>
      <c r="K168" s="68"/>
      <c r="L168" s="68"/>
      <c r="M168" s="68"/>
      <c r="N168" s="68"/>
      <c r="O168" s="68"/>
      <c r="P168" s="68"/>
      <c r="Q168" s="68"/>
      <c r="R168" s="68"/>
      <c r="S168" s="68"/>
      <c r="T168" s="68"/>
      <c r="U168" s="68"/>
      <c r="V168" s="68"/>
      <c r="W168" s="68"/>
      <c r="X168" s="68"/>
      <c r="Y168" s="68"/>
      <c r="Z168" s="68"/>
    </row>
    <row r="169">
      <c r="A169" s="68"/>
      <c r="B169" s="68"/>
      <c r="C169" s="68"/>
      <c r="D169" s="68"/>
      <c r="E169" s="68"/>
      <c r="F169" s="68"/>
      <c r="G169" s="68"/>
      <c r="H169" s="68"/>
      <c r="I169" s="68"/>
      <c r="J169" s="68"/>
      <c r="K169" s="68"/>
      <c r="L169" s="68"/>
      <c r="M169" s="68"/>
      <c r="N169" s="68"/>
      <c r="O169" s="68"/>
      <c r="P169" s="68"/>
      <c r="Q169" s="68"/>
      <c r="R169" s="68"/>
      <c r="S169" s="68"/>
      <c r="T169" s="68"/>
      <c r="U169" s="68"/>
      <c r="V169" s="68"/>
      <c r="W169" s="68"/>
      <c r="X169" s="68"/>
      <c r="Y169" s="68"/>
      <c r="Z169" s="68"/>
    </row>
    <row r="170">
      <c r="A170" s="68"/>
      <c r="B170" s="68"/>
      <c r="C170" s="68"/>
      <c r="D170" s="68"/>
      <c r="E170" s="68"/>
      <c r="F170" s="68"/>
      <c r="G170" s="68"/>
      <c r="H170" s="68"/>
      <c r="I170" s="68"/>
      <c r="J170" s="68"/>
      <c r="K170" s="68"/>
      <c r="L170" s="68"/>
      <c r="M170" s="68"/>
      <c r="N170" s="68"/>
      <c r="O170" s="68"/>
      <c r="P170" s="68"/>
      <c r="Q170" s="68"/>
      <c r="R170" s="68"/>
      <c r="S170" s="68"/>
      <c r="T170" s="68"/>
      <c r="U170" s="68"/>
      <c r="V170" s="68"/>
      <c r="W170" s="68"/>
      <c r="X170" s="68"/>
      <c r="Y170" s="68"/>
      <c r="Z170" s="68"/>
    </row>
    <row r="171">
      <c r="A171" s="68"/>
      <c r="B171" s="68"/>
      <c r="C171" s="68"/>
      <c r="D171" s="68"/>
      <c r="E171" s="68"/>
      <c r="F171" s="68"/>
      <c r="G171" s="68"/>
      <c r="H171" s="68"/>
      <c r="I171" s="68"/>
      <c r="J171" s="68"/>
      <c r="K171" s="68"/>
      <c r="L171" s="68"/>
      <c r="M171" s="68"/>
      <c r="N171" s="68"/>
      <c r="O171" s="68"/>
      <c r="P171" s="68"/>
      <c r="Q171" s="68"/>
      <c r="R171" s="68"/>
      <c r="S171" s="68"/>
      <c r="T171" s="68"/>
      <c r="U171" s="68"/>
      <c r="V171" s="68"/>
      <c r="W171" s="68"/>
      <c r="X171" s="68"/>
      <c r="Y171" s="68"/>
      <c r="Z171" s="68"/>
    </row>
    <row r="172">
      <c r="A172" s="68"/>
      <c r="B172" s="68"/>
      <c r="C172" s="68"/>
      <c r="D172" s="68"/>
      <c r="E172" s="68"/>
      <c r="F172" s="68"/>
      <c r="G172" s="68"/>
      <c r="H172" s="68"/>
      <c r="I172" s="68"/>
      <c r="J172" s="68"/>
      <c r="K172" s="68"/>
      <c r="L172" s="68"/>
      <c r="M172" s="68"/>
      <c r="N172" s="68"/>
      <c r="O172" s="68"/>
      <c r="P172" s="68"/>
      <c r="Q172" s="68"/>
      <c r="R172" s="68"/>
      <c r="S172" s="68"/>
      <c r="T172" s="68"/>
      <c r="U172" s="68"/>
      <c r="V172" s="68"/>
      <c r="W172" s="68"/>
      <c r="X172" s="68"/>
      <c r="Y172" s="68"/>
      <c r="Z172" s="68"/>
    </row>
    <row r="173">
      <c r="A173" s="68"/>
      <c r="B173" s="68"/>
      <c r="C173" s="68"/>
      <c r="D173" s="68"/>
      <c r="E173" s="68"/>
      <c r="F173" s="68"/>
      <c r="G173" s="68"/>
      <c r="H173" s="68"/>
      <c r="I173" s="68"/>
      <c r="J173" s="68"/>
      <c r="K173" s="68"/>
      <c r="L173" s="68"/>
      <c r="M173" s="68"/>
      <c r="N173" s="68"/>
      <c r="O173" s="68"/>
      <c r="P173" s="68"/>
      <c r="Q173" s="68"/>
      <c r="R173" s="68"/>
      <c r="S173" s="68"/>
      <c r="T173" s="68"/>
      <c r="U173" s="68"/>
      <c r="V173" s="68"/>
      <c r="W173" s="68"/>
      <c r="X173" s="68"/>
      <c r="Y173" s="68"/>
      <c r="Z173" s="68"/>
    </row>
    <row r="174">
      <c r="A174" s="68"/>
      <c r="B174" s="68"/>
      <c r="C174" s="68"/>
      <c r="D174" s="68"/>
      <c r="E174" s="68"/>
      <c r="F174" s="68"/>
      <c r="G174" s="68"/>
      <c r="H174" s="68"/>
      <c r="I174" s="68"/>
      <c r="J174" s="68"/>
      <c r="K174" s="68"/>
      <c r="L174" s="68"/>
      <c r="M174" s="68"/>
      <c r="N174" s="68"/>
      <c r="O174" s="68"/>
      <c r="P174" s="68"/>
      <c r="Q174" s="68"/>
      <c r="R174" s="68"/>
      <c r="S174" s="68"/>
      <c r="T174" s="68"/>
      <c r="U174" s="68"/>
      <c r="V174" s="68"/>
      <c r="W174" s="68"/>
      <c r="X174" s="68"/>
      <c r="Y174" s="68"/>
      <c r="Z174" s="68"/>
    </row>
    <row r="175">
      <c r="A175" s="68"/>
      <c r="B175" s="68"/>
      <c r="C175" s="68"/>
      <c r="D175" s="68"/>
      <c r="E175" s="68"/>
      <c r="F175" s="68"/>
      <c r="G175" s="68"/>
      <c r="H175" s="68"/>
      <c r="I175" s="68"/>
      <c r="J175" s="68"/>
      <c r="K175" s="68"/>
      <c r="L175" s="68"/>
      <c r="M175" s="68"/>
      <c r="N175" s="68"/>
      <c r="O175" s="68"/>
      <c r="P175" s="68"/>
      <c r="Q175" s="68"/>
      <c r="R175" s="68"/>
      <c r="S175" s="68"/>
      <c r="T175" s="68"/>
      <c r="U175" s="68"/>
      <c r="V175" s="68"/>
      <c r="W175" s="68"/>
      <c r="X175" s="68"/>
      <c r="Y175" s="68"/>
      <c r="Z175" s="68"/>
    </row>
    <row r="176">
      <c r="A176" s="68"/>
      <c r="B176" s="68"/>
      <c r="C176" s="68"/>
      <c r="D176" s="68"/>
      <c r="E176" s="68"/>
      <c r="F176" s="68"/>
      <c r="G176" s="68"/>
      <c r="H176" s="68"/>
      <c r="I176" s="68"/>
      <c r="J176" s="68"/>
      <c r="K176" s="68"/>
      <c r="L176" s="68"/>
      <c r="M176" s="68"/>
      <c r="N176" s="68"/>
      <c r="O176" s="68"/>
      <c r="P176" s="68"/>
      <c r="Q176" s="68"/>
      <c r="R176" s="68"/>
      <c r="S176" s="68"/>
      <c r="T176" s="68"/>
      <c r="U176" s="68"/>
      <c r="V176" s="68"/>
      <c r="W176" s="68"/>
      <c r="X176" s="68"/>
      <c r="Y176" s="68"/>
      <c r="Z176" s="68"/>
    </row>
    <row r="177">
      <c r="A177" s="68"/>
      <c r="B177" s="68"/>
      <c r="C177" s="68"/>
      <c r="D177" s="68"/>
      <c r="E177" s="68"/>
      <c r="F177" s="68"/>
      <c r="G177" s="68"/>
      <c r="H177" s="68"/>
      <c r="I177" s="68"/>
      <c r="J177" s="68"/>
      <c r="K177" s="68"/>
      <c r="L177" s="68"/>
      <c r="M177" s="68"/>
      <c r="N177" s="68"/>
      <c r="O177" s="68"/>
      <c r="P177" s="68"/>
      <c r="Q177" s="68"/>
      <c r="R177" s="68"/>
      <c r="S177" s="68"/>
      <c r="T177" s="68"/>
      <c r="U177" s="68"/>
      <c r="V177" s="68"/>
      <c r="W177" s="68"/>
      <c r="X177" s="68"/>
      <c r="Y177" s="68"/>
      <c r="Z177" s="68"/>
    </row>
    <row r="178">
      <c r="A178" s="68"/>
      <c r="B178" s="68"/>
      <c r="C178" s="68"/>
      <c r="D178" s="68"/>
      <c r="E178" s="68"/>
      <c r="F178" s="68"/>
      <c r="G178" s="68"/>
      <c r="H178" s="68"/>
      <c r="I178" s="68"/>
      <c r="J178" s="68"/>
      <c r="K178" s="68"/>
      <c r="L178" s="68"/>
      <c r="M178" s="68"/>
      <c r="N178" s="68"/>
      <c r="O178" s="68"/>
      <c r="P178" s="68"/>
      <c r="Q178" s="68"/>
      <c r="R178" s="68"/>
      <c r="S178" s="68"/>
      <c r="T178" s="68"/>
      <c r="U178" s="68"/>
      <c r="V178" s="68"/>
      <c r="W178" s="68"/>
      <c r="X178" s="68"/>
      <c r="Y178" s="68"/>
      <c r="Z178" s="68"/>
    </row>
    <row r="179">
      <c r="A179" s="68"/>
      <c r="B179" s="68"/>
      <c r="C179" s="68"/>
      <c r="D179" s="68"/>
      <c r="E179" s="68"/>
      <c r="F179" s="68"/>
      <c r="G179" s="68"/>
      <c r="H179" s="68"/>
      <c r="I179" s="68"/>
      <c r="J179" s="68"/>
      <c r="K179" s="68"/>
      <c r="L179" s="68"/>
      <c r="M179" s="68"/>
      <c r="N179" s="68"/>
      <c r="O179" s="68"/>
      <c r="P179" s="68"/>
      <c r="Q179" s="68"/>
      <c r="R179" s="68"/>
      <c r="S179" s="68"/>
      <c r="T179" s="68"/>
      <c r="U179" s="68"/>
      <c r="V179" s="68"/>
      <c r="W179" s="68"/>
      <c r="X179" s="68"/>
      <c r="Y179" s="68"/>
      <c r="Z179" s="68"/>
    </row>
    <row r="180">
      <c r="A180" s="68"/>
      <c r="B180" s="68"/>
      <c r="C180" s="68"/>
      <c r="D180" s="68"/>
      <c r="E180" s="68"/>
      <c r="F180" s="68"/>
      <c r="G180" s="68"/>
      <c r="H180" s="68"/>
      <c r="I180" s="68"/>
      <c r="J180" s="68"/>
      <c r="K180" s="68"/>
      <c r="L180" s="68"/>
      <c r="M180" s="68"/>
      <c r="N180" s="68"/>
      <c r="O180" s="68"/>
      <c r="P180" s="68"/>
      <c r="Q180" s="68"/>
      <c r="R180" s="68"/>
      <c r="S180" s="68"/>
      <c r="T180" s="68"/>
      <c r="U180" s="68"/>
      <c r="V180" s="68"/>
      <c r="W180" s="68"/>
      <c r="X180" s="68"/>
      <c r="Y180" s="68"/>
      <c r="Z180" s="68"/>
    </row>
    <row r="181">
      <c r="A181" s="68"/>
      <c r="B181" s="68"/>
      <c r="C181" s="68"/>
      <c r="D181" s="68"/>
      <c r="E181" s="68"/>
      <c r="F181" s="68"/>
      <c r="G181" s="68"/>
      <c r="H181" s="68"/>
      <c r="I181" s="68"/>
      <c r="J181" s="68"/>
      <c r="K181" s="68"/>
      <c r="L181" s="68"/>
      <c r="M181" s="68"/>
      <c r="N181" s="68"/>
      <c r="O181" s="68"/>
      <c r="P181" s="68"/>
      <c r="Q181" s="68"/>
      <c r="R181" s="68"/>
      <c r="S181" s="68"/>
      <c r="T181" s="68"/>
      <c r="U181" s="68"/>
      <c r="V181" s="68"/>
      <c r="W181" s="68"/>
      <c r="X181" s="68"/>
      <c r="Y181" s="68"/>
      <c r="Z181" s="68"/>
    </row>
    <row r="182">
      <c r="A182" s="68"/>
      <c r="B182" s="68"/>
      <c r="C182" s="68"/>
      <c r="D182" s="68"/>
      <c r="E182" s="68"/>
      <c r="F182" s="68"/>
      <c r="G182" s="68"/>
      <c r="H182" s="68"/>
      <c r="I182" s="68"/>
      <c r="J182" s="68"/>
      <c r="K182" s="68"/>
      <c r="L182" s="68"/>
      <c r="M182" s="68"/>
      <c r="N182" s="68"/>
      <c r="O182" s="68"/>
      <c r="P182" s="68"/>
      <c r="Q182" s="68"/>
      <c r="R182" s="68"/>
      <c r="S182" s="68"/>
      <c r="T182" s="68"/>
      <c r="U182" s="68"/>
      <c r="V182" s="68"/>
      <c r="W182" s="68"/>
      <c r="X182" s="68"/>
      <c r="Y182" s="68"/>
      <c r="Z182" s="68"/>
    </row>
    <row r="183">
      <c r="A183" s="68"/>
      <c r="B183" s="68"/>
      <c r="C183" s="68"/>
      <c r="D183" s="68"/>
      <c r="E183" s="68"/>
      <c r="F183" s="68"/>
      <c r="G183" s="68"/>
      <c r="H183" s="68"/>
      <c r="I183" s="68"/>
      <c r="J183" s="68"/>
      <c r="K183" s="68"/>
      <c r="L183" s="68"/>
      <c r="M183" s="68"/>
      <c r="N183" s="68"/>
      <c r="O183" s="68"/>
      <c r="P183" s="68"/>
      <c r="Q183" s="68"/>
      <c r="R183" s="68"/>
      <c r="S183" s="68"/>
      <c r="T183" s="68"/>
      <c r="U183" s="68"/>
      <c r="V183" s="68"/>
      <c r="W183" s="68"/>
      <c r="X183" s="68"/>
      <c r="Y183" s="68"/>
      <c r="Z183" s="68"/>
    </row>
    <row r="184">
      <c r="A184" s="68"/>
      <c r="B184" s="68"/>
      <c r="C184" s="68"/>
      <c r="D184" s="68"/>
      <c r="E184" s="68"/>
      <c r="F184" s="68"/>
      <c r="G184" s="68"/>
      <c r="H184" s="68"/>
      <c r="I184" s="68"/>
      <c r="J184" s="68"/>
      <c r="K184" s="68"/>
      <c r="L184" s="68"/>
      <c r="M184" s="68"/>
      <c r="N184" s="68"/>
      <c r="O184" s="68"/>
      <c r="P184" s="68"/>
      <c r="Q184" s="68"/>
      <c r="R184" s="68"/>
      <c r="S184" s="68"/>
      <c r="T184" s="68"/>
      <c r="U184" s="68"/>
      <c r="V184" s="68"/>
      <c r="W184" s="68"/>
      <c r="X184" s="68"/>
      <c r="Y184" s="68"/>
      <c r="Z184" s="68"/>
    </row>
    <row r="185">
      <c r="A185" s="68"/>
      <c r="B185" s="68"/>
      <c r="C185" s="68"/>
      <c r="D185" s="68"/>
      <c r="E185" s="68"/>
      <c r="F185" s="68"/>
      <c r="G185" s="68"/>
      <c r="H185" s="68"/>
      <c r="I185" s="68"/>
      <c r="J185" s="68"/>
      <c r="K185" s="68"/>
      <c r="L185" s="68"/>
      <c r="M185" s="68"/>
      <c r="N185" s="68"/>
      <c r="O185" s="68"/>
      <c r="P185" s="68"/>
      <c r="Q185" s="68"/>
      <c r="R185" s="68"/>
      <c r="S185" s="68"/>
      <c r="T185" s="68"/>
      <c r="U185" s="68"/>
      <c r="V185" s="68"/>
      <c r="W185" s="68"/>
      <c r="X185" s="68"/>
      <c r="Y185" s="68"/>
      <c r="Z185" s="68"/>
    </row>
    <row r="186">
      <c r="A186" s="68"/>
      <c r="B186" s="68"/>
      <c r="C186" s="68"/>
      <c r="D186" s="68"/>
      <c r="E186" s="68"/>
      <c r="F186" s="68"/>
      <c r="G186" s="68"/>
      <c r="H186" s="68"/>
      <c r="I186" s="68"/>
      <c r="J186" s="68"/>
      <c r="K186" s="68"/>
      <c r="L186" s="68"/>
      <c r="M186" s="68"/>
      <c r="N186" s="68"/>
      <c r="O186" s="68"/>
      <c r="P186" s="68"/>
      <c r="Q186" s="68"/>
      <c r="R186" s="68"/>
      <c r="S186" s="68"/>
      <c r="T186" s="68"/>
      <c r="U186" s="68"/>
      <c r="V186" s="68"/>
      <c r="W186" s="68"/>
      <c r="X186" s="68"/>
      <c r="Y186" s="68"/>
      <c r="Z186" s="68"/>
    </row>
    <row r="187">
      <c r="A187" s="68"/>
      <c r="B187" s="68"/>
      <c r="C187" s="68"/>
      <c r="D187" s="68"/>
      <c r="E187" s="68"/>
      <c r="F187" s="68"/>
      <c r="G187" s="68"/>
      <c r="H187" s="68"/>
      <c r="I187" s="68"/>
      <c r="J187" s="68"/>
      <c r="K187" s="68"/>
      <c r="L187" s="68"/>
      <c r="M187" s="68"/>
      <c r="N187" s="68"/>
      <c r="O187" s="68"/>
      <c r="P187" s="68"/>
      <c r="Q187" s="68"/>
      <c r="R187" s="68"/>
      <c r="S187" s="68"/>
      <c r="T187" s="68"/>
      <c r="U187" s="68"/>
      <c r="V187" s="68"/>
      <c r="W187" s="68"/>
      <c r="X187" s="68"/>
      <c r="Y187" s="68"/>
      <c r="Z187" s="68"/>
    </row>
    <row r="188">
      <c r="A188" s="68"/>
      <c r="B188" s="68"/>
      <c r="C188" s="68"/>
      <c r="D188" s="68"/>
      <c r="E188" s="68"/>
      <c r="F188" s="68"/>
      <c r="G188" s="68"/>
      <c r="H188" s="68"/>
      <c r="I188" s="68"/>
      <c r="J188" s="68"/>
      <c r="K188" s="68"/>
      <c r="L188" s="68"/>
      <c r="M188" s="68"/>
      <c r="N188" s="68"/>
      <c r="O188" s="68"/>
      <c r="P188" s="68"/>
      <c r="Q188" s="68"/>
      <c r="R188" s="68"/>
      <c r="S188" s="68"/>
      <c r="T188" s="68"/>
      <c r="U188" s="68"/>
      <c r="V188" s="68"/>
      <c r="W188" s="68"/>
      <c r="X188" s="68"/>
      <c r="Y188" s="68"/>
      <c r="Z188" s="68"/>
    </row>
    <row r="189">
      <c r="A189" s="68"/>
      <c r="B189" s="68"/>
      <c r="C189" s="68"/>
      <c r="D189" s="68"/>
      <c r="E189" s="68"/>
      <c r="F189" s="68"/>
      <c r="G189" s="68"/>
      <c r="H189" s="68"/>
      <c r="I189" s="68"/>
      <c r="J189" s="68"/>
      <c r="K189" s="68"/>
      <c r="L189" s="68"/>
      <c r="M189" s="68"/>
      <c r="N189" s="68"/>
      <c r="O189" s="68"/>
      <c r="P189" s="68"/>
      <c r="Q189" s="68"/>
      <c r="R189" s="68"/>
      <c r="S189" s="68"/>
      <c r="T189" s="68"/>
      <c r="U189" s="68"/>
      <c r="V189" s="68"/>
      <c r="W189" s="68"/>
      <c r="X189" s="68"/>
      <c r="Y189" s="68"/>
      <c r="Z189" s="68"/>
    </row>
    <row r="190">
      <c r="A190" s="68"/>
      <c r="B190" s="68"/>
      <c r="C190" s="68"/>
      <c r="D190" s="68"/>
      <c r="E190" s="68"/>
      <c r="F190" s="68"/>
      <c r="G190" s="68"/>
      <c r="H190" s="68"/>
      <c r="I190" s="68"/>
      <c r="J190" s="68"/>
      <c r="K190" s="68"/>
      <c r="L190" s="68"/>
      <c r="M190" s="68"/>
      <c r="N190" s="68"/>
      <c r="O190" s="68"/>
      <c r="P190" s="68"/>
      <c r="Q190" s="68"/>
      <c r="R190" s="68"/>
      <c r="S190" s="68"/>
      <c r="T190" s="68"/>
      <c r="U190" s="68"/>
      <c r="V190" s="68"/>
      <c r="W190" s="68"/>
      <c r="X190" s="68"/>
      <c r="Y190" s="68"/>
      <c r="Z190" s="68"/>
    </row>
    <row r="191">
      <c r="A191" s="68"/>
      <c r="B191" s="68"/>
      <c r="C191" s="68"/>
      <c r="D191" s="68"/>
      <c r="E191" s="68"/>
      <c r="F191" s="68"/>
      <c r="G191" s="68"/>
      <c r="H191" s="68"/>
      <c r="I191" s="68"/>
      <c r="J191" s="68"/>
      <c r="K191" s="68"/>
      <c r="L191" s="68"/>
      <c r="M191" s="68"/>
      <c r="N191" s="68"/>
      <c r="O191" s="68"/>
      <c r="P191" s="68"/>
      <c r="Q191" s="68"/>
      <c r="R191" s="68"/>
      <c r="S191" s="68"/>
      <c r="T191" s="68"/>
      <c r="U191" s="68"/>
      <c r="V191" s="68"/>
      <c r="W191" s="68"/>
      <c r="X191" s="68"/>
      <c r="Y191" s="68"/>
      <c r="Z191" s="68"/>
    </row>
    <row r="192">
      <c r="A192" s="68"/>
      <c r="B192" s="68"/>
      <c r="C192" s="68"/>
      <c r="D192" s="68"/>
      <c r="E192" s="68"/>
      <c r="F192" s="68"/>
      <c r="G192" s="68"/>
      <c r="H192" s="68"/>
      <c r="I192" s="68"/>
      <c r="J192" s="68"/>
      <c r="K192" s="68"/>
      <c r="L192" s="68"/>
      <c r="M192" s="68"/>
      <c r="N192" s="68"/>
      <c r="O192" s="68"/>
      <c r="P192" s="68"/>
      <c r="Q192" s="68"/>
      <c r="R192" s="68"/>
      <c r="S192" s="68"/>
      <c r="T192" s="68"/>
      <c r="U192" s="68"/>
      <c r="V192" s="68"/>
      <c r="W192" s="68"/>
      <c r="X192" s="68"/>
      <c r="Y192" s="68"/>
      <c r="Z192" s="68"/>
    </row>
    <row r="193">
      <c r="A193" s="68"/>
      <c r="B193" s="68"/>
      <c r="C193" s="68"/>
      <c r="D193" s="68"/>
      <c r="E193" s="68"/>
      <c r="F193" s="68"/>
      <c r="G193" s="68"/>
      <c r="H193" s="68"/>
      <c r="I193" s="68"/>
      <c r="J193" s="68"/>
      <c r="K193" s="68"/>
      <c r="L193" s="68"/>
      <c r="M193" s="68"/>
      <c r="N193" s="68"/>
      <c r="O193" s="68"/>
      <c r="P193" s="68"/>
      <c r="Q193" s="68"/>
      <c r="R193" s="68"/>
      <c r="S193" s="68"/>
      <c r="T193" s="68"/>
      <c r="U193" s="68"/>
      <c r="V193" s="68"/>
      <c r="W193" s="68"/>
      <c r="X193" s="68"/>
      <c r="Y193" s="68"/>
      <c r="Z193" s="68"/>
    </row>
    <row r="194">
      <c r="A194" s="68"/>
      <c r="B194" s="68"/>
      <c r="C194" s="68"/>
      <c r="D194" s="68"/>
      <c r="E194" s="68"/>
      <c r="F194" s="68"/>
      <c r="G194" s="68"/>
      <c r="H194" s="68"/>
      <c r="I194" s="68"/>
      <c r="J194" s="68"/>
      <c r="K194" s="68"/>
      <c r="L194" s="68"/>
      <c r="M194" s="68"/>
      <c r="N194" s="68"/>
      <c r="O194" s="68"/>
      <c r="P194" s="68"/>
      <c r="Q194" s="68"/>
      <c r="R194" s="68"/>
      <c r="S194" s="68"/>
      <c r="T194" s="68"/>
      <c r="U194" s="68"/>
      <c r="V194" s="68"/>
      <c r="W194" s="68"/>
      <c r="X194" s="68"/>
      <c r="Y194" s="68"/>
      <c r="Z194" s="68"/>
    </row>
    <row r="195">
      <c r="A195" s="68"/>
      <c r="B195" s="68"/>
      <c r="C195" s="68"/>
      <c r="D195" s="68"/>
      <c r="E195" s="68"/>
      <c r="F195" s="68"/>
      <c r="G195" s="68"/>
      <c r="H195" s="68"/>
      <c r="I195" s="68"/>
      <c r="J195" s="68"/>
      <c r="K195" s="68"/>
      <c r="L195" s="68"/>
      <c r="M195" s="68"/>
      <c r="N195" s="68"/>
      <c r="O195" s="68"/>
      <c r="P195" s="68"/>
      <c r="Q195" s="68"/>
      <c r="R195" s="68"/>
      <c r="S195" s="68"/>
      <c r="T195" s="68"/>
      <c r="U195" s="68"/>
      <c r="V195" s="68"/>
      <c r="W195" s="68"/>
      <c r="X195" s="68"/>
      <c r="Y195" s="68"/>
      <c r="Z195" s="68"/>
    </row>
    <row r="196">
      <c r="A196" s="68"/>
      <c r="B196" s="68"/>
      <c r="C196" s="68"/>
      <c r="D196" s="68"/>
      <c r="E196" s="68"/>
      <c r="F196" s="68"/>
      <c r="G196" s="68"/>
      <c r="H196" s="68"/>
      <c r="I196" s="68"/>
      <c r="J196" s="68"/>
      <c r="K196" s="68"/>
      <c r="L196" s="68"/>
      <c r="M196" s="68"/>
      <c r="N196" s="68"/>
      <c r="O196" s="68"/>
      <c r="P196" s="68"/>
      <c r="Q196" s="68"/>
      <c r="R196" s="68"/>
      <c r="S196" s="68"/>
      <c r="T196" s="68"/>
      <c r="U196" s="68"/>
      <c r="V196" s="68"/>
      <c r="W196" s="68"/>
      <c r="X196" s="68"/>
      <c r="Y196" s="68"/>
      <c r="Z196" s="68"/>
    </row>
    <row r="197">
      <c r="A197" s="68"/>
      <c r="B197" s="68"/>
      <c r="C197" s="68"/>
      <c r="D197" s="68"/>
      <c r="E197" s="68"/>
      <c r="F197" s="68"/>
      <c r="G197" s="68"/>
      <c r="H197" s="68"/>
      <c r="I197" s="68"/>
      <c r="J197" s="68"/>
      <c r="K197" s="68"/>
      <c r="L197" s="68"/>
      <c r="M197" s="68"/>
      <c r="N197" s="68"/>
      <c r="O197" s="68"/>
      <c r="P197" s="68"/>
      <c r="Q197" s="68"/>
      <c r="R197" s="68"/>
      <c r="S197" s="68"/>
      <c r="T197" s="68"/>
      <c r="U197" s="68"/>
      <c r="V197" s="68"/>
      <c r="W197" s="68"/>
      <c r="X197" s="68"/>
      <c r="Y197" s="68"/>
      <c r="Z197" s="68"/>
    </row>
    <row r="198">
      <c r="A198" s="68"/>
      <c r="B198" s="68"/>
      <c r="C198" s="68"/>
      <c r="D198" s="68"/>
      <c r="E198" s="68"/>
      <c r="F198" s="68"/>
      <c r="G198" s="68"/>
      <c r="H198" s="68"/>
      <c r="I198" s="68"/>
      <c r="J198" s="68"/>
      <c r="K198" s="68"/>
      <c r="L198" s="68"/>
      <c r="M198" s="68"/>
      <c r="N198" s="68"/>
      <c r="O198" s="68"/>
      <c r="P198" s="68"/>
      <c r="Q198" s="68"/>
      <c r="R198" s="68"/>
      <c r="S198" s="68"/>
      <c r="T198" s="68"/>
      <c r="U198" s="68"/>
      <c r="V198" s="68"/>
      <c r="W198" s="68"/>
      <c r="X198" s="68"/>
      <c r="Y198" s="68"/>
      <c r="Z198" s="68"/>
    </row>
    <row r="199">
      <c r="A199" s="68"/>
      <c r="B199" s="68"/>
      <c r="C199" s="68"/>
      <c r="D199" s="68"/>
      <c r="E199" s="68"/>
      <c r="F199" s="68"/>
      <c r="G199" s="68"/>
      <c r="H199" s="68"/>
      <c r="I199" s="68"/>
      <c r="J199" s="68"/>
      <c r="K199" s="68"/>
      <c r="L199" s="68"/>
      <c r="M199" s="68"/>
      <c r="N199" s="68"/>
      <c r="O199" s="68"/>
      <c r="P199" s="68"/>
      <c r="Q199" s="68"/>
      <c r="R199" s="68"/>
      <c r="S199" s="68"/>
      <c r="T199" s="68"/>
      <c r="U199" s="68"/>
      <c r="V199" s="68"/>
      <c r="W199" s="68"/>
      <c r="X199" s="68"/>
      <c r="Y199" s="68"/>
      <c r="Z199" s="68"/>
    </row>
    <row r="200">
      <c r="A200" s="68"/>
      <c r="B200" s="68"/>
      <c r="C200" s="68"/>
      <c r="D200" s="68"/>
      <c r="E200" s="68"/>
      <c r="F200" s="68"/>
      <c r="G200" s="68"/>
      <c r="H200" s="68"/>
      <c r="I200" s="68"/>
      <c r="J200" s="68"/>
      <c r="K200" s="68"/>
      <c r="L200" s="68"/>
      <c r="M200" s="68"/>
      <c r="N200" s="68"/>
      <c r="O200" s="68"/>
      <c r="P200" s="68"/>
      <c r="Q200" s="68"/>
      <c r="R200" s="68"/>
      <c r="S200" s="68"/>
      <c r="T200" s="68"/>
      <c r="U200" s="68"/>
      <c r="V200" s="68"/>
      <c r="W200" s="68"/>
      <c r="X200" s="68"/>
      <c r="Y200" s="68"/>
      <c r="Z200" s="68"/>
    </row>
    <row r="201">
      <c r="A201" s="68"/>
      <c r="B201" s="68"/>
      <c r="C201" s="68"/>
      <c r="D201" s="68"/>
      <c r="E201" s="68"/>
      <c r="F201" s="68"/>
      <c r="G201" s="68"/>
      <c r="H201" s="68"/>
      <c r="I201" s="68"/>
      <c r="J201" s="68"/>
      <c r="K201" s="68"/>
      <c r="L201" s="68"/>
      <c r="M201" s="68"/>
      <c r="N201" s="68"/>
      <c r="O201" s="68"/>
      <c r="P201" s="68"/>
      <c r="Q201" s="68"/>
      <c r="R201" s="68"/>
      <c r="S201" s="68"/>
      <c r="T201" s="68"/>
      <c r="U201" s="68"/>
      <c r="V201" s="68"/>
      <c r="W201" s="68"/>
      <c r="X201" s="68"/>
      <c r="Y201" s="68"/>
      <c r="Z201" s="68"/>
    </row>
    <row r="202">
      <c r="A202" s="68"/>
      <c r="B202" s="68"/>
      <c r="C202" s="68"/>
      <c r="D202" s="68"/>
      <c r="E202" s="68"/>
      <c r="F202" s="68"/>
      <c r="G202" s="68"/>
      <c r="H202" s="68"/>
      <c r="I202" s="68"/>
      <c r="J202" s="68"/>
      <c r="K202" s="68"/>
      <c r="L202" s="68"/>
      <c r="M202" s="68"/>
      <c r="N202" s="68"/>
      <c r="O202" s="68"/>
      <c r="P202" s="68"/>
      <c r="Q202" s="68"/>
      <c r="R202" s="68"/>
      <c r="S202" s="68"/>
      <c r="T202" s="68"/>
      <c r="U202" s="68"/>
      <c r="V202" s="68"/>
      <c r="W202" s="68"/>
      <c r="X202" s="68"/>
      <c r="Y202" s="68"/>
      <c r="Z202" s="68"/>
    </row>
    <row r="203">
      <c r="A203" s="68"/>
      <c r="B203" s="68"/>
      <c r="C203" s="68"/>
      <c r="D203" s="68"/>
      <c r="E203" s="68"/>
      <c r="F203" s="68"/>
      <c r="G203" s="68"/>
      <c r="H203" s="68"/>
      <c r="I203" s="68"/>
      <c r="J203" s="68"/>
      <c r="K203" s="68"/>
      <c r="L203" s="68"/>
      <c r="M203" s="68"/>
      <c r="N203" s="68"/>
      <c r="O203" s="68"/>
      <c r="P203" s="68"/>
      <c r="Q203" s="68"/>
      <c r="R203" s="68"/>
      <c r="S203" s="68"/>
      <c r="T203" s="68"/>
      <c r="U203" s="68"/>
      <c r="V203" s="68"/>
      <c r="W203" s="68"/>
      <c r="X203" s="68"/>
      <c r="Y203" s="68"/>
      <c r="Z203" s="68"/>
    </row>
    <row r="204">
      <c r="A204" s="68"/>
      <c r="B204" s="68"/>
      <c r="C204" s="68"/>
      <c r="D204" s="68"/>
      <c r="E204" s="68"/>
      <c r="F204" s="68"/>
      <c r="G204" s="68"/>
      <c r="H204" s="68"/>
      <c r="I204" s="68"/>
      <c r="J204" s="68"/>
      <c r="K204" s="68"/>
      <c r="L204" s="68"/>
      <c r="M204" s="68"/>
      <c r="N204" s="68"/>
      <c r="O204" s="68"/>
      <c r="P204" s="68"/>
      <c r="Q204" s="68"/>
      <c r="R204" s="68"/>
      <c r="S204" s="68"/>
      <c r="T204" s="68"/>
      <c r="U204" s="68"/>
      <c r="V204" s="68"/>
      <c r="W204" s="68"/>
      <c r="X204" s="68"/>
      <c r="Y204" s="68"/>
      <c r="Z204" s="68"/>
    </row>
    <row r="205">
      <c r="A205" s="68"/>
      <c r="B205" s="68"/>
      <c r="C205" s="68"/>
      <c r="D205" s="68"/>
      <c r="E205" s="68"/>
      <c r="F205" s="68"/>
      <c r="G205" s="68"/>
      <c r="H205" s="68"/>
      <c r="I205" s="68"/>
      <c r="J205" s="68"/>
      <c r="K205" s="68"/>
      <c r="L205" s="68"/>
      <c r="M205" s="68"/>
      <c r="N205" s="68"/>
      <c r="O205" s="68"/>
      <c r="P205" s="68"/>
      <c r="Q205" s="68"/>
      <c r="R205" s="68"/>
      <c r="S205" s="68"/>
      <c r="T205" s="68"/>
      <c r="U205" s="68"/>
      <c r="V205" s="68"/>
      <c r="W205" s="68"/>
      <c r="X205" s="68"/>
      <c r="Y205" s="68"/>
      <c r="Z205" s="68"/>
    </row>
    <row r="206">
      <c r="A206" s="68"/>
      <c r="B206" s="68"/>
      <c r="C206" s="68"/>
      <c r="D206" s="68"/>
      <c r="E206" s="68"/>
      <c r="F206" s="68"/>
      <c r="G206" s="68"/>
      <c r="H206" s="68"/>
      <c r="I206" s="68"/>
      <c r="J206" s="68"/>
      <c r="K206" s="68"/>
      <c r="L206" s="68"/>
      <c r="M206" s="68"/>
      <c r="N206" s="68"/>
      <c r="O206" s="68"/>
      <c r="P206" s="68"/>
      <c r="Q206" s="68"/>
      <c r="R206" s="68"/>
      <c r="S206" s="68"/>
      <c r="T206" s="68"/>
      <c r="U206" s="68"/>
      <c r="V206" s="68"/>
      <c r="W206" s="68"/>
      <c r="X206" s="68"/>
      <c r="Y206" s="68"/>
      <c r="Z206" s="68"/>
    </row>
    <row r="207">
      <c r="A207" s="68"/>
      <c r="B207" s="68"/>
      <c r="C207" s="68"/>
      <c r="D207" s="68"/>
      <c r="E207" s="68"/>
      <c r="F207" s="68"/>
      <c r="G207" s="68"/>
      <c r="H207" s="68"/>
      <c r="I207" s="68"/>
      <c r="J207" s="68"/>
      <c r="K207" s="68"/>
      <c r="L207" s="68"/>
      <c r="M207" s="68"/>
      <c r="N207" s="68"/>
      <c r="O207" s="68"/>
      <c r="P207" s="68"/>
      <c r="Q207" s="68"/>
      <c r="R207" s="68"/>
      <c r="S207" s="68"/>
      <c r="T207" s="68"/>
      <c r="U207" s="68"/>
      <c r="V207" s="68"/>
      <c r="W207" s="68"/>
      <c r="X207" s="68"/>
      <c r="Y207" s="68"/>
      <c r="Z207" s="68"/>
    </row>
    <row r="208">
      <c r="A208" s="68"/>
      <c r="B208" s="68"/>
      <c r="C208" s="68"/>
      <c r="D208" s="68"/>
      <c r="E208" s="68"/>
      <c r="F208" s="68"/>
      <c r="G208" s="68"/>
      <c r="H208" s="68"/>
      <c r="I208" s="68"/>
      <c r="J208" s="68"/>
      <c r="K208" s="68"/>
      <c r="L208" s="68"/>
      <c r="M208" s="68"/>
      <c r="N208" s="68"/>
      <c r="O208" s="68"/>
      <c r="P208" s="68"/>
      <c r="Q208" s="68"/>
      <c r="R208" s="68"/>
      <c r="S208" s="68"/>
      <c r="T208" s="68"/>
      <c r="U208" s="68"/>
      <c r="V208" s="68"/>
      <c r="W208" s="68"/>
      <c r="X208" s="68"/>
      <c r="Y208" s="68"/>
      <c r="Z208" s="68"/>
    </row>
    <row r="209">
      <c r="A209" s="68"/>
      <c r="B209" s="68"/>
      <c r="C209" s="68"/>
      <c r="D209" s="68"/>
      <c r="E209" s="68"/>
      <c r="F209" s="68"/>
      <c r="G209" s="68"/>
      <c r="H209" s="68"/>
      <c r="I209" s="68"/>
      <c r="J209" s="68"/>
      <c r="K209" s="68"/>
      <c r="L209" s="68"/>
      <c r="M209" s="68"/>
      <c r="N209" s="68"/>
      <c r="O209" s="68"/>
      <c r="P209" s="68"/>
      <c r="Q209" s="68"/>
      <c r="R209" s="68"/>
      <c r="S209" s="68"/>
      <c r="T209" s="68"/>
      <c r="U209" s="68"/>
      <c r="V209" s="68"/>
      <c r="W209" s="68"/>
      <c r="X209" s="68"/>
      <c r="Y209" s="68"/>
      <c r="Z209" s="68"/>
    </row>
    <row r="210">
      <c r="A210" s="68"/>
      <c r="B210" s="68"/>
      <c r="C210" s="68"/>
      <c r="D210" s="68"/>
      <c r="E210" s="68"/>
      <c r="F210" s="68"/>
      <c r="G210" s="68"/>
      <c r="H210" s="68"/>
      <c r="I210" s="68"/>
      <c r="J210" s="68"/>
      <c r="K210" s="68"/>
      <c r="L210" s="68"/>
      <c r="M210" s="68"/>
      <c r="N210" s="68"/>
      <c r="O210" s="68"/>
      <c r="P210" s="68"/>
      <c r="Q210" s="68"/>
      <c r="R210" s="68"/>
      <c r="S210" s="68"/>
      <c r="T210" s="68"/>
      <c r="U210" s="68"/>
      <c r="V210" s="68"/>
      <c r="W210" s="68"/>
      <c r="X210" s="68"/>
      <c r="Y210" s="68"/>
      <c r="Z210" s="68"/>
    </row>
    <row r="211">
      <c r="A211" s="68"/>
      <c r="B211" s="68"/>
      <c r="C211" s="68"/>
      <c r="D211" s="68"/>
      <c r="E211" s="68"/>
      <c r="F211" s="68"/>
      <c r="G211" s="68"/>
      <c r="H211" s="68"/>
      <c r="I211" s="68"/>
      <c r="J211" s="68"/>
      <c r="K211" s="68"/>
      <c r="L211" s="68"/>
      <c r="M211" s="68"/>
      <c r="N211" s="68"/>
      <c r="O211" s="68"/>
      <c r="P211" s="68"/>
      <c r="Q211" s="68"/>
      <c r="R211" s="68"/>
      <c r="S211" s="68"/>
      <c r="T211" s="68"/>
      <c r="U211" s="68"/>
      <c r="V211" s="68"/>
      <c r="W211" s="68"/>
      <c r="X211" s="68"/>
      <c r="Y211" s="68"/>
      <c r="Z211" s="68"/>
    </row>
    <row r="212">
      <c r="A212" s="68"/>
      <c r="B212" s="68"/>
      <c r="C212" s="68"/>
      <c r="D212" s="68"/>
      <c r="E212" s="68"/>
      <c r="F212" s="68"/>
      <c r="G212" s="68"/>
      <c r="H212" s="68"/>
      <c r="I212" s="68"/>
      <c r="J212" s="68"/>
      <c r="K212" s="68"/>
      <c r="L212" s="68"/>
      <c r="M212" s="68"/>
      <c r="N212" s="68"/>
      <c r="O212" s="68"/>
      <c r="P212" s="68"/>
      <c r="Q212" s="68"/>
      <c r="R212" s="68"/>
      <c r="S212" s="68"/>
      <c r="T212" s="68"/>
      <c r="U212" s="68"/>
      <c r="V212" s="68"/>
      <c r="W212" s="68"/>
      <c r="X212" s="68"/>
      <c r="Y212" s="68"/>
      <c r="Z212" s="68"/>
    </row>
    <row r="213">
      <c r="A213" s="68"/>
      <c r="B213" s="68"/>
      <c r="C213" s="68"/>
      <c r="D213" s="68"/>
      <c r="E213" s="68"/>
      <c r="F213" s="68"/>
      <c r="G213" s="68"/>
      <c r="H213" s="68"/>
      <c r="I213" s="68"/>
      <c r="J213" s="68"/>
      <c r="K213" s="68"/>
      <c r="L213" s="68"/>
      <c r="M213" s="68"/>
      <c r="N213" s="68"/>
      <c r="O213" s="68"/>
      <c r="P213" s="68"/>
      <c r="Q213" s="68"/>
      <c r="R213" s="68"/>
      <c r="S213" s="68"/>
      <c r="T213" s="68"/>
      <c r="U213" s="68"/>
      <c r="V213" s="68"/>
      <c r="W213" s="68"/>
      <c r="X213" s="68"/>
      <c r="Y213" s="68"/>
      <c r="Z213" s="68"/>
    </row>
    <row r="214">
      <c r="A214" s="68"/>
      <c r="B214" s="68"/>
      <c r="C214" s="68"/>
      <c r="D214" s="68"/>
      <c r="E214" s="68"/>
      <c r="F214" s="68"/>
      <c r="G214" s="68"/>
      <c r="H214" s="68"/>
      <c r="I214" s="68"/>
      <c r="J214" s="68"/>
      <c r="K214" s="68"/>
      <c r="L214" s="68"/>
      <c r="M214" s="68"/>
      <c r="N214" s="68"/>
      <c r="O214" s="68"/>
      <c r="P214" s="68"/>
      <c r="Q214" s="68"/>
      <c r="R214" s="68"/>
      <c r="S214" s="68"/>
      <c r="T214" s="68"/>
      <c r="U214" s="68"/>
      <c r="V214" s="68"/>
      <c r="W214" s="68"/>
      <c r="X214" s="68"/>
      <c r="Y214" s="68"/>
      <c r="Z214" s="68"/>
    </row>
    <row r="215">
      <c r="A215" s="68"/>
      <c r="B215" s="68"/>
      <c r="C215" s="68"/>
      <c r="D215" s="68"/>
      <c r="E215" s="68"/>
      <c r="F215" s="68"/>
      <c r="G215" s="68"/>
      <c r="H215" s="68"/>
      <c r="I215" s="68"/>
      <c r="J215" s="68"/>
      <c r="K215" s="68"/>
      <c r="L215" s="68"/>
      <c r="M215" s="68"/>
      <c r="N215" s="68"/>
      <c r="O215" s="68"/>
      <c r="P215" s="68"/>
      <c r="Q215" s="68"/>
      <c r="R215" s="68"/>
      <c r="S215" s="68"/>
      <c r="T215" s="68"/>
      <c r="U215" s="68"/>
      <c r="V215" s="68"/>
      <c r="W215" s="68"/>
      <c r="X215" s="68"/>
      <c r="Y215" s="68"/>
      <c r="Z215" s="68"/>
    </row>
    <row r="216">
      <c r="A216" s="68"/>
      <c r="B216" s="68"/>
      <c r="C216" s="68"/>
      <c r="D216" s="68"/>
      <c r="E216" s="68"/>
      <c r="F216" s="68"/>
      <c r="G216" s="68"/>
      <c r="H216" s="68"/>
      <c r="I216" s="68"/>
      <c r="J216" s="68"/>
      <c r="K216" s="68"/>
      <c r="L216" s="68"/>
      <c r="M216" s="68"/>
      <c r="N216" s="68"/>
      <c r="O216" s="68"/>
      <c r="P216" s="68"/>
      <c r="Q216" s="68"/>
      <c r="R216" s="68"/>
      <c r="S216" s="68"/>
      <c r="T216" s="68"/>
      <c r="U216" s="68"/>
      <c r="V216" s="68"/>
      <c r="W216" s="68"/>
      <c r="X216" s="68"/>
      <c r="Y216" s="68"/>
      <c r="Z216" s="68"/>
    </row>
    <row r="217">
      <c r="A217" s="68"/>
      <c r="B217" s="68"/>
      <c r="C217" s="68"/>
      <c r="D217" s="68"/>
      <c r="E217" s="68"/>
      <c r="F217" s="68"/>
      <c r="G217" s="68"/>
      <c r="H217" s="68"/>
      <c r="I217" s="68"/>
      <c r="J217" s="68"/>
      <c r="K217" s="68"/>
      <c r="L217" s="68"/>
      <c r="M217" s="68"/>
      <c r="N217" s="68"/>
      <c r="O217" s="68"/>
      <c r="P217" s="68"/>
      <c r="Q217" s="68"/>
      <c r="R217" s="68"/>
      <c r="S217" s="68"/>
      <c r="T217" s="68"/>
      <c r="U217" s="68"/>
      <c r="V217" s="68"/>
      <c r="W217" s="68"/>
      <c r="X217" s="68"/>
      <c r="Y217" s="68"/>
      <c r="Z217" s="68"/>
    </row>
    <row r="218">
      <c r="A218" s="68"/>
      <c r="B218" s="68"/>
      <c r="C218" s="68"/>
      <c r="D218" s="68"/>
      <c r="E218" s="68"/>
      <c r="F218" s="68"/>
      <c r="G218" s="68"/>
      <c r="H218" s="68"/>
      <c r="I218" s="68"/>
      <c r="J218" s="68"/>
      <c r="K218" s="68"/>
      <c r="L218" s="68"/>
      <c r="M218" s="68"/>
      <c r="N218" s="68"/>
      <c r="O218" s="68"/>
      <c r="P218" s="68"/>
      <c r="Q218" s="68"/>
      <c r="R218" s="68"/>
      <c r="S218" s="68"/>
      <c r="T218" s="68"/>
      <c r="U218" s="68"/>
      <c r="V218" s="68"/>
      <c r="W218" s="68"/>
      <c r="X218" s="68"/>
      <c r="Y218" s="68"/>
      <c r="Z218" s="68"/>
    </row>
    <row r="219">
      <c r="A219" s="68"/>
      <c r="B219" s="68"/>
      <c r="C219" s="68"/>
      <c r="D219" s="68"/>
      <c r="E219" s="68"/>
      <c r="F219" s="68"/>
      <c r="G219" s="68"/>
      <c r="H219" s="68"/>
      <c r="I219" s="68"/>
      <c r="J219" s="68"/>
      <c r="K219" s="68"/>
      <c r="L219" s="68"/>
      <c r="M219" s="68"/>
      <c r="N219" s="68"/>
      <c r="O219" s="68"/>
      <c r="P219" s="68"/>
      <c r="Q219" s="68"/>
      <c r="R219" s="68"/>
      <c r="S219" s="68"/>
      <c r="T219" s="68"/>
      <c r="U219" s="68"/>
      <c r="V219" s="68"/>
      <c r="W219" s="68"/>
      <c r="X219" s="68"/>
      <c r="Y219" s="68"/>
      <c r="Z219" s="68"/>
    </row>
    <row r="220">
      <c r="A220" s="68"/>
      <c r="B220" s="68"/>
      <c r="C220" s="68"/>
      <c r="D220" s="68"/>
      <c r="E220" s="68"/>
      <c r="F220" s="68"/>
      <c r="G220" s="68"/>
      <c r="H220" s="68"/>
      <c r="I220" s="68"/>
      <c r="J220" s="68"/>
      <c r="K220" s="68"/>
      <c r="L220" s="68"/>
      <c r="M220" s="68"/>
      <c r="N220" s="68"/>
      <c r="O220" s="68"/>
      <c r="P220" s="68"/>
      <c r="Q220" s="68"/>
      <c r="R220" s="68"/>
      <c r="S220" s="68"/>
      <c r="T220" s="68"/>
      <c r="U220" s="68"/>
      <c r="V220" s="68"/>
      <c r="W220" s="68"/>
      <c r="X220" s="68"/>
      <c r="Y220" s="68"/>
      <c r="Z220" s="68"/>
    </row>
    <row r="221">
      <c r="A221" s="68"/>
      <c r="B221" s="68"/>
      <c r="C221" s="68"/>
      <c r="D221" s="68"/>
      <c r="E221" s="68"/>
      <c r="F221" s="68"/>
      <c r="G221" s="68"/>
      <c r="H221" s="68"/>
      <c r="I221" s="68"/>
      <c r="J221" s="68"/>
      <c r="K221" s="68"/>
      <c r="L221" s="68"/>
      <c r="M221" s="68"/>
      <c r="N221" s="68"/>
      <c r="O221" s="68"/>
      <c r="P221" s="68"/>
      <c r="Q221" s="68"/>
      <c r="R221" s="68"/>
      <c r="S221" s="68"/>
      <c r="T221" s="68"/>
      <c r="U221" s="68"/>
      <c r="V221" s="68"/>
      <c r="W221" s="68"/>
      <c r="X221" s="68"/>
      <c r="Y221" s="68"/>
      <c r="Z221" s="68"/>
    </row>
    <row r="222">
      <c r="A222" s="68"/>
      <c r="B222" s="68"/>
      <c r="C222" s="68"/>
      <c r="D222" s="68"/>
      <c r="E222" s="68"/>
      <c r="F222" s="68"/>
      <c r="G222" s="68"/>
      <c r="H222" s="68"/>
      <c r="I222" s="68"/>
      <c r="J222" s="68"/>
      <c r="K222" s="68"/>
      <c r="L222" s="68"/>
      <c r="M222" s="68"/>
      <c r="N222" s="68"/>
      <c r="O222" s="68"/>
      <c r="P222" s="68"/>
      <c r="Q222" s="68"/>
      <c r="R222" s="68"/>
      <c r="S222" s="68"/>
      <c r="T222" s="68"/>
      <c r="U222" s="68"/>
      <c r="V222" s="68"/>
      <c r="W222" s="68"/>
      <c r="X222" s="68"/>
      <c r="Y222" s="68"/>
      <c r="Z222" s="68"/>
    </row>
    <row r="223">
      <c r="A223" s="68"/>
      <c r="B223" s="68"/>
      <c r="C223" s="68"/>
      <c r="D223" s="68"/>
      <c r="E223" s="68"/>
      <c r="F223" s="68"/>
      <c r="G223" s="68"/>
      <c r="H223" s="68"/>
      <c r="I223" s="68"/>
      <c r="J223" s="68"/>
      <c r="K223" s="68"/>
      <c r="L223" s="68"/>
      <c r="M223" s="68"/>
      <c r="N223" s="68"/>
      <c r="O223" s="68"/>
      <c r="P223" s="68"/>
      <c r="Q223" s="68"/>
      <c r="R223" s="68"/>
      <c r="S223" s="68"/>
      <c r="T223" s="68"/>
      <c r="U223" s="68"/>
      <c r="V223" s="68"/>
      <c r="W223" s="68"/>
      <c r="X223" s="68"/>
      <c r="Y223" s="68"/>
      <c r="Z223" s="68"/>
    </row>
    <row r="224">
      <c r="A224" s="68"/>
      <c r="B224" s="68"/>
      <c r="C224" s="68"/>
      <c r="D224" s="68"/>
      <c r="E224" s="68"/>
      <c r="F224" s="68"/>
      <c r="G224" s="68"/>
      <c r="H224" s="68"/>
      <c r="I224" s="68"/>
      <c r="J224" s="68"/>
      <c r="K224" s="68"/>
      <c r="L224" s="68"/>
      <c r="M224" s="68"/>
      <c r="N224" s="68"/>
      <c r="O224" s="68"/>
      <c r="P224" s="68"/>
      <c r="Q224" s="68"/>
      <c r="R224" s="68"/>
      <c r="S224" s="68"/>
      <c r="T224" s="68"/>
      <c r="U224" s="68"/>
      <c r="V224" s="68"/>
      <c r="W224" s="68"/>
      <c r="X224" s="68"/>
      <c r="Y224" s="68"/>
      <c r="Z224" s="68"/>
    </row>
    <row r="225">
      <c r="A225" s="68"/>
      <c r="B225" s="68"/>
      <c r="C225" s="68"/>
      <c r="D225" s="68"/>
      <c r="E225" s="68"/>
      <c r="F225" s="68"/>
      <c r="G225" s="68"/>
      <c r="H225" s="68"/>
      <c r="I225" s="68"/>
      <c r="J225" s="68"/>
      <c r="K225" s="68"/>
      <c r="L225" s="68"/>
      <c r="M225" s="68"/>
      <c r="N225" s="68"/>
      <c r="O225" s="68"/>
      <c r="P225" s="68"/>
      <c r="Q225" s="68"/>
      <c r="R225" s="68"/>
      <c r="S225" s="68"/>
      <c r="T225" s="68"/>
      <c r="U225" s="68"/>
      <c r="V225" s="68"/>
      <c r="W225" s="68"/>
      <c r="X225" s="68"/>
      <c r="Y225" s="68"/>
      <c r="Z225" s="68"/>
    </row>
    <row r="226">
      <c r="A226" s="68"/>
      <c r="B226" s="68"/>
      <c r="C226" s="68"/>
      <c r="D226" s="68"/>
      <c r="E226" s="68"/>
      <c r="F226" s="68"/>
      <c r="G226" s="68"/>
      <c r="H226" s="68"/>
      <c r="I226" s="68"/>
      <c r="J226" s="68"/>
      <c r="K226" s="68"/>
      <c r="L226" s="68"/>
      <c r="M226" s="68"/>
      <c r="N226" s="68"/>
      <c r="O226" s="68"/>
      <c r="P226" s="68"/>
      <c r="Q226" s="68"/>
      <c r="R226" s="68"/>
      <c r="S226" s="68"/>
      <c r="T226" s="68"/>
      <c r="U226" s="68"/>
      <c r="V226" s="68"/>
      <c r="W226" s="68"/>
      <c r="X226" s="68"/>
      <c r="Y226" s="68"/>
      <c r="Z226" s="68"/>
    </row>
    <row r="227">
      <c r="A227" s="68"/>
      <c r="B227" s="68"/>
      <c r="C227" s="68"/>
      <c r="D227" s="68"/>
      <c r="E227" s="68"/>
      <c r="F227" s="68"/>
      <c r="G227" s="68"/>
      <c r="H227" s="68"/>
      <c r="I227" s="68"/>
      <c r="J227" s="68"/>
      <c r="K227" s="68"/>
      <c r="L227" s="68"/>
      <c r="M227" s="68"/>
      <c r="N227" s="68"/>
      <c r="O227" s="68"/>
      <c r="P227" s="68"/>
      <c r="Q227" s="68"/>
      <c r="R227" s="68"/>
      <c r="S227" s="68"/>
      <c r="T227" s="68"/>
      <c r="U227" s="68"/>
      <c r="V227" s="68"/>
      <c r="W227" s="68"/>
      <c r="X227" s="68"/>
      <c r="Y227" s="68"/>
      <c r="Z227" s="68"/>
    </row>
    <row r="228">
      <c r="A228" s="68"/>
      <c r="B228" s="68"/>
      <c r="C228" s="68"/>
      <c r="D228" s="68"/>
      <c r="E228" s="68"/>
      <c r="F228" s="68"/>
      <c r="G228" s="68"/>
      <c r="H228" s="68"/>
      <c r="I228" s="68"/>
      <c r="J228" s="68"/>
      <c r="K228" s="68"/>
      <c r="L228" s="68"/>
      <c r="M228" s="68"/>
      <c r="N228" s="68"/>
      <c r="O228" s="68"/>
      <c r="P228" s="68"/>
      <c r="Q228" s="68"/>
      <c r="R228" s="68"/>
      <c r="S228" s="68"/>
      <c r="T228" s="68"/>
      <c r="U228" s="68"/>
      <c r="V228" s="68"/>
      <c r="W228" s="68"/>
      <c r="X228" s="68"/>
      <c r="Y228" s="68"/>
      <c r="Z228" s="68"/>
    </row>
    <row r="229">
      <c r="A229" s="68"/>
      <c r="B229" s="68"/>
      <c r="C229" s="68"/>
      <c r="D229" s="68"/>
      <c r="E229" s="68"/>
      <c r="F229" s="68"/>
      <c r="G229" s="68"/>
      <c r="H229" s="68"/>
      <c r="I229" s="68"/>
      <c r="J229" s="68"/>
      <c r="K229" s="68"/>
      <c r="L229" s="68"/>
      <c r="M229" s="68"/>
      <c r="N229" s="68"/>
      <c r="O229" s="68"/>
      <c r="P229" s="68"/>
      <c r="Q229" s="68"/>
      <c r="R229" s="68"/>
      <c r="S229" s="68"/>
      <c r="T229" s="68"/>
      <c r="U229" s="68"/>
      <c r="V229" s="68"/>
      <c r="W229" s="68"/>
      <c r="X229" s="68"/>
      <c r="Y229" s="68"/>
      <c r="Z229" s="68"/>
    </row>
    <row r="230">
      <c r="A230" s="68"/>
      <c r="B230" s="68"/>
      <c r="C230" s="68"/>
      <c r="D230" s="68"/>
      <c r="E230" s="68"/>
      <c r="F230" s="68"/>
      <c r="G230" s="68"/>
      <c r="H230" s="68"/>
      <c r="I230" s="68"/>
      <c r="J230" s="68"/>
      <c r="K230" s="68"/>
      <c r="L230" s="68"/>
      <c r="M230" s="68"/>
      <c r="N230" s="68"/>
      <c r="O230" s="68"/>
      <c r="P230" s="68"/>
      <c r="Q230" s="68"/>
      <c r="R230" s="68"/>
      <c r="S230" s="68"/>
      <c r="T230" s="68"/>
      <c r="U230" s="68"/>
      <c r="V230" s="68"/>
      <c r="W230" s="68"/>
      <c r="X230" s="68"/>
      <c r="Y230" s="68"/>
      <c r="Z230" s="68"/>
    </row>
    <row r="231">
      <c r="A231" s="68"/>
      <c r="B231" s="68"/>
      <c r="C231" s="68"/>
      <c r="D231" s="68"/>
      <c r="E231" s="68"/>
      <c r="F231" s="68"/>
      <c r="G231" s="68"/>
      <c r="H231" s="68"/>
      <c r="I231" s="68"/>
      <c r="J231" s="68"/>
      <c r="K231" s="68"/>
      <c r="L231" s="68"/>
      <c r="M231" s="68"/>
      <c r="N231" s="68"/>
      <c r="O231" s="68"/>
      <c r="P231" s="68"/>
      <c r="Q231" s="68"/>
      <c r="R231" s="68"/>
      <c r="S231" s="68"/>
      <c r="T231" s="68"/>
      <c r="U231" s="68"/>
      <c r="V231" s="68"/>
      <c r="W231" s="68"/>
      <c r="X231" s="68"/>
      <c r="Y231" s="68"/>
      <c r="Z231" s="68"/>
    </row>
    <row r="232">
      <c r="A232" s="68"/>
      <c r="B232" s="68"/>
      <c r="C232" s="68"/>
      <c r="D232" s="68"/>
      <c r="E232" s="68"/>
      <c r="F232" s="68"/>
      <c r="G232" s="68"/>
      <c r="H232" s="68"/>
      <c r="I232" s="68"/>
      <c r="J232" s="68"/>
      <c r="K232" s="68"/>
      <c r="L232" s="68"/>
      <c r="M232" s="68"/>
      <c r="N232" s="68"/>
      <c r="O232" s="68"/>
      <c r="P232" s="68"/>
      <c r="Q232" s="68"/>
      <c r="R232" s="68"/>
      <c r="S232" s="68"/>
      <c r="T232" s="68"/>
      <c r="U232" s="68"/>
      <c r="V232" s="68"/>
      <c r="W232" s="68"/>
      <c r="X232" s="68"/>
      <c r="Y232" s="68"/>
      <c r="Z232" s="68"/>
    </row>
    <row r="233">
      <c r="A233" s="68"/>
      <c r="B233" s="68"/>
      <c r="C233" s="68"/>
      <c r="D233" s="68"/>
      <c r="E233" s="68"/>
      <c r="F233" s="68"/>
      <c r="G233" s="68"/>
      <c r="H233" s="68"/>
      <c r="I233" s="68"/>
      <c r="J233" s="68"/>
      <c r="K233" s="68"/>
      <c r="L233" s="68"/>
      <c r="M233" s="68"/>
      <c r="N233" s="68"/>
      <c r="O233" s="68"/>
      <c r="P233" s="68"/>
      <c r="Q233" s="68"/>
      <c r="R233" s="68"/>
      <c r="S233" s="68"/>
      <c r="T233" s="68"/>
      <c r="U233" s="68"/>
      <c r="V233" s="68"/>
      <c r="W233" s="68"/>
      <c r="X233" s="68"/>
      <c r="Y233" s="68"/>
      <c r="Z233" s="68"/>
    </row>
    <row r="234">
      <c r="A234" s="68"/>
      <c r="B234" s="68"/>
      <c r="C234" s="68"/>
      <c r="D234" s="68"/>
      <c r="E234" s="68"/>
      <c r="F234" s="68"/>
      <c r="G234" s="68"/>
      <c r="H234" s="68"/>
      <c r="I234" s="68"/>
      <c r="J234" s="68"/>
      <c r="K234" s="68"/>
      <c r="L234" s="68"/>
      <c r="M234" s="68"/>
      <c r="N234" s="68"/>
      <c r="O234" s="68"/>
      <c r="P234" s="68"/>
      <c r="Q234" s="68"/>
      <c r="R234" s="68"/>
      <c r="S234" s="68"/>
      <c r="T234" s="68"/>
      <c r="U234" s="68"/>
      <c r="V234" s="68"/>
      <c r="W234" s="68"/>
      <c r="X234" s="68"/>
      <c r="Y234" s="68"/>
      <c r="Z234" s="68"/>
    </row>
    <row r="235">
      <c r="A235" s="68"/>
      <c r="B235" s="68"/>
      <c r="C235" s="68"/>
      <c r="D235" s="68"/>
      <c r="E235" s="68"/>
      <c r="F235" s="68"/>
      <c r="G235" s="68"/>
      <c r="H235" s="68"/>
      <c r="I235" s="68"/>
      <c r="J235" s="68"/>
      <c r="K235" s="68"/>
      <c r="L235" s="68"/>
      <c r="M235" s="68"/>
      <c r="N235" s="68"/>
      <c r="O235" s="68"/>
      <c r="P235" s="68"/>
      <c r="Q235" s="68"/>
      <c r="R235" s="68"/>
      <c r="S235" s="68"/>
      <c r="T235" s="68"/>
      <c r="U235" s="68"/>
      <c r="V235" s="68"/>
      <c r="W235" s="68"/>
      <c r="X235" s="68"/>
      <c r="Y235" s="68"/>
      <c r="Z235" s="68"/>
    </row>
    <row r="236">
      <c r="A236" s="68"/>
      <c r="B236" s="68"/>
      <c r="C236" s="68"/>
      <c r="D236" s="68"/>
      <c r="E236" s="68"/>
      <c r="F236" s="68"/>
      <c r="G236" s="68"/>
      <c r="H236" s="68"/>
      <c r="I236" s="68"/>
      <c r="J236" s="68"/>
      <c r="K236" s="68"/>
      <c r="L236" s="68"/>
      <c r="M236" s="68"/>
      <c r="N236" s="68"/>
      <c r="O236" s="68"/>
      <c r="P236" s="68"/>
      <c r="Q236" s="68"/>
      <c r="R236" s="68"/>
      <c r="S236" s="68"/>
      <c r="T236" s="68"/>
      <c r="U236" s="68"/>
      <c r="V236" s="68"/>
      <c r="W236" s="68"/>
      <c r="X236" s="68"/>
      <c r="Y236" s="68"/>
      <c r="Z236" s="68"/>
    </row>
    <row r="237">
      <c r="A237" s="68"/>
      <c r="B237" s="68"/>
      <c r="C237" s="68"/>
      <c r="D237" s="68"/>
      <c r="E237" s="68"/>
      <c r="F237" s="68"/>
      <c r="G237" s="68"/>
      <c r="H237" s="68"/>
      <c r="I237" s="68"/>
      <c r="J237" s="68"/>
      <c r="K237" s="68"/>
      <c r="L237" s="68"/>
      <c r="M237" s="68"/>
      <c r="N237" s="68"/>
      <c r="O237" s="68"/>
      <c r="P237" s="68"/>
      <c r="Q237" s="68"/>
      <c r="R237" s="68"/>
      <c r="S237" s="68"/>
      <c r="T237" s="68"/>
      <c r="U237" s="68"/>
      <c r="V237" s="68"/>
      <c r="W237" s="68"/>
      <c r="X237" s="68"/>
      <c r="Y237" s="68"/>
      <c r="Z237" s="68"/>
    </row>
    <row r="238">
      <c r="A238" s="68"/>
      <c r="B238" s="68"/>
      <c r="C238" s="68"/>
      <c r="D238" s="68"/>
      <c r="E238" s="68"/>
      <c r="F238" s="68"/>
      <c r="G238" s="68"/>
      <c r="H238" s="68"/>
      <c r="I238" s="68"/>
      <c r="J238" s="68"/>
      <c r="K238" s="68"/>
      <c r="L238" s="68"/>
      <c r="M238" s="68"/>
      <c r="N238" s="68"/>
      <c r="O238" s="68"/>
      <c r="P238" s="68"/>
      <c r="Q238" s="68"/>
      <c r="R238" s="68"/>
      <c r="S238" s="68"/>
      <c r="T238" s="68"/>
      <c r="U238" s="68"/>
      <c r="V238" s="68"/>
      <c r="W238" s="68"/>
      <c r="X238" s="68"/>
      <c r="Y238" s="68"/>
      <c r="Z238" s="68"/>
    </row>
    <row r="239">
      <c r="A239" s="68"/>
      <c r="B239" s="68"/>
      <c r="C239" s="68"/>
      <c r="D239" s="68"/>
      <c r="E239" s="68"/>
      <c r="F239" s="68"/>
      <c r="G239" s="68"/>
      <c r="H239" s="68"/>
      <c r="I239" s="68"/>
      <c r="J239" s="68"/>
      <c r="K239" s="68"/>
      <c r="L239" s="68"/>
      <c r="M239" s="68"/>
      <c r="N239" s="68"/>
      <c r="O239" s="68"/>
      <c r="P239" s="68"/>
      <c r="Q239" s="68"/>
      <c r="R239" s="68"/>
      <c r="S239" s="68"/>
      <c r="T239" s="68"/>
      <c r="U239" s="68"/>
      <c r="V239" s="68"/>
      <c r="W239" s="68"/>
      <c r="X239" s="68"/>
      <c r="Y239" s="68"/>
      <c r="Z239" s="68"/>
    </row>
    <row r="240">
      <c r="A240" s="68"/>
      <c r="B240" s="68"/>
      <c r="C240" s="68"/>
      <c r="D240" s="68"/>
      <c r="E240" s="68"/>
      <c r="F240" s="68"/>
      <c r="G240" s="68"/>
      <c r="H240" s="68"/>
      <c r="I240" s="68"/>
      <c r="J240" s="68"/>
      <c r="K240" s="68"/>
      <c r="L240" s="68"/>
      <c r="M240" s="68"/>
      <c r="N240" s="68"/>
      <c r="O240" s="68"/>
      <c r="P240" s="68"/>
      <c r="Q240" s="68"/>
      <c r="R240" s="68"/>
      <c r="S240" s="68"/>
      <c r="T240" s="68"/>
      <c r="U240" s="68"/>
      <c r="V240" s="68"/>
      <c r="W240" s="68"/>
      <c r="X240" s="68"/>
      <c r="Y240" s="68"/>
      <c r="Z240" s="68"/>
    </row>
    <row r="241">
      <c r="A241" s="68"/>
      <c r="B241" s="68"/>
      <c r="C241" s="68"/>
      <c r="D241" s="68"/>
      <c r="E241" s="68"/>
      <c r="F241" s="68"/>
      <c r="G241" s="68"/>
      <c r="H241" s="68"/>
      <c r="I241" s="68"/>
      <c r="J241" s="68"/>
      <c r="K241" s="68"/>
      <c r="L241" s="68"/>
      <c r="M241" s="68"/>
      <c r="N241" s="68"/>
      <c r="O241" s="68"/>
      <c r="P241" s="68"/>
      <c r="Q241" s="68"/>
      <c r="R241" s="68"/>
      <c r="S241" s="68"/>
      <c r="T241" s="68"/>
      <c r="U241" s="68"/>
      <c r="V241" s="68"/>
      <c r="W241" s="68"/>
      <c r="X241" s="68"/>
      <c r="Y241" s="68"/>
      <c r="Z241" s="68"/>
    </row>
    <row r="242">
      <c r="A242" s="68"/>
      <c r="B242" s="68"/>
      <c r="C242" s="68"/>
      <c r="D242" s="68"/>
      <c r="E242" s="68"/>
      <c r="F242" s="68"/>
      <c r="G242" s="68"/>
      <c r="H242" s="68"/>
      <c r="I242" s="68"/>
      <c r="J242" s="68"/>
      <c r="K242" s="68"/>
      <c r="L242" s="68"/>
      <c r="M242" s="68"/>
      <c r="N242" s="68"/>
      <c r="O242" s="68"/>
      <c r="P242" s="68"/>
      <c r="Q242" s="68"/>
      <c r="R242" s="68"/>
      <c r="S242" s="68"/>
      <c r="T242" s="68"/>
      <c r="U242" s="68"/>
      <c r="V242" s="68"/>
      <c r="W242" s="68"/>
      <c r="X242" s="68"/>
      <c r="Y242" s="68"/>
      <c r="Z242" s="68"/>
    </row>
    <row r="243">
      <c r="A243" s="68"/>
      <c r="B243" s="68"/>
      <c r="C243" s="68"/>
      <c r="D243" s="68"/>
      <c r="E243" s="68"/>
      <c r="F243" s="68"/>
      <c r="G243" s="68"/>
      <c r="H243" s="68"/>
      <c r="I243" s="68"/>
      <c r="J243" s="68"/>
      <c r="K243" s="68"/>
      <c r="L243" s="68"/>
      <c r="M243" s="68"/>
      <c r="N243" s="68"/>
      <c r="O243" s="68"/>
      <c r="P243" s="68"/>
      <c r="Q243" s="68"/>
      <c r="R243" s="68"/>
      <c r="S243" s="68"/>
      <c r="T243" s="68"/>
      <c r="U243" s="68"/>
      <c r="V243" s="68"/>
      <c r="W243" s="68"/>
      <c r="X243" s="68"/>
      <c r="Y243" s="68"/>
      <c r="Z243" s="68"/>
    </row>
    <row r="244">
      <c r="A244" s="68"/>
      <c r="B244" s="68"/>
      <c r="C244" s="68"/>
      <c r="D244" s="68"/>
      <c r="E244" s="68"/>
      <c r="F244" s="68"/>
      <c r="G244" s="68"/>
      <c r="H244" s="68"/>
      <c r="I244" s="68"/>
      <c r="J244" s="68"/>
      <c r="K244" s="68"/>
      <c r="L244" s="68"/>
      <c r="M244" s="68"/>
      <c r="N244" s="68"/>
      <c r="O244" s="68"/>
      <c r="P244" s="68"/>
      <c r="Q244" s="68"/>
      <c r="R244" s="68"/>
      <c r="S244" s="68"/>
      <c r="T244" s="68"/>
      <c r="U244" s="68"/>
      <c r="V244" s="68"/>
      <c r="W244" s="68"/>
      <c r="X244" s="68"/>
      <c r="Y244" s="68"/>
      <c r="Z244" s="68"/>
    </row>
    <row r="245">
      <c r="A245" s="68"/>
      <c r="B245" s="68"/>
      <c r="C245" s="68"/>
      <c r="D245" s="68"/>
      <c r="E245" s="68"/>
      <c r="F245" s="68"/>
      <c r="G245" s="68"/>
      <c r="H245" s="68"/>
      <c r="I245" s="68"/>
      <c r="J245" s="68"/>
      <c r="K245" s="68"/>
      <c r="L245" s="68"/>
      <c r="M245" s="68"/>
      <c r="N245" s="68"/>
      <c r="O245" s="68"/>
      <c r="P245" s="68"/>
      <c r="Q245" s="68"/>
      <c r="R245" s="68"/>
      <c r="S245" s="68"/>
      <c r="T245" s="68"/>
      <c r="U245" s="68"/>
      <c r="V245" s="68"/>
      <c r="W245" s="68"/>
      <c r="X245" s="68"/>
      <c r="Y245" s="68"/>
      <c r="Z245" s="68"/>
    </row>
    <row r="246">
      <c r="A246" s="68"/>
      <c r="B246" s="68"/>
      <c r="C246" s="68"/>
      <c r="D246" s="68"/>
      <c r="E246" s="68"/>
      <c r="F246" s="68"/>
      <c r="G246" s="68"/>
      <c r="H246" s="68"/>
      <c r="I246" s="68"/>
      <c r="J246" s="68"/>
      <c r="K246" s="68"/>
      <c r="L246" s="68"/>
      <c r="M246" s="68"/>
      <c r="N246" s="68"/>
      <c r="O246" s="68"/>
      <c r="P246" s="68"/>
      <c r="Q246" s="68"/>
      <c r="R246" s="68"/>
      <c r="S246" s="68"/>
      <c r="T246" s="68"/>
      <c r="U246" s="68"/>
      <c r="V246" s="68"/>
      <c r="W246" s="68"/>
      <c r="X246" s="68"/>
      <c r="Y246" s="68"/>
      <c r="Z246" s="68"/>
    </row>
    <row r="247">
      <c r="A247" s="68"/>
      <c r="B247" s="68"/>
      <c r="C247" s="68"/>
      <c r="D247" s="68"/>
      <c r="E247" s="68"/>
      <c r="F247" s="68"/>
      <c r="G247" s="68"/>
      <c r="H247" s="68"/>
      <c r="I247" s="68"/>
      <c r="J247" s="68"/>
      <c r="K247" s="68"/>
      <c r="L247" s="68"/>
      <c r="M247" s="68"/>
      <c r="N247" s="68"/>
      <c r="O247" s="68"/>
      <c r="P247" s="68"/>
      <c r="Q247" s="68"/>
      <c r="R247" s="68"/>
      <c r="S247" s="68"/>
      <c r="T247" s="68"/>
      <c r="U247" s="68"/>
      <c r="V247" s="68"/>
      <c r="W247" s="68"/>
      <c r="X247" s="68"/>
      <c r="Y247" s="68"/>
      <c r="Z247" s="68"/>
    </row>
    <row r="248">
      <c r="A248" s="68"/>
      <c r="B248" s="68"/>
      <c r="C248" s="68"/>
      <c r="D248" s="68"/>
      <c r="E248" s="68"/>
      <c r="F248" s="68"/>
      <c r="G248" s="68"/>
      <c r="H248" s="68"/>
      <c r="I248" s="68"/>
      <c r="J248" s="68"/>
      <c r="K248" s="68"/>
      <c r="L248" s="68"/>
      <c r="M248" s="68"/>
      <c r="N248" s="68"/>
      <c r="O248" s="68"/>
      <c r="P248" s="68"/>
      <c r="Q248" s="68"/>
      <c r="R248" s="68"/>
      <c r="S248" s="68"/>
      <c r="T248" s="68"/>
      <c r="U248" s="68"/>
      <c r="V248" s="68"/>
      <c r="W248" s="68"/>
      <c r="X248" s="68"/>
      <c r="Y248" s="68"/>
      <c r="Z248" s="68"/>
    </row>
    <row r="249">
      <c r="A249" s="68"/>
      <c r="B249" s="68"/>
      <c r="C249" s="68"/>
      <c r="D249" s="68"/>
      <c r="E249" s="68"/>
      <c r="F249" s="68"/>
      <c r="G249" s="68"/>
      <c r="H249" s="68"/>
      <c r="I249" s="68"/>
      <c r="J249" s="68"/>
      <c r="K249" s="68"/>
      <c r="L249" s="68"/>
      <c r="M249" s="68"/>
      <c r="N249" s="68"/>
      <c r="O249" s="68"/>
      <c r="P249" s="68"/>
      <c r="Q249" s="68"/>
      <c r="R249" s="68"/>
      <c r="S249" s="68"/>
      <c r="T249" s="68"/>
      <c r="U249" s="68"/>
      <c r="V249" s="68"/>
      <c r="W249" s="68"/>
      <c r="X249" s="68"/>
      <c r="Y249" s="68"/>
      <c r="Z249" s="68"/>
    </row>
    <row r="250">
      <c r="A250" s="68"/>
      <c r="B250" s="68"/>
      <c r="C250" s="68"/>
      <c r="D250" s="68"/>
      <c r="E250" s="68"/>
      <c r="F250" s="68"/>
      <c r="G250" s="68"/>
      <c r="H250" s="68"/>
      <c r="I250" s="68"/>
      <c r="J250" s="68"/>
      <c r="K250" s="68"/>
      <c r="L250" s="68"/>
      <c r="M250" s="68"/>
      <c r="N250" s="68"/>
      <c r="O250" s="68"/>
      <c r="P250" s="68"/>
      <c r="Q250" s="68"/>
      <c r="R250" s="68"/>
      <c r="S250" s="68"/>
      <c r="T250" s="68"/>
      <c r="U250" s="68"/>
      <c r="V250" s="68"/>
      <c r="W250" s="68"/>
      <c r="X250" s="68"/>
      <c r="Y250" s="68"/>
      <c r="Z250" s="68"/>
    </row>
    <row r="251">
      <c r="A251" s="68"/>
      <c r="B251" s="68"/>
      <c r="C251" s="68"/>
      <c r="D251" s="68"/>
      <c r="E251" s="68"/>
      <c r="F251" s="68"/>
      <c r="G251" s="68"/>
      <c r="H251" s="68"/>
      <c r="I251" s="68"/>
      <c r="J251" s="68"/>
      <c r="K251" s="68"/>
      <c r="L251" s="68"/>
      <c r="M251" s="68"/>
      <c r="N251" s="68"/>
      <c r="O251" s="68"/>
      <c r="P251" s="68"/>
      <c r="Q251" s="68"/>
      <c r="R251" s="68"/>
      <c r="S251" s="68"/>
      <c r="T251" s="68"/>
      <c r="U251" s="68"/>
      <c r="V251" s="68"/>
      <c r="W251" s="68"/>
      <c r="X251" s="68"/>
      <c r="Y251" s="68"/>
      <c r="Z251" s="68"/>
    </row>
    <row r="252">
      <c r="A252" s="68"/>
      <c r="B252" s="68"/>
      <c r="C252" s="68"/>
      <c r="D252" s="68"/>
      <c r="E252" s="68"/>
      <c r="F252" s="68"/>
      <c r="G252" s="68"/>
      <c r="H252" s="68"/>
      <c r="I252" s="68"/>
      <c r="J252" s="68"/>
      <c r="K252" s="68"/>
      <c r="L252" s="68"/>
      <c r="M252" s="68"/>
      <c r="N252" s="68"/>
      <c r="O252" s="68"/>
      <c r="P252" s="68"/>
      <c r="Q252" s="68"/>
      <c r="R252" s="68"/>
      <c r="S252" s="68"/>
      <c r="T252" s="68"/>
      <c r="U252" s="68"/>
      <c r="V252" s="68"/>
      <c r="W252" s="68"/>
      <c r="X252" s="68"/>
      <c r="Y252" s="68"/>
      <c r="Z252" s="68"/>
    </row>
    <row r="253">
      <c r="A253" s="68"/>
      <c r="B253" s="68"/>
      <c r="C253" s="68"/>
      <c r="D253" s="68"/>
      <c r="E253" s="68"/>
      <c r="F253" s="68"/>
      <c r="G253" s="68"/>
      <c r="H253" s="68"/>
      <c r="I253" s="68"/>
      <c r="J253" s="68"/>
      <c r="K253" s="68"/>
      <c r="L253" s="68"/>
      <c r="M253" s="68"/>
      <c r="N253" s="68"/>
      <c r="O253" s="68"/>
      <c r="P253" s="68"/>
      <c r="Q253" s="68"/>
      <c r="R253" s="68"/>
      <c r="S253" s="68"/>
      <c r="T253" s="68"/>
      <c r="U253" s="68"/>
      <c r="V253" s="68"/>
      <c r="W253" s="68"/>
      <c r="X253" s="68"/>
      <c r="Y253" s="68"/>
      <c r="Z253" s="68"/>
    </row>
    <row r="254">
      <c r="A254" s="68"/>
      <c r="B254" s="68"/>
      <c r="C254" s="68"/>
      <c r="D254" s="68"/>
      <c r="E254" s="68"/>
      <c r="F254" s="68"/>
      <c r="G254" s="68"/>
      <c r="H254" s="68"/>
      <c r="I254" s="68"/>
      <c r="J254" s="68"/>
      <c r="K254" s="68"/>
      <c r="L254" s="68"/>
      <c r="M254" s="68"/>
      <c r="N254" s="68"/>
      <c r="O254" s="68"/>
      <c r="P254" s="68"/>
      <c r="Q254" s="68"/>
      <c r="R254" s="68"/>
      <c r="S254" s="68"/>
      <c r="T254" s="68"/>
      <c r="U254" s="68"/>
      <c r="V254" s="68"/>
      <c r="W254" s="68"/>
      <c r="X254" s="68"/>
      <c r="Y254" s="68"/>
      <c r="Z254" s="68"/>
    </row>
    <row r="255">
      <c r="A255" s="68"/>
      <c r="B255" s="68"/>
      <c r="C255" s="68"/>
      <c r="D255" s="68"/>
      <c r="E255" s="68"/>
      <c r="F255" s="68"/>
      <c r="G255" s="68"/>
      <c r="H255" s="68"/>
      <c r="I255" s="68"/>
      <c r="J255" s="68"/>
      <c r="K255" s="68"/>
      <c r="L255" s="68"/>
      <c r="M255" s="68"/>
      <c r="N255" s="68"/>
      <c r="O255" s="68"/>
      <c r="P255" s="68"/>
      <c r="Q255" s="68"/>
      <c r="R255" s="68"/>
      <c r="S255" s="68"/>
      <c r="T255" s="68"/>
      <c r="U255" s="68"/>
      <c r="V255" s="68"/>
      <c r="W255" s="68"/>
      <c r="X255" s="68"/>
      <c r="Y255" s="68"/>
      <c r="Z255" s="68"/>
    </row>
    <row r="256">
      <c r="A256" s="68"/>
      <c r="B256" s="68"/>
      <c r="C256" s="68"/>
      <c r="D256" s="68"/>
      <c r="E256" s="68"/>
      <c r="F256" s="68"/>
      <c r="G256" s="68"/>
      <c r="H256" s="68"/>
      <c r="I256" s="68"/>
      <c r="J256" s="68"/>
      <c r="K256" s="68"/>
      <c r="L256" s="68"/>
      <c r="M256" s="68"/>
      <c r="N256" s="68"/>
      <c r="O256" s="68"/>
      <c r="P256" s="68"/>
      <c r="Q256" s="68"/>
      <c r="R256" s="68"/>
      <c r="S256" s="68"/>
      <c r="T256" s="68"/>
      <c r="U256" s="68"/>
      <c r="V256" s="68"/>
      <c r="W256" s="68"/>
      <c r="X256" s="68"/>
      <c r="Y256" s="68"/>
      <c r="Z256" s="68"/>
    </row>
    <row r="257">
      <c r="A257" s="68"/>
      <c r="B257" s="68"/>
      <c r="C257" s="68"/>
      <c r="D257" s="68"/>
      <c r="E257" s="68"/>
      <c r="F257" s="68"/>
      <c r="G257" s="68"/>
      <c r="H257" s="68"/>
      <c r="I257" s="68"/>
      <c r="J257" s="68"/>
      <c r="K257" s="68"/>
      <c r="L257" s="68"/>
      <c r="M257" s="68"/>
      <c r="N257" s="68"/>
      <c r="O257" s="68"/>
      <c r="P257" s="68"/>
      <c r="Q257" s="68"/>
      <c r="R257" s="68"/>
      <c r="S257" s="68"/>
      <c r="T257" s="68"/>
      <c r="U257" s="68"/>
      <c r="V257" s="68"/>
      <c r="W257" s="68"/>
      <c r="X257" s="68"/>
      <c r="Y257" s="68"/>
      <c r="Z257" s="68"/>
    </row>
    <row r="258">
      <c r="A258" s="68"/>
      <c r="B258" s="68"/>
      <c r="C258" s="68"/>
      <c r="D258" s="68"/>
      <c r="E258" s="68"/>
      <c r="F258" s="68"/>
      <c r="G258" s="68"/>
      <c r="H258" s="68"/>
      <c r="I258" s="68"/>
      <c r="J258" s="68"/>
      <c r="K258" s="68"/>
      <c r="L258" s="68"/>
      <c r="M258" s="68"/>
      <c r="N258" s="68"/>
      <c r="O258" s="68"/>
      <c r="P258" s="68"/>
      <c r="Q258" s="68"/>
      <c r="R258" s="68"/>
      <c r="S258" s="68"/>
      <c r="T258" s="68"/>
      <c r="U258" s="68"/>
      <c r="V258" s="68"/>
      <c r="W258" s="68"/>
      <c r="X258" s="68"/>
      <c r="Y258" s="68"/>
      <c r="Z258" s="68"/>
    </row>
    <row r="259">
      <c r="A259" s="68"/>
      <c r="B259" s="68"/>
      <c r="C259" s="68"/>
      <c r="D259" s="68"/>
      <c r="E259" s="68"/>
      <c r="F259" s="68"/>
      <c r="G259" s="68"/>
      <c r="H259" s="68"/>
      <c r="I259" s="68"/>
      <c r="J259" s="68"/>
      <c r="K259" s="68"/>
      <c r="L259" s="68"/>
      <c r="M259" s="68"/>
      <c r="N259" s="68"/>
      <c r="O259" s="68"/>
      <c r="P259" s="68"/>
      <c r="Q259" s="68"/>
      <c r="R259" s="68"/>
      <c r="S259" s="68"/>
      <c r="T259" s="68"/>
      <c r="U259" s="68"/>
      <c r="V259" s="68"/>
      <c r="W259" s="68"/>
      <c r="X259" s="68"/>
      <c r="Y259" s="68"/>
      <c r="Z259" s="68"/>
    </row>
    <row r="260">
      <c r="A260" s="68"/>
      <c r="B260" s="68"/>
      <c r="C260" s="68"/>
      <c r="D260" s="68"/>
      <c r="E260" s="68"/>
      <c r="F260" s="68"/>
      <c r="G260" s="68"/>
      <c r="H260" s="68"/>
      <c r="I260" s="68"/>
      <c r="J260" s="68"/>
      <c r="K260" s="68"/>
      <c r="L260" s="68"/>
      <c r="M260" s="68"/>
      <c r="N260" s="68"/>
      <c r="O260" s="68"/>
      <c r="P260" s="68"/>
      <c r="Q260" s="68"/>
      <c r="R260" s="68"/>
      <c r="S260" s="68"/>
      <c r="T260" s="68"/>
      <c r="U260" s="68"/>
      <c r="V260" s="68"/>
      <c r="W260" s="68"/>
      <c r="X260" s="68"/>
      <c r="Y260" s="68"/>
      <c r="Z260" s="68"/>
    </row>
    <row r="261">
      <c r="A261" s="68"/>
      <c r="B261" s="68"/>
      <c r="C261" s="68"/>
      <c r="D261" s="68"/>
      <c r="E261" s="68"/>
      <c r="F261" s="68"/>
      <c r="G261" s="68"/>
      <c r="H261" s="68"/>
      <c r="I261" s="68"/>
      <c r="J261" s="68"/>
      <c r="K261" s="68"/>
      <c r="L261" s="68"/>
      <c r="M261" s="68"/>
      <c r="N261" s="68"/>
      <c r="O261" s="68"/>
      <c r="P261" s="68"/>
      <c r="Q261" s="68"/>
      <c r="R261" s="68"/>
      <c r="S261" s="68"/>
      <c r="T261" s="68"/>
      <c r="U261" s="68"/>
      <c r="V261" s="68"/>
      <c r="W261" s="68"/>
      <c r="X261" s="68"/>
      <c r="Y261" s="68"/>
      <c r="Z261" s="68"/>
    </row>
    <row r="262">
      <c r="A262" s="68"/>
      <c r="B262" s="68"/>
      <c r="C262" s="68"/>
      <c r="D262" s="68"/>
      <c r="E262" s="68"/>
      <c r="F262" s="68"/>
      <c r="G262" s="68"/>
      <c r="H262" s="68"/>
      <c r="I262" s="68"/>
      <c r="J262" s="68"/>
      <c r="K262" s="68"/>
      <c r="L262" s="68"/>
      <c r="M262" s="68"/>
      <c r="N262" s="68"/>
      <c r="O262" s="68"/>
      <c r="P262" s="68"/>
      <c r="Q262" s="68"/>
      <c r="R262" s="68"/>
      <c r="S262" s="68"/>
      <c r="T262" s="68"/>
      <c r="U262" s="68"/>
      <c r="V262" s="68"/>
      <c r="W262" s="68"/>
      <c r="X262" s="68"/>
      <c r="Y262" s="68"/>
      <c r="Z262" s="68"/>
    </row>
    <row r="263">
      <c r="A263" s="68"/>
      <c r="B263" s="68"/>
      <c r="C263" s="68"/>
      <c r="D263" s="68"/>
      <c r="E263" s="68"/>
      <c r="F263" s="68"/>
      <c r="G263" s="68"/>
      <c r="H263" s="68"/>
      <c r="I263" s="68"/>
      <c r="J263" s="68"/>
      <c r="K263" s="68"/>
      <c r="L263" s="68"/>
      <c r="M263" s="68"/>
      <c r="N263" s="68"/>
      <c r="O263" s="68"/>
      <c r="P263" s="68"/>
      <c r="Q263" s="68"/>
      <c r="R263" s="68"/>
      <c r="S263" s="68"/>
      <c r="T263" s="68"/>
      <c r="U263" s="68"/>
      <c r="V263" s="68"/>
      <c r="W263" s="68"/>
      <c r="X263" s="68"/>
      <c r="Y263" s="68"/>
      <c r="Z263" s="68"/>
    </row>
    <row r="264">
      <c r="A264" s="68"/>
      <c r="B264" s="68"/>
      <c r="C264" s="68"/>
      <c r="D264" s="68"/>
      <c r="E264" s="68"/>
      <c r="F264" s="68"/>
      <c r="G264" s="68"/>
      <c r="H264" s="68"/>
      <c r="I264" s="68"/>
      <c r="J264" s="68"/>
      <c r="K264" s="68"/>
      <c r="L264" s="68"/>
      <c r="M264" s="68"/>
      <c r="N264" s="68"/>
      <c r="O264" s="68"/>
      <c r="P264" s="68"/>
      <c r="Q264" s="68"/>
      <c r="R264" s="68"/>
      <c r="S264" s="68"/>
      <c r="T264" s="68"/>
      <c r="U264" s="68"/>
      <c r="V264" s="68"/>
      <c r="W264" s="68"/>
      <c r="X264" s="68"/>
      <c r="Y264" s="68"/>
      <c r="Z264" s="68"/>
    </row>
    <row r="265">
      <c r="A265" s="68"/>
      <c r="B265" s="68"/>
      <c r="C265" s="68"/>
      <c r="D265" s="68"/>
      <c r="E265" s="68"/>
      <c r="F265" s="68"/>
      <c r="G265" s="68"/>
      <c r="H265" s="68"/>
      <c r="I265" s="68"/>
      <c r="J265" s="68"/>
      <c r="K265" s="68"/>
      <c r="L265" s="68"/>
      <c r="M265" s="68"/>
      <c r="N265" s="68"/>
      <c r="O265" s="68"/>
      <c r="P265" s="68"/>
      <c r="Q265" s="68"/>
      <c r="R265" s="68"/>
      <c r="S265" s="68"/>
      <c r="T265" s="68"/>
      <c r="U265" s="68"/>
      <c r="V265" s="68"/>
      <c r="W265" s="68"/>
      <c r="X265" s="68"/>
      <c r="Y265" s="68"/>
      <c r="Z265" s="68"/>
    </row>
    <row r="266">
      <c r="A266" s="68"/>
      <c r="B266" s="68"/>
      <c r="C266" s="68"/>
      <c r="D266" s="68"/>
      <c r="E266" s="68"/>
      <c r="F266" s="68"/>
      <c r="G266" s="68"/>
      <c r="H266" s="68"/>
      <c r="I266" s="68"/>
      <c r="J266" s="68"/>
      <c r="K266" s="68"/>
      <c r="L266" s="68"/>
      <c r="M266" s="68"/>
      <c r="N266" s="68"/>
      <c r="O266" s="68"/>
      <c r="P266" s="68"/>
      <c r="Q266" s="68"/>
      <c r="R266" s="68"/>
      <c r="S266" s="68"/>
      <c r="T266" s="68"/>
      <c r="U266" s="68"/>
      <c r="V266" s="68"/>
      <c r="W266" s="68"/>
      <c r="X266" s="68"/>
      <c r="Y266" s="68"/>
      <c r="Z266" s="68"/>
    </row>
    <row r="267">
      <c r="A267" s="68"/>
      <c r="B267" s="68"/>
      <c r="C267" s="68"/>
      <c r="D267" s="68"/>
      <c r="E267" s="68"/>
      <c r="F267" s="68"/>
      <c r="G267" s="68"/>
      <c r="H267" s="68"/>
      <c r="I267" s="68"/>
      <c r="J267" s="68"/>
      <c r="K267" s="68"/>
      <c r="L267" s="68"/>
      <c r="M267" s="68"/>
      <c r="N267" s="68"/>
      <c r="O267" s="68"/>
      <c r="P267" s="68"/>
      <c r="Q267" s="68"/>
      <c r="R267" s="68"/>
      <c r="S267" s="68"/>
      <c r="T267" s="68"/>
      <c r="U267" s="68"/>
      <c r="V267" s="68"/>
      <c r="W267" s="68"/>
      <c r="X267" s="68"/>
      <c r="Y267" s="68"/>
      <c r="Z267" s="68"/>
    </row>
    <row r="268">
      <c r="A268" s="68"/>
      <c r="B268" s="68"/>
      <c r="C268" s="68"/>
      <c r="D268" s="68"/>
      <c r="E268" s="68"/>
      <c r="F268" s="68"/>
      <c r="G268" s="68"/>
      <c r="H268" s="68"/>
      <c r="I268" s="68"/>
      <c r="J268" s="68"/>
      <c r="K268" s="68"/>
      <c r="L268" s="68"/>
      <c r="M268" s="68"/>
      <c r="N268" s="68"/>
      <c r="O268" s="68"/>
      <c r="P268" s="68"/>
      <c r="Q268" s="68"/>
      <c r="R268" s="68"/>
      <c r="S268" s="68"/>
      <c r="T268" s="68"/>
      <c r="U268" s="68"/>
      <c r="V268" s="68"/>
      <c r="W268" s="68"/>
      <c r="X268" s="68"/>
      <c r="Y268" s="68"/>
      <c r="Z268" s="68"/>
    </row>
    <row r="269">
      <c r="A269" s="68"/>
      <c r="B269" s="68"/>
      <c r="C269" s="68"/>
      <c r="D269" s="68"/>
      <c r="E269" s="68"/>
      <c r="F269" s="68"/>
      <c r="G269" s="68"/>
      <c r="H269" s="68"/>
      <c r="I269" s="68"/>
      <c r="J269" s="68"/>
      <c r="K269" s="68"/>
      <c r="L269" s="68"/>
      <c r="M269" s="68"/>
      <c r="N269" s="68"/>
      <c r="O269" s="68"/>
      <c r="P269" s="68"/>
      <c r="Q269" s="68"/>
      <c r="R269" s="68"/>
      <c r="S269" s="68"/>
      <c r="T269" s="68"/>
      <c r="U269" s="68"/>
      <c r="V269" s="68"/>
      <c r="W269" s="68"/>
      <c r="X269" s="68"/>
      <c r="Y269" s="68"/>
      <c r="Z269" s="68"/>
    </row>
    <row r="270">
      <c r="A270" s="68"/>
      <c r="B270" s="68"/>
      <c r="C270" s="68"/>
      <c r="D270" s="68"/>
      <c r="E270" s="68"/>
      <c r="F270" s="68"/>
      <c r="G270" s="68"/>
      <c r="H270" s="68"/>
      <c r="I270" s="68"/>
      <c r="J270" s="68"/>
      <c r="K270" s="68"/>
      <c r="L270" s="68"/>
      <c r="M270" s="68"/>
      <c r="N270" s="68"/>
      <c r="O270" s="68"/>
      <c r="P270" s="68"/>
      <c r="Q270" s="68"/>
      <c r="R270" s="68"/>
      <c r="S270" s="68"/>
      <c r="T270" s="68"/>
      <c r="U270" s="68"/>
      <c r="V270" s="68"/>
      <c r="W270" s="68"/>
      <c r="X270" s="68"/>
      <c r="Y270" s="68"/>
      <c r="Z270" s="68"/>
    </row>
    <row r="271">
      <c r="A271" s="68"/>
      <c r="B271" s="68"/>
      <c r="C271" s="68"/>
      <c r="D271" s="68"/>
      <c r="E271" s="68"/>
      <c r="F271" s="68"/>
      <c r="G271" s="68"/>
      <c r="H271" s="68"/>
      <c r="I271" s="68"/>
      <c r="J271" s="68"/>
      <c r="K271" s="68"/>
      <c r="L271" s="68"/>
      <c r="M271" s="68"/>
      <c r="N271" s="68"/>
      <c r="O271" s="68"/>
      <c r="P271" s="68"/>
      <c r="Q271" s="68"/>
      <c r="R271" s="68"/>
      <c r="S271" s="68"/>
      <c r="T271" s="68"/>
      <c r="U271" s="68"/>
      <c r="V271" s="68"/>
      <c r="W271" s="68"/>
      <c r="X271" s="68"/>
      <c r="Y271" s="68"/>
      <c r="Z271" s="68"/>
    </row>
    <row r="272">
      <c r="A272" s="68"/>
      <c r="B272" s="68"/>
      <c r="C272" s="68"/>
      <c r="D272" s="68"/>
      <c r="E272" s="68"/>
      <c r="F272" s="68"/>
      <c r="G272" s="68"/>
      <c r="H272" s="68"/>
      <c r="I272" s="68"/>
      <c r="J272" s="68"/>
      <c r="K272" s="68"/>
      <c r="L272" s="68"/>
      <c r="M272" s="68"/>
      <c r="N272" s="68"/>
      <c r="O272" s="68"/>
      <c r="P272" s="68"/>
      <c r="Q272" s="68"/>
      <c r="R272" s="68"/>
      <c r="S272" s="68"/>
      <c r="T272" s="68"/>
      <c r="U272" s="68"/>
      <c r="V272" s="68"/>
      <c r="W272" s="68"/>
      <c r="X272" s="68"/>
      <c r="Y272" s="68"/>
      <c r="Z272" s="68"/>
    </row>
    <row r="273">
      <c r="A273" s="68"/>
      <c r="B273" s="68"/>
      <c r="C273" s="68"/>
      <c r="D273" s="68"/>
      <c r="E273" s="68"/>
      <c r="F273" s="68"/>
      <c r="G273" s="68"/>
      <c r="H273" s="68"/>
      <c r="I273" s="68"/>
      <c r="J273" s="68"/>
      <c r="K273" s="68"/>
      <c r="L273" s="68"/>
      <c r="M273" s="68"/>
      <c r="N273" s="68"/>
      <c r="O273" s="68"/>
      <c r="P273" s="68"/>
      <c r="Q273" s="68"/>
      <c r="R273" s="68"/>
      <c r="S273" s="68"/>
      <c r="T273" s="68"/>
      <c r="U273" s="68"/>
      <c r="V273" s="68"/>
      <c r="W273" s="68"/>
      <c r="X273" s="68"/>
      <c r="Y273" s="68"/>
      <c r="Z273" s="68"/>
    </row>
    <row r="274">
      <c r="A274" s="68"/>
      <c r="B274" s="68"/>
      <c r="C274" s="68"/>
      <c r="D274" s="68"/>
      <c r="E274" s="68"/>
      <c r="F274" s="68"/>
      <c r="G274" s="68"/>
      <c r="H274" s="68"/>
      <c r="I274" s="68"/>
      <c r="J274" s="68"/>
      <c r="K274" s="68"/>
      <c r="L274" s="68"/>
      <c r="M274" s="68"/>
      <c r="N274" s="68"/>
      <c r="O274" s="68"/>
      <c r="P274" s="68"/>
      <c r="Q274" s="68"/>
      <c r="R274" s="68"/>
      <c r="S274" s="68"/>
      <c r="T274" s="68"/>
      <c r="U274" s="68"/>
      <c r="V274" s="68"/>
      <c r="W274" s="68"/>
      <c r="X274" s="68"/>
      <c r="Y274" s="68"/>
      <c r="Z274" s="68"/>
    </row>
    <row r="275">
      <c r="A275" s="68"/>
      <c r="B275" s="68"/>
      <c r="C275" s="68"/>
      <c r="D275" s="68"/>
      <c r="E275" s="68"/>
      <c r="F275" s="68"/>
      <c r="G275" s="68"/>
      <c r="H275" s="68"/>
      <c r="I275" s="68"/>
      <c r="J275" s="68"/>
      <c r="K275" s="68"/>
      <c r="L275" s="68"/>
      <c r="M275" s="68"/>
      <c r="N275" s="68"/>
      <c r="O275" s="68"/>
      <c r="P275" s="68"/>
      <c r="Q275" s="68"/>
      <c r="R275" s="68"/>
      <c r="S275" s="68"/>
      <c r="T275" s="68"/>
      <c r="U275" s="68"/>
      <c r="V275" s="68"/>
      <c r="W275" s="68"/>
      <c r="X275" s="68"/>
      <c r="Y275" s="68"/>
      <c r="Z275" s="68"/>
    </row>
    <row r="276">
      <c r="A276" s="68"/>
      <c r="B276" s="68"/>
      <c r="C276" s="68"/>
      <c r="D276" s="68"/>
      <c r="E276" s="68"/>
      <c r="F276" s="68"/>
      <c r="G276" s="68"/>
      <c r="H276" s="68"/>
      <c r="I276" s="68"/>
      <c r="J276" s="68"/>
      <c r="K276" s="68"/>
      <c r="L276" s="68"/>
      <c r="M276" s="68"/>
      <c r="N276" s="68"/>
      <c r="O276" s="68"/>
      <c r="P276" s="68"/>
      <c r="Q276" s="68"/>
      <c r="R276" s="68"/>
      <c r="S276" s="68"/>
      <c r="T276" s="68"/>
      <c r="U276" s="68"/>
      <c r="V276" s="68"/>
      <c r="W276" s="68"/>
      <c r="X276" s="68"/>
      <c r="Y276" s="68"/>
      <c r="Z276" s="68"/>
    </row>
    <row r="277">
      <c r="A277" s="68"/>
      <c r="B277" s="68"/>
      <c r="C277" s="68"/>
      <c r="D277" s="68"/>
      <c r="E277" s="68"/>
      <c r="F277" s="68"/>
      <c r="G277" s="68"/>
      <c r="H277" s="68"/>
      <c r="I277" s="68"/>
      <c r="J277" s="68"/>
      <c r="K277" s="68"/>
      <c r="L277" s="68"/>
      <c r="M277" s="68"/>
      <c r="N277" s="68"/>
      <c r="O277" s="68"/>
      <c r="P277" s="68"/>
      <c r="Q277" s="68"/>
      <c r="R277" s="68"/>
      <c r="S277" s="68"/>
      <c r="T277" s="68"/>
      <c r="U277" s="68"/>
      <c r="V277" s="68"/>
      <c r="W277" s="68"/>
      <c r="X277" s="68"/>
      <c r="Y277" s="68"/>
      <c r="Z277" s="68"/>
    </row>
    <row r="278">
      <c r="A278" s="68"/>
      <c r="B278" s="68"/>
      <c r="C278" s="68"/>
      <c r="D278" s="68"/>
      <c r="E278" s="68"/>
      <c r="F278" s="68"/>
      <c r="G278" s="68"/>
      <c r="H278" s="68"/>
      <c r="I278" s="68"/>
      <c r="J278" s="68"/>
      <c r="K278" s="68"/>
      <c r="L278" s="68"/>
      <c r="M278" s="68"/>
      <c r="N278" s="68"/>
      <c r="O278" s="68"/>
      <c r="P278" s="68"/>
      <c r="Q278" s="68"/>
      <c r="R278" s="68"/>
      <c r="S278" s="68"/>
      <c r="T278" s="68"/>
      <c r="U278" s="68"/>
      <c r="V278" s="68"/>
      <c r="W278" s="68"/>
      <c r="X278" s="68"/>
      <c r="Y278" s="68"/>
      <c r="Z278" s="68"/>
    </row>
    <row r="279">
      <c r="A279" s="68"/>
      <c r="B279" s="68"/>
      <c r="C279" s="68"/>
      <c r="D279" s="68"/>
      <c r="E279" s="68"/>
      <c r="F279" s="68"/>
      <c r="G279" s="68"/>
      <c r="H279" s="68"/>
      <c r="I279" s="68"/>
      <c r="J279" s="68"/>
      <c r="K279" s="68"/>
      <c r="L279" s="68"/>
      <c r="M279" s="68"/>
      <c r="N279" s="68"/>
      <c r="O279" s="68"/>
      <c r="P279" s="68"/>
      <c r="Q279" s="68"/>
      <c r="R279" s="68"/>
      <c r="S279" s="68"/>
      <c r="T279" s="68"/>
      <c r="U279" s="68"/>
      <c r="V279" s="68"/>
      <c r="W279" s="68"/>
      <c r="X279" s="68"/>
      <c r="Y279" s="68"/>
      <c r="Z279" s="68"/>
    </row>
    <row r="280">
      <c r="A280" s="68"/>
      <c r="B280" s="68"/>
      <c r="C280" s="68"/>
      <c r="D280" s="68"/>
      <c r="E280" s="68"/>
      <c r="F280" s="68"/>
      <c r="G280" s="68"/>
      <c r="H280" s="68"/>
      <c r="I280" s="68"/>
      <c r="J280" s="68"/>
      <c r="K280" s="68"/>
      <c r="L280" s="68"/>
      <c r="M280" s="68"/>
      <c r="N280" s="68"/>
      <c r="O280" s="68"/>
      <c r="P280" s="68"/>
      <c r="Q280" s="68"/>
      <c r="R280" s="68"/>
      <c r="S280" s="68"/>
      <c r="T280" s="68"/>
      <c r="U280" s="68"/>
      <c r="V280" s="68"/>
      <c r="W280" s="68"/>
      <c r="X280" s="68"/>
      <c r="Y280" s="68"/>
      <c r="Z280" s="68"/>
    </row>
    <row r="281">
      <c r="A281" s="68"/>
      <c r="B281" s="68"/>
      <c r="C281" s="68"/>
      <c r="D281" s="68"/>
      <c r="E281" s="68"/>
      <c r="F281" s="68"/>
      <c r="G281" s="68"/>
      <c r="H281" s="68"/>
      <c r="I281" s="68"/>
      <c r="J281" s="68"/>
      <c r="K281" s="68"/>
      <c r="L281" s="68"/>
      <c r="M281" s="68"/>
      <c r="N281" s="68"/>
      <c r="O281" s="68"/>
      <c r="P281" s="68"/>
      <c r="Q281" s="68"/>
      <c r="R281" s="68"/>
      <c r="S281" s="68"/>
      <c r="T281" s="68"/>
      <c r="U281" s="68"/>
      <c r="V281" s="68"/>
      <c r="W281" s="68"/>
      <c r="X281" s="68"/>
      <c r="Y281" s="68"/>
      <c r="Z281" s="68"/>
    </row>
    <row r="282">
      <c r="A282" s="68"/>
      <c r="B282" s="68"/>
      <c r="C282" s="68"/>
      <c r="D282" s="68"/>
      <c r="E282" s="68"/>
      <c r="F282" s="68"/>
      <c r="G282" s="68"/>
      <c r="H282" s="68"/>
      <c r="I282" s="68"/>
      <c r="J282" s="68"/>
      <c r="K282" s="68"/>
      <c r="L282" s="68"/>
      <c r="M282" s="68"/>
      <c r="N282" s="68"/>
      <c r="O282" s="68"/>
      <c r="P282" s="68"/>
      <c r="Q282" s="68"/>
      <c r="R282" s="68"/>
      <c r="S282" s="68"/>
      <c r="T282" s="68"/>
      <c r="U282" s="68"/>
      <c r="V282" s="68"/>
      <c r="W282" s="68"/>
      <c r="X282" s="68"/>
      <c r="Y282" s="68"/>
      <c r="Z282" s="68"/>
    </row>
    <row r="283">
      <c r="A283" s="68"/>
      <c r="B283" s="68"/>
      <c r="C283" s="68"/>
      <c r="D283" s="68"/>
      <c r="E283" s="68"/>
      <c r="F283" s="68"/>
      <c r="G283" s="68"/>
      <c r="H283" s="68"/>
      <c r="I283" s="68"/>
      <c r="J283" s="68"/>
      <c r="K283" s="68"/>
      <c r="L283" s="68"/>
      <c r="M283" s="68"/>
      <c r="N283" s="68"/>
      <c r="O283" s="68"/>
      <c r="P283" s="68"/>
      <c r="Q283" s="68"/>
      <c r="R283" s="68"/>
      <c r="S283" s="68"/>
      <c r="T283" s="68"/>
      <c r="U283" s="68"/>
      <c r="V283" s="68"/>
      <c r="W283" s="68"/>
      <c r="X283" s="68"/>
      <c r="Y283" s="68"/>
      <c r="Z283" s="68"/>
    </row>
    <row r="284">
      <c r="A284" s="68"/>
      <c r="B284" s="68"/>
      <c r="C284" s="68"/>
      <c r="D284" s="68"/>
      <c r="E284" s="68"/>
      <c r="F284" s="68"/>
      <c r="G284" s="68"/>
      <c r="H284" s="68"/>
      <c r="I284" s="68"/>
      <c r="J284" s="68"/>
      <c r="K284" s="68"/>
      <c r="L284" s="68"/>
      <c r="M284" s="68"/>
      <c r="N284" s="68"/>
      <c r="O284" s="68"/>
      <c r="P284" s="68"/>
      <c r="Q284" s="68"/>
      <c r="R284" s="68"/>
      <c r="S284" s="68"/>
      <c r="T284" s="68"/>
      <c r="U284" s="68"/>
      <c r="V284" s="68"/>
      <c r="W284" s="68"/>
      <c r="X284" s="68"/>
      <c r="Y284" s="68"/>
      <c r="Z284" s="68"/>
    </row>
    <row r="285">
      <c r="A285" s="68"/>
      <c r="B285" s="68"/>
      <c r="C285" s="68"/>
      <c r="D285" s="68"/>
      <c r="E285" s="68"/>
      <c r="F285" s="68"/>
      <c r="G285" s="68"/>
      <c r="H285" s="68"/>
      <c r="I285" s="68"/>
      <c r="J285" s="68"/>
      <c r="K285" s="68"/>
      <c r="L285" s="68"/>
      <c r="M285" s="68"/>
      <c r="N285" s="68"/>
      <c r="O285" s="68"/>
      <c r="P285" s="68"/>
      <c r="Q285" s="68"/>
      <c r="R285" s="68"/>
      <c r="S285" s="68"/>
      <c r="T285" s="68"/>
      <c r="U285" s="68"/>
      <c r="V285" s="68"/>
      <c r="W285" s="68"/>
      <c r="X285" s="68"/>
      <c r="Y285" s="68"/>
      <c r="Z285" s="68"/>
    </row>
    <row r="286">
      <c r="A286" s="68"/>
      <c r="B286" s="68"/>
      <c r="C286" s="68"/>
      <c r="D286" s="68"/>
      <c r="E286" s="68"/>
      <c r="F286" s="68"/>
      <c r="G286" s="68"/>
      <c r="H286" s="68"/>
      <c r="I286" s="68"/>
      <c r="J286" s="68"/>
      <c r="K286" s="68"/>
      <c r="L286" s="68"/>
      <c r="M286" s="68"/>
      <c r="N286" s="68"/>
      <c r="O286" s="68"/>
      <c r="P286" s="68"/>
      <c r="Q286" s="68"/>
      <c r="R286" s="68"/>
      <c r="S286" s="68"/>
      <c r="T286" s="68"/>
      <c r="U286" s="68"/>
      <c r="V286" s="68"/>
      <c r="W286" s="68"/>
      <c r="X286" s="68"/>
      <c r="Y286" s="68"/>
      <c r="Z286" s="68"/>
    </row>
    <row r="287">
      <c r="A287" s="68"/>
      <c r="B287" s="68"/>
      <c r="C287" s="68"/>
      <c r="D287" s="68"/>
      <c r="E287" s="68"/>
      <c r="F287" s="68"/>
      <c r="G287" s="68"/>
      <c r="H287" s="68"/>
      <c r="I287" s="68"/>
      <c r="J287" s="68"/>
      <c r="K287" s="68"/>
      <c r="L287" s="68"/>
      <c r="M287" s="68"/>
      <c r="N287" s="68"/>
      <c r="O287" s="68"/>
      <c r="P287" s="68"/>
      <c r="Q287" s="68"/>
      <c r="R287" s="68"/>
      <c r="S287" s="68"/>
      <c r="T287" s="68"/>
      <c r="U287" s="68"/>
      <c r="V287" s="68"/>
      <c r="W287" s="68"/>
      <c r="X287" s="68"/>
      <c r="Y287" s="68"/>
      <c r="Z287" s="68"/>
    </row>
    <row r="288">
      <c r="A288" s="68"/>
      <c r="B288" s="68"/>
      <c r="C288" s="68"/>
      <c r="D288" s="68"/>
      <c r="E288" s="68"/>
      <c r="F288" s="68"/>
      <c r="G288" s="68"/>
      <c r="H288" s="68"/>
      <c r="I288" s="68"/>
      <c r="J288" s="68"/>
      <c r="K288" s="68"/>
      <c r="L288" s="68"/>
      <c r="M288" s="68"/>
      <c r="N288" s="68"/>
      <c r="O288" s="68"/>
      <c r="P288" s="68"/>
      <c r="Q288" s="68"/>
      <c r="R288" s="68"/>
      <c r="S288" s="68"/>
      <c r="T288" s="68"/>
      <c r="U288" s="68"/>
      <c r="V288" s="68"/>
      <c r="W288" s="68"/>
      <c r="X288" s="68"/>
      <c r="Y288" s="68"/>
      <c r="Z288" s="68"/>
    </row>
    <row r="289">
      <c r="A289" s="68"/>
      <c r="B289" s="68"/>
      <c r="C289" s="68"/>
      <c r="D289" s="68"/>
      <c r="E289" s="68"/>
      <c r="F289" s="68"/>
      <c r="G289" s="68"/>
      <c r="H289" s="68"/>
      <c r="I289" s="68"/>
      <c r="J289" s="68"/>
      <c r="K289" s="68"/>
      <c r="L289" s="68"/>
      <c r="M289" s="68"/>
      <c r="N289" s="68"/>
      <c r="O289" s="68"/>
      <c r="P289" s="68"/>
      <c r="Q289" s="68"/>
      <c r="R289" s="68"/>
      <c r="S289" s="68"/>
      <c r="T289" s="68"/>
      <c r="U289" s="68"/>
      <c r="V289" s="68"/>
      <c r="W289" s="68"/>
      <c r="X289" s="68"/>
      <c r="Y289" s="68"/>
      <c r="Z289" s="68"/>
    </row>
    <row r="290">
      <c r="A290" s="68"/>
      <c r="B290" s="68"/>
      <c r="C290" s="68"/>
      <c r="D290" s="68"/>
      <c r="E290" s="68"/>
      <c r="F290" s="68"/>
      <c r="G290" s="68"/>
      <c r="H290" s="68"/>
      <c r="I290" s="68"/>
      <c r="J290" s="68"/>
      <c r="K290" s="68"/>
      <c r="L290" s="68"/>
      <c r="M290" s="68"/>
      <c r="N290" s="68"/>
      <c r="O290" s="68"/>
      <c r="P290" s="68"/>
      <c r="Q290" s="68"/>
      <c r="R290" s="68"/>
      <c r="S290" s="68"/>
      <c r="T290" s="68"/>
      <c r="U290" s="68"/>
      <c r="V290" s="68"/>
      <c r="W290" s="68"/>
      <c r="X290" s="68"/>
      <c r="Y290" s="68"/>
      <c r="Z290" s="68"/>
    </row>
    <row r="291">
      <c r="A291" s="68"/>
      <c r="B291" s="68"/>
      <c r="C291" s="68"/>
      <c r="D291" s="68"/>
      <c r="E291" s="68"/>
      <c r="F291" s="68"/>
      <c r="G291" s="68"/>
      <c r="H291" s="68"/>
      <c r="I291" s="68"/>
      <c r="J291" s="68"/>
      <c r="K291" s="68"/>
      <c r="L291" s="68"/>
      <c r="M291" s="68"/>
      <c r="N291" s="68"/>
      <c r="O291" s="68"/>
      <c r="P291" s="68"/>
      <c r="Q291" s="68"/>
      <c r="R291" s="68"/>
      <c r="S291" s="68"/>
      <c r="T291" s="68"/>
      <c r="U291" s="68"/>
      <c r="V291" s="68"/>
      <c r="W291" s="68"/>
      <c r="X291" s="68"/>
      <c r="Y291" s="68"/>
      <c r="Z291" s="68"/>
    </row>
    <row r="292">
      <c r="A292" s="68"/>
      <c r="B292" s="68"/>
      <c r="C292" s="68"/>
      <c r="D292" s="68"/>
      <c r="E292" s="68"/>
      <c r="F292" s="68"/>
      <c r="G292" s="68"/>
      <c r="H292" s="68"/>
      <c r="I292" s="68"/>
      <c r="J292" s="68"/>
      <c r="K292" s="68"/>
      <c r="L292" s="68"/>
      <c r="M292" s="68"/>
      <c r="N292" s="68"/>
      <c r="O292" s="68"/>
      <c r="P292" s="68"/>
      <c r="Q292" s="68"/>
      <c r="R292" s="68"/>
      <c r="S292" s="68"/>
      <c r="T292" s="68"/>
      <c r="U292" s="68"/>
      <c r="V292" s="68"/>
      <c r="W292" s="68"/>
      <c r="X292" s="68"/>
      <c r="Y292" s="68"/>
      <c r="Z292" s="68"/>
    </row>
    <row r="293">
      <c r="A293" s="68"/>
      <c r="B293" s="68"/>
      <c r="C293" s="68"/>
      <c r="D293" s="68"/>
      <c r="E293" s="68"/>
      <c r="F293" s="68"/>
      <c r="G293" s="68"/>
      <c r="H293" s="68"/>
      <c r="I293" s="68"/>
      <c r="J293" s="68"/>
      <c r="K293" s="68"/>
      <c r="L293" s="68"/>
      <c r="M293" s="68"/>
      <c r="N293" s="68"/>
      <c r="O293" s="68"/>
      <c r="P293" s="68"/>
      <c r="Q293" s="68"/>
      <c r="R293" s="68"/>
      <c r="S293" s="68"/>
      <c r="T293" s="68"/>
      <c r="U293" s="68"/>
      <c r="V293" s="68"/>
      <c r="W293" s="68"/>
      <c r="X293" s="68"/>
      <c r="Y293" s="68"/>
      <c r="Z293" s="68"/>
    </row>
    <row r="294">
      <c r="A294" s="68"/>
      <c r="B294" s="68"/>
      <c r="C294" s="68"/>
      <c r="D294" s="68"/>
      <c r="E294" s="68"/>
      <c r="F294" s="68"/>
      <c r="G294" s="68"/>
      <c r="H294" s="68"/>
      <c r="I294" s="68"/>
      <c r="J294" s="68"/>
      <c r="K294" s="68"/>
      <c r="L294" s="68"/>
      <c r="M294" s="68"/>
      <c r="N294" s="68"/>
      <c r="O294" s="68"/>
      <c r="P294" s="68"/>
      <c r="Q294" s="68"/>
      <c r="R294" s="68"/>
      <c r="S294" s="68"/>
      <c r="T294" s="68"/>
      <c r="U294" s="68"/>
      <c r="V294" s="68"/>
      <c r="W294" s="68"/>
      <c r="X294" s="68"/>
      <c r="Y294" s="68"/>
      <c r="Z294" s="68"/>
    </row>
    <row r="295">
      <c r="A295" s="68"/>
      <c r="B295" s="68"/>
      <c r="C295" s="68"/>
      <c r="D295" s="68"/>
      <c r="E295" s="68"/>
      <c r="F295" s="68"/>
      <c r="G295" s="68"/>
      <c r="H295" s="68"/>
      <c r="I295" s="68"/>
      <c r="J295" s="68"/>
      <c r="K295" s="68"/>
      <c r="L295" s="68"/>
      <c r="M295" s="68"/>
      <c r="N295" s="68"/>
      <c r="O295" s="68"/>
      <c r="P295" s="68"/>
      <c r="Q295" s="68"/>
      <c r="R295" s="68"/>
      <c r="S295" s="68"/>
      <c r="T295" s="68"/>
      <c r="U295" s="68"/>
      <c r="V295" s="68"/>
      <c r="W295" s="68"/>
      <c r="X295" s="68"/>
      <c r="Y295" s="68"/>
      <c r="Z295" s="68"/>
    </row>
    <row r="296">
      <c r="A296" s="68"/>
      <c r="B296" s="68"/>
      <c r="C296" s="68"/>
      <c r="D296" s="68"/>
      <c r="E296" s="68"/>
      <c r="F296" s="68"/>
      <c r="G296" s="68"/>
      <c r="H296" s="68"/>
      <c r="I296" s="68"/>
      <c r="J296" s="68"/>
      <c r="K296" s="68"/>
      <c r="L296" s="68"/>
      <c r="M296" s="68"/>
      <c r="N296" s="68"/>
      <c r="O296" s="68"/>
      <c r="P296" s="68"/>
      <c r="Q296" s="68"/>
      <c r="R296" s="68"/>
      <c r="S296" s="68"/>
      <c r="T296" s="68"/>
      <c r="U296" s="68"/>
      <c r="V296" s="68"/>
      <c r="W296" s="68"/>
      <c r="X296" s="68"/>
      <c r="Y296" s="68"/>
      <c r="Z296" s="68"/>
    </row>
    <row r="297">
      <c r="A297" s="68"/>
      <c r="B297" s="68"/>
      <c r="C297" s="68"/>
      <c r="D297" s="68"/>
      <c r="E297" s="68"/>
      <c r="F297" s="68"/>
      <c r="G297" s="68"/>
      <c r="H297" s="68"/>
      <c r="I297" s="68"/>
      <c r="J297" s="68"/>
      <c r="K297" s="68"/>
      <c r="L297" s="68"/>
      <c r="M297" s="68"/>
      <c r="N297" s="68"/>
      <c r="O297" s="68"/>
      <c r="P297" s="68"/>
      <c r="Q297" s="68"/>
      <c r="R297" s="68"/>
      <c r="S297" s="68"/>
      <c r="T297" s="68"/>
      <c r="U297" s="68"/>
      <c r="V297" s="68"/>
      <c r="W297" s="68"/>
      <c r="X297" s="68"/>
      <c r="Y297" s="68"/>
      <c r="Z297" s="68"/>
    </row>
    <row r="298">
      <c r="A298" s="68"/>
      <c r="B298" s="68"/>
      <c r="C298" s="68"/>
      <c r="D298" s="68"/>
      <c r="E298" s="68"/>
      <c r="F298" s="68"/>
      <c r="G298" s="68"/>
      <c r="H298" s="68"/>
      <c r="I298" s="68"/>
      <c r="J298" s="68"/>
      <c r="K298" s="68"/>
      <c r="L298" s="68"/>
      <c r="M298" s="68"/>
      <c r="N298" s="68"/>
      <c r="O298" s="68"/>
      <c r="P298" s="68"/>
      <c r="Q298" s="68"/>
      <c r="R298" s="68"/>
      <c r="S298" s="68"/>
      <c r="T298" s="68"/>
      <c r="U298" s="68"/>
      <c r="V298" s="68"/>
      <c r="W298" s="68"/>
      <c r="X298" s="68"/>
      <c r="Y298" s="68"/>
      <c r="Z298" s="68"/>
    </row>
    <row r="299">
      <c r="A299" s="68"/>
      <c r="B299" s="68"/>
      <c r="C299" s="68"/>
      <c r="D299" s="68"/>
      <c r="E299" s="68"/>
      <c r="F299" s="68"/>
      <c r="G299" s="68"/>
      <c r="H299" s="68"/>
      <c r="I299" s="68"/>
      <c r="J299" s="68"/>
      <c r="K299" s="68"/>
      <c r="L299" s="68"/>
      <c r="M299" s="68"/>
      <c r="N299" s="68"/>
      <c r="O299" s="68"/>
      <c r="P299" s="68"/>
      <c r="Q299" s="68"/>
      <c r="R299" s="68"/>
      <c r="S299" s="68"/>
      <c r="T299" s="68"/>
      <c r="U299" s="68"/>
      <c r="V299" s="68"/>
      <c r="W299" s="68"/>
      <c r="X299" s="68"/>
      <c r="Y299" s="68"/>
      <c r="Z299" s="68"/>
    </row>
    <row r="300">
      <c r="A300" s="68"/>
      <c r="B300" s="68"/>
      <c r="C300" s="68"/>
      <c r="D300" s="68"/>
      <c r="E300" s="68"/>
      <c r="F300" s="68"/>
      <c r="G300" s="68"/>
      <c r="H300" s="68"/>
      <c r="I300" s="68"/>
      <c r="J300" s="68"/>
      <c r="K300" s="68"/>
      <c r="L300" s="68"/>
      <c r="M300" s="68"/>
      <c r="N300" s="68"/>
      <c r="O300" s="68"/>
      <c r="P300" s="68"/>
      <c r="Q300" s="68"/>
      <c r="R300" s="68"/>
      <c r="S300" s="68"/>
      <c r="T300" s="68"/>
      <c r="U300" s="68"/>
      <c r="V300" s="68"/>
      <c r="W300" s="68"/>
      <c r="X300" s="68"/>
      <c r="Y300" s="68"/>
      <c r="Z300" s="68"/>
    </row>
    <row r="301">
      <c r="A301" s="68"/>
      <c r="B301" s="68"/>
      <c r="C301" s="68"/>
      <c r="D301" s="68"/>
      <c r="E301" s="68"/>
      <c r="F301" s="68"/>
      <c r="G301" s="68"/>
      <c r="H301" s="68"/>
      <c r="I301" s="68"/>
      <c r="J301" s="68"/>
      <c r="K301" s="68"/>
      <c r="L301" s="68"/>
      <c r="M301" s="68"/>
      <c r="N301" s="68"/>
      <c r="O301" s="68"/>
      <c r="P301" s="68"/>
      <c r="Q301" s="68"/>
      <c r="R301" s="68"/>
      <c r="S301" s="68"/>
      <c r="T301" s="68"/>
      <c r="U301" s="68"/>
      <c r="V301" s="68"/>
      <c r="W301" s="68"/>
      <c r="X301" s="68"/>
      <c r="Y301" s="68"/>
      <c r="Z301" s="68"/>
    </row>
    <row r="302">
      <c r="A302" s="68"/>
      <c r="B302" s="68"/>
      <c r="C302" s="68"/>
      <c r="D302" s="68"/>
      <c r="E302" s="68"/>
      <c r="F302" s="68"/>
      <c r="G302" s="68"/>
      <c r="H302" s="68"/>
      <c r="I302" s="68"/>
      <c r="J302" s="68"/>
      <c r="K302" s="68"/>
      <c r="L302" s="68"/>
      <c r="M302" s="68"/>
      <c r="N302" s="68"/>
      <c r="O302" s="68"/>
      <c r="P302" s="68"/>
      <c r="Q302" s="68"/>
      <c r="R302" s="68"/>
      <c r="S302" s="68"/>
      <c r="T302" s="68"/>
      <c r="U302" s="68"/>
      <c r="V302" s="68"/>
      <c r="W302" s="68"/>
      <c r="X302" s="68"/>
      <c r="Y302" s="68"/>
      <c r="Z302" s="68"/>
    </row>
    <row r="303">
      <c r="A303" s="68"/>
      <c r="B303" s="68"/>
      <c r="C303" s="68"/>
      <c r="D303" s="68"/>
      <c r="E303" s="68"/>
      <c r="F303" s="68"/>
      <c r="G303" s="68"/>
      <c r="H303" s="68"/>
      <c r="I303" s="68"/>
      <c r="J303" s="68"/>
      <c r="K303" s="68"/>
      <c r="L303" s="68"/>
      <c r="M303" s="68"/>
      <c r="N303" s="68"/>
      <c r="O303" s="68"/>
      <c r="P303" s="68"/>
      <c r="Q303" s="68"/>
      <c r="R303" s="68"/>
      <c r="S303" s="68"/>
      <c r="T303" s="68"/>
      <c r="U303" s="68"/>
      <c r="V303" s="68"/>
      <c r="W303" s="68"/>
      <c r="X303" s="68"/>
      <c r="Y303" s="68"/>
      <c r="Z303" s="68"/>
    </row>
    <row r="304">
      <c r="A304" s="68"/>
      <c r="B304" s="68"/>
      <c r="C304" s="68"/>
      <c r="D304" s="68"/>
      <c r="E304" s="68"/>
      <c r="F304" s="68"/>
      <c r="G304" s="68"/>
      <c r="H304" s="68"/>
      <c r="I304" s="68"/>
      <c r="J304" s="68"/>
      <c r="K304" s="68"/>
      <c r="L304" s="68"/>
      <c r="M304" s="68"/>
      <c r="N304" s="68"/>
      <c r="O304" s="68"/>
      <c r="P304" s="68"/>
      <c r="Q304" s="68"/>
      <c r="R304" s="68"/>
      <c r="S304" s="68"/>
      <c r="T304" s="68"/>
      <c r="U304" s="68"/>
      <c r="V304" s="68"/>
      <c r="W304" s="68"/>
      <c r="X304" s="68"/>
      <c r="Y304" s="68"/>
      <c r="Z304" s="68"/>
    </row>
    <row r="305">
      <c r="A305" s="68"/>
      <c r="B305" s="68"/>
      <c r="C305" s="68"/>
      <c r="D305" s="68"/>
      <c r="E305" s="68"/>
      <c r="F305" s="68"/>
      <c r="G305" s="68"/>
      <c r="H305" s="68"/>
      <c r="I305" s="68"/>
      <c r="J305" s="68"/>
      <c r="K305" s="68"/>
      <c r="L305" s="68"/>
      <c r="M305" s="68"/>
      <c r="N305" s="68"/>
      <c r="O305" s="68"/>
      <c r="P305" s="68"/>
      <c r="Q305" s="68"/>
      <c r="R305" s="68"/>
      <c r="S305" s="68"/>
      <c r="T305" s="68"/>
      <c r="U305" s="68"/>
      <c r="V305" s="68"/>
      <c r="W305" s="68"/>
      <c r="X305" s="68"/>
      <c r="Y305" s="68"/>
      <c r="Z305" s="68"/>
    </row>
    <row r="306">
      <c r="A306" s="68"/>
      <c r="B306" s="68"/>
      <c r="C306" s="68"/>
      <c r="D306" s="68"/>
      <c r="E306" s="68"/>
      <c r="F306" s="68"/>
      <c r="G306" s="68"/>
      <c r="H306" s="68"/>
      <c r="I306" s="68"/>
      <c r="J306" s="68"/>
      <c r="K306" s="68"/>
      <c r="L306" s="68"/>
      <c r="M306" s="68"/>
      <c r="N306" s="68"/>
      <c r="O306" s="68"/>
      <c r="P306" s="68"/>
      <c r="Q306" s="68"/>
      <c r="R306" s="68"/>
      <c r="S306" s="68"/>
      <c r="T306" s="68"/>
      <c r="U306" s="68"/>
      <c r="V306" s="68"/>
      <c r="W306" s="68"/>
      <c r="X306" s="68"/>
      <c r="Y306" s="68"/>
      <c r="Z306" s="68"/>
    </row>
    <row r="307">
      <c r="A307" s="68"/>
      <c r="B307" s="68"/>
      <c r="C307" s="68"/>
      <c r="D307" s="68"/>
      <c r="E307" s="68"/>
      <c r="F307" s="68"/>
      <c r="G307" s="68"/>
      <c r="H307" s="68"/>
      <c r="I307" s="68"/>
      <c r="J307" s="68"/>
      <c r="K307" s="68"/>
      <c r="L307" s="68"/>
      <c r="M307" s="68"/>
      <c r="N307" s="68"/>
      <c r="O307" s="68"/>
      <c r="P307" s="68"/>
      <c r="Q307" s="68"/>
      <c r="R307" s="68"/>
      <c r="S307" s="68"/>
      <c r="T307" s="68"/>
      <c r="U307" s="68"/>
      <c r="V307" s="68"/>
      <c r="W307" s="68"/>
      <c r="X307" s="68"/>
      <c r="Y307" s="68"/>
      <c r="Z307" s="68"/>
    </row>
    <row r="308">
      <c r="A308" s="68"/>
      <c r="B308" s="68"/>
      <c r="C308" s="68"/>
      <c r="D308" s="68"/>
      <c r="E308" s="68"/>
      <c r="F308" s="68"/>
      <c r="G308" s="68"/>
      <c r="H308" s="68"/>
      <c r="I308" s="68"/>
      <c r="J308" s="68"/>
      <c r="K308" s="68"/>
      <c r="L308" s="68"/>
      <c r="M308" s="68"/>
      <c r="N308" s="68"/>
      <c r="O308" s="68"/>
      <c r="P308" s="68"/>
      <c r="Q308" s="68"/>
      <c r="R308" s="68"/>
      <c r="S308" s="68"/>
      <c r="T308" s="68"/>
      <c r="U308" s="68"/>
      <c r="V308" s="68"/>
      <c r="W308" s="68"/>
      <c r="X308" s="68"/>
      <c r="Y308" s="68"/>
      <c r="Z308" s="68"/>
    </row>
    <row r="309">
      <c r="A309" s="68"/>
      <c r="B309" s="68"/>
      <c r="C309" s="68"/>
      <c r="D309" s="68"/>
      <c r="E309" s="68"/>
      <c r="F309" s="68"/>
      <c r="G309" s="68"/>
      <c r="H309" s="68"/>
      <c r="I309" s="68"/>
      <c r="J309" s="68"/>
      <c r="K309" s="68"/>
      <c r="L309" s="68"/>
      <c r="M309" s="68"/>
      <c r="N309" s="68"/>
      <c r="O309" s="68"/>
      <c r="P309" s="68"/>
      <c r="Q309" s="68"/>
      <c r="R309" s="68"/>
      <c r="S309" s="68"/>
      <c r="T309" s="68"/>
      <c r="U309" s="68"/>
      <c r="V309" s="68"/>
      <c r="W309" s="68"/>
      <c r="X309" s="68"/>
      <c r="Y309" s="68"/>
      <c r="Z309" s="68"/>
    </row>
    <row r="310">
      <c r="A310" s="68"/>
      <c r="B310" s="68"/>
      <c r="C310" s="68"/>
      <c r="D310" s="68"/>
      <c r="E310" s="68"/>
      <c r="F310" s="68"/>
      <c r="G310" s="68"/>
      <c r="H310" s="68"/>
      <c r="I310" s="68"/>
      <c r="J310" s="68"/>
      <c r="K310" s="68"/>
      <c r="L310" s="68"/>
      <c r="M310" s="68"/>
      <c r="N310" s="68"/>
      <c r="O310" s="68"/>
      <c r="P310" s="68"/>
      <c r="Q310" s="68"/>
      <c r="R310" s="68"/>
      <c r="S310" s="68"/>
      <c r="T310" s="68"/>
      <c r="U310" s="68"/>
      <c r="V310" s="68"/>
      <c r="W310" s="68"/>
      <c r="X310" s="68"/>
      <c r="Y310" s="68"/>
      <c r="Z310" s="68"/>
    </row>
    <row r="311">
      <c r="A311" s="68"/>
      <c r="B311" s="68"/>
      <c r="C311" s="68"/>
      <c r="D311" s="68"/>
      <c r="E311" s="68"/>
      <c r="F311" s="68"/>
      <c r="G311" s="68"/>
      <c r="H311" s="68"/>
      <c r="I311" s="68"/>
      <c r="J311" s="68"/>
      <c r="K311" s="68"/>
      <c r="L311" s="68"/>
      <c r="M311" s="68"/>
      <c r="N311" s="68"/>
      <c r="O311" s="68"/>
      <c r="P311" s="68"/>
      <c r="Q311" s="68"/>
      <c r="R311" s="68"/>
      <c r="S311" s="68"/>
      <c r="T311" s="68"/>
      <c r="U311" s="68"/>
      <c r="V311" s="68"/>
      <c r="W311" s="68"/>
      <c r="X311" s="68"/>
      <c r="Y311" s="68"/>
      <c r="Z311" s="68"/>
    </row>
    <row r="312">
      <c r="A312" s="68"/>
      <c r="B312" s="68"/>
      <c r="C312" s="68"/>
      <c r="D312" s="68"/>
      <c r="E312" s="68"/>
      <c r="F312" s="68"/>
      <c r="G312" s="68"/>
      <c r="H312" s="68"/>
      <c r="I312" s="68"/>
      <c r="J312" s="68"/>
      <c r="K312" s="68"/>
      <c r="L312" s="68"/>
      <c r="M312" s="68"/>
      <c r="N312" s="68"/>
      <c r="O312" s="68"/>
      <c r="P312" s="68"/>
      <c r="Q312" s="68"/>
      <c r="R312" s="68"/>
      <c r="S312" s="68"/>
      <c r="T312" s="68"/>
      <c r="U312" s="68"/>
      <c r="V312" s="68"/>
      <c r="W312" s="68"/>
      <c r="X312" s="68"/>
      <c r="Y312" s="68"/>
      <c r="Z312" s="68"/>
    </row>
    <row r="313">
      <c r="A313" s="68"/>
      <c r="B313" s="68"/>
      <c r="C313" s="68"/>
      <c r="D313" s="68"/>
      <c r="E313" s="68"/>
      <c r="F313" s="68"/>
      <c r="G313" s="68"/>
      <c r="H313" s="68"/>
      <c r="I313" s="68"/>
      <c r="J313" s="68"/>
      <c r="K313" s="68"/>
      <c r="L313" s="68"/>
      <c r="M313" s="68"/>
      <c r="N313" s="68"/>
      <c r="O313" s="68"/>
      <c r="P313" s="68"/>
      <c r="Q313" s="68"/>
      <c r="R313" s="68"/>
      <c r="S313" s="68"/>
      <c r="T313" s="68"/>
      <c r="U313" s="68"/>
      <c r="V313" s="68"/>
      <c r="W313" s="68"/>
      <c r="X313" s="68"/>
      <c r="Y313" s="68"/>
      <c r="Z313" s="68"/>
    </row>
    <row r="314">
      <c r="A314" s="68"/>
      <c r="B314" s="68"/>
      <c r="C314" s="68"/>
      <c r="D314" s="68"/>
      <c r="E314" s="68"/>
      <c r="F314" s="68"/>
      <c r="G314" s="68"/>
      <c r="H314" s="68"/>
      <c r="I314" s="68"/>
      <c r="J314" s="68"/>
      <c r="K314" s="68"/>
      <c r="L314" s="68"/>
      <c r="M314" s="68"/>
      <c r="N314" s="68"/>
      <c r="O314" s="68"/>
      <c r="P314" s="68"/>
      <c r="Q314" s="68"/>
      <c r="R314" s="68"/>
      <c r="S314" s="68"/>
      <c r="T314" s="68"/>
      <c r="U314" s="68"/>
      <c r="V314" s="68"/>
      <c r="W314" s="68"/>
      <c r="X314" s="68"/>
      <c r="Y314" s="68"/>
      <c r="Z314" s="68"/>
    </row>
    <row r="315">
      <c r="A315" s="68"/>
      <c r="B315" s="68"/>
      <c r="C315" s="68"/>
      <c r="D315" s="68"/>
      <c r="E315" s="68"/>
      <c r="F315" s="68"/>
      <c r="G315" s="68"/>
      <c r="H315" s="68"/>
      <c r="I315" s="68"/>
      <c r="J315" s="68"/>
      <c r="K315" s="68"/>
      <c r="L315" s="68"/>
      <c r="M315" s="68"/>
      <c r="N315" s="68"/>
      <c r="O315" s="68"/>
      <c r="P315" s="68"/>
      <c r="Q315" s="68"/>
      <c r="R315" s="68"/>
      <c r="S315" s="68"/>
      <c r="T315" s="68"/>
      <c r="U315" s="68"/>
      <c r="V315" s="68"/>
      <c r="W315" s="68"/>
      <c r="X315" s="68"/>
      <c r="Y315" s="68"/>
      <c r="Z315" s="68"/>
    </row>
    <row r="316">
      <c r="A316" s="68"/>
      <c r="B316" s="68"/>
      <c r="C316" s="68"/>
      <c r="D316" s="68"/>
      <c r="E316" s="68"/>
      <c r="F316" s="68"/>
      <c r="G316" s="68"/>
      <c r="H316" s="68"/>
      <c r="I316" s="68"/>
      <c r="J316" s="68"/>
      <c r="K316" s="68"/>
      <c r="L316" s="68"/>
      <c r="M316" s="68"/>
      <c r="N316" s="68"/>
      <c r="O316" s="68"/>
      <c r="P316" s="68"/>
      <c r="Q316" s="68"/>
      <c r="R316" s="68"/>
      <c r="S316" s="68"/>
      <c r="T316" s="68"/>
      <c r="U316" s="68"/>
      <c r="V316" s="68"/>
      <c r="W316" s="68"/>
      <c r="X316" s="68"/>
      <c r="Y316" s="68"/>
      <c r="Z316" s="68"/>
    </row>
    <row r="317">
      <c r="A317" s="68"/>
      <c r="B317" s="68"/>
      <c r="C317" s="68"/>
      <c r="D317" s="68"/>
      <c r="E317" s="68"/>
      <c r="F317" s="68"/>
      <c r="G317" s="68"/>
      <c r="H317" s="68"/>
      <c r="I317" s="68"/>
      <c r="J317" s="68"/>
      <c r="K317" s="68"/>
      <c r="L317" s="68"/>
      <c r="M317" s="68"/>
      <c r="N317" s="68"/>
      <c r="O317" s="68"/>
      <c r="P317" s="68"/>
      <c r="Q317" s="68"/>
      <c r="R317" s="68"/>
      <c r="S317" s="68"/>
      <c r="T317" s="68"/>
      <c r="U317" s="68"/>
      <c r="V317" s="68"/>
      <c r="W317" s="68"/>
      <c r="X317" s="68"/>
      <c r="Y317" s="68"/>
      <c r="Z317" s="68"/>
    </row>
    <row r="318">
      <c r="A318" s="68"/>
      <c r="B318" s="68"/>
      <c r="C318" s="68"/>
      <c r="D318" s="68"/>
      <c r="E318" s="68"/>
      <c r="F318" s="68"/>
      <c r="G318" s="68"/>
      <c r="H318" s="68"/>
      <c r="I318" s="68"/>
      <c r="J318" s="68"/>
      <c r="K318" s="68"/>
      <c r="L318" s="68"/>
      <c r="M318" s="68"/>
      <c r="N318" s="68"/>
      <c r="O318" s="68"/>
      <c r="P318" s="68"/>
      <c r="Q318" s="68"/>
      <c r="R318" s="68"/>
      <c r="S318" s="68"/>
      <c r="T318" s="68"/>
      <c r="U318" s="68"/>
      <c r="V318" s="68"/>
      <c r="W318" s="68"/>
      <c r="X318" s="68"/>
      <c r="Y318" s="68"/>
      <c r="Z318" s="68"/>
    </row>
    <row r="319">
      <c r="A319" s="68"/>
      <c r="B319" s="68"/>
      <c r="C319" s="68"/>
      <c r="D319" s="68"/>
      <c r="E319" s="68"/>
      <c r="F319" s="68"/>
      <c r="G319" s="68"/>
      <c r="H319" s="68"/>
      <c r="I319" s="68"/>
      <c r="J319" s="68"/>
      <c r="K319" s="68"/>
      <c r="L319" s="68"/>
      <c r="M319" s="68"/>
      <c r="N319" s="68"/>
      <c r="O319" s="68"/>
      <c r="P319" s="68"/>
      <c r="Q319" s="68"/>
      <c r="R319" s="68"/>
      <c r="S319" s="68"/>
      <c r="T319" s="68"/>
      <c r="U319" s="68"/>
      <c r="V319" s="68"/>
      <c r="W319" s="68"/>
      <c r="X319" s="68"/>
      <c r="Y319" s="68"/>
      <c r="Z319" s="68"/>
    </row>
    <row r="320">
      <c r="A320" s="68"/>
      <c r="B320" s="68"/>
      <c r="C320" s="68"/>
      <c r="D320" s="68"/>
      <c r="E320" s="68"/>
      <c r="F320" s="68"/>
      <c r="G320" s="68"/>
      <c r="H320" s="68"/>
      <c r="I320" s="68"/>
      <c r="J320" s="68"/>
      <c r="K320" s="68"/>
      <c r="L320" s="68"/>
      <c r="M320" s="68"/>
      <c r="N320" s="68"/>
      <c r="O320" s="68"/>
      <c r="P320" s="68"/>
      <c r="Q320" s="68"/>
      <c r="R320" s="68"/>
      <c r="S320" s="68"/>
      <c r="T320" s="68"/>
      <c r="U320" s="68"/>
      <c r="V320" s="68"/>
      <c r="W320" s="68"/>
      <c r="X320" s="68"/>
      <c r="Y320" s="68"/>
      <c r="Z320" s="68"/>
    </row>
    <row r="321">
      <c r="A321" s="68"/>
      <c r="B321" s="68"/>
      <c r="C321" s="68"/>
      <c r="D321" s="68"/>
      <c r="E321" s="68"/>
      <c r="F321" s="68"/>
      <c r="G321" s="68"/>
      <c r="H321" s="68"/>
      <c r="I321" s="68"/>
      <c r="J321" s="68"/>
      <c r="K321" s="68"/>
      <c r="L321" s="68"/>
      <c r="M321" s="68"/>
      <c r="N321" s="68"/>
      <c r="O321" s="68"/>
      <c r="P321" s="68"/>
      <c r="Q321" s="68"/>
      <c r="R321" s="68"/>
      <c r="S321" s="68"/>
      <c r="T321" s="68"/>
      <c r="U321" s="68"/>
      <c r="V321" s="68"/>
      <c r="W321" s="68"/>
      <c r="X321" s="68"/>
      <c r="Y321" s="68"/>
      <c r="Z321" s="68"/>
    </row>
    <row r="322">
      <c r="A322" s="68"/>
      <c r="B322" s="68"/>
      <c r="C322" s="68"/>
      <c r="D322" s="68"/>
      <c r="E322" s="68"/>
      <c r="F322" s="68"/>
      <c r="G322" s="68"/>
      <c r="H322" s="68"/>
      <c r="I322" s="68"/>
      <c r="J322" s="68"/>
      <c r="K322" s="68"/>
      <c r="L322" s="68"/>
      <c r="M322" s="68"/>
      <c r="N322" s="68"/>
      <c r="O322" s="68"/>
      <c r="P322" s="68"/>
      <c r="Q322" s="68"/>
      <c r="R322" s="68"/>
      <c r="S322" s="68"/>
      <c r="T322" s="68"/>
      <c r="U322" s="68"/>
      <c r="V322" s="68"/>
      <c r="W322" s="68"/>
      <c r="X322" s="68"/>
      <c r="Y322" s="68"/>
      <c r="Z322" s="68"/>
    </row>
    <row r="323">
      <c r="A323" s="68"/>
      <c r="B323" s="68"/>
      <c r="C323" s="68"/>
      <c r="D323" s="68"/>
      <c r="E323" s="68"/>
      <c r="F323" s="68"/>
      <c r="G323" s="68"/>
      <c r="H323" s="68"/>
      <c r="I323" s="68"/>
      <c r="J323" s="68"/>
      <c r="K323" s="68"/>
      <c r="L323" s="68"/>
      <c r="M323" s="68"/>
      <c r="N323" s="68"/>
      <c r="O323" s="68"/>
      <c r="P323" s="68"/>
      <c r="Q323" s="68"/>
      <c r="R323" s="68"/>
      <c r="S323" s="68"/>
      <c r="T323" s="68"/>
      <c r="U323" s="68"/>
      <c r="V323" s="68"/>
      <c r="W323" s="68"/>
      <c r="X323" s="68"/>
      <c r="Y323" s="68"/>
      <c r="Z323" s="68"/>
    </row>
    <row r="324">
      <c r="A324" s="68"/>
      <c r="B324" s="68"/>
      <c r="C324" s="68"/>
      <c r="D324" s="68"/>
      <c r="E324" s="68"/>
      <c r="F324" s="68"/>
      <c r="G324" s="68"/>
      <c r="H324" s="68"/>
      <c r="I324" s="68"/>
      <c r="J324" s="68"/>
      <c r="K324" s="68"/>
      <c r="L324" s="68"/>
      <c r="M324" s="68"/>
      <c r="N324" s="68"/>
      <c r="O324" s="68"/>
      <c r="P324" s="68"/>
      <c r="Q324" s="68"/>
      <c r="R324" s="68"/>
      <c r="S324" s="68"/>
      <c r="T324" s="68"/>
      <c r="U324" s="68"/>
      <c r="V324" s="68"/>
      <c r="W324" s="68"/>
      <c r="X324" s="68"/>
      <c r="Y324" s="68"/>
      <c r="Z324" s="68"/>
    </row>
    <row r="325">
      <c r="A325" s="68"/>
      <c r="B325" s="68"/>
      <c r="C325" s="68"/>
      <c r="D325" s="68"/>
      <c r="E325" s="68"/>
      <c r="F325" s="68"/>
      <c r="G325" s="68"/>
      <c r="H325" s="68"/>
      <c r="I325" s="68"/>
      <c r="J325" s="68"/>
      <c r="K325" s="68"/>
      <c r="L325" s="68"/>
      <c r="M325" s="68"/>
      <c r="N325" s="68"/>
      <c r="O325" s="68"/>
      <c r="P325" s="68"/>
      <c r="Q325" s="68"/>
      <c r="R325" s="68"/>
      <c r="S325" s="68"/>
      <c r="T325" s="68"/>
      <c r="U325" s="68"/>
      <c r="V325" s="68"/>
      <c r="W325" s="68"/>
      <c r="X325" s="68"/>
      <c r="Y325" s="68"/>
      <c r="Z325" s="68"/>
    </row>
    <row r="326">
      <c r="A326" s="68"/>
      <c r="B326" s="68"/>
      <c r="C326" s="68"/>
      <c r="D326" s="68"/>
      <c r="E326" s="68"/>
      <c r="F326" s="68"/>
      <c r="G326" s="68"/>
      <c r="H326" s="68"/>
      <c r="I326" s="68"/>
      <c r="J326" s="68"/>
      <c r="K326" s="68"/>
      <c r="L326" s="68"/>
      <c r="M326" s="68"/>
      <c r="N326" s="68"/>
      <c r="O326" s="68"/>
      <c r="P326" s="68"/>
      <c r="Q326" s="68"/>
      <c r="R326" s="68"/>
      <c r="S326" s="68"/>
      <c r="T326" s="68"/>
      <c r="U326" s="68"/>
      <c r="V326" s="68"/>
      <c r="W326" s="68"/>
      <c r="X326" s="68"/>
      <c r="Y326" s="68"/>
      <c r="Z326" s="68"/>
    </row>
    <row r="327">
      <c r="A327" s="68"/>
      <c r="B327" s="68"/>
      <c r="C327" s="68"/>
      <c r="D327" s="68"/>
      <c r="E327" s="68"/>
      <c r="F327" s="68"/>
      <c r="G327" s="68"/>
      <c r="H327" s="68"/>
      <c r="I327" s="68"/>
      <c r="J327" s="68"/>
      <c r="K327" s="68"/>
      <c r="L327" s="68"/>
      <c r="M327" s="68"/>
      <c r="N327" s="68"/>
      <c r="O327" s="68"/>
      <c r="P327" s="68"/>
      <c r="Q327" s="68"/>
      <c r="R327" s="68"/>
      <c r="S327" s="68"/>
      <c r="T327" s="68"/>
      <c r="U327" s="68"/>
      <c r="V327" s="68"/>
      <c r="W327" s="68"/>
      <c r="X327" s="68"/>
      <c r="Y327" s="68"/>
      <c r="Z327" s="68"/>
    </row>
    <row r="328">
      <c r="A328" s="68"/>
      <c r="B328" s="68"/>
      <c r="C328" s="68"/>
      <c r="D328" s="68"/>
      <c r="E328" s="68"/>
      <c r="F328" s="68"/>
      <c r="G328" s="68"/>
      <c r="H328" s="68"/>
      <c r="I328" s="68"/>
      <c r="J328" s="68"/>
      <c r="K328" s="68"/>
      <c r="L328" s="68"/>
      <c r="M328" s="68"/>
      <c r="N328" s="68"/>
      <c r="O328" s="68"/>
      <c r="P328" s="68"/>
      <c r="Q328" s="68"/>
      <c r="R328" s="68"/>
      <c r="S328" s="68"/>
      <c r="T328" s="68"/>
      <c r="U328" s="68"/>
      <c r="V328" s="68"/>
      <c r="W328" s="68"/>
      <c r="X328" s="68"/>
      <c r="Y328" s="68"/>
      <c r="Z328" s="68"/>
    </row>
    <row r="329">
      <c r="A329" s="68"/>
      <c r="B329" s="68"/>
      <c r="C329" s="68"/>
      <c r="D329" s="68"/>
      <c r="E329" s="68"/>
      <c r="F329" s="68"/>
      <c r="G329" s="68"/>
      <c r="H329" s="68"/>
      <c r="I329" s="68"/>
      <c r="J329" s="68"/>
      <c r="K329" s="68"/>
      <c r="L329" s="68"/>
      <c r="M329" s="68"/>
      <c r="N329" s="68"/>
      <c r="O329" s="68"/>
      <c r="P329" s="68"/>
      <c r="Q329" s="68"/>
      <c r="R329" s="68"/>
      <c r="S329" s="68"/>
      <c r="T329" s="68"/>
      <c r="U329" s="68"/>
      <c r="V329" s="68"/>
      <c r="W329" s="68"/>
      <c r="X329" s="68"/>
      <c r="Y329" s="68"/>
      <c r="Z329" s="68"/>
    </row>
    <row r="330">
      <c r="A330" s="68"/>
      <c r="B330" s="68"/>
      <c r="C330" s="68"/>
      <c r="D330" s="68"/>
      <c r="E330" s="68"/>
      <c r="F330" s="68"/>
      <c r="G330" s="68"/>
      <c r="H330" s="68"/>
      <c r="I330" s="68"/>
      <c r="J330" s="68"/>
      <c r="K330" s="68"/>
      <c r="L330" s="68"/>
      <c r="M330" s="68"/>
      <c r="N330" s="68"/>
      <c r="O330" s="68"/>
      <c r="P330" s="68"/>
      <c r="Q330" s="68"/>
      <c r="R330" s="68"/>
      <c r="S330" s="68"/>
      <c r="T330" s="68"/>
      <c r="U330" s="68"/>
      <c r="V330" s="68"/>
      <c r="W330" s="68"/>
      <c r="X330" s="68"/>
      <c r="Y330" s="68"/>
      <c r="Z330" s="68"/>
    </row>
    <row r="331">
      <c r="A331" s="68"/>
      <c r="B331" s="68"/>
      <c r="C331" s="68"/>
      <c r="D331" s="68"/>
      <c r="E331" s="68"/>
      <c r="F331" s="68"/>
      <c r="G331" s="68"/>
      <c r="H331" s="68"/>
      <c r="I331" s="68"/>
      <c r="J331" s="68"/>
      <c r="K331" s="68"/>
      <c r="L331" s="68"/>
      <c r="M331" s="68"/>
      <c r="N331" s="68"/>
      <c r="O331" s="68"/>
      <c r="P331" s="68"/>
      <c r="Q331" s="68"/>
      <c r="R331" s="68"/>
      <c r="S331" s="68"/>
      <c r="T331" s="68"/>
      <c r="U331" s="68"/>
      <c r="V331" s="68"/>
      <c r="W331" s="68"/>
      <c r="X331" s="68"/>
      <c r="Y331" s="68"/>
      <c r="Z331" s="68"/>
    </row>
    <row r="332">
      <c r="A332" s="68"/>
      <c r="B332" s="68"/>
      <c r="C332" s="68"/>
      <c r="D332" s="68"/>
      <c r="E332" s="68"/>
      <c r="F332" s="68"/>
      <c r="G332" s="68"/>
      <c r="H332" s="68"/>
      <c r="I332" s="68"/>
      <c r="J332" s="68"/>
      <c r="K332" s="68"/>
      <c r="L332" s="68"/>
      <c r="M332" s="68"/>
      <c r="N332" s="68"/>
      <c r="O332" s="68"/>
      <c r="P332" s="68"/>
      <c r="Q332" s="68"/>
      <c r="R332" s="68"/>
      <c r="S332" s="68"/>
      <c r="T332" s="68"/>
      <c r="U332" s="68"/>
      <c r="V332" s="68"/>
      <c r="W332" s="68"/>
      <c r="X332" s="68"/>
      <c r="Y332" s="68"/>
      <c r="Z332" s="68"/>
    </row>
    <row r="333">
      <c r="A333" s="68"/>
      <c r="B333" s="68"/>
      <c r="C333" s="68"/>
      <c r="D333" s="68"/>
      <c r="E333" s="68"/>
      <c r="F333" s="68"/>
      <c r="G333" s="68"/>
      <c r="H333" s="68"/>
      <c r="I333" s="68"/>
      <c r="J333" s="68"/>
      <c r="K333" s="68"/>
      <c r="L333" s="68"/>
      <c r="M333" s="68"/>
      <c r="N333" s="68"/>
      <c r="O333" s="68"/>
      <c r="P333" s="68"/>
      <c r="Q333" s="68"/>
      <c r="R333" s="68"/>
      <c r="S333" s="68"/>
      <c r="T333" s="68"/>
      <c r="U333" s="68"/>
      <c r="V333" s="68"/>
      <c r="W333" s="68"/>
      <c r="X333" s="68"/>
      <c r="Y333" s="68"/>
      <c r="Z333" s="68"/>
    </row>
    <row r="334">
      <c r="A334" s="68"/>
      <c r="B334" s="68"/>
      <c r="C334" s="68"/>
      <c r="D334" s="68"/>
      <c r="E334" s="68"/>
      <c r="F334" s="68"/>
      <c r="G334" s="68"/>
      <c r="H334" s="68"/>
      <c r="I334" s="68"/>
      <c r="J334" s="68"/>
      <c r="K334" s="68"/>
      <c r="L334" s="68"/>
      <c r="M334" s="68"/>
      <c r="N334" s="68"/>
      <c r="O334" s="68"/>
      <c r="P334" s="68"/>
      <c r="Q334" s="68"/>
      <c r="R334" s="68"/>
      <c r="S334" s="68"/>
      <c r="T334" s="68"/>
      <c r="U334" s="68"/>
      <c r="V334" s="68"/>
      <c r="W334" s="68"/>
      <c r="X334" s="68"/>
      <c r="Y334" s="68"/>
      <c r="Z334" s="68"/>
    </row>
    <row r="335">
      <c r="A335" s="68"/>
      <c r="B335" s="68"/>
      <c r="C335" s="68"/>
      <c r="D335" s="68"/>
      <c r="E335" s="68"/>
      <c r="F335" s="68"/>
      <c r="G335" s="68"/>
      <c r="H335" s="68"/>
      <c r="I335" s="68"/>
      <c r="J335" s="68"/>
      <c r="K335" s="68"/>
      <c r="L335" s="68"/>
      <c r="M335" s="68"/>
      <c r="N335" s="68"/>
      <c r="O335" s="68"/>
      <c r="P335" s="68"/>
      <c r="Q335" s="68"/>
      <c r="R335" s="68"/>
      <c r="S335" s="68"/>
      <c r="T335" s="68"/>
      <c r="U335" s="68"/>
      <c r="V335" s="68"/>
      <c r="W335" s="68"/>
      <c r="X335" s="68"/>
      <c r="Y335" s="68"/>
      <c r="Z335" s="68"/>
    </row>
    <row r="336">
      <c r="A336" s="68"/>
      <c r="B336" s="68"/>
      <c r="C336" s="68"/>
      <c r="D336" s="68"/>
      <c r="E336" s="68"/>
      <c r="F336" s="68"/>
      <c r="G336" s="68"/>
      <c r="H336" s="68"/>
      <c r="I336" s="68"/>
      <c r="J336" s="68"/>
      <c r="K336" s="68"/>
      <c r="L336" s="68"/>
      <c r="M336" s="68"/>
      <c r="N336" s="68"/>
      <c r="O336" s="68"/>
      <c r="P336" s="68"/>
      <c r="Q336" s="68"/>
      <c r="R336" s="68"/>
      <c r="S336" s="68"/>
      <c r="T336" s="68"/>
      <c r="U336" s="68"/>
      <c r="V336" s="68"/>
      <c r="W336" s="68"/>
      <c r="X336" s="68"/>
      <c r="Y336" s="68"/>
      <c r="Z336" s="68"/>
    </row>
    <row r="337">
      <c r="A337" s="68"/>
      <c r="B337" s="68"/>
      <c r="C337" s="68"/>
      <c r="D337" s="68"/>
      <c r="E337" s="68"/>
      <c r="F337" s="68"/>
      <c r="G337" s="68"/>
      <c r="H337" s="68"/>
      <c r="I337" s="68"/>
      <c r="J337" s="68"/>
      <c r="K337" s="68"/>
      <c r="L337" s="68"/>
      <c r="M337" s="68"/>
      <c r="N337" s="68"/>
      <c r="O337" s="68"/>
      <c r="P337" s="68"/>
      <c r="Q337" s="68"/>
      <c r="R337" s="68"/>
      <c r="S337" s="68"/>
      <c r="T337" s="68"/>
      <c r="U337" s="68"/>
      <c r="V337" s="68"/>
      <c r="W337" s="68"/>
      <c r="X337" s="68"/>
      <c r="Y337" s="68"/>
      <c r="Z337" s="68"/>
    </row>
    <row r="338">
      <c r="A338" s="68"/>
      <c r="B338" s="68"/>
      <c r="C338" s="68"/>
      <c r="D338" s="68"/>
      <c r="E338" s="68"/>
      <c r="F338" s="68"/>
      <c r="G338" s="68"/>
      <c r="H338" s="68"/>
      <c r="I338" s="68"/>
      <c r="J338" s="68"/>
      <c r="K338" s="68"/>
      <c r="L338" s="68"/>
      <c r="M338" s="68"/>
      <c r="N338" s="68"/>
      <c r="O338" s="68"/>
      <c r="P338" s="68"/>
      <c r="Q338" s="68"/>
      <c r="R338" s="68"/>
      <c r="S338" s="68"/>
      <c r="T338" s="68"/>
      <c r="U338" s="68"/>
      <c r="V338" s="68"/>
      <c r="W338" s="68"/>
      <c r="X338" s="68"/>
      <c r="Y338" s="68"/>
      <c r="Z338" s="68"/>
    </row>
    <row r="339">
      <c r="A339" s="68"/>
      <c r="B339" s="68"/>
      <c r="C339" s="68"/>
      <c r="D339" s="68"/>
      <c r="E339" s="68"/>
      <c r="F339" s="68"/>
      <c r="G339" s="68"/>
      <c r="H339" s="68"/>
      <c r="I339" s="68"/>
      <c r="J339" s="68"/>
      <c r="K339" s="68"/>
      <c r="L339" s="68"/>
      <c r="M339" s="68"/>
      <c r="N339" s="68"/>
      <c r="O339" s="68"/>
      <c r="P339" s="68"/>
      <c r="Q339" s="68"/>
      <c r="R339" s="68"/>
      <c r="S339" s="68"/>
      <c r="T339" s="68"/>
      <c r="U339" s="68"/>
      <c r="V339" s="68"/>
      <c r="W339" s="68"/>
      <c r="X339" s="68"/>
      <c r="Y339" s="68"/>
      <c r="Z339" s="68"/>
    </row>
    <row r="340">
      <c r="A340" s="68"/>
      <c r="B340" s="68"/>
      <c r="C340" s="68"/>
      <c r="D340" s="68"/>
      <c r="E340" s="68"/>
      <c r="F340" s="68"/>
      <c r="G340" s="68"/>
      <c r="H340" s="68"/>
      <c r="I340" s="68"/>
      <c r="J340" s="68"/>
      <c r="K340" s="68"/>
      <c r="L340" s="68"/>
      <c r="M340" s="68"/>
      <c r="N340" s="68"/>
      <c r="O340" s="68"/>
      <c r="P340" s="68"/>
      <c r="Q340" s="68"/>
      <c r="R340" s="68"/>
      <c r="S340" s="68"/>
      <c r="T340" s="68"/>
      <c r="U340" s="68"/>
      <c r="V340" s="68"/>
      <c r="W340" s="68"/>
      <c r="X340" s="68"/>
      <c r="Y340" s="68"/>
      <c r="Z340" s="68"/>
    </row>
    <row r="341">
      <c r="A341" s="68"/>
      <c r="B341" s="68"/>
      <c r="C341" s="68"/>
      <c r="D341" s="68"/>
      <c r="E341" s="68"/>
      <c r="F341" s="68"/>
      <c r="G341" s="68"/>
      <c r="H341" s="68"/>
      <c r="I341" s="68"/>
      <c r="J341" s="68"/>
      <c r="K341" s="68"/>
      <c r="L341" s="68"/>
      <c r="M341" s="68"/>
      <c r="N341" s="68"/>
      <c r="O341" s="68"/>
      <c r="P341" s="68"/>
      <c r="Q341" s="68"/>
      <c r="R341" s="68"/>
      <c r="S341" s="68"/>
      <c r="T341" s="68"/>
      <c r="U341" s="68"/>
      <c r="V341" s="68"/>
      <c r="W341" s="68"/>
      <c r="X341" s="68"/>
      <c r="Y341" s="68"/>
      <c r="Z341" s="68"/>
    </row>
    <row r="342">
      <c r="A342" s="68"/>
      <c r="B342" s="68"/>
      <c r="C342" s="68"/>
      <c r="D342" s="68"/>
      <c r="E342" s="68"/>
      <c r="F342" s="68"/>
      <c r="G342" s="68"/>
      <c r="H342" s="68"/>
      <c r="I342" s="68"/>
      <c r="J342" s="68"/>
      <c r="K342" s="68"/>
      <c r="L342" s="68"/>
      <c r="M342" s="68"/>
      <c r="N342" s="68"/>
      <c r="O342" s="68"/>
      <c r="P342" s="68"/>
      <c r="Q342" s="68"/>
      <c r="R342" s="68"/>
      <c r="S342" s="68"/>
      <c r="T342" s="68"/>
      <c r="U342" s="68"/>
      <c r="V342" s="68"/>
      <c r="W342" s="68"/>
      <c r="X342" s="68"/>
      <c r="Y342" s="68"/>
      <c r="Z342" s="68"/>
    </row>
    <row r="343">
      <c r="A343" s="68"/>
      <c r="B343" s="68"/>
      <c r="C343" s="68"/>
      <c r="D343" s="68"/>
      <c r="E343" s="68"/>
      <c r="F343" s="68"/>
      <c r="G343" s="68"/>
      <c r="H343" s="68"/>
      <c r="I343" s="68"/>
      <c r="J343" s="68"/>
      <c r="K343" s="68"/>
      <c r="L343" s="68"/>
      <c r="M343" s="68"/>
      <c r="N343" s="68"/>
      <c r="O343" s="68"/>
      <c r="P343" s="68"/>
      <c r="Q343" s="68"/>
      <c r="R343" s="68"/>
      <c r="S343" s="68"/>
      <c r="T343" s="68"/>
      <c r="U343" s="68"/>
      <c r="V343" s="68"/>
      <c r="W343" s="68"/>
      <c r="X343" s="68"/>
      <c r="Y343" s="68"/>
      <c r="Z343" s="68"/>
    </row>
    <row r="344">
      <c r="A344" s="68"/>
      <c r="B344" s="68"/>
      <c r="C344" s="68"/>
      <c r="D344" s="68"/>
      <c r="E344" s="68"/>
      <c r="F344" s="68"/>
      <c r="G344" s="68"/>
      <c r="H344" s="68"/>
      <c r="I344" s="68"/>
      <c r="J344" s="68"/>
      <c r="K344" s="68"/>
      <c r="L344" s="68"/>
      <c r="M344" s="68"/>
      <c r="N344" s="68"/>
      <c r="O344" s="68"/>
      <c r="P344" s="68"/>
      <c r="Q344" s="68"/>
      <c r="R344" s="68"/>
      <c r="S344" s="68"/>
      <c r="T344" s="68"/>
      <c r="U344" s="68"/>
      <c r="V344" s="68"/>
      <c r="W344" s="68"/>
      <c r="X344" s="68"/>
      <c r="Y344" s="68"/>
      <c r="Z344" s="68"/>
    </row>
    <row r="345">
      <c r="A345" s="68"/>
      <c r="B345" s="68"/>
      <c r="C345" s="68"/>
      <c r="D345" s="68"/>
      <c r="E345" s="68"/>
      <c r="F345" s="68"/>
      <c r="G345" s="68"/>
      <c r="H345" s="68"/>
      <c r="I345" s="68"/>
      <c r="J345" s="68"/>
      <c r="K345" s="68"/>
      <c r="L345" s="68"/>
      <c r="M345" s="68"/>
      <c r="N345" s="68"/>
      <c r="O345" s="68"/>
      <c r="P345" s="68"/>
      <c r="Q345" s="68"/>
      <c r="R345" s="68"/>
      <c r="S345" s="68"/>
      <c r="T345" s="68"/>
      <c r="U345" s="68"/>
      <c r="V345" s="68"/>
      <c r="W345" s="68"/>
      <c r="X345" s="68"/>
      <c r="Y345" s="68"/>
      <c r="Z345" s="68"/>
    </row>
    <row r="346">
      <c r="A346" s="68"/>
      <c r="B346" s="68"/>
      <c r="C346" s="68"/>
      <c r="D346" s="68"/>
      <c r="E346" s="68"/>
      <c r="F346" s="68"/>
      <c r="G346" s="68"/>
      <c r="H346" s="68"/>
      <c r="I346" s="68"/>
      <c r="J346" s="68"/>
      <c r="K346" s="68"/>
      <c r="L346" s="68"/>
      <c r="M346" s="68"/>
      <c r="N346" s="68"/>
      <c r="O346" s="68"/>
      <c r="P346" s="68"/>
      <c r="Q346" s="68"/>
      <c r="R346" s="68"/>
      <c r="S346" s="68"/>
      <c r="T346" s="68"/>
      <c r="U346" s="68"/>
      <c r="V346" s="68"/>
      <c r="W346" s="68"/>
      <c r="X346" s="68"/>
      <c r="Y346" s="68"/>
      <c r="Z346" s="68"/>
    </row>
    <row r="347">
      <c r="A347" s="68"/>
      <c r="B347" s="68"/>
      <c r="C347" s="68"/>
      <c r="D347" s="68"/>
      <c r="E347" s="68"/>
      <c r="F347" s="68"/>
      <c r="G347" s="68"/>
      <c r="H347" s="68"/>
      <c r="I347" s="68"/>
      <c r="J347" s="68"/>
      <c r="K347" s="68"/>
      <c r="L347" s="68"/>
      <c r="M347" s="68"/>
      <c r="N347" s="68"/>
      <c r="O347" s="68"/>
      <c r="P347" s="68"/>
      <c r="Q347" s="68"/>
      <c r="R347" s="68"/>
      <c r="S347" s="68"/>
      <c r="T347" s="68"/>
      <c r="U347" s="68"/>
      <c r="V347" s="68"/>
      <c r="W347" s="68"/>
      <c r="X347" s="68"/>
      <c r="Y347" s="68"/>
      <c r="Z347" s="68"/>
    </row>
    <row r="348">
      <c r="A348" s="68"/>
      <c r="B348" s="68"/>
      <c r="C348" s="68"/>
      <c r="D348" s="68"/>
      <c r="E348" s="68"/>
      <c r="F348" s="68"/>
      <c r="G348" s="68"/>
      <c r="H348" s="68"/>
      <c r="I348" s="68"/>
      <c r="J348" s="68"/>
      <c r="K348" s="68"/>
      <c r="L348" s="68"/>
      <c r="M348" s="68"/>
      <c r="N348" s="68"/>
      <c r="O348" s="68"/>
      <c r="P348" s="68"/>
      <c r="Q348" s="68"/>
      <c r="R348" s="68"/>
      <c r="S348" s="68"/>
      <c r="T348" s="68"/>
      <c r="U348" s="68"/>
      <c r="V348" s="68"/>
      <c r="W348" s="68"/>
      <c r="X348" s="68"/>
      <c r="Y348" s="68"/>
      <c r="Z348" s="68"/>
    </row>
    <row r="349">
      <c r="A349" s="68"/>
      <c r="B349" s="68"/>
      <c r="C349" s="68"/>
      <c r="D349" s="68"/>
      <c r="E349" s="68"/>
      <c r="F349" s="68"/>
      <c r="G349" s="68"/>
      <c r="H349" s="68"/>
      <c r="I349" s="68"/>
      <c r="J349" s="68"/>
      <c r="K349" s="68"/>
      <c r="L349" s="68"/>
      <c r="M349" s="68"/>
      <c r="N349" s="68"/>
      <c r="O349" s="68"/>
      <c r="P349" s="68"/>
      <c r="Q349" s="68"/>
      <c r="R349" s="68"/>
      <c r="S349" s="68"/>
      <c r="T349" s="68"/>
      <c r="U349" s="68"/>
      <c r="V349" s="68"/>
      <c r="W349" s="68"/>
      <c r="X349" s="68"/>
      <c r="Y349" s="68"/>
      <c r="Z349" s="68"/>
    </row>
    <row r="350">
      <c r="A350" s="68"/>
      <c r="B350" s="68"/>
      <c r="C350" s="68"/>
      <c r="D350" s="68"/>
      <c r="E350" s="68"/>
      <c r="F350" s="68"/>
      <c r="G350" s="68"/>
      <c r="H350" s="68"/>
      <c r="I350" s="68"/>
      <c r="J350" s="68"/>
      <c r="K350" s="68"/>
      <c r="L350" s="68"/>
      <c r="M350" s="68"/>
      <c r="N350" s="68"/>
      <c r="O350" s="68"/>
      <c r="P350" s="68"/>
      <c r="Q350" s="68"/>
      <c r="R350" s="68"/>
      <c r="S350" s="68"/>
      <c r="T350" s="68"/>
      <c r="U350" s="68"/>
      <c r="V350" s="68"/>
      <c r="W350" s="68"/>
      <c r="X350" s="68"/>
      <c r="Y350" s="68"/>
      <c r="Z350" s="68"/>
    </row>
    <row r="351">
      <c r="A351" s="68"/>
      <c r="B351" s="68"/>
      <c r="C351" s="68"/>
      <c r="D351" s="68"/>
      <c r="E351" s="68"/>
      <c r="F351" s="68"/>
      <c r="G351" s="68"/>
      <c r="H351" s="68"/>
      <c r="I351" s="68"/>
      <c r="J351" s="68"/>
      <c r="K351" s="68"/>
      <c r="L351" s="68"/>
      <c r="M351" s="68"/>
      <c r="N351" s="68"/>
      <c r="O351" s="68"/>
      <c r="P351" s="68"/>
      <c r="Q351" s="68"/>
      <c r="R351" s="68"/>
      <c r="S351" s="68"/>
      <c r="T351" s="68"/>
      <c r="U351" s="68"/>
      <c r="V351" s="68"/>
      <c r="W351" s="68"/>
      <c r="X351" s="68"/>
      <c r="Y351" s="68"/>
      <c r="Z351" s="68"/>
    </row>
    <row r="352">
      <c r="A352" s="68"/>
      <c r="B352" s="68"/>
      <c r="C352" s="68"/>
      <c r="D352" s="68"/>
      <c r="E352" s="68"/>
      <c r="F352" s="68"/>
      <c r="G352" s="68"/>
      <c r="H352" s="68"/>
      <c r="I352" s="68"/>
      <c r="J352" s="68"/>
      <c r="K352" s="68"/>
      <c r="L352" s="68"/>
      <c r="M352" s="68"/>
      <c r="N352" s="68"/>
      <c r="O352" s="68"/>
      <c r="P352" s="68"/>
      <c r="Q352" s="68"/>
      <c r="R352" s="68"/>
      <c r="S352" s="68"/>
      <c r="T352" s="68"/>
      <c r="U352" s="68"/>
      <c r="V352" s="68"/>
      <c r="W352" s="68"/>
      <c r="X352" s="68"/>
      <c r="Y352" s="68"/>
      <c r="Z352" s="68"/>
    </row>
    <row r="353">
      <c r="A353" s="68"/>
      <c r="B353" s="68"/>
      <c r="C353" s="68"/>
      <c r="D353" s="68"/>
      <c r="E353" s="68"/>
      <c r="F353" s="68"/>
      <c r="G353" s="68"/>
      <c r="H353" s="68"/>
      <c r="I353" s="68"/>
      <c r="J353" s="68"/>
      <c r="K353" s="68"/>
      <c r="L353" s="68"/>
      <c r="M353" s="68"/>
      <c r="N353" s="68"/>
      <c r="O353" s="68"/>
      <c r="P353" s="68"/>
      <c r="Q353" s="68"/>
      <c r="R353" s="68"/>
      <c r="S353" s="68"/>
      <c r="T353" s="68"/>
      <c r="U353" s="68"/>
      <c r="V353" s="68"/>
      <c r="W353" s="68"/>
      <c r="X353" s="68"/>
      <c r="Y353" s="68"/>
      <c r="Z353" s="68"/>
    </row>
    <row r="354">
      <c r="A354" s="68"/>
      <c r="B354" s="68"/>
      <c r="C354" s="68"/>
      <c r="D354" s="68"/>
      <c r="E354" s="68"/>
      <c r="F354" s="68"/>
      <c r="G354" s="68"/>
      <c r="H354" s="68"/>
      <c r="I354" s="68"/>
      <c r="J354" s="68"/>
      <c r="K354" s="68"/>
      <c r="L354" s="68"/>
      <c r="M354" s="68"/>
      <c r="N354" s="68"/>
      <c r="O354" s="68"/>
      <c r="P354" s="68"/>
      <c r="Q354" s="68"/>
      <c r="R354" s="68"/>
      <c r="S354" s="68"/>
      <c r="T354" s="68"/>
      <c r="U354" s="68"/>
      <c r="V354" s="68"/>
      <c r="W354" s="68"/>
      <c r="X354" s="68"/>
      <c r="Y354" s="68"/>
      <c r="Z354" s="68"/>
    </row>
    <row r="355">
      <c r="A355" s="68"/>
      <c r="B355" s="68"/>
      <c r="C355" s="68"/>
      <c r="D355" s="68"/>
      <c r="E355" s="68"/>
      <c r="F355" s="68"/>
      <c r="G355" s="68"/>
      <c r="H355" s="68"/>
      <c r="I355" s="68"/>
      <c r="J355" s="68"/>
      <c r="K355" s="68"/>
      <c r="L355" s="68"/>
      <c r="M355" s="68"/>
      <c r="N355" s="68"/>
      <c r="O355" s="68"/>
      <c r="P355" s="68"/>
      <c r="Q355" s="68"/>
      <c r="R355" s="68"/>
      <c r="S355" s="68"/>
      <c r="T355" s="68"/>
      <c r="U355" s="68"/>
      <c r="V355" s="68"/>
      <c r="W355" s="68"/>
      <c r="X355" s="68"/>
      <c r="Y355" s="68"/>
      <c r="Z355" s="68"/>
    </row>
    <row r="356">
      <c r="A356" s="68"/>
      <c r="B356" s="68"/>
      <c r="C356" s="68"/>
      <c r="D356" s="68"/>
      <c r="E356" s="68"/>
      <c r="F356" s="68"/>
      <c r="G356" s="68"/>
      <c r="H356" s="68"/>
      <c r="I356" s="68"/>
      <c r="J356" s="68"/>
      <c r="K356" s="68"/>
      <c r="L356" s="68"/>
      <c r="M356" s="68"/>
      <c r="N356" s="68"/>
      <c r="O356" s="68"/>
      <c r="P356" s="68"/>
      <c r="Q356" s="68"/>
      <c r="R356" s="68"/>
      <c r="S356" s="68"/>
      <c r="T356" s="68"/>
      <c r="U356" s="68"/>
      <c r="V356" s="68"/>
      <c r="W356" s="68"/>
      <c r="X356" s="68"/>
      <c r="Y356" s="68"/>
      <c r="Z356" s="68"/>
    </row>
    <row r="357">
      <c r="A357" s="68"/>
      <c r="B357" s="68"/>
      <c r="C357" s="68"/>
      <c r="D357" s="68"/>
      <c r="E357" s="68"/>
      <c r="F357" s="68"/>
      <c r="G357" s="68"/>
      <c r="H357" s="68"/>
      <c r="I357" s="68"/>
      <c r="J357" s="68"/>
      <c r="K357" s="68"/>
      <c r="L357" s="68"/>
      <c r="M357" s="68"/>
      <c r="N357" s="68"/>
      <c r="O357" s="68"/>
      <c r="P357" s="68"/>
      <c r="Q357" s="68"/>
      <c r="R357" s="68"/>
      <c r="S357" s="68"/>
      <c r="T357" s="68"/>
      <c r="U357" s="68"/>
      <c r="V357" s="68"/>
      <c r="W357" s="68"/>
      <c r="X357" s="68"/>
      <c r="Y357" s="68"/>
      <c r="Z357" s="68"/>
    </row>
    <row r="358">
      <c r="A358" s="68"/>
      <c r="B358" s="68"/>
      <c r="C358" s="68"/>
      <c r="D358" s="68"/>
      <c r="E358" s="68"/>
      <c r="F358" s="68"/>
      <c r="G358" s="68"/>
      <c r="H358" s="68"/>
      <c r="I358" s="68"/>
      <c r="J358" s="68"/>
      <c r="K358" s="68"/>
      <c r="L358" s="68"/>
      <c r="M358" s="68"/>
      <c r="N358" s="68"/>
      <c r="O358" s="68"/>
      <c r="P358" s="68"/>
      <c r="Q358" s="68"/>
      <c r="R358" s="68"/>
      <c r="S358" s="68"/>
      <c r="T358" s="68"/>
      <c r="U358" s="68"/>
      <c r="V358" s="68"/>
      <c r="W358" s="68"/>
      <c r="X358" s="68"/>
      <c r="Y358" s="68"/>
      <c r="Z358" s="68"/>
    </row>
    <row r="359">
      <c r="A359" s="68"/>
      <c r="B359" s="68"/>
      <c r="C359" s="68"/>
      <c r="D359" s="68"/>
      <c r="E359" s="68"/>
      <c r="F359" s="68"/>
      <c r="G359" s="68"/>
      <c r="H359" s="68"/>
      <c r="I359" s="68"/>
      <c r="J359" s="68"/>
      <c r="K359" s="68"/>
      <c r="L359" s="68"/>
      <c r="M359" s="68"/>
      <c r="N359" s="68"/>
      <c r="O359" s="68"/>
      <c r="P359" s="68"/>
      <c r="Q359" s="68"/>
      <c r="R359" s="68"/>
      <c r="S359" s="68"/>
      <c r="T359" s="68"/>
      <c r="U359" s="68"/>
      <c r="V359" s="68"/>
      <c r="W359" s="68"/>
      <c r="X359" s="68"/>
      <c r="Y359" s="68"/>
      <c r="Z359" s="68"/>
    </row>
    <row r="360">
      <c r="A360" s="68"/>
      <c r="B360" s="68"/>
      <c r="C360" s="68"/>
      <c r="D360" s="68"/>
      <c r="E360" s="68"/>
      <c r="F360" s="68"/>
      <c r="G360" s="68"/>
      <c r="H360" s="68"/>
      <c r="I360" s="68"/>
      <c r="J360" s="68"/>
      <c r="K360" s="68"/>
      <c r="L360" s="68"/>
      <c r="M360" s="68"/>
      <c r="N360" s="68"/>
      <c r="O360" s="68"/>
      <c r="P360" s="68"/>
      <c r="Q360" s="68"/>
      <c r="R360" s="68"/>
      <c r="S360" s="68"/>
      <c r="T360" s="68"/>
      <c r="U360" s="68"/>
      <c r="V360" s="68"/>
      <c r="W360" s="68"/>
      <c r="X360" s="68"/>
      <c r="Y360" s="68"/>
      <c r="Z360" s="68"/>
    </row>
    <row r="361">
      <c r="A361" s="68"/>
      <c r="B361" s="68"/>
      <c r="C361" s="68"/>
      <c r="D361" s="68"/>
      <c r="E361" s="68"/>
      <c r="F361" s="68"/>
      <c r="G361" s="68"/>
      <c r="H361" s="68"/>
      <c r="I361" s="68"/>
      <c r="J361" s="68"/>
      <c r="K361" s="68"/>
      <c r="L361" s="68"/>
      <c r="M361" s="68"/>
      <c r="N361" s="68"/>
      <c r="O361" s="68"/>
      <c r="P361" s="68"/>
      <c r="Q361" s="68"/>
      <c r="R361" s="68"/>
      <c r="S361" s="68"/>
      <c r="T361" s="68"/>
      <c r="U361" s="68"/>
      <c r="V361" s="68"/>
      <c r="W361" s="68"/>
      <c r="X361" s="68"/>
      <c r="Y361" s="68"/>
      <c r="Z361" s="68"/>
    </row>
    <row r="362">
      <c r="A362" s="68"/>
      <c r="B362" s="68"/>
      <c r="C362" s="68"/>
      <c r="D362" s="68"/>
      <c r="E362" s="68"/>
      <c r="F362" s="68"/>
      <c r="G362" s="68"/>
      <c r="H362" s="68"/>
      <c r="I362" s="68"/>
      <c r="J362" s="68"/>
      <c r="K362" s="68"/>
      <c r="L362" s="68"/>
      <c r="M362" s="68"/>
      <c r="N362" s="68"/>
      <c r="O362" s="68"/>
      <c r="P362" s="68"/>
      <c r="Q362" s="68"/>
      <c r="R362" s="68"/>
      <c r="S362" s="68"/>
      <c r="T362" s="68"/>
      <c r="U362" s="68"/>
      <c r="V362" s="68"/>
      <c r="W362" s="68"/>
      <c r="X362" s="68"/>
      <c r="Y362" s="68"/>
      <c r="Z362" s="68"/>
    </row>
    <row r="363">
      <c r="A363" s="68"/>
      <c r="B363" s="68"/>
      <c r="C363" s="68"/>
      <c r="D363" s="68"/>
      <c r="E363" s="68"/>
      <c r="F363" s="68"/>
      <c r="G363" s="68"/>
      <c r="H363" s="68"/>
      <c r="I363" s="68"/>
      <c r="J363" s="68"/>
      <c r="K363" s="68"/>
      <c r="L363" s="68"/>
      <c r="M363" s="68"/>
      <c r="N363" s="68"/>
      <c r="O363" s="68"/>
      <c r="P363" s="68"/>
      <c r="Q363" s="68"/>
      <c r="R363" s="68"/>
      <c r="S363" s="68"/>
      <c r="T363" s="68"/>
      <c r="U363" s="68"/>
      <c r="V363" s="68"/>
      <c r="W363" s="68"/>
      <c r="X363" s="68"/>
      <c r="Y363" s="68"/>
      <c r="Z363" s="68"/>
    </row>
    <row r="364">
      <c r="A364" s="68"/>
      <c r="B364" s="68"/>
      <c r="C364" s="68"/>
      <c r="D364" s="68"/>
      <c r="E364" s="68"/>
      <c r="F364" s="68"/>
      <c r="G364" s="68"/>
      <c r="H364" s="68"/>
      <c r="I364" s="68"/>
      <c r="J364" s="68"/>
      <c r="K364" s="68"/>
      <c r="L364" s="68"/>
      <c r="M364" s="68"/>
      <c r="N364" s="68"/>
      <c r="O364" s="68"/>
      <c r="P364" s="68"/>
      <c r="Q364" s="68"/>
      <c r="R364" s="68"/>
      <c r="S364" s="68"/>
      <c r="T364" s="68"/>
      <c r="U364" s="68"/>
      <c r="V364" s="68"/>
      <c r="W364" s="68"/>
      <c r="X364" s="68"/>
      <c r="Y364" s="68"/>
      <c r="Z364" s="68"/>
    </row>
    <row r="365">
      <c r="A365" s="68"/>
      <c r="B365" s="68"/>
      <c r="C365" s="68"/>
      <c r="D365" s="68"/>
      <c r="E365" s="68"/>
      <c r="F365" s="68"/>
      <c r="G365" s="68"/>
      <c r="H365" s="68"/>
      <c r="I365" s="68"/>
      <c r="J365" s="68"/>
      <c r="K365" s="68"/>
      <c r="L365" s="68"/>
      <c r="M365" s="68"/>
      <c r="N365" s="68"/>
      <c r="O365" s="68"/>
      <c r="P365" s="68"/>
      <c r="Q365" s="68"/>
      <c r="R365" s="68"/>
      <c r="S365" s="68"/>
      <c r="T365" s="68"/>
      <c r="U365" s="68"/>
      <c r="V365" s="68"/>
      <c r="W365" s="68"/>
      <c r="X365" s="68"/>
      <c r="Y365" s="68"/>
      <c r="Z365" s="68"/>
    </row>
    <row r="366">
      <c r="A366" s="68"/>
      <c r="B366" s="68"/>
      <c r="C366" s="68"/>
      <c r="D366" s="68"/>
      <c r="E366" s="68"/>
      <c r="F366" s="68"/>
      <c r="G366" s="68"/>
      <c r="H366" s="68"/>
      <c r="I366" s="68"/>
      <c r="J366" s="68"/>
      <c r="K366" s="68"/>
      <c r="L366" s="68"/>
      <c r="M366" s="68"/>
      <c r="N366" s="68"/>
      <c r="O366" s="68"/>
      <c r="P366" s="68"/>
      <c r="Q366" s="68"/>
      <c r="R366" s="68"/>
      <c r="S366" s="68"/>
      <c r="T366" s="68"/>
      <c r="U366" s="68"/>
      <c r="V366" s="68"/>
      <c r="W366" s="68"/>
      <c r="X366" s="68"/>
      <c r="Y366" s="68"/>
      <c r="Z366" s="68"/>
    </row>
    <row r="367">
      <c r="A367" s="68"/>
      <c r="B367" s="68"/>
      <c r="C367" s="68"/>
      <c r="D367" s="68"/>
      <c r="E367" s="68"/>
      <c r="F367" s="68"/>
      <c r="G367" s="68"/>
      <c r="H367" s="68"/>
      <c r="I367" s="68"/>
      <c r="J367" s="68"/>
      <c r="K367" s="68"/>
      <c r="L367" s="68"/>
      <c r="M367" s="68"/>
      <c r="N367" s="68"/>
      <c r="O367" s="68"/>
      <c r="P367" s="68"/>
      <c r="Q367" s="68"/>
      <c r="R367" s="68"/>
      <c r="S367" s="68"/>
      <c r="T367" s="68"/>
      <c r="U367" s="68"/>
      <c r="V367" s="68"/>
      <c r="W367" s="68"/>
      <c r="X367" s="68"/>
      <c r="Y367" s="68"/>
      <c r="Z367" s="68"/>
    </row>
    <row r="368">
      <c r="A368" s="68"/>
      <c r="B368" s="68"/>
      <c r="C368" s="68"/>
      <c r="D368" s="68"/>
      <c r="E368" s="68"/>
      <c r="F368" s="68"/>
      <c r="G368" s="68"/>
      <c r="H368" s="68"/>
      <c r="I368" s="68"/>
      <c r="J368" s="68"/>
      <c r="K368" s="68"/>
      <c r="L368" s="68"/>
      <c r="M368" s="68"/>
      <c r="N368" s="68"/>
      <c r="O368" s="68"/>
      <c r="P368" s="68"/>
      <c r="Q368" s="68"/>
      <c r="R368" s="68"/>
      <c r="S368" s="68"/>
      <c r="T368" s="68"/>
      <c r="U368" s="68"/>
      <c r="V368" s="68"/>
      <c r="W368" s="68"/>
      <c r="X368" s="68"/>
      <c r="Y368" s="68"/>
      <c r="Z368" s="68"/>
    </row>
    <row r="369">
      <c r="A369" s="68"/>
      <c r="B369" s="68"/>
      <c r="C369" s="68"/>
      <c r="D369" s="68"/>
      <c r="E369" s="68"/>
      <c r="F369" s="68"/>
      <c r="G369" s="68"/>
      <c r="H369" s="68"/>
      <c r="I369" s="68"/>
      <c r="J369" s="68"/>
      <c r="K369" s="68"/>
      <c r="L369" s="68"/>
      <c r="M369" s="68"/>
      <c r="N369" s="68"/>
      <c r="O369" s="68"/>
      <c r="P369" s="68"/>
      <c r="Q369" s="68"/>
      <c r="R369" s="68"/>
      <c r="S369" s="68"/>
      <c r="T369" s="68"/>
      <c r="U369" s="68"/>
      <c r="V369" s="68"/>
      <c r="W369" s="68"/>
      <c r="X369" s="68"/>
      <c r="Y369" s="68"/>
      <c r="Z369" s="68"/>
    </row>
    <row r="370">
      <c r="A370" s="68"/>
      <c r="B370" s="68"/>
      <c r="C370" s="68"/>
      <c r="D370" s="68"/>
      <c r="E370" s="68"/>
      <c r="F370" s="68"/>
      <c r="G370" s="68"/>
      <c r="H370" s="68"/>
      <c r="I370" s="68"/>
      <c r="J370" s="68"/>
      <c r="K370" s="68"/>
      <c r="L370" s="68"/>
      <c r="M370" s="68"/>
      <c r="N370" s="68"/>
      <c r="O370" s="68"/>
      <c r="P370" s="68"/>
      <c r="Q370" s="68"/>
      <c r="R370" s="68"/>
      <c r="S370" s="68"/>
      <c r="T370" s="68"/>
      <c r="U370" s="68"/>
      <c r="V370" s="68"/>
      <c r="W370" s="68"/>
      <c r="X370" s="68"/>
      <c r="Y370" s="68"/>
      <c r="Z370" s="68"/>
    </row>
    <row r="371">
      <c r="A371" s="68"/>
      <c r="B371" s="68"/>
      <c r="C371" s="68"/>
      <c r="D371" s="68"/>
      <c r="E371" s="68"/>
      <c r="F371" s="68"/>
      <c r="G371" s="68"/>
      <c r="H371" s="68"/>
      <c r="I371" s="68"/>
      <c r="J371" s="68"/>
      <c r="K371" s="68"/>
      <c r="L371" s="68"/>
      <c r="M371" s="68"/>
      <c r="N371" s="68"/>
      <c r="O371" s="68"/>
      <c r="P371" s="68"/>
      <c r="Q371" s="68"/>
      <c r="R371" s="68"/>
      <c r="S371" s="68"/>
      <c r="T371" s="68"/>
      <c r="U371" s="68"/>
      <c r="V371" s="68"/>
      <c r="W371" s="68"/>
      <c r="X371" s="68"/>
      <c r="Y371" s="68"/>
      <c r="Z371" s="68"/>
    </row>
    <row r="372">
      <c r="A372" s="68"/>
      <c r="B372" s="68"/>
      <c r="C372" s="68"/>
      <c r="D372" s="68"/>
      <c r="E372" s="68"/>
      <c r="F372" s="68"/>
      <c r="G372" s="68"/>
      <c r="H372" s="68"/>
      <c r="I372" s="68"/>
      <c r="J372" s="68"/>
      <c r="K372" s="68"/>
      <c r="L372" s="68"/>
      <c r="M372" s="68"/>
      <c r="N372" s="68"/>
      <c r="O372" s="68"/>
      <c r="P372" s="68"/>
      <c r="Q372" s="68"/>
      <c r="R372" s="68"/>
      <c r="S372" s="68"/>
      <c r="T372" s="68"/>
      <c r="U372" s="68"/>
      <c r="V372" s="68"/>
      <c r="W372" s="68"/>
      <c r="X372" s="68"/>
      <c r="Y372" s="68"/>
      <c r="Z372" s="68"/>
    </row>
    <row r="373">
      <c r="A373" s="68"/>
      <c r="B373" s="68"/>
      <c r="C373" s="68"/>
      <c r="D373" s="68"/>
      <c r="E373" s="68"/>
      <c r="F373" s="68"/>
      <c r="G373" s="68"/>
      <c r="H373" s="68"/>
      <c r="I373" s="68"/>
      <c r="J373" s="68"/>
      <c r="K373" s="68"/>
      <c r="L373" s="68"/>
      <c r="M373" s="68"/>
      <c r="N373" s="68"/>
      <c r="O373" s="68"/>
      <c r="P373" s="68"/>
      <c r="Q373" s="68"/>
      <c r="R373" s="68"/>
      <c r="S373" s="68"/>
      <c r="T373" s="68"/>
      <c r="U373" s="68"/>
      <c r="V373" s="68"/>
      <c r="W373" s="68"/>
      <c r="X373" s="68"/>
      <c r="Y373" s="68"/>
      <c r="Z373" s="68"/>
    </row>
    <row r="374">
      <c r="A374" s="68"/>
      <c r="B374" s="68"/>
      <c r="C374" s="68"/>
      <c r="D374" s="68"/>
      <c r="E374" s="68"/>
      <c r="F374" s="68"/>
      <c r="G374" s="68"/>
      <c r="H374" s="68"/>
      <c r="I374" s="68"/>
      <c r="J374" s="68"/>
      <c r="K374" s="68"/>
      <c r="L374" s="68"/>
      <c r="M374" s="68"/>
      <c r="N374" s="68"/>
      <c r="O374" s="68"/>
      <c r="P374" s="68"/>
      <c r="Q374" s="68"/>
      <c r="R374" s="68"/>
      <c r="S374" s="68"/>
      <c r="T374" s="68"/>
      <c r="U374" s="68"/>
      <c r="V374" s="68"/>
      <c r="W374" s="68"/>
      <c r="X374" s="68"/>
      <c r="Y374" s="68"/>
      <c r="Z374" s="68"/>
    </row>
    <row r="375">
      <c r="A375" s="68"/>
      <c r="B375" s="68"/>
      <c r="C375" s="68"/>
      <c r="D375" s="68"/>
      <c r="E375" s="68"/>
      <c r="F375" s="68"/>
      <c r="G375" s="68"/>
      <c r="H375" s="68"/>
      <c r="I375" s="68"/>
      <c r="J375" s="68"/>
      <c r="K375" s="68"/>
      <c r="L375" s="68"/>
      <c r="M375" s="68"/>
      <c r="N375" s="68"/>
      <c r="O375" s="68"/>
      <c r="P375" s="68"/>
      <c r="Q375" s="68"/>
      <c r="R375" s="68"/>
      <c r="S375" s="68"/>
      <c r="T375" s="68"/>
      <c r="U375" s="68"/>
      <c r="V375" s="68"/>
      <c r="W375" s="68"/>
      <c r="X375" s="68"/>
      <c r="Y375" s="68"/>
      <c r="Z375" s="68"/>
    </row>
    <row r="376">
      <c r="A376" s="68"/>
      <c r="B376" s="68"/>
      <c r="C376" s="68"/>
      <c r="D376" s="68"/>
      <c r="E376" s="68"/>
      <c r="F376" s="68"/>
      <c r="G376" s="68"/>
      <c r="H376" s="68"/>
      <c r="I376" s="68"/>
      <c r="J376" s="68"/>
      <c r="K376" s="68"/>
      <c r="L376" s="68"/>
      <c r="M376" s="68"/>
      <c r="N376" s="68"/>
      <c r="O376" s="68"/>
      <c r="P376" s="68"/>
      <c r="Q376" s="68"/>
      <c r="R376" s="68"/>
      <c r="S376" s="68"/>
      <c r="T376" s="68"/>
      <c r="U376" s="68"/>
      <c r="V376" s="68"/>
      <c r="W376" s="68"/>
      <c r="X376" s="68"/>
      <c r="Y376" s="68"/>
      <c r="Z376" s="68"/>
    </row>
    <row r="377">
      <c r="A377" s="68"/>
      <c r="B377" s="68"/>
      <c r="C377" s="68"/>
      <c r="D377" s="68"/>
      <c r="E377" s="68"/>
      <c r="F377" s="68"/>
      <c r="G377" s="68"/>
      <c r="H377" s="68"/>
      <c r="I377" s="68"/>
      <c r="J377" s="68"/>
      <c r="K377" s="68"/>
      <c r="L377" s="68"/>
      <c r="M377" s="68"/>
      <c r="N377" s="68"/>
      <c r="O377" s="68"/>
      <c r="P377" s="68"/>
      <c r="Q377" s="68"/>
      <c r="R377" s="68"/>
      <c r="S377" s="68"/>
      <c r="T377" s="68"/>
      <c r="U377" s="68"/>
      <c r="V377" s="68"/>
      <c r="W377" s="68"/>
      <c r="X377" s="68"/>
      <c r="Y377" s="68"/>
      <c r="Z377" s="68"/>
    </row>
    <row r="378">
      <c r="A378" s="68"/>
      <c r="B378" s="68"/>
      <c r="C378" s="68"/>
      <c r="D378" s="68"/>
      <c r="E378" s="68"/>
      <c r="F378" s="68"/>
      <c r="G378" s="68"/>
      <c r="H378" s="68"/>
      <c r="I378" s="68"/>
      <c r="J378" s="68"/>
      <c r="K378" s="68"/>
      <c r="L378" s="68"/>
      <c r="M378" s="68"/>
      <c r="N378" s="68"/>
      <c r="O378" s="68"/>
      <c r="P378" s="68"/>
      <c r="Q378" s="68"/>
      <c r="R378" s="68"/>
      <c r="S378" s="68"/>
      <c r="T378" s="68"/>
      <c r="U378" s="68"/>
      <c r="V378" s="68"/>
      <c r="W378" s="68"/>
      <c r="X378" s="68"/>
      <c r="Y378" s="68"/>
      <c r="Z378" s="68"/>
    </row>
    <row r="379">
      <c r="A379" s="68"/>
      <c r="B379" s="68"/>
      <c r="C379" s="68"/>
      <c r="D379" s="68"/>
      <c r="E379" s="68"/>
      <c r="F379" s="68"/>
      <c r="G379" s="68"/>
      <c r="H379" s="68"/>
      <c r="I379" s="68"/>
      <c r="J379" s="68"/>
      <c r="K379" s="68"/>
      <c r="L379" s="68"/>
      <c r="M379" s="68"/>
      <c r="N379" s="68"/>
      <c r="O379" s="68"/>
      <c r="P379" s="68"/>
      <c r="Q379" s="68"/>
      <c r="R379" s="68"/>
      <c r="S379" s="68"/>
      <c r="T379" s="68"/>
      <c r="U379" s="68"/>
      <c r="V379" s="68"/>
      <c r="W379" s="68"/>
      <c r="X379" s="68"/>
      <c r="Y379" s="68"/>
      <c r="Z379" s="68"/>
    </row>
    <row r="380">
      <c r="A380" s="68"/>
      <c r="B380" s="68"/>
      <c r="C380" s="68"/>
      <c r="D380" s="68"/>
      <c r="E380" s="68"/>
      <c r="F380" s="68"/>
      <c r="G380" s="68"/>
      <c r="H380" s="68"/>
      <c r="I380" s="68"/>
      <c r="J380" s="68"/>
      <c r="K380" s="68"/>
      <c r="L380" s="68"/>
      <c r="M380" s="68"/>
      <c r="N380" s="68"/>
      <c r="O380" s="68"/>
      <c r="P380" s="68"/>
      <c r="Q380" s="68"/>
      <c r="R380" s="68"/>
      <c r="S380" s="68"/>
      <c r="T380" s="68"/>
      <c r="U380" s="68"/>
      <c r="V380" s="68"/>
      <c r="W380" s="68"/>
      <c r="X380" s="68"/>
      <c r="Y380" s="68"/>
      <c r="Z380" s="68"/>
    </row>
    <row r="381">
      <c r="A381" s="68"/>
      <c r="B381" s="68"/>
      <c r="C381" s="68"/>
      <c r="D381" s="68"/>
      <c r="E381" s="68"/>
      <c r="F381" s="68"/>
      <c r="G381" s="68"/>
      <c r="H381" s="68"/>
      <c r="I381" s="68"/>
      <c r="J381" s="68"/>
      <c r="K381" s="68"/>
      <c r="L381" s="68"/>
      <c r="M381" s="68"/>
      <c r="N381" s="68"/>
      <c r="O381" s="68"/>
      <c r="P381" s="68"/>
      <c r="Q381" s="68"/>
      <c r="R381" s="68"/>
      <c r="S381" s="68"/>
      <c r="T381" s="68"/>
      <c r="U381" s="68"/>
      <c r="V381" s="68"/>
      <c r="W381" s="68"/>
      <c r="X381" s="68"/>
      <c r="Y381" s="68"/>
      <c r="Z381" s="68"/>
    </row>
    <row r="382">
      <c r="A382" s="68"/>
      <c r="B382" s="68"/>
      <c r="C382" s="68"/>
      <c r="D382" s="68"/>
      <c r="E382" s="68"/>
      <c r="F382" s="68"/>
      <c r="G382" s="68"/>
      <c r="H382" s="68"/>
      <c r="I382" s="68"/>
      <c r="J382" s="68"/>
      <c r="K382" s="68"/>
      <c r="L382" s="68"/>
      <c r="M382" s="68"/>
      <c r="N382" s="68"/>
      <c r="O382" s="68"/>
      <c r="P382" s="68"/>
      <c r="Q382" s="68"/>
      <c r="R382" s="68"/>
      <c r="S382" s="68"/>
      <c r="T382" s="68"/>
      <c r="U382" s="68"/>
      <c r="V382" s="68"/>
      <c r="W382" s="68"/>
      <c r="X382" s="68"/>
      <c r="Y382" s="68"/>
      <c r="Z382" s="68"/>
    </row>
    <row r="383">
      <c r="A383" s="68"/>
      <c r="B383" s="68"/>
      <c r="C383" s="68"/>
      <c r="D383" s="68"/>
      <c r="E383" s="68"/>
      <c r="F383" s="68"/>
      <c r="G383" s="68"/>
      <c r="H383" s="68"/>
      <c r="I383" s="68"/>
      <c r="J383" s="68"/>
      <c r="K383" s="68"/>
      <c r="L383" s="68"/>
      <c r="M383" s="68"/>
      <c r="N383" s="68"/>
      <c r="O383" s="68"/>
      <c r="P383" s="68"/>
      <c r="Q383" s="68"/>
      <c r="R383" s="68"/>
      <c r="S383" s="68"/>
      <c r="T383" s="68"/>
      <c r="U383" s="68"/>
      <c r="V383" s="68"/>
      <c r="W383" s="68"/>
      <c r="X383" s="68"/>
      <c r="Y383" s="68"/>
      <c r="Z383" s="68"/>
    </row>
    <row r="384">
      <c r="A384" s="68"/>
      <c r="B384" s="68"/>
      <c r="C384" s="68"/>
      <c r="D384" s="68"/>
      <c r="E384" s="68"/>
      <c r="F384" s="68"/>
      <c r="G384" s="68"/>
      <c r="H384" s="68"/>
      <c r="I384" s="68"/>
      <c r="J384" s="68"/>
      <c r="K384" s="68"/>
      <c r="L384" s="68"/>
      <c r="M384" s="68"/>
      <c r="N384" s="68"/>
      <c r="O384" s="68"/>
      <c r="P384" s="68"/>
      <c r="Q384" s="68"/>
      <c r="R384" s="68"/>
      <c r="S384" s="68"/>
      <c r="T384" s="68"/>
      <c r="U384" s="68"/>
      <c r="V384" s="68"/>
      <c r="W384" s="68"/>
      <c r="X384" s="68"/>
      <c r="Y384" s="68"/>
      <c r="Z384" s="68"/>
    </row>
    <row r="385">
      <c r="A385" s="68"/>
      <c r="B385" s="68"/>
      <c r="C385" s="68"/>
      <c r="D385" s="68"/>
      <c r="E385" s="68"/>
      <c r="F385" s="68"/>
      <c r="G385" s="68"/>
      <c r="H385" s="68"/>
      <c r="I385" s="68"/>
      <c r="J385" s="68"/>
      <c r="K385" s="68"/>
      <c r="L385" s="68"/>
      <c r="M385" s="68"/>
      <c r="N385" s="68"/>
      <c r="O385" s="68"/>
      <c r="P385" s="68"/>
      <c r="Q385" s="68"/>
      <c r="R385" s="68"/>
      <c r="S385" s="68"/>
      <c r="T385" s="68"/>
      <c r="U385" s="68"/>
      <c r="V385" s="68"/>
      <c r="W385" s="68"/>
      <c r="X385" s="68"/>
      <c r="Y385" s="68"/>
      <c r="Z385" s="68"/>
    </row>
    <row r="386">
      <c r="A386" s="68"/>
      <c r="B386" s="68"/>
      <c r="C386" s="68"/>
      <c r="D386" s="68"/>
      <c r="E386" s="68"/>
      <c r="F386" s="68"/>
      <c r="G386" s="68"/>
      <c r="H386" s="68"/>
      <c r="I386" s="68"/>
      <c r="J386" s="68"/>
      <c r="K386" s="68"/>
      <c r="L386" s="68"/>
      <c r="M386" s="68"/>
      <c r="N386" s="68"/>
      <c r="O386" s="68"/>
      <c r="P386" s="68"/>
      <c r="Q386" s="68"/>
      <c r="R386" s="68"/>
      <c r="S386" s="68"/>
      <c r="T386" s="68"/>
      <c r="U386" s="68"/>
      <c r="V386" s="68"/>
      <c r="W386" s="68"/>
      <c r="X386" s="68"/>
      <c r="Y386" s="68"/>
      <c r="Z386" s="68"/>
    </row>
    <row r="387">
      <c r="A387" s="68"/>
      <c r="B387" s="68"/>
      <c r="C387" s="68"/>
      <c r="D387" s="68"/>
      <c r="E387" s="68"/>
      <c r="F387" s="68"/>
      <c r="G387" s="68"/>
      <c r="H387" s="68"/>
      <c r="I387" s="68"/>
      <c r="J387" s="68"/>
      <c r="K387" s="68"/>
      <c r="L387" s="68"/>
      <c r="M387" s="68"/>
      <c r="N387" s="68"/>
      <c r="O387" s="68"/>
      <c r="P387" s="68"/>
      <c r="Q387" s="68"/>
      <c r="R387" s="68"/>
      <c r="S387" s="68"/>
      <c r="T387" s="68"/>
      <c r="U387" s="68"/>
      <c r="V387" s="68"/>
      <c r="W387" s="68"/>
      <c r="X387" s="68"/>
      <c r="Y387" s="68"/>
      <c r="Z387" s="68"/>
    </row>
    <row r="388">
      <c r="A388" s="68"/>
      <c r="B388" s="68"/>
      <c r="C388" s="68"/>
      <c r="D388" s="68"/>
      <c r="E388" s="68"/>
      <c r="F388" s="68"/>
      <c r="G388" s="68"/>
      <c r="H388" s="68"/>
      <c r="I388" s="68"/>
      <c r="J388" s="68"/>
      <c r="K388" s="68"/>
      <c r="L388" s="68"/>
      <c r="M388" s="68"/>
      <c r="N388" s="68"/>
      <c r="O388" s="68"/>
      <c r="P388" s="68"/>
      <c r="Q388" s="68"/>
      <c r="R388" s="68"/>
      <c r="S388" s="68"/>
      <c r="T388" s="68"/>
      <c r="U388" s="68"/>
      <c r="V388" s="68"/>
      <c r="W388" s="68"/>
      <c r="X388" s="68"/>
      <c r="Y388" s="68"/>
      <c r="Z388" s="68"/>
    </row>
    <row r="389">
      <c r="A389" s="68"/>
      <c r="B389" s="68"/>
      <c r="C389" s="68"/>
      <c r="D389" s="68"/>
      <c r="E389" s="68"/>
      <c r="F389" s="68"/>
      <c r="G389" s="68"/>
      <c r="H389" s="68"/>
      <c r="I389" s="68"/>
      <c r="J389" s="68"/>
      <c r="K389" s="68"/>
      <c r="L389" s="68"/>
      <c r="M389" s="68"/>
      <c r="N389" s="68"/>
      <c r="O389" s="68"/>
      <c r="P389" s="68"/>
      <c r="Q389" s="68"/>
      <c r="R389" s="68"/>
      <c r="S389" s="68"/>
      <c r="T389" s="68"/>
      <c r="U389" s="68"/>
      <c r="V389" s="68"/>
      <c r="W389" s="68"/>
      <c r="X389" s="68"/>
      <c r="Y389" s="68"/>
      <c r="Z389" s="68"/>
    </row>
    <row r="390">
      <c r="A390" s="68"/>
      <c r="B390" s="68"/>
      <c r="C390" s="68"/>
      <c r="D390" s="68"/>
      <c r="E390" s="68"/>
      <c r="F390" s="68"/>
      <c r="G390" s="68"/>
      <c r="H390" s="68"/>
      <c r="I390" s="68"/>
      <c r="J390" s="68"/>
      <c r="K390" s="68"/>
      <c r="L390" s="68"/>
      <c r="M390" s="68"/>
      <c r="N390" s="68"/>
      <c r="O390" s="68"/>
      <c r="P390" s="68"/>
      <c r="Q390" s="68"/>
      <c r="R390" s="68"/>
      <c r="S390" s="68"/>
      <c r="T390" s="68"/>
      <c r="U390" s="68"/>
      <c r="V390" s="68"/>
      <c r="W390" s="68"/>
      <c r="X390" s="68"/>
      <c r="Y390" s="68"/>
      <c r="Z390" s="68"/>
    </row>
    <row r="391">
      <c r="A391" s="68"/>
      <c r="B391" s="68"/>
      <c r="C391" s="68"/>
      <c r="D391" s="68"/>
      <c r="E391" s="68"/>
      <c r="F391" s="68"/>
      <c r="G391" s="68"/>
      <c r="H391" s="68"/>
      <c r="I391" s="68"/>
      <c r="J391" s="68"/>
      <c r="K391" s="68"/>
      <c r="L391" s="68"/>
      <c r="M391" s="68"/>
      <c r="N391" s="68"/>
      <c r="O391" s="68"/>
      <c r="P391" s="68"/>
      <c r="Q391" s="68"/>
      <c r="R391" s="68"/>
      <c r="S391" s="68"/>
      <c r="T391" s="68"/>
      <c r="U391" s="68"/>
      <c r="V391" s="68"/>
      <c r="W391" s="68"/>
      <c r="X391" s="68"/>
      <c r="Y391" s="68"/>
      <c r="Z391" s="68"/>
    </row>
    <row r="392">
      <c r="A392" s="68"/>
      <c r="B392" s="68"/>
      <c r="C392" s="68"/>
      <c r="D392" s="68"/>
      <c r="E392" s="68"/>
      <c r="F392" s="68"/>
      <c r="G392" s="68"/>
      <c r="H392" s="68"/>
      <c r="I392" s="68"/>
      <c r="J392" s="68"/>
      <c r="K392" s="68"/>
      <c r="L392" s="68"/>
      <c r="M392" s="68"/>
      <c r="N392" s="68"/>
      <c r="O392" s="68"/>
      <c r="P392" s="68"/>
      <c r="Q392" s="68"/>
      <c r="R392" s="68"/>
      <c r="S392" s="68"/>
      <c r="T392" s="68"/>
      <c r="U392" s="68"/>
      <c r="V392" s="68"/>
      <c r="W392" s="68"/>
      <c r="X392" s="68"/>
      <c r="Y392" s="68"/>
      <c r="Z392" s="68"/>
    </row>
    <row r="393">
      <c r="A393" s="68"/>
      <c r="B393" s="68"/>
      <c r="C393" s="68"/>
      <c r="D393" s="68"/>
      <c r="E393" s="68"/>
      <c r="F393" s="68"/>
      <c r="G393" s="68"/>
      <c r="H393" s="68"/>
      <c r="I393" s="68"/>
      <c r="J393" s="68"/>
      <c r="K393" s="68"/>
      <c r="L393" s="68"/>
      <c r="M393" s="68"/>
      <c r="N393" s="68"/>
      <c r="O393" s="68"/>
      <c r="P393" s="68"/>
      <c r="Q393" s="68"/>
      <c r="R393" s="68"/>
      <c r="S393" s="68"/>
      <c r="T393" s="68"/>
      <c r="U393" s="68"/>
      <c r="V393" s="68"/>
      <c r="W393" s="68"/>
      <c r="X393" s="68"/>
      <c r="Y393" s="68"/>
      <c r="Z393" s="68"/>
    </row>
    <row r="394">
      <c r="A394" s="68"/>
      <c r="B394" s="68"/>
      <c r="C394" s="68"/>
      <c r="D394" s="68"/>
      <c r="E394" s="68"/>
      <c r="F394" s="68"/>
      <c r="G394" s="68"/>
      <c r="H394" s="68"/>
      <c r="I394" s="68"/>
      <c r="J394" s="68"/>
      <c r="K394" s="68"/>
      <c r="L394" s="68"/>
      <c r="M394" s="68"/>
      <c r="N394" s="68"/>
      <c r="O394" s="68"/>
      <c r="P394" s="68"/>
      <c r="Q394" s="68"/>
      <c r="R394" s="68"/>
      <c r="S394" s="68"/>
      <c r="T394" s="68"/>
      <c r="U394" s="68"/>
      <c r="V394" s="68"/>
      <c r="W394" s="68"/>
      <c r="X394" s="68"/>
      <c r="Y394" s="68"/>
      <c r="Z394" s="68"/>
    </row>
    <row r="395">
      <c r="A395" s="68"/>
      <c r="B395" s="68"/>
      <c r="C395" s="68"/>
      <c r="D395" s="68"/>
      <c r="E395" s="68"/>
      <c r="F395" s="68"/>
      <c r="G395" s="68"/>
      <c r="H395" s="68"/>
      <c r="I395" s="68"/>
      <c r="J395" s="68"/>
      <c r="K395" s="68"/>
      <c r="L395" s="68"/>
      <c r="M395" s="68"/>
      <c r="N395" s="68"/>
      <c r="O395" s="68"/>
      <c r="P395" s="68"/>
      <c r="Q395" s="68"/>
      <c r="R395" s="68"/>
      <c r="S395" s="68"/>
      <c r="T395" s="68"/>
      <c r="U395" s="68"/>
      <c r="V395" s="68"/>
      <c r="W395" s="68"/>
      <c r="X395" s="68"/>
      <c r="Y395" s="68"/>
      <c r="Z395" s="68"/>
    </row>
    <row r="396">
      <c r="A396" s="68"/>
      <c r="B396" s="68"/>
      <c r="C396" s="68"/>
      <c r="D396" s="68"/>
      <c r="E396" s="68"/>
      <c r="F396" s="68"/>
      <c r="G396" s="68"/>
      <c r="H396" s="68"/>
      <c r="I396" s="68"/>
      <c r="J396" s="68"/>
      <c r="K396" s="68"/>
      <c r="L396" s="68"/>
      <c r="M396" s="68"/>
      <c r="N396" s="68"/>
      <c r="O396" s="68"/>
      <c r="P396" s="68"/>
      <c r="Q396" s="68"/>
      <c r="R396" s="68"/>
      <c r="S396" s="68"/>
      <c r="T396" s="68"/>
      <c r="U396" s="68"/>
      <c r="V396" s="68"/>
      <c r="W396" s="68"/>
      <c r="X396" s="68"/>
      <c r="Y396" s="68"/>
      <c r="Z396" s="68"/>
    </row>
    <row r="397">
      <c r="A397" s="68"/>
      <c r="B397" s="68"/>
      <c r="C397" s="68"/>
      <c r="D397" s="68"/>
      <c r="E397" s="68"/>
      <c r="F397" s="68"/>
      <c r="G397" s="68"/>
      <c r="H397" s="68"/>
      <c r="I397" s="68"/>
      <c r="J397" s="68"/>
      <c r="K397" s="68"/>
      <c r="L397" s="68"/>
      <c r="M397" s="68"/>
      <c r="N397" s="68"/>
      <c r="O397" s="68"/>
      <c r="P397" s="68"/>
      <c r="Q397" s="68"/>
      <c r="R397" s="68"/>
      <c r="S397" s="68"/>
      <c r="T397" s="68"/>
      <c r="U397" s="68"/>
      <c r="V397" s="68"/>
      <c r="W397" s="68"/>
      <c r="X397" s="68"/>
      <c r="Y397" s="68"/>
      <c r="Z397" s="68"/>
    </row>
    <row r="398">
      <c r="A398" s="68"/>
      <c r="B398" s="68"/>
      <c r="C398" s="68"/>
      <c r="D398" s="68"/>
      <c r="E398" s="68"/>
      <c r="F398" s="68"/>
      <c r="G398" s="68"/>
      <c r="H398" s="68"/>
      <c r="I398" s="68"/>
      <c r="J398" s="68"/>
      <c r="K398" s="68"/>
      <c r="L398" s="68"/>
      <c r="M398" s="68"/>
      <c r="N398" s="68"/>
      <c r="O398" s="68"/>
      <c r="P398" s="68"/>
      <c r="Q398" s="68"/>
      <c r="R398" s="68"/>
      <c r="S398" s="68"/>
      <c r="T398" s="68"/>
      <c r="U398" s="68"/>
      <c r="V398" s="68"/>
      <c r="W398" s="68"/>
      <c r="X398" s="68"/>
      <c r="Y398" s="68"/>
      <c r="Z398" s="68"/>
    </row>
    <row r="399">
      <c r="A399" s="68"/>
      <c r="B399" s="68"/>
      <c r="C399" s="68"/>
      <c r="D399" s="68"/>
      <c r="E399" s="68"/>
      <c r="F399" s="68"/>
      <c r="G399" s="68"/>
      <c r="H399" s="68"/>
      <c r="I399" s="68"/>
      <c r="J399" s="68"/>
      <c r="K399" s="68"/>
      <c r="L399" s="68"/>
      <c r="M399" s="68"/>
      <c r="N399" s="68"/>
      <c r="O399" s="68"/>
      <c r="P399" s="68"/>
      <c r="Q399" s="68"/>
      <c r="R399" s="68"/>
      <c r="S399" s="68"/>
      <c r="T399" s="68"/>
      <c r="U399" s="68"/>
      <c r="V399" s="68"/>
      <c r="W399" s="68"/>
      <c r="X399" s="68"/>
      <c r="Y399" s="68"/>
      <c r="Z399" s="68"/>
    </row>
    <row r="400">
      <c r="A400" s="68"/>
      <c r="B400" s="68"/>
      <c r="C400" s="68"/>
      <c r="D400" s="68"/>
      <c r="E400" s="68"/>
      <c r="F400" s="68"/>
      <c r="G400" s="68"/>
      <c r="H400" s="68"/>
      <c r="I400" s="68"/>
      <c r="J400" s="68"/>
      <c r="K400" s="68"/>
      <c r="L400" s="68"/>
      <c r="M400" s="68"/>
      <c r="N400" s="68"/>
      <c r="O400" s="68"/>
      <c r="P400" s="68"/>
      <c r="Q400" s="68"/>
      <c r="R400" s="68"/>
      <c r="S400" s="68"/>
      <c r="T400" s="68"/>
      <c r="U400" s="68"/>
      <c r="V400" s="68"/>
      <c r="W400" s="68"/>
      <c r="X400" s="68"/>
      <c r="Y400" s="68"/>
      <c r="Z400" s="68"/>
    </row>
    <row r="401">
      <c r="A401" s="68"/>
      <c r="B401" s="68"/>
      <c r="C401" s="68"/>
      <c r="D401" s="68"/>
      <c r="E401" s="68"/>
      <c r="F401" s="68"/>
      <c r="G401" s="68"/>
      <c r="H401" s="68"/>
      <c r="I401" s="68"/>
      <c r="J401" s="68"/>
      <c r="K401" s="68"/>
      <c r="L401" s="68"/>
      <c r="M401" s="68"/>
      <c r="N401" s="68"/>
      <c r="O401" s="68"/>
      <c r="P401" s="68"/>
      <c r="Q401" s="68"/>
      <c r="R401" s="68"/>
      <c r="S401" s="68"/>
      <c r="T401" s="68"/>
      <c r="U401" s="68"/>
      <c r="V401" s="68"/>
      <c r="W401" s="68"/>
      <c r="X401" s="68"/>
      <c r="Y401" s="68"/>
      <c r="Z401" s="68"/>
    </row>
    <row r="402">
      <c r="A402" s="68"/>
      <c r="B402" s="68"/>
      <c r="C402" s="68"/>
      <c r="D402" s="68"/>
      <c r="E402" s="68"/>
      <c r="F402" s="68"/>
      <c r="G402" s="68"/>
      <c r="H402" s="68"/>
      <c r="I402" s="68"/>
      <c r="J402" s="68"/>
      <c r="K402" s="68"/>
      <c r="L402" s="68"/>
      <c r="M402" s="68"/>
      <c r="N402" s="68"/>
      <c r="O402" s="68"/>
      <c r="P402" s="68"/>
      <c r="Q402" s="68"/>
      <c r="R402" s="68"/>
      <c r="S402" s="68"/>
      <c r="T402" s="68"/>
      <c r="U402" s="68"/>
      <c r="V402" s="68"/>
      <c r="W402" s="68"/>
      <c r="X402" s="68"/>
      <c r="Y402" s="68"/>
      <c r="Z402" s="68"/>
    </row>
    <row r="403">
      <c r="A403" s="68"/>
      <c r="B403" s="68"/>
      <c r="C403" s="68"/>
      <c r="D403" s="68"/>
      <c r="E403" s="68"/>
      <c r="F403" s="68"/>
      <c r="G403" s="68"/>
      <c r="H403" s="68"/>
      <c r="I403" s="68"/>
      <c r="J403" s="68"/>
      <c r="K403" s="68"/>
      <c r="L403" s="68"/>
      <c r="M403" s="68"/>
      <c r="N403" s="68"/>
      <c r="O403" s="68"/>
      <c r="P403" s="68"/>
      <c r="Q403" s="68"/>
      <c r="R403" s="68"/>
      <c r="S403" s="68"/>
      <c r="T403" s="68"/>
      <c r="U403" s="68"/>
      <c r="V403" s="68"/>
      <c r="W403" s="68"/>
      <c r="X403" s="68"/>
      <c r="Y403" s="68"/>
      <c r="Z403" s="68"/>
    </row>
    <row r="404">
      <c r="A404" s="68"/>
      <c r="B404" s="68"/>
      <c r="C404" s="68"/>
      <c r="D404" s="68"/>
      <c r="E404" s="68"/>
      <c r="F404" s="68"/>
      <c r="G404" s="68"/>
      <c r="H404" s="68"/>
      <c r="I404" s="68"/>
      <c r="J404" s="68"/>
      <c r="K404" s="68"/>
      <c r="L404" s="68"/>
      <c r="M404" s="68"/>
      <c r="N404" s="68"/>
      <c r="O404" s="68"/>
      <c r="P404" s="68"/>
      <c r="Q404" s="68"/>
      <c r="R404" s="68"/>
      <c r="S404" s="68"/>
      <c r="T404" s="68"/>
      <c r="U404" s="68"/>
      <c r="V404" s="68"/>
      <c r="W404" s="68"/>
      <c r="X404" s="68"/>
      <c r="Y404" s="68"/>
      <c r="Z404" s="68"/>
    </row>
    <row r="405">
      <c r="A405" s="68"/>
      <c r="B405" s="68"/>
      <c r="C405" s="68"/>
      <c r="D405" s="68"/>
      <c r="E405" s="68"/>
      <c r="F405" s="68"/>
      <c r="G405" s="68"/>
      <c r="H405" s="68"/>
      <c r="I405" s="68"/>
      <c r="J405" s="68"/>
      <c r="K405" s="68"/>
      <c r="L405" s="68"/>
      <c r="M405" s="68"/>
      <c r="N405" s="68"/>
      <c r="O405" s="68"/>
      <c r="P405" s="68"/>
      <c r="Q405" s="68"/>
      <c r="R405" s="68"/>
      <c r="S405" s="68"/>
      <c r="T405" s="68"/>
      <c r="U405" s="68"/>
      <c r="V405" s="68"/>
      <c r="W405" s="68"/>
      <c r="X405" s="68"/>
      <c r="Y405" s="68"/>
      <c r="Z405" s="68"/>
    </row>
    <row r="406">
      <c r="A406" s="68"/>
      <c r="B406" s="68"/>
      <c r="C406" s="68"/>
      <c r="D406" s="68"/>
      <c r="E406" s="68"/>
      <c r="F406" s="68"/>
      <c r="G406" s="68"/>
      <c r="H406" s="68"/>
      <c r="I406" s="68"/>
      <c r="J406" s="68"/>
      <c r="K406" s="68"/>
      <c r="L406" s="68"/>
      <c r="M406" s="68"/>
      <c r="N406" s="68"/>
      <c r="O406" s="68"/>
      <c r="P406" s="68"/>
      <c r="Q406" s="68"/>
      <c r="R406" s="68"/>
      <c r="S406" s="68"/>
      <c r="T406" s="68"/>
      <c r="U406" s="68"/>
      <c r="V406" s="68"/>
      <c r="W406" s="68"/>
      <c r="X406" s="68"/>
      <c r="Y406" s="68"/>
      <c r="Z406" s="68"/>
    </row>
    <row r="407">
      <c r="A407" s="68"/>
      <c r="B407" s="68"/>
      <c r="C407" s="68"/>
      <c r="D407" s="68"/>
      <c r="E407" s="68"/>
      <c r="F407" s="68"/>
      <c r="G407" s="68"/>
      <c r="H407" s="68"/>
      <c r="I407" s="68"/>
      <c r="J407" s="68"/>
      <c r="K407" s="68"/>
      <c r="L407" s="68"/>
      <c r="M407" s="68"/>
      <c r="N407" s="68"/>
      <c r="O407" s="68"/>
      <c r="P407" s="68"/>
      <c r="Q407" s="68"/>
      <c r="R407" s="68"/>
      <c r="S407" s="68"/>
      <c r="T407" s="68"/>
      <c r="U407" s="68"/>
      <c r="V407" s="68"/>
      <c r="W407" s="68"/>
      <c r="X407" s="68"/>
      <c r="Y407" s="68"/>
      <c r="Z407" s="68"/>
    </row>
    <row r="408">
      <c r="A408" s="68"/>
      <c r="B408" s="68"/>
      <c r="C408" s="68"/>
      <c r="D408" s="68"/>
      <c r="E408" s="68"/>
      <c r="F408" s="68"/>
      <c r="G408" s="68"/>
      <c r="H408" s="68"/>
      <c r="I408" s="68"/>
      <c r="J408" s="68"/>
      <c r="K408" s="68"/>
      <c r="L408" s="68"/>
      <c r="M408" s="68"/>
      <c r="N408" s="68"/>
      <c r="O408" s="68"/>
      <c r="P408" s="68"/>
      <c r="Q408" s="68"/>
      <c r="R408" s="68"/>
      <c r="S408" s="68"/>
      <c r="T408" s="68"/>
      <c r="U408" s="68"/>
      <c r="V408" s="68"/>
      <c r="W408" s="68"/>
      <c r="X408" s="68"/>
      <c r="Y408" s="68"/>
      <c r="Z408" s="68"/>
    </row>
    <row r="409">
      <c r="A409" s="68"/>
      <c r="B409" s="68"/>
      <c r="C409" s="68"/>
      <c r="D409" s="68"/>
      <c r="E409" s="68"/>
      <c r="F409" s="68"/>
      <c r="G409" s="68"/>
      <c r="H409" s="68"/>
      <c r="I409" s="68"/>
      <c r="J409" s="68"/>
      <c r="K409" s="68"/>
      <c r="L409" s="68"/>
      <c r="M409" s="68"/>
      <c r="N409" s="68"/>
      <c r="O409" s="68"/>
      <c r="P409" s="68"/>
      <c r="Q409" s="68"/>
      <c r="R409" s="68"/>
      <c r="S409" s="68"/>
      <c r="T409" s="68"/>
      <c r="U409" s="68"/>
      <c r="V409" s="68"/>
      <c r="W409" s="68"/>
      <c r="X409" s="68"/>
      <c r="Y409" s="68"/>
      <c r="Z409" s="68"/>
    </row>
    <row r="410">
      <c r="A410" s="68"/>
      <c r="B410" s="68"/>
      <c r="C410" s="68"/>
      <c r="D410" s="68"/>
      <c r="E410" s="68"/>
      <c r="F410" s="68"/>
      <c r="G410" s="68"/>
      <c r="H410" s="68"/>
      <c r="I410" s="68"/>
      <c r="J410" s="68"/>
      <c r="K410" s="68"/>
      <c r="L410" s="68"/>
      <c r="M410" s="68"/>
      <c r="N410" s="68"/>
      <c r="O410" s="68"/>
      <c r="P410" s="68"/>
      <c r="Q410" s="68"/>
      <c r="R410" s="68"/>
      <c r="S410" s="68"/>
      <c r="T410" s="68"/>
      <c r="U410" s="68"/>
      <c r="V410" s="68"/>
      <c r="W410" s="68"/>
      <c r="X410" s="68"/>
      <c r="Y410" s="68"/>
      <c r="Z410" s="68"/>
    </row>
    <row r="411">
      <c r="A411" s="68"/>
      <c r="B411" s="68"/>
      <c r="C411" s="68"/>
      <c r="D411" s="68"/>
      <c r="E411" s="68"/>
      <c r="F411" s="68"/>
      <c r="G411" s="68"/>
      <c r="H411" s="68"/>
      <c r="I411" s="68"/>
      <c r="J411" s="68"/>
      <c r="K411" s="68"/>
      <c r="L411" s="68"/>
      <c r="M411" s="68"/>
      <c r="N411" s="68"/>
      <c r="O411" s="68"/>
      <c r="P411" s="68"/>
      <c r="Q411" s="68"/>
      <c r="R411" s="68"/>
      <c r="S411" s="68"/>
      <c r="T411" s="68"/>
      <c r="U411" s="68"/>
      <c r="V411" s="68"/>
      <c r="W411" s="68"/>
      <c r="X411" s="68"/>
      <c r="Y411" s="68"/>
      <c r="Z411" s="68"/>
    </row>
    <row r="412">
      <c r="A412" s="68"/>
      <c r="B412" s="68"/>
      <c r="C412" s="68"/>
      <c r="D412" s="68"/>
      <c r="E412" s="68"/>
      <c r="F412" s="68"/>
      <c r="G412" s="68"/>
      <c r="H412" s="68"/>
      <c r="I412" s="68"/>
      <c r="J412" s="68"/>
      <c r="K412" s="68"/>
      <c r="L412" s="68"/>
      <c r="M412" s="68"/>
      <c r="N412" s="68"/>
      <c r="O412" s="68"/>
      <c r="P412" s="68"/>
      <c r="Q412" s="68"/>
      <c r="R412" s="68"/>
      <c r="S412" s="68"/>
      <c r="T412" s="68"/>
      <c r="U412" s="68"/>
      <c r="V412" s="68"/>
      <c r="W412" s="68"/>
      <c r="X412" s="68"/>
      <c r="Y412" s="68"/>
      <c r="Z412" s="68"/>
    </row>
    <row r="413">
      <c r="A413" s="68"/>
      <c r="B413" s="68"/>
      <c r="C413" s="68"/>
      <c r="D413" s="68"/>
      <c r="E413" s="68"/>
      <c r="F413" s="68"/>
      <c r="G413" s="68"/>
      <c r="H413" s="68"/>
      <c r="I413" s="68"/>
      <c r="J413" s="68"/>
      <c r="K413" s="68"/>
      <c r="L413" s="68"/>
      <c r="M413" s="68"/>
      <c r="N413" s="68"/>
      <c r="O413" s="68"/>
      <c r="P413" s="68"/>
      <c r="Q413" s="68"/>
      <c r="R413" s="68"/>
      <c r="S413" s="68"/>
      <c r="T413" s="68"/>
      <c r="U413" s="68"/>
      <c r="V413" s="68"/>
      <c r="W413" s="68"/>
      <c r="X413" s="68"/>
      <c r="Y413" s="68"/>
      <c r="Z413" s="68"/>
    </row>
    <row r="414">
      <c r="A414" s="68"/>
      <c r="B414" s="68"/>
      <c r="C414" s="68"/>
      <c r="D414" s="68"/>
      <c r="E414" s="68"/>
      <c r="F414" s="68"/>
      <c r="G414" s="68"/>
      <c r="H414" s="68"/>
      <c r="I414" s="68"/>
      <c r="J414" s="68"/>
      <c r="K414" s="68"/>
      <c r="L414" s="68"/>
      <c r="M414" s="68"/>
      <c r="N414" s="68"/>
      <c r="O414" s="68"/>
      <c r="P414" s="68"/>
      <c r="Q414" s="68"/>
      <c r="R414" s="68"/>
      <c r="S414" s="68"/>
      <c r="T414" s="68"/>
      <c r="U414" s="68"/>
      <c r="V414" s="68"/>
      <c r="W414" s="68"/>
      <c r="X414" s="68"/>
      <c r="Y414" s="68"/>
      <c r="Z414" s="68"/>
    </row>
    <row r="415">
      <c r="A415" s="68"/>
      <c r="B415" s="68"/>
      <c r="C415" s="68"/>
      <c r="D415" s="68"/>
      <c r="E415" s="68"/>
      <c r="F415" s="68"/>
      <c r="G415" s="68"/>
      <c r="H415" s="68"/>
      <c r="I415" s="68"/>
      <c r="J415" s="68"/>
      <c r="K415" s="68"/>
      <c r="L415" s="68"/>
      <c r="M415" s="68"/>
      <c r="N415" s="68"/>
      <c r="O415" s="68"/>
      <c r="P415" s="68"/>
      <c r="Q415" s="68"/>
      <c r="R415" s="68"/>
      <c r="S415" s="68"/>
      <c r="T415" s="68"/>
      <c r="U415" s="68"/>
      <c r="V415" s="68"/>
      <c r="W415" s="68"/>
      <c r="X415" s="68"/>
      <c r="Y415" s="68"/>
      <c r="Z415" s="68"/>
    </row>
    <row r="416">
      <c r="A416" s="68"/>
      <c r="B416" s="68"/>
      <c r="C416" s="68"/>
      <c r="D416" s="68"/>
      <c r="E416" s="68"/>
      <c r="F416" s="68"/>
      <c r="G416" s="68"/>
      <c r="H416" s="68"/>
      <c r="I416" s="68"/>
      <c r="J416" s="68"/>
      <c r="K416" s="68"/>
      <c r="L416" s="68"/>
      <c r="M416" s="68"/>
      <c r="N416" s="68"/>
      <c r="O416" s="68"/>
      <c r="P416" s="68"/>
      <c r="Q416" s="68"/>
      <c r="R416" s="68"/>
      <c r="S416" s="68"/>
      <c r="T416" s="68"/>
      <c r="U416" s="68"/>
      <c r="V416" s="68"/>
      <c r="W416" s="68"/>
      <c r="X416" s="68"/>
      <c r="Y416" s="68"/>
      <c r="Z416" s="68"/>
    </row>
    <row r="417">
      <c r="A417" s="68"/>
      <c r="B417" s="68"/>
      <c r="C417" s="68"/>
      <c r="D417" s="68"/>
      <c r="E417" s="68"/>
      <c r="F417" s="68"/>
      <c r="G417" s="68"/>
      <c r="H417" s="68"/>
      <c r="I417" s="68"/>
      <c r="J417" s="68"/>
      <c r="K417" s="68"/>
      <c r="L417" s="68"/>
      <c r="M417" s="68"/>
      <c r="N417" s="68"/>
      <c r="O417" s="68"/>
      <c r="P417" s="68"/>
      <c r="Q417" s="68"/>
      <c r="R417" s="68"/>
      <c r="S417" s="68"/>
      <c r="T417" s="68"/>
      <c r="U417" s="68"/>
      <c r="V417" s="68"/>
      <c r="W417" s="68"/>
      <c r="X417" s="68"/>
      <c r="Y417" s="68"/>
      <c r="Z417" s="68"/>
    </row>
    <row r="418">
      <c r="A418" s="68"/>
      <c r="B418" s="68"/>
      <c r="C418" s="68"/>
      <c r="D418" s="68"/>
      <c r="E418" s="68"/>
      <c r="F418" s="68"/>
      <c r="G418" s="68"/>
      <c r="H418" s="68"/>
      <c r="I418" s="68"/>
      <c r="J418" s="68"/>
      <c r="K418" s="68"/>
      <c r="L418" s="68"/>
      <c r="M418" s="68"/>
      <c r="N418" s="68"/>
      <c r="O418" s="68"/>
      <c r="P418" s="68"/>
      <c r="Q418" s="68"/>
      <c r="R418" s="68"/>
      <c r="S418" s="68"/>
      <c r="T418" s="68"/>
      <c r="U418" s="68"/>
      <c r="V418" s="68"/>
      <c r="W418" s="68"/>
      <c r="X418" s="68"/>
      <c r="Y418" s="68"/>
      <c r="Z418" s="68"/>
    </row>
    <row r="419">
      <c r="A419" s="68"/>
      <c r="B419" s="68"/>
      <c r="C419" s="68"/>
      <c r="D419" s="68"/>
      <c r="E419" s="68"/>
      <c r="F419" s="68"/>
      <c r="G419" s="68"/>
      <c r="H419" s="68"/>
      <c r="I419" s="68"/>
      <c r="J419" s="68"/>
      <c r="K419" s="68"/>
      <c r="L419" s="68"/>
      <c r="M419" s="68"/>
      <c r="N419" s="68"/>
      <c r="O419" s="68"/>
      <c r="P419" s="68"/>
      <c r="Q419" s="68"/>
      <c r="R419" s="68"/>
      <c r="S419" s="68"/>
      <c r="T419" s="68"/>
      <c r="U419" s="68"/>
      <c r="V419" s="68"/>
      <c r="W419" s="68"/>
      <c r="X419" s="68"/>
      <c r="Y419" s="68"/>
      <c r="Z419" s="68"/>
    </row>
    <row r="420">
      <c r="A420" s="68"/>
      <c r="B420" s="68"/>
      <c r="C420" s="68"/>
      <c r="D420" s="68"/>
      <c r="E420" s="68"/>
      <c r="F420" s="68"/>
      <c r="G420" s="68"/>
      <c r="H420" s="68"/>
      <c r="I420" s="68"/>
      <c r="J420" s="68"/>
      <c r="K420" s="68"/>
      <c r="L420" s="68"/>
      <c r="M420" s="68"/>
      <c r="N420" s="68"/>
      <c r="O420" s="68"/>
      <c r="P420" s="68"/>
      <c r="Q420" s="68"/>
      <c r="R420" s="68"/>
      <c r="S420" s="68"/>
      <c r="T420" s="68"/>
      <c r="U420" s="68"/>
      <c r="V420" s="68"/>
      <c r="W420" s="68"/>
      <c r="X420" s="68"/>
      <c r="Y420" s="68"/>
      <c r="Z420" s="68"/>
    </row>
    <row r="421">
      <c r="A421" s="68"/>
      <c r="B421" s="68"/>
      <c r="C421" s="68"/>
      <c r="D421" s="68"/>
      <c r="E421" s="68"/>
      <c r="F421" s="68"/>
      <c r="G421" s="68"/>
      <c r="H421" s="68"/>
      <c r="I421" s="68"/>
      <c r="J421" s="68"/>
      <c r="K421" s="68"/>
      <c r="L421" s="68"/>
      <c r="M421" s="68"/>
      <c r="N421" s="68"/>
      <c r="O421" s="68"/>
      <c r="P421" s="68"/>
      <c r="Q421" s="68"/>
      <c r="R421" s="68"/>
      <c r="S421" s="68"/>
      <c r="T421" s="68"/>
      <c r="U421" s="68"/>
      <c r="V421" s="68"/>
      <c r="W421" s="68"/>
      <c r="X421" s="68"/>
      <c r="Y421" s="68"/>
      <c r="Z421" s="68"/>
    </row>
    <row r="422">
      <c r="A422" s="68"/>
      <c r="B422" s="68"/>
      <c r="C422" s="68"/>
      <c r="D422" s="68"/>
      <c r="E422" s="68"/>
      <c r="F422" s="68"/>
      <c r="G422" s="68"/>
      <c r="H422" s="68"/>
      <c r="I422" s="68"/>
      <c r="J422" s="68"/>
      <c r="K422" s="68"/>
      <c r="L422" s="68"/>
      <c r="M422" s="68"/>
      <c r="N422" s="68"/>
      <c r="O422" s="68"/>
      <c r="P422" s="68"/>
      <c r="Q422" s="68"/>
      <c r="R422" s="68"/>
      <c r="S422" s="68"/>
      <c r="T422" s="68"/>
      <c r="U422" s="68"/>
      <c r="V422" s="68"/>
      <c r="W422" s="68"/>
      <c r="X422" s="68"/>
      <c r="Y422" s="68"/>
      <c r="Z422" s="68"/>
    </row>
    <row r="423">
      <c r="A423" s="68"/>
      <c r="B423" s="68"/>
      <c r="C423" s="68"/>
      <c r="D423" s="68"/>
      <c r="E423" s="68"/>
      <c r="F423" s="68"/>
      <c r="G423" s="68"/>
      <c r="H423" s="68"/>
      <c r="I423" s="68"/>
      <c r="J423" s="68"/>
      <c r="K423" s="68"/>
      <c r="L423" s="68"/>
      <c r="M423" s="68"/>
      <c r="N423" s="68"/>
      <c r="O423" s="68"/>
      <c r="P423" s="68"/>
      <c r="Q423" s="68"/>
      <c r="R423" s="68"/>
      <c r="S423" s="68"/>
      <c r="T423" s="68"/>
      <c r="U423" s="68"/>
      <c r="V423" s="68"/>
      <c r="W423" s="68"/>
      <c r="X423" s="68"/>
      <c r="Y423" s="68"/>
      <c r="Z423" s="68"/>
    </row>
    <row r="424">
      <c r="A424" s="68"/>
      <c r="B424" s="68"/>
      <c r="C424" s="68"/>
      <c r="D424" s="68"/>
      <c r="E424" s="68"/>
      <c r="F424" s="68"/>
      <c r="G424" s="68"/>
      <c r="H424" s="68"/>
      <c r="I424" s="68"/>
      <c r="J424" s="68"/>
      <c r="K424" s="68"/>
      <c r="L424" s="68"/>
      <c r="M424" s="68"/>
      <c r="N424" s="68"/>
      <c r="O424" s="68"/>
      <c r="P424" s="68"/>
      <c r="Q424" s="68"/>
      <c r="R424" s="68"/>
      <c r="S424" s="68"/>
      <c r="T424" s="68"/>
      <c r="U424" s="68"/>
      <c r="V424" s="68"/>
      <c r="W424" s="68"/>
      <c r="X424" s="68"/>
      <c r="Y424" s="68"/>
      <c r="Z424" s="68"/>
    </row>
    <row r="425">
      <c r="A425" s="68"/>
      <c r="B425" s="68"/>
      <c r="C425" s="68"/>
      <c r="D425" s="68"/>
      <c r="E425" s="68"/>
      <c r="F425" s="68"/>
      <c r="G425" s="68"/>
      <c r="H425" s="68"/>
      <c r="I425" s="68"/>
      <c r="J425" s="68"/>
      <c r="K425" s="68"/>
      <c r="L425" s="68"/>
      <c r="M425" s="68"/>
      <c r="N425" s="68"/>
      <c r="O425" s="68"/>
      <c r="P425" s="68"/>
      <c r="Q425" s="68"/>
      <c r="R425" s="68"/>
      <c r="S425" s="68"/>
      <c r="T425" s="68"/>
      <c r="U425" s="68"/>
      <c r="V425" s="68"/>
      <c r="W425" s="68"/>
      <c r="X425" s="68"/>
      <c r="Y425" s="68"/>
      <c r="Z425" s="68"/>
    </row>
    <row r="426">
      <c r="A426" s="68"/>
      <c r="B426" s="68"/>
      <c r="C426" s="68"/>
      <c r="D426" s="68"/>
      <c r="E426" s="68"/>
      <c r="F426" s="68"/>
      <c r="G426" s="68"/>
      <c r="H426" s="68"/>
      <c r="I426" s="68"/>
      <c r="J426" s="68"/>
      <c r="K426" s="68"/>
      <c r="L426" s="68"/>
      <c r="M426" s="68"/>
      <c r="N426" s="68"/>
      <c r="O426" s="68"/>
      <c r="P426" s="68"/>
      <c r="Q426" s="68"/>
      <c r="R426" s="68"/>
      <c r="S426" s="68"/>
      <c r="T426" s="68"/>
      <c r="U426" s="68"/>
      <c r="V426" s="68"/>
      <c r="W426" s="68"/>
      <c r="X426" s="68"/>
      <c r="Y426" s="68"/>
      <c r="Z426" s="68"/>
    </row>
    <row r="427">
      <c r="A427" s="68"/>
      <c r="B427" s="68"/>
      <c r="C427" s="68"/>
      <c r="D427" s="68"/>
      <c r="E427" s="68"/>
      <c r="F427" s="68"/>
      <c r="G427" s="68"/>
      <c r="H427" s="68"/>
      <c r="I427" s="68"/>
      <c r="J427" s="68"/>
      <c r="K427" s="68"/>
      <c r="L427" s="68"/>
      <c r="M427" s="68"/>
      <c r="N427" s="68"/>
      <c r="O427" s="68"/>
      <c r="P427" s="68"/>
      <c r="Q427" s="68"/>
      <c r="R427" s="68"/>
      <c r="S427" s="68"/>
      <c r="T427" s="68"/>
      <c r="U427" s="68"/>
      <c r="V427" s="68"/>
      <c r="W427" s="68"/>
      <c r="X427" s="68"/>
      <c r="Y427" s="68"/>
      <c r="Z427" s="68"/>
    </row>
    <row r="428">
      <c r="A428" s="68"/>
      <c r="B428" s="68"/>
      <c r="C428" s="68"/>
      <c r="D428" s="68"/>
      <c r="E428" s="68"/>
      <c r="F428" s="68"/>
      <c r="G428" s="68"/>
      <c r="H428" s="68"/>
      <c r="I428" s="68"/>
      <c r="J428" s="68"/>
      <c r="K428" s="68"/>
      <c r="L428" s="68"/>
      <c r="M428" s="68"/>
      <c r="N428" s="68"/>
      <c r="O428" s="68"/>
      <c r="P428" s="68"/>
      <c r="Q428" s="68"/>
      <c r="R428" s="68"/>
      <c r="S428" s="68"/>
      <c r="T428" s="68"/>
      <c r="U428" s="68"/>
      <c r="V428" s="68"/>
      <c r="W428" s="68"/>
      <c r="X428" s="68"/>
      <c r="Y428" s="68"/>
      <c r="Z428" s="68"/>
    </row>
    <row r="429">
      <c r="A429" s="68"/>
      <c r="B429" s="68"/>
      <c r="C429" s="68"/>
      <c r="D429" s="68"/>
      <c r="E429" s="68"/>
      <c r="F429" s="68"/>
      <c r="G429" s="68"/>
      <c r="H429" s="68"/>
      <c r="I429" s="68"/>
      <c r="J429" s="68"/>
      <c r="K429" s="68"/>
      <c r="L429" s="68"/>
      <c r="M429" s="68"/>
      <c r="N429" s="68"/>
      <c r="O429" s="68"/>
      <c r="P429" s="68"/>
      <c r="Q429" s="68"/>
      <c r="R429" s="68"/>
      <c r="S429" s="68"/>
      <c r="T429" s="68"/>
      <c r="U429" s="68"/>
      <c r="V429" s="68"/>
      <c r="W429" s="68"/>
      <c r="X429" s="68"/>
      <c r="Y429" s="68"/>
      <c r="Z429" s="68"/>
    </row>
    <row r="430">
      <c r="A430" s="68"/>
      <c r="B430" s="68"/>
      <c r="C430" s="68"/>
      <c r="D430" s="68"/>
      <c r="E430" s="68"/>
      <c r="F430" s="68"/>
      <c r="G430" s="68"/>
      <c r="H430" s="68"/>
      <c r="I430" s="68"/>
      <c r="J430" s="68"/>
      <c r="K430" s="68"/>
      <c r="L430" s="68"/>
      <c r="M430" s="68"/>
      <c r="N430" s="68"/>
      <c r="O430" s="68"/>
      <c r="P430" s="68"/>
      <c r="Q430" s="68"/>
      <c r="R430" s="68"/>
      <c r="S430" s="68"/>
      <c r="T430" s="68"/>
      <c r="U430" s="68"/>
      <c r="V430" s="68"/>
      <c r="W430" s="68"/>
      <c r="X430" s="68"/>
      <c r="Y430" s="68"/>
      <c r="Z430" s="68"/>
    </row>
    <row r="431">
      <c r="A431" s="68"/>
      <c r="B431" s="68"/>
      <c r="C431" s="68"/>
      <c r="D431" s="68"/>
      <c r="E431" s="68"/>
      <c r="F431" s="68"/>
      <c r="G431" s="68"/>
      <c r="H431" s="68"/>
      <c r="I431" s="68"/>
      <c r="J431" s="68"/>
      <c r="K431" s="68"/>
      <c r="L431" s="68"/>
      <c r="M431" s="68"/>
      <c r="N431" s="68"/>
      <c r="O431" s="68"/>
      <c r="P431" s="68"/>
      <c r="Q431" s="68"/>
      <c r="R431" s="68"/>
      <c r="S431" s="68"/>
      <c r="T431" s="68"/>
      <c r="U431" s="68"/>
      <c r="V431" s="68"/>
      <c r="W431" s="68"/>
      <c r="X431" s="68"/>
      <c r="Y431" s="68"/>
      <c r="Z431" s="68"/>
    </row>
    <row r="432">
      <c r="A432" s="68"/>
      <c r="B432" s="68"/>
      <c r="C432" s="68"/>
      <c r="D432" s="68"/>
      <c r="E432" s="68"/>
      <c r="F432" s="68"/>
      <c r="G432" s="68"/>
      <c r="H432" s="68"/>
      <c r="I432" s="68"/>
      <c r="J432" s="68"/>
      <c r="K432" s="68"/>
      <c r="L432" s="68"/>
      <c r="M432" s="68"/>
      <c r="N432" s="68"/>
      <c r="O432" s="68"/>
      <c r="P432" s="68"/>
      <c r="Q432" s="68"/>
      <c r="R432" s="68"/>
      <c r="S432" s="68"/>
      <c r="T432" s="68"/>
      <c r="U432" s="68"/>
      <c r="V432" s="68"/>
      <c r="W432" s="68"/>
      <c r="X432" s="68"/>
      <c r="Y432" s="68"/>
      <c r="Z432" s="68"/>
    </row>
    <row r="433">
      <c r="A433" s="68"/>
      <c r="B433" s="68"/>
      <c r="C433" s="68"/>
      <c r="D433" s="68"/>
      <c r="E433" s="68"/>
      <c r="F433" s="68"/>
      <c r="G433" s="68"/>
      <c r="H433" s="68"/>
      <c r="I433" s="68"/>
      <c r="J433" s="68"/>
      <c r="K433" s="68"/>
      <c r="L433" s="68"/>
      <c r="M433" s="68"/>
      <c r="N433" s="68"/>
      <c r="O433" s="68"/>
      <c r="P433" s="68"/>
      <c r="Q433" s="68"/>
      <c r="R433" s="68"/>
      <c r="S433" s="68"/>
      <c r="T433" s="68"/>
      <c r="U433" s="68"/>
      <c r="V433" s="68"/>
      <c r="W433" s="68"/>
      <c r="X433" s="68"/>
      <c r="Y433" s="68"/>
      <c r="Z433" s="68"/>
    </row>
    <row r="434">
      <c r="A434" s="68"/>
      <c r="B434" s="68"/>
      <c r="C434" s="68"/>
      <c r="D434" s="68"/>
      <c r="E434" s="68"/>
      <c r="F434" s="68"/>
      <c r="G434" s="68"/>
      <c r="H434" s="68"/>
      <c r="I434" s="68"/>
      <c r="J434" s="68"/>
      <c r="K434" s="68"/>
      <c r="L434" s="68"/>
      <c r="M434" s="68"/>
      <c r="N434" s="68"/>
      <c r="O434" s="68"/>
      <c r="P434" s="68"/>
      <c r="Q434" s="68"/>
      <c r="R434" s="68"/>
      <c r="S434" s="68"/>
      <c r="T434" s="68"/>
      <c r="U434" s="68"/>
      <c r="V434" s="68"/>
      <c r="W434" s="68"/>
      <c r="X434" s="68"/>
      <c r="Y434" s="68"/>
      <c r="Z434" s="68"/>
    </row>
    <row r="435">
      <c r="A435" s="68"/>
      <c r="B435" s="68"/>
      <c r="C435" s="68"/>
      <c r="D435" s="68"/>
      <c r="E435" s="68"/>
      <c r="F435" s="68"/>
      <c r="G435" s="68"/>
      <c r="H435" s="68"/>
      <c r="I435" s="68"/>
      <c r="J435" s="68"/>
      <c r="K435" s="68"/>
      <c r="L435" s="68"/>
      <c r="M435" s="68"/>
      <c r="N435" s="68"/>
      <c r="O435" s="68"/>
      <c r="P435" s="68"/>
      <c r="Q435" s="68"/>
      <c r="R435" s="68"/>
      <c r="S435" s="68"/>
      <c r="T435" s="68"/>
      <c r="U435" s="68"/>
      <c r="V435" s="68"/>
      <c r="W435" s="68"/>
      <c r="X435" s="68"/>
      <c r="Y435" s="68"/>
      <c r="Z435" s="68"/>
    </row>
    <row r="436">
      <c r="A436" s="68"/>
      <c r="B436" s="68"/>
      <c r="C436" s="68"/>
      <c r="D436" s="68"/>
      <c r="E436" s="68"/>
      <c r="F436" s="68"/>
      <c r="G436" s="68"/>
      <c r="H436" s="68"/>
      <c r="I436" s="68"/>
      <c r="J436" s="68"/>
      <c r="K436" s="68"/>
      <c r="L436" s="68"/>
      <c r="M436" s="68"/>
      <c r="N436" s="68"/>
      <c r="O436" s="68"/>
      <c r="P436" s="68"/>
      <c r="Q436" s="68"/>
      <c r="R436" s="68"/>
      <c r="S436" s="68"/>
      <c r="T436" s="68"/>
      <c r="U436" s="68"/>
      <c r="V436" s="68"/>
      <c r="W436" s="68"/>
      <c r="X436" s="68"/>
      <c r="Y436" s="68"/>
      <c r="Z436" s="68"/>
    </row>
    <row r="437">
      <c r="A437" s="68"/>
      <c r="B437" s="68"/>
      <c r="C437" s="68"/>
      <c r="D437" s="68"/>
      <c r="E437" s="68"/>
      <c r="F437" s="68"/>
      <c r="G437" s="68"/>
      <c r="H437" s="68"/>
      <c r="I437" s="68"/>
      <c r="J437" s="68"/>
      <c r="K437" s="68"/>
      <c r="L437" s="68"/>
      <c r="M437" s="68"/>
      <c r="N437" s="68"/>
      <c r="O437" s="68"/>
      <c r="P437" s="68"/>
      <c r="Q437" s="68"/>
      <c r="R437" s="68"/>
      <c r="S437" s="68"/>
      <c r="T437" s="68"/>
      <c r="U437" s="68"/>
      <c r="V437" s="68"/>
      <c r="W437" s="68"/>
      <c r="X437" s="68"/>
      <c r="Y437" s="68"/>
      <c r="Z437" s="68"/>
    </row>
    <row r="438">
      <c r="A438" s="68"/>
      <c r="B438" s="68"/>
      <c r="C438" s="68"/>
      <c r="D438" s="68"/>
      <c r="E438" s="68"/>
      <c r="F438" s="68"/>
      <c r="G438" s="68"/>
      <c r="H438" s="68"/>
      <c r="I438" s="68"/>
      <c r="J438" s="68"/>
      <c r="K438" s="68"/>
      <c r="L438" s="68"/>
      <c r="M438" s="68"/>
      <c r="N438" s="68"/>
      <c r="O438" s="68"/>
      <c r="P438" s="68"/>
      <c r="Q438" s="68"/>
      <c r="R438" s="68"/>
      <c r="S438" s="68"/>
      <c r="T438" s="68"/>
      <c r="U438" s="68"/>
      <c r="V438" s="68"/>
      <c r="W438" s="68"/>
      <c r="X438" s="68"/>
      <c r="Y438" s="68"/>
      <c r="Z438" s="68"/>
    </row>
    <row r="439">
      <c r="A439" s="68"/>
      <c r="B439" s="68"/>
      <c r="C439" s="68"/>
      <c r="D439" s="68"/>
      <c r="E439" s="68"/>
      <c r="F439" s="68"/>
      <c r="G439" s="68"/>
      <c r="H439" s="68"/>
      <c r="I439" s="68"/>
      <c r="J439" s="68"/>
      <c r="K439" s="68"/>
      <c r="L439" s="68"/>
      <c r="M439" s="68"/>
      <c r="N439" s="68"/>
      <c r="O439" s="68"/>
      <c r="P439" s="68"/>
      <c r="Q439" s="68"/>
      <c r="R439" s="68"/>
      <c r="S439" s="68"/>
      <c r="T439" s="68"/>
      <c r="U439" s="68"/>
      <c r="V439" s="68"/>
      <c r="W439" s="68"/>
      <c r="X439" s="68"/>
      <c r="Y439" s="68"/>
      <c r="Z439" s="68"/>
    </row>
    <row r="440">
      <c r="A440" s="68"/>
      <c r="B440" s="68"/>
      <c r="C440" s="68"/>
      <c r="D440" s="68"/>
      <c r="E440" s="68"/>
      <c r="F440" s="68"/>
      <c r="G440" s="68"/>
      <c r="H440" s="68"/>
      <c r="I440" s="68"/>
      <c r="J440" s="68"/>
      <c r="K440" s="68"/>
      <c r="L440" s="68"/>
      <c r="M440" s="68"/>
      <c r="N440" s="68"/>
      <c r="O440" s="68"/>
      <c r="P440" s="68"/>
      <c r="Q440" s="68"/>
      <c r="R440" s="68"/>
      <c r="S440" s="68"/>
      <c r="T440" s="68"/>
      <c r="U440" s="68"/>
      <c r="V440" s="68"/>
      <c r="W440" s="68"/>
      <c r="X440" s="68"/>
      <c r="Y440" s="68"/>
      <c r="Z440" s="68"/>
    </row>
    <row r="441">
      <c r="A441" s="68"/>
      <c r="B441" s="68"/>
      <c r="C441" s="68"/>
      <c r="D441" s="68"/>
      <c r="E441" s="68"/>
      <c r="F441" s="68"/>
      <c r="G441" s="68"/>
      <c r="H441" s="68"/>
      <c r="I441" s="68"/>
      <c r="J441" s="68"/>
      <c r="K441" s="68"/>
      <c r="L441" s="68"/>
      <c r="M441" s="68"/>
      <c r="N441" s="68"/>
      <c r="O441" s="68"/>
      <c r="P441" s="68"/>
      <c r="Q441" s="68"/>
      <c r="R441" s="68"/>
      <c r="S441" s="68"/>
      <c r="T441" s="68"/>
      <c r="U441" s="68"/>
      <c r="V441" s="68"/>
      <c r="W441" s="68"/>
      <c r="X441" s="68"/>
      <c r="Y441" s="68"/>
      <c r="Z441" s="68"/>
    </row>
    <row r="442">
      <c r="A442" s="68"/>
      <c r="B442" s="68"/>
      <c r="C442" s="68"/>
      <c r="D442" s="68"/>
      <c r="E442" s="68"/>
      <c r="F442" s="68"/>
      <c r="G442" s="68"/>
      <c r="H442" s="68"/>
      <c r="I442" s="68"/>
      <c r="J442" s="68"/>
      <c r="K442" s="68"/>
      <c r="L442" s="68"/>
      <c r="M442" s="68"/>
      <c r="N442" s="68"/>
      <c r="O442" s="68"/>
      <c r="P442" s="68"/>
      <c r="Q442" s="68"/>
      <c r="R442" s="68"/>
      <c r="S442" s="68"/>
      <c r="T442" s="68"/>
      <c r="U442" s="68"/>
      <c r="V442" s="68"/>
      <c r="W442" s="68"/>
      <c r="X442" s="68"/>
      <c r="Y442" s="68"/>
      <c r="Z442" s="68"/>
    </row>
    <row r="443">
      <c r="A443" s="68"/>
      <c r="B443" s="68"/>
      <c r="C443" s="68"/>
      <c r="D443" s="68"/>
      <c r="E443" s="68"/>
      <c r="F443" s="68"/>
      <c r="G443" s="68"/>
      <c r="H443" s="68"/>
      <c r="I443" s="68"/>
      <c r="J443" s="68"/>
      <c r="K443" s="68"/>
      <c r="L443" s="68"/>
      <c r="M443" s="68"/>
      <c r="N443" s="68"/>
      <c r="O443" s="68"/>
      <c r="P443" s="68"/>
      <c r="Q443" s="68"/>
      <c r="R443" s="68"/>
      <c r="S443" s="68"/>
      <c r="T443" s="68"/>
      <c r="U443" s="68"/>
      <c r="V443" s="68"/>
      <c r="W443" s="68"/>
      <c r="X443" s="68"/>
      <c r="Y443" s="68"/>
      <c r="Z443" s="68"/>
    </row>
    <row r="444">
      <c r="A444" s="68"/>
      <c r="B444" s="68"/>
      <c r="C444" s="68"/>
      <c r="D444" s="68"/>
      <c r="E444" s="68"/>
      <c r="F444" s="68"/>
      <c r="G444" s="68"/>
      <c r="H444" s="68"/>
      <c r="I444" s="68"/>
      <c r="J444" s="68"/>
      <c r="K444" s="68"/>
      <c r="L444" s="68"/>
      <c r="M444" s="68"/>
      <c r="N444" s="68"/>
      <c r="O444" s="68"/>
      <c r="P444" s="68"/>
      <c r="Q444" s="68"/>
      <c r="R444" s="68"/>
      <c r="S444" s="68"/>
      <c r="T444" s="68"/>
      <c r="U444" s="68"/>
      <c r="V444" s="68"/>
      <c r="W444" s="68"/>
      <c r="X444" s="68"/>
      <c r="Y444" s="68"/>
      <c r="Z444" s="68"/>
    </row>
    <row r="445">
      <c r="A445" s="68"/>
      <c r="B445" s="68"/>
      <c r="C445" s="68"/>
      <c r="D445" s="68"/>
      <c r="E445" s="68"/>
      <c r="F445" s="68"/>
      <c r="G445" s="68"/>
      <c r="H445" s="68"/>
      <c r="I445" s="68"/>
      <c r="J445" s="68"/>
      <c r="K445" s="68"/>
      <c r="L445" s="68"/>
      <c r="M445" s="68"/>
      <c r="N445" s="68"/>
      <c r="O445" s="68"/>
      <c r="P445" s="68"/>
      <c r="Q445" s="68"/>
      <c r="R445" s="68"/>
      <c r="S445" s="68"/>
      <c r="T445" s="68"/>
      <c r="U445" s="68"/>
      <c r="V445" s="68"/>
      <c r="W445" s="68"/>
      <c r="X445" s="68"/>
      <c r="Y445" s="68"/>
      <c r="Z445" s="68"/>
    </row>
    <row r="446">
      <c r="A446" s="68"/>
      <c r="B446" s="68"/>
      <c r="C446" s="68"/>
      <c r="D446" s="68"/>
      <c r="E446" s="68"/>
      <c r="F446" s="68"/>
      <c r="G446" s="68"/>
      <c r="H446" s="68"/>
      <c r="I446" s="68"/>
      <c r="J446" s="68"/>
      <c r="K446" s="68"/>
      <c r="L446" s="68"/>
      <c r="M446" s="68"/>
      <c r="N446" s="68"/>
      <c r="O446" s="68"/>
      <c r="P446" s="68"/>
      <c r="Q446" s="68"/>
      <c r="R446" s="68"/>
      <c r="S446" s="68"/>
      <c r="T446" s="68"/>
      <c r="U446" s="68"/>
      <c r="V446" s="68"/>
      <c r="W446" s="68"/>
      <c r="X446" s="68"/>
      <c r="Y446" s="68"/>
      <c r="Z446" s="68"/>
    </row>
    <row r="447">
      <c r="A447" s="68"/>
      <c r="B447" s="68"/>
      <c r="C447" s="68"/>
      <c r="D447" s="68"/>
      <c r="E447" s="68"/>
      <c r="F447" s="68"/>
      <c r="G447" s="68"/>
      <c r="H447" s="68"/>
      <c r="I447" s="68"/>
      <c r="J447" s="68"/>
      <c r="K447" s="68"/>
      <c r="L447" s="68"/>
      <c r="M447" s="68"/>
      <c r="N447" s="68"/>
      <c r="O447" s="68"/>
      <c r="P447" s="68"/>
      <c r="Q447" s="68"/>
      <c r="R447" s="68"/>
      <c r="S447" s="68"/>
      <c r="T447" s="68"/>
      <c r="U447" s="68"/>
      <c r="V447" s="68"/>
      <c r="W447" s="68"/>
      <c r="X447" s="68"/>
      <c r="Y447" s="68"/>
      <c r="Z447" s="68"/>
    </row>
    <row r="448">
      <c r="A448" s="68"/>
      <c r="B448" s="68"/>
      <c r="C448" s="68"/>
      <c r="D448" s="68"/>
      <c r="E448" s="68"/>
      <c r="F448" s="68"/>
      <c r="G448" s="68"/>
      <c r="H448" s="68"/>
      <c r="I448" s="68"/>
      <c r="J448" s="68"/>
      <c r="K448" s="68"/>
      <c r="L448" s="68"/>
      <c r="M448" s="68"/>
      <c r="N448" s="68"/>
      <c r="O448" s="68"/>
      <c r="P448" s="68"/>
      <c r="Q448" s="68"/>
      <c r="R448" s="68"/>
      <c r="S448" s="68"/>
      <c r="T448" s="68"/>
      <c r="U448" s="68"/>
      <c r="V448" s="68"/>
      <c r="W448" s="68"/>
      <c r="X448" s="68"/>
      <c r="Y448" s="68"/>
      <c r="Z448" s="68"/>
    </row>
    <row r="449">
      <c r="A449" s="68"/>
      <c r="B449" s="68"/>
      <c r="C449" s="68"/>
      <c r="D449" s="68"/>
      <c r="E449" s="68"/>
      <c r="F449" s="68"/>
      <c r="G449" s="68"/>
      <c r="H449" s="68"/>
      <c r="I449" s="68"/>
      <c r="J449" s="68"/>
      <c r="K449" s="68"/>
      <c r="L449" s="68"/>
      <c r="M449" s="68"/>
      <c r="N449" s="68"/>
      <c r="O449" s="68"/>
      <c r="P449" s="68"/>
      <c r="Q449" s="68"/>
      <c r="R449" s="68"/>
      <c r="S449" s="68"/>
      <c r="T449" s="68"/>
      <c r="U449" s="68"/>
      <c r="V449" s="68"/>
      <c r="W449" s="68"/>
      <c r="X449" s="68"/>
      <c r="Y449" s="68"/>
      <c r="Z449" s="68"/>
    </row>
    <row r="450">
      <c r="A450" s="68"/>
      <c r="B450" s="68"/>
      <c r="C450" s="68"/>
      <c r="D450" s="68"/>
      <c r="E450" s="68"/>
      <c r="F450" s="68"/>
      <c r="G450" s="68"/>
      <c r="H450" s="68"/>
      <c r="I450" s="68"/>
      <c r="J450" s="68"/>
      <c r="K450" s="68"/>
      <c r="L450" s="68"/>
      <c r="M450" s="68"/>
      <c r="N450" s="68"/>
      <c r="O450" s="68"/>
      <c r="P450" s="68"/>
      <c r="Q450" s="68"/>
      <c r="R450" s="68"/>
      <c r="S450" s="68"/>
      <c r="T450" s="68"/>
      <c r="U450" s="68"/>
      <c r="V450" s="68"/>
      <c r="W450" s="68"/>
      <c r="X450" s="68"/>
      <c r="Y450" s="68"/>
      <c r="Z450" s="68"/>
    </row>
    <row r="451">
      <c r="A451" s="68"/>
      <c r="B451" s="68"/>
      <c r="C451" s="68"/>
      <c r="D451" s="68"/>
      <c r="E451" s="68"/>
      <c r="F451" s="68"/>
      <c r="G451" s="68"/>
      <c r="H451" s="68"/>
      <c r="I451" s="68"/>
      <c r="J451" s="68"/>
      <c r="K451" s="68"/>
      <c r="L451" s="68"/>
      <c r="M451" s="68"/>
      <c r="N451" s="68"/>
      <c r="O451" s="68"/>
      <c r="P451" s="68"/>
      <c r="Q451" s="68"/>
      <c r="R451" s="68"/>
      <c r="S451" s="68"/>
      <c r="T451" s="68"/>
      <c r="U451" s="68"/>
      <c r="V451" s="68"/>
      <c r="W451" s="68"/>
      <c r="X451" s="68"/>
      <c r="Y451" s="68"/>
      <c r="Z451" s="68"/>
    </row>
    <row r="452">
      <c r="A452" s="68"/>
      <c r="B452" s="68"/>
      <c r="C452" s="68"/>
      <c r="D452" s="68"/>
      <c r="E452" s="68"/>
      <c r="F452" s="68"/>
      <c r="G452" s="68"/>
      <c r="H452" s="68"/>
      <c r="I452" s="68"/>
      <c r="J452" s="68"/>
      <c r="K452" s="68"/>
      <c r="L452" s="68"/>
      <c r="M452" s="68"/>
      <c r="N452" s="68"/>
      <c r="O452" s="68"/>
      <c r="P452" s="68"/>
      <c r="Q452" s="68"/>
      <c r="R452" s="68"/>
      <c r="S452" s="68"/>
      <c r="T452" s="68"/>
      <c r="U452" s="68"/>
      <c r="V452" s="68"/>
      <c r="W452" s="68"/>
      <c r="X452" s="68"/>
      <c r="Y452" s="68"/>
      <c r="Z452" s="68"/>
    </row>
    <row r="453">
      <c r="A453" s="68"/>
      <c r="B453" s="68"/>
      <c r="C453" s="68"/>
      <c r="D453" s="68"/>
      <c r="E453" s="68"/>
      <c r="F453" s="68"/>
      <c r="G453" s="68"/>
      <c r="H453" s="68"/>
      <c r="I453" s="68"/>
      <c r="J453" s="68"/>
      <c r="K453" s="68"/>
      <c r="L453" s="68"/>
      <c r="M453" s="68"/>
      <c r="N453" s="68"/>
      <c r="O453" s="68"/>
      <c r="P453" s="68"/>
      <c r="Q453" s="68"/>
      <c r="R453" s="68"/>
      <c r="S453" s="68"/>
      <c r="T453" s="68"/>
      <c r="U453" s="68"/>
      <c r="V453" s="68"/>
      <c r="W453" s="68"/>
      <c r="X453" s="68"/>
      <c r="Y453" s="68"/>
      <c r="Z453" s="68"/>
    </row>
    <row r="454">
      <c r="A454" s="68"/>
      <c r="B454" s="68"/>
      <c r="C454" s="68"/>
      <c r="D454" s="68"/>
      <c r="E454" s="68"/>
      <c r="F454" s="68"/>
      <c r="G454" s="68"/>
      <c r="H454" s="68"/>
      <c r="I454" s="68"/>
      <c r="J454" s="68"/>
      <c r="K454" s="68"/>
      <c r="L454" s="68"/>
      <c r="M454" s="68"/>
      <c r="N454" s="68"/>
      <c r="O454" s="68"/>
      <c r="P454" s="68"/>
      <c r="Q454" s="68"/>
      <c r="R454" s="68"/>
      <c r="S454" s="68"/>
      <c r="T454" s="68"/>
      <c r="U454" s="68"/>
      <c r="V454" s="68"/>
      <c r="W454" s="68"/>
      <c r="X454" s="68"/>
      <c r="Y454" s="68"/>
      <c r="Z454" s="68"/>
    </row>
    <row r="455">
      <c r="A455" s="68"/>
      <c r="B455" s="68"/>
      <c r="C455" s="68"/>
      <c r="D455" s="68"/>
      <c r="E455" s="68"/>
      <c r="F455" s="68"/>
      <c r="G455" s="68"/>
      <c r="H455" s="68"/>
      <c r="I455" s="68"/>
      <c r="J455" s="68"/>
      <c r="K455" s="68"/>
      <c r="L455" s="68"/>
      <c r="M455" s="68"/>
      <c r="N455" s="68"/>
      <c r="O455" s="68"/>
      <c r="P455" s="68"/>
      <c r="Q455" s="68"/>
      <c r="R455" s="68"/>
      <c r="S455" s="68"/>
      <c r="T455" s="68"/>
      <c r="U455" s="68"/>
      <c r="V455" s="68"/>
      <c r="W455" s="68"/>
      <c r="X455" s="68"/>
      <c r="Y455" s="68"/>
      <c r="Z455" s="68"/>
    </row>
    <row r="456">
      <c r="A456" s="68"/>
      <c r="B456" s="68"/>
      <c r="C456" s="68"/>
      <c r="D456" s="68"/>
      <c r="E456" s="68"/>
      <c r="F456" s="68"/>
      <c r="G456" s="68"/>
      <c r="H456" s="68"/>
      <c r="I456" s="68"/>
      <c r="J456" s="68"/>
      <c r="K456" s="68"/>
      <c r="L456" s="68"/>
      <c r="M456" s="68"/>
      <c r="N456" s="68"/>
      <c r="O456" s="68"/>
      <c r="P456" s="68"/>
      <c r="Q456" s="68"/>
      <c r="R456" s="68"/>
      <c r="S456" s="68"/>
      <c r="T456" s="68"/>
      <c r="U456" s="68"/>
      <c r="V456" s="68"/>
      <c r="W456" s="68"/>
      <c r="X456" s="68"/>
      <c r="Y456" s="68"/>
      <c r="Z456" s="68"/>
    </row>
    <row r="457">
      <c r="A457" s="68"/>
      <c r="B457" s="68"/>
      <c r="C457" s="68"/>
      <c r="D457" s="68"/>
      <c r="E457" s="68"/>
      <c r="F457" s="68"/>
      <c r="G457" s="68"/>
      <c r="H457" s="68"/>
      <c r="I457" s="68"/>
      <c r="J457" s="68"/>
      <c r="K457" s="68"/>
      <c r="L457" s="68"/>
      <c r="M457" s="68"/>
      <c r="N457" s="68"/>
      <c r="O457" s="68"/>
      <c r="P457" s="68"/>
      <c r="Q457" s="68"/>
      <c r="R457" s="68"/>
      <c r="S457" s="68"/>
      <c r="T457" s="68"/>
      <c r="U457" s="68"/>
      <c r="V457" s="68"/>
      <c r="W457" s="68"/>
      <c r="X457" s="68"/>
      <c r="Y457" s="68"/>
      <c r="Z457" s="68"/>
    </row>
    <row r="458">
      <c r="A458" s="68"/>
      <c r="B458" s="68"/>
      <c r="C458" s="68"/>
      <c r="D458" s="68"/>
      <c r="E458" s="68"/>
      <c r="F458" s="68"/>
      <c r="G458" s="68"/>
      <c r="H458" s="68"/>
      <c r="I458" s="68"/>
      <c r="J458" s="68"/>
      <c r="K458" s="68"/>
      <c r="L458" s="68"/>
      <c r="M458" s="68"/>
      <c r="N458" s="68"/>
      <c r="O458" s="68"/>
      <c r="P458" s="68"/>
      <c r="Q458" s="68"/>
      <c r="R458" s="68"/>
      <c r="S458" s="68"/>
      <c r="T458" s="68"/>
      <c r="U458" s="68"/>
      <c r="V458" s="68"/>
      <c r="W458" s="68"/>
      <c r="X458" s="68"/>
      <c r="Y458" s="68"/>
      <c r="Z458" s="68"/>
    </row>
    <row r="459">
      <c r="A459" s="68"/>
      <c r="B459" s="68"/>
      <c r="C459" s="68"/>
      <c r="D459" s="68"/>
      <c r="E459" s="68"/>
      <c r="F459" s="68"/>
      <c r="G459" s="68"/>
      <c r="H459" s="68"/>
      <c r="I459" s="68"/>
      <c r="J459" s="68"/>
      <c r="K459" s="68"/>
      <c r="L459" s="68"/>
      <c r="M459" s="68"/>
      <c r="N459" s="68"/>
      <c r="O459" s="68"/>
      <c r="P459" s="68"/>
      <c r="Q459" s="68"/>
      <c r="R459" s="68"/>
      <c r="S459" s="68"/>
      <c r="T459" s="68"/>
      <c r="U459" s="68"/>
      <c r="V459" s="68"/>
      <c r="W459" s="68"/>
      <c r="X459" s="68"/>
      <c r="Y459" s="68"/>
      <c r="Z459" s="68"/>
    </row>
    <row r="460">
      <c r="A460" s="68"/>
      <c r="B460" s="68"/>
      <c r="C460" s="68"/>
      <c r="D460" s="68"/>
      <c r="E460" s="68"/>
      <c r="F460" s="68"/>
      <c r="G460" s="68"/>
      <c r="H460" s="68"/>
      <c r="I460" s="68"/>
      <c r="J460" s="68"/>
      <c r="K460" s="68"/>
      <c r="L460" s="68"/>
      <c r="M460" s="68"/>
      <c r="N460" s="68"/>
      <c r="O460" s="68"/>
      <c r="P460" s="68"/>
      <c r="Q460" s="68"/>
      <c r="R460" s="68"/>
      <c r="S460" s="68"/>
      <c r="T460" s="68"/>
      <c r="U460" s="68"/>
      <c r="V460" s="68"/>
      <c r="W460" s="68"/>
      <c r="X460" s="68"/>
      <c r="Y460" s="68"/>
      <c r="Z460" s="68"/>
    </row>
    <row r="461">
      <c r="A461" s="68"/>
      <c r="B461" s="68"/>
      <c r="C461" s="68"/>
      <c r="D461" s="68"/>
      <c r="E461" s="68"/>
      <c r="F461" s="68"/>
      <c r="G461" s="68"/>
      <c r="H461" s="68"/>
      <c r="I461" s="68"/>
      <c r="J461" s="68"/>
      <c r="K461" s="68"/>
      <c r="L461" s="68"/>
      <c r="M461" s="68"/>
      <c r="N461" s="68"/>
      <c r="O461" s="68"/>
      <c r="P461" s="68"/>
      <c r="Q461" s="68"/>
      <c r="R461" s="68"/>
      <c r="S461" s="68"/>
      <c r="T461" s="68"/>
      <c r="U461" s="68"/>
      <c r="V461" s="68"/>
      <c r="W461" s="68"/>
      <c r="X461" s="68"/>
      <c r="Y461" s="68"/>
      <c r="Z461" s="68"/>
    </row>
    <row r="462">
      <c r="A462" s="68"/>
      <c r="B462" s="68"/>
      <c r="C462" s="68"/>
      <c r="D462" s="68"/>
      <c r="E462" s="68"/>
      <c r="F462" s="68"/>
      <c r="G462" s="68"/>
      <c r="H462" s="68"/>
      <c r="I462" s="68"/>
      <c r="J462" s="68"/>
      <c r="K462" s="68"/>
      <c r="L462" s="68"/>
      <c r="M462" s="68"/>
      <c r="N462" s="68"/>
      <c r="O462" s="68"/>
      <c r="P462" s="68"/>
      <c r="Q462" s="68"/>
      <c r="R462" s="68"/>
      <c r="S462" s="68"/>
      <c r="T462" s="68"/>
      <c r="U462" s="68"/>
      <c r="V462" s="68"/>
      <c r="W462" s="68"/>
      <c r="X462" s="68"/>
      <c r="Y462" s="68"/>
      <c r="Z462" s="68"/>
    </row>
    <row r="463">
      <c r="A463" s="68"/>
      <c r="B463" s="68"/>
      <c r="C463" s="68"/>
      <c r="D463" s="68"/>
      <c r="E463" s="68"/>
      <c r="F463" s="68"/>
      <c r="G463" s="68"/>
      <c r="H463" s="68"/>
      <c r="I463" s="68"/>
      <c r="J463" s="68"/>
      <c r="K463" s="68"/>
      <c r="L463" s="68"/>
      <c r="M463" s="68"/>
      <c r="N463" s="68"/>
      <c r="O463" s="68"/>
      <c r="P463" s="68"/>
      <c r="Q463" s="68"/>
      <c r="R463" s="68"/>
      <c r="S463" s="68"/>
      <c r="T463" s="68"/>
      <c r="U463" s="68"/>
      <c r="V463" s="68"/>
      <c r="W463" s="68"/>
      <c r="X463" s="68"/>
      <c r="Y463" s="68"/>
      <c r="Z463" s="68"/>
    </row>
    <row r="464">
      <c r="A464" s="68"/>
      <c r="B464" s="68"/>
      <c r="C464" s="68"/>
      <c r="D464" s="68"/>
      <c r="E464" s="68"/>
      <c r="F464" s="68"/>
      <c r="G464" s="68"/>
      <c r="H464" s="68"/>
      <c r="I464" s="68"/>
      <c r="J464" s="68"/>
      <c r="K464" s="68"/>
      <c r="L464" s="68"/>
      <c r="M464" s="68"/>
      <c r="N464" s="68"/>
      <c r="O464" s="68"/>
      <c r="P464" s="68"/>
      <c r="Q464" s="68"/>
      <c r="R464" s="68"/>
      <c r="S464" s="68"/>
      <c r="T464" s="68"/>
      <c r="U464" s="68"/>
      <c r="V464" s="68"/>
      <c r="W464" s="68"/>
      <c r="X464" s="68"/>
      <c r="Y464" s="68"/>
      <c r="Z464" s="68"/>
    </row>
    <row r="465">
      <c r="A465" s="68"/>
      <c r="B465" s="68"/>
      <c r="C465" s="68"/>
      <c r="D465" s="68"/>
      <c r="E465" s="68"/>
      <c r="F465" s="68"/>
      <c r="G465" s="68"/>
      <c r="H465" s="68"/>
      <c r="I465" s="68"/>
      <c r="J465" s="68"/>
      <c r="K465" s="68"/>
      <c r="L465" s="68"/>
      <c r="M465" s="68"/>
      <c r="N465" s="68"/>
      <c r="O465" s="68"/>
      <c r="P465" s="68"/>
      <c r="Q465" s="68"/>
      <c r="R465" s="68"/>
      <c r="S465" s="68"/>
      <c r="T465" s="68"/>
      <c r="U465" s="68"/>
      <c r="V465" s="68"/>
      <c r="W465" s="68"/>
      <c r="X465" s="68"/>
      <c r="Y465" s="68"/>
      <c r="Z465" s="68"/>
    </row>
    <row r="466">
      <c r="A466" s="68"/>
      <c r="B466" s="68"/>
      <c r="C466" s="68"/>
      <c r="D466" s="68"/>
      <c r="E466" s="68"/>
      <c r="F466" s="68"/>
      <c r="G466" s="68"/>
      <c r="H466" s="68"/>
      <c r="I466" s="68"/>
      <c r="J466" s="68"/>
      <c r="K466" s="68"/>
      <c r="L466" s="68"/>
      <c r="M466" s="68"/>
      <c r="N466" s="68"/>
      <c r="O466" s="68"/>
      <c r="P466" s="68"/>
      <c r="Q466" s="68"/>
      <c r="R466" s="68"/>
      <c r="S466" s="68"/>
      <c r="T466" s="68"/>
      <c r="U466" s="68"/>
      <c r="V466" s="68"/>
      <c r="W466" s="68"/>
      <c r="X466" s="68"/>
      <c r="Y466" s="68"/>
      <c r="Z466" s="68"/>
    </row>
    <row r="467">
      <c r="A467" s="68"/>
      <c r="B467" s="68"/>
      <c r="C467" s="68"/>
      <c r="D467" s="68"/>
      <c r="E467" s="68"/>
      <c r="F467" s="68"/>
      <c r="G467" s="68"/>
      <c r="H467" s="68"/>
      <c r="I467" s="68"/>
      <c r="J467" s="68"/>
      <c r="K467" s="68"/>
      <c r="L467" s="68"/>
      <c r="M467" s="68"/>
      <c r="N467" s="68"/>
      <c r="O467" s="68"/>
      <c r="P467" s="68"/>
      <c r="Q467" s="68"/>
      <c r="R467" s="68"/>
      <c r="S467" s="68"/>
      <c r="T467" s="68"/>
      <c r="U467" s="68"/>
      <c r="V467" s="68"/>
      <c r="W467" s="68"/>
      <c r="X467" s="68"/>
      <c r="Y467" s="68"/>
      <c r="Z467" s="68"/>
    </row>
    <row r="468">
      <c r="A468" s="68"/>
      <c r="B468" s="68"/>
      <c r="C468" s="68"/>
      <c r="D468" s="68"/>
      <c r="E468" s="68"/>
      <c r="F468" s="68"/>
      <c r="G468" s="68"/>
      <c r="H468" s="68"/>
      <c r="I468" s="68"/>
      <c r="J468" s="68"/>
      <c r="K468" s="68"/>
      <c r="L468" s="68"/>
      <c r="M468" s="68"/>
      <c r="N468" s="68"/>
      <c r="O468" s="68"/>
      <c r="P468" s="68"/>
      <c r="Q468" s="68"/>
      <c r="R468" s="68"/>
      <c r="S468" s="68"/>
      <c r="T468" s="68"/>
      <c r="U468" s="68"/>
      <c r="V468" s="68"/>
      <c r="W468" s="68"/>
      <c r="X468" s="68"/>
      <c r="Y468" s="68"/>
      <c r="Z468" s="68"/>
    </row>
    <row r="469">
      <c r="A469" s="68"/>
      <c r="B469" s="68"/>
      <c r="C469" s="68"/>
      <c r="D469" s="68"/>
      <c r="E469" s="68"/>
      <c r="F469" s="68"/>
      <c r="G469" s="68"/>
      <c r="H469" s="68"/>
      <c r="I469" s="68"/>
      <c r="J469" s="68"/>
      <c r="K469" s="68"/>
      <c r="L469" s="68"/>
      <c r="M469" s="68"/>
      <c r="N469" s="68"/>
      <c r="O469" s="68"/>
      <c r="P469" s="68"/>
      <c r="Q469" s="68"/>
      <c r="R469" s="68"/>
      <c r="S469" s="68"/>
      <c r="T469" s="68"/>
      <c r="U469" s="68"/>
      <c r="V469" s="68"/>
      <c r="W469" s="68"/>
      <c r="X469" s="68"/>
      <c r="Y469" s="68"/>
      <c r="Z469" s="68"/>
    </row>
    <row r="470">
      <c r="A470" s="68"/>
      <c r="B470" s="68"/>
      <c r="C470" s="68"/>
      <c r="D470" s="68"/>
      <c r="E470" s="68"/>
      <c r="F470" s="68"/>
      <c r="G470" s="68"/>
      <c r="H470" s="68"/>
      <c r="I470" s="68"/>
      <c r="J470" s="68"/>
      <c r="K470" s="68"/>
      <c r="L470" s="68"/>
      <c r="M470" s="68"/>
      <c r="N470" s="68"/>
      <c r="O470" s="68"/>
      <c r="P470" s="68"/>
      <c r="Q470" s="68"/>
      <c r="R470" s="68"/>
      <c r="S470" s="68"/>
      <c r="T470" s="68"/>
      <c r="U470" s="68"/>
      <c r="V470" s="68"/>
      <c r="W470" s="68"/>
      <c r="X470" s="68"/>
      <c r="Y470" s="68"/>
      <c r="Z470" s="68"/>
    </row>
    <row r="471">
      <c r="A471" s="68"/>
      <c r="B471" s="68"/>
      <c r="C471" s="68"/>
      <c r="D471" s="68"/>
      <c r="E471" s="68"/>
      <c r="F471" s="68"/>
      <c r="G471" s="68"/>
      <c r="H471" s="68"/>
      <c r="I471" s="68"/>
      <c r="J471" s="68"/>
      <c r="K471" s="68"/>
      <c r="L471" s="68"/>
      <c r="M471" s="68"/>
      <c r="N471" s="68"/>
      <c r="O471" s="68"/>
      <c r="P471" s="68"/>
      <c r="Q471" s="68"/>
      <c r="R471" s="68"/>
      <c r="S471" s="68"/>
      <c r="T471" s="68"/>
      <c r="U471" s="68"/>
      <c r="V471" s="68"/>
      <c r="W471" s="68"/>
      <c r="X471" s="68"/>
      <c r="Y471" s="68"/>
      <c r="Z471" s="68"/>
    </row>
    <row r="472">
      <c r="A472" s="68"/>
      <c r="B472" s="68"/>
      <c r="C472" s="68"/>
      <c r="D472" s="68"/>
      <c r="E472" s="68"/>
      <c r="F472" s="68"/>
      <c r="G472" s="68"/>
      <c r="H472" s="68"/>
      <c r="I472" s="68"/>
      <c r="J472" s="68"/>
      <c r="K472" s="68"/>
      <c r="L472" s="68"/>
      <c r="M472" s="68"/>
      <c r="N472" s="68"/>
      <c r="O472" s="68"/>
      <c r="P472" s="68"/>
      <c r="Q472" s="68"/>
      <c r="R472" s="68"/>
      <c r="S472" s="68"/>
      <c r="T472" s="68"/>
      <c r="U472" s="68"/>
      <c r="V472" s="68"/>
      <c r="W472" s="68"/>
      <c r="X472" s="68"/>
      <c r="Y472" s="68"/>
      <c r="Z472" s="68"/>
    </row>
    <row r="473">
      <c r="A473" s="68"/>
      <c r="B473" s="68"/>
      <c r="C473" s="68"/>
      <c r="D473" s="68"/>
      <c r="E473" s="68"/>
      <c r="F473" s="68"/>
      <c r="G473" s="68"/>
      <c r="H473" s="68"/>
      <c r="I473" s="68"/>
      <c r="J473" s="68"/>
      <c r="K473" s="68"/>
      <c r="L473" s="68"/>
      <c r="M473" s="68"/>
      <c r="N473" s="68"/>
      <c r="O473" s="68"/>
      <c r="P473" s="68"/>
      <c r="Q473" s="68"/>
      <c r="R473" s="68"/>
      <c r="S473" s="68"/>
      <c r="T473" s="68"/>
      <c r="U473" s="68"/>
      <c r="V473" s="68"/>
      <c r="W473" s="68"/>
      <c r="X473" s="68"/>
      <c r="Y473" s="68"/>
      <c r="Z473" s="68"/>
    </row>
    <row r="474">
      <c r="A474" s="68"/>
      <c r="B474" s="68"/>
      <c r="C474" s="68"/>
      <c r="D474" s="68"/>
      <c r="E474" s="68"/>
      <c r="F474" s="68"/>
      <c r="G474" s="68"/>
      <c r="H474" s="68"/>
      <c r="I474" s="68"/>
      <c r="J474" s="68"/>
      <c r="K474" s="68"/>
      <c r="L474" s="68"/>
      <c r="M474" s="68"/>
      <c r="N474" s="68"/>
      <c r="O474" s="68"/>
      <c r="P474" s="68"/>
      <c r="Q474" s="68"/>
      <c r="R474" s="68"/>
      <c r="S474" s="68"/>
      <c r="T474" s="68"/>
      <c r="U474" s="68"/>
      <c r="V474" s="68"/>
      <c r="W474" s="68"/>
      <c r="X474" s="68"/>
      <c r="Y474" s="68"/>
      <c r="Z474" s="68"/>
    </row>
    <row r="475">
      <c r="A475" s="68"/>
      <c r="B475" s="68"/>
      <c r="C475" s="68"/>
      <c r="D475" s="68"/>
      <c r="E475" s="68"/>
      <c r="F475" s="68"/>
      <c r="G475" s="68"/>
      <c r="H475" s="68"/>
      <c r="I475" s="68"/>
      <c r="J475" s="68"/>
      <c r="K475" s="68"/>
      <c r="L475" s="68"/>
      <c r="M475" s="68"/>
      <c r="N475" s="68"/>
      <c r="O475" s="68"/>
      <c r="P475" s="68"/>
      <c r="Q475" s="68"/>
      <c r="R475" s="68"/>
      <c r="S475" s="68"/>
      <c r="T475" s="68"/>
      <c r="U475" s="68"/>
      <c r="V475" s="68"/>
      <c r="W475" s="68"/>
      <c r="X475" s="68"/>
      <c r="Y475" s="68"/>
      <c r="Z475" s="68"/>
    </row>
    <row r="476">
      <c r="A476" s="68"/>
      <c r="B476" s="68"/>
      <c r="C476" s="68"/>
      <c r="D476" s="68"/>
      <c r="E476" s="68"/>
      <c r="F476" s="68"/>
      <c r="G476" s="68"/>
      <c r="H476" s="68"/>
      <c r="I476" s="68"/>
      <c r="J476" s="68"/>
      <c r="K476" s="68"/>
      <c r="L476" s="68"/>
      <c r="M476" s="68"/>
      <c r="N476" s="68"/>
      <c r="O476" s="68"/>
      <c r="P476" s="68"/>
      <c r="Q476" s="68"/>
      <c r="R476" s="68"/>
      <c r="S476" s="68"/>
      <c r="T476" s="68"/>
      <c r="U476" s="68"/>
      <c r="V476" s="68"/>
      <c r="W476" s="68"/>
      <c r="X476" s="68"/>
      <c r="Y476" s="68"/>
      <c r="Z476" s="68"/>
    </row>
    <row r="477">
      <c r="A477" s="68"/>
      <c r="B477" s="68"/>
      <c r="C477" s="68"/>
      <c r="D477" s="68"/>
      <c r="E477" s="68"/>
      <c r="F477" s="68"/>
      <c r="G477" s="68"/>
      <c r="H477" s="68"/>
      <c r="I477" s="68"/>
      <c r="J477" s="68"/>
      <c r="K477" s="68"/>
      <c r="L477" s="68"/>
      <c r="M477" s="68"/>
      <c r="N477" s="68"/>
      <c r="O477" s="68"/>
      <c r="P477" s="68"/>
      <c r="Q477" s="68"/>
      <c r="R477" s="68"/>
      <c r="S477" s="68"/>
      <c r="T477" s="68"/>
      <c r="U477" s="68"/>
      <c r="V477" s="68"/>
      <c r="W477" s="68"/>
      <c r="X477" s="68"/>
      <c r="Y477" s="68"/>
      <c r="Z477" s="68"/>
    </row>
    <row r="478">
      <c r="A478" s="68"/>
      <c r="B478" s="68"/>
      <c r="C478" s="68"/>
      <c r="D478" s="68"/>
      <c r="E478" s="68"/>
      <c r="F478" s="68"/>
      <c r="G478" s="68"/>
      <c r="H478" s="68"/>
      <c r="I478" s="68"/>
      <c r="J478" s="68"/>
      <c r="K478" s="68"/>
      <c r="L478" s="68"/>
      <c r="M478" s="68"/>
      <c r="N478" s="68"/>
      <c r="O478" s="68"/>
      <c r="P478" s="68"/>
      <c r="Q478" s="68"/>
      <c r="R478" s="68"/>
      <c r="S478" s="68"/>
      <c r="T478" s="68"/>
      <c r="U478" s="68"/>
      <c r="V478" s="68"/>
      <c r="W478" s="68"/>
      <c r="X478" s="68"/>
      <c r="Y478" s="68"/>
      <c r="Z478" s="68"/>
    </row>
    <row r="479">
      <c r="A479" s="68"/>
      <c r="B479" s="68"/>
      <c r="C479" s="68"/>
      <c r="D479" s="68"/>
      <c r="E479" s="68"/>
      <c r="F479" s="68"/>
      <c r="G479" s="68"/>
      <c r="H479" s="68"/>
      <c r="I479" s="68"/>
      <c r="J479" s="68"/>
      <c r="K479" s="68"/>
      <c r="L479" s="68"/>
      <c r="M479" s="68"/>
      <c r="N479" s="68"/>
      <c r="O479" s="68"/>
      <c r="P479" s="68"/>
      <c r="Q479" s="68"/>
      <c r="R479" s="68"/>
      <c r="S479" s="68"/>
      <c r="T479" s="68"/>
      <c r="U479" s="68"/>
      <c r="V479" s="68"/>
      <c r="W479" s="68"/>
      <c r="X479" s="68"/>
      <c r="Y479" s="68"/>
      <c r="Z479" s="68"/>
    </row>
    <row r="480">
      <c r="A480" s="68"/>
      <c r="B480" s="68"/>
      <c r="C480" s="68"/>
      <c r="D480" s="68"/>
      <c r="E480" s="68"/>
      <c r="F480" s="68"/>
      <c r="G480" s="68"/>
      <c r="H480" s="68"/>
      <c r="I480" s="68"/>
      <c r="J480" s="68"/>
      <c r="K480" s="68"/>
      <c r="L480" s="68"/>
      <c r="M480" s="68"/>
      <c r="N480" s="68"/>
      <c r="O480" s="68"/>
      <c r="P480" s="68"/>
      <c r="Q480" s="68"/>
      <c r="R480" s="68"/>
      <c r="S480" s="68"/>
      <c r="T480" s="68"/>
      <c r="U480" s="68"/>
      <c r="V480" s="68"/>
      <c r="W480" s="68"/>
      <c r="X480" s="68"/>
      <c r="Y480" s="68"/>
      <c r="Z480" s="68"/>
    </row>
    <row r="481">
      <c r="A481" s="68"/>
      <c r="B481" s="68"/>
      <c r="C481" s="68"/>
      <c r="D481" s="68"/>
      <c r="E481" s="68"/>
      <c r="F481" s="68"/>
      <c r="G481" s="68"/>
      <c r="H481" s="68"/>
      <c r="I481" s="68"/>
      <c r="J481" s="68"/>
      <c r="K481" s="68"/>
      <c r="L481" s="68"/>
      <c r="M481" s="68"/>
      <c r="N481" s="68"/>
      <c r="O481" s="68"/>
      <c r="P481" s="68"/>
      <c r="Q481" s="68"/>
      <c r="R481" s="68"/>
      <c r="S481" s="68"/>
      <c r="T481" s="68"/>
      <c r="U481" s="68"/>
      <c r="V481" s="68"/>
      <c r="W481" s="68"/>
      <c r="X481" s="68"/>
      <c r="Y481" s="68"/>
      <c r="Z481" s="68"/>
    </row>
    <row r="482">
      <c r="A482" s="68"/>
      <c r="B482" s="68"/>
      <c r="C482" s="68"/>
      <c r="D482" s="68"/>
      <c r="E482" s="68"/>
      <c r="F482" s="68"/>
      <c r="G482" s="68"/>
      <c r="H482" s="68"/>
      <c r="I482" s="68"/>
      <c r="J482" s="68"/>
      <c r="K482" s="68"/>
      <c r="L482" s="68"/>
      <c r="M482" s="68"/>
      <c r="N482" s="68"/>
      <c r="O482" s="68"/>
      <c r="P482" s="68"/>
      <c r="Q482" s="68"/>
      <c r="R482" s="68"/>
      <c r="S482" s="68"/>
      <c r="T482" s="68"/>
      <c r="U482" s="68"/>
      <c r="V482" s="68"/>
      <c r="W482" s="68"/>
      <c r="X482" s="68"/>
      <c r="Y482" s="68"/>
      <c r="Z482" s="68"/>
    </row>
    <row r="483">
      <c r="A483" s="68"/>
      <c r="B483" s="68"/>
      <c r="C483" s="68"/>
      <c r="D483" s="68"/>
      <c r="E483" s="68"/>
      <c r="F483" s="68"/>
      <c r="G483" s="68"/>
      <c r="H483" s="68"/>
      <c r="I483" s="68"/>
      <c r="J483" s="68"/>
      <c r="K483" s="68"/>
      <c r="L483" s="68"/>
      <c r="M483" s="68"/>
      <c r="N483" s="68"/>
      <c r="O483" s="68"/>
      <c r="P483" s="68"/>
      <c r="Q483" s="68"/>
      <c r="R483" s="68"/>
      <c r="S483" s="68"/>
      <c r="T483" s="68"/>
      <c r="U483" s="68"/>
      <c r="V483" s="68"/>
      <c r="W483" s="68"/>
      <c r="X483" s="68"/>
      <c r="Y483" s="68"/>
      <c r="Z483" s="68"/>
    </row>
    <row r="484">
      <c r="A484" s="68"/>
      <c r="B484" s="68"/>
      <c r="C484" s="68"/>
      <c r="D484" s="68"/>
      <c r="E484" s="68"/>
      <c r="F484" s="68"/>
      <c r="G484" s="68"/>
      <c r="H484" s="68"/>
      <c r="I484" s="68"/>
      <c r="J484" s="68"/>
      <c r="K484" s="68"/>
      <c r="L484" s="68"/>
      <c r="M484" s="68"/>
      <c r="N484" s="68"/>
      <c r="O484" s="68"/>
      <c r="P484" s="68"/>
      <c r="Q484" s="68"/>
      <c r="R484" s="68"/>
      <c r="S484" s="68"/>
      <c r="T484" s="68"/>
      <c r="U484" s="68"/>
      <c r="V484" s="68"/>
      <c r="W484" s="68"/>
      <c r="X484" s="68"/>
      <c r="Y484" s="68"/>
      <c r="Z484" s="68"/>
    </row>
    <row r="485">
      <c r="A485" s="68"/>
      <c r="B485" s="68"/>
      <c r="C485" s="68"/>
      <c r="D485" s="68"/>
      <c r="E485" s="68"/>
      <c r="F485" s="68"/>
      <c r="G485" s="68"/>
      <c r="H485" s="68"/>
      <c r="I485" s="68"/>
      <c r="J485" s="68"/>
      <c r="K485" s="68"/>
      <c r="L485" s="68"/>
      <c r="M485" s="68"/>
      <c r="N485" s="68"/>
      <c r="O485" s="68"/>
      <c r="P485" s="68"/>
      <c r="Q485" s="68"/>
      <c r="R485" s="68"/>
      <c r="S485" s="68"/>
      <c r="T485" s="68"/>
      <c r="U485" s="68"/>
      <c r="V485" s="68"/>
      <c r="W485" s="68"/>
      <c r="X485" s="68"/>
      <c r="Y485" s="68"/>
      <c r="Z485" s="68"/>
    </row>
    <row r="486">
      <c r="A486" s="68"/>
      <c r="B486" s="68"/>
      <c r="C486" s="68"/>
      <c r="D486" s="68"/>
      <c r="E486" s="68"/>
      <c r="F486" s="68"/>
      <c r="G486" s="68"/>
      <c r="H486" s="68"/>
      <c r="I486" s="68"/>
      <c r="J486" s="68"/>
      <c r="K486" s="68"/>
      <c r="L486" s="68"/>
      <c r="M486" s="68"/>
      <c r="N486" s="68"/>
      <c r="O486" s="68"/>
      <c r="P486" s="68"/>
      <c r="Q486" s="68"/>
      <c r="R486" s="68"/>
      <c r="S486" s="68"/>
      <c r="T486" s="68"/>
      <c r="U486" s="68"/>
      <c r="V486" s="68"/>
      <c r="W486" s="68"/>
      <c r="X486" s="68"/>
      <c r="Y486" s="68"/>
      <c r="Z486" s="68"/>
    </row>
    <row r="487">
      <c r="A487" s="68"/>
      <c r="B487" s="68"/>
      <c r="C487" s="68"/>
      <c r="D487" s="68"/>
      <c r="E487" s="68"/>
      <c r="F487" s="68"/>
      <c r="G487" s="68"/>
      <c r="H487" s="68"/>
      <c r="I487" s="68"/>
      <c r="J487" s="68"/>
      <c r="K487" s="68"/>
      <c r="L487" s="68"/>
      <c r="M487" s="68"/>
      <c r="N487" s="68"/>
      <c r="O487" s="68"/>
      <c r="P487" s="68"/>
      <c r="Q487" s="68"/>
      <c r="R487" s="68"/>
      <c r="S487" s="68"/>
      <c r="T487" s="68"/>
      <c r="U487" s="68"/>
      <c r="V487" s="68"/>
      <c r="W487" s="68"/>
      <c r="X487" s="68"/>
      <c r="Y487" s="68"/>
      <c r="Z487" s="68"/>
    </row>
    <row r="488">
      <c r="A488" s="68"/>
      <c r="B488" s="68"/>
      <c r="C488" s="68"/>
      <c r="D488" s="68"/>
      <c r="E488" s="68"/>
      <c r="F488" s="68"/>
      <c r="G488" s="68"/>
      <c r="H488" s="68"/>
      <c r="I488" s="68"/>
      <c r="J488" s="68"/>
      <c r="K488" s="68"/>
      <c r="L488" s="68"/>
      <c r="M488" s="68"/>
      <c r="N488" s="68"/>
      <c r="O488" s="68"/>
      <c r="P488" s="68"/>
      <c r="Q488" s="68"/>
      <c r="R488" s="68"/>
      <c r="S488" s="68"/>
      <c r="T488" s="68"/>
      <c r="U488" s="68"/>
      <c r="V488" s="68"/>
      <c r="W488" s="68"/>
      <c r="X488" s="68"/>
      <c r="Y488" s="68"/>
      <c r="Z488" s="68"/>
    </row>
    <row r="489">
      <c r="A489" s="68"/>
      <c r="B489" s="68"/>
      <c r="C489" s="68"/>
      <c r="D489" s="68"/>
      <c r="E489" s="68"/>
      <c r="F489" s="68"/>
      <c r="G489" s="68"/>
      <c r="H489" s="68"/>
      <c r="I489" s="68"/>
      <c r="J489" s="68"/>
      <c r="K489" s="68"/>
      <c r="L489" s="68"/>
      <c r="M489" s="68"/>
      <c r="N489" s="68"/>
      <c r="O489" s="68"/>
      <c r="P489" s="68"/>
      <c r="Q489" s="68"/>
      <c r="R489" s="68"/>
      <c r="S489" s="68"/>
      <c r="T489" s="68"/>
      <c r="U489" s="68"/>
      <c r="V489" s="68"/>
      <c r="W489" s="68"/>
      <c r="X489" s="68"/>
      <c r="Y489" s="68"/>
      <c r="Z489" s="68"/>
    </row>
    <row r="490">
      <c r="A490" s="68"/>
      <c r="B490" s="68"/>
      <c r="C490" s="68"/>
      <c r="D490" s="68"/>
      <c r="E490" s="68"/>
      <c r="F490" s="68"/>
      <c r="G490" s="68"/>
      <c r="H490" s="68"/>
      <c r="I490" s="68"/>
      <c r="J490" s="68"/>
      <c r="K490" s="68"/>
      <c r="L490" s="68"/>
      <c r="M490" s="68"/>
      <c r="N490" s="68"/>
      <c r="O490" s="68"/>
      <c r="P490" s="68"/>
      <c r="Q490" s="68"/>
      <c r="R490" s="68"/>
      <c r="S490" s="68"/>
      <c r="T490" s="68"/>
      <c r="U490" s="68"/>
      <c r="V490" s="68"/>
      <c r="W490" s="68"/>
      <c r="X490" s="68"/>
      <c r="Y490" s="68"/>
      <c r="Z490" s="68"/>
    </row>
    <row r="491">
      <c r="A491" s="68"/>
      <c r="B491" s="68"/>
      <c r="C491" s="68"/>
      <c r="D491" s="68"/>
      <c r="E491" s="68"/>
      <c r="F491" s="68"/>
      <c r="G491" s="68"/>
      <c r="H491" s="68"/>
      <c r="I491" s="68"/>
      <c r="J491" s="68"/>
      <c r="K491" s="68"/>
      <c r="L491" s="68"/>
      <c r="M491" s="68"/>
      <c r="N491" s="68"/>
      <c r="O491" s="68"/>
      <c r="P491" s="68"/>
      <c r="Q491" s="68"/>
      <c r="R491" s="68"/>
      <c r="S491" s="68"/>
      <c r="T491" s="68"/>
      <c r="U491" s="68"/>
      <c r="V491" s="68"/>
      <c r="W491" s="68"/>
      <c r="X491" s="68"/>
      <c r="Y491" s="68"/>
      <c r="Z491" s="68"/>
    </row>
    <row r="492">
      <c r="A492" s="68"/>
      <c r="B492" s="68"/>
      <c r="C492" s="68"/>
      <c r="D492" s="68"/>
      <c r="E492" s="68"/>
      <c r="F492" s="68"/>
      <c r="G492" s="68"/>
      <c r="H492" s="68"/>
      <c r="I492" s="68"/>
      <c r="J492" s="68"/>
      <c r="K492" s="68"/>
      <c r="L492" s="68"/>
      <c r="M492" s="68"/>
      <c r="N492" s="68"/>
      <c r="O492" s="68"/>
      <c r="P492" s="68"/>
      <c r="Q492" s="68"/>
      <c r="R492" s="68"/>
      <c r="S492" s="68"/>
      <c r="T492" s="68"/>
      <c r="U492" s="68"/>
      <c r="V492" s="68"/>
      <c r="W492" s="68"/>
      <c r="X492" s="68"/>
      <c r="Y492" s="68"/>
      <c r="Z492" s="68"/>
    </row>
    <row r="493">
      <c r="A493" s="68"/>
      <c r="B493" s="68"/>
      <c r="C493" s="68"/>
      <c r="D493" s="68"/>
      <c r="E493" s="68"/>
      <c r="F493" s="68"/>
      <c r="G493" s="68"/>
      <c r="H493" s="68"/>
      <c r="I493" s="68"/>
      <c r="J493" s="68"/>
      <c r="K493" s="68"/>
      <c r="L493" s="68"/>
      <c r="M493" s="68"/>
      <c r="N493" s="68"/>
      <c r="O493" s="68"/>
      <c r="P493" s="68"/>
      <c r="Q493" s="68"/>
      <c r="R493" s="68"/>
      <c r="S493" s="68"/>
      <c r="T493" s="68"/>
      <c r="U493" s="68"/>
      <c r="V493" s="68"/>
      <c r="W493" s="68"/>
      <c r="X493" s="68"/>
      <c r="Y493" s="68"/>
      <c r="Z493" s="68"/>
    </row>
    <row r="494">
      <c r="A494" s="68"/>
      <c r="B494" s="68"/>
      <c r="C494" s="68"/>
      <c r="D494" s="68"/>
      <c r="E494" s="68"/>
      <c r="F494" s="68"/>
      <c r="G494" s="68"/>
      <c r="H494" s="68"/>
      <c r="I494" s="68"/>
      <c r="J494" s="68"/>
      <c r="K494" s="68"/>
      <c r="L494" s="68"/>
      <c r="M494" s="68"/>
      <c r="N494" s="68"/>
      <c r="O494" s="68"/>
      <c r="P494" s="68"/>
      <c r="Q494" s="68"/>
      <c r="R494" s="68"/>
      <c r="S494" s="68"/>
      <c r="T494" s="68"/>
      <c r="U494" s="68"/>
      <c r="V494" s="68"/>
      <c r="W494" s="68"/>
      <c r="X494" s="68"/>
      <c r="Y494" s="68"/>
      <c r="Z494" s="68"/>
    </row>
    <row r="495">
      <c r="A495" s="68"/>
      <c r="B495" s="68"/>
      <c r="C495" s="68"/>
      <c r="D495" s="68"/>
      <c r="E495" s="68"/>
      <c r="F495" s="68"/>
      <c r="G495" s="68"/>
      <c r="H495" s="68"/>
      <c r="I495" s="68"/>
      <c r="J495" s="68"/>
      <c r="K495" s="68"/>
      <c r="L495" s="68"/>
      <c r="M495" s="68"/>
      <c r="N495" s="68"/>
      <c r="O495" s="68"/>
      <c r="P495" s="68"/>
      <c r="Q495" s="68"/>
      <c r="R495" s="68"/>
      <c r="S495" s="68"/>
      <c r="T495" s="68"/>
      <c r="U495" s="68"/>
      <c r="V495" s="68"/>
      <c r="W495" s="68"/>
      <c r="X495" s="68"/>
      <c r="Y495" s="68"/>
      <c r="Z495" s="68"/>
    </row>
    <row r="496">
      <c r="A496" s="68"/>
      <c r="B496" s="68"/>
      <c r="C496" s="68"/>
      <c r="D496" s="68"/>
      <c r="E496" s="68"/>
      <c r="F496" s="68"/>
      <c r="G496" s="68"/>
      <c r="H496" s="68"/>
      <c r="I496" s="68"/>
      <c r="J496" s="68"/>
      <c r="K496" s="68"/>
      <c r="L496" s="68"/>
      <c r="M496" s="68"/>
      <c r="N496" s="68"/>
      <c r="O496" s="68"/>
      <c r="P496" s="68"/>
      <c r="Q496" s="68"/>
      <c r="R496" s="68"/>
      <c r="S496" s="68"/>
      <c r="T496" s="68"/>
      <c r="U496" s="68"/>
      <c r="V496" s="68"/>
      <c r="W496" s="68"/>
      <c r="X496" s="68"/>
      <c r="Y496" s="68"/>
      <c r="Z496" s="68"/>
    </row>
    <row r="497">
      <c r="A497" s="68"/>
      <c r="B497" s="68"/>
      <c r="C497" s="68"/>
      <c r="D497" s="68"/>
      <c r="E497" s="68"/>
      <c r="F497" s="68"/>
      <c r="G497" s="68"/>
      <c r="H497" s="68"/>
      <c r="I497" s="68"/>
      <c r="J497" s="68"/>
      <c r="K497" s="68"/>
      <c r="L497" s="68"/>
      <c r="M497" s="68"/>
      <c r="N497" s="68"/>
      <c r="O497" s="68"/>
      <c r="P497" s="68"/>
      <c r="Q497" s="68"/>
      <c r="R497" s="68"/>
      <c r="S497" s="68"/>
      <c r="T497" s="68"/>
      <c r="U497" s="68"/>
      <c r="V497" s="68"/>
      <c r="W497" s="68"/>
      <c r="X497" s="68"/>
      <c r="Y497" s="68"/>
      <c r="Z497" s="68"/>
    </row>
    <row r="498">
      <c r="A498" s="68"/>
      <c r="B498" s="68"/>
      <c r="C498" s="68"/>
      <c r="D498" s="68"/>
      <c r="E498" s="68"/>
      <c r="F498" s="68"/>
      <c r="G498" s="68"/>
      <c r="H498" s="68"/>
      <c r="I498" s="68"/>
      <c r="J498" s="68"/>
      <c r="K498" s="68"/>
      <c r="L498" s="68"/>
      <c r="M498" s="68"/>
      <c r="N498" s="68"/>
      <c r="O498" s="68"/>
      <c r="P498" s="68"/>
      <c r="Q498" s="68"/>
      <c r="R498" s="68"/>
      <c r="S498" s="68"/>
      <c r="T498" s="68"/>
      <c r="U498" s="68"/>
      <c r="V498" s="68"/>
      <c r="W498" s="68"/>
      <c r="X498" s="68"/>
      <c r="Y498" s="68"/>
      <c r="Z498" s="68"/>
    </row>
    <row r="499">
      <c r="A499" s="68"/>
      <c r="B499" s="68"/>
      <c r="C499" s="68"/>
      <c r="D499" s="68"/>
      <c r="E499" s="68"/>
      <c r="F499" s="68"/>
      <c r="G499" s="68"/>
      <c r="H499" s="68"/>
      <c r="I499" s="68"/>
      <c r="J499" s="68"/>
      <c r="K499" s="68"/>
      <c r="L499" s="68"/>
      <c r="M499" s="68"/>
      <c r="N499" s="68"/>
      <c r="O499" s="68"/>
      <c r="P499" s="68"/>
      <c r="Q499" s="68"/>
      <c r="R499" s="68"/>
      <c r="S499" s="68"/>
      <c r="T499" s="68"/>
      <c r="U499" s="68"/>
      <c r="V499" s="68"/>
      <c r="W499" s="68"/>
      <c r="X499" s="68"/>
      <c r="Y499" s="68"/>
      <c r="Z499" s="68"/>
    </row>
    <row r="500">
      <c r="A500" s="68"/>
      <c r="B500" s="68"/>
      <c r="C500" s="68"/>
      <c r="D500" s="68"/>
      <c r="E500" s="68"/>
      <c r="F500" s="68"/>
      <c r="G500" s="68"/>
      <c r="H500" s="68"/>
      <c r="I500" s="68"/>
      <c r="J500" s="68"/>
      <c r="K500" s="68"/>
      <c r="L500" s="68"/>
      <c r="M500" s="68"/>
      <c r="N500" s="68"/>
      <c r="O500" s="68"/>
      <c r="P500" s="68"/>
      <c r="Q500" s="68"/>
      <c r="R500" s="68"/>
      <c r="S500" s="68"/>
      <c r="T500" s="68"/>
      <c r="U500" s="68"/>
      <c r="V500" s="68"/>
      <c r="W500" s="68"/>
      <c r="X500" s="68"/>
      <c r="Y500" s="68"/>
      <c r="Z500" s="68"/>
    </row>
    <row r="501">
      <c r="A501" s="68"/>
      <c r="B501" s="68"/>
      <c r="C501" s="68"/>
      <c r="D501" s="68"/>
      <c r="E501" s="68"/>
      <c r="F501" s="68"/>
      <c r="G501" s="68"/>
      <c r="H501" s="68"/>
      <c r="I501" s="68"/>
      <c r="J501" s="68"/>
      <c r="K501" s="68"/>
      <c r="L501" s="68"/>
      <c r="M501" s="68"/>
      <c r="N501" s="68"/>
      <c r="O501" s="68"/>
      <c r="P501" s="68"/>
      <c r="Q501" s="68"/>
      <c r="R501" s="68"/>
      <c r="S501" s="68"/>
      <c r="T501" s="68"/>
      <c r="U501" s="68"/>
      <c r="V501" s="68"/>
      <c r="W501" s="68"/>
      <c r="X501" s="68"/>
      <c r="Y501" s="68"/>
      <c r="Z501" s="68"/>
    </row>
    <row r="502">
      <c r="A502" s="68"/>
      <c r="B502" s="68"/>
      <c r="C502" s="68"/>
      <c r="D502" s="68"/>
      <c r="E502" s="68"/>
      <c r="F502" s="68"/>
      <c r="G502" s="68"/>
      <c r="H502" s="68"/>
      <c r="I502" s="68"/>
      <c r="J502" s="68"/>
      <c r="K502" s="68"/>
      <c r="L502" s="68"/>
      <c r="M502" s="68"/>
      <c r="N502" s="68"/>
      <c r="O502" s="68"/>
      <c r="P502" s="68"/>
      <c r="Q502" s="68"/>
      <c r="R502" s="68"/>
      <c r="S502" s="68"/>
      <c r="T502" s="68"/>
      <c r="U502" s="68"/>
      <c r="V502" s="68"/>
      <c r="W502" s="68"/>
      <c r="X502" s="68"/>
      <c r="Y502" s="68"/>
      <c r="Z502" s="68"/>
    </row>
    <row r="503">
      <c r="A503" s="68"/>
      <c r="B503" s="68"/>
      <c r="C503" s="68"/>
      <c r="D503" s="68"/>
      <c r="E503" s="68"/>
      <c r="F503" s="68"/>
      <c r="G503" s="68"/>
      <c r="H503" s="68"/>
      <c r="I503" s="68"/>
      <c r="J503" s="68"/>
      <c r="K503" s="68"/>
      <c r="L503" s="68"/>
      <c r="M503" s="68"/>
      <c r="N503" s="68"/>
      <c r="O503" s="68"/>
      <c r="P503" s="68"/>
      <c r="Q503" s="68"/>
      <c r="R503" s="68"/>
      <c r="S503" s="68"/>
      <c r="T503" s="68"/>
      <c r="U503" s="68"/>
      <c r="V503" s="68"/>
      <c r="W503" s="68"/>
      <c r="X503" s="68"/>
      <c r="Y503" s="68"/>
      <c r="Z503" s="68"/>
    </row>
    <row r="504">
      <c r="A504" s="68"/>
      <c r="B504" s="68"/>
      <c r="C504" s="68"/>
      <c r="D504" s="68"/>
      <c r="E504" s="68"/>
      <c r="F504" s="68"/>
      <c r="G504" s="68"/>
      <c r="H504" s="68"/>
      <c r="I504" s="68"/>
      <c r="J504" s="68"/>
      <c r="K504" s="68"/>
      <c r="L504" s="68"/>
      <c r="M504" s="68"/>
      <c r="N504" s="68"/>
      <c r="O504" s="68"/>
      <c r="P504" s="68"/>
      <c r="Q504" s="68"/>
      <c r="R504" s="68"/>
      <c r="S504" s="68"/>
      <c r="T504" s="68"/>
      <c r="U504" s="68"/>
      <c r="V504" s="68"/>
      <c r="W504" s="68"/>
      <c r="X504" s="68"/>
      <c r="Y504" s="68"/>
      <c r="Z504" s="68"/>
    </row>
    <row r="505">
      <c r="A505" s="68"/>
      <c r="B505" s="68"/>
      <c r="C505" s="68"/>
      <c r="D505" s="68"/>
      <c r="E505" s="68"/>
      <c r="F505" s="68"/>
      <c r="G505" s="68"/>
      <c r="H505" s="68"/>
      <c r="I505" s="68"/>
      <c r="J505" s="68"/>
      <c r="K505" s="68"/>
      <c r="L505" s="68"/>
      <c r="M505" s="68"/>
      <c r="N505" s="68"/>
      <c r="O505" s="68"/>
      <c r="P505" s="68"/>
      <c r="Q505" s="68"/>
      <c r="R505" s="68"/>
      <c r="S505" s="68"/>
      <c r="T505" s="68"/>
      <c r="U505" s="68"/>
      <c r="V505" s="68"/>
      <c r="W505" s="68"/>
      <c r="X505" s="68"/>
      <c r="Y505" s="68"/>
      <c r="Z505" s="68"/>
    </row>
    <row r="506">
      <c r="A506" s="68"/>
      <c r="B506" s="68"/>
      <c r="C506" s="68"/>
      <c r="D506" s="68"/>
      <c r="E506" s="68"/>
      <c r="F506" s="68"/>
      <c r="G506" s="68"/>
      <c r="H506" s="68"/>
      <c r="I506" s="68"/>
      <c r="J506" s="68"/>
      <c r="K506" s="68"/>
      <c r="L506" s="68"/>
      <c r="M506" s="68"/>
      <c r="N506" s="68"/>
      <c r="O506" s="68"/>
      <c r="P506" s="68"/>
      <c r="Q506" s="68"/>
      <c r="R506" s="68"/>
      <c r="S506" s="68"/>
      <c r="T506" s="68"/>
      <c r="U506" s="68"/>
      <c r="V506" s="68"/>
      <c r="W506" s="68"/>
      <c r="X506" s="68"/>
      <c r="Y506" s="68"/>
      <c r="Z506" s="68"/>
    </row>
    <row r="507">
      <c r="A507" s="68"/>
      <c r="B507" s="68"/>
      <c r="C507" s="68"/>
      <c r="D507" s="68"/>
      <c r="E507" s="68"/>
      <c r="F507" s="68"/>
      <c r="G507" s="68"/>
      <c r="H507" s="68"/>
      <c r="I507" s="68"/>
      <c r="J507" s="68"/>
      <c r="K507" s="68"/>
      <c r="L507" s="68"/>
      <c r="M507" s="68"/>
      <c r="N507" s="68"/>
      <c r="O507" s="68"/>
      <c r="P507" s="68"/>
      <c r="Q507" s="68"/>
      <c r="R507" s="68"/>
      <c r="S507" s="68"/>
      <c r="T507" s="68"/>
      <c r="U507" s="68"/>
      <c r="V507" s="68"/>
      <c r="W507" s="68"/>
      <c r="X507" s="68"/>
      <c r="Y507" s="68"/>
      <c r="Z507" s="68"/>
    </row>
    <row r="508">
      <c r="A508" s="68"/>
      <c r="B508" s="68"/>
      <c r="C508" s="68"/>
      <c r="D508" s="68"/>
      <c r="E508" s="68"/>
      <c r="F508" s="68"/>
      <c r="G508" s="68"/>
      <c r="H508" s="68"/>
      <c r="I508" s="68"/>
      <c r="J508" s="68"/>
      <c r="K508" s="68"/>
      <c r="L508" s="68"/>
      <c r="M508" s="68"/>
      <c r="N508" s="68"/>
      <c r="O508" s="68"/>
      <c r="P508" s="68"/>
      <c r="Q508" s="68"/>
      <c r="R508" s="68"/>
      <c r="S508" s="68"/>
      <c r="T508" s="68"/>
      <c r="U508" s="68"/>
      <c r="V508" s="68"/>
      <c r="W508" s="68"/>
      <c r="X508" s="68"/>
      <c r="Y508" s="68"/>
      <c r="Z508" s="68"/>
    </row>
    <row r="509">
      <c r="A509" s="68"/>
      <c r="B509" s="68"/>
      <c r="C509" s="68"/>
      <c r="D509" s="68"/>
      <c r="E509" s="68"/>
      <c r="F509" s="68"/>
      <c r="G509" s="68"/>
      <c r="H509" s="68"/>
      <c r="I509" s="68"/>
      <c r="J509" s="68"/>
      <c r="K509" s="68"/>
      <c r="L509" s="68"/>
      <c r="M509" s="68"/>
      <c r="N509" s="68"/>
      <c r="O509" s="68"/>
      <c r="P509" s="68"/>
      <c r="Q509" s="68"/>
      <c r="R509" s="68"/>
      <c r="S509" s="68"/>
      <c r="T509" s="68"/>
      <c r="U509" s="68"/>
      <c r="V509" s="68"/>
      <c r="W509" s="68"/>
      <c r="X509" s="68"/>
      <c r="Y509" s="68"/>
      <c r="Z509" s="68"/>
    </row>
    <row r="510">
      <c r="A510" s="68"/>
      <c r="B510" s="68"/>
      <c r="C510" s="68"/>
      <c r="D510" s="68"/>
      <c r="E510" s="68"/>
      <c r="F510" s="68"/>
      <c r="G510" s="68"/>
      <c r="H510" s="68"/>
      <c r="I510" s="68"/>
      <c r="J510" s="68"/>
      <c r="K510" s="68"/>
      <c r="L510" s="68"/>
      <c r="M510" s="68"/>
      <c r="N510" s="68"/>
      <c r="O510" s="68"/>
      <c r="P510" s="68"/>
      <c r="Q510" s="68"/>
      <c r="R510" s="68"/>
      <c r="S510" s="68"/>
      <c r="T510" s="68"/>
      <c r="U510" s="68"/>
      <c r="V510" s="68"/>
      <c r="W510" s="68"/>
      <c r="X510" s="68"/>
      <c r="Y510" s="68"/>
      <c r="Z510" s="68"/>
    </row>
    <row r="511">
      <c r="A511" s="68"/>
      <c r="B511" s="68"/>
      <c r="C511" s="68"/>
      <c r="D511" s="68"/>
      <c r="E511" s="68"/>
      <c r="F511" s="68"/>
      <c r="G511" s="68"/>
      <c r="H511" s="68"/>
      <c r="I511" s="68"/>
      <c r="J511" s="68"/>
      <c r="K511" s="68"/>
      <c r="L511" s="68"/>
      <c r="M511" s="68"/>
      <c r="N511" s="68"/>
      <c r="O511" s="68"/>
      <c r="P511" s="68"/>
      <c r="Q511" s="68"/>
      <c r="R511" s="68"/>
      <c r="S511" s="68"/>
      <c r="T511" s="68"/>
      <c r="U511" s="68"/>
      <c r="V511" s="68"/>
      <c r="W511" s="68"/>
      <c r="X511" s="68"/>
      <c r="Y511" s="68"/>
      <c r="Z511" s="68"/>
    </row>
    <row r="512">
      <c r="A512" s="68"/>
      <c r="B512" s="68"/>
      <c r="C512" s="68"/>
      <c r="D512" s="68"/>
      <c r="E512" s="68"/>
      <c r="F512" s="68"/>
      <c r="G512" s="68"/>
      <c r="H512" s="68"/>
      <c r="I512" s="68"/>
      <c r="J512" s="68"/>
      <c r="K512" s="68"/>
      <c r="L512" s="68"/>
      <c r="M512" s="68"/>
      <c r="N512" s="68"/>
      <c r="O512" s="68"/>
      <c r="P512" s="68"/>
      <c r="Q512" s="68"/>
      <c r="R512" s="68"/>
      <c r="S512" s="68"/>
      <c r="T512" s="68"/>
      <c r="U512" s="68"/>
      <c r="V512" s="68"/>
      <c r="W512" s="68"/>
      <c r="X512" s="68"/>
      <c r="Y512" s="68"/>
      <c r="Z512" s="68"/>
    </row>
    <row r="513">
      <c r="A513" s="68"/>
      <c r="B513" s="68"/>
      <c r="C513" s="68"/>
      <c r="D513" s="68"/>
      <c r="E513" s="68"/>
      <c r="F513" s="68"/>
      <c r="G513" s="68"/>
      <c r="H513" s="68"/>
      <c r="I513" s="68"/>
      <c r="J513" s="68"/>
      <c r="K513" s="68"/>
      <c r="L513" s="68"/>
      <c r="M513" s="68"/>
      <c r="N513" s="68"/>
      <c r="O513" s="68"/>
      <c r="P513" s="68"/>
      <c r="Q513" s="68"/>
      <c r="R513" s="68"/>
      <c r="S513" s="68"/>
      <c r="T513" s="68"/>
      <c r="U513" s="68"/>
      <c r="V513" s="68"/>
      <c r="W513" s="68"/>
      <c r="X513" s="68"/>
      <c r="Y513" s="68"/>
      <c r="Z513" s="68"/>
    </row>
    <row r="514">
      <c r="A514" s="68"/>
      <c r="B514" s="68"/>
      <c r="C514" s="68"/>
      <c r="D514" s="68"/>
      <c r="E514" s="68"/>
      <c r="F514" s="68"/>
      <c r="G514" s="68"/>
      <c r="H514" s="68"/>
      <c r="I514" s="68"/>
      <c r="J514" s="68"/>
      <c r="K514" s="68"/>
      <c r="L514" s="68"/>
      <c r="M514" s="68"/>
      <c r="N514" s="68"/>
      <c r="O514" s="68"/>
      <c r="P514" s="68"/>
      <c r="Q514" s="68"/>
      <c r="R514" s="68"/>
      <c r="S514" s="68"/>
      <c r="T514" s="68"/>
      <c r="U514" s="68"/>
      <c r="V514" s="68"/>
      <c r="W514" s="68"/>
      <c r="X514" s="68"/>
      <c r="Y514" s="68"/>
      <c r="Z514" s="68"/>
    </row>
    <row r="515">
      <c r="A515" s="68"/>
      <c r="B515" s="68"/>
      <c r="C515" s="68"/>
      <c r="D515" s="68"/>
      <c r="E515" s="68"/>
      <c r="F515" s="68"/>
      <c r="G515" s="68"/>
      <c r="H515" s="68"/>
      <c r="I515" s="68"/>
      <c r="J515" s="68"/>
      <c r="K515" s="68"/>
      <c r="L515" s="68"/>
      <c r="M515" s="68"/>
      <c r="N515" s="68"/>
      <c r="O515" s="68"/>
      <c r="P515" s="68"/>
      <c r="Q515" s="68"/>
      <c r="R515" s="68"/>
      <c r="S515" s="68"/>
      <c r="T515" s="68"/>
      <c r="U515" s="68"/>
      <c r="V515" s="68"/>
      <c r="W515" s="68"/>
      <c r="X515" s="68"/>
      <c r="Y515" s="68"/>
      <c r="Z515" s="68"/>
    </row>
    <row r="516">
      <c r="A516" s="68"/>
      <c r="B516" s="68"/>
      <c r="C516" s="68"/>
      <c r="D516" s="68"/>
      <c r="E516" s="68"/>
      <c r="F516" s="68"/>
      <c r="G516" s="68"/>
      <c r="H516" s="68"/>
      <c r="I516" s="68"/>
      <c r="J516" s="68"/>
      <c r="K516" s="68"/>
      <c r="L516" s="68"/>
      <c r="M516" s="68"/>
      <c r="N516" s="68"/>
      <c r="O516" s="68"/>
      <c r="P516" s="68"/>
      <c r="Q516" s="68"/>
      <c r="R516" s="68"/>
      <c r="S516" s="68"/>
      <c r="T516" s="68"/>
      <c r="U516" s="68"/>
      <c r="V516" s="68"/>
      <c r="W516" s="68"/>
      <c r="X516" s="68"/>
      <c r="Y516" s="68"/>
      <c r="Z516" s="68"/>
    </row>
    <row r="517">
      <c r="A517" s="68"/>
      <c r="B517" s="68"/>
      <c r="C517" s="68"/>
      <c r="D517" s="68"/>
      <c r="E517" s="68"/>
      <c r="F517" s="68"/>
      <c r="G517" s="68"/>
      <c r="H517" s="68"/>
      <c r="I517" s="68"/>
      <c r="J517" s="68"/>
      <c r="K517" s="68"/>
      <c r="L517" s="68"/>
      <c r="M517" s="68"/>
      <c r="N517" s="68"/>
      <c r="O517" s="68"/>
      <c r="P517" s="68"/>
      <c r="Q517" s="68"/>
      <c r="R517" s="68"/>
      <c r="S517" s="68"/>
      <c r="T517" s="68"/>
      <c r="U517" s="68"/>
      <c r="V517" s="68"/>
      <c r="W517" s="68"/>
      <c r="X517" s="68"/>
      <c r="Y517" s="68"/>
      <c r="Z517" s="68"/>
    </row>
    <row r="518">
      <c r="A518" s="68"/>
      <c r="B518" s="68"/>
      <c r="C518" s="68"/>
      <c r="D518" s="68"/>
      <c r="E518" s="68"/>
      <c r="F518" s="68"/>
      <c r="G518" s="68"/>
      <c r="H518" s="68"/>
      <c r="I518" s="68"/>
      <c r="J518" s="68"/>
      <c r="K518" s="68"/>
      <c r="L518" s="68"/>
      <c r="M518" s="68"/>
      <c r="N518" s="68"/>
      <c r="O518" s="68"/>
      <c r="P518" s="68"/>
      <c r="Q518" s="68"/>
      <c r="R518" s="68"/>
      <c r="S518" s="68"/>
      <c r="T518" s="68"/>
      <c r="U518" s="68"/>
      <c r="V518" s="68"/>
      <c r="W518" s="68"/>
      <c r="X518" s="68"/>
      <c r="Y518" s="68"/>
      <c r="Z518" s="68"/>
    </row>
    <row r="519">
      <c r="A519" s="68"/>
      <c r="B519" s="68"/>
      <c r="C519" s="68"/>
      <c r="D519" s="68"/>
      <c r="E519" s="68"/>
      <c r="F519" s="68"/>
      <c r="G519" s="68"/>
      <c r="H519" s="68"/>
      <c r="I519" s="68"/>
      <c r="J519" s="68"/>
      <c r="K519" s="68"/>
      <c r="L519" s="68"/>
      <c r="M519" s="68"/>
      <c r="N519" s="68"/>
      <c r="O519" s="68"/>
      <c r="P519" s="68"/>
      <c r="Q519" s="68"/>
      <c r="R519" s="68"/>
      <c r="S519" s="68"/>
      <c r="T519" s="68"/>
      <c r="U519" s="68"/>
      <c r="V519" s="68"/>
      <c r="W519" s="68"/>
      <c r="X519" s="68"/>
      <c r="Y519" s="68"/>
      <c r="Z519" s="68"/>
    </row>
    <row r="520">
      <c r="A520" s="68"/>
      <c r="B520" s="68"/>
      <c r="C520" s="68"/>
      <c r="D520" s="68"/>
      <c r="E520" s="68"/>
      <c r="F520" s="68"/>
      <c r="G520" s="68"/>
      <c r="H520" s="68"/>
      <c r="I520" s="68"/>
      <c r="J520" s="68"/>
      <c r="K520" s="68"/>
      <c r="L520" s="68"/>
      <c r="M520" s="68"/>
      <c r="N520" s="68"/>
      <c r="O520" s="68"/>
      <c r="P520" s="68"/>
      <c r="Q520" s="68"/>
      <c r="R520" s="68"/>
      <c r="S520" s="68"/>
      <c r="T520" s="68"/>
      <c r="U520" s="68"/>
      <c r="V520" s="68"/>
      <c r="W520" s="68"/>
      <c r="X520" s="68"/>
      <c r="Y520" s="68"/>
      <c r="Z520" s="68"/>
    </row>
    <row r="521">
      <c r="A521" s="68"/>
      <c r="B521" s="68"/>
      <c r="C521" s="68"/>
      <c r="D521" s="68"/>
      <c r="E521" s="68"/>
      <c r="F521" s="68"/>
      <c r="G521" s="68"/>
      <c r="H521" s="68"/>
      <c r="I521" s="68"/>
      <c r="J521" s="68"/>
      <c r="K521" s="68"/>
      <c r="L521" s="68"/>
      <c r="M521" s="68"/>
      <c r="N521" s="68"/>
      <c r="O521" s="68"/>
      <c r="P521" s="68"/>
      <c r="Q521" s="68"/>
      <c r="R521" s="68"/>
      <c r="S521" s="68"/>
      <c r="T521" s="68"/>
      <c r="U521" s="68"/>
      <c r="V521" s="68"/>
      <c r="W521" s="68"/>
      <c r="X521" s="68"/>
      <c r="Y521" s="68"/>
      <c r="Z521" s="68"/>
    </row>
    <row r="522">
      <c r="A522" s="68"/>
      <c r="B522" s="68"/>
      <c r="C522" s="68"/>
      <c r="D522" s="68"/>
      <c r="E522" s="68"/>
      <c r="F522" s="68"/>
      <c r="G522" s="68"/>
      <c r="H522" s="68"/>
      <c r="I522" s="68"/>
      <c r="J522" s="68"/>
      <c r="K522" s="68"/>
      <c r="L522" s="68"/>
      <c r="M522" s="68"/>
      <c r="N522" s="68"/>
      <c r="O522" s="68"/>
      <c r="P522" s="68"/>
      <c r="Q522" s="68"/>
      <c r="R522" s="68"/>
      <c r="S522" s="68"/>
      <c r="T522" s="68"/>
      <c r="U522" s="68"/>
      <c r="V522" s="68"/>
      <c r="W522" s="68"/>
      <c r="X522" s="68"/>
      <c r="Y522" s="68"/>
      <c r="Z522" s="68"/>
    </row>
    <row r="523">
      <c r="A523" s="68"/>
      <c r="B523" s="68"/>
      <c r="C523" s="68"/>
      <c r="D523" s="68"/>
      <c r="E523" s="68"/>
      <c r="F523" s="68"/>
      <c r="G523" s="68"/>
      <c r="H523" s="68"/>
      <c r="I523" s="68"/>
      <c r="J523" s="68"/>
      <c r="K523" s="68"/>
      <c r="L523" s="68"/>
      <c r="M523" s="68"/>
      <c r="N523" s="68"/>
      <c r="O523" s="68"/>
      <c r="P523" s="68"/>
      <c r="Q523" s="68"/>
      <c r="R523" s="68"/>
      <c r="S523" s="68"/>
      <c r="T523" s="68"/>
      <c r="U523" s="68"/>
      <c r="V523" s="68"/>
      <c r="W523" s="68"/>
      <c r="X523" s="68"/>
      <c r="Y523" s="68"/>
      <c r="Z523" s="68"/>
    </row>
    <row r="524">
      <c r="A524" s="68"/>
      <c r="B524" s="68"/>
      <c r="C524" s="68"/>
      <c r="D524" s="68"/>
      <c r="E524" s="68"/>
      <c r="F524" s="68"/>
      <c r="G524" s="68"/>
      <c r="H524" s="68"/>
      <c r="I524" s="68"/>
      <c r="J524" s="68"/>
      <c r="K524" s="68"/>
      <c r="L524" s="68"/>
      <c r="M524" s="68"/>
      <c r="N524" s="68"/>
      <c r="O524" s="68"/>
      <c r="P524" s="68"/>
      <c r="Q524" s="68"/>
      <c r="R524" s="68"/>
      <c r="S524" s="68"/>
      <c r="T524" s="68"/>
      <c r="U524" s="68"/>
      <c r="V524" s="68"/>
      <c r="W524" s="68"/>
      <c r="X524" s="68"/>
      <c r="Y524" s="68"/>
      <c r="Z524" s="68"/>
    </row>
    <row r="525">
      <c r="A525" s="68"/>
      <c r="B525" s="68"/>
      <c r="C525" s="68"/>
      <c r="D525" s="68"/>
      <c r="E525" s="68"/>
      <c r="F525" s="68"/>
      <c r="G525" s="68"/>
      <c r="H525" s="68"/>
      <c r="I525" s="68"/>
      <c r="J525" s="68"/>
      <c r="K525" s="68"/>
      <c r="L525" s="68"/>
      <c r="M525" s="68"/>
      <c r="N525" s="68"/>
      <c r="O525" s="68"/>
      <c r="P525" s="68"/>
      <c r="Q525" s="68"/>
      <c r="R525" s="68"/>
      <c r="S525" s="68"/>
      <c r="T525" s="68"/>
      <c r="U525" s="68"/>
      <c r="V525" s="68"/>
      <c r="W525" s="68"/>
      <c r="X525" s="68"/>
      <c r="Y525" s="68"/>
      <c r="Z525" s="68"/>
    </row>
    <row r="526">
      <c r="A526" s="68"/>
      <c r="B526" s="68"/>
      <c r="C526" s="68"/>
      <c r="D526" s="68"/>
      <c r="E526" s="68"/>
      <c r="F526" s="68"/>
      <c r="G526" s="68"/>
      <c r="H526" s="68"/>
      <c r="I526" s="68"/>
      <c r="J526" s="68"/>
      <c r="K526" s="68"/>
      <c r="L526" s="68"/>
      <c r="M526" s="68"/>
      <c r="N526" s="68"/>
      <c r="O526" s="68"/>
      <c r="P526" s="68"/>
      <c r="Q526" s="68"/>
      <c r="R526" s="68"/>
      <c r="S526" s="68"/>
      <c r="T526" s="68"/>
      <c r="U526" s="68"/>
      <c r="V526" s="68"/>
      <c r="W526" s="68"/>
      <c r="X526" s="68"/>
      <c r="Y526" s="68"/>
      <c r="Z526" s="68"/>
    </row>
    <row r="527">
      <c r="A527" s="68"/>
      <c r="B527" s="68"/>
      <c r="C527" s="68"/>
      <c r="D527" s="68"/>
      <c r="E527" s="68"/>
      <c r="F527" s="68"/>
      <c r="G527" s="68"/>
      <c r="H527" s="68"/>
      <c r="I527" s="68"/>
      <c r="J527" s="68"/>
      <c r="K527" s="68"/>
      <c r="L527" s="68"/>
      <c r="M527" s="68"/>
      <c r="N527" s="68"/>
      <c r="O527" s="68"/>
      <c r="P527" s="68"/>
      <c r="Q527" s="68"/>
      <c r="R527" s="68"/>
      <c r="S527" s="68"/>
      <c r="T527" s="68"/>
      <c r="U527" s="68"/>
      <c r="V527" s="68"/>
      <c r="W527" s="68"/>
      <c r="X527" s="68"/>
      <c r="Y527" s="68"/>
      <c r="Z527" s="68"/>
    </row>
    <row r="528">
      <c r="A528" s="68"/>
      <c r="B528" s="68"/>
      <c r="C528" s="68"/>
      <c r="D528" s="68"/>
      <c r="E528" s="68"/>
      <c r="F528" s="68"/>
      <c r="G528" s="68"/>
      <c r="H528" s="68"/>
      <c r="I528" s="68"/>
      <c r="J528" s="68"/>
      <c r="K528" s="68"/>
      <c r="L528" s="68"/>
      <c r="M528" s="68"/>
      <c r="N528" s="68"/>
      <c r="O528" s="68"/>
      <c r="P528" s="68"/>
      <c r="Q528" s="68"/>
      <c r="R528" s="68"/>
      <c r="S528" s="68"/>
      <c r="T528" s="68"/>
      <c r="U528" s="68"/>
      <c r="V528" s="68"/>
      <c r="W528" s="68"/>
      <c r="X528" s="68"/>
      <c r="Y528" s="68"/>
      <c r="Z528" s="68"/>
    </row>
    <row r="529">
      <c r="A529" s="68"/>
      <c r="B529" s="68"/>
      <c r="C529" s="68"/>
      <c r="D529" s="68"/>
      <c r="E529" s="68"/>
      <c r="F529" s="68"/>
      <c r="G529" s="68"/>
      <c r="H529" s="68"/>
      <c r="I529" s="68"/>
      <c r="J529" s="68"/>
      <c r="K529" s="68"/>
      <c r="L529" s="68"/>
      <c r="M529" s="68"/>
      <c r="N529" s="68"/>
      <c r="O529" s="68"/>
      <c r="P529" s="68"/>
      <c r="Q529" s="68"/>
      <c r="R529" s="68"/>
      <c r="S529" s="68"/>
      <c r="T529" s="68"/>
      <c r="U529" s="68"/>
      <c r="V529" s="68"/>
      <c r="W529" s="68"/>
      <c r="X529" s="68"/>
      <c r="Y529" s="68"/>
      <c r="Z529" s="68"/>
    </row>
    <row r="530">
      <c r="A530" s="68"/>
      <c r="B530" s="68"/>
      <c r="C530" s="68"/>
      <c r="D530" s="68"/>
      <c r="E530" s="68"/>
      <c r="F530" s="68"/>
      <c r="G530" s="68"/>
      <c r="H530" s="68"/>
      <c r="I530" s="68"/>
      <c r="J530" s="68"/>
      <c r="K530" s="68"/>
      <c r="L530" s="68"/>
      <c r="M530" s="68"/>
      <c r="N530" s="68"/>
      <c r="O530" s="68"/>
      <c r="P530" s="68"/>
      <c r="Q530" s="68"/>
      <c r="R530" s="68"/>
      <c r="S530" s="68"/>
      <c r="T530" s="68"/>
      <c r="U530" s="68"/>
      <c r="V530" s="68"/>
      <c r="W530" s="68"/>
      <c r="X530" s="68"/>
      <c r="Y530" s="68"/>
      <c r="Z530" s="68"/>
    </row>
    <row r="531">
      <c r="A531" s="68"/>
      <c r="B531" s="68"/>
      <c r="C531" s="68"/>
      <c r="D531" s="68"/>
      <c r="E531" s="68"/>
      <c r="F531" s="68"/>
      <c r="G531" s="68"/>
      <c r="H531" s="68"/>
      <c r="I531" s="68"/>
      <c r="J531" s="68"/>
      <c r="K531" s="68"/>
      <c r="L531" s="68"/>
      <c r="M531" s="68"/>
      <c r="N531" s="68"/>
      <c r="O531" s="68"/>
      <c r="P531" s="68"/>
      <c r="Q531" s="68"/>
      <c r="R531" s="68"/>
      <c r="S531" s="68"/>
      <c r="T531" s="68"/>
      <c r="U531" s="68"/>
      <c r="V531" s="68"/>
      <c r="W531" s="68"/>
      <c r="X531" s="68"/>
      <c r="Y531" s="68"/>
      <c r="Z531" s="68"/>
    </row>
    <row r="532">
      <c r="A532" s="68"/>
      <c r="B532" s="68"/>
      <c r="C532" s="68"/>
      <c r="D532" s="68"/>
      <c r="E532" s="68"/>
      <c r="F532" s="68"/>
      <c r="G532" s="68"/>
      <c r="H532" s="68"/>
      <c r="I532" s="68"/>
      <c r="J532" s="68"/>
      <c r="K532" s="68"/>
      <c r="L532" s="68"/>
      <c r="M532" s="68"/>
      <c r="N532" s="68"/>
      <c r="O532" s="68"/>
      <c r="P532" s="68"/>
      <c r="Q532" s="68"/>
      <c r="R532" s="68"/>
      <c r="S532" s="68"/>
      <c r="T532" s="68"/>
      <c r="U532" s="68"/>
      <c r="V532" s="68"/>
      <c r="W532" s="68"/>
      <c r="X532" s="68"/>
      <c r="Y532" s="68"/>
      <c r="Z532" s="68"/>
    </row>
    <row r="533">
      <c r="A533" s="68"/>
      <c r="B533" s="68"/>
      <c r="C533" s="68"/>
      <c r="D533" s="68"/>
      <c r="E533" s="68"/>
      <c r="F533" s="68"/>
      <c r="G533" s="68"/>
      <c r="H533" s="68"/>
      <c r="I533" s="68"/>
      <c r="J533" s="68"/>
      <c r="K533" s="68"/>
      <c r="L533" s="68"/>
      <c r="M533" s="68"/>
      <c r="N533" s="68"/>
      <c r="O533" s="68"/>
      <c r="P533" s="68"/>
      <c r="Q533" s="68"/>
      <c r="R533" s="68"/>
      <c r="S533" s="68"/>
      <c r="T533" s="68"/>
      <c r="U533" s="68"/>
      <c r="V533" s="68"/>
      <c r="W533" s="68"/>
      <c r="X533" s="68"/>
      <c r="Y533" s="68"/>
      <c r="Z533" s="68"/>
    </row>
    <row r="534">
      <c r="A534" s="68"/>
      <c r="B534" s="68"/>
      <c r="C534" s="68"/>
      <c r="D534" s="68"/>
      <c r="E534" s="68"/>
      <c r="F534" s="68"/>
      <c r="G534" s="68"/>
      <c r="H534" s="68"/>
      <c r="I534" s="68"/>
      <c r="J534" s="68"/>
      <c r="K534" s="68"/>
      <c r="L534" s="68"/>
      <c r="M534" s="68"/>
      <c r="N534" s="68"/>
      <c r="O534" s="68"/>
      <c r="P534" s="68"/>
      <c r="Q534" s="68"/>
      <c r="R534" s="68"/>
      <c r="S534" s="68"/>
      <c r="T534" s="68"/>
      <c r="U534" s="68"/>
      <c r="V534" s="68"/>
      <c r="W534" s="68"/>
      <c r="X534" s="68"/>
      <c r="Y534" s="68"/>
      <c r="Z534" s="68"/>
    </row>
    <row r="535">
      <c r="A535" s="68"/>
      <c r="B535" s="68"/>
      <c r="C535" s="68"/>
      <c r="D535" s="68"/>
      <c r="E535" s="68"/>
      <c r="F535" s="68"/>
      <c r="G535" s="68"/>
      <c r="H535" s="68"/>
      <c r="I535" s="68"/>
      <c r="J535" s="68"/>
      <c r="K535" s="68"/>
      <c r="L535" s="68"/>
      <c r="M535" s="68"/>
      <c r="N535" s="68"/>
      <c r="O535" s="68"/>
      <c r="P535" s="68"/>
      <c r="Q535" s="68"/>
      <c r="R535" s="68"/>
      <c r="S535" s="68"/>
      <c r="T535" s="68"/>
      <c r="U535" s="68"/>
      <c r="V535" s="68"/>
      <c r="W535" s="68"/>
      <c r="X535" s="68"/>
      <c r="Y535" s="68"/>
      <c r="Z535" s="68"/>
    </row>
    <row r="536">
      <c r="A536" s="68"/>
      <c r="B536" s="68"/>
      <c r="C536" s="68"/>
      <c r="D536" s="68"/>
      <c r="E536" s="68"/>
      <c r="F536" s="68"/>
      <c r="G536" s="68"/>
      <c r="H536" s="68"/>
      <c r="I536" s="68"/>
      <c r="J536" s="68"/>
      <c r="K536" s="68"/>
      <c r="L536" s="68"/>
      <c r="M536" s="68"/>
      <c r="N536" s="68"/>
      <c r="O536" s="68"/>
      <c r="P536" s="68"/>
      <c r="Q536" s="68"/>
      <c r="R536" s="68"/>
      <c r="S536" s="68"/>
      <c r="T536" s="68"/>
      <c r="U536" s="68"/>
      <c r="V536" s="68"/>
      <c r="W536" s="68"/>
      <c r="X536" s="68"/>
      <c r="Y536" s="68"/>
      <c r="Z536" s="68"/>
    </row>
    <row r="537">
      <c r="A537" s="68"/>
      <c r="B537" s="68"/>
      <c r="C537" s="68"/>
      <c r="D537" s="68"/>
      <c r="E537" s="68"/>
      <c r="F537" s="68"/>
      <c r="G537" s="68"/>
      <c r="H537" s="68"/>
      <c r="I537" s="68"/>
      <c r="J537" s="68"/>
      <c r="K537" s="68"/>
      <c r="L537" s="68"/>
      <c r="M537" s="68"/>
      <c r="N537" s="68"/>
      <c r="O537" s="68"/>
      <c r="P537" s="68"/>
      <c r="Q537" s="68"/>
      <c r="R537" s="68"/>
      <c r="S537" s="68"/>
      <c r="T537" s="68"/>
      <c r="U537" s="68"/>
      <c r="V537" s="68"/>
      <c r="W537" s="68"/>
      <c r="X537" s="68"/>
      <c r="Y537" s="68"/>
      <c r="Z537" s="68"/>
    </row>
    <row r="538">
      <c r="A538" s="68"/>
      <c r="B538" s="68"/>
      <c r="C538" s="68"/>
      <c r="D538" s="68"/>
      <c r="E538" s="68"/>
      <c r="F538" s="68"/>
      <c r="G538" s="68"/>
      <c r="H538" s="68"/>
      <c r="I538" s="68"/>
      <c r="J538" s="68"/>
      <c r="K538" s="68"/>
      <c r="L538" s="68"/>
      <c r="M538" s="68"/>
      <c r="N538" s="68"/>
      <c r="O538" s="68"/>
      <c r="P538" s="68"/>
      <c r="Q538" s="68"/>
      <c r="R538" s="68"/>
      <c r="S538" s="68"/>
      <c r="T538" s="68"/>
      <c r="U538" s="68"/>
      <c r="V538" s="68"/>
      <c r="W538" s="68"/>
      <c r="X538" s="68"/>
      <c r="Y538" s="68"/>
      <c r="Z538" s="68"/>
    </row>
    <row r="539">
      <c r="A539" s="68"/>
      <c r="B539" s="68"/>
      <c r="C539" s="68"/>
      <c r="D539" s="68"/>
      <c r="E539" s="68"/>
      <c r="F539" s="68"/>
      <c r="G539" s="68"/>
      <c r="H539" s="68"/>
      <c r="I539" s="68"/>
      <c r="J539" s="68"/>
      <c r="K539" s="68"/>
      <c r="L539" s="68"/>
      <c r="M539" s="68"/>
      <c r="N539" s="68"/>
      <c r="O539" s="68"/>
      <c r="P539" s="68"/>
      <c r="Q539" s="68"/>
      <c r="R539" s="68"/>
      <c r="S539" s="68"/>
      <c r="T539" s="68"/>
      <c r="U539" s="68"/>
      <c r="V539" s="68"/>
      <c r="W539" s="68"/>
      <c r="X539" s="68"/>
      <c r="Y539" s="68"/>
      <c r="Z539" s="68"/>
    </row>
    <row r="540">
      <c r="A540" s="68"/>
      <c r="B540" s="68"/>
      <c r="C540" s="68"/>
      <c r="D540" s="68"/>
      <c r="E540" s="68"/>
      <c r="F540" s="68"/>
      <c r="G540" s="68"/>
      <c r="H540" s="68"/>
      <c r="I540" s="68"/>
      <c r="J540" s="68"/>
      <c r="K540" s="68"/>
      <c r="L540" s="68"/>
      <c r="M540" s="68"/>
      <c r="N540" s="68"/>
      <c r="O540" s="68"/>
      <c r="P540" s="68"/>
      <c r="Q540" s="68"/>
      <c r="R540" s="68"/>
      <c r="S540" s="68"/>
      <c r="T540" s="68"/>
      <c r="U540" s="68"/>
      <c r="V540" s="68"/>
      <c r="W540" s="68"/>
      <c r="X540" s="68"/>
      <c r="Y540" s="68"/>
      <c r="Z540" s="68"/>
    </row>
    <row r="541">
      <c r="A541" s="68"/>
      <c r="B541" s="68"/>
      <c r="C541" s="68"/>
      <c r="D541" s="68"/>
      <c r="E541" s="68"/>
      <c r="F541" s="68"/>
      <c r="G541" s="68"/>
      <c r="H541" s="68"/>
      <c r="I541" s="68"/>
      <c r="J541" s="68"/>
      <c r="K541" s="68"/>
      <c r="L541" s="68"/>
      <c r="M541" s="68"/>
      <c r="N541" s="68"/>
      <c r="O541" s="68"/>
      <c r="P541" s="68"/>
      <c r="Q541" s="68"/>
      <c r="R541" s="68"/>
      <c r="S541" s="68"/>
      <c r="T541" s="68"/>
      <c r="U541" s="68"/>
      <c r="V541" s="68"/>
      <c r="W541" s="68"/>
      <c r="X541" s="68"/>
      <c r="Y541" s="68"/>
      <c r="Z541" s="68"/>
    </row>
    <row r="542">
      <c r="A542" s="68"/>
      <c r="B542" s="68"/>
      <c r="C542" s="68"/>
      <c r="D542" s="68"/>
      <c r="E542" s="68"/>
      <c r="F542" s="68"/>
      <c r="G542" s="68"/>
      <c r="H542" s="68"/>
      <c r="I542" s="68"/>
      <c r="J542" s="68"/>
      <c r="K542" s="68"/>
      <c r="L542" s="68"/>
      <c r="M542" s="68"/>
      <c r="N542" s="68"/>
      <c r="O542" s="68"/>
      <c r="P542" s="68"/>
      <c r="Q542" s="68"/>
      <c r="R542" s="68"/>
      <c r="S542" s="68"/>
      <c r="T542" s="68"/>
      <c r="U542" s="68"/>
      <c r="V542" s="68"/>
      <c r="W542" s="68"/>
      <c r="X542" s="68"/>
      <c r="Y542" s="68"/>
      <c r="Z542" s="68"/>
    </row>
    <row r="543">
      <c r="A543" s="68"/>
      <c r="B543" s="68"/>
      <c r="C543" s="68"/>
      <c r="D543" s="68"/>
      <c r="E543" s="68"/>
      <c r="F543" s="68"/>
      <c r="G543" s="68"/>
      <c r="H543" s="68"/>
      <c r="I543" s="68"/>
      <c r="J543" s="68"/>
      <c r="K543" s="68"/>
      <c r="L543" s="68"/>
      <c r="M543" s="68"/>
      <c r="N543" s="68"/>
      <c r="O543" s="68"/>
      <c r="P543" s="68"/>
      <c r="Q543" s="68"/>
      <c r="R543" s="68"/>
      <c r="S543" s="68"/>
      <c r="T543" s="68"/>
      <c r="U543" s="68"/>
      <c r="V543" s="68"/>
      <c r="W543" s="68"/>
      <c r="X543" s="68"/>
      <c r="Y543" s="68"/>
      <c r="Z543" s="68"/>
    </row>
    <row r="544">
      <c r="A544" s="68"/>
      <c r="B544" s="68"/>
      <c r="C544" s="68"/>
      <c r="D544" s="68"/>
      <c r="E544" s="68"/>
      <c r="F544" s="68"/>
      <c r="G544" s="68"/>
      <c r="H544" s="68"/>
      <c r="I544" s="68"/>
      <c r="J544" s="68"/>
      <c r="K544" s="68"/>
      <c r="L544" s="68"/>
      <c r="M544" s="68"/>
      <c r="N544" s="68"/>
      <c r="O544" s="68"/>
      <c r="P544" s="68"/>
      <c r="Q544" s="68"/>
      <c r="R544" s="68"/>
      <c r="S544" s="68"/>
      <c r="T544" s="68"/>
      <c r="U544" s="68"/>
      <c r="V544" s="68"/>
      <c r="W544" s="68"/>
      <c r="X544" s="68"/>
      <c r="Y544" s="68"/>
      <c r="Z544" s="68"/>
    </row>
    <row r="545">
      <c r="A545" s="68"/>
      <c r="B545" s="68"/>
      <c r="C545" s="68"/>
      <c r="D545" s="68"/>
      <c r="E545" s="68"/>
      <c r="F545" s="68"/>
      <c r="G545" s="68"/>
      <c r="H545" s="68"/>
      <c r="I545" s="68"/>
      <c r="J545" s="68"/>
      <c r="K545" s="68"/>
      <c r="L545" s="68"/>
      <c r="M545" s="68"/>
      <c r="N545" s="68"/>
      <c r="O545" s="68"/>
      <c r="P545" s="68"/>
      <c r="Q545" s="68"/>
      <c r="R545" s="68"/>
      <c r="S545" s="68"/>
      <c r="T545" s="68"/>
      <c r="U545" s="68"/>
      <c r="V545" s="68"/>
      <c r="W545" s="68"/>
      <c r="X545" s="68"/>
      <c r="Y545" s="68"/>
      <c r="Z545" s="68"/>
    </row>
    <row r="546">
      <c r="A546" s="68"/>
      <c r="B546" s="68"/>
      <c r="C546" s="68"/>
      <c r="D546" s="68"/>
      <c r="E546" s="68"/>
      <c r="F546" s="68"/>
      <c r="G546" s="68"/>
      <c r="H546" s="68"/>
      <c r="I546" s="68"/>
      <c r="J546" s="68"/>
      <c r="K546" s="68"/>
      <c r="L546" s="68"/>
      <c r="M546" s="68"/>
      <c r="N546" s="68"/>
      <c r="O546" s="68"/>
      <c r="P546" s="68"/>
      <c r="Q546" s="68"/>
      <c r="R546" s="68"/>
      <c r="S546" s="68"/>
      <c r="T546" s="68"/>
      <c r="U546" s="68"/>
      <c r="V546" s="68"/>
      <c r="W546" s="68"/>
      <c r="X546" s="68"/>
      <c r="Y546" s="68"/>
      <c r="Z546" s="68"/>
    </row>
    <row r="547">
      <c r="A547" s="68"/>
      <c r="B547" s="68"/>
      <c r="C547" s="68"/>
      <c r="D547" s="68"/>
      <c r="E547" s="68"/>
      <c r="F547" s="68"/>
      <c r="G547" s="68"/>
      <c r="H547" s="68"/>
      <c r="I547" s="68"/>
      <c r="J547" s="68"/>
      <c r="K547" s="68"/>
      <c r="L547" s="68"/>
      <c r="M547" s="68"/>
      <c r="N547" s="68"/>
      <c r="O547" s="68"/>
      <c r="P547" s="68"/>
      <c r="Q547" s="68"/>
      <c r="R547" s="68"/>
      <c r="S547" s="68"/>
      <c r="T547" s="68"/>
      <c r="U547" s="68"/>
      <c r="V547" s="68"/>
      <c r="W547" s="68"/>
      <c r="X547" s="68"/>
      <c r="Y547" s="68"/>
      <c r="Z547" s="68"/>
    </row>
    <row r="548">
      <c r="A548" s="68"/>
      <c r="B548" s="68"/>
      <c r="C548" s="68"/>
      <c r="D548" s="68"/>
      <c r="E548" s="68"/>
      <c r="F548" s="68"/>
      <c r="G548" s="68"/>
      <c r="H548" s="68"/>
      <c r="I548" s="68"/>
      <c r="J548" s="68"/>
      <c r="K548" s="68"/>
      <c r="L548" s="68"/>
      <c r="M548" s="68"/>
      <c r="N548" s="68"/>
      <c r="O548" s="68"/>
      <c r="P548" s="68"/>
      <c r="Q548" s="68"/>
      <c r="R548" s="68"/>
      <c r="S548" s="68"/>
      <c r="T548" s="68"/>
      <c r="U548" s="68"/>
      <c r="V548" s="68"/>
      <c r="W548" s="68"/>
      <c r="X548" s="68"/>
      <c r="Y548" s="68"/>
      <c r="Z548" s="68"/>
    </row>
    <row r="549">
      <c r="A549" s="68"/>
      <c r="B549" s="68"/>
      <c r="C549" s="68"/>
      <c r="D549" s="68"/>
      <c r="E549" s="68"/>
      <c r="F549" s="68"/>
      <c r="G549" s="68"/>
      <c r="H549" s="68"/>
      <c r="I549" s="68"/>
      <c r="J549" s="68"/>
      <c r="K549" s="68"/>
      <c r="L549" s="68"/>
      <c r="M549" s="68"/>
      <c r="N549" s="68"/>
      <c r="O549" s="68"/>
      <c r="P549" s="68"/>
      <c r="Q549" s="68"/>
      <c r="R549" s="68"/>
      <c r="S549" s="68"/>
      <c r="T549" s="68"/>
      <c r="U549" s="68"/>
      <c r="V549" s="68"/>
      <c r="W549" s="68"/>
      <c r="X549" s="68"/>
      <c r="Y549" s="68"/>
      <c r="Z549" s="68"/>
    </row>
    <row r="550">
      <c r="A550" s="68"/>
      <c r="B550" s="68"/>
      <c r="C550" s="68"/>
      <c r="D550" s="68"/>
      <c r="E550" s="68"/>
      <c r="F550" s="68"/>
      <c r="G550" s="68"/>
      <c r="H550" s="68"/>
      <c r="I550" s="68"/>
      <c r="J550" s="68"/>
      <c r="K550" s="68"/>
      <c r="L550" s="68"/>
      <c r="M550" s="68"/>
      <c r="N550" s="68"/>
      <c r="O550" s="68"/>
      <c r="P550" s="68"/>
      <c r="Q550" s="68"/>
      <c r="R550" s="68"/>
      <c r="S550" s="68"/>
      <c r="T550" s="68"/>
      <c r="U550" s="68"/>
      <c r="V550" s="68"/>
      <c r="W550" s="68"/>
      <c r="X550" s="68"/>
      <c r="Y550" s="68"/>
      <c r="Z550" s="68"/>
    </row>
    <row r="551">
      <c r="A551" s="68"/>
      <c r="B551" s="68"/>
      <c r="C551" s="68"/>
      <c r="D551" s="68"/>
      <c r="E551" s="68"/>
      <c r="F551" s="68"/>
      <c r="G551" s="68"/>
      <c r="H551" s="68"/>
      <c r="I551" s="68"/>
      <c r="J551" s="68"/>
      <c r="K551" s="68"/>
      <c r="L551" s="68"/>
      <c r="M551" s="68"/>
      <c r="N551" s="68"/>
      <c r="O551" s="68"/>
      <c r="P551" s="68"/>
      <c r="Q551" s="68"/>
      <c r="R551" s="68"/>
      <c r="S551" s="68"/>
      <c r="T551" s="68"/>
      <c r="U551" s="68"/>
      <c r="V551" s="68"/>
      <c r="W551" s="68"/>
      <c r="X551" s="68"/>
      <c r="Y551" s="68"/>
      <c r="Z551" s="68"/>
    </row>
    <row r="552">
      <c r="A552" s="68"/>
      <c r="B552" s="68"/>
      <c r="C552" s="68"/>
      <c r="D552" s="68"/>
      <c r="E552" s="68"/>
      <c r="F552" s="68"/>
      <c r="G552" s="68"/>
      <c r="H552" s="68"/>
      <c r="I552" s="68"/>
      <c r="J552" s="68"/>
      <c r="K552" s="68"/>
      <c r="L552" s="68"/>
      <c r="M552" s="68"/>
      <c r="N552" s="68"/>
      <c r="O552" s="68"/>
      <c r="P552" s="68"/>
      <c r="Q552" s="68"/>
      <c r="R552" s="68"/>
      <c r="S552" s="68"/>
      <c r="T552" s="68"/>
      <c r="U552" s="68"/>
      <c r="V552" s="68"/>
      <c r="W552" s="68"/>
      <c r="X552" s="68"/>
      <c r="Y552" s="68"/>
      <c r="Z552" s="68"/>
    </row>
    <row r="553">
      <c r="A553" s="68"/>
      <c r="B553" s="68"/>
      <c r="C553" s="68"/>
      <c r="D553" s="68"/>
      <c r="E553" s="68"/>
      <c r="F553" s="68"/>
      <c r="G553" s="68"/>
      <c r="H553" s="68"/>
      <c r="I553" s="68"/>
      <c r="J553" s="68"/>
      <c r="K553" s="68"/>
      <c r="L553" s="68"/>
      <c r="M553" s="68"/>
      <c r="N553" s="68"/>
      <c r="O553" s="68"/>
      <c r="P553" s="68"/>
      <c r="Q553" s="68"/>
      <c r="R553" s="68"/>
      <c r="S553" s="68"/>
      <c r="T553" s="68"/>
      <c r="U553" s="68"/>
      <c r="V553" s="68"/>
      <c r="W553" s="68"/>
      <c r="X553" s="68"/>
      <c r="Y553" s="68"/>
      <c r="Z553" s="68"/>
    </row>
    <row r="554">
      <c r="A554" s="68"/>
      <c r="B554" s="68"/>
      <c r="C554" s="68"/>
      <c r="D554" s="68"/>
      <c r="E554" s="68"/>
      <c r="F554" s="68"/>
      <c r="G554" s="68"/>
      <c r="H554" s="68"/>
      <c r="I554" s="68"/>
      <c r="J554" s="68"/>
      <c r="K554" s="68"/>
      <c r="L554" s="68"/>
      <c r="M554" s="68"/>
      <c r="N554" s="68"/>
      <c r="O554" s="68"/>
      <c r="P554" s="68"/>
      <c r="Q554" s="68"/>
      <c r="R554" s="68"/>
      <c r="S554" s="68"/>
      <c r="T554" s="68"/>
      <c r="U554" s="68"/>
      <c r="V554" s="68"/>
      <c r="W554" s="68"/>
      <c r="X554" s="68"/>
      <c r="Y554" s="68"/>
      <c r="Z554" s="68"/>
    </row>
    <row r="555">
      <c r="A555" s="68"/>
      <c r="B555" s="68"/>
      <c r="C555" s="68"/>
      <c r="D555" s="68"/>
      <c r="E555" s="68"/>
      <c r="F555" s="68"/>
      <c r="G555" s="68"/>
      <c r="H555" s="68"/>
      <c r="I555" s="68"/>
      <c r="J555" s="68"/>
      <c r="K555" s="68"/>
      <c r="L555" s="68"/>
      <c r="M555" s="68"/>
      <c r="N555" s="68"/>
      <c r="O555" s="68"/>
      <c r="P555" s="68"/>
      <c r="Q555" s="68"/>
      <c r="R555" s="68"/>
      <c r="S555" s="68"/>
      <c r="T555" s="68"/>
      <c r="U555" s="68"/>
      <c r="V555" s="68"/>
      <c r="W555" s="68"/>
      <c r="X555" s="68"/>
      <c r="Y555" s="68"/>
      <c r="Z555" s="68"/>
    </row>
    <row r="556">
      <c r="A556" s="68"/>
      <c r="B556" s="68"/>
      <c r="C556" s="68"/>
      <c r="D556" s="68"/>
      <c r="E556" s="68"/>
      <c r="F556" s="68"/>
      <c r="G556" s="68"/>
      <c r="H556" s="68"/>
      <c r="I556" s="68"/>
      <c r="J556" s="68"/>
      <c r="K556" s="68"/>
      <c r="L556" s="68"/>
      <c r="M556" s="68"/>
      <c r="N556" s="68"/>
      <c r="O556" s="68"/>
      <c r="P556" s="68"/>
      <c r="Q556" s="68"/>
      <c r="R556" s="68"/>
      <c r="S556" s="68"/>
      <c r="T556" s="68"/>
      <c r="U556" s="68"/>
      <c r="V556" s="68"/>
      <c r="W556" s="68"/>
      <c r="X556" s="68"/>
      <c r="Y556" s="68"/>
      <c r="Z556" s="68"/>
    </row>
    <row r="557">
      <c r="A557" s="68"/>
      <c r="B557" s="68"/>
      <c r="C557" s="68"/>
      <c r="D557" s="68"/>
      <c r="E557" s="68"/>
      <c r="F557" s="68"/>
      <c r="G557" s="68"/>
      <c r="H557" s="68"/>
      <c r="I557" s="68"/>
      <c r="J557" s="68"/>
      <c r="K557" s="68"/>
      <c r="L557" s="68"/>
      <c r="M557" s="68"/>
      <c r="N557" s="68"/>
      <c r="O557" s="68"/>
      <c r="P557" s="68"/>
      <c r="Q557" s="68"/>
      <c r="R557" s="68"/>
      <c r="S557" s="68"/>
      <c r="T557" s="68"/>
      <c r="U557" s="68"/>
      <c r="V557" s="68"/>
      <c r="W557" s="68"/>
      <c r="X557" s="68"/>
      <c r="Y557" s="68"/>
      <c r="Z557" s="68"/>
    </row>
    <row r="558">
      <c r="A558" s="68"/>
      <c r="B558" s="68"/>
      <c r="C558" s="68"/>
      <c r="D558" s="68"/>
      <c r="E558" s="68"/>
      <c r="F558" s="68"/>
      <c r="G558" s="68"/>
      <c r="H558" s="68"/>
      <c r="I558" s="68"/>
      <c r="J558" s="68"/>
      <c r="K558" s="68"/>
      <c r="L558" s="68"/>
      <c r="M558" s="68"/>
      <c r="N558" s="68"/>
      <c r="O558" s="68"/>
      <c r="P558" s="68"/>
      <c r="Q558" s="68"/>
      <c r="R558" s="68"/>
      <c r="S558" s="68"/>
      <c r="T558" s="68"/>
      <c r="U558" s="68"/>
      <c r="V558" s="68"/>
      <c r="W558" s="68"/>
      <c r="X558" s="68"/>
      <c r="Y558" s="68"/>
      <c r="Z558" s="68"/>
    </row>
    <row r="559">
      <c r="A559" s="68"/>
      <c r="B559" s="68"/>
      <c r="C559" s="68"/>
      <c r="D559" s="68"/>
      <c r="E559" s="68"/>
      <c r="F559" s="68"/>
      <c r="G559" s="68"/>
      <c r="H559" s="68"/>
      <c r="I559" s="68"/>
      <c r="J559" s="68"/>
      <c r="K559" s="68"/>
      <c r="L559" s="68"/>
      <c r="M559" s="68"/>
      <c r="N559" s="68"/>
      <c r="O559" s="68"/>
      <c r="P559" s="68"/>
      <c r="Q559" s="68"/>
      <c r="R559" s="68"/>
      <c r="S559" s="68"/>
      <c r="T559" s="68"/>
      <c r="U559" s="68"/>
      <c r="V559" s="68"/>
      <c r="W559" s="68"/>
      <c r="X559" s="68"/>
      <c r="Y559" s="68"/>
      <c r="Z559" s="68"/>
    </row>
    <row r="560">
      <c r="A560" s="68"/>
      <c r="B560" s="68"/>
      <c r="C560" s="68"/>
      <c r="D560" s="68"/>
      <c r="E560" s="68"/>
      <c r="F560" s="68"/>
      <c r="G560" s="68"/>
      <c r="H560" s="68"/>
      <c r="I560" s="68"/>
      <c r="J560" s="68"/>
      <c r="K560" s="68"/>
      <c r="L560" s="68"/>
      <c r="M560" s="68"/>
      <c r="N560" s="68"/>
      <c r="O560" s="68"/>
      <c r="P560" s="68"/>
      <c r="Q560" s="68"/>
      <c r="R560" s="68"/>
      <c r="S560" s="68"/>
      <c r="T560" s="68"/>
      <c r="U560" s="68"/>
      <c r="V560" s="68"/>
      <c r="W560" s="68"/>
      <c r="X560" s="68"/>
      <c r="Y560" s="68"/>
      <c r="Z560" s="68"/>
    </row>
    <row r="561">
      <c r="A561" s="68"/>
      <c r="B561" s="68"/>
      <c r="C561" s="68"/>
      <c r="D561" s="68"/>
      <c r="E561" s="68"/>
      <c r="F561" s="68"/>
      <c r="G561" s="68"/>
      <c r="H561" s="68"/>
      <c r="I561" s="68"/>
      <c r="J561" s="68"/>
      <c r="K561" s="68"/>
      <c r="L561" s="68"/>
      <c r="M561" s="68"/>
      <c r="N561" s="68"/>
      <c r="O561" s="68"/>
      <c r="P561" s="68"/>
      <c r="Q561" s="68"/>
      <c r="R561" s="68"/>
      <c r="S561" s="68"/>
      <c r="T561" s="68"/>
      <c r="U561" s="68"/>
      <c r="V561" s="68"/>
      <c r="W561" s="68"/>
      <c r="X561" s="68"/>
      <c r="Y561" s="68"/>
      <c r="Z561" s="68"/>
    </row>
    <row r="562">
      <c r="A562" s="68"/>
      <c r="B562" s="68"/>
      <c r="C562" s="68"/>
      <c r="D562" s="68"/>
      <c r="E562" s="68"/>
      <c r="F562" s="68"/>
      <c r="G562" s="68"/>
      <c r="H562" s="68"/>
      <c r="I562" s="68"/>
      <c r="J562" s="68"/>
      <c r="K562" s="68"/>
      <c r="L562" s="68"/>
      <c r="M562" s="68"/>
      <c r="N562" s="68"/>
      <c r="O562" s="68"/>
      <c r="P562" s="68"/>
      <c r="Q562" s="68"/>
      <c r="R562" s="68"/>
      <c r="S562" s="68"/>
      <c r="T562" s="68"/>
      <c r="U562" s="68"/>
      <c r="V562" s="68"/>
      <c r="W562" s="68"/>
      <c r="X562" s="68"/>
      <c r="Y562" s="68"/>
      <c r="Z562" s="68"/>
    </row>
    <row r="563">
      <c r="A563" s="68"/>
      <c r="B563" s="68"/>
      <c r="C563" s="68"/>
      <c r="D563" s="68"/>
      <c r="E563" s="68"/>
      <c r="F563" s="68"/>
      <c r="G563" s="68"/>
      <c r="H563" s="68"/>
      <c r="I563" s="68"/>
      <c r="J563" s="68"/>
      <c r="K563" s="68"/>
      <c r="L563" s="68"/>
      <c r="M563" s="68"/>
      <c r="N563" s="68"/>
      <c r="O563" s="68"/>
      <c r="P563" s="68"/>
      <c r="Q563" s="68"/>
      <c r="R563" s="68"/>
      <c r="S563" s="68"/>
      <c r="T563" s="68"/>
      <c r="U563" s="68"/>
      <c r="V563" s="68"/>
      <c r="W563" s="68"/>
      <c r="X563" s="68"/>
      <c r="Y563" s="68"/>
      <c r="Z563" s="68"/>
    </row>
    <row r="564">
      <c r="A564" s="68"/>
      <c r="B564" s="68"/>
      <c r="C564" s="68"/>
      <c r="D564" s="68"/>
      <c r="E564" s="68"/>
      <c r="F564" s="68"/>
      <c r="G564" s="68"/>
      <c r="H564" s="68"/>
      <c r="I564" s="68"/>
      <c r="J564" s="68"/>
      <c r="K564" s="68"/>
      <c r="L564" s="68"/>
      <c r="M564" s="68"/>
      <c r="N564" s="68"/>
      <c r="O564" s="68"/>
      <c r="P564" s="68"/>
      <c r="Q564" s="68"/>
      <c r="R564" s="68"/>
      <c r="S564" s="68"/>
      <c r="T564" s="68"/>
      <c r="U564" s="68"/>
      <c r="V564" s="68"/>
      <c r="W564" s="68"/>
      <c r="X564" s="68"/>
      <c r="Y564" s="68"/>
      <c r="Z564" s="68"/>
    </row>
    <row r="565">
      <c r="A565" s="68"/>
      <c r="B565" s="68"/>
      <c r="C565" s="68"/>
      <c r="D565" s="68"/>
      <c r="E565" s="68"/>
      <c r="F565" s="68"/>
      <c r="G565" s="68"/>
      <c r="H565" s="68"/>
      <c r="I565" s="68"/>
      <c r="J565" s="68"/>
      <c r="K565" s="68"/>
      <c r="L565" s="68"/>
      <c r="M565" s="68"/>
      <c r="N565" s="68"/>
      <c r="O565" s="68"/>
      <c r="P565" s="68"/>
      <c r="Q565" s="68"/>
      <c r="R565" s="68"/>
      <c r="S565" s="68"/>
      <c r="T565" s="68"/>
      <c r="U565" s="68"/>
      <c r="V565" s="68"/>
      <c r="W565" s="68"/>
      <c r="X565" s="68"/>
      <c r="Y565" s="68"/>
      <c r="Z565" s="68"/>
    </row>
    <row r="566">
      <c r="A566" s="68"/>
      <c r="B566" s="68"/>
      <c r="C566" s="68"/>
      <c r="D566" s="68"/>
      <c r="E566" s="68"/>
      <c r="F566" s="68"/>
      <c r="G566" s="68"/>
      <c r="H566" s="68"/>
      <c r="I566" s="68"/>
      <c r="J566" s="68"/>
      <c r="K566" s="68"/>
      <c r="L566" s="68"/>
      <c r="M566" s="68"/>
      <c r="N566" s="68"/>
      <c r="O566" s="68"/>
      <c r="P566" s="68"/>
      <c r="Q566" s="68"/>
      <c r="R566" s="68"/>
      <c r="S566" s="68"/>
      <c r="T566" s="68"/>
      <c r="U566" s="68"/>
      <c r="V566" s="68"/>
      <c r="W566" s="68"/>
      <c r="X566" s="68"/>
      <c r="Y566" s="68"/>
      <c r="Z566" s="68"/>
    </row>
    <row r="567">
      <c r="A567" s="68"/>
      <c r="B567" s="68"/>
      <c r="C567" s="68"/>
      <c r="D567" s="68"/>
      <c r="E567" s="68"/>
      <c r="F567" s="68"/>
      <c r="G567" s="68"/>
      <c r="H567" s="68"/>
      <c r="I567" s="68"/>
      <c r="J567" s="68"/>
      <c r="K567" s="68"/>
      <c r="L567" s="68"/>
      <c r="M567" s="68"/>
      <c r="N567" s="68"/>
      <c r="O567" s="68"/>
      <c r="P567" s="68"/>
      <c r="Q567" s="68"/>
      <c r="R567" s="68"/>
      <c r="S567" s="68"/>
      <c r="T567" s="68"/>
      <c r="U567" s="68"/>
      <c r="V567" s="68"/>
      <c r="W567" s="68"/>
      <c r="X567" s="68"/>
      <c r="Y567" s="68"/>
      <c r="Z567" s="68"/>
    </row>
    <row r="568">
      <c r="A568" s="68"/>
      <c r="B568" s="68"/>
      <c r="C568" s="68"/>
      <c r="D568" s="68"/>
      <c r="E568" s="68"/>
      <c r="F568" s="68"/>
      <c r="G568" s="68"/>
      <c r="H568" s="68"/>
      <c r="I568" s="68"/>
      <c r="J568" s="68"/>
      <c r="K568" s="68"/>
      <c r="L568" s="68"/>
      <c r="M568" s="68"/>
      <c r="N568" s="68"/>
      <c r="O568" s="68"/>
      <c r="P568" s="68"/>
      <c r="Q568" s="68"/>
      <c r="R568" s="68"/>
      <c r="S568" s="68"/>
      <c r="T568" s="68"/>
      <c r="U568" s="68"/>
      <c r="V568" s="68"/>
      <c r="W568" s="68"/>
      <c r="X568" s="68"/>
      <c r="Y568" s="68"/>
      <c r="Z568" s="68"/>
    </row>
    <row r="569">
      <c r="A569" s="68"/>
      <c r="B569" s="68"/>
      <c r="C569" s="68"/>
      <c r="D569" s="68"/>
      <c r="E569" s="68"/>
      <c r="F569" s="68"/>
      <c r="G569" s="68"/>
      <c r="H569" s="68"/>
      <c r="I569" s="68"/>
      <c r="J569" s="68"/>
      <c r="K569" s="68"/>
      <c r="L569" s="68"/>
      <c r="M569" s="68"/>
      <c r="N569" s="68"/>
      <c r="O569" s="68"/>
      <c r="P569" s="68"/>
      <c r="Q569" s="68"/>
      <c r="R569" s="68"/>
      <c r="S569" s="68"/>
      <c r="T569" s="68"/>
      <c r="U569" s="68"/>
      <c r="V569" s="68"/>
      <c r="W569" s="68"/>
      <c r="X569" s="68"/>
      <c r="Y569" s="68"/>
      <c r="Z569" s="68"/>
    </row>
    <row r="570">
      <c r="A570" s="68"/>
      <c r="B570" s="68"/>
      <c r="C570" s="68"/>
      <c r="D570" s="68"/>
      <c r="E570" s="68"/>
      <c r="F570" s="68"/>
      <c r="G570" s="68"/>
      <c r="H570" s="68"/>
      <c r="I570" s="68"/>
      <c r="J570" s="68"/>
      <c r="K570" s="68"/>
      <c r="L570" s="68"/>
      <c r="M570" s="68"/>
      <c r="N570" s="68"/>
      <c r="O570" s="68"/>
      <c r="P570" s="68"/>
      <c r="Q570" s="68"/>
      <c r="R570" s="68"/>
      <c r="S570" s="68"/>
      <c r="T570" s="68"/>
      <c r="U570" s="68"/>
      <c r="V570" s="68"/>
      <c r="W570" s="68"/>
      <c r="X570" s="68"/>
      <c r="Y570" s="68"/>
      <c r="Z570" s="68"/>
    </row>
    <row r="571">
      <c r="A571" s="68"/>
      <c r="B571" s="68"/>
      <c r="C571" s="68"/>
      <c r="D571" s="68"/>
      <c r="E571" s="68"/>
      <c r="F571" s="68"/>
      <c r="G571" s="68"/>
      <c r="H571" s="68"/>
      <c r="I571" s="68"/>
      <c r="J571" s="68"/>
      <c r="K571" s="68"/>
      <c r="L571" s="68"/>
      <c r="M571" s="68"/>
      <c r="N571" s="68"/>
      <c r="O571" s="68"/>
      <c r="P571" s="68"/>
      <c r="Q571" s="68"/>
      <c r="R571" s="68"/>
      <c r="S571" s="68"/>
      <c r="T571" s="68"/>
      <c r="U571" s="68"/>
      <c r="V571" s="68"/>
      <c r="W571" s="68"/>
      <c r="X571" s="68"/>
      <c r="Y571" s="68"/>
      <c r="Z571" s="68"/>
    </row>
    <row r="572">
      <c r="A572" s="68"/>
      <c r="B572" s="68"/>
      <c r="C572" s="68"/>
      <c r="D572" s="68"/>
      <c r="E572" s="68"/>
      <c r="F572" s="68"/>
      <c r="G572" s="68"/>
      <c r="H572" s="68"/>
      <c r="I572" s="68"/>
      <c r="J572" s="68"/>
      <c r="K572" s="68"/>
      <c r="L572" s="68"/>
      <c r="M572" s="68"/>
      <c r="N572" s="68"/>
      <c r="O572" s="68"/>
      <c r="P572" s="68"/>
      <c r="Q572" s="68"/>
      <c r="R572" s="68"/>
      <c r="S572" s="68"/>
      <c r="T572" s="68"/>
      <c r="U572" s="68"/>
      <c r="V572" s="68"/>
      <c r="W572" s="68"/>
      <c r="X572" s="68"/>
      <c r="Y572" s="68"/>
      <c r="Z572" s="68"/>
    </row>
    <row r="573">
      <c r="A573" s="68"/>
      <c r="B573" s="68"/>
      <c r="C573" s="68"/>
      <c r="D573" s="68"/>
      <c r="E573" s="68"/>
      <c r="F573" s="68"/>
      <c r="G573" s="68"/>
      <c r="H573" s="68"/>
      <c r="I573" s="68"/>
      <c r="J573" s="68"/>
      <c r="K573" s="68"/>
      <c r="L573" s="68"/>
      <c r="M573" s="68"/>
      <c r="N573" s="68"/>
      <c r="O573" s="68"/>
      <c r="P573" s="68"/>
      <c r="Q573" s="68"/>
      <c r="R573" s="68"/>
      <c r="S573" s="68"/>
      <c r="T573" s="68"/>
      <c r="U573" s="68"/>
      <c r="V573" s="68"/>
      <c r="W573" s="68"/>
      <c r="X573" s="68"/>
      <c r="Y573" s="68"/>
      <c r="Z573" s="68"/>
    </row>
    <row r="574">
      <c r="A574" s="68"/>
      <c r="B574" s="68"/>
      <c r="C574" s="68"/>
      <c r="D574" s="68"/>
      <c r="E574" s="68"/>
      <c r="F574" s="68"/>
      <c r="G574" s="68"/>
      <c r="H574" s="68"/>
      <c r="I574" s="68"/>
      <c r="J574" s="68"/>
      <c r="K574" s="68"/>
      <c r="L574" s="68"/>
      <c r="M574" s="68"/>
      <c r="N574" s="68"/>
      <c r="O574" s="68"/>
      <c r="P574" s="68"/>
      <c r="Q574" s="68"/>
      <c r="R574" s="68"/>
      <c r="S574" s="68"/>
      <c r="T574" s="68"/>
      <c r="U574" s="68"/>
      <c r="V574" s="68"/>
      <c r="W574" s="68"/>
      <c r="X574" s="68"/>
      <c r="Y574" s="68"/>
      <c r="Z574" s="68"/>
    </row>
    <row r="575">
      <c r="A575" s="68"/>
      <c r="B575" s="68"/>
      <c r="C575" s="68"/>
      <c r="D575" s="68"/>
      <c r="E575" s="68"/>
      <c r="F575" s="68"/>
      <c r="G575" s="68"/>
      <c r="H575" s="68"/>
      <c r="I575" s="68"/>
      <c r="J575" s="68"/>
      <c r="K575" s="68"/>
      <c r="L575" s="68"/>
      <c r="M575" s="68"/>
      <c r="N575" s="68"/>
      <c r="O575" s="68"/>
      <c r="P575" s="68"/>
      <c r="Q575" s="68"/>
      <c r="R575" s="68"/>
      <c r="S575" s="68"/>
      <c r="T575" s="68"/>
      <c r="U575" s="68"/>
      <c r="V575" s="68"/>
      <c r="W575" s="68"/>
      <c r="X575" s="68"/>
      <c r="Y575" s="68"/>
      <c r="Z575" s="68"/>
    </row>
    <row r="576">
      <c r="A576" s="68"/>
      <c r="B576" s="68"/>
      <c r="C576" s="68"/>
      <c r="D576" s="68"/>
      <c r="E576" s="68"/>
      <c r="F576" s="68"/>
      <c r="G576" s="68"/>
      <c r="H576" s="68"/>
      <c r="I576" s="68"/>
      <c r="J576" s="68"/>
      <c r="K576" s="68"/>
      <c r="L576" s="68"/>
      <c r="M576" s="68"/>
      <c r="N576" s="68"/>
      <c r="O576" s="68"/>
      <c r="P576" s="68"/>
      <c r="Q576" s="68"/>
      <c r="R576" s="68"/>
      <c r="S576" s="68"/>
      <c r="T576" s="68"/>
      <c r="U576" s="68"/>
      <c r="V576" s="68"/>
      <c r="W576" s="68"/>
      <c r="X576" s="68"/>
      <c r="Y576" s="68"/>
      <c r="Z576" s="68"/>
    </row>
    <row r="577">
      <c r="A577" s="68"/>
      <c r="B577" s="68"/>
      <c r="C577" s="68"/>
      <c r="D577" s="68"/>
      <c r="E577" s="68"/>
      <c r="F577" s="68"/>
      <c r="G577" s="68"/>
      <c r="H577" s="68"/>
      <c r="I577" s="68"/>
      <c r="J577" s="68"/>
      <c r="K577" s="68"/>
      <c r="L577" s="68"/>
      <c r="M577" s="68"/>
      <c r="N577" s="68"/>
      <c r="O577" s="68"/>
      <c r="P577" s="68"/>
      <c r="Q577" s="68"/>
      <c r="R577" s="68"/>
      <c r="S577" s="68"/>
      <c r="T577" s="68"/>
      <c r="U577" s="68"/>
      <c r="V577" s="68"/>
      <c r="W577" s="68"/>
      <c r="X577" s="68"/>
      <c r="Y577" s="68"/>
      <c r="Z577" s="68"/>
    </row>
    <row r="578">
      <c r="A578" s="68"/>
      <c r="B578" s="68"/>
      <c r="C578" s="68"/>
      <c r="D578" s="68"/>
      <c r="E578" s="68"/>
      <c r="F578" s="68"/>
      <c r="G578" s="68"/>
      <c r="H578" s="68"/>
      <c r="I578" s="68"/>
      <c r="J578" s="68"/>
      <c r="K578" s="68"/>
      <c r="L578" s="68"/>
      <c r="M578" s="68"/>
      <c r="N578" s="68"/>
      <c r="O578" s="68"/>
      <c r="P578" s="68"/>
      <c r="Q578" s="68"/>
      <c r="R578" s="68"/>
      <c r="S578" s="68"/>
      <c r="T578" s="68"/>
      <c r="U578" s="68"/>
      <c r="V578" s="68"/>
      <c r="W578" s="68"/>
      <c r="X578" s="68"/>
      <c r="Y578" s="68"/>
      <c r="Z578" s="68"/>
    </row>
    <row r="579">
      <c r="A579" s="68"/>
      <c r="B579" s="68"/>
      <c r="C579" s="68"/>
      <c r="D579" s="68"/>
      <c r="E579" s="68"/>
      <c r="F579" s="68"/>
      <c r="G579" s="68"/>
      <c r="H579" s="68"/>
      <c r="I579" s="68"/>
      <c r="J579" s="68"/>
      <c r="K579" s="68"/>
      <c r="L579" s="68"/>
      <c r="M579" s="68"/>
      <c r="N579" s="68"/>
      <c r="O579" s="68"/>
      <c r="P579" s="68"/>
      <c r="Q579" s="68"/>
      <c r="R579" s="68"/>
      <c r="S579" s="68"/>
      <c r="T579" s="68"/>
      <c r="U579" s="68"/>
      <c r="V579" s="68"/>
      <c r="W579" s="68"/>
      <c r="X579" s="68"/>
      <c r="Y579" s="68"/>
      <c r="Z579" s="68"/>
    </row>
    <row r="580">
      <c r="A580" s="68"/>
      <c r="B580" s="68"/>
      <c r="C580" s="68"/>
      <c r="D580" s="68"/>
      <c r="E580" s="68"/>
      <c r="F580" s="68"/>
      <c r="G580" s="68"/>
      <c r="H580" s="68"/>
      <c r="I580" s="68"/>
      <c r="J580" s="68"/>
      <c r="K580" s="68"/>
      <c r="L580" s="68"/>
      <c r="M580" s="68"/>
      <c r="N580" s="68"/>
      <c r="O580" s="68"/>
      <c r="P580" s="68"/>
      <c r="Q580" s="68"/>
      <c r="R580" s="68"/>
      <c r="S580" s="68"/>
      <c r="T580" s="68"/>
      <c r="U580" s="68"/>
      <c r="V580" s="68"/>
      <c r="W580" s="68"/>
      <c r="X580" s="68"/>
      <c r="Y580" s="68"/>
      <c r="Z580" s="68"/>
    </row>
    <row r="581">
      <c r="A581" s="68"/>
      <c r="B581" s="68"/>
      <c r="C581" s="68"/>
      <c r="D581" s="68"/>
      <c r="E581" s="68"/>
      <c r="F581" s="68"/>
      <c r="G581" s="68"/>
      <c r="H581" s="68"/>
      <c r="I581" s="68"/>
      <c r="J581" s="68"/>
      <c r="K581" s="68"/>
      <c r="L581" s="68"/>
      <c r="M581" s="68"/>
      <c r="N581" s="68"/>
      <c r="O581" s="68"/>
      <c r="P581" s="68"/>
      <c r="Q581" s="68"/>
      <c r="R581" s="68"/>
      <c r="S581" s="68"/>
      <c r="T581" s="68"/>
      <c r="U581" s="68"/>
      <c r="V581" s="68"/>
      <c r="W581" s="68"/>
      <c r="X581" s="68"/>
      <c r="Y581" s="68"/>
      <c r="Z581" s="68"/>
    </row>
    <row r="582">
      <c r="A582" s="68"/>
      <c r="B582" s="68"/>
      <c r="C582" s="68"/>
      <c r="D582" s="68"/>
      <c r="E582" s="68"/>
      <c r="F582" s="68"/>
      <c r="G582" s="68"/>
      <c r="H582" s="68"/>
      <c r="I582" s="68"/>
      <c r="J582" s="68"/>
      <c r="K582" s="68"/>
      <c r="L582" s="68"/>
      <c r="M582" s="68"/>
      <c r="N582" s="68"/>
      <c r="O582" s="68"/>
      <c r="P582" s="68"/>
      <c r="Q582" s="68"/>
      <c r="R582" s="68"/>
      <c r="S582" s="68"/>
      <c r="T582" s="68"/>
      <c r="U582" s="68"/>
      <c r="V582" s="68"/>
      <c r="W582" s="68"/>
      <c r="X582" s="68"/>
      <c r="Y582" s="68"/>
      <c r="Z582" s="68"/>
    </row>
    <row r="583">
      <c r="A583" s="68"/>
      <c r="B583" s="68"/>
      <c r="C583" s="68"/>
      <c r="D583" s="68"/>
      <c r="E583" s="68"/>
      <c r="F583" s="68"/>
      <c r="G583" s="68"/>
      <c r="H583" s="68"/>
      <c r="I583" s="68"/>
      <c r="J583" s="68"/>
      <c r="K583" s="68"/>
      <c r="L583" s="68"/>
      <c r="M583" s="68"/>
      <c r="N583" s="68"/>
      <c r="O583" s="68"/>
      <c r="P583" s="68"/>
      <c r="Q583" s="68"/>
      <c r="R583" s="68"/>
      <c r="S583" s="68"/>
      <c r="T583" s="68"/>
      <c r="U583" s="68"/>
      <c r="V583" s="68"/>
      <c r="W583" s="68"/>
      <c r="X583" s="68"/>
      <c r="Y583" s="68"/>
      <c r="Z583" s="68"/>
    </row>
    <row r="584">
      <c r="A584" s="68"/>
      <c r="B584" s="68"/>
      <c r="C584" s="68"/>
      <c r="D584" s="68"/>
      <c r="E584" s="68"/>
      <c r="F584" s="68"/>
      <c r="G584" s="68"/>
      <c r="H584" s="68"/>
      <c r="I584" s="68"/>
      <c r="J584" s="68"/>
      <c r="K584" s="68"/>
      <c r="L584" s="68"/>
      <c r="M584" s="68"/>
      <c r="N584" s="68"/>
      <c r="O584" s="68"/>
      <c r="P584" s="68"/>
      <c r="Q584" s="68"/>
      <c r="R584" s="68"/>
      <c r="S584" s="68"/>
      <c r="T584" s="68"/>
      <c r="U584" s="68"/>
      <c r="V584" s="68"/>
      <c r="W584" s="68"/>
      <c r="X584" s="68"/>
      <c r="Y584" s="68"/>
      <c r="Z584" s="68"/>
    </row>
    <row r="585">
      <c r="A585" s="68"/>
      <c r="B585" s="68"/>
      <c r="C585" s="68"/>
      <c r="D585" s="68"/>
      <c r="E585" s="68"/>
      <c r="F585" s="68"/>
      <c r="G585" s="68"/>
      <c r="H585" s="68"/>
      <c r="I585" s="68"/>
      <c r="J585" s="68"/>
      <c r="K585" s="68"/>
      <c r="L585" s="68"/>
      <c r="M585" s="68"/>
      <c r="N585" s="68"/>
      <c r="O585" s="68"/>
      <c r="P585" s="68"/>
      <c r="Q585" s="68"/>
      <c r="R585" s="68"/>
      <c r="S585" s="68"/>
      <c r="T585" s="68"/>
      <c r="U585" s="68"/>
      <c r="V585" s="68"/>
      <c r="W585" s="68"/>
      <c r="X585" s="68"/>
      <c r="Y585" s="68"/>
      <c r="Z585" s="68"/>
    </row>
    <row r="586">
      <c r="A586" s="68"/>
      <c r="B586" s="68"/>
      <c r="C586" s="68"/>
      <c r="D586" s="68"/>
      <c r="E586" s="68"/>
      <c r="F586" s="68"/>
      <c r="G586" s="68"/>
      <c r="H586" s="68"/>
      <c r="I586" s="68"/>
      <c r="J586" s="68"/>
      <c r="K586" s="68"/>
      <c r="L586" s="68"/>
      <c r="M586" s="68"/>
      <c r="N586" s="68"/>
      <c r="O586" s="68"/>
      <c r="P586" s="68"/>
      <c r="Q586" s="68"/>
      <c r="R586" s="68"/>
      <c r="S586" s="68"/>
      <c r="T586" s="68"/>
      <c r="U586" s="68"/>
      <c r="V586" s="68"/>
      <c r="W586" s="68"/>
      <c r="X586" s="68"/>
      <c r="Y586" s="68"/>
      <c r="Z586" s="68"/>
    </row>
    <row r="587">
      <c r="A587" s="68"/>
      <c r="B587" s="68"/>
      <c r="C587" s="68"/>
      <c r="D587" s="68"/>
      <c r="E587" s="68"/>
      <c r="F587" s="68"/>
      <c r="G587" s="68"/>
      <c r="H587" s="68"/>
      <c r="I587" s="68"/>
      <c r="J587" s="68"/>
      <c r="K587" s="68"/>
      <c r="L587" s="68"/>
      <c r="M587" s="68"/>
      <c r="N587" s="68"/>
      <c r="O587" s="68"/>
      <c r="P587" s="68"/>
      <c r="Q587" s="68"/>
      <c r="R587" s="68"/>
      <c r="S587" s="68"/>
      <c r="T587" s="68"/>
      <c r="U587" s="68"/>
      <c r="V587" s="68"/>
      <c r="W587" s="68"/>
      <c r="X587" s="68"/>
      <c r="Y587" s="68"/>
      <c r="Z587" s="68"/>
    </row>
    <row r="588">
      <c r="A588" s="68"/>
      <c r="B588" s="68"/>
      <c r="C588" s="68"/>
      <c r="D588" s="68"/>
      <c r="E588" s="68"/>
      <c r="F588" s="68"/>
      <c r="G588" s="68"/>
      <c r="H588" s="68"/>
      <c r="I588" s="68"/>
      <c r="J588" s="68"/>
      <c r="K588" s="68"/>
      <c r="L588" s="68"/>
      <c r="M588" s="68"/>
      <c r="N588" s="68"/>
      <c r="O588" s="68"/>
      <c r="P588" s="68"/>
      <c r="Q588" s="68"/>
      <c r="R588" s="68"/>
      <c r="S588" s="68"/>
      <c r="T588" s="68"/>
      <c r="U588" s="68"/>
      <c r="V588" s="68"/>
      <c r="W588" s="68"/>
      <c r="X588" s="68"/>
      <c r="Y588" s="68"/>
      <c r="Z588" s="68"/>
    </row>
    <row r="589">
      <c r="A589" s="68"/>
      <c r="B589" s="68"/>
      <c r="C589" s="68"/>
      <c r="D589" s="68"/>
      <c r="E589" s="68"/>
      <c r="F589" s="68"/>
      <c r="G589" s="68"/>
      <c r="H589" s="68"/>
      <c r="I589" s="68"/>
      <c r="J589" s="68"/>
      <c r="K589" s="68"/>
      <c r="L589" s="68"/>
      <c r="M589" s="68"/>
      <c r="N589" s="68"/>
      <c r="O589" s="68"/>
      <c r="P589" s="68"/>
      <c r="Q589" s="68"/>
      <c r="R589" s="68"/>
      <c r="S589" s="68"/>
      <c r="T589" s="68"/>
      <c r="U589" s="68"/>
      <c r="V589" s="68"/>
      <c r="W589" s="68"/>
      <c r="X589" s="68"/>
      <c r="Y589" s="68"/>
      <c r="Z589" s="68"/>
    </row>
    <row r="590">
      <c r="A590" s="68"/>
      <c r="B590" s="68"/>
      <c r="C590" s="68"/>
      <c r="D590" s="68"/>
      <c r="E590" s="68"/>
      <c r="F590" s="68"/>
      <c r="G590" s="68"/>
      <c r="H590" s="68"/>
      <c r="I590" s="68"/>
      <c r="J590" s="68"/>
      <c r="K590" s="68"/>
      <c r="L590" s="68"/>
      <c r="M590" s="68"/>
      <c r="N590" s="68"/>
      <c r="O590" s="68"/>
      <c r="P590" s="68"/>
      <c r="Q590" s="68"/>
      <c r="R590" s="68"/>
      <c r="S590" s="68"/>
      <c r="T590" s="68"/>
      <c r="U590" s="68"/>
      <c r="V590" s="68"/>
      <c r="W590" s="68"/>
      <c r="X590" s="68"/>
      <c r="Y590" s="68"/>
      <c r="Z590" s="68"/>
    </row>
    <row r="591">
      <c r="A591" s="68"/>
      <c r="B591" s="68"/>
      <c r="C591" s="68"/>
      <c r="D591" s="68"/>
      <c r="E591" s="68"/>
      <c r="F591" s="68"/>
      <c r="G591" s="68"/>
      <c r="H591" s="68"/>
      <c r="I591" s="68"/>
      <c r="J591" s="68"/>
      <c r="K591" s="68"/>
      <c r="L591" s="68"/>
      <c r="M591" s="68"/>
      <c r="N591" s="68"/>
      <c r="O591" s="68"/>
      <c r="P591" s="68"/>
      <c r="Q591" s="68"/>
      <c r="R591" s="68"/>
      <c r="S591" s="68"/>
      <c r="T591" s="68"/>
      <c r="U591" s="68"/>
      <c r="V591" s="68"/>
      <c r="W591" s="68"/>
      <c r="X591" s="68"/>
      <c r="Y591" s="68"/>
      <c r="Z591" s="68"/>
    </row>
    <row r="592">
      <c r="A592" s="68"/>
      <c r="B592" s="68"/>
      <c r="C592" s="68"/>
      <c r="D592" s="68"/>
      <c r="E592" s="68"/>
      <c r="F592" s="68"/>
      <c r="G592" s="68"/>
      <c r="H592" s="68"/>
      <c r="I592" s="68"/>
      <c r="J592" s="68"/>
      <c r="K592" s="68"/>
      <c r="L592" s="68"/>
      <c r="M592" s="68"/>
      <c r="N592" s="68"/>
      <c r="O592" s="68"/>
      <c r="P592" s="68"/>
      <c r="Q592" s="68"/>
      <c r="R592" s="68"/>
      <c r="S592" s="68"/>
      <c r="T592" s="68"/>
      <c r="U592" s="68"/>
      <c r="V592" s="68"/>
      <c r="W592" s="68"/>
      <c r="X592" s="68"/>
      <c r="Y592" s="68"/>
      <c r="Z592" s="68"/>
    </row>
    <row r="593">
      <c r="A593" s="68"/>
      <c r="B593" s="68"/>
      <c r="C593" s="68"/>
      <c r="D593" s="68"/>
      <c r="E593" s="68"/>
      <c r="F593" s="68"/>
      <c r="G593" s="68"/>
      <c r="H593" s="68"/>
      <c r="I593" s="68"/>
      <c r="J593" s="68"/>
      <c r="K593" s="68"/>
      <c r="L593" s="68"/>
      <c r="M593" s="68"/>
      <c r="N593" s="68"/>
      <c r="O593" s="68"/>
      <c r="P593" s="68"/>
      <c r="Q593" s="68"/>
      <c r="R593" s="68"/>
      <c r="S593" s="68"/>
      <c r="T593" s="68"/>
      <c r="U593" s="68"/>
      <c r="V593" s="68"/>
      <c r="W593" s="68"/>
      <c r="X593" s="68"/>
      <c r="Y593" s="68"/>
      <c r="Z593" s="68"/>
    </row>
    <row r="594">
      <c r="A594" s="68"/>
      <c r="B594" s="68"/>
      <c r="C594" s="68"/>
      <c r="D594" s="68"/>
      <c r="E594" s="68"/>
      <c r="F594" s="68"/>
      <c r="G594" s="68"/>
      <c r="H594" s="68"/>
      <c r="I594" s="68"/>
      <c r="J594" s="68"/>
      <c r="K594" s="68"/>
      <c r="L594" s="68"/>
      <c r="M594" s="68"/>
      <c r="N594" s="68"/>
      <c r="O594" s="68"/>
      <c r="P594" s="68"/>
      <c r="Q594" s="68"/>
      <c r="R594" s="68"/>
      <c r="S594" s="68"/>
      <c r="T594" s="68"/>
      <c r="U594" s="68"/>
      <c r="V594" s="68"/>
      <c r="W594" s="68"/>
      <c r="X594" s="68"/>
      <c r="Y594" s="68"/>
      <c r="Z594" s="68"/>
    </row>
    <row r="595">
      <c r="A595" s="68"/>
      <c r="B595" s="68"/>
      <c r="C595" s="68"/>
      <c r="D595" s="68"/>
      <c r="E595" s="68"/>
      <c r="F595" s="68"/>
      <c r="G595" s="68"/>
      <c r="H595" s="68"/>
      <c r="I595" s="68"/>
      <c r="J595" s="68"/>
      <c r="K595" s="68"/>
      <c r="L595" s="68"/>
      <c r="M595" s="68"/>
      <c r="N595" s="68"/>
      <c r="O595" s="68"/>
      <c r="P595" s="68"/>
      <c r="Q595" s="68"/>
      <c r="R595" s="68"/>
      <c r="S595" s="68"/>
      <c r="T595" s="68"/>
      <c r="U595" s="68"/>
      <c r="V595" s="68"/>
      <c r="W595" s="68"/>
      <c r="X595" s="68"/>
      <c r="Y595" s="68"/>
      <c r="Z595" s="68"/>
    </row>
    <row r="596">
      <c r="A596" s="68"/>
      <c r="B596" s="68"/>
      <c r="C596" s="68"/>
      <c r="D596" s="68"/>
      <c r="E596" s="68"/>
      <c r="F596" s="68"/>
      <c r="G596" s="68"/>
      <c r="H596" s="68"/>
      <c r="I596" s="68"/>
      <c r="J596" s="68"/>
      <c r="K596" s="68"/>
      <c r="L596" s="68"/>
      <c r="M596" s="68"/>
      <c r="N596" s="68"/>
      <c r="O596" s="68"/>
      <c r="P596" s="68"/>
      <c r="Q596" s="68"/>
      <c r="R596" s="68"/>
      <c r="S596" s="68"/>
      <c r="T596" s="68"/>
      <c r="U596" s="68"/>
      <c r="V596" s="68"/>
      <c r="W596" s="68"/>
      <c r="X596" s="68"/>
      <c r="Y596" s="68"/>
      <c r="Z596" s="68"/>
    </row>
    <row r="597">
      <c r="A597" s="68"/>
      <c r="B597" s="68"/>
      <c r="C597" s="68"/>
      <c r="D597" s="68"/>
      <c r="E597" s="68"/>
      <c r="F597" s="68"/>
      <c r="G597" s="68"/>
      <c r="H597" s="68"/>
      <c r="I597" s="68"/>
      <c r="J597" s="68"/>
      <c r="K597" s="68"/>
      <c r="L597" s="68"/>
      <c r="M597" s="68"/>
      <c r="N597" s="68"/>
      <c r="O597" s="68"/>
      <c r="P597" s="68"/>
      <c r="Q597" s="68"/>
      <c r="R597" s="68"/>
      <c r="S597" s="68"/>
      <c r="T597" s="68"/>
      <c r="U597" s="68"/>
      <c r="V597" s="68"/>
      <c r="W597" s="68"/>
      <c r="X597" s="68"/>
      <c r="Y597" s="68"/>
      <c r="Z597" s="68"/>
    </row>
    <row r="598">
      <c r="A598" s="68"/>
      <c r="B598" s="68"/>
      <c r="C598" s="68"/>
      <c r="D598" s="68"/>
      <c r="E598" s="68"/>
      <c r="F598" s="68"/>
      <c r="G598" s="68"/>
      <c r="H598" s="68"/>
      <c r="I598" s="68"/>
      <c r="J598" s="68"/>
      <c r="K598" s="68"/>
      <c r="L598" s="68"/>
      <c r="M598" s="68"/>
      <c r="N598" s="68"/>
      <c r="O598" s="68"/>
      <c r="P598" s="68"/>
      <c r="Q598" s="68"/>
      <c r="R598" s="68"/>
      <c r="S598" s="68"/>
      <c r="T598" s="68"/>
      <c r="U598" s="68"/>
      <c r="V598" s="68"/>
      <c r="W598" s="68"/>
      <c r="X598" s="68"/>
      <c r="Y598" s="68"/>
      <c r="Z598" s="68"/>
    </row>
    <row r="599">
      <c r="A599" s="68"/>
      <c r="B599" s="68"/>
      <c r="C599" s="68"/>
      <c r="D599" s="68"/>
      <c r="E599" s="68"/>
      <c r="F599" s="68"/>
      <c r="G599" s="68"/>
      <c r="H599" s="68"/>
      <c r="I599" s="68"/>
      <c r="J599" s="68"/>
      <c r="K599" s="68"/>
      <c r="L599" s="68"/>
      <c r="M599" s="68"/>
      <c r="N599" s="68"/>
      <c r="O599" s="68"/>
      <c r="P599" s="68"/>
      <c r="Q599" s="68"/>
      <c r="R599" s="68"/>
      <c r="S599" s="68"/>
      <c r="T599" s="68"/>
      <c r="U599" s="68"/>
      <c r="V599" s="68"/>
      <c r="W599" s="68"/>
      <c r="X599" s="68"/>
      <c r="Y599" s="68"/>
      <c r="Z599" s="68"/>
    </row>
    <row r="600">
      <c r="A600" s="68"/>
      <c r="B600" s="68"/>
      <c r="C600" s="68"/>
      <c r="D600" s="68"/>
      <c r="E600" s="68"/>
      <c r="F600" s="68"/>
      <c r="G600" s="68"/>
      <c r="H600" s="68"/>
      <c r="I600" s="68"/>
      <c r="J600" s="68"/>
      <c r="K600" s="68"/>
      <c r="L600" s="68"/>
      <c r="M600" s="68"/>
      <c r="N600" s="68"/>
      <c r="O600" s="68"/>
      <c r="P600" s="68"/>
      <c r="Q600" s="68"/>
      <c r="R600" s="68"/>
      <c r="S600" s="68"/>
      <c r="T600" s="68"/>
      <c r="U600" s="68"/>
      <c r="V600" s="68"/>
      <c r="W600" s="68"/>
      <c r="X600" s="68"/>
      <c r="Y600" s="68"/>
      <c r="Z600" s="68"/>
    </row>
    <row r="601">
      <c r="A601" s="68"/>
      <c r="B601" s="68"/>
      <c r="C601" s="68"/>
      <c r="D601" s="68"/>
      <c r="E601" s="68"/>
      <c r="F601" s="68"/>
      <c r="G601" s="68"/>
      <c r="H601" s="68"/>
      <c r="I601" s="68"/>
      <c r="J601" s="68"/>
      <c r="K601" s="68"/>
      <c r="L601" s="68"/>
      <c r="M601" s="68"/>
      <c r="N601" s="68"/>
      <c r="O601" s="68"/>
      <c r="P601" s="68"/>
      <c r="Q601" s="68"/>
      <c r="R601" s="68"/>
      <c r="S601" s="68"/>
      <c r="T601" s="68"/>
      <c r="U601" s="68"/>
      <c r="V601" s="68"/>
      <c r="W601" s="68"/>
      <c r="X601" s="68"/>
      <c r="Y601" s="68"/>
      <c r="Z601" s="68"/>
    </row>
    <row r="602">
      <c r="A602" s="68"/>
      <c r="B602" s="68"/>
      <c r="C602" s="68"/>
      <c r="D602" s="68"/>
      <c r="E602" s="68"/>
      <c r="F602" s="68"/>
      <c r="G602" s="68"/>
      <c r="H602" s="68"/>
      <c r="I602" s="68"/>
      <c r="J602" s="68"/>
      <c r="K602" s="68"/>
      <c r="L602" s="68"/>
      <c r="M602" s="68"/>
      <c r="N602" s="68"/>
      <c r="O602" s="68"/>
      <c r="P602" s="68"/>
      <c r="Q602" s="68"/>
      <c r="R602" s="68"/>
      <c r="S602" s="68"/>
      <c r="T602" s="68"/>
      <c r="U602" s="68"/>
      <c r="V602" s="68"/>
      <c r="W602" s="68"/>
      <c r="X602" s="68"/>
      <c r="Y602" s="68"/>
      <c r="Z602" s="68"/>
    </row>
    <row r="603">
      <c r="A603" s="68"/>
      <c r="B603" s="68"/>
      <c r="C603" s="68"/>
      <c r="D603" s="68"/>
      <c r="E603" s="68"/>
      <c r="F603" s="68"/>
      <c r="G603" s="68"/>
      <c r="H603" s="68"/>
      <c r="I603" s="68"/>
      <c r="J603" s="68"/>
      <c r="K603" s="68"/>
      <c r="L603" s="68"/>
      <c r="M603" s="68"/>
      <c r="N603" s="68"/>
      <c r="O603" s="68"/>
      <c r="P603" s="68"/>
      <c r="Q603" s="68"/>
      <c r="R603" s="68"/>
      <c r="S603" s="68"/>
      <c r="T603" s="68"/>
      <c r="U603" s="68"/>
      <c r="V603" s="68"/>
      <c r="W603" s="68"/>
      <c r="X603" s="68"/>
      <c r="Y603" s="68"/>
      <c r="Z603" s="68"/>
    </row>
    <row r="604">
      <c r="A604" s="68"/>
      <c r="B604" s="68"/>
      <c r="C604" s="68"/>
      <c r="D604" s="68"/>
      <c r="E604" s="68"/>
      <c r="F604" s="68"/>
      <c r="G604" s="68"/>
      <c r="H604" s="68"/>
      <c r="I604" s="68"/>
      <c r="J604" s="68"/>
      <c r="K604" s="68"/>
      <c r="L604" s="68"/>
      <c r="M604" s="68"/>
      <c r="N604" s="68"/>
      <c r="O604" s="68"/>
      <c r="P604" s="68"/>
      <c r="Q604" s="68"/>
      <c r="R604" s="68"/>
      <c r="S604" s="68"/>
      <c r="T604" s="68"/>
      <c r="U604" s="68"/>
      <c r="V604" s="68"/>
      <c r="W604" s="68"/>
      <c r="X604" s="68"/>
      <c r="Y604" s="68"/>
      <c r="Z604" s="68"/>
    </row>
    <row r="605">
      <c r="A605" s="68"/>
      <c r="B605" s="68"/>
      <c r="C605" s="68"/>
      <c r="D605" s="68"/>
      <c r="E605" s="68"/>
      <c r="F605" s="68"/>
      <c r="G605" s="68"/>
      <c r="H605" s="68"/>
      <c r="I605" s="68"/>
      <c r="J605" s="68"/>
      <c r="K605" s="68"/>
      <c r="L605" s="68"/>
      <c r="M605" s="68"/>
      <c r="N605" s="68"/>
      <c r="O605" s="68"/>
      <c r="P605" s="68"/>
      <c r="Q605" s="68"/>
      <c r="R605" s="68"/>
      <c r="S605" s="68"/>
      <c r="T605" s="68"/>
      <c r="U605" s="68"/>
      <c r="V605" s="68"/>
      <c r="W605" s="68"/>
      <c r="X605" s="68"/>
      <c r="Y605" s="68"/>
      <c r="Z605" s="68"/>
    </row>
    <row r="606">
      <c r="A606" s="68"/>
      <c r="B606" s="68"/>
      <c r="C606" s="68"/>
      <c r="D606" s="68"/>
      <c r="E606" s="68"/>
      <c r="F606" s="68"/>
      <c r="G606" s="68"/>
      <c r="H606" s="68"/>
      <c r="I606" s="68"/>
      <c r="J606" s="68"/>
      <c r="K606" s="68"/>
      <c r="L606" s="68"/>
      <c r="M606" s="68"/>
      <c r="N606" s="68"/>
      <c r="O606" s="68"/>
      <c r="P606" s="68"/>
      <c r="Q606" s="68"/>
      <c r="R606" s="68"/>
      <c r="S606" s="68"/>
      <c r="T606" s="68"/>
      <c r="U606" s="68"/>
      <c r="V606" s="68"/>
      <c r="W606" s="68"/>
      <c r="X606" s="68"/>
      <c r="Y606" s="68"/>
      <c r="Z606" s="68"/>
    </row>
    <row r="607">
      <c r="A607" s="68"/>
      <c r="B607" s="68"/>
      <c r="C607" s="68"/>
      <c r="D607" s="68"/>
      <c r="E607" s="68"/>
      <c r="F607" s="68"/>
      <c r="G607" s="68"/>
      <c r="H607" s="68"/>
      <c r="I607" s="68"/>
      <c r="J607" s="68"/>
      <c r="K607" s="68"/>
      <c r="L607" s="68"/>
      <c r="M607" s="68"/>
      <c r="N607" s="68"/>
      <c r="O607" s="68"/>
      <c r="P607" s="68"/>
      <c r="Q607" s="68"/>
      <c r="R607" s="68"/>
      <c r="S607" s="68"/>
      <c r="T607" s="68"/>
      <c r="U607" s="68"/>
      <c r="V607" s="68"/>
      <c r="W607" s="68"/>
      <c r="X607" s="68"/>
      <c r="Y607" s="68"/>
      <c r="Z607" s="68"/>
    </row>
    <row r="608">
      <c r="A608" s="68"/>
      <c r="B608" s="68"/>
      <c r="C608" s="68"/>
      <c r="D608" s="68"/>
      <c r="E608" s="68"/>
      <c r="F608" s="68"/>
      <c r="G608" s="68"/>
      <c r="H608" s="68"/>
      <c r="I608" s="68"/>
      <c r="J608" s="68"/>
      <c r="K608" s="68"/>
      <c r="L608" s="68"/>
      <c r="M608" s="68"/>
      <c r="N608" s="68"/>
      <c r="O608" s="68"/>
      <c r="P608" s="68"/>
      <c r="Q608" s="68"/>
      <c r="R608" s="68"/>
      <c r="S608" s="68"/>
      <c r="T608" s="68"/>
      <c r="U608" s="68"/>
      <c r="V608" s="68"/>
      <c r="W608" s="68"/>
      <c r="X608" s="68"/>
      <c r="Y608" s="68"/>
      <c r="Z608" s="68"/>
    </row>
    <row r="609">
      <c r="A609" s="68"/>
      <c r="B609" s="68"/>
      <c r="C609" s="68"/>
      <c r="D609" s="68"/>
      <c r="E609" s="68"/>
      <c r="F609" s="68"/>
      <c r="G609" s="68"/>
      <c r="H609" s="68"/>
      <c r="I609" s="68"/>
      <c r="J609" s="68"/>
      <c r="K609" s="68"/>
      <c r="L609" s="68"/>
      <c r="M609" s="68"/>
      <c r="N609" s="68"/>
      <c r="O609" s="68"/>
      <c r="P609" s="68"/>
      <c r="Q609" s="68"/>
      <c r="R609" s="68"/>
      <c r="S609" s="68"/>
      <c r="T609" s="68"/>
      <c r="U609" s="68"/>
      <c r="V609" s="68"/>
      <c r="W609" s="68"/>
      <c r="X609" s="68"/>
      <c r="Y609" s="68"/>
      <c r="Z609" s="68"/>
    </row>
    <row r="610">
      <c r="A610" s="68"/>
      <c r="B610" s="68"/>
      <c r="C610" s="68"/>
      <c r="D610" s="68"/>
      <c r="E610" s="68"/>
      <c r="F610" s="68"/>
      <c r="G610" s="68"/>
      <c r="H610" s="68"/>
      <c r="I610" s="68"/>
      <c r="J610" s="68"/>
      <c r="K610" s="68"/>
      <c r="L610" s="68"/>
      <c r="M610" s="68"/>
      <c r="N610" s="68"/>
      <c r="O610" s="68"/>
      <c r="P610" s="68"/>
      <c r="Q610" s="68"/>
      <c r="R610" s="68"/>
      <c r="S610" s="68"/>
      <c r="T610" s="68"/>
      <c r="U610" s="68"/>
      <c r="V610" s="68"/>
      <c r="W610" s="68"/>
      <c r="X610" s="68"/>
      <c r="Y610" s="68"/>
      <c r="Z610" s="68"/>
    </row>
    <row r="611">
      <c r="A611" s="68"/>
      <c r="B611" s="68"/>
      <c r="C611" s="68"/>
      <c r="D611" s="68"/>
      <c r="E611" s="68"/>
      <c r="F611" s="68"/>
      <c r="G611" s="68"/>
      <c r="H611" s="68"/>
      <c r="I611" s="68"/>
      <c r="J611" s="68"/>
      <c r="K611" s="68"/>
      <c r="L611" s="68"/>
      <c r="M611" s="68"/>
      <c r="N611" s="68"/>
      <c r="O611" s="68"/>
      <c r="P611" s="68"/>
      <c r="Q611" s="68"/>
      <c r="R611" s="68"/>
      <c r="S611" s="68"/>
      <c r="T611" s="68"/>
      <c r="U611" s="68"/>
      <c r="V611" s="68"/>
      <c r="W611" s="68"/>
      <c r="X611" s="68"/>
      <c r="Y611" s="68"/>
      <c r="Z611" s="68"/>
    </row>
    <row r="612">
      <c r="A612" s="68"/>
      <c r="B612" s="68"/>
      <c r="C612" s="68"/>
      <c r="D612" s="68"/>
      <c r="E612" s="68"/>
      <c r="F612" s="68"/>
      <c r="G612" s="68"/>
      <c r="H612" s="68"/>
      <c r="I612" s="68"/>
      <c r="J612" s="68"/>
      <c r="K612" s="68"/>
      <c r="L612" s="68"/>
      <c r="M612" s="68"/>
      <c r="N612" s="68"/>
      <c r="O612" s="68"/>
      <c r="P612" s="68"/>
      <c r="Q612" s="68"/>
      <c r="R612" s="68"/>
      <c r="S612" s="68"/>
      <c r="T612" s="68"/>
      <c r="U612" s="68"/>
      <c r="V612" s="68"/>
      <c r="W612" s="68"/>
      <c r="X612" s="68"/>
      <c r="Y612" s="68"/>
      <c r="Z612" s="68"/>
    </row>
    <row r="613">
      <c r="A613" s="68"/>
      <c r="B613" s="68"/>
      <c r="C613" s="68"/>
      <c r="D613" s="68"/>
      <c r="E613" s="68"/>
      <c r="F613" s="68"/>
      <c r="G613" s="68"/>
      <c r="H613" s="68"/>
      <c r="I613" s="68"/>
      <c r="J613" s="68"/>
      <c r="K613" s="68"/>
      <c r="L613" s="68"/>
      <c r="M613" s="68"/>
      <c r="N613" s="68"/>
      <c r="O613" s="68"/>
      <c r="P613" s="68"/>
      <c r="Q613" s="68"/>
      <c r="R613" s="68"/>
      <c r="S613" s="68"/>
      <c r="T613" s="68"/>
      <c r="U613" s="68"/>
      <c r="V613" s="68"/>
      <c r="W613" s="68"/>
      <c r="X613" s="68"/>
      <c r="Y613" s="68"/>
      <c r="Z613" s="68"/>
    </row>
    <row r="614">
      <c r="A614" s="68"/>
      <c r="B614" s="68"/>
      <c r="C614" s="68"/>
      <c r="D614" s="68"/>
      <c r="E614" s="68"/>
      <c r="F614" s="68"/>
      <c r="G614" s="68"/>
      <c r="H614" s="68"/>
      <c r="I614" s="68"/>
      <c r="J614" s="68"/>
      <c r="K614" s="68"/>
      <c r="L614" s="68"/>
      <c r="M614" s="68"/>
      <c r="N614" s="68"/>
      <c r="O614" s="68"/>
      <c r="P614" s="68"/>
      <c r="Q614" s="68"/>
      <c r="R614" s="68"/>
      <c r="S614" s="68"/>
      <c r="T614" s="68"/>
      <c r="U614" s="68"/>
      <c r="V614" s="68"/>
      <c r="W614" s="68"/>
      <c r="X614" s="68"/>
      <c r="Y614" s="68"/>
      <c r="Z614" s="68"/>
    </row>
    <row r="615">
      <c r="A615" s="68"/>
      <c r="B615" s="68"/>
      <c r="C615" s="68"/>
      <c r="D615" s="68"/>
      <c r="E615" s="68"/>
      <c r="F615" s="68"/>
      <c r="G615" s="68"/>
      <c r="H615" s="68"/>
      <c r="I615" s="68"/>
      <c r="J615" s="68"/>
      <c r="K615" s="68"/>
      <c r="L615" s="68"/>
      <c r="M615" s="68"/>
      <c r="N615" s="68"/>
      <c r="O615" s="68"/>
      <c r="P615" s="68"/>
      <c r="Q615" s="68"/>
      <c r="R615" s="68"/>
      <c r="S615" s="68"/>
      <c r="T615" s="68"/>
      <c r="U615" s="68"/>
      <c r="V615" s="68"/>
      <c r="W615" s="68"/>
      <c r="X615" s="68"/>
      <c r="Y615" s="68"/>
      <c r="Z615" s="68"/>
    </row>
    <row r="616">
      <c r="A616" s="68"/>
      <c r="B616" s="68"/>
      <c r="C616" s="68"/>
      <c r="D616" s="68"/>
      <c r="E616" s="68"/>
      <c r="F616" s="68"/>
      <c r="G616" s="68"/>
      <c r="H616" s="68"/>
      <c r="I616" s="68"/>
      <c r="J616" s="68"/>
      <c r="K616" s="68"/>
      <c r="L616" s="68"/>
      <c r="M616" s="68"/>
      <c r="N616" s="68"/>
      <c r="O616" s="68"/>
      <c r="P616" s="68"/>
      <c r="Q616" s="68"/>
      <c r="R616" s="68"/>
      <c r="S616" s="68"/>
      <c r="T616" s="68"/>
      <c r="U616" s="68"/>
      <c r="V616" s="68"/>
      <c r="W616" s="68"/>
      <c r="X616" s="68"/>
      <c r="Y616" s="68"/>
      <c r="Z616" s="68"/>
    </row>
    <row r="617">
      <c r="A617" s="68"/>
      <c r="B617" s="68"/>
      <c r="C617" s="68"/>
      <c r="D617" s="68"/>
      <c r="E617" s="68"/>
      <c r="F617" s="68"/>
      <c r="G617" s="68"/>
      <c r="H617" s="68"/>
      <c r="I617" s="68"/>
      <c r="J617" s="68"/>
      <c r="K617" s="68"/>
      <c r="L617" s="68"/>
      <c r="M617" s="68"/>
      <c r="N617" s="68"/>
      <c r="O617" s="68"/>
      <c r="P617" s="68"/>
      <c r="Q617" s="68"/>
      <c r="R617" s="68"/>
      <c r="S617" s="68"/>
      <c r="T617" s="68"/>
      <c r="U617" s="68"/>
      <c r="V617" s="68"/>
      <c r="W617" s="68"/>
      <c r="X617" s="68"/>
      <c r="Y617" s="68"/>
      <c r="Z617" s="68"/>
    </row>
    <row r="618">
      <c r="A618" s="68"/>
      <c r="B618" s="68"/>
      <c r="C618" s="68"/>
      <c r="D618" s="68"/>
      <c r="E618" s="68"/>
      <c r="F618" s="68"/>
      <c r="G618" s="68"/>
      <c r="H618" s="68"/>
      <c r="I618" s="68"/>
      <c r="J618" s="68"/>
      <c r="K618" s="68"/>
      <c r="L618" s="68"/>
      <c r="M618" s="68"/>
      <c r="N618" s="68"/>
      <c r="O618" s="68"/>
      <c r="P618" s="68"/>
      <c r="Q618" s="68"/>
      <c r="R618" s="68"/>
      <c r="S618" s="68"/>
      <c r="T618" s="68"/>
      <c r="U618" s="68"/>
      <c r="V618" s="68"/>
      <c r="W618" s="68"/>
      <c r="X618" s="68"/>
      <c r="Y618" s="68"/>
      <c r="Z618" s="68"/>
    </row>
    <row r="619">
      <c r="A619" s="68"/>
      <c r="B619" s="68"/>
      <c r="C619" s="68"/>
      <c r="D619" s="68"/>
      <c r="E619" s="68"/>
      <c r="F619" s="68"/>
      <c r="G619" s="68"/>
      <c r="H619" s="68"/>
      <c r="I619" s="68"/>
      <c r="J619" s="68"/>
      <c r="K619" s="68"/>
      <c r="L619" s="68"/>
      <c r="M619" s="68"/>
      <c r="N619" s="68"/>
      <c r="O619" s="68"/>
      <c r="P619" s="68"/>
      <c r="Q619" s="68"/>
      <c r="R619" s="68"/>
      <c r="S619" s="68"/>
      <c r="T619" s="68"/>
      <c r="U619" s="68"/>
      <c r="V619" s="68"/>
      <c r="W619" s="68"/>
      <c r="X619" s="68"/>
      <c r="Y619" s="68"/>
      <c r="Z619" s="68"/>
    </row>
    <row r="620">
      <c r="A620" s="68"/>
      <c r="B620" s="68"/>
      <c r="C620" s="68"/>
      <c r="D620" s="68"/>
      <c r="E620" s="68"/>
      <c r="F620" s="68"/>
      <c r="G620" s="68"/>
      <c r="H620" s="68"/>
      <c r="I620" s="68"/>
      <c r="J620" s="68"/>
      <c r="K620" s="68"/>
      <c r="L620" s="68"/>
      <c r="M620" s="68"/>
      <c r="N620" s="68"/>
      <c r="O620" s="68"/>
      <c r="P620" s="68"/>
      <c r="Q620" s="68"/>
      <c r="R620" s="68"/>
      <c r="S620" s="68"/>
      <c r="T620" s="68"/>
      <c r="U620" s="68"/>
      <c r="V620" s="68"/>
      <c r="W620" s="68"/>
      <c r="X620" s="68"/>
      <c r="Y620" s="68"/>
      <c r="Z620" s="68"/>
    </row>
    <row r="621">
      <c r="A621" s="68"/>
      <c r="B621" s="68"/>
      <c r="C621" s="68"/>
      <c r="D621" s="68"/>
      <c r="E621" s="68"/>
      <c r="F621" s="68"/>
      <c r="G621" s="68"/>
      <c r="H621" s="68"/>
      <c r="I621" s="68"/>
      <c r="J621" s="68"/>
      <c r="K621" s="68"/>
      <c r="L621" s="68"/>
      <c r="M621" s="68"/>
      <c r="N621" s="68"/>
      <c r="O621" s="68"/>
      <c r="P621" s="68"/>
      <c r="Q621" s="68"/>
      <c r="R621" s="68"/>
      <c r="S621" s="68"/>
      <c r="T621" s="68"/>
      <c r="U621" s="68"/>
      <c r="V621" s="68"/>
      <c r="W621" s="68"/>
      <c r="X621" s="68"/>
      <c r="Y621" s="68"/>
      <c r="Z621" s="68"/>
    </row>
    <row r="622">
      <c r="A622" s="68"/>
      <c r="B622" s="68"/>
      <c r="C622" s="68"/>
      <c r="D622" s="68"/>
      <c r="E622" s="68"/>
      <c r="F622" s="68"/>
      <c r="G622" s="68"/>
      <c r="H622" s="68"/>
      <c r="I622" s="68"/>
      <c r="J622" s="68"/>
      <c r="K622" s="68"/>
      <c r="L622" s="68"/>
      <c r="M622" s="68"/>
      <c r="N622" s="68"/>
      <c r="O622" s="68"/>
      <c r="P622" s="68"/>
      <c r="Q622" s="68"/>
      <c r="R622" s="68"/>
      <c r="S622" s="68"/>
      <c r="T622" s="68"/>
      <c r="U622" s="68"/>
      <c r="V622" s="68"/>
      <c r="W622" s="68"/>
      <c r="X622" s="68"/>
      <c r="Y622" s="68"/>
      <c r="Z622" s="68"/>
    </row>
    <row r="623">
      <c r="A623" s="68"/>
      <c r="B623" s="68"/>
      <c r="C623" s="68"/>
      <c r="D623" s="68"/>
      <c r="E623" s="68"/>
      <c r="F623" s="68"/>
      <c r="G623" s="68"/>
      <c r="H623" s="68"/>
      <c r="I623" s="68"/>
      <c r="J623" s="68"/>
      <c r="K623" s="68"/>
      <c r="L623" s="68"/>
      <c r="M623" s="68"/>
      <c r="N623" s="68"/>
      <c r="O623" s="68"/>
      <c r="P623" s="68"/>
      <c r="Q623" s="68"/>
      <c r="R623" s="68"/>
      <c r="S623" s="68"/>
      <c r="T623" s="68"/>
      <c r="U623" s="68"/>
      <c r="V623" s="68"/>
      <c r="W623" s="68"/>
      <c r="X623" s="68"/>
      <c r="Y623" s="68"/>
      <c r="Z623" s="68"/>
    </row>
    <row r="624">
      <c r="A624" s="68"/>
      <c r="B624" s="68"/>
      <c r="C624" s="68"/>
      <c r="D624" s="68"/>
      <c r="E624" s="68"/>
      <c r="F624" s="68"/>
      <c r="G624" s="68"/>
      <c r="H624" s="68"/>
      <c r="I624" s="68"/>
      <c r="J624" s="68"/>
      <c r="K624" s="68"/>
      <c r="L624" s="68"/>
      <c r="M624" s="68"/>
      <c r="N624" s="68"/>
      <c r="O624" s="68"/>
      <c r="P624" s="68"/>
      <c r="Q624" s="68"/>
      <c r="R624" s="68"/>
      <c r="S624" s="68"/>
      <c r="T624" s="68"/>
      <c r="U624" s="68"/>
      <c r="V624" s="68"/>
      <c r="W624" s="68"/>
      <c r="X624" s="68"/>
      <c r="Y624" s="68"/>
      <c r="Z624" s="68"/>
    </row>
    <row r="625">
      <c r="A625" s="68"/>
      <c r="B625" s="68"/>
      <c r="C625" s="68"/>
      <c r="D625" s="68"/>
      <c r="E625" s="68"/>
      <c r="F625" s="68"/>
      <c r="G625" s="68"/>
      <c r="H625" s="68"/>
      <c r="I625" s="68"/>
      <c r="J625" s="68"/>
      <c r="K625" s="68"/>
      <c r="L625" s="68"/>
      <c r="M625" s="68"/>
      <c r="N625" s="68"/>
      <c r="O625" s="68"/>
      <c r="P625" s="68"/>
      <c r="Q625" s="68"/>
      <c r="R625" s="68"/>
      <c r="S625" s="68"/>
      <c r="T625" s="68"/>
      <c r="U625" s="68"/>
      <c r="V625" s="68"/>
      <c r="W625" s="68"/>
      <c r="X625" s="68"/>
      <c r="Y625" s="68"/>
      <c r="Z625" s="68"/>
    </row>
    <row r="626">
      <c r="A626" s="68"/>
      <c r="B626" s="68"/>
      <c r="C626" s="68"/>
      <c r="D626" s="68"/>
      <c r="E626" s="68"/>
      <c r="F626" s="68"/>
      <c r="G626" s="68"/>
      <c r="H626" s="68"/>
      <c r="I626" s="68"/>
      <c r="J626" s="68"/>
      <c r="K626" s="68"/>
      <c r="L626" s="68"/>
      <c r="M626" s="68"/>
      <c r="N626" s="68"/>
      <c r="O626" s="68"/>
      <c r="P626" s="68"/>
      <c r="Q626" s="68"/>
      <c r="R626" s="68"/>
      <c r="S626" s="68"/>
      <c r="T626" s="68"/>
      <c r="U626" s="68"/>
      <c r="V626" s="68"/>
      <c r="W626" s="68"/>
      <c r="X626" s="68"/>
      <c r="Y626" s="68"/>
      <c r="Z626" s="68"/>
    </row>
    <row r="627">
      <c r="A627" s="68"/>
      <c r="B627" s="68"/>
      <c r="C627" s="68"/>
      <c r="D627" s="68"/>
      <c r="E627" s="68"/>
      <c r="F627" s="68"/>
      <c r="G627" s="68"/>
      <c r="H627" s="68"/>
      <c r="I627" s="68"/>
      <c r="J627" s="68"/>
      <c r="K627" s="68"/>
      <c r="L627" s="68"/>
      <c r="M627" s="68"/>
      <c r="N627" s="68"/>
      <c r="O627" s="68"/>
      <c r="P627" s="68"/>
      <c r="Q627" s="68"/>
      <c r="R627" s="68"/>
      <c r="S627" s="68"/>
      <c r="T627" s="68"/>
      <c r="U627" s="68"/>
      <c r="V627" s="68"/>
      <c r="W627" s="68"/>
      <c r="X627" s="68"/>
      <c r="Y627" s="68"/>
      <c r="Z627" s="68"/>
    </row>
    <row r="628">
      <c r="A628" s="68"/>
      <c r="B628" s="68"/>
      <c r="C628" s="68"/>
      <c r="D628" s="68"/>
      <c r="E628" s="68"/>
      <c r="F628" s="68"/>
      <c r="G628" s="68"/>
      <c r="H628" s="68"/>
      <c r="I628" s="68"/>
      <c r="J628" s="68"/>
      <c r="K628" s="68"/>
      <c r="L628" s="68"/>
      <c r="M628" s="68"/>
      <c r="N628" s="68"/>
      <c r="O628" s="68"/>
      <c r="P628" s="68"/>
      <c r="Q628" s="68"/>
      <c r="R628" s="68"/>
      <c r="S628" s="68"/>
      <c r="T628" s="68"/>
      <c r="U628" s="68"/>
      <c r="V628" s="68"/>
      <c r="W628" s="68"/>
      <c r="X628" s="68"/>
      <c r="Y628" s="68"/>
      <c r="Z628" s="68"/>
    </row>
    <row r="629">
      <c r="A629" s="68"/>
      <c r="B629" s="68"/>
      <c r="C629" s="68"/>
      <c r="D629" s="68"/>
      <c r="E629" s="68"/>
      <c r="F629" s="68"/>
      <c r="G629" s="68"/>
      <c r="H629" s="68"/>
      <c r="I629" s="68"/>
      <c r="J629" s="68"/>
      <c r="K629" s="68"/>
      <c r="L629" s="68"/>
      <c r="M629" s="68"/>
      <c r="N629" s="68"/>
      <c r="O629" s="68"/>
      <c r="P629" s="68"/>
      <c r="Q629" s="68"/>
      <c r="R629" s="68"/>
      <c r="S629" s="68"/>
      <c r="T629" s="68"/>
      <c r="U629" s="68"/>
      <c r="V629" s="68"/>
      <c r="W629" s="68"/>
      <c r="X629" s="68"/>
      <c r="Y629" s="68"/>
      <c r="Z629" s="68"/>
    </row>
    <row r="630">
      <c r="A630" s="68"/>
      <c r="B630" s="68"/>
      <c r="C630" s="68"/>
      <c r="D630" s="68"/>
      <c r="E630" s="68"/>
      <c r="F630" s="68"/>
      <c r="G630" s="68"/>
      <c r="H630" s="68"/>
      <c r="I630" s="68"/>
      <c r="J630" s="68"/>
      <c r="K630" s="68"/>
      <c r="L630" s="68"/>
      <c r="M630" s="68"/>
      <c r="N630" s="68"/>
      <c r="O630" s="68"/>
      <c r="P630" s="68"/>
      <c r="Q630" s="68"/>
      <c r="R630" s="68"/>
      <c r="S630" s="68"/>
      <c r="T630" s="68"/>
      <c r="U630" s="68"/>
      <c r="V630" s="68"/>
      <c r="W630" s="68"/>
      <c r="X630" s="68"/>
      <c r="Y630" s="68"/>
      <c r="Z630" s="68"/>
    </row>
    <row r="631">
      <c r="A631" s="68"/>
      <c r="B631" s="68"/>
      <c r="C631" s="68"/>
      <c r="D631" s="68"/>
      <c r="E631" s="68"/>
      <c r="F631" s="68"/>
      <c r="G631" s="68"/>
      <c r="H631" s="68"/>
      <c r="I631" s="68"/>
      <c r="J631" s="68"/>
      <c r="K631" s="68"/>
      <c r="L631" s="68"/>
      <c r="M631" s="68"/>
      <c r="N631" s="68"/>
      <c r="O631" s="68"/>
      <c r="P631" s="68"/>
      <c r="Q631" s="68"/>
      <c r="R631" s="68"/>
      <c r="S631" s="68"/>
      <c r="T631" s="68"/>
      <c r="U631" s="68"/>
      <c r="V631" s="68"/>
      <c r="W631" s="68"/>
      <c r="X631" s="68"/>
      <c r="Y631" s="68"/>
      <c r="Z631" s="68"/>
    </row>
    <row r="632">
      <c r="A632" s="68"/>
      <c r="B632" s="68"/>
      <c r="C632" s="68"/>
      <c r="D632" s="68"/>
      <c r="E632" s="68"/>
      <c r="F632" s="68"/>
      <c r="G632" s="68"/>
      <c r="H632" s="68"/>
      <c r="I632" s="68"/>
      <c r="J632" s="68"/>
      <c r="K632" s="68"/>
      <c r="L632" s="68"/>
      <c r="M632" s="68"/>
      <c r="N632" s="68"/>
      <c r="O632" s="68"/>
      <c r="P632" s="68"/>
      <c r="Q632" s="68"/>
      <c r="R632" s="68"/>
      <c r="S632" s="68"/>
      <c r="T632" s="68"/>
      <c r="U632" s="68"/>
      <c r="V632" s="68"/>
      <c r="W632" s="68"/>
      <c r="X632" s="68"/>
      <c r="Y632" s="68"/>
      <c r="Z632" s="68"/>
    </row>
    <row r="633">
      <c r="A633" s="68"/>
      <c r="B633" s="68"/>
      <c r="C633" s="68"/>
      <c r="D633" s="68"/>
      <c r="E633" s="68"/>
      <c r="F633" s="68"/>
      <c r="G633" s="68"/>
      <c r="H633" s="68"/>
      <c r="I633" s="68"/>
      <c r="J633" s="68"/>
      <c r="K633" s="68"/>
      <c r="L633" s="68"/>
      <c r="M633" s="68"/>
      <c r="N633" s="68"/>
      <c r="O633" s="68"/>
      <c r="P633" s="68"/>
      <c r="Q633" s="68"/>
      <c r="R633" s="68"/>
      <c r="S633" s="68"/>
      <c r="T633" s="68"/>
      <c r="U633" s="68"/>
      <c r="V633" s="68"/>
      <c r="W633" s="68"/>
      <c r="X633" s="68"/>
      <c r="Y633" s="68"/>
      <c r="Z633" s="68"/>
    </row>
    <row r="634">
      <c r="A634" s="68"/>
      <c r="B634" s="68"/>
      <c r="C634" s="68"/>
      <c r="D634" s="68"/>
      <c r="E634" s="68"/>
      <c r="F634" s="68"/>
      <c r="G634" s="68"/>
      <c r="H634" s="68"/>
      <c r="I634" s="68"/>
      <c r="J634" s="68"/>
      <c r="K634" s="68"/>
      <c r="L634" s="68"/>
      <c r="M634" s="68"/>
      <c r="N634" s="68"/>
      <c r="O634" s="68"/>
      <c r="P634" s="68"/>
      <c r="Q634" s="68"/>
      <c r="R634" s="68"/>
      <c r="S634" s="68"/>
      <c r="T634" s="68"/>
      <c r="U634" s="68"/>
      <c r="V634" s="68"/>
      <c r="W634" s="68"/>
      <c r="X634" s="68"/>
      <c r="Y634" s="68"/>
      <c r="Z634" s="68"/>
    </row>
    <row r="635">
      <c r="A635" s="68"/>
      <c r="B635" s="68"/>
      <c r="C635" s="68"/>
      <c r="D635" s="68"/>
      <c r="E635" s="68"/>
      <c r="F635" s="68"/>
      <c r="G635" s="68"/>
      <c r="H635" s="68"/>
      <c r="I635" s="68"/>
      <c r="J635" s="68"/>
      <c r="K635" s="68"/>
      <c r="L635" s="68"/>
      <c r="M635" s="68"/>
      <c r="N635" s="68"/>
      <c r="O635" s="68"/>
      <c r="P635" s="68"/>
      <c r="Q635" s="68"/>
      <c r="R635" s="68"/>
      <c r="S635" s="68"/>
      <c r="T635" s="68"/>
      <c r="U635" s="68"/>
      <c r="V635" s="68"/>
      <c r="W635" s="68"/>
      <c r="X635" s="68"/>
      <c r="Y635" s="68"/>
      <c r="Z635" s="68"/>
    </row>
    <row r="636">
      <c r="A636" s="68"/>
      <c r="B636" s="68"/>
      <c r="C636" s="68"/>
      <c r="D636" s="68"/>
      <c r="E636" s="68"/>
      <c r="F636" s="68"/>
      <c r="G636" s="68"/>
      <c r="H636" s="68"/>
      <c r="I636" s="68"/>
      <c r="J636" s="68"/>
      <c r="K636" s="68"/>
      <c r="L636" s="68"/>
      <c r="M636" s="68"/>
      <c r="N636" s="68"/>
      <c r="O636" s="68"/>
      <c r="P636" s="68"/>
      <c r="Q636" s="68"/>
      <c r="R636" s="68"/>
      <c r="S636" s="68"/>
      <c r="T636" s="68"/>
      <c r="U636" s="68"/>
      <c r="V636" s="68"/>
      <c r="W636" s="68"/>
      <c r="X636" s="68"/>
      <c r="Y636" s="68"/>
      <c r="Z636" s="68"/>
    </row>
    <row r="637">
      <c r="A637" s="68"/>
      <c r="B637" s="68"/>
      <c r="C637" s="68"/>
      <c r="D637" s="68"/>
      <c r="E637" s="68"/>
      <c r="F637" s="68"/>
      <c r="G637" s="68"/>
      <c r="H637" s="68"/>
      <c r="I637" s="68"/>
      <c r="J637" s="68"/>
      <c r="K637" s="68"/>
      <c r="L637" s="68"/>
      <c r="M637" s="68"/>
      <c r="N637" s="68"/>
      <c r="O637" s="68"/>
      <c r="P637" s="68"/>
      <c r="Q637" s="68"/>
      <c r="R637" s="68"/>
      <c r="S637" s="68"/>
      <c r="T637" s="68"/>
      <c r="U637" s="68"/>
      <c r="V637" s="68"/>
      <c r="W637" s="68"/>
      <c r="X637" s="68"/>
      <c r="Y637" s="68"/>
      <c r="Z637" s="68"/>
    </row>
    <row r="638">
      <c r="A638" s="68"/>
      <c r="B638" s="68"/>
      <c r="C638" s="68"/>
      <c r="D638" s="68"/>
      <c r="E638" s="68"/>
      <c r="F638" s="68"/>
      <c r="G638" s="68"/>
      <c r="H638" s="68"/>
      <c r="I638" s="68"/>
      <c r="J638" s="68"/>
      <c r="K638" s="68"/>
      <c r="L638" s="68"/>
      <c r="M638" s="68"/>
      <c r="N638" s="68"/>
      <c r="O638" s="68"/>
      <c r="P638" s="68"/>
      <c r="Q638" s="68"/>
      <c r="R638" s="68"/>
      <c r="S638" s="68"/>
      <c r="T638" s="68"/>
      <c r="U638" s="68"/>
      <c r="V638" s="68"/>
      <c r="W638" s="68"/>
      <c r="X638" s="68"/>
      <c r="Y638" s="68"/>
      <c r="Z638" s="68"/>
    </row>
    <row r="639">
      <c r="A639" s="68"/>
      <c r="B639" s="68"/>
      <c r="C639" s="68"/>
      <c r="D639" s="68"/>
      <c r="E639" s="68"/>
      <c r="F639" s="68"/>
      <c r="G639" s="68"/>
      <c r="H639" s="68"/>
      <c r="I639" s="68"/>
      <c r="J639" s="68"/>
      <c r="K639" s="68"/>
      <c r="L639" s="68"/>
      <c r="M639" s="68"/>
      <c r="N639" s="68"/>
      <c r="O639" s="68"/>
      <c r="P639" s="68"/>
      <c r="Q639" s="68"/>
      <c r="R639" s="68"/>
      <c r="S639" s="68"/>
      <c r="T639" s="68"/>
      <c r="U639" s="68"/>
      <c r="V639" s="68"/>
      <c r="W639" s="68"/>
      <c r="X639" s="68"/>
      <c r="Y639" s="68"/>
      <c r="Z639" s="68"/>
    </row>
    <row r="640">
      <c r="A640" s="68"/>
      <c r="B640" s="68"/>
      <c r="C640" s="68"/>
      <c r="D640" s="68"/>
      <c r="E640" s="68"/>
      <c r="F640" s="68"/>
      <c r="G640" s="68"/>
      <c r="H640" s="68"/>
      <c r="I640" s="68"/>
      <c r="J640" s="68"/>
      <c r="K640" s="68"/>
      <c r="L640" s="68"/>
      <c r="M640" s="68"/>
      <c r="N640" s="68"/>
      <c r="O640" s="68"/>
      <c r="P640" s="68"/>
      <c r="Q640" s="68"/>
      <c r="R640" s="68"/>
      <c r="S640" s="68"/>
      <c r="T640" s="68"/>
      <c r="U640" s="68"/>
      <c r="V640" s="68"/>
      <c r="W640" s="68"/>
      <c r="X640" s="68"/>
      <c r="Y640" s="68"/>
      <c r="Z640" s="68"/>
    </row>
    <row r="641">
      <c r="A641" s="68"/>
      <c r="B641" s="68"/>
      <c r="C641" s="68"/>
      <c r="D641" s="68"/>
      <c r="E641" s="68"/>
      <c r="F641" s="68"/>
      <c r="G641" s="68"/>
      <c r="H641" s="68"/>
      <c r="I641" s="68"/>
      <c r="J641" s="68"/>
      <c r="K641" s="68"/>
      <c r="L641" s="68"/>
      <c r="M641" s="68"/>
      <c r="N641" s="68"/>
      <c r="O641" s="68"/>
      <c r="P641" s="68"/>
      <c r="Q641" s="68"/>
      <c r="R641" s="68"/>
      <c r="S641" s="68"/>
      <c r="T641" s="68"/>
      <c r="U641" s="68"/>
      <c r="V641" s="68"/>
      <c r="W641" s="68"/>
      <c r="X641" s="68"/>
      <c r="Y641" s="68"/>
      <c r="Z641" s="68"/>
    </row>
    <row r="642">
      <c r="A642" s="68"/>
      <c r="B642" s="68"/>
      <c r="C642" s="68"/>
      <c r="D642" s="68"/>
      <c r="E642" s="68"/>
      <c r="F642" s="68"/>
      <c r="G642" s="68"/>
      <c r="H642" s="68"/>
      <c r="I642" s="68"/>
      <c r="J642" s="68"/>
      <c r="K642" s="68"/>
      <c r="L642" s="68"/>
      <c r="M642" s="68"/>
      <c r="N642" s="68"/>
      <c r="O642" s="68"/>
      <c r="P642" s="68"/>
      <c r="Q642" s="68"/>
      <c r="R642" s="68"/>
      <c r="S642" s="68"/>
      <c r="T642" s="68"/>
      <c r="U642" s="68"/>
      <c r="V642" s="68"/>
      <c r="W642" s="68"/>
      <c r="X642" s="68"/>
      <c r="Y642" s="68"/>
      <c r="Z642" s="68"/>
    </row>
    <row r="643">
      <c r="A643" s="68"/>
      <c r="B643" s="68"/>
      <c r="C643" s="68"/>
      <c r="D643" s="68"/>
      <c r="E643" s="68"/>
      <c r="F643" s="68"/>
      <c r="G643" s="68"/>
      <c r="H643" s="68"/>
      <c r="I643" s="68"/>
      <c r="J643" s="68"/>
      <c r="K643" s="68"/>
      <c r="L643" s="68"/>
      <c r="M643" s="68"/>
      <c r="N643" s="68"/>
      <c r="O643" s="68"/>
      <c r="P643" s="68"/>
      <c r="Q643" s="68"/>
      <c r="R643" s="68"/>
      <c r="S643" s="68"/>
      <c r="T643" s="68"/>
      <c r="U643" s="68"/>
      <c r="V643" s="68"/>
      <c r="W643" s="68"/>
      <c r="X643" s="68"/>
      <c r="Y643" s="68"/>
      <c r="Z643" s="68"/>
    </row>
    <row r="644">
      <c r="A644" s="68"/>
      <c r="B644" s="68"/>
      <c r="C644" s="68"/>
      <c r="D644" s="68"/>
      <c r="E644" s="68"/>
      <c r="F644" s="68"/>
      <c r="G644" s="68"/>
      <c r="H644" s="68"/>
      <c r="I644" s="68"/>
      <c r="J644" s="68"/>
      <c r="K644" s="68"/>
      <c r="L644" s="68"/>
      <c r="M644" s="68"/>
      <c r="N644" s="68"/>
      <c r="O644" s="68"/>
      <c r="P644" s="68"/>
      <c r="Q644" s="68"/>
      <c r="R644" s="68"/>
      <c r="S644" s="68"/>
      <c r="T644" s="68"/>
      <c r="U644" s="68"/>
      <c r="V644" s="68"/>
      <c r="W644" s="68"/>
      <c r="X644" s="68"/>
      <c r="Y644" s="68"/>
      <c r="Z644" s="68"/>
    </row>
    <row r="645">
      <c r="A645" s="68"/>
      <c r="B645" s="68"/>
      <c r="C645" s="68"/>
      <c r="D645" s="68"/>
      <c r="E645" s="68"/>
      <c r="F645" s="68"/>
      <c r="G645" s="68"/>
      <c r="H645" s="68"/>
      <c r="I645" s="68"/>
      <c r="J645" s="68"/>
      <c r="K645" s="68"/>
      <c r="L645" s="68"/>
      <c r="M645" s="68"/>
      <c r="N645" s="68"/>
      <c r="O645" s="68"/>
      <c r="P645" s="68"/>
      <c r="Q645" s="68"/>
      <c r="R645" s="68"/>
      <c r="S645" s="68"/>
      <c r="T645" s="68"/>
      <c r="U645" s="68"/>
      <c r="V645" s="68"/>
      <c r="W645" s="68"/>
      <c r="X645" s="68"/>
      <c r="Y645" s="68"/>
      <c r="Z645" s="68"/>
    </row>
    <row r="646">
      <c r="A646" s="68"/>
      <c r="B646" s="68"/>
      <c r="C646" s="68"/>
      <c r="D646" s="68"/>
      <c r="E646" s="68"/>
      <c r="F646" s="68"/>
      <c r="G646" s="68"/>
      <c r="H646" s="68"/>
      <c r="I646" s="68"/>
      <c r="J646" s="68"/>
      <c r="K646" s="68"/>
      <c r="L646" s="68"/>
      <c r="M646" s="68"/>
      <c r="N646" s="68"/>
      <c r="O646" s="68"/>
      <c r="P646" s="68"/>
      <c r="Q646" s="68"/>
      <c r="R646" s="68"/>
      <c r="S646" s="68"/>
      <c r="T646" s="68"/>
      <c r="U646" s="68"/>
      <c r="V646" s="68"/>
      <c r="W646" s="68"/>
      <c r="X646" s="68"/>
      <c r="Y646" s="68"/>
      <c r="Z646" s="68"/>
    </row>
    <row r="647">
      <c r="A647" s="68"/>
      <c r="B647" s="68"/>
      <c r="C647" s="68"/>
      <c r="D647" s="68"/>
      <c r="E647" s="68"/>
      <c r="F647" s="68"/>
      <c r="G647" s="68"/>
      <c r="H647" s="68"/>
      <c r="I647" s="68"/>
      <c r="J647" s="68"/>
      <c r="K647" s="68"/>
      <c r="L647" s="68"/>
      <c r="M647" s="68"/>
      <c r="N647" s="68"/>
      <c r="O647" s="68"/>
      <c r="P647" s="68"/>
      <c r="Q647" s="68"/>
      <c r="R647" s="68"/>
      <c r="S647" s="68"/>
      <c r="T647" s="68"/>
      <c r="U647" s="68"/>
      <c r="V647" s="68"/>
      <c r="W647" s="68"/>
      <c r="X647" s="68"/>
      <c r="Y647" s="68"/>
      <c r="Z647" s="68"/>
    </row>
    <row r="648">
      <c r="A648" s="68"/>
      <c r="B648" s="68"/>
      <c r="C648" s="68"/>
      <c r="D648" s="68"/>
      <c r="E648" s="68"/>
      <c r="F648" s="68"/>
      <c r="G648" s="68"/>
      <c r="H648" s="68"/>
      <c r="I648" s="68"/>
      <c r="J648" s="68"/>
      <c r="K648" s="68"/>
      <c r="L648" s="68"/>
      <c r="M648" s="68"/>
      <c r="N648" s="68"/>
      <c r="O648" s="68"/>
      <c r="P648" s="68"/>
      <c r="Q648" s="68"/>
      <c r="R648" s="68"/>
      <c r="S648" s="68"/>
      <c r="T648" s="68"/>
      <c r="U648" s="68"/>
      <c r="V648" s="68"/>
      <c r="W648" s="68"/>
      <c r="X648" s="68"/>
      <c r="Y648" s="68"/>
      <c r="Z648" s="68"/>
    </row>
    <row r="649">
      <c r="A649" s="68"/>
      <c r="B649" s="68"/>
      <c r="C649" s="68"/>
      <c r="D649" s="68"/>
      <c r="E649" s="68"/>
      <c r="F649" s="68"/>
      <c r="G649" s="68"/>
      <c r="H649" s="68"/>
      <c r="I649" s="68"/>
      <c r="J649" s="68"/>
      <c r="K649" s="68"/>
      <c r="L649" s="68"/>
      <c r="M649" s="68"/>
      <c r="N649" s="68"/>
      <c r="O649" s="68"/>
      <c r="P649" s="68"/>
      <c r="Q649" s="68"/>
      <c r="R649" s="68"/>
      <c r="S649" s="68"/>
      <c r="T649" s="68"/>
      <c r="U649" s="68"/>
      <c r="V649" s="68"/>
      <c r="W649" s="68"/>
      <c r="X649" s="68"/>
      <c r="Y649" s="68"/>
      <c r="Z649" s="68"/>
    </row>
    <row r="650">
      <c r="A650" s="68"/>
      <c r="B650" s="68"/>
      <c r="C650" s="68"/>
      <c r="D650" s="68"/>
      <c r="E650" s="68"/>
      <c r="F650" s="68"/>
      <c r="G650" s="68"/>
      <c r="H650" s="68"/>
      <c r="I650" s="68"/>
      <c r="J650" s="68"/>
      <c r="K650" s="68"/>
      <c r="L650" s="68"/>
      <c r="M650" s="68"/>
      <c r="N650" s="68"/>
      <c r="O650" s="68"/>
      <c r="P650" s="68"/>
      <c r="Q650" s="68"/>
      <c r="R650" s="68"/>
      <c r="S650" s="68"/>
      <c r="T650" s="68"/>
      <c r="U650" s="68"/>
      <c r="V650" s="68"/>
      <c r="W650" s="68"/>
      <c r="X650" s="68"/>
      <c r="Y650" s="68"/>
      <c r="Z650" s="68"/>
    </row>
    <row r="651">
      <c r="A651" s="68"/>
      <c r="B651" s="68"/>
      <c r="C651" s="68"/>
      <c r="D651" s="68"/>
      <c r="E651" s="68"/>
      <c r="F651" s="68"/>
      <c r="G651" s="68"/>
      <c r="H651" s="68"/>
      <c r="I651" s="68"/>
      <c r="J651" s="68"/>
      <c r="K651" s="68"/>
      <c r="L651" s="68"/>
      <c r="M651" s="68"/>
      <c r="N651" s="68"/>
      <c r="O651" s="68"/>
      <c r="P651" s="68"/>
      <c r="Q651" s="68"/>
      <c r="R651" s="68"/>
      <c r="S651" s="68"/>
      <c r="T651" s="68"/>
      <c r="U651" s="68"/>
      <c r="V651" s="68"/>
      <c r="W651" s="68"/>
      <c r="X651" s="68"/>
      <c r="Y651" s="68"/>
      <c r="Z651" s="68"/>
    </row>
    <row r="652">
      <c r="A652" s="68"/>
      <c r="B652" s="68"/>
      <c r="C652" s="68"/>
      <c r="D652" s="68"/>
      <c r="E652" s="68"/>
      <c r="F652" s="68"/>
      <c r="G652" s="68"/>
      <c r="H652" s="68"/>
      <c r="I652" s="68"/>
      <c r="J652" s="68"/>
      <c r="K652" s="68"/>
      <c r="L652" s="68"/>
      <c r="M652" s="68"/>
      <c r="N652" s="68"/>
      <c r="O652" s="68"/>
      <c r="P652" s="68"/>
      <c r="Q652" s="68"/>
      <c r="R652" s="68"/>
      <c r="S652" s="68"/>
      <c r="T652" s="68"/>
      <c r="U652" s="68"/>
      <c r="V652" s="68"/>
      <c r="W652" s="68"/>
      <c r="X652" s="68"/>
      <c r="Y652" s="68"/>
      <c r="Z652" s="68"/>
    </row>
    <row r="653">
      <c r="A653" s="68"/>
      <c r="B653" s="68"/>
      <c r="C653" s="68"/>
      <c r="D653" s="68"/>
      <c r="E653" s="68"/>
      <c r="F653" s="68"/>
      <c r="G653" s="68"/>
      <c r="H653" s="68"/>
      <c r="I653" s="68"/>
      <c r="J653" s="68"/>
      <c r="K653" s="68"/>
      <c r="L653" s="68"/>
      <c r="M653" s="68"/>
      <c r="N653" s="68"/>
      <c r="O653" s="68"/>
      <c r="P653" s="68"/>
      <c r="Q653" s="68"/>
      <c r="R653" s="68"/>
      <c r="S653" s="68"/>
      <c r="T653" s="68"/>
      <c r="U653" s="68"/>
      <c r="V653" s="68"/>
      <c r="W653" s="68"/>
      <c r="X653" s="68"/>
      <c r="Y653" s="68"/>
      <c r="Z653" s="68"/>
    </row>
    <row r="654">
      <c r="A654" s="68"/>
      <c r="B654" s="68"/>
      <c r="C654" s="68"/>
      <c r="D654" s="68"/>
      <c r="E654" s="68"/>
      <c r="F654" s="68"/>
      <c r="G654" s="68"/>
      <c r="H654" s="68"/>
      <c r="I654" s="68"/>
      <c r="J654" s="68"/>
      <c r="K654" s="68"/>
      <c r="L654" s="68"/>
      <c r="M654" s="68"/>
      <c r="N654" s="68"/>
      <c r="O654" s="68"/>
      <c r="P654" s="68"/>
      <c r="Q654" s="68"/>
      <c r="R654" s="68"/>
      <c r="S654" s="68"/>
      <c r="T654" s="68"/>
      <c r="U654" s="68"/>
      <c r="V654" s="68"/>
      <c r="W654" s="68"/>
      <c r="X654" s="68"/>
      <c r="Y654" s="68"/>
      <c r="Z654" s="68"/>
    </row>
    <row r="655">
      <c r="A655" s="68"/>
      <c r="B655" s="68"/>
      <c r="C655" s="68"/>
      <c r="D655" s="68"/>
      <c r="E655" s="68"/>
      <c r="F655" s="68"/>
      <c r="G655" s="68"/>
      <c r="H655" s="68"/>
      <c r="I655" s="68"/>
      <c r="J655" s="68"/>
      <c r="K655" s="68"/>
      <c r="L655" s="68"/>
      <c r="M655" s="68"/>
      <c r="N655" s="68"/>
      <c r="O655" s="68"/>
      <c r="P655" s="68"/>
      <c r="Q655" s="68"/>
      <c r="R655" s="68"/>
      <c r="S655" s="68"/>
      <c r="T655" s="68"/>
      <c r="U655" s="68"/>
      <c r="V655" s="68"/>
      <c r="W655" s="68"/>
      <c r="X655" s="68"/>
      <c r="Y655" s="68"/>
      <c r="Z655" s="68"/>
    </row>
    <row r="656">
      <c r="A656" s="68"/>
      <c r="B656" s="68"/>
      <c r="C656" s="68"/>
      <c r="D656" s="68"/>
      <c r="E656" s="68"/>
      <c r="F656" s="68"/>
      <c r="G656" s="68"/>
      <c r="H656" s="68"/>
      <c r="I656" s="68"/>
      <c r="J656" s="68"/>
      <c r="K656" s="68"/>
      <c r="L656" s="68"/>
      <c r="M656" s="68"/>
      <c r="N656" s="68"/>
      <c r="O656" s="68"/>
      <c r="P656" s="68"/>
      <c r="Q656" s="68"/>
      <c r="R656" s="68"/>
      <c r="S656" s="68"/>
      <c r="T656" s="68"/>
      <c r="U656" s="68"/>
      <c r="V656" s="68"/>
      <c r="W656" s="68"/>
      <c r="X656" s="68"/>
      <c r="Y656" s="68"/>
      <c r="Z656" s="68"/>
    </row>
    <row r="657">
      <c r="A657" s="68"/>
      <c r="B657" s="68"/>
      <c r="C657" s="68"/>
      <c r="D657" s="68"/>
      <c r="E657" s="68"/>
      <c r="F657" s="68"/>
      <c r="G657" s="68"/>
      <c r="H657" s="68"/>
      <c r="I657" s="68"/>
      <c r="J657" s="68"/>
      <c r="K657" s="68"/>
      <c r="L657" s="68"/>
      <c r="M657" s="68"/>
      <c r="N657" s="68"/>
      <c r="O657" s="68"/>
      <c r="P657" s="68"/>
      <c r="Q657" s="68"/>
      <c r="R657" s="68"/>
      <c r="S657" s="68"/>
      <c r="T657" s="68"/>
      <c r="U657" s="68"/>
      <c r="V657" s="68"/>
      <c r="W657" s="68"/>
      <c r="X657" s="68"/>
      <c r="Y657" s="68"/>
      <c r="Z657" s="68"/>
    </row>
    <row r="658">
      <c r="A658" s="68"/>
      <c r="B658" s="68"/>
      <c r="C658" s="68"/>
      <c r="D658" s="68"/>
      <c r="E658" s="68"/>
      <c r="F658" s="68"/>
      <c r="G658" s="68"/>
      <c r="H658" s="68"/>
      <c r="I658" s="68"/>
      <c r="J658" s="68"/>
      <c r="K658" s="68"/>
      <c r="L658" s="68"/>
      <c r="M658" s="68"/>
      <c r="N658" s="68"/>
      <c r="O658" s="68"/>
      <c r="P658" s="68"/>
      <c r="Q658" s="68"/>
      <c r="R658" s="68"/>
      <c r="S658" s="68"/>
      <c r="T658" s="68"/>
      <c r="U658" s="68"/>
      <c r="V658" s="68"/>
      <c r="W658" s="68"/>
      <c r="X658" s="68"/>
      <c r="Y658" s="68"/>
      <c r="Z658" s="68"/>
    </row>
    <row r="659">
      <c r="A659" s="68"/>
      <c r="B659" s="68"/>
      <c r="C659" s="68"/>
      <c r="D659" s="68"/>
      <c r="E659" s="68"/>
      <c r="F659" s="68"/>
      <c r="G659" s="68"/>
      <c r="H659" s="68"/>
      <c r="I659" s="68"/>
      <c r="J659" s="68"/>
      <c r="K659" s="68"/>
      <c r="L659" s="68"/>
      <c r="M659" s="68"/>
      <c r="N659" s="68"/>
      <c r="O659" s="68"/>
      <c r="P659" s="68"/>
      <c r="Q659" s="68"/>
      <c r="R659" s="68"/>
      <c r="S659" s="68"/>
      <c r="T659" s="68"/>
      <c r="U659" s="68"/>
      <c r="V659" s="68"/>
      <c r="W659" s="68"/>
      <c r="X659" s="68"/>
      <c r="Y659" s="68"/>
      <c r="Z659" s="68"/>
    </row>
    <row r="660">
      <c r="A660" s="68"/>
      <c r="B660" s="68"/>
      <c r="C660" s="68"/>
      <c r="D660" s="68"/>
      <c r="E660" s="68"/>
      <c r="F660" s="68"/>
      <c r="G660" s="68"/>
      <c r="H660" s="68"/>
      <c r="I660" s="68"/>
      <c r="J660" s="68"/>
      <c r="K660" s="68"/>
      <c r="L660" s="68"/>
      <c r="M660" s="68"/>
      <c r="N660" s="68"/>
      <c r="O660" s="68"/>
      <c r="P660" s="68"/>
      <c r="Q660" s="68"/>
      <c r="R660" s="68"/>
      <c r="S660" s="68"/>
      <c r="T660" s="68"/>
      <c r="U660" s="68"/>
      <c r="V660" s="68"/>
      <c r="W660" s="68"/>
      <c r="X660" s="68"/>
      <c r="Y660" s="68"/>
      <c r="Z660" s="68"/>
    </row>
    <row r="661">
      <c r="A661" s="68"/>
      <c r="B661" s="68"/>
      <c r="C661" s="68"/>
      <c r="D661" s="68"/>
      <c r="E661" s="68"/>
      <c r="F661" s="68"/>
      <c r="G661" s="68"/>
      <c r="H661" s="68"/>
      <c r="I661" s="68"/>
      <c r="J661" s="68"/>
      <c r="K661" s="68"/>
      <c r="L661" s="68"/>
      <c r="M661" s="68"/>
      <c r="N661" s="68"/>
      <c r="O661" s="68"/>
      <c r="P661" s="68"/>
      <c r="Q661" s="68"/>
      <c r="R661" s="68"/>
      <c r="S661" s="68"/>
      <c r="T661" s="68"/>
      <c r="U661" s="68"/>
      <c r="V661" s="68"/>
      <c r="W661" s="68"/>
      <c r="X661" s="68"/>
      <c r="Y661" s="68"/>
      <c r="Z661" s="68"/>
    </row>
    <row r="662">
      <c r="A662" s="68"/>
      <c r="B662" s="68"/>
      <c r="C662" s="68"/>
      <c r="D662" s="68"/>
      <c r="E662" s="68"/>
      <c r="F662" s="68"/>
      <c r="G662" s="68"/>
      <c r="H662" s="68"/>
      <c r="I662" s="68"/>
      <c r="J662" s="68"/>
      <c r="K662" s="68"/>
      <c r="L662" s="68"/>
      <c r="M662" s="68"/>
      <c r="N662" s="68"/>
      <c r="O662" s="68"/>
      <c r="P662" s="68"/>
      <c r="Q662" s="68"/>
      <c r="R662" s="68"/>
      <c r="S662" s="68"/>
      <c r="T662" s="68"/>
      <c r="U662" s="68"/>
      <c r="V662" s="68"/>
      <c r="W662" s="68"/>
      <c r="X662" s="68"/>
      <c r="Y662" s="68"/>
      <c r="Z662" s="68"/>
    </row>
    <row r="663">
      <c r="A663" s="68"/>
      <c r="B663" s="68"/>
      <c r="C663" s="68"/>
      <c r="D663" s="68"/>
      <c r="E663" s="68"/>
      <c r="F663" s="68"/>
      <c r="G663" s="68"/>
      <c r="H663" s="68"/>
      <c r="I663" s="68"/>
      <c r="J663" s="68"/>
      <c r="K663" s="68"/>
      <c r="L663" s="68"/>
      <c r="M663" s="68"/>
      <c r="N663" s="68"/>
      <c r="O663" s="68"/>
      <c r="P663" s="68"/>
      <c r="Q663" s="68"/>
      <c r="R663" s="68"/>
      <c r="S663" s="68"/>
      <c r="T663" s="68"/>
      <c r="U663" s="68"/>
      <c r="V663" s="68"/>
      <c r="W663" s="68"/>
      <c r="X663" s="68"/>
      <c r="Y663" s="68"/>
      <c r="Z663" s="68"/>
    </row>
    <row r="664">
      <c r="A664" s="68"/>
      <c r="B664" s="68"/>
      <c r="C664" s="68"/>
      <c r="D664" s="68"/>
      <c r="E664" s="68"/>
      <c r="F664" s="68"/>
      <c r="G664" s="68"/>
      <c r="H664" s="68"/>
      <c r="I664" s="68"/>
      <c r="J664" s="68"/>
      <c r="K664" s="68"/>
      <c r="L664" s="68"/>
      <c r="M664" s="68"/>
      <c r="N664" s="68"/>
      <c r="O664" s="68"/>
      <c r="P664" s="68"/>
      <c r="Q664" s="68"/>
      <c r="R664" s="68"/>
      <c r="S664" s="68"/>
      <c r="T664" s="68"/>
      <c r="U664" s="68"/>
      <c r="V664" s="68"/>
      <c r="W664" s="68"/>
      <c r="X664" s="68"/>
      <c r="Y664" s="68"/>
      <c r="Z664" s="68"/>
    </row>
    <row r="665">
      <c r="A665" s="68"/>
      <c r="B665" s="68"/>
      <c r="C665" s="68"/>
      <c r="D665" s="68"/>
      <c r="E665" s="68"/>
      <c r="F665" s="68"/>
      <c r="G665" s="68"/>
      <c r="H665" s="68"/>
      <c r="I665" s="68"/>
      <c r="J665" s="68"/>
      <c r="K665" s="68"/>
      <c r="L665" s="68"/>
      <c r="M665" s="68"/>
      <c r="N665" s="68"/>
      <c r="O665" s="68"/>
      <c r="P665" s="68"/>
      <c r="Q665" s="68"/>
      <c r="R665" s="68"/>
      <c r="S665" s="68"/>
      <c r="T665" s="68"/>
      <c r="U665" s="68"/>
      <c r="V665" s="68"/>
      <c r="W665" s="68"/>
      <c r="X665" s="68"/>
      <c r="Y665" s="68"/>
      <c r="Z665" s="68"/>
    </row>
    <row r="666">
      <c r="A666" s="68"/>
      <c r="B666" s="68"/>
      <c r="C666" s="68"/>
      <c r="D666" s="68"/>
      <c r="E666" s="68"/>
      <c r="F666" s="68"/>
      <c r="G666" s="68"/>
      <c r="H666" s="68"/>
      <c r="I666" s="68"/>
      <c r="J666" s="68"/>
      <c r="K666" s="68"/>
      <c r="L666" s="68"/>
      <c r="M666" s="68"/>
      <c r="N666" s="68"/>
      <c r="O666" s="68"/>
      <c r="P666" s="68"/>
      <c r="Q666" s="68"/>
      <c r="R666" s="68"/>
      <c r="S666" s="68"/>
      <c r="T666" s="68"/>
      <c r="U666" s="68"/>
      <c r="V666" s="68"/>
      <c r="W666" s="68"/>
      <c r="X666" s="68"/>
      <c r="Y666" s="68"/>
      <c r="Z666" s="68"/>
    </row>
    <row r="667">
      <c r="A667" s="68"/>
      <c r="B667" s="68"/>
      <c r="C667" s="68"/>
      <c r="D667" s="68"/>
      <c r="E667" s="68"/>
      <c r="F667" s="68"/>
      <c r="G667" s="68"/>
      <c r="H667" s="68"/>
      <c r="I667" s="68"/>
      <c r="J667" s="68"/>
      <c r="K667" s="68"/>
      <c r="L667" s="68"/>
      <c r="M667" s="68"/>
      <c r="N667" s="68"/>
      <c r="O667" s="68"/>
      <c r="P667" s="68"/>
      <c r="Q667" s="68"/>
      <c r="R667" s="68"/>
      <c r="S667" s="68"/>
      <c r="T667" s="68"/>
      <c r="U667" s="68"/>
      <c r="V667" s="68"/>
      <c r="W667" s="68"/>
      <c r="X667" s="68"/>
      <c r="Y667" s="68"/>
      <c r="Z667" s="68"/>
    </row>
    <row r="668">
      <c r="A668" s="68"/>
      <c r="B668" s="68"/>
      <c r="C668" s="68"/>
      <c r="D668" s="68"/>
      <c r="E668" s="68"/>
      <c r="F668" s="68"/>
      <c r="G668" s="68"/>
      <c r="H668" s="68"/>
      <c r="I668" s="68"/>
      <c r="J668" s="68"/>
      <c r="K668" s="68"/>
      <c r="L668" s="68"/>
      <c r="M668" s="68"/>
      <c r="N668" s="68"/>
      <c r="O668" s="68"/>
      <c r="P668" s="68"/>
      <c r="Q668" s="68"/>
      <c r="R668" s="68"/>
      <c r="S668" s="68"/>
      <c r="T668" s="68"/>
      <c r="U668" s="68"/>
      <c r="V668" s="68"/>
      <c r="W668" s="68"/>
      <c r="X668" s="68"/>
      <c r="Y668" s="68"/>
      <c r="Z668" s="68"/>
    </row>
    <row r="669">
      <c r="A669" s="68"/>
      <c r="B669" s="68"/>
      <c r="C669" s="68"/>
      <c r="D669" s="68"/>
      <c r="E669" s="68"/>
      <c r="F669" s="68"/>
      <c r="G669" s="68"/>
      <c r="H669" s="68"/>
      <c r="I669" s="68"/>
      <c r="J669" s="68"/>
      <c r="K669" s="68"/>
      <c r="L669" s="68"/>
      <c r="M669" s="68"/>
      <c r="N669" s="68"/>
      <c r="O669" s="68"/>
      <c r="P669" s="68"/>
      <c r="Q669" s="68"/>
      <c r="R669" s="68"/>
      <c r="S669" s="68"/>
      <c r="T669" s="68"/>
      <c r="U669" s="68"/>
      <c r="V669" s="68"/>
      <c r="W669" s="68"/>
      <c r="X669" s="68"/>
      <c r="Y669" s="68"/>
      <c r="Z669" s="68"/>
    </row>
    <row r="670">
      <c r="A670" s="68"/>
      <c r="B670" s="68"/>
      <c r="C670" s="68"/>
      <c r="D670" s="68"/>
      <c r="E670" s="68"/>
      <c r="F670" s="68"/>
      <c r="G670" s="68"/>
      <c r="H670" s="68"/>
      <c r="I670" s="68"/>
      <c r="J670" s="68"/>
      <c r="K670" s="68"/>
      <c r="L670" s="68"/>
      <c r="M670" s="68"/>
      <c r="N670" s="68"/>
      <c r="O670" s="68"/>
      <c r="P670" s="68"/>
      <c r="Q670" s="68"/>
      <c r="R670" s="68"/>
      <c r="S670" s="68"/>
      <c r="T670" s="68"/>
      <c r="U670" s="68"/>
      <c r="V670" s="68"/>
      <c r="W670" s="68"/>
      <c r="X670" s="68"/>
      <c r="Y670" s="68"/>
      <c r="Z670" s="68"/>
    </row>
    <row r="671">
      <c r="A671" s="68"/>
      <c r="B671" s="68"/>
      <c r="C671" s="68"/>
      <c r="D671" s="68"/>
      <c r="E671" s="68"/>
      <c r="F671" s="68"/>
      <c r="G671" s="68"/>
      <c r="H671" s="68"/>
      <c r="I671" s="68"/>
      <c r="J671" s="68"/>
      <c r="K671" s="68"/>
      <c r="L671" s="68"/>
      <c r="M671" s="68"/>
      <c r="N671" s="68"/>
      <c r="O671" s="68"/>
      <c r="P671" s="68"/>
      <c r="Q671" s="68"/>
      <c r="R671" s="68"/>
      <c r="S671" s="68"/>
      <c r="T671" s="68"/>
      <c r="U671" s="68"/>
      <c r="V671" s="68"/>
      <c r="W671" s="68"/>
      <c r="X671" s="68"/>
      <c r="Y671" s="68"/>
      <c r="Z671" s="68"/>
    </row>
    <row r="672">
      <c r="A672" s="68"/>
      <c r="B672" s="68"/>
      <c r="C672" s="68"/>
      <c r="D672" s="68"/>
      <c r="E672" s="68"/>
      <c r="F672" s="68"/>
      <c r="G672" s="68"/>
      <c r="H672" s="68"/>
      <c r="I672" s="68"/>
      <c r="J672" s="68"/>
      <c r="K672" s="68"/>
      <c r="L672" s="68"/>
      <c r="M672" s="68"/>
      <c r="N672" s="68"/>
      <c r="O672" s="68"/>
      <c r="P672" s="68"/>
      <c r="Q672" s="68"/>
      <c r="R672" s="68"/>
      <c r="S672" s="68"/>
      <c r="T672" s="68"/>
      <c r="U672" s="68"/>
      <c r="V672" s="68"/>
      <c r="W672" s="68"/>
      <c r="X672" s="68"/>
      <c r="Y672" s="68"/>
      <c r="Z672" s="68"/>
    </row>
    <row r="673">
      <c r="A673" s="68"/>
      <c r="B673" s="68"/>
      <c r="C673" s="68"/>
      <c r="D673" s="68"/>
      <c r="E673" s="68"/>
      <c r="F673" s="68"/>
      <c r="G673" s="68"/>
      <c r="H673" s="68"/>
      <c r="I673" s="68"/>
      <c r="J673" s="68"/>
      <c r="K673" s="68"/>
      <c r="L673" s="68"/>
      <c r="M673" s="68"/>
      <c r="N673" s="68"/>
      <c r="O673" s="68"/>
      <c r="P673" s="68"/>
      <c r="Q673" s="68"/>
      <c r="R673" s="68"/>
      <c r="S673" s="68"/>
      <c r="T673" s="68"/>
      <c r="U673" s="68"/>
      <c r="V673" s="68"/>
      <c r="W673" s="68"/>
      <c r="X673" s="68"/>
      <c r="Y673" s="68"/>
      <c r="Z673" s="68"/>
    </row>
    <row r="674">
      <c r="A674" s="68"/>
      <c r="B674" s="68"/>
      <c r="C674" s="68"/>
      <c r="D674" s="68"/>
      <c r="E674" s="68"/>
      <c r="F674" s="68"/>
      <c r="G674" s="68"/>
      <c r="H674" s="68"/>
      <c r="I674" s="68"/>
      <c r="J674" s="68"/>
      <c r="K674" s="68"/>
      <c r="L674" s="68"/>
      <c r="M674" s="68"/>
      <c r="N674" s="68"/>
      <c r="O674" s="68"/>
      <c r="P674" s="68"/>
      <c r="Q674" s="68"/>
      <c r="R674" s="68"/>
      <c r="S674" s="68"/>
      <c r="T674" s="68"/>
      <c r="U674" s="68"/>
      <c r="V674" s="68"/>
      <c r="W674" s="68"/>
      <c r="X674" s="68"/>
      <c r="Y674" s="68"/>
      <c r="Z674" s="68"/>
    </row>
    <row r="675">
      <c r="A675" s="68"/>
      <c r="B675" s="68"/>
      <c r="C675" s="68"/>
      <c r="D675" s="68"/>
      <c r="E675" s="68"/>
      <c r="F675" s="68"/>
      <c r="G675" s="68"/>
      <c r="H675" s="68"/>
      <c r="I675" s="68"/>
      <c r="J675" s="68"/>
      <c r="K675" s="68"/>
      <c r="L675" s="68"/>
      <c r="M675" s="68"/>
      <c r="N675" s="68"/>
      <c r="O675" s="68"/>
      <c r="P675" s="68"/>
      <c r="Q675" s="68"/>
      <c r="R675" s="68"/>
      <c r="S675" s="68"/>
      <c r="T675" s="68"/>
      <c r="U675" s="68"/>
      <c r="V675" s="68"/>
      <c r="W675" s="68"/>
      <c r="X675" s="68"/>
      <c r="Y675" s="68"/>
      <c r="Z675" s="68"/>
    </row>
    <row r="676">
      <c r="A676" s="68"/>
      <c r="B676" s="68"/>
      <c r="C676" s="68"/>
      <c r="D676" s="68"/>
      <c r="E676" s="68"/>
      <c r="F676" s="68"/>
      <c r="G676" s="68"/>
      <c r="H676" s="68"/>
      <c r="I676" s="68"/>
      <c r="J676" s="68"/>
      <c r="K676" s="68"/>
      <c r="L676" s="68"/>
      <c r="M676" s="68"/>
      <c r="N676" s="68"/>
      <c r="O676" s="68"/>
      <c r="P676" s="68"/>
      <c r="Q676" s="68"/>
      <c r="R676" s="68"/>
      <c r="S676" s="68"/>
      <c r="T676" s="68"/>
      <c r="U676" s="68"/>
      <c r="V676" s="68"/>
      <c r="W676" s="68"/>
      <c r="X676" s="68"/>
      <c r="Y676" s="68"/>
      <c r="Z676" s="68"/>
    </row>
    <row r="677">
      <c r="A677" s="68"/>
      <c r="B677" s="68"/>
      <c r="C677" s="68"/>
      <c r="D677" s="68"/>
      <c r="E677" s="68"/>
      <c r="F677" s="68"/>
      <c r="G677" s="68"/>
      <c r="H677" s="68"/>
      <c r="I677" s="68"/>
      <c r="J677" s="68"/>
      <c r="K677" s="68"/>
      <c r="L677" s="68"/>
      <c r="M677" s="68"/>
      <c r="N677" s="68"/>
      <c r="O677" s="68"/>
      <c r="P677" s="68"/>
      <c r="Q677" s="68"/>
      <c r="R677" s="68"/>
      <c r="S677" s="68"/>
      <c r="T677" s="68"/>
      <c r="U677" s="68"/>
      <c r="V677" s="68"/>
      <c r="W677" s="68"/>
      <c r="X677" s="68"/>
      <c r="Y677" s="68"/>
      <c r="Z677" s="68"/>
    </row>
    <row r="678">
      <c r="A678" s="68"/>
      <c r="B678" s="68"/>
      <c r="C678" s="68"/>
      <c r="D678" s="68"/>
      <c r="E678" s="68"/>
      <c r="F678" s="68"/>
      <c r="G678" s="68"/>
      <c r="H678" s="68"/>
      <c r="I678" s="68"/>
      <c r="J678" s="68"/>
      <c r="K678" s="68"/>
      <c r="L678" s="68"/>
      <c r="M678" s="68"/>
      <c r="N678" s="68"/>
      <c r="O678" s="68"/>
      <c r="P678" s="68"/>
      <c r="Q678" s="68"/>
      <c r="R678" s="68"/>
      <c r="S678" s="68"/>
      <c r="T678" s="68"/>
      <c r="U678" s="68"/>
      <c r="V678" s="68"/>
      <c r="W678" s="68"/>
      <c r="X678" s="68"/>
      <c r="Y678" s="68"/>
      <c r="Z678" s="68"/>
    </row>
    <row r="679">
      <c r="A679" s="68"/>
      <c r="B679" s="68"/>
      <c r="C679" s="68"/>
      <c r="D679" s="68"/>
      <c r="E679" s="68"/>
      <c r="F679" s="68"/>
      <c r="G679" s="68"/>
      <c r="H679" s="68"/>
      <c r="I679" s="68"/>
      <c r="J679" s="68"/>
      <c r="K679" s="68"/>
      <c r="L679" s="68"/>
      <c r="M679" s="68"/>
      <c r="N679" s="68"/>
      <c r="O679" s="68"/>
      <c r="P679" s="68"/>
      <c r="Q679" s="68"/>
      <c r="R679" s="68"/>
      <c r="S679" s="68"/>
      <c r="T679" s="68"/>
      <c r="U679" s="68"/>
      <c r="V679" s="68"/>
      <c r="W679" s="68"/>
      <c r="X679" s="68"/>
      <c r="Y679" s="68"/>
      <c r="Z679" s="68"/>
    </row>
    <row r="680">
      <c r="A680" s="68"/>
      <c r="B680" s="68"/>
      <c r="C680" s="68"/>
      <c r="D680" s="68"/>
      <c r="E680" s="68"/>
      <c r="F680" s="68"/>
      <c r="G680" s="68"/>
      <c r="H680" s="68"/>
      <c r="I680" s="68"/>
      <c r="J680" s="68"/>
      <c r="K680" s="68"/>
      <c r="L680" s="68"/>
      <c r="M680" s="68"/>
      <c r="N680" s="68"/>
      <c r="O680" s="68"/>
      <c r="P680" s="68"/>
      <c r="Q680" s="68"/>
      <c r="R680" s="68"/>
      <c r="S680" s="68"/>
      <c r="T680" s="68"/>
      <c r="U680" s="68"/>
      <c r="V680" s="68"/>
      <c r="W680" s="68"/>
      <c r="X680" s="68"/>
      <c r="Y680" s="68"/>
      <c r="Z680" s="68"/>
    </row>
    <row r="681">
      <c r="A681" s="68"/>
      <c r="B681" s="68"/>
      <c r="C681" s="68"/>
      <c r="D681" s="68"/>
      <c r="E681" s="68"/>
      <c r="F681" s="68"/>
      <c r="G681" s="68"/>
      <c r="H681" s="68"/>
      <c r="I681" s="68"/>
      <c r="J681" s="68"/>
      <c r="K681" s="68"/>
      <c r="L681" s="68"/>
      <c r="M681" s="68"/>
      <c r="N681" s="68"/>
      <c r="O681" s="68"/>
      <c r="P681" s="68"/>
      <c r="Q681" s="68"/>
      <c r="R681" s="68"/>
      <c r="S681" s="68"/>
      <c r="T681" s="68"/>
      <c r="U681" s="68"/>
      <c r="V681" s="68"/>
      <c r="W681" s="68"/>
      <c r="X681" s="68"/>
      <c r="Y681" s="68"/>
      <c r="Z681" s="68"/>
    </row>
    <row r="682">
      <c r="A682" s="68"/>
      <c r="B682" s="68"/>
      <c r="C682" s="68"/>
      <c r="D682" s="68"/>
      <c r="E682" s="68"/>
      <c r="F682" s="68"/>
      <c r="G682" s="68"/>
      <c r="H682" s="68"/>
      <c r="I682" s="68"/>
      <c r="J682" s="68"/>
      <c r="K682" s="68"/>
      <c r="L682" s="68"/>
      <c r="M682" s="68"/>
      <c r="N682" s="68"/>
      <c r="O682" s="68"/>
      <c r="P682" s="68"/>
      <c r="Q682" s="68"/>
      <c r="R682" s="68"/>
      <c r="S682" s="68"/>
      <c r="T682" s="68"/>
      <c r="U682" s="68"/>
      <c r="V682" s="68"/>
      <c r="W682" s="68"/>
      <c r="X682" s="68"/>
      <c r="Y682" s="68"/>
      <c r="Z682" s="68"/>
    </row>
    <row r="683">
      <c r="A683" s="68"/>
      <c r="B683" s="68"/>
      <c r="C683" s="68"/>
      <c r="D683" s="68"/>
      <c r="E683" s="68"/>
      <c r="F683" s="68"/>
      <c r="G683" s="68"/>
      <c r="H683" s="68"/>
      <c r="I683" s="68"/>
      <c r="J683" s="68"/>
      <c r="K683" s="68"/>
      <c r="L683" s="68"/>
      <c r="M683" s="68"/>
      <c r="N683" s="68"/>
      <c r="O683" s="68"/>
      <c r="P683" s="68"/>
      <c r="Q683" s="68"/>
      <c r="R683" s="68"/>
      <c r="S683" s="68"/>
      <c r="T683" s="68"/>
      <c r="U683" s="68"/>
      <c r="V683" s="68"/>
      <c r="W683" s="68"/>
      <c r="X683" s="68"/>
      <c r="Y683" s="68"/>
      <c r="Z683" s="68"/>
    </row>
    <row r="684">
      <c r="A684" s="68"/>
      <c r="B684" s="68"/>
      <c r="C684" s="68"/>
      <c r="D684" s="68"/>
      <c r="E684" s="68"/>
      <c r="F684" s="68"/>
      <c r="G684" s="68"/>
      <c r="H684" s="68"/>
      <c r="I684" s="68"/>
      <c r="J684" s="68"/>
      <c r="K684" s="68"/>
      <c r="L684" s="68"/>
      <c r="M684" s="68"/>
      <c r="N684" s="68"/>
      <c r="O684" s="68"/>
      <c r="P684" s="68"/>
      <c r="Q684" s="68"/>
      <c r="R684" s="68"/>
      <c r="S684" s="68"/>
      <c r="T684" s="68"/>
      <c r="U684" s="68"/>
      <c r="V684" s="68"/>
      <c r="W684" s="68"/>
      <c r="X684" s="68"/>
      <c r="Y684" s="68"/>
      <c r="Z684" s="68"/>
    </row>
    <row r="685">
      <c r="A685" s="68"/>
      <c r="B685" s="68"/>
      <c r="C685" s="68"/>
      <c r="D685" s="68"/>
      <c r="E685" s="68"/>
      <c r="F685" s="68"/>
      <c r="G685" s="68"/>
      <c r="H685" s="68"/>
      <c r="I685" s="68"/>
      <c r="J685" s="68"/>
      <c r="K685" s="68"/>
      <c r="L685" s="68"/>
      <c r="M685" s="68"/>
      <c r="N685" s="68"/>
      <c r="O685" s="68"/>
      <c r="P685" s="68"/>
      <c r="Q685" s="68"/>
      <c r="R685" s="68"/>
      <c r="S685" s="68"/>
      <c r="T685" s="68"/>
      <c r="U685" s="68"/>
      <c r="V685" s="68"/>
      <c r="W685" s="68"/>
      <c r="X685" s="68"/>
      <c r="Y685" s="68"/>
      <c r="Z685" s="68"/>
    </row>
    <row r="686">
      <c r="A686" s="68"/>
      <c r="B686" s="68"/>
      <c r="C686" s="68"/>
      <c r="D686" s="68"/>
      <c r="E686" s="68"/>
      <c r="F686" s="68"/>
      <c r="G686" s="68"/>
      <c r="H686" s="68"/>
      <c r="I686" s="68"/>
      <c r="J686" s="68"/>
      <c r="K686" s="68"/>
      <c r="L686" s="68"/>
      <c r="M686" s="68"/>
      <c r="N686" s="68"/>
      <c r="O686" s="68"/>
      <c r="P686" s="68"/>
      <c r="Q686" s="68"/>
      <c r="R686" s="68"/>
      <c r="S686" s="68"/>
      <c r="T686" s="68"/>
      <c r="U686" s="68"/>
      <c r="V686" s="68"/>
      <c r="W686" s="68"/>
      <c r="X686" s="68"/>
      <c r="Y686" s="68"/>
      <c r="Z686" s="68"/>
    </row>
    <row r="687">
      <c r="A687" s="68"/>
      <c r="B687" s="68"/>
      <c r="C687" s="68"/>
      <c r="D687" s="68"/>
      <c r="E687" s="68"/>
      <c r="F687" s="68"/>
      <c r="G687" s="68"/>
      <c r="H687" s="68"/>
      <c r="I687" s="68"/>
      <c r="J687" s="68"/>
      <c r="K687" s="68"/>
      <c r="L687" s="68"/>
      <c r="M687" s="68"/>
      <c r="N687" s="68"/>
      <c r="O687" s="68"/>
      <c r="P687" s="68"/>
      <c r="Q687" s="68"/>
      <c r="R687" s="68"/>
      <c r="S687" s="68"/>
      <c r="T687" s="68"/>
      <c r="U687" s="68"/>
      <c r="V687" s="68"/>
      <c r="W687" s="68"/>
      <c r="X687" s="68"/>
      <c r="Y687" s="68"/>
      <c r="Z687" s="68"/>
    </row>
    <row r="688">
      <c r="A688" s="68"/>
      <c r="B688" s="68"/>
      <c r="C688" s="68"/>
      <c r="D688" s="68"/>
      <c r="E688" s="68"/>
      <c r="F688" s="68"/>
      <c r="G688" s="68"/>
      <c r="H688" s="68"/>
      <c r="I688" s="68"/>
      <c r="J688" s="68"/>
      <c r="K688" s="68"/>
      <c r="L688" s="68"/>
      <c r="M688" s="68"/>
      <c r="N688" s="68"/>
      <c r="O688" s="68"/>
      <c r="P688" s="68"/>
      <c r="Q688" s="68"/>
      <c r="R688" s="68"/>
      <c r="S688" s="68"/>
      <c r="T688" s="68"/>
      <c r="U688" s="68"/>
      <c r="V688" s="68"/>
      <c r="W688" s="68"/>
      <c r="X688" s="68"/>
      <c r="Y688" s="68"/>
      <c r="Z688" s="68"/>
    </row>
    <row r="689">
      <c r="A689" s="68"/>
      <c r="B689" s="68"/>
      <c r="C689" s="68"/>
      <c r="D689" s="68"/>
      <c r="E689" s="68"/>
      <c r="F689" s="68"/>
      <c r="G689" s="68"/>
      <c r="H689" s="68"/>
      <c r="I689" s="68"/>
      <c r="J689" s="68"/>
      <c r="K689" s="68"/>
      <c r="L689" s="68"/>
      <c r="M689" s="68"/>
      <c r="N689" s="68"/>
      <c r="O689" s="68"/>
      <c r="P689" s="68"/>
      <c r="Q689" s="68"/>
      <c r="R689" s="68"/>
      <c r="S689" s="68"/>
      <c r="T689" s="68"/>
      <c r="U689" s="68"/>
      <c r="V689" s="68"/>
      <c r="W689" s="68"/>
      <c r="X689" s="68"/>
      <c r="Y689" s="68"/>
      <c r="Z689" s="68"/>
    </row>
    <row r="690">
      <c r="A690" s="68"/>
      <c r="B690" s="68"/>
      <c r="C690" s="68"/>
      <c r="D690" s="68"/>
      <c r="E690" s="68"/>
      <c r="F690" s="68"/>
      <c r="G690" s="68"/>
      <c r="H690" s="68"/>
      <c r="I690" s="68"/>
      <c r="J690" s="68"/>
      <c r="K690" s="68"/>
      <c r="L690" s="68"/>
      <c r="M690" s="68"/>
      <c r="N690" s="68"/>
      <c r="O690" s="68"/>
      <c r="P690" s="68"/>
      <c r="Q690" s="68"/>
      <c r="R690" s="68"/>
      <c r="S690" s="68"/>
      <c r="T690" s="68"/>
      <c r="U690" s="68"/>
      <c r="V690" s="68"/>
      <c r="W690" s="68"/>
      <c r="X690" s="68"/>
      <c r="Y690" s="68"/>
      <c r="Z690" s="68"/>
    </row>
    <row r="691">
      <c r="A691" s="68"/>
      <c r="B691" s="68"/>
      <c r="C691" s="68"/>
      <c r="D691" s="68"/>
      <c r="E691" s="68"/>
      <c r="F691" s="68"/>
      <c r="G691" s="68"/>
      <c r="H691" s="68"/>
      <c r="I691" s="68"/>
      <c r="J691" s="68"/>
      <c r="K691" s="68"/>
      <c r="L691" s="68"/>
      <c r="M691" s="68"/>
      <c r="N691" s="68"/>
      <c r="O691" s="68"/>
      <c r="P691" s="68"/>
      <c r="Q691" s="68"/>
      <c r="R691" s="68"/>
      <c r="S691" s="68"/>
      <c r="T691" s="68"/>
      <c r="U691" s="68"/>
      <c r="V691" s="68"/>
      <c r="W691" s="68"/>
      <c r="X691" s="68"/>
      <c r="Y691" s="68"/>
      <c r="Z691" s="68"/>
    </row>
    <row r="692">
      <c r="A692" s="68"/>
      <c r="B692" s="68"/>
      <c r="C692" s="68"/>
      <c r="D692" s="68"/>
      <c r="E692" s="68"/>
      <c r="F692" s="68"/>
      <c r="G692" s="68"/>
      <c r="H692" s="68"/>
      <c r="I692" s="68"/>
      <c r="J692" s="68"/>
      <c r="K692" s="68"/>
      <c r="L692" s="68"/>
      <c r="M692" s="68"/>
      <c r="N692" s="68"/>
      <c r="O692" s="68"/>
      <c r="P692" s="68"/>
      <c r="Q692" s="68"/>
      <c r="R692" s="68"/>
      <c r="S692" s="68"/>
      <c r="T692" s="68"/>
      <c r="U692" s="68"/>
      <c r="V692" s="68"/>
      <c r="W692" s="68"/>
      <c r="X692" s="68"/>
      <c r="Y692" s="68"/>
      <c r="Z692" s="68"/>
    </row>
    <row r="693">
      <c r="A693" s="68"/>
      <c r="B693" s="68"/>
      <c r="C693" s="68"/>
      <c r="D693" s="68"/>
      <c r="E693" s="68"/>
      <c r="F693" s="68"/>
      <c r="G693" s="68"/>
      <c r="H693" s="68"/>
      <c r="I693" s="68"/>
      <c r="J693" s="68"/>
      <c r="K693" s="68"/>
      <c r="L693" s="68"/>
      <c r="M693" s="68"/>
      <c r="N693" s="68"/>
      <c r="O693" s="68"/>
      <c r="P693" s="68"/>
      <c r="Q693" s="68"/>
      <c r="R693" s="68"/>
      <c r="S693" s="68"/>
      <c r="T693" s="68"/>
      <c r="U693" s="68"/>
      <c r="V693" s="68"/>
      <c r="W693" s="68"/>
      <c r="X693" s="68"/>
      <c r="Y693" s="68"/>
      <c r="Z693" s="68"/>
    </row>
    <row r="694">
      <c r="A694" s="68"/>
      <c r="B694" s="68"/>
      <c r="C694" s="68"/>
      <c r="D694" s="68"/>
      <c r="E694" s="68"/>
      <c r="F694" s="68"/>
      <c r="G694" s="68"/>
      <c r="H694" s="68"/>
      <c r="I694" s="68"/>
      <c r="J694" s="68"/>
      <c r="K694" s="68"/>
      <c r="L694" s="68"/>
      <c r="M694" s="68"/>
      <c r="N694" s="68"/>
      <c r="O694" s="68"/>
      <c r="P694" s="68"/>
      <c r="Q694" s="68"/>
      <c r="R694" s="68"/>
      <c r="S694" s="68"/>
      <c r="T694" s="68"/>
      <c r="U694" s="68"/>
      <c r="V694" s="68"/>
      <c r="W694" s="68"/>
      <c r="X694" s="68"/>
      <c r="Y694" s="68"/>
      <c r="Z694" s="68"/>
    </row>
    <row r="695">
      <c r="A695" s="68"/>
      <c r="B695" s="68"/>
      <c r="C695" s="68"/>
      <c r="D695" s="68"/>
      <c r="E695" s="68"/>
      <c r="F695" s="68"/>
      <c r="G695" s="68"/>
      <c r="H695" s="68"/>
      <c r="I695" s="68"/>
      <c r="J695" s="68"/>
      <c r="K695" s="68"/>
      <c r="L695" s="68"/>
      <c r="M695" s="68"/>
      <c r="N695" s="68"/>
      <c r="O695" s="68"/>
      <c r="P695" s="68"/>
      <c r="Q695" s="68"/>
      <c r="R695" s="68"/>
      <c r="S695" s="68"/>
      <c r="T695" s="68"/>
      <c r="U695" s="68"/>
      <c r="V695" s="68"/>
      <c r="W695" s="68"/>
      <c r="X695" s="68"/>
      <c r="Y695" s="68"/>
      <c r="Z695" s="68"/>
    </row>
    <row r="696">
      <c r="A696" s="68"/>
      <c r="B696" s="68"/>
      <c r="C696" s="68"/>
      <c r="D696" s="68"/>
      <c r="E696" s="68"/>
      <c r="F696" s="68"/>
      <c r="G696" s="68"/>
      <c r="H696" s="68"/>
      <c r="I696" s="68"/>
      <c r="J696" s="68"/>
      <c r="K696" s="68"/>
      <c r="L696" s="68"/>
      <c r="M696" s="68"/>
      <c r="N696" s="68"/>
      <c r="O696" s="68"/>
      <c r="P696" s="68"/>
      <c r="Q696" s="68"/>
      <c r="R696" s="68"/>
      <c r="S696" s="68"/>
      <c r="T696" s="68"/>
      <c r="U696" s="68"/>
      <c r="V696" s="68"/>
      <c r="W696" s="68"/>
      <c r="X696" s="68"/>
      <c r="Y696" s="68"/>
      <c r="Z696" s="68"/>
    </row>
    <row r="697">
      <c r="A697" s="68"/>
      <c r="B697" s="68"/>
      <c r="C697" s="68"/>
      <c r="D697" s="68"/>
      <c r="E697" s="68"/>
      <c r="F697" s="68"/>
      <c r="G697" s="68"/>
      <c r="H697" s="68"/>
      <c r="I697" s="68"/>
      <c r="J697" s="68"/>
      <c r="K697" s="68"/>
      <c r="L697" s="68"/>
      <c r="M697" s="68"/>
      <c r="N697" s="68"/>
      <c r="O697" s="68"/>
      <c r="P697" s="68"/>
      <c r="Q697" s="68"/>
      <c r="R697" s="68"/>
      <c r="S697" s="68"/>
      <c r="T697" s="68"/>
      <c r="U697" s="68"/>
      <c r="V697" s="68"/>
      <c r="W697" s="68"/>
      <c r="X697" s="68"/>
      <c r="Y697" s="68"/>
      <c r="Z697" s="68"/>
    </row>
    <row r="698">
      <c r="A698" s="68"/>
      <c r="B698" s="68"/>
      <c r="C698" s="68"/>
      <c r="D698" s="68"/>
      <c r="E698" s="68"/>
      <c r="F698" s="68"/>
      <c r="G698" s="68"/>
      <c r="H698" s="68"/>
      <c r="I698" s="68"/>
      <c r="J698" s="68"/>
      <c r="K698" s="68"/>
      <c r="L698" s="68"/>
      <c r="M698" s="68"/>
      <c r="N698" s="68"/>
      <c r="O698" s="68"/>
      <c r="P698" s="68"/>
      <c r="Q698" s="68"/>
      <c r="R698" s="68"/>
      <c r="S698" s="68"/>
      <c r="T698" s="68"/>
      <c r="U698" s="68"/>
      <c r="V698" s="68"/>
      <c r="W698" s="68"/>
      <c r="X698" s="68"/>
      <c r="Y698" s="68"/>
      <c r="Z698" s="68"/>
    </row>
    <row r="699">
      <c r="A699" s="68"/>
      <c r="B699" s="68"/>
      <c r="C699" s="68"/>
      <c r="D699" s="68"/>
      <c r="E699" s="68"/>
      <c r="F699" s="68"/>
      <c r="G699" s="68"/>
      <c r="H699" s="68"/>
      <c r="I699" s="68"/>
      <c r="J699" s="68"/>
      <c r="K699" s="68"/>
      <c r="L699" s="68"/>
      <c r="M699" s="68"/>
      <c r="N699" s="68"/>
      <c r="O699" s="68"/>
      <c r="P699" s="68"/>
      <c r="Q699" s="68"/>
      <c r="R699" s="68"/>
      <c r="S699" s="68"/>
      <c r="T699" s="68"/>
      <c r="U699" s="68"/>
      <c r="V699" s="68"/>
      <c r="W699" s="68"/>
      <c r="X699" s="68"/>
      <c r="Y699" s="68"/>
      <c r="Z699" s="68"/>
    </row>
    <row r="700">
      <c r="A700" s="68"/>
      <c r="B700" s="68"/>
      <c r="C700" s="68"/>
      <c r="D700" s="68"/>
      <c r="E700" s="68"/>
      <c r="F700" s="68"/>
      <c r="G700" s="68"/>
      <c r="H700" s="68"/>
      <c r="I700" s="68"/>
      <c r="J700" s="68"/>
      <c r="K700" s="68"/>
      <c r="L700" s="68"/>
      <c r="M700" s="68"/>
      <c r="N700" s="68"/>
      <c r="O700" s="68"/>
      <c r="P700" s="68"/>
      <c r="Q700" s="68"/>
      <c r="R700" s="68"/>
      <c r="S700" s="68"/>
      <c r="T700" s="68"/>
      <c r="U700" s="68"/>
      <c r="V700" s="68"/>
      <c r="W700" s="68"/>
      <c r="X700" s="68"/>
      <c r="Y700" s="68"/>
      <c r="Z700" s="68"/>
    </row>
    <row r="701">
      <c r="A701" s="68"/>
      <c r="B701" s="68"/>
      <c r="C701" s="68"/>
      <c r="D701" s="68"/>
      <c r="E701" s="68"/>
      <c r="F701" s="68"/>
      <c r="G701" s="68"/>
      <c r="H701" s="68"/>
      <c r="I701" s="68"/>
      <c r="J701" s="68"/>
      <c r="K701" s="68"/>
      <c r="L701" s="68"/>
      <c r="M701" s="68"/>
      <c r="N701" s="68"/>
      <c r="O701" s="68"/>
      <c r="P701" s="68"/>
      <c r="Q701" s="68"/>
      <c r="R701" s="68"/>
      <c r="S701" s="68"/>
      <c r="T701" s="68"/>
      <c r="U701" s="68"/>
      <c r="V701" s="68"/>
      <c r="W701" s="68"/>
      <c r="X701" s="68"/>
      <c r="Y701" s="68"/>
      <c r="Z701" s="68"/>
    </row>
    <row r="702">
      <c r="A702" s="68"/>
      <c r="B702" s="68"/>
      <c r="C702" s="68"/>
      <c r="D702" s="68"/>
      <c r="E702" s="68"/>
      <c r="F702" s="68"/>
      <c r="G702" s="68"/>
      <c r="H702" s="68"/>
      <c r="I702" s="68"/>
      <c r="J702" s="68"/>
      <c r="K702" s="68"/>
      <c r="L702" s="68"/>
      <c r="M702" s="68"/>
      <c r="N702" s="68"/>
      <c r="O702" s="68"/>
      <c r="P702" s="68"/>
      <c r="Q702" s="68"/>
      <c r="R702" s="68"/>
      <c r="S702" s="68"/>
      <c r="T702" s="68"/>
      <c r="U702" s="68"/>
      <c r="V702" s="68"/>
      <c r="W702" s="68"/>
      <c r="X702" s="68"/>
      <c r="Y702" s="68"/>
      <c r="Z702" s="68"/>
    </row>
    <row r="703">
      <c r="A703" s="68"/>
      <c r="B703" s="68"/>
      <c r="C703" s="68"/>
      <c r="D703" s="68"/>
      <c r="E703" s="68"/>
      <c r="F703" s="68"/>
      <c r="G703" s="68"/>
      <c r="H703" s="68"/>
      <c r="I703" s="68"/>
      <c r="J703" s="68"/>
      <c r="K703" s="68"/>
      <c r="L703" s="68"/>
      <c r="M703" s="68"/>
      <c r="N703" s="68"/>
      <c r="O703" s="68"/>
      <c r="P703" s="68"/>
      <c r="Q703" s="68"/>
      <c r="R703" s="68"/>
      <c r="S703" s="68"/>
      <c r="T703" s="68"/>
      <c r="U703" s="68"/>
      <c r="V703" s="68"/>
      <c r="W703" s="68"/>
      <c r="X703" s="68"/>
      <c r="Y703" s="68"/>
      <c r="Z703" s="68"/>
    </row>
    <row r="704">
      <c r="A704" s="68"/>
      <c r="B704" s="68"/>
      <c r="C704" s="68"/>
      <c r="D704" s="68"/>
      <c r="E704" s="68"/>
      <c r="F704" s="68"/>
      <c r="G704" s="68"/>
      <c r="H704" s="68"/>
      <c r="I704" s="68"/>
      <c r="J704" s="68"/>
      <c r="K704" s="68"/>
      <c r="L704" s="68"/>
      <c r="M704" s="68"/>
      <c r="N704" s="68"/>
      <c r="O704" s="68"/>
      <c r="P704" s="68"/>
      <c r="Q704" s="68"/>
      <c r="R704" s="68"/>
      <c r="S704" s="68"/>
      <c r="T704" s="68"/>
      <c r="U704" s="68"/>
      <c r="V704" s="68"/>
      <c r="W704" s="68"/>
      <c r="X704" s="68"/>
      <c r="Y704" s="68"/>
      <c r="Z704" s="68"/>
    </row>
    <row r="705">
      <c r="A705" s="68"/>
      <c r="B705" s="68"/>
      <c r="C705" s="68"/>
      <c r="D705" s="68"/>
      <c r="E705" s="68"/>
      <c r="F705" s="68"/>
      <c r="G705" s="68"/>
      <c r="H705" s="68"/>
      <c r="I705" s="68"/>
      <c r="J705" s="68"/>
      <c r="K705" s="68"/>
      <c r="L705" s="68"/>
      <c r="M705" s="68"/>
      <c r="N705" s="68"/>
      <c r="O705" s="68"/>
      <c r="P705" s="68"/>
      <c r="Q705" s="68"/>
      <c r="R705" s="68"/>
      <c r="S705" s="68"/>
      <c r="T705" s="68"/>
      <c r="U705" s="68"/>
      <c r="V705" s="68"/>
      <c r="W705" s="68"/>
      <c r="X705" s="68"/>
      <c r="Y705" s="68"/>
      <c r="Z705" s="68"/>
    </row>
    <row r="706">
      <c r="A706" s="68"/>
      <c r="B706" s="68"/>
      <c r="C706" s="68"/>
      <c r="D706" s="68"/>
      <c r="E706" s="68"/>
      <c r="F706" s="68"/>
      <c r="G706" s="68"/>
      <c r="H706" s="68"/>
      <c r="I706" s="68"/>
      <c r="J706" s="68"/>
      <c r="K706" s="68"/>
      <c r="L706" s="68"/>
      <c r="M706" s="68"/>
      <c r="N706" s="68"/>
      <c r="O706" s="68"/>
      <c r="P706" s="68"/>
      <c r="Q706" s="68"/>
      <c r="R706" s="68"/>
      <c r="S706" s="68"/>
      <c r="T706" s="68"/>
      <c r="U706" s="68"/>
      <c r="V706" s="68"/>
      <c r="W706" s="68"/>
      <c r="X706" s="68"/>
      <c r="Y706" s="68"/>
      <c r="Z706" s="68"/>
    </row>
    <row r="707">
      <c r="A707" s="68"/>
      <c r="B707" s="68"/>
      <c r="C707" s="68"/>
      <c r="D707" s="68"/>
      <c r="E707" s="68"/>
      <c r="F707" s="68"/>
      <c r="G707" s="68"/>
      <c r="H707" s="68"/>
      <c r="I707" s="68"/>
      <c r="J707" s="68"/>
      <c r="K707" s="68"/>
      <c r="L707" s="68"/>
      <c r="M707" s="68"/>
      <c r="N707" s="68"/>
      <c r="O707" s="68"/>
      <c r="P707" s="68"/>
      <c r="Q707" s="68"/>
      <c r="R707" s="68"/>
      <c r="S707" s="68"/>
      <c r="T707" s="68"/>
      <c r="U707" s="68"/>
      <c r="V707" s="68"/>
      <c r="W707" s="68"/>
      <c r="X707" s="68"/>
      <c r="Y707" s="68"/>
      <c r="Z707" s="68"/>
    </row>
    <row r="708">
      <c r="A708" s="68"/>
      <c r="B708" s="68"/>
      <c r="C708" s="68"/>
      <c r="D708" s="68"/>
      <c r="E708" s="68"/>
      <c r="F708" s="68"/>
      <c r="G708" s="68"/>
      <c r="H708" s="68"/>
      <c r="I708" s="68"/>
      <c r="J708" s="68"/>
      <c r="K708" s="68"/>
      <c r="L708" s="68"/>
      <c r="M708" s="68"/>
      <c r="N708" s="68"/>
      <c r="O708" s="68"/>
      <c r="P708" s="68"/>
      <c r="Q708" s="68"/>
      <c r="R708" s="68"/>
      <c r="S708" s="68"/>
      <c r="T708" s="68"/>
      <c r="U708" s="68"/>
      <c r="V708" s="68"/>
      <c r="W708" s="68"/>
      <c r="X708" s="68"/>
      <c r="Y708" s="68"/>
      <c r="Z708" s="68"/>
    </row>
    <row r="709">
      <c r="A709" s="68"/>
      <c r="B709" s="68"/>
      <c r="C709" s="68"/>
      <c r="D709" s="68"/>
      <c r="E709" s="68"/>
      <c r="F709" s="68"/>
      <c r="G709" s="68"/>
      <c r="H709" s="68"/>
      <c r="I709" s="68"/>
      <c r="J709" s="68"/>
      <c r="K709" s="68"/>
      <c r="L709" s="68"/>
      <c r="M709" s="68"/>
      <c r="N709" s="68"/>
      <c r="O709" s="68"/>
      <c r="P709" s="68"/>
      <c r="Q709" s="68"/>
      <c r="R709" s="68"/>
      <c r="S709" s="68"/>
      <c r="T709" s="68"/>
      <c r="U709" s="68"/>
      <c r="V709" s="68"/>
      <c r="W709" s="68"/>
      <c r="X709" s="68"/>
      <c r="Y709" s="68"/>
      <c r="Z709" s="68"/>
    </row>
    <row r="710">
      <c r="A710" s="68"/>
      <c r="B710" s="68"/>
      <c r="C710" s="68"/>
      <c r="D710" s="68"/>
      <c r="E710" s="68"/>
      <c r="F710" s="68"/>
      <c r="G710" s="68"/>
      <c r="H710" s="68"/>
      <c r="I710" s="68"/>
      <c r="J710" s="68"/>
      <c r="K710" s="68"/>
      <c r="L710" s="68"/>
      <c r="M710" s="68"/>
      <c r="N710" s="68"/>
      <c r="O710" s="68"/>
      <c r="P710" s="68"/>
      <c r="Q710" s="68"/>
      <c r="R710" s="68"/>
      <c r="S710" s="68"/>
      <c r="T710" s="68"/>
      <c r="U710" s="68"/>
      <c r="V710" s="68"/>
      <c r="W710" s="68"/>
      <c r="X710" s="68"/>
      <c r="Y710" s="68"/>
      <c r="Z710" s="68"/>
    </row>
    <row r="711">
      <c r="A711" s="68"/>
      <c r="B711" s="68"/>
      <c r="C711" s="68"/>
      <c r="D711" s="68"/>
      <c r="E711" s="68"/>
      <c r="F711" s="68"/>
      <c r="G711" s="68"/>
      <c r="H711" s="68"/>
      <c r="I711" s="68"/>
      <c r="J711" s="68"/>
      <c r="K711" s="68"/>
      <c r="L711" s="68"/>
      <c r="M711" s="68"/>
      <c r="N711" s="68"/>
      <c r="O711" s="68"/>
      <c r="P711" s="68"/>
      <c r="Q711" s="68"/>
      <c r="R711" s="68"/>
      <c r="S711" s="68"/>
      <c r="T711" s="68"/>
      <c r="U711" s="68"/>
      <c r="V711" s="68"/>
      <c r="W711" s="68"/>
      <c r="X711" s="68"/>
      <c r="Y711" s="68"/>
      <c r="Z711" s="68"/>
    </row>
    <row r="712">
      <c r="A712" s="68"/>
      <c r="B712" s="68"/>
      <c r="C712" s="68"/>
      <c r="D712" s="68"/>
      <c r="E712" s="68"/>
      <c r="F712" s="68"/>
      <c r="G712" s="68"/>
      <c r="H712" s="68"/>
      <c r="I712" s="68"/>
      <c r="J712" s="68"/>
      <c r="K712" s="68"/>
      <c r="L712" s="68"/>
      <c r="M712" s="68"/>
      <c r="N712" s="68"/>
      <c r="O712" s="68"/>
      <c r="P712" s="68"/>
      <c r="Q712" s="68"/>
      <c r="R712" s="68"/>
      <c r="S712" s="68"/>
      <c r="T712" s="68"/>
      <c r="U712" s="68"/>
      <c r="V712" s="68"/>
      <c r="W712" s="68"/>
      <c r="X712" s="68"/>
      <c r="Y712" s="68"/>
      <c r="Z712" s="68"/>
    </row>
    <row r="713">
      <c r="A713" s="68"/>
      <c r="B713" s="68"/>
      <c r="C713" s="68"/>
      <c r="D713" s="68"/>
      <c r="E713" s="68"/>
      <c r="F713" s="68"/>
      <c r="G713" s="68"/>
      <c r="H713" s="68"/>
      <c r="I713" s="68"/>
      <c r="J713" s="68"/>
      <c r="K713" s="68"/>
      <c r="L713" s="68"/>
      <c r="M713" s="68"/>
      <c r="N713" s="68"/>
      <c r="O713" s="68"/>
      <c r="P713" s="68"/>
      <c r="Q713" s="68"/>
      <c r="R713" s="68"/>
      <c r="S713" s="68"/>
      <c r="T713" s="68"/>
      <c r="U713" s="68"/>
      <c r="V713" s="68"/>
      <c r="W713" s="68"/>
      <c r="X713" s="68"/>
      <c r="Y713" s="68"/>
      <c r="Z713" s="68"/>
    </row>
    <row r="714">
      <c r="A714" s="68"/>
      <c r="B714" s="68"/>
      <c r="C714" s="68"/>
      <c r="D714" s="68"/>
      <c r="E714" s="68"/>
      <c r="F714" s="68"/>
      <c r="G714" s="68"/>
      <c r="H714" s="68"/>
      <c r="I714" s="68"/>
      <c r="J714" s="68"/>
      <c r="K714" s="68"/>
      <c r="L714" s="68"/>
      <c r="M714" s="68"/>
      <c r="N714" s="68"/>
      <c r="O714" s="68"/>
      <c r="P714" s="68"/>
      <c r="Q714" s="68"/>
      <c r="R714" s="68"/>
      <c r="S714" s="68"/>
      <c r="T714" s="68"/>
      <c r="U714" s="68"/>
      <c r="V714" s="68"/>
      <c r="W714" s="68"/>
      <c r="X714" s="68"/>
      <c r="Y714" s="68"/>
      <c r="Z714" s="68"/>
    </row>
    <row r="715">
      <c r="A715" s="68"/>
      <c r="B715" s="68"/>
      <c r="C715" s="68"/>
      <c r="D715" s="68"/>
      <c r="E715" s="68"/>
      <c r="F715" s="68"/>
      <c r="G715" s="68"/>
      <c r="H715" s="68"/>
      <c r="I715" s="68"/>
      <c r="J715" s="68"/>
      <c r="K715" s="68"/>
      <c r="L715" s="68"/>
      <c r="M715" s="68"/>
      <c r="N715" s="68"/>
      <c r="O715" s="68"/>
      <c r="P715" s="68"/>
      <c r="Q715" s="68"/>
      <c r="R715" s="68"/>
      <c r="S715" s="68"/>
      <c r="T715" s="68"/>
      <c r="U715" s="68"/>
      <c r="V715" s="68"/>
      <c r="W715" s="68"/>
      <c r="X715" s="68"/>
      <c r="Y715" s="68"/>
      <c r="Z715" s="68"/>
    </row>
    <row r="716">
      <c r="A716" s="68"/>
      <c r="B716" s="68"/>
      <c r="C716" s="68"/>
      <c r="D716" s="68"/>
      <c r="E716" s="68"/>
      <c r="F716" s="68"/>
      <c r="G716" s="68"/>
      <c r="H716" s="68"/>
      <c r="I716" s="68"/>
      <c r="J716" s="68"/>
      <c r="K716" s="68"/>
      <c r="L716" s="68"/>
      <c r="M716" s="68"/>
      <c r="N716" s="68"/>
      <c r="O716" s="68"/>
      <c r="P716" s="68"/>
      <c r="Q716" s="68"/>
      <c r="R716" s="68"/>
      <c r="S716" s="68"/>
      <c r="T716" s="68"/>
      <c r="U716" s="68"/>
      <c r="V716" s="68"/>
      <c r="W716" s="68"/>
      <c r="X716" s="68"/>
      <c r="Y716" s="68"/>
      <c r="Z716" s="68"/>
    </row>
    <row r="717">
      <c r="A717" s="68"/>
      <c r="B717" s="68"/>
      <c r="C717" s="68"/>
      <c r="D717" s="68"/>
      <c r="E717" s="68"/>
      <c r="F717" s="68"/>
      <c r="G717" s="68"/>
      <c r="H717" s="68"/>
      <c r="I717" s="68"/>
      <c r="J717" s="68"/>
      <c r="K717" s="68"/>
      <c r="L717" s="68"/>
      <c r="M717" s="68"/>
      <c r="N717" s="68"/>
      <c r="O717" s="68"/>
      <c r="P717" s="68"/>
      <c r="Q717" s="68"/>
      <c r="R717" s="68"/>
      <c r="S717" s="68"/>
      <c r="T717" s="68"/>
      <c r="U717" s="68"/>
      <c r="V717" s="68"/>
      <c r="W717" s="68"/>
      <c r="X717" s="68"/>
      <c r="Y717" s="68"/>
      <c r="Z717" s="68"/>
    </row>
    <row r="718">
      <c r="A718" s="68"/>
      <c r="B718" s="68"/>
      <c r="C718" s="68"/>
      <c r="D718" s="68"/>
      <c r="E718" s="68"/>
      <c r="F718" s="68"/>
      <c r="G718" s="68"/>
      <c r="H718" s="68"/>
      <c r="I718" s="68"/>
      <c r="J718" s="68"/>
      <c r="K718" s="68"/>
      <c r="L718" s="68"/>
      <c r="M718" s="68"/>
      <c r="N718" s="68"/>
      <c r="O718" s="68"/>
      <c r="P718" s="68"/>
      <c r="Q718" s="68"/>
      <c r="R718" s="68"/>
      <c r="S718" s="68"/>
      <c r="T718" s="68"/>
      <c r="U718" s="68"/>
      <c r="V718" s="68"/>
      <c r="W718" s="68"/>
      <c r="X718" s="68"/>
      <c r="Y718" s="68"/>
      <c r="Z718" s="68"/>
    </row>
    <row r="719">
      <c r="A719" s="68"/>
      <c r="B719" s="68"/>
      <c r="C719" s="68"/>
      <c r="D719" s="68"/>
      <c r="E719" s="68"/>
      <c r="F719" s="68"/>
      <c r="G719" s="68"/>
      <c r="H719" s="68"/>
      <c r="I719" s="68"/>
      <c r="J719" s="68"/>
      <c r="K719" s="68"/>
      <c r="L719" s="68"/>
      <c r="M719" s="68"/>
      <c r="N719" s="68"/>
      <c r="O719" s="68"/>
      <c r="P719" s="68"/>
      <c r="Q719" s="68"/>
      <c r="R719" s="68"/>
      <c r="S719" s="68"/>
      <c r="T719" s="68"/>
      <c r="U719" s="68"/>
      <c r="V719" s="68"/>
      <c r="W719" s="68"/>
      <c r="X719" s="68"/>
      <c r="Y719" s="68"/>
      <c r="Z719" s="68"/>
    </row>
    <row r="720">
      <c r="A720" s="68"/>
      <c r="B720" s="68"/>
      <c r="C720" s="68"/>
      <c r="D720" s="68"/>
      <c r="E720" s="68"/>
      <c r="F720" s="68"/>
      <c r="G720" s="68"/>
      <c r="H720" s="68"/>
      <c r="I720" s="68"/>
      <c r="J720" s="68"/>
      <c r="K720" s="68"/>
      <c r="L720" s="68"/>
      <c r="M720" s="68"/>
      <c r="N720" s="68"/>
      <c r="O720" s="68"/>
      <c r="P720" s="68"/>
      <c r="Q720" s="68"/>
      <c r="R720" s="68"/>
      <c r="S720" s="68"/>
      <c r="T720" s="68"/>
      <c r="U720" s="68"/>
      <c r="V720" s="68"/>
      <c r="W720" s="68"/>
      <c r="X720" s="68"/>
      <c r="Y720" s="68"/>
      <c r="Z720" s="68"/>
    </row>
    <row r="721">
      <c r="A721" s="68"/>
      <c r="B721" s="68"/>
      <c r="C721" s="68"/>
      <c r="D721" s="68"/>
      <c r="E721" s="68"/>
      <c r="F721" s="68"/>
      <c r="G721" s="68"/>
      <c r="H721" s="68"/>
      <c r="I721" s="68"/>
      <c r="J721" s="68"/>
      <c r="K721" s="68"/>
      <c r="L721" s="68"/>
      <c r="M721" s="68"/>
      <c r="N721" s="68"/>
      <c r="O721" s="68"/>
      <c r="P721" s="68"/>
      <c r="Q721" s="68"/>
      <c r="R721" s="68"/>
      <c r="S721" s="68"/>
      <c r="T721" s="68"/>
      <c r="U721" s="68"/>
      <c r="V721" s="68"/>
      <c r="W721" s="68"/>
      <c r="X721" s="68"/>
      <c r="Y721" s="68"/>
      <c r="Z721" s="68"/>
    </row>
    <row r="722">
      <c r="A722" s="68"/>
      <c r="B722" s="68"/>
      <c r="C722" s="68"/>
      <c r="D722" s="68"/>
      <c r="E722" s="68"/>
      <c r="F722" s="68"/>
      <c r="G722" s="68"/>
      <c r="H722" s="68"/>
      <c r="I722" s="68"/>
      <c r="J722" s="68"/>
      <c r="K722" s="68"/>
      <c r="L722" s="68"/>
      <c r="M722" s="68"/>
      <c r="N722" s="68"/>
      <c r="O722" s="68"/>
      <c r="P722" s="68"/>
      <c r="Q722" s="68"/>
      <c r="R722" s="68"/>
      <c r="S722" s="68"/>
      <c r="T722" s="68"/>
      <c r="U722" s="68"/>
      <c r="V722" s="68"/>
      <c r="W722" s="68"/>
      <c r="X722" s="68"/>
      <c r="Y722" s="68"/>
      <c r="Z722" s="68"/>
    </row>
    <row r="723">
      <c r="A723" s="68"/>
      <c r="B723" s="68"/>
      <c r="C723" s="68"/>
      <c r="D723" s="68"/>
      <c r="E723" s="68"/>
      <c r="F723" s="68"/>
      <c r="G723" s="68"/>
      <c r="H723" s="68"/>
      <c r="I723" s="68"/>
      <c r="J723" s="68"/>
      <c r="K723" s="68"/>
      <c r="L723" s="68"/>
      <c r="M723" s="68"/>
      <c r="N723" s="68"/>
      <c r="O723" s="68"/>
      <c r="P723" s="68"/>
      <c r="Q723" s="68"/>
      <c r="R723" s="68"/>
      <c r="S723" s="68"/>
      <c r="T723" s="68"/>
      <c r="U723" s="68"/>
      <c r="V723" s="68"/>
      <c r="W723" s="68"/>
      <c r="X723" s="68"/>
      <c r="Y723" s="68"/>
      <c r="Z723" s="68"/>
    </row>
    <row r="724">
      <c r="A724" s="68"/>
      <c r="B724" s="68"/>
      <c r="C724" s="68"/>
      <c r="D724" s="68"/>
      <c r="E724" s="68"/>
      <c r="F724" s="68"/>
      <c r="G724" s="68"/>
      <c r="H724" s="68"/>
      <c r="I724" s="68"/>
      <c r="J724" s="68"/>
      <c r="K724" s="68"/>
      <c r="L724" s="68"/>
      <c r="M724" s="68"/>
      <c r="N724" s="68"/>
      <c r="O724" s="68"/>
      <c r="P724" s="68"/>
      <c r="Q724" s="68"/>
      <c r="R724" s="68"/>
      <c r="S724" s="68"/>
      <c r="T724" s="68"/>
      <c r="U724" s="68"/>
      <c r="V724" s="68"/>
      <c r="W724" s="68"/>
      <c r="X724" s="68"/>
      <c r="Y724" s="68"/>
      <c r="Z724" s="68"/>
    </row>
    <row r="725">
      <c r="A725" s="68"/>
      <c r="B725" s="68"/>
      <c r="C725" s="68"/>
      <c r="D725" s="68"/>
      <c r="E725" s="68"/>
      <c r="F725" s="68"/>
      <c r="G725" s="68"/>
      <c r="H725" s="68"/>
      <c r="I725" s="68"/>
      <c r="J725" s="68"/>
      <c r="K725" s="68"/>
      <c r="L725" s="68"/>
      <c r="M725" s="68"/>
      <c r="N725" s="68"/>
      <c r="O725" s="68"/>
      <c r="P725" s="68"/>
      <c r="Q725" s="68"/>
      <c r="R725" s="68"/>
      <c r="S725" s="68"/>
      <c r="T725" s="68"/>
      <c r="U725" s="68"/>
      <c r="V725" s="68"/>
      <c r="W725" s="68"/>
      <c r="X725" s="68"/>
      <c r="Y725" s="68"/>
      <c r="Z725" s="68"/>
    </row>
    <row r="726">
      <c r="A726" s="68"/>
      <c r="B726" s="68"/>
      <c r="C726" s="68"/>
      <c r="D726" s="68"/>
      <c r="E726" s="68"/>
      <c r="F726" s="68"/>
      <c r="G726" s="68"/>
      <c r="H726" s="68"/>
      <c r="I726" s="68"/>
      <c r="J726" s="68"/>
      <c r="K726" s="68"/>
      <c r="L726" s="68"/>
      <c r="M726" s="68"/>
      <c r="N726" s="68"/>
      <c r="O726" s="68"/>
      <c r="P726" s="68"/>
      <c r="Q726" s="68"/>
      <c r="R726" s="68"/>
      <c r="S726" s="68"/>
      <c r="T726" s="68"/>
      <c r="U726" s="68"/>
      <c r="V726" s="68"/>
      <c r="W726" s="68"/>
      <c r="X726" s="68"/>
      <c r="Y726" s="68"/>
      <c r="Z726" s="68"/>
    </row>
    <row r="727">
      <c r="A727" s="68"/>
      <c r="B727" s="68"/>
      <c r="C727" s="68"/>
      <c r="D727" s="68"/>
      <c r="E727" s="68"/>
      <c r="F727" s="68"/>
      <c r="G727" s="68"/>
      <c r="H727" s="68"/>
      <c r="I727" s="68"/>
      <c r="J727" s="68"/>
      <c r="K727" s="68"/>
      <c r="L727" s="68"/>
      <c r="M727" s="68"/>
      <c r="N727" s="68"/>
      <c r="O727" s="68"/>
      <c r="P727" s="68"/>
      <c r="Q727" s="68"/>
      <c r="R727" s="68"/>
      <c r="S727" s="68"/>
      <c r="T727" s="68"/>
      <c r="U727" s="68"/>
      <c r="V727" s="68"/>
      <c r="W727" s="68"/>
      <c r="X727" s="68"/>
      <c r="Y727" s="68"/>
      <c r="Z727" s="68"/>
    </row>
    <row r="728">
      <c r="A728" s="68"/>
      <c r="B728" s="68"/>
      <c r="C728" s="68"/>
      <c r="D728" s="68"/>
      <c r="E728" s="68"/>
      <c r="F728" s="68"/>
      <c r="G728" s="68"/>
      <c r="H728" s="68"/>
      <c r="I728" s="68"/>
      <c r="J728" s="68"/>
      <c r="K728" s="68"/>
      <c r="L728" s="68"/>
      <c r="M728" s="68"/>
      <c r="N728" s="68"/>
      <c r="O728" s="68"/>
      <c r="P728" s="68"/>
      <c r="Q728" s="68"/>
      <c r="R728" s="68"/>
      <c r="S728" s="68"/>
      <c r="T728" s="68"/>
      <c r="U728" s="68"/>
      <c r="V728" s="68"/>
      <c r="W728" s="68"/>
      <c r="X728" s="68"/>
      <c r="Y728" s="68"/>
      <c r="Z728" s="68"/>
    </row>
    <row r="729">
      <c r="A729" s="68"/>
      <c r="B729" s="68"/>
      <c r="C729" s="68"/>
      <c r="D729" s="68"/>
      <c r="E729" s="68"/>
      <c r="F729" s="68"/>
      <c r="G729" s="68"/>
      <c r="H729" s="68"/>
      <c r="I729" s="68"/>
      <c r="J729" s="68"/>
      <c r="K729" s="68"/>
      <c r="L729" s="68"/>
      <c r="M729" s="68"/>
      <c r="N729" s="68"/>
      <c r="O729" s="68"/>
      <c r="P729" s="68"/>
      <c r="Q729" s="68"/>
      <c r="R729" s="68"/>
      <c r="S729" s="68"/>
      <c r="T729" s="68"/>
      <c r="U729" s="68"/>
      <c r="V729" s="68"/>
      <c r="W729" s="68"/>
      <c r="X729" s="68"/>
      <c r="Y729" s="68"/>
      <c r="Z729" s="68"/>
    </row>
    <row r="730">
      <c r="A730" s="68"/>
      <c r="B730" s="68"/>
      <c r="C730" s="68"/>
      <c r="D730" s="68"/>
      <c r="E730" s="68"/>
      <c r="F730" s="68"/>
      <c r="G730" s="68"/>
      <c r="H730" s="68"/>
      <c r="I730" s="68"/>
      <c r="J730" s="68"/>
      <c r="K730" s="68"/>
      <c r="L730" s="68"/>
      <c r="M730" s="68"/>
      <c r="N730" s="68"/>
      <c r="O730" s="68"/>
      <c r="P730" s="68"/>
      <c r="Q730" s="68"/>
      <c r="R730" s="68"/>
      <c r="S730" s="68"/>
      <c r="T730" s="68"/>
      <c r="U730" s="68"/>
      <c r="V730" s="68"/>
      <c r="W730" s="68"/>
      <c r="X730" s="68"/>
      <c r="Y730" s="68"/>
      <c r="Z730" s="68"/>
    </row>
    <row r="731">
      <c r="A731" s="68"/>
      <c r="B731" s="68"/>
      <c r="C731" s="68"/>
      <c r="D731" s="68"/>
      <c r="E731" s="68"/>
      <c r="F731" s="68"/>
      <c r="G731" s="68"/>
      <c r="H731" s="68"/>
      <c r="I731" s="68"/>
      <c r="J731" s="68"/>
      <c r="K731" s="68"/>
      <c r="L731" s="68"/>
      <c r="M731" s="68"/>
      <c r="N731" s="68"/>
      <c r="O731" s="68"/>
      <c r="P731" s="68"/>
      <c r="Q731" s="68"/>
      <c r="R731" s="68"/>
      <c r="S731" s="68"/>
      <c r="T731" s="68"/>
      <c r="U731" s="68"/>
      <c r="V731" s="68"/>
      <c r="W731" s="68"/>
      <c r="X731" s="68"/>
      <c r="Y731" s="68"/>
      <c r="Z731" s="68"/>
    </row>
    <row r="732">
      <c r="A732" s="68"/>
      <c r="B732" s="68"/>
      <c r="C732" s="68"/>
      <c r="D732" s="68"/>
      <c r="E732" s="68"/>
      <c r="F732" s="68"/>
      <c r="G732" s="68"/>
      <c r="H732" s="68"/>
      <c r="I732" s="68"/>
      <c r="J732" s="68"/>
      <c r="K732" s="68"/>
      <c r="L732" s="68"/>
      <c r="M732" s="68"/>
      <c r="N732" s="68"/>
      <c r="O732" s="68"/>
      <c r="P732" s="68"/>
      <c r="Q732" s="68"/>
      <c r="R732" s="68"/>
      <c r="S732" s="68"/>
      <c r="T732" s="68"/>
      <c r="U732" s="68"/>
      <c r="V732" s="68"/>
      <c r="W732" s="68"/>
      <c r="X732" s="68"/>
      <c r="Y732" s="68"/>
      <c r="Z732" s="68"/>
    </row>
    <row r="733">
      <c r="A733" s="68"/>
      <c r="B733" s="68"/>
      <c r="C733" s="68"/>
      <c r="D733" s="68"/>
      <c r="E733" s="68"/>
      <c r="F733" s="68"/>
      <c r="G733" s="68"/>
      <c r="H733" s="68"/>
      <c r="I733" s="68"/>
      <c r="J733" s="68"/>
      <c r="K733" s="68"/>
      <c r="L733" s="68"/>
      <c r="M733" s="68"/>
      <c r="N733" s="68"/>
      <c r="O733" s="68"/>
      <c r="P733" s="68"/>
      <c r="Q733" s="68"/>
      <c r="R733" s="68"/>
      <c r="S733" s="68"/>
      <c r="T733" s="68"/>
      <c r="U733" s="68"/>
      <c r="V733" s="68"/>
      <c r="W733" s="68"/>
      <c r="X733" s="68"/>
      <c r="Y733" s="68"/>
      <c r="Z733" s="68"/>
    </row>
    <row r="734">
      <c r="A734" s="68"/>
      <c r="B734" s="68"/>
      <c r="C734" s="68"/>
      <c r="D734" s="68"/>
      <c r="E734" s="68"/>
      <c r="F734" s="68"/>
      <c r="G734" s="68"/>
      <c r="H734" s="68"/>
      <c r="I734" s="68"/>
      <c r="J734" s="68"/>
      <c r="K734" s="68"/>
      <c r="L734" s="68"/>
      <c r="M734" s="68"/>
      <c r="N734" s="68"/>
      <c r="O734" s="68"/>
      <c r="P734" s="68"/>
      <c r="Q734" s="68"/>
      <c r="R734" s="68"/>
      <c r="S734" s="68"/>
      <c r="T734" s="68"/>
      <c r="U734" s="68"/>
      <c r="V734" s="68"/>
      <c r="W734" s="68"/>
      <c r="X734" s="68"/>
      <c r="Y734" s="68"/>
      <c r="Z734" s="68"/>
    </row>
    <row r="735">
      <c r="A735" s="68"/>
      <c r="B735" s="68"/>
      <c r="C735" s="68"/>
      <c r="D735" s="68"/>
      <c r="E735" s="68"/>
      <c r="F735" s="68"/>
      <c r="G735" s="68"/>
      <c r="H735" s="68"/>
      <c r="I735" s="68"/>
      <c r="J735" s="68"/>
      <c r="K735" s="68"/>
      <c r="L735" s="68"/>
      <c r="M735" s="68"/>
      <c r="N735" s="68"/>
      <c r="O735" s="68"/>
      <c r="P735" s="68"/>
      <c r="Q735" s="68"/>
      <c r="R735" s="68"/>
      <c r="S735" s="68"/>
      <c r="T735" s="68"/>
      <c r="U735" s="68"/>
      <c r="V735" s="68"/>
      <c r="W735" s="68"/>
      <c r="X735" s="68"/>
      <c r="Y735" s="68"/>
      <c r="Z735" s="68"/>
    </row>
    <row r="736">
      <c r="A736" s="68"/>
      <c r="B736" s="68"/>
      <c r="C736" s="68"/>
      <c r="D736" s="68"/>
      <c r="E736" s="68"/>
      <c r="F736" s="68"/>
      <c r="G736" s="68"/>
      <c r="H736" s="68"/>
      <c r="I736" s="68"/>
      <c r="J736" s="68"/>
      <c r="K736" s="68"/>
      <c r="L736" s="68"/>
      <c r="M736" s="68"/>
      <c r="N736" s="68"/>
      <c r="O736" s="68"/>
      <c r="P736" s="68"/>
      <c r="Q736" s="68"/>
      <c r="R736" s="68"/>
      <c r="S736" s="68"/>
      <c r="T736" s="68"/>
      <c r="U736" s="68"/>
      <c r="V736" s="68"/>
      <c r="W736" s="68"/>
      <c r="X736" s="68"/>
      <c r="Y736" s="68"/>
      <c r="Z736" s="68"/>
    </row>
    <row r="737">
      <c r="A737" s="68"/>
      <c r="B737" s="68"/>
      <c r="C737" s="68"/>
      <c r="D737" s="68"/>
      <c r="E737" s="68"/>
      <c r="F737" s="68"/>
      <c r="G737" s="68"/>
      <c r="H737" s="68"/>
      <c r="I737" s="68"/>
      <c r="J737" s="68"/>
      <c r="K737" s="68"/>
      <c r="L737" s="68"/>
      <c r="M737" s="68"/>
      <c r="N737" s="68"/>
      <c r="O737" s="68"/>
      <c r="P737" s="68"/>
      <c r="Q737" s="68"/>
      <c r="R737" s="68"/>
      <c r="S737" s="68"/>
      <c r="T737" s="68"/>
      <c r="U737" s="68"/>
      <c r="V737" s="68"/>
      <c r="W737" s="68"/>
      <c r="X737" s="68"/>
      <c r="Y737" s="68"/>
      <c r="Z737" s="68"/>
    </row>
    <row r="738">
      <c r="A738" s="68"/>
      <c r="B738" s="68"/>
      <c r="C738" s="68"/>
      <c r="D738" s="68"/>
      <c r="E738" s="68"/>
      <c r="F738" s="68"/>
      <c r="G738" s="68"/>
      <c r="H738" s="68"/>
      <c r="I738" s="68"/>
      <c r="J738" s="68"/>
      <c r="K738" s="68"/>
      <c r="L738" s="68"/>
      <c r="M738" s="68"/>
      <c r="N738" s="68"/>
      <c r="O738" s="68"/>
      <c r="P738" s="68"/>
      <c r="Q738" s="68"/>
      <c r="R738" s="68"/>
      <c r="S738" s="68"/>
      <c r="T738" s="68"/>
      <c r="U738" s="68"/>
      <c r="V738" s="68"/>
      <c r="W738" s="68"/>
      <c r="X738" s="68"/>
      <c r="Y738" s="68"/>
      <c r="Z738" s="68"/>
    </row>
    <row r="739">
      <c r="A739" s="68"/>
      <c r="B739" s="68"/>
      <c r="C739" s="68"/>
      <c r="D739" s="68"/>
      <c r="E739" s="68"/>
      <c r="F739" s="68"/>
      <c r="G739" s="68"/>
      <c r="H739" s="68"/>
      <c r="I739" s="68"/>
      <c r="J739" s="68"/>
      <c r="K739" s="68"/>
      <c r="L739" s="68"/>
      <c r="M739" s="68"/>
      <c r="N739" s="68"/>
      <c r="O739" s="68"/>
      <c r="P739" s="68"/>
      <c r="Q739" s="68"/>
      <c r="R739" s="68"/>
      <c r="S739" s="68"/>
      <c r="T739" s="68"/>
      <c r="U739" s="68"/>
      <c r="V739" s="68"/>
      <c r="W739" s="68"/>
      <c r="X739" s="68"/>
      <c r="Y739" s="68"/>
      <c r="Z739" s="68"/>
    </row>
    <row r="740">
      <c r="A740" s="68"/>
      <c r="B740" s="68"/>
      <c r="C740" s="68"/>
      <c r="D740" s="68"/>
      <c r="E740" s="68"/>
      <c r="F740" s="68"/>
      <c r="G740" s="68"/>
      <c r="H740" s="68"/>
      <c r="I740" s="68"/>
      <c r="J740" s="68"/>
      <c r="K740" s="68"/>
      <c r="L740" s="68"/>
      <c r="M740" s="68"/>
      <c r="N740" s="68"/>
      <c r="O740" s="68"/>
      <c r="P740" s="68"/>
      <c r="Q740" s="68"/>
      <c r="R740" s="68"/>
      <c r="S740" s="68"/>
      <c r="T740" s="68"/>
      <c r="U740" s="68"/>
      <c r="V740" s="68"/>
      <c r="W740" s="68"/>
      <c r="X740" s="68"/>
      <c r="Y740" s="68"/>
      <c r="Z740" s="68"/>
    </row>
    <row r="741">
      <c r="A741" s="68"/>
      <c r="B741" s="68"/>
      <c r="C741" s="68"/>
      <c r="D741" s="68"/>
      <c r="E741" s="68"/>
      <c r="F741" s="68"/>
      <c r="G741" s="68"/>
      <c r="H741" s="68"/>
      <c r="I741" s="68"/>
      <c r="J741" s="68"/>
      <c r="K741" s="68"/>
      <c r="L741" s="68"/>
      <c r="M741" s="68"/>
      <c r="N741" s="68"/>
      <c r="O741" s="68"/>
      <c r="P741" s="68"/>
      <c r="Q741" s="68"/>
      <c r="R741" s="68"/>
      <c r="S741" s="68"/>
      <c r="T741" s="68"/>
      <c r="U741" s="68"/>
      <c r="V741" s="68"/>
      <c r="W741" s="68"/>
      <c r="X741" s="68"/>
      <c r="Y741" s="68"/>
      <c r="Z741" s="68"/>
    </row>
    <row r="742">
      <c r="A742" s="68"/>
      <c r="B742" s="68"/>
      <c r="C742" s="68"/>
      <c r="D742" s="68"/>
      <c r="E742" s="68"/>
      <c r="F742" s="68"/>
      <c r="G742" s="68"/>
      <c r="H742" s="68"/>
      <c r="I742" s="68"/>
      <c r="J742" s="68"/>
      <c r="K742" s="68"/>
      <c r="L742" s="68"/>
      <c r="M742" s="68"/>
      <c r="N742" s="68"/>
      <c r="O742" s="68"/>
      <c r="P742" s="68"/>
      <c r="Q742" s="68"/>
      <c r="R742" s="68"/>
      <c r="S742" s="68"/>
      <c r="T742" s="68"/>
      <c r="U742" s="68"/>
      <c r="V742" s="68"/>
      <c r="W742" s="68"/>
      <c r="X742" s="68"/>
      <c r="Y742" s="68"/>
      <c r="Z742" s="68"/>
    </row>
    <row r="743">
      <c r="A743" s="68"/>
      <c r="B743" s="68"/>
      <c r="C743" s="68"/>
      <c r="D743" s="68"/>
      <c r="E743" s="68"/>
      <c r="F743" s="68"/>
      <c r="G743" s="68"/>
      <c r="H743" s="68"/>
      <c r="I743" s="68"/>
      <c r="J743" s="68"/>
      <c r="K743" s="68"/>
      <c r="L743" s="68"/>
      <c r="M743" s="68"/>
      <c r="N743" s="68"/>
      <c r="O743" s="68"/>
      <c r="P743" s="68"/>
      <c r="Q743" s="68"/>
      <c r="R743" s="68"/>
      <c r="S743" s="68"/>
      <c r="T743" s="68"/>
      <c r="U743" s="68"/>
      <c r="V743" s="68"/>
      <c r="W743" s="68"/>
      <c r="X743" s="68"/>
      <c r="Y743" s="68"/>
      <c r="Z743" s="68"/>
    </row>
    <row r="744">
      <c r="A744" s="68"/>
      <c r="B744" s="68"/>
      <c r="C744" s="68"/>
      <c r="D744" s="68"/>
      <c r="E744" s="68"/>
      <c r="F744" s="68"/>
      <c r="G744" s="68"/>
      <c r="H744" s="68"/>
      <c r="I744" s="68"/>
      <c r="J744" s="68"/>
      <c r="K744" s="68"/>
      <c r="L744" s="68"/>
      <c r="M744" s="68"/>
      <c r="N744" s="68"/>
      <c r="O744" s="68"/>
      <c r="P744" s="68"/>
      <c r="Q744" s="68"/>
      <c r="R744" s="68"/>
      <c r="S744" s="68"/>
      <c r="T744" s="68"/>
      <c r="U744" s="68"/>
      <c r="V744" s="68"/>
      <c r="W744" s="68"/>
      <c r="X744" s="68"/>
      <c r="Y744" s="68"/>
      <c r="Z744" s="68"/>
    </row>
    <row r="745">
      <c r="A745" s="68"/>
      <c r="B745" s="68"/>
      <c r="C745" s="68"/>
      <c r="D745" s="68"/>
      <c r="E745" s="68"/>
      <c r="F745" s="68"/>
      <c r="G745" s="68"/>
      <c r="H745" s="68"/>
      <c r="I745" s="68"/>
      <c r="J745" s="68"/>
      <c r="K745" s="68"/>
      <c r="L745" s="68"/>
      <c r="M745" s="68"/>
      <c r="N745" s="68"/>
      <c r="O745" s="68"/>
      <c r="P745" s="68"/>
      <c r="Q745" s="68"/>
      <c r="R745" s="68"/>
      <c r="S745" s="68"/>
      <c r="T745" s="68"/>
      <c r="U745" s="68"/>
      <c r="V745" s="68"/>
      <c r="W745" s="68"/>
      <c r="X745" s="68"/>
      <c r="Y745" s="68"/>
      <c r="Z745" s="68"/>
    </row>
    <row r="746">
      <c r="A746" s="68"/>
      <c r="B746" s="68"/>
      <c r="C746" s="68"/>
      <c r="D746" s="68"/>
      <c r="E746" s="68"/>
      <c r="F746" s="68"/>
      <c r="G746" s="68"/>
      <c r="H746" s="68"/>
      <c r="I746" s="68"/>
      <c r="J746" s="68"/>
      <c r="K746" s="68"/>
      <c r="L746" s="68"/>
      <c r="M746" s="68"/>
      <c r="N746" s="68"/>
      <c r="O746" s="68"/>
      <c r="P746" s="68"/>
      <c r="Q746" s="68"/>
      <c r="R746" s="68"/>
      <c r="S746" s="68"/>
      <c r="T746" s="68"/>
      <c r="U746" s="68"/>
      <c r="V746" s="68"/>
      <c r="W746" s="68"/>
      <c r="X746" s="68"/>
      <c r="Y746" s="68"/>
      <c r="Z746" s="68"/>
    </row>
    <row r="747">
      <c r="A747" s="68"/>
      <c r="B747" s="68"/>
      <c r="C747" s="68"/>
      <c r="D747" s="68"/>
      <c r="E747" s="68"/>
      <c r="F747" s="68"/>
      <c r="G747" s="68"/>
      <c r="H747" s="68"/>
      <c r="I747" s="68"/>
      <c r="J747" s="68"/>
      <c r="K747" s="68"/>
      <c r="L747" s="68"/>
      <c r="M747" s="68"/>
      <c r="N747" s="68"/>
      <c r="O747" s="68"/>
      <c r="P747" s="68"/>
      <c r="Q747" s="68"/>
      <c r="R747" s="68"/>
      <c r="S747" s="68"/>
      <c r="T747" s="68"/>
      <c r="U747" s="68"/>
      <c r="V747" s="68"/>
      <c r="W747" s="68"/>
      <c r="X747" s="68"/>
      <c r="Y747" s="68"/>
      <c r="Z747" s="68"/>
    </row>
    <row r="748">
      <c r="A748" s="68"/>
      <c r="B748" s="68"/>
      <c r="C748" s="68"/>
      <c r="D748" s="68"/>
      <c r="E748" s="68"/>
      <c r="F748" s="68"/>
      <c r="G748" s="68"/>
      <c r="H748" s="68"/>
      <c r="I748" s="68"/>
      <c r="J748" s="68"/>
      <c r="K748" s="68"/>
      <c r="L748" s="68"/>
      <c r="M748" s="68"/>
      <c r="N748" s="68"/>
      <c r="O748" s="68"/>
      <c r="P748" s="68"/>
      <c r="Q748" s="68"/>
      <c r="R748" s="68"/>
      <c r="S748" s="68"/>
      <c r="T748" s="68"/>
      <c r="U748" s="68"/>
      <c r="V748" s="68"/>
      <c r="W748" s="68"/>
      <c r="X748" s="68"/>
      <c r="Y748" s="68"/>
      <c r="Z748" s="68"/>
    </row>
    <row r="749">
      <c r="A749" s="68"/>
      <c r="B749" s="68"/>
      <c r="C749" s="68"/>
      <c r="D749" s="68"/>
      <c r="E749" s="68"/>
      <c r="F749" s="68"/>
      <c r="G749" s="68"/>
      <c r="H749" s="68"/>
      <c r="I749" s="68"/>
      <c r="J749" s="68"/>
      <c r="K749" s="68"/>
      <c r="L749" s="68"/>
      <c r="M749" s="68"/>
      <c r="N749" s="68"/>
      <c r="O749" s="68"/>
      <c r="P749" s="68"/>
      <c r="Q749" s="68"/>
      <c r="R749" s="68"/>
      <c r="S749" s="68"/>
      <c r="T749" s="68"/>
      <c r="U749" s="68"/>
      <c r="V749" s="68"/>
      <c r="W749" s="68"/>
      <c r="X749" s="68"/>
      <c r="Y749" s="68"/>
      <c r="Z749" s="68"/>
    </row>
    <row r="750">
      <c r="A750" s="68"/>
      <c r="B750" s="68"/>
      <c r="C750" s="68"/>
      <c r="D750" s="68"/>
      <c r="E750" s="68"/>
      <c r="F750" s="68"/>
      <c r="G750" s="68"/>
      <c r="H750" s="68"/>
      <c r="I750" s="68"/>
      <c r="J750" s="68"/>
      <c r="K750" s="68"/>
      <c r="L750" s="68"/>
      <c r="M750" s="68"/>
      <c r="N750" s="68"/>
      <c r="O750" s="68"/>
      <c r="P750" s="68"/>
      <c r="Q750" s="68"/>
      <c r="R750" s="68"/>
      <c r="S750" s="68"/>
      <c r="T750" s="68"/>
      <c r="U750" s="68"/>
      <c r="V750" s="68"/>
      <c r="W750" s="68"/>
      <c r="X750" s="68"/>
      <c r="Y750" s="68"/>
      <c r="Z750" s="68"/>
    </row>
    <row r="751">
      <c r="A751" s="68"/>
      <c r="B751" s="68"/>
      <c r="C751" s="68"/>
      <c r="D751" s="68"/>
      <c r="E751" s="68"/>
      <c r="F751" s="68"/>
      <c r="G751" s="68"/>
      <c r="H751" s="68"/>
      <c r="I751" s="68"/>
      <c r="J751" s="68"/>
      <c r="K751" s="68"/>
      <c r="L751" s="68"/>
      <c r="M751" s="68"/>
      <c r="N751" s="68"/>
      <c r="O751" s="68"/>
      <c r="P751" s="68"/>
      <c r="Q751" s="68"/>
      <c r="R751" s="68"/>
      <c r="S751" s="68"/>
      <c r="T751" s="68"/>
      <c r="U751" s="68"/>
      <c r="V751" s="68"/>
      <c r="W751" s="68"/>
      <c r="X751" s="68"/>
      <c r="Y751" s="68"/>
      <c r="Z751" s="68"/>
    </row>
    <row r="752">
      <c r="A752" s="68"/>
      <c r="B752" s="68"/>
      <c r="C752" s="68"/>
      <c r="D752" s="68"/>
      <c r="E752" s="68"/>
      <c r="F752" s="68"/>
      <c r="G752" s="68"/>
      <c r="H752" s="68"/>
      <c r="I752" s="68"/>
      <c r="J752" s="68"/>
      <c r="K752" s="68"/>
      <c r="L752" s="68"/>
      <c r="M752" s="68"/>
      <c r="N752" s="68"/>
      <c r="O752" s="68"/>
      <c r="P752" s="68"/>
      <c r="Q752" s="68"/>
      <c r="R752" s="68"/>
      <c r="S752" s="68"/>
      <c r="T752" s="68"/>
      <c r="U752" s="68"/>
      <c r="V752" s="68"/>
      <c r="W752" s="68"/>
      <c r="X752" s="68"/>
      <c r="Y752" s="68"/>
      <c r="Z752" s="68"/>
    </row>
    <row r="753">
      <c r="A753" s="68"/>
      <c r="B753" s="68"/>
      <c r="C753" s="68"/>
      <c r="D753" s="68"/>
      <c r="E753" s="68"/>
      <c r="F753" s="68"/>
      <c r="G753" s="68"/>
      <c r="H753" s="68"/>
      <c r="I753" s="68"/>
      <c r="J753" s="68"/>
      <c r="K753" s="68"/>
      <c r="L753" s="68"/>
      <c r="M753" s="68"/>
      <c r="N753" s="68"/>
      <c r="O753" s="68"/>
      <c r="P753" s="68"/>
      <c r="Q753" s="68"/>
      <c r="R753" s="68"/>
      <c r="S753" s="68"/>
      <c r="T753" s="68"/>
      <c r="U753" s="68"/>
      <c r="V753" s="68"/>
      <c r="W753" s="68"/>
      <c r="X753" s="68"/>
      <c r="Y753" s="68"/>
      <c r="Z753" s="68"/>
    </row>
    <row r="754">
      <c r="A754" s="68"/>
      <c r="B754" s="68"/>
      <c r="C754" s="68"/>
      <c r="D754" s="68"/>
      <c r="E754" s="68"/>
      <c r="F754" s="68"/>
      <c r="G754" s="68"/>
      <c r="H754" s="68"/>
      <c r="I754" s="68"/>
      <c r="J754" s="68"/>
      <c r="K754" s="68"/>
      <c r="L754" s="68"/>
      <c r="M754" s="68"/>
      <c r="N754" s="68"/>
      <c r="O754" s="68"/>
      <c r="P754" s="68"/>
      <c r="Q754" s="68"/>
      <c r="R754" s="68"/>
      <c r="S754" s="68"/>
      <c r="T754" s="68"/>
      <c r="U754" s="68"/>
      <c r="V754" s="68"/>
      <c r="W754" s="68"/>
      <c r="X754" s="68"/>
      <c r="Y754" s="68"/>
      <c r="Z754" s="68"/>
    </row>
    <row r="755">
      <c r="A755" s="68"/>
      <c r="B755" s="68"/>
      <c r="C755" s="68"/>
      <c r="D755" s="68"/>
      <c r="E755" s="68"/>
      <c r="F755" s="68"/>
      <c r="G755" s="68"/>
      <c r="H755" s="68"/>
      <c r="I755" s="68"/>
      <c r="J755" s="68"/>
      <c r="K755" s="68"/>
      <c r="L755" s="68"/>
      <c r="M755" s="68"/>
      <c r="N755" s="68"/>
      <c r="O755" s="68"/>
      <c r="P755" s="68"/>
      <c r="Q755" s="68"/>
      <c r="R755" s="68"/>
      <c r="S755" s="68"/>
      <c r="T755" s="68"/>
      <c r="U755" s="68"/>
      <c r="V755" s="68"/>
      <c r="W755" s="68"/>
      <c r="X755" s="68"/>
      <c r="Y755" s="68"/>
      <c r="Z755" s="68"/>
    </row>
    <row r="756">
      <c r="A756" s="68"/>
      <c r="B756" s="68"/>
      <c r="C756" s="68"/>
      <c r="D756" s="68"/>
      <c r="E756" s="68"/>
      <c r="F756" s="68"/>
      <c r="G756" s="68"/>
      <c r="H756" s="68"/>
      <c r="I756" s="68"/>
      <c r="J756" s="68"/>
      <c r="K756" s="68"/>
      <c r="L756" s="68"/>
      <c r="M756" s="68"/>
      <c r="N756" s="68"/>
      <c r="O756" s="68"/>
      <c r="P756" s="68"/>
      <c r="Q756" s="68"/>
      <c r="R756" s="68"/>
      <c r="S756" s="68"/>
      <c r="T756" s="68"/>
      <c r="U756" s="68"/>
      <c r="V756" s="68"/>
      <c r="W756" s="68"/>
      <c r="X756" s="68"/>
      <c r="Y756" s="68"/>
      <c r="Z756" s="68"/>
    </row>
    <row r="757">
      <c r="A757" s="68"/>
      <c r="B757" s="68"/>
      <c r="C757" s="68"/>
      <c r="D757" s="68"/>
      <c r="E757" s="68"/>
      <c r="F757" s="68"/>
      <c r="G757" s="68"/>
      <c r="H757" s="68"/>
      <c r="I757" s="68"/>
      <c r="J757" s="68"/>
      <c r="K757" s="68"/>
      <c r="L757" s="68"/>
      <c r="M757" s="68"/>
      <c r="N757" s="68"/>
      <c r="O757" s="68"/>
      <c r="P757" s="68"/>
      <c r="Q757" s="68"/>
      <c r="R757" s="68"/>
      <c r="S757" s="68"/>
      <c r="T757" s="68"/>
      <c r="U757" s="68"/>
      <c r="V757" s="68"/>
      <c r="W757" s="68"/>
      <c r="X757" s="68"/>
      <c r="Y757" s="68"/>
      <c r="Z757" s="68"/>
    </row>
    <row r="758">
      <c r="A758" s="68"/>
      <c r="B758" s="68"/>
      <c r="C758" s="68"/>
      <c r="D758" s="68"/>
      <c r="E758" s="68"/>
      <c r="F758" s="68"/>
      <c r="G758" s="68"/>
      <c r="H758" s="68"/>
      <c r="I758" s="68"/>
      <c r="J758" s="68"/>
      <c r="K758" s="68"/>
      <c r="L758" s="68"/>
      <c r="M758" s="68"/>
      <c r="N758" s="68"/>
      <c r="O758" s="68"/>
      <c r="P758" s="68"/>
      <c r="Q758" s="68"/>
      <c r="R758" s="68"/>
      <c r="S758" s="68"/>
      <c r="T758" s="68"/>
      <c r="U758" s="68"/>
      <c r="V758" s="68"/>
      <c r="W758" s="68"/>
      <c r="X758" s="68"/>
      <c r="Y758" s="68"/>
      <c r="Z758" s="68"/>
    </row>
    <row r="759">
      <c r="A759" s="68"/>
      <c r="B759" s="68"/>
      <c r="C759" s="68"/>
      <c r="D759" s="68"/>
      <c r="E759" s="68"/>
      <c r="F759" s="68"/>
      <c r="G759" s="68"/>
      <c r="H759" s="68"/>
      <c r="I759" s="68"/>
      <c r="J759" s="68"/>
      <c r="K759" s="68"/>
      <c r="L759" s="68"/>
      <c r="M759" s="68"/>
      <c r="N759" s="68"/>
      <c r="O759" s="68"/>
      <c r="P759" s="68"/>
      <c r="Q759" s="68"/>
      <c r="R759" s="68"/>
      <c r="S759" s="68"/>
      <c r="T759" s="68"/>
      <c r="U759" s="68"/>
      <c r="V759" s="68"/>
      <c r="W759" s="68"/>
      <c r="X759" s="68"/>
      <c r="Y759" s="68"/>
      <c r="Z759" s="68"/>
    </row>
    <row r="760">
      <c r="A760" s="68"/>
      <c r="B760" s="68"/>
      <c r="C760" s="68"/>
      <c r="D760" s="68"/>
      <c r="E760" s="68"/>
      <c r="F760" s="68"/>
      <c r="G760" s="68"/>
      <c r="H760" s="68"/>
      <c r="I760" s="68"/>
      <c r="J760" s="68"/>
      <c r="K760" s="68"/>
      <c r="L760" s="68"/>
      <c r="M760" s="68"/>
      <c r="N760" s="68"/>
      <c r="O760" s="68"/>
      <c r="P760" s="68"/>
      <c r="Q760" s="68"/>
      <c r="R760" s="68"/>
      <c r="S760" s="68"/>
      <c r="T760" s="68"/>
      <c r="U760" s="68"/>
      <c r="V760" s="68"/>
      <c r="W760" s="68"/>
      <c r="X760" s="68"/>
      <c r="Y760" s="68"/>
      <c r="Z760" s="68"/>
    </row>
    <row r="761">
      <c r="A761" s="68"/>
      <c r="B761" s="68"/>
      <c r="C761" s="68"/>
      <c r="D761" s="68"/>
      <c r="E761" s="68"/>
      <c r="F761" s="68"/>
      <c r="G761" s="68"/>
      <c r="H761" s="68"/>
      <c r="I761" s="68"/>
      <c r="J761" s="68"/>
      <c r="K761" s="68"/>
      <c r="L761" s="68"/>
      <c r="M761" s="68"/>
      <c r="N761" s="68"/>
      <c r="O761" s="68"/>
      <c r="P761" s="68"/>
      <c r="Q761" s="68"/>
      <c r="R761" s="68"/>
      <c r="S761" s="68"/>
      <c r="T761" s="68"/>
      <c r="U761" s="68"/>
      <c r="V761" s="68"/>
      <c r="W761" s="68"/>
      <c r="X761" s="68"/>
      <c r="Y761" s="68"/>
      <c r="Z761" s="68"/>
    </row>
    <row r="762">
      <c r="A762" s="68"/>
      <c r="B762" s="68"/>
      <c r="C762" s="68"/>
      <c r="D762" s="68"/>
      <c r="E762" s="68"/>
      <c r="F762" s="68"/>
      <c r="G762" s="68"/>
      <c r="H762" s="68"/>
      <c r="I762" s="68"/>
      <c r="J762" s="68"/>
      <c r="K762" s="68"/>
      <c r="L762" s="68"/>
      <c r="M762" s="68"/>
      <c r="N762" s="68"/>
      <c r="O762" s="68"/>
      <c r="P762" s="68"/>
      <c r="Q762" s="68"/>
      <c r="R762" s="68"/>
      <c r="S762" s="68"/>
      <c r="T762" s="68"/>
      <c r="U762" s="68"/>
      <c r="V762" s="68"/>
      <c r="W762" s="68"/>
      <c r="X762" s="68"/>
      <c r="Y762" s="68"/>
      <c r="Z762" s="68"/>
    </row>
    <row r="763">
      <c r="A763" s="68"/>
      <c r="B763" s="68"/>
      <c r="C763" s="68"/>
      <c r="D763" s="68"/>
      <c r="E763" s="68"/>
      <c r="F763" s="68"/>
      <c r="G763" s="68"/>
      <c r="H763" s="68"/>
      <c r="I763" s="68"/>
      <c r="J763" s="68"/>
      <c r="K763" s="68"/>
      <c r="L763" s="68"/>
      <c r="M763" s="68"/>
      <c r="N763" s="68"/>
      <c r="O763" s="68"/>
      <c r="P763" s="68"/>
      <c r="Q763" s="68"/>
      <c r="R763" s="68"/>
      <c r="S763" s="68"/>
      <c r="T763" s="68"/>
      <c r="U763" s="68"/>
      <c r="V763" s="68"/>
      <c r="W763" s="68"/>
      <c r="X763" s="68"/>
      <c r="Y763" s="68"/>
      <c r="Z763" s="68"/>
    </row>
    <row r="764">
      <c r="A764" s="68"/>
      <c r="B764" s="68"/>
      <c r="C764" s="68"/>
      <c r="D764" s="68"/>
      <c r="E764" s="68"/>
      <c r="F764" s="68"/>
      <c r="G764" s="68"/>
      <c r="H764" s="68"/>
      <c r="I764" s="68"/>
      <c r="J764" s="68"/>
      <c r="K764" s="68"/>
      <c r="L764" s="68"/>
      <c r="M764" s="68"/>
      <c r="N764" s="68"/>
      <c r="O764" s="68"/>
      <c r="P764" s="68"/>
      <c r="Q764" s="68"/>
      <c r="R764" s="68"/>
      <c r="S764" s="68"/>
      <c r="T764" s="68"/>
      <c r="U764" s="68"/>
      <c r="V764" s="68"/>
      <c r="W764" s="68"/>
      <c r="X764" s="68"/>
      <c r="Y764" s="68"/>
      <c r="Z764" s="68"/>
    </row>
    <row r="765">
      <c r="A765" s="68"/>
      <c r="B765" s="68"/>
      <c r="C765" s="68"/>
      <c r="D765" s="68"/>
      <c r="E765" s="68"/>
      <c r="F765" s="68"/>
      <c r="G765" s="68"/>
      <c r="H765" s="68"/>
      <c r="I765" s="68"/>
      <c r="J765" s="68"/>
      <c r="K765" s="68"/>
      <c r="L765" s="68"/>
      <c r="M765" s="68"/>
      <c r="N765" s="68"/>
      <c r="O765" s="68"/>
      <c r="P765" s="68"/>
      <c r="Q765" s="68"/>
      <c r="R765" s="68"/>
      <c r="S765" s="68"/>
      <c r="T765" s="68"/>
      <c r="U765" s="68"/>
      <c r="V765" s="68"/>
      <c r="W765" s="68"/>
      <c r="X765" s="68"/>
      <c r="Y765" s="68"/>
      <c r="Z765" s="68"/>
    </row>
    <row r="766">
      <c r="A766" s="68"/>
      <c r="B766" s="68"/>
      <c r="C766" s="68"/>
      <c r="D766" s="68"/>
      <c r="E766" s="68"/>
      <c r="F766" s="68"/>
      <c r="G766" s="68"/>
      <c r="H766" s="68"/>
      <c r="I766" s="68"/>
      <c r="J766" s="68"/>
      <c r="K766" s="68"/>
      <c r="L766" s="68"/>
      <c r="M766" s="68"/>
      <c r="N766" s="68"/>
      <c r="O766" s="68"/>
      <c r="P766" s="68"/>
      <c r="Q766" s="68"/>
      <c r="R766" s="68"/>
      <c r="S766" s="68"/>
      <c r="T766" s="68"/>
      <c r="U766" s="68"/>
      <c r="V766" s="68"/>
      <c r="W766" s="68"/>
      <c r="X766" s="68"/>
      <c r="Y766" s="68"/>
      <c r="Z766" s="68"/>
    </row>
    <row r="767">
      <c r="A767" s="68"/>
      <c r="B767" s="68"/>
      <c r="C767" s="68"/>
      <c r="D767" s="68"/>
      <c r="E767" s="68"/>
      <c r="F767" s="68"/>
      <c r="G767" s="68"/>
      <c r="H767" s="68"/>
      <c r="I767" s="68"/>
      <c r="J767" s="68"/>
      <c r="K767" s="68"/>
      <c r="L767" s="68"/>
      <c r="M767" s="68"/>
      <c r="N767" s="68"/>
      <c r="O767" s="68"/>
      <c r="P767" s="68"/>
      <c r="Q767" s="68"/>
      <c r="R767" s="68"/>
      <c r="S767" s="68"/>
      <c r="T767" s="68"/>
      <c r="U767" s="68"/>
      <c r="V767" s="68"/>
      <c r="W767" s="68"/>
      <c r="X767" s="68"/>
      <c r="Y767" s="68"/>
      <c r="Z767" s="68"/>
    </row>
    <row r="768">
      <c r="A768" s="68"/>
      <c r="B768" s="68"/>
      <c r="C768" s="68"/>
      <c r="D768" s="68"/>
      <c r="E768" s="68"/>
      <c r="F768" s="68"/>
      <c r="G768" s="68"/>
      <c r="H768" s="68"/>
      <c r="I768" s="68"/>
      <c r="J768" s="68"/>
      <c r="K768" s="68"/>
      <c r="L768" s="68"/>
      <c r="M768" s="68"/>
      <c r="N768" s="68"/>
      <c r="O768" s="68"/>
      <c r="P768" s="68"/>
      <c r="Q768" s="68"/>
      <c r="R768" s="68"/>
      <c r="S768" s="68"/>
      <c r="T768" s="68"/>
      <c r="U768" s="68"/>
      <c r="V768" s="68"/>
      <c r="W768" s="68"/>
      <c r="X768" s="68"/>
      <c r="Y768" s="68"/>
      <c r="Z768" s="68"/>
    </row>
    <row r="769">
      <c r="A769" s="68"/>
      <c r="B769" s="68"/>
      <c r="C769" s="68"/>
      <c r="D769" s="68"/>
      <c r="E769" s="68"/>
      <c r="F769" s="68"/>
      <c r="G769" s="68"/>
      <c r="H769" s="68"/>
      <c r="I769" s="68"/>
      <c r="J769" s="68"/>
      <c r="K769" s="68"/>
      <c r="L769" s="68"/>
      <c r="M769" s="68"/>
      <c r="N769" s="68"/>
      <c r="O769" s="68"/>
      <c r="P769" s="68"/>
      <c r="Q769" s="68"/>
      <c r="R769" s="68"/>
      <c r="S769" s="68"/>
      <c r="T769" s="68"/>
      <c r="U769" s="68"/>
      <c r="V769" s="68"/>
      <c r="W769" s="68"/>
      <c r="X769" s="68"/>
      <c r="Y769" s="68"/>
      <c r="Z769" s="68"/>
    </row>
    <row r="770">
      <c r="A770" s="68"/>
      <c r="B770" s="68"/>
      <c r="C770" s="68"/>
      <c r="D770" s="68"/>
      <c r="E770" s="68"/>
      <c r="F770" s="68"/>
      <c r="G770" s="68"/>
      <c r="H770" s="68"/>
      <c r="I770" s="68"/>
      <c r="J770" s="68"/>
      <c r="K770" s="68"/>
      <c r="L770" s="68"/>
      <c r="M770" s="68"/>
      <c r="N770" s="68"/>
      <c r="O770" s="68"/>
      <c r="P770" s="68"/>
      <c r="Q770" s="68"/>
      <c r="R770" s="68"/>
      <c r="S770" s="68"/>
      <c r="T770" s="68"/>
      <c r="U770" s="68"/>
      <c r="V770" s="68"/>
      <c r="W770" s="68"/>
      <c r="X770" s="68"/>
      <c r="Y770" s="68"/>
      <c r="Z770" s="68"/>
    </row>
    <row r="771">
      <c r="A771" s="68"/>
      <c r="B771" s="68"/>
      <c r="C771" s="68"/>
      <c r="D771" s="68"/>
      <c r="E771" s="68"/>
      <c r="F771" s="68"/>
      <c r="G771" s="68"/>
      <c r="H771" s="68"/>
      <c r="I771" s="68"/>
      <c r="J771" s="68"/>
      <c r="K771" s="68"/>
      <c r="L771" s="68"/>
      <c r="M771" s="68"/>
      <c r="N771" s="68"/>
      <c r="O771" s="68"/>
      <c r="P771" s="68"/>
      <c r="Q771" s="68"/>
      <c r="R771" s="68"/>
      <c r="S771" s="68"/>
      <c r="T771" s="68"/>
      <c r="U771" s="68"/>
      <c r="V771" s="68"/>
      <c r="W771" s="68"/>
      <c r="X771" s="68"/>
      <c r="Y771" s="68"/>
      <c r="Z771" s="68"/>
    </row>
    <row r="772">
      <c r="A772" s="68"/>
      <c r="B772" s="68"/>
      <c r="C772" s="68"/>
      <c r="D772" s="68"/>
      <c r="E772" s="68"/>
      <c r="F772" s="68"/>
      <c r="G772" s="68"/>
      <c r="H772" s="68"/>
      <c r="I772" s="68"/>
      <c r="J772" s="68"/>
      <c r="K772" s="68"/>
      <c r="L772" s="68"/>
      <c r="M772" s="68"/>
      <c r="N772" s="68"/>
      <c r="O772" s="68"/>
      <c r="P772" s="68"/>
      <c r="Q772" s="68"/>
      <c r="R772" s="68"/>
      <c r="S772" s="68"/>
      <c r="T772" s="68"/>
      <c r="U772" s="68"/>
      <c r="V772" s="68"/>
      <c r="W772" s="68"/>
      <c r="X772" s="68"/>
      <c r="Y772" s="68"/>
      <c r="Z772" s="68"/>
    </row>
    <row r="773">
      <c r="A773" s="68"/>
      <c r="B773" s="68"/>
      <c r="C773" s="68"/>
      <c r="D773" s="68"/>
      <c r="E773" s="68"/>
      <c r="F773" s="68"/>
      <c r="G773" s="68"/>
      <c r="H773" s="68"/>
      <c r="I773" s="68"/>
      <c r="J773" s="68"/>
      <c r="K773" s="68"/>
      <c r="L773" s="68"/>
      <c r="M773" s="68"/>
      <c r="N773" s="68"/>
      <c r="O773" s="68"/>
      <c r="P773" s="68"/>
      <c r="Q773" s="68"/>
      <c r="R773" s="68"/>
      <c r="S773" s="68"/>
      <c r="T773" s="68"/>
      <c r="U773" s="68"/>
      <c r="V773" s="68"/>
      <c r="W773" s="68"/>
      <c r="X773" s="68"/>
      <c r="Y773" s="68"/>
      <c r="Z773" s="68"/>
    </row>
    <row r="774">
      <c r="A774" s="68"/>
      <c r="B774" s="68"/>
      <c r="C774" s="68"/>
      <c r="D774" s="68"/>
      <c r="E774" s="68"/>
      <c r="F774" s="68"/>
      <c r="G774" s="68"/>
      <c r="H774" s="68"/>
      <c r="I774" s="68"/>
      <c r="J774" s="68"/>
      <c r="K774" s="68"/>
      <c r="L774" s="68"/>
      <c r="M774" s="68"/>
      <c r="N774" s="68"/>
      <c r="O774" s="68"/>
      <c r="P774" s="68"/>
      <c r="Q774" s="68"/>
      <c r="R774" s="68"/>
      <c r="S774" s="68"/>
      <c r="T774" s="68"/>
      <c r="U774" s="68"/>
      <c r="V774" s="68"/>
      <c r="W774" s="68"/>
      <c r="X774" s="68"/>
      <c r="Y774" s="68"/>
      <c r="Z774" s="68"/>
    </row>
    <row r="775">
      <c r="A775" s="68"/>
      <c r="B775" s="68"/>
      <c r="C775" s="68"/>
      <c r="D775" s="68"/>
      <c r="E775" s="68"/>
      <c r="F775" s="68"/>
      <c r="G775" s="68"/>
      <c r="H775" s="68"/>
      <c r="I775" s="68"/>
      <c r="J775" s="68"/>
      <c r="K775" s="68"/>
      <c r="L775" s="68"/>
      <c r="M775" s="68"/>
      <c r="N775" s="68"/>
      <c r="O775" s="68"/>
      <c r="P775" s="68"/>
      <c r="Q775" s="68"/>
      <c r="R775" s="68"/>
      <c r="S775" s="68"/>
      <c r="T775" s="68"/>
      <c r="U775" s="68"/>
      <c r="V775" s="68"/>
      <c r="W775" s="68"/>
      <c r="X775" s="68"/>
      <c r="Y775" s="68"/>
      <c r="Z775" s="68"/>
    </row>
    <row r="776">
      <c r="A776" s="68"/>
      <c r="B776" s="68"/>
      <c r="C776" s="68"/>
      <c r="D776" s="68"/>
      <c r="E776" s="68"/>
      <c r="F776" s="68"/>
      <c r="G776" s="68"/>
      <c r="H776" s="68"/>
      <c r="I776" s="68"/>
      <c r="J776" s="68"/>
      <c r="K776" s="68"/>
      <c r="L776" s="68"/>
      <c r="M776" s="68"/>
      <c r="N776" s="68"/>
      <c r="O776" s="68"/>
      <c r="P776" s="68"/>
      <c r="Q776" s="68"/>
      <c r="R776" s="68"/>
      <c r="S776" s="68"/>
      <c r="T776" s="68"/>
      <c r="U776" s="68"/>
      <c r="V776" s="68"/>
      <c r="W776" s="68"/>
      <c r="X776" s="68"/>
      <c r="Y776" s="68"/>
      <c r="Z776" s="68"/>
    </row>
    <row r="777">
      <c r="A777" s="68"/>
      <c r="B777" s="68"/>
      <c r="C777" s="68"/>
      <c r="D777" s="68"/>
      <c r="E777" s="68"/>
      <c r="F777" s="68"/>
      <c r="G777" s="68"/>
      <c r="H777" s="68"/>
      <c r="I777" s="68"/>
      <c r="J777" s="68"/>
      <c r="K777" s="68"/>
      <c r="L777" s="68"/>
      <c r="M777" s="68"/>
      <c r="N777" s="68"/>
      <c r="O777" s="68"/>
      <c r="P777" s="68"/>
      <c r="Q777" s="68"/>
      <c r="R777" s="68"/>
      <c r="S777" s="68"/>
      <c r="T777" s="68"/>
      <c r="U777" s="68"/>
      <c r="V777" s="68"/>
      <c r="W777" s="68"/>
      <c r="X777" s="68"/>
      <c r="Y777" s="68"/>
      <c r="Z777" s="68"/>
    </row>
    <row r="778">
      <c r="A778" s="68"/>
      <c r="B778" s="68"/>
      <c r="C778" s="68"/>
      <c r="D778" s="68"/>
      <c r="E778" s="68"/>
      <c r="F778" s="68"/>
      <c r="G778" s="68"/>
      <c r="H778" s="68"/>
      <c r="I778" s="68"/>
      <c r="J778" s="68"/>
      <c r="K778" s="68"/>
      <c r="L778" s="68"/>
      <c r="M778" s="68"/>
      <c r="N778" s="68"/>
      <c r="O778" s="68"/>
      <c r="P778" s="68"/>
      <c r="Q778" s="68"/>
      <c r="R778" s="68"/>
      <c r="S778" s="68"/>
      <c r="T778" s="68"/>
      <c r="U778" s="68"/>
      <c r="V778" s="68"/>
      <c r="W778" s="68"/>
      <c r="X778" s="68"/>
      <c r="Y778" s="68"/>
      <c r="Z778" s="68"/>
    </row>
    <row r="779">
      <c r="A779" s="68"/>
      <c r="B779" s="68"/>
      <c r="C779" s="68"/>
      <c r="D779" s="68"/>
      <c r="E779" s="68"/>
      <c r="F779" s="68"/>
      <c r="G779" s="68"/>
      <c r="H779" s="68"/>
      <c r="I779" s="68"/>
      <c r="J779" s="68"/>
      <c r="K779" s="68"/>
      <c r="L779" s="68"/>
      <c r="M779" s="68"/>
      <c r="N779" s="68"/>
      <c r="O779" s="68"/>
      <c r="P779" s="68"/>
      <c r="Q779" s="68"/>
      <c r="R779" s="68"/>
      <c r="S779" s="68"/>
      <c r="T779" s="68"/>
      <c r="U779" s="68"/>
      <c r="V779" s="68"/>
      <c r="W779" s="68"/>
      <c r="X779" s="68"/>
      <c r="Y779" s="68"/>
      <c r="Z779" s="68"/>
    </row>
    <row r="780">
      <c r="A780" s="68"/>
      <c r="B780" s="68"/>
      <c r="C780" s="68"/>
      <c r="D780" s="68"/>
      <c r="E780" s="68"/>
      <c r="F780" s="68"/>
      <c r="G780" s="68"/>
      <c r="H780" s="68"/>
      <c r="I780" s="68"/>
      <c r="J780" s="68"/>
      <c r="K780" s="68"/>
      <c r="L780" s="68"/>
      <c r="M780" s="68"/>
      <c r="N780" s="68"/>
      <c r="O780" s="68"/>
      <c r="P780" s="68"/>
      <c r="Q780" s="68"/>
      <c r="R780" s="68"/>
      <c r="S780" s="68"/>
      <c r="T780" s="68"/>
      <c r="U780" s="68"/>
      <c r="V780" s="68"/>
      <c r="W780" s="68"/>
      <c r="X780" s="68"/>
      <c r="Y780" s="68"/>
      <c r="Z780" s="68"/>
    </row>
    <row r="781">
      <c r="A781" s="68"/>
      <c r="B781" s="68"/>
      <c r="C781" s="68"/>
      <c r="D781" s="68"/>
      <c r="E781" s="68"/>
      <c r="F781" s="68"/>
      <c r="G781" s="68"/>
      <c r="H781" s="68"/>
      <c r="I781" s="68"/>
      <c r="J781" s="68"/>
      <c r="K781" s="68"/>
      <c r="L781" s="68"/>
      <c r="M781" s="68"/>
      <c r="N781" s="68"/>
      <c r="O781" s="68"/>
      <c r="P781" s="68"/>
      <c r="Q781" s="68"/>
      <c r="R781" s="68"/>
      <c r="S781" s="68"/>
      <c r="T781" s="68"/>
      <c r="U781" s="68"/>
      <c r="V781" s="68"/>
      <c r="W781" s="68"/>
      <c r="X781" s="68"/>
      <c r="Y781" s="68"/>
      <c r="Z781" s="68"/>
    </row>
    <row r="782">
      <c r="A782" s="68"/>
      <c r="B782" s="68"/>
      <c r="C782" s="68"/>
      <c r="D782" s="68"/>
      <c r="E782" s="68"/>
      <c r="F782" s="68"/>
      <c r="G782" s="68"/>
      <c r="H782" s="68"/>
      <c r="I782" s="68"/>
      <c r="J782" s="68"/>
      <c r="K782" s="68"/>
      <c r="L782" s="68"/>
      <c r="M782" s="68"/>
      <c r="N782" s="68"/>
      <c r="O782" s="68"/>
      <c r="P782" s="68"/>
      <c r="Q782" s="68"/>
      <c r="R782" s="68"/>
      <c r="S782" s="68"/>
      <c r="T782" s="68"/>
      <c r="U782" s="68"/>
      <c r="V782" s="68"/>
      <c r="W782" s="68"/>
      <c r="X782" s="68"/>
      <c r="Y782" s="68"/>
      <c r="Z782" s="68"/>
    </row>
    <row r="783">
      <c r="A783" s="68"/>
      <c r="B783" s="68"/>
      <c r="C783" s="68"/>
      <c r="D783" s="68"/>
      <c r="E783" s="68"/>
      <c r="F783" s="68"/>
      <c r="G783" s="68"/>
      <c r="H783" s="68"/>
      <c r="I783" s="68"/>
      <c r="J783" s="68"/>
      <c r="K783" s="68"/>
      <c r="L783" s="68"/>
      <c r="M783" s="68"/>
      <c r="N783" s="68"/>
      <c r="O783" s="68"/>
      <c r="P783" s="68"/>
      <c r="Q783" s="68"/>
      <c r="R783" s="68"/>
      <c r="S783" s="68"/>
      <c r="T783" s="68"/>
      <c r="U783" s="68"/>
      <c r="V783" s="68"/>
      <c r="W783" s="68"/>
      <c r="X783" s="68"/>
      <c r="Y783" s="68"/>
      <c r="Z783" s="68"/>
    </row>
    <row r="784">
      <c r="A784" s="68"/>
      <c r="B784" s="68"/>
      <c r="C784" s="68"/>
      <c r="D784" s="68"/>
      <c r="E784" s="68"/>
      <c r="F784" s="68"/>
      <c r="G784" s="68"/>
      <c r="H784" s="68"/>
      <c r="I784" s="68"/>
      <c r="J784" s="68"/>
      <c r="K784" s="68"/>
      <c r="L784" s="68"/>
      <c r="M784" s="68"/>
      <c r="N784" s="68"/>
      <c r="O784" s="68"/>
      <c r="P784" s="68"/>
      <c r="Q784" s="68"/>
      <c r="R784" s="68"/>
      <c r="S784" s="68"/>
      <c r="T784" s="68"/>
      <c r="U784" s="68"/>
      <c r="V784" s="68"/>
      <c r="W784" s="68"/>
      <c r="X784" s="68"/>
      <c r="Y784" s="68"/>
      <c r="Z784" s="68"/>
    </row>
    <row r="785">
      <c r="A785" s="68"/>
      <c r="B785" s="68"/>
      <c r="C785" s="68"/>
      <c r="D785" s="68"/>
      <c r="E785" s="68"/>
      <c r="F785" s="68"/>
      <c r="G785" s="68"/>
      <c r="H785" s="68"/>
      <c r="I785" s="68"/>
      <c r="J785" s="68"/>
      <c r="K785" s="68"/>
      <c r="L785" s="68"/>
      <c r="M785" s="68"/>
      <c r="N785" s="68"/>
      <c r="O785" s="68"/>
      <c r="P785" s="68"/>
      <c r="Q785" s="68"/>
      <c r="R785" s="68"/>
      <c r="S785" s="68"/>
      <c r="T785" s="68"/>
      <c r="U785" s="68"/>
      <c r="V785" s="68"/>
      <c r="W785" s="68"/>
      <c r="X785" s="68"/>
      <c r="Y785" s="68"/>
      <c r="Z785" s="68"/>
    </row>
    <row r="786">
      <c r="A786" s="68"/>
      <c r="B786" s="68"/>
      <c r="C786" s="68"/>
      <c r="D786" s="68"/>
      <c r="E786" s="68"/>
      <c r="F786" s="68"/>
      <c r="G786" s="68"/>
      <c r="H786" s="68"/>
      <c r="I786" s="68"/>
      <c r="J786" s="68"/>
      <c r="K786" s="68"/>
      <c r="L786" s="68"/>
      <c r="M786" s="68"/>
      <c r="N786" s="68"/>
      <c r="O786" s="68"/>
      <c r="P786" s="68"/>
      <c r="Q786" s="68"/>
      <c r="R786" s="68"/>
      <c r="S786" s="68"/>
      <c r="T786" s="68"/>
      <c r="U786" s="68"/>
      <c r="V786" s="68"/>
      <c r="W786" s="68"/>
      <c r="X786" s="68"/>
      <c r="Y786" s="68"/>
      <c r="Z786" s="68"/>
    </row>
    <row r="787">
      <c r="A787" s="68"/>
      <c r="B787" s="68"/>
      <c r="C787" s="68"/>
      <c r="D787" s="68"/>
      <c r="E787" s="68"/>
      <c r="F787" s="68"/>
      <c r="G787" s="68"/>
      <c r="H787" s="68"/>
      <c r="I787" s="68"/>
      <c r="J787" s="68"/>
      <c r="K787" s="68"/>
      <c r="L787" s="68"/>
      <c r="M787" s="68"/>
      <c r="N787" s="68"/>
      <c r="O787" s="68"/>
      <c r="P787" s="68"/>
      <c r="Q787" s="68"/>
      <c r="R787" s="68"/>
      <c r="S787" s="68"/>
      <c r="T787" s="68"/>
      <c r="U787" s="68"/>
      <c r="V787" s="68"/>
      <c r="W787" s="68"/>
      <c r="X787" s="68"/>
      <c r="Y787" s="68"/>
      <c r="Z787" s="68"/>
    </row>
    <row r="788">
      <c r="A788" s="68"/>
      <c r="B788" s="68"/>
      <c r="C788" s="68"/>
      <c r="D788" s="68"/>
      <c r="E788" s="68"/>
      <c r="F788" s="68"/>
      <c r="G788" s="68"/>
      <c r="H788" s="68"/>
      <c r="I788" s="68"/>
      <c r="J788" s="68"/>
      <c r="K788" s="68"/>
      <c r="L788" s="68"/>
      <c r="M788" s="68"/>
      <c r="N788" s="68"/>
      <c r="O788" s="68"/>
      <c r="P788" s="68"/>
      <c r="Q788" s="68"/>
      <c r="R788" s="68"/>
      <c r="S788" s="68"/>
      <c r="T788" s="68"/>
      <c r="U788" s="68"/>
      <c r="V788" s="68"/>
      <c r="W788" s="68"/>
      <c r="X788" s="68"/>
      <c r="Y788" s="68"/>
      <c r="Z788" s="68"/>
    </row>
    <row r="789">
      <c r="A789" s="68"/>
      <c r="B789" s="68"/>
      <c r="C789" s="68"/>
      <c r="D789" s="68"/>
      <c r="E789" s="68"/>
      <c r="F789" s="68"/>
      <c r="G789" s="68"/>
      <c r="H789" s="68"/>
      <c r="I789" s="68"/>
      <c r="J789" s="68"/>
      <c r="K789" s="68"/>
      <c r="L789" s="68"/>
      <c r="M789" s="68"/>
      <c r="N789" s="68"/>
      <c r="O789" s="68"/>
      <c r="P789" s="68"/>
      <c r="Q789" s="68"/>
      <c r="R789" s="68"/>
      <c r="S789" s="68"/>
      <c r="T789" s="68"/>
      <c r="U789" s="68"/>
      <c r="V789" s="68"/>
      <c r="W789" s="68"/>
      <c r="X789" s="68"/>
      <c r="Y789" s="68"/>
      <c r="Z789" s="68"/>
    </row>
    <row r="790">
      <c r="A790" s="68"/>
      <c r="B790" s="68"/>
      <c r="C790" s="68"/>
      <c r="D790" s="68"/>
      <c r="E790" s="68"/>
      <c r="F790" s="68"/>
      <c r="G790" s="68"/>
      <c r="H790" s="68"/>
      <c r="I790" s="68"/>
      <c r="J790" s="68"/>
      <c r="K790" s="68"/>
      <c r="L790" s="68"/>
      <c r="M790" s="68"/>
      <c r="N790" s="68"/>
      <c r="O790" s="68"/>
      <c r="P790" s="68"/>
      <c r="Q790" s="68"/>
      <c r="R790" s="68"/>
      <c r="S790" s="68"/>
      <c r="T790" s="68"/>
      <c r="U790" s="68"/>
      <c r="V790" s="68"/>
      <c r="W790" s="68"/>
      <c r="X790" s="68"/>
      <c r="Y790" s="68"/>
      <c r="Z790" s="68"/>
    </row>
    <row r="791">
      <c r="A791" s="68"/>
      <c r="B791" s="68"/>
      <c r="C791" s="68"/>
      <c r="D791" s="68"/>
      <c r="E791" s="68"/>
      <c r="F791" s="68"/>
      <c r="G791" s="68"/>
      <c r="H791" s="68"/>
      <c r="I791" s="68"/>
      <c r="J791" s="68"/>
      <c r="K791" s="68"/>
      <c r="L791" s="68"/>
      <c r="M791" s="68"/>
      <c r="N791" s="68"/>
      <c r="O791" s="68"/>
      <c r="P791" s="68"/>
      <c r="Q791" s="68"/>
      <c r="R791" s="68"/>
      <c r="S791" s="68"/>
      <c r="T791" s="68"/>
      <c r="U791" s="68"/>
      <c r="V791" s="68"/>
      <c r="W791" s="68"/>
      <c r="X791" s="68"/>
      <c r="Y791" s="68"/>
      <c r="Z791" s="68"/>
    </row>
    <row r="792">
      <c r="A792" s="68"/>
      <c r="B792" s="68"/>
      <c r="C792" s="68"/>
      <c r="D792" s="68"/>
      <c r="E792" s="68"/>
      <c r="F792" s="68"/>
      <c r="G792" s="68"/>
      <c r="H792" s="68"/>
      <c r="I792" s="68"/>
      <c r="J792" s="68"/>
      <c r="K792" s="68"/>
      <c r="L792" s="68"/>
      <c r="M792" s="68"/>
      <c r="N792" s="68"/>
      <c r="O792" s="68"/>
      <c r="P792" s="68"/>
      <c r="Q792" s="68"/>
      <c r="R792" s="68"/>
      <c r="S792" s="68"/>
      <c r="T792" s="68"/>
      <c r="U792" s="68"/>
      <c r="V792" s="68"/>
      <c r="W792" s="68"/>
      <c r="X792" s="68"/>
      <c r="Y792" s="68"/>
      <c r="Z792" s="68"/>
    </row>
    <row r="793">
      <c r="A793" s="68"/>
      <c r="B793" s="68"/>
      <c r="C793" s="68"/>
      <c r="D793" s="68"/>
      <c r="E793" s="68"/>
      <c r="F793" s="68"/>
      <c r="G793" s="68"/>
      <c r="H793" s="68"/>
      <c r="I793" s="68"/>
      <c r="J793" s="68"/>
      <c r="K793" s="68"/>
      <c r="L793" s="68"/>
      <c r="M793" s="68"/>
      <c r="N793" s="68"/>
      <c r="O793" s="68"/>
      <c r="P793" s="68"/>
      <c r="Q793" s="68"/>
      <c r="R793" s="68"/>
      <c r="S793" s="68"/>
      <c r="T793" s="68"/>
      <c r="U793" s="68"/>
      <c r="V793" s="68"/>
      <c r="W793" s="68"/>
      <c r="X793" s="68"/>
      <c r="Y793" s="68"/>
      <c r="Z793" s="68"/>
    </row>
    <row r="794">
      <c r="A794" s="68"/>
      <c r="B794" s="68"/>
      <c r="C794" s="68"/>
      <c r="D794" s="68"/>
      <c r="E794" s="68"/>
      <c r="F794" s="68"/>
      <c r="G794" s="68"/>
      <c r="H794" s="68"/>
      <c r="I794" s="68"/>
      <c r="J794" s="68"/>
      <c r="K794" s="68"/>
      <c r="L794" s="68"/>
      <c r="M794" s="68"/>
      <c r="N794" s="68"/>
      <c r="O794" s="68"/>
      <c r="P794" s="68"/>
      <c r="Q794" s="68"/>
      <c r="R794" s="68"/>
      <c r="S794" s="68"/>
      <c r="T794" s="68"/>
      <c r="U794" s="68"/>
      <c r="V794" s="68"/>
      <c r="W794" s="68"/>
      <c r="X794" s="68"/>
      <c r="Y794" s="68"/>
      <c r="Z794" s="68"/>
    </row>
    <row r="795">
      <c r="A795" s="68"/>
      <c r="B795" s="68"/>
      <c r="C795" s="68"/>
      <c r="D795" s="68"/>
      <c r="E795" s="68"/>
      <c r="F795" s="68"/>
      <c r="G795" s="68"/>
      <c r="H795" s="68"/>
      <c r="I795" s="68"/>
      <c r="J795" s="68"/>
      <c r="K795" s="68"/>
      <c r="L795" s="68"/>
      <c r="M795" s="68"/>
      <c r="N795" s="68"/>
      <c r="O795" s="68"/>
      <c r="P795" s="68"/>
      <c r="Q795" s="68"/>
      <c r="R795" s="68"/>
      <c r="S795" s="68"/>
      <c r="T795" s="68"/>
      <c r="U795" s="68"/>
      <c r="V795" s="68"/>
      <c r="W795" s="68"/>
      <c r="X795" s="68"/>
      <c r="Y795" s="68"/>
      <c r="Z795" s="68"/>
    </row>
    <row r="796">
      <c r="A796" s="68"/>
      <c r="B796" s="68"/>
      <c r="C796" s="68"/>
      <c r="D796" s="68"/>
      <c r="E796" s="68"/>
      <c r="F796" s="68"/>
      <c r="G796" s="68"/>
      <c r="H796" s="68"/>
      <c r="I796" s="68"/>
      <c r="J796" s="68"/>
      <c r="K796" s="68"/>
      <c r="L796" s="68"/>
      <c r="M796" s="68"/>
      <c r="N796" s="68"/>
      <c r="O796" s="68"/>
      <c r="P796" s="68"/>
      <c r="Q796" s="68"/>
      <c r="R796" s="68"/>
      <c r="S796" s="68"/>
      <c r="T796" s="68"/>
      <c r="U796" s="68"/>
      <c r="V796" s="68"/>
      <c r="W796" s="68"/>
      <c r="X796" s="68"/>
      <c r="Y796" s="68"/>
      <c r="Z796" s="68"/>
    </row>
    <row r="797">
      <c r="A797" s="68"/>
      <c r="B797" s="68"/>
      <c r="C797" s="68"/>
      <c r="D797" s="68"/>
      <c r="E797" s="68"/>
      <c r="F797" s="68"/>
      <c r="G797" s="68"/>
      <c r="H797" s="68"/>
      <c r="I797" s="68"/>
      <c r="J797" s="68"/>
      <c r="K797" s="68"/>
      <c r="L797" s="68"/>
      <c r="M797" s="68"/>
      <c r="N797" s="68"/>
      <c r="O797" s="68"/>
      <c r="P797" s="68"/>
      <c r="Q797" s="68"/>
      <c r="R797" s="68"/>
      <c r="S797" s="68"/>
      <c r="T797" s="68"/>
      <c r="U797" s="68"/>
      <c r="V797" s="68"/>
      <c r="W797" s="68"/>
      <c r="X797" s="68"/>
      <c r="Y797" s="68"/>
      <c r="Z797" s="68"/>
    </row>
    <row r="798">
      <c r="A798" s="68"/>
      <c r="B798" s="68"/>
      <c r="C798" s="68"/>
      <c r="D798" s="68"/>
      <c r="E798" s="68"/>
      <c r="F798" s="68"/>
      <c r="G798" s="68"/>
      <c r="H798" s="68"/>
      <c r="I798" s="68"/>
      <c r="J798" s="68"/>
      <c r="K798" s="68"/>
      <c r="L798" s="68"/>
      <c r="M798" s="68"/>
      <c r="N798" s="68"/>
      <c r="O798" s="68"/>
      <c r="P798" s="68"/>
      <c r="Q798" s="68"/>
      <c r="R798" s="68"/>
      <c r="S798" s="68"/>
      <c r="T798" s="68"/>
      <c r="U798" s="68"/>
      <c r="V798" s="68"/>
      <c r="W798" s="68"/>
      <c r="X798" s="68"/>
      <c r="Y798" s="68"/>
      <c r="Z798" s="68"/>
    </row>
    <row r="799">
      <c r="A799" s="68"/>
      <c r="B799" s="68"/>
      <c r="C799" s="68"/>
      <c r="D799" s="68"/>
      <c r="E799" s="68"/>
      <c r="F799" s="68"/>
      <c r="G799" s="68"/>
      <c r="H799" s="68"/>
      <c r="I799" s="68"/>
      <c r="J799" s="68"/>
      <c r="K799" s="68"/>
      <c r="L799" s="68"/>
      <c r="M799" s="68"/>
      <c r="N799" s="68"/>
      <c r="O799" s="68"/>
      <c r="P799" s="68"/>
      <c r="Q799" s="68"/>
      <c r="R799" s="68"/>
      <c r="S799" s="68"/>
      <c r="T799" s="68"/>
      <c r="U799" s="68"/>
      <c r="V799" s="68"/>
      <c r="W799" s="68"/>
      <c r="X799" s="68"/>
      <c r="Y799" s="68"/>
      <c r="Z799" s="68"/>
    </row>
    <row r="800">
      <c r="A800" s="68"/>
      <c r="B800" s="68"/>
      <c r="C800" s="68"/>
      <c r="D800" s="68"/>
      <c r="E800" s="68"/>
      <c r="F800" s="68"/>
      <c r="G800" s="68"/>
      <c r="H800" s="68"/>
      <c r="I800" s="68"/>
      <c r="J800" s="68"/>
      <c r="K800" s="68"/>
      <c r="L800" s="68"/>
      <c r="M800" s="68"/>
      <c r="N800" s="68"/>
      <c r="O800" s="68"/>
      <c r="P800" s="68"/>
      <c r="Q800" s="68"/>
      <c r="R800" s="68"/>
      <c r="S800" s="68"/>
      <c r="T800" s="68"/>
      <c r="U800" s="68"/>
      <c r="V800" s="68"/>
      <c r="W800" s="68"/>
      <c r="X800" s="68"/>
      <c r="Y800" s="68"/>
      <c r="Z800" s="68"/>
    </row>
    <row r="801">
      <c r="A801" s="68"/>
      <c r="B801" s="68"/>
      <c r="C801" s="68"/>
      <c r="D801" s="68"/>
      <c r="E801" s="68"/>
      <c r="F801" s="68"/>
      <c r="G801" s="68"/>
      <c r="H801" s="68"/>
      <c r="I801" s="68"/>
      <c r="J801" s="68"/>
      <c r="K801" s="68"/>
      <c r="L801" s="68"/>
      <c r="M801" s="68"/>
      <c r="N801" s="68"/>
      <c r="O801" s="68"/>
      <c r="P801" s="68"/>
      <c r="Q801" s="68"/>
      <c r="R801" s="68"/>
      <c r="S801" s="68"/>
      <c r="T801" s="68"/>
      <c r="U801" s="68"/>
      <c r="V801" s="68"/>
      <c r="W801" s="68"/>
      <c r="X801" s="68"/>
      <c r="Y801" s="68"/>
      <c r="Z801" s="68"/>
    </row>
    <row r="802">
      <c r="A802" s="68"/>
      <c r="B802" s="68"/>
      <c r="C802" s="68"/>
      <c r="D802" s="68"/>
      <c r="E802" s="68"/>
      <c r="F802" s="68"/>
      <c r="G802" s="68"/>
      <c r="H802" s="68"/>
      <c r="I802" s="68"/>
      <c r="J802" s="68"/>
      <c r="K802" s="68"/>
      <c r="L802" s="68"/>
      <c r="M802" s="68"/>
      <c r="N802" s="68"/>
      <c r="O802" s="68"/>
      <c r="P802" s="68"/>
      <c r="Q802" s="68"/>
      <c r="R802" s="68"/>
      <c r="S802" s="68"/>
      <c r="T802" s="68"/>
      <c r="U802" s="68"/>
      <c r="V802" s="68"/>
      <c r="W802" s="68"/>
      <c r="X802" s="68"/>
      <c r="Y802" s="68"/>
      <c r="Z802" s="68"/>
    </row>
    <row r="803">
      <c r="A803" s="68"/>
      <c r="B803" s="68"/>
      <c r="C803" s="68"/>
      <c r="D803" s="68"/>
      <c r="E803" s="68"/>
      <c r="F803" s="68"/>
      <c r="G803" s="68"/>
      <c r="H803" s="68"/>
      <c r="I803" s="68"/>
      <c r="J803" s="68"/>
      <c r="K803" s="68"/>
      <c r="L803" s="68"/>
      <c r="M803" s="68"/>
      <c r="N803" s="68"/>
      <c r="O803" s="68"/>
      <c r="P803" s="68"/>
      <c r="Q803" s="68"/>
      <c r="R803" s="68"/>
      <c r="S803" s="68"/>
      <c r="T803" s="68"/>
      <c r="U803" s="68"/>
      <c r="V803" s="68"/>
      <c r="W803" s="68"/>
      <c r="X803" s="68"/>
      <c r="Y803" s="68"/>
      <c r="Z803" s="68"/>
    </row>
    <row r="804">
      <c r="A804" s="68"/>
      <c r="B804" s="68"/>
      <c r="C804" s="68"/>
      <c r="D804" s="68"/>
      <c r="E804" s="68"/>
      <c r="F804" s="68"/>
      <c r="G804" s="68"/>
      <c r="H804" s="68"/>
      <c r="I804" s="68"/>
      <c r="J804" s="68"/>
      <c r="K804" s="68"/>
      <c r="L804" s="68"/>
      <c r="M804" s="68"/>
      <c r="N804" s="68"/>
      <c r="O804" s="68"/>
      <c r="P804" s="68"/>
      <c r="Q804" s="68"/>
      <c r="R804" s="68"/>
      <c r="S804" s="68"/>
      <c r="T804" s="68"/>
      <c r="U804" s="68"/>
      <c r="V804" s="68"/>
      <c r="W804" s="68"/>
      <c r="X804" s="68"/>
      <c r="Y804" s="68"/>
      <c r="Z804" s="68"/>
    </row>
    <row r="805">
      <c r="A805" s="68"/>
      <c r="B805" s="68"/>
      <c r="C805" s="68"/>
      <c r="D805" s="68"/>
      <c r="E805" s="68"/>
      <c r="F805" s="68"/>
      <c r="G805" s="68"/>
      <c r="H805" s="68"/>
      <c r="I805" s="68"/>
      <c r="J805" s="68"/>
      <c r="K805" s="68"/>
      <c r="L805" s="68"/>
      <c r="M805" s="68"/>
      <c r="N805" s="68"/>
      <c r="O805" s="68"/>
      <c r="P805" s="68"/>
      <c r="Q805" s="68"/>
      <c r="R805" s="68"/>
      <c r="S805" s="68"/>
      <c r="T805" s="68"/>
      <c r="U805" s="68"/>
      <c r="V805" s="68"/>
      <c r="W805" s="68"/>
      <c r="X805" s="68"/>
      <c r="Y805" s="68"/>
      <c r="Z805" s="68"/>
    </row>
    <row r="806">
      <c r="A806" s="68"/>
      <c r="B806" s="68"/>
      <c r="C806" s="68"/>
      <c r="D806" s="68"/>
      <c r="E806" s="68"/>
      <c r="F806" s="68"/>
      <c r="G806" s="68"/>
      <c r="H806" s="68"/>
      <c r="I806" s="68"/>
      <c r="J806" s="68"/>
      <c r="K806" s="68"/>
      <c r="L806" s="68"/>
      <c r="M806" s="68"/>
      <c r="N806" s="68"/>
      <c r="O806" s="68"/>
      <c r="P806" s="68"/>
      <c r="Q806" s="68"/>
      <c r="R806" s="68"/>
      <c r="S806" s="68"/>
      <c r="T806" s="68"/>
      <c r="U806" s="68"/>
      <c r="V806" s="68"/>
      <c r="W806" s="68"/>
      <c r="X806" s="68"/>
      <c r="Y806" s="68"/>
      <c r="Z806" s="68"/>
    </row>
    <row r="807">
      <c r="A807" s="68"/>
      <c r="B807" s="68"/>
      <c r="C807" s="68"/>
      <c r="D807" s="68"/>
      <c r="E807" s="68"/>
      <c r="F807" s="68"/>
      <c r="G807" s="68"/>
      <c r="H807" s="68"/>
      <c r="I807" s="68"/>
      <c r="J807" s="68"/>
      <c r="K807" s="68"/>
      <c r="L807" s="68"/>
      <c r="M807" s="68"/>
      <c r="N807" s="68"/>
      <c r="O807" s="68"/>
      <c r="P807" s="68"/>
      <c r="Q807" s="68"/>
      <c r="R807" s="68"/>
      <c r="S807" s="68"/>
      <c r="T807" s="68"/>
      <c r="U807" s="68"/>
      <c r="V807" s="68"/>
      <c r="W807" s="68"/>
      <c r="X807" s="68"/>
      <c r="Y807" s="68"/>
      <c r="Z807" s="68"/>
    </row>
    <row r="808">
      <c r="A808" s="68"/>
      <c r="B808" s="68"/>
      <c r="C808" s="68"/>
      <c r="D808" s="68"/>
      <c r="E808" s="68"/>
      <c r="F808" s="68"/>
      <c r="G808" s="68"/>
      <c r="H808" s="68"/>
      <c r="I808" s="68"/>
      <c r="J808" s="68"/>
      <c r="K808" s="68"/>
      <c r="L808" s="68"/>
      <c r="M808" s="68"/>
      <c r="N808" s="68"/>
      <c r="O808" s="68"/>
      <c r="P808" s="68"/>
      <c r="Q808" s="68"/>
      <c r="R808" s="68"/>
      <c r="S808" s="68"/>
      <c r="T808" s="68"/>
      <c r="U808" s="68"/>
      <c r="V808" s="68"/>
      <c r="W808" s="68"/>
      <c r="X808" s="68"/>
      <c r="Y808" s="68"/>
      <c r="Z808" s="68"/>
    </row>
    <row r="809">
      <c r="A809" s="68"/>
      <c r="B809" s="68"/>
      <c r="C809" s="68"/>
      <c r="D809" s="68"/>
      <c r="E809" s="68"/>
      <c r="F809" s="68"/>
      <c r="G809" s="68"/>
      <c r="H809" s="68"/>
      <c r="I809" s="68"/>
      <c r="J809" s="68"/>
      <c r="K809" s="68"/>
      <c r="L809" s="68"/>
      <c r="M809" s="68"/>
      <c r="N809" s="68"/>
      <c r="O809" s="68"/>
      <c r="P809" s="68"/>
      <c r="Q809" s="68"/>
      <c r="R809" s="68"/>
      <c r="S809" s="68"/>
      <c r="T809" s="68"/>
      <c r="U809" s="68"/>
      <c r="V809" s="68"/>
      <c r="W809" s="68"/>
      <c r="X809" s="68"/>
      <c r="Y809" s="68"/>
      <c r="Z809" s="68"/>
    </row>
    <row r="810">
      <c r="A810" s="68"/>
      <c r="B810" s="68"/>
      <c r="C810" s="68"/>
      <c r="D810" s="68"/>
      <c r="E810" s="68"/>
      <c r="F810" s="68"/>
      <c r="G810" s="68"/>
      <c r="H810" s="68"/>
      <c r="I810" s="68"/>
      <c r="J810" s="68"/>
      <c r="K810" s="68"/>
      <c r="L810" s="68"/>
      <c r="M810" s="68"/>
      <c r="N810" s="68"/>
      <c r="O810" s="68"/>
      <c r="P810" s="68"/>
      <c r="Q810" s="68"/>
      <c r="R810" s="68"/>
      <c r="S810" s="68"/>
      <c r="T810" s="68"/>
      <c r="U810" s="68"/>
      <c r="V810" s="68"/>
      <c r="W810" s="68"/>
      <c r="X810" s="68"/>
      <c r="Y810" s="68"/>
      <c r="Z810" s="68"/>
    </row>
    <row r="811">
      <c r="A811" s="68"/>
      <c r="B811" s="68"/>
      <c r="C811" s="68"/>
      <c r="D811" s="68"/>
      <c r="E811" s="68"/>
      <c r="F811" s="68"/>
      <c r="G811" s="68"/>
      <c r="H811" s="68"/>
      <c r="I811" s="68"/>
      <c r="J811" s="68"/>
      <c r="K811" s="68"/>
      <c r="L811" s="68"/>
      <c r="M811" s="68"/>
      <c r="N811" s="68"/>
      <c r="O811" s="68"/>
      <c r="P811" s="68"/>
      <c r="Q811" s="68"/>
      <c r="R811" s="68"/>
      <c r="S811" s="68"/>
      <c r="T811" s="68"/>
      <c r="U811" s="68"/>
      <c r="V811" s="68"/>
      <c r="W811" s="68"/>
      <c r="X811" s="68"/>
      <c r="Y811" s="68"/>
      <c r="Z811" s="68"/>
    </row>
    <row r="812">
      <c r="A812" s="68"/>
      <c r="B812" s="68"/>
      <c r="C812" s="68"/>
      <c r="D812" s="68"/>
      <c r="E812" s="68"/>
      <c r="F812" s="68"/>
      <c r="G812" s="68"/>
      <c r="H812" s="68"/>
      <c r="I812" s="68"/>
      <c r="J812" s="68"/>
      <c r="K812" s="68"/>
      <c r="L812" s="68"/>
      <c r="M812" s="68"/>
      <c r="N812" s="68"/>
      <c r="O812" s="68"/>
      <c r="P812" s="68"/>
      <c r="Q812" s="68"/>
      <c r="R812" s="68"/>
      <c r="S812" s="68"/>
      <c r="T812" s="68"/>
      <c r="U812" s="68"/>
      <c r="V812" s="68"/>
      <c r="W812" s="68"/>
      <c r="X812" s="68"/>
      <c r="Y812" s="68"/>
      <c r="Z812" s="68"/>
    </row>
    <row r="813">
      <c r="A813" s="68"/>
      <c r="B813" s="68"/>
      <c r="C813" s="68"/>
      <c r="D813" s="68"/>
      <c r="E813" s="68"/>
      <c r="F813" s="68"/>
      <c r="G813" s="68"/>
      <c r="H813" s="68"/>
      <c r="I813" s="68"/>
      <c r="J813" s="68"/>
      <c r="K813" s="68"/>
      <c r="L813" s="68"/>
      <c r="M813" s="68"/>
      <c r="N813" s="68"/>
      <c r="O813" s="68"/>
      <c r="P813" s="68"/>
      <c r="Q813" s="68"/>
      <c r="R813" s="68"/>
      <c r="S813" s="68"/>
      <c r="T813" s="68"/>
      <c r="U813" s="68"/>
      <c r="V813" s="68"/>
      <c r="W813" s="68"/>
      <c r="X813" s="68"/>
      <c r="Y813" s="68"/>
      <c r="Z813" s="68"/>
    </row>
    <row r="814">
      <c r="A814" s="68"/>
      <c r="B814" s="68"/>
      <c r="C814" s="68"/>
      <c r="D814" s="68"/>
      <c r="E814" s="68"/>
      <c r="F814" s="68"/>
      <c r="G814" s="68"/>
      <c r="H814" s="68"/>
      <c r="I814" s="68"/>
      <c r="J814" s="68"/>
      <c r="K814" s="68"/>
      <c r="L814" s="68"/>
      <c r="M814" s="68"/>
      <c r="N814" s="68"/>
      <c r="O814" s="68"/>
      <c r="P814" s="68"/>
      <c r="Q814" s="68"/>
      <c r="R814" s="68"/>
      <c r="S814" s="68"/>
      <c r="T814" s="68"/>
      <c r="U814" s="68"/>
      <c r="V814" s="68"/>
      <c r="W814" s="68"/>
      <c r="X814" s="68"/>
      <c r="Y814" s="68"/>
      <c r="Z814" s="68"/>
    </row>
    <row r="815">
      <c r="A815" s="68"/>
      <c r="B815" s="68"/>
      <c r="C815" s="68"/>
      <c r="D815" s="68"/>
      <c r="E815" s="68"/>
      <c r="F815" s="68"/>
      <c r="G815" s="68"/>
      <c r="H815" s="68"/>
      <c r="I815" s="68"/>
      <c r="J815" s="68"/>
      <c r="K815" s="68"/>
      <c r="L815" s="68"/>
      <c r="M815" s="68"/>
      <c r="N815" s="68"/>
      <c r="O815" s="68"/>
      <c r="P815" s="68"/>
      <c r="Q815" s="68"/>
      <c r="R815" s="68"/>
      <c r="S815" s="68"/>
      <c r="T815" s="68"/>
      <c r="U815" s="68"/>
      <c r="V815" s="68"/>
      <c r="W815" s="68"/>
      <c r="X815" s="68"/>
      <c r="Y815" s="68"/>
      <c r="Z815" s="68"/>
    </row>
    <row r="816">
      <c r="A816" s="68"/>
      <c r="B816" s="68"/>
      <c r="C816" s="68"/>
      <c r="D816" s="68"/>
      <c r="E816" s="68"/>
      <c r="F816" s="68"/>
      <c r="G816" s="68"/>
      <c r="H816" s="68"/>
      <c r="I816" s="68"/>
      <c r="J816" s="68"/>
      <c r="K816" s="68"/>
      <c r="L816" s="68"/>
      <c r="M816" s="68"/>
      <c r="N816" s="68"/>
      <c r="O816" s="68"/>
      <c r="P816" s="68"/>
      <c r="Q816" s="68"/>
      <c r="R816" s="68"/>
      <c r="S816" s="68"/>
      <c r="T816" s="68"/>
      <c r="U816" s="68"/>
      <c r="V816" s="68"/>
      <c r="W816" s="68"/>
      <c r="X816" s="68"/>
      <c r="Y816" s="68"/>
      <c r="Z816" s="68"/>
    </row>
    <row r="817">
      <c r="A817" s="68"/>
      <c r="B817" s="68"/>
      <c r="C817" s="68"/>
      <c r="D817" s="68"/>
      <c r="E817" s="68"/>
      <c r="F817" s="68"/>
      <c r="G817" s="68"/>
      <c r="H817" s="68"/>
      <c r="I817" s="68"/>
      <c r="J817" s="68"/>
      <c r="K817" s="68"/>
      <c r="L817" s="68"/>
      <c r="M817" s="68"/>
      <c r="N817" s="68"/>
      <c r="O817" s="68"/>
      <c r="P817" s="68"/>
      <c r="Q817" s="68"/>
      <c r="R817" s="68"/>
      <c r="S817" s="68"/>
      <c r="T817" s="68"/>
      <c r="U817" s="68"/>
      <c r="V817" s="68"/>
      <c r="W817" s="68"/>
      <c r="X817" s="68"/>
      <c r="Y817" s="68"/>
      <c r="Z817" s="68"/>
    </row>
    <row r="818">
      <c r="A818" s="68"/>
      <c r="B818" s="68"/>
      <c r="C818" s="68"/>
      <c r="D818" s="68"/>
      <c r="E818" s="68"/>
      <c r="F818" s="68"/>
      <c r="G818" s="68"/>
      <c r="H818" s="68"/>
      <c r="I818" s="68"/>
      <c r="J818" s="68"/>
      <c r="K818" s="68"/>
      <c r="L818" s="68"/>
      <c r="M818" s="68"/>
      <c r="N818" s="68"/>
      <c r="O818" s="68"/>
      <c r="P818" s="68"/>
      <c r="Q818" s="68"/>
      <c r="R818" s="68"/>
      <c r="S818" s="68"/>
      <c r="T818" s="68"/>
      <c r="U818" s="68"/>
      <c r="V818" s="68"/>
      <c r="W818" s="68"/>
      <c r="X818" s="68"/>
      <c r="Y818" s="68"/>
      <c r="Z818" s="68"/>
    </row>
    <row r="819">
      <c r="A819" s="68"/>
      <c r="B819" s="68"/>
      <c r="C819" s="68"/>
      <c r="D819" s="68"/>
      <c r="E819" s="68"/>
      <c r="F819" s="68"/>
      <c r="G819" s="68"/>
      <c r="H819" s="68"/>
      <c r="I819" s="68"/>
      <c r="J819" s="68"/>
      <c r="K819" s="68"/>
      <c r="L819" s="68"/>
      <c r="M819" s="68"/>
      <c r="N819" s="68"/>
      <c r="O819" s="68"/>
      <c r="P819" s="68"/>
      <c r="Q819" s="68"/>
      <c r="R819" s="68"/>
      <c r="S819" s="68"/>
      <c r="T819" s="68"/>
      <c r="U819" s="68"/>
      <c r="V819" s="68"/>
      <c r="W819" s="68"/>
      <c r="X819" s="68"/>
      <c r="Y819" s="68"/>
      <c r="Z819" s="68"/>
    </row>
    <row r="820">
      <c r="A820" s="68"/>
      <c r="B820" s="68"/>
      <c r="C820" s="68"/>
      <c r="D820" s="68"/>
      <c r="E820" s="68"/>
      <c r="F820" s="68"/>
      <c r="G820" s="68"/>
      <c r="H820" s="68"/>
      <c r="I820" s="68"/>
      <c r="J820" s="68"/>
      <c r="K820" s="68"/>
      <c r="L820" s="68"/>
      <c r="M820" s="68"/>
      <c r="N820" s="68"/>
      <c r="O820" s="68"/>
      <c r="P820" s="68"/>
      <c r="Q820" s="68"/>
      <c r="R820" s="68"/>
      <c r="S820" s="68"/>
      <c r="T820" s="68"/>
      <c r="U820" s="68"/>
      <c r="V820" s="68"/>
      <c r="W820" s="68"/>
      <c r="X820" s="68"/>
      <c r="Y820" s="68"/>
      <c r="Z820" s="68"/>
    </row>
    <row r="821">
      <c r="A821" s="68"/>
      <c r="B821" s="68"/>
      <c r="C821" s="68"/>
      <c r="D821" s="68"/>
      <c r="E821" s="68"/>
      <c r="F821" s="68"/>
      <c r="G821" s="68"/>
      <c r="H821" s="68"/>
      <c r="I821" s="68"/>
      <c r="J821" s="68"/>
      <c r="K821" s="68"/>
      <c r="L821" s="68"/>
      <c r="M821" s="68"/>
      <c r="N821" s="68"/>
      <c r="O821" s="68"/>
      <c r="P821" s="68"/>
      <c r="Q821" s="68"/>
      <c r="R821" s="68"/>
      <c r="S821" s="68"/>
      <c r="T821" s="68"/>
      <c r="U821" s="68"/>
      <c r="V821" s="68"/>
      <c r="W821" s="68"/>
      <c r="X821" s="68"/>
      <c r="Y821" s="68"/>
      <c r="Z821" s="68"/>
    </row>
    <row r="822">
      <c r="A822" s="68"/>
      <c r="B822" s="68"/>
      <c r="C822" s="68"/>
      <c r="D822" s="68"/>
      <c r="E822" s="68"/>
      <c r="F822" s="68"/>
      <c r="G822" s="68"/>
      <c r="H822" s="68"/>
      <c r="I822" s="68"/>
      <c r="J822" s="68"/>
      <c r="K822" s="68"/>
      <c r="L822" s="68"/>
      <c r="M822" s="68"/>
      <c r="N822" s="68"/>
      <c r="O822" s="68"/>
      <c r="P822" s="68"/>
      <c r="Q822" s="68"/>
      <c r="R822" s="68"/>
      <c r="S822" s="68"/>
      <c r="T822" s="68"/>
      <c r="U822" s="68"/>
      <c r="V822" s="68"/>
      <c r="W822" s="68"/>
      <c r="X822" s="68"/>
      <c r="Y822" s="68"/>
      <c r="Z822" s="68"/>
    </row>
    <row r="823">
      <c r="A823" s="68"/>
      <c r="B823" s="68"/>
      <c r="C823" s="68"/>
      <c r="D823" s="68"/>
      <c r="E823" s="68"/>
      <c r="F823" s="68"/>
      <c r="G823" s="68"/>
      <c r="H823" s="68"/>
      <c r="I823" s="68"/>
      <c r="J823" s="68"/>
      <c r="K823" s="68"/>
      <c r="L823" s="68"/>
      <c r="M823" s="68"/>
      <c r="N823" s="68"/>
      <c r="O823" s="68"/>
      <c r="P823" s="68"/>
      <c r="Q823" s="68"/>
      <c r="R823" s="68"/>
      <c r="S823" s="68"/>
      <c r="T823" s="68"/>
      <c r="U823" s="68"/>
      <c r="V823" s="68"/>
      <c r="W823" s="68"/>
      <c r="X823" s="68"/>
      <c r="Y823" s="68"/>
      <c r="Z823" s="68"/>
    </row>
    <row r="824">
      <c r="A824" s="68"/>
      <c r="B824" s="68"/>
      <c r="C824" s="68"/>
      <c r="D824" s="68"/>
      <c r="E824" s="68"/>
      <c r="F824" s="68"/>
      <c r="G824" s="68"/>
      <c r="H824" s="68"/>
      <c r="I824" s="68"/>
      <c r="J824" s="68"/>
      <c r="K824" s="68"/>
      <c r="L824" s="68"/>
      <c r="M824" s="68"/>
      <c r="N824" s="68"/>
      <c r="O824" s="68"/>
      <c r="P824" s="68"/>
      <c r="Q824" s="68"/>
      <c r="R824" s="68"/>
      <c r="S824" s="68"/>
      <c r="T824" s="68"/>
      <c r="U824" s="68"/>
      <c r="V824" s="68"/>
      <c r="W824" s="68"/>
      <c r="X824" s="68"/>
      <c r="Y824" s="68"/>
      <c r="Z824" s="68"/>
    </row>
    <row r="825">
      <c r="A825" s="68"/>
      <c r="B825" s="68"/>
      <c r="C825" s="68"/>
      <c r="D825" s="68"/>
      <c r="E825" s="68"/>
      <c r="F825" s="68"/>
      <c r="G825" s="68"/>
      <c r="H825" s="68"/>
      <c r="I825" s="68"/>
      <c r="J825" s="68"/>
      <c r="K825" s="68"/>
      <c r="L825" s="68"/>
      <c r="M825" s="68"/>
      <c r="N825" s="68"/>
      <c r="O825" s="68"/>
      <c r="P825" s="68"/>
      <c r="Q825" s="68"/>
      <c r="R825" s="68"/>
      <c r="S825" s="68"/>
      <c r="T825" s="68"/>
      <c r="U825" s="68"/>
      <c r="V825" s="68"/>
      <c r="W825" s="68"/>
      <c r="X825" s="68"/>
      <c r="Y825" s="68"/>
      <c r="Z825" s="68"/>
    </row>
    <row r="826">
      <c r="A826" s="68"/>
      <c r="B826" s="68"/>
      <c r="C826" s="68"/>
      <c r="D826" s="68"/>
      <c r="E826" s="68"/>
      <c r="F826" s="68"/>
      <c r="G826" s="68"/>
      <c r="H826" s="68"/>
      <c r="I826" s="68"/>
      <c r="J826" s="68"/>
      <c r="K826" s="68"/>
      <c r="L826" s="68"/>
      <c r="M826" s="68"/>
      <c r="N826" s="68"/>
      <c r="O826" s="68"/>
      <c r="P826" s="68"/>
      <c r="Q826" s="68"/>
      <c r="R826" s="68"/>
      <c r="S826" s="68"/>
      <c r="T826" s="68"/>
      <c r="U826" s="68"/>
      <c r="V826" s="68"/>
      <c r="W826" s="68"/>
      <c r="X826" s="68"/>
      <c r="Y826" s="68"/>
      <c r="Z826" s="68"/>
    </row>
    <row r="827">
      <c r="A827" s="68"/>
      <c r="B827" s="68"/>
      <c r="C827" s="68"/>
      <c r="D827" s="68"/>
      <c r="E827" s="68"/>
      <c r="F827" s="68"/>
      <c r="G827" s="68"/>
      <c r="H827" s="68"/>
      <c r="I827" s="68"/>
      <c r="J827" s="68"/>
      <c r="K827" s="68"/>
      <c r="L827" s="68"/>
      <c r="M827" s="68"/>
      <c r="N827" s="68"/>
      <c r="O827" s="68"/>
      <c r="P827" s="68"/>
      <c r="Q827" s="68"/>
      <c r="R827" s="68"/>
      <c r="S827" s="68"/>
      <c r="T827" s="68"/>
      <c r="U827" s="68"/>
      <c r="V827" s="68"/>
      <c r="W827" s="68"/>
      <c r="X827" s="68"/>
      <c r="Y827" s="68"/>
      <c r="Z827" s="68"/>
    </row>
    <row r="828">
      <c r="A828" s="68"/>
      <c r="B828" s="68"/>
      <c r="C828" s="68"/>
      <c r="D828" s="68"/>
      <c r="E828" s="68"/>
      <c r="F828" s="68"/>
      <c r="G828" s="68"/>
      <c r="H828" s="68"/>
      <c r="I828" s="68"/>
      <c r="J828" s="68"/>
      <c r="K828" s="68"/>
      <c r="L828" s="68"/>
      <c r="M828" s="68"/>
      <c r="N828" s="68"/>
      <c r="O828" s="68"/>
      <c r="P828" s="68"/>
      <c r="Q828" s="68"/>
      <c r="R828" s="68"/>
      <c r="S828" s="68"/>
      <c r="T828" s="68"/>
      <c r="U828" s="68"/>
      <c r="V828" s="68"/>
      <c r="W828" s="68"/>
      <c r="X828" s="68"/>
      <c r="Y828" s="68"/>
      <c r="Z828" s="68"/>
    </row>
    <row r="829">
      <c r="A829" s="68"/>
      <c r="B829" s="68"/>
      <c r="C829" s="68"/>
      <c r="D829" s="68"/>
      <c r="E829" s="68"/>
      <c r="F829" s="68"/>
      <c r="G829" s="68"/>
      <c r="H829" s="68"/>
      <c r="I829" s="68"/>
      <c r="J829" s="68"/>
      <c r="K829" s="68"/>
      <c r="L829" s="68"/>
      <c r="M829" s="68"/>
      <c r="N829" s="68"/>
      <c r="O829" s="68"/>
      <c r="P829" s="68"/>
      <c r="Q829" s="68"/>
      <c r="R829" s="68"/>
      <c r="S829" s="68"/>
      <c r="T829" s="68"/>
      <c r="U829" s="68"/>
      <c r="V829" s="68"/>
      <c r="W829" s="68"/>
      <c r="X829" s="68"/>
      <c r="Y829" s="68"/>
      <c r="Z829" s="68"/>
    </row>
    <row r="830">
      <c r="A830" s="68"/>
      <c r="B830" s="68"/>
      <c r="C830" s="68"/>
      <c r="D830" s="68"/>
      <c r="E830" s="68"/>
      <c r="F830" s="68"/>
      <c r="G830" s="68"/>
      <c r="H830" s="68"/>
      <c r="I830" s="68"/>
      <c r="J830" s="68"/>
      <c r="K830" s="68"/>
      <c r="L830" s="68"/>
      <c r="M830" s="68"/>
      <c r="N830" s="68"/>
      <c r="O830" s="68"/>
      <c r="P830" s="68"/>
      <c r="Q830" s="68"/>
      <c r="R830" s="68"/>
      <c r="S830" s="68"/>
      <c r="T830" s="68"/>
      <c r="U830" s="68"/>
      <c r="V830" s="68"/>
      <c r="W830" s="68"/>
      <c r="X830" s="68"/>
      <c r="Y830" s="68"/>
      <c r="Z830" s="68"/>
    </row>
    <row r="831">
      <c r="A831" s="68"/>
      <c r="B831" s="68"/>
      <c r="C831" s="68"/>
      <c r="D831" s="68"/>
      <c r="E831" s="68"/>
      <c r="F831" s="68"/>
      <c r="G831" s="68"/>
      <c r="H831" s="68"/>
      <c r="I831" s="68"/>
      <c r="J831" s="68"/>
      <c r="K831" s="68"/>
      <c r="L831" s="68"/>
      <c r="M831" s="68"/>
      <c r="N831" s="68"/>
      <c r="O831" s="68"/>
      <c r="P831" s="68"/>
      <c r="Q831" s="68"/>
      <c r="R831" s="68"/>
      <c r="S831" s="68"/>
      <c r="T831" s="68"/>
      <c r="U831" s="68"/>
      <c r="V831" s="68"/>
      <c r="W831" s="68"/>
      <c r="X831" s="68"/>
      <c r="Y831" s="68"/>
      <c r="Z831" s="68"/>
    </row>
    <row r="832">
      <c r="A832" s="68"/>
      <c r="B832" s="68"/>
      <c r="C832" s="68"/>
      <c r="D832" s="68"/>
      <c r="E832" s="68"/>
      <c r="F832" s="68"/>
      <c r="G832" s="68"/>
      <c r="H832" s="68"/>
      <c r="I832" s="68"/>
      <c r="J832" s="68"/>
      <c r="K832" s="68"/>
      <c r="L832" s="68"/>
      <c r="M832" s="68"/>
      <c r="N832" s="68"/>
      <c r="O832" s="68"/>
      <c r="P832" s="68"/>
      <c r="Q832" s="68"/>
      <c r="R832" s="68"/>
      <c r="S832" s="68"/>
      <c r="T832" s="68"/>
      <c r="U832" s="68"/>
      <c r="V832" s="68"/>
      <c r="W832" s="68"/>
      <c r="X832" s="68"/>
      <c r="Y832" s="68"/>
      <c r="Z832" s="68"/>
    </row>
    <row r="833">
      <c r="A833" s="68"/>
      <c r="B833" s="68"/>
      <c r="C833" s="68"/>
      <c r="D833" s="68"/>
      <c r="E833" s="68"/>
      <c r="F833" s="68"/>
      <c r="G833" s="68"/>
      <c r="H833" s="68"/>
      <c r="I833" s="68"/>
      <c r="J833" s="68"/>
      <c r="K833" s="68"/>
      <c r="L833" s="68"/>
      <c r="M833" s="68"/>
      <c r="N833" s="68"/>
      <c r="O833" s="68"/>
      <c r="P833" s="68"/>
      <c r="Q833" s="68"/>
      <c r="R833" s="68"/>
      <c r="S833" s="68"/>
      <c r="T833" s="68"/>
      <c r="U833" s="68"/>
      <c r="V833" s="68"/>
      <c r="W833" s="68"/>
      <c r="X833" s="68"/>
      <c r="Y833" s="68"/>
      <c r="Z833" s="68"/>
    </row>
    <row r="834">
      <c r="A834" s="68"/>
      <c r="B834" s="68"/>
      <c r="C834" s="68"/>
      <c r="D834" s="68"/>
      <c r="E834" s="68"/>
      <c r="F834" s="68"/>
      <c r="G834" s="68"/>
      <c r="H834" s="68"/>
      <c r="I834" s="68"/>
      <c r="J834" s="68"/>
      <c r="K834" s="68"/>
      <c r="L834" s="68"/>
      <c r="M834" s="68"/>
      <c r="N834" s="68"/>
      <c r="O834" s="68"/>
      <c r="P834" s="68"/>
      <c r="Q834" s="68"/>
      <c r="R834" s="68"/>
      <c r="S834" s="68"/>
      <c r="T834" s="68"/>
      <c r="U834" s="68"/>
      <c r="V834" s="68"/>
      <c r="W834" s="68"/>
      <c r="X834" s="68"/>
      <c r="Y834" s="68"/>
      <c r="Z834" s="68"/>
    </row>
    <row r="835">
      <c r="A835" s="68"/>
      <c r="B835" s="68"/>
      <c r="C835" s="68"/>
      <c r="D835" s="68"/>
      <c r="E835" s="68"/>
      <c r="F835" s="68"/>
      <c r="G835" s="68"/>
      <c r="H835" s="68"/>
      <c r="I835" s="68"/>
      <c r="J835" s="68"/>
      <c r="K835" s="68"/>
      <c r="L835" s="68"/>
      <c r="M835" s="68"/>
      <c r="N835" s="68"/>
      <c r="O835" s="68"/>
      <c r="P835" s="68"/>
      <c r="Q835" s="68"/>
      <c r="R835" s="68"/>
      <c r="S835" s="68"/>
      <c r="T835" s="68"/>
      <c r="U835" s="68"/>
      <c r="V835" s="68"/>
      <c r="W835" s="68"/>
      <c r="X835" s="68"/>
      <c r="Y835" s="68"/>
      <c r="Z835" s="68"/>
    </row>
    <row r="836">
      <c r="A836" s="68"/>
      <c r="B836" s="68"/>
      <c r="C836" s="68"/>
      <c r="D836" s="68"/>
      <c r="E836" s="68"/>
      <c r="F836" s="68"/>
      <c r="G836" s="68"/>
      <c r="H836" s="68"/>
      <c r="I836" s="68"/>
      <c r="J836" s="68"/>
      <c r="K836" s="68"/>
      <c r="L836" s="68"/>
      <c r="M836" s="68"/>
      <c r="N836" s="68"/>
      <c r="O836" s="68"/>
      <c r="P836" s="68"/>
      <c r="Q836" s="68"/>
      <c r="R836" s="68"/>
      <c r="S836" s="68"/>
      <c r="T836" s="68"/>
      <c r="U836" s="68"/>
      <c r="V836" s="68"/>
      <c r="W836" s="68"/>
      <c r="X836" s="68"/>
      <c r="Y836" s="68"/>
      <c r="Z836" s="68"/>
    </row>
    <row r="837">
      <c r="A837" s="68"/>
      <c r="B837" s="68"/>
      <c r="C837" s="68"/>
      <c r="D837" s="68"/>
      <c r="E837" s="68"/>
      <c r="F837" s="68"/>
      <c r="G837" s="68"/>
      <c r="H837" s="68"/>
      <c r="I837" s="68"/>
      <c r="J837" s="68"/>
      <c r="K837" s="68"/>
      <c r="L837" s="68"/>
      <c r="M837" s="68"/>
      <c r="N837" s="68"/>
      <c r="O837" s="68"/>
      <c r="P837" s="68"/>
      <c r="Q837" s="68"/>
      <c r="R837" s="68"/>
      <c r="S837" s="68"/>
      <c r="T837" s="68"/>
      <c r="U837" s="68"/>
      <c r="V837" s="68"/>
      <c r="W837" s="68"/>
      <c r="X837" s="68"/>
      <c r="Y837" s="68"/>
      <c r="Z837" s="68"/>
    </row>
    <row r="838">
      <c r="A838" s="68"/>
      <c r="B838" s="68"/>
      <c r="C838" s="68"/>
      <c r="D838" s="68"/>
      <c r="E838" s="68"/>
      <c r="F838" s="68"/>
      <c r="G838" s="68"/>
      <c r="H838" s="68"/>
      <c r="I838" s="68"/>
      <c r="J838" s="68"/>
      <c r="K838" s="68"/>
      <c r="L838" s="68"/>
      <c r="M838" s="68"/>
      <c r="N838" s="68"/>
      <c r="O838" s="68"/>
      <c r="P838" s="68"/>
      <c r="Q838" s="68"/>
      <c r="R838" s="68"/>
      <c r="S838" s="68"/>
      <c r="T838" s="68"/>
      <c r="U838" s="68"/>
      <c r="V838" s="68"/>
      <c r="W838" s="68"/>
      <c r="X838" s="68"/>
      <c r="Y838" s="68"/>
      <c r="Z838" s="68"/>
    </row>
    <row r="839">
      <c r="A839" s="68"/>
      <c r="B839" s="68"/>
      <c r="C839" s="68"/>
      <c r="D839" s="68"/>
      <c r="E839" s="68"/>
      <c r="F839" s="68"/>
      <c r="G839" s="68"/>
      <c r="H839" s="68"/>
      <c r="I839" s="68"/>
      <c r="J839" s="68"/>
      <c r="K839" s="68"/>
      <c r="L839" s="68"/>
      <c r="M839" s="68"/>
      <c r="N839" s="68"/>
      <c r="O839" s="68"/>
      <c r="P839" s="68"/>
      <c r="Q839" s="68"/>
      <c r="R839" s="68"/>
      <c r="S839" s="68"/>
      <c r="T839" s="68"/>
      <c r="U839" s="68"/>
      <c r="V839" s="68"/>
      <c r="W839" s="68"/>
      <c r="X839" s="68"/>
      <c r="Y839" s="68"/>
      <c r="Z839" s="68"/>
    </row>
    <row r="840">
      <c r="A840" s="68"/>
      <c r="B840" s="68"/>
      <c r="C840" s="68"/>
      <c r="D840" s="68"/>
      <c r="E840" s="68"/>
      <c r="F840" s="68"/>
      <c r="G840" s="68"/>
      <c r="H840" s="68"/>
      <c r="I840" s="68"/>
      <c r="J840" s="68"/>
      <c r="K840" s="68"/>
      <c r="L840" s="68"/>
      <c r="M840" s="68"/>
      <c r="N840" s="68"/>
      <c r="O840" s="68"/>
      <c r="P840" s="68"/>
      <c r="Q840" s="68"/>
      <c r="R840" s="68"/>
      <c r="S840" s="68"/>
      <c r="T840" s="68"/>
      <c r="U840" s="68"/>
      <c r="V840" s="68"/>
      <c r="W840" s="68"/>
      <c r="X840" s="68"/>
      <c r="Y840" s="68"/>
      <c r="Z840" s="68"/>
    </row>
    <row r="841">
      <c r="A841" s="68"/>
      <c r="B841" s="68"/>
      <c r="C841" s="68"/>
      <c r="D841" s="68"/>
      <c r="E841" s="68"/>
      <c r="F841" s="68"/>
      <c r="G841" s="68"/>
      <c r="H841" s="68"/>
      <c r="I841" s="68"/>
      <c r="J841" s="68"/>
      <c r="K841" s="68"/>
      <c r="L841" s="68"/>
      <c r="M841" s="68"/>
      <c r="N841" s="68"/>
      <c r="O841" s="68"/>
      <c r="P841" s="68"/>
      <c r="Q841" s="68"/>
      <c r="R841" s="68"/>
      <c r="S841" s="68"/>
      <c r="T841" s="68"/>
      <c r="U841" s="68"/>
      <c r="V841" s="68"/>
      <c r="W841" s="68"/>
      <c r="X841" s="68"/>
      <c r="Y841" s="68"/>
      <c r="Z841" s="68"/>
    </row>
    <row r="842">
      <c r="A842" s="68"/>
      <c r="B842" s="68"/>
      <c r="C842" s="68"/>
      <c r="D842" s="68"/>
      <c r="E842" s="68"/>
      <c r="F842" s="68"/>
      <c r="G842" s="68"/>
      <c r="H842" s="68"/>
      <c r="I842" s="68"/>
      <c r="J842" s="68"/>
      <c r="K842" s="68"/>
      <c r="L842" s="68"/>
      <c r="M842" s="68"/>
      <c r="N842" s="68"/>
      <c r="O842" s="68"/>
      <c r="P842" s="68"/>
      <c r="Q842" s="68"/>
      <c r="R842" s="68"/>
      <c r="S842" s="68"/>
      <c r="T842" s="68"/>
      <c r="U842" s="68"/>
      <c r="V842" s="68"/>
      <c r="W842" s="68"/>
      <c r="X842" s="68"/>
      <c r="Y842" s="68"/>
      <c r="Z842" s="68"/>
    </row>
    <row r="843">
      <c r="A843" s="68"/>
      <c r="B843" s="68"/>
      <c r="C843" s="68"/>
      <c r="D843" s="68"/>
      <c r="E843" s="68"/>
      <c r="F843" s="68"/>
      <c r="G843" s="68"/>
      <c r="H843" s="68"/>
      <c r="I843" s="68"/>
      <c r="J843" s="68"/>
      <c r="K843" s="68"/>
      <c r="L843" s="68"/>
      <c r="M843" s="68"/>
      <c r="N843" s="68"/>
      <c r="O843" s="68"/>
      <c r="P843" s="68"/>
      <c r="Q843" s="68"/>
      <c r="R843" s="68"/>
      <c r="S843" s="68"/>
      <c r="T843" s="68"/>
      <c r="U843" s="68"/>
      <c r="V843" s="68"/>
      <c r="W843" s="68"/>
      <c r="X843" s="68"/>
      <c r="Y843" s="68"/>
      <c r="Z843" s="68"/>
    </row>
    <row r="844">
      <c r="A844" s="68"/>
      <c r="B844" s="68"/>
      <c r="C844" s="68"/>
      <c r="D844" s="68"/>
      <c r="E844" s="68"/>
      <c r="F844" s="68"/>
      <c r="G844" s="68"/>
      <c r="H844" s="68"/>
      <c r="I844" s="68"/>
      <c r="J844" s="68"/>
      <c r="K844" s="68"/>
      <c r="L844" s="68"/>
      <c r="M844" s="68"/>
      <c r="N844" s="68"/>
      <c r="O844" s="68"/>
      <c r="P844" s="68"/>
      <c r="Q844" s="68"/>
      <c r="R844" s="68"/>
      <c r="S844" s="68"/>
      <c r="T844" s="68"/>
      <c r="U844" s="68"/>
      <c r="V844" s="68"/>
      <c r="W844" s="68"/>
      <c r="X844" s="68"/>
      <c r="Y844" s="68"/>
      <c r="Z844" s="68"/>
    </row>
    <row r="845">
      <c r="A845" s="68"/>
      <c r="B845" s="68"/>
      <c r="C845" s="68"/>
      <c r="D845" s="68"/>
      <c r="E845" s="68"/>
      <c r="F845" s="68"/>
      <c r="G845" s="68"/>
      <c r="H845" s="68"/>
      <c r="I845" s="68"/>
      <c r="J845" s="68"/>
      <c r="K845" s="68"/>
      <c r="L845" s="68"/>
      <c r="M845" s="68"/>
      <c r="N845" s="68"/>
      <c r="O845" s="68"/>
      <c r="P845" s="68"/>
      <c r="Q845" s="68"/>
      <c r="R845" s="68"/>
      <c r="S845" s="68"/>
      <c r="T845" s="68"/>
      <c r="U845" s="68"/>
      <c r="V845" s="68"/>
      <c r="W845" s="68"/>
      <c r="X845" s="68"/>
      <c r="Y845" s="68"/>
      <c r="Z845" s="68"/>
    </row>
    <row r="846">
      <c r="A846" s="68"/>
      <c r="B846" s="68"/>
      <c r="C846" s="68"/>
      <c r="D846" s="68"/>
      <c r="E846" s="68"/>
      <c r="F846" s="68"/>
      <c r="G846" s="68"/>
      <c r="H846" s="68"/>
      <c r="I846" s="68"/>
      <c r="J846" s="68"/>
      <c r="K846" s="68"/>
      <c r="L846" s="68"/>
      <c r="M846" s="68"/>
      <c r="N846" s="68"/>
      <c r="O846" s="68"/>
      <c r="P846" s="68"/>
      <c r="Q846" s="68"/>
      <c r="R846" s="68"/>
      <c r="S846" s="68"/>
      <c r="T846" s="68"/>
      <c r="U846" s="68"/>
      <c r="V846" s="68"/>
      <c r="W846" s="68"/>
      <c r="X846" s="68"/>
      <c r="Y846" s="68"/>
      <c r="Z846" s="68"/>
    </row>
    <row r="847">
      <c r="A847" s="68"/>
      <c r="B847" s="68"/>
      <c r="C847" s="68"/>
      <c r="D847" s="68"/>
      <c r="E847" s="68"/>
      <c r="F847" s="68"/>
      <c r="G847" s="68"/>
      <c r="H847" s="68"/>
      <c r="I847" s="68"/>
      <c r="J847" s="68"/>
      <c r="K847" s="68"/>
      <c r="L847" s="68"/>
      <c r="M847" s="68"/>
      <c r="N847" s="68"/>
      <c r="O847" s="68"/>
      <c r="P847" s="68"/>
      <c r="Q847" s="68"/>
      <c r="R847" s="68"/>
      <c r="S847" s="68"/>
      <c r="T847" s="68"/>
      <c r="U847" s="68"/>
      <c r="V847" s="68"/>
      <c r="W847" s="68"/>
      <c r="X847" s="68"/>
      <c r="Y847" s="68"/>
      <c r="Z847" s="68"/>
    </row>
    <row r="848">
      <c r="A848" s="68"/>
      <c r="B848" s="68"/>
      <c r="C848" s="68"/>
      <c r="D848" s="68"/>
      <c r="E848" s="68"/>
      <c r="F848" s="68"/>
      <c r="G848" s="68"/>
      <c r="H848" s="68"/>
      <c r="I848" s="68"/>
      <c r="J848" s="68"/>
      <c r="K848" s="68"/>
      <c r="L848" s="68"/>
      <c r="M848" s="68"/>
      <c r="N848" s="68"/>
      <c r="O848" s="68"/>
      <c r="P848" s="68"/>
      <c r="Q848" s="68"/>
      <c r="R848" s="68"/>
      <c r="S848" s="68"/>
      <c r="T848" s="68"/>
      <c r="U848" s="68"/>
      <c r="V848" s="68"/>
      <c r="W848" s="68"/>
      <c r="X848" s="68"/>
      <c r="Y848" s="68"/>
      <c r="Z848" s="68"/>
    </row>
    <row r="849">
      <c r="A849" s="68"/>
      <c r="B849" s="68"/>
      <c r="C849" s="68"/>
      <c r="D849" s="68"/>
      <c r="E849" s="68"/>
      <c r="F849" s="68"/>
      <c r="G849" s="68"/>
      <c r="H849" s="68"/>
      <c r="I849" s="68"/>
      <c r="J849" s="68"/>
      <c r="K849" s="68"/>
      <c r="L849" s="68"/>
      <c r="M849" s="68"/>
      <c r="N849" s="68"/>
      <c r="O849" s="68"/>
      <c r="P849" s="68"/>
      <c r="Q849" s="68"/>
      <c r="R849" s="68"/>
      <c r="S849" s="68"/>
      <c r="T849" s="68"/>
      <c r="U849" s="68"/>
      <c r="V849" s="68"/>
      <c r="W849" s="68"/>
      <c r="X849" s="68"/>
      <c r="Y849" s="68"/>
      <c r="Z849" s="68"/>
    </row>
    <row r="850">
      <c r="A850" s="68"/>
      <c r="B850" s="68"/>
      <c r="C850" s="68"/>
      <c r="D850" s="68"/>
      <c r="E850" s="68"/>
      <c r="F850" s="68"/>
      <c r="G850" s="68"/>
      <c r="H850" s="68"/>
      <c r="I850" s="68"/>
      <c r="J850" s="68"/>
      <c r="K850" s="68"/>
      <c r="L850" s="68"/>
      <c r="M850" s="68"/>
      <c r="N850" s="68"/>
      <c r="O850" s="68"/>
      <c r="P850" s="68"/>
      <c r="Q850" s="68"/>
      <c r="R850" s="68"/>
      <c r="S850" s="68"/>
      <c r="T850" s="68"/>
      <c r="U850" s="68"/>
      <c r="V850" s="68"/>
      <c r="W850" s="68"/>
      <c r="X850" s="68"/>
      <c r="Y850" s="68"/>
      <c r="Z850" s="68"/>
    </row>
    <row r="851">
      <c r="A851" s="68"/>
      <c r="B851" s="68"/>
      <c r="C851" s="68"/>
      <c r="D851" s="68"/>
      <c r="E851" s="68"/>
      <c r="F851" s="68"/>
      <c r="G851" s="68"/>
      <c r="H851" s="68"/>
      <c r="I851" s="68"/>
      <c r="J851" s="68"/>
      <c r="K851" s="68"/>
      <c r="L851" s="68"/>
      <c r="M851" s="68"/>
      <c r="N851" s="68"/>
      <c r="O851" s="68"/>
      <c r="P851" s="68"/>
      <c r="Q851" s="68"/>
      <c r="R851" s="68"/>
      <c r="S851" s="68"/>
      <c r="T851" s="68"/>
      <c r="U851" s="68"/>
      <c r="V851" s="68"/>
      <c r="W851" s="68"/>
      <c r="X851" s="68"/>
      <c r="Y851" s="68"/>
      <c r="Z851" s="68"/>
    </row>
    <row r="852">
      <c r="A852" s="68"/>
      <c r="B852" s="68"/>
      <c r="C852" s="68"/>
      <c r="D852" s="68"/>
      <c r="E852" s="68"/>
      <c r="F852" s="68"/>
      <c r="G852" s="68"/>
      <c r="H852" s="68"/>
      <c r="I852" s="68"/>
      <c r="J852" s="68"/>
      <c r="K852" s="68"/>
      <c r="L852" s="68"/>
      <c r="M852" s="68"/>
      <c r="N852" s="68"/>
      <c r="O852" s="68"/>
      <c r="P852" s="68"/>
      <c r="Q852" s="68"/>
      <c r="R852" s="68"/>
      <c r="S852" s="68"/>
      <c r="T852" s="68"/>
      <c r="U852" s="68"/>
      <c r="V852" s="68"/>
      <c r="W852" s="68"/>
      <c r="X852" s="68"/>
      <c r="Y852" s="68"/>
      <c r="Z852" s="68"/>
    </row>
    <row r="853">
      <c r="A853" s="68"/>
      <c r="B853" s="68"/>
      <c r="C853" s="68"/>
      <c r="D853" s="68"/>
      <c r="E853" s="68"/>
      <c r="F853" s="68"/>
      <c r="G853" s="68"/>
      <c r="H853" s="68"/>
      <c r="I853" s="68"/>
      <c r="J853" s="68"/>
      <c r="K853" s="68"/>
      <c r="L853" s="68"/>
      <c r="M853" s="68"/>
      <c r="N853" s="68"/>
      <c r="O853" s="68"/>
      <c r="P853" s="68"/>
      <c r="Q853" s="68"/>
      <c r="R853" s="68"/>
      <c r="S853" s="68"/>
      <c r="T853" s="68"/>
      <c r="U853" s="68"/>
      <c r="V853" s="68"/>
      <c r="W853" s="68"/>
      <c r="X853" s="68"/>
      <c r="Y853" s="68"/>
      <c r="Z853" s="68"/>
    </row>
    <row r="854">
      <c r="A854" s="68"/>
      <c r="B854" s="68"/>
      <c r="C854" s="68"/>
      <c r="D854" s="68"/>
      <c r="E854" s="68"/>
      <c r="F854" s="68"/>
      <c r="G854" s="68"/>
      <c r="H854" s="68"/>
      <c r="I854" s="68"/>
      <c r="J854" s="68"/>
      <c r="K854" s="68"/>
      <c r="L854" s="68"/>
      <c r="M854" s="68"/>
      <c r="N854" s="68"/>
      <c r="O854" s="68"/>
      <c r="P854" s="68"/>
      <c r="Q854" s="68"/>
      <c r="R854" s="68"/>
      <c r="S854" s="68"/>
      <c r="T854" s="68"/>
      <c r="U854" s="68"/>
      <c r="V854" s="68"/>
      <c r="W854" s="68"/>
      <c r="X854" s="68"/>
      <c r="Y854" s="68"/>
      <c r="Z854" s="68"/>
    </row>
    <row r="855">
      <c r="A855" s="68"/>
      <c r="B855" s="68"/>
      <c r="C855" s="68"/>
      <c r="D855" s="68"/>
      <c r="E855" s="68"/>
      <c r="F855" s="68"/>
      <c r="G855" s="68"/>
      <c r="H855" s="68"/>
      <c r="I855" s="68"/>
      <c r="J855" s="68"/>
      <c r="K855" s="68"/>
      <c r="L855" s="68"/>
      <c r="M855" s="68"/>
      <c r="N855" s="68"/>
      <c r="O855" s="68"/>
      <c r="P855" s="68"/>
      <c r="Q855" s="68"/>
      <c r="R855" s="68"/>
      <c r="S855" s="68"/>
      <c r="T855" s="68"/>
      <c r="U855" s="68"/>
      <c r="V855" s="68"/>
      <c r="W855" s="68"/>
      <c r="X855" s="68"/>
      <c r="Y855" s="68"/>
      <c r="Z855" s="68"/>
    </row>
    <row r="856">
      <c r="A856" s="68"/>
      <c r="B856" s="68"/>
      <c r="C856" s="68"/>
      <c r="D856" s="68"/>
      <c r="E856" s="68"/>
      <c r="F856" s="68"/>
      <c r="G856" s="68"/>
      <c r="H856" s="68"/>
      <c r="I856" s="68"/>
      <c r="J856" s="68"/>
      <c r="K856" s="68"/>
      <c r="L856" s="68"/>
      <c r="M856" s="68"/>
      <c r="N856" s="68"/>
      <c r="O856" s="68"/>
      <c r="P856" s="68"/>
      <c r="Q856" s="68"/>
      <c r="R856" s="68"/>
      <c r="S856" s="68"/>
      <c r="T856" s="68"/>
      <c r="U856" s="68"/>
      <c r="V856" s="68"/>
      <c r="W856" s="68"/>
      <c r="X856" s="68"/>
      <c r="Y856" s="68"/>
      <c r="Z856" s="68"/>
    </row>
    <row r="857">
      <c r="A857" s="68"/>
      <c r="B857" s="68"/>
      <c r="C857" s="68"/>
      <c r="D857" s="68"/>
      <c r="E857" s="68"/>
      <c r="F857" s="68"/>
      <c r="G857" s="68"/>
      <c r="H857" s="68"/>
      <c r="I857" s="68"/>
      <c r="J857" s="68"/>
      <c r="K857" s="68"/>
      <c r="L857" s="68"/>
      <c r="M857" s="68"/>
      <c r="N857" s="68"/>
      <c r="O857" s="68"/>
      <c r="P857" s="68"/>
      <c r="Q857" s="68"/>
      <c r="R857" s="68"/>
      <c r="S857" s="68"/>
      <c r="T857" s="68"/>
      <c r="U857" s="68"/>
      <c r="V857" s="68"/>
      <c r="W857" s="68"/>
      <c r="X857" s="68"/>
      <c r="Y857" s="68"/>
      <c r="Z857" s="68"/>
    </row>
    <row r="858">
      <c r="A858" s="68"/>
      <c r="B858" s="68"/>
      <c r="C858" s="68"/>
      <c r="D858" s="68"/>
      <c r="E858" s="68"/>
      <c r="F858" s="68"/>
      <c r="G858" s="68"/>
      <c r="H858" s="68"/>
      <c r="I858" s="68"/>
      <c r="J858" s="68"/>
      <c r="K858" s="68"/>
      <c r="L858" s="68"/>
      <c r="M858" s="68"/>
      <c r="N858" s="68"/>
      <c r="O858" s="68"/>
      <c r="P858" s="68"/>
      <c r="Q858" s="68"/>
      <c r="R858" s="68"/>
      <c r="S858" s="68"/>
      <c r="T858" s="68"/>
      <c r="U858" s="68"/>
      <c r="V858" s="68"/>
      <c r="W858" s="68"/>
      <c r="X858" s="68"/>
      <c r="Y858" s="68"/>
      <c r="Z858" s="68"/>
    </row>
    <row r="859">
      <c r="A859" s="68"/>
      <c r="B859" s="68"/>
      <c r="C859" s="68"/>
      <c r="D859" s="68"/>
      <c r="E859" s="68"/>
      <c r="F859" s="68"/>
      <c r="G859" s="68"/>
      <c r="H859" s="68"/>
      <c r="I859" s="68"/>
      <c r="J859" s="68"/>
      <c r="K859" s="68"/>
      <c r="L859" s="68"/>
      <c r="M859" s="68"/>
      <c r="N859" s="68"/>
      <c r="O859" s="68"/>
      <c r="P859" s="68"/>
      <c r="Q859" s="68"/>
      <c r="R859" s="68"/>
      <c r="S859" s="68"/>
      <c r="T859" s="68"/>
      <c r="U859" s="68"/>
      <c r="V859" s="68"/>
      <c r="W859" s="68"/>
      <c r="X859" s="68"/>
      <c r="Y859" s="68"/>
      <c r="Z859" s="68"/>
    </row>
    <row r="860">
      <c r="A860" s="68"/>
      <c r="B860" s="68"/>
      <c r="C860" s="68"/>
      <c r="D860" s="68"/>
      <c r="E860" s="68"/>
      <c r="F860" s="68"/>
      <c r="G860" s="68"/>
      <c r="H860" s="68"/>
      <c r="I860" s="68"/>
      <c r="J860" s="68"/>
      <c r="K860" s="68"/>
      <c r="L860" s="68"/>
      <c r="M860" s="68"/>
      <c r="N860" s="68"/>
      <c r="O860" s="68"/>
      <c r="P860" s="68"/>
      <c r="Q860" s="68"/>
      <c r="R860" s="68"/>
      <c r="S860" s="68"/>
      <c r="T860" s="68"/>
      <c r="U860" s="68"/>
      <c r="V860" s="68"/>
      <c r="W860" s="68"/>
      <c r="X860" s="68"/>
      <c r="Y860" s="68"/>
      <c r="Z860" s="68"/>
    </row>
    <row r="861">
      <c r="A861" s="68"/>
      <c r="B861" s="68"/>
      <c r="C861" s="68"/>
      <c r="D861" s="68"/>
      <c r="E861" s="68"/>
      <c r="F861" s="68"/>
      <c r="G861" s="68"/>
      <c r="H861" s="68"/>
      <c r="I861" s="68"/>
      <c r="J861" s="68"/>
      <c r="K861" s="68"/>
      <c r="L861" s="68"/>
      <c r="M861" s="68"/>
      <c r="N861" s="68"/>
      <c r="O861" s="68"/>
      <c r="P861" s="68"/>
      <c r="Q861" s="68"/>
      <c r="R861" s="68"/>
      <c r="S861" s="68"/>
      <c r="T861" s="68"/>
      <c r="U861" s="68"/>
      <c r="V861" s="68"/>
      <c r="W861" s="68"/>
      <c r="X861" s="68"/>
      <c r="Y861" s="68"/>
      <c r="Z861" s="68"/>
    </row>
    <row r="862">
      <c r="A862" s="68"/>
      <c r="B862" s="68"/>
      <c r="C862" s="68"/>
      <c r="D862" s="68"/>
      <c r="E862" s="68"/>
      <c r="F862" s="68"/>
      <c r="G862" s="68"/>
      <c r="H862" s="68"/>
      <c r="I862" s="68"/>
      <c r="J862" s="68"/>
      <c r="K862" s="68"/>
      <c r="L862" s="68"/>
      <c r="M862" s="68"/>
      <c r="N862" s="68"/>
      <c r="O862" s="68"/>
      <c r="P862" s="68"/>
      <c r="Q862" s="68"/>
      <c r="R862" s="68"/>
      <c r="S862" s="68"/>
      <c r="T862" s="68"/>
      <c r="U862" s="68"/>
      <c r="V862" s="68"/>
      <c r="W862" s="68"/>
      <c r="X862" s="68"/>
      <c r="Y862" s="68"/>
      <c r="Z862" s="68"/>
    </row>
    <row r="863">
      <c r="A863" s="68"/>
      <c r="B863" s="68"/>
      <c r="C863" s="68"/>
      <c r="D863" s="68"/>
      <c r="E863" s="68"/>
      <c r="F863" s="68"/>
      <c r="G863" s="68"/>
      <c r="H863" s="68"/>
      <c r="I863" s="68"/>
      <c r="J863" s="68"/>
      <c r="K863" s="68"/>
      <c r="L863" s="68"/>
      <c r="M863" s="68"/>
      <c r="N863" s="68"/>
      <c r="O863" s="68"/>
      <c r="P863" s="68"/>
      <c r="Q863" s="68"/>
      <c r="R863" s="68"/>
      <c r="S863" s="68"/>
      <c r="T863" s="68"/>
      <c r="U863" s="68"/>
      <c r="V863" s="68"/>
      <c r="W863" s="68"/>
      <c r="X863" s="68"/>
      <c r="Y863" s="68"/>
      <c r="Z863" s="68"/>
    </row>
    <row r="864">
      <c r="A864" s="68"/>
      <c r="B864" s="68"/>
      <c r="C864" s="68"/>
      <c r="D864" s="68"/>
      <c r="E864" s="68"/>
      <c r="F864" s="68"/>
      <c r="G864" s="68"/>
      <c r="H864" s="68"/>
      <c r="I864" s="68"/>
      <c r="J864" s="68"/>
      <c r="K864" s="68"/>
      <c r="L864" s="68"/>
      <c r="M864" s="68"/>
      <c r="N864" s="68"/>
      <c r="O864" s="68"/>
      <c r="P864" s="68"/>
      <c r="Q864" s="68"/>
      <c r="R864" s="68"/>
      <c r="S864" s="68"/>
      <c r="T864" s="68"/>
      <c r="U864" s="68"/>
      <c r="V864" s="68"/>
      <c r="W864" s="68"/>
      <c r="X864" s="68"/>
      <c r="Y864" s="68"/>
      <c r="Z864" s="68"/>
    </row>
    <row r="865">
      <c r="A865" s="68"/>
      <c r="B865" s="68"/>
      <c r="C865" s="68"/>
      <c r="D865" s="68"/>
      <c r="E865" s="68"/>
      <c r="F865" s="68"/>
      <c r="G865" s="68"/>
      <c r="H865" s="68"/>
      <c r="I865" s="68"/>
      <c r="J865" s="68"/>
      <c r="K865" s="68"/>
      <c r="L865" s="68"/>
      <c r="M865" s="68"/>
      <c r="N865" s="68"/>
      <c r="O865" s="68"/>
      <c r="P865" s="68"/>
      <c r="Q865" s="68"/>
      <c r="R865" s="68"/>
      <c r="S865" s="68"/>
      <c r="T865" s="68"/>
      <c r="U865" s="68"/>
      <c r="V865" s="68"/>
      <c r="W865" s="68"/>
      <c r="X865" s="68"/>
      <c r="Y865" s="68"/>
      <c r="Z865" s="68"/>
    </row>
    <row r="866">
      <c r="A866" s="68"/>
      <c r="B866" s="68"/>
      <c r="C866" s="68"/>
      <c r="D866" s="68"/>
      <c r="E866" s="68"/>
      <c r="F866" s="68"/>
      <c r="G866" s="68"/>
      <c r="H866" s="68"/>
      <c r="I866" s="68"/>
      <c r="J866" s="68"/>
      <c r="K866" s="68"/>
      <c r="L866" s="68"/>
      <c r="M866" s="68"/>
      <c r="N866" s="68"/>
      <c r="O866" s="68"/>
      <c r="P866" s="68"/>
      <c r="Q866" s="68"/>
      <c r="R866" s="68"/>
      <c r="S866" s="68"/>
      <c r="T866" s="68"/>
      <c r="U866" s="68"/>
      <c r="V866" s="68"/>
      <c r="W866" s="68"/>
      <c r="X866" s="68"/>
      <c r="Y866" s="68"/>
      <c r="Z866" s="68"/>
    </row>
    <row r="867">
      <c r="A867" s="68"/>
      <c r="B867" s="68"/>
      <c r="C867" s="68"/>
      <c r="D867" s="68"/>
      <c r="E867" s="68"/>
      <c r="F867" s="68"/>
      <c r="G867" s="68"/>
      <c r="H867" s="68"/>
      <c r="I867" s="68"/>
      <c r="J867" s="68"/>
      <c r="K867" s="68"/>
      <c r="L867" s="68"/>
      <c r="M867" s="68"/>
      <c r="N867" s="68"/>
      <c r="O867" s="68"/>
      <c r="P867" s="68"/>
      <c r="Q867" s="68"/>
      <c r="R867" s="68"/>
      <c r="S867" s="68"/>
      <c r="T867" s="68"/>
      <c r="U867" s="68"/>
      <c r="V867" s="68"/>
      <c r="W867" s="68"/>
      <c r="X867" s="68"/>
      <c r="Y867" s="68"/>
      <c r="Z867" s="68"/>
    </row>
    <row r="868">
      <c r="A868" s="68"/>
      <c r="B868" s="68"/>
      <c r="C868" s="68"/>
      <c r="D868" s="68"/>
      <c r="E868" s="68"/>
      <c r="F868" s="68"/>
      <c r="G868" s="68"/>
      <c r="H868" s="68"/>
      <c r="I868" s="68"/>
      <c r="J868" s="68"/>
      <c r="K868" s="68"/>
      <c r="L868" s="68"/>
      <c r="M868" s="68"/>
      <c r="N868" s="68"/>
      <c r="O868" s="68"/>
      <c r="P868" s="68"/>
      <c r="Q868" s="68"/>
      <c r="R868" s="68"/>
      <c r="S868" s="68"/>
      <c r="T868" s="68"/>
      <c r="U868" s="68"/>
      <c r="V868" s="68"/>
      <c r="W868" s="68"/>
      <c r="X868" s="68"/>
      <c r="Y868" s="68"/>
      <c r="Z868" s="68"/>
    </row>
    <row r="869">
      <c r="A869" s="68"/>
      <c r="B869" s="68"/>
      <c r="C869" s="68"/>
      <c r="D869" s="68"/>
      <c r="E869" s="68"/>
      <c r="F869" s="68"/>
      <c r="G869" s="68"/>
      <c r="H869" s="68"/>
      <c r="I869" s="68"/>
      <c r="J869" s="68"/>
      <c r="K869" s="68"/>
      <c r="L869" s="68"/>
      <c r="M869" s="68"/>
      <c r="N869" s="68"/>
      <c r="O869" s="68"/>
      <c r="P869" s="68"/>
      <c r="Q869" s="68"/>
      <c r="R869" s="68"/>
      <c r="S869" s="68"/>
      <c r="T869" s="68"/>
      <c r="U869" s="68"/>
      <c r="V869" s="68"/>
      <c r="W869" s="68"/>
      <c r="X869" s="68"/>
      <c r="Y869" s="68"/>
      <c r="Z869" s="68"/>
    </row>
    <row r="870">
      <c r="A870" s="68"/>
      <c r="B870" s="68"/>
      <c r="C870" s="68"/>
      <c r="D870" s="68"/>
      <c r="E870" s="68"/>
      <c r="F870" s="68"/>
      <c r="G870" s="68"/>
      <c r="H870" s="68"/>
      <c r="I870" s="68"/>
      <c r="J870" s="68"/>
      <c r="K870" s="68"/>
      <c r="L870" s="68"/>
      <c r="M870" s="68"/>
      <c r="N870" s="68"/>
      <c r="O870" s="68"/>
      <c r="P870" s="68"/>
      <c r="Q870" s="68"/>
      <c r="R870" s="68"/>
      <c r="S870" s="68"/>
      <c r="T870" s="68"/>
      <c r="U870" s="68"/>
      <c r="V870" s="68"/>
      <c r="W870" s="68"/>
      <c r="X870" s="68"/>
      <c r="Y870" s="68"/>
      <c r="Z870" s="68"/>
    </row>
    <row r="871">
      <c r="A871" s="68"/>
      <c r="B871" s="68"/>
      <c r="C871" s="68"/>
      <c r="D871" s="68"/>
      <c r="E871" s="68"/>
      <c r="F871" s="68"/>
      <c r="G871" s="68"/>
      <c r="H871" s="68"/>
      <c r="I871" s="68"/>
      <c r="J871" s="68"/>
      <c r="K871" s="68"/>
      <c r="L871" s="68"/>
      <c r="M871" s="68"/>
      <c r="N871" s="68"/>
      <c r="O871" s="68"/>
      <c r="P871" s="68"/>
      <c r="Q871" s="68"/>
      <c r="R871" s="68"/>
      <c r="S871" s="68"/>
      <c r="T871" s="68"/>
      <c r="U871" s="68"/>
      <c r="V871" s="68"/>
      <c r="W871" s="68"/>
      <c r="X871" s="68"/>
      <c r="Y871" s="68"/>
      <c r="Z871" s="68"/>
    </row>
    <row r="872">
      <c r="A872" s="68"/>
      <c r="B872" s="68"/>
      <c r="C872" s="68"/>
      <c r="D872" s="68"/>
      <c r="E872" s="68"/>
      <c r="F872" s="68"/>
      <c r="G872" s="68"/>
      <c r="H872" s="68"/>
      <c r="I872" s="68"/>
      <c r="J872" s="68"/>
      <c r="K872" s="68"/>
      <c r="L872" s="68"/>
      <c r="M872" s="68"/>
      <c r="N872" s="68"/>
      <c r="O872" s="68"/>
      <c r="P872" s="68"/>
      <c r="Q872" s="68"/>
      <c r="R872" s="68"/>
      <c r="S872" s="68"/>
      <c r="T872" s="68"/>
      <c r="U872" s="68"/>
      <c r="V872" s="68"/>
      <c r="W872" s="68"/>
      <c r="X872" s="68"/>
      <c r="Y872" s="68"/>
      <c r="Z872" s="68"/>
    </row>
    <row r="873">
      <c r="A873" s="68"/>
      <c r="B873" s="68"/>
      <c r="C873" s="68"/>
      <c r="D873" s="68"/>
      <c r="E873" s="68"/>
      <c r="F873" s="68"/>
      <c r="G873" s="68"/>
      <c r="H873" s="68"/>
      <c r="I873" s="68"/>
      <c r="J873" s="68"/>
      <c r="K873" s="68"/>
      <c r="L873" s="68"/>
      <c r="M873" s="68"/>
      <c r="N873" s="68"/>
      <c r="O873" s="68"/>
      <c r="P873" s="68"/>
      <c r="Q873" s="68"/>
      <c r="R873" s="68"/>
      <c r="S873" s="68"/>
      <c r="T873" s="68"/>
      <c r="U873" s="68"/>
      <c r="V873" s="68"/>
      <c r="W873" s="68"/>
      <c r="X873" s="68"/>
      <c r="Y873" s="68"/>
      <c r="Z873" s="68"/>
    </row>
    <row r="874">
      <c r="A874" s="68"/>
      <c r="B874" s="68"/>
      <c r="C874" s="68"/>
      <c r="D874" s="68"/>
      <c r="E874" s="68"/>
      <c r="F874" s="68"/>
      <c r="G874" s="68"/>
      <c r="H874" s="68"/>
      <c r="I874" s="68"/>
      <c r="J874" s="68"/>
      <c r="K874" s="68"/>
      <c r="L874" s="68"/>
      <c r="M874" s="68"/>
      <c r="N874" s="68"/>
      <c r="O874" s="68"/>
      <c r="P874" s="68"/>
      <c r="Q874" s="68"/>
      <c r="R874" s="68"/>
      <c r="S874" s="68"/>
      <c r="T874" s="68"/>
      <c r="U874" s="68"/>
      <c r="V874" s="68"/>
      <c r="W874" s="68"/>
      <c r="X874" s="68"/>
      <c r="Y874" s="68"/>
      <c r="Z874" s="68"/>
    </row>
    <row r="875">
      <c r="A875" s="68"/>
      <c r="B875" s="68"/>
      <c r="C875" s="68"/>
      <c r="D875" s="68"/>
      <c r="E875" s="68"/>
      <c r="F875" s="68"/>
      <c r="G875" s="68"/>
      <c r="H875" s="68"/>
      <c r="I875" s="68"/>
      <c r="J875" s="68"/>
      <c r="K875" s="68"/>
      <c r="L875" s="68"/>
      <c r="M875" s="68"/>
      <c r="N875" s="68"/>
      <c r="O875" s="68"/>
      <c r="P875" s="68"/>
      <c r="Q875" s="68"/>
      <c r="R875" s="68"/>
      <c r="S875" s="68"/>
      <c r="T875" s="68"/>
      <c r="U875" s="68"/>
      <c r="V875" s="68"/>
      <c r="W875" s="68"/>
      <c r="X875" s="68"/>
      <c r="Y875" s="68"/>
      <c r="Z875" s="68"/>
    </row>
    <row r="876">
      <c r="A876" s="68"/>
      <c r="B876" s="68"/>
      <c r="C876" s="68"/>
      <c r="D876" s="68"/>
      <c r="E876" s="68"/>
      <c r="F876" s="68"/>
      <c r="G876" s="68"/>
      <c r="H876" s="68"/>
      <c r="I876" s="68"/>
      <c r="J876" s="68"/>
      <c r="K876" s="68"/>
      <c r="L876" s="68"/>
      <c r="M876" s="68"/>
      <c r="N876" s="68"/>
      <c r="O876" s="68"/>
      <c r="P876" s="68"/>
      <c r="Q876" s="68"/>
      <c r="R876" s="68"/>
      <c r="S876" s="68"/>
      <c r="T876" s="68"/>
      <c r="U876" s="68"/>
      <c r="V876" s="68"/>
      <c r="W876" s="68"/>
      <c r="X876" s="68"/>
      <c r="Y876" s="68"/>
      <c r="Z876" s="68"/>
    </row>
    <row r="877">
      <c r="A877" s="68"/>
      <c r="B877" s="68"/>
      <c r="C877" s="68"/>
      <c r="D877" s="68"/>
      <c r="E877" s="68"/>
      <c r="F877" s="68"/>
      <c r="G877" s="68"/>
      <c r="H877" s="68"/>
      <c r="I877" s="68"/>
      <c r="J877" s="68"/>
      <c r="K877" s="68"/>
      <c r="L877" s="68"/>
      <c r="M877" s="68"/>
      <c r="N877" s="68"/>
      <c r="O877" s="68"/>
      <c r="P877" s="68"/>
      <c r="Q877" s="68"/>
      <c r="R877" s="68"/>
      <c r="S877" s="68"/>
      <c r="T877" s="68"/>
      <c r="U877" s="68"/>
      <c r="V877" s="68"/>
      <c r="W877" s="68"/>
      <c r="X877" s="68"/>
      <c r="Y877" s="68"/>
      <c r="Z877" s="68"/>
    </row>
    <row r="878">
      <c r="A878" s="68"/>
      <c r="B878" s="68"/>
      <c r="C878" s="68"/>
      <c r="D878" s="68"/>
      <c r="E878" s="68"/>
      <c r="F878" s="68"/>
      <c r="G878" s="68"/>
      <c r="H878" s="68"/>
      <c r="I878" s="68"/>
      <c r="J878" s="68"/>
      <c r="K878" s="68"/>
      <c r="L878" s="68"/>
      <c r="M878" s="68"/>
      <c r="N878" s="68"/>
      <c r="O878" s="68"/>
      <c r="P878" s="68"/>
      <c r="Q878" s="68"/>
      <c r="R878" s="68"/>
      <c r="S878" s="68"/>
      <c r="T878" s="68"/>
      <c r="U878" s="68"/>
      <c r="V878" s="68"/>
      <c r="W878" s="68"/>
      <c r="X878" s="68"/>
      <c r="Y878" s="68"/>
      <c r="Z878" s="68"/>
    </row>
    <row r="879">
      <c r="A879" s="68"/>
      <c r="B879" s="68"/>
      <c r="C879" s="68"/>
      <c r="D879" s="68"/>
      <c r="E879" s="68"/>
      <c r="F879" s="68"/>
      <c r="G879" s="68"/>
      <c r="H879" s="68"/>
      <c r="I879" s="68"/>
      <c r="J879" s="68"/>
      <c r="K879" s="68"/>
      <c r="L879" s="68"/>
      <c r="M879" s="68"/>
      <c r="N879" s="68"/>
      <c r="O879" s="68"/>
      <c r="P879" s="68"/>
      <c r="Q879" s="68"/>
      <c r="R879" s="68"/>
      <c r="S879" s="68"/>
      <c r="T879" s="68"/>
      <c r="U879" s="68"/>
      <c r="V879" s="68"/>
      <c r="W879" s="68"/>
      <c r="X879" s="68"/>
      <c r="Y879" s="68"/>
      <c r="Z879" s="68"/>
    </row>
    <row r="880">
      <c r="A880" s="68"/>
      <c r="B880" s="68"/>
      <c r="C880" s="68"/>
      <c r="D880" s="68"/>
      <c r="E880" s="68"/>
      <c r="F880" s="68"/>
      <c r="G880" s="68"/>
      <c r="H880" s="68"/>
      <c r="I880" s="68"/>
      <c r="J880" s="68"/>
      <c r="K880" s="68"/>
      <c r="L880" s="68"/>
      <c r="M880" s="68"/>
      <c r="N880" s="68"/>
      <c r="O880" s="68"/>
      <c r="P880" s="68"/>
      <c r="Q880" s="68"/>
      <c r="R880" s="68"/>
      <c r="S880" s="68"/>
      <c r="T880" s="68"/>
      <c r="U880" s="68"/>
      <c r="V880" s="68"/>
      <c r="W880" s="68"/>
      <c r="X880" s="68"/>
      <c r="Y880" s="68"/>
      <c r="Z880" s="68"/>
    </row>
    <row r="881">
      <c r="A881" s="68"/>
      <c r="B881" s="68"/>
      <c r="C881" s="68"/>
      <c r="D881" s="68"/>
      <c r="E881" s="68"/>
      <c r="F881" s="68"/>
      <c r="G881" s="68"/>
      <c r="H881" s="68"/>
      <c r="I881" s="68"/>
      <c r="J881" s="68"/>
      <c r="K881" s="68"/>
      <c r="L881" s="68"/>
      <c r="M881" s="68"/>
      <c r="N881" s="68"/>
      <c r="O881" s="68"/>
      <c r="P881" s="68"/>
      <c r="Q881" s="68"/>
      <c r="R881" s="68"/>
      <c r="S881" s="68"/>
      <c r="T881" s="68"/>
      <c r="U881" s="68"/>
      <c r="V881" s="68"/>
      <c r="W881" s="68"/>
      <c r="X881" s="68"/>
      <c r="Y881" s="68"/>
      <c r="Z881" s="68"/>
    </row>
    <row r="882">
      <c r="A882" s="68"/>
      <c r="B882" s="68"/>
      <c r="C882" s="68"/>
      <c r="D882" s="68"/>
      <c r="E882" s="68"/>
      <c r="F882" s="68"/>
      <c r="G882" s="68"/>
      <c r="H882" s="68"/>
      <c r="I882" s="68"/>
      <c r="J882" s="68"/>
      <c r="K882" s="68"/>
      <c r="L882" s="68"/>
      <c r="M882" s="68"/>
      <c r="N882" s="68"/>
      <c r="O882" s="68"/>
      <c r="P882" s="68"/>
      <c r="Q882" s="68"/>
      <c r="R882" s="68"/>
      <c r="S882" s="68"/>
      <c r="T882" s="68"/>
      <c r="U882" s="68"/>
      <c r="V882" s="68"/>
      <c r="W882" s="68"/>
      <c r="X882" s="68"/>
      <c r="Y882" s="68"/>
      <c r="Z882" s="68"/>
    </row>
    <row r="883">
      <c r="A883" s="68"/>
      <c r="B883" s="68"/>
      <c r="C883" s="68"/>
      <c r="D883" s="68"/>
      <c r="E883" s="68"/>
      <c r="F883" s="68"/>
      <c r="G883" s="68"/>
      <c r="H883" s="68"/>
      <c r="I883" s="68"/>
      <c r="J883" s="68"/>
      <c r="K883" s="68"/>
      <c r="L883" s="68"/>
      <c r="M883" s="68"/>
      <c r="N883" s="68"/>
      <c r="O883" s="68"/>
      <c r="P883" s="68"/>
      <c r="Q883" s="68"/>
      <c r="R883" s="68"/>
      <c r="S883" s="68"/>
      <c r="T883" s="68"/>
      <c r="U883" s="68"/>
      <c r="V883" s="68"/>
      <c r="W883" s="68"/>
      <c r="X883" s="68"/>
      <c r="Y883" s="68"/>
      <c r="Z883" s="68"/>
    </row>
    <row r="884">
      <c r="A884" s="68"/>
      <c r="B884" s="68"/>
      <c r="C884" s="68"/>
      <c r="D884" s="68"/>
      <c r="E884" s="68"/>
      <c r="F884" s="68"/>
      <c r="G884" s="68"/>
      <c r="H884" s="68"/>
      <c r="I884" s="68"/>
      <c r="J884" s="68"/>
      <c r="K884" s="68"/>
      <c r="L884" s="68"/>
      <c r="M884" s="68"/>
      <c r="N884" s="68"/>
      <c r="O884" s="68"/>
      <c r="P884" s="68"/>
      <c r="Q884" s="68"/>
      <c r="R884" s="68"/>
      <c r="S884" s="68"/>
      <c r="T884" s="68"/>
      <c r="U884" s="68"/>
      <c r="V884" s="68"/>
      <c r="W884" s="68"/>
      <c r="X884" s="68"/>
      <c r="Y884" s="68"/>
      <c r="Z884" s="68"/>
    </row>
    <row r="885">
      <c r="A885" s="68"/>
      <c r="B885" s="68"/>
      <c r="C885" s="68"/>
      <c r="D885" s="68"/>
      <c r="E885" s="68"/>
      <c r="F885" s="68"/>
      <c r="G885" s="68"/>
      <c r="H885" s="68"/>
      <c r="I885" s="68"/>
      <c r="J885" s="68"/>
      <c r="K885" s="68"/>
      <c r="L885" s="68"/>
      <c r="M885" s="68"/>
      <c r="N885" s="68"/>
      <c r="O885" s="68"/>
      <c r="P885" s="68"/>
      <c r="Q885" s="68"/>
      <c r="R885" s="68"/>
      <c r="S885" s="68"/>
      <c r="T885" s="68"/>
      <c r="U885" s="68"/>
      <c r="V885" s="68"/>
      <c r="W885" s="68"/>
      <c r="X885" s="68"/>
      <c r="Y885" s="68"/>
      <c r="Z885" s="68"/>
    </row>
    <row r="886">
      <c r="A886" s="68"/>
      <c r="B886" s="68"/>
      <c r="C886" s="68"/>
      <c r="D886" s="68"/>
      <c r="E886" s="68"/>
      <c r="F886" s="68"/>
      <c r="G886" s="68"/>
      <c r="H886" s="68"/>
      <c r="I886" s="68"/>
      <c r="J886" s="68"/>
      <c r="K886" s="68"/>
      <c r="L886" s="68"/>
      <c r="M886" s="68"/>
      <c r="N886" s="68"/>
      <c r="O886" s="68"/>
      <c r="P886" s="68"/>
      <c r="Q886" s="68"/>
      <c r="R886" s="68"/>
      <c r="S886" s="68"/>
      <c r="T886" s="68"/>
      <c r="U886" s="68"/>
      <c r="V886" s="68"/>
      <c r="W886" s="68"/>
      <c r="X886" s="68"/>
      <c r="Y886" s="68"/>
      <c r="Z886" s="68"/>
    </row>
    <row r="887">
      <c r="A887" s="68"/>
      <c r="B887" s="68"/>
      <c r="C887" s="68"/>
      <c r="D887" s="68"/>
      <c r="E887" s="68"/>
      <c r="F887" s="68"/>
      <c r="G887" s="68"/>
      <c r="H887" s="68"/>
      <c r="I887" s="68"/>
      <c r="J887" s="68"/>
      <c r="K887" s="68"/>
      <c r="L887" s="68"/>
      <c r="M887" s="68"/>
      <c r="N887" s="68"/>
      <c r="O887" s="68"/>
      <c r="P887" s="68"/>
      <c r="Q887" s="68"/>
      <c r="R887" s="68"/>
      <c r="S887" s="68"/>
      <c r="T887" s="68"/>
      <c r="U887" s="68"/>
      <c r="V887" s="68"/>
      <c r="W887" s="68"/>
      <c r="X887" s="68"/>
      <c r="Y887" s="68"/>
      <c r="Z887" s="68"/>
    </row>
    <row r="888">
      <c r="A888" s="68"/>
      <c r="B888" s="68"/>
      <c r="C888" s="68"/>
      <c r="D888" s="68"/>
      <c r="E888" s="68"/>
      <c r="F888" s="68"/>
      <c r="G888" s="68"/>
      <c r="H888" s="68"/>
      <c r="I888" s="68"/>
      <c r="J888" s="68"/>
      <c r="K888" s="68"/>
      <c r="L888" s="68"/>
      <c r="M888" s="68"/>
      <c r="N888" s="68"/>
      <c r="O888" s="68"/>
      <c r="P888" s="68"/>
      <c r="Q888" s="68"/>
      <c r="R888" s="68"/>
      <c r="S888" s="68"/>
      <c r="T888" s="68"/>
      <c r="U888" s="68"/>
      <c r="V888" s="68"/>
      <c r="W888" s="68"/>
      <c r="X888" s="68"/>
      <c r="Y888" s="68"/>
      <c r="Z888" s="68"/>
    </row>
    <row r="889">
      <c r="A889" s="68"/>
      <c r="B889" s="68"/>
      <c r="C889" s="68"/>
      <c r="D889" s="68"/>
      <c r="E889" s="68"/>
      <c r="F889" s="68"/>
      <c r="G889" s="68"/>
      <c r="H889" s="68"/>
      <c r="I889" s="68"/>
      <c r="J889" s="68"/>
      <c r="K889" s="68"/>
      <c r="L889" s="68"/>
      <c r="M889" s="68"/>
      <c r="N889" s="68"/>
      <c r="O889" s="68"/>
      <c r="P889" s="68"/>
      <c r="Q889" s="68"/>
      <c r="R889" s="68"/>
      <c r="S889" s="68"/>
      <c r="T889" s="68"/>
      <c r="U889" s="68"/>
      <c r="V889" s="68"/>
      <c r="W889" s="68"/>
      <c r="X889" s="68"/>
      <c r="Y889" s="68"/>
      <c r="Z889" s="68"/>
    </row>
    <row r="890">
      <c r="A890" s="68"/>
      <c r="B890" s="68"/>
      <c r="C890" s="68"/>
      <c r="D890" s="68"/>
      <c r="E890" s="68"/>
      <c r="F890" s="68"/>
      <c r="G890" s="68"/>
      <c r="H890" s="68"/>
      <c r="I890" s="68"/>
      <c r="J890" s="68"/>
      <c r="K890" s="68"/>
      <c r="L890" s="68"/>
      <c r="M890" s="68"/>
      <c r="N890" s="68"/>
      <c r="O890" s="68"/>
      <c r="P890" s="68"/>
      <c r="Q890" s="68"/>
      <c r="R890" s="68"/>
      <c r="S890" s="68"/>
      <c r="T890" s="68"/>
      <c r="U890" s="68"/>
      <c r="V890" s="68"/>
      <c r="W890" s="68"/>
      <c r="X890" s="68"/>
      <c r="Y890" s="68"/>
      <c r="Z890" s="68"/>
    </row>
    <row r="891">
      <c r="A891" s="68"/>
      <c r="B891" s="68"/>
      <c r="C891" s="68"/>
      <c r="D891" s="68"/>
      <c r="E891" s="68"/>
      <c r="F891" s="68"/>
      <c r="G891" s="68"/>
      <c r="H891" s="68"/>
      <c r="I891" s="68"/>
      <c r="J891" s="68"/>
      <c r="K891" s="68"/>
      <c r="L891" s="68"/>
      <c r="M891" s="68"/>
      <c r="N891" s="68"/>
      <c r="O891" s="68"/>
      <c r="P891" s="68"/>
      <c r="Q891" s="68"/>
      <c r="R891" s="68"/>
      <c r="S891" s="68"/>
      <c r="T891" s="68"/>
      <c r="U891" s="68"/>
      <c r="V891" s="68"/>
      <c r="W891" s="68"/>
      <c r="X891" s="68"/>
      <c r="Y891" s="68"/>
      <c r="Z891" s="68"/>
    </row>
    <row r="892">
      <c r="A892" s="68"/>
      <c r="B892" s="68"/>
      <c r="C892" s="68"/>
      <c r="D892" s="68"/>
      <c r="E892" s="68"/>
      <c r="F892" s="68"/>
      <c r="G892" s="68"/>
      <c r="H892" s="68"/>
      <c r="I892" s="68"/>
      <c r="J892" s="68"/>
      <c r="K892" s="68"/>
      <c r="L892" s="68"/>
      <c r="M892" s="68"/>
      <c r="N892" s="68"/>
      <c r="O892" s="68"/>
      <c r="P892" s="68"/>
      <c r="Q892" s="68"/>
      <c r="R892" s="68"/>
      <c r="S892" s="68"/>
      <c r="T892" s="68"/>
      <c r="U892" s="68"/>
      <c r="V892" s="68"/>
      <c r="W892" s="68"/>
      <c r="X892" s="68"/>
      <c r="Y892" s="68"/>
      <c r="Z892" s="68"/>
    </row>
    <row r="893">
      <c r="A893" s="68"/>
      <c r="B893" s="68"/>
      <c r="C893" s="68"/>
      <c r="D893" s="68"/>
      <c r="E893" s="68"/>
      <c r="F893" s="68"/>
      <c r="G893" s="68"/>
      <c r="H893" s="68"/>
      <c r="I893" s="68"/>
      <c r="J893" s="68"/>
      <c r="K893" s="68"/>
      <c r="L893" s="68"/>
      <c r="M893" s="68"/>
      <c r="N893" s="68"/>
      <c r="O893" s="68"/>
      <c r="P893" s="68"/>
      <c r="Q893" s="68"/>
      <c r="R893" s="68"/>
      <c r="S893" s="68"/>
      <c r="T893" s="68"/>
      <c r="U893" s="68"/>
      <c r="V893" s="68"/>
      <c r="W893" s="68"/>
      <c r="X893" s="68"/>
      <c r="Y893" s="68"/>
      <c r="Z893" s="68"/>
    </row>
    <row r="894">
      <c r="A894" s="68"/>
      <c r="B894" s="68"/>
      <c r="C894" s="68"/>
      <c r="D894" s="68"/>
      <c r="E894" s="68"/>
      <c r="F894" s="68"/>
      <c r="G894" s="68"/>
      <c r="H894" s="68"/>
      <c r="I894" s="68"/>
      <c r="J894" s="68"/>
      <c r="K894" s="68"/>
      <c r="L894" s="68"/>
      <c r="M894" s="68"/>
      <c r="N894" s="68"/>
      <c r="O894" s="68"/>
      <c r="P894" s="68"/>
      <c r="Q894" s="68"/>
      <c r="R894" s="68"/>
      <c r="S894" s="68"/>
      <c r="T894" s="68"/>
      <c r="U894" s="68"/>
      <c r="V894" s="68"/>
      <c r="W894" s="68"/>
      <c r="X894" s="68"/>
      <c r="Y894" s="68"/>
      <c r="Z894" s="68"/>
    </row>
    <row r="895">
      <c r="A895" s="68"/>
      <c r="B895" s="68"/>
      <c r="C895" s="68"/>
      <c r="D895" s="68"/>
      <c r="E895" s="68"/>
      <c r="F895" s="68"/>
      <c r="G895" s="68"/>
      <c r="H895" s="68"/>
      <c r="I895" s="68"/>
      <c r="J895" s="68"/>
      <c r="K895" s="68"/>
      <c r="L895" s="68"/>
      <c r="M895" s="68"/>
      <c r="N895" s="68"/>
      <c r="O895" s="68"/>
      <c r="P895" s="68"/>
      <c r="Q895" s="68"/>
      <c r="R895" s="68"/>
      <c r="S895" s="68"/>
      <c r="T895" s="68"/>
      <c r="U895" s="68"/>
      <c r="V895" s="68"/>
      <c r="W895" s="68"/>
      <c r="X895" s="68"/>
      <c r="Y895" s="68"/>
      <c r="Z895" s="68"/>
    </row>
    <row r="896">
      <c r="A896" s="68"/>
      <c r="B896" s="68"/>
      <c r="C896" s="68"/>
      <c r="D896" s="68"/>
      <c r="E896" s="68"/>
      <c r="F896" s="68"/>
      <c r="G896" s="68"/>
      <c r="H896" s="68"/>
      <c r="I896" s="68"/>
      <c r="J896" s="68"/>
      <c r="K896" s="68"/>
      <c r="L896" s="68"/>
      <c r="M896" s="68"/>
      <c r="N896" s="68"/>
      <c r="O896" s="68"/>
      <c r="P896" s="68"/>
      <c r="Q896" s="68"/>
      <c r="R896" s="68"/>
      <c r="S896" s="68"/>
      <c r="T896" s="68"/>
      <c r="U896" s="68"/>
      <c r="V896" s="68"/>
      <c r="W896" s="68"/>
      <c r="X896" s="68"/>
      <c r="Y896" s="68"/>
      <c r="Z896" s="68"/>
    </row>
    <row r="897">
      <c r="A897" s="68"/>
      <c r="B897" s="68"/>
      <c r="C897" s="68"/>
      <c r="D897" s="68"/>
      <c r="E897" s="68"/>
      <c r="F897" s="68"/>
      <c r="G897" s="68"/>
      <c r="H897" s="68"/>
      <c r="I897" s="68"/>
      <c r="J897" s="68"/>
      <c r="K897" s="68"/>
      <c r="L897" s="68"/>
      <c r="M897" s="68"/>
      <c r="N897" s="68"/>
      <c r="O897" s="68"/>
      <c r="P897" s="68"/>
      <c r="Q897" s="68"/>
      <c r="R897" s="68"/>
      <c r="S897" s="68"/>
      <c r="T897" s="68"/>
      <c r="U897" s="68"/>
      <c r="V897" s="68"/>
      <c r="W897" s="68"/>
      <c r="X897" s="68"/>
      <c r="Y897" s="68"/>
      <c r="Z897" s="68"/>
    </row>
    <row r="898">
      <c r="A898" s="68"/>
      <c r="B898" s="68"/>
      <c r="C898" s="68"/>
      <c r="D898" s="68"/>
      <c r="E898" s="68"/>
      <c r="F898" s="68"/>
      <c r="G898" s="68"/>
      <c r="H898" s="68"/>
      <c r="I898" s="68"/>
      <c r="J898" s="68"/>
      <c r="K898" s="68"/>
      <c r="L898" s="68"/>
      <c r="M898" s="68"/>
      <c r="N898" s="68"/>
      <c r="O898" s="68"/>
      <c r="P898" s="68"/>
      <c r="Q898" s="68"/>
      <c r="R898" s="68"/>
      <c r="S898" s="68"/>
      <c r="T898" s="68"/>
      <c r="U898" s="68"/>
      <c r="V898" s="68"/>
      <c r="W898" s="68"/>
      <c r="X898" s="68"/>
      <c r="Y898" s="68"/>
      <c r="Z898" s="68"/>
    </row>
    <row r="899">
      <c r="A899" s="68"/>
      <c r="B899" s="68"/>
      <c r="C899" s="68"/>
      <c r="D899" s="68"/>
      <c r="E899" s="68"/>
      <c r="F899" s="68"/>
      <c r="G899" s="68"/>
      <c r="H899" s="68"/>
      <c r="I899" s="68"/>
      <c r="J899" s="68"/>
      <c r="K899" s="68"/>
      <c r="L899" s="68"/>
      <c r="M899" s="68"/>
      <c r="N899" s="68"/>
      <c r="O899" s="68"/>
      <c r="P899" s="68"/>
      <c r="Q899" s="68"/>
      <c r="R899" s="68"/>
      <c r="S899" s="68"/>
      <c r="T899" s="68"/>
      <c r="U899" s="68"/>
      <c r="V899" s="68"/>
      <c r="W899" s="68"/>
      <c r="X899" s="68"/>
      <c r="Y899" s="68"/>
      <c r="Z899" s="68"/>
    </row>
    <row r="900">
      <c r="A900" s="68"/>
      <c r="B900" s="68"/>
      <c r="C900" s="68"/>
      <c r="D900" s="68"/>
      <c r="E900" s="68"/>
      <c r="F900" s="68"/>
      <c r="G900" s="68"/>
      <c r="H900" s="68"/>
      <c r="I900" s="68"/>
      <c r="J900" s="68"/>
      <c r="K900" s="68"/>
      <c r="L900" s="68"/>
      <c r="M900" s="68"/>
      <c r="N900" s="68"/>
      <c r="O900" s="68"/>
      <c r="P900" s="68"/>
      <c r="Q900" s="68"/>
      <c r="R900" s="68"/>
      <c r="S900" s="68"/>
      <c r="T900" s="68"/>
      <c r="U900" s="68"/>
      <c r="V900" s="68"/>
      <c r="W900" s="68"/>
      <c r="X900" s="68"/>
      <c r="Y900" s="68"/>
      <c r="Z900" s="68"/>
    </row>
    <row r="901">
      <c r="A901" s="68"/>
      <c r="B901" s="68"/>
      <c r="C901" s="68"/>
      <c r="D901" s="68"/>
      <c r="E901" s="68"/>
      <c r="F901" s="68"/>
      <c r="G901" s="68"/>
      <c r="H901" s="68"/>
      <c r="I901" s="68"/>
      <c r="J901" s="68"/>
      <c r="K901" s="68"/>
      <c r="L901" s="68"/>
      <c r="M901" s="68"/>
      <c r="N901" s="68"/>
      <c r="O901" s="68"/>
      <c r="P901" s="68"/>
      <c r="Q901" s="68"/>
      <c r="R901" s="68"/>
      <c r="S901" s="68"/>
      <c r="T901" s="68"/>
      <c r="U901" s="68"/>
      <c r="V901" s="68"/>
      <c r="W901" s="68"/>
      <c r="X901" s="68"/>
      <c r="Y901" s="68"/>
      <c r="Z901" s="68"/>
    </row>
    <row r="902">
      <c r="A902" s="68"/>
      <c r="B902" s="68"/>
      <c r="C902" s="68"/>
      <c r="D902" s="68"/>
      <c r="E902" s="68"/>
      <c r="F902" s="68"/>
      <c r="G902" s="68"/>
      <c r="H902" s="68"/>
      <c r="I902" s="68"/>
      <c r="J902" s="68"/>
      <c r="K902" s="68"/>
      <c r="L902" s="68"/>
      <c r="M902" s="68"/>
      <c r="N902" s="68"/>
      <c r="O902" s="68"/>
      <c r="P902" s="68"/>
      <c r="Q902" s="68"/>
      <c r="R902" s="68"/>
      <c r="S902" s="68"/>
      <c r="T902" s="68"/>
      <c r="U902" s="68"/>
      <c r="V902" s="68"/>
      <c r="W902" s="68"/>
      <c r="X902" s="68"/>
      <c r="Y902" s="68"/>
      <c r="Z902" s="68"/>
    </row>
    <row r="903">
      <c r="A903" s="68"/>
      <c r="B903" s="68"/>
      <c r="C903" s="68"/>
      <c r="D903" s="68"/>
      <c r="E903" s="68"/>
      <c r="F903" s="68"/>
      <c r="G903" s="68"/>
      <c r="H903" s="68"/>
      <c r="I903" s="68"/>
      <c r="J903" s="68"/>
      <c r="K903" s="68"/>
      <c r="L903" s="68"/>
      <c r="M903" s="68"/>
      <c r="N903" s="68"/>
      <c r="O903" s="68"/>
      <c r="P903" s="68"/>
      <c r="Q903" s="68"/>
      <c r="R903" s="68"/>
      <c r="S903" s="68"/>
      <c r="T903" s="68"/>
      <c r="U903" s="68"/>
      <c r="V903" s="68"/>
      <c r="W903" s="68"/>
      <c r="X903" s="68"/>
      <c r="Y903" s="68"/>
      <c r="Z903" s="68"/>
    </row>
    <row r="904">
      <c r="A904" s="68"/>
      <c r="B904" s="68"/>
      <c r="C904" s="68"/>
      <c r="D904" s="68"/>
      <c r="E904" s="68"/>
      <c r="F904" s="68"/>
      <c r="G904" s="68"/>
      <c r="H904" s="68"/>
      <c r="I904" s="68"/>
      <c r="J904" s="68"/>
      <c r="K904" s="68"/>
      <c r="L904" s="68"/>
      <c r="M904" s="68"/>
      <c r="N904" s="68"/>
      <c r="O904" s="68"/>
      <c r="P904" s="68"/>
      <c r="Q904" s="68"/>
      <c r="R904" s="68"/>
      <c r="S904" s="68"/>
      <c r="T904" s="68"/>
      <c r="U904" s="68"/>
      <c r="V904" s="68"/>
      <c r="W904" s="68"/>
      <c r="X904" s="68"/>
      <c r="Y904" s="68"/>
      <c r="Z904" s="68"/>
    </row>
    <row r="905">
      <c r="A905" s="68"/>
      <c r="B905" s="68"/>
      <c r="C905" s="68"/>
      <c r="D905" s="68"/>
      <c r="E905" s="68"/>
      <c r="F905" s="68"/>
      <c r="G905" s="68"/>
      <c r="H905" s="68"/>
      <c r="I905" s="68"/>
      <c r="J905" s="68"/>
      <c r="K905" s="68"/>
      <c r="L905" s="68"/>
      <c r="M905" s="68"/>
      <c r="N905" s="68"/>
      <c r="O905" s="68"/>
      <c r="P905" s="68"/>
      <c r="Q905" s="68"/>
      <c r="R905" s="68"/>
      <c r="S905" s="68"/>
      <c r="T905" s="68"/>
      <c r="U905" s="68"/>
      <c r="V905" s="68"/>
      <c r="W905" s="68"/>
      <c r="X905" s="68"/>
      <c r="Y905" s="68"/>
      <c r="Z905" s="68"/>
    </row>
    <row r="906">
      <c r="A906" s="68"/>
      <c r="B906" s="68"/>
      <c r="C906" s="68"/>
      <c r="D906" s="68"/>
      <c r="E906" s="68"/>
      <c r="F906" s="68"/>
      <c r="G906" s="68"/>
      <c r="H906" s="68"/>
      <c r="I906" s="68"/>
      <c r="J906" s="68"/>
      <c r="K906" s="68"/>
      <c r="L906" s="68"/>
      <c r="M906" s="68"/>
      <c r="N906" s="68"/>
      <c r="O906" s="68"/>
      <c r="P906" s="68"/>
      <c r="Q906" s="68"/>
      <c r="R906" s="68"/>
      <c r="S906" s="68"/>
      <c r="T906" s="68"/>
      <c r="U906" s="68"/>
      <c r="V906" s="68"/>
      <c r="W906" s="68"/>
      <c r="X906" s="68"/>
      <c r="Y906" s="68"/>
      <c r="Z906" s="68"/>
    </row>
    <row r="907">
      <c r="A907" s="68"/>
      <c r="B907" s="68"/>
      <c r="C907" s="68"/>
      <c r="D907" s="68"/>
      <c r="E907" s="68"/>
      <c r="F907" s="68"/>
      <c r="G907" s="68"/>
      <c r="H907" s="68"/>
      <c r="I907" s="68"/>
      <c r="J907" s="68"/>
      <c r="K907" s="68"/>
      <c r="L907" s="68"/>
      <c r="M907" s="68"/>
      <c r="N907" s="68"/>
      <c r="O907" s="68"/>
      <c r="P907" s="68"/>
      <c r="Q907" s="68"/>
      <c r="R907" s="68"/>
      <c r="S907" s="68"/>
      <c r="T907" s="68"/>
      <c r="U907" s="68"/>
      <c r="V907" s="68"/>
      <c r="W907" s="68"/>
      <c r="X907" s="68"/>
      <c r="Y907" s="68"/>
      <c r="Z907" s="68"/>
    </row>
    <row r="908">
      <c r="A908" s="68"/>
      <c r="B908" s="68"/>
      <c r="C908" s="68"/>
      <c r="D908" s="68"/>
      <c r="E908" s="68"/>
      <c r="F908" s="68"/>
      <c r="G908" s="68"/>
      <c r="H908" s="68"/>
      <c r="I908" s="68"/>
      <c r="J908" s="68"/>
      <c r="K908" s="68"/>
      <c r="L908" s="68"/>
      <c r="M908" s="68"/>
      <c r="N908" s="68"/>
      <c r="O908" s="68"/>
      <c r="P908" s="68"/>
      <c r="Q908" s="68"/>
      <c r="R908" s="68"/>
      <c r="S908" s="68"/>
      <c r="T908" s="68"/>
      <c r="U908" s="68"/>
      <c r="V908" s="68"/>
      <c r="W908" s="68"/>
      <c r="X908" s="68"/>
      <c r="Y908" s="68"/>
      <c r="Z908" s="68"/>
    </row>
    <row r="909">
      <c r="A909" s="68"/>
      <c r="B909" s="68"/>
      <c r="C909" s="68"/>
      <c r="D909" s="68"/>
      <c r="E909" s="68"/>
      <c r="F909" s="68"/>
      <c r="G909" s="68"/>
      <c r="H909" s="68"/>
      <c r="I909" s="68"/>
      <c r="J909" s="68"/>
      <c r="K909" s="68"/>
      <c r="L909" s="68"/>
      <c r="M909" s="68"/>
      <c r="N909" s="68"/>
      <c r="O909" s="68"/>
      <c r="P909" s="68"/>
      <c r="Q909" s="68"/>
      <c r="R909" s="68"/>
      <c r="S909" s="68"/>
      <c r="T909" s="68"/>
      <c r="U909" s="68"/>
      <c r="V909" s="68"/>
      <c r="W909" s="68"/>
      <c r="X909" s="68"/>
      <c r="Y909" s="68"/>
      <c r="Z909" s="68"/>
    </row>
    <row r="910">
      <c r="A910" s="68"/>
      <c r="B910" s="68"/>
      <c r="C910" s="68"/>
      <c r="D910" s="68"/>
      <c r="E910" s="68"/>
      <c r="F910" s="68"/>
      <c r="G910" s="68"/>
      <c r="H910" s="68"/>
      <c r="I910" s="68"/>
      <c r="J910" s="68"/>
      <c r="K910" s="68"/>
      <c r="L910" s="68"/>
      <c r="M910" s="68"/>
      <c r="N910" s="68"/>
      <c r="O910" s="68"/>
      <c r="P910" s="68"/>
      <c r="Q910" s="68"/>
      <c r="R910" s="68"/>
      <c r="S910" s="68"/>
      <c r="T910" s="68"/>
      <c r="U910" s="68"/>
      <c r="V910" s="68"/>
      <c r="W910" s="68"/>
      <c r="X910" s="68"/>
      <c r="Y910" s="68"/>
      <c r="Z910" s="68"/>
    </row>
    <row r="911">
      <c r="A911" s="68"/>
      <c r="B911" s="68"/>
      <c r="C911" s="68"/>
      <c r="D911" s="68"/>
      <c r="E911" s="68"/>
      <c r="F911" s="68"/>
      <c r="G911" s="68"/>
      <c r="H911" s="68"/>
      <c r="I911" s="68"/>
      <c r="J911" s="68"/>
      <c r="K911" s="68"/>
      <c r="L911" s="68"/>
      <c r="M911" s="68"/>
      <c r="N911" s="68"/>
      <c r="O911" s="68"/>
      <c r="P911" s="68"/>
      <c r="Q911" s="68"/>
      <c r="R911" s="68"/>
      <c r="S911" s="68"/>
      <c r="T911" s="68"/>
      <c r="U911" s="68"/>
      <c r="V911" s="68"/>
      <c r="W911" s="68"/>
      <c r="X911" s="68"/>
      <c r="Y911" s="68"/>
      <c r="Z911" s="68"/>
    </row>
    <row r="912">
      <c r="A912" s="68"/>
      <c r="B912" s="68"/>
      <c r="C912" s="68"/>
      <c r="D912" s="68"/>
      <c r="E912" s="68"/>
      <c r="F912" s="68"/>
      <c r="G912" s="68"/>
      <c r="H912" s="68"/>
      <c r="I912" s="68"/>
      <c r="J912" s="68"/>
      <c r="K912" s="68"/>
      <c r="L912" s="68"/>
      <c r="M912" s="68"/>
      <c r="N912" s="68"/>
      <c r="O912" s="68"/>
      <c r="P912" s="68"/>
      <c r="Q912" s="68"/>
      <c r="R912" s="68"/>
      <c r="S912" s="68"/>
      <c r="T912" s="68"/>
      <c r="U912" s="68"/>
      <c r="V912" s="68"/>
      <c r="W912" s="68"/>
      <c r="X912" s="68"/>
      <c r="Y912" s="68"/>
      <c r="Z912" s="68"/>
    </row>
    <row r="913">
      <c r="A913" s="68"/>
      <c r="B913" s="68"/>
      <c r="C913" s="68"/>
      <c r="D913" s="68"/>
      <c r="E913" s="68"/>
      <c r="F913" s="68"/>
      <c r="G913" s="68"/>
      <c r="H913" s="68"/>
      <c r="I913" s="68"/>
      <c r="J913" s="68"/>
      <c r="K913" s="68"/>
      <c r="L913" s="68"/>
      <c r="M913" s="68"/>
      <c r="N913" s="68"/>
      <c r="O913" s="68"/>
      <c r="P913" s="68"/>
      <c r="Q913" s="68"/>
      <c r="R913" s="68"/>
      <c r="S913" s="68"/>
      <c r="T913" s="68"/>
      <c r="U913" s="68"/>
      <c r="V913" s="68"/>
      <c r="W913" s="68"/>
      <c r="X913" s="68"/>
      <c r="Y913" s="68"/>
      <c r="Z913" s="68"/>
    </row>
    <row r="914">
      <c r="A914" s="68"/>
      <c r="B914" s="68"/>
      <c r="C914" s="68"/>
      <c r="D914" s="68"/>
      <c r="E914" s="68"/>
      <c r="F914" s="68"/>
      <c r="G914" s="68"/>
      <c r="H914" s="68"/>
      <c r="I914" s="68"/>
      <c r="J914" s="68"/>
      <c r="K914" s="68"/>
      <c r="L914" s="68"/>
      <c r="M914" s="68"/>
      <c r="N914" s="68"/>
      <c r="O914" s="68"/>
      <c r="P914" s="68"/>
      <c r="Q914" s="68"/>
      <c r="R914" s="68"/>
      <c r="S914" s="68"/>
      <c r="T914" s="68"/>
      <c r="U914" s="68"/>
      <c r="V914" s="68"/>
      <c r="W914" s="68"/>
      <c r="X914" s="68"/>
      <c r="Y914" s="68"/>
      <c r="Z914" s="68"/>
    </row>
    <row r="915">
      <c r="A915" s="68"/>
      <c r="B915" s="68"/>
      <c r="C915" s="68"/>
      <c r="D915" s="68"/>
      <c r="E915" s="68"/>
      <c r="F915" s="68"/>
      <c r="G915" s="68"/>
      <c r="H915" s="68"/>
      <c r="I915" s="68"/>
      <c r="J915" s="68"/>
      <c r="K915" s="68"/>
      <c r="L915" s="68"/>
      <c r="M915" s="68"/>
      <c r="N915" s="68"/>
      <c r="O915" s="68"/>
      <c r="P915" s="68"/>
      <c r="Q915" s="68"/>
      <c r="R915" s="68"/>
      <c r="S915" s="68"/>
      <c r="T915" s="68"/>
      <c r="U915" s="68"/>
      <c r="V915" s="68"/>
      <c r="W915" s="68"/>
      <c r="X915" s="68"/>
      <c r="Y915" s="68"/>
      <c r="Z915" s="68"/>
    </row>
    <row r="916">
      <c r="A916" s="68"/>
      <c r="B916" s="68"/>
      <c r="C916" s="68"/>
      <c r="D916" s="68"/>
      <c r="E916" s="68"/>
      <c r="F916" s="68"/>
      <c r="G916" s="68"/>
      <c r="H916" s="68"/>
      <c r="I916" s="68"/>
      <c r="J916" s="68"/>
      <c r="K916" s="68"/>
      <c r="L916" s="68"/>
      <c r="M916" s="68"/>
      <c r="N916" s="68"/>
      <c r="O916" s="68"/>
      <c r="P916" s="68"/>
      <c r="Q916" s="68"/>
      <c r="R916" s="68"/>
      <c r="S916" s="68"/>
      <c r="T916" s="68"/>
      <c r="U916" s="68"/>
      <c r="V916" s="68"/>
      <c r="W916" s="68"/>
      <c r="X916" s="68"/>
      <c r="Y916" s="68"/>
      <c r="Z916" s="68"/>
    </row>
    <row r="917">
      <c r="A917" s="68"/>
      <c r="B917" s="68"/>
      <c r="C917" s="68"/>
      <c r="D917" s="68"/>
      <c r="E917" s="68"/>
      <c r="F917" s="68"/>
      <c r="G917" s="68"/>
      <c r="H917" s="68"/>
      <c r="I917" s="68"/>
      <c r="J917" s="68"/>
      <c r="K917" s="68"/>
      <c r="L917" s="68"/>
      <c r="M917" s="68"/>
      <c r="N917" s="68"/>
      <c r="O917" s="68"/>
      <c r="P917" s="68"/>
      <c r="Q917" s="68"/>
      <c r="R917" s="68"/>
      <c r="S917" s="68"/>
      <c r="T917" s="68"/>
      <c r="U917" s="68"/>
      <c r="V917" s="68"/>
      <c r="W917" s="68"/>
      <c r="X917" s="68"/>
      <c r="Y917" s="68"/>
      <c r="Z917" s="68"/>
    </row>
    <row r="918">
      <c r="A918" s="68"/>
      <c r="B918" s="68"/>
      <c r="C918" s="68"/>
      <c r="D918" s="68"/>
      <c r="E918" s="68"/>
      <c r="F918" s="68"/>
      <c r="G918" s="68"/>
      <c r="H918" s="68"/>
      <c r="I918" s="68"/>
      <c r="J918" s="68"/>
      <c r="K918" s="68"/>
      <c r="L918" s="68"/>
      <c r="M918" s="68"/>
      <c r="N918" s="68"/>
      <c r="O918" s="68"/>
      <c r="P918" s="68"/>
      <c r="Q918" s="68"/>
      <c r="R918" s="68"/>
      <c r="S918" s="68"/>
      <c r="T918" s="68"/>
      <c r="U918" s="68"/>
      <c r="V918" s="68"/>
      <c r="W918" s="68"/>
      <c r="X918" s="68"/>
      <c r="Y918" s="68"/>
      <c r="Z918" s="68"/>
    </row>
    <row r="919">
      <c r="A919" s="68"/>
      <c r="B919" s="68"/>
      <c r="C919" s="68"/>
      <c r="D919" s="68"/>
      <c r="E919" s="68"/>
      <c r="F919" s="68"/>
      <c r="G919" s="68"/>
      <c r="H919" s="68"/>
      <c r="I919" s="68"/>
      <c r="J919" s="68"/>
      <c r="K919" s="68"/>
      <c r="L919" s="68"/>
      <c r="M919" s="68"/>
      <c r="N919" s="68"/>
      <c r="O919" s="68"/>
      <c r="P919" s="68"/>
      <c r="Q919" s="68"/>
      <c r="R919" s="68"/>
      <c r="S919" s="68"/>
      <c r="T919" s="68"/>
      <c r="U919" s="68"/>
      <c r="V919" s="68"/>
      <c r="W919" s="68"/>
      <c r="X919" s="68"/>
      <c r="Y919" s="68"/>
      <c r="Z919" s="68"/>
    </row>
    <row r="920">
      <c r="A920" s="68"/>
      <c r="B920" s="68"/>
      <c r="C920" s="68"/>
      <c r="D920" s="68"/>
      <c r="E920" s="68"/>
      <c r="F920" s="68"/>
      <c r="G920" s="68"/>
      <c r="H920" s="68"/>
      <c r="I920" s="68"/>
      <c r="J920" s="68"/>
      <c r="K920" s="68"/>
      <c r="L920" s="68"/>
      <c r="M920" s="68"/>
      <c r="N920" s="68"/>
      <c r="O920" s="68"/>
      <c r="P920" s="68"/>
      <c r="Q920" s="68"/>
      <c r="R920" s="68"/>
      <c r="S920" s="68"/>
      <c r="T920" s="68"/>
      <c r="U920" s="68"/>
      <c r="V920" s="68"/>
      <c r="W920" s="68"/>
      <c r="X920" s="68"/>
      <c r="Y920" s="68"/>
      <c r="Z920" s="68"/>
    </row>
    <row r="921">
      <c r="A921" s="68"/>
      <c r="B921" s="68"/>
      <c r="C921" s="68"/>
      <c r="D921" s="68"/>
      <c r="E921" s="68"/>
      <c r="F921" s="68"/>
      <c r="G921" s="68"/>
      <c r="H921" s="68"/>
      <c r="I921" s="68"/>
      <c r="J921" s="68"/>
      <c r="K921" s="68"/>
      <c r="L921" s="68"/>
      <c r="M921" s="68"/>
      <c r="N921" s="68"/>
      <c r="O921" s="68"/>
      <c r="P921" s="68"/>
      <c r="Q921" s="68"/>
      <c r="R921" s="68"/>
      <c r="S921" s="68"/>
      <c r="T921" s="68"/>
      <c r="U921" s="68"/>
      <c r="V921" s="68"/>
      <c r="W921" s="68"/>
      <c r="X921" s="68"/>
      <c r="Y921" s="68"/>
      <c r="Z921" s="68"/>
    </row>
    <row r="922">
      <c r="A922" s="68"/>
      <c r="B922" s="68"/>
      <c r="C922" s="68"/>
      <c r="D922" s="68"/>
      <c r="E922" s="68"/>
      <c r="F922" s="68"/>
      <c r="G922" s="68"/>
      <c r="H922" s="68"/>
      <c r="I922" s="68"/>
      <c r="J922" s="68"/>
      <c r="K922" s="68"/>
      <c r="L922" s="68"/>
      <c r="M922" s="68"/>
      <c r="N922" s="68"/>
      <c r="O922" s="68"/>
      <c r="P922" s="68"/>
      <c r="Q922" s="68"/>
      <c r="R922" s="68"/>
      <c r="S922" s="68"/>
      <c r="T922" s="68"/>
      <c r="U922" s="68"/>
      <c r="V922" s="68"/>
      <c r="W922" s="68"/>
      <c r="X922" s="68"/>
      <c r="Y922" s="68"/>
      <c r="Z922" s="68"/>
    </row>
    <row r="923">
      <c r="A923" s="68"/>
      <c r="B923" s="68"/>
      <c r="C923" s="68"/>
      <c r="D923" s="68"/>
      <c r="E923" s="68"/>
      <c r="F923" s="68"/>
      <c r="G923" s="68"/>
      <c r="H923" s="68"/>
      <c r="I923" s="68"/>
      <c r="J923" s="68"/>
      <c r="K923" s="68"/>
      <c r="L923" s="68"/>
      <c r="M923" s="68"/>
      <c r="N923" s="68"/>
      <c r="O923" s="68"/>
      <c r="P923" s="68"/>
      <c r="Q923" s="68"/>
      <c r="R923" s="68"/>
      <c r="S923" s="68"/>
      <c r="T923" s="68"/>
      <c r="U923" s="68"/>
      <c r="V923" s="68"/>
      <c r="W923" s="68"/>
      <c r="X923" s="68"/>
      <c r="Y923" s="68"/>
      <c r="Z923" s="68"/>
    </row>
    <row r="924">
      <c r="A924" s="68"/>
      <c r="B924" s="68"/>
      <c r="C924" s="68"/>
      <c r="D924" s="68"/>
      <c r="E924" s="68"/>
      <c r="F924" s="68"/>
      <c r="G924" s="68"/>
      <c r="H924" s="68"/>
      <c r="I924" s="68"/>
      <c r="J924" s="68"/>
      <c r="K924" s="68"/>
      <c r="L924" s="68"/>
      <c r="M924" s="68"/>
      <c r="N924" s="68"/>
      <c r="O924" s="68"/>
      <c r="P924" s="68"/>
      <c r="Q924" s="68"/>
      <c r="R924" s="68"/>
      <c r="S924" s="68"/>
      <c r="T924" s="68"/>
      <c r="U924" s="68"/>
      <c r="V924" s="68"/>
      <c r="W924" s="68"/>
      <c r="X924" s="68"/>
      <c r="Y924" s="68"/>
      <c r="Z924" s="68"/>
    </row>
    <row r="925">
      <c r="A925" s="68"/>
      <c r="B925" s="68"/>
      <c r="C925" s="68"/>
      <c r="D925" s="68"/>
      <c r="E925" s="68"/>
      <c r="F925" s="68"/>
      <c r="G925" s="68"/>
      <c r="H925" s="68"/>
      <c r="I925" s="68"/>
      <c r="J925" s="68"/>
      <c r="K925" s="68"/>
      <c r="L925" s="68"/>
      <c r="M925" s="68"/>
      <c r="N925" s="68"/>
      <c r="O925" s="68"/>
      <c r="P925" s="68"/>
      <c r="Q925" s="68"/>
      <c r="R925" s="68"/>
      <c r="S925" s="68"/>
      <c r="T925" s="68"/>
      <c r="U925" s="68"/>
      <c r="V925" s="68"/>
      <c r="W925" s="68"/>
      <c r="X925" s="68"/>
      <c r="Y925" s="68"/>
      <c r="Z925" s="68"/>
    </row>
    <row r="926">
      <c r="A926" s="68"/>
      <c r="B926" s="68"/>
      <c r="C926" s="68"/>
      <c r="D926" s="68"/>
      <c r="E926" s="68"/>
      <c r="F926" s="68"/>
      <c r="G926" s="68"/>
      <c r="H926" s="68"/>
      <c r="I926" s="68"/>
      <c r="J926" s="68"/>
      <c r="K926" s="68"/>
      <c r="L926" s="68"/>
      <c r="M926" s="68"/>
      <c r="N926" s="68"/>
      <c r="O926" s="68"/>
      <c r="P926" s="68"/>
      <c r="Q926" s="68"/>
      <c r="R926" s="68"/>
      <c r="S926" s="68"/>
      <c r="T926" s="68"/>
      <c r="U926" s="68"/>
      <c r="V926" s="68"/>
      <c r="W926" s="68"/>
      <c r="X926" s="68"/>
      <c r="Y926" s="68"/>
      <c r="Z926" s="68"/>
    </row>
    <row r="927">
      <c r="A927" s="68"/>
      <c r="B927" s="68"/>
      <c r="C927" s="68"/>
      <c r="D927" s="68"/>
      <c r="E927" s="68"/>
      <c r="F927" s="68"/>
      <c r="G927" s="68"/>
      <c r="H927" s="68"/>
      <c r="I927" s="68"/>
      <c r="J927" s="68"/>
      <c r="K927" s="68"/>
      <c r="L927" s="68"/>
      <c r="M927" s="68"/>
      <c r="N927" s="68"/>
      <c r="O927" s="68"/>
      <c r="P927" s="68"/>
      <c r="Q927" s="68"/>
      <c r="R927" s="68"/>
      <c r="S927" s="68"/>
      <c r="T927" s="68"/>
      <c r="U927" s="68"/>
      <c r="V927" s="68"/>
      <c r="W927" s="68"/>
      <c r="X927" s="68"/>
      <c r="Y927" s="68"/>
      <c r="Z927" s="68"/>
    </row>
    <row r="928">
      <c r="A928" s="68"/>
      <c r="B928" s="68"/>
      <c r="C928" s="68"/>
      <c r="D928" s="68"/>
      <c r="E928" s="68"/>
      <c r="F928" s="68"/>
      <c r="G928" s="68"/>
      <c r="H928" s="68"/>
      <c r="I928" s="68"/>
      <c r="J928" s="68"/>
      <c r="K928" s="68"/>
      <c r="L928" s="68"/>
      <c r="M928" s="68"/>
      <c r="N928" s="68"/>
      <c r="O928" s="68"/>
      <c r="P928" s="68"/>
      <c r="Q928" s="68"/>
      <c r="R928" s="68"/>
      <c r="S928" s="68"/>
      <c r="T928" s="68"/>
      <c r="U928" s="68"/>
      <c r="V928" s="68"/>
      <c r="W928" s="68"/>
      <c r="X928" s="68"/>
      <c r="Y928" s="68"/>
      <c r="Z928" s="68"/>
    </row>
    <row r="929">
      <c r="A929" s="68"/>
      <c r="B929" s="68"/>
      <c r="C929" s="68"/>
      <c r="D929" s="68"/>
      <c r="E929" s="68"/>
      <c r="F929" s="68"/>
      <c r="G929" s="68"/>
      <c r="H929" s="68"/>
      <c r="I929" s="68"/>
      <c r="J929" s="68"/>
      <c r="K929" s="68"/>
      <c r="L929" s="68"/>
      <c r="M929" s="68"/>
      <c r="N929" s="68"/>
      <c r="O929" s="68"/>
      <c r="P929" s="68"/>
      <c r="Q929" s="68"/>
      <c r="R929" s="68"/>
      <c r="S929" s="68"/>
      <c r="T929" s="68"/>
      <c r="U929" s="68"/>
      <c r="V929" s="68"/>
      <c r="W929" s="68"/>
      <c r="X929" s="68"/>
      <c r="Y929" s="68"/>
      <c r="Z929" s="68"/>
    </row>
    <row r="930">
      <c r="A930" s="68"/>
      <c r="B930" s="68"/>
      <c r="C930" s="68"/>
      <c r="D930" s="68"/>
      <c r="E930" s="68"/>
      <c r="F930" s="68"/>
      <c r="G930" s="68"/>
      <c r="H930" s="68"/>
      <c r="I930" s="68"/>
      <c r="J930" s="68"/>
      <c r="K930" s="68"/>
      <c r="L930" s="68"/>
      <c r="M930" s="68"/>
      <c r="N930" s="68"/>
      <c r="O930" s="68"/>
      <c r="P930" s="68"/>
      <c r="Q930" s="68"/>
      <c r="R930" s="68"/>
      <c r="S930" s="68"/>
      <c r="T930" s="68"/>
      <c r="U930" s="68"/>
      <c r="V930" s="68"/>
      <c r="W930" s="68"/>
      <c r="X930" s="68"/>
      <c r="Y930" s="68"/>
      <c r="Z930" s="68"/>
    </row>
    <row r="931">
      <c r="A931" s="68"/>
      <c r="B931" s="68"/>
      <c r="C931" s="68"/>
      <c r="D931" s="68"/>
      <c r="E931" s="68"/>
      <c r="F931" s="68"/>
      <c r="G931" s="68"/>
      <c r="H931" s="68"/>
      <c r="I931" s="68"/>
      <c r="J931" s="68"/>
      <c r="K931" s="68"/>
      <c r="L931" s="68"/>
      <c r="M931" s="68"/>
      <c r="N931" s="68"/>
      <c r="O931" s="68"/>
      <c r="P931" s="68"/>
      <c r="Q931" s="68"/>
      <c r="R931" s="68"/>
      <c r="S931" s="68"/>
      <c r="T931" s="68"/>
      <c r="U931" s="68"/>
      <c r="V931" s="68"/>
      <c r="W931" s="68"/>
      <c r="X931" s="68"/>
      <c r="Y931" s="68"/>
      <c r="Z931" s="68"/>
    </row>
    <row r="932">
      <c r="A932" s="68"/>
      <c r="B932" s="68"/>
      <c r="C932" s="68"/>
      <c r="D932" s="68"/>
      <c r="E932" s="68"/>
      <c r="F932" s="68"/>
      <c r="G932" s="68"/>
      <c r="H932" s="68"/>
      <c r="I932" s="68"/>
      <c r="J932" s="68"/>
      <c r="K932" s="68"/>
      <c r="L932" s="68"/>
      <c r="M932" s="68"/>
      <c r="N932" s="68"/>
      <c r="O932" s="68"/>
      <c r="P932" s="68"/>
      <c r="Q932" s="68"/>
      <c r="R932" s="68"/>
      <c r="S932" s="68"/>
      <c r="T932" s="68"/>
      <c r="U932" s="68"/>
      <c r="V932" s="68"/>
      <c r="W932" s="68"/>
      <c r="X932" s="68"/>
      <c r="Y932" s="68"/>
      <c r="Z932" s="68"/>
    </row>
    <row r="933">
      <c r="A933" s="68"/>
      <c r="B933" s="68"/>
      <c r="C933" s="68"/>
      <c r="D933" s="68"/>
      <c r="E933" s="68"/>
      <c r="F933" s="68"/>
      <c r="G933" s="68"/>
      <c r="H933" s="68"/>
      <c r="I933" s="68"/>
      <c r="J933" s="68"/>
      <c r="K933" s="68"/>
      <c r="L933" s="68"/>
      <c r="M933" s="68"/>
      <c r="N933" s="68"/>
      <c r="O933" s="68"/>
      <c r="P933" s="68"/>
      <c r="Q933" s="68"/>
      <c r="R933" s="68"/>
      <c r="S933" s="68"/>
      <c r="T933" s="68"/>
      <c r="U933" s="68"/>
      <c r="V933" s="68"/>
      <c r="W933" s="68"/>
      <c r="X933" s="68"/>
      <c r="Y933" s="68"/>
      <c r="Z933" s="68"/>
    </row>
    <row r="934">
      <c r="A934" s="68"/>
      <c r="B934" s="68"/>
      <c r="C934" s="68"/>
      <c r="D934" s="68"/>
      <c r="E934" s="68"/>
      <c r="F934" s="68"/>
      <c r="G934" s="68"/>
      <c r="H934" s="68"/>
      <c r="I934" s="68"/>
      <c r="J934" s="68"/>
      <c r="K934" s="68"/>
      <c r="L934" s="68"/>
      <c r="M934" s="68"/>
      <c r="N934" s="68"/>
      <c r="O934" s="68"/>
      <c r="P934" s="68"/>
      <c r="Q934" s="68"/>
      <c r="R934" s="68"/>
      <c r="S934" s="68"/>
      <c r="T934" s="68"/>
      <c r="U934" s="68"/>
      <c r="V934" s="68"/>
      <c r="W934" s="68"/>
      <c r="X934" s="68"/>
      <c r="Y934" s="68"/>
      <c r="Z934" s="68"/>
    </row>
    <row r="935">
      <c r="A935" s="68"/>
      <c r="B935" s="68"/>
      <c r="C935" s="68"/>
      <c r="D935" s="68"/>
      <c r="E935" s="68"/>
      <c r="F935" s="68"/>
      <c r="G935" s="68"/>
      <c r="H935" s="68"/>
      <c r="I935" s="68"/>
      <c r="J935" s="68"/>
      <c r="K935" s="68"/>
      <c r="L935" s="68"/>
      <c r="M935" s="68"/>
      <c r="N935" s="68"/>
      <c r="O935" s="68"/>
      <c r="P935" s="68"/>
      <c r="Q935" s="68"/>
      <c r="R935" s="68"/>
      <c r="S935" s="68"/>
      <c r="T935" s="68"/>
      <c r="U935" s="68"/>
      <c r="V935" s="68"/>
      <c r="W935" s="68"/>
      <c r="X935" s="68"/>
      <c r="Y935" s="68"/>
      <c r="Z935" s="68"/>
    </row>
    <row r="936">
      <c r="A936" s="68"/>
      <c r="B936" s="68"/>
      <c r="C936" s="68"/>
      <c r="D936" s="68"/>
      <c r="E936" s="68"/>
      <c r="F936" s="68"/>
      <c r="G936" s="68"/>
      <c r="H936" s="68"/>
      <c r="I936" s="68"/>
      <c r="J936" s="68"/>
      <c r="K936" s="68"/>
      <c r="L936" s="68"/>
      <c r="M936" s="68"/>
      <c r="N936" s="68"/>
      <c r="O936" s="68"/>
      <c r="P936" s="68"/>
      <c r="Q936" s="68"/>
      <c r="R936" s="68"/>
      <c r="S936" s="68"/>
      <c r="T936" s="68"/>
      <c r="U936" s="68"/>
      <c r="V936" s="68"/>
      <c r="W936" s="68"/>
      <c r="X936" s="68"/>
      <c r="Y936" s="68"/>
      <c r="Z936" s="68"/>
    </row>
    <row r="937">
      <c r="A937" s="68"/>
      <c r="B937" s="68"/>
      <c r="C937" s="68"/>
      <c r="D937" s="68"/>
      <c r="E937" s="68"/>
      <c r="F937" s="68"/>
      <c r="G937" s="68"/>
      <c r="H937" s="68"/>
      <c r="I937" s="68"/>
      <c r="J937" s="68"/>
      <c r="K937" s="68"/>
      <c r="L937" s="68"/>
      <c r="M937" s="68"/>
      <c r="N937" s="68"/>
      <c r="O937" s="68"/>
      <c r="P937" s="68"/>
      <c r="Q937" s="68"/>
      <c r="R937" s="68"/>
      <c r="S937" s="68"/>
      <c r="T937" s="68"/>
      <c r="U937" s="68"/>
      <c r="V937" s="68"/>
      <c r="W937" s="68"/>
      <c r="X937" s="68"/>
      <c r="Y937" s="68"/>
      <c r="Z937" s="68"/>
    </row>
    <row r="938">
      <c r="A938" s="68"/>
      <c r="B938" s="68"/>
      <c r="C938" s="68"/>
      <c r="D938" s="68"/>
      <c r="E938" s="68"/>
      <c r="F938" s="68"/>
      <c r="G938" s="68"/>
      <c r="H938" s="68"/>
      <c r="I938" s="68"/>
      <c r="J938" s="68"/>
      <c r="K938" s="68"/>
      <c r="L938" s="68"/>
      <c r="M938" s="68"/>
      <c r="N938" s="68"/>
      <c r="O938" s="68"/>
      <c r="P938" s="68"/>
      <c r="Q938" s="68"/>
      <c r="R938" s="68"/>
      <c r="S938" s="68"/>
      <c r="T938" s="68"/>
      <c r="U938" s="68"/>
      <c r="V938" s="68"/>
      <c r="W938" s="68"/>
      <c r="X938" s="68"/>
      <c r="Y938" s="68"/>
      <c r="Z938" s="68"/>
    </row>
    <row r="939">
      <c r="A939" s="68"/>
      <c r="B939" s="68"/>
      <c r="C939" s="68"/>
      <c r="D939" s="68"/>
      <c r="E939" s="68"/>
      <c r="F939" s="68"/>
      <c r="G939" s="68"/>
      <c r="H939" s="68"/>
      <c r="I939" s="68"/>
      <c r="J939" s="68"/>
      <c r="K939" s="68"/>
      <c r="L939" s="68"/>
      <c r="M939" s="68"/>
      <c r="N939" s="68"/>
      <c r="O939" s="68"/>
      <c r="P939" s="68"/>
      <c r="Q939" s="68"/>
      <c r="R939" s="68"/>
      <c r="S939" s="68"/>
      <c r="T939" s="68"/>
      <c r="U939" s="68"/>
      <c r="V939" s="68"/>
      <c r="W939" s="68"/>
      <c r="X939" s="68"/>
      <c r="Y939" s="68"/>
      <c r="Z939" s="68"/>
    </row>
    <row r="940">
      <c r="A940" s="68"/>
      <c r="B940" s="68"/>
      <c r="C940" s="68"/>
      <c r="D940" s="68"/>
      <c r="E940" s="68"/>
      <c r="F940" s="68"/>
      <c r="G940" s="68"/>
      <c r="H940" s="68"/>
      <c r="I940" s="68"/>
      <c r="J940" s="68"/>
      <c r="K940" s="68"/>
      <c r="L940" s="68"/>
      <c r="M940" s="68"/>
      <c r="N940" s="68"/>
      <c r="O940" s="68"/>
      <c r="P940" s="68"/>
      <c r="Q940" s="68"/>
      <c r="R940" s="68"/>
      <c r="S940" s="68"/>
      <c r="T940" s="68"/>
      <c r="U940" s="68"/>
      <c r="V940" s="68"/>
      <c r="W940" s="68"/>
      <c r="X940" s="68"/>
      <c r="Y940" s="68"/>
      <c r="Z940" s="68"/>
    </row>
    <row r="941">
      <c r="A941" s="68"/>
      <c r="B941" s="68"/>
      <c r="C941" s="68"/>
      <c r="D941" s="68"/>
      <c r="E941" s="68"/>
      <c r="F941" s="68"/>
      <c r="G941" s="68"/>
      <c r="H941" s="68"/>
      <c r="I941" s="68"/>
      <c r="J941" s="68"/>
      <c r="K941" s="68"/>
      <c r="L941" s="68"/>
      <c r="M941" s="68"/>
      <c r="N941" s="68"/>
      <c r="O941" s="68"/>
      <c r="P941" s="68"/>
      <c r="Q941" s="68"/>
      <c r="R941" s="68"/>
      <c r="S941" s="68"/>
      <c r="T941" s="68"/>
      <c r="U941" s="68"/>
      <c r="V941" s="68"/>
      <c r="W941" s="68"/>
      <c r="X941" s="68"/>
      <c r="Y941" s="68"/>
      <c r="Z941" s="68"/>
    </row>
    <row r="942">
      <c r="A942" s="68"/>
      <c r="B942" s="68"/>
      <c r="C942" s="68"/>
      <c r="D942" s="68"/>
      <c r="E942" s="68"/>
      <c r="F942" s="68"/>
      <c r="G942" s="68"/>
      <c r="H942" s="68"/>
      <c r="I942" s="68"/>
      <c r="J942" s="68"/>
      <c r="K942" s="68"/>
      <c r="L942" s="68"/>
      <c r="M942" s="68"/>
      <c r="N942" s="68"/>
      <c r="O942" s="68"/>
      <c r="P942" s="68"/>
      <c r="Q942" s="68"/>
      <c r="R942" s="68"/>
      <c r="S942" s="68"/>
      <c r="T942" s="68"/>
      <c r="U942" s="68"/>
      <c r="V942" s="68"/>
      <c r="W942" s="68"/>
      <c r="X942" s="68"/>
      <c r="Y942" s="68"/>
      <c r="Z942" s="68"/>
    </row>
    <row r="943">
      <c r="A943" s="68"/>
      <c r="B943" s="68"/>
      <c r="C943" s="68"/>
      <c r="D943" s="68"/>
      <c r="E943" s="68"/>
      <c r="F943" s="68"/>
      <c r="G943" s="68"/>
      <c r="H943" s="68"/>
      <c r="I943" s="68"/>
      <c r="J943" s="68"/>
      <c r="K943" s="68"/>
      <c r="L943" s="68"/>
      <c r="M943" s="68"/>
      <c r="N943" s="68"/>
      <c r="O943" s="68"/>
      <c r="P943" s="68"/>
      <c r="Q943" s="68"/>
      <c r="R943" s="68"/>
      <c r="S943" s="68"/>
      <c r="T943" s="68"/>
      <c r="U943" s="68"/>
      <c r="V943" s="68"/>
      <c r="W943" s="68"/>
      <c r="X943" s="68"/>
      <c r="Y943" s="68"/>
      <c r="Z943" s="68"/>
    </row>
    <row r="944">
      <c r="A944" s="68"/>
      <c r="B944" s="68"/>
      <c r="C944" s="68"/>
      <c r="D944" s="68"/>
      <c r="E944" s="68"/>
      <c r="F944" s="68"/>
      <c r="G944" s="68"/>
      <c r="H944" s="68"/>
      <c r="I944" s="68"/>
      <c r="J944" s="68"/>
      <c r="K944" s="68"/>
      <c r="L944" s="68"/>
      <c r="M944" s="68"/>
      <c r="N944" s="68"/>
      <c r="O944" s="68"/>
      <c r="P944" s="68"/>
      <c r="Q944" s="68"/>
      <c r="R944" s="68"/>
      <c r="S944" s="68"/>
      <c r="T944" s="68"/>
      <c r="U944" s="68"/>
      <c r="V944" s="68"/>
      <c r="W944" s="68"/>
      <c r="X944" s="68"/>
      <c r="Y944" s="68"/>
      <c r="Z944" s="68"/>
    </row>
    <row r="945">
      <c r="A945" s="68"/>
      <c r="B945" s="68"/>
      <c r="C945" s="68"/>
      <c r="D945" s="68"/>
      <c r="E945" s="68"/>
      <c r="F945" s="68"/>
      <c r="G945" s="68"/>
      <c r="H945" s="68"/>
      <c r="I945" s="68"/>
      <c r="J945" s="68"/>
      <c r="K945" s="68"/>
      <c r="L945" s="68"/>
      <c r="M945" s="68"/>
      <c r="N945" s="68"/>
      <c r="O945" s="68"/>
      <c r="P945" s="68"/>
      <c r="Q945" s="68"/>
      <c r="R945" s="68"/>
      <c r="S945" s="68"/>
      <c r="T945" s="68"/>
      <c r="U945" s="68"/>
      <c r="V945" s="68"/>
      <c r="W945" s="68"/>
      <c r="X945" s="68"/>
      <c r="Y945" s="68"/>
      <c r="Z945" s="68"/>
    </row>
    <row r="946">
      <c r="A946" s="68"/>
      <c r="B946" s="68"/>
      <c r="C946" s="68"/>
      <c r="D946" s="68"/>
      <c r="E946" s="68"/>
      <c r="F946" s="68"/>
      <c r="G946" s="68"/>
      <c r="H946" s="68"/>
      <c r="I946" s="68"/>
      <c r="J946" s="68"/>
      <c r="K946" s="68"/>
      <c r="L946" s="68"/>
      <c r="M946" s="68"/>
      <c r="N946" s="68"/>
      <c r="O946" s="68"/>
      <c r="P946" s="68"/>
      <c r="Q946" s="68"/>
      <c r="R946" s="68"/>
      <c r="S946" s="68"/>
      <c r="T946" s="68"/>
      <c r="U946" s="68"/>
      <c r="V946" s="68"/>
      <c r="W946" s="68"/>
      <c r="X946" s="68"/>
      <c r="Y946" s="68"/>
      <c r="Z946" s="68"/>
    </row>
    <row r="947">
      <c r="A947" s="68"/>
      <c r="B947" s="68"/>
      <c r="C947" s="68"/>
      <c r="D947" s="68"/>
      <c r="E947" s="68"/>
      <c r="F947" s="68"/>
      <c r="G947" s="68"/>
      <c r="H947" s="68"/>
      <c r="I947" s="68"/>
      <c r="J947" s="68"/>
      <c r="K947" s="68"/>
      <c r="L947" s="68"/>
      <c r="M947" s="68"/>
      <c r="N947" s="68"/>
      <c r="O947" s="68"/>
      <c r="P947" s="68"/>
      <c r="Q947" s="68"/>
      <c r="R947" s="68"/>
      <c r="S947" s="68"/>
      <c r="T947" s="68"/>
      <c r="U947" s="68"/>
      <c r="V947" s="68"/>
      <c r="W947" s="68"/>
      <c r="X947" s="68"/>
      <c r="Y947" s="68"/>
      <c r="Z947" s="68"/>
    </row>
    <row r="948">
      <c r="A948" s="68"/>
      <c r="B948" s="68"/>
      <c r="C948" s="68"/>
      <c r="D948" s="68"/>
      <c r="E948" s="68"/>
      <c r="F948" s="68"/>
      <c r="G948" s="68"/>
      <c r="H948" s="68"/>
      <c r="I948" s="68"/>
      <c r="J948" s="68"/>
      <c r="K948" s="68"/>
      <c r="L948" s="68"/>
      <c r="M948" s="68"/>
      <c r="N948" s="68"/>
      <c r="O948" s="68"/>
      <c r="P948" s="68"/>
      <c r="Q948" s="68"/>
      <c r="R948" s="68"/>
      <c r="S948" s="68"/>
      <c r="T948" s="68"/>
      <c r="U948" s="68"/>
      <c r="V948" s="68"/>
      <c r="W948" s="68"/>
      <c r="X948" s="68"/>
      <c r="Y948" s="68"/>
      <c r="Z948" s="68"/>
    </row>
    <row r="949">
      <c r="A949" s="68"/>
      <c r="B949" s="68"/>
      <c r="C949" s="68"/>
      <c r="D949" s="68"/>
      <c r="E949" s="68"/>
      <c r="F949" s="68"/>
      <c r="G949" s="68"/>
      <c r="H949" s="68"/>
      <c r="I949" s="68"/>
      <c r="J949" s="68"/>
      <c r="K949" s="68"/>
      <c r="L949" s="68"/>
      <c r="M949" s="68"/>
      <c r="N949" s="68"/>
      <c r="O949" s="68"/>
      <c r="P949" s="68"/>
      <c r="Q949" s="68"/>
      <c r="R949" s="68"/>
      <c r="S949" s="68"/>
      <c r="T949" s="68"/>
      <c r="U949" s="68"/>
      <c r="V949" s="68"/>
      <c r="W949" s="68"/>
      <c r="X949" s="68"/>
      <c r="Y949" s="68"/>
      <c r="Z949" s="68"/>
    </row>
    <row r="950">
      <c r="A950" s="68"/>
      <c r="B950" s="68"/>
      <c r="C950" s="68"/>
      <c r="D950" s="68"/>
      <c r="E950" s="68"/>
      <c r="F950" s="68"/>
      <c r="G950" s="68"/>
      <c r="H950" s="68"/>
      <c r="I950" s="68"/>
      <c r="J950" s="68"/>
      <c r="K950" s="68"/>
      <c r="L950" s="68"/>
      <c r="M950" s="68"/>
      <c r="N950" s="68"/>
      <c r="O950" s="68"/>
      <c r="P950" s="68"/>
      <c r="Q950" s="68"/>
      <c r="R950" s="68"/>
      <c r="S950" s="68"/>
      <c r="T950" s="68"/>
      <c r="U950" s="68"/>
      <c r="V950" s="68"/>
      <c r="W950" s="68"/>
      <c r="X950" s="68"/>
      <c r="Y950" s="68"/>
      <c r="Z950" s="68"/>
    </row>
    <row r="951">
      <c r="A951" s="68"/>
      <c r="B951" s="68"/>
      <c r="C951" s="68"/>
      <c r="D951" s="68"/>
      <c r="E951" s="68"/>
      <c r="F951" s="68"/>
      <c r="G951" s="68"/>
      <c r="H951" s="68"/>
      <c r="I951" s="68"/>
      <c r="J951" s="68"/>
      <c r="K951" s="68"/>
      <c r="L951" s="68"/>
      <c r="M951" s="68"/>
      <c r="N951" s="68"/>
      <c r="O951" s="68"/>
      <c r="P951" s="68"/>
      <c r="Q951" s="68"/>
      <c r="R951" s="68"/>
      <c r="S951" s="68"/>
      <c r="T951" s="68"/>
      <c r="U951" s="68"/>
      <c r="V951" s="68"/>
      <c r="W951" s="68"/>
      <c r="X951" s="68"/>
      <c r="Y951" s="68"/>
      <c r="Z951" s="68"/>
    </row>
    <row r="952">
      <c r="A952" s="68"/>
      <c r="B952" s="68"/>
      <c r="C952" s="68"/>
      <c r="D952" s="68"/>
      <c r="E952" s="68"/>
      <c r="F952" s="68"/>
      <c r="G952" s="68"/>
      <c r="H952" s="68"/>
      <c r="I952" s="68"/>
      <c r="J952" s="68"/>
      <c r="K952" s="68"/>
      <c r="L952" s="68"/>
      <c r="M952" s="68"/>
      <c r="N952" s="68"/>
      <c r="O952" s="68"/>
      <c r="P952" s="68"/>
      <c r="Q952" s="68"/>
      <c r="R952" s="68"/>
      <c r="S952" s="68"/>
      <c r="T952" s="68"/>
      <c r="U952" s="68"/>
      <c r="V952" s="68"/>
      <c r="W952" s="68"/>
      <c r="X952" s="68"/>
      <c r="Y952" s="68"/>
      <c r="Z952" s="68"/>
    </row>
    <row r="953">
      <c r="A953" s="68"/>
      <c r="B953" s="68"/>
      <c r="C953" s="68"/>
      <c r="D953" s="68"/>
      <c r="E953" s="68"/>
      <c r="F953" s="68"/>
      <c r="G953" s="68"/>
      <c r="H953" s="68"/>
      <c r="I953" s="68"/>
      <c r="J953" s="68"/>
      <c r="K953" s="68"/>
      <c r="L953" s="68"/>
      <c r="M953" s="68"/>
      <c r="N953" s="68"/>
      <c r="O953" s="68"/>
      <c r="P953" s="68"/>
      <c r="Q953" s="68"/>
      <c r="R953" s="68"/>
      <c r="S953" s="68"/>
      <c r="T953" s="68"/>
      <c r="U953" s="68"/>
      <c r="V953" s="68"/>
      <c r="W953" s="68"/>
      <c r="X953" s="68"/>
      <c r="Y953" s="68"/>
      <c r="Z953" s="68"/>
    </row>
    <row r="954">
      <c r="A954" s="68"/>
      <c r="B954" s="68"/>
      <c r="C954" s="68"/>
      <c r="D954" s="68"/>
      <c r="E954" s="68"/>
      <c r="F954" s="68"/>
      <c r="G954" s="68"/>
      <c r="H954" s="68"/>
      <c r="I954" s="68"/>
      <c r="J954" s="68"/>
      <c r="K954" s="68"/>
      <c r="L954" s="68"/>
      <c r="M954" s="68"/>
      <c r="N954" s="68"/>
      <c r="O954" s="68"/>
      <c r="P954" s="68"/>
      <c r="Q954" s="68"/>
      <c r="R954" s="68"/>
      <c r="S954" s="68"/>
      <c r="T954" s="68"/>
      <c r="U954" s="68"/>
      <c r="V954" s="68"/>
      <c r="W954" s="68"/>
      <c r="X954" s="68"/>
      <c r="Y954" s="68"/>
      <c r="Z954" s="68"/>
    </row>
    <row r="955">
      <c r="A955" s="68"/>
      <c r="B955" s="68"/>
      <c r="C955" s="68"/>
      <c r="D955" s="68"/>
      <c r="E955" s="68"/>
      <c r="F955" s="68"/>
      <c r="G955" s="68"/>
      <c r="H955" s="68"/>
      <c r="I955" s="68"/>
      <c r="J955" s="68"/>
      <c r="K955" s="68"/>
      <c r="L955" s="68"/>
      <c r="M955" s="68"/>
      <c r="N955" s="68"/>
      <c r="O955" s="68"/>
      <c r="P955" s="68"/>
      <c r="Q955" s="68"/>
      <c r="R955" s="68"/>
      <c r="S955" s="68"/>
      <c r="T955" s="68"/>
      <c r="U955" s="68"/>
      <c r="V955" s="68"/>
      <c r="W955" s="68"/>
      <c r="X955" s="68"/>
      <c r="Y955" s="68"/>
      <c r="Z955" s="68"/>
    </row>
    <row r="956">
      <c r="A956" s="68"/>
      <c r="B956" s="68"/>
      <c r="C956" s="68"/>
      <c r="D956" s="68"/>
      <c r="E956" s="68"/>
      <c r="F956" s="68"/>
      <c r="G956" s="68"/>
      <c r="H956" s="68"/>
      <c r="I956" s="68"/>
      <c r="J956" s="68"/>
      <c r="K956" s="68"/>
      <c r="L956" s="68"/>
      <c r="M956" s="68"/>
      <c r="N956" s="68"/>
      <c r="O956" s="68"/>
      <c r="P956" s="68"/>
      <c r="Q956" s="68"/>
      <c r="R956" s="68"/>
      <c r="S956" s="68"/>
      <c r="T956" s="68"/>
      <c r="U956" s="68"/>
      <c r="V956" s="68"/>
      <c r="W956" s="68"/>
      <c r="X956" s="68"/>
      <c r="Y956" s="68"/>
      <c r="Z956" s="68"/>
    </row>
    <row r="957">
      <c r="A957" s="68"/>
      <c r="B957" s="68"/>
      <c r="C957" s="68"/>
      <c r="D957" s="68"/>
      <c r="E957" s="68"/>
      <c r="F957" s="68"/>
      <c r="G957" s="68"/>
      <c r="H957" s="68"/>
      <c r="I957" s="68"/>
      <c r="J957" s="68"/>
      <c r="K957" s="68"/>
      <c r="L957" s="68"/>
      <c r="M957" s="68"/>
      <c r="N957" s="68"/>
      <c r="O957" s="68"/>
      <c r="P957" s="68"/>
      <c r="Q957" s="68"/>
      <c r="R957" s="68"/>
      <c r="S957" s="68"/>
      <c r="T957" s="68"/>
      <c r="U957" s="68"/>
      <c r="V957" s="68"/>
      <c r="W957" s="68"/>
      <c r="X957" s="68"/>
      <c r="Y957" s="68"/>
      <c r="Z957" s="68"/>
    </row>
    <row r="958">
      <c r="A958" s="68"/>
      <c r="B958" s="68"/>
      <c r="C958" s="68"/>
      <c r="D958" s="68"/>
      <c r="E958" s="68"/>
      <c r="F958" s="68"/>
      <c r="G958" s="68"/>
      <c r="H958" s="68"/>
      <c r="I958" s="68"/>
      <c r="J958" s="68"/>
      <c r="K958" s="68"/>
      <c r="L958" s="68"/>
      <c r="M958" s="68"/>
      <c r="N958" s="68"/>
      <c r="O958" s="68"/>
      <c r="P958" s="68"/>
      <c r="Q958" s="68"/>
      <c r="R958" s="68"/>
      <c r="S958" s="68"/>
      <c r="T958" s="68"/>
      <c r="U958" s="68"/>
      <c r="V958" s="68"/>
      <c r="W958" s="68"/>
      <c r="X958" s="68"/>
      <c r="Y958" s="68"/>
      <c r="Z958" s="68"/>
    </row>
    <row r="959">
      <c r="A959" s="68"/>
      <c r="B959" s="68"/>
      <c r="C959" s="68"/>
      <c r="D959" s="68"/>
      <c r="E959" s="68"/>
      <c r="F959" s="68"/>
      <c r="G959" s="68"/>
      <c r="H959" s="68"/>
      <c r="I959" s="68"/>
      <c r="J959" s="68"/>
      <c r="K959" s="68"/>
      <c r="L959" s="68"/>
      <c r="M959" s="68"/>
      <c r="N959" s="68"/>
      <c r="O959" s="68"/>
      <c r="P959" s="68"/>
      <c r="Q959" s="68"/>
      <c r="R959" s="68"/>
      <c r="S959" s="68"/>
      <c r="T959" s="68"/>
      <c r="U959" s="68"/>
      <c r="V959" s="68"/>
      <c r="W959" s="68"/>
      <c r="X959" s="68"/>
      <c r="Y959" s="68"/>
      <c r="Z959" s="68"/>
    </row>
    <row r="960">
      <c r="A960" s="68"/>
      <c r="B960" s="68"/>
      <c r="C960" s="68"/>
      <c r="D960" s="68"/>
      <c r="E960" s="68"/>
      <c r="F960" s="68"/>
      <c r="G960" s="68"/>
      <c r="H960" s="68"/>
      <c r="I960" s="68"/>
      <c r="J960" s="68"/>
      <c r="K960" s="68"/>
      <c r="L960" s="68"/>
      <c r="M960" s="68"/>
      <c r="N960" s="68"/>
      <c r="O960" s="68"/>
      <c r="P960" s="68"/>
      <c r="Q960" s="68"/>
      <c r="R960" s="68"/>
      <c r="S960" s="68"/>
      <c r="T960" s="68"/>
      <c r="U960" s="68"/>
      <c r="V960" s="68"/>
      <c r="W960" s="68"/>
      <c r="X960" s="68"/>
      <c r="Y960" s="68"/>
      <c r="Z960" s="68"/>
    </row>
    <row r="961">
      <c r="A961" s="68"/>
      <c r="B961" s="68"/>
      <c r="C961" s="68"/>
      <c r="D961" s="68"/>
      <c r="E961" s="68"/>
      <c r="F961" s="68"/>
      <c r="G961" s="68"/>
      <c r="H961" s="68"/>
      <c r="I961" s="68"/>
      <c r="J961" s="68"/>
      <c r="K961" s="68"/>
      <c r="L961" s="68"/>
      <c r="M961" s="68"/>
      <c r="N961" s="68"/>
      <c r="O961" s="68"/>
      <c r="P961" s="68"/>
      <c r="Q961" s="68"/>
      <c r="R961" s="68"/>
      <c r="S961" s="68"/>
      <c r="T961" s="68"/>
      <c r="U961" s="68"/>
      <c r="V961" s="68"/>
      <c r="W961" s="68"/>
      <c r="X961" s="68"/>
      <c r="Y961" s="68"/>
      <c r="Z961" s="68"/>
    </row>
    <row r="962">
      <c r="A962" s="68"/>
      <c r="B962" s="68"/>
      <c r="C962" s="68"/>
      <c r="D962" s="68"/>
      <c r="E962" s="68"/>
      <c r="F962" s="68"/>
      <c r="G962" s="68"/>
      <c r="H962" s="68"/>
      <c r="I962" s="68"/>
      <c r="J962" s="68"/>
      <c r="K962" s="68"/>
      <c r="L962" s="68"/>
      <c r="M962" s="68"/>
      <c r="N962" s="68"/>
      <c r="O962" s="68"/>
      <c r="P962" s="68"/>
      <c r="Q962" s="68"/>
      <c r="R962" s="68"/>
      <c r="S962" s="68"/>
      <c r="T962" s="68"/>
      <c r="U962" s="68"/>
      <c r="V962" s="68"/>
      <c r="W962" s="68"/>
      <c r="X962" s="68"/>
      <c r="Y962" s="68"/>
      <c r="Z962" s="68"/>
    </row>
    <row r="963">
      <c r="A963" s="68"/>
      <c r="B963" s="68"/>
      <c r="C963" s="68"/>
      <c r="D963" s="68"/>
      <c r="E963" s="68"/>
      <c r="F963" s="68"/>
      <c r="G963" s="68"/>
      <c r="H963" s="68"/>
      <c r="I963" s="68"/>
      <c r="J963" s="68"/>
      <c r="K963" s="68"/>
      <c r="L963" s="68"/>
      <c r="M963" s="68"/>
      <c r="N963" s="68"/>
      <c r="O963" s="68"/>
      <c r="P963" s="68"/>
      <c r="Q963" s="68"/>
      <c r="R963" s="68"/>
      <c r="S963" s="68"/>
      <c r="T963" s="68"/>
      <c r="U963" s="68"/>
      <c r="V963" s="68"/>
      <c r="W963" s="68"/>
      <c r="X963" s="68"/>
      <c r="Y963" s="68"/>
      <c r="Z963" s="68"/>
    </row>
    <row r="964">
      <c r="A964" s="68"/>
      <c r="B964" s="68"/>
      <c r="C964" s="68"/>
      <c r="D964" s="68"/>
      <c r="E964" s="68"/>
      <c r="F964" s="68"/>
      <c r="G964" s="68"/>
      <c r="H964" s="68"/>
      <c r="I964" s="68"/>
      <c r="J964" s="68"/>
      <c r="K964" s="68"/>
      <c r="L964" s="68"/>
      <c r="M964" s="68"/>
      <c r="N964" s="68"/>
      <c r="O964" s="68"/>
      <c r="P964" s="68"/>
      <c r="Q964" s="68"/>
      <c r="R964" s="68"/>
      <c r="S964" s="68"/>
      <c r="T964" s="68"/>
      <c r="U964" s="68"/>
      <c r="V964" s="68"/>
      <c r="W964" s="68"/>
      <c r="X964" s="68"/>
      <c r="Y964" s="68"/>
      <c r="Z964" s="68"/>
    </row>
    <row r="965">
      <c r="A965" s="68"/>
      <c r="B965" s="68"/>
      <c r="C965" s="68"/>
      <c r="D965" s="68"/>
      <c r="E965" s="68"/>
      <c r="F965" s="68"/>
      <c r="G965" s="68"/>
      <c r="H965" s="68"/>
      <c r="I965" s="68"/>
      <c r="J965" s="68"/>
      <c r="K965" s="68"/>
      <c r="L965" s="68"/>
      <c r="M965" s="68"/>
      <c r="N965" s="68"/>
      <c r="O965" s="68"/>
      <c r="P965" s="68"/>
      <c r="Q965" s="68"/>
      <c r="R965" s="68"/>
      <c r="S965" s="68"/>
      <c r="T965" s="68"/>
      <c r="U965" s="68"/>
      <c r="V965" s="68"/>
      <c r="W965" s="68"/>
      <c r="X965" s="68"/>
      <c r="Y965" s="68"/>
      <c r="Z965" s="68"/>
    </row>
    <row r="966">
      <c r="A966" s="68"/>
      <c r="B966" s="68"/>
      <c r="C966" s="68"/>
      <c r="D966" s="68"/>
      <c r="E966" s="68"/>
      <c r="F966" s="68"/>
      <c r="G966" s="68"/>
      <c r="H966" s="68"/>
      <c r="I966" s="68"/>
      <c r="J966" s="68"/>
      <c r="K966" s="68"/>
      <c r="L966" s="68"/>
      <c r="M966" s="68"/>
      <c r="N966" s="68"/>
      <c r="O966" s="68"/>
      <c r="P966" s="68"/>
      <c r="Q966" s="68"/>
      <c r="R966" s="68"/>
      <c r="S966" s="68"/>
      <c r="T966" s="68"/>
      <c r="U966" s="68"/>
      <c r="V966" s="68"/>
      <c r="W966" s="68"/>
      <c r="X966" s="68"/>
      <c r="Y966" s="68"/>
      <c r="Z966" s="68"/>
    </row>
    <row r="967">
      <c r="A967" s="68"/>
      <c r="B967" s="68"/>
      <c r="C967" s="68"/>
      <c r="D967" s="68"/>
      <c r="E967" s="68"/>
      <c r="F967" s="68"/>
      <c r="G967" s="68"/>
      <c r="H967" s="68"/>
      <c r="I967" s="68"/>
      <c r="J967" s="68"/>
      <c r="K967" s="68"/>
      <c r="L967" s="68"/>
      <c r="M967" s="68"/>
      <c r="N967" s="68"/>
      <c r="O967" s="68"/>
      <c r="P967" s="68"/>
      <c r="Q967" s="68"/>
      <c r="R967" s="68"/>
      <c r="S967" s="68"/>
      <c r="T967" s="68"/>
      <c r="U967" s="68"/>
      <c r="V967" s="68"/>
      <c r="W967" s="68"/>
      <c r="X967" s="68"/>
      <c r="Y967" s="68"/>
      <c r="Z967" s="68"/>
    </row>
    <row r="968">
      <c r="A968" s="68"/>
      <c r="B968" s="68"/>
      <c r="C968" s="68"/>
      <c r="D968" s="68"/>
      <c r="E968" s="68"/>
      <c r="F968" s="68"/>
      <c r="G968" s="68"/>
      <c r="H968" s="68"/>
      <c r="I968" s="68"/>
      <c r="J968" s="68"/>
      <c r="K968" s="68"/>
      <c r="L968" s="68"/>
      <c r="M968" s="68"/>
      <c r="N968" s="68"/>
      <c r="O968" s="68"/>
      <c r="P968" s="68"/>
      <c r="Q968" s="68"/>
      <c r="R968" s="68"/>
      <c r="S968" s="68"/>
      <c r="T968" s="68"/>
      <c r="U968" s="68"/>
      <c r="V968" s="68"/>
      <c r="W968" s="68"/>
      <c r="X968" s="68"/>
      <c r="Y968" s="68"/>
      <c r="Z968" s="68"/>
    </row>
    <row r="969">
      <c r="A969" s="68"/>
      <c r="B969" s="68"/>
      <c r="C969" s="68"/>
      <c r="D969" s="68"/>
      <c r="E969" s="68"/>
      <c r="F969" s="68"/>
      <c r="G969" s="68"/>
      <c r="H969" s="68"/>
      <c r="I969" s="68"/>
      <c r="J969" s="68"/>
      <c r="K969" s="68"/>
      <c r="L969" s="68"/>
      <c r="M969" s="68"/>
      <c r="N969" s="68"/>
      <c r="O969" s="68"/>
      <c r="P969" s="68"/>
      <c r="Q969" s="68"/>
      <c r="R969" s="68"/>
      <c r="S969" s="68"/>
      <c r="T969" s="68"/>
      <c r="U969" s="68"/>
      <c r="V969" s="68"/>
      <c r="W969" s="68"/>
      <c r="X969" s="68"/>
      <c r="Y969" s="68"/>
      <c r="Z969" s="68"/>
    </row>
    <row r="970">
      <c r="A970" s="68"/>
      <c r="B970" s="68"/>
      <c r="C970" s="68"/>
      <c r="D970" s="68"/>
      <c r="E970" s="68"/>
      <c r="F970" s="68"/>
      <c r="G970" s="68"/>
      <c r="H970" s="68"/>
      <c r="I970" s="68"/>
      <c r="J970" s="68"/>
      <c r="K970" s="68"/>
      <c r="L970" s="68"/>
      <c r="M970" s="68"/>
      <c r="N970" s="68"/>
      <c r="O970" s="68"/>
      <c r="P970" s="68"/>
      <c r="Q970" s="68"/>
      <c r="R970" s="68"/>
      <c r="S970" s="68"/>
      <c r="T970" s="68"/>
      <c r="U970" s="68"/>
      <c r="V970" s="68"/>
      <c r="W970" s="68"/>
      <c r="X970" s="68"/>
      <c r="Y970" s="68"/>
      <c r="Z970" s="68"/>
    </row>
    <row r="971">
      <c r="A971" s="68"/>
      <c r="B971" s="68"/>
      <c r="C971" s="68"/>
      <c r="D971" s="68"/>
      <c r="E971" s="68"/>
      <c r="F971" s="68"/>
      <c r="G971" s="68"/>
      <c r="H971" s="68"/>
      <c r="I971" s="68"/>
      <c r="J971" s="68"/>
      <c r="K971" s="68"/>
      <c r="L971" s="68"/>
      <c r="M971" s="68"/>
      <c r="N971" s="68"/>
      <c r="O971" s="68"/>
      <c r="P971" s="68"/>
      <c r="Q971" s="68"/>
      <c r="R971" s="68"/>
      <c r="S971" s="68"/>
      <c r="T971" s="68"/>
      <c r="U971" s="68"/>
      <c r="V971" s="68"/>
      <c r="W971" s="68"/>
      <c r="X971" s="68"/>
      <c r="Y971" s="68"/>
      <c r="Z971" s="68"/>
    </row>
    <row r="972">
      <c r="A972" s="68"/>
      <c r="B972" s="68"/>
      <c r="C972" s="68"/>
      <c r="D972" s="68"/>
      <c r="E972" s="68"/>
      <c r="F972" s="68"/>
      <c r="G972" s="68"/>
      <c r="H972" s="68"/>
      <c r="I972" s="68"/>
      <c r="J972" s="68"/>
      <c r="K972" s="68"/>
      <c r="L972" s="68"/>
      <c r="M972" s="68"/>
      <c r="N972" s="68"/>
      <c r="O972" s="68"/>
      <c r="P972" s="68"/>
      <c r="Q972" s="68"/>
      <c r="R972" s="68"/>
      <c r="S972" s="68"/>
      <c r="T972" s="68"/>
      <c r="U972" s="68"/>
      <c r="V972" s="68"/>
      <c r="W972" s="68"/>
      <c r="X972" s="68"/>
      <c r="Y972" s="68"/>
      <c r="Z972" s="68"/>
    </row>
    <row r="973">
      <c r="A973" s="68"/>
      <c r="B973" s="68"/>
      <c r="C973" s="68"/>
      <c r="D973" s="68"/>
      <c r="E973" s="68"/>
      <c r="F973" s="68"/>
      <c r="G973" s="68"/>
      <c r="H973" s="68"/>
      <c r="I973" s="68"/>
      <c r="J973" s="68"/>
      <c r="K973" s="68"/>
      <c r="L973" s="68"/>
      <c r="M973" s="68"/>
      <c r="N973" s="68"/>
      <c r="O973" s="68"/>
      <c r="P973" s="68"/>
      <c r="Q973" s="68"/>
      <c r="R973" s="68"/>
      <c r="S973" s="68"/>
      <c r="T973" s="68"/>
      <c r="U973" s="68"/>
      <c r="V973" s="68"/>
      <c r="W973" s="68"/>
      <c r="X973" s="68"/>
      <c r="Y973" s="68"/>
      <c r="Z973" s="68"/>
    </row>
    <row r="974">
      <c r="A974" s="68"/>
      <c r="B974" s="68"/>
      <c r="C974" s="68"/>
      <c r="D974" s="68"/>
      <c r="E974" s="68"/>
      <c r="F974" s="68"/>
      <c r="G974" s="68"/>
      <c r="H974" s="68"/>
      <c r="I974" s="68"/>
      <c r="J974" s="68"/>
      <c r="K974" s="68"/>
      <c r="L974" s="68"/>
      <c r="M974" s="68"/>
      <c r="N974" s="68"/>
      <c r="O974" s="68"/>
      <c r="P974" s="68"/>
      <c r="Q974" s="68"/>
      <c r="R974" s="68"/>
      <c r="S974" s="68"/>
      <c r="T974" s="68"/>
      <c r="U974" s="68"/>
      <c r="V974" s="68"/>
      <c r="W974" s="68"/>
      <c r="X974" s="68"/>
      <c r="Y974" s="68"/>
      <c r="Z974" s="68"/>
    </row>
    <row r="975">
      <c r="A975" s="68"/>
      <c r="B975" s="68"/>
      <c r="C975" s="68"/>
      <c r="D975" s="68"/>
      <c r="E975" s="68"/>
      <c r="F975" s="68"/>
      <c r="G975" s="68"/>
      <c r="H975" s="68"/>
      <c r="I975" s="68"/>
      <c r="J975" s="68"/>
      <c r="K975" s="68"/>
      <c r="L975" s="68"/>
      <c r="M975" s="68"/>
      <c r="N975" s="68"/>
      <c r="O975" s="68"/>
      <c r="P975" s="68"/>
      <c r="Q975" s="68"/>
      <c r="R975" s="68"/>
      <c r="S975" s="68"/>
      <c r="T975" s="68"/>
      <c r="U975" s="68"/>
      <c r="V975" s="68"/>
      <c r="W975" s="68"/>
      <c r="X975" s="68"/>
      <c r="Y975" s="68"/>
      <c r="Z975" s="68"/>
    </row>
  </sheetData>
  <dataValidations>
    <dataValidation type="list" allowBlank="1" sqref="C10:C18 C21 C23:C30">
      <formula1>"Family Office,Fund of Funds,Multi-family Office,Government,Pension Fund,Insurance,Bank,Charitable Organization,Endowment,Utility Provider,Technology,Religious,Asset Manager,Union,Property Investment,Corporate,Angel,Incubator,HNWI,Other"</formula1>
    </dataValidation>
    <dataValidation type="list" allowBlank="1" showErrorMessage="1" sqref="G10:G30">
      <formula1>"Website,Private data provider,Public data provider,Internal data,LinkedIn,News article,Portfolio,Data manager judgement"</formula1>
    </dataValidation>
    <dataValidation type="list" allowBlank="1" showErrorMessage="1" sqref="C7">
      <formula1>"Green,Yellow,Red"</formula1>
    </dataValidation>
    <dataValidation type="list" allowBlank="1" showErrorMessage="1" sqref="I10:I30 V10:V30">
      <formula1>"Under review,Validated,Declined"</formula1>
    </dataValidation>
    <dataValidation type="list" allowBlank="1" showErrorMessage="1" sqref="J10:J30">
      <formula1>"Approved - Campaign,Approved - Don't campaign,Rejected - Seems to conflict with what I outlined in the IIP,Rejected - Blacklist"</formula1>
    </dataValidation>
    <dataValidation type="list" allowBlank="1" showErrorMessage="1" sqref="W10:W30">
      <formula1>"No response,Response - positive,Response - meeting scheduled,Response - not interested"</formula1>
    </dataValidation>
    <dataValidation type="list" allowBlank="1" showErrorMessage="1" sqref="F10:F30">
      <formula1>"London"</formula1>
    </dataValidation>
    <dataValidation type="list" allowBlank="1" sqref="C19:C20 C22">
      <formula1>"Family Office,Fund of Funds,Multi-family Office,Government,Pension Fund,Insurance,Bank,Charitable Organization,Endowment,Utility Provider,Technology,Religious,Asset Manager,Union,Property Investment,Corporate,Angel,Incubator,HNWI,Other,Investment Firm"</formula1>
    </dataValidation>
    <dataValidation type="list" allowBlank="1" showErrorMessage="1" sqref="E10:E30">
      <formula1>"United Kingdom"</formula1>
    </dataValidation>
  </dataValidations>
  <hyperlinks>
    <hyperlink r:id="rId1" ref="D10"/>
    <hyperlink r:id="rId2" ref="H10"/>
    <hyperlink r:id="rId3" ref="S10"/>
    <hyperlink r:id="rId4" ref="D11"/>
    <hyperlink r:id="rId5" ref="H11"/>
    <hyperlink r:id="rId6" ref="S11"/>
    <hyperlink r:id="rId7" ref="D12"/>
    <hyperlink r:id="rId8" ref="H12"/>
    <hyperlink r:id="rId9" ref="S12"/>
    <hyperlink r:id="rId10" ref="D13"/>
    <hyperlink r:id="rId11" ref="H13"/>
    <hyperlink r:id="rId12" ref="S13"/>
    <hyperlink r:id="rId13" ref="D14"/>
    <hyperlink r:id="rId14" ref="H14"/>
    <hyperlink r:id="rId15" ref="S14"/>
    <hyperlink r:id="rId16" ref="D15"/>
    <hyperlink r:id="rId17" ref="H15"/>
    <hyperlink r:id="rId18" ref="S15"/>
    <hyperlink r:id="rId19" ref="D16"/>
    <hyperlink r:id="rId20" ref="H16"/>
    <hyperlink r:id="rId21" ref="S16"/>
    <hyperlink r:id="rId22" ref="D17"/>
    <hyperlink r:id="rId23" ref="H17"/>
    <hyperlink r:id="rId24" ref="S17"/>
    <hyperlink r:id="rId25" ref="D18"/>
    <hyperlink r:id="rId26" ref="H18"/>
    <hyperlink r:id="rId27" ref="S18"/>
    <hyperlink r:id="rId28" ref="D19"/>
    <hyperlink r:id="rId29" ref="H19"/>
    <hyperlink r:id="rId30" ref="S19"/>
    <hyperlink r:id="rId31" ref="D20"/>
    <hyperlink r:id="rId32" ref="H20"/>
    <hyperlink r:id="rId33" ref="S20"/>
    <hyperlink r:id="rId34" ref="D21"/>
    <hyperlink r:id="rId35" ref="H21"/>
    <hyperlink r:id="rId36" ref="S21"/>
    <hyperlink r:id="rId37" ref="D22"/>
    <hyperlink r:id="rId38" ref="H22"/>
    <hyperlink r:id="rId39" ref="S22"/>
    <hyperlink r:id="rId40" ref="D23"/>
    <hyperlink r:id="rId41" ref="H23"/>
    <hyperlink r:id="rId42" ref="S23"/>
    <hyperlink r:id="rId43" ref="D24"/>
    <hyperlink r:id="rId44" ref="H24"/>
    <hyperlink r:id="rId45" ref="S24"/>
    <hyperlink r:id="rId46" ref="D25"/>
    <hyperlink r:id="rId47" ref="H25"/>
    <hyperlink r:id="rId48" ref="S25"/>
  </hyperlinks>
  <drawing r:id="rId49"/>
  <tableParts count="2">
    <tablePart r:id="rId52"/>
    <tablePart r:id="rId53"/>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25"/>
    <col customWidth="1" min="2" max="2" width="9.88"/>
    <col customWidth="1" min="4" max="4" width="19.25"/>
    <col customWidth="1" min="5" max="5" width="15.25"/>
    <col customWidth="1" min="7" max="7" width="15.38"/>
    <col customWidth="1" min="8" max="8" width="17.5"/>
    <col customWidth="1" min="9" max="9" width="18.38"/>
    <col customWidth="1" min="10" max="10" width="7.5"/>
    <col customWidth="1" min="11" max="11" width="7.38"/>
    <col customWidth="1" min="12" max="12" width="4.38"/>
    <col customWidth="1" min="13" max="13" width="6.0"/>
    <col customWidth="1" min="14" max="14" width="15.13"/>
    <col customWidth="1" min="15" max="15" width="7.75"/>
  </cols>
  <sheetData>
    <row r="1">
      <c r="A1" s="359" t="s">
        <v>3016</v>
      </c>
      <c r="E1" s="64"/>
      <c r="F1" s="64"/>
      <c r="G1" s="64"/>
      <c r="H1" s="64"/>
      <c r="I1" s="64"/>
      <c r="J1" s="64"/>
      <c r="K1" s="64"/>
      <c r="L1" s="64"/>
      <c r="M1" s="64"/>
      <c r="N1" s="64"/>
      <c r="O1" s="64"/>
      <c r="P1" s="64"/>
      <c r="Q1" s="64"/>
      <c r="R1" s="64"/>
      <c r="S1" s="64"/>
      <c r="T1" s="64"/>
      <c r="U1" s="64"/>
      <c r="V1" s="64"/>
      <c r="W1" s="64"/>
      <c r="X1" s="64"/>
      <c r="Y1" s="64"/>
      <c r="Z1" s="64"/>
      <c r="AA1" s="64"/>
      <c r="AB1" s="64"/>
      <c r="AC1" s="64"/>
      <c r="AD1" s="64"/>
      <c r="AE1" s="64"/>
      <c r="AF1" s="64"/>
      <c r="AG1" s="64"/>
      <c r="AH1" s="64"/>
    </row>
    <row r="2">
      <c r="A2" s="360" t="s">
        <v>3017</v>
      </c>
      <c r="Q2" s="64"/>
      <c r="R2" s="64"/>
      <c r="S2" s="64"/>
      <c r="T2" s="64"/>
      <c r="U2" s="64"/>
      <c r="V2" s="64"/>
      <c r="W2" s="64"/>
      <c r="X2" s="64"/>
      <c r="Y2" s="64"/>
      <c r="Z2" s="64"/>
      <c r="AA2" s="64"/>
      <c r="AB2" s="64"/>
      <c r="AC2" s="64"/>
      <c r="AD2" s="64"/>
      <c r="AE2" s="64"/>
      <c r="AF2" s="64"/>
      <c r="AG2" s="64"/>
      <c r="AH2" s="64"/>
    </row>
    <row r="3">
      <c r="A3" s="80" t="s">
        <v>123</v>
      </c>
      <c r="B3" s="361" t="s">
        <v>57</v>
      </c>
      <c r="C3" s="361" t="s">
        <v>59</v>
      </c>
      <c r="D3" s="361" t="s">
        <v>30</v>
      </c>
      <c r="E3" s="362" t="s">
        <v>125</v>
      </c>
      <c r="F3" s="80" t="s">
        <v>124</v>
      </c>
      <c r="G3" s="362" t="s">
        <v>58</v>
      </c>
      <c r="H3" s="361" t="s">
        <v>132</v>
      </c>
      <c r="I3" s="361" t="s">
        <v>133</v>
      </c>
      <c r="J3" s="361" t="s">
        <v>134</v>
      </c>
      <c r="K3" s="361" t="s">
        <v>135</v>
      </c>
      <c r="L3" s="361" t="s">
        <v>136</v>
      </c>
      <c r="M3" s="361" t="s">
        <v>137</v>
      </c>
      <c r="N3" s="317" t="s">
        <v>139</v>
      </c>
      <c r="O3" s="80" t="s">
        <v>3018</v>
      </c>
      <c r="P3" s="80" t="s">
        <v>141</v>
      </c>
      <c r="Q3" s="64"/>
      <c r="R3" s="64"/>
      <c r="S3" s="64"/>
      <c r="T3" s="363"/>
      <c r="U3" s="363"/>
      <c r="V3" s="64"/>
      <c r="W3" s="363"/>
      <c r="X3" s="363"/>
      <c r="Y3" s="363"/>
      <c r="Z3" s="64"/>
      <c r="AA3" s="64"/>
      <c r="AB3" s="64"/>
      <c r="AC3" s="64"/>
      <c r="AD3" s="64"/>
      <c r="AE3" s="64"/>
      <c r="AF3" s="64"/>
      <c r="AG3" s="64"/>
      <c r="AH3" s="64"/>
    </row>
    <row r="4">
      <c r="A4" s="85">
        <v>1.0</v>
      </c>
      <c r="B4" s="364" t="s">
        <v>3019</v>
      </c>
      <c r="C4" s="96" t="s">
        <v>63</v>
      </c>
      <c r="D4" s="96" t="s">
        <v>31</v>
      </c>
      <c r="E4" s="365" t="s">
        <v>356</v>
      </c>
      <c r="F4" s="366" t="s">
        <v>3020</v>
      </c>
      <c r="G4" s="95" t="s">
        <v>62</v>
      </c>
      <c r="H4" s="96" t="s">
        <v>153</v>
      </c>
      <c r="I4" s="98"/>
      <c r="J4" s="367"/>
      <c r="K4" s="367"/>
      <c r="L4" s="367"/>
      <c r="M4" s="367"/>
      <c r="N4" s="95" t="s">
        <v>62</v>
      </c>
      <c r="O4" s="85" t="b">
        <v>1</v>
      </c>
      <c r="P4" s="134" t="s">
        <v>157</v>
      </c>
      <c r="Q4" s="64"/>
      <c r="R4" s="64"/>
      <c r="S4" s="64"/>
      <c r="T4" s="64"/>
      <c r="U4" s="363"/>
      <c r="V4" s="64"/>
      <c r="W4" s="363"/>
      <c r="X4" s="363"/>
      <c r="Y4" s="363"/>
      <c r="Z4" s="64"/>
      <c r="AA4" s="64"/>
      <c r="AB4" s="64"/>
      <c r="AC4" s="64"/>
      <c r="AD4" s="64"/>
      <c r="AE4" s="64"/>
      <c r="AF4" s="64"/>
      <c r="AG4" s="64"/>
      <c r="AH4" s="64"/>
    </row>
    <row r="5">
      <c r="A5" s="85">
        <v>2.0</v>
      </c>
      <c r="B5" s="364" t="s">
        <v>3021</v>
      </c>
      <c r="C5" s="96" t="s">
        <v>63</v>
      </c>
      <c r="D5" s="96" t="s">
        <v>31</v>
      </c>
      <c r="E5" s="365" t="s">
        <v>3022</v>
      </c>
      <c r="F5" s="366" t="s">
        <v>3023</v>
      </c>
      <c r="G5" s="95" t="s">
        <v>62</v>
      </c>
      <c r="H5" s="96" t="s">
        <v>196</v>
      </c>
      <c r="I5" s="98"/>
      <c r="J5" s="367"/>
      <c r="K5" s="367"/>
      <c r="L5" s="367"/>
      <c r="M5" s="98"/>
      <c r="N5" s="95" t="s">
        <v>62</v>
      </c>
      <c r="O5" s="85" t="b">
        <v>1</v>
      </c>
      <c r="P5" s="134" t="s">
        <v>157</v>
      </c>
      <c r="Q5" s="64"/>
      <c r="R5" s="64"/>
      <c r="S5" s="64"/>
      <c r="T5" s="64"/>
      <c r="U5" s="363"/>
      <c r="V5" s="64"/>
      <c r="W5" s="363"/>
      <c r="X5" s="363"/>
      <c r="Y5" s="363"/>
      <c r="Z5" s="64"/>
      <c r="AA5" s="64"/>
      <c r="AB5" s="64"/>
      <c r="AC5" s="64"/>
      <c r="AD5" s="64"/>
      <c r="AE5" s="64"/>
      <c r="AF5" s="64"/>
      <c r="AG5" s="64"/>
      <c r="AH5" s="64"/>
    </row>
    <row r="6">
      <c r="A6" s="85">
        <v>3.0</v>
      </c>
      <c r="B6" s="364" t="s">
        <v>3024</v>
      </c>
      <c r="C6" s="96" t="s">
        <v>63</v>
      </c>
      <c r="D6" s="96" t="s">
        <v>31</v>
      </c>
      <c r="E6" s="365" t="s">
        <v>221</v>
      </c>
      <c r="F6" s="366" t="s">
        <v>220</v>
      </c>
      <c r="G6" s="95" t="s">
        <v>62</v>
      </c>
      <c r="H6" s="96" t="s">
        <v>181</v>
      </c>
      <c r="I6" s="98"/>
      <c r="J6" s="367"/>
      <c r="K6" s="367"/>
      <c r="L6" s="367"/>
      <c r="M6" s="98"/>
      <c r="N6" s="95" t="s">
        <v>62</v>
      </c>
      <c r="O6" s="85" t="b">
        <v>1</v>
      </c>
      <c r="P6" s="134" t="s">
        <v>157</v>
      </c>
      <c r="Q6" s="64"/>
      <c r="R6" s="64"/>
      <c r="S6" s="64"/>
      <c r="T6" s="64"/>
      <c r="U6" s="363"/>
      <c r="V6" s="64"/>
      <c r="W6" s="363"/>
      <c r="X6" s="363"/>
      <c r="Y6" s="363"/>
      <c r="Z6" s="64"/>
      <c r="AA6" s="64"/>
      <c r="AB6" s="64"/>
      <c r="AC6" s="64"/>
      <c r="AD6" s="64"/>
      <c r="AE6" s="64"/>
      <c r="AF6" s="64"/>
      <c r="AG6" s="64"/>
      <c r="AH6" s="64"/>
    </row>
    <row r="7">
      <c r="A7" s="85">
        <v>4.0</v>
      </c>
      <c r="B7" s="364" t="s">
        <v>3025</v>
      </c>
      <c r="C7" s="96" t="s">
        <v>63</v>
      </c>
      <c r="D7" s="96" t="s">
        <v>31</v>
      </c>
      <c r="E7" s="365" t="s">
        <v>487</v>
      </c>
      <c r="F7" s="366" t="s">
        <v>3026</v>
      </c>
      <c r="G7" s="95" t="s">
        <v>62</v>
      </c>
      <c r="H7" s="96" t="s">
        <v>189</v>
      </c>
      <c r="I7" s="98"/>
      <c r="J7" s="367"/>
      <c r="K7" s="367"/>
      <c r="L7" s="367"/>
      <c r="M7" s="98"/>
      <c r="N7" s="95" t="s">
        <v>62</v>
      </c>
      <c r="O7" s="85" t="b">
        <v>1</v>
      </c>
      <c r="P7" s="134" t="s">
        <v>157</v>
      </c>
      <c r="Q7" s="64"/>
      <c r="R7" s="64"/>
      <c r="S7" s="64"/>
      <c r="T7" s="64"/>
      <c r="U7" s="363"/>
      <c r="V7" s="64"/>
      <c r="W7" s="363"/>
      <c r="X7" s="363"/>
      <c r="Y7" s="363"/>
      <c r="Z7" s="64"/>
      <c r="AA7" s="64"/>
      <c r="AB7" s="64"/>
      <c r="AC7" s="64"/>
      <c r="AD7" s="64"/>
      <c r="AE7" s="64"/>
      <c r="AF7" s="64"/>
      <c r="AG7" s="64"/>
      <c r="AH7" s="64"/>
    </row>
    <row r="8">
      <c r="A8" s="85">
        <v>5.0</v>
      </c>
      <c r="B8" s="364" t="s">
        <v>3027</v>
      </c>
      <c r="C8" s="96" t="s">
        <v>63</v>
      </c>
      <c r="D8" s="96" t="s">
        <v>31</v>
      </c>
      <c r="E8" s="365" t="s">
        <v>605</v>
      </c>
      <c r="F8" s="366" t="s">
        <v>3028</v>
      </c>
      <c r="G8" s="95" t="s">
        <v>62</v>
      </c>
      <c r="H8" s="96" t="s">
        <v>456</v>
      </c>
      <c r="I8" s="98"/>
      <c r="J8" s="367"/>
      <c r="K8" s="367"/>
      <c r="L8" s="367"/>
      <c r="M8" s="98"/>
      <c r="N8" s="95" t="s">
        <v>62</v>
      </c>
      <c r="O8" s="85" t="b">
        <v>1</v>
      </c>
      <c r="P8" s="134" t="s">
        <v>157</v>
      </c>
      <c r="Q8" s="64"/>
      <c r="R8" s="64"/>
      <c r="S8" s="64"/>
      <c r="T8" s="64"/>
      <c r="U8" s="363"/>
      <c r="V8" s="64"/>
      <c r="W8" s="363"/>
      <c r="X8" s="363"/>
      <c r="Y8" s="363"/>
      <c r="Z8" s="64"/>
      <c r="AA8" s="64"/>
      <c r="AB8" s="64"/>
      <c r="AC8" s="64"/>
      <c r="AD8" s="64"/>
      <c r="AE8" s="64"/>
      <c r="AF8" s="64"/>
      <c r="AG8" s="64"/>
      <c r="AH8" s="64"/>
    </row>
    <row r="9">
      <c r="A9" s="64"/>
      <c r="B9" s="64"/>
      <c r="C9" s="64"/>
      <c r="D9" s="64"/>
      <c r="E9" s="64"/>
      <c r="F9" s="64"/>
      <c r="G9" s="64"/>
      <c r="H9" s="64"/>
      <c r="I9" s="64"/>
      <c r="J9" s="64"/>
      <c r="K9" s="64"/>
      <c r="L9" s="64"/>
      <c r="M9" s="64"/>
      <c r="N9" s="64"/>
      <c r="O9" s="64"/>
      <c r="P9" s="64"/>
      <c r="Q9" s="64"/>
      <c r="R9" s="64"/>
      <c r="S9" s="64"/>
      <c r="T9" s="64"/>
      <c r="U9" s="64"/>
      <c r="V9" s="64"/>
      <c r="W9" s="64"/>
      <c r="X9" s="64"/>
      <c r="Y9" s="64"/>
      <c r="Z9" s="64"/>
      <c r="AA9" s="64"/>
      <c r="AB9" s="64"/>
      <c r="AC9" s="64"/>
      <c r="AD9" s="64"/>
      <c r="AE9" s="64"/>
      <c r="AF9" s="64"/>
      <c r="AG9" s="64"/>
      <c r="AH9" s="64"/>
    </row>
    <row r="10">
      <c r="A10" s="64"/>
      <c r="B10" s="64"/>
      <c r="C10" s="64"/>
      <c r="D10" s="64"/>
      <c r="E10" s="64"/>
      <c r="F10" s="64"/>
      <c r="G10" s="64"/>
      <c r="H10" s="64"/>
      <c r="I10" s="64"/>
      <c r="J10" s="64"/>
      <c r="K10" s="64"/>
      <c r="L10" s="64"/>
      <c r="M10" s="64"/>
      <c r="N10" s="64"/>
      <c r="O10" s="64"/>
      <c r="P10" s="64"/>
      <c r="Q10" s="64"/>
      <c r="R10" s="64"/>
      <c r="S10" s="64"/>
      <c r="T10" s="64"/>
      <c r="U10" s="64"/>
      <c r="V10" s="64"/>
      <c r="W10" s="64"/>
      <c r="X10" s="64"/>
      <c r="Y10" s="64"/>
      <c r="Z10" s="64"/>
      <c r="AA10" s="64"/>
      <c r="AB10" s="64"/>
      <c r="AC10" s="64"/>
      <c r="AD10" s="64"/>
      <c r="AE10" s="64"/>
      <c r="AF10" s="64"/>
      <c r="AG10" s="64"/>
      <c r="AH10" s="64"/>
    </row>
    <row r="11">
      <c r="A11" s="64"/>
      <c r="B11" s="64"/>
      <c r="C11" s="64"/>
      <c r="D11" s="64"/>
      <c r="E11" s="64"/>
      <c r="F11" s="64"/>
      <c r="G11" s="64"/>
      <c r="H11" s="64"/>
      <c r="I11" s="64"/>
      <c r="J11" s="64"/>
      <c r="K11" s="64"/>
      <c r="L11" s="64"/>
      <c r="M11" s="64"/>
      <c r="N11" s="64"/>
      <c r="O11" s="64"/>
      <c r="P11" s="64"/>
      <c r="Q11" s="64"/>
      <c r="R11" s="64"/>
      <c r="S11" s="64"/>
      <c r="T11" s="64"/>
      <c r="U11" s="64"/>
      <c r="V11" s="64"/>
      <c r="W11" s="64"/>
      <c r="X11" s="64"/>
      <c r="Y11" s="64"/>
      <c r="Z11" s="64"/>
      <c r="AA11" s="64"/>
      <c r="AB11" s="64"/>
      <c r="AC11" s="64"/>
      <c r="AD11" s="64"/>
      <c r="AE11" s="64"/>
      <c r="AF11" s="64"/>
      <c r="AG11" s="64"/>
      <c r="AH11" s="64"/>
    </row>
    <row r="12">
      <c r="A12" s="64"/>
      <c r="B12" s="64"/>
      <c r="C12" s="64"/>
      <c r="D12" s="64"/>
      <c r="E12" s="64"/>
      <c r="F12" s="64"/>
      <c r="G12" s="64"/>
      <c r="H12" s="64"/>
      <c r="I12" s="64"/>
      <c r="J12" s="64"/>
      <c r="K12" s="64"/>
      <c r="L12" s="64"/>
      <c r="M12" s="64"/>
      <c r="N12" s="64"/>
      <c r="O12" s="64"/>
      <c r="P12" s="64"/>
      <c r="Q12" s="64"/>
      <c r="R12" s="64"/>
      <c r="S12" s="64"/>
      <c r="T12" s="64"/>
      <c r="U12" s="64"/>
      <c r="V12" s="64"/>
      <c r="W12" s="64"/>
      <c r="X12" s="64"/>
      <c r="Y12" s="64"/>
      <c r="Z12" s="64"/>
      <c r="AA12" s="64"/>
      <c r="AB12" s="64"/>
      <c r="AC12" s="64"/>
      <c r="AD12" s="64"/>
      <c r="AE12" s="64"/>
      <c r="AF12" s="64"/>
      <c r="AG12" s="64"/>
      <c r="AH12" s="64"/>
    </row>
    <row r="13">
      <c r="A13" s="64"/>
      <c r="B13" s="64"/>
      <c r="C13" s="64"/>
      <c r="D13" s="64"/>
      <c r="E13" s="64"/>
      <c r="F13" s="64"/>
      <c r="G13" s="64"/>
      <c r="H13" s="64"/>
      <c r="I13" s="64"/>
      <c r="J13" s="64"/>
      <c r="K13" s="64"/>
      <c r="L13" s="64"/>
      <c r="M13" s="64"/>
      <c r="N13" s="64"/>
      <c r="O13" s="64"/>
      <c r="P13" s="64"/>
      <c r="Q13" s="64"/>
      <c r="R13" s="64"/>
      <c r="S13" s="64"/>
      <c r="T13" s="64"/>
      <c r="U13" s="64"/>
      <c r="V13" s="64"/>
      <c r="W13" s="64"/>
      <c r="X13" s="64"/>
      <c r="Y13" s="64"/>
      <c r="Z13" s="64"/>
      <c r="AA13" s="64"/>
      <c r="AB13" s="64"/>
      <c r="AC13" s="64"/>
      <c r="AD13" s="64"/>
      <c r="AE13" s="64"/>
      <c r="AF13" s="64"/>
      <c r="AG13" s="64"/>
      <c r="AH13" s="64"/>
    </row>
    <row r="14">
      <c r="A14" s="64"/>
      <c r="B14" s="64"/>
      <c r="C14" s="64"/>
      <c r="D14" s="64"/>
      <c r="E14" s="64"/>
      <c r="F14" s="64"/>
      <c r="G14" s="64"/>
      <c r="H14" s="64"/>
      <c r="I14" s="64"/>
      <c r="J14" s="64"/>
      <c r="K14" s="64"/>
      <c r="L14" s="64"/>
      <c r="M14" s="64"/>
      <c r="N14" s="64"/>
      <c r="O14" s="64"/>
      <c r="P14" s="64"/>
      <c r="Q14" s="64"/>
      <c r="R14" s="64"/>
      <c r="S14" s="64"/>
      <c r="T14" s="64"/>
      <c r="U14" s="64"/>
      <c r="V14" s="64"/>
      <c r="W14" s="64"/>
      <c r="X14" s="64"/>
      <c r="Y14" s="64"/>
      <c r="Z14" s="64"/>
      <c r="AA14" s="64"/>
      <c r="AB14" s="64"/>
      <c r="AC14" s="64"/>
      <c r="AD14" s="64"/>
      <c r="AE14" s="64"/>
      <c r="AF14" s="64"/>
      <c r="AG14" s="64"/>
      <c r="AH14" s="64"/>
    </row>
    <row r="15">
      <c r="A15" s="64"/>
      <c r="B15" s="64"/>
      <c r="C15" s="64"/>
      <c r="D15" s="64"/>
      <c r="E15" s="64"/>
      <c r="F15" s="64"/>
      <c r="G15" s="64"/>
      <c r="H15" s="64"/>
      <c r="I15" s="64"/>
      <c r="J15" s="64"/>
      <c r="K15" s="64"/>
      <c r="L15" s="64"/>
      <c r="M15" s="64"/>
      <c r="N15" s="64"/>
      <c r="O15" s="64"/>
      <c r="P15" s="64"/>
      <c r="Q15" s="64"/>
      <c r="R15" s="64"/>
      <c r="S15" s="64"/>
      <c r="T15" s="64"/>
      <c r="U15" s="64"/>
      <c r="V15" s="64"/>
      <c r="W15" s="64"/>
      <c r="X15" s="64"/>
      <c r="Y15" s="64"/>
      <c r="Z15" s="64"/>
      <c r="AA15" s="64"/>
      <c r="AB15" s="64"/>
      <c r="AC15" s="64"/>
      <c r="AD15" s="64"/>
      <c r="AE15" s="64"/>
      <c r="AF15" s="64"/>
      <c r="AG15" s="64"/>
      <c r="AH15" s="64"/>
    </row>
    <row r="16">
      <c r="A16" s="64"/>
      <c r="B16" s="64"/>
      <c r="C16" s="64"/>
      <c r="D16" s="64"/>
      <c r="E16" s="64"/>
      <c r="F16" s="64"/>
      <c r="G16" s="64"/>
      <c r="H16" s="64"/>
      <c r="I16" s="64"/>
      <c r="J16" s="64"/>
      <c r="K16" s="64"/>
      <c r="L16" s="64"/>
      <c r="M16" s="64"/>
      <c r="N16" s="64"/>
      <c r="O16" s="64"/>
      <c r="P16" s="64"/>
      <c r="Q16" s="64"/>
      <c r="R16" s="64"/>
      <c r="S16" s="64"/>
      <c r="T16" s="64"/>
      <c r="U16" s="64"/>
      <c r="V16" s="64"/>
      <c r="W16" s="64"/>
      <c r="X16" s="64"/>
      <c r="Y16" s="64"/>
      <c r="Z16" s="64"/>
      <c r="AA16" s="64"/>
      <c r="AB16" s="64"/>
      <c r="AC16" s="64"/>
      <c r="AD16" s="64"/>
      <c r="AE16" s="64"/>
      <c r="AF16" s="64"/>
      <c r="AG16" s="64"/>
      <c r="AH16" s="64"/>
    </row>
    <row r="17">
      <c r="A17" s="64"/>
      <c r="B17" s="64"/>
      <c r="C17" s="64"/>
      <c r="D17" s="64"/>
      <c r="E17" s="64"/>
      <c r="F17" s="64"/>
      <c r="G17" s="64"/>
      <c r="H17" s="64"/>
      <c r="I17" s="64"/>
      <c r="J17" s="64"/>
      <c r="K17" s="64"/>
      <c r="L17" s="64"/>
      <c r="M17" s="64"/>
      <c r="N17" s="64"/>
      <c r="O17" s="64"/>
      <c r="P17" s="64"/>
      <c r="Q17" s="64"/>
      <c r="R17" s="64"/>
      <c r="S17" s="64"/>
      <c r="T17" s="64"/>
      <c r="U17" s="64"/>
      <c r="V17" s="64"/>
      <c r="W17" s="64"/>
      <c r="X17" s="64"/>
      <c r="Y17" s="64"/>
      <c r="Z17" s="64"/>
      <c r="AA17" s="64"/>
      <c r="AB17" s="64"/>
      <c r="AC17" s="64"/>
      <c r="AD17" s="64"/>
      <c r="AE17" s="64"/>
      <c r="AF17" s="64"/>
      <c r="AG17" s="64"/>
      <c r="AH17" s="64"/>
    </row>
    <row r="18">
      <c r="A18" s="64"/>
      <c r="B18" s="64"/>
      <c r="C18" s="64"/>
      <c r="D18" s="64"/>
      <c r="E18" s="64"/>
      <c r="F18" s="64"/>
      <c r="G18" s="64"/>
      <c r="H18" s="64"/>
      <c r="I18" s="64"/>
      <c r="J18" s="64"/>
      <c r="K18" s="64"/>
      <c r="L18" s="64"/>
      <c r="M18" s="64"/>
      <c r="N18" s="64"/>
      <c r="O18" s="64"/>
      <c r="P18" s="64"/>
      <c r="Q18" s="64"/>
      <c r="R18" s="64"/>
      <c r="S18" s="64"/>
      <c r="T18" s="64"/>
      <c r="U18" s="64"/>
      <c r="V18" s="64"/>
      <c r="W18" s="64"/>
      <c r="X18" s="64"/>
      <c r="Y18" s="64"/>
      <c r="Z18" s="64"/>
      <c r="AA18" s="64"/>
      <c r="AB18" s="64"/>
      <c r="AC18" s="64"/>
      <c r="AD18" s="64"/>
      <c r="AE18" s="64"/>
      <c r="AF18" s="64"/>
      <c r="AG18" s="64"/>
      <c r="AH18" s="64"/>
    </row>
    <row r="19">
      <c r="A19" s="64"/>
      <c r="B19" s="64"/>
      <c r="C19" s="64"/>
      <c r="D19" s="64"/>
      <c r="E19" s="64"/>
      <c r="F19" s="64"/>
      <c r="G19" s="64"/>
      <c r="H19" s="64"/>
      <c r="I19" s="64"/>
      <c r="J19" s="64"/>
      <c r="K19" s="64"/>
      <c r="L19" s="64"/>
      <c r="M19" s="64"/>
      <c r="N19" s="64"/>
      <c r="O19" s="64"/>
      <c r="P19" s="64"/>
      <c r="Q19" s="64"/>
      <c r="R19" s="64"/>
      <c r="S19" s="64"/>
      <c r="T19" s="64"/>
      <c r="U19" s="64"/>
      <c r="V19" s="64"/>
      <c r="W19" s="64"/>
      <c r="X19" s="64"/>
      <c r="Y19" s="64"/>
      <c r="Z19" s="64"/>
      <c r="AA19" s="64"/>
      <c r="AB19" s="64"/>
      <c r="AC19" s="64"/>
      <c r="AD19" s="64"/>
      <c r="AE19" s="64"/>
      <c r="AF19" s="64"/>
      <c r="AG19" s="64"/>
      <c r="AH19" s="64"/>
    </row>
    <row r="20">
      <c r="A20" s="64"/>
      <c r="B20" s="64"/>
      <c r="C20" s="64"/>
      <c r="D20" s="64"/>
      <c r="E20" s="64"/>
      <c r="F20" s="64"/>
      <c r="G20" s="64"/>
      <c r="H20" s="64"/>
      <c r="I20" s="64"/>
      <c r="J20" s="64"/>
      <c r="K20" s="64"/>
      <c r="L20" s="64"/>
      <c r="M20" s="64"/>
      <c r="N20" s="64"/>
      <c r="O20" s="64"/>
      <c r="P20" s="64"/>
      <c r="Q20" s="64"/>
      <c r="R20" s="64"/>
      <c r="S20" s="64"/>
      <c r="T20" s="64"/>
      <c r="U20" s="64"/>
      <c r="V20" s="64"/>
      <c r="W20" s="64"/>
      <c r="X20" s="64"/>
      <c r="Y20" s="64"/>
      <c r="Z20" s="64"/>
      <c r="AA20" s="64"/>
      <c r="AB20" s="64"/>
      <c r="AC20" s="64"/>
      <c r="AD20" s="64"/>
      <c r="AE20" s="64"/>
      <c r="AF20" s="64"/>
      <c r="AG20" s="64"/>
      <c r="AH20" s="64"/>
    </row>
    <row r="21">
      <c r="A21" s="64"/>
      <c r="B21" s="64"/>
      <c r="C21" s="64"/>
      <c r="D21" s="64"/>
      <c r="E21" s="64"/>
      <c r="F21" s="64"/>
      <c r="G21" s="64"/>
      <c r="H21" s="64"/>
      <c r="I21" s="64"/>
      <c r="J21" s="64"/>
      <c r="K21" s="64"/>
      <c r="L21" s="64"/>
      <c r="M21" s="64"/>
      <c r="N21" s="64"/>
      <c r="O21" s="64"/>
      <c r="P21" s="64"/>
      <c r="Q21" s="64"/>
      <c r="R21" s="64"/>
      <c r="S21" s="64"/>
      <c r="T21" s="64"/>
      <c r="U21" s="64"/>
      <c r="V21" s="64"/>
      <c r="W21" s="64"/>
      <c r="X21" s="64"/>
      <c r="Y21" s="64"/>
      <c r="Z21" s="64"/>
      <c r="AA21" s="64"/>
      <c r="AB21" s="64"/>
      <c r="AC21" s="64"/>
      <c r="AD21" s="64"/>
      <c r="AE21" s="64"/>
      <c r="AF21" s="64"/>
      <c r="AG21" s="64"/>
      <c r="AH21" s="64"/>
    </row>
    <row r="22">
      <c r="A22" s="64"/>
      <c r="B22" s="64"/>
      <c r="C22" s="64"/>
      <c r="D22" s="64"/>
      <c r="E22" s="64"/>
      <c r="F22" s="64"/>
      <c r="G22" s="64"/>
      <c r="H22" s="64"/>
      <c r="I22" s="64"/>
      <c r="J22" s="64"/>
      <c r="K22" s="64"/>
      <c r="L22" s="64"/>
      <c r="M22" s="64"/>
      <c r="N22" s="64"/>
      <c r="O22" s="64"/>
      <c r="P22" s="64"/>
      <c r="Q22" s="64"/>
      <c r="R22" s="64"/>
      <c r="S22" s="64"/>
      <c r="T22" s="64"/>
      <c r="U22" s="64"/>
      <c r="V22" s="64"/>
      <c r="W22" s="64"/>
      <c r="X22" s="64"/>
      <c r="Y22" s="64"/>
      <c r="Z22" s="64"/>
      <c r="AA22" s="64"/>
      <c r="AB22" s="64"/>
      <c r="AC22" s="64"/>
      <c r="AD22" s="64"/>
      <c r="AE22" s="64"/>
      <c r="AF22" s="64"/>
      <c r="AG22" s="64"/>
      <c r="AH22" s="64"/>
    </row>
    <row r="23">
      <c r="A23" s="64"/>
      <c r="B23" s="64"/>
      <c r="C23" s="64"/>
      <c r="D23" s="64"/>
      <c r="E23" s="64"/>
      <c r="F23" s="64"/>
      <c r="G23" s="64"/>
      <c r="H23" s="64"/>
      <c r="I23" s="64"/>
      <c r="J23" s="64"/>
      <c r="K23" s="64"/>
      <c r="L23" s="64"/>
      <c r="M23" s="64"/>
      <c r="N23" s="64"/>
      <c r="O23" s="64"/>
      <c r="P23" s="64"/>
      <c r="Q23" s="64"/>
      <c r="R23" s="64"/>
      <c r="S23" s="64"/>
      <c r="T23" s="64"/>
      <c r="U23" s="64"/>
      <c r="V23" s="64"/>
      <c r="W23" s="64"/>
      <c r="X23" s="64"/>
      <c r="Y23" s="64"/>
      <c r="Z23" s="64"/>
      <c r="AA23" s="64"/>
      <c r="AB23" s="64"/>
      <c r="AC23" s="64"/>
      <c r="AD23" s="64"/>
      <c r="AE23" s="64"/>
      <c r="AF23" s="64"/>
      <c r="AG23" s="64"/>
      <c r="AH23" s="64"/>
    </row>
    <row r="24">
      <c r="A24" s="64"/>
      <c r="B24" s="64"/>
      <c r="C24" s="64"/>
      <c r="D24" s="64"/>
      <c r="E24" s="64"/>
      <c r="F24" s="64"/>
      <c r="G24" s="64"/>
      <c r="H24" s="64"/>
      <c r="I24" s="64"/>
      <c r="J24" s="64"/>
      <c r="K24" s="64"/>
      <c r="L24" s="64"/>
      <c r="M24" s="64"/>
      <c r="N24" s="64"/>
      <c r="O24" s="64"/>
      <c r="P24" s="64"/>
      <c r="Q24" s="64"/>
      <c r="R24" s="64"/>
      <c r="S24" s="64"/>
      <c r="T24" s="64"/>
      <c r="U24" s="64"/>
      <c r="V24" s="64"/>
      <c r="W24" s="64"/>
      <c r="X24" s="64"/>
      <c r="Y24" s="64"/>
      <c r="Z24" s="64"/>
      <c r="AA24" s="64"/>
      <c r="AB24" s="64"/>
      <c r="AC24" s="64"/>
      <c r="AD24" s="64"/>
      <c r="AE24" s="64"/>
      <c r="AF24" s="64"/>
      <c r="AG24" s="64"/>
      <c r="AH24" s="64"/>
    </row>
    <row r="25">
      <c r="A25" s="64"/>
      <c r="B25" s="64"/>
      <c r="C25" s="64"/>
      <c r="D25" s="64"/>
      <c r="E25" s="64"/>
      <c r="F25" s="64"/>
      <c r="G25" s="64"/>
      <c r="H25" s="64"/>
      <c r="I25" s="64"/>
      <c r="J25" s="64"/>
      <c r="K25" s="64"/>
      <c r="L25" s="64"/>
      <c r="M25" s="64"/>
      <c r="N25" s="64"/>
      <c r="O25" s="64"/>
      <c r="P25" s="64"/>
      <c r="Q25" s="64"/>
      <c r="R25" s="64"/>
      <c r="S25" s="64"/>
      <c r="T25" s="64"/>
      <c r="U25" s="64"/>
      <c r="V25" s="64"/>
      <c r="W25" s="64"/>
      <c r="X25" s="64"/>
      <c r="Y25" s="64"/>
      <c r="Z25" s="64"/>
      <c r="AA25" s="64"/>
      <c r="AB25" s="64"/>
      <c r="AC25" s="64"/>
      <c r="AD25" s="64"/>
      <c r="AE25" s="64"/>
      <c r="AF25" s="64"/>
      <c r="AG25" s="64"/>
      <c r="AH25" s="64"/>
    </row>
    <row r="26">
      <c r="A26" s="64"/>
      <c r="B26" s="64"/>
      <c r="C26" s="64"/>
      <c r="D26" s="64"/>
      <c r="E26" s="64"/>
      <c r="F26" s="64"/>
      <c r="G26" s="64"/>
      <c r="H26" s="64"/>
      <c r="I26" s="64"/>
      <c r="J26" s="64"/>
      <c r="K26" s="64"/>
      <c r="L26" s="64"/>
      <c r="M26" s="64"/>
      <c r="N26" s="64"/>
      <c r="O26" s="64"/>
      <c r="P26" s="64"/>
      <c r="Q26" s="64"/>
      <c r="R26" s="64"/>
      <c r="S26" s="64"/>
      <c r="T26" s="64"/>
      <c r="U26" s="64"/>
      <c r="V26" s="64"/>
      <c r="W26" s="64"/>
      <c r="X26" s="64"/>
      <c r="Y26" s="64"/>
      <c r="Z26" s="64"/>
      <c r="AA26" s="64"/>
      <c r="AB26" s="64"/>
      <c r="AC26" s="64"/>
      <c r="AD26" s="64"/>
      <c r="AE26" s="64"/>
      <c r="AF26" s="64"/>
      <c r="AG26" s="64"/>
      <c r="AH26" s="64"/>
    </row>
    <row r="27">
      <c r="A27" s="64"/>
      <c r="B27" s="64"/>
      <c r="C27" s="64"/>
      <c r="D27" s="64"/>
      <c r="E27" s="64"/>
      <c r="F27" s="64"/>
      <c r="G27" s="64"/>
      <c r="H27" s="64"/>
      <c r="I27" s="64"/>
      <c r="J27" s="64"/>
      <c r="K27" s="64"/>
      <c r="L27" s="64"/>
      <c r="M27" s="64"/>
      <c r="N27" s="64"/>
      <c r="O27" s="64"/>
      <c r="P27" s="64"/>
      <c r="Q27" s="64"/>
      <c r="R27" s="64"/>
      <c r="S27" s="64"/>
      <c r="T27" s="64"/>
      <c r="U27" s="64"/>
      <c r="V27" s="64"/>
      <c r="W27" s="64"/>
      <c r="X27" s="64"/>
      <c r="Y27" s="64"/>
      <c r="Z27" s="64"/>
      <c r="AA27" s="64"/>
      <c r="AB27" s="64"/>
      <c r="AC27" s="64"/>
      <c r="AD27" s="64"/>
      <c r="AE27" s="64"/>
      <c r="AF27" s="64"/>
      <c r="AG27" s="64"/>
      <c r="AH27" s="64"/>
    </row>
    <row r="28">
      <c r="A28" s="64"/>
      <c r="B28" s="64"/>
      <c r="C28" s="64"/>
      <c r="D28" s="64"/>
      <c r="E28" s="64"/>
      <c r="F28" s="64"/>
      <c r="G28" s="64"/>
      <c r="H28" s="64"/>
      <c r="I28" s="64"/>
      <c r="J28" s="64"/>
      <c r="K28" s="64"/>
      <c r="L28" s="64"/>
      <c r="M28" s="64"/>
      <c r="N28" s="64"/>
      <c r="O28" s="64"/>
      <c r="P28" s="64"/>
      <c r="Q28" s="64"/>
      <c r="R28" s="64"/>
      <c r="S28" s="64"/>
      <c r="T28" s="64"/>
      <c r="U28" s="64"/>
      <c r="V28" s="64"/>
      <c r="W28" s="64"/>
      <c r="X28" s="64"/>
      <c r="Y28" s="64"/>
      <c r="Z28" s="64"/>
      <c r="AA28" s="64"/>
      <c r="AB28" s="64"/>
      <c r="AC28" s="64"/>
      <c r="AD28" s="64"/>
      <c r="AE28" s="64"/>
      <c r="AF28" s="64"/>
      <c r="AG28" s="64"/>
      <c r="AH28" s="64"/>
    </row>
    <row r="29">
      <c r="A29" s="64"/>
      <c r="B29" s="64"/>
      <c r="C29" s="64"/>
      <c r="D29" s="64"/>
      <c r="E29" s="64"/>
      <c r="F29" s="64"/>
      <c r="G29" s="64"/>
      <c r="H29" s="64"/>
      <c r="I29" s="64"/>
      <c r="J29" s="64"/>
      <c r="K29" s="64"/>
      <c r="L29" s="64"/>
      <c r="M29" s="64"/>
      <c r="N29" s="64"/>
      <c r="O29" s="64"/>
      <c r="P29" s="64"/>
      <c r="Q29" s="64"/>
      <c r="R29" s="64"/>
      <c r="S29" s="64"/>
      <c r="T29" s="64"/>
      <c r="U29" s="64"/>
      <c r="V29" s="64"/>
      <c r="W29" s="64"/>
      <c r="X29" s="64"/>
      <c r="Y29" s="64"/>
      <c r="Z29" s="64"/>
      <c r="AA29" s="64"/>
      <c r="AB29" s="64"/>
      <c r="AC29" s="64"/>
      <c r="AD29" s="64"/>
      <c r="AE29" s="64"/>
      <c r="AF29" s="64"/>
      <c r="AG29" s="64"/>
      <c r="AH29" s="64"/>
    </row>
    <row r="30">
      <c r="A30" s="64"/>
      <c r="B30" s="64"/>
      <c r="C30" s="64"/>
      <c r="D30" s="64"/>
      <c r="E30" s="64"/>
      <c r="F30" s="64"/>
      <c r="G30" s="64"/>
      <c r="H30" s="64"/>
      <c r="I30" s="64"/>
      <c r="J30" s="64"/>
      <c r="K30" s="64"/>
      <c r="L30" s="64"/>
      <c r="M30" s="64"/>
      <c r="N30" s="64"/>
      <c r="O30" s="64"/>
      <c r="P30" s="64"/>
      <c r="Q30" s="64"/>
      <c r="R30" s="64"/>
      <c r="S30" s="64"/>
      <c r="T30" s="64"/>
      <c r="U30" s="64"/>
      <c r="V30" s="64"/>
      <c r="W30" s="64"/>
      <c r="X30" s="64"/>
      <c r="Y30" s="64"/>
      <c r="Z30" s="64"/>
      <c r="AA30" s="64"/>
      <c r="AB30" s="64"/>
      <c r="AC30" s="64"/>
      <c r="AD30" s="64"/>
      <c r="AE30" s="64"/>
      <c r="AF30" s="64"/>
      <c r="AG30" s="64"/>
      <c r="AH30" s="64"/>
    </row>
    <row r="31">
      <c r="A31" s="64"/>
      <c r="B31" s="64"/>
      <c r="C31" s="64"/>
      <c r="D31" s="64"/>
      <c r="E31" s="64"/>
      <c r="F31" s="64"/>
      <c r="G31" s="64"/>
      <c r="H31" s="64"/>
      <c r="I31" s="64"/>
      <c r="J31" s="64"/>
      <c r="K31" s="64"/>
      <c r="L31" s="64"/>
      <c r="M31" s="64"/>
      <c r="N31" s="64"/>
      <c r="O31" s="64"/>
      <c r="P31" s="64"/>
      <c r="Q31" s="64"/>
      <c r="R31" s="64"/>
      <c r="S31" s="64"/>
      <c r="T31" s="64"/>
      <c r="U31" s="64"/>
      <c r="V31" s="64"/>
      <c r="W31" s="64"/>
      <c r="X31" s="64"/>
      <c r="Y31" s="64"/>
      <c r="Z31" s="64"/>
      <c r="AA31" s="64"/>
      <c r="AB31" s="64"/>
      <c r="AC31" s="64"/>
      <c r="AD31" s="64"/>
      <c r="AE31" s="64"/>
      <c r="AF31" s="64"/>
      <c r="AG31" s="64"/>
      <c r="AH31" s="64"/>
    </row>
    <row r="32">
      <c r="A32" s="64"/>
      <c r="B32" s="64"/>
      <c r="C32" s="64"/>
      <c r="D32" s="64"/>
      <c r="E32" s="64"/>
      <c r="F32" s="64"/>
      <c r="G32" s="64"/>
      <c r="H32" s="64"/>
      <c r="I32" s="64"/>
      <c r="J32" s="64"/>
      <c r="K32" s="64"/>
      <c r="L32" s="64"/>
      <c r="M32" s="64"/>
      <c r="N32" s="64"/>
      <c r="O32" s="64"/>
      <c r="P32" s="64"/>
      <c r="Q32" s="64"/>
      <c r="R32" s="64"/>
      <c r="S32" s="64"/>
      <c r="T32" s="64"/>
      <c r="U32" s="64"/>
      <c r="V32" s="64"/>
      <c r="W32" s="64"/>
      <c r="X32" s="64"/>
      <c r="Y32" s="64"/>
      <c r="Z32" s="64"/>
      <c r="AA32" s="64"/>
      <c r="AB32" s="64"/>
      <c r="AC32" s="64"/>
      <c r="AD32" s="64"/>
      <c r="AE32" s="64"/>
      <c r="AF32" s="64"/>
      <c r="AG32" s="64"/>
      <c r="AH32" s="64"/>
    </row>
    <row r="33">
      <c r="A33" s="64"/>
      <c r="B33" s="64"/>
      <c r="C33" s="64"/>
      <c r="D33" s="64"/>
      <c r="E33" s="64"/>
      <c r="F33" s="64"/>
      <c r="G33" s="64"/>
      <c r="H33" s="64"/>
      <c r="I33" s="64"/>
      <c r="J33" s="64"/>
      <c r="K33" s="64"/>
      <c r="L33" s="64"/>
      <c r="M33" s="64"/>
      <c r="N33" s="64"/>
      <c r="O33" s="64"/>
      <c r="P33" s="64"/>
      <c r="Q33" s="64"/>
      <c r="R33" s="64"/>
      <c r="S33" s="64"/>
      <c r="T33" s="64"/>
      <c r="U33" s="64"/>
      <c r="V33" s="64"/>
      <c r="W33" s="64"/>
      <c r="X33" s="64"/>
      <c r="Y33" s="64"/>
      <c r="Z33" s="64"/>
      <c r="AA33" s="64"/>
      <c r="AB33" s="64"/>
      <c r="AC33" s="64"/>
      <c r="AD33" s="64"/>
      <c r="AE33" s="64"/>
      <c r="AF33" s="64"/>
      <c r="AG33" s="64"/>
      <c r="AH33" s="64"/>
    </row>
    <row r="34">
      <c r="A34" s="64"/>
      <c r="B34" s="64"/>
      <c r="C34" s="64"/>
      <c r="D34" s="64"/>
      <c r="E34" s="64"/>
      <c r="F34" s="64"/>
      <c r="G34" s="64"/>
      <c r="H34" s="64"/>
      <c r="I34" s="64"/>
      <c r="J34" s="64"/>
      <c r="K34" s="64"/>
      <c r="L34" s="64"/>
      <c r="M34" s="64"/>
      <c r="N34" s="64"/>
      <c r="O34" s="64"/>
      <c r="P34" s="64"/>
      <c r="Q34" s="64"/>
      <c r="R34" s="64"/>
      <c r="S34" s="64"/>
      <c r="T34" s="64"/>
      <c r="U34" s="64"/>
      <c r="V34" s="64"/>
      <c r="W34" s="64"/>
      <c r="X34" s="64"/>
      <c r="Y34" s="64"/>
      <c r="Z34" s="64"/>
      <c r="AA34" s="64"/>
      <c r="AB34" s="64"/>
      <c r="AC34" s="64"/>
      <c r="AD34" s="64"/>
      <c r="AE34" s="64"/>
      <c r="AF34" s="64"/>
      <c r="AG34" s="64"/>
      <c r="AH34" s="64"/>
    </row>
    <row r="35">
      <c r="A35" s="64"/>
      <c r="B35" s="64"/>
      <c r="C35" s="64"/>
      <c r="D35" s="64"/>
      <c r="E35" s="64"/>
      <c r="F35" s="64"/>
      <c r="G35" s="64"/>
      <c r="H35" s="64"/>
      <c r="I35" s="64"/>
      <c r="J35" s="64"/>
      <c r="K35" s="64"/>
      <c r="L35" s="64"/>
      <c r="M35" s="64"/>
      <c r="N35" s="64"/>
      <c r="O35" s="64"/>
      <c r="P35" s="64"/>
      <c r="Q35" s="64"/>
      <c r="R35" s="64"/>
      <c r="S35" s="64"/>
      <c r="T35" s="64"/>
      <c r="U35" s="64"/>
      <c r="V35" s="64"/>
      <c r="W35" s="64"/>
      <c r="X35" s="64"/>
      <c r="Y35" s="64"/>
      <c r="Z35" s="64"/>
      <c r="AA35" s="64"/>
      <c r="AB35" s="64"/>
      <c r="AC35" s="64"/>
      <c r="AD35" s="64"/>
      <c r="AE35" s="64"/>
      <c r="AF35" s="64"/>
      <c r="AG35" s="64"/>
      <c r="AH35" s="64"/>
    </row>
    <row r="36">
      <c r="A36" s="64"/>
      <c r="B36" s="64"/>
      <c r="C36" s="64"/>
      <c r="D36" s="64"/>
      <c r="E36" s="64"/>
      <c r="F36" s="64"/>
      <c r="G36" s="64"/>
      <c r="H36" s="64"/>
      <c r="I36" s="64"/>
      <c r="J36" s="64"/>
      <c r="K36" s="64"/>
      <c r="L36" s="64"/>
      <c r="M36" s="64"/>
      <c r="N36" s="64"/>
      <c r="O36" s="64"/>
      <c r="P36" s="64"/>
      <c r="Q36" s="64"/>
      <c r="R36" s="64"/>
      <c r="S36" s="64"/>
      <c r="T36" s="64"/>
      <c r="U36" s="64"/>
      <c r="V36" s="64"/>
      <c r="W36" s="64"/>
      <c r="X36" s="64"/>
      <c r="Y36" s="64"/>
      <c r="Z36" s="64"/>
      <c r="AA36" s="64"/>
      <c r="AB36" s="64"/>
      <c r="AC36" s="64"/>
      <c r="AD36" s="64"/>
      <c r="AE36" s="64"/>
      <c r="AF36" s="64"/>
      <c r="AG36" s="64"/>
      <c r="AH36" s="64"/>
    </row>
    <row r="37">
      <c r="A37" s="64"/>
      <c r="B37" s="64"/>
      <c r="C37" s="64"/>
      <c r="D37" s="64"/>
      <c r="E37" s="64"/>
      <c r="F37" s="64"/>
      <c r="G37" s="64"/>
      <c r="H37" s="64"/>
      <c r="I37" s="64"/>
      <c r="J37" s="64"/>
      <c r="K37" s="64"/>
      <c r="L37" s="64"/>
      <c r="M37" s="64"/>
      <c r="N37" s="64"/>
      <c r="O37" s="64"/>
      <c r="P37" s="64"/>
      <c r="Q37" s="64"/>
      <c r="R37" s="64"/>
      <c r="S37" s="64"/>
      <c r="T37" s="64"/>
      <c r="U37" s="64"/>
      <c r="V37" s="64"/>
      <c r="W37" s="64"/>
      <c r="X37" s="64"/>
      <c r="Y37" s="64"/>
      <c r="Z37" s="64"/>
      <c r="AA37" s="64"/>
      <c r="AB37" s="64"/>
      <c r="AC37" s="64"/>
      <c r="AD37" s="64"/>
      <c r="AE37" s="64"/>
      <c r="AF37" s="64"/>
      <c r="AG37" s="64"/>
      <c r="AH37" s="64"/>
    </row>
    <row r="38">
      <c r="A38" s="64"/>
      <c r="B38" s="64"/>
      <c r="C38" s="64"/>
      <c r="D38" s="64"/>
      <c r="E38" s="64"/>
      <c r="F38" s="64"/>
      <c r="G38" s="64"/>
      <c r="H38" s="64"/>
      <c r="I38" s="64"/>
      <c r="J38" s="64"/>
      <c r="K38" s="64"/>
      <c r="L38" s="64"/>
      <c r="M38" s="64"/>
      <c r="N38" s="64"/>
      <c r="O38" s="64"/>
      <c r="P38" s="64"/>
      <c r="Q38" s="64"/>
      <c r="R38" s="64"/>
      <c r="S38" s="64"/>
      <c r="T38" s="64"/>
      <c r="U38" s="64"/>
      <c r="V38" s="64"/>
      <c r="W38" s="64"/>
      <c r="X38" s="64"/>
      <c r="Y38" s="64"/>
      <c r="Z38" s="64"/>
      <c r="AA38" s="64"/>
      <c r="AB38" s="64"/>
      <c r="AC38" s="64"/>
      <c r="AD38" s="64"/>
      <c r="AE38" s="64"/>
      <c r="AF38" s="64"/>
      <c r="AG38" s="64"/>
      <c r="AH38" s="64"/>
    </row>
    <row r="39">
      <c r="A39" s="64"/>
      <c r="B39" s="64"/>
      <c r="C39" s="64"/>
      <c r="D39" s="64"/>
      <c r="E39" s="64"/>
      <c r="F39" s="64"/>
      <c r="G39" s="64"/>
      <c r="H39" s="64"/>
      <c r="I39" s="64"/>
      <c r="J39" s="64"/>
      <c r="K39" s="64"/>
      <c r="L39" s="64"/>
      <c r="M39" s="64"/>
      <c r="N39" s="64"/>
      <c r="O39" s="64"/>
      <c r="P39" s="64"/>
      <c r="Q39" s="64"/>
      <c r="R39" s="64"/>
      <c r="S39" s="64"/>
      <c r="T39" s="64"/>
      <c r="U39" s="64"/>
      <c r="V39" s="64"/>
      <c r="W39" s="64"/>
      <c r="X39" s="64"/>
      <c r="Y39" s="64"/>
      <c r="Z39" s="64"/>
      <c r="AA39" s="64"/>
      <c r="AB39" s="64"/>
      <c r="AC39" s="64"/>
      <c r="AD39" s="64"/>
      <c r="AE39" s="64"/>
      <c r="AF39" s="64"/>
      <c r="AG39" s="64"/>
      <c r="AH39" s="64"/>
    </row>
    <row r="40">
      <c r="A40" s="64"/>
      <c r="B40" s="64"/>
      <c r="C40" s="64"/>
      <c r="D40" s="64"/>
      <c r="E40" s="64"/>
      <c r="F40" s="64"/>
      <c r="G40" s="64"/>
      <c r="H40" s="64"/>
      <c r="I40" s="64"/>
      <c r="J40" s="64"/>
      <c r="K40" s="64"/>
      <c r="L40" s="64"/>
      <c r="M40" s="64"/>
      <c r="N40" s="64"/>
      <c r="O40" s="64"/>
      <c r="P40" s="64"/>
      <c r="Q40" s="64"/>
      <c r="R40" s="64"/>
      <c r="S40" s="64"/>
      <c r="T40" s="64"/>
      <c r="U40" s="64"/>
      <c r="V40" s="64"/>
      <c r="W40" s="64"/>
      <c r="X40" s="64"/>
      <c r="Y40" s="64"/>
      <c r="Z40" s="64"/>
      <c r="AA40" s="64"/>
      <c r="AB40" s="64"/>
      <c r="AC40" s="64"/>
      <c r="AD40" s="64"/>
      <c r="AE40" s="64"/>
      <c r="AF40" s="64"/>
      <c r="AG40" s="64"/>
      <c r="AH40" s="64"/>
    </row>
    <row r="41">
      <c r="A41" s="64"/>
      <c r="B41" s="64"/>
      <c r="C41" s="64"/>
      <c r="D41" s="64"/>
      <c r="E41" s="64"/>
      <c r="F41" s="64"/>
      <c r="G41" s="64"/>
      <c r="H41" s="64"/>
      <c r="I41" s="64"/>
      <c r="J41" s="64"/>
      <c r="K41" s="64"/>
      <c r="L41" s="64"/>
      <c r="M41" s="64"/>
      <c r="N41" s="64"/>
      <c r="O41" s="64"/>
      <c r="P41" s="64"/>
      <c r="Q41" s="64"/>
      <c r="R41" s="64"/>
      <c r="S41" s="64"/>
      <c r="T41" s="64"/>
      <c r="U41" s="64"/>
      <c r="V41" s="64"/>
      <c r="W41" s="64"/>
      <c r="X41" s="64"/>
      <c r="Y41" s="64"/>
      <c r="Z41" s="64"/>
      <c r="AA41" s="64"/>
      <c r="AB41" s="64"/>
      <c r="AC41" s="64"/>
      <c r="AD41" s="64"/>
      <c r="AE41" s="64"/>
      <c r="AF41" s="64"/>
      <c r="AG41" s="64"/>
      <c r="AH41" s="64"/>
    </row>
    <row r="42">
      <c r="A42" s="64"/>
      <c r="B42" s="64"/>
      <c r="C42" s="64"/>
      <c r="D42" s="64"/>
      <c r="E42" s="64"/>
      <c r="F42" s="64"/>
      <c r="G42" s="64"/>
      <c r="H42" s="64"/>
      <c r="I42" s="64"/>
      <c r="J42" s="64"/>
      <c r="K42" s="64"/>
      <c r="L42" s="64"/>
      <c r="M42" s="64"/>
      <c r="N42" s="64"/>
      <c r="O42" s="64"/>
      <c r="P42" s="64"/>
      <c r="Q42" s="64"/>
      <c r="R42" s="64"/>
      <c r="S42" s="64"/>
      <c r="T42" s="64"/>
      <c r="U42" s="64"/>
      <c r="V42" s="64"/>
      <c r="W42" s="64"/>
      <c r="X42" s="64"/>
      <c r="Y42" s="64"/>
      <c r="Z42" s="64"/>
      <c r="AA42" s="64"/>
      <c r="AB42" s="64"/>
      <c r="AC42" s="64"/>
      <c r="AD42" s="64"/>
      <c r="AE42" s="64"/>
      <c r="AF42" s="64"/>
      <c r="AG42" s="64"/>
      <c r="AH42" s="64"/>
    </row>
    <row r="43">
      <c r="A43" s="64"/>
      <c r="B43" s="64"/>
      <c r="C43" s="64"/>
      <c r="D43" s="64"/>
      <c r="E43" s="64"/>
      <c r="F43" s="64"/>
      <c r="G43" s="64"/>
      <c r="H43" s="64"/>
      <c r="I43" s="64"/>
      <c r="J43" s="64"/>
      <c r="K43" s="64"/>
      <c r="L43" s="64"/>
      <c r="M43" s="64"/>
      <c r="N43" s="64"/>
      <c r="O43" s="64"/>
      <c r="P43" s="64"/>
      <c r="Q43" s="64"/>
      <c r="R43" s="64"/>
      <c r="S43" s="64"/>
      <c r="T43" s="64"/>
      <c r="U43" s="64"/>
      <c r="V43" s="64"/>
      <c r="W43" s="64"/>
      <c r="X43" s="64"/>
      <c r="Y43" s="64"/>
      <c r="Z43" s="64"/>
      <c r="AA43" s="64"/>
      <c r="AB43" s="64"/>
      <c r="AC43" s="64"/>
      <c r="AD43" s="64"/>
      <c r="AE43" s="64"/>
      <c r="AF43" s="64"/>
      <c r="AG43" s="64"/>
      <c r="AH43" s="64"/>
    </row>
    <row r="44">
      <c r="A44" s="64"/>
      <c r="B44" s="64"/>
      <c r="C44" s="64"/>
      <c r="D44" s="64"/>
      <c r="E44" s="64"/>
      <c r="F44" s="64"/>
      <c r="G44" s="64"/>
      <c r="H44" s="64"/>
      <c r="I44" s="64"/>
      <c r="J44" s="64"/>
      <c r="K44" s="64"/>
      <c r="L44" s="64"/>
      <c r="M44" s="64"/>
      <c r="N44" s="64"/>
      <c r="O44" s="64"/>
      <c r="P44" s="64"/>
      <c r="Q44" s="64"/>
      <c r="R44" s="64"/>
      <c r="S44" s="64"/>
      <c r="T44" s="64"/>
      <c r="U44" s="64"/>
      <c r="V44" s="64"/>
      <c r="W44" s="64"/>
      <c r="X44" s="64"/>
      <c r="Y44" s="64"/>
      <c r="Z44" s="64"/>
      <c r="AA44" s="64"/>
      <c r="AB44" s="64"/>
      <c r="AC44" s="64"/>
      <c r="AD44" s="64"/>
      <c r="AE44" s="64"/>
      <c r="AF44" s="64"/>
      <c r="AG44" s="64"/>
      <c r="AH44" s="64"/>
    </row>
    <row r="45">
      <c r="A45" s="64"/>
      <c r="B45" s="64"/>
      <c r="C45" s="64"/>
      <c r="D45" s="64"/>
      <c r="E45" s="64"/>
      <c r="F45" s="64"/>
      <c r="G45" s="64"/>
      <c r="H45" s="64"/>
      <c r="I45" s="64"/>
      <c r="J45" s="64"/>
      <c r="K45" s="64"/>
      <c r="L45" s="64"/>
      <c r="M45" s="64"/>
      <c r="N45" s="64"/>
      <c r="O45" s="64"/>
      <c r="P45" s="64"/>
      <c r="Q45" s="64"/>
      <c r="R45" s="64"/>
      <c r="S45" s="64"/>
      <c r="T45" s="64"/>
      <c r="U45" s="64"/>
      <c r="V45" s="64"/>
      <c r="W45" s="64"/>
      <c r="X45" s="64"/>
      <c r="Y45" s="64"/>
      <c r="Z45" s="64"/>
      <c r="AA45" s="64"/>
      <c r="AB45" s="64"/>
      <c r="AC45" s="64"/>
      <c r="AD45" s="64"/>
      <c r="AE45" s="64"/>
      <c r="AF45" s="64"/>
      <c r="AG45" s="64"/>
      <c r="AH45" s="64"/>
    </row>
    <row r="46">
      <c r="A46" s="64"/>
      <c r="B46" s="64"/>
      <c r="C46" s="64"/>
      <c r="D46" s="64"/>
      <c r="E46" s="64"/>
      <c r="F46" s="64"/>
      <c r="G46" s="64"/>
      <c r="H46" s="64"/>
      <c r="I46" s="64"/>
      <c r="J46" s="64"/>
      <c r="K46" s="64"/>
      <c r="L46" s="64"/>
      <c r="M46" s="64"/>
      <c r="N46" s="64"/>
      <c r="O46" s="64"/>
      <c r="P46" s="64"/>
      <c r="Q46" s="64"/>
      <c r="R46" s="64"/>
      <c r="S46" s="64"/>
      <c r="T46" s="64"/>
      <c r="U46" s="64"/>
      <c r="V46" s="64"/>
      <c r="W46" s="64"/>
      <c r="X46" s="64"/>
      <c r="Y46" s="64"/>
      <c r="Z46" s="64"/>
      <c r="AA46" s="64"/>
      <c r="AB46" s="64"/>
      <c r="AC46" s="64"/>
      <c r="AD46" s="64"/>
      <c r="AE46" s="64"/>
      <c r="AF46" s="64"/>
      <c r="AG46" s="64"/>
      <c r="AH46" s="64"/>
    </row>
    <row r="47">
      <c r="A47" s="64"/>
      <c r="B47" s="64"/>
      <c r="C47" s="64"/>
      <c r="D47" s="64"/>
      <c r="E47" s="64"/>
      <c r="F47" s="64"/>
      <c r="G47" s="64"/>
      <c r="H47" s="64"/>
      <c r="I47" s="64"/>
      <c r="J47" s="64"/>
      <c r="K47" s="64"/>
      <c r="L47" s="64"/>
      <c r="M47" s="64"/>
      <c r="N47" s="64"/>
      <c r="O47" s="64"/>
      <c r="P47" s="64"/>
      <c r="Q47" s="64"/>
      <c r="R47" s="64"/>
      <c r="S47" s="64"/>
      <c r="T47" s="64"/>
      <c r="U47" s="64"/>
      <c r="V47" s="64"/>
      <c r="W47" s="64"/>
      <c r="X47" s="64"/>
      <c r="Y47" s="64"/>
      <c r="Z47" s="64"/>
      <c r="AA47" s="64"/>
      <c r="AB47" s="64"/>
      <c r="AC47" s="64"/>
      <c r="AD47" s="64"/>
      <c r="AE47" s="64"/>
      <c r="AF47" s="64"/>
      <c r="AG47" s="64"/>
      <c r="AH47" s="64"/>
    </row>
    <row r="48">
      <c r="A48" s="64"/>
      <c r="B48" s="64"/>
      <c r="C48" s="64"/>
      <c r="D48" s="64"/>
      <c r="E48" s="64"/>
      <c r="F48" s="64"/>
      <c r="G48" s="64"/>
      <c r="H48" s="64"/>
      <c r="I48" s="64"/>
      <c r="J48" s="64"/>
      <c r="K48" s="64"/>
      <c r="L48" s="64"/>
      <c r="M48" s="64"/>
      <c r="N48" s="64"/>
      <c r="O48" s="64"/>
      <c r="P48" s="64"/>
      <c r="Q48" s="64"/>
      <c r="R48" s="64"/>
      <c r="S48" s="64"/>
      <c r="T48" s="64"/>
      <c r="U48" s="64"/>
      <c r="V48" s="64"/>
      <c r="W48" s="64"/>
      <c r="X48" s="64"/>
      <c r="Y48" s="64"/>
      <c r="Z48" s="64"/>
      <c r="AA48" s="64"/>
      <c r="AB48" s="64"/>
      <c r="AC48" s="64"/>
      <c r="AD48" s="64"/>
      <c r="AE48" s="64"/>
      <c r="AF48" s="64"/>
      <c r="AG48" s="64"/>
      <c r="AH48" s="64"/>
    </row>
    <row r="49">
      <c r="A49" s="64"/>
      <c r="B49" s="64"/>
      <c r="C49" s="64"/>
      <c r="D49" s="64"/>
      <c r="E49" s="64"/>
      <c r="F49" s="64"/>
      <c r="G49" s="64"/>
      <c r="H49" s="64"/>
      <c r="I49" s="64"/>
      <c r="J49" s="64"/>
      <c r="K49" s="64"/>
      <c r="L49" s="64"/>
      <c r="M49" s="64"/>
      <c r="N49" s="64"/>
      <c r="O49" s="64"/>
      <c r="P49" s="64"/>
      <c r="Q49" s="64"/>
      <c r="R49" s="64"/>
      <c r="S49" s="64"/>
      <c r="T49" s="64"/>
      <c r="U49" s="64"/>
      <c r="V49" s="64"/>
      <c r="W49" s="64"/>
      <c r="X49" s="64"/>
      <c r="Y49" s="64"/>
      <c r="Z49" s="64"/>
      <c r="AA49" s="64"/>
      <c r="AB49" s="64"/>
      <c r="AC49" s="64"/>
      <c r="AD49" s="64"/>
      <c r="AE49" s="64"/>
      <c r="AF49" s="64"/>
      <c r="AG49" s="64"/>
      <c r="AH49" s="64"/>
    </row>
    <row r="50">
      <c r="A50" s="64"/>
      <c r="B50" s="64"/>
      <c r="C50" s="64"/>
      <c r="D50" s="64"/>
      <c r="E50" s="64"/>
      <c r="F50" s="64"/>
      <c r="G50" s="64"/>
      <c r="H50" s="64"/>
      <c r="I50" s="64"/>
      <c r="J50" s="64"/>
      <c r="K50" s="64"/>
      <c r="L50" s="64"/>
      <c r="M50" s="64"/>
      <c r="N50" s="64"/>
      <c r="O50" s="64"/>
      <c r="P50" s="64"/>
      <c r="Q50" s="64"/>
      <c r="R50" s="64"/>
      <c r="S50" s="64"/>
      <c r="T50" s="64"/>
      <c r="U50" s="64"/>
      <c r="V50" s="64"/>
      <c r="W50" s="64"/>
      <c r="X50" s="64"/>
      <c r="Y50" s="64"/>
      <c r="Z50" s="64"/>
      <c r="AA50" s="64"/>
      <c r="AB50" s="64"/>
      <c r="AC50" s="64"/>
      <c r="AD50" s="64"/>
      <c r="AE50" s="64"/>
      <c r="AF50" s="64"/>
      <c r="AG50" s="64"/>
      <c r="AH50" s="64"/>
    </row>
    <row r="51">
      <c r="A51" s="64"/>
      <c r="B51" s="64"/>
      <c r="C51" s="64"/>
      <c r="D51" s="64"/>
      <c r="E51" s="64"/>
      <c r="F51" s="64"/>
      <c r="G51" s="64"/>
      <c r="H51" s="64"/>
      <c r="I51" s="64"/>
      <c r="J51" s="64"/>
      <c r="K51" s="64"/>
      <c r="L51" s="64"/>
      <c r="M51" s="64"/>
      <c r="N51" s="64"/>
      <c r="O51" s="64"/>
      <c r="P51" s="64"/>
      <c r="Q51" s="64"/>
      <c r="R51" s="64"/>
      <c r="S51" s="64"/>
      <c r="T51" s="64"/>
      <c r="U51" s="64"/>
      <c r="V51" s="64"/>
      <c r="W51" s="64"/>
      <c r="X51" s="64"/>
      <c r="Y51" s="64"/>
      <c r="Z51" s="64"/>
      <c r="AA51" s="64"/>
      <c r="AB51" s="64"/>
      <c r="AC51" s="64"/>
      <c r="AD51" s="64"/>
      <c r="AE51" s="64"/>
      <c r="AF51" s="64"/>
      <c r="AG51" s="64"/>
      <c r="AH51" s="64"/>
    </row>
    <row r="52">
      <c r="A52" s="64"/>
      <c r="B52" s="64"/>
      <c r="C52" s="64"/>
      <c r="D52" s="64"/>
      <c r="E52" s="64"/>
      <c r="F52" s="64"/>
      <c r="G52" s="64"/>
      <c r="H52" s="64"/>
      <c r="I52" s="64"/>
      <c r="J52" s="64"/>
      <c r="K52" s="64"/>
      <c r="L52" s="64"/>
      <c r="M52" s="64"/>
      <c r="N52" s="64"/>
      <c r="O52" s="64"/>
      <c r="P52" s="64"/>
      <c r="Q52" s="64"/>
      <c r="R52" s="64"/>
      <c r="S52" s="64"/>
      <c r="T52" s="64"/>
      <c r="U52" s="64"/>
      <c r="V52" s="64"/>
      <c r="W52" s="64"/>
      <c r="X52" s="64"/>
      <c r="Y52" s="64"/>
      <c r="Z52" s="64"/>
      <c r="AA52" s="64"/>
      <c r="AB52" s="64"/>
      <c r="AC52" s="64"/>
      <c r="AD52" s="64"/>
      <c r="AE52" s="64"/>
      <c r="AF52" s="64"/>
      <c r="AG52" s="64"/>
      <c r="AH52" s="64"/>
    </row>
    <row r="53">
      <c r="A53" s="64"/>
      <c r="B53" s="64"/>
      <c r="C53" s="64"/>
      <c r="D53" s="64"/>
      <c r="E53" s="64"/>
      <c r="F53" s="64"/>
      <c r="G53" s="64"/>
      <c r="H53" s="64"/>
      <c r="I53" s="64"/>
      <c r="J53" s="64"/>
      <c r="K53" s="64"/>
      <c r="L53" s="64"/>
      <c r="M53" s="64"/>
      <c r="N53" s="64"/>
      <c r="O53" s="64"/>
      <c r="P53" s="64"/>
      <c r="Q53" s="64"/>
      <c r="R53" s="64"/>
      <c r="S53" s="64"/>
      <c r="T53" s="64"/>
      <c r="U53" s="64"/>
      <c r="V53" s="64"/>
      <c r="W53" s="64"/>
      <c r="X53" s="64"/>
      <c r="Y53" s="64"/>
      <c r="Z53" s="64"/>
      <c r="AA53" s="64"/>
      <c r="AB53" s="64"/>
      <c r="AC53" s="64"/>
      <c r="AD53" s="64"/>
      <c r="AE53" s="64"/>
      <c r="AF53" s="64"/>
      <c r="AG53" s="64"/>
      <c r="AH53" s="64"/>
    </row>
    <row r="54">
      <c r="A54" s="64"/>
      <c r="B54" s="64"/>
      <c r="C54" s="64"/>
      <c r="D54" s="64"/>
      <c r="E54" s="64"/>
      <c r="F54" s="64"/>
      <c r="G54" s="64"/>
      <c r="H54" s="64"/>
      <c r="I54" s="64"/>
      <c r="J54" s="64"/>
      <c r="K54" s="64"/>
      <c r="L54" s="64"/>
      <c r="M54" s="64"/>
      <c r="N54" s="64"/>
      <c r="O54" s="64"/>
      <c r="P54" s="64"/>
      <c r="Q54" s="64"/>
      <c r="R54" s="64"/>
      <c r="S54" s="64"/>
      <c r="T54" s="64"/>
      <c r="U54" s="64"/>
      <c r="V54" s="64"/>
      <c r="W54" s="64"/>
      <c r="X54" s="64"/>
      <c r="Y54" s="64"/>
      <c r="Z54" s="64"/>
      <c r="AA54" s="64"/>
      <c r="AB54" s="64"/>
      <c r="AC54" s="64"/>
      <c r="AD54" s="64"/>
      <c r="AE54" s="64"/>
      <c r="AF54" s="64"/>
      <c r="AG54" s="64"/>
      <c r="AH54" s="64"/>
    </row>
    <row r="55">
      <c r="A55" s="64"/>
      <c r="B55" s="64"/>
      <c r="C55" s="64"/>
      <c r="D55" s="64"/>
      <c r="E55" s="64"/>
      <c r="F55" s="64"/>
      <c r="G55" s="64"/>
      <c r="H55" s="64"/>
      <c r="I55" s="64"/>
      <c r="J55" s="64"/>
      <c r="K55" s="64"/>
      <c r="L55" s="64"/>
      <c r="M55" s="64"/>
      <c r="N55" s="64"/>
      <c r="O55" s="64"/>
      <c r="P55" s="64"/>
      <c r="Q55" s="64"/>
      <c r="R55" s="64"/>
      <c r="S55" s="64"/>
      <c r="T55" s="64"/>
      <c r="U55" s="64"/>
      <c r="V55" s="64"/>
      <c r="W55" s="64"/>
      <c r="X55" s="64"/>
      <c r="Y55" s="64"/>
      <c r="Z55" s="64"/>
      <c r="AA55" s="64"/>
      <c r="AB55" s="64"/>
      <c r="AC55" s="64"/>
      <c r="AD55" s="64"/>
      <c r="AE55" s="64"/>
      <c r="AF55" s="64"/>
      <c r="AG55" s="64"/>
      <c r="AH55" s="64"/>
    </row>
    <row r="56">
      <c r="A56" s="64"/>
      <c r="B56" s="64"/>
      <c r="C56" s="64"/>
      <c r="D56" s="64"/>
      <c r="E56" s="64"/>
      <c r="F56" s="64"/>
      <c r="G56" s="64"/>
      <c r="H56" s="64"/>
      <c r="I56" s="64"/>
      <c r="J56" s="64"/>
      <c r="K56" s="64"/>
      <c r="L56" s="64"/>
      <c r="M56" s="64"/>
      <c r="N56" s="64"/>
      <c r="O56" s="64"/>
      <c r="P56" s="64"/>
      <c r="Q56" s="64"/>
      <c r="R56" s="64"/>
      <c r="S56" s="64"/>
      <c r="T56" s="64"/>
      <c r="U56" s="64"/>
      <c r="V56" s="64"/>
      <c r="W56" s="64"/>
      <c r="X56" s="64"/>
      <c r="Y56" s="64"/>
      <c r="Z56" s="64"/>
      <c r="AA56" s="64"/>
      <c r="AB56" s="64"/>
      <c r="AC56" s="64"/>
      <c r="AD56" s="64"/>
      <c r="AE56" s="64"/>
      <c r="AF56" s="64"/>
      <c r="AG56" s="64"/>
      <c r="AH56" s="64"/>
    </row>
    <row r="57">
      <c r="A57" s="64"/>
      <c r="B57" s="64"/>
      <c r="C57" s="64"/>
      <c r="D57" s="64"/>
      <c r="E57" s="64"/>
      <c r="F57" s="64"/>
      <c r="G57" s="64"/>
      <c r="H57" s="64"/>
      <c r="I57" s="64"/>
      <c r="J57" s="64"/>
      <c r="K57" s="64"/>
      <c r="L57" s="64"/>
      <c r="M57" s="64"/>
      <c r="N57" s="64"/>
      <c r="O57" s="64"/>
      <c r="P57" s="64"/>
      <c r="Q57" s="64"/>
      <c r="R57" s="64"/>
      <c r="S57" s="64"/>
      <c r="T57" s="64"/>
      <c r="U57" s="64"/>
      <c r="V57" s="64"/>
      <c r="W57" s="64"/>
      <c r="X57" s="64"/>
      <c r="Y57" s="64"/>
      <c r="Z57" s="64"/>
      <c r="AA57" s="64"/>
      <c r="AB57" s="64"/>
      <c r="AC57" s="64"/>
      <c r="AD57" s="64"/>
      <c r="AE57" s="64"/>
      <c r="AF57" s="64"/>
      <c r="AG57" s="64"/>
      <c r="AH57" s="64"/>
    </row>
    <row r="58">
      <c r="A58" s="64"/>
      <c r="B58" s="64"/>
      <c r="C58" s="64"/>
      <c r="D58" s="64"/>
      <c r="E58" s="64"/>
      <c r="F58" s="64"/>
      <c r="G58" s="64"/>
      <c r="H58" s="64"/>
      <c r="I58" s="64"/>
      <c r="J58" s="64"/>
      <c r="K58" s="64"/>
      <c r="L58" s="64"/>
      <c r="M58" s="64"/>
      <c r="N58" s="64"/>
      <c r="O58" s="64"/>
      <c r="P58" s="64"/>
      <c r="Q58" s="64"/>
      <c r="R58" s="64"/>
      <c r="S58" s="64"/>
      <c r="T58" s="64"/>
      <c r="U58" s="64"/>
      <c r="V58" s="64"/>
      <c r="W58" s="64"/>
      <c r="X58" s="64"/>
      <c r="Y58" s="64"/>
      <c r="Z58" s="64"/>
      <c r="AA58" s="64"/>
      <c r="AB58" s="64"/>
      <c r="AC58" s="64"/>
      <c r="AD58" s="64"/>
      <c r="AE58" s="64"/>
      <c r="AF58" s="64"/>
      <c r="AG58" s="64"/>
      <c r="AH58" s="64"/>
    </row>
    <row r="59">
      <c r="A59" s="64"/>
      <c r="B59" s="64"/>
      <c r="C59" s="64"/>
      <c r="D59" s="64"/>
      <c r="E59" s="64"/>
      <c r="F59" s="64"/>
      <c r="G59" s="64"/>
      <c r="H59" s="64"/>
      <c r="I59" s="64"/>
      <c r="J59" s="64"/>
      <c r="K59" s="64"/>
      <c r="L59" s="64"/>
      <c r="M59" s="64"/>
      <c r="N59" s="64"/>
      <c r="O59" s="64"/>
      <c r="P59" s="64"/>
      <c r="Q59" s="64"/>
      <c r="R59" s="64"/>
      <c r="S59" s="64"/>
      <c r="T59" s="64"/>
      <c r="U59" s="64"/>
      <c r="V59" s="64"/>
      <c r="W59" s="64"/>
      <c r="X59" s="64"/>
      <c r="Y59" s="64"/>
      <c r="Z59" s="64"/>
      <c r="AA59" s="64"/>
      <c r="AB59" s="64"/>
      <c r="AC59" s="64"/>
      <c r="AD59" s="64"/>
      <c r="AE59" s="64"/>
      <c r="AF59" s="64"/>
      <c r="AG59" s="64"/>
      <c r="AH59" s="64"/>
    </row>
    <row r="60">
      <c r="A60" s="64"/>
      <c r="B60" s="64"/>
      <c r="C60" s="64"/>
      <c r="D60" s="64"/>
      <c r="E60" s="64"/>
      <c r="F60" s="64"/>
      <c r="G60" s="64"/>
      <c r="H60" s="64"/>
      <c r="I60" s="64"/>
      <c r="J60" s="64"/>
      <c r="K60" s="64"/>
      <c r="L60" s="64"/>
      <c r="M60" s="64"/>
      <c r="N60" s="64"/>
      <c r="O60" s="64"/>
      <c r="P60" s="64"/>
      <c r="Q60" s="64"/>
      <c r="R60" s="64"/>
      <c r="S60" s="64"/>
      <c r="T60" s="64"/>
      <c r="U60" s="64"/>
      <c r="V60" s="64"/>
      <c r="W60" s="64"/>
      <c r="X60" s="64"/>
      <c r="Y60" s="64"/>
      <c r="Z60" s="64"/>
      <c r="AA60" s="64"/>
      <c r="AB60" s="64"/>
      <c r="AC60" s="64"/>
      <c r="AD60" s="64"/>
      <c r="AE60" s="64"/>
      <c r="AF60" s="64"/>
      <c r="AG60" s="64"/>
      <c r="AH60" s="64"/>
    </row>
    <row r="61">
      <c r="A61" s="64"/>
      <c r="B61" s="64"/>
      <c r="C61" s="64"/>
      <c r="D61" s="64"/>
      <c r="E61" s="64"/>
      <c r="F61" s="64"/>
      <c r="G61" s="64"/>
      <c r="H61" s="64"/>
      <c r="I61" s="64"/>
      <c r="J61" s="64"/>
      <c r="K61" s="64"/>
      <c r="L61" s="64"/>
      <c r="M61" s="64"/>
      <c r="N61" s="64"/>
      <c r="O61" s="64"/>
      <c r="P61" s="64"/>
      <c r="Q61" s="64"/>
      <c r="R61" s="64"/>
      <c r="S61" s="64"/>
      <c r="T61" s="64"/>
      <c r="U61" s="64"/>
      <c r="V61" s="64"/>
      <c r="W61" s="64"/>
      <c r="X61" s="64"/>
      <c r="Y61" s="64"/>
      <c r="Z61" s="64"/>
      <c r="AA61" s="64"/>
      <c r="AB61" s="64"/>
      <c r="AC61" s="64"/>
      <c r="AD61" s="64"/>
      <c r="AE61" s="64"/>
      <c r="AF61" s="64"/>
      <c r="AG61" s="64"/>
      <c r="AH61" s="64"/>
    </row>
    <row r="62">
      <c r="A62" s="64"/>
      <c r="B62" s="64"/>
      <c r="C62" s="64"/>
      <c r="D62" s="64"/>
      <c r="E62" s="64"/>
      <c r="F62" s="64"/>
      <c r="G62" s="64"/>
      <c r="H62" s="64"/>
      <c r="I62" s="64"/>
      <c r="J62" s="64"/>
      <c r="K62" s="64"/>
      <c r="L62" s="64"/>
      <c r="M62" s="64"/>
      <c r="N62" s="64"/>
      <c r="O62" s="64"/>
      <c r="P62" s="64"/>
      <c r="Q62" s="64"/>
      <c r="R62" s="64"/>
      <c r="S62" s="64"/>
      <c r="T62" s="64"/>
      <c r="U62" s="64"/>
      <c r="V62" s="64"/>
      <c r="W62" s="64"/>
      <c r="X62" s="64"/>
      <c r="Y62" s="64"/>
      <c r="Z62" s="64"/>
      <c r="AA62" s="64"/>
      <c r="AB62" s="64"/>
      <c r="AC62" s="64"/>
      <c r="AD62" s="64"/>
      <c r="AE62" s="64"/>
      <c r="AF62" s="64"/>
      <c r="AG62" s="64"/>
      <c r="AH62" s="64"/>
    </row>
    <row r="63">
      <c r="A63" s="64"/>
      <c r="B63" s="64"/>
      <c r="C63" s="64"/>
      <c r="D63" s="64"/>
      <c r="E63" s="64"/>
      <c r="F63" s="64"/>
      <c r="G63" s="64"/>
      <c r="H63" s="64"/>
      <c r="I63" s="64"/>
      <c r="J63" s="64"/>
      <c r="K63" s="64"/>
      <c r="L63" s="64"/>
      <c r="M63" s="64"/>
      <c r="N63" s="64"/>
      <c r="O63" s="64"/>
      <c r="P63" s="64"/>
      <c r="Q63" s="64"/>
      <c r="R63" s="64"/>
      <c r="S63" s="64"/>
      <c r="T63" s="64"/>
      <c r="U63" s="64"/>
      <c r="V63" s="64"/>
      <c r="W63" s="64"/>
      <c r="X63" s="64"/>
      <c r="Y63" s="64"/>
      <c r="Z63" s="64"/>
      <c r="AA63" s="64"/>
      <c r="AB63" s="64"/>
      <c r="AC63" s="64"/>
      <c r="AD63" s="64"/>
      <c r="AE63" s="64"/>
      <c r="AF63" s="64"/>
      <c r="AG63" s="64"/>
      <c r="AH63" s="64"/>
    </row>
    <row r="64">
      <c r="A64" s="64"/>
      <c r="B64" s="64"/>
      <c r="C64" s="64"/>
      <c r="D64" s="64"/>
      <c r="E64" s="64"/>
      <c r="F64" s="64"/>
      <c r="G64" s="64"/>
      <c r="H64" s="64"/>
      <c r="I64" s="64"/>
      <c r="J64" s="64"/>
      <c r="K64" s="64"/>
      <c r="L64" s="64"/>
      <c r="M64" s="64"/>
      <c r="N64" s="64"/>
      <c r="O64" s="64"/>
      <c r="P64" s="64"/>
      <c r="Q64" s="64"/>
      <c r="R64" s="64"/>
      <c r="S64" s="64"/>
      <c r="T64" s="64"/>
      <c r="U64" s="64"/>
      <c r="V64" s="64"/>
      <c r="W64" s="64"/>
      <c r="X64" s="64"/>
      <c r="Y64" s="64"/>
      <c r="Z64" s="64"/>
      <c r="AA64" s="64"/>
      <c r="AB64" s="64"/>
      <c r="AC64" s="64"/>
      <c r="AD64" s="64"/>
      <c r="AE64" s="64"/>
      <c r="AF64" s="64"/>
      <c r="AG64" s="64"/>
      <c r="AH64" s="64"/>
    </row>
    <row r="65">
      <c r="A65" s="64"/>
      <c r="B65" s="64"/>
      <c r="C65" s="64"/>
      <c r="D65" s="64"/>
      <c r="E65" s="64"/>
      <c r="F65" s="64"/>
      <c r="G65" s="64"/>
      <c r="H65" s="64"/>
      <c r="I65" s="64"/>
      <c r="J65" s="64"/>
      <c r="K65" s="64"/>
      <c r="L65" s="64"/>
      <c r="M65" s="64"/>
      <c r="N65" s="64"/>
      <c r="O65" s="64"/>
      <c r="P65" s="64"/>
      <c r="Q65" s="64"/>
      <c r="R65" s="64"/>
      <c r="S65" s="64"/>
      <c r="T65" s="64"/>
      <c r="U65" s="64"/>
      <c r="V65" s="64"/>
      <c r="W65" s="64"/>
      <c r="X65" s="64"/>
      <c r="Y65" s="64"/>
      <c r="Z65" s="64"/>
      <c r="AA65" s="64"/>
      <c r="AB65" s="64"/>
      <c r="AC65" s="64"/>
      <c r="AD65" s="64"/>
      <c r="AE65" s="64"/>
      <c r="AF65" s="64"/>
      <c r="AG65" s="64"/>
      <c r="AH65" s="64"/>
    </row>
    <row r="66">
      <c r="A66" s="64"/>
      <c r="B66" s="64"/>
      <c r="C66" s="64"/>
      <c r="D66" s="64"/>
      <c r="E66" s="64"/>
      <c r="F66" s="64"/>
      <c r="G66" s="64"/>
      <c r="H66" s="64"/>
      <c r="I66" s="64"/>
      <c r="J66" s="64"/>
      <c r="K66" s="64"/>
      <c r="L66" s="64"/>
      <c r="M66" s="64"/>
      <c r="N66" s="64"/>
      <c r="O66" s="64"/>
      <c r="P66" s="64"/>
      <c r="Q66" s="64"/>
      <c r="R66" s="64"/>
      <c r="S66" s="64"/>
      <c r="T66" s="64"/>
      <c r="U66" s="64"/>
      <c r="V66" s="64"/>
      <c r="W66" s="64"/>
      <c r="X66" s="64"/>
      <c r="Y66" s="64"/>
      <c r="Z66" s="64"/>
      <c r="AA66" s="64"/>
      <c r="AB66" s="64"/>
      <c r="AC66" s="64"/>
      <c r="AD66" s="64"/>
      <c r="AE66" s="64"/>
      <c r="AF66" s="64"/>
      <c r="AG66" s="64"/>
      <c r="AH66" s="64"/>
    </row>
    <row r="67">
      <c r="A67" s="64"/>
      <c r="B67" s="64"/>
      <c r="C67" s="64"/>
      <c r="D67" s="64"/>
      <c r="E67" s="64"/>
      <c r="F67" s="64"/>
      <c r="G67" s="64"/>
      <c r="H67" s="64"/>
      <c r="I67" s="64"/>
      <c r="J67" s="64"/>
      <c r="K67" s="64"/>
      <c r="L67" s="64"/>
      <c r="M67" s="64"/>
      <c r="N67" s="64"/>
      <c r="O67" s="64"/>
      <c r="P67" s="64"/>
      <c r="Q67" s="64"/>
      <c r="R67" s="64"/>
      <c r="S67" s="64"/>
      <c r="T67" s="64"/>
      <c r="U67" s="64"/>
      <c r="V67" s="64"/>
      <c r="W67" s="64"/>
      <c r="X67" s="64"/>
      <c r="Y67" s="64"/>
      <c r="Z67" s="64"/>
      <c r="AA67" s="64"/>
      <c r="AB67" s="64"/>
      <c r="AC67" s="64"/>
      <c r="AD67" s="64"/>
      <c r="AE67" s="64"/>
      <c r="AF67" s="64"/>
      <c r="AG67" s="64"/>
      <c r="AH67" s="64"/>
    </row>
    <row r="68">
      <c r="A68" s="64"/>
      <c r="B68" s="64"/>
      <c r="C68" s="64"/>
      <c r="D68" s="64"/>
      <c r="E68" s="64"/>
      <c r="F68" s="64"/>
      <c r="G68" s="64"/>
      <c r="H68" s="64"/>
      <c r="I68" s="64"/>
      <c r="J68" s="64"/>
      <c r="K68" s="64"/>
      <c r="L68" s="64"/>
      <c r="M68" s="64"/>
      <c r="N68" s="64"/>
      <c r="O68" s="64"/>
      <c r="P68" s="64"/>
      <c r="Q68" s="64"/>
      <c r="R68" s="64"/>
      <c r="S68" s="64"/>
      <c r="T68" s="64"/>
      <c r="U68" s="64"/>
      <c r="V68" s="64"/>
      <c r="W68" s="64"/>
      <c r="X68" s="64"/>
      <c r="Y68" s="64"/>
      <c r="Z68" s="64"/>
      <c r="AA68" s="64"/>
      <c r="AB68" s="64"/>
      <c r="AC68" s="64"/>
      <c r="AD68" s="64"/>
      <c r="AE68" s="64"/>
      <c r="AF68" s="64"/>
      <c r="AG68" s="64"/>
      <c r="AH68" s="64"/>
    </row>
    <row r="69">
      <c r="A69" s="64"/>
      <c r="B69" s="64"/>
      <c r="C69" s="64"/>
      <c r="D69" s="64"/>
      <c r="E69" s="64"/>
      <c r="F69" s="64"/>
      <c r="G69" s="64"/>
      <c r="H69" s="64"/>
      <c r="I69" s="64"/>
      <c r="J69" s="64"/>
      <c r="K69" s="64"/>
      <c r="L69" s="64"/>
      <c r="M69" s="64"/>
      <c r="N69" s="64"/>
      <c r="O69" s="64"/>
      <c r="P69" s="64"/>
      <c r="Q69" s="64"/>
      <c r="R69" s="64"/>
      <c r="S69" s="64"/>
      <c r="T69" s="64"/>
      <c r="U69" s="64"/>
      <c r="V69" s="64"/>
      <c r="W69" s="64"/>
      <c r="X69" s="64"/>
      <c r="Y69" s="64"/>
      <c r="Z69" s="64"/>
      <c r="AA69" s="64"/>
      <c r="AB69" s="64"/>
      <c r="AC69" s="64"/>
      <c r="AD69" s="64"/>
      <c r="AE69" s="64"/>
      <c r="AF69" s="64"/>
      <c r="AG69" s="64"/>
      <c r="AH69" s="64"/>
    </row>
    <row r="70">
      <c r="A70" s="64"/>
      <c r="B70" s="64"/>
      <c r="C70" s="64"/>
      <c r="D70" s="64"/>
      <c r="E70" s="64"/>
      <c r="F70" s="64"/>
      <c r="G70" s="64"/>
      <c r="H70" s="64"/>
      <c r="I70" s="64"/>
      <c r="J70" s="64"/>
      <c r="K70" s="64"/>
      <c r="L70" s="64"/>
      <c r="M70" s="64"/>
      <c r="N70" s="64"/>
      <c r="O70" s="64"/>
      <c r="P70" s="64"/>
      <c r="Q70" s="64"/>
      <c r="R70" s="64"/>
      <c r="S70" s="64"/>
      <c r="T70" s="64"/>
      <c r="U70" s="64"/>
      <c r="V70" s="64"/>
      <c r="W70" s="64"/>
      <c r="X70" s="64"/>
      <c r="Y70" s="64"/>
      <c r="Z70" s="64"/>
      <c r="AA70" s="64"/>
      <c r="AB70" s="64"/>
      <c r="AC70" s="64"/>
      <c r="AD70" s="64"/>
      <c r="AE70" s="64"/>
      <c r="AF70" s="64"/>
      <c r="AG70" s="64"/>
      <c r="AH70" s="64"/>
    </row>
    <row r="71">
      <c r="A71" s="64"/>
      <c r="B71" s="64"/>
      <c r="C71" s="64"/>
      <c r="D71" s="64"/>
      <c r="E71" s="64"/>
      <c r="F71" s="64"/>
      <c r="G71" s="64"/>
      <c r="H71" s="64"/>
      <c r="I71" s="64"/>
      <c r="J71" s="64"/>
      <c r="K71" s="64"/>
      <c r="L71" s="64"/>
      <c r="M71" s="64"/>
      <c r="N71" s="64"/>
      <c r="O71" s="64"/>
      <c r="P71" s="64"/>
      <c r="Q71" s="64"/>
      <c r="R71" s="64"/>
      <c r="S71" s="64"/>
      <c r="T71" s="64"/>
      <c r="U71" s="64"/>
      <c r="V71" s="64"/>
      <c r="W71" s="64"/>
      <c r="X71" s="64"/>
      <c r="Y71" s="64"/>
      <c r="Z71" s="64"/>
      <c r="AA71" s="64"/>
      <c r="AB71" s="64"/>
      <c r="AC71" s="64"/>
      <c r="AD71" s="64"/>
      <c r="AE71" s="64"/>
      <c r="AF71" s="64"/>
      <c r="AG71" s="64"/>
      <c r="AH71" s="64"/>
    </row>
    <row r="72">
      <c r="A72" s="64"/>
      <c r="B72" s="64"/>
      <c r="C72" s="64"/>
      <c r="D72" s="64"/>
      <c r="E72" s="64"/>
      <c r="F72" s="64"/>
      <c r="G72" s="64"/>
      <c r="H72" s="64"/>
      <c r="I72" s="64"/>
      <c r="J72" s="64"/>
      <c r="K72" s="64"/>
      <c r="L72" s="64"/>
      <c r="M72" s="64"/>
      <c r="N72" s="64"/>
      <c r="O72" s="64"/>
      <c r="P72" s="64"/>
      <c r="Q72" s="64"/>
      <c r="R72" s="64"/>
      <c r="S72" s="64"/>
      <c r="T72" s="64"/>
      <c r="U72" s="64"/>
      <c r="V72" s="64"/>
      <c r="W72" s="64"/>
      <c r="X72" s="64"/>
      <c r="Y72" s="64"/>
      <c r="Z72" s="64"/>
      <c r="AA72" s="64"/>
      <c r="AB72" s="64"/>
      <c r="AC72" s="64"/>
      <c r="AD72" s="64"/>
      <c r="AE72" s="64"/>
      <c r="AF72" s="64"/>
      <c r="AG72" s="64"/>
      <c r="AH72" s="64"/>
    </row>
    <row r="73">
      <c r="A73" s="64"/>
      <c r="B73" s="64"/>
      <c r="C73" s="64"/>
      <c r="D73" s="64"/>
      <c r="E73" s="64"/>
      <c r="F73" s="64"/>
      <c r="G73" s="64"/>
      <c r="H73" s="64"/>
      <c r="I73" s="64"/>
      <c r="J73" s="64"/>
      <c r="K73" s="64"/>
      <c r="L73" s="64"/>
      <c r="M73" s="64"/>
      <c r="N73" s="64"/>
      <c r="O73" s="64"/>
      <c r="P73" s="64"/>
      <c r="Q73" s="64"/>
      <c r="R73" s="64"/>
      <c r="S73" s="64"/>
      <c r="T73" s="64"/>
      <c r="U73" s="64"/>
      <c r="V73" s="64"/>
      <c r="W73" s="64"/>
      <c r="X73" s="64"/>
      <c r="Y73" s="64"/>
      <c r="Z73" s="64"/>
      <c r="AA73" s="64"/>
      <c r="AB73" s="64"/>
      <c r="AC73" s="64"/>
      <c r="AD73" s="64"/>
      <c r="AE73" s="64"/>
      <c r="AF73" s="64"/>
      <c r="AG73" s="64"/>
      <c r="AH73" s="64"/>
    </row>
    <row r="74">
      <c r="A74" s="64"/>
      <c r="B74" s="64"/>
      <c r="C74" s="64"/>
      <c r="D74" s="64"/>
      <c r="E74" s="64"/>
      <c r="F74" s="64"/>
      <c r="G74" s="64"/>
      <c r="H74" s="64"/>
      <c r="I74" s="64"/>
      <c r="J74" s="64"/>
      <c r="K74" s="64"/>
      <c r="L74" s="64"/>
      <c r="M74" s="64"/>
      <c r="N74" s="64"/>
      <c r="O74" s="64"/>
      <c r="P74" s="64"/>
      <c r="Q74" s="64"/>
      <c r="R74" s="64"/>
      <c r="S74" s="64"/>
      <c r="T74" s="64"/>
      <c r="U74" s="64"/>
      <c r="V74" s="64"/>
      <c r="W74" s="64"/>
      <c r="X74" s="64"/>
      <c r="Y74" s="64"/>
      <c r="Z74" s="64"/>
      <c r="AA74" s="64"/>
      <c r="AB74" s="64"/>
      <c r="AC74" s="64"/>
      <c r="AD74" s="64"/>
      <c r="AE74" s="64"/>
      <c r="AF74" s="64"/>
      <c r="AG74" s="64"/>
      <c r="AH74" s="64"/>
    </row>
    <row r="75">
      <c r="A75" s="64"/>
      <c r="B75" s="64"/>
      <c r="C75" s="64"/>
      <c r="D75" s="64"/>
      <c r="E75" s="64"/>
      <c r="F75" s="64"/>
      <c r="G75" s="64"/>
      <c r="H75" s="64"/>
      <c r="I75" s="64"/>
      <c r="J75" s="64"/>
      <c r="K75" s="64"/>
      <c r="L75" s="64"/>
      <c r="M75" s="64"/>
      <c r="N75" s="64"/>
      <c r="O75" s="64"/>
      <c r="P75" s="64"/>
      <c r="Q75" s="64"/>
      <c r="R75" s="64"/>
      <c r="S75" s="64"/>
      <c r="T75" s="64"/>
      <c r="U75" s="64"/>
      <c r="V75" s="64"/>
      <c r="W75" s="64"/>
      <c r="X75" s="64"/>
      <c r="Y75" s="64"/>
      <c r="Z75" s="64"/>
      <c r="AA75" s="64"/>
      <c r="AB75" s="64"/>
      <c r="AC75" s="64"/>
      <c r="AD75" s="64"/>
      <c r="AE75" s="64"/>
      <c r="AF75" s="64"/>
      <c r="AG75" s="64"/>
      <c r="AH75" s="64"/>
    </row>
    <row r="76">
      <c r="A76" s="64"/>
      <c r="B76" s="64"/>
      <c r="C76" s="64"/>
      <c r="D76" s="64"/>
      <c r="E76" s="64"/>
      <c r="F76" s="64"/>
      <c r="G76" s="64"/>
      <c r="H76" s="64"/>
      <c r="I76" s="64"/>
      <c r="J76" s="64"/>
      <c r="K76" s="64"/>
      <c r="L76" s="64"/>
      <c r="M76" s="64"/>
      <c r="N76" s="64"/>
      <c r="O76" s="64"/>
      <c r="P76" s="64"/>
      <c r="Q76" s="64"/>
      <c r="R76" s="64"/>
      <c r="S76" s="64"/>
      <c r="T76" s="64"/>
      <c r="U76" s="64"/>
      <c r="V76" s="64"/>
      <c r="W76" s="64"/>
      <c r="X76" s="64"/>
      <c r="Y76" s="64"/>
      <c r="Z76" s="64"/>
      <c r="AA76" s="64"/>
      <c r="AB76" s="64"/>
      <c r="AC76" s="64"/>
      <c r="AD76" s="64"/>
      <c r="AE76" s="64"/>
      <c r="AF76" s="64"/>
      <c r="AG76" s="64"/>
      <c r="AH76" s="64"/>
    </row>
    <row r="77">
      <c r="A77" s="64"/>
      <c r="B77" s="64"/>
      <c r="C77" s="64"/>
      <c r="D77" s="64"/>
      <c r="E77" s="64"/>
      <c r="F77" s="64"/>
      <c r="G77" s="64"/>
      <c r="H77" s="64"/>
      <c r="I77" s="64"/>
      <c r="J77" s="64"/>
      <c r="K77" s="64"/>
      <c r="L77" s="64"/>
      <c r="M77" s="64"/>
      <c r="N77" s="64"/>
      <c r="O77" s="64"/>
      <c r="P77" s="64"/>
      <c r="Q77" s="64"/>
      <c r="R77" s="64"/>
      <c r="S77" s="64"/>
      <c r="T77" s="64"/>
      <c r="U77" s="64"/>
      <c r="V77" s="64"/>
      <c r="W77" s="64"/>
      <c r="X77" s="64"/>
      <c r="Y77" s="64"/>
      <c r="Z77" s="64"/>
      <c r="AA77" s="64"/>
      <c r="AB77" s="64"/>
      <c r="AC77" s="64"/>
      <c r="AD77" s="64"/>
      <c r="AE77" s="64"/>
      <c r="AF77" s="64"/>
      <c r="AG77" s="64"/>
      <c r="AH77" s="64"/>
    </row>
    <row r="78">
      <c r="A78" s="64"/>
      <c r="B78" s="64"/>
      <c r="C78" s="64"/>
      <c r="D78" s="64"/>
      <c r="E78" s="64"/>
      <c r="F78" s="64"/>
      <c r="G78" s="64"/>
      <c r="H78" s="64"/>
      <c r="I78" s="64"/>
      <c r="J78" s="64"/>
      <c r="K78" s="64"/>
      <c r="L78" s="64"/>
      <c r="M78" s="64"/>
      <c r="N78" s="64"/>
      <c r="O78" s="64"/>
      <c r="P78" s="64"/>
      <c r="Q78" s="64"/>
      <c r="R78" s="64"/>
      <c r="S78" s="64"/>
      <c r="T78" s="64"/>
      <c r="U78" s="64"/>
      <c r="V78" s="64"/>
      <c r="W78" s="64"/>
      <c r="X78" s="64"/>
      <c r="Y78" s="64"/>
      <c r="Z78" s="64"/>
      <c r="AA78" s="64"/>
      <c r="AB78" s="64"/>
      <c r="AC78" s="64"/>
      <c r="AD78" s="64"/>
      <c r="AE78" s="64"/>
      <c r="AF78" s="64"/>
      <c r="AG78" s="64"/>
      <c r="AH78" s="64"/>
    </row>
    <row r="79">
      <c r="A79" s="64"/>
      <c r="B79" s="64"/>
      <c r="C79" s="64"/>
      <c r="D79" s="64"/>
      <c r="E79" s="64"/>
      <c r="F79" s="64"/>
      <c r="G79" s="64"/>
      <c r="H79" s="64"/>
      <c r="I79" s="64"/>
      <c r="J79" s="64"/>
      <c r="K79" s="64"/>
      <c r="L79" s="64"/>
      <c r="M79" s="64"/>
      <c r="N79" s="64"/>
      <c r="O79" s="64"/>
      <c r="P79" s="64"/>
      <c r="Q79" s="64"/>
      <c r="R79" s="64"/>
      <c r="S79" s="64"/>
      <c r="T79" s="64"/>
      <c r="U79" s="64"/>
      <c r="V79" s="64"/>
      <c r="W79" s="64"/>
      <c r="X79" s="64"/>
      <c r="Y79" s="64"/>
      <c r="Z79" s="64"/>
      <c r="AA79" s="64"/>
      <c r="AB79" s="64"/>
      <c r="AC79" s="64"/>
      <c r="AD79" s="64"/>
      <c r="AE79" s="64"/>
      <c r="AF79" s="64"/>
      <c r="AG79" s="64"/>
      <c r="AH79" s="64"/>
    </row>
    <row r="80">
      <c r="A80" s="64"/>
      <c r="B80" s="64"/>
      <c r="C80" s="64"/>
      <c r="D80" s="64"/>
      <c r="E80" s="64"/>
      <c r="F80" s="64"/>
      <c r="G80" s="64"/>
      <c r="H80" s="64"/>
      <c r="I80" s="64"/>
      <c r="J80" s="64"/>
      <c r="K80" s="64"/>
      <c r="L80" s="64"/>
      <c r="M80" s="64"/>
      <c r="N80" s="64"/>
      <c r="O80" s="64"/>
      <c r="P80" s="64"/>
      <c r="Q80" s="64"/>
      <c r="R80" s="64"/>
      <c r="S80" s="64"/>
      <c r="T80" s="64"/>
      <c r="U80" s="64"/>
      <c r="V80" s="64"/>
      <c r="W80" s="64"/>
      <c r="X80" s="64"/>
      <c r="Y80" s="64"/>
      <c r="Z80" s="64"/>
      <c r="AA80" s="64"/>
      <c r="AB80" s="64"/>
      <c r="AC80" s="64"/>
      <c r="AD80" s="64"/>
      <c r="AE80" s="64"/>
      <c r="AF80" s="64"/>
      <c r="AG80" s="64"/>
      <c r="AH80" s="64"/>
    </row>
    <row r="81">
      <c r="A81" s="64"/>
      <c r="B81" s="64"/>
      <c r="C81" s="64"/>
      <c r="D81" s="64"/>
      <c r="E81" s="64"/>
      <c r="F81" s="64"/>
      <c r="G81" s="64"/>
      <c r="H81" s="64"/>
      <c r="I81" s="64"/>
      <c r="J81" s="64"/>
      <c r="K81" s="64"/>
      <c r="L81" s="64"/>
      <c r="M81" s="64"/>
      <c r="N81" s="64"/>
      <c r="O81" s="64"/>
      <c r="P81" s="64"/>
      <c r="Q81" s="64"/>
      <c r="R81" s="64"/>
      <c r="S81" s="64"/>
      <c r="T81" s="64"/>
      <c r="U81" s="64"/>
      <c r="V81" s="64"/>
      <c r="W81" s="64"/>
      <c r="X81" s="64"/>
      <c r="Y81" s="64"/>
      <c r="Z81" s="64"/>
      <c r="AA81" s="64"/>
      <c r="AB81" s="64"/>
      <c r="AC81" s="64"/>
      <c r="AD81" s="64"/>
      <c r="AE81" s="64"/>
      <c r="AF81" s="64"/>
      <c r="AG81" s="64"/>
      <c r="AH81" s="64"/>
    </row>
    <row r="82">
      <c r="A82" s="64"/>
      <c r="B82" s="64"/>
      <c r="C82" s="64"/>
      <c r="D82" s="64"/>
      <c r="E82" s="64"/>
      <c r="F82" s="64"/>
      <c r="G82" s="64"/>
      <c r="H82" s="64"/>
      <c r="I82" s="64"/>
      <c r="J82" s="64"/>
      <c r="K82" s="64"/>
      <c r="L82" s="64"/>
      <c r="M82" s="64"/>
      <c r="N82" s="64"/>
      <c r="O82" s="64"/>
      <c r="P82" s="64"/>
      <c r="Q82" s="64"/>
      <c r="R82" s="64"/>
      <c r="S82" s="64"/>
      <c r="T82" s="64"/>
      <c r="U82" s="64"/>
      <c r="V82" s="64"/>
      <c r="W82" s="64"/>
      <c r="X82" s="64"/>
      <c r="Y82" s="64"/>
      <c r="Z82" s="64"/>
      <c r="AA82" s="64"/>
      <c r="AB82" s="64"/>
      <c r="AC82" s="64"/>
      <c r="AD82" s="64"/>
      <c r="AE82" s="64"/>
      <c r="AF82" s="64"/>
      <c r="AG82" s="64"/>
      <c r="AH82" s="64"/>
    </row>
    <row r="83">
      <c r="A83" s="64"/>
      <c r="B83" s="64"/>
      <c r="C83" s="64"/>
      <c r="D83" s="64"/>
      <c r="E83" s="64"/>
      <c r="F83" s="64"/>
      <c r="G83" s="64"/>
      <c r="H83" s="64"/>
      <c r="I83" s="64"/>
      <c r="J83" s="64"/>
      <c r="K83" s="64"/>
      <c r="L83" s="64"/>
      <c r="M83" s="64"/>
      <c r="N83" s="64"/>
      <c r="O83" s="64"/>
      <c r="P83" s="64"/>
      <c r="Q83" s="64"/>
      <c r="R83" s="64"/>
      <c r="S83" s="64"/>
      <c r="T83" s="64"/>
      <c r="U83" s="64"/>
      <c r="V83" s="64"/>
      <c r="W83" s="64"/>
      <c r="X83" s="64"/>
      <c r="Y83" s="64"/>
      <c r="Z83" s="64"/>
      <c r="AA83" s="64"/>
      <c r="AB83" s="64"/>
      <c r="AC83" s="64"/>
      <c r="AD83" s="64"/>
      <c r="AE83" s="64"/>
      <c r="AF83" s="64"/>
      <c r="AG83" s="64"/>
      <c r="AH83" s="64"/>
    </row>
    <row r="84">
      <c r="A84" s="64"/>
      <c r="B84" s="64"/>
      <c r="C84" s="64"/>
      <c r="D84" s="64"/>
      <c r="E84" s="64"/>
      <c r="F84" s="64"/>
      <c r="G84" s="64"/>
      <c r="H84" s="64"/>
      <c r="I84" s="64"/>
      <c r="J84" s="64"/>
      <c r="K84" s="64"/>
      <c r="L84" s="64"/>
      <c r="M84" s="64"/>
      <c r="N84" s="64"/>
      <c r="O84" s="64"/>
      <c r="P84" s="64"/>
      <c r="Q84" s="64"/>
      <c r="R84" s="64"/>
      <c r="S84" s="64"/>
      <c r="T84" s="64"/>
      <c r="U84" s="64"/>
      <c r="V84" s="64"/>
      <c r="W84" s="64"/>
      <c r="X84" s="64"/>
      <c r="Y84" s="64"/>
      <c r="Z84" s="64"/>
      <c r="AA84" s="64"/>
      <c r="AB84" s="64"/>
      <c r="AC84" s="64"/>
      <c r="AD84" s="64"/>
      <c r="AE84" s="64"/>
      <c r="AF84" s="64"/>
      <c r="AG84" s="64"/>
      <c r="AH84" s="64"/>
    </row>
    <row r="85">
      <c r="A85" s="64"/>
      <c r="B85" s="64"/>
      <c r="C85" s="64"/>
      <c r="D85" s="64"/>
      <c r="E85" s="64"/>
      <c r="F85" s="64"/>
      <c r="G85" s="64"/>
      <c r="H85" s="64"/>
      <c r="I85" s="64"/>
      <c r="J85" s="64"/>
      <c r="K85" s="64"/>
      <c r="L85" s="64"/>
      <c r="M85" s="64"/>
      <c r="N85" s="64"/>
      <c r="O85" s="64"/>
      <c r="P85" s="64"/>
      <c r="Q85" s="64"/>
      <c r="R85" s="64"/>
      <c r="S85" s="64"/>
      <c r="T85" s="64"/>
      <c r="U85" s="64"/>
      <c r="V85" s="64"/>
      <c r="W85" s="64"/>
      <c r="X85" s="64"/>
      <c r="Y85" s="64"/>
      <c r="Z85" s="64"/>
      <c r="AA85" s="64"/>
      <c r="AB85" s="64"/>
      <c r="AC85" s="64"/>
      <c r="AD85" s="64"/>
      <c r="AE85" s="64"/>
      <c r="AF85" s="64"/>
      <c r="AG85" s="64"/>
      <c r="AH85" s="64"/>
    </row>
    <row r="86">
      <c r="A86" s="64"/>
      <c r="B86" s="64"/>
      <c r="C86" s="64"/>
      <c r="D86" s="64"/>
      <c r="E86" s="64"/>
      <c r="F86" s="64"/>
      <c r="G86" s="64"/>
      <c r="H86" s="64"/>
      <c r="I86" s="64"/>
      <c r="J86" s="64"/>
      <c r="K86" s="64"/>
      <c r="L86" s="64"/>
      <c r="M86" s="64"/>
      <c r="N86" s="64"/>
      <c r="O86" s="64"/>
      <c r="P86" s="64"/>
      <c r="Q86" s="64"/>
      <c r="R86" s="64"/>
      <c r="S86" s="64"/>
      <c r="T86" s="64"/>
      <c r="U86" s="64"/>
      <c r="V86" s="64"/>
      <c r="W86" s="64"/>
      <c r="X86" s="64"/>
      <c r="Y86" s="64"/>
      <c r="Z86" s="64"/>
      <c r="AA86" s="64"/>
      <c r="AB86" s="64"/>
      <c r="AC86" s="64"/>
      <c r="AD86" s="64"/>
      <c r="AE86" s="64"/>
      <c r="AF86" s="64"/>
      <c r="AG86" s="64"/>
      <c r="AH86" s="64"/>
    </row>
    <row r="87">
      <c r="A87" s="64"/>
      <c r="B87" s="64"/>
      <c r="C87" s="64"/>
      <c r="D87" s="64"/>
      <c r="E87" s="64"/>
      <c r="F87" s="64"/>
      <c r="G87" s="64"/>
      <c r="H87" s="64"/>
      <c r="I87" s="64"/>
      <c r="J87" s="64"/>
      <c r="K87" s="64"/>
      <c r="L87" s="64"/>
      <c r="M87" s="64"/>
      <c r="N87" s="64"/>
      <c r="O87" s="64"/>
      <c r="P87" s="64"/>
      <c r="Q87" s="64"/>
      <c r="R87" s="64"/>
      <c r="S87" s="64"/>
      <c r="T87" s="64"/>
      <c r="U87" s="64"/>
      <c r="V87" s="64"/>
      <c r="W87" s="64"/>
      <c r="X87" s="64"/>
      <c r="Y87" s="64"/>
      <c r="Z87" s="64"/>
      <c r="AA87" s="64"/>
      <c r="AB87" s="64"/>
      <c r="AC87" s="64"/>
      <c r="AD87" s="64"/>
      <c r="AE87" s="64"/>
      <c r="AF87" s="64"/>
      <c r="AG87" s="64"/>
      <c r="AH87" s="64"/>
    </row>
    <row r="88">
      <c r="A88" s="64"/>
      <c r="B88" s="64"/>
      <c r="C88" s="64"/>
      <c r="D88" s="64"/>
      <c r="E88" s="64"/>
      <c r="F88" s="64"/>
      <c r="G88" s="64"/>
      <c r="H88" s="64"/>
      <c r="I88" s="64"/>
      <c r="J88" s="64"/>
      <c r="K88" s="64"/>
      <c r="L88" s="64"/>
      <c r="M88" s="64"/>
      <c r="N88" s="64"/>
      <c r="O88" s="64"/>
      <c r="P88" s="64"/>
      <c r="Q88" s="64"/>
      <c r="R88" s="64"/>
      <c r="S88" s="64"/>
      <c r="T88" s="64"/>
      <c r="U88" s="64"/>
      <c r="V88" s="64"/>
      <c r="W88" s="64"/>
      <c r="X88" s="64"/>
      <c r="Y88" s="64"/>
      <c r="Z88" s="64"/>
      <c r="AA88" s="64"/>
      <c r="AB88" s="64"/>
      <c r="AC88" s="64"/>
      <c r="AD88" s="64"/>
      <c r="AE88" s="64"/>
      <c r="AF88" s="64"/>
      <c r="AG88" s="64"/>
      <c r="AH88" s="64"/>
    </row>
    <row r="89">
      <c r="A89" s="64"/>
      <c r="B89" s="64"/>
      <c r="C89" s="64"/>
      <c r="D89" s="64"/>
      <c r="E89" s="64"/>
      <c r="F89" s="64"/>
      <c r="G89" s="64"/>
      <c r="H89" s="64"/>
      <c r="I89" s="64"/>
      <c r="J89" s="64"/>
      <c r="K89" s="64"/>
      <c r="L89" s="64"/>
      <c r="M89" s="64"/>
      <c r="N89" s="64"/>
      <c r="O89" s="64"/>
      <c r="P89" s="64"/>
      <c r="Q89" s="64"/>
      <c r="R89" s="64"/>
      <c r="S89" s="64"/>
      <c r="T89" s="64"/>
      <c r="U89" s="64"/>
      <c r="V89" s="64"/>
      <c r="W89" s="64"/>
      <c r="X89" s="64"/>
      <c r="Y89" s="64"/>
      <c r="Z89" s="64"/>
      <c r="AA89" s="64"/>
      <c r="AB89" s="64"/>
      <c r="AC89" s="64"/>
      <c r="AD89" s="64"/>
      <c r="AE89" s="64"/>
      <c r="AF89" s="64"/>
      <c r="AG89" s="64"/>
      <c r="AH89" s="64"/>
    </row>
    <row r="90">
      <c r="A90" s="64"/>
      <c r="B90" s="64"/>
      <c r="C90" s="64"/>
      <c r="D90" s="64"/>
      <c r="E90" s="64"/>
      <c r="F90" s="64"/>
      <c r="G90" s="64"/>
      <c r="H90" s="64"/>
      <c r="I90" s="64"/>
      <c r="J90" s="64"/>
      <c r="K90" s="64"/>
      <c r="L90" s="64"/>
      <c r="M90" s="64"/>
      <c r="N90" s="64"/>
      <c r="O90" s="64"/>
      <c r="P90" s="64"/>
      <c r="Q90" s="64"/>
      <c r="R90" s="64"/>
      <c r="S90" s="64"/>
      <c r="T90" s="64"/>
      <c r="U90" s="64"/>
      <c r="V90" s="64"/>
      <c r="W90" s="64"/>
      <c r="X90" s="64"/>
      <c r="Y90" s="64"/>
      <c r="Z90" s="64"/>
      <c r="AA90" s="64"/>
      <c r="AB90" s="64"/>
      <c r="AC90" s="64"/>
      <c r="AD90" s="64"/>
      <c r="AE90" s="64"/>
      <c r="AF90" s="64"/>
      <c r="AG90" s="64"/>
      <c r="AH90" s="64"/>
    </row>
    <row r="91">
      <c r="A91" s="64"/>
      <c r="B91" s="64"/>
      <c r="C91" s="64"/>
      <c r="D91" s="64"/>
      <c r="E91" s="64"/>
      <c r="F91" s="64"/>
      <c r="G91" s="64"/>
      <c r="H91" s="64"/>
      <c r="I91" s="64"/>
      <c r="J91" s="64"/>
      <c r="K91" s="64"/>
      <c r="L91" s="64"/>
      <c r="M91" s="64"/>
      <c r="N91" s="64"/>
      <c r="O91" s="64"/>
      <c r="P91" s="64"/>
      <c r="Q91" s="64"/>
      <c r="R91" s="64"/>
      <c r="S91" s="64"/>
      <c r="T91" s="64"/>
      <c r="U91" s="64"/>
      <c r="V91" s="64"/>
      <c r="W91" s="64"/>
      <c r="X91" s="64"/>
      <c r="Y91" s="64"/>
      <c r="Z91" s="64"/>
      <c r="AA91" s="64"/>
      <c r="AB91" s="64"/>
      <c r="AC91" s="64"/>
      <c r="AD91" s="64"/>
      <c r="AE91" s="64"/>
      <c r="AF91" s="64"/>
      <c r="AG91" s="64"/>
      <c r="AH91" s="64"/>
    </row>
    <row r="92">
      <c r="A92" s="64"/>
      <c r="B92" s="64"/>
      <c r="C92" s="64"/>
      <c r="D92" s="64"/>
      <c r="E92" s="64"/>
      <c r="F92" s="64"/>
      <c r="G92" s="64"/>
      <c r="H92" s="64"/>
      <c r="I92" s="64"/>
      <c r="J92" s="64"/>
      <c r="K92" s="64"/>
      <c r="L92" s="64"/>
      <c r="M92" s="64"/>
      <c r="N92" s="64"/>
      <c r="O92" s="64"/>
      <c r="P92" s="64"/>
      <c r="Q92" s="64"/>
      <c r="R92" s="64"/>
      <c r="S92" s="64"/>
      <c r="T92" s="64"/>
      <c r="U92" s="64"/>
      <c r="V92" s="64"/>
      <c r="W92" s="64"/>
      <c r="X92" s="64"/>
      <c r="Y92" s="64"/>
      <c r="Z92" s="64"/>
      <c r="AA92" s="64"/>
      <c r="AB92" s="64"/>
      <c r="AC92" s="64"/>
      <c r="AD92" s="64"/>
      <c r="AE92" s="64"/>
      <c r="AF92" s="64"/>
      <c r="AG92" s="64"/>
      <c r="AH92" s="64"/>
    </row>
    <row r="93">
      <c r="A93" s="64"/>
      <c r="B93" s="64"/>
      <c r="C93" s="64"/>
      <c r="D93" s="64"/>
      <c r="E93" s="64"/>
      <c r="F93" s="64"/>
      <c r="G93" s="64"/>
      <c r="H93" s="64"/>
      <c r="I93" s="64"/>
      <c r="J93" s="64"/>
      <c r="K93" s="64"/>
      <c r="L93" s="64"/>
      <c r="M93" s="64"/>
      <c r="N93" s="64"/>
      <c r="O93" s="64"/>
      <c r="P93" s="64"/>
      <c r="Q93" s="64"/>
      <c r="R93" s="64"/>
      <c r="S93" s="64"/>
      <c r="T93" s="64"/>
      <c r="U93" s="64"/>
      <c r="V93" s="64"/>
      <c r="W93" s="64"/>
      <c r="X93" s="64"/>
      <c r="Y93" s="64"/>
      <c r="Z93" s="64"/>
      <c r="AA93" s="64"/>
      <c r="AB93" s="64"/>
      <c r="AC93" s="64"/>
      <c r="AD93" s="64"/>
      <c r="AE93" s="64"/>
      <c r="AF93" s="64"/>
      <c r="AG93" s="64"/>
      <c r="AH93" s="64"/>
    </row>
    <row r="94">
      <c r="A94" s="64"/>
      <c r="B94" s="64"/>
      <c r="C94" s="64"/>
      <c r="D94" s="64"/>
      <c r="E94" s="64"/>
      <c r="F94" s="64"/>
      <c r="G94" s="64"/>
      <c r="H94" s="64"/>
      <c r="I94" s="64"/>
      <c r="J94" s="64"/>
      <c r="K94" s="64"/>
      <c r="L94" s="64"/>
      <c r="M94" s="64"/>
      <c r="N94" s="64"/>
      <c r="O94" s="64"/>
      <c r="P94" s="64"/>
      <c r="Q94" s="64"/>
      <c r="R94" s="64"/>
      <c r="S94" s="64"/>
      <c r="T94" s="64"/>
      <c r="U94" s="64"/>
      <c r="V94" s="64"/>
      <c r="W94" s="64"/>
      <c r="X94" s="64"/>
      <c r="Y94" s="64"/>
      <c r="Z94" s="64"/>
      <c r="AA94" s="64"/>
      <c r="AB94" s="64"/>
      <c r="AC94" s="64"/>
      <c r="AD94" s="64"/>
      <c r="AE94" s="64"/>
      <c r="AF94" s="64"/>
      <c r="AG94" s="64"/>
      <c r="AH94" s="64"/>
    </row>
    <row r="95">
      <c r="A95" s="64"/>
      <c r="B95" s="64"/>
      <c r="C95" s="64"/>
      <c r="D95" s="64"/>
      <c r="E95" s="64"/>
      <c r="F95" s="64"/>
      <c r="G95" s="64"/>
      <c r="H95" s="64"/>
      <c r="I95" s="64"/>
      <c r="J95" s="64"/>
      <c r="K95" s="64"/>
      <c r="L95" s="64"/>
      <c r="M95" s="64"/>
      <c r="N95" s="64"/>
      <c r="O95" s="64"/>
      <c r="P95" s="64"/>
      <c r="Q95" s="64"/>
      <c r="R95" s="64"/>
      <c r="S95" s="64"/>
      <c r="T95" s="64"/>
      <c r="U95" s="64"/>
      <c r="V95" s="64"/>
      <c r="W95" s="64"/>
      <c r="X95" s="64"/>
      <c r="Y95" s="64"/>
      <c r="Z95" s="64"/>
      <c r="AA95" s="64"/>
      <c r="AB95" s="64"/>
      <c r="AC95" s="64"/>
      <c r="AD95" s="64"/>
      <c r="AE95" s="64"/>
      <c r="AF95" s="64"/>
      <c r="AG95" s="64"/>
      <c r="AH95" s="64"/>
    </row>
    <row r="96">
      <c r="A96" s="64"/>
      <c r="B96" s="64"/>
      <c r="C96" s="64"/>
      <c r="D96" s="64"/>
      <c r="E96" s="64"/>
      <c r="F96" s="64"/>
      <c r="G96" s="64"/>
      <c r="H96" s="64"/>
      <c r="I96" s="64"/>
      <c r="J96" s="64"/>
      <c r="K96" s="64"/>
      <c r="L96" s="64"/>
      <c r="M96" s="64"/>
      <c r="N96" s="64"/>
      <c r="O96" s="64"/>
      <c r="P96" s="64"/>
      <c r="Q96" s="64"/>
      <c r="R96" s="64"/>
      <c r="S96" s="64"/>
      <c r="T96" s="64"/>
      <c r="U96" s="64"/>
      <c r="V96" s="64"/>
      <c r="W96" s="64"/>
      <c r="X96" s="64"/>
      <c r="Y96" s="64"/>
      <c r="Z96" s="64"/>
      <c r="AA96" s="64"/>
      <c r="AB96" s="64"/>
      <c r="AC96" s="64"/>
      <c r="AD96" s="64"/>
      <c r="AE96" s="64"/>
      <c r="AF96" s="64"/>
      <c r="AG96" s="64"/>
      <c r="AH96" s="64"/>
    </row>
    <row r="97">
      <c r="A97" s="64"/>
      <c r="B97" s="64"/>
      <c r="C97" s="64"/>
      <c r="D97" s="64"/>
      <c r="E97" s="64"/>
      <c r="F97" s="64"/>
      <c r="G97" s="64"/>
      <c r="H97" s="64"/>
      <c r="I97" s="64"/>
      <c r="J97" s="64"/>
      <c r="K97" s="64"/>
      <c r="L97" s="64"/>
      <c r="M97" s="64"/>
      <c r="N97" s="64"/>
      <c r="O97" s="64"/>
      <c r="P97" s="64"/>
      <c r="Q97" s="64"/>
      <c r="R97" s="64"/>
      <c r="S97" s="64"/>
      <c r="T97" s="64"/>
      <c r="U97" s="64"/>
      <c r="V97" s="64"/>
      <c r="W97" s="64"/>
      <c r="X97" s="64"/>
      <c r="Y97" s="64"/>
      <c r="Z97" s="64"/>
      <c r="AA97" s="64"/>
      <c r="AB97" s="64"/>
      <c r="AC97" s="64"/>
      <c r="AD97" s="64"/>
      <c r="AE97" s="64"/>
      <c r="AF97" s="64"/>
      <c r="AG97" s="64"/>
      <c r="AH97" s="64"/>
    </row>
    <row r="98">
      <c r="A98" s="64"/>
      <c r="B98" s="64"/>
      <c r="C98" s="64"/>
      <c r="D98" s="64"/>
      <c r="E98" s="64"/>
      <c r="F98" s="64"/>
      <c r="G98" s="64"/>
      <c r="H98" s="64"/>
      <c r="I98" s="64"/>
      <c r="J98" s="64"/>
      <c r="K98" s="64"/>
      <c r="L98" s="64"/>
      <c r="M98" s="64"/>
      <c r="N98" s="64"/>
      <c r="O98" s="64"/>
      <c r="P98" s="64"/>
      <c r="Q98" s="64"/>
      <c r="R98" s="64"/>
      <c r="S98" s="64"/>
      <c r="T98" s="64"/>
      <c r="U98" s="64"/>
      <c r="V98" s="64"/>
      <c r="W98" s="64"/>
      <c r="X98" s="64"/>
      <c r="Y98" s="64"/>
      <c r="Z98" s="64"/>
      <c r="AA98" s="64"/>
      <c r="AB98" s="64"/>
      <c r="AC98" s="64"/>
      <c r="AD98" s="64"/>
      <c r="AE98" s="64"/>
      <c r="AF98" s="64"/>
      <c r="AG98" s="64"/>
      <c r="AH98" s="64"/>
    </row>
    <row r="99">
      <c r="A99" s="64"/>
      <c r="B99" s="64"/>
      <c r="C99" s="64"/>
      <c r="D99" s="64"/>
      <c r="E99" s="64"/>
      <c r="F99" s="64"/>
      <c r="G99" s="64"/>
      <c r="H99" s="64"/>
      <c r="I99" s="64"/>
      <c r="J99" s="64"/>
      <c r="K99" s="64"/>
      <c r="L99" s="64"/>
      <c r="M99" s="64"/>
      <c r="N99" s="64"/>
      <c r="O99" s="64"/>
      <c r="P99" s="64"/>
      <c r="Q99" s="64"/>
      <c r="R99" s="64"/>
      <c r="S99" s="64"/>
      <c r="T99" s="64"/>
      <c r="U99" s="64"/>
      <c r="V99" s="64"/>
      <c r="W99" s="64"/>
      <c r="X99" s="64"/>
      <c r="Y99" s="64"/>
      <c r="Z99" s="64"/>
      <c r="AA99" s="64"/>
      <c r="AB99" s="64"/>
      <c r="AC99" s="64"/>
      <c r="AD99" s="64"/>
      <c r="AE99" s="64"/>
      <c r="AF99" s="64"/>
      <c r="AG99" s="64"/>
      <c r="AH99" s="64"/>
    </row>
    <row r="100">
      <c r="A100" s="64"/>
      <c r="B100" s="64"/>
      <c r="C100" s="64"/>
      <c r="D100" s="64"/>
      <c r="E100" s="64"/>
      <c r="F100" s="64"/>
      <c r="G100" s="64"/>
      <c r="H100" s="64"/>
      <c r="I100" s="64"/>
      <c r="J100" s="64"/>
      <c r="K100" s="64"/>
      <c r="L100" s="64"/>
      <c r="M100" s="64"/>
      <c r="N100" s="64"/>
      <c r="O100" s="64"/>
      <c r="P100" s="64"/>
      <c r="Q100" s="64"/>
      <c r="R100" s="64"/>
      <c r="S100" s="64"/>
      <c r="T100" s="64"/>
      <c r="U100" s="64"/>
      <c r="V100" s="64"/>
      <c r="W100" s="64"/>
      <c r="X100" s="64"/>
      <c r="Y100" s="64"/>
      <c r="Z100" s="64"/>
      <c r="AA100" s="64"/>
      <c r="AB100" s="64"/>
      <c r="AC100" s="64"/>
      <c r="AD100" s="64"/>
      <c r="AE100" s="64"/>
      <c r="AF100" s="64"/>
      <c r="AG100" s="64"/>
      <c r="AH100" s="64"/>
    </row>
    <row r="101">
      <c r="A101" s="64"/>
      <c r="B101" s="64"/>
      <c r="C101" s="64"/>
      <c r="D101" s="64"/>
      <c r="E101" s="64"/>
      <c r="F101" s="64"/>
      <c r="G101" s="64"/>
      <c r="H101" s="64"/>
      <c r="I101" s="64"/>
      <c r="J101" s="64"/>
      <c r="K101" s="64"/>
      <c r="L101" s="64"/>
      <c r="M101" s="64"/>
      <c r="N101" s="64"/>
      <c r="O101" s="64"/>
      <c r="P101" s="64"/>
      <c r="Q101" s="64"/>
      <c r="R101" s="64"/>
      <c r="S101" s="64"/>
      <c r="T101" s="64"/>
      <c r="U101" s="64"/>
      <c r="V101" s="64"/>
      <c r="W101" s="64"/>
      <c r="X101" s="64"/>
      <c r="Y101" s="64"/>
      <c r="Z101" s="64"/>
      <c r="AA101" s="64"/>
      <c r="AB101" s="64"/>
      <c r="AC101" s="64"/>
      <c r="AD101" s="64"/>
      <c r="AE101" s="64"/>
      <c r="AF101" s="64"/>
      <c r="AG101" s="64"/>
      <c r="AH101" s="64"/>
    </row>
    <row r="102">
      <c r="A102" s="64"/>
      <c r="B102" s="64"/>
      <c r="C102" s="64"/>
      <c r="D102" s="64"/>
      <c r="E102" s="64"/>
      <c r="F102" s="64"/>
      <c r="G102" s="64"/>
      <c r="H102" s="64"/>
      <c r="I102" s="64"/>
      <c r="J102" s="64"/>
      <c r="K102" s="64"/>
      <c r="L102" s="64"/>
      <c r="M102" s="64"/>
      <c r="N102" s="64"/>
      <c r="O102" s="64"/>
      <c r="P102" s="64"/>
      <c r="Q102" s="64"/>
      <c r="R102" s="64"/>
      <c r="S102" s="64"/>
      <c r="T102" s="64"/>
      <c r="U102" s="64"/>
      <c r="V102" s="64"/>
      <c r="W102" s="64"/>
      <c r="X102" s="64"/>
      <c r="Y102" s="64"/>
      <c r="Z102" s="64"/>
      <c r="AA102" s="64"/>
      <c r="AB102" s="64"/>
      <c r="AC102" s="64"/>
      <c r="AD102" s="64"/>
      <c r="AE102" s="64"/>
      <c r="AF102" s="64"/>
      <c r="AG102" s="64"/>
      <c r="AH102" s="64"/>
    </row>
    <row r="103">
      <c r="A103" s="64"/>
      <c r="B103" s="64"/>
      <c r="C103" s="64"/>
      <c r="D103" s="64"/>
      <c r="E103" s="64"/>
      <c r="F103" s="64"/>
      <c r="G103" s="64"/>
      <c r="H103" s="64"/>
      <c r="I103" s="64"/>
      <c r="J103" s="64"/>
      <c r="K103" s="64"/>
      <c r="L103" s="64"/>
      <c r="M103" s="64"/>
      <c r="N103" s="64"/>
      <c r="O103" s="64"/>
      <c r="P103" s="64"/>
      <c r="Q103" s="64"/>
      <c r="R103" s="64"/>
      <c r="S103" s="64"/>
      <c r="T103" s="64"/>
      <c r="U103" s="64"/>
      <c r="V103" s="64"/>
      <c r="W103" s="64"/>
      <c r="X103" s="64"/>
      <c r="Y103" s="64"/>
      <c r="Z103" s="64"/>
      <c r="AA103" s="64"/>
      <c r="AB103" s="64"/>
      <c r="AC103" s="64"/>
      <c r="AD103" s="64"/>
      <c r="AE103" s="64"/>
      <c r="AF103" s="64"/>
      <c r="AG103" s="64"/>
      <c r="AH103" s="64"/>
    </row>
    <row r="104">
      <c r="A104" s="64"/>
      <c r="B104" s="64"/>
      <c r="C104" s="64"/>
      <c r="D104" s="64"/>
      <c r="E104" s="64"/>
      <c r="F104" s="64"/>
      <c r="G104" s="64"/>
      <c r="H104" s="64"/>
      <c r="I104" s="64"/>
      <c r="J104" s="64"/>
      <c r="K104" s="64"/>
      <c r="L104" s="64"/>
      <c r="M104" s="64"/>
      <c r="N104" s="64"/>
      <c r="O104" s="64"/>
      <c r="P104" s="64"/>
      <c r="Q104" s="64"/>
      <c r="R104" s="64"/>
      <c r="S104" s="64"/>
      <c r="T104" s="64"/>
      <c r="U104" s="64"/>
      <c r="V104" s="64"/>
      <c r="W104" s="64"/>
      <c r="X104" s="64"/>
      <c r="Y104" s="64"/>
      <c r="Z104" s="64"/>
      <c r="AA104" s="64"/>
      <c r="AB104" s="64"/>
      <c r="AC104" s="64"/>
      <c r="AD104" s="64"/>
      <c r="AE104" s="64"/>
      <c r="AF104" s="64"/>
      <c r="AG104" s="64"/>
      <c r="AH104" s="64"/>
    </row>
    <row r="105">
      <c r="A105" s="64"/>
      <c r="B105" s="64"/>
      <c r="C105" s="64"/>
      <c r="D105" s="64"/>
      <c r="E105" s="64"/>
      <c r="F105" s="64"/>
      <c r="G105" s="64"/>
      <c r="H105" s="64"/>
      <c r="I105" s="64"/>
      <c r="J105" s="64"/>
      <c r="K105" s="64"/>
      <c r="L105" s="64"/>
      <c r="M105" s="64"/>
      <c r="N105" s="64"/>
      <c r="O105" s="64"/>
      <c r="P105" s="64"/>
      <c r="Q105" s="64"/>
      <c r="R105" s="64"/>
      <c r="S105" s="64"/>
      <c r="T105" s="64"/>
      <c r="U105" s="64"/>
      <c r="V105" s="64"/>
      <c r="W105" s="64"/>
      <c r="X105" s="64"/>
      <c r="Y105" s="64"/>
      <c r="Z105" s="64"/>
      <c r="AA105" s="64"/>
      <c r="AB105" s="64"/>
      <c r="AC105" s="64"/>
      <c r="AD105" s="64"/>
      <c r="AE105" s="64"/>
      <c r="AF105" s="64"/>
      <c r="AG105" s="64"/>
      <c r="AH105" s="64"/>
    </row>
    <row r="106">
      <c r="A106" s="64"/>
      <c r="B106" s="64"/>
      <c r="C106" s="64"/>
      <c r="D106" s="64"/>
      <c r="E106" s="64"/>
      <c r="F106" s="64"/>
      <c r="G106" s="64"/>
      <c r="H106" s="64"/>
      <c r="I106" s="64"/>
      <c r="J106" s="64"/>
      <c r="K106" s="64"/>
      <c r="L106" s="64"/>
      <c r="M106" s="64"/>
      <c r="N106" s="64"/>
      <c r="O106" s="64"/>
      <c r="P106" s="64"/>
      <c r="Q106" s="64"/>
      <c r="R106" s="64"/>
      <c r="S106" s="64"/>
      <c r="T106" s="64"/>
      <c r="U106" s="64"/>
      <c r="V106" s="64"/>
      <c r="W106" s="64"/>
      <c r="X106" s="64"/>
      <c r="Y106" s="64"/>
      <c r="Z106" s="64"/>
      <c r="AA106" s="64"/>
      <c r="AB106" s="64"/>
      <c r="AC106" s="64"/>
      <c r="AD106" s="64"/>
      <c r="AE106" s="64"/>
      <c r="AF106" s="64"/>
      <c r="AG106" s="64"/>
      <c r="AH106" s="64"/>
    </row>
    <row r="107">
      <c r="A107" s="64"/>
      <c r="B107" s="64"/>
      <c r="C107" s="64"/>
      <c r="D107" s="64"/>
      <c r="E107" s="64"/>
      <c r="F107" s="64"/>
      <c r="G107" s="64"/>
      <c r="H107" s="64"/>
      <c r="I107" s="64"/>
      <c r="J107" s="64"/>
      <c r="K107" s="64"/>
      <c r="L107" s="64"/>
      <c r="M107" s="64"/>
      <c r="N107" s="64"/>
      <c r="O107" s="64"/>
      <c r="P107" s="64"/>
      <c r="Q107" s="64"/>
      <c r="R107" s="64"/>
      <c r="S107" s="64"/>
      <c r="T107" s="64"/>
      <c r="U107" s="64"/>
      <c r="V107" s="64"/>
      <c r="W107" s="64"/>
      <c r="X107" s="64"/>
      <c r="Y107" s="64"/>
      <c r="Z107" s="64"/>
      <c r="AA107" s="64"/>
      <c r="AB107" s="64"/>
      <c r="AC107" s="64"/>
      <c r="AD107" s="64"/>
      <c r="AE107" s="64"/>
      <c r="AF107" s="64"/>
      <c r="AG107" s="64"/>
      <c r="AH107" s="64"/>
    </row>
    <row r="108">
      <c r="A108" s="64"/>
      <c r="B108" s="64"/>
      <c r="C108" s="64"/>
      <c r="D108" s="64"/>
      <c r="E108" s="64"/>
      <c r="F108" s="64"/>
      <c r="G108" s="64"/>
      <c r="H108" s="64"/>
      <c r="I108" s="64"/>
      <c r="J108" s="64"/>
      <c r="K108" s="64"/>
      <c r="L108" s="64"/>
      <c r="M108" s="64"/>
      <c r="N108" s="64"/>
      <c r="O108" s="64"/>
      <c r="P108" s="64"/>
      <c r="Q108" s="64"/>
      <c r="R108" s="64"/>
      <c r="S108" s="64"/>
      <c r="T108" s="64"/>
      <c r="U108" s="64"/>
      <c r="V108" s="64"/>
      <c r="W108" s="64"/>
      <c r="X108" s="64"/>
      <c r="Y108" s="64"/>
      <c r="Z108" s="64"/>
      <c r="AA108" s="64"/>
      <c r="AB108" s="64"/>
      <c r="AC108" s="64"/>
      <c r="AD108" s="64"/>
      <c r="AE108" s="64"/>
      <c r="AF108" s="64"/>
      <c r="AG108" s="64"/>
      <c r="AH108" s="64"/>
    </row>
    <row r="109">
      <c r="A109" s="64"/>
      <c r="B109" s="64"/>
      <c r="C109" s="64"/>
      <c r="D109" s="64"/>
      <c r="E109" s="64"/>
      <c r="F109" s="64"/>
      <c r="G109" s="64"/>
      <c r="H109" s="64"/>
      <c r="I109" s="64"/>
      <c r="J109" s="64"/>
      <c r="K109" s="64"/>
      <c r="L109" s="64"/>
      <c r="M109" s="64"/>
      <c r="N109" s="64"/>
      <c r="O109" s="64"/>
      <c r="P109" s="64"/>
      <c r="Q109" s="64"/>
      <c r="R109" s="64"/>
      <c r="S109" s="64"/>
      <c r="T109" s="64"/>
      <c r="U109" s="64"/>
      <c r="V109" s="64"/>
      <c r="W109" s="64"/>
      <c r="X109" s="64"/>
      <c r="Y109" s="64"/>
      <c r="Z109" s="64"/>
      <c r="AA109" s="64"/>
      <c r="AB109" s="64"/>
      <c r="AC109" s="64"/>
      <c r="AD109" s="64"/>
      <c r="AE109" s="64"/>
      <c r="AF109" s="64"/>
      <c r="AG109" s="64"/>
      <c r="AH109" s="64"/>
    </row>
    <row r="110">
      <c r="A110" s="64"/>
      <c r="B110" s="64"/>
      <c r="C110" s="64"/>
      <c r="D110" s="64"/>
      <c r="E110" s="64"/>
      <c r="F110" s="64"/>
      <c r="G110" s="64"/>
      <c r="H110" s="64"/>
      <c r="I110" s="64"/>
      <c r="J110" s="64"/>
      <c r="K110" s="64"/>
      <c r="L110" s="64"/>
      <c r="M110" s="64"/>
      <c r="N110" s="64"/>
      <c r="O110" s="64"/>
      <c r="P110" s="64"/>
      <c r="Q110" s="64"/>
      <c r="R110" s="64"/>
      <c r="S110" s="64"/>
      <c r="T110" s="64"/>
      <c r="U110" s="64"/>
      <c r="V110" s="64"/>
      <c r="W110" s="64"/>
      <c r="X110" s="64"/>
      <c r="Y110" s="64"/>
      <c r="Z110" s="64"/>
      <c r="AA110" s="64"/>
      <c r="AB110" s="64"/>
      <c r="AC110" s="64"/>
      <c r="AD110" s="64"/>
      <c r="AE110" s="64"/>
      <c r="AF110" s="64"/>
      <c r="AG110" s="64"/>
      <c r="AH110" s="64"/>
    </row>
    <row r="111">
      <c r="A111" s="64"/>
      <c r="B111" s="64"/>
      <c r="C111" s="64"/>
      <c r="D111" s="64"/>
      <c r="E111" s="64"/>
      <c r="F111" s="64"/>
      <c r="G111" s="64"/>
      <c r="H111" s="64"/>
      <c r="I111" s="64"/>
      <c r="J111" s="64"/>
      <c r="K111" s="64"/>
      <c r="L111" s="64"/>
      <c r="M111" s="64"/>
      <c r="N111" s="64"/>
      <c r="O111" s="64"/>
      <c r="P111" s="64"/>
      <c r="Q111" s="64"/>
      <c r="R111" s="64"/>
      <c r="S111" s="64"/>
      <c r="T111" s="64"/>
      <c r="U111" s="64"/>
      <c r="V111" s="64"/>
      <c r="W111" s="64"/>
      <c r="X111" s="64"/>
      <c r="Y111" s="64"/>
      <c r="Z111" s="64"/>
      <c r="AA111" s="64"/>
      <c r="AB111" s="64"/>
      <c r="AC111" s="64"/>
      <c r="AD111" s="64"/>
      <c r="AE111" s="64"/>
      <c r="AF111" s="64"/>
      <c r="AG111" s="64"/>
      <c r="AH111" s="64"/>
    </row>
    <row r="112">
      <c r="A112" s="64"/>
      <c r="B112" s="64"/>
      <c r="C112" s="64"/>
      <c r="D112" s="64"/>
      <c r="E112" s="64"/>
      <c r="F112" s="64"/>
      <c r="G112" s="64"/>
      <c r="H112" s="64"/>
      <c r="I112" s="64"/>
      <c r="J112" s="64"/>
      <c r="K112" s="64"/>
      <c r="L112" s="64"/>
      <c r="M112" s="64"/>
      <c r="N112" s="64"/>
      <c r="O112" s="64"/>
      <c r="P112" s="64"/>
      <c r="Q112" s="64"/>
      <c r="R112" s="64"/>
      <c r="S112" s="64"/>
      <c r="T112" s="64"/>
      <c r="U112" s="64"/>
      <c r="V112" s="64"/>
      <c r="W112" s="64"/>
      <c r="X112" s="64"/>
      <c r="Y112" s="64"/>
      <c r="Z112" s="64"/>
      <c r="AA112" s="64"/>
      <c r="AB112" s="64"/>
      <c r="AC112" s="64"/>
      <c r="AD112" s="64"/>
      <c r="AE112" s="64"/>
      <c r="AF112" s="64"/>
      <c r="AG112" s="64"/>
      <c r="AH112" s="64"/>
    </row>
    <row r="113">
      <c r="A113" s="64"/>
      <c r="B113" s="64"/>
      <c r="C113" s="64"/>
      <c r="D113" s="64"/>
      <c r="E113" s="64"/>
      <c r="F113" s="64"/>
      <c r="G113" s="64"/>
      <c r="H113" s="64"/>
      <c r="I113" s="64"/>
      <c r="J113" s="64"/>
      <c r="K113" s="64"/>
      <c r="L113" s="64"/>
      <c r="M113" s="64"/>
      <c r="N113" s="64"/>
      <c r="O113" s="64"/>
      <c r="P113" s="64"/>
      <c r="Q113" s="64"/>
      <c r="R113" s="64"/>
      <c r="S113" s="64"/>
      <c r="T113" s="64"/>
      <c r="U113" s="64"/>
      <c r="V113" s="64"/>
      <c r="W113" s="64"/>
      <c r="X113" s="64"/>
      <c r="Y113" s="64"/>
      <c r="Z113" s="64"/>
      <c r="AA113" s="64"/>
      <c r="AB113" s="64"/>
      <c r="AC113" s="64"/>
      <c r="AD113" s="64"/>
      <c r="AE113" s="64"/>
      <c r="AF113" s="64"/>
      <c r="AG113" s="64"/>
      <c r="AH113" s="64"/>
    </row>
    <row r="114">
      <c r="A114" s="64"/>
      <c r="B114" s="64"/>
      <c r="C114" s="64"/>
      <c r="D114" s="64"/>
      <c r="E114" s="64"/>
      <c r="F114" s="64"/>
      <c r="G114" s="64"/>
      <c r="H114" s="64"/>
      <c r="I114" s="64"/>
      <c r="J114" s="64"/>
      <c r="K114" s="64"/>
      <c r="L114" s="64"/>
      <c r="M114" s="64"/>
      <c r="N114" s="64"/>
      <c r="O114" s="64"/>
      <c r="P114" s="64"/>
      <c r="Q114" s="64"/>
      <c r="R114" s="64"/>
      <c r="S114" s="64"/>
      <c r="T114" s="64"/>
      <c r="U114" s="64"/>
      <c r="V114" s="64"/>
      <c r="W114" s="64"/>
      <c r="X114" s="64"/>
      <c r="Y114" s="64"/>
      <c r="Z114" s="64"/>
      <c r="AA114" s="64"/>
      <c r="AB114" s="64"/>
      <c r="AC114" s="64"/>
      <c r="AD114" s="64"/>
      <c r="AE114" s="64"/>
      <c r="AF114" s="64"/>
      <c r="AG114" s="64"/>
      <c r="AH114" s="64"/>
    </row>
    <row r="115">
      <c r="A115" s="64"/>
      <c r="B115" s="64"/>
      <c r="C115" s="64"/>
      <c r="D115" s="64"/>
      <c r="E115" s="64"/>
      <c r="F115" s="64"/>
      <c r="G115" s="64"/>
      <c r="H115" s="64"/>
      <c r="I115" s="64"/>
      <c r="J115" s="64"/>
      <c r="K115" s="64"/>
      <c r="L115" s="64"/>
      <c r="M115" s="64"/>
      <c r="N115" s="64"/>
      <c r="O115" s="64"/>
      <c r="P115" s="64"/>
      <c r="Q115" s="64"/>
      <c r="R115" s="64"/>
      <c r="S115" s="64"/>
      <c r="T115" s="64"/>
      <c r="U115" s="64"/>
      <c r="V115" s="64"/>
      <c r="W115" s="64"/>
      <c r="X115" s="64"/>
      <c r="Y115" s="64"/>
      <c r="Z115" s="64"/>
      <c r="AA115" s="64"/>
      <c r="AB115" s="64"/>
      <c r="AC115" s="64"/>
      <c r="AD115" s="64"/>
      <c r="AE115" s="64"/>
      <c r="AF115" s="64"/>
      <c r="AG115" s="64"/>
      <c r="AH115" s="64"/>
    </row>
    <row r="116">
      <c r="A116" s="64"/>
      <c r="B116" s="64"/>
      <c r="C116" s="64"/>
      <c r="D116" s="64"/>
      <c r="E116" s="64"/>
      <c r="F116" s="64"/>
      <c r="G116" s="64"/>
      <c r="H116" s="64"/>
      <c r="I116" s="64"/>
      <c r="J116" s="64"/>
      <c r="K116" s="64"/>
      <c r="L116" s="64"/>
      <c r="M116" s="64"/>
      <c r="N116" s="64"/>
      <c r="O116" s="64"/>
      <c r="P116" s="64"/>
      <c r="Q116" s="64"/>
      <c r="R116" s="64"/>
      <c r="S116" s="64"/>
      <c r="T116" s="64"/>
      <c r="U116" s="64"/>
      <c r="V116" s="64"/>
      <c r="W116" s="64"/>
      <c r="X116" s="64"/>
      <c r="Y116" s="64"/>
      <c r="Z116" s="64"/>
      <c r="AA116" s="64"/>
      <c r="AB116" s="64"/>
      <c r="AC116" s="64"/>
      <c r="AD116" s="64"/>
      <c r="AE116" s="64"/>
      <c r="AF116" s="64"/>
      <c r="AG116" s="64"/>
      <c r="AH116" s="64"/>
    </row>
    <row r="117">
      <c r="A117" s="64"/>
      <c r="B117" s="64"/>
      <c r="C117" s="64"/>
      <c r="D117" s="64"/>
      <c r="E117" s="64"/>
      <c r="F117" s="64"/>
      <c r="G117" s="64"/>
      <c r="H117" s="64"/>
      <c r="I117" s="64"/>
      <c r="J117" s="64"/>
      <c r="K117" s="64"/>
      <c r="L117" s="64"/>
      <c r="M117" s="64"/>
      <c r="N117" s="64"/>
      <c r="O117" s="64"/>
      <c r="P117" s="64"/>
      <c r="Q117" s="64"/>
      <c r="R117" s="64"/>
      <c r="S117" s="64"/>
      <c r="T117" s="64"/>
      <c r="U117" s="64"/>
      <c r="V117" s="64"/>
      <c r="W117" s="64"/>
      <c r="X117" s="64"/>
      <c r="Y117" s="64"/>
      <c r="Z117" s="64"/>
      <c r="AA117" s="64"/>
      <c r="AB117" s="64"/>
      <c r="AC117" s="64"/>
      <c r="AD117" s="64"/>
      <c r="AE117" s="64"/>
      <c r="AF117" s="64"/>
      <c r="AG117" s="64"/>
      <c r="AH117" s="64"/>
    </row>
    <row r="118">
      <c r="A118" s="64"/>
      <c r="B118" s="64"/>
      <c r="C118" s="64"/>
      <c r="D118" s="64"/>
      <c r="E118" s="64"/>
      <c r="F118" s="64"/>
      <c r="G118" s="64"/>
      <c r="H118" s="64"/>
      <c r="I118" s="64"/>
      <c r="J118" s="64"/>
      <c r="K118" s="64"/>
      <c r="L118" s="64"/>
      <c r="M118" s="64"/>
      <c r="N118" s="64"/>
      <c r="O118" s="64"/>
      <c r="P118" s="64"/>
      <c r="Q118" s="64"/>
      <c r="R118" s="64"/>
      <c r="S118" s="64"/>
      <c r="T118" s="64"/>
      <c r="U118" s="64"/>
      <c r="V118" s="64"/>
      <c r="W118" s="64"/>
      <c r="X118" s="64"/>
      <c r="Y118" s="64"/>
      <c r="Z118" s="64"/>
      <c r="AA118" s="64"/>
      <c r="AB118" s="64"/>
      <c r="AC118" s="64"/>
      <c r="AD118" s="64"/>
      <c r="AE118" s="64"/>
      <c r="AF118" s="64"/>
      <c r="AG118" s="64"/>
      <c r="AH118" s="64"/>
    </row>
    <row r="119">
      <c r="A119" s="64"/>
      <c r="B119" s="64"/>
      <c r="C119" s="64"/>
      <c r="D119" s="64"/>
      <c r="E119" s="64"/>
      <c r="F119" s="64"/>
      <c r="G119" s="64"/>
      <c r="H119" s="64"/>
      <c r="I119" s="64"/>
      <c r="J119" s="64"/>
      <c r="K119" s="64"/>
      <c r="L119" s="64"/>
      <c r="M119" s="64"/>
      <c r="N119" s="64"/>
      <c r="O119" s="64"/>
      <c r="P119" s="64"/>
      <c r="Q119" s="64"/>
      <c r="R119" s="64"/>
      <c r="S119" s="64"/>
      <c r="T119" s="64"/>
      <c r="U119" s="64"/>
      <c r="V119" s="64"/>
      <c r="W119" s="64"/>
      <c r="X119" s="64"/>
      <c r="Y119" s="64"/>
      <c r="Z119" s="64"/>
      <c r="AA119" s="64"/>
      <c r="AB119" s="64"/>
      <c r="AC119" s="64"/>
      <c r="AD119" s="64"/>
      <c r="AE119" s="64"/>
      <c r="AF119" s="64"/>
      <c r="AG119" s="64"/>
      <c r="AH119" s="64"/>
    </row>
    <row r="120">
      <c r="A120" s="64"/>
      <c r="B120" s="64"/>
      <c r="C120" s="64"/>
      <c r="D120" s="64"/>
      <c r="E120" s="64"/>
      <c r="F120" s="64"/>
      <c r="G120" s="64"/>
      <c r="H120" s="64"/>
      <c r="I120" s="64"/>
      <c r="J120" s="64"/>
      <c r="K120" s="64"/>
      <c r="L120" s="64"/>
      <c r="M120" s="64"/>
      <c r="N120" s="64"/>
      <c r="O120" s="64"/>
      <c r="P120" s="64"/>
      <c r="Q120" s="64"/>
      <c r="R120" s="64"/>
      <c r="S120" s="64"/>
      <c r="T120" s="64"/>
      <c r="U120" s="64"/>
      <c r="V120" s="64"/>
      <c r="W120" s="64"/>
      <c r="X120" s="64"/>
      <c r="Y120" s="64"/>
      <c r="Z120" s="64"/>
      <c r="AA120" s="64"/>
      <c r="AB120" s="64"/>
      <c r="AC120" s="64"/>
      <c r="AD120" s="64"/>
      <c r="AE120" s="64"/>
      <c r="AF120" s="64"/>
      <c r="AG120" s="64"/>
      <c r="AH120" s="64"/>
    </row>
    <row r="121">
      <c r="A121" s="64"/>
      <c r="B121" s="64"/>
      <c r="C121" s="64"/>
      <c r="D121" s="64"/>
      <c r="E121" s="64"/>
      <c r="F121" s="64"/>
      <c r="G121" s="64"/>
      <c r="H121" s="64"/>
      <c r="I121" s="64"/>
      <c r="J121" s="64"/>
      <c r="K121" s="64"/>
      <c r="L121" s="64"/>
      <c r="M121" s="64"/>
      <c r="N121" s="64"/>
      <c r="O121" s="64"/>
      <c r="P121" s="64"/>
      <c r="Q121" s="64"/>
      <c r="R121" s="64"/>
      <c r="S121" s="64"/>
      <c r="T121" s="64"/>
      <c r="U121" s="64"/>
      <c r="V121" s="64"/>
      <c r="W121" s="64"/>
      <c r="X121" s="64"/>
      <c r="Y121" s="64"/>
      <c r="Z121" s="64"/>
      <c r="AA121" s="64"/>
      <c r="AB121" s="64"/>
      <c r="AC121" s="64"/>
      <c r="AD121" s="64"/>
      <c r="AE121" s="64"/>
      <c r="AF121" s="64"/>
      <c r="AG121" s="64"/>
      <c r="AH121" s="64"/>
    </row>
    <row r="122">
      <c r="A122" s="64"/>
      <c r="B122" s="64"/>
      <c r="C122" s="64"/>
      <c r="D122" s="64"/>
      <c r="E122" s="64"/>
      <c r="F122" s="64"/>
      <c r="G122" s="64"/>
      <c r="H122" s="64"/>
      <c r="I122" s="64"/>
      <c r="J122" s="64"/>
      <c r="K122" s="64"/>
      <c r="L122" s="64"/>
      <c r="M122" s="64"/>
      <c r="N122" s="64"/>
      <c r="O122" s="64"/>
      <c r="P122" s="64"/>
      <c r="Q122" s="64"/>
      <c r="R122" s="64"/>
      <c r="S122" s="64"/>
      <c r="T122" s="64"/>
      <c r="U122" s="64"/>
      <c r="V122" s="64"/>
      <c r="W122" s="64"/>
      <c r="X122" s="64"/>
      <c r="Y122" s="64"/>
      <c r="Z122" s="64"/>
      <c r="AA122" s="64"/>
      <c r="AB122" s="64"/>
      <c r="AC122" s="64"/>
      <c r="AD122" s="64"/>
      <c r="AE122" s="64"/>
      <c r="AF122" s="64"/>
      <c r="AG122" s="64"/>
      <c r="AH122" s="64"/>
    </row>
    <row r="123">
      <c r="A123" s="64"/>
      <c r="B123" s="64"/>
      <c r="C123" s="64"/>
      <c r="D123" s="64"/>
      <c r="E123" s="64"/>
      <c r="F123" s="64"/>
      <c r="G123" s="64"/>
      <c r="H123" s="64"/>
      <c r="I123" s="64"/>
      <c r="J123" s="64"/>
      <c r="K123" s="64"/>
      <c r="L123" s="64"/>
      <c r="M123" s="64"/>
      <c r="N123" s="64"/>
      <c r="O123" s="64"/>
      <c r="P123" s="64"/>
      <c r="Q123" s="64"/>
      <c r="R123" s="64"/>
      <c r="S123" s="64"/>
      <c r="T123" s="64"/>
      <c r="U123" s="64"/>
      <c r="V123" s="64"/>
      <c r="W123" s="64"/>
      <c r="X123" s="64"/>
      <c r="Y123" s="64"/>
      <c r="Z123" s="64"/>
      <c r="AA123" s="64"/>
      <c r="AB123" s="64"/>
      <c r="AC123" s="64"/>
      <c r="AD123" s="64"/>
      <c r="AE123" s="64"/>
      <c r="AF123" s="64"/>
      <c r="AG123" s="64"/>
      <c r="AH123" s="64"/>
    </row>
    <row r="124">
      <c r="A124" s="64"/>
      <c r="B124" s="64"/>
      <c r="C124" s="64"/>
      <c r="D124" s="64"/>
      <c r="E124" s="64"/>
      <c r="F124" s="64"/>
      <c r="G124" s="64"/>
      <c r="H124" s="64"/>
      <c r="I124" s="64"/>
      <c r="J124" s="64"/>
      <c r="K124" s="64"/>
      <c r="L124" s="64"/>
      <c r="M124" s="64"/>
      <c r="N124" s="64"/>
      <c r="O124" s="64"/>
      <c r="P124" s="64"/>
      <c r="Q124" s="64"/>
      <c r="R124" s="64"/>
      <c r="S124" s="64"/>
      <c r="T124" s="64"/>
      <c r="U124" s="64"/>
      <c r="V124" s="64"/>
      <c r="W124" s="64"/>
      <c r="X124" s="64"/>
      <c r="Y124" s="64"/>
      <c r="Z124" s="64"/>
      <c r="AA124" s="64"/>
      <c r="AB124" s="64"/>
      <c r="AC124" s="64"/>
      <c r="AD124" s="64"/>
      <c r="AE124" s="64"/>
      <c r="AF124" s="64"/>
      <c r="AG124" s="64"/>
      <c r="AH124" s="64"/>
    </row>
    <row r="125">
      <c r="A125" s="64"/>
      <c r="B125" s="64"/>
      <c r="C125" s="64"/>
      <c r="D125" s="64"/>
      <c r="E125" s="64"/>
      <c r="F125" s="64"/>
      <c r="G125" s="64"/>
      <c r="H125" s="64"/>
      <c r="I125" s="64"/>
      <c r="J125" s="64"/>
      <c r="K125" s="64"/>
      <c r="L125" s="64"/>
      <c r="M125" s="64"/>
      <c r="N125" s="64"/>
      <c r="O125" s="64"/>
      <c r="P125" s="64"/>
      <c r="Q125" s="64"/>
      <c r="R125" s="64"/>
      <c r="S125" s="64"/>
      <c r="T125" s="64"/>
      <c r="U125" s="64"/>
      <c r="V125" s="64"/>
      <c r="W125" s="64"/>
      <c r="X125" s="64"/>
      <c r="Y125" s="64"/>
      <c r="Z125" s="64"/>
      <c r="AA125" s="64"/>
      <c r="AB125" s="64"/>
      <c r="AC125" s="64"/>
      <c r="AD125" s="64"/>
      <c r="AE125" s="64"/>
      <c r="AF125" s="64"/>
      <c r="AG125" s="64"/>
      <c r="AH125" s="64"/>
    </row>
    <row r="126">
      <c r="A126" s="64"/>
      <c r="B126" s="64"/>
      <c r="C126" s="64"/>
      <c r="D126" s="64"/>
      <c r="E126" s="64"/>
      <c r="F126" s="64"/>
      <c r="G126" s="64"/>
      <c r="H126" s="64"/>
      <c r="I126" s="64"/>
      <c r="J126" s="64"/>
      <c r="K126" s="64"/>
      <c r="L126" s="64"/>
      <c r="M126" s="64"/>
      <c r="N126" s="64"/>
      <c r="O126" s="64"/>
      <c r="P126" s="64"/>
      <c r="Q126" s="64"/>
      <c r="R126" s="64"/>
      <c r="S126" s="64"/>
      <c r="T126" s="64"/>
      <c r="U126" s="64"/>
      <c r="V126" s="64"/>
      <c r="W126" s="64"/>
      <c r="X126" s="64"/>
      <c r="Y126" s="64"/>
      <c r="Z126" s="64"/>
      <c r="AA126" s="64"/>
      <c r="AB126" s="64"/>
      <c r="AC126" s="64"/>
      <c r="AD126" s="64"/>
      <c r="AE126" s="64"/>
      <c r="AF126" s="64"/>
      <c r="AG126" s="64"/>
      <c r="AH126" s="64"/>
    </row>
    <row r="127">
      <c r="A127" s="64"/>
      <c r="B127" s="64"/>
      <c r="C127" s="64"/>
      <c r="D127" s="64"/>
      <c r="E127" s="64"/>
      <c r="F127" s="64"/>
      <c r="G127" s="64"/>
      <c r="H127" s="64"/>
      <c r="I127" s="64"/>
      <c r="J127" s="64"/>
      <c r="K127" s="64"/>
      <c r="L127" s="64"/>
      <c r="M127" s="64"/>
      <c r="N127" s="64"/>
      <c r="O127" s="64"/>
      <c r="P127" s="64"/>
      <c r="Q127" s="64"/>
      <c r="R127" s="64"/>
      <c r="S127" s="64"/>
      <c r="T127" s="64"/>
      <c r="U127" s="64"/>
      <c r="V127" s="64"/>
      <c r="W127" s="64"/>
      <c r="X127" s="64"/>
      <c r="Y127" s="64"/>
      <c r="Z127" s="64"/>
      <c r="AA127" s="64"/>
      <c r="AB127" s="64"/>
      <c r="AC127" s="64"/>
      <c r="AD127" s="64"/>
      <c r="AE127" s="64"/>
      <c r="AF127" s="64"/>
      <c r="AG127" s="64"/>
      <c r="AH127" s="64"/>
    </row>
    <row r="128">
      <c r="A128" s="64"/>
      <c r="B128" s="64"/>
      <c r="C128" s="64"/>
      <c r="D128" s="64"/>
      <c r="E128" s="64"/>
      <c r="F128" s="64"/>
      <c r="G128" s="64"/>
      <c r="H128" s="64"/>
      <c r="I128" s="64"/>
      <c r="J128" s="64"/>
      <c r="K128" s="64"/>
      <c r="L128" s="64"/>
      <c r="M128" s="64"/>
      <c r="N128" s="64"/>
      <c r="O128" s="64"/>
      <c r="P128" s="64"/>
      <c r="Q128" s="64"/>
      <c r="R128" s="64"/>
      <c r="S128" s="64"/>
      <c r="T128" s="64"/>
      <c r="U128" s="64"/>
      <c r="V128" s="64"/>
      <c r="W128" s="64"/>
      <c r="X128" s="64"/>
      <c r="Y128" s="64"/>
      <c r="Z128" s="64"/>
      <c r="AA128" s="64"/>
      <c r="AB128" s="64"/>
      <c r="AC128" s="64"/>
      <c r="AD128" s="64"/>
      <c r="AE128" s="64"/>
      <c r="AF128" s="64"/>
      <c r="AG128" s="64"/>
      <c r="AH128" s="64"/>
    </row>
    <row r="129">
      <c r="A129" s="64"/>
      <c r="B129" s="64"/>
      <c r="C129" s="64"/>
      <c r="D129" s="64"/>
      <c r="E129" s="64"/>
      <c r="F129" s="64"/>
      <c r="G129" s="64"/>
      <c r="H129" s="64"/>
      <c r="I129" s="64"/>
      <c r="J129" s="64"/>
      <c r="K129" s="64"/>
      <c r="L129" s="64"/>
      <c r="M129" s="64"/>
      <c r="N129" s="64"/>
      <c r="O129" s="64"/>
      <c r="P129" s="64"/>
      <c r="Q129" s="64"/>
      <c r="R129" s="64"/>
      <c r="S129" s="64"/>
      <c r="T129" s="64"/>
      <c r="U129" s="64"/>
      <c r="V129" s="64"/>
      <c r="W129" s="64"/>
      <c r="X129" s="64"/>
      <c r="Y129" s="64"/>
      <c r="Z129" s="64"/>
      <c r="AA129" s="64"/>
      <c r="AB129" s="64"/>
      <c r="AC129" s="64"/>
      <c r="AD129" s="64"/>
      <c r="AE129" s="64"/>
      <c r="AF129" s="64"/>
      <c r="AG129" s="64"/>
      <c r="AH129" s="64"/>
    </row>
    <row r="130">
      <c r="A130" s="64"/>
      <c r="B130" s="64"/>
      <c r="C130" s="64"/>
      <c r="D130" s="64"/>
      <c r="E130" s="64"/>
      <c r="F130" s="64"/>
      <c r="G130" s="64"/>
      <c r="H130" s="64"/>
      <c r="I130" s="64"/>
      <c r="J130" s="64"/>
      <c r="K130" s="64"/>
      <c r="L130" s="64"/>
      <c r="M130" s="64"/>
      <c r="N130" s="64"/>
      <c r="O130" s="64"/>
      <c r="P130" s="64"/>
      <c r="Q130" s="64"/>
      <c r="R130" s="64"/>
      <c r="S130" s="64"/>
      <c r="T130" s="64"/>
      <c r="U130" s="64"/>
      <c r="V130" s="64"/>
      <c r="W130" s="64"/>
      <c r="X130" s="64"/>
      <c r="Y130" s="64"/>
      <c r="Z130" s="64"/>
      <c r="AA130" s="64"/>
      <c r="AB130" s="64"/>
      <c r="AC130" s="64"/>
      <c r="AD130" s="64"/>
      <c r="AE130" s="64"/>
      <c r="AF130" s="64"/>
      <c r="AG130" s="64"/>
      <c r="AH130" s="64"/>
    </row>
    <row r="131">
      <c r="A131" s="64"/>
      <c r="B131" s="64"/>
      <c r="C131" s="64"/>
      <c r="D131" s="64"/>
      <c r="E131" s="64"/>
      <c r="F131" s="64"/>
      <c r="G131" s="64"/>
      <c r="H131" s="64"/>
      <c r="I131" s="64"/>
      <c r="J131" s="64"/>
      <c r="K131" s="64"/>
      <c r="L131" s="64"/>
      <c r="M131" s="64"/>
      <c r="N131" s="64"/>
      <c r="O131" s="64"/>
      <c r="P131" s="64"/>
      <c r="Q131" s="64"/>
      <c r="R131" s="64"/>
      <c r="S131" s="64"/>
      <c r="T131" s="64"/>
      <c r="U131" s="64"/>
      <c r="V131" s="64"/>
      <c r="W131" s="64"/>
      <c r="X131" s="64"/>
      <c r="Y131" s="64"/>
      <c r="Z131" s="64"/>
      <c r="AA131" s="64"/>
      <c r="AB131" s="64"/>
      <c r="AC131" s="64"/>
      <c r="AD131" s="64"/>
      <c r="AE131" s="64"/>
      <c r="AF131" s="64"/>
      <c r="AG131" s="64"/>
      <c r="AH131" s="64"/>
    </row>
    <row r="132">
      <c r="A132" s="64"/>
      <c r="B132" s="64"/>
      <c r="C132" s="64"/>
      <c r="D132" s="64"/>
      <c r="E132" s="64"/>
      <c r="F132" s="64"/>
      <c r="G132" s="64"/>
      <c r="H132" s="64"/>
      <c r="I132" s="64"/>
      <c r="J132" s="64"/>
      <c r="K132" s="64"/>
      <c r="L132" s="64"/>
      <c r="M132" s="64"/>
      <c r="N132" s="64"/>
      <c r="O132" s="64"/>
      <c r="P132" s="64"/>
      <c r="Q132" s="64"/>
      <c r="R132" s="64"/>
      <c r="S132" s="64"/>
      <c r="T132" s="64"/>
      <c r="U132" s="64"/>
      <c r="V132" s="64"/>
      <c r="W132" s="64"/>
      <c r="X132" s="64"/>
      <c r="Y132" s="64"/>
      <c r="Z132" s="64"/>
      <c r="AA132" s="64"/>
      <c r="AB132" s="64"/>
      <c r="AC132" s="64"/>
      <c r="AD132" s="64"/>
      <c r="AE132" s="64"/>
      <c r="AF132" s="64"/>
      <c r="AG132" s="64"/>
      <c r="AH132" s="64"/>
    </row>
    <row r="133">
      <c r="A133" s="64"/>
      <c r="B133" s="64"/>
      <c r="C133" s="64"/>
      <c r="D133" s="64"/>
      <c r="E133" s="64"/>
      <c r="F133" s="64"/>
      <c r="G133" s="64"/>
      <c r="H133" s="64"/>
      <c r="I133" s="64"/>
      <c r="J133" s="64"/>
      <c r="K133" s="64"/>
      <c r="L133" s="64"/>
      <c r="M133" s="64"/>
      <c r="N133" s="64"/>
      <c r="O133" s="64"/>
      <c r="P133" s="64"/>
      <c r="Q133" s="64"/>
      <c r="R133" s="64"/>
      <c r="S133" s="64"/>
      <c r="T133" s="64"/>
      <c r="U133" s="64"/>
      <c r="V133" s="64"/>
      <c r="W133" s="64"/>
      <c r="X133" s="64"/>
      <c r="Y133" s="64"/>
      <c r="Z133" s="64"/>
      <c r="AA133" s="64"/>
      <c r="AB133" s="64"/>
      <c r="AC133" s="64"/>
      <c r="AD133" s="64"/>
      <c r="AE133" s="64"/>
      <c r="AF133" s="64"/>
      <c r="AG133" s="64"/>
      <c r="AH133" s="64"/>
    </row>
    <row r="134">
      <c r="A134" s="64"/>
      <c r="B134" s="64"/>
      <c r="C134" s="64"/>
      <c r="D134" s="64"/>
      <c r="E134" s="64"/>
      <c r="F134" s="64"/>
      <c r="G134" s="64"/>
      <c r="H134" s="64"/>
      <c r="I134" s="64"/>
      <c r="J134" s="64"/>
      <c r="K134" s="64"/>
      <c r="L134" s="64"/>
      <c r="M134" s="64"/>
      <c r="N134" s="64"/>
      <c r="O134" s="64"/>
      <c r="P134" s="64"/>
      <c r="Q134" s="64"/>
      <c r="R134" s="64"/>
      <c r="S134" s="64"/>
      <c r="T134" s="64"/>
      <c r="U134" s="64"/>
      <c r="V134" s="64"/>
      <c r="W134" s="64"/>
      <c r="X134" s="64"/>
      <c r="Y134" s="64"/>
      <c r="Z134" s="64"/>
      <c r="AA134" s="64"/>
      <c r="AB134" s="64"/>
      <c r="AC134" s="64"/>
      <c r="AD134" s="64"/>
      <c r="AE134" s="64"/>
      <c r="AF134" s="64"/>
      <c r="AG134" s="64"/>
      <c r="AH134" s="64"/>
    </row>
    <row r="135">
      <c r="A135" s="64"/>
      <c r="B135" s="64"/>
      <c r="C135" s="64"/>
      <c r="D135" s="64"/>
      <c r="E135" s="64"/>
      <c r="F135" s="64"/>
      <c r="G135" s="64"/>
      <c r="H135" s="64"/>
      <c r="I135" s="64"/>
      <c r="J135" s="64"/>
      <c r="K135" s="64"/>
      <c r="L135" s="64"/>
      <c r="M135" s="64"/>
      <c r="N135" s="64"/>
      <c r="O135" s="64"/>
      <c r="P135" s="64"/>
      <c r="Q135" s="64"/>
      <c r="R135" s="64"/>
      <c r="S135" s="64"/>
      <c r="T135" s="64"/>
      <c r="U135" s="64"/>
      <c r="V135" s="64"/>
      <c r="W135" s="64"/>
      <c r="X135" s="64"/>
      <c r="Y135" s="64"/>
      <c r="Z135" s="64"/>
      <c r="AA135" s="64"/>
      <c r="AB135" s="64"/>
      <c r="AC135" s="64"/>
      <c r="AD135" s="64"/>
      <c r="AE135" s="64"/>
      <c r="AF135" s="64"/>
      <c r="AG135" s="64"/>
      <c r="AH135" s="64"/>
    </row>
    <row r="136">
      <c r="A136" s="64"/>
      <c r="B136" s="64"/>
      <c r="C136" s="64"/>
      <c r="D136" s="64"/>
      <c r="E136" s="64"/>
      <c r="F136" s="64"/>
      <c r="G136" s="64"/>
      <c r="H136" s="64"/>
      <c r="I136" s="64"/>
      <c r="J136" s="64"/>
      <c r="K136" s="64"/>
      <c r="L136" s="64"/>
      <c r="M136" s="64"/>
      <c r="N136" s="64"/>
      <c r="O136" s="64"/>
      <c r="P136" s="64"/>
      <c r="Q136" s="64"/>
      <c r="R136" s="64"/>
      <c r="S136" s="64"/>
      <c r="T136" s="64"/>
      <c r="U136" s="64"/>
      <c r="V136" s="64"/>
      <c r="W136" s="64"/>
      <c r="X136" s="64"/>
      <c r="Y136" s="64"/>
      <c r="Z136" s="64"/>
      <c r="AA136" s="64"/>
      <c r="AB136" s="64"/>
      <c r="AC136" s="64"/>
      <c r="AD136" s="64"/>
      <c r="AE136" s="64"/>
      <c r="AF136" s="64"/>
      <c r="AG136" s="64"/>
      <c r="AH136" s="64"/>
    </row>
    <row r="137">
      <c r="A137" s="64"/>
      <c r="B137" s="64"/>
      <c r="C137" s="64"/>
      <c r="D137" s="64"/>
      <c r="E137" s="64"/>
      <c r="F137" s="64"/>
      <c r="G137" s="64"/>
      <c r="H137" s="64"/>
      <c r="I137" s="64"/>
      <c r="J137" s="64"/>
      <c r="K137" s="64"/>
      <c r="L137" s="64"/>
      <c r="M137" s="64"/>
      <c r="N137" s="64"/>
      <c r="O137" s="64"/>
      <c r="P137" s="64"/>
      <c r="Q137" s="64"/>
      <c r="R137" s="64"/>
      <c r="S137" s="64"/>
      <c r="T137" s="64"/>
      <c r="U137" s="64"/>
      <c r="V137" s="64"/>
      <c r="W137" s="64"/>
      <c r="X137" s="64"/>
      <c r="Y137" s="64"/>
      <c r="Z137" s="64"/>
      <c r="AA137" s="64"/>
      <c r="AB137" s="64"/>
      <c r="AC137" s="64"/>
      <c r="AD137" s="64"/>
      <c r="AE137" s="64"/>
      <c r="AF137" s="64"/>
      <c r="AG137" s="64"/>
      <c r="AH137" s="64"/>
    </row>
    <row r="138">
      <c r="A138" s="64"/>
      <c r="B138" s="64"/>
      <c r="C138" s="64"/>
      <c r="D138" s="64"/>
      <c r="E138" s="64"/>
      <c r="F138" s="64"/>
      <c r="G138" s="64"/>
      <c r="H138" s="64"/>
      <c r="I138" s="64"/>
      <c r="J138" s="64"/>
      <c r="K138" s="64"/>
      <c r="L138" s="64"/>
      <c r="M138" s="64"/>
      <c r="N138" s="64"/>
      <c r="O138" s="64"/>
      <c r="P138" s="64"/>
      <c r="Q138" s="64"/>
      <c r="R138" s="64"/>
      <c r="S138" s="64"/>
      <c r="T138" s="64"/>
      <c r="U138" s="64"/>
      <c r="V138" s="64"/>
      <c r="W138" s="64"/>
      <c r="X138" s="64"/>
      <c r="Y138" s="64"/>
      <c r="Z138" s="64"/>
      <c r="AA138" s="64"/>
      <c r="AB138" s="64"/>
      <c r="AC138" s="64"/>
      <c r="AD138" s="64"/>
      <c r="AE138" s="64"/>
      <c r="AF138" s="64"/>
      <c r="AG138" s="64"/>
      <c r="AH138" s="64"/>
    </row>
    <row r="139">
      <c r="A139" s="64"/>
      <c r="B139" s="64"/>
      <c r="C139" s="64"/>
      <c r="D139" s="64"/>
      <c r="E139" s="64"/>
      <c r="F139" s="64"/>
      <c r="G139" s="64"/>
      <c r="H139" s="64"/>
      <c r="I139" s="64"/>
      <c r="J139" s="64"/>
      <c r="K139" s="64"/>
      <c r="L139" s="64"/>
      <c r="M139" s="64"/>
      <c r="N139" s="64"/>
      <c r="O139" s="64"/>
      <c r="P139" s="64"/>
      <c r="Q139" s="64"/>
      <c r="R139" s="64"/>
      <c r="S139" s="64"/>
      <c r="T139" s="64"/>
      <c r="U139" s="64"/>
      <c r="V139" s="64"/>
      <c r="W139" s="64"/>
      <c r="X139" s="64"/>
      <c r="Y139" s="64"/>
      <c r="Z139" s="64"/>
      <c r="AA139" s="64"/>
      <c r="AB139" s="64"/>
      <c r="AC139" s="64"/>
      <c r="AD139" s="64"/>
      <c r="AE139" s="64"/>
      <c r="AF139" s="64"/>
      <c r="AG139" s="64"/>
      <c r="AH139" s="64"/>
    </row>
    <row r="140">
      <c r="A140" s="64"/>
      <c r="B140" s="64"/>
      <c r="C140" s="64"/>
      <c r="D140" s="64"/>
      <c r="E140" s="64"/>
      <c r="F140" s="64"/>
      <c r="G140" s="64"/>
      <c r="H140" s="64"/>
      <c r="I140" s="64"/>
      <c r="J140" s="64"/>
      <c r="K140" s="64"/>
      <c r="L140" s="64"/>
      <c r="M140" s="64"/>
      <c r="N140" s="64"/>
      <c r="O140" s="64"/>
      <c r="P140" s="64"/>
      <c r="Q140" s="64"/>
      <c r="R140" s="64"/>
      <c r="S140" s="64"/>
      <c r="T140" s="64"/>
      <c r="U140" s="64"/>
      <c r="V140" s="64"/>
      <c r="W140" s="64"/>
      <c r="X140" s="64"/>
      <c r="Y140" s="64"/>
      <c r="Z140" s="64"/>
      <c r="AA140" s="64"/>
      <c r="AB140" s="64"/>
      <c r="AC140" s="64"/>
      <c r="AD140" s="64"/>
      <c r="AE140" s="64"/>
      <c r="AF140" s="64"/>
      <c r="AG140" s="64"/>
      <c r="AH140" s="64"/>
    </row>
    <row r="141">
      <c r="A141" s="64"/>
      <c r="B141" s="64"/>
      <c r="C141" s="64"/>
      <c r="D141" s="64"/>
      <c r="E141" s="64"/>
      <c r="F141" s="64"/>
      <c r="G141" s="64"/>
      <c r="H141" s="64"/>
      <c r="I141" s="64"/>
      <c r="J141" s="64"/>
      <c r="K141" s="64"/>
      <c r="L141" s="64"/>
      <c r="M141" s="64"/>
      <c r="N141" s="64"/>
      <c r="O141" s="64"/>
      <c r="P141" s="64"/>
      <c r="Q141" s="64"/>
      <c r="R141" s="64"/>
      <c r="S141" s="64"/>
      <c r="T141" s="64"/>
      <c r="U141" s="64"/>
      <c r="V141" s="64"/>
      <c r="W141" s="64"/>
      <c r="X141" s="64"/>
      <c r="Y141" s="64"/>
      <c r="Z141" s="64"/>
      <c r="AA141" s="64"/>
      <c r="AB141" s="64"/>
      <c r="AC141" s="64"/>
      <c r="AD141" s="64"/>
      <c r="AE141" s="64"/>
      <c r="AF141" s="64"/>
      <c r="AG141" s="64"/>
      <c r="AH141" s="64"/>
    </row>
    <row r="142">
      <c r="A142" s="64"/>
      <c r="B142" s="64"/>
      <c r="C142" s="64"/>
      <c r="D142" s="64"/>
      <c r="E142" s="64"/>
      <c r="F142" s="64"/>
      <c r="G142" s="64"/>
      <c r="H142" s="64"/>
      <c r="I142" s="64"/>
      <c r="J142" s="64"/>
      <c r="K142" s="64"/>
      <c r="L142" s="64"/>
      <c r="M142" s="64"/>
      <c r="N142" s="64"/>
      <c r="O142" s="64"/>
      <c r="P142" s="64"/>
      <c r="Q142" s="64"/>
      <c r="R142" s="64"/>
      <c r="S142" s="64"/>
      <c r="T142" s="64"/>
      <c r="U142" s="64"/>
      <c r="V142" s="64"/>
      <c r="W142" s="64"/>
      <c r="X142" s="64"/>
      <c r="Y142" s="64"/>
      <c r="Z142" s="64"/>
      <c r="AA142" s="64"/>
      <c r="AB142" s="64"/>
      <c r="AC142" s="64"/>
      <c r="AD142" s="64"/>
      <c r="AE142" s="64"/>
      <c r="AF142" s="64"/>
      <c r="AG142" s="64"/>
      <c r="AH142" s="64"/>
    </row>
    <row r="143">
      <c r="A143" s="64"/>
      <c r="B143" s="64"/>
      <c r="C143" s="64"/>
      <c r="D143" s="64"/>
      <c r="E143" s="64"/>
      <c r="F143" s="64"/>
      <c r="G143" s="64"/>
      <c r="H143" s="64"/>
      <c r="I143" s="64"/>
      <c r="J143" s="64"/>
      <c r="K143" s="64"/>
      <c r="L143" s="64"/>
      <c r="M143" s="64"/>
      <c r="N143" s="64"/>
      <c r="O143" s="64"/>
      <c r="P143" s="64"/>
      <c r="Q143" s="64"/>
      <c r="R143" s="64"/>
      <c r="S143" s="64"/>
      <c r="T143" s="64"/>
      <c r="U143" s="64"/>
      <c r="V143" s="64"/>
      <c r="W143" s="64"/>
      <c r="X143" s="64"/>
      <c r="Y143" s="64"/>
      <c r="Z143" s="64"/>
      <c r="AA143" s="64"/>
      <c r="AB143" s="64"/>
      <c r="AC143" s="64"/>
      <c r="AD143" s="64"/>
      <c r="AE143" s="64"/>
      <c r="AF143" s="64"/>
      <c r="AG143" s="64"/>
      <c r="AH143" s="64"/>
    </row>
    <row r="144">
      <c r="A144" s="64"/>
      <c r="B144" s="64"/>
      <c r="C144" s="64"/>
      <c r="D144" s="64"/>
      <c r="E144" s="64"/>
      <c r="F144" s="64"/>
      <c r="G144" s="64"/>
      <c r="H144" s="64"/>
      <c r="I144" s="64"/>
      <c r="J144" s="64"/>
      <c r="K144" s="64"/>
      <c r="L144" s="64"/>
      <c r="M144" s="64"/>
      <c r="N144" s="64"/>
      <c r="O144" s="64"/>
      <c r="P144" s="64"/>
      <c r="Q144" s="64"/>
      <c r="R144" s="64"/>
      <c r="S144" s="64"/>
      <c r="T144" s="64"/>
      <c r="U144" s="64"/>
      <c r="V144" s="64"/>
      <c r="W144" s="64"/>
      <c r="X144" s="64"/>
      <c r="Y144" s="64"/>
      <c r="Z144" s="64"/>
      <c r="AA144" s="64"/>
      <c r="AB144" s="64"/>
      <c r="AC144" s="64"/>
      <c r="AD144" s="64"/>
      <c r="AE144" s="64"/>
      <c r="AF144" s="64"/>
      <c r="AG144" s="64"/>
      <c r="AH144" s="64"/>
    </row>
    <row r="145">
      <c r="A145" s="64"/>
      <c r="B145" s="64"/>
      <c r="C145" s="64"/>
      <c r="D145" s="64"/>
      <c r="E145" s="64"/>
      <c r="F145" s="64"/>
      <c r="G145" s="64"/>
      <c r="H145" s="64"/>
      <c r="I145" s="64"/>
      <c r="J145" s="64"/>
      <c r="K145" s="64"/>
      <c r="L145" s="64"/>
      <c r="M145" s="64"/>
      <c r="N145" s="64"/>
      <c r="O145" s="64"/>
      <c r="P145" s="64"/>
      <c r="Q145" s="64"/>
      <c r="R145" s="64"/>
      <c r="S145" s="64"/>
      <c r="T145" s="64"/>
      <c r="U145" s="64"/>
      <c r="V145" s="64"/>
      <c r="W145" s="64"/>
      <c r="X145" s="64"/>
      <c r="Y145" s="64"/>
      <c r="Z145" s="64"/>
      <c r="AA145" s="64"/>
      <c r="AB145" s="64"/>
      <c r="AC145" s="64"/>
      <c r="AD145" s="64"/>
      <c r="AE145" s="64"/>
      <c r="AF145" s="64"/>
      <c r="AG145" s="64"/>
      <c r="AH145" s="64"/>
    </row>
    <row r="146">
      <c r="A146" s="64"/>
      <c r="B146" s="64"/>
      <c r="C146" s="64"/>
      <c r="D146" s="64"/>
      <c r="E146" s="64"/>
      <c r="F146" s="64"/>
      <c r="G146" s="64"/>
      <c r="H146" s="64"/>
      <c r="I146" s="64"/>
      <c r="J146" s="64"/>
      <c r="K146" s="64"/>
      <c r="L146" s="64"/>
      <c r="M146" s="64"/>
      <c r="N146" s="64"/>
      <c r="O146" s="64"/>
      <c r="P146" s="64"/>
      <c r="Q146" s="64"/>
      <c r="R146" s="64"/>
      <c r="S146" s="64"/>
      <c r="T146" s="64"/>
      <c r="U146" s="64"/>
      <c r="V146" s="64"/>
      <c r="W146" s="64"/>
      <c r="X146" s="64"/>
      <c r="Y146" s="64"/>
      <c r="Z146" s="64"/>
      <c r="AA146" s="64"/>
      <c r="AB146" s="64"/>
      <c r="AC146" s="64"/>
      <c r="AD146" s="64"/>
      <c r="AE146" s="64"/>
      <c r="AF146" s="64"/>
      <c r="AG146" s="64"/>
      <c r="AH146" s="64"/>
    </row>
    <row r="147">
      <c r="A147" s="64"/>
      <c r="B147" s="64"/>
      <c r="C147" s="64"/>
      <c r="D147" s="64"/>
      <c r="E147" s="64"/>
      <c r="F147" s="64"/>
      <c r="G147" s="64"/>
      <c r="H147" s="64"/>
      <c r="I147" s="64"/>
      <c r="J147" s="64"/>
      <c r="K147" s="64"/>
      <c r="L147" s="64"/>
      <c r="M147" s="64"/>
      <c r="N147" s="64"/>
      <c r="O147" s="64"/>
      <c r="P147" s="64"/>
      <c r="Q147" s="64"/>
      <c r="R147" s="64"/>
      <c r="S147" s="64"/>
      <c r="T147" s="64"/>
      <c r="U147" s="64"/>
      <c r="V147" s="64"/>
      <c r="W147" s="64"/>
      <c r="X147" s="64"/>
      <c r="Y147" s="64"/>
      <c r="Z147" s="64"/>
      <c r="AA147" s="64"/>
      <c r="AB147" s="64"/>
      <c r="AC147" s="64"/>
      <c r="AD147" s="64"/>
      <c r="AE147" s="64"/>
      <c r="AF147" s="64"/>
      <c r="AG147" s="64"/>
      <c r="AH147" s="64"/>
    </row>
    <row r="148">
      <c r="A148" s="64"/>
      <c r="B148" s="64"/>
      <c r="C148" s="64"/>
      <c r="D148" s="64"/>
      <c r="E148" s="64"/>
      <c r="F148" s="64"/>
      <c r="G148" s="64"/>
      <c r="H148" s="64"/>
      <c r="I148" s="64"/>
      <c r="J148" s="64"/>
      <c r="K148" s="64"/>
      <c r="L148" s="64"/>
      <c r="M148" s="64"/>
      <c r="N148" s="64"/>
      <c r="O148" s="64"/>
      <c r="P148" s="64"/>
      <c r="Q148" s="64"/>
      <c r="R148" s="64"/>
      <c r="S148" s="64"/>
      <c r="T148" s="64"/>
      <c r="U148" s="64"/>
      <c r="V148" s="64"/>
      <c r="W148" s="64"/>
      <c r="X148" s="64"/>
      <c r="Y148" s="64"/>
      <c r="Z148" s="64"/>
      <c r="AA148" s="64"/>
      <c r="AB148" s="64"/>
      <c r="AC148" s="64"/>
      <c r="AD148" s="64"/>
      <c r="AE148" s="64"/>
      <c r="AF148" s="64"/>
      <c r="AG148" s="64"/>
      <c r="AH148" s="64"/>
    </row>
    <row r="149">
      <c r="A149" s="64"/>
      <c r="B149" s="64"/>
      <c r="C149" s="64"/>
      <c r="D149" s="64"/>
      <c r="E149" s="64"/>
      <c r="F149" s="64"/>
      <c r="G149" s="64"/>
      <c r="H149" s="64"/>
      <c r="I149" s="64"/>
      <c r="J149" s="64"/>
      <c r="K149" s="64"/>
      <c r="L149" s="64"/>
      <c r="M149" s="64"/>
      <c r="N149" s="64"/>
      <c r="O149" s="64"/>
      <c r="P149" s="64"/>
      <c r="Q149" s="64"/>
      <c r="R149" s="64"/>
      <c r="S149" s="64"/>
      <c r="T149" s="64"/>
      <c r="U149" s="64"/>
      <c r="V149" s="64"/>
      <c r="W149" s="64"/>
      <c r="X149" s="64"/>
      <c r="Y149" s="64"/>
      <c r="Z149" s="64"/>
      <c r="AA149" s="64"/>
      <c r="AB149" s="64"/>
      <c r="AC149" s="64"/>
      <c r="AD149" s="64"/>
      <c r="AE149" s="64"/>
      <c r="AF149" s="64"/>
      <c r="AG149" s="64"/>
      <c r="AH149" s="64"/>
    </row>
    <row r="150">
      <c r="A150" s="64"/>
      <c r="B150" s="64"/>
      <c r="C150" s="64"/>
      <c r="D150" s="64"/>
      <c r="E150" s="64"/>
      <c r="F150" s="64"/>
      <c r="G150" s="64"/>
      <c r="H150" s="64"/>
      <c r="I150" s="64"/>
      <c r="J150" s="64"/>
      <c r="K150" s="64"/>
      <c r="L150" s="64"/>
      <c r="M150" s="64"/>
      <c r="N150" s="64"/>
      <c r="O150" s="64"/>
      <c r="P150" s="64"/>
      <c r="Q150" s="64"/>
      <c r="R150" s="64"/>
      <c r="S150" s="64"/>
      <c r="T150" s="64"/>
      <c r="U150" s="64"/>
      <c r="V150" s="64"/>
      <c r="W150" s="64"/>
      <c r="X150" s="64"/>
      <c r="Y150" s="64"/>
      <c r="Z150" s="64"/>
      <c r="AA150" s="64"/>
      <c r="AB150" s="64"/>
      <c r="AC150" s="64"/>
      <c r="AD150" s="64"/>
      <c r="AE150" s="64"/>
      <c r="AF150" s="64"/>
      <c r="AG150" s="64"/>
      <c r="AH150" s="64"/>
    </row>
    <row r="151">
      <c r="A151" s="64"/>
      <c r="B151" s="64"/>
      <c r="C151" s="64"/>
      <c r="D151" s="64"/>
      <c r="E151" s="64"/>
      <c r="F151" s="64"/>
      <c r="G151" s="64"/>
      <c r="H151" s="64"/>
      <c r="I151" s="64"/>
      <c r="J151" s="64"/>
      <c r="K151" s="64"/>
      <c r="L151" s="64"/>
      <c r="M151" s="64"/>
      <c r="N151" s="64"/>
      <c r="O151" s="64"/>
      <c r="P151" s="64"/>
      <c r="Q151" s="64"/>
      <c r="R151" s="64"/>
      <c r="S151" s="64"/>
      <c r="T151" s="64"/>
      <c r="U151" s="64"/>
      <c r="V151" s="64"/>
      <c r="W151" s="64"/>
      <c r="X151" s="64"/>
      <c r="Y151" s="64"/>
      <c r="Z151" s="64"/>
      <c r="AA151" s="64"/>
      <c r="AB151" s="64"/>
      <c r="AC151" s="64"/>
      <c r="AD151" s="64"/>
      <c r="AE151" s="64"/>
      <c r="AF151" s="64"/>
      <c r="AG151" s="64"/>
      <c r="AH151" s="64"/>
    </row>
    <row r="152">
      <c r="A152" s="64"/>
      <c r="B152" s="64"/>
      <c r="C152" s="64"/>
      <c r="D152" s="64"/>
      <c r="E152" s="64"/>
      <c r="F152" s="64"/>
      <c r="G152" s="64"/>
      <c r="H152" s="64"/>
      <c r="I152" s="64"/>
      <c r="J152" s="64"/>
      <c r="K152" s="64"/>
      <c r="L152" s="64"/>
      <c r="M152" s="64"/>
      <c r="N152" s="64"/>
      <c r="O152" s="64"/>
      <c r="P152" s="64"/>
      <c r="Q152" s="64"/>
      <c r="R152" s="64"/>
      <c r="S152" s="64"/>
      <c r="T152" s="64"/>
      <c r="U152" s="64"/>
      <c r="V152" s="64"/>
      <c r="W152" s="64"/>
      <c r="X152" s="64"/>
      <c r="Y152" s="64"/>
      <c r="Z152" s="64"/>
      <c r="AA152" s="64"/>
      <c r="AB152" s="64"/>
      <c r="AC152" s="64"/>
      <c r="AD152" s="64"/>
      <c r="AE152" s="64"/>
      <c r="AF152" s="64"/>
      <c r="AG152" s="64"/>
      <c r="AH152" s="64"/>
    </row>
    <row r="153">
      <c r="A153" s="64"/>
      <c r="B153" s="64"/>
      <c r="C153" s="64"/>
      <c r="D153" s="64"/>
      <c r="E153" s="64"/>
      <c r="F153" s="64"/>
      <c r="G153" s="64"/>
      <c r="H153" s="64"/>
      <c r="I153" s="64"/>
      <c r="J153" s="64"/>
      <c r="K153" s="64"/>
      <c r="L153" s="64"/>
      <c r="M153" s="64"/>
      <c r="N153" s="64"/>
      <c r="O153" s="64"/>
      <c r="P153" s="64"/>
      <c r="Q153" s="64"/>
      <c r="R153" s="64"/>
      <c r="S153" s="64"/>
      <c r="T153" s="64"/>
      <c r="U153" s="64"/>
      <c r="V153" s="64"/>
      <c r="W153" s="64"/>
      <c r="X153" s="64"/>
      <c r="Y153" s="64"/>
      <c r="Z153" s="64"/>
      <c r="AA153" s="64"/>
      <c r="AB153" s="64"/>
      <c r="AC153" s="64"/>
      <c r="AD153" s="64"/>
      <c r="AE153" s="64"/>
      <c r="AF153" s="64"/>
      <c r="AG153" s="64"/>
      <c r="AH153" s="64"/>
    </row>
    <row r="154">
      <c r="A154" s="64"/>
      <c r="B154" s="64"/>
      <c r="C154" s="64"/>
      <c r="D154" s="64"/>
      <c r="E154" s="64"/>
      <c r="F154" s="64"/>
      <c r="G154" s="64"/>
      <c r="H154" s="64"/>
      <c r="I154" s="64"/>
      <c r="J154" s="64"/>
      <c r="K154" s="64"/>
      <c r="L154" s="64"/>
      <c r="M154" s="64"/>
      <c r="N154" s="64"/>
      <c r="O154" s="64"/>
      <c r="P154" s="64"/>
      <c r="Q154" s="64"/>
      <c r="R154" s="64"/>
      <c r="S154" s="64"/>
      <c r="T154" s="64"/>
      <c r="U154" s="64"/>
      <c r="V154" s="64"/>
      <c r="W154" s="64"/>
      <c r="X154" s="64"/>
      <c r="Y154" s="64"/>
      <c r="Z154" s="64"/>
      <c r="AA154" s="64"/>
      <c r="AB154" s="64"/>
      <c r="AC154" s="64"/>
      <c r="AD154" s="64"/>
      <c r="AE154" s="64"/>
      <c r="AF154" s="64"/>
      <c r="AG154" s="64"/>
      <c r="AH154" s="64"/>
    </row>
    <row r="155">
      <c r="A155" s="64"/>
      <c r="B155" s="64"/>
      <c r="C155" s="64"/>
      <c r="D155" s="64"/>
      <c r="E155" s="64"/>
      <c r="F155" s="64"/>
      <c r="G155" s="64"/>
      <c r="H155" s="64"/>
      <c r="I155" s="64"/>
      <c r="J155" s="64"/>
      <c r="K155" s="64"/>
      <c r="L155" s="64"/>
      <c r="M155" s="64"/>
      <c r="N155" s="64"/>
      <c r="O155" s="64"/>
      <c r="P155" s="64"/>
      <c r="Q155" s="64"/>
      <c r="R155" s="64"/>
      <c r="S155" s="64"/>
      <c r="T155" s="64"/>
      <c r="U155" s="64"/>
      <c r="V155" s="64"/>
      <c r="W155" s="64"/>
      <c r="X155" s="64"/>
      <c r="Y155" s="64"/>
      <c r="Z155" s="64"/>
      <c r="AA155" s="64"/>
      <c r="AB155" s="64"/>
      <c r="AC155" s="64"/>
      <c r="AD155" s="64"/>
      <c r="AE155" s="64"/>
      <c r="AF155" s="64"/>
      <c r="AG155" s="64"/>
      <c r="AH155" s="64"/>
    </row>
    <row r="156">
      <c r="A156" s="64"/>
      <c r="B156" s="64"/>
      <c r="C156" s="64"/>
      <c r="D156" s="64"/>
      <c r="E156" s="64"/>
      <c r="F156" s="64"/>
      <c r="G156" s="64"/>
      <c r="H156" s="64"/>
      <c r="I156" s="64"/>
      <c r="J156" s="64"/>
      <c r="K156" s="64"/>
      <c r="L156" s="64"/>
      <c r="M156" s="64"/>
      <c r="N156" s="64"/>
      <c r="O156" s="64"/>
      <c r="P156" s="64"/>
      <c r="Q156" s="64"/>
      <c r="R156" s="64"/>
      <c r="S156" s="64"/>
      <c r="T156" s="64"/>
      <c r="U156" s="64"/>
      <c r="V156" s="64"/>
      <c r="W156" s="64"/>
      <c r="X156" s="64"/>
      <c r="Y156" s="64"/>
      <c r="Z156" s="64"/>
      <c r="AA156" s="64"/>
      <c r="AB156" s="64"/>
      <c r="AC156" s="64"/>
      <c r="AD156" s="64"/>
      <c r="AE156" s="64"/>
      <c r="AF156" s="64"/>
      <c r="AG156" s="64"/>
      <c r="AH156" s="64"/>
    </row>
    <row r="157">
      <c r="A157" s="64"/>
      <c r="B157" s="64"/>
      <c r="C157" s="64"/>
      <c r="D157" s="64"/>
      <c r="E157" s="64"/>
      <c r="F157" s="64"/>
      <c r="G157" s="64"/>
      <c r="H157" s="64"/>
      <c r="I157" s="64"/>
      <c r="J157" s="64"/>
      <c r="K157" s="64"/>
      <c r="L157" s="64"/>
      <c r="M157" s="64"/>
      <c r="N157" s="64"/>
      <c r="O157" s="64"/>
      <c r="P157" s="64"/>
      <c r="Q157" s="64"/>
      <c r="R157" s="64"/>
      <c r="S157" s="64"/>
      <c r="T157" s="64"/>
      <c r="U157" s="64"/>
      <c r="V157" s="64"/>
      <c r="W157" s="64"/>
      <c r="X157" s="64"/>
      <c r="Y157" s="64"/>
      <c r="Z157" s="64"/>
      <c r="AA157" s="64"/>
      <c r="AB157" s="64"/>
      <c r="AC157" s="64"/>
      <c r="AD157" s="64"/>
      <c r="AE157" s="64"/>
      <c r="AF157" s="64"/>
      <c r="AG157" s="64"/>
      <c r="AH157" s="64"/>
    </row>
    <row r="158">
      <c r="A158" s="64"/>
      <c r="B158" s="64"/>
      <c r="C158" s="64"/>
      <c r="D158" s="64"/>
      <c r="E158" s="64"/>
      <c r="F158" s="64"/>
      <c r="G158" s="64"/>
      <c r="H158" s="64"/>
      <c r="I158" s="64"/>
      <c r="J158" s="64"/>
      <c r="K158" s="64"/>
      <c r="L158" s="64"/>
      <c r="M158" s="64"/>
      <c r="N158" s="64"/>
      <c r="O158" s="64"/>
      <c r="P158" s="64"/>
      <c r="Q158" s="64"/>
      <c r="R158" s="64"/>
      <c r="S158" s="64"/>
      <c r="T158" s="64"/>
      <c r="U158" s="64"/>
      <c r="V158" s="64"/>
      <c r="W158" s="64"/>
      <c r="X158" s="64"/>
      <c r="Y158" s="64"/>
      <c r="Z158" s="64"/>
      <c r="AA158" s="64"/>
      <c r="AB158" s="64"/>
      <c r="AC158" s="64"/>
      <c r="AD158" s="64"/>
      <c r="AE158" s="64"/>
      <c r="AF158" s="64"/>
      <c r="AG158" s="64"/>
      <c r="AH158" s="64"/>
    </row>
    <row r="159">
      <c r="A159" s="64"/>
      <c r="B159" s="64"/>
      <c r="C159" s="64"/>
      <c r="D159" s="64"/>
      <c r="E159" s="64"/>
      <c r="F159" s="64"/>
      <c r="G159" s="64"/>
      <c r="H159" s="64"/>
      <c r="I159" s="64"/>
      <c r="J159" s="64"/>
      <c r="K159" s="64"/>
      <c r="L159" s="64"/>
      <c r="M159" s="64"/>
      <c r="N159" s="64"/>
      <c r="O159" s="64"/>
      <c r="P159" s="64"/>
      <c r="Q159" s="64"/>
      <c r="R159" s="64"/>
      <c r="S159" s="64"/>
      <c r="T159" s="64"/>
      <c r="U159" s="64"/>
      <c r="V159" s="64"/>
      <c r="W159" s="64"/>
      <c r="X159" s="64"/>
      <c r="Y159" s="64"/>
      <c r="Z159" s="64"/>
      <c r="AA159" s="64"/>
      <c r="AB159" s="64"/>
      <c r="AC159" s="64"/>
      <c r="AD159" s="64"/>
      <c r="AE159" s="64"/>
      <c r="AF159" s="64"/>
      <c r="AG159" s="64"/>
      <c r="AH159" s="64"/>
    </row>
    <row r="160">
      <c r="A160" s="64"/>
      <c r="B160" s="64"/>
      <c r="C160" s="64"/>
      <c r="D160" s="64"/>
      <c r="E160" s="64"/>
      <c r="F160" s="64"/>
      <c r="G160" s="64"/>
      <c r="H160" s="64"/>
      <c r="I160" s="64"/>
      <c r="J160" s="64"/>
      <c r="K160" s="64"/>
      <c r="L160" s="64"/>
      <c r="M160" s="64"/>
      <c r="N160" s="64"/>
      <c r="O160" s="64"/>
      <c r="P160" s="64"/>
      <c r="Q160" s="64"/>
      <c r="R160" s="64"/>
      <c r="S160" s="64"/>
      <c r="T160" s="64"/>
      <c r="U160" s="64"/>
      <c r="V160" s="64"/>
      <c r="W160" s="64"/>
      <c r="X160" s="64"/>
      <c r="Y160" s="64"/>
      <c r="Z160" s="64"/>
      <c r="AA160" s="64"/>
      <c r="AB160" s="64"/>
      <c r="AC160" s="64"/>
      <c r="AD160" s="64"/>
      <c r="AE160" s="64"/>
      <c r="AF160" s="64"/>
      <c r="AG160" s="64"/>
      <c r="AH160" s="64"/>
    </row>
    <row r="161">
      <c r="A161" s="64"/>
      <c r="B161" s="64"/>
      <c r="C161" s="64"/>
      <c r="D161" s="64"/>
      <c r="E161" s="64"/>
      <c r="F161" s="64"/>
      <c r="G161" s="64"/>
      <c r="H161" s="64"/>
      <c r="I161" s="64"/>
      <c r="J161" s="64"/>
      <c r="K161" s="64"/>
      <c r="L161" s="64"/>
      <c r="M161" s="64"/>
      <c r="N161" s="64"/>
      <c r="O161" s="64"/>
      <c r="P161" s="64"/>
      <c r="Q161" s="64"/>
      <c r="R161" s="64"/>
      <c r="S161" s="64"/>
      <c r="T161" s="64"/>
      <c r="U161" s="64"/>
      <c r="V161" s="64"/>
      <c r="W161" s="64"/>
      <c r="X161" s="64"/>
      <c r="Y161" s="64"/>
      <c r="Z161" s="64"/>
      <c r="AA161" s="64"/>
      <c r="AB161" s="64"/>
      <c r="AC161" s="64"/>
      <c r="AD161" s="64"/>
      <c r="AE161" s="64"/>
      <c r="AF161" s="64"/>
      <c r="AG161" s="64"/>
      <c r="AH161" s="64"/>
    </row>
    <row r="162">
      <c r="A162" s="64"/>
      <c r="B162" s="64"/>
      <c r="C162" s="64"/>
      <c r="D162" s="64"/>
      <c r="E162" s="64"/>
      <c r="F162" s="64"/>
      <c r="G162" s="64"/>
      <c r="H162" s="64"/>
      <c r="I162" s="64"/>
      <c r="J162" s="64"/>
      <c r="K162" s="64"/>
      <c r="L162" s="64"/>
      <c r="M162" s="64"/>
      <c r="N162" s="64"/>
      <c r="O162" s="64"/>
      <c r="P162" s="64"/>
      <c r="Q162" s="64"/>
      <c r="R162" s="64"/>
      <c r="S162" s="64"/>
      <c r="T162" s="64"/>
      <c r="U162" s="64"/>
      <c r="V162" s="64"/>
      <c r="W162" s="64"/>
      <c r="X162" s="64"/>
      <c r="Y162" s="64"/>
      <c r="Z162" s="64"/>
      <c r="AA162" s="64"/>
      <c r="AB162" s="64"/>
      <c r="AC162" s="64"/>
      <c r="AD162" s="64"/>
      <c r="AE162" s="64"/>
      <c r="AF162" s="64"/>
      <c r="AG162" s="64"/>
      <c r="AH162" s="64"/>
    </row>
    <row r="163">
      <c r="A163" s="64"/>
      <c r="B163" s="64"/>
      <c r="C163" s="64"/>
      <c r="D163" s="64"/>
      <c r="E163" s="64"/>
      <c r="F163" s="64"/>
      <c r="G163" s="64"/>
      <c r="H163" s="64"/>
      <c r="I163" s="64"/>
      <c r="J163" s="64"/>
      <c r="K163" s="64"/>
      <c r="L163" s="64"/>
      <c r="M163" s="64"/>
      <c r="N163" s="64"/>
      <c r="O163" s="64"/>
      <c r="P163" s="64"/>
      <c r="Q163" s="64"/>
      <c r="R163" s="64"/>
      <c r="S163" s="64"/>
      <c r="T163" s="64"/>
      <c r="U163" s="64"/>
      <c r="V163" s="64"/>
      <c r="W163" s="64"/>
      <c r="X163" s="64"/>
      <c r="Y163" s="64"/>
      <c r="Z163" s="64"/>
      <c r="AA163" s="64"/>
      <c r="AB163" s="64"/>
      <c r="AC163" s="64"/>
      <c r="AD163" s="64"/>
      <c r="AE163" s="64"/>
      <c r="AF163" s="64"/>
      <c r="AG163" s="64"/>
      <c r="AH163" s="64"/>
    </row>
    <row r="164">
      <c r="A164" s="64"/>
      <c r="B164" s="64"/>
      <c r="C164" s="64"/>
      <c r="D164" s="64"/>
      <c r="E164" s="64"/>
      <c r="F164" s="64"/>
      <c r="G164" s="64"/>
      <c r="H164" s="64"/>
      <c r="I164" s="64"/>
      <c r="J164" s="64"/>
      <c r="K164" s="64"/>
      <c r="L164" s="64"/>
      <c r="M164" s="64"/>
      <c r="N164" s="64"/>
      <c r="O164" s="64"/>
      <c r="P164" s="64"/>
      <c r="Q164" s="64"/>
      <c r="R164" s="64"/>
      <c r="S164" s="64"/>
      <c r="T164" s="64"/>
      <c r="U164" s="64"/>
      <c r="V164" s="64"/>
      <c r="W164" s="64"/>
      <c r="X164" s="64"/>
      <c r="Y164" s="64"/>
      <c r="Z164" s="64"/>
      <c r="AA164" s="64"/>
      <c r="AB164" s="64"/>
      <c r="AC164" s="64"/>
      <c r="AD164" s="64"/>
      <c r="AE164" s="64"/>
      <c r="AF164" s="64"/>
      <c r="AG164" s="64"/>
      <c r="AH164" s="64"/>
    </row>
    <row r="165">
      <c r="A165" s="64"/>
      <c r="B165" s="64"/>
      <c r="C165" s="64"/>
      <c r="D165" s="64"/>
      <c r="E165" s="64"/>
      <c r="F165" s="64"/>
      <c r="G165" s="64"/>
      <c r="H165" s="64"/>
      <c r="I165" s="64"/>
      <c r="J165" s="64"/>
      <c r="K165" s="64"/>
      <c r="L165" s="64"/>
      <c r="M165" s="64"/>
      <c r="N165" s="64"/>
      <c r="O165" s="64"/>
      <c r="P165" s="64"/>
      <c r="Q165" s="64"/>
      <c r="R165" s="64"/>
      <c r="S165" s="64"/>
      <c r="T165" s="64"/>
      <c r="U165" s="64"/>
      <c r="V165" s="64"/>
      <c r="W165" s="64"/>
      <c r="X165" s="64"/>
      <c r="Y165" s="64"/>
      <c r="Z165" s="64"/>
      <c r="AA165" s="64"/>
      <c r="AB165" s="64"/>
      <c r="AC165" s="64"/>
      <c r="AD165" s="64"/>
      <c r="AE165" s="64"/>
      <c r="AF165" s="64"/>
      <c r="AG165" s="64"/>
      <c r="AH165" s="64"/>
    </row>
    <row r="166">
      <c r="A166" s="64"/>
      <c r="B166" s="64"/>
      <c r="C166" s="64"/>
      <c r="D166" s="64"/>
      <c r="E166" s="64"/>
      <c r="F166" s="64"/>
      <c r="G166" s="64"/>
      <c r="H166" s="64"/>
      <c r="I166" s="64"/>
      <c r="J166" s="64"/>
      <c r="K166" s="64"/>
      <c r="L166" s="64"/>
      <c r="M166" s="64"/>
      <c r="N166" s="64"/>
      <c r="O166" s="64"/>
      <c r="P166" s="64"/>
      <c r="Q166" s="64"/>
      <c r="R166" s="64"/>
      <c r="S166" s="64"/>
      <c r="T166" s="64"/>
      <c r="U166" s="64"/>
      <c r="V166" s="64"/>
      <c r="W166" s="64"/>
      <c r="X166" s="64"/>
      <c r="Y166" s="64"/>
      <c r="Z166" s="64"/>
      <c r="AA166" s="64"/>
      <c r="AB166" s="64"/>
      <c r="AC166" s="64"/>
      <c r="AD166" s="64"/>
      <c r="AE166" s="64"/>
      <c r="AF166" s="64"/>
      <c r="AG166" s="64"/>
      <c r="AH166" s="64"/>
    </row>
    <row r="167">
      <c r="A167" s="64"/>
      <c r="B167" s="64"/>
      <c r="C167" s="64"/>
      <c r="D167" s="64"/>
      <c r="E167" s="64"/>
      <c r="F167" s="64"/>
      <c r="G167" s="64"/>
      <c r="H167" s="64"/>
      <c r="I167" s="64"/>
      <c r="J167" s="64"/>
      <c r="K167" s="64"/>
      <c r="L167" s="64"/>
      <c r="M167" s="64"/>
      <c r="N167" s="64"/>
      <c r="O167" s="64"/>
      <c r="P167" s="64"/>
      <c r="Q167" s="64"/>
      <c r="R167" s="64"/>
      <c r="S167" s="64"/>
      <c r="T167" s="64"/>
      <c r="U167" s="64"/>
      <c r="V167" s="64"/>
      <c r="W167" s="64"/>
      <c r="X167" s="64"/>
      <c r="Y167" s="64"/>
      <c r="Z167" s="64"/>
      <c r="AA167" s="64"/>
      <c r="AB167" s="64"/>
      <c r="AC167" s="64"/>
      <c r="AD167" s="64"/>
      <c r="AE167" s="64"/>
      <c r="AF167" s="64"/>
      <c r="AG167" s="64"/>
      <c r="AH167" s="64"/>
    </row>
    <row r="168">
      <c r="A168" s="64"/>
      <c r="B168" s="64"/>
      <c r="C168" s="64"/>
      <c r="D168" s="64"/>
      <c r="E168" s="64"/>
      <c r="F168" s="64"/>
      <c r="G168" s="64"/>
      <c r="H168" s="64"/>
      <c r="I168" s="64"/>
      <c r="J168" s="64"/>
      <c r="K168" s="64"/>
      <c r="L168" s="64"/>
      <c r="M168" s="64"/>
      <c r="N168" s="64"/>
      <c r="O168" s="64"/>
      <c r="P168" s="64"/>
      <c r="Q168" s="64"/>
      <c r="R168" s="64"/>
      <c r="S168" s="64"/>
      <c r="T168" s="64"/>
      <c r="U168" s="64"/>
      <c r="V168" s="64"/>
      <c r="W168" s="64"/>
      <c r="X168" s="64"/>
      <c r="Y168" s="64"/>
      <c r="Z168" s="64"/>
      <c r="AA168" s="64"/>
      <c r="AB168" s="64"/>
      <c r="AC168" s="64"/>
      <c r="AD168" s="64"/>
      <c r="AE168" s="64"/>
      <c r="AF168" s="64"/>
      <c r="AG168" s="64"/>
      <c r="AH168" s="64"/>
    </row>
    <row r="169">
      <c r="A169" s="64"/>
      <c r="B169" s="64"/>
      <c r="C169" s="64"/>
      <c r="D169" s="64"/>
      <c r="E169" s="64"/>
      <c r="F169" s="64"/>
      <c r="G169" s="64"/>
      <c r="H169" s="64"/>
      <c r="I169" s="64"/>
      <c r="J169" s="64"/>
      <c r="K169" s="64"/>
      <c r="L169" s="64"/>
      <c r="M169" s="64"/>
      <c r="N169" s="64"/>
      <c r="O169" s="64"/>
      <c r="P169" s="64"/>
      <c r="Q169" s="64"/>
      <c r="R169" s="64"/>
      <c r="S169" s="64"/>
      <c r="T169" s="64"/>
      <c r="U169" s="64"/>
      <c r="V169" s="64"/>
      <c r="W169" s="64"/>
      <c r="X169" s="64"/>
      <c r="Y169" s="64"/>
      <c r="Z169" s="64"/>
      <c r="AA169" s="64"/>
      <c r="AB169" s="64"/>
      <c r="AC169" s="64"/>
      <c r="AD169" s="64"/>
      <c r="AE169" s="64"/>
      <c r="AF169" s="64"/>
      <c r="AG169" s="64"/>
      <c r="AH169" s="64"/>
    </row>
    <row r="170">
      <c r="A170" s="64"/>
      <c r="B170" s="64"/>
      <c r="C170" s="64"/>
      <c r="D170" s="64"/>
      <c r="E170" s="64"/>
      <c r="F170" s="64"/>
      <c r="G170" s="64"/>
      <c r="H170" s="64"/>
      <c r="I170" s="64"/>
      <c r="J170" s="64"/>
      <c r="K170" s="64"/>
      <c r="L170" s="64"/>
      <c r="M170" s="64"/>
      <c r="N170" s="64"/>
      <c r="O170" s="64"/>
      <c r="P170" s="64"/>
      <c r="Q170" s="64"/>
      <c r="R170" s="64"/>
      <c r="S170" s="64"/>
      <c r="T170" s="64"/>
      <c r="U170" s="64"/>
      <c r="V170" s="64"/>
      <c r="W170" s="64"/>
      <c r="X170" s="64"/>
      <c r="Y170" s="64"/>
      <c r="Z170" s="64"/>
      <c r="AA170" s="64"/>
      <c r="AB170" s="64"/>
      <c r="AC170" s="64"/>
      <c r="AD170" s="64"/>
      <c r="AE170" s="64"/>
      <c r="AF170" s="64"/>
      <c r="AG170" s="64"/>
      <c r="AH170" s="64"/>
    </row>
    <row r="171">
      <c r="A171" s="64"/>
      <c r="B171" s="64"/>
      <c r="C171" s="64"/>
      <c r="D171" s="64"/>
      <c r="E171" s="64"/>
      <c r="F171" s="64"/>
      <c r="G171" s="64"/>
      <c r="H171" s="64"/>
      <c r="I171" s="64"/>
      <c r="J171" s="64"/>
      <c r="K171" s="64"/>
      <c r="L171" s="64"/>
      <c r="M171" s="64"/>
      <c r="N171" s="64"/>
      <c r="O171" s="64"/>
      <c r="P171" s="64"/>
      <c r="Q171" s="64"/>
      <c r="R171" s="64"/>
      <c r="S171" s="64"/>
      <c r="T171" s="64"/>
      <c r="U171" s="64"/>
      <c r="V171" s="64"/>
      <c r="W171" s="64"/>
      <c r="X171" s="64"/>
      <c r="Y171" s="64"/>
      <c r="Z171" s="64"/>
      <c r="AA171" s="64"/>
      <c r="AB171" s="64"/>
      <c r="AC171" s="64"/>
      <c r="AD171" s="64"/>
      <c r="AE171" s="64"/>
      <c r="AF171" s="64"/>
      <c r="AG171" s="64"/>
      <c r="AH171" s="64"/>
    </row>
    <row r="172">
      <c r="A172" s="64"/>
      <c r="B172" s="64"/>
      <c r="C172" s="64"/>
      <c r="D172" s="64"/>
      <c r="E172" s="64"/>
      <c r="F172" s="64"/>
      <c r="G172" s="64"/>
      <c r="H172" s="64"/>
      <c r="I172" s="64"/>
      <c r="J172" s="64"/>
      <c r="K172" s="64"/>
      <c r="L172" s="64"/>
      <c r="M172" s="64"/>
      <c r="N172" s="64"/>
      <c r="O172" s="64"/>
      <c r="P172" s="64"/>
      <c r="Q172" s="64"/>
      <c r="R172" s="64"/>
      <c r="S172" s="64"/>
      <c r="T172" s="64"/>
      <c r="U172" s="64"/>
      <c r="V172" s="64"/>
      <c r="W172" s="64"/>
      <c r="X172" s="64"/>
      <c r="Y172" s="64"/>
      <c r="Z172" s="64"/>
      <c r="AA172" s="64"/>
      <c r="AB172" s="64"/>
      <c r="AC172" s="64"/>
      <c r="AD172" s="64"/>
      <c r="AE172" s="64"/>
      <c r="AF172" s="64"/>
      <c r="AG172" s="64"/>
      <c r="AH172" s="64"/>
    </row>
    <row r="173">
      <c r="A173" s="64"/>
      <c r="B173" s="64"/>
      <c r="C173" s="64"/>
      <c r="D173" s="64"/>
      <c r="E173" s="64"/>
      <c r="F173" s="64"/>
      <c r="G173" s="64"/>
      <c r="H173" s="64"/>
      <c r="I173" s="64"/>
      <c r="J173" s="64"/>
      <c r="K173" s="64"/>
      <c r="L173" s="64"/>
      <c r="M173" s="64"/>
      <c r="N173" s="64"/>
      <c r="O173" s="64"/>
      <c r="P173" s="64"/>
      <c r="Q173" s="64"/>
      <c r="R173" s="64"/>
      <c r="S173" s="64"/>
      <c r="T173" s="64"/>
      <c r="U173" s="64"/>
      <c r="V173" s="64"/>
      <c r="W173" s="64"/>
      <c r="X173" s="64"/>
      <c r="Y173" s="64"/>
      <c r="Z173" s="64"/>
      <c r="AA173" s="64"/>
      <c r="AB173" s="64"/>
      <c r="AC173" s="64"/>
      <c r="AD173" s="64"/>
      <c r="AE173" s="64"/>
      <c r="AF173" s="64"/>
      <c r="AG173" s="64"/>
      <c r="AH173" s="64"/>
    </row>
    <row r="174">
      <c r="A174" s="64"/>
      <c r="B174" s="64"/>
      <c r="C174" s="64"/>
      <c r="D174" s="64"/>
      <c r="E174" s="64"/>
      <c r="F174" s="64"/>
      <c r="G174" s="64"/>
      <c r="H174" s="64"/>
      <c r="I174" s="64"/>
      <c r="J174" s="64"/>
      <c r="K174" s="64"/>
      <c r="L174" s="64"/>
      <c r="M174" s="64"/>
      <c r="N174" s="64"/>
      <c r="O174" s="64"/>
      <c r="P174" s="64"/>
      <c r="Q174" s="64"/>
      <c r="R174" s="64"/>
      <c r="S174" s="64"/>
      <c r="T174" s="64"/>
      <c r="U174" s="64"/>
      <c r="V174" s="64"/>
      <c r="W174" s="64"/>
      <c r="X174" s="64"/>
      <c r="Y174" s="64"/>
      <c r="Z174" s="64"/>
      <c r="AA174" s="64"/>
      <c r="AB174" s="64"/>
      <c r="AC174" s="64"/>
      <c r="AD174" s="64"/>
      <c r="AE174" s="64"/>
      <c r="AF174" s="64"/>
      <c r="AG174" s="64"/>
      <c r="AH174" s="64"/>
    </row>
    <row r="175">
      <c r="A175" s="64"/>
      <c r="B175" s="64"/>
      <c r="C175" s="64"/>
      <c r="D175" s="64"/>
      <c r="E175" s="64"/>
      <c r="F175" s="64"/>
      <c r="G175" s="64"/>
      <c r="H175" s="64"/>
      <c r="I175" s="64"/>
      <c r="J175" s="64"/>
      <c r="K175" s="64"/>
      <c r="L175" s="64"/>
      <c r="M175" s="64"/>
      <c r="N175" s="64"/>
      <c r="O175" s="64"/>
      <c r="P175" s="64"/>
      <c r="Q175" s="64"/>
      <c r="R175" s="64"/>
      <c r="S175" s="64"/>
      <c r="T175" s="64"/>
      <c r="U175" s="64"/>
      <c r="V175" s="64"/>
      <c r="W175" s="64"/>
      <c r="X175" s="64"/>
      <c r="Y175" s="64"/>
      <c r="Z175" s="64"/>
      <c r="AA175" s="64"/>
      <c r="AB175" s="64"/>
      <c r="AC175" s="64"/>
      <c r="AD175" s="64"/>
      <c r="AE175" s="64"/>
      <c r="AF175" s="64"/>
      <c r="AG175" s="64"/>
      <c r="AH175" s="64"/>
    </row>
    <row r="176">
      <c r="A176" s="64"/>
      <c r="B176" s="64"/>
      <c r="C176" s="64"/>
      <c r="D176" s="64"/>
      <c r="E176" s="64"/>
      <c r="F176" s="64"/>
      <c r="G176" s="64"/>
      <c r="H176" s="64"/>
      <c r="I176" s="64"/>
      <c r="J176" s="64"/>
      <c r="K176" s="64"/>
      <c r="L176" s="64"/>
      <c r="M176" s="64"/>
      <c r="N176" s="64"/>
      <c r="O176" s="64"/>
      <c r="P176" s="64"/>
      <c r="Q176" s="64"/>
      <c r="R176" s="64"/>
      <c r="S176" s="64"/>
      <c r="T176" s="64"/>
      <c r="U176" s="64"/>
      <c r="V176" s="64"/>
      <c r="W176" s="64"/>
      <c r="X176" s="64"/>
      <c r="Y176" s="64"/>
      <c r="Z176" s="64"/>
      <c r="AA176" s="64"/>
      <c r="AB176" s="64"/>
      <c r="AC176" s="64"/>
      <c r="AD176" s="64"/>
      <c r="AE176" s="64"/>
      <c r="AF176" s="64"/>
      <c r="AG176" s="64"/>
      <c r="AH176" s="64"/>
    </row>
    <row r="177">
      <c r="A177" s="64"/>
      <c r="B177" s="64"/>
      <c r="C177" s="64"/>
      <c r="D177" s="64"/>
      <c r="E177" s="64"/>
      <c r="F177" s="64"/>
      <c r="G177" s="64"/>
      <c r="H177" s="64"/>
      <c r="I177" s="64"/>
      <c r="J177" s="64"/>
      <c r="K177" s="64"/>
      <c r="L177" s="64"/>
      <c r="M177" s="64"/>
      <c r="N177" s="64"/>
      <c r="O177" s="64"/>
      <c r="P177" s="64"/>
      <c r="Q177" s="64"/>
      <c r="R177" s="64"/>
      <c r="S177" s="64"/>
      <c r="T177" s="64"/>
      <c r="U177" s="64"/>
      <c r="V177" s="64"/>
      <c r="W177" s="64"/>
      <c r="X177" s="64"/>
      <c r="Y177" s="64"/>
      <c r="Z177" s="64"/>
      <c r="AA177" s="64"/>
      <c r="AB177" s="64"/>
      <c r="AC177" s="64"/>
      <c r="AD177" s="64"/>
      <c r="AE177" s="64"/>
      <c r="AF177" s="64"/>
      <c r="AG177" s="64"/>
      <c r="AH177" s="64"/>
    </row>
    <row r="178">
      <c r="A178" s="64"/>
      <c r="B178" s="64"/>
      <c r="C178" s="64"/>
      <c r="D178" s="64"/>
      <c r="E178" s="64"/>
      <c r="F178" s="64"/>
      <c r="G178" s="64"/>
      <c r="H178" s="64"/>
      <c r="I178" s="64"/>
      <c r="J178" s="64"/>
      <c r="K178" s="64"/>
      <c r="L178" s="64"/>
      <c r="M178" s="64"/>
      <c r="N178" s="64"/>
      <c r="O178" s="64"/>
      <c r="P178" s="64"/>
      <c r="Q178" s="64"/>
      <c r="R178" s="64"/>
      <c r="S178" s="64"/>
      <c r="T178" s="64"/>
      <c r="U178" s="64"/>
      <c r="V178" s="64"/>
      <c r="W178" s="64"/>
      <c r="X178" s="64"/>
      <c r="Y178" s="64"/>
      <c r="Z178" s="64"/>
      <c r="AA178" s="64"/>
      <c r="AB178" s="64"/>
      <c r="AC178" s="64"/>
      <c r="AD178" s="64"/>
      <c r="AE178" s="64"/>
      <c r="AF178" s="64"/>
      <c r="AG178" s="64"/>
      <c r="AH178" s="64"/>
    </row>
    <row r="179">
      <c r="A179" s="64"/>
      <c r="B179" s="64"/>
      <c r="C179" s="64"/>
      <c r="D179" s="64"/>
      <c r="E179" s="64"/>
      <c r="F179" s="64"/>
      <c r="G179" s="64"/>
      <c r="H179" s="64"/>
      <c r="I179" s="64"/>
      <c r="J179" s="64"/>
      <c r="K179" s="64"/>
      <c r="L179" s="64"/>
      <c r="M179" s="64"/>
      <c r="N179" s="64"/>
      <c r="O179" s="64"/>
      <c r="P179" s="64"/>
      <c r="Q179" s="64"/>
      <c r="R179" s="64"/>
      <c r="S179" s="64"/>
      <c r="T179" s="64"/>
      <c r="U179" s="64"/>
      <c r="V179" s="64"/>
      <c r="W179" s="64"/>
      <c r="X179" s="64"/>
      <c r="Y179" s="64"/>
      <c r="Z179" s="64"/>
      <c r="AA179" s="64"/>
      <c r="AB179" s="64"/>
      <c r="AC179" s="64"/>
      <c r="AD179" s="64"/>
      <c r="AE179" s="64"/>
      <c r="AF179" s="64"/>
      <c r="AG179" s="64"/>
      <c r="AH179" s="64"/>
    </row>
    <row r="180">
      <c r="A180" s="64"/>
      <c r="B180" s="64"/>
      <c r="C180" s="64"/>
      <c r="D180" s="64"/>
      <c r="E180" s="64"/>
      <c r="F180" s="64"/>
      <c r="G180" s="64"/>
      <c r="H180" s="64"/>
      <c r="I180" s="64"/>
      <c r="J180" s="64"/>
      <c r="K180" s="64"/>
      <c r="L180" s="64"/>
      <c r="M180" s="64"/>
      <c r="N180" s="64"/>
      <c r="O180" s="64"/>
      <c r="P180" s="64"/>
      <c r="Q180" s="64"/>
      <c r="R180" s="64"/>
      <c r="S180" s="64"/>
      <c r="T180" s="64"/>
      <c r="U180" s="64"/>
      <c r="V180" s="64"/>
      <c r="W180" s="64"/>
      <c r="X180" s="64"/>
      <c r="Y180" s="64"/>
      <c r="Z180" s="64"/>
      <c r="AA180" s="64"/>
      <c r="AB180" s="64"/>
      <c r="AC180" s="64"/>
      <c r="AD180" s="64"/>
      <c r="AE180" s="64"/>
      <c r="AF180" s="64"/>
      <c r="AG180" s="64"/>
      <c r="AH180" s="64"/>
    </row>
    <row r="181">
      <c r="A181" s="64"/>
      <c r="B181" s="64"/>
      <c r="C181" s="64"/>
      <c r="D181" s="64"/>
      <c r="E181" s="64"/>
      <c r="F181" s="64"/>
      <c r="G181" s="64"/>
      <c r="H181" s="64"/>
      <c r="I181" s="64"/>
      <c r="J181" s="64"/>
      <c r="K181" s="64"/>
      <c r="L181" s="64"/>
      <c r="M181" s="64"/>
      <c r="N181" s="64"/>
      <c r="O181" s="64"/>
      <c r="P181" s="64"/>
      <c r="Q181" s="64"/>
      <c r="R181" s="64"/>
      <c r="S181" s="64"/>
      <c r="T181" s="64"/>
      <c r="U181" s="64"/>
      <c r="V181" s="64"/>
      <c r="W181" s="64"/>
      <c r="X181" s="64"/>
      <c r="Y181" s="64"/>
      <c r="Z181" s="64"/>
      <c r="AA181" s="64"/>
      <c r="AB181" s="64"/>
      <c r="AC181" s="64"/>
      <c r="AD181" s="64"/>
      <c r="AE181" s="64"/>
      <c r="AF181" s="64"/>
      <c r="AG181" s="64"/>
      <c r="AH181" s="64"/>
    </row>
    <row r="182">
      <c r="A182" s="64"/>
      <c r="B182" s="64"/>
      <c r="C182" s="64"/>
      <c r="D182" s="64"/>
      <c r="E182" s="64"/>
      <c r="F182" s="64"/>
      <c r="G182" s="64"/>
      <c r="H182" s="64"/>
      <c r="I182" s="64"/>
      <c r="J182" s="64"/>
      <c r="K182" s="64"/>
      <c r="L182" s="64"/>
      <c r="M182" s="64"/>
      <c r="N182" s="64"/>
      <c r="O182" s="64"/>
      <c r="P182" s="64"/>
      <c r="Q182" s="64"/>
      <c r="R182" s="64"/>
      <c r="S182" s="64"/>
      <c r="T182" s="64"/>
      <c r="U182" s="64"/>
      <c r="V182" s="64"/>
      <c r="W182" s="64"/>
      <c r="X182" s="64"/>
      <c r="Y182" s="64"/>
      <c r="Z182" s="64"/>
      <c r="AA182" s="64"/>
      <c r="AB182" s="64"/>
      <c r="AC182" s="64"/>
      <c r="AD182" s="64"/>
      <c r="AE182" s="64"/>
      <c r="AF182" s="64"/>
      <c r="AG182" s="64"/>
      <c r="AH182" s="64"/>
    </row>
    <row r="183">
      <c r="A183" s="64"/>
      <c r="B183" s="64"/>
      <c r="C183" s="64"/>
      <c r="D183" s="64"/>
      <c r="E183" s="64"/>
      <c r="F183" s="64"/>
      <c r="G183" s="64"/>
      <c r="H183" s="64"/>
      <c r="I183" s="64"/>
      <c r="J183" s="64"/>
      <c r="K183" s="64"/>
      <c r="L183" s="64"/>
      <c r="M183" s="64"/>
      <c r="N183" s="64"/>
      <c r="O183" s="64"/>
      <c r="P183" s="64"/>
      <c r="Q183" s="64"/>
      <c r="R183" s="64"/>
      <c r="S183" s="64"/>
      <c r="T183" s="64"/>
      <c r="U183" s="64"/>
      <c r="V183" s="64"/>
      <c r="W183" s="64"/>
      <c r="X183" s="64"/>
      <c r="Y183" s="64"/>
      <c r="Z183" s="64"/>
      <c r="AA183" s="64"/>
      <c r="AB183" s="64"/>
      <c r="AC183" s="64"/>
      <c r="AD183" s="64"/>
      <c r="AE183" s="64"/>
      <c r="AF183" s="64"/>
      <c r="AG183" s="64"/>
      <c r="AH183" s="64"/>
    </row>
    <row r="184">
      <c r="A184" s="64"/>
      <c r="B184" s="64"/>
      <c r="C184" s="64"/>
      <c r="D184" s="64"/>
      <c r="E184" s="64"/>
      <c r="F184" s="64"/>
      <c r="G184" s="64"/>
      <c r="H184" s="64"/>
      <c r="I184" s="64"/>
      <c r="J184" s="64"/>
      <c r="K184" s="64"/>
      <c r="L184" s="64"/>
      <c r="M184" s="64"/>
      <c r="N184" s="64"/>
      <c r="O184" s="64"/>
      <c r="P184" s="64"/>
      <c r="Q184" s="64"/>
      <c r="R184" s="64"/>
      <c r="S184" s="64"/>
      <c r="T184" s="64"/>
      <c r="U184" s="64"/>
      <c r="V184" s="64"/>
      <c r="W184" s="64"/>
      <c r="X184" s="64"/>
      <c r="Y184" s="64"/>
      <c r="Z184" s="64"/>
      <c r="AA184" s="64"/>
      <c r="AB184" s="64"/>
      <c r="AC184" s="64"/>
      <c r="AD184" s="64"/>
      <c r="AE184" s="64"/>
      <c r="AF184" s="64"/>
      <c r="AG184" s="64"/>
      <c r="AH184" s="64"/>
    </row>
    <row r="185">
      <c r="A185" s="64"/>
      <c r="B185" s="64"/>
      <c r="C185" s="64"/>
      <c r="D185" s="64"/>
      <c r="E185" s="64"/>
      <c r="F185" s="64"/>
      <c r="G185" s="64"/>
      <c r="H185" s="64"/>
      <c r="I185" s="64"/>
      <c r="J185" s="64"/>
      <c r="K185" s="64"/>
      <c r="L185" s="64"/>
      <c r="M185" s="64"/>
      <c r="N185" s="64"/>
      <c r="O185" s="64"/>
      <c r="P185" s="64"/>
      <c r="Q185" s="64"/>
      <c r="R185" s="64"/>
      <c r="S185" s="64"/>
      <c r="T185" s="64"/>
      <c r="U185" s="64"/>
      <c r="V185" s="64"/>
      <c r="W185" s="64"/>
      <c r="X185" s="64"/>
      <c r="Y185" s="64"/>
      <c r="Z185" s="64"/>
      <c r="AA185" s="64"/>
      <c r="AB185" s="64"/>
      <c r="AC185" s="64"/>
      <c r="AD185" s="64"/>
      <c r="AE185" s="64"/>
      <c r="AF185" s="64"/>
      <c r="AG185" s="64"/>
      <c r="AH185" s="64"/>
    </row>
    <row r="186">
      <c r="A186" s="64"/>
      <c r="B186" s="64"/>
      <c r="C186" s="64"/>
      <c r="D186" s="64"/>
      <c r="E186" s="64"/>
      <c r="F186" s="64"/>
      <c r="G186" s="64"/>
      <c r="H186" s="64"/>
      <c r="I186" s="64"/>
      <c r="J186" s="64"/>
      <c r="K186" s="64"/>
      <c r="L186" s="64"/>
      <c r="M186" s="64"/>
      <c r="N186" s="64"/>
      <c r="O186" s="64"/>
      <c r="P186" s="64"/>
      <c r="Q186" s="64"/>
      <c r="R186" s="64"/>
      <c r="S186" s="64"/>
      <c r="T186" s="64"/>
      <c r="U186" s="64"/>
      <c r="V186" s="64"/>
      <c r="W186" s="64"/>
      <c r="X186" s="64"/>
      <c r="Y186" s="64"/>
      <c r="Z186" s="64"/>
      <c r="AA186" s="64"/>
      <c r="AB186" s="64"/>
      <c r="AC186" s="64"/>
      <c r="AD186" s="64"/>
      <c r="AE186" s="64"/>
      <c r="AF186" s="64"/>
      <c r="AG186" s="64"/>
      <c r="AH186" s="64"/>
    </row>
    <row r="187">
      <c r="A187" s="64"/>
      <c r="B187" s="64"/>
      <c r="C187" s="64"/>
      <c r="D187" s="64"/>
      <c r="E187" s="64"/>
      <c r="F187" s="64"/>
      <c r="G187" s="64"/>
      <c r="H187" s="64"/>
      <c r="I187" s="64"/>
      <c r="J187" s="64"/>
      <c r="K187" s="64"/>
      <c r="L187" s="64"/>
      <c r="M187" s="64"/>
      <c r="N187" s="64"/>
      <c r="O187" s="64"/>
      <c r="P187" s="64"/>
      <c r="Q187" s="64"/>
      <c r="R187" s="64"/>
      <c r="S187" s="64"/>
      <c r="T187" s="64"/>
      <c r="U187" s="64"/>
      <c r="V187" s="64"/>
      <c r="W187" s="64"/>
      <c r="X187" s="64"/>
      <c r="Y187" s="64"/>
      <c r="Z187" s="64"/>
      <c r="AA187" s="64"/>
      <c r="AB187" s="64"/>
      <c r="AC187" s="64"/>
      <c r="AD187" s="64"/>
      <c r="AE187" s="64"/>
      <c r="AF187" s="64"/>
      <c r="AG187" s="64"/>
      <c r="AH187" s="64"/>
    </row>
    <row r="188">
      <c r="A188" s="64"/>
      <c r="B188" s="64"/>
      <c r="C188" s="64"/>
      <c r="D188" s="64"/>
      <c r="E188" s="64"/>
      <c r="F188" s="64"/>
      <c r="G188" s="64"/>
      <c r="H188" s="64"/>
      <c r="I188" s="64"/>
      <c r="J188" s="64"/>
      <c r="K188" s="64"/>
      <c r="L188" s="64"/>
      <c r="M188" s="64"/>
      <c r="N188" s="64"/>
      <c r="O188" s="64"/>
      <c r="P188" s="64"/>
      <c r="Q188" s="64"/>
      <c r="R188" s="64"/>
      <c r="S188" s="64"/>
      <c r="T188" s="64"/>
      <c r="U188" s="64"/>
      <c r="V188" s="64"/>
      <c r="W188" s="64"/>
      <c r="X188" s="64"/>
      <c r="Y188" s="64"/>
      <c r="Z188" s="64"/>
      <c r="AA188" s="64"/>
      <c r="AB188" s="64"/>
      <c r="AC188" s="64"/>
      <c r="AD188" s="64"/>
      <c r="AE188" s="64"/>
      <c r="AF188" s="64"/>
      <c r="AG188" s="64"/>
      <c r="AH188" s="64"/>
    </row>
    <row r="189">
      <c r="A189" s="64"/>
      <c r="B189" s="64"/>
      <c r="C189" s="64"/>
      <c r="D189" s="64"/>
      <c r="E189" s="64"/>
      <c r="F189" s="64"/>
      <c r="G189" s="64"/>
      <c r="H189" s="64"/>
      <c r="I189" s="64"/>
      <c r="J189" s="64"/>
      <c r="K189" s="64"/>
      <c r="L189" s="64"/>
      <c r="M189" s="64"/>
      <c r="N189" s="64"/>
      <c r="O189" s="64"/>
      <c r="P189" s="64"/>
      <c r="Q189" s="64"/>
      <c r="R189" s="64"/>
      <c r="S189" s="64"/>
      <c r="T189" s="64"/>
      <c r="U189" s="64"/>
      <c r="V189" s="64"/>
      <c r="W189" s="64"/>
      <c r="X189" s="64"/>
      <c r="Y189" s="64"/>
      <c r="Z189" s="64"/>
      <c r="AA189" s="64"/>
      <c r="AB189" s="64"/>
      <c r="AC189" s="64"/>
      <c r="AD189" s="64"/>
      <c r="AE189" s="64"/>
      <c r="AF189" s="64"/>
      <c r="AG189" s="64"/>
      <c r="AH189" s="64"/>
    </row>
    <row r="190">
      <c r="A190" s="64"/>
      <c r="B190" s="64"/>
      <c r="C190" s="64"/>
      <c r="D190" s="64"/>
      <c r="E190" s="64"/>
      <c r="F190" s="64"/>
      <c r="G190" s="64"/>
      <c r="H190" s="64"/>
      <c r="I190" s="64"/>
      <c r="J190" s="64"/>
      <c r="K190" s="64"/>
      <c r="L190" s="64"/>
      <c r="M190" s="64"/>
      <c r="N190" s="64"/>
      <c r="O190" s="64"/>
      <c r="P190" s="64"/>
      <c r="Q190" s="64"/>
      <c r="R190" s="64"/>
      <c r="S190" s="64"/>
      <c r="T190" s="64"/>
      <c r="U190" s="64"/>
      <c r="V190" s="64"/>
      <c r="W190" s="64"/>
      <c r="X190" s="64"/>
      <c r="Y190" s="64"/>
      <c r="Z190" s="64"/>
      <c r="AA190" s="64"/>
      <c r="AB190" s="64"/>
      <c r="AC190" s="64"/>
      <c r="AD190" s="64"/>
      <c r="AE190" s="64"/>
      <c r="AF190" s="64"/>
      <c r="AG190" s="64"/>
      <c r="AH190" s="64"/>
    </row>
    <row r="191">
      <c r="A191" s="64"/>
      <c r="B191" s="64"/>
      <c r="C191" s="64"/>
      <c r="D191" s="64"/>
      <c r="E191" s="64"/>
      <c r="F191" s="64"/>
      <c r="G191" s="64"/>
      <c r="H191" s="64"/>
      <c r="I191" s="64"/>
      <c r="J191" s="64"/>
      <c r="K191" s="64"/>
      <c r="L191" s="64"/>
      <c r="M191" s="64"/>
      <c r="N191" s="64"/>
      <c r="O191" s="64"/>
      <c r="P191" s="64"/>
      <c r="Q191" s="64"/>
      <c r="R191" s="64"/>
      <c r="S191" s="64"/>
      <c r="T191" s="64"/>
      <c r="U191" s="64"/>
      <c r="V191" s="64"/>
      <c r="W191" s="64"/>
      <c r="X191" s="64"/>
      <c r="Y191" s="64"/>
      <c r="Z191" s="64"/>
      <c r="AA191" s="64"/>
      <c r="AB191" s="64"/>
      <c r="AC191" s="64"/>
      <c r="AD191" s="64"/>
      <c r="AE191" s="64"/>
      <c r="AF191" s="64"/>
      <c r="AG191" s="64"/>
      <c r="AH191" s="64"/>
    </row>
    <row r="192">
      <c r="A192" s="64"/>
      <c r="B192" s="64"/>
      <c r="C192" s="64"/>
      <c r="D192" s="64"/>
      <c r="E192" s="64"/>
      <c r="F192" s="64"/>
      <c r="G192" s="64"/>
      <c r="H192" s="64"/>
      <c r="I192" s="64"/>
      <c r="J192" s="64"/>
      <c r="K192" s="64"/>
      <c r="L192" s="64"/>
      <c r="M192" s="64"/>
      <c r="N192" s="64"/>
      <c r="O192" s="64"/>
      <c r="P192" s="64"/>
      <c r="Q192" s="64"/>
      <c r="R192" s="64"/>
      <c r="S192" s="64"/>
      <c r="T192" s="64"/>
      <c r="U192" s="64"/>
      <c r="V192" s="64"/>
      <c r="W192" s="64"/>
      <c r="X192" s="64"/>
      <c r="Y192" s="64"/>
      <c r="Z192" s="64"/>
      <c r="AA192" s="64"/>
      <c r="AB192" s="64"/>
      <c r="AC192" s="64"/>
      <c r="AD192" s="64"/>
      <c r="AE192" s="64"/>
      <c r="AF192" s="64"/>
      <c r="AG192" s="64"/>
      <c r="AH192" s="64"/>
    </row>
    <row r="193">
      <c r="A193" s="64"/>
      <c r="B193" s="64"/>
      <c r="C193" s="64"/>
      <c r="D193" s="64"/>
      <c r="E193" s="64"/>
      <c r="F193" s="64"/>
      <c r="G193" s="64"/>
      <c r="H193" s="64"/>
      <c r="I193" s="64"/>
      <c r="J193" s="64"/>
      <c r="K193" s="64"/>
      <c r="L193" s="64"/>
      <c r="M193" s="64"/>
      <c r="N193" s="64"/>
      <c r="O193" s="64"/>
      <c r="P193" s="64"/>
      <c r="Q193" s="64"/>
      <c r="R193" s="64"/>
      <c r="S193" s="64"/>
      <c r="T193" s="64"/>
      <c r="U193" s="64"/>
      <c r="V193" s="64"/>
      <c r="W193" s="64"/>
      <c r="X193" s="64"/>
      <c r="Y193" s="64"/>
      <c r="Z193" s="64"/>
      <c r="AA193" s="64"/>
      <c r="AB193" s="64"/>
      <c r="AC193" s="64"/>
      <c r="AD193" s="64"/>
      <c r="AE193" s="64"/>
      <c r="AF193" s="64"/>
      <c r="AG193" s="64"/>
      <c r="AH193" s="64"/>
    </row>
    <row r="194">
      <c r="A194" s="64"/>
      <c r="B194" s="64"/>
      <c r="C194" s="64"/>
      <c r="D194" s="64"/>
      <c r="E194" s="64"/>
      <c r="F194" s="64"/>
      <c r="G194" s="64"/>
      <c r="H194" s="64"/>
      <c r="I194" s="64"/>
      <c r="J194" s="64"/>
      <c r="K194" s="64"/>
      <c r="L194" s="64"/>
      <c r="M194" s="64"/>
      <c r="N194" s="64"/>
      <c r="O194" s="64"/>
      <c r="P194" s="64"/>
      <c r="Q194" s="64"/>
      <c r="R194" s="64"/>
      <c r="S194" s="64"/>
      <c r="T194" s="64"/>
      <c r="U194" s="64"/>
      <c r="V194" s="64"/>
      <c r="W194" s="64"/>
      <c r="X194" s="64"/>
      <c r="Y194" s="64"/>
      <c r="Z194" s="64"/>
      <c r="AA194" s="64"/>
      <c r="AB194" s="64"/>
      <c r="AC194" s="64"/>
      <c r="AD194" s="64"/>
      <c r="AE194" s="64"/>
      <c r="AF194" s="64"/>
      <c r="AG194" s="64"/>
      <c r="AH194" s="64"/>
    </row>
    <row r="195">
      <c r="A195" s="64"/>
      <c r="B195" s="64"/>
      <c r="C195" s="64"/>
      <c r="D195" s="64"/>
      <c r="E195" s="64"/>
      <c r="F195" s="64"/>
      <c r="G195" s="64"/>
      <c r="H195" s="64"/>
      <c r="I195" s="64"/>
      <c r="J195" s="64"/>
      <c r="K195" s="64"/>
      <c r="L195" s="64"/>
      <c r="M195" s="64"/>
      <c r="N195" s="64"/>
      <c r="O195" s="64"/>
      <c r="P195" s="64"/>
      <c r="Q195" s="64"/>
      <c r="R195" s="64"/>
      <c r="S195" s="64"/>
      <c r="T195" s="64"/>
      <c r="U195" s="64"/>
      <c r="V195" s="64"/>
      <c r="W195" s="64"/>
      <c r="X195" s="64"/>
      <c r="Y195" s="64"/>
      <c r="Z195" s="64"/>
      <c r="AA195" s="64"/>
      <c r="AB195" s="64"/>
      <c r="AC195" s="64"/>
      <c r="AD195" s="64"/>
      <c r="AE195" s="64"/>
      <c r="AF195" s="64"/>
      <c r="AG195" s="64"/>
      <c r="AH195" s="64"/>
    </row>
    <row r="196">
      <c r="A196" s="64"/>
      <c r="B196" s="64"/>
      <c r="C196" s="64"/>
      <c r="D196" s="64"/>
      <c r="E196" s="64"/>
      <c r="F196" s="64"/>
      <c r="G196" s="64"/>
      <c r="H196" s="64"/>
      <c r="I196" s="64"/>
      <c r="J196" s="64"/>
      <c r="K196" s="64"/>
      <c r="L196" s="64"/>
      <c r="M196" s="64"/>
      <c r="N196" s="64"/>
      <c r="O196" s="64"/>
      <c r="P196" s="64"/>
      <c r="Q196" s="64"/>
      <c r="R196" s="64"/>
      <c r="S196" s="64"/>
      <c r="T196" s="64"/>
      <c r="U196" s="64"/>
      <c r="V196" s="64"/>
      <c r="W196" s="64"/>
      <c r="X196" s="64"/>
      <c r="Y196" s="64"/>
      <c r="Z196" s="64"/>
      <c r="AA196" s="64"/>
      <c r="AB196" s="64"/>
      <c r="AC196" s="64"/>
      <c r="AD196" s="64"/>
      <c r="AE196" s="64"/>
      <c r="AF196" s="64"/>
      <c r="AG196" s="64"/>
      <c r="AH196" s="64"/>
    </row>
    <row r="197">
      <c r="A197" s="64"/>
      <c r="B197" s="64"/>
      <c r="C197" s="64"/>
      <c r="D197" s="64"/>
      <c r="E197" s="64"/>
      <c r="F197" s="64"/>
      <c r="G197" s="64"/>
      <c r="H197" s="64"/>
      <c r="I197" s="64"/>
      <c r="J197" s="64"/>
      <c r="K197" s="64"/>
      <c r="L197" s="64"/>
      <c r="M197" s="64"/>
      <c r="N197" s="64"/>
      <c r="O197" s="64"/>
      <c r="P197" s="64"/>
      <c r="Q197" s="64"/>
      <c r="R197" s="64"/>
      <c r="S197" s="64"/>
      <c r="T197" s="64"/>
      <c r="U197" s="64"/>
      <c r="V197" s="64"/>
      <c r="W197" s="64"/>
      <c r="X197" s="64"/>
      <c r="Y197" s="64"/>
      <c r="Z197" s="64"/>
      <c r="AA197" s="64"/>
      <c r="AB197" s="64"/>
      <c r="AC197" s="64"/>
      <c r="AD197" s="64"/>
      <c r="AE197" s="64"/>
      <c r="AF197" s="64"/>
      <c r="AG197" s="64"/>
      <c r="AH197" s="64"/>
    </row>
    <row r="198">
      <c r="A198" s="64"/>
      <c r="B198" s="64"/>
      <c r="C198" s="64"/>
      <c r="D198" s="64"/>
      <c r="E198" s="64"/>
      <c r="F198" s="64"/>
      <c r="G198" s="64"/>
      <c r="H198" s="64"/>
      <c r="I198" s="64"/>
      <c r="J198" s="64"/>
      <c r="K198" s="64"/>
      <c r="L198" s="64"/>
      <c r="M198" s="64"/>
      <c r="N198" s="64"/>
      <c r="O198" s="64"/>
      <c r="P198" s="64"/>
      <c r="Q198" s="64"/>
      <c r="R198" s="64"/>
      <c r="S198" s="64"/>
      <c r="T198" s="64"/>
      <c r="U198" s="64"/>
      <c r="V198" s="64"/>
      <c r="W198" s="64"/>
      <c r="X198" s="64"/>
      <c r="Y198" s="64"/>
      <c r="Z198" s="64"/>
      <c r="AA198" s="64"/>
      <c r="AB198" s="64"/>
      <c r="AC198" s="64"/>
      <c r="AD198" s="64"/>
      <c r="AE198" s="64"/>
      <c r="AF198" s="64"/>
      <c r="AG198" s="64"/>
      <c r="AH198" s="64"/>
    </row>
    <row r="199">
      <c r="A199" s="64"/>
      <c r="B199" s="64"/>
      <c r="C199" s="64"/>
      <c r="D199" s="64"/>
      <c r="E199" s="64"/>
      <c r="F199" s="64"/>
      <c r="G199" s="64"/>
      <c r="H199" s="64"/>
      <c r="I199" s="64"/>
      <c r="J199" s="64"/>
      <c r="K199" s="64"/>
      <c r="L199" s="64"/>
      <c r="M199" s="64"/>
      <c r="N199" s="64"/>
      <c r="O199" s="64"/>
      <c r="P199" s="64"/>
      <c r="Q199" s="64"/>
      <c r="R199" s="64"/>
      <c r="S199" s="64"/>
      <c r="T199" s="64"/>
      <c r="U199" s="64"/>
      <c r="V199" s="64"/>
      <c r="W199" s="64"/>
      <c r="X199" s="64"/>
      <c r="Y199" s="64"/>
      <c r="Z199" s="64"/>
      <c r="AA199" s="64"/>
      <c r="AB199" s="64"/>
      <c r="AC199" s="64"/>
      <c r="AD199" s="64"/>
      <c r="AE199" s="64"/>
      <c r="AF199" s="64"/>
      <c r="AG199" s="64"/>
      <c r="AH199" s="64"/>
    </row>
    <row r="200">
      <c r="A200" s="64"/>
      <c r="B200" s="64"/>
      <c r="C200" s="64"/>
      <c r="D200" s="64"/>
      <c r="E200" s="64"/>
      <c r="F200" s="64"/>
      <c r="G200" s="64"/>
      <c r="H200" s="64"/>
      <c r="I200" s="64"/>
      <c r="J200" s="64"/>
      <c r="K200" s="64"/>
      <c r="L200" s="64"/>
      <c r="M200" s="64"/>
      <c r="N200" s="64"/>
      <c r="O200" s="64"/>
      <c r="P200" s="64"/>
      <c r="Q200" s="64"/>
      <c r="R200" s="64"/>
      <c r="S200" s="64"/>
      <c r="T200" s="64"/>
      <c r="U200" s="64"/>
      <c r="V200" s="64"/>
      <c r="W200" s="64"/>
      <c r="X200" s="64"/>
      <c r="Y200" s="64"/>
      <c r="Z200" s="64"/>
      <c r="AA200" s="64"/>
      <c r="AB200" s="64"/>
      <c r="AC200" s="64"/>
      <c r="AD200" s="64"/>
      <c r="AE200" s="64"/>
      <c r="AF200" s="64"/>
      <c r="AG200" s="64"/>
      <c r="AH200" s="64"/>
    </row>
    <row r="201">
      <c r="A201" s="64"/>
      <c r="B201" s="64"/>
      <c r="C201" s="64"/>
      <c r="D201" s="64"/>
      <c r="E201" s="64"/>
      <c r="F201" s="64"/>
      <c r="G201" s="64"/>
      <c r="H201" s="64"/>
      <c r="I201" s="64"/>
      <c r="J201" s="64"/>
      <c r="K201" s="64"/>
      <c r="L201" s="64"/>
      <c r="M201" s="64"/>
      <c r="N201" s="64"/>
      <c r="O201" s="64"/>
      <c r="P201" s="64"/>
      <c r="Q201" s="64"/>
      <c r="R201" s="64"/>
      <c r="S201" s="64"/>
      <c r="T201" s="64"/>
      <c r="U201" s="64"/>
      <c r="V201" s="64"/>
      <c r="W201" s="64"/>
      <c r="X201" s="64"/>
      <c r="Y201" s="64"/>
      <c r="Z201" s="64"/>
      <c r="AA201" s="64"/>
      <c r="AB201" s="64"/>
      <c r="AC201" s="64"/>
      <c r="AD201" s="64"/>
      <c r="AE201" s="64"/>
      <c r="AF201" s="64"/>
      <c r="AG201" s="64"/>
      <c r="AH201" s="64"/>
    </row>
    <row r="202">
      <c r="A202" s="64"/>
      <c r="B202" s="64"/>
      <c r="C202" s="64"/>
      <c r="D202" s="64"/>
      <c r="E202" s="64"/>
      <c r="F202" s="64"/>
      <c r="G202" s="64"/>
      <c r="H202" s="64"/>
      <c r="I202" s="64"/>
      <c r="J202" s="64"/>
      <c r="K202" s="64"/>
      <c r="L202" s="64"/>
      <c r="M202" s="64"/>
      <c r="N202" s="64"/>
      <c r="O202" s="64"/>
      <c r="P202" s="64"/>
      <c r="Q202" s="64"/>
      <c r="R202" s="64"/>
      <c r="S202" s="64"/>
      <c r="T202" s="64"/>
      <c r="U202" s="64"/>
      <c r="V202" s="64"/>
      <c r="W202" s="64"/>
      <c r="X202" s="64"/>
      <c r="Y202" s="64"/>
      <c r="Z202" s="64"/>
      <c r="AA202" s="64"/>
      <c r="AB202" s="64"/>
      <c r="AC202" s="64"/>
      <c r="AD202" s="64"/>
      <c r="AE202" s="64"/>
      <c r="AF202" s="64"/>
      <c r="AG202" s="64"/>
      <c r="AH202" s="64"/>
    </row>
    <row r="203">
      <c r="A203" s="64"/>
      <c r="B203" s="64"/>
      <c r="C203" s="64"/>
      <c r="D203" s="64"/>
      <c r="E203" s="64"/>
      <c r="F203" s="64"/>
      <c r="G203" s="64"/>
      <c r="H203" s="64"/>
      <c r="I203" s="64"/>
      <c r="J203" s="64"/>
      <c r="K203" s="64"/>
      <c r="L203" s="64"/>
      <c r="M203" s="64"/>
      <c r="N203" s="64"/>
      <c r="O203" s="64"/>
      <c r="P203" s="64"/>
      <c r="Q203" s="64"/>
      <c r="R203" s="64"/>
      <c r="S203" s="64"/>
      <c r="T203" s="64"/>
      <c r="U203" s="64"/>
      <c r="V203" s="64"/>
      <c r="W203" s="64"/>
      <c r="X203" s="64"/>
      <c r="Y203" s="64"/>
      <c r="Z203" s="64"/>
      <c r="AA203" s="64"/>
      <c r="AB203" s="64"/>
      <c r="AC203" s="64"/>
      <c r="AD203" s="64"/>
      <c r="AE203" s="64"/>
      <c r="AF203" s="64"/>
      <c r="AG203" s="64"/>
      <c r="AH203" s="64"/>
    </row>
    <row r="204">
      <c r="A204" s="64"/>
      <c r="B204" s="64"/>
      <c r="C204" s="64"/>
      <c r="D204" s="64"/>
      <c r="E204" s="64"/>
      <c r="F204" s="64"/>
      <c r="G204" s="64"/>
      <c r="H204" s="64"/>
      <c r="I204" s="64"/>
      <c r="J204" s="64"/>
      <c r="K204" s="64"/>
      <c r="L204" s="64"/>
      <c r="M204" s="64"/>
      <c r="N204" s="64"/>
      <c r="O204" s="64"/>
      <c r="P204" s="64"/>
      <c r="Q204" s="64"/>
      <c r="R204" s="64"/>
      <c r="S204" s="64"/>
      <c r="T204" s="64"/>
      <c r="U204" s="64"/>
      <c r="V204" s="64"/>
      <c r="W204" s="64"/>
      <c r="X204" s="64"/>
      <c r="Y204" s="64"/>
      <c r="Z204" s="64"/>
      <c r="AA204" s="64"/>
      <c r="AB204" s="64"/>
      <c r="AC204" s="64"/>
      <c r="AD204" s="64"/>
      <c r="AE204" s="64"/>
      <c r="AF204" s="64"/>
      <c r="AG204" s="64"/>
      <c r="AH204" s="64"/>
    </row>
    <row r="205">
      <c r="A205" s="64"/>
      <c r="B205" s="64"/>
      <c r="C205" s="64"/>
      <c r="D205" s="64"/>
      <c r="E205" s="64"/>
      <c r="F205" s="64"/>
      <c r="G205" s="64"/>
      <c r="H205" s="64"/>
      <c r="I205" s="64"/>
      <c r="J205" s="64"/>
      <c r="K205" s="64"/>
      <c r="L205" s="64"/>
      <c r="M205" s="64"/>
      <c r="N205" s="64"/>
      <c r="O205" s="64"/>
      <c r="P205" s="64"/>
      <c r="Q205" s="64"/>
      <c r="R205" s="64"/>
      <c r="S205" s="64"/>
      <c r="T205" s="64"/>
      <c r="U205" s="64"/>
      <c r="V205" s="64"/>
      <c r="W205" s="64"/>
      <c r="X205" s="64"/>
      <c r="Y205" s="64"/>
      <c r="Z205" s="64"/>
      <c r="AA205" s="64"/>
      <c r="AB205" s="64"/>
      <c r="AC205" s="64"/>
      <c r="AD205" s="64"/>
      <c r="AE205" s="64"/>
      <c r="AF205" s="64"/>
      <c r="AG205" s="64"/>
      <c r="AH205" s="64"/>
    </row>
    <row r="206">
      <c r="A206" s="64"/>
      <c r="B206" s="64"/>
      <c r="C206" s="64"/>
      <c r="D206" s="64"/>
      <c r="E206" s="64"/>
      <c r="F206" s="64"/>
      <c r="G206" s="64"/>
      <c r="H206" s="64"/>
      <c r="I206" s="64"/>
      <c r="J206" s="64"/>
      <c r="K206" s="64"/>
      <c r="L206" s="64"/>
      <c r="M206" s="64"/>
      <c r="N206" s="64"/>
      <c r="O206" s="64"/>
      <c r="P206" s="64"/>
      <c r="Q206" s="64"/>
      <c r="R206" s="64"/>
      <c r="S206" s="64"/>
      <c r="T206" s="64"/>
      <c r="U206" s="64"/>
      <c r="V206" s="64"/>
      <c r="W206" s="64"/>
      <c r="X206" s="64"/>
      <c r="Y206" s="64"/>
      <c r="Z206" s="64"/>
      <c r="AA206" s="64"/>
      <c r="AB206" s="64"/>
      <c r="AC206" s="64"/>
      <c r="AD206" s="64"/>
      <c r="AE206" s="64"/>
      <c r="AF206" s="64"/>
      <c r="AG206" s="64"/>
      <c r="AH206" s="64"/>
    </row>
    <row r="207">
      <c r="A207" s="64"/>
      <c r="B207" s="64"/>
      <c r="C207" s="64"/>
      <c r="D207" s="64"/>
      <c r="E207" s="64"/>
      <c r="F207" s="64"/>
      <c r="G207" s="64"/>
      <c r="H207" s="64"/>
      <c r="I207" s="64"/>
      <c r="J207" s="64"/>
      <c r="K207" s="64"/>
      <c r="L207" s="64"/>
      <c r="M207" s="64"/>
      <c r="N207" s="64"/>
      <c r="O207" s="64"/>
      <c r="P207" s="64"/>
      <c r="Q207" s="64"/>
      <c r="R207" s="64"/>
      <c r="S207" s="64"/>
      <c r="T207" s="64"/>
      <c r="U207" s="64"/>
      <c r="V207" s="64"/>
      <c r="W207" s="64"/>
      <c r="X207" s="64"/>
      <c r="Y207" s="64"/>
      <c r="Z207" s="64"/>
      <c r="AA207" s="64"/>
      <c r="AB207" s="64"/>
      <c r="AC207" s="64"/>
      <c r="AD207" s="64"/>
      <c r="AE207" s="64"/>
      <c r="AF207" s="64"/>
      <c r="AG207" s="64"/>
      <c r="AH207" s="64"/>
    </row>
    <row r="208">
      <c r="A208" s="64"/>
      <c r="B208" s="64"/>
      <c r="C208" s="64"/>
      <c r="D208" s="64"/>
      <c r="E208" s="64"/>
      <c r="F208" s="64"/>
      <c r="G208" s="64"/>
      <c r="H208" s="64"/>
      <c r="I208" s="64"/>
      <c r="J208" s="64"/>
      <c r="K208" s="64"/>
      <c r="L208" s="64"/>
      <c r="M208" s="64"/>
      <c r="N208" s="64"/>
      <c r="O208" s="64"/>
      <c r="P208" s="64"/>
      <c r="Q208" s="64"/>
      <c r="R208" s="64"/>
      <c r="S208" s="64"/>
      <c r="T208" s="64"/>
      <c r="U208" s="64"/>
      <c r="V208" s="64"/>
      <c r="W208" s="64"/>
      <c r="X208" s="64"/>
      <c r="Y208" s="64"/>
      <c r="Z208" s="64"/>
      <c r="AA208" s="64"/>
      <c r="AB208" s="64"/>
      <c r="AC208" s="64"/>
      <c r="AD208" s="64"/>
      <c r="AE208" s="64"/>
      <c r="AF208" s="64"/>
      <c r="AG208" s="64"/>
      <c r="AH208" s="64"/>
    </row>
    <row r="209">
      <c r="A209" s="64"/>
      <c r="B209" s="64"/>
      <c r="C209" s="64"/>
      <c r="D209" s="64"/>
      <c r="E209" s="64"/>
      <c r="F209" s="64"/>
      <c r="G209" s="64"/>
      <c r="H209" s="64"/>
      <c r="I209" s="64"/>
      <c r="J209" s="64"/>
      <c r="K209" s="64"/>
      <c r="L209" s="64"/>
      <c r="M209" s="64"/>
      <c r="N209" s="64"/>
      <c r="O209" s="64"/>
      <c r="P209" s="64"/>
      <c r="Q209" s="64"/>
      <c r="R209" s="64"/>
      <c r="S209" s="64"/>
      <c r="T209" s="64"/>
      <c r="U209" s="64"/>
      <c r="V209" s="64"/>
      <c r="W209" s="64"/>
      <c r="X209" s="64"/>
      <c r="Y209" s="64"/>
      <c r="Z209" s="64"/>
      <c r="AA209" s="64"/>
      <c r="AB209" s="64"/>
      <c r="AC209" s="64"/>
      <c r="AD209" s="64"/>
      <c r="AE209" s="64"/>
      <c r="AF209" s="64"/>
      <c r="AG209" s="64"/>
      <c r="AH209" s="64"/>
    </row>
    <row r="210">
      <c r="A210" s="64"/>
      <c r="B210" s="64"/>
      <c r="C210" s="64"/>
      <c r="D210" s="64"/>
      <c r="E210" s="64"/>
      <c r="F210" s="64"/>
      <c r="G210" s="64"/>
      <c r="H210" s="64"/>
      <c r="I210" s="64"/>
      <c r="J210" s="64"/>
      <c r="K210" s="64"/>
      <c r="L210" s="64"/>
      <c r="M210" s="64"/>
      <c r="N210" s="64"/>
      <c r="O210" s="64"/>
      <c r="P210" s="64"/>
      <c r="Q210" s="64"/>
      <c r="R210" s="64"/>
      <c r="S210" s="64"/>
      <c r="T210" s="64"/>
      <c r="U210" s="64"/>
      <c r="V210" s="64"/>
      <c r="W210" s="64"/>
      <c r="X210" s="64"/>
      <c r="Y210" s="64"/>
      <c r="Z210" s="64"/>
      <c r="AA210" s="64"/>
      <c r="AB210" s="64"/>
      <c r="AC210" s="64"/>
      <c r="AD210" s="64"/>
      <c r="AE210" s="64"/>
      <c r="AF210" s="64"/>
      <c r="AG210" s="64"/>
      <c r="AH210" s="64"/>
    </row>
    <row r="211">
      <c r="A211" s="64"/>
      <c r="B211" s="64"/>
      <c r="C211" s="64"/>
      <c r="D211" s="64"/>
      <c r="E211" s="64"/>
      <c r="F211" s="64"/>
      <c r="G211" s="64"/>
      <c r="H211" s="64"/>
      <c r="I211" s="64"/>
      <c r="J211" s="64"/>
      <c r="K211" s="64"/>
      <c r="L211" s="64"/>
      <c r="M211" s="64"/>
      <c r="N211" s="64"/>
      <c r="O211" s="64"/>
      <c r="P211" s="64"/>
      <c r="Q211" s="64"/>
      <c r="R211" s="64"/>
      <c r="S211" s="64"/>
      <c r="T211" s="64"/>
      <c r="U211" s="64"/>
      <c r="V211" s="64"/>
      <c r="W211" s="64"/>
      <c r="X211" s="64"/>
      <c r="Y211" s="64"/>
      <c r="Z211" s="64"/>
      <c r="AA211" s="64"/>
      <c r="AB211" s="64"/>
      <c r="AC211" s="64"/>
      <c r="AD211" s="64"/>
      <c r="AE211" s="64"/>
      <c r="AF211" s="64"/>
      <c r="AG211" s="64"/>
      <c r="AH211" s="64"/>
    </row>
    <row r="212">
      <c r="A212" s="64"/>
      <c r="B212" s="64"/>
      <c r="C212" s="64"/>
      <c r="D212" s="64"/>
      <c r="E212" s="64"/>
      <c r="F212" s="64"/>
      <c r="G212" s="64"/>
      <c r="H212" s="64"/>
      <c r="I212" s="64"/>
      <c r="J212" s="64"/>
      <c r="K212" s="64"/>
      <c r="L212" s="64"/>
      <c r="M212" s="64"/>
      <c r="N212" s="64"/>
      <c r="O212" s="64"/>
      <c r="P212" s="64"/>
      <c r="Q212" s="64"/>
      <c r="R212" s="64"/>
      <c r="S212" s="64"/>
      <c r="T212" s="64"/>
      <c r="U212" s="64"/>
      <c r="V212" s="64"/>
      <c r="W212" s="64"/>
      <c r="X212" s="64"/>
      <c r="Y212" s="64"/>
      <c r="Z212" s="64"/>
      <c r="AA212" s="64"/>
      <c r="AB212" s="64"/>
      <c r="AC212" s="64"/>
      <c r="AD212" s="64"/>
      <c r="AE212" s="64"/>
      <c r="AF212" s="64"/>
      <c r="AG212" s="64"/>
      <c r="AH212" s="64"/>
    </row>
    <row r="213">
      <c r="A213" s="64"/>
      <c r="B213" s="64"/>
      <c r="C213" s="64"/>
      <c r="D213" s="64"/>
      <c r="E213" s="64"/>
      <c r="F213" s="64"/>
      <c r="G213" s="64"/>
      <c r="H213" s="64"/>
      <c r="I213" s="64"/>
      <c r="J213" s="64"/>
      <c r="K213" s="64"/>
      <c r="L213" s="64"/>
      <c r="M213" s="64"/>
      <c r="N213" s="64"/>
      <c r="O213" s="64"/>
      <c r="P213" s="64"/>
      <c r="Q213" s="64"/>
      <c r="R213" s="64"/>
      <c r="S213" s="64"/>
      <c r="T213" s="64"/>
      <c r="U213" s="64"/>
      <c r="V213" s="64"/>
      <c r="W213" s="64"/>
      <c r="X213" s="64"/>
      <c r="Y213" s="64"/>
      <c r="Z213" s="64"/>
      <c r="AA213" s="64"/>
      <c r="AB213" s="64"/>
      <c r="AC213" s="64"/>
      <c r="AD213" s="64"/>
      <c r="AE213" s="64"/>
      <c r="AF213" s="64"/>
      <c r="AG213" s="64"/>
      <c r="AH213" s="64"/>
    </row>
    <row r="214">
      <c r="A214" s="64"/>
      <c r="B214" s="64"/>
      <c r="C214" s="64"/>
      <c r="D214" s="64"/>
      <c r="E214" s="64"/>
      <c r="F214" s="64"/>
      <c r="G214" s="64"/>
      <c r="H214" s="64"/>
      <c r="I214" s="64"/>
      <c r="J214" s="64"/>
      <c r="K214" s="64"/>
      <c r="L214" s="64"/>
      <c r="M214" s="64"/>
      <c r="N214" s="64"/>
      <c r="O214" s="64"/>
      <c r="P214" s="64"/>
      <c r="Q214" s="64"/>
      <c r="R214" s="64"/>
      <c r="S214" s="64"/>
      <c r="T214" s="64"/>
      <c r="U214" s="64"/>
      <c r="V214" s="64"/>
      <c r="W214" s="64"/>
      <c r="X214" s="64"/>
      <c r="Y214" s="64"/>
      <c r="Z214" s="64"/>
      <c r="AA214" s="64"/>
      <c r="AB214" s="64"/>
      <c r="AC214" s="64"/>
      <c r="AD214" s="64"/>
      <c r="AE214" s="64"/>
      <c r="AF214" s="64"/>
      <c r="AG214" s="64"/>
      <c r="AH214" s="64"/>
    </row>
    <row r="215">
      <c r="A215" s="64"/>
      <c r="B215" s="64"/>
      <c r="C215" s="64"/>
      <c r="D215" s="64"/>
      <c r="E215" s="64"/>
      <c r="F215" s="64"/>
      <c r="G215" s="64"/>
      <c r="H215" s="64"/>
      <c r="I215" s="64"/>
      <c r="J215" s="64"/>
      <c r="K215" s="64"/>
      <c r="L215" s="64"/>
      <c r="M215" s="64"/>
      <c r="N215" s="64"/>
      <c r="O215" s="64"/>
      <c r="P215" s="64"/>
      <c r="Q215" s="64"/>
      <c r="R215" s="64"/>
      <c r="S215" s="64"/>
      <c r="T215" s="64"/>
      <c r="U215" s="64"/>
      <c r="V215" s="64"/>
      <c r="W215" s="64"/>
      <c r="X215" s="64"/>
      <c r="Y215" s="64"/>
      <c r="Z215" s="64"/>
      <c r="AA215" s="64"/>
      <c r="AB215" s="64"/>
      <c r="AC215" s="64"/>
      <c r="AD215" s="64"/>
      <c r="AE215" s="64"/>
      <c r="AF215" s="64"/>
      <c r="AG215" s="64"/>
      <c r="AH215" s="64"/>
    </row>
    <row r="216">
      <c r="A216" s="64"/>
      <c r="B216" s="64"/>
      <c r="C216" s="64"/>
      <c r="D216" s="64"/>
      <c r="E216" s="64"/>
      <c r="F216" s="64"/>
      <c r="G216" s="64"/>
      <c r="H216" s="64"/>
      <c r="I216" s="64"/>
      <c r="J216" s="64"/>
      <c r="K216" s="64"/>
      <c r="L216" s="64"/>
      <c r="M216" s="64"/>
      <c r="N216" s="64"/>
      <c r="O216" s="64"/>
      <c r="P216" s="64"/>
      <c r="Q216" s="64"/>
      <c r="R216" s="64"/>
      <c r="S216" s="64"/>
      <c r="T216" s="64"/>
      <c r="U216" s="64"/>
      <c r="V216" s="64"/>
      <c r="W216" s="64"/>
      <c r="X216" s="64"/>
      <c r="Y216" s="64"/>
      <c r="Z216" s="64"/>
      <c r="AA216" s="64"/>
      <c r="AB216" s="64"/>
      <c r="AC216" s="64"/>
      <c r="AD216" s="64"/>
      <c r="AE216" s="64"/>
      <c r="AF216" s="64"/>
      <c r="AG216" s="64"/>
      <c r="AH216" s="64"/>
    </row>
    <row r="217">
      <c r="A217" s="64"/>
      <c r="B217" s="64"/>
      <c r="C217" s="64"/>
      <c r="D217" s="64"/>
      <c r="E217" s="64"/>
      <c r="F217" s="64"/>
      <c r="G217" s="64"/>
      <c r="H217" s="64"/>
      <c r="I217" s="64"/>
      <c r="J217" s="64"/>
      <c r="K217" s="64"/>
      <c r="L217" s="64"/>
      <c r="M217" s="64"/>
      <c r="N217" s="64"/>
      <c r="O217" s="64"/>
      <c r="P217" s="64"/>
      <c r="Q217" s="64"/>
      <c r="R217" s="64"/>
      <c r="S217" s="64"/>
      <c r="T217" s="64"/>
      <c r="U217" s="64"/>
      <c r="V217" s="64"/>
      <c r="W217" s="64"/>
      <c r="X217" s="64"/>
      <c r="Y217" s="64"/>
      <c r="Z217" s="64"/>
      <c r="AA217" s="64"/>
      <c r="AB217" s="64"/>
      <c r="AC217" s="64"/>
      <c r="AD217" s="64"/>
      <c r="AE217" s="64"/>
      <c r="AF217" s="64"/>
      <c r="AG217" s="64"/>
      <c r="AH217" s="64"/>
    </row>
    <row r="218">
      <c r="A218" s="64"/>
      <c r="B218" s="64"/>
      <c r="C218" s="64"/>
      <c r="D218" s="64"/>
      <c r="E218" s="64"/>
      <c r="F218" s="64"/>
      <c r="G218" s="64"/>
      <c r="H218" s="64"/>
      <c r="I218" s="64"/>
      <c r="J218" s="64"/>
      <c r="K218" s="64"/>
      <c r="L218" s="64"/>
      <c r="M218" s="64"/>
      <c r="N218" s="64"/>
      <c r="O218" s="64"/>
      <c r="P218" s="64"/>
      <c r="Q218" s="64"/>
      <c r="R218" s="64"/>
      <c r="S218" s="64"/>
      <c r="T218" s="64"/>
      <c r="U218" s="64"/>
      <c r="V218" s="64"/>
      <c r="W218" s="64"/>
      <c r="X218" s="64"/>
      <c r="Y218" s="64"/>
      <c r="Z218" s="64"/>
      <c r="AA218" s="64"/>
      <c r="AB218" s="64"/>
      <c r="AC218" s="64"/>
      <c r="AD218" s="64"/>
      <c r="AE218" s="64"/>
      <c r="AF218" s="64"/>
      <c r="AG218" s="64"/>
      <c r="AH218" s="64"/>
    </row>
    <row r="219">
      <c r="A219" s="64"/>
      <c r="B219" s="64"/>
      <c r="C219" s="64"/>
      <c r="D219" s="64"/>
      <c r="E219" s="64"/>
      <c r="F219" s="64"/>
      <c r="G219" s="64"/>
      <c r="H219" s="64"/>
      <c r="I219" s="64"/>
      <c r="J219" s="64"/>
      <c r="K219" s="64"/>
      <c r="L219" s="64"/>
      <c r="M219" s="64"/>
      <c r="N219" s="64"/>
      <c r="O219" s="64"/>
      <c r="P219" s="64"/>
      <c r="Q219" s="64"/>
      <c r="R219" s="64"/>
      <c r="S219" s="64"/>
      <c r="T219" s="64"/>
      <c r="U219" s="64"/>
      <c r="V219" s="64"/>
      <c r="W219" s="64"/>
      <c r="X219" s="64"/>
      <c r="Y219" s="64"/>
      <c r="Z219" s="64"/>
      <c r="AA219" s="64"/>
      <c r="AB219" s="64"/>
      <c r="AC219" s="64"/>
      <c r="AD219" s="64"/>
      <c r="AE219" s="64"/>
      <c r="AF219" s="64"/>
      <c r="AG219" s="64"/>
      <c r="AH219" s="64"/>
    </row>
    <row r="220">
      <c r="A220" s="64"/>
      <c r="B220" s="64"/>
      <c r="C220" s="64"/>
      <c r="D220" s="64"/>
      <c r="E220" s="64"/>
      <c r="F220" s="64"/>
      <c r="G220" s="64"/>
      <c r="H220" s="64"/>
      <c r="I220" s="64"/>
      <c r="J220" s="64"/>
      <c r="K220" s="64"/>
      <c r="L220" s="64"/>
      <c r="M220" s="64"/>
      <c r="N220" s="64"/>
      <c r="O220" s="64"/>
      <c r="P220" s="64"/>
      <c r="Q220" s="64"/>
      <c r="R220" s="64"/>
      <c r="S220" s="64"/>
      <c r="T220" s="64"/>
      <c r="U220" s="64"/>
      <c r="V220" s="64"/>
      <c r="W220" s="64"/>
      <c r="X220" s="64"/>
      <c r="Y220" s="64"/>
      <c r="Z220" s="64"/>
      <c r="AA220" s="64"/>
      <c r="AB220" s="64"/>
      <c r="AC220" s="64"/>
      <c r="AD220" s="64"/>
      <c r="AE220" s="64"/>
      <c r="AF220" s="64"/>
      <c r="AG220" s="64"/>
      <c r="AH220" s="64"/>
    </row>
    <row r="221">
      <c r="A221" s="64"/>
      <c r="B221" s="64"/>
      <c r="C221" s="64"/>
      <c r="D221" s="64"/>
      <c r="E221" s="64"/>
      <c r="F221" s="64"/>
      <c r="G221" s="64"/>
      <c r="H221" s="64"/>
      <c r="I221" s="64"/>
      <c r="J221" s="64"/>
      <c r="K221" s="64"/>
      <c r="L221" s="64"/>
      <c r="M221" s="64"/>
      <c r="N221" s="64"/>
      <c r="O221" s="64"/>
      <c r="P221" s="64"/>
      <c r="Q221" s="64"/>
      <c r="R221" s="64"/>
      <c r="S221" s="64"/>
      <c r="T221" s="64"/>
      <c r="U221" s="64"/>
      <c r="V221" s="64"/>
      <c r="W221" s="64"/>
      <c r="X221" s="64"/>
      <c r="Y221" s="64"/>
      <c r="Z221" s="64"/>
      <c r="AA221" s="64"/>
      <c r="AB221" s="64"/>
      <c r="AC221" s="64"/>
      <c r="AD221" s="64"/>
      <c r="AE221" s="64"/>
      <c r="AF221" s="64"/>
      <c r="AG221" s="64"/>
      <c r="AH221" s="64"/>
    </row>
    <row r="222">
      <c r="A222" s="64"/>
      <c r="B222" s="64"/>
      <c r="C222" s="64"/>
      <c r="D222" s="64"/>
      <c r="E222" s="64"/>
      <c r="F222" s="64"/>
      <c r="G222" s="64"/>
      <c r="H222" s="64"/>
      <c r="I222" s="64"/>
      <c r="J222" s="64"/>
      <c r="K222" s="64"/>
      <c r="L222" s="64"/>
      <c r="M222" s="64"/>
      <c r="N222" s="64"/>
      <c r="O222" s="64"/>
      <c r="P222" s="64"/>
      <c r="Q222" s="64"/>
      <c r="R222" s="64"/>
      <c r="S222" s="64"/>
      <c r="T222" s="64"/>
      <c r="U222" s="64"/>
      <c r="V222" s="64"/>
      <c r="W222" s="64"/>
      <c r="X222" s="64"/>
      <c r="Y222" s="64"/>
      <c r="Z222" s="64"/>
      <c r="AA222" s="64"/>
      <c r="AB222" s="64"/>
      <c r="AC222" s="64"/>
      <c r="AD222" s="64"/>
      <c r="AE222" s="64"/>
      <c r="AF222" s="64"/>
      <c r="AG222" s="64"/>
      <c r="AH222" s="64"/>
    </row>
    <row r="223">
      <c r="A223" s="64"/>
      <c r="B223" s="64"/>
      <c r="C223" s="64"/>
      <c r="D223" s="64"/>
      <c r="E223" s="64"/>
      <c r="F223" s="64"/>
      <c r="G223" s="64"/>
      <c r="H223" s="64"/>
      <c r="I223" s="64"/>
      <c r="J223" s="64"/>
      <c r="K223" s="64"/>
      <c r="L223" s="64"/>
      <c r="M223" s="64"/>
      <c r="N223" s="64"/>
      <c r="O223" s="64"/>
      <c r="P223" s="64"/>
      <c r="Q223" s="64"/>
      <c r="R223" s="64"/>
      <c r="S223" s="64"/>
      <c r="T223" s="64"/>
      <c r="U223" s="64"/>
      <c r="V223" s="64"/>
      <c r="W223" s="64"/>
      <c r="X223" s="64"/>
      <c r="Y223" s="64"/>
      <c r="Z223" s="64"/>
      <c r="AA223" s="64"/>
      <c r="AB223" s="64"/>
      <c r="AC223" s="64"/>
      <c r="AD223" s="64"/>
      <c r="AE223" s="64"/>
      <c r="AF223" s="64"/>
      <c r="AG223" s="64"/>
      <c r="AH223" s="64"/>
    </row>
    <row r="224">
      <c r="A224" s="64"/>
      <c r="B224" s="64"/>
      <c r="C224" s="64"/>
      <c r="D224" s="64"/>
      <c r="E224" s="64"/>
      <c r="F224" s="64"/>
      <c r="G224" s="64"/>
      <c r="H224" s="64"/>
      <c r="I224" s="64"/>
      <c r="J224" s="64"/>
      <c r="K224" s="64"/>
      <c r="L224" s="64"/>
      <c r="M224" s="64"/>
      <c r="N224" s="64"/>
      <c r="O224" s="64"/>
      <c r="P224" s="64"/>
      <c r="Q224" s="64"/>
      <c r="R224" s="64"/>
      <c r="S224" s="64"/>
      <c r="T224" s="64"/>
      <c r="U224" s="64"/>
      <c r="V224" s="64"/>
      <c r="W224" s="64"/>
      <c r="X224" s="64"/>
      <c r="Y224" s="64"/>
      <c r="Z224" s="64"/>
      <c r="AA224" s="64"/>
      <c r="AB224" s="64"/>
      <c r="AC224" s="64"/>
      <c r="AD224" s="64"/>
      <c r="AE224" s="64"/>
      <c r="AF224" s="64"/>
      <c r="AG224" s="64"/>
      <c r="AH224" s="64"/>
    </row>
    <row r="225">
      <c r="A225" s="64"/>
      <c r="B225" s="64"/>
      <c r="C225" s="64"/>
      <c r="D225" s="64"/>
      <c r="E225" s="64"/>
      <c r="F225" s="64"/>
      <c r="G225" s="64"/>
      <c r="H225" s="64"/>
      <c r="I225" s="64"/>
      <c r="J225" s="64"/>
      <c r="K225" s="64"/>
      <c r="L225" s="64"/>
      <c r="M225" s="64"/>
      <c r="N225" s="64"/>
      <c r="O225" s="64"/>
      <c r="P225" s="64"/>
      <c r="Q225" s="64"/>
      <c r="R225" s="64"/>
      <c r="S225" s="64"/>
      <c r="T225" s="64"/>
      <c r="U225" s="64"/>
      <c r="V225" s="64"/>
      <c r="W225" s="64"/>
      <c r="X225" s="64"/>
      <c r="Y225" s="64"/>
      <c r="Z225" s="64"/>
      <c r="AA225" s="64"/>
      <c r="AB225" s="64"/>
      <c r="AC225" s="64"/>
      <c r="AD225" s="64"/>
      <c r="AE225" s="64"/>
      <c r="AF225" s="64"/>
      <c r="AG225" s="64"/>
      <c r="AH225" s="64"/>
    </row>
    <row r="226">
      <c r="A226" s="64"/>
      <c r="B226" s="64"/>
      <c r="C226" s="64"/>
      <c r="D226" s="64"/>
      <c r="E226" s="64"/>
      <c r="F226" s="64"/>
      <c r="G226" s="64"/>
      <c r="H226" s="64"/>
      <c r="I226" s="64"/>
      <c r="J226" s="64"/>
      <c r="K226" s="64"/>
      <c r="L226" s="64"/>
      <c r="M226" s="64"/>
      <c r="N226" s="64"/>
      <c r="O226" s="64"/>
      <c r="P226" s="64"/>
      <c r="Q226" s="64"/>
      <c r="R226" s="64"/>
      <c r="S226" s="64"/>
      <c r="T226" s="64"/>
      <c r="U226" s="64"/>
      <c r="V226" s="64"/>
      <c r="W226" s="64"/>
      <c r="X226" s="64"/>
      <c r="Y226" s="64"/>
      <c r="Z226" s="64"/>
      <c r="AA226" s="64"/>
      <c r="AB226" s="64"/>
      <c r="AC226" s="64"/>
      <c r="AD226" s="64"/>
      <c r="AE226" s="64"/>
      <c r="AF226" s="64"/>
      <c r="AG226" s="64"/>
      <c r="AH226" s="64"/>
    </row>
    <row r="227">
      <c r="A227" s="64"/>
      <c r="B227" s="64"/>
      <c r="C227" s="64"/>
      <c r="D227" s="64"/>
      <c r="E227" s="64"/>
      <c r="F227" s="64"/>
      <c r="G227" s="64"/>
      <c r="H227" s="64"/>
      <c r="I227" s="64"/>
      <c r="J227" s="64"/>
      <c r="K227" s="64"/>
      <c r="L227" s="64"/>
      <c r="M227" s="64"/>
      <c r="N227" s="64"/>
      <c r="O227" s="64"/>
      <c r="P227" s="64"/>
      <c r="Q227" s="64"/>
      <c r="R227" s="64"/>
      <c r="S227" s="64"/>
      <c r="T227" s="64"/>
      <c r="U227" s="64"/>
      <c r="V227" s="64"/>
      <c r="W227" s="64"/>
      <c r="X227" s="64"/>
      <c r="Y227" s="64"/>
      <c r="Z227" s="64"/>
      <c r="AA227" s="64"/>
      <c r="AB227" s="64"/>
      <c r="AC227" s="64"/>
      <c r="AD227" s="64"/>
      <c r="AE227" s="64"/>
      <c r="AF227" s="64"/>
      <c r="AG227" s="64"/>
      <c r="AH227" s="64"/>
    </row>
    <row r="228">
      <c r="A228" s="64"/>
      <c r="B228" s="64"/>
      <c r="C228" s="64"/>
      <c r="D228" s="64"/>
      <c r="E228" s="64"/>
      <c r="F228" s="64"/>
      <c r="G228" s="64"/>
      <c r="H228" s="64"/>
      <c r="I228" s="64"/>
      <c r="J228" s="64"/>
      <c r="K228" s="64"/>
      <c r="L228" s="64"/>
      <c r="M228" s="64"/>
      <c r="N228" s="64"/>
      <c r="O228" s="64"/>
      <c r="P228" s="64"/>
      <c r="Q228" s="64"/>
      <c r="R228" s="64"/>
      <c r="S228" s="64"/>
      <c r="T228" s="64"/>
      <c r="U228" s="64"/>
      <c r="V228" s="64"/>
      <c r="W228" s="64"/>
      <c r="X228" s="64"/>
      <c r="Y228" s="64"/>
      <c r="Z228" s="64"/>
      <c r="AA228" s="64"/>
      <c r="AB228" s="64"/>
      <c r="AC228" s="64"/>
      <c r="AD228" s="64"/>
      <c r="AE228" s="64"/>
      <c r="AF228" s="64"/>
      <c r="AG228" s="64"/>
      <c r="AH228" s="64"/>
    </row>
    <row r="229">
      <c r="A229" s="64"/>
      <c r="B229" s="64"/>
      <c r="C229" s="64"/>
      <c r="D229" s="64"/>
      <c r="E229" s="64"/>
      <c r="F229" s="64"/>
      <c r="G229" s="64"/>
      <c r="H229" s="64"/>
      <c r="I229" s="64"/>
      <c r="J229" s="64"/>
      <c r="K229" s="64"/>
      <c r="L229" s="64"/>
      <c r="M229" s="64"/>
      <c r="N229" s="64"/>
      <c r="O229" s="64"/>
      <c r="P229" s="64"/>
      <c r="Q229" s="64"/>
      <c r="R229" s="64"/>
      <c r="S229" s="64"/>
      <c r="T229" s="64"/>
      <c r="U229" s="64"/>
      <c r="V229" s="64"/>
      <c r="W229" s="64"/>
      <c r="X229" s="64"/>
      <c r="Y229" s="64"/>
      <c r="Z229" s="64"/>
      <c r="AA229" s="64"/>
      <c r="AB229" s="64"/>
      <c r="AC229" s="64"/>
      <c r="AD229" s="64"/>
      <c r="AE229" s="64"/>
      <c r="AF229" s="64"/>
      <c r="AG229" s="64"/>
      <c r="AH229" s="64"/>
    </row>
    <row r="230">
      <c r="A230" s="64"/>
      <c r="B230" s="64"/>
      <c r="C230" s="64"/>
      <c r="D230" s="64"/>
      <c r="E230" s="64"/>
      <c r="F230" s="64"/>
      <c r="G230" s="64"/>
      <c r="H230" s="64"/>
      <c r="I230" s="64"/>
      <c r="J230" s="64"/>
      <c r="K230" s="64"/>
      <c r="L230" s="64"/>
      <c r="M230" s="64"/>
      <c r="N230" s="64"/>
      <c r="O230" s="64"/>
      <c r="P230" s="64"/>
      <c r="Q230" s="64"/>
      <c r="R230" s="64"/>
      <c r="S230" s="64"/>
      <c r="T230" s="64"/>
      <c r="U230" s="64"/>
      <c r="V230" s="64"/>
      <c r="W230" s="64"/>
      <c r="X230" s="64"/>
      <c r="Y230" s="64"/>
      <c r="Z230" s="64"/>
      <c r="AA230" s="64"/>
      <c r="AB230" s="64"/>
      <c r="AC230" s="64"/>
      <c r="AD230" s="64"/>
      <c r="AE230" s="64"/>
      <c r="AF230" s="64"/>
      <c r="AG230" s="64"/>
      <c r="AH230" s="64"/>
    </row>
    <row r="231">
      <c r="A231" s="64"/>
      <c r="B231" s="64"/>
      <c r="C231" s="64"/>
      <c r="D231" s="64"/>
      <c r="E231" s="64"/>
      <c r="F231" s="64"/>
      <c r="G231" s="64"/>
      <c r="H231" s="64"/>
      <c r="I231" s="64"/>
      <c r="J231" s="64"/>
      <c r="K231" s="64"/>
      <c r="L231" s="64"/>
      <c r="M231" s="64"/>
      <c r="N231" s="64"/>
      <c r="O231" s="64"/>
      <c r="P231" s="64"/>
      <c r="Q231" s="64"/>
      <c r="R231" s="64"/>
      <c r="S231" s="64"/>
      <c r="T231" s="64"/>
      <c r="U231" s="64"/>
      <c r="V231" s="64"/>
      <c r="W231" s="64"/>
      <c r="X231" s="64"/>
      <c r="Y231" s="64"/>
      <c r="Z231" s="64"/>
      <c r="AA231" s="64"/>
      <c r="AB231" s="64"/>
      <c r="AC231" s="64"/>
      <c r="AD231" s="64"/>
      <c r="AE231" s="64"/>
      <c r="AF231" s="64"/>
      <c r="AG231" s="64"/>
      <c r="AH231" s="64"/>
    </row>
    <row r="232">
      <c r="A232" s="64"/>
      <c r="B232" s="64"/>
      <c r="C232" s="64"/>
      <c r="D232" s="64"/>
      <c r="E232" s="64"/>
      <c r="F232" s="64"/>
      <c r="G232" s="64"/>
      <c r="H232" s="64"/>
      <c r="I232" s="64"/>
      <c r="J232" s="64"/>
      <c r="K232" s="64"/>
      <c r="L232" s="64"/>
      <c r="M232" s="64"/>
      <c r="N232" s="64"/>
      <c r="O232" s="64"/>
      <c r="P232" s="64"/>
      <c r="Q232" s="64"/>
      <c r="R232" s="64"/>
      <c r="S232" s="64"/>
      <c r="T232" s="64"/>
      <c r="U232" s="64"/>
      <c r="V232" s="64"/>
      <c r="W232" s="64"/>
      <c r="X232" s="64"/>
      <c r="Y232" s="64"/>
      <c r="Z232" s="64"/>
      <c r="AA232" s="64"/>
      <c r="AB232" s="64"/>
      <c r="AC232" s="64"/>
      <c r="AD232" s="64"/>
      <c r="AE232" s="64"/>
      <c r="AF232" s="64"/>
      <c r="AG232" s="64"/>
      <c r="AH232" s="64"/>
    </row>
    <row r="233">
      <c r="A233" s="64"/>
      <c r="B233" s="64"/>
      <c r="C233" s="64"/>
      <c r="D233" s="64"/>
      <c r="E233" s="64"/>
      <c r="F233" s="64"/>
      <c r="G233" s="64"/>
      <c r="H233" s="64"/>
      <c r="I233" s="64"/>
      <c r="J233" s="64"/>
      <c r="K233" s="64"/>
      <c r="L233" s="64"/>
      <c r="M233" s="64"/>
      <c r="N233" s="64"/>
      <c r="O233" s="64"/>
      <c r="P233" s="64"/>
      <c r="Q233" s="64"/>
      <c r="R233" s="64"/>
      <c r="S233" s="64"/>
      <c r="T233" s="64"/>
      <c r="U233" s="64"/>
      <c r="V233" s="64"/>
      <c r="W233" s="64"/>
      <c r="X233" s="64"/>
      <c r="Y233" s="64"/>
      <c r="Z233" s="64"/>
      <c r="AA233" s="64"/>
      <c r="AB233" s="64"/>
      <c r="AC233" s="64"/>
      <c r="AD233" s="64"/>
      <c r="AE233" s="64"/>
      <c r="AF233" s="64"/>
      <c r="AG233" s="64"/>
      <c r="AH233" s="64"/>
    </row>
    <row r="234">
      <c r="A234" s="64"/>
      <c r="B234" s="64"/>
      <c r="C234" s="64"/>
      <c r="D234" s="64"/>
      <c r="E234" s="64"/>
      <c r="F234" s="64"/>
      <c r="G234" s="64"/>
      <c r="H234" s="64"/>
      <c r="I234" s="64"/>
      <c r="J234" s="64"/>
      <c r="K234" s="64"/>
      <c r="L234" s="64"/>
      <c r="M234" s="64"/>
      <c r="N234" s="64"/>
      <c r="O234" s="64"/>
      <c r="P234" s="64"/>
      <c r="Q234" s="64"/>
      <c r="R234" s="64"/>
      <c r="S234" s="64"/>
      <c r="T234" s="64"/>
      <c r="U234" s="64"/>
      <c r="V234" s="64"/>
      <c r="W234" s="64"/>
      <c r="X234" s="64"/>
      <c r="Y234" s="64"/>
      <c r="Z234" s="64"/>
      <c r="AA234" s="64"/>
      <c r="AB234" s="64"/>
      <c r="AC234" s="64"/>
      <c r="AD234" s="64"/>
      <c r="AE234" s="64"/>
      <c r="AF234" s="64"/>
      <c r="AG234" s="64"/>
      <c r="AH234" s="64"/>
    </row>
    <row r="235">
      <c r="A235" s="64"/>
      <c r="B235" s="64"/>
      <c r="C235" s="64"/>
      <c r="D235" s="64"/>
      <c r="E235" s="64"/>
      <c r="F235" s="64"/>
      <c r="G235" s="64"/>
      <c r="H235" s="64"/>
      <c r="I235" s="64"/>
      <c r="J235" s="64"/>
      <c r="K235" s="64"/>
      <c r="L235" s="64"/>
      <c r="M235" s="64"/>
      <c r="N235" s="64"/>
      <c r="O235" s="64"/>
      <c r="P235" s="64"/>
      <c r="Q235" s="64"/>
      <c r="R235" s="64"/>
      <c r="S235" s="64"/>
      <c r="T235" s="64"/>
      <c r="U235" s="64"/>
      <c r="V235" s="64"/>
      <c r="W235" s="64"/>
      <c r="X235" s="64"/>
      <c r="Y235" s="64"/>
      <c r="Z235" s="64"/>
      <c r="AA235" s="64"/>
      <c r="AB235" s="64"/>
      <c r="AC235" s="64"/>
      <c r="AD235" s="64"/>
      <c r="AE235" s="64"/>
      <c r="AF235" s="64"/>
      <c r="AG235" s="64"/>
      <c r="AH235" s="64"/>
    </row>
    <row r="236">
      <c r="A236" s="64"/>
      <c r="B236" s="64"/>
      <c r="C236" s="64"/>
      <c r="D236" s="64"/>
      <c r="E236" s="64"/>
      <c r="F236" s="64"/>
      <c r="G236" s="64"/>
      <c r="H236" s="64"/>
      <c r="I236" s="64"/>
      <c r="J236" s="64"/>
      <c r="K236" s="64"/>
      <c r="L236" s="64"/>
      <c r="M236" s="64"/>
      <c r="N236" s="64"/>
      <c r="O236" s="64"/>
      <c r="P236" s="64"/>
      <c r="Q236" s="64"/>
      <c r="R236" s="64"/>
      <c r="S236" s="64"/>
      <c r="T236" s="64"/>
      <c r="U236" s="64"/>
      <c r="V236" s="64"/>
      <c r="W236" s="64"/>
      <c r="X236" s="64"/>
      <c r="Y236" s="64"/>
      <c r="Z236" s="64"/>
      <c r="AA236" s="64"/>
      <c r="AB236" s="64"/>
      <c r="AC236" s="64"/>
      <c r="AD236" s="64"/>
      <c r="AE236" s="64"/>
      <c r="AF236" s="64"/>
      <c r="AG236" s="64"/>
      <c r="AH236" s="64"/>
    </row>
    <row r="237">
      <c r="A237" s="64"/>
      <c r="B237" s="64"/>
      <c r="C237" s="64"/>
      <c r="D237" s="64"/>
      <c r="E237" s="64"/>
      <c r="F237" s="64"/>
      <c r="G237" s="64"/>
      <c r="H237" s="64"/>
      <c r="I237" s="64"/>
      <c r="J237" s="64"/>
      <c r="K237" s="64"/>
      <c r="L237" s="64"/>
      <c r="M237" s="64"/>
      <c r="N237" s="64"/>
      <c r="O237" s="64"/>
      <c r="P237" s="64"/>
      <c r="Q237" s="64"/>
      <c r="R237" s="64"/>
      <c r="S237" s="64"/>
      <c r="T237" s="64"/>
      <c r="U237" s="64"/>
      <c r="V237" s="64"/>
      <c r="W237" s="64"/>
      <c r="X237" s="64"/>
      <c r="Y237" s="64"/>
      <c r="Z237" s="64"/>
      <c r="AA237" s="64"/>
      <c r="AB237" s="64"/>
      <c r="AC237" s="64"/>
      <c r="AD237" s="64"/>
      <c r="AE237" s="64"/>
      <c r="AF237" s="64"/>
      <c r="AG237" s="64"/>
      <c r="AH237" s="64"/>
    </row>
    <row r="238">
      <c r="A238" s="64"/>
      <c r="B238" s="64"/>
      <c r="C238" s="64"/>
      <c r="D238" s="64"/>
      <c r="E238" s="64"/>
      <c r="F238" s="64"/>
      <c r="G238" s="64"/>
      <c r="H238" s="64"/>
      <c r="I238" s="64"/>
      <c r="J238" s="64"/>
      <c r="K238" s="64"/>
      <c r="L238" s="64"/>
      <c r="M238" s="64"/>
      <c r="N238" s="64"/>
      <c r="O238" s="64"/>
      <c r="P238" s="64"/>
      <c r="Q238" s="64"/>
      <c r="R238" s="64"/>
      <c r="S238" s="64"/>
      <c r="T238" s="64"/>
      <c r="U238" s="64"/>
      <c r="V238" s="64"/>
      <c r="W238" s="64"/>
      <c r="X238" s="64"/>
      <c r="Y238" s="64"/>
      <c r="Z238" s="64"/>
      <c r="AA238" s="64"/>
      <c r="AB238" s="64"/>
      <c r="AC238" s="64"/>
      <c r="AD238" s="64"/>
      <c r="AE238" s="64"/>
      <c r="AF238" s="64"/>
      <c r="AG238" s="64"/>
      <c r="AH238" s="64"/>
    </row>
    <row r="239">
      <c r="A239" s="64"/>
      <c r="B239" s="64"/>
      <c r="C239" s="64"/>
      <c r="D239" s="64"/>
      <c r="E239" s="64"/>
      <c r="F239" s="64"/>
      <c r="G239" s="64"/>
      <c r="H239" s="64"/>
      <c r="I239" s="64"/>
      <c r="J239" s="64"/>
      <c r="K239" s="64"/>
      <c r="L239" s="64"/>
      <c r="M239" s="64"/>
      <c r="N239" s="64"/>
      <c r="O239" s="64"/>
      <c r="P239" s="64"/>
      <c r="Q239" s="64"/>
      <c r="R239" s="64"/>
      <c r="S239" s="64"/>
      <c r="T239" s="64"/>
      <c r="U239" s="64"/>
      <c r="V239" s="64"/>
      <c r="W239" s="64"/>
      <c r="X239" s="64"/>
      <c r="Y239" s="64"/>
      <c r="Z239" s="64"/>
      <c r="AA239" s="64"/>
      <c r="AB239" s="64"/>
      <c r="AC239" s="64"/>
      <c r="AD239" s="64"/>
      <c r="AE239" s="64"/>
      <c r="AF239" s="64"/>
      <c r="AG239" s="64"/>
      <c r="AH239" s="64"/>
    </row>
    <row r="240">
      <c r="A240" s="64"/>
      <c r="B240" s="64"/>
      <c r="C240" s="64"/>
      <c r="D240" s="64"/>
      <c r="E240" s="64"/>
      <c r="F240" s="64"/>
      <c r="G240" s="64"/>
      <c r="H240" s="64"/>
      <c r="I240" s="64"/>
      <c r="J240" s="64"/>
      <c r="K240" s="64"/>
      <c r="L240" s="64"/>
      <c r="M240" s="64"/>
      <c r="N240" s="64"/>
      <c r="O240" s="64"/>
      <c r="P240" s="64"/>
      <c r="Q240" s="64"/>
      <c r="R240" s="64"/>
      <c r="S240" s="64"/>
      <c r="T240" s="64"/>
      <c r="U240" s="64"/>
      <c r="V240" s="64"/>
      <c r="W240" s="64"/>
      <c r="X240" s="64"/>
      <c r="Y240" s="64"/>
      <c r="Z240" s="64"/>
      <c r="AA240" s="64"/>
      <c r="AB240" s="64"/>
      <c r="AC240" s="64"/>
      <c r="AD240" s="64"/>
      <c r="AE240" s="64"/>
      <c r="AF240" s="64"/>
      <c r="AG240" s="64"/>
      <c r="AH240" s="64"/>
    </row>
    <row r="241">
      <c r="A241" s="64"/>
      <c r="B241" s="64"/>
      <c r="C241" s="64"/>
      <c r="D241" s="64"/>
      <c r="E241" s="64"/>
      <c r="F241" s="64"/>
      <c r="G241" s="64"/>
      <c r="H241" s="64"/>
      <c r="I241" s="64"/>
      <c r="J241" s="64"/>
      <c r="K241" s="64"/>
      <c r="L241" s="64"/>
      <c r="M241" s="64"/>
      <c r="N241" s="64"/>
      <c r="O241" s="64"/>
      <c r="P241" s="64"/>
      <c r="Q241" s="64"/>
      <c r="R241" s="64"/>
      <c r="S241" s="64"/>
      <c r="T241" s="64"/>
      <c r="U241" s="64"/>
      <c r="V241" s="64"/>
      <c r="W241" s="64"/>
      <c r="X241" s="64"/>
      <c r="Y241" s="64"/>
      <c r="Z241" s="64"/>
      <c r="AA241" s="64"/>
      <c r="AB241" s="64"/>
      <c r="AC241" s="64"/>
      <c r="AD241" s="64"/>
      <c r="AE241" s="64"/>
      <c r="AF241" s="64"/>
      <c r="AG241" s="64"/>
      <c r="AH241" s="64"/>
    </row>
    <row r="242">
      <c r="A242" s="64"/>
      <c r="B242" s="64"/>
      <c r="C242" s="64"/>
      <c r="D242" s="64"/>
      <c r="E242" s="64"/>
      <c r="F242" s="64"/>
      <c r="G242" s="64"/>
      <c r="H242" s="64"/>
      <c r="I242" s="64"/>
      <c r="J242" s="64"/>
      <c r="K242" s="64"/>
      <c r="L242" s="64"/>
      <c r="M242" s="64"/>
      <c r="N242" s="64"/>
      <c r="O242" s="64"/>
      <c r="P242" s="64"/>
      <c r="Q242" s="64"/>
      <c r="R242" s="64"/>
      <c r="S242" s="64"/>
      <c r="T242" s="64"/>
      <c r="U242" s="64"/>
      <c r="V242" s="64"/>
      <c r="W242" s="64"/>
      <c r="X242" s="64"/>
      <c r="Y242" s="64"/>
      <c r="Z242" s="64"/>
      <c r="AA242" s="64"/>
      <c r="AB242" s="64"/>
      <c r="AC242" s="64"/>
      <c r="AD242" s="64"/>
      <c r="AE242" s="64"/>
      <c r="AF242" s="64"/>
      <c r="AG242" s="64"/>
      <c r="AH242" s="64"/>
    </row>
    <row r="243">
      <c r="A243" s="64"/>
      <c r="B243" s="64"/>
      <c r="C243" s="64"/>
      <c r="D243" s="64"/>
      <c r="E243" s="64"/>
      <c r="F243" s="64"/>
      <c r="G243" s="64"/>
      <c r="H243" s="64"/>
      <c r="I243" s="64"/>
      <c r="J243" s="64"/>
      <c r="K243" s="64"/>
      <c r="L243" s="64"/>
      <c r="M243" s="64"/>
      <c r="N243" s="64"/>
      <c r="O243" s="64"/>
      <c r="P243" s="64"/>
      <c r="Q243" s="64"/>
      <c r="R243" s="64"/>
      <c r="S243" s="64"/>
      <c r="T243" s="64"/>
      <c r="U243" s="64"/>
      <c r="V243" s="64"/>
      <c r="W243" s="64"/>
      <c r="X243" s="64"/>
      <c r="Y243" s="64"/>
      <c r="Z243" s="64"/>
      <c r="AA243" s="64"/>
      <c r="AB243" s="64"/>
      <c r="AC243" s="64"/>
      <c r="AD243" s="64"/>
      <c r="AE243" s="64"/>
      <c r="AF243" s="64"/>
      <c r="AG243" s="64"/>
      <c r="AH243" s="64"/>
    </row>
    <row r="244">
      <c r="A244" s="64"/>
      <c r="B244" s="64"/>
      <c r="C244" s="64"/>
      <c r="D244" s="64"/>
      <c r="E244" s="64"/>
      <c r="F244" s="64"/>
      <c r="G244" s="64"/>
      <c r="H244" s="64"/>
      <c r="I244" s="64"/>
      <c r="J244" s="64"/>
      <c r="K244" s="64"/>
      <c r="L244" s="64"/>
      <c r="M244" s="64"/>
      <c r="N244" s="64"/>
      <c r="O244" s="64"/>
      <c r="P244" s="64"/>
      <c r="Q244" s="64"/>
      <c r="R244" s="64"/>
      <c r="S244" s="64"/>
      <c r="T244" s="64"/>
      <c r="U244" s="64"/>
      <c r="V244" s="64"/>
      <c r="W244" s="64"/>
      <c r="X244" s="64"/>
      <c r="Y244" s="64"/>
      <c r="Z244" s="64"/>
      <c r="AA244" s="64"/>
      <c r="AB244" s="64"/>
      <c r="AC244" s="64"/>
      <c r="AD244" s="64"/>
      <c r="AE244" s="64"/>
      <c r="AF244" s="64"/>
      <c r="AG244" s="64"/>
      <c r="AH244" s="64"/>
    </row>
    <row r="245">
      <c r="A245" s="64"/>
      <c r="B245" s="64"/>
      <c r="C245" s="64"/>
      <c r="D245" s="64"/>
      <c r="E245" s="64"/>
      <c r="F245" s="64"/>
      <c r="G245" s="64"/>
      <c r="H245" s="64"/>
      <c r="I245" s="64"/>
      <c r="J245" s="64"/>
      <c r="K245" s="64"/>
      <c r="L245" s="64"/>
      <c r="M245" s="64"/>
      <c r="N245" s="64"/>
      <c r="O245" s="64"/>
      <c r="P245" s="64"/>
      <c r="Q245" s="64"/>
      <c r="R245" s="64"/>
      <c r="S245" s="64"/>
      <c r="T245" s="64"/>
      <c r="U245" s="64"/>
      <c r="V245" s="64"/>
      <c r="W245" s="64"/>
      <c r="X245" s="64"/>
      <c r="Y245" s="64"/>
      <c r="Z245" s="64"/>
      <c r="AA245" s="64"/>
      <c r="AB245" s="64"/>
      <c r="AC245" s="64"/>
      <c r="AD245" s="64"/>
      <c r="AE245" s="64"/>
      <c r="AF245" s="64"/>
      <c r="AG245" s="64"/>
      <c r="AH245" s="64"/>
    </row>
    <row r="246">
      <c r="A246" s="64"/>
      <c r="B246" s="64"/>
      <c r="C246" s="64"/>
      <c r="D246" s="64"/>
      <c r="E246" s="64"/>
      <c r="F246" s="64"/>
      <c r="G246" s="64"/>
      <c r="H246" s="64"/>
      <c r="I246" s="64"/>
      <c r="J246" s="64"/>
      <c r="K246" s="64"/>
      <c r="L246" s="64"/>
      <c r="M246" s="64"/>
      <c r="N246" s="64"/>
      <c r="O246" s="64"/>
      <c r="P246" s="64"/>
      <c r="Q246" s="64"/>
      <c r="R246" s="64"/>
      <c r="S246" s="64"/>
      <c r="T246" s="64"/>
      <c r="U246" s="64"/>
      <c r="V246" s="64"/>
      <c r="W246" s="64"/>
      <c r="X246" s="64"/>
      <c r="Y246" s="64"/>
      <c r="Z246" s="64"/>
      <c r="AA246" s="64"/>
      <c r="AB246" s="64"/>
      <c r="AC246" s="64"/>
      <c r="AD246" s="64"/>
      <c r="AE246" s="64"/>
      <c r="AF246" s="64"/>
      <c r="AG246" s="64"/>
      <c r="AH246" s="64"/>
    </row>
    <row r="247">
      <c r="A247" s="64"/>
      <c r="B247" s="64"/>
      <c r="C247" s="64"/>
      <c r="D247" s="64"/>
      <c r="E247" s="64"/>
      <c r="F247" s="64"/>
      <c r="G247" s="64"/>
      <c r="H247" s="64"/>
      <c r="I247" s="64"/>
      <c r="J247" s="64"/>
      <c r="K247" s="64"/>
      <c r="L247" s="64"/>
      <c r="M247" s="64"/>
      <c r="N247" s="64"/>
      <c r="O247" s="64"/>
      <c r="P247" s="64"/>
      <c r="Q247" s="64"/>
      <c r="R247" s="64"/>
      <c r="S247" s="64"/>
      <c r="T247" s="64"/>
      <c r="U247" s="64"/>
      <c r="V247" s="64"/>
      <c r="W247" s="64"/>
      <c r="X247" s="64"/>
      <c r="Y247" s="64"/>
      <c r="Z247" s="64"/>
      <c r="AA247" s="64"/>
      <c r="AB247" s="64"/>
      <c r="AC247" s="64"/>
      <c r="AD247" s="64"/>
      <c r="AE247" s="64"/>
      <c r="AF247" s="64"/>
      <c r="AG247" s="64"/>
      <c r="AH247" s="64"/>
    </row>
    <row r="248">
      <c r="A248" s="64"/>
      <c r="B248" s="64"/>
      <c r="C248" s="64"/>
      <c r="D248" s="64"/>
      <c r="E248" s="64"/>
      <c r="F248" s="64"/>
      <c r="G248" s="64"/>
      <c r="H248" s="64"/>
      <c r="I248" s="64"/>
      <c r="J248" s="64"/>
      <c r="K248" s="64"/>
      <c r="L248" s="64"/>
      <c r="M248" s="64"/>
      <c r="N248" s="64"/>
      <c r="O248" s="64"/>
      <c r="P248" s="64"/>
      <c r="Q248" s="64"/>
      <c r="R248" s="64"/>
      <c r="S248" s="64"/>
      <c r="T248" s="64"/>
      <c r="U248" s="64"/>
      <c r="V248" s="64"/>
      <c r="W248" s="64"/>
      <c r="X248" s="64"/>
      <c r="Y248" s="64"/>
      <c r="Z248" s="64"/>
      <c r="AA248" s="64"/>
      <c r="AB248" s="64"/>
      <c r="AC248" s="64"/>
      <c r="AD248" s="64"/>
      <c r="AE248" s="64"/>
      <c r="AF248" s="64"/>
      <c r="AG248" s="64"/>
      <c r="AH248" s="64"/>
    </row>
    <row r="249">
      <c r="A249" s="64"/>
      <c r="B249" s="64"/>
      <c r="C249" s="64"/>
      <c r="D249" s="64"/>
      <c r="E249" s="64"/>
      <c r="F249" s="64"/>
      <c r="G249" s="64"/>
      <c r="H249" s="64"/>
      <c r="I249" s="64"/>
      <c r="J249" s="64"/>
      <c r="K249" s="64"/>
      <c r="L249" s="64"/>
      <c r="M249" s="64"/>
      <c r="N249" s="64"/>
      <c r="O249" s="64"/>
      <c r="P249" s="64"/>
      <c r="Q249" s="64"/>
      <c r="R249" s="64"/>
      <c r="S249" s="64"/>
      <c r="T249" s="64"/>
      <c r="U249" s="64"/>
      <c r="V249" s="64"/>
      <c r="W249" s="64"/>
      <c r="X249" s="64"/>
      <c r="Y249" s="64"/>
      <c r="Z249" s="64"/>
      <c r="AA249" s="64"/>
      <c r="AB249" s="64"/>
      <c r="AC249" s="64"/>
      <c r="AD249" s="64"/>
      <c r="AE249" s="64"/>
      <c r="AF249" s="64"/>
      <c r="AG249" s="64"/>
      <c r="AH249" s="64"/>
    </row>
    <row r="250">
      <c r="A250" s="64"/>
      <c r="B250" s="64"/>
      <c r="C250" s="64"/>
      <c r="D250" s="64"/>
      <c r="E250" s="64"/>
      <c r="F250" s="64"/>
      <c r="G250" s="64"/>
      <c r="H250" s="64"/>
      <c r="I250" s="64"/>
      <c r="J250" s="64"/>
      <c r="K250" s="64"/>
      <c r="L250" s="64"/>
      <c r="M250" s="64"/>
      <c r="N250" s="64"/>
      <c r="O250" s="64"/>
      <c r="P250" s="64"/>
      <c r="Q250" s="64"/>
      <c r="R250" s="64"/>
      <c r="S250" s="64"/>
      <c r="T250" s="64"/>
      <c r="U250" s="64"/>
      <c r="V250" s="64"/>
      <c r="W250" s="64"/>
      <c r="X250" s="64"/>
      <c r="Y250" s="64"/>
      <c r="Z250" s="64"/>
      <c r="AA250" s="64"/>
      <c r="AB250" s="64"/>
      <c r="AC250" s="64"/>
      <c r="AD250" s="64"/>
      <c r="AE250" s="64"/>
      <c r="AF250" s="64"/>
      <c r="AG250" s="64"/>
      <c r="AH250" s="64"/>
    </row>
    <row r="251">
      <c r="A251" s="64"/>
      <c r="B251" s="64"/>
      <c r="C251" s="64"/>
      <c r="D251" s="64"/>
      <c r="E251" s="64"/>
      <c r="F251" s="64"/>
      <c r="G251" s="64"/>
      <c r="H251" s="64"/>
      <c r="I251" s="64"/>
      <c r="J251" s="64"/>
      <c r="K251" s="64"/>
      <c r="L251" s="64"/>
      <c r="M251" s="64"/>
      <c r="N251" s="64"/>
      <c r="O251" s="64"/>
      <c r="P251" s="64"/>
      <c r="Q251" s="64"/>
      <c r="R251" s="64"/>
      <c r="S251" s="64"/>
      <c r="T251" s="64"/>
      <c r="U251" s="64"/>
      <c r="V251" s="64"/>
      <c r="W251" s="64"/>
      <c r="X251" s="64"/>
      <c r="Y251" s="64"/>
      <c r="Z251" s="64"/>
      <c r="AA251" s="64"/>
      <c r="AB251" s="64"/>
      <c r="AC251" s="64"/>
      <c r="AD251" s="64"/>
      <c r="AE251" s="64"/>
      <c r="AF251" s="64"/>
      <c r="AG251" s="64"/>
      <c r="AH251" s="64"/>
    </row>
    <row r="252">
      <c r="A252" s="64"/>
      <c r="B252" s="64"/>
      <c r="C252" s="64"/>
      <c r="D252" s="64"/>
      <c r="E252" s="64"/>
      <c r="F252" s="64"/>
      <c r="G252" s="64"/>
      <c r="H252" s="64"/>
      <c r="I252" s="64"/>
      <c r="J252" s="64"/>
      <c r="K252" s="64"/>
      <c r="L252" s="64"/>
      <c r="M252" s="64"/>
      <c r="N252" s="64"/>
      <c r="O252" s="64"/>
      <c r="P252" s="64"/>
      <c r="Q252" s="64"/>
      <c r="R252" s="64"/>
      <c r="S252" s="64"/>
      <c r="T252" s="64"/>
      <c r="U252" s="64"/>
      <c r="V252" s="64"/>
      <c r="W252" s="64"/>
      <c r="X252" s="64"/>
      <c r="Y252" s="64"/>
      <c r="Z252" s="64"/>
      <c r="AA252" s="64"/>
      <c r="AB252" s="64"/>
      <c r="AC252" s="64"/>
      <c r="AD252" s="64"/>
      <c r="AE252" s="64"/>
      <c r="AF252" s="64"/>
      <c r="AG252" s="64"/>
      <c r="AH252" s="64"/>
    </row>
    <row r="253">
      <c r="A253" s="64"/>
      <c r="B253" s="64"/>
      <c r="C253" s="64"/>
      <c r="D253" s="64"/>
      <c r="E253" s="64"/>
      <c r="F253" s="64"/>
      <c r="G253" s="64"/>
      <c r="H253" s="64"/>
      <c r="I253" s="64"/>
      <c r="J253" s="64"/>
      <c r="K253" s="64"/>
      <c r="L253" s="64"/>
      <c r="M253" s="64"/>
      <c r="N253" s="64"/>
      <c r="O253" s="64"/>
      <c r="P253" s="64"/>
      <c r="Q253" s="64"/>
      <c r="R253" s="64"/>
      <c r="S253" s="64"/>
      <c r="T253" s="64"/>
      <c r="U253" s="64"/>
      <c r="V253" s="64"/>
      <c r="W253" s="64"/>
      <c r="X253" s="64"/>
      <c r="Y253" s="64"/>
      <c r="Z253" s="64"/>
      <c r="AA253" s="64"/>
      <c r="AB253" s="64"/>
      <c r="AC253" s="64"/>
      <c r="AD253" s="64"/>
      <c r="AE253" s="64"/>
      <c r="AF253" s="64"/>
      <c r="AG253" s="64"/>
      <c r="AH253" s="64"/>
    </row>
    <row r="254">
      <c r="A254" s="64"/>
      <c r="B254" s="64"/>
      <c r="C254" s="64"/>
      <c r="D254" s="64"/>
      <c r="E254" s="64"/>
      <c r="F254" s="64"/>
      <c r="G254" s="64"/>
      <c r="H254" s="64"/>
      <c r="I254" s="64"/>
      <c r="J254" s="64"/>
      <c r="K254" s="64"/>
      <c r="L254" s="64"/>
      <c r="M254" s="64"/>
      <c r="N254" s="64"/>
      <c r="O254" s="64"/>
      <c r="P254" s="64"/>
      <c r="Q254" s="64"/>
      <c r="R254" s="64"/>
      <c r="S254" s="64"/>
      <c r="T254" s="64"/>
      <c r="U254" s="64"/>
      <c r="V254" s="64"/>
      <c r="W254" s="64"/>
      <c r="X254" s="64"/>
      <c r="Y254" s="64"/>
      <c r="Z254" s="64"/>
      <c r="AA254" s="64"/>
      <c r="AB254" s="64"/>
      <c r="AC254" s="64"/>
      <c r="AD254" s="64"/>
      <c r="AE254" s="64"/>
      <c r="AF254" s="64"/>
      <c r="AG254" s="64"/>
      <c r="AH254" s="64"/>
    </row>
    <row r="255">
      <c r="A255" s="64"/>
      <c r="B255" s="64"/>
      <c r="C255" s="64"/>
      <c r="D255" s="64"/>
      <c r="E255" s="64"/>
      <c r="F255" s="64"/>
      <c r="G255" s="64"/>
      <c r="H255" s="64"/>
      <c r="I255" s="64"/>
      <c r="J255" s="64"/>
      <c r="K255" s="64"/>
      <c r="L255" s="64"/>
      <c r="M255" s="64"/>
      <c r="N255" s="64"/>
      <c r="O255" s="64"/>
      <c r="P255" s="64"/>
      <c r="Q255" s="64"/>
      <c r="R255" s="64"/>
      <c r="S255" s="64"/>
      <c r="T255" s="64"/>
      <c r="U255" s="64"/>
      <c r="V255" s="64"/>
      <c r="W255" s="64"/>
      <c r="X255" s="64"/>
      <c r="Y255" s="64"/>
      <c r="Z255" s="64"/>
      <c r="AA255" s="64"/>
      <c r="AB255" s="64"/>
      <c r="AC255" s="64"/>
      <c r="AD255" s="64"/>
      <c r="AE255" s="64"/>
      <c r="AF255" s="64"/>
      <c r="AG255" s="64"/>
      <c r="AH255" s="64"/>
    </row>
    <row r="256">
      <c r="A256" s="64"/>
      <c r="B256" s="64"/>
      <c r="C256" s="64"/>
      <c r="D256" s="64"/>
      <c r="E256" s="64"/>
      <c r="F256" s="64"/>
      <c r="G256" s="64"/>
      <c r="H256" s="64"/>
      <c r="I256" s="64"/>
      <c r="J256" s="64"/>
      <c r="K256" s="64"/>
      <c r="L256" s="64"/>
      <c r="M256" s="64"/>
      <c r="N256" s="64"/>
      <c r="O256" s="64"/>
      <c r="P256" s="64"/>
      <c r="Q256" s="64"/>
      <c r="R256" s="64"/>
      <c r="S256" s="64"/>
      <c r="T256" s="64"/>
      <c r="U256" s="64"/>
      <c r="V256" s="64"/>
      <c r="W256" s="64"/>
      <c r="X256" s="64"/>
      <c r="Y256" s="64"/>
      <c r="Z256" s="64"/>
      <c r="AA256" s="64"/>
      <c r="AB256" s="64"/>
      <c r="AC256" s="64"/>
      <c r="AD256" s="64"/>
      <c r="AE256" s="64"/>
      <c r="AF256" s="64"/>
      <c r="AG256" s="64"/>
      <c r="AH256" s="64"/>
    </row>
    <row r="257">
      <c r="A257" s="64"/>
      <c r="B257" s="64"/>
      <c r="C257" s="64"/>
      <c r="D257" s="64"/>
      <c r="E257" s="64"/>
      <c r="F257" s="64"/>
      <c r="G257" s="64"/>
      <c r="H257" s="64"/>
      <c r="I257" s="64"/>
      <c r="J257" s="64"/>
      <c r="K257" s="64"/>
      <c r="L257" s="64"/>
      <c r="M257" s="64"/>
      <c r="N257" s="64"/>
      <c r="O257" s="64"/>
      <c r="P257" s="64"/>
      <c r="Q257" s="64"/>
      <c r="R257" s="64"/>
      <c r="S257" s="64"/>
      <c r="T257" s="64"/>
      <c r="U257" s="64"/>
      <c r="V257" s="64"/>
      <c r="W257" s="64"/>
      <c r="X257" s="64"/>
      <c r="Y257" s="64"/>
      <c r="Z257" s="64"/>
      <c r="AA257" s="64"/>
      <c r="AB257" s="64"/>
      <c r="AC257" s="64"/>
      <c r="AD257" s="64"/>
      <c r="AE257" s="64"/>
      <c r="AF257" s="64"/>
      <c r="AG257" s="64"/>
      <c r="AH257" s="64"/>
    </row>
    <row r="258">
      <c r="A258" s="64"/>
      <c r="B258" s="64"/>
      <c r="C258" s="64"/>
      <c r="D258" s="64"/>
      <c r="E258" s="64"/>
      <c r="F258" s="64"/>
      <c r="G258" s="64"/>
      <c r="H258" s="64"/>
      <c r="I258" s="64"/>
      <c r="J258" s="64"/>
      <c r="K258" s="64"/>
      <c r="L258" s="64"/>
      <c r="M258" s="64"/>
      <c r="N258" s="64"/>
      <c r="O258" s="64"/>
      <c r="P258" s="64"/>
      <c r="Q258" s="64"/>
      <c r="R258" s="64"/>
      <c r="S258" s="64"/>
      <c r="T258" s="64"/>
      <c r="U258" s="64"/>
      <c r="V258" s="64"/>
      <c r="W258" s="64"/>
      <c r="X258" s="64"/>
      <c r="Y258" s="64"/>
      <c r="Z258" s="64"/>
      <c r="AA258" s="64"/>
      <c r="AB258" s="64"/>
      <c r="AC258" s="64"/>
      <c r="AD258" s="64"/>
      <c r="AE258" s="64"/>
      <c r="AF258" s="64"/>
      <c r="AG258" s="64"/>
      <c r="AH258" s="64"/>
    </row>
    <row r="259">
      <c r="A259" s="64"/>
      <c r="B259" s="64"/>
      <c r="C259" s="64"/>
      <c r="D259" s="64"/>
      <c r="E259" s="64"/>
      <c r="F259" s="64"/>
      <c r="G259" s="64"/>
      <c r="H259" s="64"/>
      <c r="I259" s="64"/>
      <c r="J259" s="64"/>
      <c r="K259" s="64"/>
      <c r="L259" s="64"/>
      <c r="M259" s="64"/>
      <c r="N259" s="64"/>
      <c r="O259" s="64"/>
      <c r="P259" s="64"/>
      <c r="Q259" s="64"/>
      <c r="R259" s="64"/>
      <c r="S259" s="64"/>
      <c r="T259" s="64"/>
      <c r="U259" s="64"/>
      <c r="V259" s="64"/>
      <c r="W259" s="64"/>
      <c r="X259" s="64"/>
      <c r="Y259" s="64"/>
      <c r="Z259" s="64"/>
      <c r="AA259" s="64"/>
      <c r="AB259" s="64"/>
      <c r="AC259" s="64"/>
      <c r="AD259" s="64"/>
      <c r="AE259" s="64"/>
      <c r="AF259" s="64"/>
      <c r="AG259" s="64"/>
      <c r="AH259" s="64"/>
    </row>
    <row r="260">
      <c r="A260" s="64"/>
      <c r="B260" s="64"/>
      <c r="C260" s="64"/>
      <c r="D260" s="64"/>
      <c r="E260" s="64"/>
      <c r="F260" s="64"/>
      <c r="G260" s="64"/>
      <c r="H260" s="64"/>
      <c r="I260" s="64"/>
      <c r="J260" s="64"/>
      <c r="K260" s="64"/>
      <c r="L260" s="64"/>
      <c r="M260" s="64"/>
      <c r="N260" s="64"/>
      <c r="O260" s="64"/>
      <c r="P260" s="64"/>
      <c r="Q260" s="64"/>
      <c r="R260" s="64"/>
      <c r="S260" s="64"/>
      <c r="T260" s="64"/>
      <c r="U260" s="64"/>
      <c r="V260" s="64"/>
      <c r="W260" s="64"/>
      <c r="X260" s="64"/>
      <c r="Y260" s="64"/>
      <c r="Z260" s="64"/>
      <c r="AA260" s="64"/>
      <c r="AB260" s="64"/>
      <c r="AC260" s="64"/>
      <c r="AD260" s="64"/>
      <c r="AE260" s="64"/>
      <c r="AF260" s="64"/>
      <c r="AG260" s="64"/>
      <c r="AH260" s="64"/>
    </row>
    <row r="261">
      <c r="A261" s="64"/>
      <c r="B261" s="64"/>
      <c r="C261" s="64"/>
      <c r="D261" s="64"/>
      <c r="E261" s="64"/>
      <c r="F261" s="64"/>
      <c r="G261" s="64"/>
      <c r="H261" s="64"/>
      <c r="I261" s="64"/>
      <c r="J261" s="64"/>
      <c r="K261" s="64"/>
      <c r="L261" s="64"/>
      <c r="M261" s="64"/>
      <c r="N261" s="64"/>
      <c r="O261" s="64"/>
      <c r="P261" s="64"/>
      <c r="Q261" s="64"/>
      <c r="R261" s="64"/>
      <c r="S261" s="64"/>
      <c r="T261" s="64"/>
      <c r="U261" s="64"/>
      <c r="V261" s="64"/>
      <c r="W261" s="64"/>
      <c r="X261" s="64"/>
      <c r="Y261" s="64"/>
      <c r="Z261" s="64"/>
      <c r="AA261" s="64"/>
      <c r="AB261" s="64"/>
      <c r="AC261" s="64"/>
      <c r="AD261" s="64"/>
      <c r="AE261" s="64"/>
      <c r="AF261" s="64"/>
      <c r="AG261" s="64"/>
      <c r="AH261" s="64"/>
    </row>
    <row r="262">
      <c r="A262" s="64"/>
      <c r="B262" s="64"/>
      <c r="C262" s="64"/>
      <c r="D262" s="64"/>
      <c r="E262" s="64"/>
      <c r="F262" s="64"/>
      <c r="G262" s="64"/>
      <c r="H262" s="64"/>
      <c r="I262" s="64"/>
      <c r="J262" s="64"/>
      <c r="K262" s="64"/>
      <c r="L262" s="64"/>
      <c r="M262" s="64"/>
      <c r="N262" s="64"/>
      <c r="O262" s="64"/>
      <c r="P262" s="64"/>
      <c r="Q262" s="64"/>
      <c r="R262" s="64"/>
      <c r="S262" s="64"/>
      <c r="T262" s="64"/>
      <c r="U262" s="64"/>
      <c r="V262" s="64"/>
      <c r="W262" s="64"/>
      <c r="X262" s="64"/>
      <c r="Y262" s="64"/>
      <c r="Z262" s="64"/>
      <c r="AA262" s="64"/>
      <c r="AB262" s="64"/>
      <c r="AC262" s="64"/>
      <c r="AD262" s="64"/>
      <c r="AE262" s="64"/>
      <c r="AF262" s="64"/>
      <c r="AG262" s="64"/>
      <c r="AH262" s="64"/>
    </row>
    <row r="263">
      <c r="A263" s="64"/>
      <c r="B263" s="64"/>
      <c r="C263" s="64"/>
      <c r="D263" s="64"/>
      <c r="E263" s="64"/>
      <c r="F263" s="64"/>
      <c r="G263" s="64"/>
      <c r="H263" s="64"/>
      <c r="I263" s="64"/>
      <c r="J263" s="64"/>
      <c r="K263" s="64"/>
      <c r="L263" s="64"/>
      <c r="M263" s="64"/>
      <c r="N263" s="64"/>
      <c r="O263" s="64"/>
      <c r="P263" s="64"/>
      <c r="Q263" s="64"/>
      <c r="R263" s="64"/>
      <c r="S263" s="64"/>
      <c r="T263" s="64"/>
      <c r="U263" s="64"/>
      <c r="V263" s="64"/>
      <c r="W263" s="64"/>
      <c r="X263" s="64"/>
      <c r="Y263" s="64"/>
      <c r="Z263" s="64"/>
      <c r="AA263" s="64"/>
      <c r="AB263" s="64"/>
      <c r="AC263" s="64"/>
      <c r="AD263" s="64"/>
      <c r="AE263" s="64"/>
      <c r="AF263" s="64"/>
      <c r="AG263" s="64"/>
      <c r="AH263" s="64"/>
    </row>
    <row r="264">
      <c r="A264" s="64"/>
      <c r="B264" s="64"/>
      <c r="C264" s="64"/>
      <c r="D264" s="64"/>
      <c r="E264" s="64"/>
      <c r="F264" s="64"/>
      <c r="G264" s="64"/>
      <c r="H264" s="64"/>
      <c r="I264" s="64"/>
      <c r="J264" s="64"/>
      <c r="K264" s="64"/>
      <c r="L264" s="64"/>
      <c r="M264" s="64"/>
      <c r="N264" s="64"/>
      <c r="O264" s="64"/>
      <c r="P264" s="64"/>
      <c r="Q264" s="64"/>
      <c r="R264" s="64"/>
      <c r="S264" s="64"/>
      <c r="T264" s="64"/>
      <c r="U264" s="64"/>
      <c r="V264" s="64"/>
      <c r="W264" s="64"/>
      <c r="X264" s="64"/>
      <c r="Y264" s="64"/>
      <c r="Z264" s="64"/>
      <c r="AA264" s="64"/>
      <c r="AB264" s="64"/>
      <c r="AC264" s="64"/>
      <c r="AD264" s="64"/>
      <c r="AE264" s="64"/>
      <c r="AF264" s="64"/>
      <c r="AG264" s="64"/>
      <c r="AH264" s="64"/>
    </row>
    <row r="265">
      <c r="A265" s="64"/>
      <c r="B265" s="64"/>
      <c r="C265" s="64"/>
      <c r="D265" s="64"/>
      <c r="E265" s="64"/>
      <c r="F265" s="64"/>
      <c r="G265" s="64"/>
      <c r="H265" s="64"/>
      <c r="I265" s="64"/>
      <c r="J265" s="64"/>
      <c r="K265" s="64"/>
      <c r="L265" s="64"/>
      <c r="M265" s="64"/>
      <c r="N265" s="64"/>
      <c r="O265" s="64"/>
      <c r="P265" s="64"/>
      <c r="Q265" s="64"/>
      <c r="R265" s="64"/>
      <c r="S265" s="64"/>
      <c r="T265" s="64"/>
      <c r="U265" s="64"/>
      <c r="V265" s="64"/>
      <c r="W265" s="64"/>
      <c r="X265" s="64"/>
      <c r="Y265" s="64"/>
      <c r="Z265" s="64"/>
      <c r="AA265" s="64"/>
      <c r="AB265" s="64"/>
      <c r="AC265" s="64"/>
      <c r="AD265" s="64"/>
      <c r="AE265" s="64"/>
      <c r="AF265" s="64"/>
      <c r="AG265" s="64"/>
      <c r="AH265" s="64"/>
    </row>
    <row r="266">
      <c r="A266" s="64"/>
      <c r="B266" s="64"/>
      <c r="C266" s="64"/>
      <c r="D266" s="64"/>
      <c r="E266" s="64"/>
      <c r="F266" s="64"/>
      <c r="G266" s="64"/>
      <c r="H266" s="64"/>
      <c r="I266" s="64"/>
      <c r="J266" s="64"/>
      <c r="K266" s="64"/>
      <c r="L266" s="64"/>
      <c r="M266" s="64"/>
      <c r="N266" s="64"/>
      <c r="O266" s="64"/>
      <c r="P266" s="64"/>
      <c r="Q266" s="64"/>
      <c r="R266" s="64"/>
      <c r="S266" s="64"/>
      <c r="T266" s="64"/>
      <c r="U266" s="64"/>
      <c r="V266" s="64"/>
      <c r="W266" s="64"/>
      <c r="X266" s="64"/>
      <c r="Y266" s="64"/>
      <c r="Z266" s="64"/>
      <c r="AA266" s="64"/>
      <c r="AB266" s="64"/>
      <c r="AC266" s="64"/>
      <c r="AD266" s="64"/>
      <c r="AE266" s="64"/>
      <c r="AF266" s="64"/>
      <c r="AG266" s="64"/>
      <c r="AH266" s="64"/>
    </row>
    <row r="267">
      <c r="A267" s="64"/>
      <c r="B267" s="64"/>
      <c r="C267" s="64"/>
      <c r="D267" s="64"/>
      <c r="E267" s="64"/>
      <c r="F267" s="64"/>
      <c r="G267" s="64"/>
      <c r="H267" s="64"/>
      <c r="I267" s="64"/>
      <c r="J267" s="64"/>
      <c r="K267" s="64"/>
      <c r="L267" s="64"/>
      <c r="M267" s="64"/>
      <c r="N267" s="64"/>
      <c r="O267" s="64"/>
      <c r="P267" s="64"/>
      <c r="Q267" s="64"/>
      <c r="R267" s="64"/>
      <c r="S267" s="64"/>
      <c r="T267" s="64"/>
      <c r="U267" s="64"/>
      <c r="V267" s="64"/>
      <c r="W267" s="64"/>
      <c r="X267" s="64"/>
      <c r="Y267" s="64"/>
      <c r="Z267" s="64"/>
      <c r="AA267" s="64"/>
      <c r="AB267" s="64"/>
      <c r="AC267" s="64"/>
      <c r="AD267" s="64"/>
      <c r="AE267" s="64"/>
      <c r="AF267" s="64"/>
      <c r="AG267" s="64"/>
      <c r="AH267" s="64"/>
    </row>
    <row r="268">
      <c r="A268" s="64"/>
      <c r="B268" s="64"/>
      <c r="C268" s="64"/>
      <c r="D268" s="64"/>
      <c r="E268" s="64"/>
      <c r="F268" s="64"/>
      <c r="G268" s="64"/>
      <c r="H268" s="64"/>
      <c r="I268" s="64"/>
      <c r="J268" s="64"/>
      <c r="K268" s="64"/>
      <c r="L268" s="64"/>
      <c r="M268" s="64"/>
      <c r="N268" s="64"/>
      <c r="O268" s="64"/>
      <c r="P268" s="64"/>
      <c r="Q268" s="64"/>
      <c r="R268" s="64"/>
      <c r="S268" s="64"/>
      <c r="T268" s="64"/>
      <c r="U268" s="64"/>
      <c r="V268" s="64"/>
      <c r="W268" s="64"/>
      <c r="X268" s="64"/>
      <c r="Y268" s="64"/>
      <c r="Z268" s="64"/>
      <c r="AA268" s="64"/>
      <c r="AB268" s="64"/>
      <c r="AC268" s="64"/>
      <c r="AD268" s="64"/>
      <c r="AE268" s="64"/>
      <c r="AF268" s="64"/>
      <c r="AG268" s="64"/>
      <c r="AH268" s="64"/>
    </row>
    <row r="269">
      <c r="A269" s="64"/>
      <c r="B269" s="64"/>
      <c r="C269" s="64"/>
      <c r="D269" s="64"/>
      <c r="E269" s="64"/>
      <c r="F269" s="64"/>
      <c r="G269" s="64"/>
      <c r="H269" s="64"/>
      <c r="I269" s="64"/>
      <c r="J269" s="64"/>
      <c r="K269" s="64"/>
      <c r="L269" s="64"/>
      <c r="M269" s="64"/>
      <c r="N269" s="64"/>
      <c r="O269" s="64"/>
      <c r="P269" s="64"/>
      <c r="Q269" s="64"/>
      <c r="R269" s="64"/>
      <c r="S269" s="64"/>
      <c r="T269" s="64"/>
      <c r="U269" s="64"/>
      <c r="V269" s="64"/>
      <c r="W269" s="64"/>
      <c r="X269" s="64"/>
      <c r="Y269" s="64"/>
      <c r="Z269" s="64"/>
      <c r="AA269" s="64"/>
      <c r="AB269" s="64"/>
      <c r="AC269" s="64"/>
      <c r="AD269" s="64"/>
      <c r="AE269" s="64"/>
      <c r="AF269" s="64"/>
      <c r="AG269" s="64"/>
      <c r="AH269" s="64"/>
    </row>
    <row r="270">
      <c r="A270" s="64"/>
      <c r="B270" s="64"/>
      <c r="C270" s="64"/>
      <c r="D270" s="64"/>
      <c r="E270" s="64"/>
      <c r="F270" s="64"/>
      <c r="G270" s="64"/>
      <c r="H270" s="64"/>
      <c r="I270" s="64"/>
      <c r="J270" s="64"/>
      <c r="K270" s="64"/>
      <c r="L270" s="64"/>
      <c r="M270" s="64"/>
      <c r="N270" s="64"/>
      <c r="O270" s="64"/>
      <c r="P270" s="64"/>
      <c r="Q270" s="64"/>
      <c r="R270" s="64"/>
      <c r="S270" s="64"/>
      <c r="T270" s="64"/>
      <c r="U270" s="64"/>
      <c r="V270" s="64"/>
      <c r="W270" s="64"/>
      <c r="X270" s="64"/>
      <c r="Y270" s="64"/>
      <c r="Z270" s="64"/>
      <c r="AA270" s="64"/>
      <c r="AB270" s="64"/>
      <c r="AC270" s="64"/>
      <c r="AD270" s="64"/>
      <c r="AE270" s="64"/>
      <c r="AF270" s="64"/>
      <c r="AG270" s="64"/>
      <c r="AH270" s="64"/>
    </row>
    <row r="271">
      <c r="A271" s="64"/>
      <c r="B271" s="64"/>
      <c r="C271" s="64"/>
      <c r="D271" s="64"/>
      <c r="E271" s="64"/>
      <c r="F271" s="64"/>
      <c r="G271" s="64"/>
      <c r="H271" s="64"/>
      <c r="I271" s="64"/>
      <c r="J271" s="64"/>
      <c r="K271" s="64"/>
      <c r="L271" s="64"/>
      <c r="M271" s="64"/>
      <c r="N271" s="64"/>
      <c r="O271" s="64"/>
      <c r="P271" s="64"/>
      <c r="Q271" s="64"/>
      <c r="R271" s="64"/>
      <c r="S271" s="64"/>
      <c r="T271" s="64"/>
      <c r="U271" s="64"/>
      <c r="V271" s="64"/>
      <c r="W271" s="64"/>
      <c r="X271" s="64"/>
      <c r="Y271" s="64"/>
      <c r="Z271" s="64"/>
      <c r="AA271" s="64"/>
      <c r="AB271" s="64"/>
      <c r="AC271" s="64"/>
      <c r="AD271" s="64"/>
      <c r="AE271" s="64"/>
      <c r="AF271" s="64"/>
      <c r="AG271" s="64"/>
      <c r="AH271" s="64"/>
    </row>
    <row r="272">
      <c r="A272" s="64"/>
      <c r="B272" s="64"/>
      <c r="C272" s="64"/>
      <c r="D272" s="64"/>
      <c r="E272" s="64"/>
      <c r="F272" s="64"/>
      <c r="G272" s="64"/>
      <c r="H272" s="64"/>
      <c r="I272" s="64"/>
      <c r="J272" s="64"/>
      <c r="K272" s="64"/>
      <c r="L272" s="64"/>
      <c r="M272" s="64"/>
      <c r="N272" s="64"/>
      <c r="O272" s="64"/>
      <c r="P272" s="64"/>
      <c r="Q272" s="64"/>
      <c r="R272" s="64"/>
      <c r="S272" s="64"/>
      <c r="T272" s="64"/>
      <c r="U272" s="64"/>
      <c r="V272" s="64"/>
      <c r="W272" s="64"/>
      <c r="X272" s="64"/>
      <c r="Y272" s="64"/>
      <c r="Z272" s="64"/>
      <c r="AA272" s="64"/>
      <c r="AB272" s="64"/>
      <c r="AC272" s="64"/>
      <c r="AD272" s="64"/>
      <c r="AE272" s="64"/>
      <c r="AF272" s="64"/>
      <c r="AG272" s="64"/>
      <c r="AH272" s="64"/>
    </row>
    <row r="273">
      <c r="A273" s="64"/>
      <c r="B273" s="64"/>
      <c r="C273" s="64"/>
      <c r="D273" s="64"/>
      <c r="E273" s="64"/>
      <c r="F273" s="64"/>
      <c r="G273" s="64"/>
      <c r="H273" s="64"/>
      <c r="I273" s="64"/>
      <c r="J273" s="64"/>
      <c r="K273" s="64"/>
      <c r="L273" s="64"/>
      <c r="M273" s="64"/>
      <c r="N273" s="64"/>
      <c r="O273" s="64"/>
      <c r="P273" s="64"/>
      <c r="Q273" s="64"/>
      <c r="R273" s="64"/>
      <c r="S273" s="64"/>
      <c r="T273" s="64"/>
      <c r="U273" s="64"/>
      <c r="V273" s="64"/>
      <c r="W273" s="64"/>
      <c r="X273" s="64"/>
      <c r="Y273" s="64"/>
      <c r="Z273" s="64"/>
      <c r="AA273" s="64"/>
      <c r="AB273" s="64"/>
      <c r="AC273" s="64"/>
      <c r="AD273" s="64"/>
      <c r="AE273" s="64"/>
      <c r="AF273" s="64"/>
      <c r="AG273" s="64"/>
      <c r="AH273" s="64"/>
    </row>
    <row r="274">
      <c r="A274" s="64"/>
      <c r="B274" s="64"/>
      <c r="C274" s="64"/>
      <c r="D274" s="64"/>
      <c r="E274" s="64"/>
      <c r="F274" s="64"/>
      <c r="G274" s="64"/>
      <c r="H274" s="64"/>
      <c r="I274" s="64"/>
      <c r="J274" s="64"/>
      <c r="K274" s="64"/>
      <c r="L274" s="64"/>
      <c r="M274" s="64"/>
      <c r="N274" s="64"/>
      <c r="O274" s="64"/>
      <c r="P274" s="64"/>
      <c r="Q274" s="64"/>
      <c r="R274" s="64"/>
      <c r="S274" s="64"/>
      <c r="T274" s="64"/>
      <c r="U274" s="64"/>
      <c r="V274" s="64"/>
      <c r="W274" s="64"/>
      <c r="X274" s="64"/>
      <c r="Y274" s="64"/>
      <c r="Z274" s="64"/>
      <c r="AA274" s="64"/>
      <c r="AB274" s="64"/>
      <c r="AC274" s="64"/>
      <c r="AD274" s="64"/>
      <c r="AE274" s="64"/>
      <c r="AF274" s="64"/>
      <c r="AG274" s="64"/>
      <c r="AH274" s="64"/>
    </row>
    <row r="275">
      <c r="A275" s="64"/>
      <c r="B275" s="64"/>
      <c r="C275" s="64"/>
      <c r="D275" s="64"/>
      <c r="E275" s="64"/>
      <c r="F275" s="64"/>
      <c r="G275" s="64"/>
      <c r="H275" s="64"/>
      <c r="I275" s="64"/>
      <c r="J275" s="64"/>
      <c r="K275" s="64"/>
      <c r="L275" s="64"/>
      <c r="M275" s="64"/>
      <c r="N275" s="64"/>
      <c r="O275" s="64"/>
      <c r="P275" s="64"/>
      <c r="Q275" s="64"/>
      <c r="R275" s="64"/>
      <c r="S275" s="64"/>
      <c r="T275" s="64"/>
      <c r="U275" s="64"/>
      <c r="V275" s="64"/>
      <c r="W275" s="64"/>
      <c r="X275" s="64"/>
      <c r="Y275" s="64"/>
      <c r="Z275" s="64"/>
      <c r="AA275" s="64"/>
      <c r="AB275" s="64"/>
      <c r="AC275" s="64"/>
      <c r="AD275" s="64"/>
      <c r="AE275" s="64"/>
      <c r="AF275" s="64"/>
      <c r="AG275" s="64"/>
      <c r="AH275" s="64"/>
    </row>
    <row r="276">
      <c r="A276" s="64"/>
      <c r="B276" s="64"/>
      <c r="C276" s="64"/>
      <c r="D276" s="64"/>
      <c r="E276" s="64"/>
      <c r="F276" s="64"/>
      <c r="G276" s="64"/>
      <c r="H276" s="64"/>
      <c r="I276" s="64"/>
      <c r="J276" s="64"/>
      <c r="K276" s="64"/>
      <c r="L276" s="64"/>
      <c r="M276" s="64"/>
      <c r="N276" s="64"/>
      <c r="O276" s="64"/>
      <c r="P276" s="64"/>
      <c r="Q276" s="64"/>
      <c r="R276" s="64"/>
      <c r="S276" s="64"/>
      <c r="T276" s="64"/>
      <c r="U276" s="64"/>
      <c r="V276" s="64"/>
      <c r="W276" s="64"/>
      <c r="X276" s="64"/>
      <c r="Y276" s="64"/>
      <c r="Z276" s="64"/>
      <c r="AA276" s="64"/>
      <c r="AB276" s="64"/>
      <c r="AC276" s="64"/>
      <c r="AD276" s="64"/>
      <c r="AE276" s="64"/>
      <c r="AF276" s="64"/>
      <c r="AG276" s="64"/>
      <c r="AH276" s="64"/>
    </row>
    <row r="277">
      <c r="A277" s="64"/>
      <c r="B277" s="64"/>
      <c r="C277" s="64"/>
      <c r="D277" s="64"/>
      <c r="E277" s="64"/>
      <c r="F277" s="64"/>
      <c r="G277" s="64"/>
      <c r="H277" s="64"/>
      <c r="I277" s="64"/>
      <c r="J277" s="64"/>
      <c r="K277" s="64"/>
      <c r="L277" s="64"/>
      <c r="M277" s="64"/>
      <c r="N277" s="64"/>
      <c r="O277" s="64"/>
      <c r="P277" s="64"/>
      <c r="Q277" s="64"/>
      <c r="R277" s="64"/>
      <c r="S277" s="64"/>
      <c r="T277" s="64"/>
      <c r="U277" s="64"/>
      <c r="V277" s="64"/>
      <c r="W277" s="64"/>
      <c r="X277" s="64"/>
      <c r="Y277" s="64"/>
      <c r="Z277" s="64"/>
      <c r="AA277" s="64"/>
      <c r="AB277" s="64"/>
      <c r="AC277" s="64"/>
      <c r="AD277" s="64"/>
      <c r="AE277" s="64"/>
      <c r="AF277" s="64"/>
      <c r="AG277" s="64"/>
      <c r="AH277" s="64"/>
    </row>
    <row r="278">
      <c r="A278" s="64"/>
      <c r="B278" s="64"/>
      <c r="C278" s="64"/>
      <c r="D278" s="64"/>
      <c r="E278" s="64"/>
      <c r="F278" s="64"/>
      <c r="G278" s="64"/>
      <c r="H278" s="64"/>
      <c r="I278" s="64"/>
      <c r="J278" s="64"/>
      <c r="K278" s="64"/>
      <c r="L278" s="64"/>
      <c r="M278" s="64"/>
      <c r="N278" s="64"/>
      <c r="O278" s="64"/>
      <c r="P278" s="64"/>
      <c r="Q278" s="64"/>
      <c r="R278" s="64"/>
      <c r="S278" s="64"/>
      <c r="T278" s="64"/>
      <c r="U278" s="64"/>
      <c r="V278" s="64"/>
      <c r="W278" s="64"/>
      <c r="X278" s="64"/>
      <c r="Y278" s="64"/>
      <c r="Z278" s="64"/>
      <c r="AA278" s="64"/>
      <c r="AB278" s="64"/>
      <c r="AC278" s="64"/>
      <c r="AD278" s="64"/>
      <c r="AE278" s="64"/>
      <c r="AF278" s="64"/>
      <c r="AG278" s="64"/>
      <c r="AH278" s="64"/>
    </row>
    <row r="279">
      <c r="A279" s="64"/>
      <c r="B279" s="64"/>
      <c r="C279" s="64"/>
      <c r="D279" s="64"/>
      <c r="E279" s="64"/>
      <c r="F279" s="64"/>
      <c r="G279" s="64"/>
      <c r="H279" s="64"/>
      <c r="I279" s="64"/>
      <c r="J279" s="64"/>
      <c r="K279" s="64"/>
      <c r="L279" s="64"/>
      <c r="M279" s="64"/>
      <c r="N279" s="64"/>
      <c r="O279" s="64"/>
      <c r="P279" s="64"/>
      <c r="Q279" s="64"/>
      <c r="R279" s="64"/>
      <c r="S279" s="64"/>
      <c r="T279" s="64"/>
      <c r="U279" s="64"/>
      <c r="V279" s="64"/>
      <c r="W279" s="64"/>
      <c r="X279" s="64"/>
      <c r="Y279" s="64"/>
      <c r="Z279" s="64"/>
      <c r="AA279" s="64"/>
      <c r="AB279" s="64"/>
      <c r="AC279" s="64"/>
      <c r="AD279" s="64"/>
      <c r="AE279" s="64"/>
      <c r="AF279" s="64"/>
      <c r="AG279" s="64"/>
      <c r="AH279" s="64"/>
    </row>
    <row r="280">
      <c r="A280" s="64"/>
      <c r="B280" s="64"/>
      <c r="C280" s="64"/>
      <c r="D280" s="64"/>
      <c r="E280" s="64"/>
      <c r="F280" s="64"/>
      <c r="G280" s="64"/>
      <c r="H280" s="64"/>
      <c r="I280" s="64"/>
      <c r="J280" s="64"/>
      <c r="K280" s="64"/>
      <c r="L280" s="64"/>
      <c r="M280" s="64"/>
      <c r="N280" s="64"/>
      <c r="O280" s="64"/>
      <c r="P280" s="64"/>
      <c r="Q280" s="64"/>
      <c r="R280" s="64"/>
      <c r="S280" s="64"/>
      <c r="T280" s="64"/>
      <c r="U280" s="64"/>
      <c r="V280" s="64"/>
      <c r="W280" s="64"/>
      <c r="X280" s="64"/>
      <c r="Y280" s="64"/>
      <c r="Z280" s="64"/>
      <c r="AA280" s="64"/>
      <c r="AB280" s="64"/>
      <c r="AC280" s="64"/>
      <c r="AD280" s="64"/>
      <c r="AE280" s="64"/>
      <c r="AF280" s="64"/>
      <c r="AG280" s="64"/>
      <c r="AH280" s="64"/>
    </row>
    <row r="281">
      <c r="A281" s="64"/>
      <c r="B281" s="64"/>
      <c r="C281" s="64"/>
      <c r="D281" s="64"/>
      <c r="E281" s="64"/>
      <c r="F281" s="64"/>
      <c r="G281" s="64"/>
      <c r="H281" s="64"/>
      <c r="I281" s="64"/>
      <c r="J281" s="64"/>
      <c r="K281" s="64"/>
      <c r="L281" s="64"/>
      <c r="M281" s="64"/>
      <c r="N281" s="64"/>
      <c r="O281" s="64"/>
      <c r="P281" s="64"/>
      <c r="Q281" s="64"/>
      <c r="R281" s="64"/>
      <c r="S281" s="64"/>
      <c r="T281" s="64"/>
      <c r="U281" s="64"/>
      <c r="V281" s="64"/>
      <c r="W281" s="64"/>
      <c r="X281" s="64"/>
      <c r="Y281" s="64"/>
      <c r="Z281" s="64"/>
      <c r="AA281" s="64"/>
      <c r="AB281" s="64"/>
      <c r="AC281" s="64"/>
      <c r="AD281" s="64"/>
      <c r="AE281" s="64"/>
      <c r="AF281" s="64"/>
      <c r="AG281" s="64"/>
      <c r="AH281" s="64"/>
    </row>
    <row r="282">
      <c r="A282" s="64"/>
      <c r="B282" s="64"/>
      <c r="C282" s="64"/>
      <c r="D282" s="64"/>
      <c r="E282" s="64"/>
      <c r="F282" s="64"/>
      <c r="G282" s="64"/>
      <c r="H282" s="64"/>
      <c r="I282" s="64"/>
      <c r="J282" s="64"/>
      <c r="K282" s="64"/>
      <c r="L282" s="64"/>
      <c r="M282" s="64"/>
      <c r="N282" s="64"/>
      <c r="O282" s="64"/>
      <c r="P282" s="64"/>
      <c r="Q282" s="64"/>
      <c r="R282" s="64"/>
      <c r="S282" s="64"/>
      <c r="T282" s="64"/>
      <c r="U282" s="64"/>
      <c r="V282" s="64"/>
      <c r="W282" s="64"/>
      <c r="X282" s="64"/>
      <c r="Y282" s="64"/>
      <c r="Z282" s="64"/>
      <c r="AA282" s="64"/>
      <c r="AB282" s="64"/>
      <c r="AC282" s="64"/>
      <c r="AD282" s="64"/>
      <c r="AE282" s="64"/>
      <c r="AF282" s="64"/>
      <c r="AG282" s="64"/>
      <c r="AH282" s="64"/>
    </row>
    <row r="283">
      <c r="A283" s="64"/>
      <c r="B283" s="64"/>
      <c r="C283" s="64"/>
      <c r="D283" s="64"/>
      <c r="E283" s="64"/>
      <c r="F283" s="64"/>
      <c r="G283" s="64"/>
      <c r="H283" s="64"/>
      <c r="I283" s="64"/>
      <c r="J283" s="64"/>
      <c r="K283" s="64"/>
      <c r="L283" s="64"/>
      <c r="M283" s="64"/>
      <c r="N283" s="64"/>
      <c r="O283" s="64"/>
      <c r="P283" s="64"/>
      <c r="Q283" s="64"/>
      <c r="R283" s="64"/>
      <c r="S283" s="64"/>
      <c r="T283" s="64"/>
      <c r="U283" s="64"/>
      <c r="V283" s="64"/>
      <c r="W283" s="64"/>
      <c r="X283" s="64"/>
      <c r="Y283" s="64"/>
      <c r="Z283" s="64"/>
      <c r="AA283" s="64"/>
      <c r="AB283" s="64"/>
      <c r="AC283" s="64"/>
      <c r="AD283" s="64"/>
      <c r="AE283" s="64"/>
      <c r="AF283" s="64"/>
      <c r="AG283" s="64"/>
      <c r="AH283" s="64"/>
    </row>
    <row r="284">
      <c r="A284" s="64"/>
      <c r="B284" s="64"/>
      <c r="C284" s="64"/>
      <c r="D284" s="64"/>
      <c r="E284" s="64"/>
      <c r="F284" s="64"/>
      <c r="G284" s="64"/>
      <c r="H284" s="64"/>
      <c r="I284" s="64"/>
      <c r="J284" s="64"/>
      <c r="K284" s="64"/>
      <c r="L284" s="64"/>
      <c r="M284" s="64"/>
      <c r="N284" s="64"/>
      <c r="O284" s="64"/>
      <c r="P284" s="64"/>
      <c r="Q284" s="64"/>
      <c r="R284" s="64"/>
      <c r="S284" s="64"/>
      <c r="T284" s="64"/>
      <c r="U284" s="64"/>
      <c r="V284" s="64"/>
      <c r="W284" s="64"/>
      <c r="X284" s="64"/>
      <c r="Y284" s="64"/>
      <c r="Z284" s="64"/>
      <c r="AA284" s="64"/>
      <c r="AB284" s="64"/>
      <c r="AC284" s="64"/>
      <c r="AD284" s="64"/>
      <c r="AE284" s="64"/>
      <c r="AF284" s="64"/>
      <c r="AG284" s="64"/>
      <c r="AH284" s="64"/>
    </row>
    <row r="285">
      <c r="A285" s="64"/>
      <c r="B285" s="64"/>
      <c r="C285" s="64"/>
      <c r="D285" s="64"/>
      <c r="E285" s="64"/>
      <c r="F285" s="64"/>
      <c r="G285" s="64"/>
      <c r="H285" s="64"/>
      <c r="I285" s="64"/>
      <c r="J285" s="64"/>
      <c r="K285" s="64"/>
      <c r="L285" s="64"/>
      <c r="M285" s="64"/>
      <c r="N285" s="64"/>
      <c r="O285" s="64"/>
      <c r="P285" s="64"/>
      <c r="Q285" s="64"/>
      <c r="R285" s="64"/>
      <c r="S285" s="64"/>
      <c r="T285" s="64"/>
      <c r="U285" s="64"/>
      <c r="V285" s="64"/>
      <c r="W285" s="64"/>
      <c r="X285" s="64"/>
      <c r="Y285" s="64"/>
      <c r="Z285" s="64"/>
      <c r="AA285" s="64"/>
      <c r="AB285" s="64"/>
      <c r="AC285" s="64"/>
      <c r="AD285" s="64"/>
      <c r="AE285" s="64"/>
      <c r="AF285" s="64"/>
      <c r="AG285" s="64"/>
      <c r="AH285" s="64"/>
    </row>
    <row r="286">
      <c r="A286" s="64"/>
      <c r="B286" s="64"/>
      <c r="C286" s="64"/>
      <c r="D286" s="64"/>
      <c r="E286" s="64"/>
      <c r="F286" s="64"/>
      <c r="G286" s="64"/>
      <c r="H286" s="64"/>
      <c r="I286" s="64"/>
      <c r="J286" s="64"/>
      <c r="K286" s="64"/>
      <c r="L286" s="64"/>
      <c r="M286" s="64"/>
      <c r="N286" s="64"/>
      <c r="O286" s="64"/>
      <c r="P286" s="64"/>
      <c r="Q286" s="64"/>
      <c r="R286" s="64"/>
      <c r="S286" s="64"/>
      <c r="T286" s="64"/>
      <c r="U286" s="64"/>
      <c r="V286" s="64"/>
      <c r="W286" s="64"/>
      <c r="X286" s="64"/>
      <c r="Y286" s="64"/>
      <c r="Z286" s="64"/>
      <c r="AA286" s="64"/>
      <c r="AB286" s="64"/>
      <c r="AC286" s="64"/>
      <c r="AD286" s="64"/>
      <c r="AE286" s="64"/>
      <c r="AF286" s="64"/>
      <c r="AG286" s="64"/>
      <c r="AH286" s="64"/>
    </row>
    <row r="287">
      <c r="A287" s="64"/>
      <c r="B287" s="64"/>
      <c r="C287" s="64"/>
      <c r="D287" s="64"/>
      <c r="E287" s="64"/>
      <c r="F287" s="64"/>
      <c r="G287" s="64"/>
      <c r="H287" s="64"/>
      <c r="I287" s="64"/>
      <c r="J287" s="64"/>
      <c r="K287" s="64"/>
      <c r="L287" s="64"/>
      <c r="M287" s="64"/>
      <c r="N287" s="64"/>
      <c r="O287" s="64"/>
      <c r="P287" s="64"/>
      <c r="Q287" s="64"/>
      <c r="R287" s="64"/>
      <c r="S287" s="64"/>
      <c r="T287" s="64"/>
      <c r="U287" s="64"/>
      <c r="V287" s="64"/>
      <c r="W287" s="64"/>
      <c r="X287" s="64"/>
      <c r="Y287" s="64"/>
      <c r="Z287" s="64"/>
      <c r="AA287" s="64"/>
      <c r="AB287" s="64"/>
      <c r="AC287" s="64"/>
      <c r="AD287" s="64"/>
      <c r="AE287" s="64"/>
      <c r="AF287" s="64"/>
      <c r="AG287" s="64"/>
      <c r="AH287" s="64"/>
    </row>
    <row r="288">
      <c r="A288" s="64"/>
      <c r="B288" s="64"/>
      <c r="C288" s="64"/>
      <c r="D288" s="64"/>
      <c r="E288" s="64"/>
      <c r="F288" s="64"/>
      <c r="G288" s="64"/>
      <c r="H288" s="64"/>
      <c r="I288" s="64"/>
      <c r="J288" s="64"/>
      <c r="K288" s="64"/>
      <c r="L288" s="64"/>
      <c r="M288" s="64"/>
      <c r="N288" s="64"/>
      <c r="O288" s="64"/>
      <c r="P288" s="64"/>
      <c r="Q288" s="64"/>
      <c r="R288" s="64"/>
      <c r="S288" s="64"/>
      <c r="T288" s="64"/>
      <c r="U288" s="64"/>
      <c r="V288" s="64"/>
      <c r="W288" s="64"/>
      <c r="X288" s="64"/>
      <c r="Y288" s="64"/>
      <c r="Z288" s="64"/>
      <c r="AA288" s="64"/>
      <c r="AB288" s="64"/>
      <c r="AC288" s="64"/>
      <c r="AD288" s="64"/>
      <c r="AE288" s="64"/>
      <c r="AF288" s="64"/>
      <c r="AG288" s="64"/>
      <c r="AH288" s="64"/>
    </row>
    <row r="289">
      <c r="A289" s="64"/>
      <c r="B289" s="64"/>
      <c r="C289" s="64"/>
      <c r="D289" s="64"/>
      <c r="E289" s="64"/>
      <c r="F289" s="64"/>
      <c r="G289" s="64"/>
      <c r="H289" s="64"/>
      <c r="I289" s="64"/>
      <c r="J289" s="64"/>
      <c r="K289" s="64"/>
      <c r="L289" s="64"/>
      <c r="M289" s="64"/>
      <c r="N289" s="64"/>
      <c r="O289" s="64"/>
      <c r="P289" s="64"/>
      <c r="Q289" s="64"/>
      <c r="R289" s="64"/>
      <c r="S289" s="64"/>
      <c r="T289" s="64"/>
      <c r="U289" s="64"/>
      <c r="V289" s="64"/>
      <c r="W289" s="64"/>
      <c r="X289" s="64"/>
      <c r="Y289" s="64"/>
      <c r="Z289" s="64"/>
      <c r="AA289" s="64"/>
      <c r="AB289" s="64"/>
      <c r="AC289" s="64"/>
      <c r="AD289" s="64"/>
      <c r="AE289" s="64"/>
      <c r="AF289" s="64"/>
      <c r="AG289" s="64"/>
      <c r="AH289" s="64"/>
    </row>
    <row r="290">
      <c r="A290" s="64"/>
      <c r="B290" s="64"/>
      <c r="C290" s="64"/>
      <c r="D290" s="64"/>
      <c r="E290" s="64"/>
      <c r="F290" s="64"/>
      <c r="G290" s="64"/>
      <c r="H290" s="64"/>
      <c r="I290" s="64"/>
      <c r="J290" s="64"/>
      <c r="K290" s="64"/>
      <c r="L290" s="64"/>
      <c r="M290" s="64"/>
      <c r="N290" s="64"/>
      <c r="O290" s="64"/>
      <c r="P290" s="64"/>
      <c r="Q290" s="64"/>
      <c r="R290" s="64"/>
      <c r="S290" s="64"/>
      <c r="T290" s="64"/>
      <c r="U290" s="64"/>
      <c r="V290" s="64"/>
      <c r="W290" s="64"/>
      <c r="X290" s="64"/>
      <c r="Y290" s="64"/>
      <c r="Z290" s="64"/>
      <c r="AA290" s="64"/>
      <c r="AB290" s="64"/>
      <c r="AC290" s="64"/>
      <c r="AD290" s="64"/>
      <c r="AE290" s="64"/>
      <c r="AF290" s="64"/>
      <c r="AG290" s="64"/>
      <c r="AH290" s="64"/>
    </row>
    <row r="291">
      <c r="A291" s="64"/>
      <c r="B291" s="64"/>
      <c r="C291" s="64"/>
      <c r="D291" s="64"/>
      <c r="E291" s="64"/>
      <c r="F291" s="64"/>
      <c r="G291" s="64"/>
      <c r="H291" s="64"/>
      <c r="I291" s="64"/>
      <c r="J291" s="64"/>
      <c r="K291" s="64"/>
      <c r="L291" s="64"/>
      <c r="M291" s="64"/>
      <c r="N291" s="64"/>
      <c r="O291" s="64"/>
      <c r="P291" s="64"/>
      <c r="Q291" s="64"/>
      <c r="R291" s="64"/>
      <c r="S291" s="64"/>
      <c r="T291" s="64"/>
      <c r="U291" s="64"/>
      <c r="V291" s="64"/>
      <c r="W291" s="64"/>
      <c r="X291" s="64"/>
      <c r="Y291" s="64"/>
      <c r="Z291" s="64"/>
      <c r="AA291" s="64"/>
      <c r="AB291" s="64"/>
      <c r="AC291" s="64"/>
      <c r="AD291" s="64"/>
      <c r="AE291" s="64"/>
      <c r="AF291" s="64"/>
      <c r="AG291" s="64"/>
      <c r="AH291" s="64"/>
    </row>
    <row r="292">
      <c r="A292" s="64"/>
      <c r="B292" s="64"/>
      <c r="C292" s="64"/>
      <c r="D292" s="64"/>
      <c r="E292" s="64"/>
      <c r="F292" s="64"/>
      <c r="G292" s="64"/>
      <c r="H292" s="64"/>
      <c r="I292" s="64"/>
      <c r="J292" s="64"/>
      <c r="K292" s="64"/>
      <c r="L292" s="64"/>
      <c r="M292" s="64"/>
      <c r="N292" s="64"/>
      <c r="O292" s="64"/>
      <c r="P292" s="64"/>
      <c r="Q292" s="64"/>
      <c r="R292" s="64"/>
      <c r="S292" s="64"/>
      <c r="T292" s="64"/>
      <c r="U292" s="64"/>
      <c r="V292" s="64"/>
      <c r="W292" s="64"/>
      <c r="X292" s="64"/>
      <c r="Y292" s="64"/>
      <c r="Z292" s="64"/>
      <c r="AA292" s="64"/>
      <c r="AB292" s="64"/>
      <c r="AC292" s="64"/>
      <c r="AD292" s="64"/>
      <c r="AE292" s="64"/>
      <c r="AF292" s="64"/>
      <c r="AG292" s="64"/>
      <c r="AH292" s="64"/>
    </row>
    <row r="293">
      <c r="A293" s="64"/>
      <c r="B293" s="64"/>
      <c r="C293" s="64"/>
      <c r="D293" s="64"/>
      <c r="E293" s="64"/>
      <c r="F293" s="64"/>
      <c r="G293" s="64"/>
      <c r="H293" s="64"/>
      <c r="I293" s="64"/>
      <c r="J293" s="64"/>
      <c r="K293" s="64"/>
      <c r="L293" s="64"/>
      <c r="M293" s="64"/>
      <c r="N293" s="64"/>
      <c r="O293" s="64"/>
      <c r="P293" s="64"/>
      <c r="Q293" s="64"/>
      <c r="R293" s="64"/>
      <c r="S293" s="64"/>
      <c r="T293" s="64"/>
      <c r="U293" s="64"/>
      <c r="V293" s="64"/>
      <c r="W293" s="64"/>
      <c r="X293" s="64"/>
      <c r="Y293" s="64"/>
      <c r="Z293" s="64"/>
      <c r="AA293" s="64"/>
      <c r="AB293" s="64"/>
      <c r="AC293" s="64"/>
      <c r="AD293" s="64"/>
      <c r="AE293" s="64"/>
      <c r="AF293" s="64"/>
      <c r="AG293" s="64"/>
      <c r="AH293" s="64"/>
    </row>
    <row r="294">
      <c r="A294" s="64"/>
      <c r="B294" s="64"/>
      <c r="C294" s="64"/>
      <c r="D294" s="64"/>
      <c r="E294" s="64"/>
      <c r="F294" s="64"/>
      <c r="G294" s="64"/>
      <c r="H294" s="64"/>
      <c r="I294" s="64"/>
      <c r="J294" s="64"/>
      <c r="K294" s="64"/>
      <c r="L294" s="64"/>
      <c r="M294" s="64"/>
      <c r="N294" s="64"/>
      <c r="O294" s="64"/>
      <c r="P294" s="64"/>
      <c r="Q294" s="64"/>
      <c r="R294" s="64"/>
      <c r="S294" s="64"/>
      <c r="T294" s="64"/>
      <c r="U294" s="64"/>
      <c r="V294" s="64"/>
      <c r="W294" s="64"/>
      <c r="X294" s="64"/>
      <c r="Y294" s="64"/>
      <c r="Z294" s="64"/>
      <c r="AA294" s="64"/>
      <c r="AB294" s="64"/>
      <c r="AC294" s="64"/>
      <c r="AD294" s="64"/>
      <c r="AE294" s="64"/>
      <c r="AF294" s="64"/>
      <c r="AG294" s="64"/>
      <c r="AH294" s="64"/>
    </row>
    <row r="295">
      <c r="A295" s="64"/>
      <c r="B295" s="64"/>
      <c r="C295" s="64"/>
      <c r="D295" s="64"/>
      <c r="E295" s="64"/>
      <c r="F295" s="64"/>
      <c r="G295" s="64"/>
      <c r="H295" s="64"/>
      <c r="I295" s="64"/>
      <c r="J295" s="64"/>
      <c r="K295" s="64"/>
      <c r="L295" s="64"/>
      <c r="M295" s="64"/>
      <c r="N295" s="64"/>
      <c r="O295" s="64"/>
      <c r="P295" s="64"/>
      <c r="Q295" s="64"/>
      <c r="R295" s="64"/>
      <c r="S295" s="64"/>
      <c r="T295" s="64"/>
      <c r="U295" s="64"/>
      <c r="V295" s="64"/>
      <c r="W295" s="64"/>
      <c r="X295" s="64"/>
      <c r="Y295" s="64"/>
      <c r="Z295" s="64"/>
      <c r="AA295" s="64"/>
      <c r="AB295" s="64"/>
      <c r="AC295" s="64"/>
      <c r="AD295" s="64"/>
      <c r="AE295" s="64"/>
      <c r="AF295" s="64"/>
      <c r="AG295" s="64"/>
      <c r="AH295" s="64"/>
    </row>
    <row r="296">
      <c r="A296" s="64"/>
      <c r="B296" s="64"/>
      <c r="C296" s="64"/>
      <c r="D296" s="64"/>
      <c r="E296" s="64"/>
      <c r="F296" s="64"/>
      <c r="G296" s="64"/>
      <c r="H296" s="64"/>
      <c r="I296" s="64"/>
      <c r="J296" s="64"/>
      <c r="K296" s="64"/>
      <c r="L296" s="64"/>
      <c r="M296" s="64"/>
      <c r="N296" s="64"/>
      <c r="O296" s="64"/>
      <c r="P296" s="64"/>
      <c r="Q296" s="64"/>
      <c r="R296" s="64"/>
      <c r="S296" s="64"/>
      <c r="T296" s="64"/>
      <c r="U296" s="64"/>
      <c r="V296" s="64"/>
      <c r="W296" s="64"/>
      <c r="X296" s="64"/>
      <c r="Y296" s="64"/>
      <c r="Z296" s="64"/>
      <c r="AA296" s="64"/>
      <c r="AB296" s="64"/>
      <c r="AC296" s="64"/>
      <c r="AD296" s="64"/>
      <c r="AE296" s="64"/>
      <c r="AF296" s="64"/>
      <c r="AG296" s="64"/>
      <c r="AH296" s="64"/>
    </row>
    <row r="297">
      <c r="A297" s="64"/>
      <c r="B297" s="64"/>
      <c r="C297" s="64"/>
      <c r="D297" s="64"/>
      <c r="E297" s="64"/>
      <c r="F297" s="64"/>
      <c r="G297" s="64"/>
      <c r="H297" s="64"/>
      <c r="I297" s="64"/>
      <c r="J297" s="64"/>
      <c r="K297" s="64"/>
      <c r="L297" s="64"/>
      <c r="M297" s="64"/>
      <c r="N297" s="64"/>
      <c r="O297" s="64"/>
      <c r="P297" s="64"/>
      <c r="Q297" s="64"/>
      <c r="R297" s="64"/>
      <c r="S297" s="64"/>
      <c r="T297" s="64"/>
      <c r="U297" s="64"/>
      <c r="V297" s="64"/>
      <c r="W297" s="64"/>
      <c r="X297" s="64"/>
      <c r="Y297" s="64"/>
      <c r="Z297" s="64"/>
      <c r="AA297" s="64"/>
      <c r="AB297" s="64"/>
      <c r="AC297" s="64"/>
      <c r="AD297" s="64"/>
      <c r="AE297" s="64"/>
      <c r="AF297" s="64"/>
      <c r="AG297" s="64"/>
      <c r="AH297" s="64"/>
    </row>
    <row r="298">
      <c r="A298" s="64"/>
      <c r="B298" s="64"/>
      <c r="C298" s="64"/>
      <c r="D298" s="64"/>
      <c r="E298" s="64"/>
      <c r="F298" s="64"/>
      <c r="G298" s="64"/>
      <c r="H298" s="64"/>
      <c r="I298" s="64"/>
      <c r="J298" s="64"/>
      <c r="K298" s="64"/>
      <c r="L298" s="64"/>
      <c r="M298" s="64"/>
      <c r="N298" s="64"/>
      <c r="O298" s="64"/>
      <c r="P298" s="64"/>
      <c r="Q298" s="64"/>
      <c r="R298" s="64"/>
      <c r="S298" s="64"/>
      <c r="T298" s="64"/>
      <c r="U298" s="64"/>
      <c r="V298" s="64"/>
      <c r="W298" s="64"/>
      <c r="X298" s="64"/>
      <c r="Y298" s="64"/>
      <c r="Z298" s="64"/>
      <c r="AA298" s="64"/>
      <c r="AB298" s="64"/>
      <c r="AC298" s="64"/>
      <c r="AD298" s="64"/>
      <c r="AE298" s="64"/>
      <c r="AF298" s="64"/>
      <c r="AG298" s="64"/>
      <c r="AH298" s="64"/>
    </row>
    <row r="299">
      <c r="A299" s="64"/>
      <c r="B299" s="64"/>
      <c r="C299" s="64"/>
      <c r="D299" s="64"/>
      <c r="E299" s="64"/>
      <c r="F299" s="64"/>
      <c r="G299" s="64"/>
      <c r="H299" s="64"/>
      <c r="I299" s="64"/>
      <c r="J299" s="64"/>
      <c r="K299" s="64"/>
      <c r="L299" s="64"/>
      <c r="M299" s="64"/>
      <c r="N299" s="64"/>
      <c r="O299" s="64"/>
      <c r="P299" s="64"/>
      <c r="Q299" s="64"/>
      <c r="R299" s="64"/>
      <c r="S299" s="64"/>
      <c r="T299" s="64"/>
      <c r="U299" s="64"/>
      <c r="V299" s="64"/>
      <c r="W299" s="64"/>
      <c r="X299" s="64"/>
      <c r="Y299" s="64"/>
      <c r="Z299" s="64"/>
      <c r="AA299" s="64"/>
      <c r="AB299" s="64"/>
      <c r="AC299" s="64"/>
      <c r="AD299" s="64"/>
      <c r="AE299" s="64"/>
      <c r="AF299" s="64"/>
      <c r="AG299" s="64"/>
      <c r="AH299" s="64"/>
    </row>
    <row r="300">
      <c r="A300" s="64"/>
      <c r="B300" s="64"/>
      <c r="C300" s="64"/>
      <c r="D300" s="64"/>
      <c r="E300" s="64"/>
      <c r="F300" s="64"/>
      <c r="G300" s="64"/>
      <c r="H300" s="64"/>
      <c r="I300" s="64"/>
      <c r="J300" s="64"/>
      <c r="K300" s="64"/>
      <c r="L300" s="64"/>
      <c r="M300" s="64"/>
      <c r="N300" s="64"/>
      <c r="O300" s="64"/>
      <c r="P300" s="64"/>
      <c r="Q300" s="64"/>
      <c r="R300" s="64"/>
      <c r="S300" s="64"/>
      <c r="T300" s="64"/>
      <c r="U300" s="64"/>
      <c r="V300" s="64"/>
      <c r="W300" s="64"/>
      <c r="X300" s="64"/>
      <c r="Y300" s="64"/>
      <c r="Z300" s="64"/>
      <c r="AA300" s="64"/>
      <c r="AB300" s="64"/>
      <c r="AC300" s="64"/>
      <c r="AD300" s="64"/>
      <c r="AE300" s="64"/>
      <c r="AF300" s="64"/>
      <c r="AG300" s="64"/>
      <c r="AH300" s="64"/>
    </row>
    <row r="301">
      <c r="A301" s="64"/>
      <c r="B301" s="64"/>
      <c r="C301" s="64"/>
      <c r="D301" s="64"/>
      <c r="E301" s="64"/>
      <c r="F301" s="64"/>
      <c r="G301" s="64"/>
      <c r="H301" s="64"/>
      <c r="I301" s="64"/>
      <c r="J301" s="64"/>
      <c r="K301" s="64"/>
      <c r="L301" s="64"/>
      <c r="M301" s="64"/>
      <c r="N301" s="64"/>
      <c r="O301" s="64"/>
      <c r="P301" s="64"/>
      <c r="Q301" s="64"/>
      <c r="R301" s="64"/>
      <c r="S301" s="64"/>
      <c r="T301" s="64"/>
      <c r="U301" s="64"/>
      <c r="V301" s="64"/>
      <c r="W301" s="64"/>
      <c r="X301" s="64"/>
      <c r="Y301" s="64"/>
      <c r="Z301" s="64"/>
      <c r="AA301" s="64"/>
      <c r="AB301" s="64"/>
      <c r="AC301" s="64"/>
      <c r="AD301" s="64"/>
      <c r="AE301" s="64"/>
      <c r="AF301" s="64"/>
      <c r="AG301" s="64"/>
      <c r="AH301" s="64"/>
    </row>
    <row r="302">
      <c r="A302" s="64"/>
      <c r="B302" s="64"/>
      <c r="C302" s="64"/>
      <c r="D302" s="64"/>
      <c r="E302" s="64"/>
      <c r="F302" s="64"/>
      <c r="G302" s="64"/>
      <c r="H302" s="64"/>
      <c r="I302" s="64"/>
      <c r="J302" s="64"/>
      <c r="K302" s="64"/>
      <c r="L302" s="64"/>
      <c r="M302" s="64"/>
      <c r="N302" s="64"/>
      <c r="O302" s="64"/>
      <c r="P302" s="64"/>
      <c r="Q302" s="64"/>
      <c r="R302" s="64"/>
      <c r="S302" s="64"/>
      <c r="T302" s="64"/>
      <c r="U302" s="64"/>
      <c r="V302" s="64"/>
      <c r="W302" s="64"/>
      <c r="X302" s="64"/>
      <c r="Y302" s="64"/>
      <c r="Z302" s="64"/>
      <c r="AA302" s="64"/>
      <c r="AB302" s="64"/>
      <c r="AC302" s="64"/>
      <c r="AD302" s="64"/>
      <c r="AE302" s="64"/>
      <c r="AF302" s="64"/>
      <c r="AG302" s="64"/>
      <c r="AH302" s="64"/>
    </row>
    <row r="303">
      <c r="A303" s="64"/>
      <c r="B303" s="64"/>
      <c r="C303" s="64"/>
      <c r="D303" s="64"/>
      <c r="E303" s="64"/>
      <c r="F303" s="64"/>
      <c r="G303" s="64"/>
      <c r="H303" s="64"/>
      <c r="I303" s="64"/>
      <c r="J303" s="64"/>
      <c r="K303" s="64"/>
      <c r="L303" s="64"/>
      <c r="M303" s="64"/>
      <c r="N303" s="64"/>
      <c r="O303" s="64"/>
      <c r="P303" s="64"/>
      <c r="Q303" s="64"/>
      <c r="R303" s="64"/>
      <c r="S303" s="64"/>
      <c r="T303" s="64"/>
      <c r="U303" s="64"/>
      <c r="V303" s="64"/>
      <c r="W303" s="64"/>
      <c r="X303" s="64"/>
      <c r="Y303" s="64"/>
      <c r="Z303" s="64"/>
      <c r="AA303" s="64"/>
      <c r="AB303" s="64"/>
      <c r="AC303" s="64"/>
      <c r="AD303" s="64"/>
      <c r="AE303" s="64"/>
      <c r="AF303" s="64"/>
      <c r="AG303" s="64"/>
      <c r="AH303" s="64"/>
    </row>
    <row r="304">
      <c r="A304" s="64"/>
      <c r="B304" s="64"/>
      <c r="C304" s="64"/>
      <c r="D304" s="64"/>
      <c r="E304" s="64"/>
      <c r="F304" s="64"/>
      <c r="G304" s="64"/>
      <c r="H304" s="64"/>
      <c r="I304" s="64"/>
      <c r="J304" s="64"/>
      <c r="K304" s="64"/>
      <c r="L304" s="64"/>
      <c r="M304" s="64"/>
      <c r="N304" s="64"/>
      <c r="O304" s="64"/>
      <c r="P304" s="64"/>
      <c r="Q304" s="64"/>
      <c r="R304" s="64"/>
      <c r="S304" s="64"/>
      <c r="T304" s="64"/>
      <c r="U304" s="64"/>
      <c r="V304" s="64"/>
      <c r="W304" s="64"/>
      <c r="X304" s="64"/>
      <c r="Y304" s="64"/>
      <c r="Z304" s="64"/>
      <c r="AA304" s="64"/>
      <c r="AB304" s="64"/>
      <c r="AC304" s="64"/>
      <c r="AD304" s="64"/>
      <c r="AE304" s="64"/>
      <c r="AF304" s="64"/>
      <c r="AG304" s="64"/>
      <c r="AH304" s="64"/>
    </row>
    <row r="305">
      <c r="A305" s="64"/>
      <c r="B305" s="64"/>
      <c r="C305" s="64"/>
      <c r="D305" s="64"/>
      <c r="E305" s="64"/>
      <c r="F305" s="64"/>
      <c r="G305" s="64"/>
      <c r="H305" s="64"/>
      <c r="I305" s="64"/>
      <c r="J305" s="64"/>
      <c r="K305" s="64"/>
      <c r="L305" s="64"/>
      <c r="M305" s="64"/>
      <c r="N305" s="64"/>
      <c r="O305" s="64"/>
      <c r="P305" s="64"/>
      <c r="Q305" s="64"/>
      <c r="R305" s="64"/>
      <c r="S305" s="64"/>
      <c r="T305" s="64"/>
      <c r="U305" s="64"/>
      <c r="V305" s="64"/>
      <c r="W305" s="64"/>
      <c r="X305" s="64"/>
      <c r="Y305" s="64"/>
      <c r="Z305" s="64"/>
      <c r="AA305" s="64"/>
      <c r="AB305" s="64"/>
      <c r="AC305" s="64"/>
      <c r="AD305" s="64"/>
      <c r="AE305" s="64"/>
      <c r="AF305" s="64"/>
      <c r="AG305" s="64"/>
      <c r="AH305" s="64"/>
    </row>
    <row r="306">
      <c r="A306" s="64"/>
      <c r="B306" s="64"/>
      <c r="C306" s="64"/>
      <c r="D306" s="64"/>
      <c r="E306" s="64"/>
      <c r="F306" s="64"/>
      <c r="G306" s="64"/>
      <c r="H306" s="64"/>
      <c r="I306" s="64"/>
      <c r="J306" s="64"/>
      <c r="K306" s="64"/>
      <c r="L306" s="64"/>
      <c r="M306" s="64"/>
      <c r="N306" s="64"/>
      <c r="O306" s="64"/>
      <c r="P306" s="64"/>
      <c r="Q306" s="64"/>
      <c r="R306" s="64"/>
      <c r="S306" s="64"/>
      <c r="T306" s="64"/>
      <c r="U306" s="64"/>
      <c r="V306" s="64"/>
      <c r="W306" s="64"/>
      <c r="X306" s="64"/>
      <c r="Y306" s="64"/>
      <c r="Z306" s="64"/>
      <c r="AA306" s="64"/>
      <c r="AB306" s="64"/>
      <c r="AC306" s="64"/>
      <c r="AD306" s="64"/>
      <c r="AE306" s="64"/>
      <c r="AF306" s="64"/>
      <c r="AG306" s="64"/>
      <c r="AH306" s="64"/>
    </row>
    <row r="307">
      <c r="A307" s="64"/>
      <c r="B307" s="64"/>
      <c r="C307" s="64"/>
      <c r="D307" s="64"/>
      <c r="E307" s="64"/>
      <c r="F307" s="64"/>
      <c r="G307" s="64"/>
      <c r="H307" s="64"/>
      <c r="I307" s="64"/>
      <c r="J307" s="64"/>
      <c r="K307" s="64"/>
      <c r="L307" s="64"/>
      <c r="M307" s="64"/>
      <c r="N307" s="64"/>
      <c r="O307" s="64"/>
      <c r="P307" s="64"/>
      <c r="Q307" s="64"/>
      <c r="R307" s="64"/>
      <c r="S307" s="64"/>
      <c r="T307" s="64"/>
      <c r="U307" s="64"/>
      <c r="V307" s="64"/>
      <c r="W307" s="64"/>
      <c r="X307" s="64"/>
      <c r="Y307" s="64"/>
      <c r="Z307" s="64"/>
      <c r="AA307" s="64"/>
      <c r="AB307" s="64"/>
      <c r="AC307" s="64"/>
      <c r="AD307" s="64"/>
      <c r="AE307" s="64"/>
      <c r="AF307" s="64"/>
      <c r="AG307" s="64"/>
      <c r="AH307" s="64"/>
    </row>
    <row r="308">
      <c r="A308" s="64"/>
      <c r="B308" s="64"/>
      <c r="C308" s="64"/>
      <c r="D308" s="64"/>
      <c r="E308" s="64"/>
      <c r="F308" s="64"/>
      <c r="G308" s="64"/>
      <c r="H308" s="64"/>
      <c r="I308" s="64"/>
      <c r="J308" s="64"/>
      <c r="K308" s="64"/>
      <c r="L308" s="64"/>
      <c r="M308" s="64"/>
      <c r="N308" s="64"/>
      <c r="O308" s="64"/>
      <c r="P308" s="64"/>
      <c r="Q308" s="64"/>
      <c r="R308" s="64"/>
      <c r="S308" s="64"/>
      <c r="T308" s="64"/>
      <c r="U308" s="64"/>
      <c r="V308" s="64"/>
      <c r="W308" s="64"/>
      <c r="X308" s="64"/>
      <c r="Y308" s="64"/>
      <c r="Z308" s="64"/>
      <c r="AA308" s="64"/>
      <c r="AB308" s="64"/>
      <c r="AC308" s="64"/>
      <c r="AD308" s="64"/>
      <c r="AE308" s="64"/>
      <c r="AF308" s="64"/>
      <c r="AG308" s="64"/>
      <c r="AH308" s="64"/>
    </row>
    <row r="309">
      <c r="A309" s="64"/>
      <c r="B309" s="64"/>
      <c r="C309" s="64"/>
      <c r="D309" s="64"/>
      <c r="E309" s="64"/>
      <c r="F309" s="64"/>
      <c r="G309" s="64"/>
      <c r="H309" s="64"/>
      <c r="I309" s="64"/>
      <c r="J309" s="64"/>
      <c r="K309" s="64"/>
      <c r="L309" s="64"/>
      <c r="M309" s="64"/>
      <c r="N309" s="64"/>
      <c r="O309" s="64"/>
      <c r="P309" s="64"/>
      <c r="Q309" s="64"/>
      <c r="R309" s="64"/>
      <c r="S309" s="64"/>
      <c r="T309" s="64"/>
      <c r="U309" s="64"/>
      <c r="V309" s="64"/>
      <c r="W309" s="64"/>
      <c r="X309" s="64"/>
      <c r="Y309" s="64"/>
      <c r="Z309" s="64"/>
      <c r="AA309" s="64"/>
      <c r="AB309" s="64"/>
      <c r="AC309" s="64"/>
      <c r="AD309" s="64"/>
      <c r="AE309" s="64"/>
      <c r="AF309" s="64"/>
      <c r="AG309" s="64"/>
      <c r="AH309" s="64"/>
    </row>
    <row r="310">
      <c r="A310" s="64"/>
      <c r="B310" s="64"/>
      <c r="C310" s="64"/>
      <c r="D310" s="64"/>
      <c r="E310" s="64"/>
      <c r="F310" s="64"/>
      <c r="G310" s="64"/>
      <c r="H310" s="64"/>
      <c r="I310" s="64"/>
      <c r="J310" s="64"/>
      <c r="K310" s="64"/>
      <c r="L310" s="64"/>
      <c r="M310" s="64"/>
      <c r="N310" s="64"/>
      <c r="O310" s="64"/>
      <c r="P310" s="64"/>
      <c r="Q310" s="64"/>
      <c r="R310" s="64"/>
      <c r="S310" s="64"/>
      <c r="T310" s="64"/>
      <c r="U310" s="64"/>
      <c r="V310" s="64"/>
      <c r="W310" s="64"/>
      <c r="X310" s="64"/>
      <c r="Y310" s="64"/>
      <c r="Z310" s="64"/>
      <c r="AA310" s="64"/>
      <c r="AB310" s="64"/>
      <c r="AC310" s="64"/>
      <c r="AD310" s="64"/>
      <c r="AE310" s="64"/>
      <c r="AF310" s="64"/>
      <c r="AG310" s="64"/>
      <c r="AH310" s="64"/>
    </row>
    <row r="311">
      <c r="A311" s="64"/>
      <c r="B311" s="64"/>
      <c r="C311" s="64"/>
      <c r="D311" s="64"/>
      <c r="E311" s="64"/>
      <c r="F311" s="64"/>
      <c r="G311" s="64"/>
      <c r="H311" s="64"/>
      <c r="I311" s="64"/>
      <c r="J311" s="64"/>
      <c r="K311" s="64"/>
      <c r="L311" s="64"/>
      <c r="M311" s="64"/>
      <c r="N311" s="64"/>
      <c r="O311" s="64"/>
      <c r="P311" s="64"/>
      <c r="Q311" s="64"/>
      <c r="R311" s="64"/>
      <c r="S311" s="64"/>
      <c r="T311" s="64"/>
      <c r="U311" s="64"/>
      <c r="V311" s="64"/>
      <c r="W311" s="64"/>
      <c r="X311" s="64"/>
      <c r="Y311" s="64"/>
      <c r="Z311" s="64"/>
      <c r="AA311" s="64"/>
      <c r="AB311" s="64"/>
      <c r="AC311" s="64"/>
      <c r="AD311" s="64"/>
      <c r="AE311" s="64"/>
      <c r="AF311" s="64"/>
      <c r="AG311" s="64"/>
      <c r="AH311" s="64"/>
    </row>
    <row r="312">
      <c r="A312" s="64"/>
      <c r="B312" s="64"/>
      <c r="C312" s="64"/>
      <c r="D312" s="64"/>
      <c r="E312" s="64"/>
      <c r="F312" s="64"/>
      <c r="G312" s="64"/>
      <c r="H312" s="64"/>
      <c r="I312" s="64"/>
      <c r="J312" s="64"/>
      <c r="K312" s="64"/>
      <c r="L312" s="64"/>
      <c r="M312" s="64"/>
      <c r="N312" s="64"/>
      <c r="O312" s="64"/>
      <c r="P312" s="64"/>
      <c r="Q312" s="64"/>
      <c r="R312" s="64"/>
      <c r="S312" s="64"/>
      <c r="T312" s="64"/>
      <c r="U312" s="64"/>
      <c r="V312" s="64"/>
      <c r="W312" s="64"/>
      <c r="X312" s="64"/>
      <c r="Y312" s="64"/>
      <c r="Z312" s="64"/>
      <c r="AA312" s="64"/>
      <c r="AB312" s="64"/>
      <c r="AC312" s="64"/>
      <c r="AD312" s="64"/>
      <c r="AE312" s="64"/>
      <c r="AF312" s="64"/>
      <c r="AG312" s="64"/>
      <c r="AH312" s="64"/>
    </row>
    <row r="313">
      <c r="A313" s="64"/>
      <c r="B313" s="64"/>
      <c r="C313" s="64"/>
      <c r="D313" s="64"/>
      <c r="E313" s="64"/>
      <c r="F313" s="64"/>
      <c r="G313" s="64"/>
      <c r="H313" s="64"/>
      <c r="I313" s="64"/>
      <c r="J313" s="64"/>
      <c r="K313" s="64"/>
      <c r="L313" s="64"/>
      <c r="M313" s="64"/>
      <c r="N313" s="64"/>
      <c r="O313" s="64"/>
      <c r="P313" s="64"/>
      <c r="Q313" s="64"/>
      <c r="R313" s="64"/>
      <c r="S313" s="64"/>
      <c r="T313" s="64"/>
      <c r="U313" s="64"/>
      <c r="V313" s="64"/>
      <c r="W313" s="64"/>
      <c r="X313" s="64"/>
      <c r="Y313" s="64"/>
      <c r="Z313" s="64"/>
      <c r="AA313" s="64"/>
      <c r="AB313" s="64"/>
      <c r="AC313" s="64"/>
      <c r="AD313" s="64"/>
      <c r="AE313" s="64"/>
      <c r="AF313" s="64"/>
      <c r="AG313" s="64"/>
      <c r="AH313" s="64"/>
    </row>
    <row r="314">
      <c r="A314" s="64"/>
      <c r="B314" s="64"/>
      <c r="C314" s="64"/>
      <c r="D314" s="64"/>
      <c r="E314" s="64"/>
      <c r="F314" s="64"/>
      <c r="G314" s="64"/>
      <c r="H314" s="64"/>
      <c r="I314" s="64"/>
      <c r="J314" s="64"/>
      <c r="K314" s="64"/>
      <c r="L314" s="64"/>
      <c r="M314" s="64"/>
      <c r="N314" s="64"/>
      <c r="O314" s="64"/>
      <c r="P314" s="64"/>
      <c r="Q314" s="64"/>
      <c r="R314" s="64"/>
      <c r="S314" s="64"/>
      <c r="T314" s="64"/>
      <c r="U314" s="64"/>
      <c r="V314" s="64"/>
      <c r="W314" s="64"/>
      <c r="X314" s="64"/>
      <c r="Y314" s="64"/>
      <c r="Z314" s="64"/>
      <c r="AA314" s="64"/>
      <c r="AB314" s="64"/>
      <c r="AC314" s="64"/>
      <c r="AD314" s="64"/>
      <c r="AE314" s="64"/>
      <c r="AF314" s="64"/>
      <c r="AG314" s="64"/>
      <c r="AH314" s="64"/>
    </row>
    <row r="315">
      <c r="A315" s="64"/>
      <c r="B315" s="64"/>
      <c r="C315" s="64"/>
      <c r="D315" s="64"/>
      <c r="E315" s="64"/>
      <c r="F315" s="64"/>
      <c r="G315" s="64"/>
      <c r="H315" s="64"/>
      <c r="I315" s="64"/>
      <c r="J315" s="64"/>
      <c r="K315" s="64"/>
      <c r="L315" s="64"/>
      <c r="M315" s="64"/>
      <c r="N315" s="64"/>
      <c r="O315" s="64"/>
      <c r="P315" s="64"/>
      <c r="Q315" s="64"/>
      <c r="R315" s="64"/>
      <c r="S315" s="64"/>
      <c r="T315" s="64"/>
      <c r="U315" s="64"/>
      <c r="V315" s="64"/>
      <c r="W315" s="64"/>
      <c r="X315" s="64"/>
      <c r="Y315" s="64"/>
      <c r="Z315" s="64"/>
      <c r="AA315" s="64"/>
      <c r="AB315" s="64"/>
      <c r="AC315" s="64"/>
      <c r="AD315" s="64"/>
      <c r="AE315" s="64"/>
      <c r="AF315" s="64"/>
      <c r="AG315" s="64"/>
      <c r="AH315" s="64"/>
    </row>
    <row r="316">
      <c r="A316" s="64"/>
      <c r="B316" s="64"/>
      <c r="C316" s="64"/>
      <c r="D316" s="64"/>
      <c r="E316" s="64"/>
      <c r="F316" s="64"/>
      <c r="G316" s="64"/>
      <c r="H316" s="64"/>
      <c r="I316" s="64"/>
      <c r="J316" s="64"/>
      <c r="K316" s="64"/>
      <c r="L316" s="64"/>
      <c r="M316" s="64"/>
      <c r="N316" s="64"/>
      <c r="O316" s="64"/>
      <c r="P316" s="64"/>
      <c r="Q316" s="64"/>
      <c r="R316" s="64"/>
      <c r="S316" s="64"/>
      <c r="T316" s="64"/>
      <c r="U316" s="64"/>
      <c r="V316" s="64"/>
      <c r="W316" s="64"/>
      <c r="X316" s="64"/>
      <c r="Y316" s="64"/>
      <c r="Z316" s="64"/>
      <c r="AA316" s="64"/>
      <c r="AB316" s="64"/>
      <c r="AC316" s="64"/>
      <c r="AD316" s="64"/>
      <c r="AE316" s="64"/>
      <c r="AF316" s="64"/>
      <c r="AG316" s="64"/>
      <c r="AH316" s="64"/>
    </row>
    <row r="317">
      <c r="A317" s="64"/>
      <c r="B317" s="64"/>
      <c r="C317" s="64"/>
      <c r="D317" s="64"/>
      <c r="E317" s="64"/>
      <c r="F317" s="64"/>
      <c r="G317" s="64"/>
      <c r="H317" s="64"/>
      <c r="I317" s="64"/>
      <c r="J317" s="64"/>
      <c r="K317" s="64"/>
      <c r="L317" s="64"/>
      <c r="M317" s="64"/>
      <c r="N317" s="64"/>
      <c r="O317" s="64"/>
      <c r="P317" s="64"/>
      <c r="Q317" s="64"/>
      <c r="R317" s="64"/>
      <c r="S317" s="64"/>
      <c r="T317" s="64"/>
      <c r="U317" s="64"/>
      <c r="V317" s="64"/>
      <c r="W317" s="64"/>
      <c r="X317" s="64"/>
      <c r="Y317" s="64"/>
      <c r="Z317" s="64"/>
      <c r="AA317" s="64"/>
      <c r="AB317" s="64"/>
      <c r="AC317" s="64"/>
      <c r="AD317" s="64"/>
      <c r="AE317" s="64"/>
      <c r="AF317" s="64"/>
      <c r="AG317" s="64"/>
      <c r="AH317" s="64"/>
    </row>
    <row r="318">
      <c r="A318" s="64"/>
      <c r="B318" s="64"/>
      <c r="C318" s="64"/>
      <c r="D318" s="64"/>
      <c r="E318" s="64"/>
      <c r="F318" s="64"/>
      <c r="G318" s="64"/>
      <c r="H318" s="64"/>
      <c r="I318" s="64"/>
      <c r="J318" s="64"/>
      <c r="K318" s="64"/>
      <c r="L318" s="64"/>
      <c r="M318" s="64"/>
      <c r="N318" s="64"/>
      <c r="O318" s="64"/>
      <c r="P318" s="64"/>
      <c r="Q318" s="64"/>
      <c r="R318" s="64"/>
      <c r="S318" s="64"/>
      <c r="T318" s="64"/>
      <c r="U318" s="64"/>
      <c r="V318" s="64"/>
      <c r="W318" s="64"/>
      <c r="X318" s="64"/>
      <c r="Y318" s="64"/>
      <c r="Z318" s="64"/>
      <c r="AA318" s="64"/>
      <c r="AB318" s="64"/>
      <c r="AC318" s="64"/>
      <c r="AD318" s="64"/>
      <c r="AE318" s="64"/>
      <c r="AF318" s="64"/>
      <c r="AG318" s="64"/>
      <c r="AH318" s="64"/>
    </row>
    <row r="319">
      <c r="A319" s="64"/>
      <c r="B319" s="64"/>
      <c r="C319" s="64"/>
      <c r="D319" s="64"/>
      <c r="E319" s="64"/>
      <c r="F319" s="64"/>
      <c r="G319" s="64"/>
      <c r="H319" s="64"/>
      <c r="I319" s="64"/>
      <c r="J319" s="64"/>
      <c r="K319" s="64"/>
      <c r="L319" s="64"/>
      <c r="M319" s="64"/>
      <c r="N319" s="64"/>
      <c r="O319" s="64"/>
      <c r="P319" s="64"/>
      <c r="Q319" s="64"/>
      <c r="R319" s="64"/>
      <c r="S319" s="64"/>
      <c r="T319" s="64"/>
      <c r="U319" s="64"/>
      <c r="V319" s="64"/>
      <c r="W319" s="64"/>
      <c r="X319" s="64"/>
      <c r="Y319" s="64"/>
      <c r="Z319" s="64"/>
      <c r="AA319" s="64"/>
      <c r="AB319" s="64"/>
      <c r="AC319" s="64"/>
      <c r="AD319" s="64"/>
      <c r="AE319" s="64"/>
      <c r="AF319" s="64"/>
      <c r="AG319" s="64"/>
      <c r="AH319" s="64"/>
    </row>
    <row r="320">
      <c r="A320" s="64"/>
      <c r="B320" s="64"/>
      <c r="C320" s="64"/>
      <c r="D320" s="64"/>
      <c r="E320" s="64"/>
      <c r="F320" s="64"/>
      <c r="G320" s="64"/>
      <c r="H320" s="64"/>
      <c r="I320" s="64"/>
      <c r="J320" s="64"/>
      <c r="K320" s="64"/>
      <c r="L320" s="64"/>
      <c r="M320" s="64"/>
      <c r="N320" s="64"/>
      <c r="O320" s="64"/>
      <c r="P320" s="64"/>
      <c r="Q320" s="64"/>
      <c r="R320" s="64"/>
      <c r="S320" s="64"/>
      <c r="T320" s="64"/>
      <c r="U320" s="64"/>
      <c r="V320" s="64"/>
      <c r="W320" s="64"/>
      <c r="X320" s="64"/>
      <c r="Y320" s="64"/>
      <c r="Z320" s="64"/>
      <c r="AA320" s="64"/>
      <c r="AB320" s="64"/>
      <c r="AC320" s="64"/>
      <c r="AD320" s="64"/>
      <c r="AE320" s="64"/>
      <c r="AF320" s="64"/>
      <c r="AG320" s="64"/>
      <c r="AH320" s="64"/>
    </row>
    <row r="321">
      <c r="A321" s="64"/>
      <c r="B321" s="64"/>
      <c r="C321" s="64"/>
      <c r="D321" s="64"/>
      <c r="E321" s="64"/>
      <c r="F321" s="64"/>
      <c r="G321" s="64"/>
      <c r="H321" s="64"/>
      <c r="I321" s="64"/>
      <c r="J321" s="64"/>
      <c r="K321" s="64"/>
      <c r="L321" s="64"/>
      <c r="M321" s="64"/>
      <c r="N321" s="64"/>
      <c r="O321" s="64"/>
      <c r="P321" s="64"/>
      <c r="Q321" s="64"/>
      <c r="R321" s="64"/>
      <c r="S321" s="64"/>
      <c r="T321" s="64"/>
      <c r="U321" s="64"/>
      <c r="V321" s="64"/>
      <c r="W321" s="64"/>
      <c r="X321" s="64"/>
      <c r="Y321" s="64"/>
      <c r="Z321" s="64"/>
      <c r="AA321" s="64"/>
      <c r="AB321" s="64"/>
      <c r="AC321" s="64"/>
      <c r="AD321" s="64"/>
      <c r="AE321" s="64"/>
      <c r="AF321" s="64"/>
      <c r="AG321" s="64"/>
      <c r="AH321" s="64"/>
    </row>
    <row r="322">
      <c r="A322" s="64"/>
      <c r="B322" s="64"/>
      <c r="C322" s="64"/>
      <c r="D322" s="64"/>
      <c r="E322" s="64"/>
      <c r="F322" s="64"/>
      <c r="G322" s="64"/>
      <c r="H322" s="64"/>
      <c r="I322" s="64"/>
      <c r="J322" s="64"/>
      <c r="K322" s="64"/>
      <c r="L322" s="64"/>
      <c r="M322" s="64"/>
      <c r="N322" s="64"/>
      <c r="O322" s="64"/>
      <c r="P322" s="64"/>
      <c r="Q322" s="64"/>
      <c r="R322" s="64"/>
      <c r="S322" s="64"/>
      <c r="T322" s="64"/>
      <c r="U322" s="64"/>
      <c r="V322" s="64"/>
      <c r="W322" s="64"/>
      <c r="X322" s="64"/>
      <c r="Y322" s="64"/>
      <c r="Z322" s="64"/>
      <c r="AA322" s="64"/>
      <c r="AB322" s="64"/>
      <c r="AC322" s="64"/>
      <c r="AD322" s="64"/>
      <c r="AE322" s="64"/>
      <c r="AF322" s="64"/>
      <c r="AG322" s="64"/>
      <c r="AH322" s="64"/>
    </row>
    <row r="323">
      <c r="A323" s="64"/>
      <c r="B323" s="64"/>
      <c r="C323" s="64"/>
      <c r="D323" s="64"/>
      <c r="E323" s="64"/>
      <c r="F323" s="64"/>
      <c r="G323" s="64"/>
      <c r="H323" s="64"/>
      <c r="I323" s="64"/>
      <c r="J323" s="64"/>
      <c r="K323" s="64"/>
      <c r="L323" s="64"/>
      <c r="M323" s="64"/>
      <c r="N323" s="64"/>
      <c r="O323" s="64"/>
      <c r="P323" s="64"/>
      <c r="Q323" s="64"/>
      <c r="R323" s="64"/>
      <c r="S323" s="64"/>
      <c r="T323" s="64"/>
      <c r="U323" s="64"/>
      <c r="V323" s="64"/>
      <c r="W323" s="64"/>
      <c r="X323" s="64"/>
      <c r="Y323" s="64"/>
      <c r="Z323" s="64"/>
      <c r="AA323" s="64"/>
      <c r="AB323" s="64"/>
      <c r="AC323" s="64"/>
      <c r="AD323" s="64"/>
      <c r="AE323" s="64"/>
      <c r="AF323" s="64"/>
      <c r="AG323" s="64"/>
      <c r="AH323" s="64"/>
    </row>
    <row r="324">
      <c r="A324" s="64"/>
      <c r="B324" s="64"/>
      <c r="C324" s="64"/>
      <c r="D324" s="64"/>
      <c r="E324" s="64"/>
      <c r="F324" s="64"/>
      <c r="G324" s="64"/>
      <c r="H324" s="64"/>
      <c r="I324" s="64"/>
      <c r="J324" s="64"/>
      <c r="K324" s="64"/>
      <c r="L324" s="64"/>
      <c r="M324" s="64"/>
      <c r="N324" s="64"/>
      <c r="O324" s="64"/>
      <c r="P324" s="64"/>
      <c r="Q324" s="64"/>
      <c r="R324" s="64"/>
      <c r="S324" s="64"/>
      <c r="T324" s="64"/>
      <c r="U324" s="64"/>
      <c r="V324" s="64"/>
      <c r="W324" s="64"/>
      <c r="X324" s="64"/>
      <c r="Y324" s="64"/>
      <c r="Z324" s="64"/>
      <c r="AA324" s="64"/>
      <c r="AB324" s="64"/>
      <c r="AC324" s="64"/>
      <c r="AD324" s="64"/>
      <c r="AE324" s="64"/>
      <c r="AF324" s="64"/>
      <c r="AG324" s="64"/>
      <c r="AH324" s="64"/>
    </row>
    <row r="325">
      <c r="A325" s="64"/>
      <c r="B325" s="64"/>
      <c r="C325" s="64"/>
      <c r="D325" s="64"/>
      <c r="E325" s="64"/>
      <c r="F325" s="64"/>
      <c r="G325" s="64"/>
      <c r="H325" s="64"/>
      <c r="I325" s="64"/>
      <c r="J325" s="64"/>
      <c r="K325" s="64"/>
      <c r="L325" s="64"/>
      <c r="M325" s="64"/>
      <c r="N325" s="64"/>
      <c r="O325" s="64"/>
      <c r="P325" s="64"/>
      <c r="Q325" s="64"/>
      <c r="R325" s="64"/>
      <c r="S325" s="64"/>
      <c r="T325" s="64"/>
      <c r="U325" s="64"/>
      <c r="V325" s="64"/>
      <c r="W325" s="64"/>
      <c r="X325" s="64"/>
      <c r="Y325" s="64"/>
      <c r="Z325" s="64"/>
      <c r="AA325" s="64"/>
      <c r="AB325" s="64"/>
      <c r="AC325" s="64"/>
      <c r="AD325" s="64"/>
      <c r="AE325" s="64"/>
      <c r="AF325" s="64"/>
      <c r="AG325" s="64"/>
      <c r="AH325" s="64"/>
    </row>
    <row r="326">
      <c r="A326" s="64"/>
      <c r="B326" s="64"/>
      <c r="C326" s="64"/>
      <c r="D326" s="64"/>
      <c r="E326" s="64"/>
      <c r="F326" s="64"/>
      <c r="G326" s="64"/>
      <c r="H326" s="64"/>
      <c r="I326" s="64"/>
      <c r="J326" s="64"/>
      <c r="K326" s="64"/>
      <c r="L326" s="64"/>
      <c r="M326" s="64"/>
      <c r="N326" s="64"/>
      <c r="O326" s="64"/>
      <c r="P326" s="64"/>
      <c r="Q326" s="64"/>
      <c r="R326" s="64"/>
      <c r="S326" s="64"/>
      <c r="T326" s="64"/>
      <c r="U326" s="64"/>
      <c r="V326" s="64"/>
      <c r="W326" s="64"/>
      <c r="X326" s="64"/>
      <c r="Y326" s="64"/>
      <c r="Z326" s="64"/>
      <c r="AA326" s="64"/>
      <c r="AB326" s="64"/>
      <c r="AC326" s="64"/>
      <c r="AD326" s="64"/>
      <c r="AE326" s="64"/>
      <c r="AF326" s="64"/>
      <c r="AG326" s="64"/>
      <c r="AH326" s="64"/>
    </row>
    <row r="327">
      <c r="A327" s="64"/>
      <c r="B327" s="64"/>
      <c r="C327" s="64"/>
      <c r="D327" s="64"/>
      <c r="E327" s="64"/>
      <c r="F327" s="64"/>
      <c r="G327" s="64"/>
      <c r="H327" s="64"/>
      <c r="I327" s="64"/>
      <c r="J327" s="64"/>
      <c r="K327" s="64"/>
      <c r="L327" s="64"/>
      <c r="M327" s="64"/>
      <c r="N327" s="64"/>
      <c r="O327" s="64"/>
      <c r="P327" s="64"/>
      <c r="Q327" s="64"/>
      <c r="R327" s="64"/>
      <c r="S327" s="64"/>
      <c r="T327" s="64"/>
      <c r="U327" s="64"/>
      <c r="V327" s="64"/>
      <c r="W327" s="64"/>
      <c r="X327" s="64"/>
      <c r="Y327" s="64"/>
      <c r="Z327" s="64"/>
      <c r="AA327" s="64"/>
      <c r="AB327" s="64"/>
      <c r="AC327" s="64"/>
      <c r="AD327" s="64"/>
      <c r="AE327" s="64"/>
      <c r="AF327" s="64"/>
      <c r="AG327" s="64"/>
      <c r="AH327" s="64"/>
    </row>
    <row r="328">
      <c r="A328" s="64"/>
      <c r="B328" s="64"/>
      <c r="C328" s="64"/>
      <c r="D328" s="64"/>
      <c r="E328" s="64"/>
      <c r="F328" s="64"/>
      <c r="G328" s="64"/>
      <c r="H328" s="64"/>
      <c r="I328" s="64"/>
      <c r="J328" s="64"/>
      <c r="K328" s="64"/>
      <c r="L328" s="64"/>
      <c r="M328" s="64"/>
      <c r="N328" s="64"/>
      <c r="O328" s="64"/>
      <c r="P328" s="64"/>
      <c r="Q328" s="64"/>
      <c r="R328" s="64"/>
      <c r="S328" s="64"/>
      <c r="T328" s="64"/>
      <c r="U328" s="64"/>
      <c r="V328" s="64"/>
      <c r="W328" s="64"/>
      <c r="X328" s="64"/>
      <c r="Y328" s="64"/>
      <c r="Z328" s="64"/>
      <c r="AA328" s="64"/>
      <c r="AB328" s="64"/>
      <c r="AC328" s="64"/>
      <c r="AD328" s="64"/>
      <c r="AE328" s="64"/>
      <c r="AF328" s="64"/>
      <c r="AG328" s="64"/>
      <c r="AH328" s="64"/>
    </row>
    <row r="329">
      <c r="A329" s="64"/>
      <c r="B329" s="64"/>
      <c r="C329" s="64"/>
      <c r="D329" s="64"/>
      <c r="E329" s="64"/>
      <c r="F329" s="64"/>
      <c r="G329" s="64"/>
      <c r="H329" s="64"/>
      <c r="I329" s="64"/>
      <c r="J329" s="64"/>
      <c r="K329" s="64"/>
      <c r="L329" s="64"/>
      <c r="M329" s="64"/>
      <c r="N329" s="64"/>
      <c r="O329" s="64"/>
      <c r="P329" s="64"/>
      <c r="Q329" s="64"/>
      <c r="R329" s="64"/>
      <c r="S329" s="64"/>
      <c r="T329" s="64"/>
      <c r="U329" s="64"/>
      <c r="V329" s="64"/>
      <c r="W329" s="64"/>
      <c r="X329" s="64"/>
      <c r="Y329" s="64"/>
      <c r="Z329" s="64"/>
      <c r="AA329" s="64"/>
      <c r="AB329" s="64"/>
      <c r="AC329" s="64"/>
      <c r="AD329" s="64"/>
      <c r="AE329" s="64"/>
      <c r="AF329" s="64"/>
      <c r="AG329" s="64"/>
      <c r="AH329" s="64"/>
    </row>
    <row r="330">
      <c r="A330" s="64"/>
      <c r="B330" s="64"/>
      <c r="C330" s="64"/>
      <c r="D330" s="64"/>
      <c r="E330" s="64"/>
      <c r="F330" s="64"/>
      <c r="G330" s="64"/>
      <c r="H330" s="64"/>
      <c r="I330" s="64"/>
      <c r="J330" s="64"/>
      <c r="K330" s="64"/>
      <c r="L330" s="64"/>
      <c r="M330" s="64"/>
      <c r="N330" s="64"/>
      <c r="O330" s="64"/>
      <c r="P330" s="64"/>
      <c r="Q330" s="64"/>
      <c r="R330" s="64"/>
      <c r="S330" s="64"/>
      <c r="T330" s="64"/>
      <c r="U330" s="64"/>
      <c r="V330" s="64"/>
      <c r="W330" s="64"/>
      <c r="X330" s="64"/>
      <c r="Y330" s="64"/>
      <c r="Z330" s="64"/>
      <c r="AA330" s="64"/>
      <c r="AB330" s="64"/>
      <c r="AC330" s="64"/>
      <c r="AD330" s="64"/>
      <c r="AE330" s="64"/>
      <c r="AF330" s="64"/>
      <c r="AG330" s="64"/>
      <c r="AH330" s="64"/>
    </row>
    <row r="331">
      <c r="A331" s="64"/>
      <c r="B331" s="64"/>
      <c r="C331" s="64"/>
      <c r="D331" s="64"/>
      <c r="E331" s="64"/>
      <c r="F331" s="64"/>
      <c r="G331" s="64"/>
      <c r="H331" s="64"/>
      <c r="I331" s="64"/>
      <c r="J331" s="64"/>
      <c r="K331" s="64"/>
      <c r="L331" s="64"/>
      <c r="M331" s="64"/>
      <c r="N331" s="64"/>
      <c r="O331" s="64"/>
      <c r="P331" s="64"/>
      <c r="Q331" s="64"/>
      <c r="R331" s="64"/>
      <c r="S331" s="64"/>
      <c r="T331" s="64"/>
      <c r="U331" s="64"/>
      <c r="V331" s="64"/>
      <c r="W331" s="64"/>
      <c r="X331" s="64"/>
      <c r="Y331" s="64"/>
      <c r="Z331" s="64"/>
      <c r="AA331" s="64"/>
      <c r="AB331" s="64"/>
      <c r="AC331" s="64"/>
      <c r="AD331" s="64"/>
      <c r="AE331" s="64"/>
      <c r="AF331" s="64"/>
      <c r="AG331" s="64"/>
      <c r="AH331" s="64"/>
    </row>
    <row r="332">
      <c r="A332" s="64"/>
      <c r="B332" s="64"/>
      <c r="C332" s="64"/>
      <c r="D332" s="64"/>
      <c r="E332" s="64"/>
      <c r="F332" s="64"/>
      <c r="G332" s="64"/>
      <c r="H332" s="64"/>
      <c r="I332" s="64"/>
      <c r="J332" s="64"/>
      <c r="K332" s="64"/>
      <c r="L332" s="64"/>
      <c r="M332" s="64"/>
      <c r="N332" s="64"/>
      <c r="O332" s="64"/>
      <c r="P332" s="64"/>
      <c r="Q332" s="64"/>
      <c r="R332" s="64"/>
      <c r="S332" s="64"/>
      <c r="T332" s="64"/>
      <c r="U332" s="64"/>
      <c r="V332" s="64"/>
      <c r="W332" s="64"/>
      <c r="X332" s="64"/>
      <c r="Y332" s="64"/>
      <c r="Z332" s="64"/>
      <c r="AA332" s="64"/>
      <c r="AB332" s="64"/>
      <c r="AC332" s="64"/>
      <c r="AD332" s="64"/>
      <c r="AE332" s="64"/>
      <c r="AF332" s="64"/>
      <c r="AG332" s="64"/>
      <c r="AH332" s="64"/>
    </row>
    <row r="333">
      <c r="A333" s="64"/>
      <c r="B333" s="64"/>
      <c r="C333" s="64"/>
      <c r="D333" s="64"/>
      <c r="E333" s="64"/>
      <c r="F333" s="64"/>
      <c r="G333" s="64"/>
      <c r="H333" s="64"/>
      <c r="I333" s="64"/>
      <c r="J333" s="64"/>
      <c r="K333" s="64"/>
      <c r="L333" s="64"/>
      <c r="M333" s="64"/>
      <c r="N333" s="64"/>
      <c r="O333" s="64"/>
      <c r="P333" s="64"/>
      <c r="Q333" s="64"/>
      <c r="R333" s="64"/>
      <c r="S333" s="64"/>
      <c r="T333" s="64"/>
      <c r="U333" s="64"/>
      <c r="V333" s="64"/>
      <c r="W333" s="64"/>
      <c r="X333" s="64"/>
      <c r="Y333" s="64"/>
      <c r="Z333" s="64"/>
      <c r="AA333" s="64"/>
      <c r="AB333" s="64"/>
      <c r="AC333" s="64"/>
      <c r="AD333" s="64"/>
      <c r="AE333" s="64"/>
      <c r="AF333" s="64"/>
      <c r="AG333" s="64"/>
      <c r="AH333" s="64"/>
    </row>
    <row r="334">
      <c r="A334" s="64"/>
      <c r="B334" s="64"/>
      <c r="C334" s="64"/>
      <c r="D334" s="64"/>
      <c r="E334" s="64"/>
      <c r="F334" s="64"/>
      <c r="G334" s="64"/>
      <c r="H334" s="64"/>
      <c r="I334" s="64"/>
      <c r="J334" s="64"/>
      <c r="K334" s="64"/>
      <c r="L334" s="64"/>
      <c r="M334" s="64"/>
      <c r="N334" s="64"/>
      <c r="O334" s="64"/>
      <c r="P334" s="64"/>
      <c r="Q334" s="64"/>
      <c r="R334" s="64"/>
      <c r="S334" s="64"/>
      <c r="T334" s="64"/>
      <c r="U334" s="64"/>
      <c r="V334" s="64"/>
      <c r="W334" s="64"/>
      <c r="X334" s="64"/>
      <c r="Y334" s="64"/>
      <c r="Z334" s="64"/>
      <c r="AA334" s="64"/>
      <c r="AB334" s="64"/>
      <c r="AC334" s="64"/>
      <c r="AD334" s="64"/>
      <c r="AE334" s="64"/>
      <c r="AF334" s="64"/>
      <c r="AG334" s="64"/>
      <c r="AH334" s="64"/>
    </row>
    <row r="335">
      <c r="A335" s="64"/>
      <c r="B335" s="64"/>
      <c r="C335" s="64"/>
      <c r="D335" s="64"/>
      <c r="E335" s="64"/>
      <c r="F335" s="64"/>
      <c r="G335" s="64"/>
      <c r="H335" s="64"/>
      <c r="I335" s="64"/>
      <c r="J335" s="64"/>
      <c r="K335" s="64"/>
      <c r="L335" s="64"/>
      <c r="M335" s="64"/>
      <c r="N335" s="64"/>
      <c r="O335" s="64"/>
      <c r="P335" s="64"/>
      <c r="Q335" s="64"/>
      <c r="R335" s="64"/>
      <c r="S335" s="64"/>
      <c r="T335" s="64"/>
      <c r="U335" s="64"/>
      <c r="V335" s="64"/>
      <c r="W335" s="64"/>
      <c r="X335" s="64"/>
      <c r="Y335" s="64"/>
      <c r="Z335" s="64"/>
      <c r="AA335" s="64"/>
      <c r="AB335" s="64"/>
      <c r="AC335" s="64"/>
      <c r="AD335" s="64"/>
      <c r="AE335" s="64"/>
      <c r="AF335" s="64"/>
      <c r="AG335" s="64"/>
      <c r="AH335" s="64"/>
    </row>
    <row r="336">
      <c r="A336" s="64"/>
      <c r="B336" s="64"/>
      <c r="C336" s="64"/>
      <c r="D336" s="64"/>
      <c r="E336" s="64"/>
      <c r="F336" s="64"/>
      <c r="G336" s="64"/>
      <c r="H336" s="64"/>
      <c r="I336" s="64"/>
      <c r="J336" s="64"/>
      <c r="K336" s="64"/>
      <c r="L336" s="64"/>
      <c r="M336" s="64"/>
      <c r="N336" s="64"/>
      <c r="O336" s="64"/>
      <c r="P336" s="64"/>
      <c r="Q336" s="64"/>
      <c r="R336" s="64"/>
      <c r="S336" s="64"/>
      <c r="T336" s="64"/>
      <c r="U336" s="64"/>
      <c r="V336" s="64"/>
      <c r="W336" s="64"/>
      <c r="X336" s="64"/>
      <c r="Y336" s="64"/>
      <c r="Z336" s="64"/>
      <c r="AA336" s="64"/>
      <c r="AB336" s="64"/>
      <c r="AC336" s="64"/>
      <c r="AD336" s="64"/>
      <c r="AE336" s="64"/>
      <c r="AF336" s="64"/>
      <c r="AG336" s="64"/>
      <c r="AH336" s="64"/>
    </row>
    <row r="337">
      <c r="A337" s="64"/>
      <c r="B337" s="64"/>
      <c r="C337" s="64"/>
      <c r="D337" s="64"/>
      <c r="E337" s="64"/>
      <c r="F337" s="64"/>
      <c r="G337" s="64"/>
      <c r="H337" s="64"/>
      <c r="I337" s="64"/>
      <c r="J337" s="64"/>
      <c r="K337" s="64"/>
      <c r="L337" s="64"/>
      <c r="M337" s="64"/>
      <c r="N337" s="64"/>
      <c r="O337" s="64"/>
      <c r="P337" s="64"/>
      <c r="Q337" s="64"/>
      <c r="R337" s="64"/>
      <c r="S337" s="64"/>
      <c r="T337" s="64"/>
      <c r="U337" s="64"/>
      <c r="V337" s="64"/>
      <c r="W337" s="64"/>
      <c r="X337" s="64"/>
      <c r="Y337" s="64"/>
      <c r="Z337" s="64"/>
      <c r="AA337" s="64"/>
      <c r="AB337" s="64"/>
      <c r="AC337" s="64"/>
      <c r="AD337" s="64"/>
      <c r="AE337" s="64"/>
      <c r="AF337" s="64"/>
      <c r="AG337" s="64"/>
      <c r="AH337" s="64"/>
    </row>
    <row r="338">
      <c r="A338" s="64"/>
      <c r="B338" s="64"/>
      <c r="C338" s="64"/>
      <c r="D338" s="64"/>
      <c r="E338" s="64"/>
      <c r="F338" s="64"/>
      <c r="G338" s="64"/>
      <c r="H338" s="64"/>
      <c r="I338" s="64"/>
      <c r="J338" s="64"/>
      <c r="K338" s="64"/>
      <c r="L338" s="64"/>
      <c r="M338" s="64"/>
      <c r="N338" s="64"/>
      <c r="O338" s="64"/>
      <c r="P338" s="64"/>
      <c r="Q338" s="64"/>
      <c r="R338" s="64"/>
      <c r="S338" s="64"/>
      <c r="T338" s="64"/>
      <c r="U338" s="64"/>
      <c r="V338" s="64"/>
      <c r="W338" s="64"/>
      <c r="X338" s="64"/>
      <c r="Y338" s="64"/>
      <c r="Z338" s="64"/>
      <c r="AA338" s="64"/>
      <c r="AB338" s="64"/>
      <c r="AC338" s="64"/>
      <c r="AD338" s="64"/>
      <c r="AE338" s="64"/>
      <c r="AF338" s="64"/>
      <c r="AG338" s="64"/>
      <c r="AH338" s="64"/>
    </row>
    <row r="339">
      <c r="A339" s="64"/>
      <c r="B339" s="64"/>
      <c r="C339" s="64"/>
      <c r="D339" s="64"/>
      <c r="E339" s="64"/>
      <c r="F339" s="64"/>
      <c r="G339" s="64"/>
      <c r="H339" s="64"/>
      <c r="I339" s="64"/>
      <c r="J339" s="64"/>
      <c r="K339" s="64"/>
      <c r="L339" s="64"/>
      <c r="M339" s="64"/>
      <c r="N339" s="64"/>
      <c r="O339" s="64"/>
      <c r="P339" s="64"/>
      <c r="Q339" s="64"/>
      <c r="R339" s="64"/>
      <c r="S339" s="64"/>
      <c r="T339" s="64"/>
      <c r="U339" s="64"/>
      <c r="V339" s="64"/>
      <c r="W339" s="64"/>
      <c r="X339" s="64"/>
      <c r="Y339" s="64"/>
      <c r="Z339" s="64"/>
      <c r="AA339" s="64"/>
      <c r="AB339" s="64"/>
      <c r="AC339" s="64"/>
      <c r="AD339" s="64"/>
      <c r="AE339" s="64"/>
      <c r="AF339" s="64"/>
      <c r="AG339" s="64"/>
      <c r="AH339" s="64"/>
    </row>
    <row r="340">
      <c r="A340" s="64"/>
      <c r="B340" s="64"/>
      <c r="C340" s="64"/>
      <c r="D340" s="64"/>
      <c r="E340" s="64"/>
      <c r="F340" s="64"/>
      <c r="G340" s="64"/>
      <c r="H340" s="64"/>
      <c r="I340" s="64"/>
      <c r="J340" s="64"/>
      <c r="K340" s="64"/>
      <c r="L340" s="64"/>
      <c r="M340" s="64"/>
      <c r="N340" s="64"/>
      <c r="O340" s="64"/>
      <c r="P340" s="64"/>
      <c r="Q340" s="64"/>
      <c r="R340" s="64"/>
      <c r="S340" s="64"/>
      <c r="T340" s="64"/>
      <c r="U340" s="64"/>
      <c r="V340" s="64"/>
      <c r="W340" s="64"/>
      <c r="X340" s="64"/>
      <c r="Y340" s="64"/>
      <c r="Z340" s="64"/>
      <c r="AA340" s="64"/>
      <c r="AB340" s="64"/>
      <c r="AC340" s="64"/>
      <c r="AD340" s="64"/>
      <c r="AE340" s="64"/>
      <c r="AF340" s="64"/>
      <c r="AG340" s="64"/>
      <c r="AH340" s="64"/>
    </row>
    <row r="341">
      <c r="A341" s="64"/>
      <c r="B341" s="64"/>
      <c r="C341" s="64"/>
      <c r="D341" s="64"/>
      <c r="E341" s="64"/>
      <c r="F341" s="64"/>
      <c r="G341" s="64"/>
      <c r="H341" s="64"/>
      <c r="I341" s="64"/>
      <c r="J341" s="64"/>
      <c r="K341" s="64"/>
      <c r="L341" s="64"/>
      <c r="M341" s="64"/>
      <c r="N341" s="64"/>
      <c r="O341" s="64"/>
      <c r="P341" s="64"/>
      <c r="Q341" s="64"/>
      <c r="R341" s="64"/>
      <c r="S341" s="64"/>
      <c r="T341" s="64"/>
      <c r="U341" s="64"/>
      <c r="V341" s="64"/>
      <c r="W341" s="64"/>
      <c r="X341" s="64"/>
      <c r="Y341" s="64"/>
      <c r="Z341" s="64"/>
      <c r="AA341" s="64"/>
      <c r="AB341" s="64"/>
      <c r="AC341" s="64"/>
      <c r="AD341" s="64"/>
      <c r="AE341" s="64"/>
      <c r="AF341" s="64"/>
      <c r="AG341" s="64"/>
      <c r="AH341" s="64"/>
    </row>
    <row r="342">
      <c r="A342" s="64"/>
      <c r="B342" s="64"/>
      <c r="C342" s="64"/>
      <c r="D342" s="64"/>
      <c r="E342" s="64"/>
      <c r="F342" s="64"/>
      <c r="G342" s="64"/>
      <c r="H342" s="64"/>
      <c r="I342" s="64"/>
      <c r="J342" s="64"/>
      <c r="K342" s="64"/>
      <c r="L342" s="64"/>
      <c r="M342" s="64"/>
      <c r="N342" s="64"/>
      <c r="O342" s="64"/>
      <c r="P342" s="64"/>
      <c r="Q342" s="64"/>
      <c r="R342" s="64"/>
      <c r="S342" s="64"/>
      <c r="T342" s="64"/>
      <c r="U342" s="64"/>
      <c r="V342" s="64"/>
      <c r="W342" s="64"/>
      <c r="X342" s="64"/>
      <c r="Y342" s="64"/>
      <c r="Z342" s="64"/>
      <c r="AA342" s="64"/>
      <c r="AB342" s="64"/>
      <c r="AC342" s="64"/>
      <c r="AD342" s="64"/>
      <c r="AE342" s="64"/>
      <c r="AF342" s="64"/>
      <c r="AG342" s="64"/>
      <c r="AH342" s="64"/>
    </row>
    <row r="343">
      <c r="A343" s="64"/>
      <c r="B343" s="64"/>
      <c r="C343" s="64"/>
      <c r="D343" s="64"/>
      <c r="E343" s="64"/>
      <c r="F343" s="64"/>
      <c r="G343" s="64"/>
      <c r="H343" s="64"/>
      <c r="I343" s="64"/>
      <c r="J343" s="64"/>
      <c r="K343" s="64"/>
      <c r="L343" s="64"/>
      <c r="M343" s="64"/>
      <c r="N343" s="64"/>
      <c r="O343" s="64"/>
      <c r="P343" s="64"/>
      <c r="Q343" s="64"/>
      <c r="R343" s="64"/>
      <c r="S343" s="64"/>
      <c r="T343" s="64"/>
      <c r="U343" s="64"/>
      <c r="V343" s="64"/>
      <c r="W343" s="64"/>
      <c r="X343" s="64"/>
      <c r="Y343" s="64"/>
      <c r="Z343" s="64"/>
      <c r="AA343" s="64"/>
      <c r="AB343" s="64"/>
      <c r="AC343" s="64"/>
      <c r="AD343" s="64"/>
      <c r="AE343" s="64"/>
      <c r="AF343" s="64"/>
      <c r="AG343" s="64"/>
      <c r="AH343" s="64"/>
    </row>
    <row r="344">
      <c r="A344" s="64"/>
      <c r="B344" s="64"/>
      <c r="C344" s="64"/>
      <c r="D344" s="64"/>
      <c r="E344" s="64"/>
      <c r="F344" s="64"/>
      <c r="G344" s="64"/>
      <c r="H344" s="64"/>
      <c r="I344" s="64"/>
      <c r="J344" s="64"/>
      <c r="K344" s="64"/>
      <c r="L344" s="64"/>
      <c r="M344" s="64"/>
      <c r="N344" s="64"/>
      <c r="O344" s="64"/>
      <c r="P344" s="64"/>
      <c r="Q344" s="64"/>
      <c r="R344" s="64"/>
      <c r="S344" s="64"/>
      <c r="T344" s="64"/>
      <c r="U344" s="64"/>
      <c r="V344" s="64"/>
      <c r="W344" s="64"/>
      <c r="X344" s="64"/>
      <c r="Y344" s="64"/>
      <c r="Z344" s="64"/>
      <c r="AA344" s="64"/>
      <c r="AB344" s="64"/>
      <c r="AC344" s="64"/>
      <c r="AD344" s="64"/>
      <c r="AE344" s="64"/>
      <c r="AF344" s="64"/>
      <c r="AG344" s="64"/>
      <c r="AH344" s="64"/>
    </row>
    <row r="345">
      <c r="A345" s="64"/>
      <c r="B345" s="64"/>
      <c r="C345" s="64"/>
      <c r="D345" s="64"/>
      <c r="E345" s="64"/>
      <c r="F345" s="64"/>
      <c r="G345" s="64"/>
      <c r="H345" s="64"/>
      <c r="I345" s="64"/>
      <c r="J345" s="64"/>
      <c r="K345" s="64"/>
      <c r="L345" s="64"/>
      <c r="M345" s="64"/>
      <c r="N345" s="64"/>
      <c r="O345" s="64"/>
      <c r="P345" s="64"/>
      <c r="Q345" s="64"/>
      <c r="R345" s="64"/>
      <c r="S345" s="64"/>
      <c r="T345" s="64"/>
      <c r="U345" s="64"/>
      <c r="V345" s="64"/>
      <c r="W345" s="64"/>
      <c r="X345" s="64"/>
      <c r="Y345" s="64"/>
      <c r="Z345" s="64"/>
      <c r="AA345" s="64"/>
      <c r="AB345" s="64"/>
      <c r="AC345" s="64"/>
      <c r="AD345" s="64"/>
      <c r="AE345" s="64"/>
      <c r="AF345" s="64"/>
      <c r="AG345" s="64"/>
      <c r="AH345" s="64"/>
    </row>
    <row r="346">
      <c r="A346" s="64"/>
      <c r="B346" s="64"/>
      <c r="C346" s="64"/>
      <c r="D346" s="64"/>
      <c r="E346" s="64"/>
      <c r="F346" s="64"/>
      <c r="G346" s="64"/>
      <c r="H346" s="64"/>
      <c r="I346" s="64"/>
      <c r="J346" s="64"/>
      <c r="K346" s="64"/>
      <c r="L346" s="64"/>
      <c r="M346" s="64"/>
      <c r="N346" s="64"/>
      <c r="O346" s="64"/>
      <c r="P346" s="64"/>
      <c r="Q346" s="64"/>
      <c r="R346" s="64"/>
      <c r="S346" s="64"/>
      <c r="T346" s="64"/>
      <c r="U346" s="64"/>
      <c r="V346" s="64"/>
      <c r="W346" s="64"/>
      <c r="X346" s="64"/>
      <c r="Y346" s="64"/>
      <c r="Z346" s="64"/>
      <c r="AA346" s="64"/>
      <c r="AB346" s="64"/>
      <c r="AC346" s="64"/>
      <c r="AD346" s="64"/>
      <c r="AE346" s="64"/>
      <c r="AF346" s="64"/>
      <c r="AG346" s="64"/>
      <c r="AH346" s="64"/>
    </row>
    <row r="347">
      <c r="A347" s="64"/>
      <c r="B347" s="64"/>
      <c r="C347" s="64"/>
      <c r="D347" s="64"/>
      <c r="E347" s="64"/>
      <c r="F347" s="64"/>
      <c r="G347" s="64"/>
      <c r="H347" s="64"/>
      <c r="I347" s="64"/>
      <c r="J347" s="64"/>
      <c r="K347" s="64"/>
      <c r="L347" s="64"/>
      <c r="M347" s="64"/>
      <c r="N347" s="64"/>
      <c r="O347" s="64"/>
      <c r="P347" s="64"/>
      <c r="Q347" s="64"/>
      <c r="R347" s="64"/>
      <c r="S347" s="64"/>
      <c r="T347" s="64"/>
      <c r="U347" s="64"/>
      <c r="V347" s="64"/>
      <c r="W347" s="64"/>
      <c r="X347" s="64"/>
      <c r="Y347" s="64"/>
      <c r="Z347" s="64"/>
      <c r="AA347" s="64"/>
      <c r="AB347" s="64"/>
      <c r="AC347" s="64"/>
      <c r="AD347" s="64"/>
      <c r="AE347" s="64"/>
      <c r="AF347" s="64"/>
      <c r="AG347" s="64"/>
      <c r="AH347" s="64"/>
    </row>
    <row r="348">
      <c r="A348" s="64"/>
      <c r="B348" s="64"/>
      <c r="C348" s="64"/>
      <c r="D348" s="64"/>
      <c r="E348" s="64"/>
      <c r="F348" s="64"/>
      <c r="G348" s="64"/>
      <c r="H348" s="64"/>
      <c r="I348" s="64"/>
      <c r="J348" s="64"/>
      <c r="K348" s="64"/>
      <c r="L348" s="64"/>
      <c r="M348" s="64"/>
      <c r="N348" s="64"/>
      <c r="O348" s="64"/>
      <c r="P348" s="64"/>
      <c r="Q348" s="64"/>
      <c r="R348" s="64"/>
      <c r="S348" s="64"/>
      <c r="T348" s="64"/>
      <c r="U348" s="64"/>
      <c r="V348" s="64"/>
      <c r="W348" s="64"/>
      <c r="X348" s="64"/>
      <c r="Y348" s="64"/>
      <c r="Z348" s="64"/>
      <c r="AA348" s="64"/>
      <c r="AB348" s="64"/>
      <c r="AC348" s="64"/>
      <c r="AD348" s="64"/>
      <c r="AE348" s="64"/>
      <c r="AF348" s="64"/>
      <c r="AG348" s="64"/>
      <c r="AH348" s="64"/>
    </row>
    <row r="349">
      <c r="A349" s="64"/>
      <c r="B349" s="64"/>
      <c r="C349" s="64"/>
      <c r="D349" s="64"/>
      <c r="E349" s="64"/>
      <c r="F349" s="64"/>
      <c r="G349" s="64"/>
      <c r="H349" s="64"/>
      <c r="I349" s="64"/>
      <c r="J349" s="64"/>
      <c r="K349" s="64"/>
      <c r="L349" s="64"/>
      <c r="M349" s="64"/>
      <c r="N349" s="64"/>
      <c r="O349" s="64"/>
      <c r="P349" s="64"/>
      <c r="Q349" s="64"/>
      <c r="R349" s="64"/>
      <c r="S349" s="64"/>
      <c r="T349" s="64"/>
      <c r="U349" s="64"/>
      <c r="V349" s="64"/>
      <c r="W349" s="64"/>
      <c r="X349" s="64"/>
      <c r="Y349" s="64"/>
      <c r="Z349" s="64"/>
      <c r="AA349" s="64"/>
      <c r="AB349" s="64"/>
      <c r="AC349" s="64"/>
      <c r="AD349" s="64"/>
      <c r="AE349" s="64"/>
      <c r="AF349" s="64"/>
      <c r="AG349" s="64"/>
      <c r="AH349" s="64"/>
    </row>
    <row r="350">
      <c r="A350" s="64"/>
      <c r="B350" s="64"/>
      <c r="C350" s="64"/>
      <c r="D350" s="64"/>
      <c r="E350" s="64"/>
      <c r="F350" s="64"/>
      <c r="G350" s="64"/>
      <c r="H350" s="64"/>
      <c r="I350" s="64"/>
      <c r="J350" s="64"/>
      <c r="K350" s="64"/>
      <c r="L350" s="64"/>
      <c r="M350" s="64"/>
      <c r="N350" s="64"/>
      <c r="O350" s="64"/>
      <c r="P350" s="64"/>
      <c r="Q350" s="64"/>
      <c r="R350" s="64"/>
      <c r="S350" s="64"/>
      <c r="T350" s="64"/>
      <c r="U350" s="64"/>
      <c r="V350" s="64"/>
      <c r="W350" s="64"/>
      <c r="X350" s="64"/>
      <c r="Y350" s="64"/>
      <c r="Z350" s="64"/>
      <c r="AA350" s="64"/>
      <c r="AB350" s="64"/>
      <c r="AC350" s="64"/>
      <c r="AD350" s="64"/>
      <c r="AE350" s="64"/>
      <c r="AF350" s="64"/>
      <c r="AG350" s="64"/>
      <c r="AH350" s="64"/>
    </row>
    <row r="351">
      <c r="A351" s="64"/>
      <c r="B351" s="64"/>
      <c r="C351" s="64"/>
      <c r="D351" s="64"/>
      <c r="E351" s="64"/>
      <c r="F351" s="64"/>
      <c r="G351" s="64"/>
      <c r="H351" s="64"/>
      <c r="I351" s="64"/>
      <c r="J351" s="64"/>
      <c r="K351" s="64"/>
      <c r="L351" s="64"/>
      <c r="M351" s="64"/>
      <c r="N351" s="64"/>
      <c r="O351" s="64"/>
      <c r="P351" s="64"/>
      <c r="Q351" s="64"/>
      <c r="R351" s="64"/>
      <c r="S351" s="64"/>
      <c r="T351" s="64"/>
      <c r="U351" s="64"/>
      <c r="V351" s="64"/>
      <c r="W351" s="64"/>
      <c r="X351" s="64"/>
      <c r="Y351" s="64"/>
      <c r="Z351" s="64"/>
      <c r="AA351" s="64"/>
      <c r="AB351" s="64"/>
      <c r="AC351" s="64"/>
      <c r="AD351" s="64"/>
      <c r="AE351" s="64"/>
      <c r="AF351" s="64"/>
      <c r="AG351" s="64"/>
      <c r="AH351" s="64"/>
    </row>
    <row r="352">
      <c r="A352" s="64"/>
      <c r="B352" s="64"/>
      <c r="C352" s="64"/>
      <c r="D352" s="64"/>
      <c r="E352" s="64"/>
      <c r="F352" s="64"/>
      <c r="G352" s="64"/>
      <c r="H352" s="64"/>
      <c r="I352" s="64"/>
      <c r="J352" s="64"/>
      <c r="K352" s="64"/>
      <c r="L352" s="64"/>
      <c r="M352" s="64"/>
      <c r="N352" s="64"/>
      <c r="O352" s="64"/>
      <c r="P352" s="64"/>
      <c r="Q352" s="64"/>
      <c r="R352" s="64"/>
      <c r="S352" s="64"/>
      <c r="T352" s="64"/>
      <c r="U352" s="64"/>
      <c r="V352" s="64"/>
      <c r="W352" s="64"/>
      <c r="X352" s="64"/>
      <c r="Y352" s="64"/>
      <c r="Z352" s="64"/>
      <c r="AA352" s="64"/>
      <c r="AB352" s="64"/>
      <c r="AC352" s="64"/>
      <c r="AD352" s="64"/>
      <c r="AE352" s="64"/>
      <c r="AF352" s="64"/>
      <c r="AG352" s="64"/>
      <c r="AH352" s="64"/>
    </row>
    <row r="353">
      <c r="A353" s="64"/>
      <c r="B353" s="64"/>
      <c r="C353" s="64"/>
      <c r="D353" s="64"/>
      <c r="E353" s="64"/>
      <c r="F353" s="64"/>
      <c r="G353" s="64"/>
      <c r="H353" s="64"/>
      <c r="I353" s="64"/>
      <c r="J353" s="64"/>
      <c r="K353" s="64"/>
      <c r="L353" s="64"/>
      <c r="M353" s="64"/>
      <c r="N353" s="64"/>
      <c r="O353" s="64"/>
      <c r="P353" s="64"/>
      <c r="Q353" s="64"/>
      <c r="R353" s="64"/>
      <c r="S353" s="64"/>
      <c r="T353" s="64"/>
      <c r="U353" s="64"/>
      <c r="V353" s="64"/>
      <c r="W353" s="64"/>
      <c r="X353" s="64"/>
      <c r="Y353" s="64"/>
      <c r="Z353" s="64"/>
      <c r="AA353" s="64"/>
      <c r="AB353" s="64"/>
      <c r="AC353" s="64"/>
      <c r="AD353" s="64"/>
      <c r="AE353" s="64"/>
      <c r="AF353" s="64"/>
      <c r="AG353" s="64"/>
      <c r="AH353" s="64"/>
    </row>
    <row r="354">
      <c r="A354" s="64"/>
      <c r="B354" s="64"/>
      <c r="C354" s="64"/>
      <c r="D354" s="64"/>
      <c r="E354" s="64"/>
      <c r="F354" s="64"/>
      <c r="G354" s="64"/>
      <c r="H354" s="64"/>
      <c r="I354" s="64"/>
      <c r="J354" s="64"/>
      <c r="K354" s="64"/>
      <c r="L354" s="64"/>
      <c r="M354" s="64"/>
      <c r="N354" s="64"/>
      <c r="O354" s="64"/>
      <c r="P354" s="64"/>
      <c r="Q354" s="64"/>
      <c r="R354" s="64"/>
      <c r="S354" s="64"/>
      <c r="T354" s="64"/>
      <c r="U354" s="64"/>
      <c r="V354" s="64"/>
      <c r="W354" s="64"/>
      <c r="X354" s="64"/>
      <c r="Y354" s="64"/>
      <c r="Z354" s="64"/>
      <c r="AA354" s="64"/>
      <c r="AB354" s="64"/>
      <c r="AC354" s="64"/>
      <c r="AD354" s="64"/>
      <c r="AE354" s="64"/>
      <c r="AF354" s="64"/>
      <c r="AG354" s="64"/>
      <c r="AH354" s="64"/>
    </row>
    <row r="355">
      <c r="A355" s="64"/>
      <c r="B355" s="64"/>
      <c r="C355" s="64"/>
      <c r="D355" s="64"/>
      <c r="E355" s="64"/>
      <c r="F355" s="64"/>
      <c r="G355" s="64"/>
      <c r="H355" s="64"/>
      <c r="I355" s="64"/>
      <c r="J355" s="64"/>
      <c r="K355" s="64"/>
      <c r="L355" s="64"/>
      <c r="M355" s="64"/>
      <c r="N355" s="64"/>
      <c r="O355" s="64"/>
      <c r="P355" s="64"/>
      <c r="Q355" s="64"/>
      <c r="R355" s="64"/>
      <c r="S355" s="64"/>
      <c r="T355" s="64"/>
      <c r="U355" s="64"/>
      <c r="V355" s="64"/>
      <c r="W355" s="64"/>
      <c r="X355" s="64"/>
      <c r="Y355" s="64"/>
      <c r="Z355" s="64"/>
      <c r="AA355" s="64"/>
      <c r="AB355" s="64"/>
      <c r="AC355" s="64"/>
      <c r="AD355" s="64"/>
      <c r="AE355" s="64"/>
      <c r="AF355" s="64"/>
      <c r="AG355" s="64"/>
      <c r="AH355" s="64"/>
    </row>
    <row r="356">
      <c r="A356" s="64"/>
      <c r="B356" s="64"/>
      <c r="C356" s="64"/>
      <c r="D356" s="64"/>
      <c r="E356" s="64"/>
      <c r="F356" s="64"/>
      <c r="G356" s="64"/>
      <c r="H356" s="64"/>
      <c r="I356" s="64"/>
      <c r="J356" s="64"/>
      <c r="K356" s="64"/>
      <c r="L356" s="64"/>
      <c r="M356" s="64"/>
      <c r="N356" s="64"/>
      <c r="O356" s="64"/>
      <c r="P356" s="64"/>
      <c r="Q356" s="64"/>
      <c r="R356" s="64"/>
      <c r="S356" s="64"/>
      <c r="T356" s="64"/>
      <c r="U356" s="64"/>
      <c r="V356" s="64"/>
      <c r="W356" s="64"/>
      <c r="X356" s="64"/>
      <c r="Y356" s="64"/>
      <c r="Z356" s="64"/>
      <c r="AA356" s="64"/>
      <c r="AB356" s="64"/>
      <c r="AC356" s="64"/>
      <c r="AD356" s="64"/>
      <c r="AE356" s="64"/>
      <c r="AF356" s="64"/>
      <c r="AG356" s="64"/>
      <c r="AH356" s="64"/>
    </row>
    <row r="357">
      <c r="A357" s="64"/>
      <c r="B357" s="64"/>
      <c r="C357" s="64"/>
      <c r="D357" s="64"/>
      <c r="E357" s="64"/>
      <c r="F357" s="64"/>
      <c r="G357" s="64"/>
      <c r="H357" s="64"/>
      <c r="I357" s="64"/>
      <c r="J357" s="64"/>
      <c r="K357" s="64"/>
      <c r="L357" s="64"/>
      <c r="M357" s="64"/>
      <c r="N357" s="64"/>
      <c r="O357" s="64"/>
      <c r="P357" s="64"/>
      <c r="Q357" s="64"/>
      <c r="R357" s="64"/>
      <c r="S357" s="64"/>
      <c r="T357" s="64"/>
      <c r="U357" s="64"/>
      <c r="V357" s="64"/>
      <c r="W357" s="64"/>
      <c r="X357" s="64"/>
      <c r="Y357" s="64"/>
      <c r="Z357" s="64"/>
      <c r="AA357" s="64"/>
      <c r="AB357" s="64"/>
      <c r="AC357" s="64"/>
      <c r="AD357" s="64"/>
      <c r="AE357" s="64"/>
      <c r="AF357" s="64"/>
      <c r="AG357" s="64"/>
      <c r="AH357" s="64"/>
    </row>
    <row r="358">
      <c r="A358" s="64"/>
      <c r="B358" s="64"/>
      <c r="C358" s="64"/>
      <c r="D358" s="64"/>
      <c r="E358" s="64"/>
      <c r="F358" s="64"/>
      <c r="G358" s="64"/>
      <c r="H358" s="64"/>
      <c r="I358" s="64"/>
      <c r="J358" s="64"/>
      <c r="K358" s="64"/>
      <c r="L358" s="64"/>
      <c r="M358" s="64"/>
      <c r="N358" s="64"/>
      <c r="O358" s="64"/>
      <c r="P358" s="64"/>
      <c r="Q358" s="64"/>
      <c r="R358" s="64"/>
      <c r="S358" s="64"/>
      <c r="T358" s="64"/>
      <c r="U358" s="64"/>
      <c r="V358" s="64"/>
      <c r="W358" s="64"/>
      <c r="X358" s="64"/>
      <c r="Y358" s="64"/>
      <c r="Z358" s="64"/>
      <c r="AA358" s="64"/>
      <c r="AB358" s="64"/>
      <c r="AC358" s="64"/>
      <c r="AD358" s="64"/>
      <c r="AE358" s="64"/>
      <c r="AF358" s="64"/>
      <c r="AG358" s="64"/>
      <c r="AH358" s="64"/>
    </row>
    <row r="359">
      <c r="A359" s="64"/>
      <c r="B359" s="64"/>
      <c r="C359" s="64"/>
      <c r="D359" s="64"/>
      <c r="E359" s="64"/>
      <c r="F359" s="64"/>
      <c r="G359" s="64"/>
      <c r="H359" s="64"/>
      <c r="I359" s="64"/>
      <c r="J359" s="64"/>
      <c r="K359" s="64"/>
      <c r="L359" s="64"/>
      <c r="M359" s="64"/>
      <c r="N359" s="64"/>
      <c r="O359" s="64"/>
      <c r="P359" s="64"/>
      <c r="Q359" s="64"/>
      <c r="R359" s="64"/>
      <c r="S359" s="64"/>
      <c r="T359" s="64"/>
      <c r="U359" s="64"/>
      <c r="V359" s="64"/>
      <c r="W359" s="64"/>
      <c r="X359" s="64"/>
      <c r="Y359" s="64"/>
      <c r="Z359" s="64"/>
      <c r="AA359" s="64"/>
      <c r="AB359" s="64"/>
      <c r="AC359" s="64"/>
      <c r="AD359" s="64"/>
      <c r="AE359" s="64"/>
      <c r="AF359" s="64"/>
      <c r="AG359" s="64"/>
      <c r="AH359" s="64"/>
    </row>
    <row r="360">
      <c r="A360" s="64"/>
      <c r="B360" s="64"/>
      <c r="C360" s="64"/>
      <c r="D360" s="64"/>
      <c r="E360" s="64"/>
      <c r="F360" s="64"/>
      <c r="G360" s="64"/>
      <c r="H360" s="64"/>
      <c r="I360" s="64"/>
      <c r="J360" s="64"/>
      <c r="K360" s="64"/>
      <c r="L360" s="64"/>
      <c r="M360" s="64"/>
      <c r="N360" s="64"/>
      <c r="O360" s="64"/>
      <c r="P360" s="64"/>
      <c r="Q360" s="64"/>
      <c r="R360" s="64"/>
      <c r="S360" s="64"/>
      <c r="T360" s="64"/>
      <c r="U360" s="64"/>
      <c r="V360" s="64"/>
      <c r="W360" s="64"/>
      <c r="X360" s="64"/>
      <c r="Y360" s="64"/>
      <c r="Z360" s="64"/>
      <c r="AA360" s="64"/>
      <c r="AB360" s="64"/>
      <c r="AC360" s="64"/>
      <c r="AD360" s="64"/>
      <c r="AE360" s="64"/>
      <c r="AF360" s="64"/>
      <c r="AG360" s="64"/>
      <c r="AH360" s="64"/>
    </row>
    <row r="361">
      <c r="A361" s="64"/>
      <c r="B361" s="64"/>
      <c r="C361" s="64"/>
      <c r="D361" s="64"/>
      <c r="E361" s="64"/>
      <c r="F361" s="64"/>
      <c r="G361" s="64"/>
      <c r="H361" s="64"/>
      <c r="I361" s="64"/>
      <c r="J361" s="64"/>
      <c r="K361" s="64"/>
      <c r="L361" s="64"/>
      <c r="M361" s="64"/>
      <c r="N361" s="64"/>
      <c r="O361" s="64"/>
      <c r="P361" s="64"/>
      <c r="Q361" s="64"/>
      <c r="R361" s="64"/>
      <c r="S361" s="64"/>
      <c r="T361" s="64"/>
      <c r="U361" s="64"/>
      <c r="V361" s="64"/>
      <c r="W361" s="64"/>
      <c r="X361" s="64"/>
      <c r="Y361" s="64"/>
      <c r="Z361" s="64"/>
      <c r="AA361" s="64"/>
      <c r="AB361" s="64"/>
      <c r="AC361" s="64"/>
      <c r="AD361" s="64"/>
      <c r="AE361" s="64"/>
      <c r="AF361" s="64"/>
      <c r="AG361" s="64"/>
      <c r="AH361" s="64"/>
    </row>
    <row r="362">
      <c r="A362" s="64"/>
      <c r="B362" s="64"/>
      <c r="C362" s="64"/>
      <c r="D362" s="64"/>
      <c r="E362" s="64"/>
      <c r="F362" s="64"/>
      <c r="G362" s="64"/>
      <c r="H362" s="64"/>
      <c r="I362" s="64"/>
      <c r="J362" s="64"/>
      <c r="K362" s="64"/>
      <c r="L362" s="64"/>
      <c r="M362" s="64"/>
      <c r="N362" s="64"/>
      <c r="O362" s="64"/>
      <c r="P362" s="64"/>
      <c r="Q362" s="64"/>
      <c r="R362" s="64"/>
      <c r="S362" s="64"/>
      <c r="T362" s="64"/>
      <c r="U362" s="64"/>
      <c r="V362" s="64"/>
      <c r="W362" s="64"/>
      <c r="X362" s="64"/>
      <c r="Y362" s="64"/>
      <c r="Z362" s="64"/>
      <c r="AA362" s="64"/>
      <c r="AB362" s="64"/>
      <c r="AC362" s="64"/>
      <c r="AD362" s="64"/>
      <c r="AE362" s="64"/>
      <c r="AF362" s="64"/>
      <c r="AG362" s="64"/>
      <c r="AH362" s="64"/>
    </row>
    <row r="363">
      <c r="A363" s="64"/>
      <c r="B363" s="64"/>
      <c r="C363" s="64"/>
      <c r="D363" s="64"/>
      <c r="E363" s="64"/>
      <c r="F363" s="64"/>
      <c r="G363" s="64"/>
      <c r="H363" s="64"/>
      <c r="I363" s="64"/>
      <c r="J363" s="64"/>
      <c r="K363" s="64"/>
      <c r="L363" s="64"/>
      <c r="M363" s="64"/>
      <c r="N363" s="64"/>
      <c r="O363" s="64"/>
      <c r="P363" s="64"/>
      <c r="Q363" s="64"/>
      <c r="R363" s="64"/>
      <c r="S363" s="64"/>
      <c r="T363" s="64"/>
      <c r="U363" s="64"/>
      <c r="V363" s="64"/>
      <c r="W363" s="64"/>
      <c r="X363" s="64"/>
      <c r="Y363" s="64"/>
      <c r="Z363" s="64"/>
      <c r="AA363" s="64"/>
      <c r="AB363" s="64"/>
      <c r="AC363" s="64"/>
      <c r="AD363" s="64"/>
      <c r="AE363" s="64"/>
      <c r="AF363" s="64"/>
      <c r="AG363" s="64"/>
      <c r="AH363" s="64"/>
    </row>
    <row r="364">
      <c r="A364" s="64"/>
      <c r="B364" s="64"/>
      <c r="C364" s="64"/>
      <c r="D364" s="64"/>
      <c r="E364" s="64"/>
      <c r="F364" s="64"/>
      <c r="G364" s="64"/>
      <c r="H364" s="64"/>
      <c r="I364" s="64"/>
      <c r="J364" s="64"/>
      <c r="K364" s="64"/>
      <c r="L364" s="64"/>
      <c r="M364" s="64"/>
      <c r="N364" s="64"/>
      <c r="O364" s="64"/>
      <c r="P364" s="64"/>
      <c r="Q364" s="64"/>
      <c r="R364" s="64"/>
      <c r="S364" s="64"/>
      <c r="T364" s="64"/>
      <c r="U364" s="64"/>
      <c r="V364" s="64"/>
      <c r="W364" s="64"/>
      <c r="X364" s="64"/>
      <c r="Y364" s="64"/>
      <c r="Z364" s="64"/>
      <c r="AA364" s="64"/>
      <c r="AB364" s="64"/>
      <c r="AC364" s="64"/>
      <c r="AD364" s="64"/>
      <c r="AE364" s="64"/>
      <c r="AF364" s="64"/>
      <c r="AG364" s="64"/>
      <c r="AH364" s="64"/>
    </row>
    <row r="365">
      <c r="A365" s="64"/>
      <c r="B365" s="64"/>
      <c r="C365" s="64"/>
      <c r="D365" s="64"/>
      <c r="E365" s="64"/>
      <c r="F365" s="64"/>
      <c r="G365" s="64"/>
      <c r="H365" s="64"/>
      <c r="I365" s="64"/>
      <c r="J365" s="64"/>
      <c r="K365" s="64"/>
      <c r="L365" s="64"/>
      <c r="M365" s="64"/>
      <c r="N365" s="64"/>
      <c r="O365" s="64"/>
      <c r="P365" s="64"/>
      <c r="Q365" s="64"/>
      <c r="R365" s="64"/>
      <c r="S365" s="64"/>
      <c r="T365" s="64"/>
      <c r="U365" s="64"/>
      <c r="V365" s="64"/>
      <c r="W365" s="64"/>
      <c r="X365" s="64"/>
      <c r="Y365" s="64"/>
      <c r="Z365" s="64"/>
      <c r="AA365" s="64"/>
      <c r="AB365" s="64"/>
      <c r="AC365" s="64"/>
      <c r="AD365" s="64"/>
      <c r="AE365" s="64"/>
      <c r="AF365" s="64"/>
      <c r="AG365" s="64"/>
      <c r="AH365" s="64"/>
    </row>
    <row r="366">
      <c r="A366" s="64"/>
      <c r="B366" s="64"/>
      <c r="C366" s="64"/>
      <c r="D366" s="64"/>
      <c r="E366" s="64"/>
      <c r="F366" s="64"/>
      <c r="G366" s="64"/>
      <c r="H366" s="64"/>
      <c r="I366" s="64"/>
      <c r="J366" s="64"/>
      <c r="K366" s="64"/>
      <c r="L366" s="64"/>
      <c r="M366" s="64"/>
      <c r="N366" s="64"/>
      <c r="O366" s="64"/>
      <c r="P366" s="64"/>
      <c r="Q366" s="64"/>
      <c r="R366" s="64"/>
      <c r="S366" s="64"/>
      <c r="T366" s="64"/>
      <c r="U366" s="64"/>
      <c r="V366" s="64"/>
      <c r="W366" s="64"/>
      <c r="X366" s="64"/>
      <c r="Y366" s="64"/>
      <c r="Z366" s="64"/>
      <c r="AA366" s="64"/>
      <c r="AB366" s="64"/>
      <c r="AC366" s="64"/>
      <c r="AD366" s="64"/>
      <c r="AE366" s="64"/>
      <c r="AF366" s="64"/>
      <c r="AG366" s="64"/>
      <c r="AH366" s="64"/>
    </row>
    <row r="367">
      <c r="A367" s="64"/>
      <c r="B367" s="64"/>
      <c r="C367" s="64"/>
      <c r="D367" s="64"/>
      <c r="E367" s="64"/>
      <c r="F367" s="64"/>
      <c r="G367" s="64"/>
      <c r="H367" s="64"/>
      <c r="I367" s="64"/>
      <c r="J367" s="64"/>
      <c r="K367" s="64"/>
      <c r="L367" s="64"/>
      <c r="M367" s="64"/>
      <c r="N367" s="64"/>
      <c r="O367" s="64"/>
      <c r="P367" s="64"/>
      <c r="Q367" s="64"/>
      <c r="R367" s="64"/>
      <c r="S367" s="64"/>
      <c r="T367" s="64"/>
      <c r="U367" s="64"/>
      <c r="V367" s="64"/>
      <c r="W367" s="64"/>
      <c r="X367" s="64"/>
      <c r="Y367" s="64"/>
      <c r="Z367" s="64"/>
      <c r="AA367" s="64"/>
      <c r="AB367" s="64"/>
      <c r="AC367" s="64"/>
      <c r="AD367" s="64"/>
      <c r="AE367" s="64"/>
      <c r="AF367" s="64"/>
      <c r="AG367" s="64"/>
      <c r="AH367" s="64"/>
    </row>
    <row r="368">
      <c r="A368" s="64"/>
      <c r="B368" s="64"/>
      <c r="C368" s="64"/>
      <c r="D368" s="64"/>
      <c r="E368" s="64"/>
      <c r="F368" s="64"/>
      <c r="G368" s="64"/>
      <c r="H368" s="64"/>
      <c r="I368" s="64"/>
      <c r="J368" s="64"/>
      <c r="K368" s="64"/>
      <c r="L368" s="64"/>
      <c r="M368" s="64"/>
      <c r="N368" s="64"/>
      <c r="O368" s="64"/>
      <c r="P368" s="64"/>
      <c r="Q368" s="64"/>
      <c r="R368" s="64"/>
      <c r="S368" s="64"/>
      <c r="T368" s="64"/>
      <c r="U368" s="64"/>
      <c r="V368" s="64"/>
      <c r="W368" s="64"/>
      <c r="X368" s="64"/>
      <c r="Y368" s="64"/>
      <c r="Z368" s="64"/>
      <c r="AA368" s="64"/>
      <c r="AB368" s="64"/>
      <c r="AC368" s="64"/>
      <c r="AD368" s="64"/>
      <c r="AE368" s="64"/>
      <c r="AF368" s="64"/>
      <c r="AG368" s="64"/>
      <c r="AH368" s="64"/>
    </row>
    <row r="369">
      <c r="A369" s="64"/>
      <c r="B369" s="64"/>
      <c r="C369" s="64"/>
      <c r="D369" s="64"/>
      <c r="E369" s="64"/>
      <c r="F369" s="64"/>
      <c r="G369" s="64"/>
      <c r="H369" s="64"/>
      <c r="I369" s="64"/>
      <c r="J369" s="64"/>
      <c r="K369" s="64"/>
      <c r="L369" s="64"/>
      <c r="M369" s="64"/>
      <c r="N369" s="64"/>
      <c r="O369" s="64"/>
      <c r="P369" s="64"/>
      <c r="Q369" s="64"/>
      <c r="R369" s="64"/>
      <c r="S369" s="64"/>
      <c r="T369" s="64"/>
      <c r="U369" s="64"/>
      <c r="V369" s="64"/>
      <c r="W369" s="64"/>
      <c r="X369" s="64"/>
      <c r="Y369" s="64"/>
      <c r="Z369" s="64"/>
      <c r="AA369" s="64"/>
      <c r="AB369" s="64"/>
      <c r="AC369" s="64"/>
      <c r="AD369" s="64"/>
      <c r="AE369" s="64"/>
      <c r="AF369" s="64"/>
      <c r="AG369" s="64"/>
      <c r="AH369" s="64"/>
    </row>
    <row r="370">
      <c r="A370" s="64"/>
      <c r="B370" s="64"/>
      <c r="C370" s="64"/>
      <c r="D370" s="64"/>
      <c r="E370" s="64"/>
      <c r="F370" s="64"/>
      <c r="G370" s="64"/>
      <c r="H370" s="64"/>
      <c r="I370" s="64"/>
      <c r="J370" s="64"/>
      <c r="K370" s="64"/>
      <c r="L370" s="64"/>
      <c r="M370" s="64"/>
      <c r="N370" s="64"/>
      <c r="O370" s="64"/>
      <c r="P370" s="64"/>
      <c r="Q370" s="64"/>
      <c r="R370" s="64"/>
      <c r="S370" s="64"/>
      <c r="T370" s="64"/>
      <c r="U370" s="64"/>
      <c r="V370" s="64"/>
      <c r="W370" s="64"/>
      <c r="X370" s="64"/>
      <c r="Y370" s="64"/>
      <c r="Z370" s="64"/>
      <c r="AA370" s="64"/>
      <c r="AB370" s="64"/>
      <c r="AC370" s="64"/>
      <c r="AD370" s="64"/>
      <c r="AE370" s="64"/>
      <c r="AF370" s="64"/>
      <c r="AG370" s="64"/>
      <c r="AH370" s="64"/>
    </row>
    <row r="371">
      <c r="A371" s="64"/>
      <c r="B371" s="64"/>
      <c r="C371" s="64"/>
      <c r="D371" s="64"/>
      <c r="E371" s="64"/>
      <c r="F371" s="64"/>
      <c r="G371" s="64"/>
      <c r="H371" s="64"/>
      <c r="I371" s="64"/>
      <c r="J371" s="64"/>
      <c r="K371" s="64"/>
      <c r="L371" s="64"/>
      <c r="M371" s="64"/>
      <c r="N371" s="64"/>
      <c r="O371" s="64"/>
      <c r="P371" s="64"/>
      <c r="Q371" s="64"/>
      <c r="R371" s="64"/>
      <c r="S371" s="64"/>
      <c r="T371" s="64"/>
      <c r="U371" s="64"/>
      <c r="V371" s="64"/>
      <c r="W371" s="64"/>
      <c r="X371" s="64"/>
      <c r="Y371" s="64"/>
      <c r="Z371" s="64"/>
      <c r="AA371" s="64"/>
      <c r="AB371" s="64"/>
      <c r="AC371" s="64"/>
      <c r="AD371" s="64"/>
      <c r="AE371" s="64"/>
      <c r="AF371" s="64"/>
      <c r="AG371" s="64"/>
      <c r="AH371" s="64"/>
    </row>
    <row r="372">
      <c r="A372" s="64"/>
      <c r="B372" s="64"/>
      <c r="C372" s="64"/>
      <c r="D372" s="64"/>
      <c r="E372" s="64"/>
      <c r="F372" s="64"/>
      <c r="G372" s="64"/>
      <c r="H372" s="64"/>
      <c r="I372" s="64"/>
      <c r="J372" s="64"/>
      <c r="K372" s="64"/>
      <c r="L372" s="64"/>
      <c r="M372" s="64"/>
      <c r="N372" s="64"/>
      <c r="O372" s="64"/>
      <c r="P372" s="64"/>
      <c r="Q372" s="64"/>
      <c r="R372" s="64"/>
      <c r="S372" s="64"/>
      <c r="T372" s="64"/>
      <c r="U372" s="64"/>
      <c r="V372" s="64"/>
      <c r="W372" s="64"/>
      <c r="X372" s="64"/>
      <c r="Y372" s="64"/>
      <c r="Z372" s="64"/>
      <c r="AA372" s="64"/>
      <c r="AB372" s="64"/>
      <c r="AC372" s="64"/>
      <c r="AD372" s="64"/>
      <c r="AE372" s="64"/>
      <c r="AF372" s="64"/>
      <c r="AG372" s="64"/>
      <c r="AH372" s="64"/>
    </row>
    <row r="373">
      <c r="A373" s="64"/>
      <c r="B373" s="64"/>
      <c r="C373" s="64"/>
      <c r="D373" s="64"/>
      <c r="E373" s="64"/>
      <c r="F373" s="64"/>
      <c r="G373" s="64"/>
      <c r="H373" s="64"/>
      <c r="I373" s="64"/>
      <c r="J373" s="64"/>
      <c r="K373" s="64"/>
      <c r="L373" s="64"/>
      <c r="M373" s="64"/>
      <c r="N373" s="64"/>
      <c r="O373" s="64"/>
      <c r="P373" s="64"/>
      <c r="Q373" s="64"/>
      <c r="R373" s="64"/>
      <c r="S373" s="64"/>
      <c r="T373" s="64"/>
      <c r="U373" s="64"/>
      <c r="V373" s="64"/>
      <c r="W373" s="64"/>
      <c r="X373" s="64"/>
      <c r="Y373" s="64"/>
      <c r="Z373" s="64"/>
      <c r="AA373" s="64"/>
      <c r="AB373" s="64"/>
      <c r="AC373" s="64"/>
      <c r="AD373" s="64"/>
      <c r="AE373" s="64"/>
      <c r="AF373" s="64"/>
      <c r="AG373" s="64"/>
      <c r="AH373" s="64"/>
    </row>
    <row r="374">
      <c r="A374" s="64"/>
      <c r="B374" s="64"/>
      <c r="C374" s="64"/>
      <c r="D374" s="64"/>
      <c r="E374" s="64"/>
      <c r="F374" s="64"/>
      <c r="G374" s="64"/>
      <c r="H374" s="64"/>
      <c r="I374" s="64"/>
      <c r="J374" s="64"/>
      <c r="K374" s="64"/>
      <c r="L374" s="64"/>
      <c r="M374" s="64"/>
      <c r="N374" s="64"/>
      <c r="O374" s="64"/>
      <c r="P374" s="64"/>
      <c r="Q374" s="64"/>
      <c r="R374" s="64"/>
      <c r="S374" s="64"/>
      <c r="T374" s="64"/>
      <c r="U374" s="64"/>
      <c r="V374" s="64"/>
      <c r="W374" s="64"/>
      <c r="X374" s="64"/>
      <c r="Y374" s="64"/>
      <c r="Z374" s="64"/>
      <c r="AA374" s="64"/>
      <c r="AB374" s="64"/>
      <c r="AC374" s="64"/>
      <c r="AD374" s="64"/>
      <c r="AE374" s="64"/>
      <c r="AF374" s="64"/>
      <c r="AG374" s="64"/>
      <c r="AH374" s="64"/>
    </row>
    <row r="375">
      <c r="A375" s="64"/>
      <c r="B375" s="64"/>
      <c r="C375" s="64"/>
      <c r="D375" s="64"/>
      <c r="E375" s="64"/>
      <c r="F375" s="64"/>
      <c r="G375" s="64"/>
      <c r="H375" s="64"/>
      <c r="I375" s="64"/>
      <c r="J375" s="64"/>
      <c r="K375" s="64"/>
      <c r="L375" s="64"/>
      <c r="M375" s="64"/>
      <c r="N375" s="64"/>
      <c r="O375" s="64"/>
      <c r="P375" s="64"/>
      <c r="Q375" s="64"/>
      <c r="R375" s="64"/>
      <c r="S375" s="64"/>
      <c r="T375" s="64"/>
      <c r="U375" s="64"/>
      <c r="V375" s="64"/>
      <c r="W375" s="64"/>
      <c r="X375" s="64"/>
      <c r="Y375" s="64"/>
      <c r="Z375" s="64"/>
      <c r="AA375" s="64"/>
      <c r="AB375" s="64"/>
      <c r="AC375" s="64"/>
      <c r="AD375" s="64"/>
      <c r="AE375" s="64"/>
      <c r="AF375" s="64"/>
      <c r="AG375" s="64"/>
      <c r="AH375" s="64"/>
    </row>
    <row r="376">
      <c r="A376" s="64"/>
      <c r="B376" s="64"/>
      <c r="C376" s="64"/>
      <c r="D376" s="64"/>
      <c r="E376" s="64"/>
      <c r="F376" s="64"/>
      <c r="G376" s="64"/>
      <c r="H376" s="64"/>
      <c r="I376" s="64"/>
      <c r="J376" s="64"/>
      <c r="K376" s="64"/>
      <c r="L376" s="64"/>
      <c r="M376" s="64"/>
      <c r="N376" s="64"/>
      <c r="O376" s="64"/>
      <c r="P376" s="64"/>
      <c r="Q376" s="64"/>
      <c r="R376" s="64"/>
      <c r="S376" s="64"/>
      <c r="T376" s="64"/>
      <c r="U376" s="64"/>
      <c r="V376" s="64"/>
      <c r="W376" s="64"/>
      <c r="X376" s="64"/>
      <c r="Y376" s="64"/>
      <c r="Z376" s="64"/>
      <c r="AA376" s="64"/>
      <c r="AB376" s="64"/>
      <c r="AC376" s="64"/>
      <c r="AD376" s="64"/>
      <c r="AE376" s="64"/>
      <c r="AF376" s="64"/>
      <c r="AG376" s="64"/>
      <c r="AH376" s="64"/>
    </row>
    <row r="377">
      <c r="A377" s="64"/>
      <c r="B377" s="64"/>
      <c r="C377" s="64"/>
      <c r="D377" s="64"/>
      <c r="E377" s="64"/>
      <c r="F377" s="64"/>
      <c r="G377" s="64"/>
      <c r="H377" s="64"/>
      <c r="I377" s="64"/>
      <c r="J377" s="64"/>
      <c r="K377" s="64"/>
      <c r="L377" s="64"/>
      <c r="M377" s="64"/>
      <c r="N377" s="64"/>
      <c r="O377" s="64"/>
      <c r="P377" s="64"/>
      <c r="Q377" s="64"/>
      <c r="R377" s="64"/>
      <c r="S377" s="64"/>
      <c r="T377" s="64"/>
      <c r="U377" s="64"/>
      <c r="V377" s="64"/>
      <c r="W377" s="64"/>
      <c r="X377" s="64"/>
      <c r="Y377" s="64"/>
      <c r="Z377" s="64"/>
      <c r="AA377" s="64"/>
      <c r="AB377" s="64"/>
      <c r="AC377" s="64"/>
      <c r="AD377" s="64"/>
      <c r="AE377" s="64"/>
      <c r="AF377" s="64"/>
      <c r="AG377" s="64"/>
      <c r="AH377" s="64"/>
    </row>
    <row r="378">
      <c r="A378" s="64"/>
      <c r="B378" s="64"/>
      <c r="C378" s="64"/>
      <c r="D378" s="64"/>
      <c r="E378" s="64"/>
      <c r="F378" s="64"/>
      <c r="G378" s="64"/>
      <c r="H378" s="64"/>
      <c r="I378" s="64"/>
      <c r="J378" s="64"/>
      <c r="K378" s="64"/>
      <c r="L378" s="64"/>
      <c r="M378" s="64"/>
      <c r="N378" s="64"/>
      <c r="O378" s="64"/>
      <c r="P378" s="64"/>
      <c r="Q378" s="64"/>
      <c r="R378" s="64"/>
      <c r="S378" s="64"/>
      <c r="T378" s="64"/>
      <c r="U378" s="64"/>
      <c r="V378" s="64"/>
      <c r="W378" s="64"/>
      <c r="X378" s="64"/>
      <c r="Y378" s="64"/>
      <c r="Z378" s="64"/>
      <c r="AA378" s="64"/>
      <c r="AB378" s="64"/>
      <c r="AC378" s="64"/>
      <c r="AD378" s="64"/>
      <c r="AE378" s="64"/>
      <c r="AF378" s="64"/>
      <c r="AG378" s="64"/>
      <c r="AH378" s="64"/>
    </row>
    <row r="379">
      <c r="A379" s="64"/>
      <c r="B379" s="64"/>
      <c r="C379" s="64"/>
      <c r="D379" s="64"/>
      <c r="E379" s="64"/>
      <c r="F379" s="64"/>
      <c r="G379" s="64"/>
      <c r="H379" s="64"/>
      <c r="I379" s="64"/>
      <c r="J379" s="64"/>
      <c r="K379" s="64"/>
      <c r="L379" s="64"/>
      <c r="M379" s="64"/>
      <c r="N379" s="64"/>
      <c r="O379" s="64"/>
      <c r="P379" s="64"/>
      <c r="Q379" s="64"/>
      <c r="R379" s="64"/>
      <c r="S379" s="64"/>
      <c r="T379" s="64"/>
      <c r="U379" s="64"/>
      <c r="V379" s="64"/>
      <c r="W379" s="64"/>
      <c r="X379" s="64"/>
      <c r="Y379" s="64"/>
      <c r="Z379" s="64"/>
      <c r="AA379" s="64"/>
      <c r="AB379" s="64"/>
      <c r="AC379" s="64"/>
      <c r="AD379" s="64"/>
      <c r="AE379" s="64"/>
      <c r="AF379" s="64"/>
      <c r="AG379" s="64"/>
      <c r="AH379" s="64"/>
    </row>
    <row r="380">
      <c r="A380" s="64"/>
      <c r="B380" s="64"/>
      <c r="C380" s="64"/>
      <c r="D380" s="64"/>
      <c r="E380" s="64"/>
      <c r="F380" s="64"/>
      <c r="G380" s="64"/>
      <c r="H380" s="64"/>
      <c r="I380" s="64"/>
      <c r="J380" s="64"/>
      <c r="K380" s="64"/>
      <c r="L380" s="64"/>
      <c r="M380" s="64"/>
      <c r="N380" s="64"/>
      <c r="O380" s="64"/>
      <c r="P380" s="64"/>
      <c r="Q380" s="64"/>
      <c r="R380" s="64"/>
      <c r="S380" s="64"/>
      <c r="T380" s="64"/>
      <c r="U380" s="64"/>
      <c r="V380" s="64"/>
      <c r="W380" s="64"/>
      <c r="X380" s="64"/>
      <c r="Y380" s="64"/>
      <c r="Z380" s="64"/>
      <c r="AA380" s="64"/>
      <c r="AB380" s="64"/>
      <c r="AC380" s="64"/>
      <c r="AD380" s="64"/>
      <c r="AE380" s="64"/>
      <c r="AF380" s="64"/>
      <c r="AG380" s="64"/>
      <c r="AH380" s="64"/>
    </row>
    <row r="381">
      <c r="A381" s="64"/>
      <c r="B381" s="64"/>
      <c r="C381" s="64"/>
      <c r="D381" s="64"/>
      <c r="E381" s="64"/>
      <c r="F381" s="64"/>
      <c r="G381" s="64"/>
      <c r="H381" s="64"/>
      <c r="I381" s="64"/>
      <c r="J381" s="64"/>
      <c r="K381" s="64"/>
      <c r="L381" s="64"/>
      <c r="M381" s="64"/>
      <c r="N381" s="64"/>
      <c r="O381" s="64"/>
      <c r="P381" s="64"/>
      <c r="Q381" s="64"/>
      <c r="R381" s="64"/>
      <c r="S381" s="64"/>
      <c r="T381" s="64"/>
      <c r="U381" s="64"/>
      <c r="V381" s="64"/>
      <c r="W381" s="64"/>
      <c r="X381" s="64"/>
      <c r="Y381" s="64"/>
      <c r="Z381" s="64"/>
      <c r="AA381" s="64"/>
      <c r="AB381" s="64"/>
      <c r="AC381" s="64"/>
      <c r="AD381" s="64"/>
      <c r="AE381" s="64"/>
      <c r="AF381" s="64"/>
      <c r="AG381" s="64"/>
      <c r="AH381" s="64"/>
    </row>
    <row r="382">
      <c r="A382" s="64"/>
      <c r="B382" s="64"/>
      <c r="C382" s="64"/>
      <c r="D382" s="64"/>
      <c r="E382" s="64"/>
      <c r="F382" s="64"/>
      <c r="G382" s="64"/>
      <c r="H382" s="64"/>
      <c r="I382" s="64"/>
      <c r="J382" s="64"/>
      <c r="K382" s="64"/>
      <c r="L382" s="64"/>
      <c r="M382" s="64"/>
      <c r="N382" s="64"/>
      <c r="O382" s="64"/>
      <c r="P382" s="64"/>
      <c r="Q382" s="64"/>
      <c r="R382" s="64"/>
      <c r="S382" s="64"/>
      <c r="T382" s="64"/>
      <c r="U382" s="64"/>
      <c r="V382" s="64"/>
      <c r="W382" s="64"/>
      <c r="X382" s="64"/>
      <c r="Y382" s="64"/>
      <c r="Z382" s="64"/>
      <c r="AA382" s="64"/>
      <c r="AB382" s="64"/>
      <c r="AC382" s="64"/>
      <c r="AD382" s="64"/>
      <c r="AE382" s="64"/>
      <c r="AF382" s="64"/>
      <c r="AG382" s="64"/>
      <c r="AH382" s="64"/>
    </row>
    <row r="383">
      <c r="A383" s="64"/>
      <c r="B383" s="64"/>
      <c r="C383" s="64"/>
      <c r="D383" s="64"/>
      <c r="E383" s="64"/>
      <c r="F383" s="64"/>
      <c r="G383" s="64"/>
      <c r="H383" s="64"/>
      <c r="I383" s="64"/>
      <c r="J383" s="64"/>
      <c r="K383" s="64"/>
      <c r="L383" s="64"/>
      <c r="M383" s="64"/>
      <c r="N383" s="64"/>
      <c r="O383" s="64"/>
      <c r="P383" s="64"/>
      <c r="Q383" s="64"/>
      <c r="R383" s="64"/>
      <c r="S383" s="64"/>
      <c r="T383" s="64"/>
      <c r="U383" s="64"/>
      <c r="V383" s="64"/>
      <c r="W383" s="64"/>
      <c r="X383" s="64"/>
      <c r="Y383" s="64"/>
      <c r="Z383" s="64"/>
      <c r="AA383" s="64"/>
      <c r="AB383" s="64"/>
      <c r="AC383" s="64"/>
      <c r="AD383" s="64"/>
      <c r="AE383" s="64"/>
      <c r="AF383" s="64"/>
      <c r="AG383" s="64"/>
      <c r="AH383" s="64"/>
    </row>
    <row r="384">
      <c r="A384" s="64"/>
      <c r="B384" s="64"/>
      <c r="C384" s="64"/>
      <c r="D384" s="64"/>
      <c r="E384" s="64"/>
      <c r="F384" s="64"/>
      <c r="G384" s="64"/>
      <c r="H384" s="64"/>
      <c r="I384" s="64"/>
      <c r="J384" s="64"/>
      <c r="K384" s="64"/>
      <c r="L384" s="64"/>
      <c r="M384" s="64"/>
      <c r="N384" s="64"/>
      <c r="O384" s="64"/>
      <c r="P384" s="64"/>
      <c r="Q384" s="64"/>
      <c r="R384" s="64"/>
      <c r="S384" s="64"/>
      <c r="T384" s="64"/>
      <c r="U384" s="64"/>
      <c r="V384" s="64"/>
      <c r="W384" s="64"/>
      <c r="X384" s="64"/>
      <c r="Y384" s="64"/>
      <c r="Z384" s="64"/>
      <c r="AA384" s="64"/>
      <c r="AB384" s="64"/>
      <c r="AC384" s="64"/>
      <c r="AD384" s="64"/>
      <c r="AE384" s="64"/>
      <c r="AF384" s="64"/>
      <c r="AG384" s="64"/>
      <c r="AH384" s="64"/>
    </row>
    <row r="385">
      <c r="A385" s="64"/>
      <c r="B385" s="64"/>
      <c r="C385" s="64"/>
      <c r="D385" s="64"/>
      <c r="E385" s="64"/>
      <c r="F385" s="64"/>
      <c r="G385" s="64"/>
      <c r="H385" s="64"/>
      <c r="I385" s="64"/>
      <c r="J385" s="64"/>
      <c r="K385" s="64"/>
      <c r="L385" s="64"/>
      <c r="M385" s="64"/>
      <c r="N385" s="64"/>
      <c r="O385" s="64"/>
      <c r="P385" s="64"/>
      <c r="Q385" s="64"/>
      <c r="R385" s="64"/>
      <c r="S385" s="64"/>
      <c r="T385" s="64"/>
      <c r="U385" s="64"/>
      <c r="V385" s="64"/>
      <c r="W385" s="64"/>
      <c r="X385" s="64"/>
      <c r="Y385" s="64"/>
      <c r="Z385" s="64"/>
      <c r="AA385" s="64"/>
      <c r="AB385" s="64"/>
      <c r="AC385" s="64"/>
      <c r="AD385" s="64"/>
      <c r="AE385" s="64"/>
      <c r="AF385" s="64"/>
      <c r="AG385" s="64"/>
      <c r="AH385" s="64"/>
    </row>
    <row r="386">
      <c r="A386" s="64"/>
      <c r="B386" s="64"/>
      <c r="C386" s="64"/>
      <c r="D386" s="64"/>
      <c r="E386" s="64"/>
      <c r="F386" s="64"/>
      <c r="G386" s="64"/>
      <c r="H386" s="64"/>
      <c r="I386" s="64"/>
      <c r="J386" s="64"/>
      <c r="K386" s="64"/>
      <c r="L386" s="64"/>
      <c r="M386" s="64"/>
      <c r="N386" s="64"/>
      <c r="O386" s="64"/>
      <c r="P386" s="64"/>
      <c r="Q386" s="64"/>
      <c r="R386" s="64"/>
      <c r="S386" s="64"/>
      <c r="T386" s="64"/>
      <c r="U386" s="64"/>
      <c r="V386" s="64"/>
      <c r="W386" s="64"/>
      <c r="X386" s="64"/>
      <c r="Y386" s="64"/>
      <c r="Z386" s="64"/>
      <c r="AA386" s="64"/>
      <c r="AB386" s="64"/>
      <c r="AC386" s="64"/>
      <c r="AD386" s="64"/>
      <c r="AE386" s="64"/>
      <c r="AF386" s="64"/>
      <c r="AG386" s="64"/>
      <c r="AH386" s="64"/>
    </row>
    <row r="387">
      <c r="A387" s="64"/>
      <c r="B387" s="64"/>
      <c r="C387" s="64"/>
      <c r="D387" s="64"/>
      <c r="E387" s="64"/>
      <c r="F387" s="64"/>
      <c r="G387" s="64"/>
      <c r="H387" s="64"/>
      <c r="I387" s="64"/>
      <c r="J387" s="64"/>
      <c r="K387" s="64"/>
      <c r="L387" s="64"/>
      <c r="M387" s="64"/>
      <c r="N387" s="64"/>
      <c r="O387" s="64"/>
      <c r="P387" s="64"/>
      <c r="Q387" s="64"/>
      <c r="R387" s="64"/>
      <c r="S387" s="64"/>
      <c r="T387" s="64"/>
      <c r="U387" s="64"/>
      <c r="V387" s="64"/>
      <c r="W387" s="64"/>
      <c r="X387" s="64"/>
      <c r="Y387" s="64"/>
      <c r="Z387" s="64"/>
      <c r="AA387" s="64"/>
      <c r="AB387" s="64"/>
      <c r="AC387" s="64"/>
      <c r="AD387" s="64"/>
      <c r="AE387" s="64"/>
      <c r="AF387" s="64"/>
      <c r="AG387" s="64"/>
      <c r="AH387" s="64"/>
    </row>
    <row r="388">
      <c r="A388" s="64"/>
      <c r="B388" s="64"/>
      <c r="C388" s="64"/>
      <c r="D388" s="64"/>
      <c r="E388" s="64"/>
      <c r="F388" s="64"/>
      <c r="G388" s="64"/>
      <c r="H388" s="64"/>
      <c r="I388" s="64"/>
      <c r="J388" s="64"/>
      <c r="K388" s="64"/>
      <c r="L388" s="64"/>
      <c r="M388" s="64"/>
      <c r="N388" s="64"/>
      <c r="O388" s="64"/>
      <c r="P388" s="64"/>
      <c r="Q388" s="64"/>
      <c r="R388" s="64"/>
      <c r="S388" s="64"/>
      <c r="T388" s="64"/>
      <c r="U388" s="64"/>
      <c r="V388" s="64"/>
      <c r="W388" s="64"/>
      <c r="X388" s="64"/>
      <c r="Y388" s="64"/>
      <c r="Z388" s="64"/>
      <c r="AA388" s="64"/>
      <c r="AB388" s="64"/>
      <c r="AC388" s="64"/>
      <c r="AD388" s="64"/>
      <c r="AE388" s="64"/>
      <c r="AF388" s="64"/>
      <c r="AG388" s="64"/>
      <c r="AH388" s="64"/>
    </row>
    <row r="389">
      <c r="A389" s="64"/>
      <c r="B389" s="64"/>
      <c r="C389" s="64"/>
      <c r="D389" s="64"/>
      <c r="E389" s="64"/>
      <c r="F389" s="64"/>
      <c r="G389" s="64"/>
      <c r="H389" s="64"/>
      <c r="I389" s="64"/>
      <c r="J389" s="64"/>
      <c r="K389" s="64"/>
      <c r="L389" s="64"/>
      <c r="M389" s="64"/>
      <c r="N389" s="64"/>
      <c r="O389" s="64"/>
      <c r="P389" s="64"/>
      <c r="Q389" s="64"/>
      <c r="R389" s="64"/>
      <c r="S389" s="64"/>
      <c r="T389" s="64"/>
      <c r="U389" s="64"/>
      <c r="V389" s="64"/>
      <c r="W389" s="64"/>
      <c r="X389" s="64"/>
      <c r="Y389" s="64"/>
      <c r="Z389" s="64"/>
      <c r="AA389" s="64"/>
      <c r="AB389" s="64"/>
      <c r="AC389" s="64"/>
      <c r="AD389" s="64"/>
      <c r="AE389" s="64"/>
      <c r="AF389" s="64"/>
      <c r="AG389" s="64"/>
      <c r="AH389" s="64"/>
    </row>
    <row r="390">
      <c r="A390" s="64"/>
      <c r="B390" s="64"/>
      <c r="C390" s="64"/>
      <c r="D390" s="64"/>
      <c r="E390" s="64"/>
      <c r="F390" s="64"/>
      <c r="G390" s="64"/>
      <c r="H390" s="64"/>
      <c r="I390" s="64"/>
      <c r="J390" s="64"/>
      <c r="K390" s="64"/>
      <c r="L390" s="64"/>
      <c r="M390" s="64"/>
      <c r="N390" s="64"/>
      <c r="O390" s="64"/>
      <c r="P390" s="64"/>
      <c r="Q390" s="64"/>
      <c r="R390" s="64"/>
      <c r="S390" s="64"/>
      <c r="T390" s="64"/>
      <c r="U390" s="64"/>
      <c r="V390" s="64"/>
      <c r="W390" s="64"/>
      <c r="X390" s="64"/>
      <c r="Y390" s="64"/>
      <c r="Z390" s="64"/>
      <c r="AA390" s="64"/>
      <c r="AB390" s="64"/>
      <c r="AC390" s="64"/>
      <c r="AD390" s="64"/>
      <c r="AE390" s="64"/>
      <c r="AF390" s="64"/>
      <c r="AG390" s="64"/>
      <c r="AH390" s="64"/>
    </row>
    <row r="391">
      <c r="A391" s="64"/>
      <c r="B391" s="64"/>
      <c r="C391" s="64"/>
      <c r="D391" s="64"/>
      <c r="E391" s="64"/>
      <c r="F391" s="64"/>
      <c r="G391" s="64"/>
      <c r="H391" s="64"/>
      <c r="I391" s="64"/>
      <c r="J391" s="64"/>
      <c r="K391" s="64"/>
      <c r="L391" s="64"/>
      <c r="M391" s="64"/>
      <c r="N391" s="64"/>
      <c r="O391" s="64"/>
      <c r="P391" s="64"/>
      <c r="Q391" s="64"/>
      <c r="R391" s="64"/>
      <c r="S391" s="64"/>
      <c r="T391" s="64"/>
      <c r="U391" s="64"/>
      <c r="V391" s="64"/>
      <c r="W391" s="64"/>
      <c r="X391" s="64"/>
      <c r="Y391" s="64"/>
      <c r="Z391" s="64"/>
      <c r="AA391" s="64"/>
      <c r="AB391" s="64"/>
      <c r="AC391" s="64"/>
      <c r="AD391" s="64"/>
      <c r="AE391" s="64"/>
      <c r="AF391" s="64"/>
      <c r="AG391" s="64"/>
      <c r="AH391" s="64"/>
    </row>
    <row r="392">
      <c r="A392" s="64"/>
      <c r="B392" s="64"/>
      <c r="C392" s="64"/>
      <c r="D392" s="64"/>
      <c r="E392" s="64"/>
      <c r="F392" s="64"/>
      <c r="G392" s="64"/>
      <c r="H392" s="64"/>
      <c r="I392" s="64"/>
      <c r="J392" s="64"/>
      <c r="K392" s="64"/>
      <c r="L392" s="64"/>
      <c r="M392" s="64"/>
      <c r="N392" s="64"/>
      <c r="O392" s="64"/>
      <c r="P392" s="64"/>
      <c r="Q392" s="64"/>
      <c r="R392" s="64"/>
      <c r="S392" s="64"/>
      <c r="T392" s="64"/>
      <c r="U392" s="64"/>
      <c r="V392" s="64"/>
      <c r="W392" s="64"/>
      <c r="X392" s="64"/>
      <c r="Y392" s="64"/>
      <c r="Z392" s="64"/>
      <c r="AA392" s="64"/>
      <c r="AB392" s="64"/>
      <c r="AC392" s="64"/>
      <c r="AD392" s="64"/>
      <c r="AE392" s="64"/>
      <c r="AF392" s="64"/>
      <c r="AG392" s="64"/>
      <c r="AH392" s="64"/>
    </row>
    <row r="393">
      <c r="A393" s="64"/>
      <c r="B393" s="64"/>
      <c r="C393" s="64"/>
      <c r="D393" s="64"/>
      <c r="E393" s="64"/>
      <c r="F393" s="64"/>
      <c r="G393" s="64"/>
      <c r="H393" s="64"/>
      <c r="I393" s="64"/>
      <c r="J393" s="64"/>
      <c r="K393" s="64"/>
      <c r="L393" s="64"/>
      <c r="M393" s="64"/>
      <c r="N393" s="64"/>
      <c r="O393" s="64"/>
      <c r="P393" s="64"/>
      <c r="Q393" s="64"/>
      <c r="R393" s="64"/>
      <c r="S393" s="64"/>
      <c r="T393" s="64"/>
      <c r="U393" s="64"/>
      <c r="V393" s="64"/>
      <c r="W393" s="64"/>
      <c r="X393" s="64"/>
      <c r="Y393" s="64"/>
      <c r="Z393" s="64"/>
      <c r="AA393" s="64"/>
      <c r="AB393" s="64"/>
      <c r="AC393" s="64"/>
      <c r="AD393" s="64"/>
      <c r="AE393" s="64"/>
      <c r="AF393" s="64"/>
      <c r="AG393" s="64"/>
      <c r="AH393" s="64"/>
    </row>
    <row r="394">
      <c r="A394" s="64"/>
      <c r="B394" s="64"/>
      <c r="C394" s="64"/>
      <c r="D394" s="64"/>
      <c r="E394" s="64"/>
      <c r="F394" s="64"/>
      <c r="G394" s="64"/>
      <c r="H394" s="64"/>
      <c r="I394" s="64"/>
      <c r="J394" s="64"/>
      <c r="K394" s="64"/>
      <c r="L394" s="64"/>
      <c r="M394" s="64"/>
      <c r="N394" s="64"/>
      <c r="O394" s="64"/>
      <c r="P394" s="64"/>
      <c r="Q394" s="64"/>
      <c r="R394" s="64"/>
      <c r="S394" s="64"/>
      <c r="T394" s="64"/>
      <c r="U394" s="64"/>
      <c r="V394" s="64"/>
      <c r="W394" s="64"/>
      <c r="X394" s="64"/>
      <c r="Y394" s="64"/>
      <c r="Z394" s="64"/>
      <c r="AA394" s="64"/>
      <c r="AB394" s="64"/>
      <c r="AC394" s="64"/>
      <c r="AD394" s="64"/>
      <c r="AE394" s="64"/>
      <c r="AF394" s="64"/>
      <c r="AG394" s="64"/>
      <c r="AH394" s="64"/>
    </row>
    <row r="395">
      <c r="A395" s="64"/>
      <c r="B395" s="64"/>
      <c r="C395" s="64"/>
      <c r="D395" s="64"/>
      <c r="E395" s="64"/>
      <c r="F395" s="64"/>
      <c r="G395" s="64"/>
      <c r="H395" s="64"/>
      <c r="I395" s="64"/>
      <c r="J395" s="64"/>
      <c r="K395" s="64"/>
      <c r="L395" s="64"/>
      <c r="M395" s="64"/>
      <c r="N395" s="64"/>
      <c r="O395" s="64"/>
      <c r="P395" s="64"/>
      <c r="Q395" s="64"/>
      <c r="R395" s="64"/>
      <c r="S395" s="64"/>
      <c r="T395" s="64"/>
      <c r="U395" s="64"/>
      <c r="V395" s="64"/>
      <c r="W395" s="64"/>
      <c r="X395" s="64"/>
      <c r="Y395" s="64"/>
      <c r="Z395" s="64"/>
      <c r="AA395" s="64"/>
      <c r="AB395" s="64"/>
      <c r="AC395" s="64"/>
      <c r="AD395" s="64"/>
      <c r="AE395" s="64"/>
      <c r="AF395" s="64"/>
      <c r="AG395" s="64"/>
      <c r="AH395" s="64"/>
    </row>
    <row r="396">
      <c r="A396" s="64"/>
      <c r="B396" s="64"/>
      <c r="C396" s="64"/>
      <c r="D396" s="64"/>
      <c r="E396" s="64"/>
      <c r="F396" s="64"/>
      <c r="G396" s="64"/>
      <c r="H396" s="64"/>
      <c r="I396" s="64"/>
      <c r="J396" s="64"/>
      <c r="K396" s="64"/>
      <c r="L396" s="64"/>
      <c r="M396" s="64"/>
      <c r="N396" s="64"/>
      <c r="O396" s="64"/>
      <c r="P396" s="64"/>
      <c r="Q396" s="64"/>
      <c r="R396" s="64"/>
      <c r="S396" s="64"/>
      <c r="T396" s="64"/>
      <c r="U396" s="64"/>
      <c r="V396" s="64"/>
      <c r="W396" s="64"/>
      <c r="X396" s="64"/>
      <c r="Y396" s="64"/>
      <c r="Z396" s="64"/>
      <c r="AA396" s="64"/>
      <c r="AB396" s="64"/>
      <c r="AC396" s="64"/>
      <c r="AD396" s="64"/>
      <c r="AE396" s="64"/>
      <c r="AF396" s="64"/>
      <c r="AG396" s="64"/>
      <c r="AH396" s="64"/>
    </row>
    <row r="397">
      <c r="A397" s="64"/>
      <c r="B397" s="64"/>
      <c r="C397" s="64"/>
      <c r="D397" s="64"/>
      <c r="E397" s="64"/>
      <c r="F397" s="64"/>
      <c r="G397" s="64"/>
      <c r="H397" s="64"/>
      <c r="I397" s="64"/>
      <c r="J397" s="64"/>
      <c r="K397" s="64"/>
      <c r="L397" s="64"/>
      <c r="M397" s="64"/>
      <c r="N397" s="64"/>
      <c r="O397" s="64"/>
      <c r="P397" s="64"/>
      <c r="Q397" s="64"/>
      <c r="R397" s="64"/>
      <c r="S397" s="64"/>
      <c r="T397" s="64"/>
      <c r="U397" s="64"/>
      <c r="V397" s="64"/>
      <c r="W397" s="64"/>
      <c r="X397" s="64"/>
      <c r="Y397" s="64"/>
      <c r="Z397" s="64"/>
      <c r="AA397" s="64"/>
      <c r="AB397" s="64"/>
      <c r="AC397" s="64"/>
      <c r="AD397" s="64"/>
      <c r="AE397" s="64"/>
      <c r="AF397" s="64"/>
      <c r="AG397" s="64"/>
      <c r="AH397" s="64"/>
    </row>
    <row r="398">
      <c r="A398" s="64"/>
      <c r="B398" s="64"/>
      <c r="C398" s="64"/>
      <c r="D398" s="64"/>
      <c r="E398" s="64"/>
      <c r="F398" s="64"/>
      <c r="G398" s="64"/>
      <c r="H398" s="64"/>
      <c r="I398" s="64"/>
      <c r="J398" s="64"/>
      <c r="K398" s="64"/>
      <c r="L398" s="64"/>
      <c r="M398" s="64"/>
      <c r="N398" s="64"/>
      <c r="O398" s="64"/>
      <c r="P398" s="64"/>
      <c r="Q398" s="64"/>
      <c r="R398" s="64"/>
      <c r="S398" s="64"/>
      <c r="T398" s="64"/>
      <c r="U398" s="64"/>
      <c r="V398" s="64"/>
      <c r="W398" s="64"/>
      <c r="X398" s="64"/>
      <c r="Y398" s="64"/>
      <c r="Z398" s="64"/>
      <c r="AA398" s="64"/>
      <c r="AB398" s="64"/>
      <c r="AC398" s="64"/>
      <c r="AD398" s="64"/>
      <c r="AE398" s="64"/>
      <c r="AF398" s="64"/>
      <c r="AG398" s="64"/>
      <c r="AH398" s="64"/>
    </row>
    <row r="399">
      <c r="A399" s="64"/>
      <c r="B399" s="64"/>
      <c r="C399" s="64"/>
      <c r="D399" s="64"/>
      <c r="E399" s="64"/>
      <c r="F399" s="64"/>
      <c r="G399" s="64"/>
      <c r="H399" s="64"/>
      <c r="I399" s="64"/>
      <c r="J399" s="64"/>
      <c r="K399" s="64"/>
      <c r="L399" s="64"/>
      <c r="M399" s="64"/>
      <c r="N399" s="64"/>
      <c r="O399" s="64"/>
      <c r="P399" s="64"/>
      <c r="Q399" s="64"/>
      <c r="R399" s="64"/>
      <c r="S399" s="64"/>
      <c r="T399" s="64"/>
      <c r="U399" s="64"/>
      <c r="V399" s="64"/>
      <c r="W399" s="64"/>
      <c r="X399" s="64"/>
      <c r="Y399" s="64"/>
      <c r="Z399" s="64"/>
      <c r="AA399" s="64"/>
      <c r="AB399" s="64"/>
      <c r="AC399" s="64"/>
      <c r="AD399" s="64"/>
      <c r="AE399" s="64"/>
      <c r="AF399" s="64"/>
      <c r="AG399" s="64"/>
      <c r="AH399" s="64"/>
    </row>
    <row r="400">
      <c r="A400" s="64"/>
      <c r="B400" s="64"/>
      <c r="C400" s="64"/>
      <c r="D400" s="64"/>
      <c r="E400" s="64"/>
      <c r="F400" s="64"/>
      <c r="G400" s="64"/>
      <c r="H400" s="64"/>
      <c r="I400" s="64"/>
      <c r="J400" s="64"/>
      <c r="K400" s="64"/>
      <c r="L400" s="64"/>
      <c r="M400" s="64"/>
      <c r="N400" s="64"/>
      <c r="O400" s="64"/>
      <c r="P400" s="64"/>
      <c r="Q400" s="64"/>
      <c r="R400" s="64"/>
      <c r="S400" s="64"/>
      <c r="T400" s="64"/>
      <c r="U400" s="64"/>
      <c r="V400" s="64"/>
      <c r="W400" s="64"/>
      <c r="X400" s="64"/>
      <c r="Y400" s="64"/>
      <c r="Z400" s="64"/>
      <c r="AA400" s="64"/>
      <c r="AB400" s="64"/>
      <c r="AC400" s="64"/>
      <c r="AD400" s="64"/>
      <c r="AE400" s="64"/>
      <c r="AF400" s="64"/>
      <c r="AG400" s="64"/>
      <c r="AH400" s="64"/>
    </row>
    <row r="401">
      <c r="A401" s="64"/>
      <c r="B401" s="64"/>
      <c r="C401" s="64"/>
      <c r="D401" s="64"/>
      <c r="E401" s="64"/>
      <c r="F401" s="64"/>
      <c r="G401" s="64"/>
      <c r="H401" s="64"/>
      <c r="I401" s="64"/>
      <c r="J401" s="64"/>
      <c r="K401" s="64"/>
      <c r="L401" s="64"/>
      <c r="M401" s="64"/>
      <c r="N401" s="64"/>
      <c r="O401" s="64"/>
      <c r="P401" s="64"/>
      <c r="Q401" s="64"/>
      <c r="R401" s="64"/>
      <c r="S401" s="64"/>
      <c r="T401" s="64"/>
      <c r="U401" s="64"/>
      <c r="V401" s="64"/>
      <c r="W401" s="64"/>
      <c r="X401" s="64"/>
      <c r="Y401" s="64"/>
      <c r="Z401" s="64"/>
      <c r="AA401" s="64"/>
      <c r="AB401" s="64"/>
      <c r="AC401" s="64"/>
      <c r="AD401" s="64"/>
      <c r="AE401" s="64"/>
      <c r="AF401" s="64"/>
      <c r="AG401" s="64"/>
      <c r="AH401" s="64"/>
    </row>
    <row r="402">
      <c r="A402" s="64"/>
      <c r="B402" s="64"/>
      <c r="C402" s="64"/>
      <c r="D402" s="64"/>
      <c r="E402" s="64"/>
      <c r="F402" s="64"/>
      <c r="G402" s="64"/>
      <c r="H402" s="64"/>
      <c r="I402" s="64"/>
      <c r="J402" s="64"/>
      <c r="K402" s="64"/>
      <c r="L402" s="64"/>
      <c r="M402" s="64"/>
      <c r="N402" s="64"/>
      <c r="O402" s="64"/>
      <c r="P402" s="64"/>
      <c r="Q402" s="64"/>
      <c r="R402" s="64"/>
      <c r="S402" s="64"/>
      <c r="T402" s="64"/>
      <c r="U402" s="64"/>
      <c r="V402" s="64"/>
      <c r="W402" s="64"/>
      <c r="X402" s="64"/>
      <c r="Y402" s="64"/>
      <c r="Z402" s="64"/>
      <c r="AA402" s="64"/>
      <c r="AB402" s="64"/>
      <c r="AC402" s="64"/>
      <c r="AD402" s="64"/>
      <c r="AE402" s="64"/>
      <c r="AF402" s="64"/>
      <c r="AG402" s="64"/>
      <c r="AH402" s="64"/>
    </row>
    <row r="403">
      <c r="A403" s="64"/>
      <c r="B403" s="64"/>
      <c r="C403" s="64"/>
      <c r="D403" s="64"/>
      <c r="E403" s="64"/>
      <c r="F403" s="64"/>
      <c r="G403" s="64"/>
      <c r="H403" s="64"/>
      <c r="I403" s="64"/>
      <c r="J403" s="64"/>
      <c r="K403" s="64"/>
      <c r="L403" s="64"/>
      <c r="M403" s="64"/>
      <c r="N403" s="64"/>
      <c r="O403" s="64"/>
      <c r="P403" s="64"/>
      <c r="Q403" s="64"/>
      <c r="R403" s="64"/>
      <c r="S403" s="64"/>
      <c r="T403" s="64"/>
      <c r="U403" s="64"/>
      <c r="V403" s="64"/>
      <c r="W403" s="64"/>
      <c r="X403" s="64"/>
      <c r="Y403" s="64"/>
      <c r="Z403" s="64"/>
      <c r="AA403" s="64"/>
      <c r="AB403" s="64"/>
      <c r="AC403" s="64"/>
      <c r="AD403" s="64"/>
      <c r="AE403" s="64"/>
      <c r="AF403" s="64"/>
      <c r="AG403" s="64"/>
      <c r="AH403" s="64"/>
    </row>
    <row r="404">
      <c r="A404" s="64"/>
      <c r="B404" s="64"/>
      <c r="C404" s="64"/>
      <c r="D404" s="64"/>
      <c r="E404" s="64"/>
      <c r="F404" s="64"/>
      <c r="G404" s="64"/>
      <c r="H404" s="64"/>
      <c r="I404" s="64"/>
      <c r="J404" s="64"/>
      <c r="K404" s="64"/>
      <c r="L404" s="64"/>
      <c r="M404" s="64"/>
      <c r="N404" s="64"/>
      <c r="O404" s="64"/>
      <c r="P404" s="64"/>
      <c r="Q404" s="64"/>
      <c r="R404" s="64"/>
      <c r="S404" s="64"/>
      <c r="T404" s="64"/>
      <c r="U404" s="64"/>
      <c r="V404" s="64"/>
      <c r="W404" s="64"/>
      <c r="X404" s="64"/>
      <c r="Y404" s="64"/>
      <c r="Z404" s="64"/>
      <c r="AA404" s="64"/>
      <c r="AB404" s="64"/>
      <c r="AC404" s="64"/>
      <c r="AD404" s="64"/>
      <c r="AE404" s="64"/>
      <c r="AF404" s="64"/>
      <c r="AG404" s="64"/>
      <c r="AH404" s="64"/>
    </row>
    <row r="405">
      <c r="A405" s="64"/>
      <c r="B405" s="64"/>
      <c r="C405" s="64"/>
      <c r="D405" s="64"/>
      <c r="E405" s="64"/>
      <c r="F405" s="64"/>
      <c r="G405" s="64"/>
      <c r="H405" s="64"/>
      <c r="I405" s="64"/>
      <c r="J405" s="64"/>
      <c r="K405" s="64"/>
      <c r="L405" s="64"/>
      <c r="M405" s="64"/>
      <c r="N405" s="64"/>
      <c r="O405" s="64"/>
      <c r="P405" s="64"/>
      <c r="Q405" s="64"/>
      <c r="R405" s="64"/>
      <c r="S405" s="64"/>
      <c r="T405" s="64"/>
      <c r="U405" s="64"/>
      <c r="V405" s="64"/>
      <c r="W405" s="64"/>
      <c r="X405" s="64"/>
      <c r="Y405" s="64"/>
      <c r="Z405" s="64"/>
      <c r="AA405" s="64"/>
      <c r="AB405" s="64"/>
      <c r="AC405" s="64"/>
      <c r="AD405" s="64"/>
      <c r="AE405" s="64"/>
      <c r="AF405" s="64"/>
      <c r="AG405" s="64"/>
      <c r="AH405" s="64"/>
    </row>
    <row r="406">
      <c r="A406" s="64"/>
      <c r="B406" s="64"/>
      <c r="C406" s="64"/>
      <c r="D406" s="64"/>
      <c r="E406" s="64"/>
      <c r="F406" s="64"/>
      <c r="G406" s="64"/>
      <c r="H406" s="64"/>
      <c r="I406" s="64"/>
      <c r="J406" s="64"/>
      <c r="K406" s="64"/>
      <c r="L406" s="64"/>
      <c r="M406" s="64"/>
      <c r="N406" s="64"/>
      <c r="O406" s="64"/>
      <c r="P406" s="64"/>
      <c r="Q406" s="64"/>
      <c r="R406" s="64"/>
      <c r="S406" s="64"/>
      <c r="T406" s="64"/>
      <c r="U406" s="64"/>
      <c r="V406" s="64"/>
      <c r="W406" s="64"/>
      <c r="X406" s="64"/>
      <c r="Y406" s="64"/>
      <c r="Z406" s="64"/>
      <c r="AA406" s="64"/>
      <c r="AB406" s="64"/>
      <c r="AC406" s="64"/>
      <c r="AD406" s="64"/>
      <c r="AE406" s="64"/>
      <c r="AF406" s="64"/>
      <c r="AG406" s="64"/>
      <c r="AH406" s="64"/>
    </row>
    <row r="407">
      <c r="A407" s="64"/>
      <c r="B407" s="64"/>
      <c r="C407" s="64"/>
      <c r="D407" s="64"/>
      <c r="E407" s="64"/>
      <c r="F407" s="64"/>
      <c r="G407" s="64"/>
      <c r="H407" s="64"/>
      <c r="I407" s="64"/>
      <c r="J407" s="64"/>
      <c r="K407" s="64"/>
      <c r="L407" s="64"/>
      <c r="M407" s="64"/>
      <c r="N407" s="64"/>
      <c r="O407" s="64"/>
      <c r="P407" s="64"/>
      <c r="Q407" s="64"/>
      <c r="R407" s="64"/>
      <c r="S407" s="64"/>
      <c r="T407" s="64"/>
      <c r="U407" s="64"/>
      <c r="V407" s="64"/>
      <c r="W407" s="64"/>
      <c r="X407" s="64"/>
      <c r="Y407" s="64"/>
      <c r="Z407" s="64"/>
      <c r="AA407" s="64"/>
      <c r="AB407" s="64"/>
      <c r="AC407" s="64"/>
      <c r="AD407" s="64"/>
      <c r="AE407" s="64"/>
      <c r="AF407" s="64"/>
      <c r="AG407" s="64"/>
      <c r="AH407" s="64"/>
    </row>
    <row r="408">
      <c r="A408" s="64"/>
      <c r="B408" s="64"/>
      <c r="C408" s="64"/>
      <c r="D408" s="64"/>
      <c r="E408" s="64"/>
      <c r="F408" s="64"/>
      <c r="G408" s="64"/>
      <c r="H408" s="64"/>
      <c r="I408" s="64"/>
      <c r="J408" s="64"/>
      <c r="K408" s="64"/>
      <c r="L408" s="64"/>
      <c r="M408" s="64"/>
      <c r="N408" s="64"/>
      <c r="O408" s="64"/>
      <c r="P408" s="64"/>
      <c r="Q408" s="64"/>
      <c r="R408" s="64"/>
      <c r="S408" s="64"/>
      <c r="T408" s="64"/>
      <c r="U408" s="64"/>
      <c r="V408" s="64"/>
      <c r="W408" s="64"/>
      <c r="X408" s="64"/>
      <c r="Y408" s="64"/>
      <c r="Z408" s="64"/>
      <c r="AA408" s="64"/>
      <c r="AB408" s="64"/>
      <c r="AC408" s="64"/>
      <c r="AD408" s="64"/>
      <c r="AE408" s="64"/>
      <c r="AF408" s="64"/>
      <c r="AG408" s="64"/>
      <c r="AH408" s="64"/>
    </row>
    <row r="409">
      <c r="A409" s="64"/>
      <c r="B409" s="64"/>
      <c r="C409" s="64"/>
      <c r="D409" s="64"/>
      <c r="E409" s="64"/>
      <c r="F409" s="64"/>
      <c r="G409" s="64"/>
      <c r="H409" s="64"/>
      <c r="I409" s="64"/>
      <c r="J409" s="64"/>
      <c r="K409" s="64"/>
      <c r="L409" s="64"/>
      <c r="M409" s="64"/>
      <c r="N409" s="64"/>
      <c r="O409" s="64"/>
      <c r="P409" s="64"/>
      <c r="Q409" s="64"/>
      <c r="R409" s="64"/>
      <c r="S409" s="64"/>
      <c r="T409" s="64"/>
      <c r="U409" s="64"/>
      <c r="V409" s="64"/>
      <c r="W409" s="64"/>
      <c r="X409" s="64"/>
      <c r="Y409" s="64"/>
      <c r="Z409" s="64"/>
      <c r="AA409" s="64"/>
      <c r="AB409" s="64"/>
      <c r="AC409" s="64"/>
      <c r="AD409" s="64"/>
      <c r="AE409" s="64"/>
      <c r="AF409" s="64"/>
      <c r="AG409" s="64"/>
      <c r="AH409" s="64"/>
    </row>
    <row r="410">
      <c r="A410" s="64"/>
      <c r="B410" s="64"/>
      <c r="C410" s="64"/>
      <c r="D410" s="64"/>
      <c r="E410" s="64"/>
      <c r="F410" s="64"/>
      <c r="G410" s="64"/>
      <c r="H410" s="64"/>
      <c r="I410" s="64"/>
      <c r="J410" s="64"/>
      <c r="K410" s="64"/>
      <c r="L410" s="64"/>
      <c r="M410" s="64"/>
      <c r="N410" s="64"/>
      <c r="O410" s="64"/>
      <c r="P410" s="64"/>
      <c r="Q410" s="64"/>
      <c r="R410" s="64"/>
      <c r="S410" s="64"/>
      <c r="T410" s="64"/>
      <c r="U410" s="64"/>
      <c r="V410" s="64"/>
      <c r="W410" s="64"/>
      <c r="X410" s="64"/>
      <c r="Y410" s="64"/>
      <c r="Z410" s="64"/>
      <c r="AA410" s="64"/>
      <c r="AB410" s="64"/>
      <c r="AC410" s="64"/>
      <c r="AD410" s="64"/>
      <c r="AE410" s="64"/>
      <c r="AF410" s="64"/>
      <c r="AG410" s="64"/>
      <c r="AH410" s="64"/>
    </row>
    <row r="411">
      <c r="A411" s="64"/>
      <c r="B411" s="64"/>
      <c r="C411" s="64"/>
      <c r="D411" s="64"/>
      <c r="E411" s="64"/>
      <c r="F411" s="64"/>
      <c r="G411" s="64"/>
      <c r="H411" s="64"/>
      <c r="I411" s="64"/>
      <c r="J411" s="64"/>
      <c r="K411" s="64"/>
      <c r="L411" s="64"/>
      <c r="M411" s="64"/>
      <c r="N411" s="64"/>
      <c r="O411" s="64"/>
      <c r="P411" s="64"/>
      <c r="Q411" s="64"/>
      <c r="R411" s="64"/>
      <c r="S411" s="64"/>
      <c r="T411" s="64"/>
      <c r="U411" s="64"/>
      <c r="V411" s="64"/>
      <c r="W411" s="64"/>
      <c r="X411" s="64"/>
      <c r="Y411" s="64"/>
      <c r="Z411" s="64"/>
      <c r="AA411" s="64"/>
      <c r="AB411" s="64"/>
      <c r="AC411" s="64"/>
      <c r="AD411" s="64"/>
      <c r="AE411" s="64"/>
      <c r="AF411" s="64"/>
      <c r="AG411" s="64"/>
      <c r="AH411" s="64"/>
    </row>
    <row r="412">
      <c r="A412" s="64"/>
      <c r="B412" s="64"/>
      <c r="C412" s="64"/>
      <c r="D412" s="64"/>
      <c r="E412" s="64"/>
      <c r="F412" s="64"/>
      <c r="G412" s="64"/>
      <c r="H412" s="64"/>
      <c r="I412" s="64"/>
      <c r="J412" s="64"/>
      <c r="K412" s="64"/>
      <c r="L412" s="64"/>
      <c r="M412" s="64"/>
      <c r="N412" s="64"/>
      <c r="O412" s="64"/>
      <c r="P412" s="64"/>
      <c r="Q412" s="64"/>
      <c r="R412" s="64"/>
      <c r="S412" s="64"/>
      <c r="T412" s="64"/>
      <c r="U412" s="64"/>
      <c r="V412" s="64"/>
      <c r="W412" s="64"/>
      <c r="X412" s="64"/>
      <c r="Y412" s="64"/>
      <c r="Z412" s="64"/>
      <c r="AA412" s="64"/>
      <c r="AB412" s="64"/>
      <c r="AC412" s="64"/>
      <c r="AD412" s="64"/>
      <c r="AE412" s="64"/>
      <c r="AF412" s="64"/>
      <c r="AG412" s="64"/>
      <c r="AH412" s="64"/>
    </row>
    <row r="413">
      <c r="A413" s="64"/>
      <c r="B413" s="64"/>
      <c r="C413" s="64"/>
      <c r="D413" s="64"/>
      <c r="E413" s="64"/>
      <c r="F413" s="64"/>
      <c r="G413" s="64"/>
      <c r="H413" s="64"/>
      <c r="I413" s="64"/>
      <c r="J413" s="64"/>
      <c r="K413" s="64"/>
      <c r="L413" s="64"/>
      <c r="M413" s="64"/>
      <c r="N413" s="64"/>
      <c r="O413" s="64"/>
      <c r="P413" s="64"/>
      <c r="Q413" s="64"/>
      <c r="R413" s="64"/>
      <c r="S413" s="64"/>
      <c r="T413" s="64"/>
      <c r="U413" s="64"/>
      <c r="V413" s="64"/>
      <c r="W413" s="64"/>
      <c r="X413" s="64"/>
      <c r="Y413" s="64"/>
      <c r="Z413" s="64"/>
      <c r="AA413" s="64"/>
      <c r="AB413" s="64"/>
      <c r="AC413" s="64"/>
      <c r="AD413" s="64"/>
      <c r="AE413" s="64"/>
      <c r="AF413" s="64"/>
      <c r="AG413" s="64"/>
      <c r="AH413" s="64"/>
    </row>
    <row r="414">
      <c r="A414" s="64"/>
      <c r="B414" s="64"/>
      <c r="C414" s="64"/>
      <c r="D414" s="64"/>
      <c r="E414" s="64"/>
      <c r="F414" s="64"/>
      <c r="G414" s="64"/>
      <c r="H414" s="64"/>
      <c r="I414" s="64"/>
      <c r="J414" s="64"/>
      <c r="K414" s="64"/>
      <c r="L414" s="64"/>
      <c r="M414" s="64"/>
      <c r="N414" s="64"/>
      <c r="O414" s="64"/>
      <c r="P414" s="64"/>
      <c r="Q414" s="64"/>
      <c r="R414" s="64"/>
      <c r="S414" s="64"/>
      <c r="T414" s="64"/>
      <c r="U414" s="64"/>
      <c r="V414" s="64"/>
      <c r="W414" s="64"/>
      <c r="X414" s="64"/>
      <c r="Y414" s="64"/>
      <c r="Z414" s="64"/>
      <c r="AA414" s="64"/>
      <c r="AB414" s="64"/>
      <c r="AC414" s="64"/>
      <c r="AD414" s="64"/>
      <c r="AE414" s="64"/>
      <c r="AF414" s="64"/>
      <c r="AG414" s="64"/>
      <c r="AH414" s="64"/>
    </row>
    <row r="415">
      <c r="A415" s="64"/>
      <c r="B415" s="64"/>
      <c r="C415" s="64"/>
      <c r="D415" s="64"/>
      <c r="E415" s="64"/>
      <c r="F415" s="64"/>
      <c r="G415" s="64"/>
      <c r="H415" s="64"/>
      <c r="I415" s="64"/>
      <c r="J415" s="64"/>
      <c r="K415" s="64"/>
      <c r="L415" s="64"/>
      <c r="M415" s="64"/>
      <c r="N415" s="64"/>
      <c r="O415" s="64"/>
      <c r="P415" s="64"/>
      <c r="Q415" s="64"/>
      <c r="R415" s="64"/>
      <c r="S415" s="64"/>
      <c r="T415" s="64"/>
      <c r="U415" s="64"/>
      <c r="V415" s="64"/>
      <c r="W415" s="64"/>
      <c r="X415" s="64"/>
      <c r="Y415" s="64"/>
      <c r="Z415" s="64"/>
      <c r="AA415" s="64"/>
      <c r="AB415" s="64"/>
      <c r="AC415" s="64"/>
      <c r="AD415" s="64"/>
      <c r="AE415" s="64"/>
      <c r="AF415" s="64"/>
      <c r="AG415" s="64"/>
      <c r="AH415" s="64"/>
    </row>
    <row r="416">
      <c r="A416" s="64"/>
      <c r="B416" s="64"/>
      <c r="C416" s="64"/>
      <c r="D416" s="64"/>
      <c r="E416" s="64"/>
      <c r="F416" s="64"/>
      <c r="G416" s="64"/>
      <c r="H416" s="64"/>
      <c r="I416" s="64"/>
      <c r="J416" s="64"/>
      <c r="K416" s="64"/>
      <c r="L416" s="64"/>
      <c r="M416" s="64"/>
      <c r="N416" s="64"/>
      <c r="O416" s="64"/>
      <c r="P416" s="64"/>
      <c r="Q416" s="64"/>
      <c r="R416" s="64"/>
      <c r="S416" s="64"/>
      <c r="T416" s="64"/>
      <c r="U416" s="64"/>
      <c r="V416" s="64"/>
      <c r="W416" s="64"/>
      <c r="X416" s="64"/>
      <c r="Y416" s="64"/>
      <c r="Z416" s="64"/>
      <c r="AA416" s="64"/>
      <c r="AB416" s="64"/>
      <c r="AC416" s="64"/>
      <c r="AD416" s="64"/>
      <c r="AE416" s="64"/>
      <c r="AF416" s="64"/>
      <c r="AG416" s="64"/>
      <c r="AH416" s="64"/>
    </row>
    <row r="417">
      <c r="A417" s="64"/>
      <c r="B417" s="64"/>
      <c r="C417" s="64"/>
      <c r="D417" s="64"/>
      <c r="E417" s="64"/>
      <c r="F417" s="64"/>
      <c r="G417" s="64"/>
      <c r="H417" s="64"/>
      <c r="I417" s="64"/>
      <c r="J417" s="64"/>
      <c r="K417" s="64"/>
      <c r="L417" s="64"/>
      <c r="M417" s="64"/>
      <c r="N417" s="64"/>
      <c r="O417" s="64"/>
      <c r="P417" s="64"/>
      <c r="Q417" s="64"/>
      <c r="R417" s="64"/>
      <c r="S417" s="64"/>
      <c r="T417" s="64"/>
      <c r="U417" s="64"/>
      <c r="V417" s="64"/>
      <c r="W417" s="64"/>
      <c r="X417" s="64"/>
      <c r="Y417" s="64"/>
      <c r="Z417" s="64"/>
      <c r="AA417" s="64"/>
      <c r="AB417" s="64"/>
      <c r="AC417" s="64"/>
      <c r="AD417" s="64"/>
      <c r="AE417" s="64"/>
      <c r="AF417" s="64"/>
      <c r="AG417" s="64"/>
      <c r="AH417" s="64"/>
    </row>
    <row r="418">
      <c r="A418" s="64"/>
      <c r="B418" s="64"/>
      <c r="C418" s="64"/>
      <c r="D418" s="64"/>
      <c r="E418" s="64"/>
      <c r="F418" s="64"/>
      <c r="G418" s="64"/>
      <c r="H418" s="64"/>
      <c r="I418" s="64"/>
      <c r="J418" s="64"/>
      <c r="K418" s="64"/>
      <c r="L418" s="64"/>
      <c r="M418" s="64"/>
      <c r="N418" s="64"/>
      <c r="O418" s="64"/>
      <c r="P418" s="64"/>
      <c r="Q418" s="64"/>
      <c r="R418" s="64"/>
      <c r="S418" s="64"/>
      <c r="T418" s="64"/>
      <c r="U418" s="64"/>
      <c r="V418" s="64"/>
      <c r="W418" s="64"/>
      <c r="X418" s="64"/>
      <c r="Y418" s="64"/>
      <c r="Z418" s="64"/>
      <c r="AA418" s="64"/>
      <c r="AB418" s="64"/>
      <c r="AC418" s="64"/>
      <c r="AD418" s="64"/>
      <c r="AE418" s="64"/>
      <c r="AF418" s="64"/>
      <c r="AG418" s="64"/>
      <c r="AH418" s="64"/>
    </row>
    <row r="419">
      <c r="A419" s="64"/>
      <c r="B419" s="64"/>
      <c r="C419" s="64"/>
      <c r="D419" s="64"/>
      <c r="E419" s="64"/>
      <c r="F419" s="64"/>
      <c r="G419" s="64"/>
      <c r="H419" s="64"/>
      <c r="I419" s="64"/>
      <c r="J419" s="64"/>
      <c r="K419" s="64"/>
      <c r="L419" s="64"/>
      <c r="M419" s="64"/>
      <c r="N419" s="64"/>
      <c r="O419" s="64"/>
      <c r="P419" s="64"/>
      <c r="Q419" s="64"/>
      <c r="R419" s="64"/>
      <c r="S419" s="64"/>
      <c r="T419" s="64"/>
      <c r="U419" s="64"/>
      <c r="V419" s="64"/>
      <c r="W419" s="64"/>
      <c r="X419" s="64"/>
      <c r="Y419" s="64"/>
      <c r="Z419" s="64"/>
      <c r="AA419" s="64"/>
      <c r="AB419" s="64"/>
      <c r="AC419" s="64"/>
      <c r="AD419" s="64"/>
      <c r="AE419" s="64"/>
      <c r="AF419" s="64"/>
      <c r="AG419" s="64"/>
      <c r="AH419" s="64"/>
    </row>
    <row r="420">
      <c r="A420" s="64"/>
      <c r="B420" s="64"/>
      <c r="C420" s="64"/>
      <c r="D420" s="64"/>
      <c r="E420" s="64"/>
      <c r="F420" s="64"/>
      <c r="G420" s="64"/>
      <c r="H420" s="64"/>
      <c r="I420" s="64"/>
      <c r="J420" s="64"/>
      <c r="K420" s="64"/>
      <c r="L420" s="64"/>
      <c r="M420" s="64"/>
      <c r="N420" s="64"/>
      <c r="O420" s="64"/>
      <c r="P420" s="64"/>
      <c r="Q420" s="64"/>
      <c r="R420" s="64"/>
      <c r="S420" s="64"/>
      <c r="T420" s="64"/>
      <c r="U420" s="64"/>
      <c r="V420" s="64"/>
      <c r="W420" s="64"/>
      <c r="X420" s="64"/>
      <c r="Y420" s="64"/>
      <c r="Z420" s="64"/>
      <c r="AA420" s="64"/>
      <c r="AB420" s="64"/>
      <c r="AC420" s="64"/>
      <c r="AD420" s="64"/>
      <c r="AE420" s="64"/>
      <c r="AF420" s="64"/>
      <c r="AG420" s="64"/>
      <c r="AH420" s="64"/>
    </row>
    <row r="421">
      <c r="A421" s="64"/>
      <c r="B421" s="64"/>
      <c r="C421" s="64"/>
      <c r="D421" s="64"/>
      <c r="E421" s="64"/>
      <c r="F421" s="64"/>
      <c r="G421" s="64"/>
      <c r="H421" s="64"/>
      <c r="I421" s="64"/>
      <c r="J421" s="64"/>
      <c r="K421" s="64"/>
      <c r="L421" s="64"/>
      <c r="M421" s="64"/>
      <c r="N421" s="64"/>
      <c r="O421" s="64"/>
      <c r="P421" s="64"/>
      <c r="Q421" s="64"/>
      <c r="R421" s="64"/>
      <c r="S421" s="64"/>
      <c r="T421" s="64"/>
      <c r="U421" s="64"/>
      <c r="V421" s="64"/>
      <c r="W421" s="64"/>
      <c r="X421" s="64"/>
      <c r="Y421" s="64"/>
      <c r="Z421" s="64"/>
      <c r="AA421" s="64"/>
      <c r="AB421" s="64"/>
      <c r="AC421" s="64"/>
      <c r="AD421" s="64"/>
      <c r="AE421" s="64"/>
      <c r="AF421" s="64"/>
      <c r="AG421" s="64"/>
      <c r="AH421" s="64"/>
    </row>
    <row r="422">
      <c r="A422" s="64"/>
      <c r="B422" s="64"/>
      <c r="C422" s="64"/>
      <c r="D422" s="64"/>
      <c r="E422" s="64"/>
      <c r="F422" s="64"/>
      <c r="G422" s="64"/>
      <c r="H422" s="64"/>
      <c r="I422" s="64"/>
      <c r="J422" s="64"/>
      <c r="K422" s="64"/>
      <c r="L422" s="64"/>
      <c r="M422" s="64"/>
      <c r="N422" s="64"/>
      <c r="O422" s="64"/>
      <c r="P422" s="64"/>
      <c r="Q422" s="64"/>
      <c r="R422" s="64"/>
      <c r="S422" s="64"/>
      <c r="T422" s="64"/>
      <c r="U422" s="64"/>
      <c r="V422" s="64"/>
      <c r="W422" s="64"/>
      <c r="X422" s="64"/>
      <c r="Y422" s="64"/>
      <c r="Z422" s="64"/>
      <c r="AA422" s="64"/>
      <c r="AB422" s="64"/>
      <c r="AC422" s="64"/>
      <c r="AD422" s="64"/>
      <c r="AE422" s="64"/>
      <c r="AF422" s="64"/>
      <c r="AG422" s="64"/>
      <c r="AH422" s="64"/>
    </row>
    <row r="423">
      <c r="A423" s="64"/>
      <c r="B423" s="64"/>
      <c r="C423" s="64"/>
      <c r="D423" s="64"/>
      <c r="E423" s="64"/>
      <c r="F423" s="64"/>
      <c r="G423" s="64"/>
      <c r="H423" s="64"/>
      <c r="I423" s="64"/>
      <c r="J423" s="64"/>
      <c r="K423" s="64"/>
      <c r="L423" s="64"/>
      <c r="M423" s="64"/>
      <c r="N423" s="64"/>
      <c r="O423" s="64"/>
      <c r="P423" s="64"/>
      <c r="Q423" s="64"/>
      <c r="R423" s="64"/>
      <c r="S423" s="64"/>
      <c r="T423" s="64"/>
      <c r="U423" s="64"/>
      <c r="V423" s="64"/>
      <c r="W423" s="64"/>
      <c r="X423" s="64"/>
      <c r="Y423" s="64"/>
      <c r="Z423" s="64"/>
      <c r="AA423" s="64"/>
      <c r="AB423" s="64"/>
      <c r="AC423" s="64"/>
      <c r="AD423" s="64"/>
      <c r="AE423" s="64"/>
      <c r="AF423" s="64"/>
      <c r="AG423" s="64"/>
      <c r="AH423" s="64"/>
    </row>
    <row r="424">
      <c r="A424" s="64"/>
      <c r="B424" s="64"/>
      <c r="C424" s="64"/>
      <c r="D424" s="64"/>
      <c r="E424" s="64"/>
      <c r="F424" s="64"/>
      <c r="G424" s="64"/>
      <c r="H424" s="64"/>
      <c r="I424" s="64"/>
      <c r="J424" s="64"/>
      <c r="K424" s="64"/>
      <c r="L424" s="64"/>
      <c r="M424" s="64"/>
      <c r="N424" s="64"/>
      <c r="O424" s="64"/>
      <c r="P424" s="64"/>
      <c r="Q424" s="64"/>
      <c r="R424" s="64"/>
      <c r="S424" s="64"/>
      <c r="T424" s="64"/>
      <c r="U424" s="64"/>
      <c r="V424" s="64"/>
      <c r="W424" s="64"/>
      <c r="X424" s="64"/>
      <c r="Y424" s="64"/>
      <c r="Z424" s="64"/>
      <c r="AA424" s="64"/>
      <c r="AB424" s="64"/>
      <c r="AC424" s="64"/>
      <c r="AD424" s="64"/>
      <c r="AE424" s="64"/>
      <c r="AF424" s="64"/>
      <c r="AG424" s="64"/>
      <c r="AH424" s="64"/>
    </row>
    <row r="425">
      <c r="A425" s="64"/>
      <c r="B425" s="64"/>
      <c r="C425" s="64"/>
      <c r="D425" s="64"/>
      <c r="E425" s="64"/>
      <c r="F425" s="64"/>
      <c r="G425" s="64"/>
      <c r="H425" s="64"/>
      <c r="I425" s="64"/>
      <c r="J425" s="64"/>
      <c r="K425" s="64"/>
      <c r="L425" s="64"/>
      <c r="M425" s="64"/>
      <c r="N425" s="64"/>
      <c r="O425" s="64"/>
      <c r="P425" s="64"/>
      <c r="Q425" s="64"/>
      <c r="R425" s="64"/>
      <c r="S425" s="64"/>
      <c r="T425" s="64"/>
      <c r="U425" s="64"/>
      <c r="V425" s="64"/>
      <c r="W425" s="64"/>
      <c r="X425" s="64"/>
      <c r="Y425" s="64"/>
      <c r="Z425" s="64"/>
      <c r="AA425" s="64"/>
      <c r="AB425" s="64"/>
      <c r="AC425" s="64"/>
      <c r="AD425" s="64"/>
      <c r="AE425" s="64"/>
      <c r="AF425" s="64"/>
      <c r="AG425" s="64"/>
      <c r="AH425" s="64"/>
    </row>
    <row r="426">
      <c r="A426" s="64"/>
      <c r="B426" s="64"/>
      <c r="C426" s="64"/>
      <c r="D426" s="64"/>
      <c r="E426" s="64"/>
      <c r="F426" s="64"/>
      <c r="G426" s="64"/>
      <c r="H426" s="64"/>
      <c r="I426" s="64"/>
      <c r="J426" s="64"/>
      <c r="K426" s="64"/>
      <c r="L426" s="64"/>
      <c r="M426" s="64"/>
      <c r="N426" s="64"/>
      <c r="O426" s="64"/>
      <c r="P426" s="64"/>
      <c r="Q426" s="64"/>
      <c r="R426" s="64"/>
      <c r="S426" s="64"/>
      <c r="T426" s="64"/>
      <c r="U426" s="64"/>
      <c r="V426" s="64"/>
      <c r="W426" s="64"/>
      <c r="X426" s="64"/>
      <c r="Y426" s="64"/>
      <c r="Z426" s="64"/>
      <c r="AA426" s="64"/>
      <c r="AB426" s="64"/>
      <c r="AC426" s="64"/>
      <c r="AD426" s="64"/>
      <c r="AE426" s="64"/>
      <c r="AF426" s="64"/>
      <c r="AG426" s="64"/>
      <c r="AH426" s="64"/>
    </row>
    <row r="427">
      <c r="A427" s="64"/>
      <c r="B427" s="64"/>
      <c r="C427" s="64"/>
      <c r="D427" s="64"/>
      <c r="E427" s="64"/>
      <c r="F427" s="64"/>
      <c r="G427" s="64"/>
      <c r="H427" s="64"/>
      <c r="I427" s="64"/>
      <c r="J427" s="64"/>
      <c r="K427" s="64"/>
      <c r="L427" s="64"/>
      <c r="M427" s="64"/>
      <c r="N427" s="64"/>
      <c r="O427" s="64"/>
      <c r="P427" s="64"/>
      <c r="Q427" s="64"/>
      <c r="R427" s="64"/>
      <c r="S427" s="64"/>
      <c r="T427" s="64"/>
      <c r="U427" s="64"/>
      <c r="V427" s="64"/>
      <c r="W427" s="64"/>
      <c r="X427" s="64"/>
      <c r="Y427" s="64"/>
      <c r="Z427" s="64"/>
      <c r="AA427" s="64"/>
      <c r="AB427" s="64"/>
      <c r="AC427" s="64"/>
      <c r="AD427" s="64"/>
      <c r="AE427" s="64"/>
      <c r="AF427" s="64"/>
      <c r="AG427" s="64"/>
      <c r="AH427" s="64"/>
    </row>
    <row r="428">
      <c r="A428" s="64"/>
      <c r="B428" s="64"/>
      <c r="C428" s="64"/>
      <c r="D428" s="64"/>
      <c r="E428" s="64"/>
      <c r="F428" s="64"/>
      <c r="G428" s="64"/>
      <c r="H428" s="64"/>
      <c r="I428" s="64"/>
      <c r="J428" s="64"/>
      <c r="K428" s="64"/>
      <c r="L428" s="64"/>
      <c r="M428" s="64"/>
      <c r="N428" s="64"/>
      <c r="O428" s="64"/>
      <c r="P428" s="64"/>
      <c r="Q428" s="64"/>
      <c r="R428" s="64"/>
      <c r="S428" s="64"/>
      <c r="T428" s="64"/>
      <c r="U428" s="64"/>
      <c r="V428" s="64"/>
      <c r="W428" s="64"/>
      <c r="X428" s="64"/>
      <c r="Y428" s="64"/>
      <c r="Z428" s="64"/>
      <c r="AA428" s="64"/>
      <c r="AB428" s="64"/>
      <c r="AC428" s="64"/>
      <c r="AD428" s="64"/>
      <c r="AE428" s="64"/>
      <c r="AF428" s="64"/>
      <c r="AG428" s="64"/>
      <c r="AH428" s="64"/>
    </row>
    <row r="429">
      <c r="A429" s="64"/>
      <c r="B429" s="64"/>
      <c r="C429" s="64"/>
      <c r="D429" s="64"/>
      <c r="E429" s="64"/>
      <c r="F429" s="64"/>
      <c r="G429" s="64"/>
      <c r="H429" s="64"/>
      <c r="I429" s="64"/>
      <c r="J429" s="64"/>
      <c r="K429" s="64"/>
      <c r="L429" s="64"/>
      <c r="M429" s="64"/>
      <c r="N429" s="64"/>
      <c r="O429" s="64"/>
      <c r="P429" s="64"/>
      <c r="Q429" s="64"/>
      <c r="R429" s="64"/>
      <c r="S429" s="64"/>
      <c r="T429" s="64"/>
      <c r="U429" s="64"/>
      <c r="V429" s="64"/>
      <c r="W429" s="64"/>
      <c r="X429" s="64"/>
      <c r="Y429" s="64"/>
      <c r="Z429" s="64"/>
      <c r="AA429" s="64"/>
      <c r="AB429" s="64"/>
      <c r="AC429" s="64"/>
      <c r="AD429" s="64"/>
      <c r="AE429" s="64"/>
      <c r="AF429" s="64"/>
      <c r="AG429" s="64"/>
      <c r="AH429" s="64"/>
    </row>
    <row r="430">
      <c r="A430" s="64"/>
      <c r="B430" s="64"/>
      <c r="C430" s="64"/>
      <c r="D430" s="64"/>
      <c r="E430" s="64"/>
      <c r="F430" s="64"/>
      <c r="G430" s="64"/>
      <c r="H430" s="64"/>
      <c r="I430" s="64"/>
      <c r="J430" s="64"/>
      <c r="K430" s="64"/>
      <c r="L430" s="64"/>
      <c r="M430" s="64"/>
      <c r="N430" s="64"/>
      <c r="O430" s="64"/>
      <c r="P430" s="64"/>
      <c r="Q430" s="64"/>
      <c r="R430" s="64"/>
      <c r="S430" s="64"/>
      <c r="T430" s="64"/>
      <c r="U430" s="64"/>
      <c r="V430" s="64"/>
      <c r="W430" s="64"/>
      <c r="X430" s="64"/>
      <c r="Y430" s="64"/>
      <c r="Z430" s="64"/>
      <c r="AA430" s="64"/>
      <c r="AB430" s="64"/>
      <c r="AC430" s="64"/>
      <c r="AD430" s="64"/>
      <c r="AE430" s="64"/>
      <c r="AF430" s="64"/>
      <c r="AG430" s="64"/>
      <c r="AH430" s="64"/>
    </row>
    <row r="431">
      <c r="A431" s="64"/>
      <c r="B431" s="64"/>
      <c r="C431" s="64"/>
      <c r="D431" s="64"/>
      <c r="E431" s="64"/>
      <c r="F431" s="64"/>
      <c r="G431" s="64"/>
      <c r="H431" s="64"/>
      <c r="I431" s="64"/>
      <c r="J431" s="64"/>
      <c r="K431" s="64"/>
      <c r="L431" s="64"/>
      <c r="M431" s="64"/>
      <c r="N431" s="64"/>
      <c r="O431" s="64"/>
      <c r="P431" s="64"/>
      <c r="Q431" s="64"/>
      <c r="R431" s="64"/>
      <c r="S431" s="64"/>
      <c r="T431" s="64"/>
      <c r="U431" s="64"/>
      <c r="V431" s="64"/>
      <c r="W431" s="64"/>
      <c r="X431" s="64"/>
      <c r="Y431" s="64"/>
      <c r="Z431" s="64"/>
      <c r="AA431" s="64"/>
      <c r="AB431" s="64"/>
      <c r="AC431" s="64"/>
      <c r="AD431" s="64"/>
      <c r="AE431" s="64"/>
      <c r="AF431" s="64"/>
      <c r="AG431" s="64"/>
      <c r="AH431" s="64"/>
    </row>
    <row r="432">
      <c r="A432" s="64"/>
      <c r="B432" s="64"/>
      <c r="C432" s="64"/>
      <c r="D432" s="64"/>
      <c r="E432" s="64"/>
      <c r="F432" s="64"/>
      <c r="G432" s="64"/>
      <c r="H432" s="64"/>
      <c r="I432" s="64"/>
      <c r="J432" s="64"/>
      <c r="K432" s="64"/>
      <c r="L432" s="64"/>
      <c r="M432" s="64"/>
      <c r="N432" s="64"/>
      <c r="O432" s="64"/>
      <c r="P432" s="64"/>
      <c r="Q432" s="64"/>
      <c r="R432" s="64"/>
      <c r="S432" s="64"/>
      <c r="T432" s="64"/>
      <c r="U432" s="64"/>
      <c r="V432" s="64"/>
      <c r="W432" s="64"/>
      <c r="X432" s="64"/>
      <c r="Y432" s="64"/>
      <c r="Z432" s="64"/>
      <c r="AA432" s="64"/>
      <c r="AB432" s="64"/>
      <c r="AC432" s="64"/>
      <c r="AD432" s="64"/>
      <c r="AE432" s="64"/>
      <c r="AF432" s="64"/>
      <c r="AG432" s="64"/>
      <c r="AH432" s="64"/>
    </row>
    <row r="433">
      <c r="A433" s="64"/>
      <c r="B433" s="64"/>
      <c r="C433" s="64"/>
      <c r="D433" s="64"/>
      <c r="E433" s="64"/>
      <c r="F433" s="64"/>
      <c r="G433" s="64"/>
      <c r="H433" s="64"/>
      <c r="I433" s="64"/>
      <c r="J433" s="64"/>
      <c r="K433" s="64"/>
      <c r="L433" s="64"/>
      <c r="M433" s="64"/>
      <c r="N433" s="64"/>
      <c r="O433" s="64"/>
      <c r="P433" s="64"/>
      <c r="Q433" s="64"/>
      <c r="R433" s="64"/>
      <c r="S433" s="64"/>
      <c r="T433" s="64"/>
      <c r="U433" s="64"/>
      <c r="V433" s="64"/>
      <c r="W433" s="64"/>
      <c r="X433" s="64"/>
      <c r="Y433" s="64"/>
      <c r="Z433" s="64"/>
      <c r="AA433" s="64"/>
      <c r="AB433" s="64"/>
      <c r="AC433" s="64"/>
      <c r="AD433" s="64"/>
      <c r="AE433" s="64"/>
      <c r="AF433" s="64"/>
      <c r="AG433" s="64"/>
      <c r="AH433" s="64"/>
    </row>
    <row r="434">
      <c r="A434" s="64"/>
      <c r="B434" s="64"/>
      <c r="C434" s="64"/>
      <c r="D434" s="64"/>
      <c r="E434" s="64"/>
      <c r="F434" s="64"/>
      <c r="G434" s="64"/>
      <c r="H434" s="64"/>
      <c r="I434" s="64"/>
      <c r="J434" s="64"/>
      <c r="K434" s="64"/>
      <c r="L434" s="64"/>
      <c r="M434" s="64"/>
      <c r="N434" s="64"/>
      <c r="O434" s="64"/>
      <c r="P434" s="64"/>
      <c r="Q434" s="64"/>
      <c r="R434" s="64"/>
      <c r="S434" s="64"/>
      <c r="T434" s="64"/>
      <c r="U434" s="64"/>
      <c r="V434" s="64"/>
      <c r="W434" s="64"/>
      <c r="X434" s="64"/>
      <c r="Y434" s="64"/>
      <c r="Z434" s="64"/>
      <c r="AA434" s="64"/>
      <c r="AB434" s="64"/>
      <c r="AC434" s="64"/>
      <c r="AD434" s="64"/>
      <c r="AE434" s="64"/>
      <c r="AF434" s="64"/>
      <c r="AG434" s="64"/>
      <c r="AH434" s="64"/>
    </row>
    <row r="435">
      <c r="A435" s="64"/>
      <c r="B435" s="64"/>
      <c r="C435" s="64"/>
      <c r="D435" s="64"/>
      <c r="E435" s="64"/>
      <c r="F435" s="64"/>
      <c r="G435" s="64"/>
      <c r="H435" s="64"/>
      <c r="I435" s="64"/>
      <c r="J435" s="64"/>
      <c r="K435" s="64"/>
      <c r="L435" s="64"/>
      <c r="M435" s="64"/>
      <c r="N435" s="64"/>
      <c r="O435" s="64"/>
      <c r="P435" s="64"/>
      <c r="Q435" s="64"/>
      <c r="R435" s="64"/>
      <c r="S435" s="64"/>
      <c r="T435" s="64"/>
      <c r="U435" s="64"/>
      <c r="V435" s="64"/>
      <c r="W435" s="64"/>
      <c r="X435" s="64"/>
      <c r="Y435" s="64"/>
      <c r="Z435" s="64"/>
      <c r="AA435" s="64"/>
      <c r="AB435" s="64"/>
      <c r="AC435" s="64"/>
      <c r="AD435" s="64"/>
      <c r="AE435" s="64"/>
      <c r="AF435" s="64"/>
      <c r="AG435" s="64"/>
      <c r="AH435" s="64"/>
    </row>
    <row r="436">
      <c r="A436" s="64"/>
      <c r="B436" s="64"/>
      <c r="C436" s="64"/>
      <c r="D436" s="64"/>
      <c r="E436" s="64"/>
      <c r="F436" s="64"/>
      <c r="G436" s="64"/>
      <c r="H436" s="64"/>
      <c r="I436" s="64"/>
      <c r="J436" s="64"/>
      <c r="K436" s="64"/>
      <c r="L436" s="64"/>
      <c r="M436" s="64"/>
      <c r="N436" s="64"/>
      <c r="O436" s="64"/>
      <c r="P436" s="64"/>
      <c r="Q436" s="64"/>
      <c r="R436" s="64"/>
      <c r="S436" s="64"/>
      <c r="T436" s="64"/>
      <c r="U436" s="64"/>
      <c r="V436" s="64"/>
      <c r="W436" s="64"/>
      <c r="X436" s="64"/>
      <c r="Y436" s="64"/>
      <c r="Z436" s="64"/>
      <c r="AA436" s="64"/>
      <c r="AB436" s="64"/>
      <c r="AC436" s="64"/>
      <c r="AD436" s="64"/>
      <c r="AE436" s="64"/>
      <c r="AF436" s="64"/>
      <c r="AG436" s="64"/>
      <c r="AH436" s="64"/>
    </row>
    <row r="437">
      <c r="A437" s="64"/>
      <c r="B437" s="64"/>
      <c r="C437" s="64"/>
      <c r="D437" s="64"/>
      <c r="E437" s="64"/>
      <c r="F437" s="64"/>
      <c r="G437" s="64"/>
      <c r="H437" s="64"/>
      <c r="I437" s="64"/>
      <c r="J437" s="64"/>
      <c r="K437" s="64"/>
      <c r="L437" s="64"/>
      <c r="M437" s="64"/>
      <c r="N437" s="64"/>
      <c r="O437" s="64"/>
      <c r="P437" s="64"/>
      <c r="Q437" s="64"/>
      <c r="R437" s="64"/>
      <c r="S437" s="64"/>
      <c r="T437" s="64"/>
      <c r="U437" s="64"/>
      <c r="V437" s="64"/>
      <c r="W437" s="64"/>
      <c r="X437" s="64"/>
      <c r="Y437" s="64"/>
      <c r="Z437" s="64"/>
      <c r="AA437" s="64"/>
      <c r="AB437" s="64"/>
      <c r="AC437" s="64"/>
      <c r="AD437" s="64"/>
      <c r="AE437" s="64"/>
      <c r="AF437" s="64"/>
      <c r="AG437" s="64"/>
      <c r="AH437" s="64"/>
    </row>
    <row r="438">
      <c r="A438" s="64"/>
      <c r="B438" s="64"/>
      <c r="C438" s="64"/>
      <c r="D438" s="64"/>
      <c r="E438" s="64"/>
      <c r="F438" s="64"/>
      <c r="G438" s="64"/>
      <c r="H438" s="64"/>
      <c r="I438" s="64"/>
      <c r="J438" s="64"/>
      <c r="K438" s="64"/>
      <c r="L438" s="64"/>
      <c r="M438" s="64"/>
      <c r="N438" s="64"/>
      <c r="O438" s="64"/>
      <c r="P438" s="64"/>
      <c r="Q438" s="64"/>
      <c r="R438" s="64"/>
      <c r="S438" s="64"/>
      <c r="T438" s="64"/>
      <c r="U438" s="64"/>
      <c r="V438" s="64"/>
      <c r="W438" s="64"/>
      <c r="X438" s="64"/>
      <c r="Y438" s="64"/>
      <c r="Z438" s="64"/>
      <c r="AA438" s="64"/>
      <c r="AB438" s="64"/>
      <c r="AC438" s="64"/>
      <c r="AD438" s="64"/>
      <c r="AE438" s="64"/>
      <c r="AF438" s="64"/>
      <c r="AG438" s="64"/>
      <c r="AH438" s="64"/>
    </row>
    <row r="439">
      <c r="A439" s="64"/>
      <c r="B439" s="64"/>
      <c r="C439" s="64"/>
      <c r="D439" s="64"/>
      <c r="E439" s="64"/>
      <c r="F439" s="64"/>
      <c r="G439" s="64"/>
      <c r="H439" s="64"/>
      <c r="I439" s="64"/>
      <c r="J439" s="64"/>
      <c r="K439" s="64"/>
      <c r="L439" s="64"/>
      <c r="M439" s="64"/>
      <c r="N439" s="64"/>
      <c r="O439" s="64"/>
      <c r="P439" s="64"/>
      <c r="Q439" s="64"/>
      <c r="R439" s="64"/>
      <c r="S439" s="64"/>
      <c r="T439" s="64"/>
      <c r="U439" s="64"/>
      <c r="V439" s="64"/>
      <c r="W439" s="64"/>
      <c r="X439" s="64"/>
      <c r="Y439" s="64"/>
      <c r="Z439" s="64"/>
      <c r="AA439" s="64"/>
      <c r="AB439" s="64"/>
      <c r="AC439" s="64"/>
      <c r="AD439" s="64"/>
      <c r="AE439" s="64"/>
      <c r="AF439" s="64"/>
      <c r="AG439" s="64"/>
      <c r="AH439" s="64"/>
    </row>
    <row r="440">
      <c r="A440" s="64"/>
      <c r="B440" s="64"/>
      <c r="C440" s="64"/>
      <c r="D440" s="64"/>
      <c r="E440" s="64"/>
      <c r="F440" s="64"/>
      <c r="G440" s="64"/>
      <c r="H440" s="64"/>
      <c r="I440" s="64"/>
      <c r="J440" s="64"/>
      <c r="K440" s="64"/>
      <c r="L440" s="64"/>
      <c r="M440" s="64"/>
      <c r="N440" s="64"/>
      <c r="O440" s="64"/>
      <c r="P440" s="64"/>
      <c r="Q440" s="64"/>
      <c r="R440" s="64"/>
      <c r="S440" s="64"/>
      <c r="T440" s="64"/>
      <c r="U440" s="64"/>
      <c r="V440" s="64"/>
      <c r="W440" s="64"/>
      <c r="X440" s="64"/>
      <c r="Y440" s="64"/>
      <c r="Z440" s="64"/>
      <c r="AA440" s="64"/>
      <c r="AB440" s="64"/>
      <c r="AC440" s="64"/>
      <c r="AD440" s="64"/>
      <c r="AE440" s="64"/>
      <c r="AF440" s="64"/>
      <c r="AG440" s="64"/>
      <c r="AH440" s="64"/>
    </row>
    <row r="441">
      <c r="A441" s="64"/>
      <c r="B441" s="64"/>
      <c r="C441" s="64"/>
      <c r="D441" s="64"/>
      <c r="E441" s="64"/>
      <c r="F441" s="64"/>
      <c r="G441" s="64"/>
      <c r="H441" s="64"/>
      <c r="I441" s="64"/>
      <c r="J441" s="64"/>
      <c r="K441" s="64"/>
      <c r="L441" s="64"/>
      <c r="M441" s="64"/>
      <c r="N441" s="64"/>
      <c r="O441" s="64"/>
      <c r="P441" s="64"/>
      <c r="Q441" s="64"/>
      <c r="R441" s="64"/>
      <c r="S441" s="64"/>
      <c r="T441" s="64"/>
      <c r="U441" s="64"/>
      <c r="V441" s="64"/>
      <c r="W441" s="64"/>
      <c r="X441" s="64"/>
      <c r="Y441" s="64"/>
      <c r="Z441" s="64"/>
      <c r="AA441" s="64"/>
      <c r="AB441" s="64"/>
      <c r="AC441" s="64"/>
      <c r="AD441" s="64"/>
      <c r="AE441" s="64"/>
      <c r="AF441" s="64"/>
      <c r="AG441" s="64"/>
      <c r="AH441" s="64"/>
    </row>
    <row r="442">
      <c r="A442" s="64"/>
      <c r="B442" s="64"/>
      <c r="C442" s="64"/>
      <c r="D442" s="64"/>
      <c r="E442" s="64"/>
      <c r="F442" s="64"/>
      <c r="G442" s="64"/>
      <c r="H442" s="64"/>
      <c r="I442" s="64"/>
      <c r="J442" s="64"/>
      <c r="K442" s="64"/>
      <c r="L442" s="64"/>
      <c r="M442" s="64"/>
      <c r="N442" s="64"/>
      <c r="O442" s="64"/>
      <c r="P442" s="64"/>
      <c r="Q442" s="64"/>
      <c r="R442" s="64"/>
      <c r="S442" s="64"/>
      <c r="T442" s="64"/>
      <c r="U442" s="64"/>
      <c r="V442" s="64"/>
      <c r="W442" s="64"/>
      <c r="X442" s="64"/>
      <c r="Y442" s="64"/>
      <c r="Z442" s="64"/>
      <c r="AA442" s="64"/>
      <c r="AB442" s="64"/>
      <c r="AC442" s="64"/>
      <c r="AD442" s="64"/>
      <c r="AE442" s="64"/>
      <c r="AF442" s="64"/>
      <c r="AG442" s="64"/>
      <c r="AH442" s="64"/>
    </row>
    <row r="443">
      <c r="A443" s="64"/>
      <c r="B443" s="64"/>
      <c r="C443" s="64"/>
      <c r="D443" s="64"/>
      <c r="E443" s="64"/>
      <c r="F443" s="64"/>
      <c r="G443" s="64"/>
      <c r="H443" s="64"/>
      <c r="I443" s="64"/>
      <c r="J443" s="64"/>
      <c r="K443" s="64"/>
      <c r="L443" s="64"/>
      <c r="M443" s="64"/>
      <c r="N443" s="64"/>
      <c r="O443" s="64"/>
      <c r="P443" s="64"/>
      <c r="Q443" s="64"/>
      <c r="R443" s="64"/>
      <c r="S443" s="64"/>
      <c r="T443" s="64"/>
      <c r="U443" s="64"/>
      <c r="V443" s="64"/>
      <c r="W443" s="64"/>
      <c r="X443" s="64"/>
      <c r="Y443" s="64"/>
      <c r="Z443" s="64"/>
      <c r="AA443" s="64"/>
      <c r="AB443" s="64"/>
      <c r="AC443" s="64"/>
      <c r="AD443" s="64"/>
      <c r="AE443" s="64"/>
      <c r="AF443" s="64"/>
      <c r="AG443" s="64"/>
      <c r="AH443" s="64"/>
    </row>
    <row r="444">
      <c r="A444" s="64"/>
      <c r="B444" s="64"/>
      <c r="C444" s="64"/>
      <c r="D444" s="64"/>
      <c r="E444" s="64"/>
      <c r="F444" s="64"/>
      <c r="G444" s="64"/>
      <c r="H444" s="64"/>
      <c r="I444" s="64"/>
      <c r="J444" s="64"/>
      <c r="K444" s="64"/>
      <c r="L444" s="64"/>
      <c r="M444" s="64"/>
      <c r="N444" s="64"/>
      <c r="O444" s="64"/>
      <c r="P444" s="64"/>
      <c r="Q444" s="64"/>
      <c r="R444" s="64"/>
      <c r="S444" s="64"/>
      <c r="T444" s="64"/>
      <c r="U444" s="64"/>
      <c r="V444" s="64"/>
      <c r="W444" s="64"/>
      <c r="X444" s="64"/>
      <c r="Y444" s="64"/>
      <c r="Z444" s="64"/>
      <c r="AA444" s="64"/>
      <c r="AB444" s="64"/>
      <c r="AC444" s="64"/>
      <c r="AD444" s="64"/>
      <c r="AE444" s="64"/>
      <c r="AF444" s="64"/>
      <c r="AG444" s="64"/>
      <c r="AH444" s="64"/>
    </row>
    <row r="445">
      <c r="A445" s="64"/>
      <c r="B445" s="64"/>
      <c r="C445" s="64"/>
      <c r="D445" s="64"/>
      <c r="E445" s="64"/>
      <c r="F445" s="64"/>
      <c r="G445" s="64"/>
      <c r="H445" s="64"/>
      <c r="I445" s="64"/>
      <c r="J445" s="64"/>
      <c r="K445" s="64"/>
      <c r="L445" s="64"/>
      <c r="M445" s="64"/>
      <c r="N445" s="64"/>
      <c r="O445" s="64"/>
      <c r="P445" s="64"/>
      <c r="Q445" s="64"/>
      <c r="R445" s="64"/>
      <c r="S445" s="64"/>
      <c r="T445" s="64"/>
      <c r="U445" s="64"/>
      <c r="V445" s="64"/>
      <c r="W445" s="64"/>
      <c r="X445" s="64"/>
      <c r="Y445" s="64"/>
      <c r="Z445" s="64"/>
      <c r="AA445" s="64"/>
      <c r="AB445" s="64"/>
      <c r="AC445" s="64"/>
      <c r="AD445" s="64"/>
      <c r="AE445" s="64"/>
      <c r="AF445" s="64"/>
      <c r="AG445" s="64"/>
      <c r="AH445" s="64"/>
    </row>
    <row r="446">
      <c r="A446" s="64"/>
      <c r="B446" s="64"/>
      <c r="C446" s="64"/>
      <c r="D446" s="64"/>
      <c r="E446" s="64"/>
      <c r="F446" s="64"/>
      <c r="G446" s="64"/>
      <c r="H446" s="64"/>
      <c r="I446" s="64"/>
      <c r="J446" s="64"/>
      <c r="K446" s="64"/>
      <c r="L446" s="64"/>
      <c r="M446" s="64"/>
      <c r="N446" s="64"/>
      <c r="O446" s="64"/>
      <c r="P446" s="64"/>
      <c r="Q446" s="64"/>
      <c r="R446" s="64"/>
      <c r="S446" s="64"/>
      <c r="T446" s="64"/>
      <c r="U446" s="64"/>
      <c r="V446" s="64"/>
      <c r="W446" s="64"/>
      <c r="X446" s="64"/>
      <c r="Y446" s="64"/>
      <c r="Z446" s="64"/>
      <c r="AA446" s="64"/>
      <c r="AB446" s="64"/>
      <c r="AC446" s="64"/>
      <c r="AD446" s="64"/>
      <c r="AE446" s="64"/>
      <c r="AF446" s="64"/>
      <c r="AG446" s="64"/>
      <c r="AH446" s="64"/>
    </row>
    <row r="447">
      <c r="A447" s="64"/>
      <c r="B447" s="64"/>
      <c r="C447" s="64"/>
      <c r="D447" s="64"/>
      <c r="E447" s="64"/>
      <c r="F447" s="64"/>
      <c r="G447" s="64"/>
      <c r="H447" s="64"/>
      <c r="I447" s="64"/>
      <c r="J447" s="64"/>
      <c r="K447" s="64"/>
      <c r="L447" s="64"/>
      <c r="M447" s="64"/>
      <c r="N447" s="64"/>
      <c r="O447" s="64"/>
      <c r="P447" s="64"/>
      <c r="Q447" s="64"/>
      <c r="R447" s="64"/>
      <c r="S447" s="64"/>
      <c r="T447" s="64"/>
      <c r="U447" s="64"/>
      <c r="V447" s="64"/>
      <c r="W447" s="64"/>
      <c r="X447" s="64"/>
      <c r="Y447" s="64"/>
      <c r="Z447" s="64"/>
      <c r="AA447" s="64"/>
      <c r="AB447" s="64"/>
      <c r="AC447" s="64"/>
      <c r="AD447" s="64"/>
      <c r="AE447" s="64"/>
      <c r="AF447" s="64"/>
      <c r="AG447" s="64"/>
      <c r="AH447" s="64"/>
    </row>
    <row r="448">
      <c r="A448" s="64"/>
      <c r="B448" s="64"/>
      <c r="C448" s="64"/>
      <c r="D448" s="64"/>
      <c r="E448" s="64"/>
      <c r="F448" s="64"/>
      <c r="G448" s="64"/>
      <c r="H448" s="64"/>
      <c r="I448" s="64"/>
      <c r="J448" s="64"/>
      <c r="K448" s="64"/>
      <c r="L448" s="64"/>
      <c r="M448" s="64"/>
      <c r="N448" s="64"/>
      <c r="O448" s="64"/>
      <c r="P448" s="64"/>
      <c r="Q448" s="64"/>
      <c r="R448" s="64"/>
      <c r="S448" s="64"/>
      <c r="T448" s="64"/>
      <c r="U448" s="64"/>
      <c r="V448" s="64"/>
      <c r="W448" s="64"/>
      <c r="X448" s="64"/>
      <c r="Y448" s="64"/>
      <c r="Z448" s="64"/>
      <c r="AA448" s="64"/>
      <c r="AB448" s="64"/>
      <c r="AC448" s="64"/>
      <c r="AD448" s="64"/>
      <c r="AE448" s="64"/>
      <c r="AF448" s="64"/>
      <c r="AG448" s="64"/>
      <c r="AH448" s="64"/>
    </row>
    <row r="449">
      <c r="A449" s="64"/>
      <c r="B449" s="64"/>
      <c r="C449" s="64"/>
      <c r="D449" s="64"/>
      <c r="E449" s="64"/>
      <c r="F449" s="64"/>
      <c r="G449" s="64"/>
      <c r="H449" s="64"/>
      <c r="I449" s="64"/>
      <c r="J449" s="64"/>
      <c r="K449" s="64"/>
      <c r="L449" s="64"/>
      <c r="M449" s="64"/>
      <c r="N449" s="64"/>
      <c r="O449" s="64"/>
      <c r="P449" s="64"/>
      <c r="Q449" s="64"/>
      <c r="R449" s="64"/>
      <c r="S449" s="64"/>
      <c r="T449" s="64"/>
      <c r="U449" s="64"/>
      <c r="V449" s="64"/>
      <c r="W449" s="64"/>
      <c r="X449" s="64"/>
      <c r="Y449" s="64"/>
      <c r="Z449" s="64"/>
      <c r="AA449" s="64"/>
      <c r="AB449" s="64"/>
      <c r="AC449" s="64"/>
      <c r="AD449" s="64"/>
      <c r="AE449" s="64"/>
      <c r="AF449" s="64"/>
      <c r="AG449" s="64"/>
      <c r="AH449" s="64"/>
    </row>
    <row r="450">
      <c r="A450" s="64"/>
      <c r="B450" s="64"/>
      <c r="C450" s="64"/>
      <c r="D450" s="64"/>
      <c r="E450" s="64"/>
      <c r="F450" s="64"/>
      <c r="G450" s="64"/>
      <c r="H450" s="64"/>
      <c r="I450" s="64"/>
      <c r="J450" s="64"/>
      <c r="K450" s="64"/>
      <c r="L450" s="64"/>
      <c r="M450" s="64"/>
      <c r="N450" s="64"/>
      <c r="O450" s="64"/>
      <c r="P450" s="64"/>
      <c r="Q450" s="64"/>
      <c r="R450" s="64"/>
      <c r="S450" s="64"/>
      <c r="T450" s="64"/>
      <c r="U450" s="64"/>
      <c r="V450" s="64"/>
      <c r="W450" s="64"/>
      <c r="X450" s="64"/>
      <c r="Y450" s="64"/>
      <c r="Z450" s="64"/>
      <c r="AA450" s="64"/>
      <c r="AB450" s="64"/>
      <c r="AC450" s="64"/>
      <c r="AD450" s="64"/>
      <c r="AE450" s="64"/>
      <c r="AF450" s="64"/>
      <c r="AG450" s="64"/>
      <c r="AH450" s="64"/>
    </row>
    <row r="451">
      <c r="A451" s="64"/>
      <c r="B451" s="64"/>
      <c r="C451" s="64"/>
      <c r="D451" s="64"/>
      <c r="E451" s="64"/>
      <c r="F451" s="64"/>
      <c r="G451" s="64"/>
      <c r="H451" s="64"/>
      <c r="I451" s="64"/>
      <c r="J451" s="64"/>
      <c r="K451" s="64"/>
      <c r="L451" s="64"/>
      <c r="M451" s="64"/>
      <c r="N451" s="64"/>
      <c r="O451" s="64"/>
      <c r="P451" s="64"/>
      <c r="Q451" s="64"/>
      <c r="R451" s="64"/>
      <c r="S451" s="64"/>
      <c r="T451" s="64"/>
      <c r="U451" s="64"/>
      <c r="V451" s="64"/>
      <c r="W451" s="64"/>
      <c r="X451" s="64"/>
      <c r="Y451" s="64"/>
      <c r="Z451" s="64"/>
      <c r="AA451" s="64"/>
      <c r="AB451" s="64"/>
      <c r="AC451" s="64"/>
      <c r="AD451" s="64"/>
      <c r="AE451" s="64"/>
      <c r="AF451" s="64"/>
      <c r="AG451" s="64"/>
      <c r="AH451" s="64"/>
    </row>
    <row r="452">
      <c r="A452" s="64"/>
      <c r="B452" s="64"/>
      <c r="C452" s="64"/>
      <c r="D452" s="64"/>
      <c r="E452" s="64"/>
      <c r="F452" s="64"/>
      <c r="G452" s="64"/>
      <c r="H452" s="64"/>
      <c r="I452" s="64"/>
      <c r="J452" s="64"/>
      <c r="K452" s="64"/>
      <c r="L452" s="64"/>
      <c r="M452" s="64"/>
      <c r="N452" s="64"/>
      <c r="O452" s="64"/>
      <c r="P452" s="64"/>
      <c r="Q452" s="64"/>
      <c r="R452" s="64"/>
      <c r="S452" s="64"/>
      <c r="T452" s="64"/>
      <c r="U452" s="64"/>
      <c r="V452" s="64"/>
      <c r="W452" s="64"/>
      <c r="X452" s="64"/>
      <c r="Y452" s="64"/>
      <c r="Z452" s="64"/>
      <c r="AA452" s="64"/>
      <c r="AB452" s="64"/>
      <c r="AC452" s="64"/>
      <c r="AD452" s="64"/>
      <c r="AE452" s="64"/>
      <c r="AF452" s="64"/>
      <c r="AG452" s="64"/>
      <c r="AH452" s="64"/>
    </row>
    <row r="453">
      <c r="A453" s="64"/>
      <c r="B453" s="64"/>
      <c r="C453" s="64"/>
      <c r="D453" s="64"/>
      <c r="E453" s="64"/>
      <c r="F453" s="64"/>
      <c r="G453" s="64"/>
      <c r="H453" s="64"/>
      <c r="I453" s="64"/>
      <c r="J453" s="64"/>
      <c r="K453" s="64"/>
      <c r="L453" s="64"/>
      <c r="M453" s="64"/>
      <c r="N453" s="64"/>
      <c r="O453" s="64"/>
      <c r="P453" s="64"/>
      <c r="Q453" s="64"/>
      <c r="R453" s="64"/>
      <c r="S453" s="64"/>
      <c r="T453" s="64"/>
      <c r="U453" s="64"/>
      <c r="V453" s="64"/>
      <c r="W453" s="64"/>
      <c r="X453" s="64"/>
      <c r="Y453" s="64"/>
      <c r="Z453" s="64"/>
      <c r="AA453" s="64"/>
      <c r="AB453" s="64"/>
      <c r="AC453" s="64"/>
      <c r="AD453" s="64"/>
      <c r="AE453" s="64"/>
      <c r="AF453" s="64"/>
      <c r="AG453" s="64"/>
      <c r="AH453" s="64"/>
    </row>
    <row r="454">
      <c r="A454" s="64"/>
      <c r="B454" s="64"/>
      <c r="C454" s="64"/>
      <c r="D454" s="64"/>
      <c r="E454" s="64"/>
      <c r="F454" s="64"/>
      <c r="G454" s="64"/>
      <c r="H454" s="64"/>
      <c r="I454" s="64"/>
      <c r="J454" s="64"/>
      <c r="K454" s="64"/>
      <c r="L454" s="64"/>
      <c r="M454" s="64"/>
      <c r="N454" s="64"/>
      <c r="O454" s="64"/>
      <c r="P454" s="64"/>
      <c r="Q454" s="64"/>
      <c r="R454" s="64"/>
      <c r="S454" s="64"/>
      <c r="T454" s="64"/>
      <c r="U454" s="64"/>
      <c r="V454" s="64"/>
      <c r="W454" s="64"/>
      <c r="X454" s="64"/>
      <c r="Y454" s="64"/>
      <c r="Z454" s="64"/>
      <c r="AA454" s="64"/>
      <c r="AB454" s="64"/>
      <c r="AC454" s="64"/>
      <c r="AD454" s="64"/>
      <c r="AE454" s="64"/>
      <c r="AF454" s="64"/>
      <c r="AG454" s="64"/>
      <c r="AH454" s="64"/>
    </row>
    <row r="455">
      <c r="A455" s="64"/>
      <c r="B455" s="64"/>
      <c r="C455" s="64"/>
      <c r="D455" s="64"/>
      <c r="E455" s="64"/>
      <c r="F455" s="64"/>
      <c r="G455" s="64"/>
      <c r="H455" s="64"/>
      <c r="I455" s="64"/>
      <c r="J455" s="64"/>
      <c r="K455" s="64"/>
      <c r="L455" s="64"/>
      <c r="M455" s="64"/>
      <c r="N455" s="64"/>
      <c r="O455" s="64"/>
      <c r="P455" s="64"/>
      <c r="Q455" s="64"/>
      <c r="R455" s="64"/>
      <c r="S455" s="64"/>
      <c r="T455" s="64"/>
      <c r="U455" s="64"/>
      <c r="V455" s="64"/>
      <c r="W455" s="64"/>
      <c r="X455" s="64"/>
      <c r="Y455" s="64"/>
      <c r="Z455" s="64"/>
      <c r="AA455" s="64"/>
      <c r="AB455" s="64"/>
      <c r="AC455" s="64"/>
      <c r="AD455" s="64"/>
      <c r="AE455" s="64"/>
      <c r="AF455" s="64"/>
      <c r="AG455" s="64"/>
      <c r="AH455" s="64"/>
    </row>
    <row r="456">
      <c r="A456" s="64"/>
      <c r="B456" s="64"/>
      <c r="C456" s="64"/>
      <c r="D456" s="64"/>
      <c r="E456" s="64"/>
      <c r="F456" s="64"/>
      <c r="G456" s="64"/>
      <c r="H456" s="64"/>
      <c r="I456" s="64"/>
      <c r="J456" s="64"/>
      <c r="K456" s="64"/>
      <c r="L456" s="64"/>
      <c r="M456" s="64"/>
      <c r="N456" s="64"/>
      <c r="O456" s="64"/>
      <c r="P456" s="64"/>
      <c r="Q456" s="64"/>
      <c r="R456" s="64"/>
      <c r="S456" s="64"/>
      <c r="T456" s="64"/>
      <c r="U456" s="64"/>
      <c r="V456" s="64"/>
      <c r="W456" s="64"/>
      <c r="X456" s="64"/>
      <c r="Y456" s="64"/>
      <c r="Z456" s="64"/>
      <c r="AA456" s="64"/>
      <c r="AB456" s="64"/>
      <c r="AC456" s="64"/>
      <c r="AD456" s="64"/>
      <c r="AE456" s="64"/>
      <c r="AF456" s="64"/>
      <c r="AG456" s="64"/>
      <c r="AH456" s="64"/>
    </row>
    <row r="457">
      <c r="A457" s="64"/>
      <c r="B457" s="64"/>
      <c r="C457" s="64"/>
      <c r="D457" s="64"/>
      <c r="E457" s="64"/>
      <c r="F457" s="64"/>
      <c r="G457" s="64"/>
      <c r="H457" s="64"/>
      <c r="I457" s="64"/>
      <c r="J457" s="64"/>
      <c r="K457" s="64"/>
      <c r="L457" s="64"/>
      <c r="M457" s="64"/>
      <c r="N457" s="64"/>
      <c r="O457" s="64"/>
      <c r="P457" s="64"/>
      <c r="Q457" s="64"/>
      <c r="R457" s="64"/>
      <c r="S457" s="64"/>
      <c r="T457" s="64"/>
      <c r="U457" s="64"/>
      <c r="V457" s="64"/>
      <c r="W457" s="64"/>
      <c r="X457" s="64"/>
      <c r="Y457" s="64"/>
      <c r="Z457" s="64"/>
      <c r="AA457" s="64"/>
      <c r="AB457" s="64"/>
      <c r="AC457" s="64"/>
      <c r="AD457" s="64"/>
      <c r="AE457" s="64"/>
      <c r="AF457" s="64"/>
      <c r="AG457" s="64"/>
      <c r="AH457" s="64"/>
    </row>
    <row r="458">
      <c r="A458" s="64"/>
      <c r="B458" s="64"/>
      <c r="C458" s="64"/>
      <c r="D458" s="64"/>
      <c r="E458" s="64"/>
      <c r="F458" s="64"/>
      <c r="G458" s="64"/>
      <c r="H458" s="64"/>
      <c r="I458" s="64"/>
      <c r="J458" s="64"/>
      <c r="K458" s="64"/>
      <c r="L458" s="64"/>
      <c r="M458" s="64"/>
      <c r="N458" s="64"/>
      <c r="O458" s="64"/>
      <c r="P458" s="64"/>
      <c r="Q458" s="64"/>
      <c r="R458" s="64"/>
      <c r="S458" s="64"/>
      <c r="T458" s="64"/>
      <c r="U458" s="64"/>
      <c r="V458" s="64"/>
      <c r="W458" s="64"/>
      <c r="X458" s="64"/>
      <c r="Y458" s="64"/>
      <c r="Z458" s="64"/>
      <c r="AA458" s="64"/>
      <c r="AB458" s="64"/>
      <c r="AC458" s="64"/>
      <c r="AD458" s="64"/>
      <c r="AE458" s="64"/>
      <c r="AF458" s="64"/>
      <c r="AG458" s="64"/>
      <c r="AH458" s="64"/>
    </row>
    <row r="459">
      <c r="A459" s="64"/>
      <c r="B459" s="64"/>
      <c r="C459" s="64"/>
      <c r="D459" s="64"/>
      <c r="E459" s="64"/>
      <c r="F459" s="64"/>
      <c r="G459" s="64"/>
      <c r="H459" s="64"/>
      <c r="I459" s="64"/>
      <c r="J459" s="64"/>
      <c r="K459" s="64"/>
      <c r="L459" s="64"/>
      <c r="M459" s="64"/>
      <c r="N459" s="64"/>
      <c r="O459" s="64"/>
      <c r="P459" s="64"/>
      <c r="Q459" s="64"/>
      <c r="R459" s="64"/>
      <c r="S459" s="64"/>
      <c r="T459" s="64"/>
      <c r="U459" s="64"/>
      <c r="V459" s="64"/>
      <c r="W459" s="64"/>
      <c r="X459" s="64"/>
      <c r="Y459" s="64"/>
      <c r="Z459" s="64"/>
      <c r="AA459" s="64"/>
      <c r="AB459" s="64"/>
      <c r="AC459" s="64"/>
      <c r="AD459" s="64"/>
      <c r="AE459" s="64"/>
      <c r="AF459" s="64"/>
      <c r="AG459" s="64"/>
      <c r="AH459" s="64"/>
    </row>
    <row r="460">
      <c r="A460" s="64"/>
      <c r="B460" s="64"/>
      <c r="C460" s="64"/>
      <c r="D460" s="64"/>
      <c r="E460" s="64"/>
      <c r="F460" s="64"/>
      <c r="G460" s="64"/>
      <c r="H460" s="64"/>
      <c r="I460" s="64"/>
      <c r="J460" s="64"/>
      <c r="K460" s="64"/>
      <c r="L460" s="64"/>
      <c r="M460" s="64"/>
      <c r="N460" s="64"/>
      <c r="O460" s="64"/>
      <c r="P460" s="64"/>
      <c r="Q460" s="64"/>
      <c r="R460" s="64"/>
      <c r="S460" s="64"/>
      <c r="T460" s="64"/>
      <c r="U460" s="64"/>
      <c r="V460" s="64"/>
      <c r="W460" s="64"/>
      <c r="X460" s="64"/>
      <c r="Y460" s="64"/>
      <c r="Z460" s="64"/>
      <c r="AA460" s="64"/>
      <c r="AB460" s="64"/>
      <c r="AC460" s="64"/>
      <c r="AD460" s="64"/>
      <c r="AE460" s="64"/>
      <c r="AF460" s="64"/>
      <c r="AG460" s="64"/>
      <c r="AH460" s="64"/>
    </row>
    <row r="461">
      <c r="A461" s="64"/>
      <c r="B461" s="64"/>
      <c r="C461" s="64"/>
      <c r="D461" s="64"/>
      <c r="E461" s="64"/>
      <c r="F461" s="64"/>
      <c r="G461" s="64"/>
      <c r="H461" s="64"/>
      <c r="I461" s="64"/>
      <c r="J461" s="64"/>
      <c r="K461" s="64"/>
      <c r="L461" s="64"/>
      <c r="M461" s="64"/>
      <c r="N461" s="64"/>
      <c r="O461" s="64"/>
      <c r="P461" s="64"/>
      <c r="Q461" s="64"/>
      <c r="R461" s="64"/>
      <c r="S461" s="64"/>
      <c r="T461" s="64"/>
      <c r="U461" s="64"/>
      <c r="V461" s="64"/>
      <c r="W461" s="64"/>
      <c r="X461" s="64"/>
      <c r="Y461" s="64"/>
      <c r="Z461" s="64"/>
      <c r="AA461" s="64"/>
      <c r="AB461" s="64"/>
      <c r="AC461" s="64"/>
      <c r="AD461" s="64"/>
      <c r="AE461" s="64"/>
      <c r="AF461" s="64"/>
      <c r="AG461" s="64"/>
      <c r="AH461" s="64"/>
    </row>
    <row r="462">
      <c r="A462" s="64"/>
      <c r="B462" s="64"/>
      <c r="C462" s="64"/>
      <c r="D462" s="64"/>
      <c r="E462" s="64"/>
      <c r="F462" s="64"/>
      <c r="G462" s="64"/>
      <c r="H462" s="64"/>
      <c r="I462" s="64"/>
      <c r="J462" s="64"/>
      <c r="K462" s="64"/>
      <c r="L462" s="64"/>
      <c r="M462" s="64"/>
      <c r="N462" s="64"/>
      <c r="O462" s="64"/>
      <c r="P462" s="64"/>
      <c r="Q462" s="64"/>
      <c r="R462" s="64"/>
      <c r="S462" s="64"/>
      <c r="T462" s="64"/>
      <c r="U462" s="64"/>
      <c r="V462" s="64"/>
      <c r="W462" s="64"/>
      <c r="X462" s="64"/>
      <c r="Y462" s="64"/>
      <c r="Z462" s="64"/>
      <c r="AA462" s="64"/>
      <c r="AB462" s="64"/>
      <c r="AC462" s="64"/>
      <c r="AD462" s="64"/>
      <c r="AE462" s="64"/>
      <c r="AF462" s="64"/>
      <c r="AG462" s="64"/>
      <c r="AH462" s="64"/>
    </row>
    <row r="463">
      <c r="A463" s="64"/>
      <c r="B463" s="64"/>
      <c r="C463" s="64"/>
      <c r="D463" s="64"/>
      <c r="E463" s="64"/>
      <c r="F463" s="64"/>
      <c r="G463" s="64"/>
      <c r="H463" s="64"/>
      <c r="I463" s="64"/>
      <c r="J463" s="64"/>
      <c r="K463" s="64"/>
      <c r="L463" s="64"/>
      <c r="M463" s="64"/>
      <c r="N463" s="64"/>
      <c r="O463" s="64"/>
      <c r="P463" s="64"/>
      <c r="Q463" s="64"/>
      <c r="R463" s="64"/>
      <c r="S463" s="64"/>
      <c r="T463" s="64"/>
      <c r="U463" s="64"/>
      <c r="V463" s="64"/>
      <c r="W463" s="64"/>
      <c r="X463" s="64"/>
      <c r="Y463" s="64"/>
      <c r="Z463" s="64"/>
      <c r="AA463" s="64"/>
      <c r="AB463" s="64"/>
      <c r="AC463" s="64"/>
      <c r="AD463" s="64"/>
      <c r="AE463" s="64"/>
      <c r="AF463" s="64"/>
      <c r="AG463" s="64"/>
      <c r="AH463" s="64"/>
    </row>
    <row r="464">
      <c r="A464" s="64"/>
      <c r="B464" s="64"/>
      <c r="C464" s="64"/>
      <c r="D464" s="64"/>
      <c r="E464" s="64"/>
      <c r="F464" s="64"/>
      <c r="G464" s="64"/>
      <c r="H464" s="64"/>
      <c r="I464" s="64"/>
      <c r="J464" s="64"/>
      <c r="K464" s="64"/>
      <c r="L464" s="64"/>
      <c r="M464" s="64"/>
      <c r="N464" s="64"/>
      <c r="O464" s="64"/>
      <c r="P464" s="64"/>
      <c r="Q464" s="64"/>
      <c r="R464" s="64"/>
      <c r="S464" s="64"/>
      <c r="T464" s="64"/>
      <c r="U464" s="64"/>
      <c r="V464" s="64"/>
      <c r="W464" s="64"/>
      <c r="X464" s="64"/>
      <c r="Y464" s="64"/>
      <c r="Z464" s="64"/>
      <c r="AA464" s="64"/>
      <c r="AB464" s="64"/>
      <c r="AC464" s="64"/>
      <c r="AD464" s="64"/>
      <c r="AE464" s="64"/>
      <c r="AF464" s="64"/>
      <c r="AG464" s="64"/>
      <c r="AH464" s="64"/>
    </row>
    <row r="465">
      <c r="A465" s="64"/>
      <c r="B465" s="64"/>
      <c r="C465" s="64"/>
      <c r="D465" s="64"/>
      <c r="E465" s="64"/>
      <c r="F465" s="64"/>
      <c r="G465" s="64"/>
      <c r="H465" s="64"/>
      <c r="I465" s="64"/>
      <c r="J465" s="64"/>
      <c r="K465" s="64"/>
      <c r="L465" s="64"/>
      <c r="M465" s="64"/>
      <c r="N465" s="64"/>
      <c r="O465" s="64"/>
      <c r="P465" s="64"/>
      <c r="Q465" s="64"/>
      <c r="R465" s="64"/>
      <c r="S465" s="64"/>
      <c r="T465" s="64"/>
      <c r="U465" s="64"/>
      <c r="V465" s="64"/>
      <c r="W465" s="64"/>
      <c r="X465" s="64"/>
      <c r="Y465" s="64"/>
      <c r="Z465" s="64"/>
      <c r="AA465" s="64"/>
      <c r="AB465" s="64"/>
      <c r="AC465" s="64"/>
      <c r="AD465" s="64"/>
      <c r="AE465" s="64"/>
      <c r="AF465" s="64"/>
      <c r="AG465" s="64"/>
      <c r="AH465" s="64"/>
    </row>
    <row r="466">
      <c r="A466" s="64"/>
      <c r="B466" s="64"/>
      <c r="C466" s="64"/>
      <c r="D466" s="64"/>
      <c r="E466" s="64"/>
      <c r="F466" s="64"/>
      <c r="G466" s="64"/>
      <c r="H466" s="64"/>
      <c r="I466" s="64"/>
      <c r="J466" s="64"/>
      <c r="K466" s="64"/>
      <c r="L466" s="64"/>
      <c r="M466" s="64"/>
      <c r="N466" s="64"/>
      <c r="O466" s="64"/>
      <c r="P466" s="64"/>
      <c r="Q466" s="64"/>
      <c r="R466" s="64"/>
      <c r="S466" s="64"/>
      <c r="T466" s="64"/>
      <c r="U466" s="64"/>
      <c r="V466" s="64"/>
      <c r="W466" s="64"/>
      <c r="X466" s="64"/>
      <c r="Y466" s="64"/>
      <c r="Z466" s="64"/>
      <c r="AA466" s="64"/>
      <c r="AB466" s="64"/>
      <c r="AC466" s="64"/>
      <c r="AD466" s="64"/>
      <c r="AE466" s="64"/>
      <c r="AF466" s="64"/>
      <c r="AG466" s="64"/>
      <c r="AH466" s="64"/>
    </row>
    <row r="467">
      <c r="A467" s="64"/>
      <c r="B467" s="64"/>
      <c r="C467" s="64"/>
      <c r="D467" s="64"/>
      <c r="E467" s="64"/>
      <c r="F467" s="64"/>
      <c r="G467" s="64"/>
      <c r="H467" s="64"/>
      <c r="I467" s="64"/>
      <c r="J467" s="64"/>
      <c r="K467" s="64"/>
      <c r="L467" s="64"/>
      <c r="M467" s="64"/>
      <c r="N467" s="64"/>
      <c r="O467" s="64"/>
      <c r="P467" s="64"/>
      <c r="Q467" s="64"/>
      <c r="R467" s="64"/>
      <c r="S467" s="64"/>
      <c r="T467" s="64"/>
      <c r="U467" s="64"/>
      <c r="V467" s="64"/>
      <c r="W467" s="64"/>
      <c r="X467" s="64"/>
      <c r="Y467" s="64"/>
      <c r="Z467" s="64"/>
      <c r="AA467" s="64"/>
      <c r="AB467" s="64"/>
      <c r="AC467" s="64"/>
      <c r="AD467" s="64"/>
      <c r="AE467" s="64"/>
      <c r="AF467" s="64"/>
      <c r="AG467" s="64"/>
      <c r="AH467" s="64"/>
    </row>
    <row r="468">
      <c r="A468" s="64"/>
      <c r="B468" s="64"/>
      <c r="C468" s="64"/>
      <c r="D468" s="64"/>
      <c r="E468" s="64"/>
      <c r="F468" s="64"/>
      <c r="G468" s="64"/>
      <c r="H468" s="64"/>
      <c r="I468" s="64"/>
      <c r="J468" s="64"/>
      <c r="K468" s="64"/>
      <c r="L468" s="64"/>
      <c r="M468" s="64"/>
      <c r="N468" s="64"/>
      <c r="O468" s="64"/>
      <c r="P468" s="64"/>
      <c r="Q468" s="64"/>
      <c r="R468" s="64"/>
      <c r="S468" s="64"/>
      <c r="T468" s="64"/>
      <c r="U468" s="64"/>
      <c r="V468" s="64"/>
      <c r="W468" s="64"/>
      <c r="X468" s="64"/>
      <c r="Y468" s="64"/>
      <c r="Z468" s="64"/>
      <c r="AA468" s="64"/>
      <c r="AB468" s="64"/>
      <c r="AC468" s="64"/>
      <c r="AD468" s="64"/>
      <c r="AE468" s="64"/>
      <c r="AF468" s="64"/>
      <c r="AG468" s="64"/>
      <c r="AH468" s="64"/>
    </row>
    <row r="469">
      <c r="A469" s="64"/>
      <c r="B469" s="64"/>
      <c r="C469" s="64"/>
      <c r="D469" s="64"/>
      <c r="E469" s="64"/>
      <c r="F469" s="64"/>
      <c r="G469" s="64"/>
      <c r="H469" s="64"/>
      <c r="I469" s="64"/>
      <c r="J469" s="64"/>
      <c r="K469" s="64"/>
      <c r="L469" s="64"/>
      <c r="M469" s="64"/>
      <c r="N469" s="64"/>
      <c r="O469" s="64"/>
      <c r="P469" s="64"/>
      <c r="Q469" s="64"/>
      <c r="R469" s="64"/>
      <c r="S469" s="64"/>
      <c r="T469" s="64"/>
      <c r="U469" s="64"/>
      <c r="V469" s="64"/>
      <c r="W469" s="64"/>
      <c r="X469" s="64"/>
      <c r="Y469" s="64"/>
      <c r="Z469" s="64"/>
      <c r="AA469" s="64"/>
      <c r="AB469" s="64"/>
      <c r="AC469" s="64"/>
      <c r="AD469" s="64"/>
      <c r="AE469" s="64"/>
      <c r="AF469" s="64"/>
      <c r="AG469" s="64"/>
      <c r="AH469" s="64"/>
    </row>
    <row r="470">
      <c r="A470" s="64"/>
      <c r="B470" s="64"/>
      <c r="C470" s="64"/>
      <c r="D470" s="64"/>
      <c r="E470" s="64"/>
      <c r="F470" s="64"/>
      <c r="G470" s="64"/>
      <c r="H470" s="64"/>
      <c r="I470" s="64"/>
      <c r="J470" s="64"/>
      <c r="K470" s="64"/>
      <c r="L470" s="64"/>
      <c r="M470" s="64"/>
      <c r="N470" s="64"/>
      <c r="O470" s="64"/>
      <c r="P470" s="64"/>
      <c r="Q470" s="64"/>
      <c r="R470" s="64"/>
      <c r="S470" s="64"/>
      <c r="T470" s="64"/>
      <c r="U470" s="64"/>
      <c r="V470" s="64"/>
      <c r="W470" s="64"/>
      <c r="X470" s="64"/>
      <c r="Y470" s="64"/>
      <c r="Z470" s="64"/>
      <c r="AA470" s="64"/>
      <c r="AB470" s="64"/>
      <c r="AC470" s="64"/>
      <c r="AD470" s="64"/>
      <c r="AE470" s="64"/>
      <c r="AF470" s="64"/>
      <c r="AG470" s="64"/>
      <c r="AH470" s="64"/>
    </row>
    <row r="471">
      <c r="A471" s="64"/>
      <c r="B471" s="64"/>
      <c r="C471" s="64"/>
      <c r="D471" s="64"/>
      <c r="E471" s="64"/>
      <c r="F471" s="64"/>
      <c r="G471" s="64"/>
      <c r="H471" s="64"/>
      <c r="I471" s="64"/>
      <c r="J471" s="64"/>
      <c r="K471" s="64"/>
      <c r="L471" s="64"/>
      <c r="M471" s="64"/>
      <c r="N471" s="64"/>
      <c r="O471" s="64"/>
      <c r="P471" s="64"/>
      <c r="Q471" s="64"/>
      <c r="R471" s="64"/>
      <c r="S471" s="64"/>
      <c r="T471" s="64"/>
      <c r="U471" s="64"/>
      <c r="V471" s="64"/>
      <c r="W471" s="64"/>
      <c r="X471" s="64"/>
      <c r="Y471" s="64"/>
      <c r="Z471" s="64"/>
      <c r="AA471" s="64"/>
      <c r="AB471" s="64"/>
      <c r="AC471" s="64"/>
      <c r="AD471" s="64"/>
      <c r="AE471" s="64"/>
      <c r="AF471" s="64"/>
      <c r="AG471" s="64"/>
      <c r="AH471" s="64"/>
    </row>
    <row r="472">
      <c r="A472" s="64"/>
      <c r="B472" s="64"/>
      <c r="C472" s="64"/>
      <c r="D472" s="64"/>
      <c r="E472" s="64"/>
      <c r="F472" s="64"/>
      <c r="G472" s="64"/>
      <c r="H472" s="64"/>
      <c r="I472" s="64"/>
      <c r="J472" s="64"/>
      <c r="K472" s="64"/>
      <c r="L472" s="64"/>
      <c r="M472" s="64"/>
      <c r="N472" s="64"/>
      <c r="O472" s="64"/>
      <c r="P472" s="64"/>
      <c r="Q472" s="64"/>
      <c r="R472" s="64"/>
      <c r="S472" s="64"/>
      <c r="T472" s="64"/>
      <c r="U472" s="64"/>
      <c r="V472" s="64"/>
      <c r="W472" s="64"/>
      <c r="X472" s="64"/>
      <c r="Y472" s="64"/>
      <c r="Z472" s="64"/>
      <c r="AA472" s="64"/>
      <c r="AB472" s="64"/>
      <c r="AC472" s="64"/>
      <c r="AD472" s="64"/>
      <c r="AE472" s="64"/>
      <c r="AF472" s="64"/>
      <c r="AG472" s="64"/>
      <c r="AH472" s="64"/>
    </row>
    <row r="473">
      <c r="A473" s="64"/>
      <c r="B473" s="64"/>
      <c r="C473" s="64"/>
      <c r="D473" s="64"/>
      <c r="E473" s="64"/>
      <c r="F473" s="64"/>
      <c r="G473" s="64"/>
      <c r="H473" s="64"/>
      <c r="I473" s="64"/>
      <c r="J473" s="64"/>
      <c r="K473" s="64"/>
      <c r="L473" s="64"/>
      <c r="M473" s="64"/>
      <c r="N473" s="64"/>
      <c r="O473" s="64"/>
      <c r="P473" s="64"/>
      <c r="Q473" s="64"/>
      <c r="R473" s="64"/>
      <c r="S473" s="64"/>
      <c r="T473" s="64"/>
      <c r="U473" s="64"/>
      <c r="V473" s="64"/>
      <c r="W473" s="64"/>
      <c r="X473" s="64"/>
      <c r="Y473" s="64"/>
      <c r="Z473" s="64"/>
      <c r="AA473" s="64"/>
      <c r="AB473" s="64"/>
      <c r="AC473" s="64"/>
      <c r="AD473" s="64"/>
      <c r="AE473" s="64"/>
      <c r="AF473" s="64"/>
      <c r="AG473" s="64"/>
      <c r="AH473" s="64"/>
    </row>
    <row r="474">
      <c r="A474" s="64"/>
      <c r="B474" s="64"/>
      <c r="C474" s="64"/>
      <c r="D474" s="64"/>
      <c r="E474" s="64"/>
      <c r="F474" s="64"/>
      <c r="G474" s="64"/>
      <c r="H474" s="64"/>
      <c r="I474" s="64"/>
      <c r="J474" s="64"/>
      <c r="K474" s="64"/>
      <c r="L474" s="64"/>
      <c r="M474" s="64"/>
      <c r="N474" s="64"/>
      <c r="O474" s="64"/>
      <c r="P474" s="64"/>
      <c r="Q474" s="64"/>
      <c r="R474" s="64"/>
      <c r="S474" s="64"/>
      <c r="T474" s="64"/>
      <c r="U474" s="64"/>
      <c r="V474" s="64"/>
      <c r="W474" s="64"/>
      <c r="X474" s="64"/>
      <c r="Y474" s="64"/>
      <c r="Z474" s="64"/>
      <c r="AA474" s="64"/>
      <c r="AB474" s="64"/>
      <c r="AC474" s="64"/>
      <c r="AD474" s="64"/>
      <c r="AE474" s="64"/>
      <c r="AF474" s="64"/>
      <c r="AG474" s="64"/>
      <c r="AH474" s="64"/>
    </row>
    <row r="475">
      <c r="A475" s="64"/>
      <c r="B475" s="64"/>
      <c r="C475" s="64"/>
      <c r="D475" s="64"/>
      <c r="E475" s="64"/>
      <c r="F475" s="64"/>
      <c r="G475" s="64"/>
      <c r="H475" s="64"/>
      <c r="I475" s="64"/>
      <c r="J475" s="64"/>
      <c r="K475" s="64"/>
      <c r="L475" s="64"/>
      <c r="M475" s="64"/>
      <c r="N475" s="64"/>
      <c r="O475" s="64"/>
      <c r="P475" s="64"/>
      <c r="Q475" s="64"/>
      <c r="R475" s="64"/>
      <c r="S475" s="64"/>
      <c r="T475" s="64"/>
      <c r="U475" s="64"/>
      <c r="V475" s="64"/>
      <c r="W475" s="64"/>
      <c r="X475" s="64"/>
      <c r="Y475" s="64"/>
      <c r="Z475" s="64"/>
      <c r="AA475" s="64"/>
      <c r="AB475" s="64"/>
      <c r="AC475" s="64"/>
      <c r="AD475" s="64"/>
      <c r="AE475" s="64"/>
      <c r="AF475" s="64"/>
      <c r="AG475" s="64"/>
      <c r="AH475" s="64"/>
    </row>
    <row r="476">
      <c r="A476" s="64"/>
      <c r="B476" s="64"/>
      <c r="C476" s="64"/>
      <c r="D476" s="64"/>
      <c r="E476" s="64"/>
      <c r="F476" s="64"/>
      <c r="G476" s="64"/>
      <c r="H476" s="64"/>
      <c r="I476" s="64"/>
      <c r="J476" s="64"/>
      <c r="K476" s="64"/>
      <c r="L476" s="64"/>
      <c r="M476" s="64"/>
      <c r="N476" s="64"/>
      <c r="O476" s="64"/>
      <c r="P476" s="64"/>
      <c r="Q476" s="64"/>
      <c r="R476" s="64"/>
      <c r="S476" s="64"/>
      <c r="T476" s="64"/>
      <c r="U476" s="64"/>
      <c r="V476" s="64"/>
      <c r="W476" s="64"/>
      <c r="X476" s="64"/>
      <c r="Y476" s="64"/>
      <c r="Z476" s="64"/>
      <c r="AA476" s="64"/>
      <c r="AB476" s="64"/>
      <c r="AC476" s="64"/>
      <c r="AD476" s="64"/>
      <c r="AE476" s="64"/>
      <c r="AF476" s="64"/>
      <c r="AG476" s="64"/>
      <c r="AH476" s="64"/>
    </row>
    <row r="477">
      <c r="A477" s="64"/>
      <c r="B477" s="64"/>
      <c r="C477" s="64"/>
      <c r="D477" s="64"/>
      <c r="E477" s="64"/>
      <c r="F477" s="64"/>
      <c r="G477" s="64"/>
      <c r="H477" s="64"/>
      <c r="I477" s="64"/>
      <c r="J477" s="64"/>
      <c r="K477" s="64"/>
      <c r="L477" s="64"/>
      <c r="M477" s="64"/>
      <c r="N477" s="64"/>
      <c r="O477" s="64"/>
      <c r="P477" s="64"/>
      <c r="Q477" s="64"/>
      <c r="R477" s="64"/>
      <c r="S477" s="64"/>
      <c r="T477" s="64"/>
      <c r="U477" s="64"/>
      <c r="V477" s="64"/>
      <c r="W477" s="64"/>
      <c r="X477" s="64"/>
      <c r="Y477" s="64"/>
      <c r="Z477" s="64"/>
      <c r="AA477" s="64"/>
      <c r="AB477" s="64"/>
      <c r="AC477" s="64"/>
      <c r="AD477" s="64"/>
      <c r="AE477" s="64"/>
      <c r="AF477" s="64"/>
      <c r="AG477" s="64"/>
      <c r="AH477" s="64"/>
    </row>
    <row r="478">
      <c r="A478" s="64"/>
      <c r="B478" s="64"/>
      <c r="C478" s="64"/>
      <c r="D478" s="64"/>
      <c r="E478" s="64"/>
      <c r="F478" s="64"/>
      <c r="G478" s="64"/>
      <c r="H478" s="64"/>
      <c r="I478" s="64"/>
      <c r="J478" s="64"/>
      <c r="K478" s="64"/>
      <c r="L478" s="64"/>
      <c r="M478" s="64"/>
      <c r="N478" s="64"/>
      <c r="O478" s="64"/>
      <c r="P478" s="64"/>
      <c r="Q478" s="64"/>
      <c r="R478" s="64"/>
      <c r="S478" s="64"/>
      <c r="T478" s="64"/>
      <c r="U478" s="64"/>
      <c r="V478" s="64"/>
      <c r="W478" s="64"/>
      <c r="X478" s="64"/>
      <c r="Y478" s="64"/>
      <c r="Z478" s="64"/>
      <c r="AA478" s="64"/>
      <c r="AB478" s="64"/>
      <c r="AC478" s="64"/>
      <c r="AD478" s="64"/>
      <c r="AE478" s="64"/>
      <c r="AF478" s="64"/>
      <c r="AG478" s="64"/>
      <c r="AH478" s="64"/>
    </row>
    <row r="479">
      <c r="A479" s="64"/>
      <c r="B479" s="64"/>
      <c r="C479" s="64"/>
      <c r="D479" s="64"/>
      <c r="E479" s="64"/>
      <c r="F479" s="64"/>
      <c r="G479" s="64"/>
      <c r="H479" s="64"/>
      <c r="I479" s="64"/>
      <c r="J479" s="64"/>
      <c r="K479" s="64"/>
      <c r="L479" s="64"/>
      <c r="M479" s="64"/>
      <c r="N479" s="64"/>
      <c r="O479" s="64"/>
      <c r="P479" s="64"/>
      <c r="Q479" s="64"/>
      <c r="R479" s="64"/>
      <c r="S479" s="64"/>
      <c r="T479" s="64"/>
      <c r="U479" s="64"/>
      <c r="V479" s="64"/>
      <c r="W479" s="64"/>
      <c r="X479" s="64"/>
      <c r="Y479" s="64"/>
      <c r="Z479" s="64"/>
      <c r="AA479" s="64"/>
      <c r="AB479" s="64"/>
      <c r="AC479" s="64"/>
      <c r="AD479" s="64"/>
      <c r="AE479" s="64"/>
      <c r="AF479" s="64"/>
      <c r="AG479" s="64"/>
      <c r="AH479" s="64"/>
    </row>
    <row r="480">
      <c r="A480" s="64"/>
      <c r="B480" s="64"/>
      <c r="C480" s="64"/>
      <c r="D480" s="64"/>
      <c r="E480" s="64"/>
      <c r="F480" s="64"/>
      <c r="G480" s="64"/>
      <c r="H480" s="64"/>
      <c r="I480" s="64"/>
      <c r="J480" s="64"/>
      <c r="K480" s="64"/>
      <c r="L480" s="64"/>
      <c r="M480" s="64"/>
      <c r="N480" s="64"/>
      <c r="O480" s="64"/>
      <c r="P480" s="64"/>
      <c r="Q480" s="64"/>
      <c r="R480" s="64"/>
      <c r="S480" s="64"/>
      <c r="T480" s="64"/>
      <c r="U480" s="64"/>
      <c r="V480" s="64"/>
      <c r="W480" s="64"/>
      <c r="X480" s="64"/>
      <c r="Y480" s="64"/>
      <c r="Z480" s="64"/>
      <c r="AA480" s="64"/>
      <c r="AB480" s="64"/>
      <c r="AC480" s="64"/>
      <c r="AD480" s="64"/>
      <c r="AE480" s="64"/>
      <c r="AF480" s="64"/>
      <c r="AG480" s="64"/>
      <c r="AH480" s="64"/>
    </row>
    <row r="481">
      <c r="A481" s="64"/>
      <c r="B481" s="64"/>
      <c r="C481" s="64"/>
      <c r="D481" s="64"/>
      <c r="E481" s="64"/>
      <c r="F481" s="64"/>
      <c r="G481" s="64"/>
      <c r="H481" s="64"/>
      <c r="I481" s="64"/>
      <c r="J481" s="64"/>
      <c r="K481" s="64"/>
      <c r="L481" s="64"/>
      <c r="M481" s="64"/>
      <c r="N481" s="64"/>
      <c r="O481" s="64"/>
      <c r="P481" s="64"/>
      <c r="Q481" s="64"/>
      <c r="R481" s="64"/>
      <c r="S481" s="64"/>
      <c r="T481" s="64"/>
      <c r="U481" s="64"/>
      <c r="V481" s="64"/>
      <c r="W481" s="64"/>
      <c r="X481" s="64"/>
      <c r="Y481" s="64"/>
      <c r="Z481" s="64"/>
      <c r="AA481" s="64"/>
      <c r="AB481" s="64"/>
      <c r="AC481" s="64"/>
      <c r="AD481" s="64"/>
      <c r="AE481" s="64"/>
      <c r="AF481" s="64"/>
      <c r="AG481" s="64"/>
      <c r="AH481" s="64"/>
    </row>
    <row r="482">
      <c r="A482" s="64"/>
      <c r="B482" s="64"/>
      <c r="C482" s="64"/>
      <c r="D482" s="64"/>
      <c r="E482" s="64"/>
      <c r="F482" s="64"/>
      <c r="G482" s="64"/>
      <c r="H482" s="64"/>
      <c r="I482" s="64"/>
      <c r="J482" s="64"/>
      <c r="K482" s="64"/>
      <c r="L482" s="64"/>
      <c r="M482" s="64"/>
      <c r="N482" s="64"/>
      <c r="O482" s="64"/>
      <c r="P482" s="64"/>
      <c r="Q482" s="64"/>
      <c r="R482" s="64"/>
      <c r="S482" s="64"/>
      <c r="T482" s="64"/>
      <c r="U482" s="64"/>
      <c r="V482" s="64"/>
      <c r="W482" s="64"/>
      <c r="X482" s="64"/>
      <c r="Y482" s="64"/>
      <c r="Z482" s="64"/>
      <c r="AA482" s="64"/>
      <c r="AB482" s="64"/>
      <c r="AC482" s="64"/>
      <c r="AD482" s="64"/>
      <c r="AE482" s="64"/>
      <c r="AF482" s="64"/>
      <c r="AG482" s="64"/>
      <c r="AH482" s="64"/>
    </row>
    <row r="483">
      <c r="A483" s="64"/>
      <c r="B483" s="64"/>
      <c r="C483" s="64"/>
      <c r="D483" s="64"/>
      <c r="E483" s="64"/>
      <c r="F483" s="64"/>
      <c r="G483" s="64"/>
      <c r="H483" s="64"/>
      <c r="I483" s="64"/>
      <c r="J483" s="64"/>
      <c r="K483" s="64"/>
      <c r="L483" s="64"/>
      <c r="M483" s="64"/>
      <c r="N483" s="64"/>
      <c r="O483" s="64"/>
      <c r="P483" s="64"/>
      <c r="Q483" s="64"/>
      <c r="R483" s="64"/>
      <c r="S483" s="64"/>
      <c r="T483" s="64"/>
      <c r="U483" s="64"/>
      <c r="V483" s="64"/>
      <c r="W483" s="64"/>
      <c r="X483" s="64"/>
      <c r="Y483" s="64"/>
      <c r="Z483" s="64"/>
      <c r="AA483" s="64"/>
      <c r="AB483" s="64"/>
      <c r="AC483" s="64"/>
      <c r="AD483" s="64"/>
      <c r="AE483" s="64"/>
      <c r="AF483" s="64"/>
      <c r="AG483" s="64"/>
      <c r="AH483" s="64"/>
    </row>
    <row r="484">
      <c r="A484" s="64"/>
      <c r="B484" s="64"/>
      <c r="C484" s="64"/>
      <c r="D484" s="64"/>
      <c r="E484" s="64"/>
      <c r="F484" s="64"/>
      <c r="G484" s="64"/>
      <c r="H484" s="64"/>
      <c r="I484" s="64"/>
      <c r="J484" s="64"/>
      <c r="K484" s="64"/>
      <c r="L484" s="64"/>
      <c r="M484" s="64"/>
      <c r="N484" s="64"/>
      <c r="O484" s="64"/>
      <c r="P484" s="64"/>
      <c r="Q484" s="64"/>
      <c r="R484" s="64"/>
      <c r="S484" s="64"/>
      <c r="T484" s="64"/>
      <c r="U484" s="64"/>
      <c r="V484" s="64"/>
      <c r="W484" s="64"/>
      <c r="X484" s="64"/>
      <c r="Y484" s="64"/>
      <c r="Z484" s="64"/>
      <c r="AA484" s="64"/>
      <c r="AB484" s="64"/>
      <c r="AC484" s="64"/>
      <c r="AD484" s="64"/>
      <c r="AE484" s="64"/>
      <c r="AF484" s="64"/>
      <c r="AG484" s="64"/>
      <c r="AH484" s="64"/>
    </row>
    <row r="485">
      <c r="A485" s="64"/>
      <c r="B485" s="64"/>
      <c r="C485" s="64"/>
      <c r="D485" s="64"/>
      <c r="E485" s="64"/>
      <c r="F485" s="64"/>
      <c r="G485" s="64"/>
      <c r="H485" s="64"/>
      <c r="I485" s="64"/>
      <c r="J485" s="64"/>
      <c r="K485" s="64"/>
      <c r="L485" s="64"/>
      <c r="M485" s="64"/>
      <c r="N485" s="64"/>
      <c r="O485" s="64"/>
      <c r="P485" s="64"/>
      <c r="Q485" s="64"/>
      <c r="R485" s="64"/>
      <c r="S485" s="64"/>
      <c r="T485" s="64"/>
      <c r="U485" s="64"/>
      <c r="V485" s="64"/>
      <c r="W485" s="64"/>
      <c r="X485" s="64"/>
      <c r="Y485" s="64"/>
      <c r="Z485" s="64"/>
      <c r="AA485" s="64"/>
      <c r="AB485" s="64"/>
      <c r="AC485" s="64"/>
      <c r="AD485" s="64"/>
      <c r="AE485" s="64"/>
      <c r="AF485" s="64"/>
      <c r="AG485" s="64"/>
      <c r="AH485" s="64"/>
    </row>
    <row r="486">
      <c r="A486" s="64"/>
      <c r="B486" s="64"/>
      <c r="C486" s="64"/>
      <c r="D486" s="64"/>
      <c r="E486" s="64"/>
      <c r="F486" s="64"/>
      <c r="G486" s="64"/>
      <c r="H486" s="64"/>
      <c r="I486" s="64"/>
      <c r="J486" s="64"/>
      <c r="K486" s="64"/>
      <c r="L486" s="64"/>
      <c r="M486" s="64"/>
      <c r="N486" s="64"/>
      <c r="O486" s="64"/>
      <c r="P486" s="64"/>
      <c r="Q486" s="64"/>
      <c r="R486" s="64"/>
      <c r="S486" s="64"/>
      <c r="T486" s="64"/>
      <c r="U486" s="64"/>
      <c r="V486" s="64"/>
      <c r="W486" s="64"/>
      <c r="X486" s="64"/>
      <c r="Y486" s="64"/>
      <c r="Z486" s="64"/>
      <c r="AA486" s="64"/>
      <c r="AB486" s="64"/>
      <c r="AC486" s="64"/>
      <c r="AD486" s="64"/>
      <c r="AE486" s="64"/>
      <c r="AF486" s="64"/>
      <c r="AG486" s="64"/>
      <c r="AH486" s="64"/>
    </row>
    <row r="487">
      <c r="A487" s="64"/>
      <c r="B487" s="64"/>
      <c r="C487" s="64"/>
      <c r="D487" s="64"/>
      <c r="E487" s="64"/>
      <c r="F487" s="64"/>
      <c r="G487" s="64"/>
      <c r="H487" s="64"/>
      <c r="I487" s="64"/>
      <c r="J487" s="64"/>
      <c r="K487" s="64"/>
      <c r="L487" s="64"/>
      <c r="M487" s="64"/>
      <c r="N487" s="64"/>
      <c r="O487" s="64"/>
      <c r="P487" s="64"/>
      <c r="Q487" s="64"/>
      <c r="R487" s="64"/>
      <c r="S487" s="64"/>
      <c r="T487" s="64"/>
      <c r="U487" s="64"/>
      <c r="V487" s="64"/>
      <c r="W487" s="64"/>
      <c r="X487" s="64"/>
      <c r="Y487" s="64"/>
      <c r="Z487" s="64"/>
      <c r="AA487" s="64"/>
      <c r="AB487" s="64"/>
      <c r="AC487" s="64"/>
      <c r="AD487" s="64"/>
      <c r="AE487" s="64"/>
      <c r="AF487" s="64"/>
      <c r="AG487" s="64"/>
      <c r="AH487" s="64"/>
    </row>
    <row r="488">
      <c r="A488" s="64"/>
      <c r="B488" s="64"/>
      <c r="C488" s="64"/>
      <c r="D488" s="64"/>
      <c r="E488" s="64"/>
      <c r="F488" s="64"/>
      <c r="G488" s="64"/>
      <c r="H488" s="64"/>
      <c r="I488" s="64"/>
      <c r="J488" s="64"/>
      <c r="K488" s="64"/>
      <c r="L488" s="64"/>
      <c r="M488" s="64"/>
      <c r="N488" s="64"/>
      <c r="O488" s="64"/>
      <c r="P488" s="64"/>
      <c r="Q488" s="64"/>
      <c r="R488" s="64"/>
      <c r="S488" s="64"/>
      <c r="T488" s="64"/>
      <c r="U488" s="64"/>
      <c r="V488" s="64"/>
      <c r="W488" s="64"/>
      <c r="X488" s="64"/>
      <c r="Y488" s="64"/>
      <c r="Z488" s="64"/>
      <c r="AA488" s="64"/>
      <c r="AB488" s="64"/>
      <c r="AC488" s="64"/>
      <c r="AD488" s="64"/>
      <c r="AE488" s="64"/>
      <c r="AF488" s="64"/>
      <c r="AG488" s="64"/>
      <c r="AH488" s="64"/>
    </row>
    <row r="489">
      <c r="A489" s="64"/>
      <c r="B489" s="64"/>
      <c r="C489" s="64"/>
      <c r="D489" s="64"/>
      <c r="E489" s="64"/>
      <c r="F489" s="64"/>
      <c r="G489" s="64"/>
      <c r="H489" s="64"/>
      <c r="I489" s="64"/>
      <c r="J489" s="64"/>
      <c r="K489" s="64"/>
      <c r="L489" s="64"/>
      <c r="M489" s="64"/>
      <c r="N489" s="64"/>
      <c r="O489" s="64"/>
      <c r="P489" s="64"/>
      <c r="Q489" s="64"/>
      <c r="R489" s="64"/>
      <c r="S489" s="64"/>
      <c r="T489" s="64"/>
      <c r="U489" s="64"/>
      <c r="V489" s="64"/>
      <c r="W489" s="64"/>
      <c r="X489" s="64"/>
      <c r="Y489" s="64"/>
      <c r="Z489" s="64"/>
      <c r="AA489" s="64"/>
      <c r="AB489" s="64"/>
      <c r="AC489" s="64"/>
      <c r="AD489" s="64"/>
      <c r="AE489" s="64"/>
      <c r="AF489" s="64"/>
      <c r="AG489" s="64"/>
      <c r="AH489" s="64"/>
    </row>
    <row r="490">
      <c r="A490" s="64"/>
      <c r="B490" s="64"/>
      <c r="C490" s="64"/>
      <c r="D490" s="64"/>
      <c r="E490" s="64"/>
      <c r="F490" s="64"/>
      <c r="G490" s="64"/>
      <c r="H490" s="64"/>
      <c r="I490" s="64"/>
      <c r="J490" s="64"/>
      <c r="K490" s="64"/>
      <c r="L490" s="64"/>
      <c r="M490" s="64"/>
      <c r="N490" s="64"/>
      <c r="O490" s="64"/>
      <c r="P490" s="64"/>
      <c r="Q490" s="64"/>
      <c r="R490" s="64"/>
      <c r="S490" s="64"/>
      <c r="T490" s="64"/>
      <c r="U490" s="64"/>
      <c r="V490" s="64"/>
      <c r="W490" s="64"/>
      <c r="X490" s="64"/>
      <c r="Y490" s="64"/>
      <c r="Z490" s="64"/>
      <c r="AA490" s="64"/>
      <c r="AB490" s="64"/>
      <c r="AC490" s="64"/>
      <c r="AD490" s="64"/>
      <c r="AE490" s="64"/>
      <c r="AF490" s="64"/>
      <c r="AG490" s="64"/>
      <c r="AH490" s="64"/>
    </row>
    <row r="491">
      <c r="A491" s="64"/>
      <c r="B491" s="64"/>
      <c r="C491" s="64"/>
      <c r="D491" s="64"/>
      <c r="E491" s="64"/>
      <c r="F491" s="64"/>
      <c r="G491" s="64"/>
      <c r="H491" s="64"/>
      <c r="I491" s="64"/>
      <c r="J491" s="64"/>
      <c r="K491" s="64"/>
      <c r="L491" s="64"/>
      <c r="M491" s="64"/>
      <c r="N491" s="64"/>
      <c r="O491" s="64"/>
      <c r="P491" s="64"/>
      <c r="Q491" s="64"/>
      <c r="R491" s="64"/>
      <c r="S491" s="64"/>
      <c r="T491" s="64"/>
      <c r="U491" s="64"/>
      <c r="V491" s="64"/>
      <c r="W491" s="64"/>
      <c r="X491" s="64"/>
      <c r="Y491" s="64"/>
      <c r="Z491" s="64"/>
      <c r="AA491" s="64"/>
      <c r="AB491" s="64"/>
      <c r="AC491" s="64"/>
      <c r="AD491" s="64"/>
      <c r="AE491" s="64"/>
      <c r="AF491" s="64"/>
      <c r="AG491" s="64"/>
      <c r="AH491" s="64"/>
    </row>
    <row r="492">
      <c r="A492" s="64"/>
      <c r="B492" s="64"/>
      <c r="C492" s="64"/>
      <c r="D492" s="64"/>
      <c r="E492" s="64"/>
      <c r="F492" s="64"/>
      <c r="G492" s="64"/>
      <c r="H492" s="64"/>
      <c r="I492" s="64"/>
      <c r="J492" s="64"/>
      <c r="K492" s="64"/>
      <c r="L492" s="64"/>
      <c r="M492" s="64"/>
      <c r="N492" s="64"/>
      <c r="O492" s="64"/>
      <c r="P492" s="64"/>
      <c r="Q492" s="64"/>
      <c r="R492" s="64"/>
      <c r="S492" s="64"/>
      <c r="T492" s="64"/>
      <c r="U492" s="64"/>
      <c r="V492" s="64"/>
      <c r="W492" s="64"/>
      <c r="X492" s="64"/>
      <c r="Y492" s="64"/>
      <c r="Z492" s="64"/>
      <c r="AA492" s="64"/>
      <c r="AB492" s="64"/>
      <c r="AC492" s="64"/>
      <c r="AD492" s="64"/>
      <c r="AE492" s="64"/>
      <c r="AF492" s="64"/>
      <c r="AG492" s="64"/>
      <c r="AH492" s="64"/>
    </row>
    <row r="493">
      <c r="A493" s="64"/>
      <c r="B493" s="64"/>
      <c r="C493" s="64"/>
      <c r="D493" s="64"/>
      <c r="E493" s="64"/>
      <c r="F493" s="64"/>
      <c r="G493" s="64"/>
      <c r="H493" s="64"/>
      <c r="I493" s="64"/>
      <c r="J493" s="64"/>
      <c r="K493" s="64"/>
      <c r="L493" s="64"/>
      <c r="M493" s="64"/>
      <c r="N493" s="64"/>
      <c r="O493" s="64"/>
      <c r="P493" s="64"/>
      <c r="Q493" s="64"/>
      <c r="R493" s="64"/>
      <c r="S493" s="64"/>
      <c r="T493" s="64"/>
      <c r="U493" s="64"/>
      <c r="V493" s="64"/>
      <c r="W493" s="64"/>
      <c r="X493" s="64"/>
      <c r="Y493" s="64"/>
      <c r="Z493" s="64"/>
      <c r="AA493" s="64"/>
      <c r="AB493" s="64"/>
      <c r="AC493" s="64"/>
      <c r="AD493" s="64"/>
      <c r="AE493" s="64"/>
      <c r="AF493" s="64"/>
      <c r="AG493" s="64"/>
      <c r="AH493" s="64"/>
    </row>
    <row r="494">
      <c r="A494" s="64"/>
      <c r="B494" s="64"/>
      <c r="C494" s="64"/>
      <c r="D494" s="64"/>
      <c r="E494" s="64"/>
      <c r="F494" s="64"/>
      <c r="G494" s="64"/>
      <c r="H494" s="64"/>
      <c r="I494" s="64"/>
      <c r="J494" s="64"/>
      <c r="K494" s="64"/>
      <c r="L494" s="64"/>
      <c r="M494" s="64"/>
      <c r="N494" s="64"/>
      <c r="O494" s="64"/>
      <c r="P494" s="64"/>
      <c r="Q494" s="64"/>
      <c r="R494" s="64"/>
      <c r="S494" s="64"/>
      <c r="T494" s="64"/>
      <c r="U494" s="64"/>
      <c r="V494" s="64"/>
      <c r="W494" s="64"/>
      <c r="X494" s="64"/>
      <c r="Y494" s="64"/>
      <c r="Z494" s="64"/>
      <c r="AA494" s="64"/>
      <c r="AB494" s="64"/>
      <c r="AC494" s="64"/>
      <c r="AD494" s="64"/>
      <c r="AE494" s="64"/>
      <c r="AF494" s="64"/>
      <c r="AG494" s="64"/>
      <c r="AH494" s="64"/>
    </row>
    <row r="495">
      <c r="A495" s="64"/>
      <c r="B495" s="64"/>
      <c r="C495" s="64"/>
      <c r="D495" s="64"/>
      <c r="E495" s="64"/>
      <c r="F495" s="64"/>
      <c r="G495" s="64"/>
      <c r="H495" s="64"/>
      <c r="I495" s="64"/>
      <c r="J495" s="64"/>
      <c r="K495" s="64"/>
      <c r="L495" s="64"/>
      <c r="M495" s="64"/>
      <c r="N495" s="64"/>
      <c r="O495" s="64"/>
      <c r="P495" s="64"/>
      <c r="Q495" s="64"/>
      <c r="R495" s="64"/>
      <c r="S495" s="64"/>
      <c r="T495" s="64"/>
      <c r="U495" s="64"/>
      <c r="V495" s="64"/>
      <c r="W495" s="64"/>
      <c r="X495" s="64"/>
      <c r="Y495" s="64"/>
      <c r="Z495" s="64"/>
      <c r="AA495" s="64"/>
      <c r="AB495" s="64"/>
      <c r="AC495" s="64"/>
      <c r="AD495" s="64"/>
      <c r="AE495" s="64"/>
      <c r="AF495" s="64"/>
      <c r="AG495" s="64"/>
      <c r="AH495" s="64"/>
    </row>
    <row r="496">
      <c r="A496" s="64"/>
      <c r="B496" s="64"/>
      <c r="C496" s="64"/>
      <c r="D496" s="64"/>
      <c r="E496" s="64"/>
      <c r="F496" s="64"/>
      <c r="G496" s="64"/>
      <c r="H496" s="64"/>
      <c r="I496" s="64"/>
      <c r="J496" s="64"/>
      <c r="K496" s="64"/>
      <c r="L496" s="64"/>
      <c r="M496" s="64"/>
      <c r="N496" s="64"/>
      <c r="O496" s="64"/>
      <c r="P496" s="64"/>
      <c r="Q496" s="64"/>
      <c r="R496" s="64"/>
      <c r="S496" s="64"/>
      <c r="T496" s="64"/>
      <c r="U496" s="64"/>
      <c r="V496" s="64"/>
      <c r="W496" s="64"/>
      <c r="X496" s="64"/>
      <c r="Y496" s="64"/>
      <c r="Z496" s="64"/>
      <c r="AA496" s="64"/>
      <c r="AB496" s="64"/>
      <c r="AC496" s="64"/>
      <c r="AD496" s="64"/>
      <c r="AE496" s="64"/>
      <c r="AF496" s="64"/>
      <c r="AG496" s="64"/>
      <c r="AH496" s="64"/>
    </row>
    <row r="497">
      <c r="A497" s="64"/>
      <c r="B497" s="64"/>
      <c r="C497" s="64"/>
      <c r="D497" s="64"/>
      <c r="E497" s="64"/>
      <c r="F497" s="64"/>
      <c r="G497" s="64"/>
      <c r="H497" s="64"/>
      <c r="I497" s="64"/>
      <c r="J497" s="64"/>
      <c r="K497" s="64"/>
      <c r="L497" s="64"/>
      <c r="M497" s="64"/>
      <c r="N497" s="64"/>
      <c r="O497" s="64"/>
      <c r="P497" s="64"/>
      <c r="Q497" s="64"/>
      <c r="R497" s="64"/>
      <c r="S497" s="64"/>
      <c r="T497" s="64"/>
      <c r="U497" s="64"/>
      <c r="V497" s="64"/>
      <c r="W497" s="64"/>
      <c r="X497" s="64"/>
      <c r="Y497" s="64"/>
      <c r="Z497" s="64"/>
      <c r="AA497" s="64"/>
      <c r="AB497" s="64"/>
      <c r="AC497" s="64"/>
      <c r="AD497" s="64"/>
      <c r="AE497" s="64"/>
      <c r="AF497" s="64"/>
      <c r="AG497" s="64"/>
      <c r="AH497" s="64"/>
    </row>
    <row r="498">
      <c r="A498" s="64"/>
      <c r="B498" s="64"/>
      <c r="C498" s="64"/>
      <c r="D498" s="64"/>
      <c r="E498" s="64"/>
      <c r="F498" s="64"/>
      <c r="G498" s="64"/>
      <c r="H498" s="64"/>
      <c r="I498" s="64"/>
      <c r="J498" s="64"/>
      <c r="K498" s="64"/>
      <c r="L498" s="64"/>
      <c r="M498" s="64"/>
      <c r="N498" s="64"/>
      <c r="O498" s="64"/>
      <c r="P498" s="64"/>
      <c r="Q498" s="64"/>
      <c r="R498" s="64"/>
      <c r="S498" s="64"/>
      <c r="T498" s="64"/>
      <c r="U498" s="64"/>
      <c r="V498" s="64"/>
      <c r="W498" s="64"/>
      <c r="X498" s="64"/>
      <c r="Y498" s="64"/>
      <c r="Z498" s="64"/>
      <c r="AA498" s="64"/>
      <c r="AB498" s="64"/>
      <c r="AC498" s="64"/>
      <c r="AD498" s="64"/>
      <c r="AE498" s="64"/>
      <c r="AF498" s="64"/>
      <c r="AG498" s="64"/>
      <c r="AH498" s="64"/>
    </row>
    <row r="499">
      <c r="A499" s="64"/>
      <c r="B499" s="64"/>
      <c r="C499" s="64"/>
      <c r="D499" s="64"/>
      <c r="E499" s="64"/>
      <c r="F499" s="64"/>
      <c r="G499" s="64"/>
      <c r="H499" s="64"/>
      <c r="I499" s="64"/>
      <c r="J499" s="64"/>
      <c r="K499" s="64"/>
      <c r="L499" s="64"/>
      <c r="M499" s="64"/>
      <c r="N499" s="64"/>
      <c r="O499" s="64"/>
      <c r="P499" s="64"/>
      <c r="Q499" s="64"/>
      <c r="R499" s="64"/>
      <c r="S499" s="64"/>
      <c r="T499" s="64"/>
      <c r="U499" s="64"/>
      <c r="V499" s="64"/>
      <c r="W499" s="64"/>
      <c r="X499" s="64"/>
      <c r="Y499" s="64"/>
      <c r="Z499" s="64"/>
      <c r="AA499" s="64"/>
      <c r="AB499" s="64"/>
      <c r="AC499" s="64"/>
      <c r="AD499" s="64"/>
      <c r="AE499" s="64"/>
      <c r="AF499" s="64"/>
      <c r="AG499" s="64"/>
      <c r="AH499" s="64"/>
    </row>
    <row r="500">
      <c r="A500" s="64"/>
      <c r="B500" s="64"/>
      <c r="C500" s="64"/>
      <c r="D500" s="64"/>
      <c r="E500" s="64"/>
      <c r="F500" s="64"/>
      <c r="G500" s="64"/>
      <c r="H500" s="64"/>
      <c r="I500" s="64"/>
      <c r="J500" s="64"/>
      <c r="K500" s="64"/>
      <c r="L500" s="64"/>
      <c r="M500" s="64"/>
      <c r="N500" s="64"/>
      <c r="O500" s="64"/>
      <c r="P500" s="64"/>
      <c r="Q500" s="64"/>
      <c r="R500" s="64"/>
      <c r="S500" s="64"/>
      <c r="T500" s="64"/>
      <c r="U500" s="64"/>
      <c r="V500" s="64"/>
      <c r="W500" s="64"/>
      <c r="X500" s="64"/>
      <c r="Y500" s="64"/>
      <c r="Z500" s="64"/>
      <c r="AA500" s="64"/>
      <c r="AB500" s="64"/>
      <c r="AC500" s="64"/>
      <c r="AD500" s="64"/>
      <c r="AE500" s="64"/>
      <c r="AF500" s="64"/>
      <c r="AG500" s="64"/>
      <c r="AH500" s="64"/>
    </row>
    <row r="501">
      <c r="A501" s="64"/>
      <c r="B501" s="64"/>
      <c r="C501" s="64"/>
      <c r="D501" s="64"/>
      <c r="E501" s="64"/>
      <c r="F501" s="64"/>
      <c r="G501" s="64"/>
      <c r="H501" s="64"/>
      <c r="I501" s="64"/>
      <c r="J501" s="64"/>
      <c r="K501" s="64"/>
      <c r="L501" s="64"/>
      <c r="M501" s="64"/>
      <c r="N501" s="64"/>
      <c r="O501" s="64"/>
      <c r="P501" s="64"/>
      <c r="Q501" s="64"/>
      <c r="R501" s="64"/>
      <c r="S501" s="64"/>
      <c r="T501" s="64"/>
      <c r="U501" s="64"/>
      <c r="V501" s="64"/>
      <c r="W501" s="64"/>
      <c r="X501" s="64"/>
      <c r="Y501" s="64"/>
      <c r="Z501" s="64"/>
      <c r="AA501" s="64"/>
      <c r="AB501" s="64"/>
      <c r="AC501" s="64"/>
      <c r="AD501" s="64"/>
      <c r="AE501" s="64"/>
      <c r="AF501" s="64"/>
      <c r="AG501" s="64"/>
      <c r="AH501" s="64"/>
    </row>
    <row r="502">
      <c r="A502" s="64"/>
      <c r="B502" s="64"/>
      <c r="C502" s="64"/>
      <c r="D502" s="64"/>
      <c r="E502" s="64"/>
      <c r="F502" s="64"/>
      <c r="G502" s="64"/>
      <c r="H502" s="64"/>
      <c r="I502" s="64"/>
      <c r="J502" s="64"/>
      <c r="K502" s="64"/>
      <c r="L502" s="64"/>
      <c r="M502" s="64"/>
      <c r="N502" s="64"/>
      <c r="O502" s="64"/>
      <c r="P502" s="64"/>
      <c r="Q502" s="64"/>
      <c r="R502" s="64"/>
      <c r="S502" s="64"/>
      <c r="T502" s="64"/>
      <c r="U502" s="64"/>
      <c r="V502" s="64"/>
      <c r="W502" s="64"/>
      <c r="X502" s="64"/>
      <c r="Y502" s="64"/>
      <c r="Z502" s="64"/>
      <c r="AA502" s="64"/>
      <c r="AB502" s="64"/>
      <c r="AC502" s="64"/>
      <c r="AD502" s="64"/>
      <c r="AE502" s="64"/>
      <c r="AF502" s="64"/>
      <c r="AG502" s="64"/>
      <c r="AH502" s="64"/>
    </row>
    <row r="503">
      <c r="A503" s="64"/>
      <c r="B503" s="64"/>
      <c r="C503" s="64"/>
      <c r="D503" s="64"/>
      <c r="E503" s="64"/>
      <c r="F503" s="64"/>
      <c r="G503" s="64"/>
      <c r="H503" s="64"/>
      <c r="I503" s="64"/>
      <c r="J503" s="64"/>
      <c r="K503" s="64"/>
      <c r="L503" s="64"/>
      <c r="M503" s="64"/>
      <c r="N503" s="64"/>
      <c r="O503" s="64"/>
      <c r="P503" s="64"/>
      <c r="Q503" s="64"/>
      <c r="R503" s="64"/>
      <c r="S503" s="64"/>
      <c r="T503" s="64"/>
      <c r="U503" s="64"/>
      <c r="V503" s="64"/>
      <c r="W503" s="64"/>
      <c r="X503" s="64"/>
      <c r="Y503" s="64"/>
      <c r="Z503" s="64"/>
      <c r="AA503" s="64"/>
      <c r="AB503" s="64"/>
      <c r="AC503" s="64"/>
      <c r="AD503" s="64"/>
      <c r="AE503" s="64"/>
      <c r="AF503" s="64"/>
      <c r="AG503" s="64"/>
      <c r="AH503" s="64"/>
    </row>
    <row r="504">
      <c r="A504" s="64"/>
      <c r="B504" s="64"/>
      <c r="C504" s="64"/>
      <c r="D504" s="64"/>
      <c r="E504" s="64"/>
      <c r="F504" s="64"/>
      <c r="G504" s="64"/>
      <c r="H504" s="64"/>
      <c r="I504" s="64"/>
      <c r="J504" s="64"/>
      <c r="K504" s="64"/>
      <c r="L504" s="64"/>
      <c r="M504" s="64"/>
      <c r="N504" s="64"/>
      <c r="O504" s="64"/>
      <c r="P504" s="64"/>
      <c r="Q504" s="64"/>
      <c r="R504" s="64"/>
      <c r="S504" s="64"/>
      <c r="T504" s="64"/>
      <c r="U504" s="64"/>
      <c r="V504" s="64"/>
      <c r="W504" s="64"/>
      <c r="X504" s="64"/>
      <c r="Y504" s="64"/>
      <c r="Z504" s="64"/>
      <c r="AA504" s="64"/>
      <c r="AB504" s="64"/>
      <c r="AC504" s="64"/>
      <c r="AD504" s="64"/>
      <c r="AE504" s="64"/>
      <c r="AF504" s="64"/>
      <c r="AG504" s="64"/>
      <c r="AH504" s="64"/>
    </row>
    <row r="505">
      <c r="A505" s="64"/>
      <c r="B505" s="64"/>
      <c r="C505" s="64"/>
      <c r="D505" s="64"/>
      <c r="E505" s="64"/>
      <c r="F505" s="64"/>
      <c r="G505" s="64"/>
      <c r="H505" s="64"/>
      <c r="I505" s="64"/>
      <c r="J505" s="64"/>
      <c r="K505" s="64"/>
      <c r="L505" s="64"/>
      <c r="M505" s="64"/>
      <c r="N505" s="64"/>
      <c r="O505" s="64"/>
      <c r="P505" s="64"/>
      <c r="Q505" s="64"/>
      <c r="R505" s="64"/>
      <c r="S505" s="64"/>
      <c r="T505" s="64"/>
      <c r="U505" s="64"/>
      <c r="V505" s="64"/>
      <c r="W505" s="64"/>
      <c r="X505" s="64"/>
      <c r="Y505" s="64"/>
      <c r="Z505" s="64"/>
      <c r="AA505" s="64"/>
      <c r="AB505" s="64"/>
      <c r="AC505" s="64"/>
      <c r="AD505" s="64"/>
      <c r="AE505" s="64"/>
      <c r="AF505" s="64"/>
      <c r="AG505" s="64"/>
      <c r="AH505" s="64"/>
    </row>
    <row r="506">
      <c r="A506" s="64"/>
      <c r="B506" s="64"/>
      <c r="C506" s="64"/>
      <c r="D506" s="64"/>
      <c r="E506" s="64"/>
      <c r="F506" s="64"/>
      <c r="G506" s="64"/>
      <c r="H506" s="64"/>
      <c r="I506" s="64"/>
      <c r="J506" s="64"/>
      <c r="K506" s="64"/>
      <c r="L506" s="64"/>
      <c r="M506" s="64"/>
      <c r="N506" s="64"/>
      <c r="O506" s="64"/>
      <c r="P506" s="64"/>
      <c r="Q506" s="64"/>
      <c r="R506" s="64"/>
      <c r="S506" s="64"/>
      <c r="T506" s="64"/>
      <c r="U506" s="64"/>
      <c r="V506" s="64"/>
      <c r="W506" s="64"/>
      <c r="X506" s="64"/>
      <c r="Y506" s="64"/>
      <c r="Z506" s="64"/>
      <c r="AA506" s="64"/>
      <c r="AB506" s="64"/>
      <c r="AC506" s="64"/>
      <c r="AD506" s="64"/>
      <c r="AE506" s="64"/>
      <c r="AF506" s="64"/>
      <c r="AG506" s="64"/>
      <c r="AH506" s="64"/>
    </row>
    <row r="507">
      <c r="A507" s="64"/>
      <c r="B507" s="64"/>
      <c r="C507" s="64"/>
      <c r="D507" s="64"/>
      <c r="E507" s="64"/>
      <c r="F507" s="64"/>
      <c r="G507" s="64"/>
      <c r="H507" s="64"/>
      <c r="I507" s="64"/>
      <c r="J507" s="64"/>
      <c r="K507" s="64"/>
      <c r="L507" s="64"/>
      <c r="M507" s="64"/>
      <c r="N507" s="64"/>
      <c r="O507" s="64"/>
      <c r="P507" s="64"/>
      <c r="Q507" s="64"/>
      <c r="R507" s="64"/>
      <c r="S507" s="64"/>
      <c r="T507" s="64"/>
      <c r="U507" s="64"/>
      <c r="V507" s="64"/>
      <c r="W507" s="64"/>
      <c r="X507" s="64"/>
      <c r="Y507" s="64"/>
      <c r="Z507" s="64"/>
      <c r="AA507" s="64"/>
      <c r="AB507" s="64"/>
      <c r="AC507" s="64"/>
      <c r="AD507" s="64"/>
      <c r="AE507" s="64"/>
      <c r="AF507" s="64"/>
      <c r="AG507" s="64"/>
      <c r="AH507" s="64"/>
    </row>
    <row r="508">
      <c r="A508" s="64"/>
      <c r="B508" s="64"/>
      <c r="C508" s="64"/>
      <c r="D508" s="64"/>
      <c r="E508" s="64"/>
      <c r="F508" s="64"/>
      <c r="G508" s="64"/>
      <c r="H508" s="64"/>
      <c r="I508" s="64"/>
      <c r="J508" s="64"/>
      <c r="K508" s="64"/>
      <c r="L508" s="64"/>
      <c r="M508" s="64"/>
      <c r="N508" s="64"/>
      <c r="O508" s="64"/>
      <c r="P508" s="64"/>
      <c r="Q508" s="64"/>
      <c r="R508" s="64"/>
      <c r="S508" s="64"/>
      <c r="T508" s="64"/>
      <c r="U508" s="64"/>
      <c r="V508" s="64"/>
      <c r="W508" s="64"/>
      <c r="X508" s="64"/>
      <c r="Y508" s="64"/>
      <c r="Z508" s="64"/>
      <c r="AA508" s="64"/>
      <c r="AB508" s="64"/>
      <c r="AC508" s="64"/>
      <c r="AD508" s="64"/>
      <c r="AE508" s="64"/>
      <c r="AF508" s="64"/>
      <c r="AG508" s="64"/>
      <c r="AH508" s="64"/>
    </row>
    <row r="509">
      <c r="A509" s="64"/>
      <c r="B509" s="64"/>
      <c r="C509" s="64"/>
      <c r="D509" s="64"/>
      <c r="E509" s="64"/>
      <c r="F509" s="64"/>
      <c r="G509" s="64"/>
      <c r="H509" s="64"/>
      <c r="I509" s="64"/>
      <c r="J509" s="64"/>
      <c r="K509" s="64"/>
      <c r="L509" s="64"/>
      <c r="M509" s="64"/>
      <c r="N509" s="64"/>
      <c r="O509" s="64"/>
      <c r="P509" s="64"/>
      <c r="Q509" s="64"/>
      <c r="R509" s="64"/>
      <c r="S509" s="64"/>
      <c r="T509" s="64"/>
      <c r="U509" s="64"/>
      <c r="V509" s="64"/>
      <c r="W509" s="64"/>
      <c r="X509" s="64"/>
      <c r="Y509" s="64"/>
      <c r="Z509" s="64"/>
      <c r="AA509" s="64"/>
      <c r="AB509" s="64"/>
      <c r="AC509" s="64"/>
      <c r="AD509" s="64"/>
      <c r="AE509" s="64"/>
      <c r="AF509" s="64"/>
      <c r="AG509" s="64"/>
      <c r="AH509" s="64"/>
    </row>
    <row r="510">
      <c r="A510" s="64"/>
      <c r="B510" s="64"/>
      <c r="C510" s="64"/>
      <c r="D510" s="64"/>
      <c r="E510" s="64"/>
      <c r="F510" s="64"/>
      <c r="G510" s="64"/>
      <c r="H510" s="64"/>
      <c r="I510" s="64"/>
      <c r="J510" s="64"/>
      <c r="K510" s="64"/>
      <c r="L510" s="64"/>
      <c r="M510" s="64"/>
      <c r="N510" s="64"/>
      <c r="O510" s="64"/>
      <c r="P510" s="64"/>
      <c r="Q510" s="64"/>
      <c r="R510" s="64"/>
      <c r="S510" s="64"/>
      <c r="T510" s="64"/>
      <c r="U510" s="64"/>
      <c r="V510" s="64"/>
      <c r="W510" s="64"/>
      <c r="X510" s="64"/>
      <c r="Y510" s="64"/>
      <c r="Z510" s="64"/>
      <c r="AA510" s="64"/>
      <c r="AB510" s="64"/>
      <c r="AC510" s="64"/>
      <c r="AD510" s="64"/>
      <c r="AE510" s="64"/>
      <c r="AF510" s="64"/>
      <c r="AG510" s="64"/>
      <c r="AH510" s="64"/>
    </row>
    <row r="511">
      <c r="A511" s="64"/>
      <c r="B511" s="64"/>
      <c r="C511" s="64"/>
      <c r="D511" s="64"/>
      <c r="E511" s="64"/>
      <c r="F511" s="64"/>
      <c r="G511" s="64"/>
      <c r="H511" s="64"/>
      <c r="I511" s="64"/>
      <c r="J511" s="64"/>
      <c r="K511" s="64"/>
      <c r="L511" s="64"/>
      <c r="M511" s="64"/>
      <c r="N511" s="64"/>
      <c r="O511" s="64"/>
      <c r="P511" s="64"/>
      <c r="Q511" s="64"/>
      <c r="R511" s="64"/>
      <c r="S511" s="64"/>
      <c r="T511" s="64"/>
      <c r="U511" s="64"/>
      <c r="V511" s="64"/>
      <c r="W511" s="64"/>
      <c r="X511" s="64"/>
      <c r="Y511" s="64"/>
      <c r="Z511" s="64"/>
      <c r="AA511" s="64"/>
      <c r="AB511" s="64"/>
      <c r="AC511" s="64"/>
      <c r="AD511" s="64"/>
      <c r="AE511" s="64"/>
      <c r="AF511" s="64"/>
      <c r="AG511" s="64"/>
      <c r="AH511" s="64"/>
    </row>
    <row r="512">
      <c r="A512" s="64"/>
      <c r="B512" s="64"/>
      <c r="C512" s="64"/>
      <c r="D512" s="64"/>
      <c r="E512" s="64"/>
      <c r="F512" s="64"/>
      <c r="G512" s="64"/>
      <c r="H512" s="64"/>
      <c r="I512" s="64"/>
      <c r="J512" s="64"/>
      <c r="K512" s="64"/>
      <c r="L512" s="64"/>
      <c r="M512" s="64"/>
      <c r="N512" s="64"/>
      <c r="O512" s="64"/>
      <c r="P512" s="64"/>
      <c r="Q512" s="64"/>
      <c r="R512" s="64"/>
      <c r="S512" s="64"/>
      <c r="T512" s="64"/>
      <c r="U512" s="64"/>
      <c r="V512" s="64"/>
      <c r="W512" s="64"/>
      <c r="X512" s="64"/>
      <c r="Y512" s="64"/>
      <c r="Z512" s="64"/>
      <c r="AA512" s="64"/>
      <c r="AB512" s="64"/>
      <c r="AC512" s="64"/>
      <c r="AD512" s="64"/>
      <c r="AE512" s="64"/>
      <c r="AF512" s="64"/>
      <c r="AG512" s="64"/>
      <c r="AH512" s="64"/>
    </row>
    <row r="513">
      <c r="A513" s="64"/>
      <c r="B513" s="64"/>
      <c r="C513" s="64"/>
      <c r="D513" s="64"/>
      <c r="E513" s="64"/>
      <c r="F513" s="64"/>
      <c r="G513" s="64"/>
      <c r="H513" s="64"/>
      <c r="I513" s="64"/>
      <c r="J513" s="64"/>
      <c r="K513" s="64"/>
      <c r="L513" s="64"/>
      <c r="M513" s="64"/>
      <c r="N513" s="64"/>
      <c r="O513" s="64"/>
      <c r="P513" s="64"/>
      <c r="Q513" s="64"/>
      <c r="R513" s="64"/>
      <c r="S513" s="64"/>
      <c r="T513" s="64"/>
      <c r="U513" s="64"/>
      <c r="V513" s="64"/>
      <c r="W513" s="64"/>
      <c r="X513" s="64"/>
      <c r="Y513" s="64"/>
      <c r="Z513" s="64"/>
      <c r="AA513" s="64"/>
      <c r="AB513" s="64"/>
      <c r="AC513" s="64"/>
      <c r="AD513" s="64"/>
      <c r="AE513" s="64"/>
      <c r="AF513" s="64"/>
      <c r="AG513" s="64"/>
      <c r="AH513" s="64"/>
    </row>
    <row r="514">
      <c r="A514" s="64"/>
      <c r="B514" s="64"/>
      <c r="C514" s="64"/>
      <c r="D514" s="64"/>
      <c r="E514" s="64"/>
      <c r="F514" s="64"/>
      <c r="G514" s="64"/>
      <c r="H514" s="64"/>
      <c r="I514" s="64"/>
      <c r="J514" s="64"/>
      <c r="K514" s="64"/>
      <c r="L514" s="64"/>
      <c r="M514" s="64"/>
      <c r="N514" s="64"/>
      <c r="O514" s="64"/>
      <c r="P514" s="64"/>
      <c r="Q514" s="64"/>
      <c r="R514" s="64"/>
      <c r="S514" s="64"/>
      <c r="T514" s="64"/>
      <c r="U514" s="64"/>
      <c r="V514" s="64"/>
      <c r="W514" s="64"/>
      <c r="X514" s="64"/>
      <c r="Y514" s="64"/>
      <c r="Z514" s="64"/>
      <c r="AA514" s="64"/>
      <c r="AB514" s="64"/>
      <c r="AC514" s="64"/>
      <c r="AD514" s="64"/>
      <c r="AE514" s="64"/>
      <c r="AF514" s="64"/>
      <c r="AG514" s="64"/>
      <c r="AH514" s="64"/>
    </row>
    <row r="515">
      <c r="A515" s="64"/>
      <c r="B515" s="64"/>
      <c r="C515" s="64"/>
      <c r="D515" s="64"/>
      <c r="E515" s="64"/>
      <c r="F515" s="64"/>
      <c r="G515" s="64"/>
      <c r="H515" s="64"/>
      <c r="I515" s="64"/>
      <c r="J515" s="64"/>
      <c r="K515" s="64"/>
      <c r="L515" s="64"/>
      <c r="M515" s="64"/>
      <c r="N515" s="64"/>
      <c r="O515" s="64"/>
      <c r="P515" s="64"/>
      <c r="Q515" s="64"/>
      <c r="R515" s="64"/>
      <c r="S515" s="64"/>
      <c r="T515" s="64"/>
      <c r="U515" s="64"/>
      <c r="V515" s="64"/>
      <c r="W515" s="64"/>
      <c r="X515" s="64"/>
      <c r="Y515" s="64"/>
      <c r="Z515" s="64"/>
      <c r="AA515" s="64"/>
      <c r="AB515" s="64"/>
      <c r="AC515" s="64"/>
      <c r="AD515" s="64"/>
      <c r="AE515" s="64"/>
      <c r="AF515" s="64"/>
      <c r="AG515" s="64"/>
      <c r="AH515" s="64"/>
    </row>
    <row r="516">
      <c r="A516" s="64"/>
      <c r="B516" s="64"/>
      <c r="C516" s="64"/>
      <c r="D516" s="64"/>
      <c r="E516" s="64"/>
      <c r="F516" s="64"/>
      <c r="G516" s="64"/>
      <c r="H516" s="64"/>
      <c r="I516" s="64"/>
      <c r="J516" s="64"/>
      <c r="K516" s="64"/>
      <c r="L516" s="64"/>
      <c r="M516" s="64"/>
      <c r="N516" s="64"/>
      <c r="O516" s="64"/>
      <c r="P516" s="64"/>
      <c r="Q516" s="64"/>
      <c r="R516" s="64"/>
      <c r="S516" s="64"/>
      <c r="T516" s="64"/>
      <c r="U516" s="64"/>
      <c r="V516" s="64"/>
      <c r="W516" s="64"/>
      <c r="X516" s="64"/>
      <c r="Y516" s="64"/>
      <c r="Z516" s="64"/>
      <c r="AA516" s="64"/>
      <c r="AB516" s="64"/>
      <c r="AC516" s="64"/>
      <c r="AD516" s="64"/>
      <c r="AE516" s="64"/>
      <c r="AF516" s="64"/>
      <c r="AG516" s="64"/>
      <c r="AH516" s="64"/>
    </row>
    <row r="517">
      <c r="A517" s="64"/>
      <c r="B517" s="64"/>
      <c r="C517" s="64"/>
      <c r="D517" s="64"/>
      <c r="E517" s="64"/>
      <c r="F517" s="64"/>
      <c r="G517" s="64"/>
      <c r="H517" s="64"/>
      <c r="I517" s="64"/>
      <c r="J517" s="64"/>
      <c r="K517" s="64"/>
      <c r="L517" s="64"/>
      <c r="M517" s="64"/>
      <c r="N517" s="64"/>
      <c r="O517" s="64"/>
      <c r="P517" s="64"/>
      <c r="Q517" s="64"/>
      <c r="R517" s="64"/>
      <c r="S517" s="64"/>
      <c r="T517" s="64"/>
      <c r="U517" s="64"/>
      <c r="V517" s="64"/>
      <c r="W517" s="64"/>
      <c r="X517" s="64"/>
      <c r="Y517" s="64"/>
      <c r="Z517" s="64"/>
      <c r="AA517" s="64"/>
      <c r="AB517" s="64"/>
      <c r="AC517" s="64"/>
      <c r="AD517" s="64"/>
      <c r="AE517" s="64"/>
      <c r="AF517" s="64"/>
      <c r="AG517" s="64"/>
      <c r="AH517" s="64"/>
    </row>
    <row r="518">
      <c r="A518" s="64"/>
      <c r="B518" s="64"/>
      <c r="C518" s="64"/>
      <c r="D518" s="64"/>
      <c r="E518" s="64"/>
      <c r="F518" s="64"/>
      <c r="G518" s="64"/>
      <c r="H518" s="64"/>
      <c r="I518" s="64"/>
      <c r="J518" s="64"/>
      <c r="K518" s="64"/>
      <c r="L518" s="64"/>
      <c r="M518" s="64"/>
      <c r="N518" s="64"/>
      <c r="O518" s="64"/>
      <c r="P518" s="64"/>
      <c r="Q518" s="64"/>
      <c r="R518" s="64"/>
      <c r="S518" s="64"/>
      <c r="T518" s="64"/>
      <c r="U518" s="64"/>
      <c r="V518" s="64"/>
      <c r="W518" s="64"/>
      <c r="X518" s="64"/>
      <c r="Y518" s="64"/>
      <c r="Z518" s="64"/>
      <c r="AA518" s="64"/>
      <c r="AB518" s="64"/>
      <c r="AC518" s="64"/>
      <c r="AD518" s="64"/>
      <c r="AE518" s="64"/>
      <c r="AF518" s="64"/>
      <c r="AG518" s="64"/>
      <c r="AH518" s="64"/>
    </row>
    <row r="519">
      <c r="A519" s="64"/>
      <c r="B519" s="64"/>
      <c r="C519" s="64"/>
      <c r="D519" s="64"/>
      <c r="E519" s="64"/>
      <c r="F519" s="64"/>
      <c r="G519" s="64"/>
      <c r="H519" s="64"/>
      <c r="I519" s="64"/>
      <c r="J519" s="64"/>
      <c r="K519" s="64"/>
      <c r="L519" s="64"/>
      <c r="M519" s="64"/>
      <c r="N519" s="64"/>
      <c r="O519" s="64"/>
      <c r="P519" s="64"/>
      <c r="Q519" s="64"/>
      <c r="R519" s="64"/>
      <c r="S519" s="64"/>
      <c r="T519" s="64"/>
      <c r="U519" s="64"/>
      <c r="V519" s="64"/>
      <c r="W519" s="64"/>
      <c r="X519" s="64"/>
      <c r="Y519" s="64"/>
      <c r="Z519" s="64"/>
      <c r="AA519" s="64"/>
      <c r="AB519" s="64"/>
      <c r="AC519" s="64"/>
      <c r="AD519" s="64"/>
      <c r="AE519" s="64"/>
      <c r="AF519" s="64"/>
      <c r="AG519" s="64"/>
      <c r="AH519" s="64"/>
    </row>
    <row r="520">
      <c r="A520" s="64"/>
      <c r="B520" s="64"/>
      <c r="C520" s="64"/>
      <c r="D520" s="64"/>
      <c r="E520" s="64"/>
      <c r="F520" s="64"/>
      <c r="G520" s="64"/>
      <c r="H520" s="64"/>
      <c r="I520" s="64"/>
      <c r="J520" s="64"/>
      <c r="K520" s="64"/>
      <c r="L520" s="64"/>
      <c r="M520" s="64"/>
      <c r="N520" s="64"/>
      <c r="O520" s="64"/>
      <c r="P520" s="64"/>
      <c r="Q520" s="64"/>
      <c r="R520" s="64"/>
      <c r="S520" s="64"/>
      <c r="T520" s="64"/>
      <c r="U520" s="64"/>
      <c r="V520" s="64"/>
      <c r="W520" s="64"/>
      <c r="X520" s="64"/>
      <c r="Y520" s="64"/>
      <c r="Z520" s="64"/>
      <c r="AA520" s="64"/>
      <c r="AB520" s="64"/>
      <c r="AC520" s="64"/>
      <c r="AD520" s="64"/>
      <c r="AE520" s="64"/>
      <c r="AF520" s="64"/>
      <c r="AG520" s="64"/>
      <c r="AH520" s="64"/>
    </row>
    <row r="521">
      <c r="A521" s="64"/>
      <c r="B521" s="64"/>
      <c r="C521" s="64"/>
      <c r="D521" s="64"/>
      <c r="E521" s="64"/>
      <c r="F521" s="64"/>
      <c r="G521" s="64"/>
      <c r="H521" s="64"/>
      <c r="I521" s="64"/>
      <c r="J521" s="64"/>
      <c r="K521" s="64"/>
      <c r="L521" s="64"/>
      <c r="M521" s="64"/>
      <c r="N521" s="64"/>
      <c r="O521" s="64"/>
      <c r="P521" s="64"/>
      <c r="Q521" s="64"/>
      <c r="R521" s="64"/>
      <c r="S521" s="64"/>
      <c r="T521" s="64"/>
      <c r="U521" s="64"/>
      <c r="V521" s="64"/>
      <c r="W521" s="64"/>
      <c r="X521" s="64"/>
      <c r="Y521" s="64"/>
      <c r="Z521" s="64"/>
      <c r="AA521" s="64"/>
      <c r="AB521" s="64"/>
      <c r="AC521" s="64"/>
      <c r="AD521" s="64"/>
      <c r="AE521" s="64"/>
      <c r="AF521" s="64"/>
      <c r="AG521" s="64"/>
      <c r="AH521" s="64"/>
    </row>
    <row r="522">
      <c r="A522" s="64"/>
      <c r="B522" s="64"/>
      <c r="C522" s="64"/>
      <c r="D522" s="64"/>
      <c r="E522" s="64"/>
      <c r="F522" s="64"/>
      <c r="G522" s="64"/>
      <c r="H522" s="64"/>
      <c r="I522" s="64"/>
      <c r="J522" s="64"/>
      <c r="K522" s="64"/>
      <c r="L522" s="64"/>
      <c r="M522" s="64"/>
      <c r="N522" s="64"/>
      <c r="O522" s="64"/>
      <c r="P522" s="64"/>
      <c r="Q522" s="64"/>
      <c r="R522" s="64"/>
      <c r="S522" s="64"/>
      <c r="T522" s="64"/>
      <c r="U522" s="64"/>
      <c r="V522" s="64"/>
      <c r="W522" s="64"/>
      <c r="X522" s="64"/>
      <c r="Y522" s="64"/>
      <c r="Z522" s="64"/>
      <c r="AA522" s="64"/>
      <c r="AB522" s="64"/>
      <c r="AC522" s="64"/>
      <c r="AD522" s="64"/>
      <c r="AE522" s="64"/>
      <c r="AF522" s="64"/>
      <c r="AG522" s="64"/>
      <c r="AH522" s="64"/>
    </row>
    <row r="523">
      <c r="A523" s="64"/>
      <c r="B523" s="64"/>
      <c r="C523" s="64"/>
      <c r="D523" s="64"/>
      <c r="E523" s="64"/>
      <c r="F523" s="64"/>
      <c r="G523" s="64"/>
      <c r="H523" s="64"/>
      <c r="I523" s="64"/>
      <c r="J523" s="64"/>
      <c r="K523" s="64"/>
      <c r="L523" s="64"/>
      <c r="M523" s="64"/>
      <c r="N523" s="64"/>
      <c r="O523" s="64"/>
      <c r="P523" s="64"/>
      <c r="Q523" s="64"/>
      <c r="R523" s="64"/>
      <c r="S523" s="64"/>
      <c r="T523" s="64"/>
      <c r="U523" s="64"/>
      <c r="V523" s="64"/>
      <c r="W523" s="64"/>
      <c r="X523" s="64"/>
      <c r="Y523" s="64"/>
      <c r="Z523" s="64"/>
      <c r="AA523" s="64"/>
      <c r="AB523" s="64"/>
      <c r="AC523" s="64"/>
      <c r="AD523" s="64"/>
      <c r="AE523" s="64"/>
      <c r="AF523" s="64"/>
      <c r="AG523" s="64"/>
      <c r="AH523" s="64"/>
    </row>
    <row r="524">
      <c r="A524" s="64"/>
      <c r="B524" s="64"/>
      <c r="C524" s="64"/>
      <c r="D524" s="64"/>
      <c r="E524" s="64"/>
      <c r="F524" s="64"/>
      <c r="G524" s="64"/>
      <c r="H524" s="64"/>
      <c r="I524" s="64"/>
      <c r="J524" s="64"/>
      <c r="K524" s="64"/>
      <c r="L524" s="64"/>
      <c r="M524" s="64"/>
      <c r="N524" s="64"/>
      <c r="O524" s="64"/>
      <c r="P524" s="64"/>
      <c r="Q524" s="64"/>
      <c r="R524" s="64"/>
      <c r="S524" s="64"/>
      <c r="T524" s="64"/>
      <c r="U524" s="64"/>
      <c r="V524" s="64"/>
      <c r="W524" s="64"/>
      <c r="X524" s="64"/>
      <c r="Y524" s="64"/>
      <c r="Z524" s="64"/>
      <c r="AA524" s="64"/>
      <c r="AB524" s="64"/>
      <c r="AC524" s="64"/>
      <c r="AD524" s="64"/>
      <c r="AE524" s="64"/>
      <c r="AF524" s="64"/>
      <c r="AG524" s="64"/>
      <c r="AH524" s="64"/>
    </row>
    <row r="525">
      <c r="A525" s="64"/>
      <c r="B525" s="64"/>
      <c r="C525" s="64"/>
      <c r="D525" s="64"/>
      <c r="E525" s="64"/>
      <c r="F525" s="64"/>
      <c r="G525" s="64"/>
      <c r="H525" s="64"/>
      <c r="I525" s="64"/>
      <c r="J525" s="64"/>
      <c r="K525" s="64"/>
      <c r="L525" s="64"/>
      <c r="M525" s="64"/>
      <c r="N525" s="64"/>
      <c r="O525" s="64"/>
      <c r="P525" s="64"/>
      <c r="Q525" s="64"/>
      <c r="R525" s="64"/>
      <c r="S525" s="64"/>
      <c r="T525" s="64"/>
      <c r="U525" s="64"/>
      <c r="V525" s="64"/>
      <c r="W525" s="64"/>
      <c r="X525" s="64"/>
      <c r="Y525" s="64"/>
      <c r="Z525" s="64"/>
      <c r="AA525" s="64"/>
      <c r="AB525" s="64"/>
      <c r="AC525" s="64"/>
      <c r="AD525" s="64"/>
      <c r="AE525" s="64"/>
      <c r="AF525" s="64"/>
      <c r="AG525" s="64"/>
      <c r="AH525" s="64"/>
    </row>
    <row r="526">
      <c r="A526" s="64"/>
      <c r="B526" s="64"/>
      <c r="C526" s="64"/>
      <c r="D526" s="64"/>
      <c r="E526" s="64"/>
      <c r="F526" s="64"/>
      <c r="G526" s="64"/>
      <c r="H526" s="64"/>
      <c r="I526" s="64"/>
      <c r="J526" s="64"/>
      <c r="K526" s="64"/>
      <c r="L526" s="64"/>
      <c r="M526" s="64"/>
      <c r="N526" s="64"/>
      <c r="O526" s="64"/>
      <c r="P526" s="64"/>
      <c r="Q526" s="64"/>
      <c r="R526" s="64"/>
      <c r="S526" s="64"/>
      <c r="T526" s="64"/>
      <c r="U526" s="64"/>
      <c r="V526" s="64"/>
      <c r="W526" s="64"/>
      <c r="X526" s="64"/>
      <c r="Y526" s="64"/>
      <c r="Z526" s="64"/>
      <c r="AA526" s="64"/>
      <c r="AB526" s="64"/>
      <c r="AC526" s="64"/>
      <c r="AD526" s="64"/>
      <c r="AE526" s="64"/>
      <c r="AF526" s="64"/>
      <c r="AG526" s="64"/>
      <c r="AH526" s="64"/>
    </row>
    <row r="527">
      <c r="A527" s="64"/>
      <c r="B527" s="64"/>
      <c r="C527" s="64"/>
      <c r="D527" s="64"/>
      <c r="E527" s="64"/>
      <c r="F527" s="64"/>
      <c r="G527" s="64"/>
      <c r="H527" s="64"/>
      <c r="I527" s="64"/>
      <c r="J527" s="64"/>
      <c r="K527" s="64"/>
      <c r="L527" s="64"/>
      <c r="M527" s="64"/>
      <c r="N527" s="64"/>
      <c r="O527" s="64"/>
      <c r="P527" s="64"/>
      <c r="Q527" s="64"/>
      <c r="R527" s="64"/>
      <c r="S527" s="64"/>
      <c r="T527" s="64"/>
      <c r="U527" s="64"/>
      <c r="V527" s="64"/>
      <c r="W527" s="64"/>
      <c r="X527" s="64"/>
      <c r="Y527" s="64"/>
      <c r="Z527" s="64"/>
      <c r="AA527" s="64"/>
      <c r="AB527" s="64"/>
      <c r="AC527" s="64"/>
      <c r="AD527" s="64"/>
      <c r="AE527" s="64"/>
      <c r="AF527" s="64"/>
      <c r="AG527" s="64"/>
      <c r="AH527" s="64"/>
    </row>
    <row r="528">
      <c r="A528" s="64"/>
      <c r="B528" s="64"/>
      <c r="C528" s="64"/>
      <c r="D528" s="64"/>
      <c r="E528" s="64"/>
      <c r="F528" s="64"/>
      <c r="G528" s="64"/>
      <c r="H528" s="64"/>
      <c r="I528" s="64"/>
      <c r="J528" s="64"/>
      <c r="K528" s="64"/>
      <c r="L528" s="64"/>
      <c r="M528" s="64"/>
      <c r="N528" s="64"/>
      <c r="O528" s="64"/>
      <c r="P528" s="64"/>
      <c r="Q528" s="64"/>
      <c r="R528" s="64"/>
      <c r="S528" s="64"/>
      <c r="T528" s="64"/>
      <c r="U528" s="64"/>
      <c r="V528" s="64"/>
      <c r="W528" s="64"/>
      <c r="X528" s="64"/>
      <c r="Y528" s="64"/>
      <c r="Z528" s="64"/>
      <c r="AA528" s="64"/>
      <c r="AB528" s="64"/>
      <c r="AC528" s="64"/>
      <c r="AD528" s="64"/>
      <c r="AE528" s="64"/>
      <c r="AF528" s="64"/>
      <c r="AG528" s="64"/>
      <c r="AH528" s="64"/>
    </row>
    <row r="529">
      <c r="A529" s="64"/>
      <c r="B529" s="64"/>
      <c r="C529" s="64"/>
      <c r="D529" s="64"/>
      <c r="E529" s="64"/>
      <c r="F529" s="64"/>
      <c r="G529" s="64"/>
      <c r="H529" s="64"/>
      <c r="I529" s="64"/>
      <c r="J529" s="64"/>
      <c r="K529" s="64"/>
      <c r="L529" s="64"/>
      <c r="M529" s="64"/>
      <c r="N529" s="64"/>
      <c r="O529" s="64"/>
      <c r="P529" s="64"/>
      <c r="Q529" s="64"/>
      <c r="R529" s="64"/>
      <c r="S529" s="64"/>
      <c r="T529" s="64"/>
      <c r="U529" s="64"/>
      <c r="V529" s="64"/>
      <c r="W529" s="64"/>
      <c r="X529" s="64"/>
      <c r="Y529" s="64"/>
      <c r="Z529" s="64"/>
      <c r="AA529" s="64"/>
      <c r="AB529" s="64"/>
      <c r="AC529" s="64"/>
      <c r="AD529" s="64"/>
      <c r="AE529" s="64"/>
      <c r="AF529" s="64"/>
      <c r="AG529" s="64"/>
      <c r="AH529" s="64"/>
    </row>
    <row r="530">
      <c r="A530" s="64"/>
      <c r="B530" s="64"/>
      <c r="C530" s="64"/>
      <c r="D530" s="64"/>
      <c r="E530" s="64"/>
      <c r="F530" s="64"/>
      <c r="G530" s="64"/>
      <c r="H530" s="64"/>
      <c r="I530" s="64"/>
      <c r="J530" s="64"/>
      <c r="K530" s="64"/>
      <c r="L530" s="64"/>
      <c r="M530" s="64"/>
      <c r="N530" s="64"/>
      <c r="O530" s="64"/>
      <c r="P530" s="64"/>
      <c r="Q530" s="64"/>
      <c r="R530" s="64"/>
      <c r="S530" s="64"/>
      <c r="T530" s="64"/>
      <c r="U530" s="64"/>
      <c r="V530" s="64"/>
      <c r="W530" s="64"/>
      <c r="X530" s="64"/>
      <c r="Y530" s="64"/>
      <c r="Z530" s="64"/>
      <c r="AA530" s="64"/>
      <c r="AB530" s="64"/>
      <c r="AC530" s="64"/>
      <c r="AD530" s="64"/>
      <c r="AE530" s="64"/>
      <c r="AF530" s="64"/>
      <c r="AG530" s="64"/>
      <c r="AH530" s="64"/>
    </row>
    <row r="531">
      <c r="A531" s="64"/>
      <c r="B531" s="64"/>
      <c r="C531" s="64"/>
      <c r="D531" s="64"/>
      <c r="E531" s="64"/>
      <c r="F531" s="64"/>
      <c r="G531" s="64"/>
      <c r="H531" s="64"/>
      <c r="I531" s="64"/>
      <c r="J531" s="64"/>
      <c r="K531" s="64"/>
      <c r="L531" s="64"/>
      <c r="M531" s="64"/>
      <c r="N531" s="64"/>
      <c r="O531" s="64"/>
      <c r="P531" s="64"/>
      <c r="Q531" s="64"/>
      <c r="R531" s="64"/>
      <c r="S531" s="64"/>
      <c r="T531" s="64"/>
      <c r="U531" s="64"/>
      <c r="V531" s="64"/>
      <c r="W531" s="64"/>
      <c r="X531" s="64"/>
      <c r="Y531" s="64"/>
      <c r="Z531" s="64"/>
      <c r="AA531" s="64"/>
      <c r="AB531" s="64"/>
      <c r="AC531" s="64"/>
      <c r="AD531" s="64"/>
      <c r="AE531" s="64"/>
      <c r="AF531" s="64"/>
      <c r="AG531" s="64"/>
      <c r="AH531" s="64"/>
    </row>
    <row r="532">
      <c r="A532" s="64"/>
      <c r="B532" s="64"/>
      <c r="C532" s="64"/>
      <c r="D532" s="64"/>
      <c r="E532" s="64"/>
      <c r="F532" s="64"/>
      <c r="G532" s="64"/>
      <c r="H532" s="64"/>
      <c r="I532" s="64"/>
      <c r="J532" s="64"/>
      <c r="K532" s="64"/>
      <c r="L532" s="64"/>
      <c r="M532" s="64"/>
      <c r="N532" s="64"/>
      <c r="O532" s="64"/>
      <c r="P532" s="64"/>
      <c r="Q532" s="64"/>
      <c r="R532" s="64"/>
      <c r="S532" s="64"/>
      <c r="T532" s="64"/>
      <c r="U532" s="64"/>
      <c r="V532" s="64"/>
      <c r="W532" s="64"/>
      <c r="X532" s="64"/>
      <c r="Y532" s="64"/>
      <c r="Z532" s="64"/>
      <c r="AA532" s="64"/>
      <c r="AB532" s="64"/>
      <c r="AC532" s="64"/>
      <c r="AD532" s="64"/>
      <c r="AE532" s="64"/>
      <c r="AF532" s="64"/>
      <c r="AG532" s="64"/>
      <c r="AH532" s="64"/>
    </row>
    <row r="533">
      <c r="A533" s="64"/>
      <c r="B533" s="64"/>
      <c r="C533" s="64"/>
      <c r="D533" s="64"/>
      <c r="E533" s="64"/>
      <c r="F533" s="64"/>
      <c r="G533" s="64"/>
      <c r="H533" s="64"/>
      <c r="I533" s="64"/>
      <c r="J533" s="64"/>
      <c r="K533" s="64"/>
      <c r="L533" s="64"/>
      <c r="M533" s="64"/>
      <c r="N533" s="64"/>
      <c r="O533" s="64"/>
      <c r="P533" s="64"/>
      <c r="Q533" s="64"/>
      <c r="R533" s="64"/>
      <c r="S533" s="64"/>
      <c r="T533" s="64"/>
      <c r="U533" s="64"/>
      <c r="V533" s="64"/>
      <c r="W533" s="64"/>
      <c r="X533" s="64"/>
      <c r="Y533" s="64"/>
      <c r="Z533" s="64"/>
      <c r="AA533" s="64"/>
      <c r="AB533" s="64"/>
      <c r="AC533" s="64"/>
      <c r="AD533" s="64"/>
      <c r="AE533" s="64"/>
      <c r="AF533" s="64"/>
      <c r="AG533" s="64"/>
      <c r="AH533" s="64"/>
    </row>
    <row r="534">
      <c r="A534" s="64"/>
      <c r="B534" s="64"/>
      <c r="C534" s="64"/>
      <c r="D534" s="64"/>
      <c r="E534" s="64"/>
      <c r="F534" s="64"/>
      <c r="G534" s="64"/>
      <c r="H534" s="64"/>
      <c r="I534" s="64"/>
      <c r="J534" s="64"/>
      <c r="K534" s="64"/>
      <c r="L534" s="64"/>
      <c r="M534" s="64"/>
      <c r="N534" s="64"/>
      <c r="O534" s="64"/>
      <c r="P534" s="64"/>
      <c r="Q534" s="64"/>
      <c r="R534" s="64"/>
      <c r="S534" s="64"/>
      <c r="T534" s="64"/>
      <c r="U534" s="64"/>
      <c r="V534" s="64"/>
      <c r="W534" s="64"/>
      <c r="X534" s="64"/>
      <c r="Y534" s="64"/>
      <c r="Z534" s="64"/>
      <c r="AA534" s="64"/>
      <c r="AB534" s="64"/>
      <c r="AC534" s="64"/>
      <c r="AD534" s="64"/>
      <c r="AE534" s="64"/>
      <c r="AF534" s="64"/>
      <c r="AG534" s="64"/>
      <c r="AH534" s="64"/>
    </row>
    <row r="535">
      <c r="A535" s="64"/>
      <c r="B535" s="64"/>
      <c r="C535" s="64"/>
      <c r="D535" s="64"/>
      <c r="E535" s="64"/>
      <c r="F535" s="64"/>
      <c r="G535" s="64"/>
      <c r="H535" s="64"/>
      <c r="I535" s="64"/>
      <c r="J535" s="64"/>
      <c r="K535" s="64"/>
      <c r="L535" s="64"/>
      <c r="M535" s="64"/>
      <c r="N535" s="64"/>
      <c r="O535" s="64"/>
      <c r="P535" s="64"/>
      <c r="Q535" s="64"/>
      <c r="R535" s="64"/>
      <c r="S535" s="64"/>
      <c r="T535" s="64"/>
      <c r="U535" s="64"/>
      <c r="V535" s="64"/>
      <c r="W535" s="64"/>
      <c r="X535" s="64"/>
      <c r="Y535" s="64"/>
      <c r="Z535" s="64"/>
      <c r="AA535" s="64"/>
      <c r="AB535" s="64"/>
      <c r="AC535" s="64"/>
      <c r="AD535" s="64"/>
      <c r="AE535" s="64"/>
      <c r="AF535" s="64"/>
      <c r="AG535" s="64"/>
      <c r="AH535" s="64"/>
    </row>
    <row r="536">
      <c r="A536" s="64"/>
      <c r="B536" s="64"/>
      <c r="C536" s="64"/>
      <c r="D536" s="64"/>
      <c r="E536" s="64"/>
      <c r="F536" s="64"/>
      <c r="G536" s="64"/>
      <c r="H536" s="64"/>
      <c r="I536" s="64"/>
      <c r="J536" s="64"/>
      <c r="K536" s="64"/>
      <c r="L536" s="64"/>
      <c r="M536" s="64"/>
      <c r="N536" s="64"/>
      <c r="O536" s="64"/>
      <c r="P536" s="64"/>
      <c r="Q536" s="64"/>
      <c r="R536" s="64"/>
      <c r="S536" s="64"/>
      <c r="T536" s="64"/>
      <c r="U536" s="64"/>
      <c r="V536" s="64"/>
      <c r="W536" s="64"/>
      <c r="X536" s="64"/>
      <c r="Y536" s="64"/>
      <c r="Z536" s="64"/>
      <c r="AA536" s="64"/>
      <c r="AB536" s="64"/>
      <c r="AC536" s="64"/>
      <c r="AD536" s="64"/>
      <c r="AE536" s="64"/>
      <c r="AF536" s="64"/>
      <c r="AG536" s="64"/>
      <c r="AH536" s="64"/>
    </row>
    <row r="537">
      <c r="A537" s="64"/>
      <c r="B537" s="64"/>
      <c r="C537" s="64"/>
      <c r="D537" s="64"/>
      <c r="E537" s="64"/>
      <c r="F537" s="64"/>
      <c r="G537" s="64"/>
      <c r="H537" s="64"/>
      <c r="I537" s="64"/>
      <c r="J537" s="64"/>
      <c r="K537" s="64"/>
      <c r="L537" s="64"/>
      <c r="M537" s="64"/>
      <c r="N537" s="64"/>
      <c r="O537" s="64"/>
      <c r="P537" s="64"/>
      <c r="Q537" s="64"/>
      <c r="R537" s="64"/>
      <c r="S537" s="64"/>
      <c r="T537" s="64"/>
      <c r="U537" s="64"/>
      <c r="V537" s="64"/>
      <c r="W537" s="64"/>
      <c r="X537" s="64"/>
      <c r="Y537" s="64"/>
      <c r="Z537" s="64"/>
      <c r="AA537" s="64"/>
      <c r="AB537" s="64"/>
      <c r="AC537" s="64"/>
      <c r="AD537" s="64"/>
      <c r="AE537" s="64"/>
      <c r="AF537" s="64"/>
      <c r="AG537" s="64"/>
      <c r="AH537" s="64"/>
    </row>
    <row r="538">
      <c r="A538" s="64"/>
      <c r="B538" s="64"/>
      <c r="C538" s="64"/>
      <c r="D538" s="64"/>
      <c r="E538" s="64"/>
      <c r="F538" s="64"/>
      <c r="G538" s="64"/>
      <c r="H538" s="64"/>
      <c r="I538" s="64"/>
      <c r="J538" s="64"/>
      <c r="K538" s="64"/>
      <c r="L538" s="64"/>
      <c r="M538" s="64"/>
      <c r="N538" s="64"/>
      <c r="O538" s="64"/>
      <c r="P538" s="64"/>
      <c r="Q538" s="64"/>
      <c r="R538" s="64"/>
      <c r="S538" s="64"/>
      <c r="T538" s="64"/>
      <c r="U538" s="64"/>
      <c r="V538" s="64"/>
      <c r="W538" s="64"/>
      <c r="X538" s="64"/>
      <c r="Y538" s="64"/>
      <c r="Z538" s="64"/>
      <c r="AA538" s="64"/>
      <c r="AB538" s="64"/>
      <c r="AC538" s="64"/>
      <c r="AD538" s="64"/>
      <c r="AE538" s="64"/>
      <c r="AF538" s="64"/>
      <c r="AG538" s="64"/>
      <c r="AH538" s="64"/>
    </row>
    <row r="539">
      <c r="A539" s="64"/>
      <c r="B539" s="64"/>
      <c r="C539" s="64"/>
      <c r="D539" s="64"/>
      <c r="E539" s="64"/>
      <c r="F539" s="64"/>
      <c r="G539" s="64"/>
      <c r="H539" s="64"/>
      <c r="I539" s="64"/>
      <c r="J539" s="64"/>
      <c r="K539" s="64"/>
      <c r="L539" s="64"/>
      <c r="M539" s="64"/>
      <c r="N539" s="64"/>
      <c r="O539" s="64"/>
      <c r="P539" s="64"/>
      <c r="Q539" s="64"/>
      <c r="R539" s="64"/>
      <c r="S539" s="64"/>
      <c r="T539" s="64"/>
      <c r="U539" s="64"/>
      <c r="V539" s="64"/>
      <c r="W539" s="64"/>
      <c r="X539" s="64"/>
      <c r="Y539" s="64"/>
      <c r="Z539" s="64"/>
      <c r="AA539" s="64"/>
      <c r="AB539" s="64"/>
      <c r="AC539" s="64"/>
      <c r="AD539" s="64"/>
      <c r="AE539" s="64"/>
      <c r="AF539" s="64"/>
      <c r="AG539" s="64"/>
      <c r="AH539" s="64"/>
    </row>
    <row r="540">
      <c r="A540" s="64"/>
      <c r="B540" s="64"/>
      <c r="C540" s="64"/>
      <c r="D540" s="64"/>
      <c r="E540" s="64"/>
      <c r="F540" s="64"/>
      <c r="G540" s="64"/>
      <c r="H540" s="64"/>
      <c r="I540" s="64"/>
      <c r="J540" s="64"/>
      <c r="K540" s="64"/>
      <c r="L540" s="64"/>
      <c r="M540" s="64"/>
      <c r="N540" s="64"/>
      <c r="O540" s="64"/>
      <c r="P540" s="64"/>
      <c r="Q540" s="64"/>
      <c r="R540" s="64"/>
      <c r="S540" s="64"/>
      <c r="T540" s="64"/>
      <c r="U540" s="64"/>
      <c r="V540" s="64"/>
      <c r="W540" s="64"/>
      <c r="X540" s="64"/>
      <c r="Y540" s="64"/>
      <c r="Z540" s="64"/>
      <c r="AA540" s="64"/>
      <c r="AB540" s="64"/>
      <c r="AC540" s="64"/>
      <c r="AD540" s="64"/>
      <c r="AE540" s="64"/>
      <c r="AF540" s="64"/>
      <c r="AG540" s="64"/>
      <c r="AH540" s="64"/>
    </row>
    <row r="541">
      <c r="A541" s="64"/>
      <c r="B541" s="64"/>
      <c r="C541" s="64"/>
      <c r="D541" s="64"/>
      <c r="E541" s="64"/>
      <c r="F541" s="64"/>
      <c r="G541" s="64"/>
      <c r="H541" s="64"/>
      <c r="I541" s="64"/>
      <c r="J541" s="64"/>
      <c r="K541" s="64"/>
      <c r="L541" s="64"/>
      <c r="M541" s="64"/>
      <c r="N541" s="64"/>
      <c r="O541" s="64"/>
      <c r="P541" s="64"/>
      <c r="Q541" s="64"/>
      <c r="R541" s="64"/>
      <c r="S541" s="64"/>
      <c r="T541" s="64"/>
      <c r="U541" s="64"/>
      <c r="V541" s="64"/>
      <c r="W541" s="64"/>
      <c r="X541" s="64"/>
      <c r="Y541" s="64"/>
      <c r="Z541" s="64"/>
      <c r="AA541" s="64"/>
      <c r="AB541" s="64"/>
      <c r="AC541" s="64"/>
      <c r="AD541" s="64"/>
      <c r="AE541" s="64"/>
      <c r="AF541" s="64"/>
      <c r="AG541" s="64"/>
      <c r="AH541" s="64"/>
    </row>
    <row r="542">
      <c r="A542" s="64"/>
      <c r="B542" s="64"/>
      <c r="C542" s="64"/>
      <c r="D542" s="64"/>
      <c r="E542" s="64"/>
      <c r="F542" s="64"/>
      <c r="G542" s="64"/>
      <c r="H542" s="64"/>
      <c r="I542" s="64"/>
      <c r="J542" s="64"/>
      <c r="K542" s="64"/>
      <c r="L542" s="64"/>
      <c r="M542" s="64"/>
      <c r="N542" s="64"/>
      <c r="O542" s="64"/>
      <c r="P542" s="64"/>
      <c r="Q542" s="64"/>
      <c r="R542" s="64"/>
      <c r="S542" s="64"/>
      <c r="T542" s="64"/>
      <c r="U542" s="64"/>
      <c r="V542" s="64"/>
      <c r="W542" s="64"/>
      <c r="X542" s="64"/>
      <c r="Y542" s="64"/>
      <c r="Z542" s="64"/>
      <c r="AA542" s="64"/>
      <c r="AB542" s="64"/>
      <c r="AC542" s="64"/>
      <c r="AD542" s="64"/>
      <c r="AE542" s="64"/>
      <c r="AF542" s="64"/>
      <c r="AG542" s="64"/>
      <c r="AH542" s="64"/>
    </row>
    <row r="543">
      <c r="A543" s="64"/>
      <c r="B543" s="64"/>
      <c r="C543" s="64"/>
      <c r="D543" s="64"/>
      <c r="E543" s="64"/>
      <c r="F543" s="64"/>
      <c r="G543" s="64"/>
      <c r="H543" s="64"/>
      <c r="I543" s="64"/>
      <c r="J543" s="64"/>
      <c r="K543" s="64"/>
      <c r="L543" s="64"/>
      <c r="M543" s="64"/>
      <c r="N543" s="64"/>
      <c r="O543" s="64"/>
      <c r="P543" s="64"/>
      <c r="Q543" s="64"/>
      <c r="R543" s="64"/>
      <c r="S543" s="64"/>
      <c r="T543" s="64"/>
      <c r="U543" s="64"/>
      <c r="V543" s="64"/>
      <c r="W543" s="64"/>
      <c r="X543" s="64"/>
      <c r="Y543" s="64"/>
      <c r="Z543" s="64"/>
      <c r="AA543" s="64"/>
      <c r="AB543" s="64"/>
      <c r="AC543" s="64"/>
      <c r="AD543" s="64"/>
      <c r="AE543" s="64"/>
      <c r="AF543" s="64"/>
      <c r="AG543" s="64"/>
      <c r="AH543" s="64"/>
    </row>
    <row r="544">
      <c r="A544" s="64"/>
      <c r="B544" s="64"/>
      <c r="C544" s="64"/>
      <c r="D544" s="64"/>
      <c r="E544" s="64"/>
      <c r="F544" s="64"/>
      <c r="G544" s="64"/>
      <c r="H544" s="64"/>
      <c r="I544" s="64"/>
      <c r="J544" s="64"/>
      <c r="K544" s="64"/>
      <c r="L544" s="64"/>
      <c r="M544" s="64"/>
      <c r="N544" s="64"/>
      <c r="O544" s="64"/>
      <c r="P544" s="64"/>
      <c r="Q544" s="64"/>
      <c r="R544" s="64"/>
      <c r="S544" s="64"/>
      <c r="T544" s="64"/>
      <c r="U544" s="64"/>
      <c r="V544" s="64"/>
      <c r="W544" s="64"/>
      <c r="X544" s="64"/>
      <c r="Y544" s="64"/>
      <c r="Z544" s="64"/>
      <c r="AA544" s="64"/>
      <c r="AB544" s="64"/>
      <c r="AC544" s="64"/>
      <c r="AD544" s="64"/>
      <c r="AE544" s="64"/>
      <c r="AF544" s="64"/>
      <c r="AG544" s="64"/>
      <c r="AH544" s="64"/>
    </row>
    <row r="545">
      <c r="A545" s="64"/>
      <c r="B545" s="64"/>
      <c r="C545" s="64"/>
      <c r="D545" s="64"/>
      <c r="E545" s="64"/>
      <c r="F545" s="64"/>
      <c r="G545" s="64"/>
      <c r="H545" s="64"/>
      <c r="I545" s="64"/>
      <c r="J545" s="64"/>
      <c r="K545" s="64"/>
      <c r="L545" s="64"/>
      <c r="M545" s="64"/>
      <c r="N545" s="64"/>
      <c r="O545" s="64"/>
      <c r="P545" s="64"/>
      <c r="Q545" s="64"/>
      <c r="R545" s="64"/>
      <c r="S545" s="64"/>
      <c r="T545" s="64"/>
      <c r="U545" s="64"/>
      <c r="V545" s="64"/>
      <c r="W545" s="64"/>
      <c r="X545" s="64"/>
      <c r="Y545" s="64"/>
      <c r="Z545" s="64"/>
      <c r="AA545" s="64"/>
      <c r="AB545" s="64"/>
      <c r="AC545" s="64"/>
      <c r="AD545" s="64"/>
      <c r="AE545" s="64"/>
      <c r="AF545" s="64"/>
      <c r="AG545" s="64"/>
      <c r="AH545" s="64"/>
    </row>
    <row r="546">
      <c r="A546" s="64"/>
      <c r="B546" s="64"/>
      <c r="C546" s="64"/>
      <c r="D546" s="64"/>
      <c r="E546" s="64"/>
      <c r="F546" s="64"/>
      <c r="G546" s="64"/>
      <c r="H546" s="64"/>
      <c r="I546" s="64"/>
      <c r="J546" s="64"/>
      <c r="K546" s="64"/>
      <c r="L546" s="64"/>
      <c r="M546" s="64"/>
      <c r="N546" s="64"/>
      <c r="O546" s="64"/>
      <c r="P546" s="64"/>
      <c r="Q546" s="64"/>
      <c r="R546" s="64"/>
      <c r="S546" s="64"/>
      <c r="T546" s="64"/>
      <c r="U546" s="64"/>
      <c r="V546" s="64"/>
      <c r="W546" s="64"/>
      <c r="X546" s="64"/>
      <c r="Y546" s="64"/>
      <c r="Z546" s="64"/>
      <c r="AA546" s="64"/>
      <c r="AB546" s="64"/>
      <c r="AC546" s="64"/>
      <c r="AD546" s="64"/>
      <c r="AE546" s="64"/>
      <c r="AF546" s="64"/>
      <c r="AG546" s="64"/>
      <c r="AH546" s="64"/>
    </row>
    <row r="547">
      <c r="A547" s="64"/>
      <c r="B547" s="64"/>
      <c r="C547" s="64"/>
      <c r="D547" s="64"/>
      <c r="E547" s="64"/>
      <c r="F547" s="64"/>
      <c r="G547" s="64"/>
      <c r="H547" s="64"/>
      <c r="I547" s="64"/>
      <c r="J547" s="64"/>
      <c r="K547" s="64"/>
      <c r="L547" s="64"/>
      <c r="M547" s="64"/>
      <c r="N547" s="64"/>
      <c r="O547" s="64"/>
      <c r="P547" s="64"/>
      <c r="Q547" s="64"/>
      <c r="R547" s="64"/>
      <c r="S547" s="64"/>
      <c r="T547" s="64"/>
      <c r="U547" s="64"/>
      <c r="V547" s="64"/>
      <c r="W547" s="64"/>
      <c r="X547" s="64"/>
      <c r="Y547" s="64"/>
      <c r="Z547" s="64"/>
      <c r="AA547" s="64"/>
      <c r="AB547" s="64"/>
      <c r="AC547" s="64"/>
      <c r="AD547" s="64"/>
      <c r="AE547" s="64"/>
      <c r="AF547" s="64"/>
      <c r="AG547" s="64"/>
      <c r="AH547" s="64"/>
    </row>
    <row r="548">
      <c r="A548" s="64"/>
      <c r="B548" s="64"/>
      <c r="C548" s="64"/>
      <c r="D548" s="64"/>
      <c r="E548" s="64"/>
      <c r="F548" s="64"/>
      <c r="G548" s="64"/>
      <c r="H548" s="64"/>
      <c r="I548" s="64"/>
      <c r="J548" s="64"/>
      <c r="K548" s="64"/>
      <c r="L548" s="64"/>
      <c r="M548" s="64"/>
      <c r="N548" s="64"/>
      <c r="O548" s="64"/>
      <c r="P548" s="64"/>
      <c r="Q548" s="64"/>
      <c r="R548" s="64"/>
      <c r="S548" s="64"/>
      <c r="T548" s="64"/>
      <c r="U548" s="64"/>
      <c r="V548" s="64"/>
      <c r="W548" s="64"/>
      <c r="X548" s="64"/>
      <c r="Y548" s="64"/>
      <c r="Z548" s="64"/>
      <c r="AA548" s="64"/>
      <c r="AB548" s="64"/>
      <c r="AC548" s="64"/>
      <c r="AD548" s="64"/>
      <c r="AE548" s="64"/>
      <c r="AF548" s="64"/>
      <c r="AG548" s="64"/>
      <c r="AH548" s="64"/>
    </row>
    <row r="549">
      <c r="A549" s="64"/>
      <c r="B549" s="64"/>
      <c r="C549" s="64"/>
      <c r="D549" s="64"/>
      <c r="E549" s="64"/>
      <c r="F549" s="64"/>
      <c r="G549" s="64"/>
      <c r="H549" s="64"/>
      <c r="I549" s="64"/>
      <c r="J549" s="64"/>
      <c r="K549" s="64"/>
      <c r="L549" s="64"/>
      <c r="M549" s="64"/>
      <c r="N549" s="64"/>
      <c r="O549" s="64"/>
      <c r="P549" s="64"/>
      <c r="Q549" s="64"/>
      <c r="R549" s="64"/>
      <c r="S549" s="64"/>
      <c r="T549" s="64"/>
      <c r="U549" s="64"/>
      <c r="V549" s="64"/>
      <c r="W549" s="64"/>
      <c r="X549" s="64"/>
      <c r="Y549" s="64"/>
      <c r="Z549" s="64"/>
      <c r="AA549" s="64"/>
      <c r="AB549" s="64"/>
      <c r="AC549" s="64"/>
      <c r="AD549" s="64"/>
      <c r="AE549" s="64"/>
      <c r="AF549" s="64"/>
      <c r="AG549" s="64"/>
      <c r="AH549" s="64"/>
    </row>
    <row r="550">
      <c r="A550" s="64"/>
      <c r="B550" s="64"/>
      <c r="C550" s="64"/>
      <c r="D550" s="64"/>
      <c r="E550" s="64"/>
      <c r="F550" s="64"/>
      <c r="G550" s="64"/>
      <c r="H550" s="64"/>
      <c r="I550" s="64"/>
      <c r="J550" s="64"/>
      <c r="K550" s="64"/>
      <c r="L550" s="64"/>
      <c r="M550" s="64"/>
      <c r="N550" s="64"/>
      <c r="O550" s="64"/>
      <c r="P550" s="64"/>
      <c r="Q550" s="64"/>
      <c r="R550" s="64"/>
      <c r="S550" s="64"/>
      <c r="T550" s="64"/>
      <c r="U550" s="64"/>
      <c r="V550" s="64"/>
      <c r="W550" s="64"/>
      <c r="X550" s="64"/>
      <c r="Y550" s="64"/>
      <c r="Z550" s="64"/>
      <c r="AA550" s="64"/>
      <c r="AB550" s="64"/>
      <c r="AC550" s="64"/>
      <c r="AD550" s="64"/>
      <c r="AE550" s="64"/>
      <c r="AF550" s="64"/>
      <c r="AG550" s="64"/>
      <c r="AH550" s="64"/>
    </row>
    <row r="551">
      <c r="A551" s="64"/>
      <c r="B551" s="64"/>
      <c r="C551" s="64"/>
      <c r="D551" s="64"/>
      <c r="E551" s="64"/>
      <c r="F551" s="64"/>
      <c r="G551" s="64"/>
      <c r="H551" s="64"/>
      <c r="I551" s="64"/>
      <c r="J551" s="64"/>
      <c r="K551" s="64"/>
      <c r="L551" s="64"/>
      <c r="M551" s="64"/>
      <c r="N551" s="64"/>
      <c r="O551" s="64"/>
      <c r="P551" s="64"/>
      <c r="Q551" s="64"/>
      <c r="R551" s="64"/>
      <c r="S551" s="64"/>
      <c r="T551" s="64"/>
      <c r="U551" s="64"/>
      <c r="V551" s="64"/>
      <c r="W551" s="64"/>
      <c r="X551" s="64"/>
      <c r="Y551" s="64"/>
      <c r="Z551" s="64"/>
      <c r="AA551" s="64"/>
      <c r="AB551" s="64"/>
      <c r="AC551" s="64"/>
      <c r="AD551" s="64"/>
      <c r="AE551" s="64"/>
      <c r="AF551" s="64"/>
      <c r="AG551" s="64"/>
      <c r="AH551" s="64"/>
    </row>
    <row r="552">
      <c r="A552" s="64"/>
      <c r="B552" s="64"/>
      <c r="C552" s="64"/>
      <c r="D552" s="64"/>
      <c r="E552" s="64"/>
      <c r="F552" s="64"/>
      <c r="G552" s="64"/>
      <c r="H552" s="64"/>
      <c r="I552" s="64"/>
      <c r="J552" s="64"/>
      <c r="K552" s="64"/>
      <c r="L552" s="64"/>
      <c r="M552" s="64"/>
      <c r="N552" s="64"/>
      <c r="O552" s="64"/>
      <c r="P552" s="64"/>
      <c r="Q552" s="64"/>
      <c r="R552" s="64"/>
      <c r="S552" s="64"/>
      <c r="T552" s="64"/>
      <c r="U552" s="64"/>
      <c r="V552" s="64"/>
      <c r="W552" s="64"/>
      <c r="X552" s="64"/>
      <c r="Y552" s="64"/>
      <c r="Z552" s="64"/>
      <c r="AA552" s="64"/>
      <c r="AB552" s="64"/>
      <c r="AC552" s="64"/>
      <c r="AD552" s="64"/>
      <c r="AE552" s="64"/>
      <c r="AF552" s="64"/>
      <c r="AG552" s="64"/>
      <c r="AH552" s="64"/>
    </row>
    <row r="553">
      <c r="A553" s="64"/>
      <c r="B553" s="64"/>
      <c r="C553" s="64"/>
      <c r="D553" s="64"/>
      <c r="E553" s="64"/>
      <c r="F553" s="64"/>
      <c r="G553" s="64"/>
      <c r="H553" s="64"/>
      <c r="I553" s="64"/>
      <c r="J553" s="64"/>
      <c r="K553" s="64"/>
      <c r="L553" s="64"/>
      <c r="M553" s="64"/>
      <c r="N553" s="64"/>
      <c r="O553" s="64"/>
      <c r="P553" s="64"/>
      <c r="Q553" s="64"/>
      <c r="R553" s="64"/>
      <c r="S553" s="64"/>
      <c r="T553" s="64"/>
      <c r="U553" s="64"/>
      <c r="V553" s="64"/>
      <c r="W553" s="64"/>
      <c r="X553" s="64"/>
      <c r="Y553" s="64"/>
      <c r="Z553" s="64"/>
      <c r="AA553" s="64"/>
      <c r="AB553" s="64"/>
      <c r="AC553" s="64"/>
      <c r="AD553" s="64"/>
      <c r="AE553" s="64"/>
      <c r="AF553" s="64"/>
      <c r="AG553" s="64"/>
      <c r="AH553" s="64"/>
    </row>
    <row r="554">
      <c r="A554" s="64"/>
      <c r="B554" s="64"/>
      <c r="C554" s="64"/>
      <c r="D554" s="64"/>
      <c r="E554" s="64"/>
      <c r="F554" s="64"/>
      <c r="G554" s="64"/>
      <c r="H554" s="64"/>
      <c r="I554" s="64"/>
      <c r="J554" s="64"/>
      <c r="K554" s="64"/>
      <c r="L554" s="64"/>
      <c r="M554" s="64"/>
      <c r="N554" s="64"/>
      <c r="O554" s="64"/>
      <c r="P554" s="64"/>
      <c r="Q554" s="64"/>
      <c r="R554" s="64"/>
      <c r="S554" s="64"/>
      <c r="T554" s="64"/>
      <c r="U554" s="64"/>
      <c r="V554" s="64"/>
      <c r="W554" s="64"/>
      <c r="X554" s="64"/>
      <c r="Y554" s="64"/>
      <c r="Z554" s="64"/>
      <c r="AA554" s="64"/>
      <c r="AB554" s="64"/>
      <c r="AC554" s="64"/>
      <c r="AD554" s="64"/>
      <c r="AE554" s="64"/>
      <c r="AF554" s="64"/>
      <c r="AG554" s="64"/>
      <c r="AH554" s="64"/>
    </row>
    <row r="555">
      <c r="A555" s="64"/>
      <c r="B555" s="64"/>
      <c r="C555" s="64"/>
      <c r="D555" s="64"/>
      <c r="E555" s="64"/>
      <c r="F555" s="64"/>
      <c r="G555" s="64"/>
      <c r="H555" s="64"/>
      <c r="I555" s="64"/>
      <c r="J555" s="64"/>
      <c r="K555" s="64"/>
      <c r="L555" s="64"/>
      <c r="M555" s="64"/>
      <c r="N555" s="64"/>
      <c r="O555" s="64"/>
      <c r="P555" s="64"/>
      <c r="Q555" s="64"/>
      <c r="R555" s="64"/>
      <c r="S555" s="64"/>
      <c r="T555" s="64"/>
      <c r="U555" s="64"/>
      <c r="V555" s="64"/>
      <c r="W555" s="64"/>
      <c r="X555" s="64"/>
      <c r="Y555" s="64"/>
      <c r="Z555" s="64"/>
      <c r="AA555" s="64"/>
      <c r="AB555" s="64"/>
      <c r="AC555" s="64"/>
      <c r="AD555" s="64"/>
      <c r="AE555" s="64"/>
      <c r="AF555" s="64"/>
      <c r="AG555" s="64"/>
      <c r="AH555" s="64"/>
    </row>
    <row r="556">
      <c r="A556" s="64"/>
      <c r="B556" s="64"/>
      <c r="C556" s="64"/>
      <c r="D556" s="64"/>
      <c r="E556" s="64"/>
      <c r="F556" s="64"/>
      <c r="G556" s="64"/>
      <c r="H556" s="64"/>
      <c r="I556" s="64"/>
      <c r="J556" s="64"/>
      <c r="K556" s="64"/>
      <c r="L556" s="64"/>
      <c r="M556" s="64"/>
      <c r="N556" s="64"/>
      <c r="O556" s="64"/>
      <c r="P556" s="64"/>
      <c r="Q556" s="64"/>
      <c r="R556" s="64"/>
      <c r="S556" s="64"/>
      <c r="T556" s="64"/>
      <c r="U556" s="64"/>
      <c r="V556" s="64"/>
      <c r="W556" s="64"/>
      <c r="X556" s="64"/>
      <c r="Y556" s="64"/>
      <c r="Z556" s="64"/>
      <c r="AA556" s="64"/>
      <c r="AB556" s="64"/>
      <c r="AC556" s="64"/>
      <c r="AD556" s="64"/>
      <c r="AE556" s="64"/>
      <c r="AF556" s="64"/>
      <c r="AG556" s="64"/>
      <c r="AH556" s="64"/>
    </row>
    <row r="557">
      <c r="A557" s="64"/>
      <c r="B557" s="64"/>
      <c r="C557" s="64"/>
      <c r="D557" s="64"/>
      <c r="E557" s="64"/>
      <c r="F557" s="64"/>
      <c r="G557" s="64"/>
      <c r="H557" s="64"/>
      <c r="I557" s="64"/>
      <c r="J557" s="64"/>
      <c r="K557" s="64"/>
      <c r="L557" s="64"/>
      <c r="M557" s="64"/>
      <c r="N557" s="64"/>
      <c r="O557" s="64"/>
      <c r="P557" s="64"/>
      <c r="Q557" s="64"/>
      <c r="R557" s="64"/>
      <c r="S557" s="64"/>
      <c r="T557" s="64"/>
      <c r="U557" s="64"/>
      <c r="V557" s="64"/>
      <c r="W557" s="64"/>
      <c r="X557" s="64"/>
      <c r="Y557" s="64"/>
      <c r="Z557" s="64"/>
      <c r="AA557" s="64"/>
      <c r="AB557" s="64"/>
      <c r="AC557" s="64"/>
      <c r="AD557" s="64"/>
      <c r="AE557" s="64"/>
      <c r="AF557" s="64"/>
      <c r="AG557" s="64"/>
      <c r="AH557" s="64"/>
    </row>
    <row r="558">
      <c r="A558" s="64"/>
      <c r="B558" s="64"/>
      <c r="C558" s="64"/>
      <c r="D558" s="64"/>
      <c r="E558" s="64"/>
      <c r="F558" s="64"/>
      <c r="G558" s="64"/>
      <c r="H558" s="64"/>
      <c r="I558" s="64"/>
      <c r="J558" s="64"/>
      <c r="K558" s="64"/>
      <c r="L558" s="64"/>
      <c r="M558" s="64"/>
      <c r="N558" s="64"/>
      <c r="O558" s="64"/>
      <c r="P558" s="64"/>
      <c r="Q558" s="64"/>
      <c r="R558" s="64"/>
      <c r="S558" s="64"/>
      <c r="T558" s="64"/>
      <c r="U558" s="64"/>
      <c r="V558" s="64"/>
      <c r="W558" s="64"/>
      <c r="X558" s="64"/>
      <c r="Y558" s="64"/>
      <c r="Z558" s="64"/>
      <c r="AA558" s="64"/>
      <c r="AB558" s="64"/>
      <c r="AC558" s="64"/>
      <c r="AD558" s="64"/>
      <c r="AE558" s="64"/>
      <c r="AF558" s="64"/>
      <c r="AG558" s="64"/>
      <c r="AH558" s="64"/>
    </row>
    <row r="559">
      <c r="A559" s="64"/>
      <c r="B559" s="64"/>
      <c r="C559" s="64"/>
      <c r="D559" s="64"/>
      <c r="E559" s="64"/>
      <c r="F559" s="64"/>
      <c r="G559" s="64"/>
      <c r="H559" s="64"/>
      <c r="I559" s="64"/>
      <c r="J559" s="64"/>
      <c r="K559" s="64"/>
      <c r="L559" s="64"/>
      <c r="M559" s="64"/>
      <c r="N559" s="64"/>
      <c r="O559" s="64"/>
      <c r="P559" s="64"/>
      <c r="Q559" s="64"/>
      <c r="R559" s="64"/>
      <c r="S559" s="64"/>
      <c r="T559" s="64"/>
      <c r="U559" s="64"/>
      <c r="V559" s="64"/>
      <c r="W559" s="64"/>
      <c r="X559" s="64"/>
      <c r="Y559" s="64"/>
      <c r="Z559" s="64"/>
      <c r="AA559" s="64"/>
      <c r="AB559" s="64"/>
      <c r="AC559" s="64"/>
      <c r="AD559" s="64"/>
      <c r="AE559" s="64"/>
      <c r="AF559" s="64"/>
      <c r="AG559" s="64"/>
      <c r="AH559" s="64"/>
    </row>
    <row r="560">
      <c r="A560" s="64"/>
      <c r="B560" s="64"/>
      <c r="C560" s="64"/>
      <c r="D560" s="64"/>
      <c r="E560" s="64"/>
      <c r="F560" s="64"/>
      <c r="G560" s="64"/>
      <c r="H560" s="64"/>
      <c r="I560" s="64"/>
      <c r="J560" s="64"/>
      <c r="K560" s="64"/>
      <c r="L560" s="64"/>
      <c r="M560" s="64"/>
      <c r="N560" s="64"/>
      <c r="O560" s="64"/>
      <c r="P560" s="64"/>
      <c r="Q560" s="64"/>
      <c r="R560" s="64"/>
      <c r="S560" s="64"/>
      <c r="T560" s="64"/>
      <c r="U560" s="64"/>
      <c r="V560" s="64"/>
      <c r="W560" s="64"/>
      <c r="X560" s="64"/>
      <c r="Y560" s="64"/>
      <c r="Z560" s="64"/>
      <c r="AA560" s="64"/>
      <c r="AB560" s="64"/>
      <c r="AC560" s="64"/>
      <c r="AD560" s="64"/>
      <c r="AE560" s="64"/>
      <c r="AF560" s="64"/>
      <c r="AG560" s="64"/>
      <c r="AH560" s="64"/>
    </row>
    <row r="561">
      <c r="A561" s="64"/>
      <c r="B561" s="64"/>
      <c r="C561" s="64"/>
      <c r="D561" s="64"/>
      <c r="E561" s="64"/>
      <c r="F561" s="64"/>
      <c r="G561" s="64"/>
      <c r="H561" s="64"/>
      <c r="I561" s="64"/>
      <c r="J561" s="64"/>
      <c r="K561" s="64"/>
      <c r="L561" s="64"/>
      <c r="M561" s="64"/>
      <c r="N561" s="64"/>
      <c r="O561" s="64"/>
      <c r="P561" s="64"/>
      <c r="Q561" s="64"/>
      <c r="R561" s="64"/>
      <c r="S561" s="64"/>
      <c r="T561" s="64"/>
      <c r="U561" s="64"/>
      <c r="V561" s="64"/>
      <c r="W561" s="64"/>
      <c r="X561" s="64"/>
      <c r="Y561" s="64"/>
      <c r="Z561" s="64"/>
      <c r="AA561" s="64"/>
      <c r="AB561" s="64"/>
      <c r="AC561" s="64"/>
      <c r="AD561" s="64"/>
      <c r="AE561" s="64"/>
      <c r="AF561" s="64"/>
      <c r="AG561" s="64"/>
      <c r="AH561" s="64"/>
    </row>
    <row r="562">
      <c r="A562" s="64"/>
      <c r="B562" s="64"/>
      <c r="C562" s="64"/>
      <c r="D562" s="64"/>
      <c r="E562" s="64"/>
      <c r="F562" s="64"/>
      <c r="G562" s="64"/>
      <c r="H562" s="64"/>
      <c r="I562" s="64"/>
      <c r="J562" s="64"/>
      <c r="K562" s="64"/>
      <c r="L562" s="64"/>
      <c r="M562" s="64"/>
      <c r="N562" s="64"/>
      <c r="O562" s="64"/>
      <c r="P562" s="64"/>
      <c r="Q562" s="64"/>
      <c r="R562" s="64"/>
      <c r="S562" s="64"/>
      <c r="T562" s="64"/>
      <c r="U562" s="64"/>
      <c r="V562" s="64"/>
      <c r="W562" s="64"/>
      <c r="X562" s="64"/>
      <c r="Y562" s="64"/>
      <c r="Z562" s="64"/>
      <c r="AA562" s="64"/>
      <c r="AB562" s="64"/>
      <c r="AC562" s="64"/>
      <c r="AD562" s="64"/>
      <c r="AE562" s="64"/>
      <c r="AF562" s="64"/>
      <c r="AG562" s="64"/>
      <c r="AH562" s="64"/>
    </row>
    <row r="563">
      <c r="A563" s="64"/>
      <c r="B563" s="64"/>
      <c r="C563" s="64"/>
      <c r="D563" s="64"/>
      <c r="E563" s="64"/>
      <c r="F563" s="64"/>
      <c r="G563" s="64"/>
      <c r="H563" s="64"/>
      <c r="I563" s="64"/>
      <c r="J563" s="64"/>
      <c r="K563" s="64"/>
      <c r="L563" s="64"/>
      <c r="M563" s="64"/>
      <c r="N563" s="64"/>
      <c r="O563" s="64"/>
      <c r="P563" s="64"/>
      <c r="Q563" s="64"/>
      <c r="R563" s="64"/>
      <c r="S563" s="64"/>
      <c r="T563" s="64"/>
      <c r="U563" s="64"/>
      <c r="V563" s="64"/>
      <c r="W563" s="64"/>
      <c r="X563" s="64"/>
      <c r="Y563" s="64"/>
      <c r="Z563" s="64"/>
      <c r="AA563" s="64"/>
      <c r="AB563" s="64"/>
      <c r="AC563" s="64"/>
      <c r="AD563" s="64"/>
      <c r="AE563" s="64"/>
      <c r="AF563" s="64"/>
      <c r="AG563" s="64"/>
      <c r="AH563" s="64"/>
    </row>
    <row r="564">
      <c r="A564" s="64"/>
      <c r="B564" s="64"/>
      <c r="C564" s="64"/>
      <c r="D564" s="64"/>
      <c r="E564" s="64"/>
      <c r="F564" s="64"/>
      <c r="G564" s="64"/>
      <c r="H564" s="64"/>
      <c r="I564" s="64"/>
      <c r="J564" s="64"/>
      <c r="K564" s="64"/>
      <c r="L564" s="64"/>
      <c r="M564" s="64"/>
      <c r="N564" s="64"/>
      <c r="O564" s="64"/>
      <c r="P564" s="64"/>
      <c r="Q564" s="64"/>
      <c r="R564" s="64"/>
      <c r="S564" s="64"/>
      <c r="T564" s="64"/>
      <c r="U564" s="64"/>
      <c r="V564" s="64"/>
      <c r="W564" s="64"/>
      <c r="X564" s="64"/>
      <c r="Y564" s="64"/>
      <c r="Z564" s="64"/>
      <c r="AA564" s="64"/>
      <c r="AB564" s="64"/>
      <c r="AC564" s="64"/>
      <c r="AD564" s="64"/>
      <c r="AE564" s="64"/>
      <c r="AF564" s="64"/>
      <c r="AG564" s="64"/>
      <c r="AH564" s="64"/>
    </row>
    <row r="565">
      <c r="A565" s="64"/>
      <c r="B565" s="64"/>
      <c r="C565" s="64"/>
      <c r="D565" s="64"/>
      <c r="E565" s="64"/>
      <c r="F565" s="64"/>
      <c r="G565" s="64"/>
      <c r="H565" s="64"/>
      <c r="I565" s="64"/>
      <c r="J565" s="64"/>
      <c r="K565" s="64"/>
      <c r="L565" s="64"/>
      <c r="M565" s="64"/>
      <c r="N565" s="64"/>
      <c r="O565" s="64"/>
      <c r="P565" s="64"/>
      <c r="Q565" s="64"/>
      <c r="R565" s="64"/>
      <c r="S565" s="64"/>
      <c r="T565" s="64"/>
      <c r="U565" s="64"/>
      <c r="V565" s="64"/>
      <c r="W565" s="64"/>
      <c r="X565" s="64"/>
      <c r="Y565" s="64"/>
      <c r="Z565" s="64"/>
      <c r="AA565" s="64"/>
      <c r="AB565" s="64"/>
      <c r="AC565" s="64"/>
      <c r="AD565" s="64"/>
      <c r="AE565" s="64"/>
      <c r="AF565" s="64"/>
      <c r="AG565" s="64"/>
      <c r="AH565" s="64"/>
    </row>
    <row r="566">
      <c r="A566" s="64"/>
      <c r="B566" s="64"/>
      <c r="C566" s="64"/>
      <c r="D566" s="64"/>
      <c r="E566" s="64"/>
      <c r="F566" s="64"/>
      <c r="G566" s="64"/>
      <c r="H566" s="64"/>
      <c r="I566" s="64"/>
      <c r="J566" s="64"/>
      <c r="K566" s="64"/>
      <c r="L566" s="64"/>
      <c r="M566" s="64"/>
      <c r="N566" s="64"/>
      <c r="O566" s="64"/>
      <c r="P566" s="64"/>
      <c r="Q566" s="64"/>
      <c r="R566" s="64"/>
      <c r="S566" s="64"/>
      <c r="T566" s="64"/>
      <c r="U566" s="64"/>
      <c r="V566" s="64"/>
      <c r="W566" s="64"/>
      <c r="X566" s="64"/>
      <c r="Y566" s="64"/>
      <c r="Z566" s="64"/>
      <c r="AA566" s="64"/>
      <c r="AB566" s="64"/>
      <c r="AC566" s="64"/>
      <c r="AD566" s="64"/>
      <c r="AE566" s="64"/>
      <c r="AF566" s="64"/>
      <c r="AG566" s="64"/>
      <c r="AH566" s="64"/>
    </row>
    <row r="567">
      <c r="A567" s="64"/>
      <c r="B567" s="64"/>
      <c r="C567" s="64"/>
      <c r="D567" s="64"/>
      <c r="E567" s="64"/>
      <c r="F567" s="64"/>
      <c r="G567" s="64"/>
      <c r="H567" s="64"/>
      <c r="I567" s="64"/>
      <c r="J567" s="64"/>
      <c r="K567" s="64"/>
      <c r="L567" s="64"/>
      <c r="M567" s="64"/>
      <c r="N567" s="64"/>
      <c r="O567" s="64"/>
      <c r="P567" s="64"/>
      <c r="Q567" s="64"/>
      <c r="R567" s="64"/>
      <c r="S567" s="64"/>
      <c r="T567" s="64"/>
      <c r="U567" s="64"/>
      <c r="V567" s="64"/>
      <c r="W567" s="64"/>
      <c r="X567" s="64"/>
      <c r="Y567" s="64"/>
      <c r="Z567" s="64"/>
      <c r="AA567" s="64"/>
      <c r="AB567" s="64"/>
      <c r="AC567" s="64"/>
      <c r="AD567" s="64"/>
      <c r="AE567" s="64"/>
      <c r="AF567" s="64"/>
      <c r="AG567" s="64"/>
      <c r="AH567" s="64"/>
    </row>
    <row r="568">
      <c r="A568" s="64"/>
      <c r="B568" s="64"/>
      <c r="C568" s="64"/>
      <c r="D568" s="64"/>
      <c r="E568" s="64"/>
      <c r="F568" s="64"/>
      <c r="G568" s="64"/>
      <c r="H568" s="64"/>
      <c r="I568" s="64"/>
      <c r="J568" s="64"/>
      <c r="K568" s="64"/>
      <c r="L568" s="64"/>
      <c r="M568" s="64"/>
      <c r="N568" s="64"/>
      <c r="O568" s="64"/>
      <c r="P568" s="64"/>
      <c r="Q568" s="64"/>
      <c r="R568" s="64"/>
      <c r="S568" s="64"/>
      <c r="T568" s="64"/>
      <c r="U568" s="64"/>
      <c r="V568" s="64"/>
      <c r="W568" s="64"/>
      <c r="X568" s="64"/>
      <c r="Y568" s="64"/>
      <c r="Z568" s="64"/>
      <c r="AA568" s="64"/>
      <c r="AB568" s="64"/>
      <c r="AC568" s="64"/>
      <c r="AD568" s="64"/>
      <c r="AE568" s="64"/>
      <c r="AF568" s="64"/>
      <c r="AG568" s="64"/>
      <c r="AH568" s="64"/>
    </row>
    <row r="569">
      <c r="A569" s="64"/>
      <c r="B569" s="64"/>
      <c r="C569" s="64"/>
      <c r="D569" s="64"/>
      <c r="E569" s="64"/>
      <c r="F569" s="64"/>
      <c r="G569" s="64"/>
      <c r="H569" s="64"/>
      <c r="I569" s="64"/>
      <c r="J569" s="64"/>
      <c r="K569" s="64"/>
      <c r="L569" s="64"/>
      <c r="M569" s="64"/>
      <c r="N569" s="64"/>
      <c r="O569" s="64"/>
      <c r="P569" s="64"/>
      <c r="Q569" s="64"/>
      <c r="R569" s="64"/>
      <c r="S569" s="64"/>
      <c r="T569" s="64"/>
      <c r="U569" s="64"/>
      <c r="V569" s="64"/>
      <c r="W569" s="64"/>
      <c r="X569" s="64"/>
      <c r="Y569" s="64"/>
      <c r="Z569" s="64"/>
      <c r="AA569" s="64"/>
      <c r="AB569" s="64"/>
      <c r="AC569" s="64"/>
      <c r="AD569" s="64"/>
      <c r="AE569" s="64"/>
      <c r="AF569" s="64"/>
      <c r="AG569" s="64"/>
      <c r="AH569" s="64"/>
    </row>
    <row r="570">
      <c r="A570" s="64"/>
      <c r="B570" s="64"/>
      <c r="C570" s="64"/>
      <c r="D570" s="64"/>
      <c r="E570" s="64"/>
      <c r="F570" s="64"/>
      <c r="G570" s="64"/>
      <c r="H570" s="64"/>
      <c r="I570" s="64"/>
      <c r="J570" s="64"/>
      <c r="K570" s="64"/>
      <c r="L570" s="64"/>
      <c r="M570" s="64"/>
      <c r="N570" s="64"/>
      <c r="O570" s="64"/>
      <c r="P570" s="64"/>
      <c r="Q570" s="64"/>
      <c r="R570" s="64"/>
      <c r="S570" s="64"/>
      <c r="T570" s="64"/>
      <c r="U570" s="64"/>
      <c r="V570" s="64"/>
      <c r="W570" s="64"/>
      <c r="X570" s="64"/>
      <c r="Y570" s="64"/>
      <c r="Z570" s="64"/>
      <c r="AA570" s="64"/>
      <c r="AB570" s="64"/>
      <c r="AC570" s="64"/>
      <c r="AD570" s="64"/>
      <c r="AE570" s="64"/>
      <c r="AF570" s="64"/>
      <c r="AG570" s="64"/>
      <c r="AH570" s="64"/>
    </row>
    <row r="571">
      <c r="A571" s="64"/>
      <c r="B571" s="64"/>
      <c r="C571" s="64"/>
      <c r="D571" s="64"/>
      <c r="E571" s="64"/>
      <c r="F571" s="64"/>
      <c r="G571" s="64"/>
      <c r="H571" s="64"/>
      <c r="I571" s="64"/>
      <c r="J571" s="64"/>
      <c r="K571" s="64"/>
      <c r="L571" s="64"/>
      <c r="M571" s="64"/>
      <c r="N571" s="64"/>
      <c r="O571" s="64"/>
      <c r="P571" s="64"/>
      <c r="Q571" s="64"/>
      <c r="R571" s="64"/>
      <c r="S571" s="64"/>
      <c r="T571" s="64"/>
      <c r="U571" s="64"/>
      <c r="V571" s="64"/>
      <c r="W571" s="64"/>
      <c r="X571" s="64"/>
      <c r="Y571" s="64"/>
      <c r="Z571" s="64"/>
      <c r="AA571" s="64"/>
      <c r="AB571" s="64"/>
      <c r="AC571" s="64"/>
      <c r="AD571" s="64"/>
      <c r="AE571" s="64"/>
      <c r="AF571" s="64"/>
      <c r="AG571" s="64"/>
      <c r="AH571" s="64"/>
    </row>
    <row r="572">
      <c r="A572" s="64"/>
      <c r="B572" s="64"/>
      <c r="C572" s="64"/>
      <c r="D572" s="64"/>
      <c r="E572" s="64"/>
      <c r="F572" s="64"/>
      <c r="G572" s="64"/>
      <c r="H572" s="64"/>
      <c r="I572" s="64"/>
      <c r="J572" s="64"/>
      <c r="K572" s="64"/>
      <c r="L572" s="64"/>
      <c r="M572" s="64"/>
      <c r="N572" s="64"/>
      <c r="O572" s="64"/>
      <c r="P572" s="64"/>
      <c r="Q572" s="64"/>
      <c r="R572" s="64"/>
      <c r="S572" s="64"/>
      <c r="T572" s="64"/>
      <c r="U572" s="64"/>
      <c r="V572" s="64"/>
      <c r="W572" s="64"/>
      <c r="X572" s="64"/>
      <c r="Y572" s="64"/>
      <c r="Z572" s="64"/>
      <c r="AA572" s="64"/>
      <c r="AB572" s="64"/>
      <c r="AC572" s="64"/>
      <c r="AD572" s="64"/>
      <c r="AE572" s="64"/>
      <c r="AF572" s="64"/>
      <c r="AG572" s="64"/>
      <c r="AH572" s="64"/>
    </row>
    <row r="573">
      <c r="A573" s="64"/>
      <c r="B573" s="64"/>
      <c r="C573" s="64"/>
      <c r="D573" s="64"/>
      <c r="E573" s="64"/>
      <c r="F573" s="64"/>
      <c r="G573" s="64"/>
      <c r="H573" s="64"/>
      <c r="I573" s="64"/>
      <c r="J573" s="64"/>
      <c r="K573" s="64"/>
      <c r="L573" s="64"/>
      <c r="M573" s="64"/>
      <c r="N573" s="64"/>
      <c r="O573" s="64"/>
      <c r="P573" s="64"/>
      <c r="Q573" s="64"/>
      <c r="R573" s="64"/>
      <c r="S573" s="64"/>
      <c r="T573" s="64"/>
      <c r="U573" s="64"/>
      <c r="V573" s="64"/>
      <c r="W573" s="64"/>
      <c r="X573" s="64"/>
      <c r="Y573" s="64"/>
      <c r="Z573" s="64"/>
      <c r="AA573" s="64"/>
      <c r="AB573" s="64"/>
      <c r="AC573" s="64"/>
      <c r="AD573" s="64"/>
      <c r="AE573" s="64"/>
      <c r="AF573" s="64"/>
      <c r="AG573" s="64"/>
      <c r="AH573" s="64"/>
    </row>
    <row r="574">
      <c r="A574" s="64"/>
      <c r="B574" s="64"/>
      <c r="C574" s="64"/>
      <c r="D574" s="64"/>
      <c r="E574" s="64"/>
      <c r="F574" s="64"/>
      <c r="G574" s="64"/>
      <c r="H574" s="64"/>
      <c r="I574" s="64"/>
      <c r="J574" s="64"/>
      <c r="K574" s="64"/>
      <c r="L574" s="64"/>
      <c r="M574" s="64"/>
      <c r="N574" s="64"/>
      <c r="O574" s="64"/>
      <c r="P574" s="64"/>
      <c r="Q574" s="64"/>
      <c r="R574" s="64"/>
      <c r="S574" s="64"/>
      <c r="T574" s="64"/>
      <c r="U574" s="64"/>
      <c r="V574" s="64"/>
      <c r="W574" s="64"/>
      <c r="X574" s="64"/>
      <c r="Y574" s="64"/>
      <c r="Z574" s="64"/>
      <c r="AA574" s="64"/>
      <c r="AB574" s="64"/>
      <c r="AC574" s="64"/>
      <c r="AD574" s="64"/>
      <c r="AE574" s="64"/>
      <c r="AF574" s="64"/>
      <c r="AG574" s="64"/>
      <c r="AH574" s="64"/>
    </row>
    <row r="575">
      <c r="A575" s="64"/>
      <c r="B575" s="64"/>
      <c r="C575" s="64"/>
      <c r="D575" s="64"/>
      <c r="E575" s="64"/>
      <c r="F575" s="64"/>
      <c r="G575" s="64"/>
      <c r="H575" s="64"/>
      <c r="I575" s="64"/>
      <c r="J575" s="64"/>
      <c r="K575" s="64"/>
      <c r="L575" s="64"/>
      <c r="M575" s="64"/>
      <c r="N575" s="64"/>
      <c r="O575" s="64"/>
      <c r="P575" s="64"/>
      <c r="Q575" s="64"/>
      <c r="R575" s="64"/>
      <c r="S575" s="64"/>
      <c r="T575" s="64"/>
      <c r="U575" s="64"/>
      <c r="V575" s="64"/>
      <c r="W575" s="64"/>
      <c r="X575" s="64"/>
      <c r="Y575" s="64"/>
      <c r="Z575" s="64"/>
      <c r="AA575" s="64"/>
      <c r="AB575" s="64"/>
      <c r="AC575" s="64"/>
      <c r="AD575" s="64"/>
      <c r="AE575" s="64"/>
      <c r="AF575" s="64"/>
      <c r="AG575" s="64"/>
      <c r="AH575" s="64"/>
    </row>
    <row r="576">
      <c r="A576" s="64"/>
      <c r="B576" s="64"/>
      <c r="C576" s="64"/>
      <c r="D576" s="64"/>
      <c r="E576" s="64"/>
      <c r="F576" s="64"/>
      <c r="G576" s="64"/>
      <c r="H576" s="64"/>
      <c r="I576" s="64"/>
      <c r="J576" s="64"/>
      <c r="K576" s="64"/>
      <c r="L576" s="64"/>
      <c r="M576" s="64"/>
      <c r="N576" s="64"/>
      <c r="O576" s="64"/>
      <c r="P576" s="64"/>
      <c r="Q576" s="64"/>
      <c r="R576" s="64"/>
      <c r="S576" s="64"/>
      <c r="T576" s="64"/>
      <c r="U576" s="64"/>
      <c r="V576" s="64"/>
      <c r="W576" s="64"/>
      <c r="X576" s="64"/>
      <c r="Y576" s="64"/>
      <c r="Z576" s="64"/>
      <c r="AA576" s="64"/>
      <c r="AB576" s="64"/>
      <c r="AC576" s="64"/>
      <c r="AD576" s="64"/>
      <c r="AE576" s="64"/>
      <c r="AF576" s="64"/>
      <c r="AG576" s="64"/>
      <c r="AH576" s="64"/>
    </row>
    <row r="577">
      <c r="A577" s="64"/>
      <c r="B577" s="64"/>
      <c r="C577" s="64"/>
      <c r="D577" s="64"/>
      <c r="E577" s="64"/>
      <c r="F577" s="64"/>
      <c r="G577" s="64"/>
      <c r="H577" s="64"/>
      <c r="I577" s="64"/>
      <c r="J577" s="64"/>
      <c r="K577" s="64"/>
      <c r="L577" s="64"/>
      <c r="M577" s="64"/>
      <c r="N577" s="64"/>
      <c r="O577" s="64"/>
      <c r="P577" s="64"/>
      <c r="Q577" s="64"/>
      <c r="R577" s="64"/>
      <c r="S577" s="64"/>
      <c r="T577" s="64"/>
      <c r="U577" s="64"/>
      <c r="V577" s="64"/>
      <c r="W577" s="64"/>
      <c r="X577" s="64"/>
      <c r="Y577" s="64"/>
      <c r="Z577" s="64"/>
      <c r="AA577" s="64"/>
      <c r="AB577" s="64"/>
      <c r="AC577" s="64"/>
      <c r="AD577" s="64"/>
      <c r="AE577" s="64"/>
      <c r="AF577" s="64"/>
      <c r="AG577" s="64"/>
      <c r="AH577" s="64"/>
    </row>
    <row r="578">
      <c r="A578" s="64"/>
      <c r="B578" s="64"/>
      <c r="C578" s="64"/>
      <c r="D578" s="64"/>
      <c r="E578" s="64"/>
      <c r="F578" s="64"/>
      <c r="G578" s="64"/>
      <c r="H578" s="64"/>
      <c r="I578" s="64"/>
      <c r="J578" s="64"/>
      <c r="K578" s="64"/>
      <c r="L578" s="64"/>
      <c r="M578" s="64"/>
      <c r="N578" s="64"/>
      <c r="O578" s="64"/>
      <c r="P578" s="64"/>
      <c r="Q578" s="64"/>
      <c r="R578" s="64"/>
      <c r="S578" s="64"/>
      <c r="T578" s="64"/>
      <c r="U578" s="64"/>
      <c r="V578" s="64"/>
      <c r="W578" s="64"/>
      <c r="X578" s="64"/>
      <c r="Y578" s="64"/>
      <c r="Z578" s="64"/>
      <c r="AA578" s="64"/>
      <c r="AB578" s="64"/>
      <c r="AC578" s="64"/>
      <c r="AD578" s="64"/>
      <c r="AE578" s="64"/>
      <c r="AF578" s="64"/>
      <c r="AG578" s="64"/>
      <c r="AH578" s="64"/>
    </row>
    <row r="579">
      <c r="A579" s="64"/>
      <c r="B579" s="64"/>
      <c r="C579" s="64"/>
      <c r="D579" s="64"/>
      <c r="E579" s="64"/>
      <c r="F579" s="64"/>
      <c r="G579" s="64"/>
      <c r="H579" s="64"/>
      <c r="I579" s="64"/>
      <c r="J579" s="64"/>
      <c r="K579" s="64"/>
      <c r="L579" s="64"/>
      <c r="M579" s="64"/>
      <c r="N579" s="64"/>
      <c r="O579" s="64"/>
      <c r="P579" s="64"/>
      <c r="Q579" s="64"/>
      <c r="R579" s="64"/>
      <c r="S579" s="64"/>
      <c r="T579" s="64"/>
      <c r="U579" s="64"/>
      <c r="V579" s="64"/>
      <c r="W579" s="64"/>
      <c r="X579" s="64"/>
      <c r="Y579" s="64"/>
      <c r="Z579" s="64"/>
      <c r="AA579" s="64"/>
      <c r="AB579" s="64"/>
      <c r="AC579" s="64"/>
      <c r="AD579" s="64"/>
      <c r="AE579" s="64"/>
      <c r="AF579" s="64"/>
      <c r="AG579" s="64"/>
      <c r="AH579" s="64"/>
    </row>
    <row r="580">
      <c r="A580" s="64"/>
      <c r="B580" s="64"/>
      <c r="C580" s="64"/>
      <c r="D580" s="64"/>
      <c r="E580" s="64"/>
      <c r="F580" s="64"/>
      <c r="G580" s="64"/>
      <c r="H580" s="64"/>
      <c r="I580" s="64"/>
      <c r="J580" s="64"/>
      <c r="K580" s="64"/>
      <c r="L580" s="64"/>
      <c r="M580" s="64"/>
      <c r="N580" s="64"/>
      <c r="O580" s="64"/>
      <c r="P580" s="64"/>
      <c r="Q580" s="64"/>
      <c r="R580" s="64"/>
      <c r="S580" s="64"/>
      <c r="T580" s="64"/>
      <c r="U580" s="64"/>
      <c r="V580" s="64"/>
      <c r="W580" s="64"/>
      <c r="X580" s="64"/>
      <c r="Y580" s="64"/>
      <c r="Z580" s="64"/>
      <c r="AA580" s="64"/>
      <c r="AB580" s="64"/>
      <c r="AC580" s="64"/>
      <c r="AD580" s="64"/>
      <c r="AE580" s="64"/>
      <c r="AF580" s="64"/>
      <c r="AG580" s="64"/>
      <c r="AH580" s="64"/>
    </row>
    <row r="581">
      <c r="A581" s="64"/>
      <c r="B581" s="64"/>
      <c r="C581" s="64"/>
      <c r="D581" s="64"/>
      <c r="E581" s="64"/>
      <c r="F581" s="64"/>
      <c r="G581" s="64"/>
      <c r="H581" s="64"/>
      <c r="I581" s="64"/>
      <c r="J581" s="64"/>
      <c r="K581" s="64"/>
      <c r="L581" s="64"/>
      <c r="M581" s="64"/>
      <c r="N581" s="64"/>
      <c r="O581" s="64"/>
      <c r="P581" s="64"/>
      <c r="Q581" s="64"/>
      <c r="R581" s="64"/>
      <c r="S581" s="64"/>
      <c r="T581" s="64"/>
      <c r="U581" s="64"/>
      <c r="V581" s="64"/>
      <c r="W581" s="64"/>
      <c r="X581" s="64"/>
      <c r="Y581" s="64"/>
      <c r="Z581" s="64"/>
      <c r="AA581" s="64"/>
      <c r="AB581" s="64"/>
      <c r="AC581" s="64"/>
      <c r="AD581" s="64"/>
      <c r="AE581" s="64"/>
      <c r="AF581" s="64"/>
      <c r="AG581" s="64"/>
      <c r="AH581" s="64"/>
    </row>
    <row r="582">
      <c r="A582" s="64"/>
      <c r="B582" s="64"/>
      <c r="C582" s="64"/>
      <c r="D582" s="64"/>
      <c r="E582" s="64"/>
      <c r="F582" s="64"/>
      <c r="G582" s="64"/>
      <c r="H582" s="64"/>
      <c r="I582" s="64"/>
      <c r="J582" s="64"/>
      <c r="K582" s="64"/>
      <c r="L582" s="64"/>
      <c r="M582" s="64"/>
      <c r="N582" s="64"/>
      <c r="O582" s="64"/>
      <c r="P582" s="64"/>
      <c r="Q582" s="64"/>
      <c r="R582" s="64"/>
      <c r="S582" s="64"/>
      <c r="T582" s="64"/>
      <c r="U582" s="64"/>
      <c r="V582" s="64"/>
      <c r="W582" s="64"/>
      <c r="X582" s="64"/>
      <c r="Y582" s="64"/>
      <c r="Z582" s="64"/>
      <c r="AA582" s="64"/>
      <c r="AB582" s="64"/>
      <c r="AC582" s="64"/>
      <c r="AD582" s="64"/>
      <c r="AE582" s="64"/>
      <c r="AF582" s="64"/>
      <c r="AG582" s="64"/>
      <c r="AH582" s="64"/>
    </row>
    <row r="583">
      <c r="A583" s="64"/>
      <c r="B583" s="64"/>
      <c r="C583" s="64"/>
      <c r="D583" s="64"/>
      <c r="E583" s="64"/>
      <c r="F583" s="64"/>
      <c r="G583" s="64"/>
      <c r="H583" s="64"/>
      <c r="I583" s="64"/>
      <c r="J583" s="64"/>
      <c r="K583" s="64"/>
      <c r="L583" s="64"/>
      <c r="M583" s="64"/>
      <c r="N583" s="64"/>
      <c r="O583" s="64"/>
      <c r="P583" s="64"/>
      <c r="Q583" s="64"/>
      <c r="R583" s="64"/>
      <c r="S583" s="64"/>
      <c r="T583" s="64"/>
      <c r="U583" s="64"/>
      <c r="V583" s="64"/>
      <c r="W583" s="64"/>
      <c r="X583" s="64"/>
      <c r="Y583" s="64"/>
      <c r="Z583" s="64"/>
      <c r="AA583" s="64"/>
      <c r="AB583" s="64"/>
      <c r="AC583" s="64"/>
      <c r="AD583" s="64"/>
      <c r="AE583" s="64"/>
      <c r="AF583" s="64"/>
      <c r="AG583" s="64"/>
      <c r="AH583" s="64"/>
    </row>
    <row r="584">
      <c r="A584" s="64"/>
      <c r="B584" s="64"/>
      <c r="C584" s="64"/>
      <c r="D584" s="64"/>
      <c r="E584" s="64"/>
      <c r="F584" s="64"/>
      <c r="G584" s="64"/>
      <c r="H584" s="64"/>
      <c r="I584" s="64"/>
      <c r="J584" s="64"/>
      <c r="K584" s="64"/>
      <c r="L584" s="64"/>
      <c r="M584" s="64"/>
      <c r="N584" s="64"/>
      <c r="O584" s="64"/>
      <c r="P584" s="64"/>
      <c r="Q584" s="64"/>
      <c r="R584" s="64"/>
      <c r="S584" s="64"/>
      <c r="T584" s="64"/>
      <c r="U584" s="64"/>
      <c r="V584" s="64"/>
      <c r="W584" s="64"/>
      <c r="X584" s="64"/>
      <c r="Y584" s="64"/>
      <c r="Z584" s="64"/>
      <c r="AA584" s="64"/>
      <c r="AB584" s="64"/>
      <c r="AC584" s="64"/>
      <c r="AD584" s="64"/>
      <c r="AE584" s="64"/>
      <c r="AF584" s="64"/>
      <c r="AG584" s="64"/>
      <c r="AH584" s="64"/>
    </row>
    <row r="585">
      <c r="A585" s="64"/>
      <c r="B585" s="64"/>
      <c r="C585" s="64"/>
      <c r="D585" s="64"/>
      <c r="E585" s="64"/>
      <c r="F585" s="64"/>
      <c r="G585" s="64"/>
      <c r="H585" s="64"/>
      <c r="I585" s="64"/>
      <c r="J585" s="64"/>
      <c r="K585" s="64"/>
      <c r="L585" s="64"/>
      <c r="M585" s="64"/>
      <c r="N585" s="64"/>
      <c r="O585" s="64"/>
      <c r="P585" s="64"/>
      <c r="Q585" s="64"/>
      <c r="R585" s="64"/>
      <c r="S585" s="64"/>
      <c r="T585" s="64"/>
      <c r="U585" s="64"/>
      <c r="V585" s="64"/>
      <c r="W585" s="64"/>
      <c r="X585" s="64"/>
      <c r="Y585" s="64"/>
      <c r="Z585" s="64"/>
      <c r="AA585" s="64"/>
      <c r="AB585" s="64"/>
      <c r="AC585" s="64"/>
      <c r="AD585" s="64"/>
      <c r="AE585" s="64"/>
      <c r="AF585" s="64"/>
      <c r="AG585" s="64"/>
      <c r="AH585" s="64"/>
    </row>
    <row r="586">
      <c r="A586" s="64"/>
      <c r="B586" s="64"/>
      <c r="C586" s="64"/>
      <c r="D586" s="64"/>
      <c r="E586" s="64"/>
      <c r="F586" s="64"/>
      <c r="G586" s="64"/>
      <c r="H586" s="64"/>
      <c r="I586" s="64"/>
      <c r="J586" s="64"/>
      <c r="K586" s="64"/>
      <c r="L586" s="64"/>
      <c r="M586" s="64"/>
      <c r="N586" s="64"/>
      <c r="O586" s="64"/>
      <c r="P586" s="64"/>
      <c r="Q586" s="64"/>
      <c r="R586" s="64"/>
      <c r="S586" s="64"/>
      <c r="T586" s="64"/>
      <c r="U586" s="64"/>
      <c r="V586" s="64"/>
      <c r="W586" s="64"/>
      <c r="X586" s="64"/>
      <c r="Y586" s="64"/>
      <c r="Z586" s="64"/>
      <c r="AA586" s="64"/>
      <c r="AB586" s="64"/>
      <c r="AC586" s="64"/>
      <c r="AD586" s="64"/>
      <c r="AE586" s="64"/>
      <c r="AF586" s="64"/>
      <c r="AG586" s="64"/>
      <c r="AH586" s="64"/>
    </row>
    <row r="587">
      <c r="A587" s="64"/>
      <c r="B587" s="64"/>
      <c r="C587" s="64"/>
      <c r="D587" s="64"/>
      <c r="E587" s="64"/>
      <c r="F587" s="64"/>
      <c r="G587" s="64"/>
      <c r="H587" s="64"/>
      <c r="I587" s="64"/>
      <c r="J587" s="64"/>
      <c r="K587" s="64"/>
      <c r="L587" s="64"/>
      <c r="M587" s="64"/>
      <c r="N587" s="64"/>
      <c r="O587" s="64"/>
      <c r="P587" s="64"/>
      <c r="Q587" s="64"/>
      <c r="R587" s="64"/>
      <c r="S587" s="64"/>
      <c r="T587" s="64"/>
      <c r="U587" s="64"/>
      <c r="V587" s="64"/>
      <c r="W587" s="64"/>
      <c r="X587" s="64"/>
      <c r="Y587" s="64"/>
      <c r="Z587" s="64"/>
      <c r="AA587" s="64"/>
      <c r="AB587" s="64"/>
      <c r="AC587" s="64"/>
      <c r="AD587" s="64"/>
      <c r="AE587" s="64"/>
      <c r="AF587" s="64"/>
      <c r="AG587" s="64"/>
      <c r="AH587" s="64"/>
    </row>
    <row r="588">
      <c r="A588" s="64"/>
      <c r="B588" s="64"/>
      <c r="C588" s="64"/>
      <c r="D588" s="64"/>
      <c r="E588" s="64"/>
      <c r="F588" s="64"/>
      <c r="G588" s="64"/>
      <c r="H588" s="64"/>
      <c r="I588" s="64"/>
      <c r="J588" s="64"/>
      <c r="K588" s="64"/>
      <c r="L588" s="64"/>
      <c r="M588" s="64"/>
      <c r="N588" s="64"/>
      <c r="O588" s="64"/>
      <c r="P588" s="64"/>
      <c r="Q588" s="64"/>
      <c r="R588" s="64"/>
      <c r="S588" s="64"/>
      <c r="T588" s="64"/>
      <c r="U588" s="64"/>
      <c r="V588" s="64"/>
      <c r="W588" s="64"/>
      <c r="X588" s="64"/>
      <c r="Y588" s="64"/>
      <c r="Z588" s="64"/>
      <c r="AA588" s="64"/>
      <c r="AB588" s="64"/>
      <c r="AC588" s="64"/>
      <c r="AD588" s="64"/>
      <c r="AE588" s="64"/>
      <c r="AF588" s="64"/>
      <c r="AG588" s="64"/>
      <c r="AH588" s="64"/>
    </row>
    <row r="589">
      <c r="A589" s="64"/>
      <c r="B589" s="64"/>
      <c r="C589" s="64"/>
      <c r="D589" s="64"/>
      <c r="E589" s="64"/>
      <c r="F589" s="64"/>
      <c r="G589" s="64"/>
      <c r="H589" s="64"/>
      <c r="I589" s="64"/>
      <c r="J589" s="64"/>
      <c r="K589" s="64"/>
      <c r="L589" s="64"/>
      <c r="M589" s="64"/>
      <c r="N589" s="64"/>
      <c r="O589" s="64"/>
      <c r="P589" s="64"/>
      <c r="Q589" s="64"/>
      <c r="R589" s="64"/>
      <c r="S589" s="64"/>
      <c r="T589" s="64"/>
      <c r="U589" s="64"/>
      <c r="V589" s="64"/>
      <c r="W589" s="64"/>
      <c r="X589" s="64"/>
      <c r="Y589" s="64"/>
      <c r="Z589" s="64"/>
      <c r="AA589" s="64"/>
      <c r="AB589" s="64"/>
      <c r="AC589" s="64"/>
      <c r="AD589" s="64"/>
      <c r="AE589" s="64"/>
      <c r="AF589" s="64"/>
      <c r="AG589" s="64"/>
      <c r="AH589" s="64"/>
    </row>
    <row r="590">
      <c r="A590" s="64"/>
      <c r="B590" s="64"/>
      <c r="C590" s="64"/>
      <c r="D590" s="64"/>
      <c r="E590" s="64"/>
      <c r="F590" s="64"/>
      <c r="G590" s="64"/>
      <c r="H590" s="64"/>
      <c r="I590" s="64"/>
      <c r="J590" s="64"/>
      <c r="K590" s="64"/>
      <c r="L590" s="64"/>
      <c r="M590" s="64"/>
      <c r="N590" s="64"/>
      <c r="O590" s="64"/>
      <c r="P590" s="64"/>
      <c r="Q590" s="64"/>
      <c r="R590" s="64"/>
      <c r="S590" s="64"/>
      <c r="T590" s="64"/>
      <c r="U590" s="64"/>
      <c r="V590" s="64"/>
      <c r="W590" s="64"/>
      <c r="X590" s="64"/>
      <c r="Y590" s="64"/>
      <c r="Z590" s="64"/>
      <c r="AA590" s="64"/>
      <c r="AB590" s="64"/>
      <c r="AC590" s="64"/>
      <c r="AD590" s="64"/>
      <c r="AE590" s="64"/>
      <c r="AF590" s="64"/>
      <c r="AG590" s="64"/>
      <c r="AH590" s="64"/>
    </row>
    <row r="591">
      <c r="A591" s="64"/>
      <c r="B591" s="64"/>
      <c r="C591" s="64"/>
      <c r="D591" s="64"/>
      <c r="E591" s="64"/>
      <c r="F591" s="64"/>
      <c r="G591" s="64"/>
      <c r="H591" s="64"/>
      <c r="I591" s="64"/>
      <c r="J591" s="64"/>
      <c r="K591" s="64"/>
      <c r="L591" s="64"/>
      <c r="M591" s="64"/>
      <c r="N591" s="64"/>
      <c r="O591" s="64"/>
      <c r="P591" s="64"/>
      <c r="Q591" s="64"/>
      <c r="R591" s="64"/>
      <c r="S591" s="64"/>
      <c r="T591" s="64"/>
      <c r="U591" s="64"/>
      <c r="V591" s="64"/>
      <c r="W591" s="64"/>
      <c r="X591" s="64"/>
      <c r="Y591" s="64"/>
      <c r="Z591" s="64"/>
      <c r="AA591" s="64"/>
      <c r="AB591" s="64"/>
      <c r="AC591" s="64"/>
      <c r="AD591" s="64"/>
      <c r="AE591" s="64"/>
      <c r="AF591" s="64"/>
      <c r="AG591" s="64"/>
      <c r="AH591" s="64"/>
    </row>
    <row r="592">
      <c r="A592" s="64"/>
      <c r="B592" s="64"/>
      <c r="C592" s="64"/>
      <c r="D592" s="64"/>
      <c r="E592" s="64"/>
      <c r="F592" s="64"/>
      <c r="G592" s="64"/>
      <c r="H592" s="64"/>
      <c r="I592" s="64"/>
      <c r="J592" s="64"/>
      <c r="K592" s="64"/>
      <c r="L592" s="64"/>
      <c r="M592" s="64"/>
      <c r="N592" s="64"/>
      <c r="O592" s="64"/>
      <c r="P592" s="64"/>
      <c r="Q592" s="64"/>
      <c r="R592" s="64"/>
      <c r="S592" s="64"/>
      <c r="T592" s="64"/>
      <c r="U592" s="64"/>
      <c r="V592" s="64"/>
      <c r="W592" s="64"/>
      <c r="X592" s="64"/>
      <c r="Y592" s="64"/>
      <c r="Z592" s="64"/>
      <c r="AA592" s="64"/>
      <c r="AB592" s="64"/>
      <c r="AC592" s="64"/>
      <c r="AD592" s="64"/>
      <c r="AE592" s="64"/>
      <c r="AF592" s="64"/>
      <c r="AG592" s="64"/>
      <c r="AH592" s="64"/>
    </row>
    <row r="593">
      <c r="A593" s="64"/>
      <c r="B593" s="64"/>
      <c r="C593" s="64"/>
      <c r="D593" s="64"/>
      <c r="E593" s="64"/>
      <c r="F593" s="64"/>
      <c r="G593" s="64"/>
      <c r="H593" s="64"/>
      <c r="I593" s="64"/>
      <c r="J593" s="64"/>
      <c r="K593" s="64"/>
      <c r="L593" s="64"/>
      <c r="M593" s="64"/>
      <c r="N593" s="64"/>
      <c r="O593" s="64"/>
      <c r="P593" s="64"/>
      <c r="Q593" s="64"/>
      <c r="R593" s="64"/>
      <c r="S593" s="64"/>
      <c r="T593" s="64"/>
      <c r="U593" s="64"/>
      <c r="V593" s="64"/>
      <c r="W593" s="64"/>
      <c r="X593" s="64"/>
      <c r="Y593" s="64"/>
      <c r="Z593" s="64"/>
      <c r="AA593" s="64"/>
      <c r="AB593" s="64"/>
      <c r="AC593" s="64"/>
      <c r="AD593" s="64"/>
      <c r="AE593" s="64"/>
      <c r="AF593" s="64"/>
      <c r="AG593" s="64"/>
      <c r="AH593" s="64"/>
    </row>
    <row r="594">
      <c r="A594" s="64"/>
      <c r="B594" s="64"/>
      <c r="C594" s="64"/>
      <c r="D594" s="64"/>
      <c r="E594" s="64"/>
      <c r="F594" s="64"/>
      <c r="G594" s="64"/>
      <c r="H594" s="64"/>
      <c r="I594" s="64"/>
      <c r="J594" s="64"/>
      <c r="K594" s="64"/>
      <c r="L594" s="64"/>
      <c r="M594" s="64"/>
      <c r="N594" s="64"/>
      <c r="O594" s="64"/>
      <c r="P594" s="64"/>
      <c r="Q594" s="64"/>
      <c r="R594" s="64"/>
      <c r="S594" s="64"/>
      <c r="T594" s="64"/>
      <c r="U594" s="64"/>
      <c r="V594" s="64"/>
      <c r="W594" s="64"/>
      <c r="X594" s="64"/>
      <c r="Y594" s="64"/>
      <c r="Z594" s="64"/>
      <c r="AA594" s="64"/>
      <c r="AB594" s="64"/>
      <c r="AC594" s="64"/>
      <c r="AD594" s="64"/>
      <c r="AE594" s="64"/>
      <c r="AF594" s="64"/>
      <c r="AG594" s="64"/>
      <c r="AH594" s="64"/>
    </row>
    <row r="595">
      <c r="A595" s="64"/>
      <c r="B595" s="64"/>
      <c r="C595" s="64"/>
      <c r="D595" s="64"/>
      <c r="E595" s="64"/>
      <c r="F595" s="64"/>
      <c r="G595" s="64"/>
      <c r="H595" s="64"/>
      <c r="I595" s="64"/>
      <c r="J595" s="64"/>
      <c r="K595" s="64"/>
      <c r="L595" s="64"/>
      <c r="M595" s="64"/>
      <c r="N595" s="64"/>
      <c r="O595" s="64"/>
      <c r="P595" s="64"/>
      <c r="Q595" s="64"/>
      <c r="R595" s="64"/>
      <c r="S595" s="64"/>
      <c r="T595" s="64"/>
      <c r="U595" s="64"/>
      <c r="V595" s="64"/>
      <c r="W595" s="64"/>
      <c r="X595" s="64"/>
      <c r="Y595" s="64"/>
      <c r="Z595" s="64"/>
      <c r="AA595" s="64"/>
      <c r="AB595" s="64"/>
      <c r="AC595" s="64"/>
      <c r="AD595" s="64"/>
      <c r="AE595" s="64"/>
      <c r="AF595" s="64"/>
      <c r="AG595" s="64"/>
      <c r="AH595" s="64"/>
    </row>
    <row r="596">
      <c r="A596" s="64"/>
      <c r="B596" s="64"/>
      <c r="C596" s="64"/>
      <c r="D596" s="64"/>
      <c r="E596" s="64"/>
      <c r="F596" s="64"/>
      <c r="G596" s="64"/>
      <c r="H596" s="64"/>
      <c r="I596" s="64"/>
      <c r="J596" s="64"/>
      <c r="K596" s="64"/>
      <c r="L596" s="64"/>
      <c r="M596" s="64"/>
      <c r="N596" s="64"/>
      <c r="O596" s="64"/>
      <c r="P596" s="64"/>
      <c r="Q596" s="64"/>
      <c r="R596" s="64"/>
      <c r="S596" s="64"/>
      <c r="T596" s="64"/>
      <c r="U596" s="64"/>
      <c r="V596" s="64"/>
      <c r="W596" s="64"/>
      <c r="X596" s="64"/>
      <c r="Y596" s="64"/>
      <c r="Z596" s="64"/>
      <c r="AA596" s="64"/>
      <c r="AB596" s="64"/>
      <c r="AC596" s="64"/>
      <c r="AD596" s="64"/>
      <c r="AE596" s="64"/>
      <c r="AF596" s="64"/>
      <c r="AG596" s="64"/>
      <c r="AH596" s="64"/>
    </row>
    <row r="597">
      <c r="A597" s="64"/>
      <c r="B597" s="64"/>
      <c r="C597" s="64"/>
      <c r="D597" s="64"/>
      <c r="E597" s="64"/>
      <c r="F597" s="64"/>
      <c r="G597" s="64"/>
      <c r="H597" s="64"/>
      <c r="I597" s="64"/>
      <c r="J597" s="64"/>
      <c r="K597" s="64"/>
      <c r="L597" s="64"/>
      <c r="M597" s="64"/>
      <c r="N597" s="64"/>
      <c r="O597" s="64"/>
      <c r="P597" s="64"/>
      <c r="Q597" s="64"/>
      <c r="R597" s="64"/>
      <c r="S597" s="64"/>
      <c r="T597" s="64"/>
      <c r="U597" s="64"/>
      <c r="V597" s="64"/>
      <c r="W597" s="64"/>
      <c r="X597" s="64"/>
      <c r="Y597" s="64"/>
      <c r="Z597" s="64"/>
      <c r="AA597" s="64"/>
      <c r="AB597" s="64"/>
      <c r="AC597" s="64"/>
      <c r="AD597" s="64"/>
      <c r="AE597" s="64"/>
      <c r="AF597" s="64"/>
      <c r="AG597" s="64"/>
      <c r="AH597" s="64"/>
    </row>
    <row r="598">
      <c r="A598" s="64"/>
      <c r="B598" s="64"/>
      <c r="C598" s="64"/>
      <c r="D598" s="64"/>
      <c r="E598" s="64"/>
      <c r="F598" s="64"/>
      <c r="G598" s="64"/>
      <c r="H598" s="64"/>
      <c r="I598" s="64"/>
      <c r="J598" s="64"/>
      <c r="K598" s="64"/>
      <c r="L598" s="64"/>
      <c r="M598" s="64"/>
      <c r="N598" s="64"/>
      <c r="O598" s="64"/>
      <c r="P598" s="64"/>
      <c r="Q598" s="64"/>
      <c r="R598" s="64"/>
      <c r="S598" s="64"/>
      <c r="T598" s="64"/>
      <c r="U598" s="64"/>
      <c r="V598" s="64"/>
      <c r="W598" s="64"/>
      <c r="X598" s="64"/>
      <c r="Y598" s="64"/>
      <c r="Z598" s="64"/>
      <c r="AA598" s="64"/>
      <c r="AB598" s="64"/>
      <c r="AC598" s="64"/>
      <c r="AD598" s="64"/>
      <c r="AE598" s="64"/>
      <c r="AF598" s="64"/>
      <c r="AG598" s="64"/>
      <c r="AH598" s="64"/>
    </row>
    <row r="599">
      <c r="A599" s="64"/>
      <c r="B599" s="64"/>
      <c r="C599" s="64"/>
      <c r="D599" s="64"/>
      <c r="E599" s="64"/>
      <c r="F599" s="64"/>
      <c r="G599" s="64"/>
      <c r="H599" s="64"/>
      <c r="I599" s="64"/>
      <c r="J599" s="64"/>
      <c r="K599" s="64"/>
      <c r="L599" s="64"/>
      <c r="M599" s="64"/>
      <c r="N599" s="64"/>
      <c r="O599" s="64"/>
      <c r="P599" s="64"/>
      <c r="Q599" s="64"/>
      <c r="R599" s="64"/>
      <c r="S599" s="64"/>
      <c r="T599" s="64"/>
      <c r="U599" s="64"/>
      <c r="V599" s="64"/>
      <c r="W599" s="64"/>
      <c r="X599" s="64"/>
      <c r="Y599" s="64"/>
      <c r="Z599" s="64"/>
      <c r="AA599" s="64"/>
      <c r="AB599" s="64"/>
      <c r="AC599" s="64"/>
      <c r="AD599" s="64"/>
      <c r="AE599" s="64"/>
      <c r="AF599" s="64"/>
      <c r="AG599" s="64"/>
      <c r="AH599" s="64"/>
    </row>
    <row r="600">
      <c r="A600" s="64"/>
      <c r="B600" s="64"/>
      <c r="C600" s="64"/>
      <c r="D600" s="64"/>
      <c r="E600" s="64"/>
      <c r="F600" s="64"/>
      <c r="G600" s="64"/>
      <c r="H600" s="64"/>
      <c r="I600" s="64"/>
      <c r="J600" s="64"/>
      <c r="K600" s="64"/>
      <c r="L600" s="64"/>
      <c r="M600" s="64"/>
      <c r="N600" s="64"/>
      <c r="O600" s="64"/>
      <c r="P600" s="64"/>
      <c r="Q600" s="64"/>
      <c r="R600" s="64"/>
      <c r="S600" s="64"/>
      <c r="T600" s="64"/>
      <c r="U600" s="64"/>
      <c r="V600" s="64"/>
      <c r="W600" s="64"/>
      <c r="X600" s="64"/>
      <c r="Y600" s="64"/>
      <c r="Z600" s="64"/>
      <c r="AA600" s="64"/>
      <c r="AB600" s="64"/>
      <c r="AC600" s="64"/>
      <c r="AD600" s="64"/>
      <c r="AE600" s="64"/>
      <c r="AF600" s="64"/>
      <c r="AG600" s="64"/>
      <c r="AH600" s="64"/>
    </row>
    <row r="601">
      <c r="A601" s="64"/>
      <c r="B601" s="64"/>
      <c r="C601" s="64"/>
      <c r="D601" s="64"/>
      <c r="E601" s="64"/>
      <c r="F601" s="64"/>
      <c r="G601" s="64"/>
      <c r="H601" s="64"/>
      <c r="I601" s="64"/>
      <c r="J601" s="64"/>
      <c r="K601" s="64"/>
      <c r="L601" s="64"/>
      <c r="M601" s="64"/>
      <c r="N601" s="64"/>
      <c r="O601" s="64"/>
      <c r="P601" s="64"/>
      <c r="Q601" s="64"/>
      <c r="R601" s="64"/>
      <c r="S601" s="64"/>
      <c r="T601" s="64"/>
      <c r="U601" s="64"/>
      <c r="V601" s="64"/>
      <c r="W601" s="64"/>
      <c r="X601" s="64"/>
      <c r="Y601" s="64"/>
      <c r="Z601" s="64"/>
      <c r="AA601" s="64"/>
      <c r="AB601" s="64"/>
      <c r="AC601" s="64"/>
      <c r="AD601" s="64"/>
      <c r="AE601" s="64"/>
      <c r="AF601" s="64"/>
      <c r="AG601" s="64"/>
      <c r="AH601" s="64"/>
    </row>
    <row r="602">
      <c r="A602" s="64"/>
      <c r="B602" s="64"/>
      <c r="C602" s="64"/>
      <c r="D602" s="64"/>
      <c r="E602" s="64"/>
      <c r="F602" s="64"/>
      <c r="G602" s="64"/>
      <c r="H602" s="64"/>
      <c r="I602" s="64"/>
      <c r="J602" s="64"/>
      <c r="K602" s="64"/>
      <c r="L602" s="64"/>
      <c r="M602" s="64"/>
      <c r="N602" s="64"/>
      <c r="O602" s="64"/>
      <c r="P602" s="64"/>
      <c r="Q602" s="64"/>
      <c r="R602" s="64"/>
      <c r="S602" s="64"/>
      <c r="T602" s="64"/>
      <c r="U602" s="64"/>
      <c r="V602" s="64"/>
      <c r="W602" s="64"/>
      <c r="X602" s="64"/>
      <c r="Y602" s="64"/>
      <c r="Z602" s="64"/>
      <c r="AA602" s="64"/>
      <c r="AB602" s="64"/>
      <c r="AC602" s="64"/>
      <c r="AD602" s="64"/>
      <c r="AE602" s="64"/>
      <c r="AF602" s="64"/>
      <c r="AG602" s="64"/>
      <c r="AH602" s="64"/>
    </row>
    <row r="603">
      <c r="A603" s="64"/>
      <c r="B603" s="64"/>
      <c r="C603" s="64"/>
      <c r="D603" s="64"/>
      <c r="E603" s="64"/>
      <c r="F603" s="64"/>
      <c r="G603" s="64"/>
      <c r="H603" s="64"/>
      <c r="I603" s="64"/>
      <c r="J603" s="64"/>
      <c r="K603" s="64"/>
      <c r="L603" s="64"/>
      <c r="M603" s="64"/>
      <c r="N603" s="64"/>
      <c r="O603" s="64"/>
      <c r="P603" s="64"/>
      <c r="Q603" s="64"/>
      <c r="R603" s="64"/>
      <c r="S603" s="64"/>
      <c r="T603" s="64"/>
      <c r="U603" s="64"/>
      <c r="V603" s="64"/>
      <c r="W603" s="64"/>
      <c r="X603" s="64"/>
      <c r="Y603" s="64"/>
      <c r="Z603" s="64"/>
      <c r="AA603" s="64"/>
      <c r="AB603" s="64"/>
      <c r="AC603" s="64"/>
      <c r="AD603" s="64"/>
      <c r="AE603" s="64"/>
      <c r="AF603" s="64"/>
      <c r="AG603" s="64"/>
      <c r="AH603" s="64"/>
    </row>
    <row r="604">
      <c r="A604" s="64"/>
      <c r="B604" s="64"/>
      <c r="C604" s="64"/>
      <c r="D604" s="64"/>
      <c r="E604" s="64"/>
      <c r="F604" s="64"/>
      <c r="G604" s="64"/>
      <c r="H604" s="64"/>
      <c r="I604" s="64"/>
      <c r="J604" s="64"/>
      <c r="K604" s="64"/>
      <c r="L604" s="64"/>
      <c r="M604" s="64"/>
      <c r="N604" s="64"/>
      <c r="O604" s="64"/>
      <c r="P604" s="64"/>
      <c r="Q604" s="64"/>
      <c r="R604" s="64"/>
      <c r="S604" s="64"/>
      <c r="T604" s="64"/>
      <c r="U604" s="64"/>
      <c r="V604" s="64"/>
      <c r="W604" s="64"/>
      <c r="X604" s="64"/>
      <c r="Y604" s="64"/>
      <c r="Z604" s="64"/>
      <c r="AA604" s="64"/>
      <c r="AB604" s="64"/>
      <c r="AC604" s="64"/>
      <c r="AD604" s="64"/>
      <c r="AE604" s="64"/>
      <c r="AF604" s="64"/>
      <c r="AG604" s="64"/>
      <c r="AH604" s="64"/>
    </row>
    <row r="605">
      <c r="A605" s="64"/>
      <c r="B605" s="64"/>
      <c r="C605" s="64"/>
      <c r="D605" s="64"/>
      <c r="E605" s="64"/>
      <c r="F605" s="64"/>
      <c r="G605" s="64"/>
      <c r="H605" s="64"/>
      <c r="I605" s="64"/>
      <c r="J605" s="64"/>
      <c r="K605" s="64"/>
      <c r="L605" s="64"/>
      <c r="M605" s="64"/>
      <c r="N605" s="64"/>
      <c r="O605" s="64"/>
      <c r="P605" s="64"/>
      <c r="Q605" s="64"/>
      <c r="R605" s="64"/>
      <c r="S605" s="64"/>
      <c r="T605" s="64"/>
      <c r="U605" s="64"/>
      <c r="V605" s="64"/>
      <c r="W605" s="64"/>
      <c r="X605" s="64"/>
      <c r="Y605" s="64"/>
      <c r="Z605" s="64"/>
      <c r="AA605" s="64"/>
      <c r="AB605" s="64"/>
      <c r="AC605" s="64"/>
      <c r="AD605" s="64"/>
      <c r="AE605" s="64"/>
      <c r="AF605" s="64"/>
      <c r="AG605" s="64"/>
      <c r="AH605" s="64"/>
    </row>
    <row r="606">
      <c r="A606" s="64"/>
      <c r="B606" s="64"/>
      <c r="C606" s="64"/>
      <c r="D606" s="64"/>
      <c r="E606" s="64"/>
      <c r="F606" s="64"/>
      <c r="G606" s="64"/>
      <c r="H606" s="64"/>
      <c r="I606" s="64"/>
      <c r="J606" s="64"/>
      <c r="K606" s="64"/>
      <c r="L606" s="64"/>
      <c r="M606" s="64"/>
      <c r="N606" s="64"/>
      <c r="O606" s="64"/>
      <c r="P606" s="64"/>
      <c r="Q606" s="64"/>
      <c r="R606" s="64"/>
      <c r="S606" s="64"/>
      <c r="T606" s="64"/>
      <c r="U606" s="64"/>
      <c r="V606" s="64"/>
      <c r="W606" s="64"/>
      <c r="X606" s="64"/>
      <c r="Y606" s="64"/>
      <c r="Z606" s="64"/>
      <c r="AA606" s="64"/>
      <c r="AB606" s="64"/>
      <c r="AC606" s="64"/>
      <c r="AD606" s="64"/>
      <c r="AE606" s="64"/>
      <c r="AF606" s="64"/>
      <c r="AG606" s="64"/>
      <c r="AH606" s="64"/>
    </row>
    <row r="607">
      <c r="A607" s="64"/>
      <c r="B607" s="64"/>
      <c r="C607" s="64"/>
      <c r="D607" s="64"/>
      <c r="E607" s="64"/>
      <c r="F607" s="64"/>
      <c r="G607" s="64"/>
      <c r="H607" s="64"/>
      <c r="I607" s="64"/>
      <c r="J607" s="64"/>
      <c r="K607" s="64"/>
      <c r="L607" s="64"/>
      <c r="M607" s="64"/>
      <c r="N607" s="64"/>
      <c r="O607" s="64"/>
      <c r="P607" s="64"/>
      <c r="Q607" s="64"/>
      <c r="R607" s="64"/>
      <c r="S607" s="64"/>
      <c r="T607" s="64"/>
      <c r="U607" s="64"/>
      <c r="V607" s="64"/>
      <c r="W607" s="64"/>
      <c r="X607" s="64"/>
      <c r="Y607" s="64"/>
      <c r="Z607" s="64"/>
      <c r="AA607" s="64"/>
      <c r="AB607" s="64"/>
      <c r="AC607" s="64"/>
      <c r="AD607" s="64"/>
      <c r="AE607" s="64"/>
      <c r="AF607" s="64"/>
      <c r="AG607" s="64"/>
      <c r="AH607" s="64"/>
    </row>
    <row r="608">
      <c r="A608" s="64"/>
      <c r="B608" s="64"/>
      <c r="C608" s="64"/>
      <c r="D608" s="64"/>
      <c r="E608" s="64"/>
      <c r="F608" s="64"/>
      <c r="G608" s="64"/>
      <c r="H608" s="64"/>
      <c r="I608" s="64"/>
      <c r="J608" s="64"/>
      <c r="K608" s="64"/>
      <c r="L608" s="64"/>
      <c r="M608" s="64"/>
      <c r="N608" s="64"/>
      <c r="O608" s="64"/>
      <c r="P608" s="64"/>
      <c r="Q608" s="64"/>
      <c r="R608" s="64"/>
      <c r="S608" s="64"/>
      <c r="T608" s="64"/>
      <c r="U608" s="64"/>
      <c r="V608" s="64"/>
      <c r="W608" s="64"/>
      <c r="X608" s="64"/>
      <c r="Y608" s="64"/>
      <c r="Z608" s="64"/>
      <c r="AA608" s="64"/>
      <c r="AB608" s="64"/>
      <c r="AC608" s="64"/>
      <c r="AD608" s="64"/>
      <c r="AE608" s="64"/>
      <c r="AF608" s="64"/>
      <c r="AG608" s="64"/>
      <c r="AH608" s="64"/>
    </row>
    <row r="609">
      <c r="A609" s="64"/>
      <c r="B609" s="64"/>
      <c r="C609" s="64"/>
      <c r="D609" s="64"/>
      <c r="E609" s="64"/>
      <c r="F609" s="64"/>
      <c r="G609" s="64"/>
      <c r="H609" s="64"/>
      <c r="I609" s="64"/>
      <c r="J609" s="64"/>
      <c r="K609" s="64"/>
      <c r="L609" s="64"/>
      <c r="M609" s="64"/>
      <c r="N609" s="64"/>
      <c r="O609" s="64"/>
      <c r="P609" s="64"/>
      <c r="Q609" s="64"/>
      <c r="R609" s="64"/>
      <c r="S609" s="64"/>
      <c r="T609" s="64"/>
      <c r="U609" s="64"/>
      <c r="V609" s="64"/>
      <c r="W609" s="64"/>
      <c r="X609" s="64"/>
      <c r="Y609" s="64"/>
      <c r="Z609" s="64"/>
      <c r="AA609" s="64"/>
      <c r="AB609" s="64"/>
      <c r="AC609" s="64"/>
      <c r="AD609" s="64"/>
      <c r="AE609" s="64"/>
      <c r="AF609" s="64"/>
      <c r="AG609" s="64"/>
      <c r="AH609" s="64"/>
    </row>
    <row r="610">
      <c r="A610" s="64"/>
      <c r="B610" s="64"/>
      <c r="C610" s="64"/>
      <c r="D610" s="64"/>
      <c r="E610" s="64"/>
      <c r="F610" s="64"/>
      <c r="G610" s="64"/>
      <c r="H610" s="64"/>
      <c r="I610" s="64"/>
      <c r="J610" s="64"/>
      <c r="K610" s="64"/>
      <c r="L610" s="64"/>
      <c r="M610" s="64"/>
      <c r="N610" s="64"/>
      <c r="O610" s="64"/>
      <c r="P610" s="64"/>
      <c r="Q610" s="64"/>
      <c r="R610" s="64"/>
      <c r="S610" s="64"/>
      <c r="T610" s="64"/>
      <c r="U610" s="64"/>
      <c r="V610" s="64"/>
      <c r="W610" s="64"/>
      <c r="X610" s="64"/>
      <c r="Y610" s="64"/>
      <c r="Z610" s="64"/>
      <c r="AA610" s="64"/>
      <c r="AB610" s="64"/>
      <c r="AC610" s="64"/>
      <c r="AD610" s="64"/>
      <c r="AE610" s="64"/>
      <c r="AF610" s="64"/>
      <c r="AG610" s="64"/>
      <c r="AH610" s="64"/>
    </row>
    <row r="611">
      <c r="A611" s="64"/>
      <c r="B611" s="64"/>
      <c r="C611" s="64"/>
      <c r="D611" s="64"/>
      <c r="E611" s="64"/>
      <c r="F611" s="64"/>
      <c r="G611" s="64"/>
      <c r="H611" s="64"/>
      <c r="I611" s="64"/>
      <c r="J611" s="64"/>
      <c r="K611" s="64"/>
      <c r="L611" s="64"/>
      <c r="M611" s="64"/>
      <c r="N611" s="64"/>
      <c r="O611" s="64"/>
      <c r="P611" s="64"/>
      <c r="Q611" s="64"/>
      <c r="R611" s="64"/>
      <c r="S611" s="64"/>
      <c r="T611" s="64"/>
      <c r="U611" s="64"/>
      <c r="V611" s="64"/>
      <c r="W611" s="64"/>
      <c r="X611" s="64"/>
      <c r="Y611" s="64"/>
      <c r="Z611" s="64"/>
      <c r="AA611" s="64"/>
      <c r="AB611" s="64"/>
      <c r="AC611" s="64"/>
      <c r="AD611" s="64"/>
      <c r="AE611" s="64"/>
      <c r="AF611" s="64"/>
      <c r="AG611" s="64"/>
      <c r="AH611" s="64"/>
    </row>
    <row r="612">
      <c r="A612" s="64"/>
      <c r="B612" s="64"/>
      <c r="C612" s="64"/>
      <c r="D612" s="64"/>
      <c r="E612" s="64"/>
      <c r="F612" s="64"/>
      <c r="G612" s="64"/>
      <c r="H612" s="64"/>
      <c r="I612" s="64"/>
      <c r="J612" s="64"/>
      <c r="K612" s="64"/>
      <c r="L612" s="64"/>
      <c r="M612" s="64"/>
      <c r="N612" s="64"/>
      <c r="O612" s="64"/>
      <c r="P612" s="64"/>
      <c r="Q612" s="64"/>
      <c r="R612" s="64"/>
      <c r="S612" s="64"/>
      <c r="T612" s="64"/>
      <c r="U612" s="64"/>
      <c r="V612" s="64"/>
      <c r="W612" s="64"/>
      <c r="X612" s="64"/>
      <c r="Y612" s="64"/>
      <c r="Z612" s="64"/>
      <c r="AA612" s="64"/>
      <c r="AB612" s="64"/>
      <c r="AC612" s="64"/>
      <c r="AD612" s="64"/>
      <c r="AE612" s="64"/>
      <c r="AF612" s="64"/>
      <c r="AG612" s="64"/>
      <c r="AH612" s="64"/>
    </row>
    <row r="613">
      <c r="A613" s="64"/>
      <c r="B613" s="64"/>
      <c r="C613" s="64"/>
      <c r="D613" s="64"/>
      <c r="E613" s="64"/>
      <c r="F613" s="64"/>
      <c r="G613" s="64"/>
      <c r="H613" s="64"/>
      <c r="I613" s="64"/>
      <c r="J613" s="64"/>
      <c r="K613" s="64"/>
      <c r="L613" s="64"/>
      <c r="M613" s="64"/>
      <c r="N613" s="64"/>
      <c r="O613" s="64"/>
      <c r="P613" s="64"/>
      <c r="Q613" s="64"/>
      <c r="R613" s="64"/>
      <c r="S613" s="64"/>
      <c r="T613" s="64"/>
      <c r="U613" s="64"/>
      <c r="V613" s="64"/>
      <c r="W613" s="64"/>
      <c r="X613" s="64"/>
      <c r="Y613" s="64"/>
      <c r="Z613" s="64"/>
      <c r="AA613" s="64"/>
      <c r="AB613" s="64"/>
      <c r="AC613" s="64"/>
      <c r="AD613" s="64"/>
      <c r="AE613" s="64"/>
      <c r="AF613" s="64"/>
      <c r="AG613" s="64"/>
      <c r="AH613" s="64"/>
    </row>
    <row r="614">
      <c r="A614" s="64"/>
      <c r="B614" s="64"/>
      <c r="C614" s="64"/>
      <c r="D614" s="64"/>
      <c r="E614" s="64"/>
      <c r="F614" s="64"/>
      <c r="G614" s="64"/>
      <c r="H614" s="64"/>
      <c r="I614" s="64"/>
      <c r="J614" s="64"/>
      <c r="K614" s="64"/>
      <c r="L614" s="64"/>
      <c r="M614" s="64"/>
      <c r="N614" s="64"/>
      <c r="O614" s="64"/>
      <c r="P614" s="64"/>
      <c r="Q614" s="64"/>
      <c r="R614" s="64"/>
      <c r="S614" s="64"/>
      <c r="T614" s="64"/>
      <c r="U614" s="64"/>
      <c r="V614" s="64"/>
      <c r="W614" s="64"/>
      <c r="X614" s="64"/>
      <c r="Y614" s="64"/>
      <c r="Z614" s="64"/>
      <c r="AA614" s="64"/>
      <c r="AB614" s="64"/>
      <c r="AC614" s="64"/>
      <c r="AD614" s="64"/>
      <c r="AE614" s="64"/>
      <c r="AF614" s="64"/>
      <c r="AG614" s="64"/>
      <c r="AH614" s="64"/>
    </row>
    <row r="615">
      <c r="A615" s="64"/>
      <c r="B615" s="64"/>
      <c r="C615" s="64"/>
      <c r="D615" s="64"/>
      <c r="E615" s="64"/>
      <c r="F615" s="64"/>
      <c r="G615" s="64"/>
      <c r="H615" s="64"/>
      <c r="I615" s="64"/>
      <c r="J615" s="64"/>
      <c r="K615" s="64"/>
      <c r="L615" s="64"/>
      <c r="M615" s="64"/>
      <c r="N615" s="64"/>
      <c r="O615" s="64"/>
      <c r="P615" s="64"/>
      <c r="Q615" s="64"/>
      <c r="R615" s="64"/>
      <c r="S615" s="64"/>
      <c r="T615" s="64"/>
      <c r="U615" s="64"/>
      <c r="V615" s="64"/>
      <c r="W615" s="64"/>
      <c r="X615" s="64"/>
      <c r="Y615" s="64"/>
      <c r="Z615" s="64"/>
      <c r="AA615" s="64"/>
      <c r="AB615" s="64"/>
      <c r="AC615" s="64"/>
      <c r="AD615" s="64"/>
      <c r="AE615" s="64"/>
      <c r="AF615" s="64"/>
      <c r="AG615" s="64"/>
      <c r="AH615" s="64"/>
    </row>
    <row r="616">
      <c r="A616" s="64"/>
      <c r="B616" s="64"/>
      <c r="C616" s="64"/>
      <c r="D616" s="64"/>
      <c r="E616" s="64"/>
      <c r="F616" s="64"/>
      <c r="G616" s="64"/>
      <c r="H616" s="64"/>
      <c r="I616" s="64"/>
      <c r="J616" s="64"/>
      <c r="K616" s="64"/>
      <c r="L616" s="64"/>
      <c r="M616" s="64"/>
      <c r="N616" s="64"/>
      <c r="O616" s="64"/>
      <c r="P616" s="64"/>
      <c r="Q616" s="64"/>
      <c r="R616" s="64"/>
      <c r="S616" s="64"/>
      <c r="T616" s="64"/>
      <c r="U616" s="64"/>
      <c r="V616" s="64"/>
      <c r="W616" s="64"/>
      <c r="X616" s="64"/>
      <c r="Y616" s="64"/>
      <c r="Z616" s="64"/>
      <c r="AA616" s="64"/>
      <c r="AB616" s="64"/>
      <c r="AC616" s="64"/>
      <c r="AD616" s="64"/>
      <c r="AE616" s="64"/>
      <c r="AF616" s="64"/>
      <c r="AG616" s="64"/>
      <c r="AH616" s="64"/>
    </row>
    <row r="617">
      <c r="A617" s="64"/>
      <c r="B617" s="64"/>
      <c r="C617" s="64"/>
      <c r="D617" s="64"/>
      <c r="E617" s="64"/>
      <c r="F617" s="64"/>
      <c r="G617" s="64"/>
      <c r="H617" s="64"/>
      <c r="I617" s="64"/>
      <c r="J617" s="64"/>
      <c r="K617" s="64"/>
      <c r="L617" s="64"/>
      <c r="M617" s="64"/>
      <c r="N617" s="64"/>
      <c r="O617" s="64"/>
      <c r="P617" s="64"/>
      <c r="Q617" s="64"/>
      <c r="R617" s="64"/>
      <c r="S617" s="64"/>
      <c r="T617" s="64"/>
      <c r="U617" s="64"/>
      <c r="V617" s="64"/>
      <c r="W617" s="64"/>
      <c r="X617" s="64"/>
      <c r="Y617" s="64"/>
      <c r="Z617" s="64"/>
      <c r="AA617" s="64"/>
      <c r="AB617" s="64"/>
      <c r="AC617" s="64"/>
      <c r="AD617" s="64"/>
      <c r="AE617" s="64"/>
      <c r="AF617" s="64"/>
      <c r="AG617" s="64"/>
      <c r="AH617" s="64"/>
    </row>
    <row r="618">
      <c r="A618" s="64"/>
      <c r="B618" s="64"/>
      <c r="C618" s="64"/>
      <c r="D618" s="64"/>
      <c r="E618" s="64"/>
      <c r="F618" s="64"/>
      <c r="G618" s="64"/>
      <c r="H618" s="64"/>
      <c r="I618" s="64"/>
      <c r="J618" s="64"/>
      <c r="K618" s="64"/>
      <c r="L618" s="64"/>
      <c r="M618" s="64"/>
      <c r="N618" s="64"/>
      <c r="O618" s="64"/>
      <c r="P618" s="64"/>
      <c r="Q618" s="64"/>
      <c r="R618" s="64"/>
      <c r="S618" s="64"/>
      <c r="T618" s="64"/>
      <c r="U618" s="64"/>
      <c r="V618" s="64"/>
      <c r="W618" s="64"/>
      <c r="X618" s="64"/>
      <c r="Y618" s="64"/>
      <c r="Z618" s="64"/>
      <c r="AA618" s="64"/>
      <c r="AB618" s="64"/>
      <c r="AC618" s="64"/>
      <c r="AD618" s="64"/>
      <c r="AE618" s="64"/>
      <c r="AF618" s="64"/>
      <c r="AG618" s="64"/>
      <c r="AH618" s="64"/>
    </row>
    <row r="619">
      <c r="A619" s="64"/>
      <c r="B619" s="64"/>
      <c r="C619" s="64"/>
      <c r="D619" s="64"/>
      <c r="E619" s="64"/>
      <c r="F619" s="64"/>
      <c r="G619" s="64"/>
      <c r="H619" s="64"/>
      <c r="I619" s="64"/>
      <c r="J619" s="64"/>
      <c r="K619" s="64"/>
      <c r="L619" s="64"/>
      <c r="M619" s="64"/>
      <c r="N619" s="64"/>
      <c r="O619" s="64"/>
      <c r="P619" s="64"/>
      <c r="Q619" s="64"/>
      <c r="R619" s="64"/>
      <c r="S619" s="64"/>
      <c r="T619" s="64"/>
      <c r="U619" s="64"/>
      <c r="V619" s="64"/>
      <c r="W619" s="64"/>
      <c r="X619" s="64"/>
      <c r="Y619" s="64"/>
      <c r="Z619" s="64"/>
      <c r="AA619" s="64"/>
      <c r="AB619" s="64"/>
      <c r="AC619" s="64"/>
      <c r="AD619" s="64"/>
      <c r="AE619" s="64"/>
      <c r="AF619" s="64"/>
      <c r="AG619" s="64"/>
      <c r="AH619" s="64"/>
    </row>
    <row r="620">
      <c r="A620" s="64"/>
      <c r="B620" s="64"/>
      <c r="C620" s="64"/>
      <c r="D620" s="64"/>
      <c r="E620" s="64"/>
      <c r="F620" s="64"/>
      <c r="G620" s="64"/>
      <c r="H620" s="64"/>
      <c r="I620" s="64"/>
      <c r="J620" s="64"/>
      <c r="K620" s="64"/>
      <c r="L620" s="64"/>
      <c r="M620" s="64"/>
      <c r="N620" s="64"/>
      <c r="O620" s="64"/>
      <c r="P620" s="64"/>
      <c r="Q620" s="64"/>
      <c r="R620" s="64"/>
      <c r="S620" s="64"/>
      <c r="T620" s="64"/>
      <c r="U620" s="64"/>
      <c r="V620" s="64"/>
      <c r="W620" s="64"/>
      <c r="X620" s="64"/>
      <c r="Y620" s="64"/>
      <c r="Z620" s="64"/>
      <c r="AA620" s="64"/>
      <c r="AB620" s="64"/>
      <c r="AC620" s="64"/>
      <c r="AD620" s="64"/>
      <c r="AE620" s="64"/>
      <c r="AF620" s="64"/>
      <c r="AG620" s="64"/>
      <c r="AH620" s="64"/>
    </row>
    <row r="621">
      <c r="A621" s="64"/>
      <c r="B621" s="64"/>
      <c r="C621" s="64"/>
      <c r="D621" s="64"/>
      <c r="E621" s="64"/>
      <c r="F621" s="64"/>
      <c r="G621" s="64"/>
      <c r="H621" s="64"/>
      <c r="I621" s="64"/>
      <c r="J621" s="64"/>
      <c r="K621" s="64"/>
      <c r="L621" s="64"/>
      <c r="M621" s="64"/>
      <c r="N621" s="64"/>
      <c r="O621" s="64"/>
      <c r="P621" s="64"/>
      <c r="Q621" s="64"/>
      <c r="R621" s="64"/>
      <c r="S621" s="64"/>
      <c r="T621" s="64"/>
      <c r="U621" s="64"/>
      <c r="V621" s="64"/>
      <c r="W621" s="64"/>
      <c r="X621" s="64"/>
      <c r="Y621" s="64"/>
      <c r="Z621" s="64"/>
      <c r="AA621" s="64"/>
      <c r="AB621" s="64"/>
      <c r="AC621" s="64"/>
      <c r="AD621" s="64"/>
      <c r="AE621" s="64"/>
      <c r="AF621" s="64"/>
      <c r="AG621" s="64"/>
      <c r="AH621" s="64"/>
    </row>
    <row r="622">
      <c r="A622" s="64"/>
      <c r="B622" s="64"/>
      <c r="C622" s="64"/>
      <c r="D622" s="64"/>
      <c r="E622" s="64"/>
      <c r="F622" s="64"/>
      <c r="G622" s="64"/>
      <c r="H622" s="64"/>
      <c r="I622" s="64"/>
      <c r="J622" s="64"/>
      <c r="K622" s="64"/>
      <c r="L622" s="64"/>
      <c r="M622" s="64"/>
      <c r="N622" s="64"/>
      <c r="O622" s="64"/>
      <c r="P622" s="64"/>
      <c r="Q622" s="64"/>
      <c r="R622" s="64"/>
      <c r="S622" s="64"/>
      <c r="T622" s="64"/>
      <c r="U622" s="64"/>
      <c r="V622" s="64"/>
      <c r="W622" s="64"/>
      <c r="X622" s="64"/>
      <c r="Y622" s="64"/>
      <c r="Z622" s="64"/>
      <c r="AA622" s="64"/>
      <c r="AB622" s="64"/>
      <c r="AC622" s="64"/>
      <c r="AD622" s="64"/>
      <c r="AE622" s="64"/>
      <c r="AF622" s="64"/>
      <c r="AG622" s="64"/>
      <c r="AH622" s="64"/>
    </row>
    <row r="623">
      <c r="A623" s="64"/>
      <c r="B623" s="64"/>
      <c r="C623" s="64"/>
      <c r="D623" s="64"/>
      <c r="E623" s="64"/>
      <c r="F623" s="64"/>
      <c r="G623" s="64"/>
      <c r="H623" s="64"/>
      <c r="I623" s="64"/>
      <c r="J623" s="64"/>
      <c r="K623" s="64"/>
      <c r="L623" s="64"/>
      <c r="M623" s="64"/>
      <c r="N623" s="64"/>
      <c r="O623" s="64"/>
      <c r="P623" s="64"/>
      <c r="Q623" s="64"/>
      <c r="R623" s="64"/>
      <c r="S623" s="64"/>
      <c r="T623" s="64"/>
      <c r="U623" s="64"/>
      <c r="V623" s="64"/>
      <c r="W623" s="64"/>
      <c r="X623" s="64"/>
      <c r="Y623" s="64"/>
      <c r="Z623" s="64"/>
      <c r="AA623" s="64"/>
      <c r="AB623" s="64"/>
      <c r="AC623" s="64"/>
      <c r="AD623" s="64"/>
      <c r="AE623" s="64"/>
      <c r="AF623" s="64"/>
      <c r="AG623" s="64"/>
      <c r="AH623" s="64"/>
    </row>
    <row r="624">
      <c r="A624" s="64"/>
      <c r="B624" s="64"/>
      <c r="C624" s="64"/>
      <c r="D624" s="64"/>
      <c r="E624" s="64"/>
      <c r="F624" s="64"/>
      <c r="G624" s="64"/>
      <c r="H624" s="64"/>
      <c r="I624" s="64"/>
      <c r="J624" s="64"/>
      <c r="K624" s="64"/>
      <c r="L624" s="64"/>
      <c r="M624" s="64"/>
      <c r="N624" s="64"/>
      <c r="O624" s="64"/>
      <c r="P624" s="64"/>
      <c r="Q624" s="64"/>
      <c r="R624" s="64"/>
      <c r="S624" s="64"/>
      <c r="T624" s="64"/>
      <c r="U624" s="64"/>
      <c r="V624" s="64"/>
      <c r="W624" s="64"/>
      <c r="X624" s="64"/>
      <c r="Y624" s="64"/>
      <c r="Z624" s="64"/>
      <c r="AA624" s="64"/>
      <c r="AB624" s="64"/>
      <c r="AC624" s="64"/>
      <c r="AD624" s="64"/>
      <c r="AE624" s="64"/>
      <c r="AF624" s="64"/>
      <c r="AG624" s="64"/>
      <c r="AH624" s="64"/>
    </row>
    <row r="625">
      <c r="A625" s="64"/>
      <c r="B625" s="64"/>
      <c r="C625" s="64"/>
      <c r="D625" s="64"/>
      <c r="E625" s="64"/>
      <c r="F625" s="64"/>
      <c r="G625" s="64"/>
      <c r="H625" s="64"/>
      <c r="I625" s="64"/>
      <c r="J625" s="64"/>
      <c r="K625" s="64"/>
      <c r="L625" s="64"/>
      <c r="M625" s="64"/>
      <c r="N625" s="64"/>
      <c r="O625" s="64"/>
      <c r="P625" s="64"/>
      <c r="Q625" s="64"/>
      <c r="R625" s="64"/>
      <c r="S625" s="64"/>
      <c r="T625" s="64"/>
      <c r="U625" s="64"/>
      <c r="V625" s="64"/>
      <c r="W625" s="64"/>
      <c r="X625" s="64"/>
      <c r="Y625" s="64"/>
      <c r="Z625" s="64"/>
      <c r="AA625" s="64"/>
      <c r="AB625" s="64"/>
      <c r="AC625" s="64"/>
      <c r="AD625" s="64"/>
      <c r="AE625" s="64"/>
      <c r="AF625" s="64"/>
      <c r="AG625" s="64"/>
      <c r="AH625" s="64"/>
    </row>
    <row r="626">
      <c r="A626" s="64"/>
      <c r="B626" s="64"/>
      <c r="C626" s="64"/>
      <c r="D626" s="64"/>
      <c r="E626" s="64"/>
      <c r="F626" s="64"/>
      <c r="G626" s="64"/>
      <c r="H626" s="64"/>
      <c r="I626" s="64"/>
      <c r="J626" s="64"/>
      <c r="K626" s="64"/>
      <c r="L626" s="64"/>
      <c r="M626" s="64"/>
      <c r="N626" s="64"/>
      <c r="O626" s="64"/>
      <c r="P626" s="64"/>
      <c r="Q626" s="64"/>
      <c r="R626" s="64"/>
      <c r="S626" s="64"/>
      <c r="T626" s="64"/>
      <c r="U626" s="64"/>
      <c r="V626" s="64"/>
      <c r="W626" s="64"/>
      <c r="X626" s="64"/>
      <c r="Y626" s="64"/>
      <c r="Z626" s="64"/>
      <c r="AA626" s="64"/>
      <c r="AB626" s="64"/>
      <c r="AC626" s="64"/>
      <c r="AD626" s="64"/>
      <c r="AE626" s="64"/>
      <c r="AF626" s="64"/>
      <c r="AG626" s="64"/>
      <c r="AH626" s="64"/>
    </row>
    <row r="627">
      <c r="A627" s="64"/>
      <c r="B627" s="64"/>
      <c r="C627" s="64"/>
      <c r="D627" s="64"/>
      <c r="E627" s="64"/>
      <c r="F627" s="64"/>
      <c r="G627" s="64"/>
      <c r="H627" s="64"/>
      <c r="I627" s="64"/>
      <c r="J627" s="64"/>
      <c r="K627" s="64"/>
      <c r="L627" s="64"/>
      <c r="M627" s="64"/>
      <c r="N627" s="64"/>
      <c r="O627" s="64"/>
      <c r="P627" s="64"/>
      <c r="Q627" s="64"/>
      <c r="R627" s="64"/>
      <c r="S627" s="64"/>
      <c r="T627" s="64"/>
      <c r="U627" s="64"/>
      <c r="V627" s="64"/>
      <c r="W627" s="64"/>
      <c r="X627" s="64"/>
      <c r="Y627" s="64"/>
      <c r="Z627" s="64"/>
      <c r="AA627" s="64"/>
      <c r="AB627" s="64"/>
      <c r="AC627" s="64"/>
      <c r="AD627" s="64"/>
      <c r="AE627" s="64"/>
      <c r="AF627" s="64"/>
      <c r="AG627" s="64"/>
      <c r="AH627" s="64"/>
    </row>
    <row r="628">
      <c r="A628" s="64"/>
      <c r="B628" s="64"/>
      <c r="C628" s="64"/>
      <c r="D628" s="64"/>
      <c r="E628" s="64"/>
      <c r="F628" s="64"/>
      <c r="G628" s="64"/>
      <c r="H628" s="64"/>
      <c r="I628" s="64"/>
      <c r="J628" s="64"/>
      <c r="K628" s="64"/>
      <c r="L628" s="64"/>
      <c r="M628" s="64"/>
      <c r="N628" s="64"/>
      <c r="O628" s="64"/>
      <c r="P628" s="64"/>
      <c r="Q628" s="64"/>
      <c r="R628" s="64"/>
      <c r="S628" s="64"/>
      <c r="T628" s="64"/>
      <c r="U628" s="64"/>
      <c r="V628" s="64"/>
      <c r="W628" s="64"/>
      <c r="X628" s="64"/>
      <c r="Y628" s="64"/>
      <c r="Z628" s="64"/>
      <c r="AA628" s="64"/>
      <c r="AB628" s="64"/>
      <c r="AC628" s="64"/>
      <c r="AD628" s="64"/>
      <c r="AE628" s="64"/>
      <c r="AF628" s="64"/>
      <c r="AG628" s="64"/>
      <c r="AH628" s="64"/>
    </row>
    <row r="629">
      <c r="A629" s="64"/>
      <c r="B629" s="64"/>
      <c r="C629" s="64"/>
      <c r="D629" s="64"/>
      <c r="E629" s="64"/>
      <c r="F629" s="64"/>
      <c r="G629" s="64"/>
      <c r="H629" s="64"/>
      <c r="I629" s="64"/>
      <c r="J629" s="64"/>
      <c r="K629" s="64"/>
      <c r="L629" s="64"/>
      <c r="M629" s="64"/>
      <c r="N629" s="64"/>
      <c r="O629" s="64"/>
      <c r="P629" s="64"/>
      <c r="Q629" s="64"/>
      <c r="R629" s="64"/>
      <c r="S629" s="64"/>
      <c r="T629" s="64"/>
      <c r="U629" s="64"/>
      <c r="V629" s="64"/>
      <c r="W629" s="64"/>
      <c r="X629" s="64"/>
      <c r="Y629" s="64"/>
      <c r="Z629" s="64"/>
      <c r="AA629" s="64"/>
      <c r="AB629" s="64"/>
      <c r="AC629" s="64"/>
      <c r="AD629" s="64"/>
      <c r="AE629" s="64"/>
      <c r="AF629" s="64"/>
      <c r="AG629" s="64"/>
      <c r="AH629" s="64"/>
    </row>
    <row r="630">
      <c r="A630" s="64"/>
      <c r="B630" s="64"/>
      <c r="C630" s="64"/>
      <c r="D630" s="64"/>
      <c r="E630" s="64"/>
      <c r="F630" s="64"/>
      <c r="G630" s="64"/>
      <c r="H630" s="64"/>
      <c r="I630" s="64"/>
      <c r="J630" s="64"/>
      <c r="K630" s="64"/>
      <c r="L630" s="64"/>
      <c r="M630" s="64"/>
      <c r="N630" s="64"/>
      <c r="O630" s="64"/>
      <c r="P630" s="64"/>
      <c r="Q630" s="64"/>
      <c r="R630" s="64"/>
      <c r="S630" s="64"/>
      <c r="T630" s="64"/>
      <c r="U630" s="64"/>
      <c r="V630" s="64"/>
      <c r="W630" s="64"/>
      <c r="X630" s="64"/>
      <c r="Y630" s="64"/>
      <c r="Z630" s="64"/>
      <c r="AA630" s="64"/>
      <c r="AB630" s="64"/>
      <c r="AC630" s="64"/>
      <c r="AD630" s="64"/>
      <c r="AE630" s="64"/>
      <c r="AF630" s="64"/>
      <c r="AG630" s="64"/>
      <c r="AH630" s="64"/>
    </row>
    <row r="631">
      <c r="A631" s="64"/>
      <c r="B631" s="64"/>
      <c r="C631" s="64"/>
      <c r="D631" s="64"/>
      <c r="E631" s="64"/>
      <c r="F631" s="64"/>
      <c r="G631" s="64"/>
      <c r="H631" s="64"/>
      <c r="I631" s="64"/>
      <c r="J631" s="64"/>
      <c r="K631" s="64"/>
      <c r="L631" s="64"/>
      <c r="M631" s="64"/>
      <c r="N631" s="64"/>
      <c r="O631" s="64"/>
      <c r="P631" s="64"/>
      <c r="Q631" s="64"/>
      <c r="R631" s="64"/>
      <c r="S631" s="64"/>
      <c r="T631" s="64"/>
      <c r="U631" s="64"/>
      <c r="V631" s="64"/>
      <c r="W631" s="64"/>
      <c r="X631" s="64"/>
      <c r="Y631" s="64"/>
      <c r="Z631" s="64"/>
      <c r="AA631" s="64"/>
      <c r="AB631" s="64"/>
      <c r="AC631" s="64"/>
      <c r="AD631" s="64"/>
      <c r="AE631" s="64"/>
      <c r="AF631" s="64"/>
      <c r="AG631" s="64"/>
      <c r="AH631" s="64"/>
    </row>
    <row r="632">
      <c r="A632" s="64"/>
      <c r="B632" s="64"/>
      <c r="C632" s="64"/>
      <c r="D632" s="64"/>
      <c r="E632" s="64"/>
      <c r="F632" s="64"/>
      <c r="G632" s="64"/>
      <c r="H632" s="64"/>
      <c r="I632" s="64"/>
      <c r="J632" s="64"/>
      <c r="K632" s="64"/>
      <c r="L632" s="64"/>
      <c r="M632" s="64"/>
      <c r="N632" s="64"/>
      <c r="O632" s="64"/>
      <c r="P632" s="64"/>
      <c r="Q632" s="64"/>
      <c r="R632" s="64"/>
      <c r="S632" s="64"/>
      <c r="T632" s="64"/>
      <c r="U632" s="64"/>
      <c r="V632" s="64"/>
      <c r="W632" s="64"/>
      <c r="X632" s="64"/>
      <c r="Y632" s="64"/>
      <c r="Z632" s="64"/>
      <c r="AA632" s="64"/>
      <c r="AB632" s="64"/>
      <c r="AC632" s="64"/>
      <c r="AD632" s="64"/>
      <c r="AE632" s="64"/>
      <c r="AF632" s="64"/>
      <c r="AG632" s="64"/>
      <c r="AH632" s="64"/>
    </row>
    <row r="633">
      <c r="A633" s="64"/>
      <c r="B633" s="64"/>
      <c r="C633" s="64"/>
      <c r="D633" s="64"/>
      <c r="E633" s="64"/>
      <c r="F633" s="64"/>
      <c r="G633" s="64"/>
      <c r="H633" s="64"/>
      <c r="I633" s="64"/>
      <c r="J633" s="64"/>
      <c r="K633" s="64"/>
      <c r="L633" s="64"/>
      <c r="M633" s="64"/>
      <c r="N633" s="64"/>
      <c r="O633" s="64"/>
      <c r="P633" s="64"/>
      <c r="Q633" s="64"/>
      <c r="R633" s="64"/>
      <c r="S633" s="64"/>
      <c r="T633" s="64"/>
      <c r="U633" s="64"/>
      <c r="V633" s="64"/>
      <c r="W633" s="64"/>
      <c r="X633" s="64"/>
      <c r="Y633" s="64"/>
      <c r="Z633" s="64"/>
      <c r="AA633" s="64"/>
      <c r="AB633" s="64"/>
      <c r="AC633" s="64"/>
      <c r="AD633" s="64"/>
      <c r="AE633" s="64"/>
      <c r="AF633" s="64"/>
      <c r="AG633" s="64"/>
      <c r="AH633" s="64"/>
    </row>
    <row r="634">
      <c r="A634" s="64"/>
      <c r="B634" s="64"/>
      <c r="C634" s="64"/>
      <c r="D634" s="64"/>
      <c r="E634" s="64"/>
      <c r="F634" s="64"/>
      <c r="G634" s="64"/>
      <c r="H634" s="64"/>
      <c r="I634" s="64"/>
      <c r="J634" s="64"/>
      <c r="K634" s="64"/>
      <c r="L634" s="64"/>
      <c r="M634" s="64"/>
      <c r="N634" s="64"/>
      <c r="O634" s="64"/>
      <c r="P634" s="64"/>
      <c r="Q634" s="64"/>
      <c r="R634" s="64"/>
      <c r="S634" s="64"/>
      <c r="T634" s="64"/>
      <c r="U634" s="64"/>
      <c r="V634" s="64"/>
      <c r="W634" s="64"/>
      <c r="X634" s="64"/>
      <c r="Y634" s="64"/>
      <c r="Z634" s="64"/>
      <c r="AA634" s="64"/>
      <c r="AB634" s="64"/>
      <c r="AC634" s="64"/>
      <c r="AD634" s="64"/>
      <c r="AE634" s="64"/>
      <c r="AF634" s="64"/>
      <c r="AG634" s="64"/>
      <c r="AH634" s="64"/>
    </row>
    <row r="635">
      <c r="A635" s="64"/>
      <c r="B635" s="64"/>
      <c r="C635" s="64"/>
      <c r="D635" s="64"/>
      <c r="E635" s="64"/>
      <c r="F635" s="64"/>
      <c r="G635" s="64"/>
      <c r="H635" s="64"/>
      <c r="I635" s="64"/>
      <c r="J635" s="64"/>
      <c r="K635" s="64"/>
      <c r="L635" s="64"/>
      <c r="M635" s="64"/>
      <c r="N635" s="64"/>
      <c r="O635" s="64"/>
      <c r="P635" s="64"/>
      <c r="Q635" s="64"/>
      <c r="R635" s="64"/>
      <c r="S635" s="64"/>
      <c r="T635" s="64"/>
      <c r="U635" s="64"/>
      <c r="V635" s="64"/>
      <c r="W635" s="64"/>
      <c r="X635" s="64"/>
      <c r="Y635" s="64"/>
      <c r="Z635" s="64"/>
      <c r="AA635" s="64"/>
      <c r="AB635" s="64"/>
      <c r="AC635" s="64"/>
      <c r="AD635" s="64"/>
      <c r="AE635" s="64"/>
      <c r="AF635" s="64"/>
      <c r="AG635" s="64"/>
      <c r="AH635" s="64"/>
    </row>
    <row r="636">
      <c r="A636" s="64"/>
      <c r="B636" s="64"/>
      <c r="C636" s="64"/>
      <c r="D636" s="64"/>
      <c r="E636" s="64"/>
      <c r="F636" s="64"/>
      <c r="G636" s="64"/>
      <c r="H636" s="64"/>
      <c r="I636" s="64"/>
      <c r="J636" s="64"/>
      <c r="K636" s="64"/>
      <c r="L636" s="64"/>
      <c r="M636" s="64"/>
      <c r="N636" s="64"/>
      <c r="O636" s="64"/>
      <c r="P636" s="64"/>
      <c r="Q636" s="64"/>
      <c r="R636" s="64"/>
      <c r="S636" s="64"/>
      <c r="T636" s="64"/>
      <c r="U636" s="64"/>
      <c r="V636" s="64"/>
      <c r="W636" s="64"/>
      <c r="X636" s="64"/>
      <c r="Y636" s="64"/>
      <c r="Z636" s="64"/>
      <c r="AA636" s="64"/>
      <c r="AB636" s="64"/>
      <c r="AC636" s="64"/>
      <c r="AD636" s="64"/>
      <c r="AE636" s="64"/>
      <c r="AF636" s="64"/>
      <c r="AG636" s="64"/>
      <c r="AH636" s="64"/>
    </row>
    <row r="637">
      <c r="A637" s="64"/>
      <c r="B637" s="64"/>
      <c r="C637" s="64"/>
      <c r="D637" s="64"/>
      <c r="E637" s="64"/>
      <c r="F637" s="64"/>
      <c r="G637" s="64"/>
      <c r="H637" s="64"/>
      <c r="I637" s="64"/>
      <c r="J637" s="64"/>
      <c r="K637" s="64"/>
      <c r="L637" s="64"/>
      <c r="M637" s="64"/>
      <c r="N637" s="64"/>
      <c r="O637" s="64"/>
      <c r="P637" s="64"/>
      <c r="Q637" s="64"/>
      <c r="R637" s="64"/>
      <c r="S637" s="64"/>
      <c r="T637" s="64"/>
      <c r="U637" s="64"/>
      <c r="V637" s="64"/>
      <c r="W637" s="64"/>
      <c r="X637" s="64"/>
      <c r="Y637" s="64"/>
      <c r="Z637" s="64"/>
      <c r="AA637" s="64"/>
      <c r="AB637" s="64"/>
      <c r="AC637" s="64"/>
      <c r="AD637" s="64"/>
      <c r="AE637" s="64"/>
      <c r="AF637" s="64"/>
      <c r="AG637" s="64"/>
      <c r="AH637" s="64"/>
    </row>
    <row r="638">
      <c r="A638" s="64"/>
      <c r="B638" s="64"/>
      <c r="C638" s="64"/>
      <c r="D638" s="64"/>
      <c r="E638" s="64"/>
      <c r="F638" s="64"/>
      <c r="G638" s="64"/>
      <c r="H638" s="64"/>
      <c r="I638" s="64"/>
      <c r="J638" s="64"/>
      <c r="K638" s="64"/>
      <c r="L638" s="64"/>
      <c r="M638" s="64"/>
      <c r="N638" s="64"/>
      <c r="O638" s="64"/>
      <c r="P638" s="64"/>
      <c r="Q638" s="64"/>
      <c r="R638" s="64"/>
      <c r="S638" s="64"/>
      <c r="T638" s="64"/>
      <c r="U638" s="64"/>
      <c r="V638" s="64"/>
      <c r="W638" s="64"/>
      <c r="X638" s="64"/>
      <c r="Y638" s="64"/>
      <c r="Z638" s="64"/>
      <c r="AA638" s="64"/>
      <c r="AB638" s="64"/>
      <c r="AC638" s="64"/>
      <c r="AD638" s="64"/>
      <c r="AE638" s="64"/>
      <c r="AF638" s="64"/>
      <c r="AG638" s="64"/>
      <c r="AH638" s="64"/>
    </row>
    <row r="639">
      <c r="A639" s="64"/>
      <c r="B639" s="64"/>
      <c r="C639" s="64"/>
      <c r="D639" s="64"/>
      <c r="E639" s="64"/>
      <c r="F639" s="64"/>
      <c r="G639" s="64"/>
      <c r="H639" s="64"/>
      <c r="I639" s="64"/>
      <c r="J639" s="64"/>
      <c r="K639" s="64"/>
      <c r="L639" s="64"/>
      <c r="M639" s="64"/>
      <c r="N639" s="64"/>
      <c r="O639" s="64"/>
      <c r="P639" s="64"/>
      <c r="Q639" s="64"/>
      <c r="R639" s="64"/>
      <c r="S639" s="64"/>
      <c r="T639" s="64"/>
      <c r="U639" s="64"/>
      <c r="V639" s="64"/>
      <c r="W639" s="64"/>
      <c r="X639" s="64"/>
      <c r="Y639" s="64"/>
      <c r="Z639" s="64"/>
      <c r="AA639" s="64"/>
      <c r="AB639" s="64"/>
      <c r="AC639" s="64"/>
      <c r="AD639" s="64"/>
      <c r="AE639" s="64"/>
      <c r="AF639" s="64"/>
      <c r="AG639" s="64"/>
      <c r="AH639" s="64"/>
    </row>
    <row r="640">
      <c r="A640" s="64"/>
      <c r="B640" s="64"/>
      <c r="C640" s="64"/>
      <c r="D640" s="64"/>
      <c r="E640" s="64"/>
      <c r="F640" s="64"/>
      <c r="G640" s="64"/>
      <c r="H640" s="64"/>
      <c r="I640" s="64"/>
      <c r="J640" s="64"/>
      <c r="K640" s="64"/>
      <c r="L640" s="64"/>
      <c r="M640" s="64"/>
      <c r="N640" s="64"/>
      <c r="O640" s="64"/>
      <c r="P640" s="64"/>
      <c r="Q640" s="64"/>
      <c r="R640" s="64"/>
      <c r="S640" s="64"/>
      <c r="T640" s="64"/>
      <c r="U640" s="64"/>
      <c r="V640" s="64"/>
      <c r="W640" s="64"/>
      <c r="X640" s="64"/>
      <c r="Y640" s="64"/>
      <c r="Z640" s="64"/>
      <c r="AA640" s="64"/>
      <c r="AB640" s="64"/>
      <c r="AC640" s="64"/>
      <c r="AD640" s="64"/>
      <c r="AE640" s="64"/>
      <c r="AF640" s="64"/>
      <c r="AG640" s="64"/>
      <c r="AH640" s="64"/>
    </row>
    <row r="641">
      <c r="A641" s="64"/>
      <c r="B641" s="64"/>
      <c r="C641" s="64"/>
      <c r="D641" s="64"/>
      <c r="E641" s="64"/>
      <c r="F641" s="64"/>
      <c r="G641" s="64"/>
      <c r="H641" s="64"/>
      <c r="I641" s="64"/>
      <c r="J641" s="64"/>
      <c r="K641" s="64"/>
      <c r="L641" s="64"/>
      <c r="M641" s="64"/>
      <c r="N641" s="64"/>
      <c r="O641" s="64"/>
      <c r="P641" s="64"/>
      <c r="Q641" s="64"/>
      <c r="R641" s="64"/>
      <c r="S641" s="64"/>
      <c r="T641" s="64"/>
      <c r="U641" s="64"/>
      <c r="V641" s="64"/>
      <c r="W641" s="64"/>
      <c r="X641" s="64"/>
      <c r="Y641" s="64"/>
      <c r="Z641" s="64"/>
      <c r="AA641" s="64"/>
      <c r="AB641" s="64"/>
      <c r="AC641" s="64"/>
      <c r="AD641" s="64"/>
      <c r="AE641" s="64"/>
      <c r="AF641" s="64"/>
      <c r="AG641" s="64"/>
      <c r="AH641" s="64"/>
    </row>
    <row r="642">
      <c r="A642" s="64"/>
      <c r="B642" s="64"/>
      <c r="C642" s="64"/>
      <c r="D642" s="64"/>
      <c r="E642" s="64"/>
      <c r="F642" s="64"/>
      <c r="G642" s="64"/>
      <c r="H642" s="64"/>
      <c r="I642" s="64"/>
      <c r="J642" s="64"/>
      <c r="K642" s="64"/>
      <c r="L642" s="64"/>
      <c r="M642" s="64"/>
      <c r="N642" s="64"/>
      <c r="O642" s="64"/>
      <c r="P642" s="64"/>
      <c r="Q642" s="64"/>
      <c r="R642" s="64"/>
      <c r="S642" s="64"/>
      <c r="T642" s="64"/>
      <c r="U642" s="64"/>
      <c r="V642" s="64"/>
      <c r="W642" s="64"/>
      <c r="X642" s="64"/>
      <c r="Y642" s="64"/>
      <c r="Z642" s="64"/>
      <c r="AA642" s="64"/>
      <c r="AB642" s="64"/>
      <c r="AC642" s="64"/>
      <c r="AD642" s="64"/>
      <c r="AE642" s="64"/>
      <c r="AF642" s="64"/>
      <c r="AG642" s="64"/>
      <c r="AH642" s="64"/>
    </row>
    <row r="643">
      <c r="A643" s="64"/>
      <c r="B643" s="64"/>
      <c r="C643" s="64"/>
      <c r="D643" s="64"/>
      <c r="E643" s="64"/>
      <c r="F643" s="64"/>
      <c r="G643" s="64"/>
      <c r="H643" s="64"/>
      <c r="I643" s="64"/>
      <c r="J643" s="64"/>
      <c r="K643" s="64"/>
      <c r="L643" s="64"/>
      <c r="M643" s="64"/>
      <c r="N643" s="64"/>
      <c r="O643" s="64"/>
      <c r="P643" s="64"/>
      <c r="Q643" s="64"/>
      <c r="R643" s="64"/>
      <c r="S643" s="64"/>
      <c r="T643" s="64"/>
      <c r="U643" s="64"/>
      <c r="V643" s="64"/>
      <c r="W643" s="64"/>
      <c r="X643" s="64"/>
      <c r="Y643" s="64"/>
      <c r="Z643" s="64"/>
      <c r="AA643" s="64"/>
      <c r="AB643" s="64"/>
      <c r="AC643" s="64"/>
      <c r="AD643" s="64"/>
      <c r="AE643" s="64"/>
      <c r="AF643" s="64"/>
      <c r="AG643" s="64"/>
      <c r="AH643" s="64"/>
    </row>
    <row r="644">
      <c r="A644" s="64"/>
      <c r="B644" s="64"/>
      <c r="C644" s="64"/>
      <c r="D644" s="64"/>
      <c r="E644" s="64"/>
      <c r="F644" s="64"/>
      <c r="G644" s="64"/>
      <c r="H644" s="64"/>
      <c r="I644" s="64"/>
      <c r="J644" s="64"/>
      <c r="K644" s="64"/>
      <c r="L644" s="64"/>
      <c r="M644" s="64"/>
      <c r="N644" s="64"/>
      <c r="O644" s="64"/>
      <c r="P644" s="64"/>
      <c r="Q644" s="64"/>
      <c r="R644" s="64"/>
      <c r="S644" s="64"/>
      <c r="T644" s="64"/>
      <c r="U644" s="64"/>
      <c r="V644" s="64"/>
      <c r="W644" s="64"/>
      <c r="X644" s="64"/>
      <c r="Y644" s="64"/>
      <c r="Z644" s="64"/>
      <c r="AA644" s="64"/>
      <c r="AB644" s="64"/>
      <c r="AC644" s="64"/>
      <c r="AD644" s="64"/>
      <c r="AE644" s="64"/>
      <c r="AF644" s="64"/>
      <c r="AG644" s="64"/>
      <c r="AH644" s="64"/>
    </row>
    <row r="645">
      <c r="A645" s="64"/>
      <c r="B645" s="64"/>
      <c r="C645" s="64"/>
      <c r="D645" s="64"/>
      <c r="E645" s="64"/>
      <c r="F645" s="64"/>
      <c r="G645" s="64"/>
      <c r="H645" s="64"/>
      <c r="I645" s="64"/>
      <c r="J645" s="64"/>
      <c r="K645" s="64"/>
      <c r="L645" s="64"/>
      <c r="M645" s="64"/>
      <c r="N645" s="64"/>
      <c r="O645" s="64"/>
      <c r="P645" s="64"/>
      <c r="Q645" s="64"/>
      <c r="R645" s="64"/>
      <c r="S645" s="64"/>
      <c r="T645" s="64"/>
      <c r="U645" s="64"/>
      <c r="V645" s="64"/>
      <c r="W645" s="64"/>
      <c r="X645" s="64"/>
      <c r="Y645" s="64"/>
      <c r="Z645" s="64"/>
      <c r="AA645" s="64"/>
      <c r="AB645" s="64"/>
      <c r="AC645" s="64"/>
      <c r="AD645" s="64"/>
      <c r="AE645" s="64"/>
      <c r="AF645" s="64"/>
      <c r="AG645" s="64"/>
      <c r="AH645" s="64"/>
    </row>
    <row r="646">
      <c r="A646" s="64"/>
      <c r="B646" s="64"/>
      <c r="C646" s="64"/>
      <c r="D646" s="64"/>
      <c r="E646" s="64"/>
      <c r="F646" s="64"/>
      <c r="G646" s="64"/>
      <c r="H646" s="64"/>
      <c r="I646" s="64"/>
      <c r="J646" s="64"/>
      <c r="K646" s="64"/>
      <c r="L646" s="64"/>
      <c r="M646" s="64"/>
      <c r="N646" s="64"/>
      <c r="O646" s="64"/>
      <c r="P646" s="64"/>
      <c r="Q646" s="64"/>
      <c r="R646" s="64"/>
      <c r="S646" s="64"/>
      <c r="T646" s="64"/>
      <c r="U646" s="64"/>
      <c r="V646" s="64"/>
      <c r="W646" s="64"/>
      <c r="X646" s="64"/>
      <c r="Y646" s="64"/>
      <c r="Z646" s="64"/>
      <c r="AA646" s="64"/>
      <c r="AB646" s="64"/>
      <c r="AC646" s="64"/>
      <c r="AD646" s="64"/>
      <c r="AE646" s="64"/>
      <c r="AF646" s="64"/>
      <c r="AG646" s="64"/>
      <c r="AH646" s="64"/>
    </row>
    <row r="647">
      <c r="A647" s="64"/>
      <c r="B647" s="64"/>
      <c r="C647" s="64"/>
      <c r="D647" s="64"/>
      <c r="E647" s="64"/>
      <c r="F647" s="64"/>
      <c r="G647" s="64"/>
      <c r="H647" s="64"/>
      <c r="I647" s="64"/>
      <c r="J647" s="64"/>
      <c r="K647" s="64"/>
      <c r="L647" s="64"/>
      <c r="M647" s="64"/>
      <c r="N647" s="64"/>
      <c r="O647" s="64"/>
      <c r="P647" s="64"/>
      <c r="Q647" s="64"/>
      <c r="R647" s="64"/>
      <c r="S647" s="64"/>
      <c r="T647" s="64"/>
      <c r="U647" s="64"/>
      <c r="V647" s="64"/>
      <c r="W647" s="64"/>
      <c r="X647" s="64"/>
      <c r="Y647" s="64"/>
      <c r="Z647" s="64"/>
      <c r="AA647" s="64"/>
      <c r="AB647" s="64"/>
      <c r="AC647" s="64"/>
      <c r="AD647" s="64"/>
      <c r="AE647" s="64"/>
      <c r="AF647" s="64"/>
      <c r="AG647" s="64"/>
      <c r="AH647" s="64"/>
    </row>
    <row r="648">
      <c r="A648" s="64"/>
      <c r="B648" s="64"/>
      <c r="C648" s="64"/>
      <c r="D648" s="64"/>
      <c r="E648" s="64"/>
      <c r="F648" s="64"/>
      <c r="G648" s="64"/>
      <c r="H648" s="64"/>
      <c r="I648" s="64"/>
      <c r="J648" s="64"/>
      <c r="K648" s="64"/>
      <c r="L648" s="64"/>
      <c r="M648" s="64"/>
      <c r="N648" s="64"/>
      <c r="O648" s="64"/>
      <c r="P648" s="64"/>
      <c r="Q648" s="64"/>
      <c r="R648" s="64"/>
      <c r="S648" s="64"/>
      <c r="T648" s="64"/>
      <c r="U648" s="64"/>
      <c r="V648" s="64"/>
      <c r="W648" s="64"/>
      <c r="X648" s="64"/>
      <c r="Y648" s="64"/>
      <c r="Z648" s="64"/>
      <c r="AA648" s="64"/>
      <c r="AB648" s="64"/>
      <c r="AC648" s="64"/>
      <c r="AD648" s="64"/>
      <c r="AE648" s="64"/>
      <c r="AF648" s="64"/>
      <c r="AG648" s="64"/>
      <c r="AH648" s="64"/>
    </row>
    <row r="649">
      <c r="A649" s="64"/>
      <c r="B649" s="64"/>
      <c r="C649" s="64"/>
      <c r="D649" s="64"/>
      <c r="E649" s="64"/>
      <c r="F649" s="64"/>
      <c r="G649" s="64"/>
      <c r="H649" s="64"/>
      <c r="I649" s="64"/>
      <c r="J649" s="64"/>
      <c r="K649" s="64"/>
      <c r="L649" s="64"/>
      <c r="M649" s="64"/>
      <c r="N649" s="64"/>
      <c r="O649" s="64"/>
      <c r="P649" s="64"/>
      <c r="Q649" s="64"/>
      <c r="R649" s="64"/>
      <c r="S649" s="64"/>
      <c r="T649" s="64"/>
      <c r="U649" s="64"/>
      <c r="V649" s="64"/>
      <c r="W649" s="64"/>
      <c r="X649" s="64"/>
      <c r="Y649" s="64"/>
      <c r="Z649" s="64"/>
      <c r="AA649" s="64"/>
      <c r="AB649" s="64"/>
      <c r="AC649" s="64"/>
      <c r="AD649" s="64"/>
      <c r="AE649" s="64"/>
      <c r="AF649" s="64"/>
      <c r="AG649" s="64"/>
      <c r="AH649" s="64"/>
    </row>
    <row r="650">
      <c r="A650" s="64"/>
      <c r="B650" s="64"/>
      <c r="C650" s="64"/>
      <c r="D650" s="64"/>
      <c r="E650" s="64"/>
      <c r="F650" s="64"/>
      <c r="G650" s="64"/>
      <c r="H650" s="64"/>
      <c r="I650" s="64"/>
      <c r="J650" s="64"/>
      <c r="K650" s="64"/>
      <c r="L650" s="64"/>
      <c r="M650" s="64"/>
      <c r="N650" s="64"/>
      <c r="O650" s="64"/>
      <c r="P650" s="64"/>
      <c r="Q650" s="64"/>
      <c r="R650" s="64"/>
      <c r="S650" s="64"/>
      <c r="T650" s="64"/>
      <c r="U650" s="64"/>
      <c r="V650" s="64"/>
      <c r="W650" s="64"/>
      <c r="X650" s="64"/>
      <c r="Y650" s="64"/>
      <c r="Z650" s="64"/>
      <c r="AA650" s="64"/>
      <c r="AB650" s="64"/>
      <c r="AC650" s="64"/>
      <c r="AD650" s="64"/>
      <c r="AE650" s="64"/>
      <c r="AF650" s="64"/>
      <c r="AG650" s="64"/>
      <c r="AH650" s="64"/>
    </row>
    <row r="651">
      <c r="A651" s="64"/>
      <c r="B651" s="64"/>
      <c r="C651" s="64"/>
      <c r="D651" s="64"/>
      <c r="E651" s="64"/>
      <c r="F651" s="64"/>
      <c r="G651" s="64"/>
      <c r="H651" s="64"/>
      <c r="I651" s="64"/>
      <c r="J651" s="64"/>
      <c r="K651" s="64"/>
      <c r="L651" s="64"/>
      <c r="M651" s="64"/>
      <c r="N651" s="64"/>
      <c r="O651" s="64"/>
      <c r="P651" s="64"/>
      <c r="Q651" s="64"/>
      <c r="R651" s="64"/>
      <c r="S651" s="64"/>
      <c r="T651" s="64"/>
      <c r="U651" s="64"/>
      <c r="V651" s="64"/>
      <c r="W651" s="64"/>
      <c r="X651" s="64"/>
      <c r="Y651" s="64"/>
      <c r="Z651" s="64"/>
      <c r="AA651" s="64"/>
      <c r="AB651" s="64"/>
      <c r="AC651" s="64"/>
      <c r="AD651" s="64"/>
      <c r="AE651" s="64"/>
      <c r="AF651" s="64"/>
      <c r="AG651" s="64"/>
      <c r="AH651" s="64"/>
    </row>
    <row r="652">
      <c r="A652" s="64"/>
      <c r="B652" s="64"/>
      <c r="C652" s="64"/>
      <c r="D652" s="64"/>
      <c r="E652" s="64"/>
      <c r="F652" s="64"/>
      <c r="G652" s="64"/>
      <c r="H652" s="64"/>
      <c r="I652" s="64"/>
      <c r="J652" s="64"/>
      <c r="K652" s="64"/>
      <c r="L652" s="64"/>
      <c r="M652" s="64"/>
      <c r="N652" s="64"/>
      <c r="O652" s="64"/>
      <c r="P652" s="64"/>
      <c r="Q652" s="64"/>
      <c r="R652" s="64"/>
      <c r="S652" s="64"/>
      <c r="T652" s="64"/>
      <c r="U652" s="64"/>
      <c r="V652" s="64"/>
      <c r="W652" s="64"/>
      <c r="X652" s="64"/>
      <c r="Y652" s="64"/>
      <c r="Z652" s="64"/>
      <c r="AA652" s="64"/>
      <c r="AB652" s="64"/>
      <c r="AC652" s="64"/>
      <c r="AD652" s="64"/>
      <c r="AE652" s="64"/>
      <c r="AF652" s="64"/>
      <c r="AG652" s="64"/>
      <c r="AH652" s="64"/>
    </row>
    <row r="653">
      <c r="A653" s="64"/>
      <c r="B653" s="64"/>
      <c r="C653" s="64"/>
      <c r="D653" s="64"/>
      <c r="E653" s="64"/>
      <c r="F653" s="64"/>
      <c r="G653" s="64"/>
      <c r="H653" s="64"/>
      <c r="I653" s="64"/>
      <c r="J653" s="64"/>
      <c r="K653" s="64"/>
      <c r="L653" s="64"/>
      <c r="M653" s="64"/>
      <c r="N653" s="64"/>
      <c r="O653" s="64"/>
      <c r="P653" s="64"/>
      <c r="Q653" s="64"/>
      <c r="R653" s="64"/>
      <c r="S653" s="64"/>
      <c r="T653" s="64"/>
      <c r="U653" s="64"/>
      <c r="V653" s="64"/>
      <c r="W653" s="64"/>
      <c r="X653" s="64"/>
      <c r="Y653" s="64"/>
      <c r="Z653" s="64"/>
      <c r="AA653" s="64"/>
      <c r="AB653" s="64"/>
      <c r="AC653" s="64"/>
      <c r="AD653" s="64"/>
      <c r="AE653" s="64"/>
      <c r="AF653" s="64"/>
      <c r="AG653" s="64"/>
      <c r="AH653" s="64"/>
    </row>
    <row r="654">
      <c r="A654" s="64"/>
      <c r="B654" s="64"/>
      <c r="C654" s="64"/>
      <c r="D654" s="64"/>
      <c r="E654" s="64"/>
      <c r="F654" s="64"/>
      <c r="G654" s="64"/>
      <c r="H654" s="64"/>
      <c r="I654" s="64"/>
      <c r="J654" s="64"/>
      <c r="K654" s="64"/>
      <c r="L654" s="64"/>
      <c r="M654" s="64"/>
      <c r="N654" s="64"/>
      <c r="O654" s="64"/>
      <c r="P654" s="64"/>
      <c r="Q654" s="64"/>
      <c r="R654" s="64"/>
      <c r="S654" s="64"/>
      <c r="T654" s="64"/>
      <c r="U654" s="64"/>
      <c r="V654" s="64"/>
      <c r="W654" s="64"/>
      <c r="X654" s="64"/>
      <c r="Y654" s="64"/>
      <c r="Z654" s="64"/>
      <c r="AA654" s="64"/>
      <c r="AB654" s="64"/>
      <c r="AC654" s="64"/>
      <c r="AD654" s="64"/>
      <c r="AE654" s="64"/>
      <c r="AF654" s="64"/>
      <c r="AG654" s="64"/>
      <c r="AH654" s="64"/>
    </row>
    <row r="655">
      <c r="A655" s="64"/>
      <c r="B655" s="64"/>
      <c r="C655" s="64"/>
      <c r="D655" s="64"/>
      <c r="E655" s="64"/>
      <c r="F655" s="64"/>
      <c r="G655" s="64"/>
      <c r="H655" s="64"/>
      <c r="I655" s="64"/>
      <c r="J655" s="64"/>
      <c r="K655" s="64"/>
      <c r="L655" s="64"/>
      <c r="M655" s="64"/>
      <c r="N655" s="64"/>
      <c r="O655" s="64"/>
      <c r="P655" s="64"/>
      <c r="Q655" s="64"/>
      <c r="R655" s="64"/>
      <c r="S655" s="64"/>
      <c r="T655" s="64"/>
      <c r="U655" s="64"/>
      <c r="V655" s="64"/>
      <c r="W655" s="64"/>
      <c r="X655" s="64"/>
      <c r="Y655" s="64"/>
      <c r="Z655" s="64"/>
      <c r="AA655" s="64"/>
      <c r="AB655" s="64"/>
      <c r="AC655" s="64"/>
      <c r="AD655" s="64"/>
      <c r="AE655" s="64"/>
      <c r="AF655" s="64"/>
      <c r="AG655" s="64"/>
      <c r="AH655" s="64"/>
    </row>
    <row r="656">
      <c r="A656" s="64"/>
      <c r="B656" s="64"/>
      <c r="C656" s="64"/>
      <c r="D656" s="64"/>
      <c r="E656" s="64"/>
      <c r="F656" s="64"/>
      <c r="G656" s="64"/>
      <c r="H656" s="64"/>
      <c r="I656" s="64"/>
      <c r="J656" s="64"/>
      <c r="K656" s="64"/>
      <c r="L656" s="64"/>
      <c r="M656" s="64"/>
      <c r="N656" s="64"/>
      <c r="O656" s="64"/>
      <c r="P656" s="64"/>
      <c r="Q656" s="64"/>
      <c r="R656" s="64"/>
      <c r="S656" s="64"/>
      <c r="T656" s="64"/>
      <c r="U656" s="64"/>
      <c r="V656" s="64"/>
      <c r="W656" s="64"/>
      <c r="X656" s="64"/>
      <c r="Y656" s="64"/>
      <c r="Z656" s="64"/>
      <c r="AA656" s="64"/>
      <c r="AB656" s="64"/>
      <c r="AC656" s="64"/>
      <c r="AD656" s="64"/>
      <c r="AE656" s="64"/>
      <c r="AF656" s="64"/>
      <c r="AG656" s="64"/>
      <c r="AH656" s="64"/>
    </row>
    <row r="657">
      <c r="A657" s="64"/>
      <c r="B657" s="64"/>
      <c r="C657" s="64"/>
      <c r="D657" s="64"/>
      <c r="E657" s="64"/>
      <c r="F657" s="64"/>
      <c r="G657" s="64"/>
      <c r="H657" s="64"/>
      <c r="I657" s="64"/>
      <c r="J657" s="64"/>
      <c r="K657" s="64"/>
      <c r="L657" s="64"/>
      <c r="M657" s="64"/>
      <c r="N657" s="64"/>
      <c r="O657" s="64"/>
      <c r="P657" s="64"/>
      <c r="Q657" s="64"/>
      <c r="R657" s="64"/>
      <c r="S657" s="64"/>
      <c r="T657" s="64"/>
      <c r="U657" s="64"/>
      <c r="V657" s="64"/>
      <c r="W657" s="64"/>
      <c r="X657" s="64"/>
      <c r="Y657" s="64"/>
      <c r="Z657" s="64"/>
      <c r="AA657" s="64"/>
      <c r="AB657" s="64"/>
      <c r="AC657" s="64"/>
      <c r="AD657" s="64"/>
      <c r="AE657" s="64"/>
      <c r="AF657" s="64"/>
      <c r="AG657" s="64"/>
      <c r="AH657" s="64"/>
    </row>
    <row r="658">
      <c r="A658" s="64"/>
      <c r="B658" s="64"/>
      <c r="C658" s="64"/>
      <c r="D658" s="64"/>
      <c r="E658" s="64"/>
      <c r="F658" s="64"/>
      <c r="G658" s="64"/>
      <c r="H658" s="64"/>
      <c r="I658" s="64"/>
      <c r="J658" s="64"/>
      <c r="K658" s="64"/>
      <c r="L658" s="64"/>
      <c r="M658" s="64"/>
      <c r="N658" s="64"/>
      <c r="O658" s="64"/>
      <c r="P658" s="64"/>
      <c r="Q658" s="64"/>
      <c r="R658" s="64"/>
      <c r="S658" s="64"/>
      <c r="T658" s="64"/>
      <c r="U658" s="64"/>
      <c r="V658" s="64"/>
      <c r="W658" s="64"/>
      <c r="X658" s="64"/>
      <c r="Y658" s="64"/>
      <c r="Z658" s="64"/>
      <c r="AA658" s="64"/>
      <c r="AB658" s="64"/>
      <c r="AC658" s="64"/>
      <c r="AD658" s="64"/>
      <c r="AE658" s="64"/>
      <c r="AF658" s="64"/>
      <c r="AG658" s="64"/>
      <c r="AH658" s="64"/>
    </row>
    <row r="659">
      <c r="A659" s="64"/>
      <c r="B659" s="64"/>
      <c r="C659" s="64"/>
      <c r="D659" s="64"/>
      <c r="E659" s="64"/>
      <c r="F659" s="64"/>
      <c r="G659" s="64"/>
      <c r="H659" s="64"/>
      <c r="I659" s="64"/>
      <c r="J659" s="64"/>
      <c r="K659" s="64"/>
      <c r="L659" s="64"/>
      <c r="M659" s="64"/>
      <c r="N659" s="64"/>
      <c r="O659" s="64"/>
      <c r="P659" s="64"/>
      <c r="Q659" s="64"/>
      <c r="R659" s="64"/>
      <c r="S659" s="64"/>
      <c r="T659" s="64"/>
      <c r="U659" s="64"/>
      <c r="V659" s="64"/>
      <c r="W659" s="64"/>
      <c r="X659" s="64"/>
      <c r="Y659" s="64"/>
      <c r="Z659" s="64"/>
      <c r="AA659" s="64"/>
      <c r="AB659" s="64"/>
      <c r="AC659" s="64"/>
      <c r="AD659" s="64"/>
      <c r="AE659" s="64"/>
      <c r="AF659" s="64"/>
      <c r="AG659" s="64"/>
      <c r="AH659" s="64"/>
    </row>
    <row r="660">
      <c r="A660" s="64"/>
      <c r="B660" s="64"/>
      <c r="C660" s="64"/>
      <c r="D660" s="64"/>
      <c r="E660" s="64"/>
      <c r="F660" s="64"/>
      <c r="G660" s="64"/>
      <c r="H660" s="64"/>
      <c r="I660" s="64"/>
      <c r="J660" s="64"/>
      <c r="K660" s="64"/>
      <c r="L660" s="64"/>
      <c r="M660" s="64"/>
      <c r="N660" s="64"/>
      <c r="O660" s="64"/>
      <c r="P660" s="64"/>
      <c r="Q660" s="64"/>
      <c r="R660" s="64"/>
      <c r="S660" s="64"/>
      <c r="T660" s="64"/>
      <c r="U660" s="64"/>
      <c r="V660" s="64"/>
      <c r="W660" s="64"/>
      <c r="X660" s="64"/>
      <c r="Y660" s="64"/>
      <c r="Z660" s="64"/>
      <c r="AA660" s="64"/>
      <c r="AB660" s="64"/>
      <c r="AC660" s="64"/>
      <c r="AD660" s="64"/>
      <c r="AE660" s="64"/>
      <c r="AF660" s="64"/>
      <c r="AG660" s="64"/>
      <c r="AH660" s="64"/>
    </row>
    <row r="661">
      <c r="A661" s="64"/>
      <c r="B661" s="64"/>
      <c r="C661" s="64"/>
      <c r="D661" s="64"/>
      <c r="E661" s="64"/>
      <c r="F661" s="64"/>
      <c r="G661" s="64"/>
      <c r="H661" s="64"/>
      <c r="I661" s="64"/>
      <c r="J661" s="64"/>
      <c r="K661" s="64"/>
      <c r="L661" s="64"/>
      <c r="M661" s="64"/>
      <c r="N661" s="64"/>
      <c r="O661" s="64"/>
      <c r="P661" s="64"/>
      <c r="Q661" s="64"/>
      <c r="R661" s="64"/>
      <c r="S661" s="64"/>
      <c r="T661" s="64"/>
      <c r="U661" s="64"/>
      <c r="V661" s="64"/>
      <c r="W661" s="64"/>
      <c r="X661" s="64"/>
      <c r="Y661" s="64"/>
      <c r="Z661" s="64"/>
      <c r="AA661" s="64"/>
      <c r="AB661" s="64"/>
      <c r="AC661" s="64"/>
      <c r="AD661" s="64"/>
      <c r="AE661" s="64"/>
      <c r="AF661" s="64"/>
      <c r="AG661" s="64"/>
      <c r="AH661" s="64"/>
    </row>
    <row r="662">
      <c r="A662" s="64"/>
      <c r="B662" s="64"/>
      <c r="C662" s="64"/>
      <c r="D662" s="64"/>
      <c r="E662" s="64"/>
      <c r="F662" s="64"/>
      <c r="G662" s="64"/>
      <c r="H662" s="64"/>
      <c r="I662" s="64"/>
      <c r="J662" s="64"/>
      <c r="K662" s="64"/>
      <c r="L662" s="64"/>
      <c r="M662" s="64"/>
      <c r="N662" s="64"/>
      <c r="O662" s="64"/>
      <c r="P662" s="64"/>
      <c r="Q662" s="64"/>
      <c r="R662" s="64"/>
      <c r="S662" s="64"/>
      <c r="T662" s="64"/>
      <c r="U662" s="64"/>
      <c r="V662" s="64"/>
      <c r="W662" s="64"/>
      <c r="X662" s="64"/>
      <c r="Y662" s="64"/>
      <c r="Z662" s="64"/>
      <c r="AA662" s="64"/>
      <c r="AB662" s="64"/>
      <c r="AC662" s="64"/>
      <c r="AD662" s="64"/>
      <c r="AE662" s="64"/>
      <c r="AF662" s="64"/>
      <c r="AG662" s="64"/>
      <c r="AH662" s="64"/>
    </row>
    <row r="663">
      <c r="A663" s="64"/>
      <c r="B663" s="64"/>
      <c r="C663" s="64"/>
      <c r="D663" s="64"/>
      <c r="E663" s="64"/>
      <c r="F663" s="64"/>
      <c r="G663" s="64"/>
      <c r="H663" s="64"/>
      <c r="I663" s="64"/>
      <c r="J663" s="64"/>
      <c r="K663" s="64"/>
      <c r="L663" s="64"/>
      <c r="M663" s="64"/>
      <c r="N663" s="64"/>
      <c r="O663" s="64"/>
      <c r="P663" s="64"/>
      <c r="Q663" s="64"/>
      <c r="R663" s="64"/>
      <c r="S663" s="64"/>
      <c r="T663" s="64"/>
      <c r="U663" s="64"/>
      <c r="V663" s="64"/>
      <c r="W663" s="64"/>
      <c r="X663" s="64"/>
      <c r="Y663" s="64"/>
      <c r="Z663" s="64"/>
      <c r="AA663" s="64"/>
      <c r="AB663" s="64"/>
      <c r="AC663" s="64"/>
      <c r="AD663" s="64"/>
      <c r="AE663" s="64"/>
      <c r="AF663" s="64"/>
      <c r="AG663" s="64"/>
      <c r="AH663" s="64"/>
    </row>
    <row r="664">
      <c r="A664" s="64"/>
      <c r="B664" s="64"/>
      <c r="C664" s="64"/>
      <c r="D664" s="64"/>
      <c r="E664" s="64"/>
      <c r="F664" s="64"/>
      <c r="G664" s="64"/>
      <c r="H664" s="64"/>
      <c r="I664" s="64"/>
      <c r="J664" s="64"/>
      <c r="K664" s="64"/>
      <c r="L664" s="64"/>
      <c r="M664" s="64"/>
      <c r="N664" s="64"/>
      <c r="O664" s="64"/>
      <c r="P664" s="64"/>
      <c r="Q664" s="64"/>
      <c r="R664" s="64"/>
      <c r="S664" s="64"/>
      <c r="T664" s="64"/>
      <c r="U664" s="64"/>
      <c r="V664" s="64"/>
      <c r="W664" s="64"/>
      <c r="X664" s="64"/>
      <c r="Y664" s="64"/>
      <c r="Z664" s="64"/>
      <c r="AA664" s="64"/>
      <c r="AB664" s="64"/>
      <c r="AC664" s="64"/>
      <c r="AD664" s="64"/>
      <c r="AE664" s="64"/>
      <c r="AF664" s="64"/>
      <c r="AG664" s="64"/>
      <c r="AH664" s="64"/>
    </row>
    <row r="665">
      <c r="A665" s="64"/>
      <c r="B665" s="64"/>
      <c r="C665" s="64"/>
      <c r="D665" s="64"/>
      <c r="E665" s="64"/>
      <c r="F665" s="64"/>
      <c r="G665" s="64"/>
      <c r="H665" s="64"/>
      <c r="I665" s="64"/>
      <c r="J665" s="64"/>
      <c r="K665" s="64"/>
      <c r="L665" s="64"/>
      <c r="M665" s="64"/>
      <c r="N665" s="64"/>
      <c r="O665" s="64"/>
      <c r="P665" s="64"/>
      <c r="Q665" s="64"/>
      <c r="R665" s="64"/>
      <c r="S665" s="64"/>
      <c r="T665" s="64"/>
      <c r="U665" s="64"/>
      <c r="V665" s="64"/>
      <c r="W665" s="64"/>
      <c r="X665" s="64"/>
      <c r="Y665" s="64"/>
      <c r="Z665" s="64"/>
      <c r="AA665" s="64"/>
      <c r="AB665" s="64"/>
      <c r="AC665" s="64"/>
      <c r="AD665" s="64"/>
      <c r="AE665" s="64"/>
      <c r="AF665" s="64"/>
      <c r="AG665" s="64"/>
      <c r="AH665" s="64"/>
    </row>
    <row r="666">
      <c r="A666" s="64"/>
      <c r="B666" s="64"/>
      <c r="C666" s="64"/>
      <c r="D666" s="64"/>
      <c r="E666" s="64"/>
      <c r="F666" s="64"/>
      <c r="G666" s="64"/>
      <c r="H666" s="64"/>
      <c r="I666" s="64"/>
      <c r="J666" s="64"/>
      <c r="K666" s="64"/>
      <c r="L666" s="64"/>
      <c r="M666" s="64"/>
      <c r="N666" s="64"/>
      <c r="O666" s="64"/>
      <c r="P666" s="64"/>
      <c r="Q666" s="64"/>
      <c r="R666" s="64"/>
      <c r="S666" s="64"/>
      <c r="T666" s="64"/>
      <c r="U666" s="64"/>
      <c r="V666" s="64"/>
      <c r="W666" s="64"/>
      <c r="X666" s="64"/>
      <c r="Y666" s="64"/>
      <c r="Z666" s="64"/>
      <c r="AA666" s="64"/>
      <c r="AB666" s="64"/>
      <c r="AC666" s="64"/>
      <c r="AD666" s="64"/>
      <c r="AE666" s="64"/>
      <c r="AF666" s="64"/>
      <c r="AG666" s="64"/>
      <c r="AH666" s="64"/>
    </row>
    <row r="667">
      <c r="A667" s="64"/>
      <c r="B667" s="64"/>
      <c r="C667" s="64"/>
      <c r="D667" s="64"/>
      <c r="E667" s="64"/>
      <c r="F667" s="64"/>
      <c r="G667" s="64"/>
      <c r="H667" s="64"/>
      <c r="I667" s="64"/>
      <c r="J667" s="64"/>
      <c r="K667" s="64"/>
      <c r="L667" s="64"/>
      <c r="M667" s="64"/>
      <c r="N667" s="64"/>
      <c r="O667" s="64"/>
      <c r="P667" s="64"/>
      <c r="Q667" s="64"/>
      <c r="R667" s="64"/>
      <c r="S667" s="64"/>
      <c r="T667" s="64"/>
      <c r="U667" s="64"/>
      <c r="V667" s="64"/>
      <c r="W667" s="64"/>
      <c r="X667" s="64"/>
      <c r="Y667" s="64"/>
      <c r="Z667" s="64"/>
      <c r="AA667" s="64"/>
      <c r="AB667" s="64"/>
      <c r="AC667" s="64"/>
      <c r="AD667" s="64"/>
      <c r="AE667" s="64"/>
      <c r="AF667" s="64"/>
      <c r="AG667" s="64"/>
      <c r="AH667" s="64"/>
    </row>
    <row r="668">
      <c r="A668" s="64"/>
      <c r="B668" s="64"/>
      <c r="C668" s="64"/>
      <c r="D668" s="64"/>
      <c r="E668" s="64"/>
      <c r="F668" s="64"/>
      <c r="G668" s="64"/>
      <c r="H668" s="64"/>
      <c r="I668" s="64"/>
      <c r="J668" s="64"/>
      <c r="K668" s="64"/>
      <c r="L668" s="64"/>
      <c r="M668" s="64"/>
      <c r="N668" s="64"/>
      <c r="O668" s="64"/>
      <c r="P668" s="64"/>
      <c r="Q668" s="64"/>
      <c r="R668" s="64"/>
      <c r="S668" s="64"/>
      <c r="T668" s="64"/>
      <c r="U668" s="64"/>
      <c r="V668" s="64"/>
      <c r="W668" s="64"/>
      <c r="X668" s="64"/>
      <c r="Y668" s="64"/>
      <c r="Z668" s="64"/>
      <c r="AA668" s="64"/>
      <c r="AB668" s="64"/>
      <c r="AC668" s="64"/>
      <c r="AD668" s="64"/>
      <c r="AE668" s="64"/>
      <c r="AF668" s="64"/>
      <c r="AG668" s="64"/>
      <c r="AH668" s="64"/>
    </row>
    <row r="669">
      <c r="A669" s="64"/>
      <c r="B669" s="64"/>
      <c r="C669" s="64"/>
      <c r="D669" s="64"/>
      <c r="E669" s="64"/>
      <c r="F669" s="64"/>
      <c r="G669" s="64"/>
      <c r="H669" s="64"/>
      <c r="I669" s="64"/>
      <c r="J669" s="64"/>
      <c r="K669" s="64"/>
      <c r="L669" s="64"/>
      <c r="M669" s="64"/>
      <c r="N669" s="64"/>
      <c r="O669" s="64"/>
      <c r="P669" s="64"/>
      <c r="Q669" s="64"/>
      <c r="R669" s="64"/>
      <c r="S669" s="64"/>
      <c r="T669" s="64"/>
      <c r="U669" s="64"/>
      <c r="V669" s="64"/>
      <c r="W669" s="64"/>
      <c r="X669" s="64"/>
      <c r="Y669" s="64"/>
      <c r="Z669" s="64"/>
      <c r="AA669" s="64"/>
      <c r="AB669" s="64"/>
      <c r="AC669" s="64"/>
      <c r="AD669" s="64"/>
      <c r="AE669" s="64"/>
      <c r="AF669" s="64"/>
      <c r="AG669" s="64"/>
      <c r="AH669" s="64"/>
    </row>
    <row r="670">
      <c r="A670" s="64"/>
      <c r="B670" s="64"/>
      <c r="C670" s="64"/>
      <c r="D670" s="64"/>
      <c r="E670" s="64"/>
      <c r="F670" s="64"/>
      <c r="G670" s="64"/>
      <c r="H670" s="64"/>
      <c r="I670" s="64"/>
      <c r="J670" s="64"/>
      <c r="K670" s="64"/>
      <c r="L670" s="64"/>
      <c r="M670" s="64"/>
      <c r="N670" s="64"/>
      <c r="O670" s="64"/>
      <c r="P670" s="64"/>
      <c r="Q670" s="64"/>
      <c r="R670" s="64"/>
      <c r="S670" s="64"/>
      <c r="T670" s="64"/>
      <c r="U670" s="64"/>
      <c r="V670" s="64"/>
      <c r="W670" s="64"/>
      <c r="X670" s="64"/>
      <c r="Y670" s="64"/>
      <c r="Z670" s="64"/>
      <c r="AA670" s="64"/>
      <c r="AB670" s="64"/>
      <c r="AC670" s="64"/>
      <c r="AD670" s="64"/>
      <c r="AE670" s="64"/>
      <c r="AF670" s="64"/>
      <c r="AG670" s="64"/>
      <c r="AH670" s="64"/>
    </row>
    <row r="671">
      <c r="A671" s="64"/>
      <c r="B671" s="64"/>
      <c r="C671" s="64"/>
      <c r="D671" s="64"/>
      <c r="E671" s="64"/>
      <c r="F671" s="64"/>
      <c r="G671" s="64"/>
      <c r="H671" s="64"/>
      <c r="I671" s="64"/>
      <c r="J671" s="64"/>
      <c r="K671" s="64"/>
      <c r="L671" s="64"/>
      <c r="M671" s="64"/>
      <c r="N671" s="64"/>
      <c r="O671" s="64"/>
      <c r="P671" s="64"/>
      <c r="Q671" s="64"/>
      <c r="R671" s="64"/>
      <c r="S671" s="64"/>
      <c r="T671" s="64"/>
      <c r="U671" s="64"/>
      <c r="V671" s="64"/>
      <c r="W671" s="64"/>
      <c r="X671" s="64"/>
      <c r="Y671" s="64"/>
      <c r="Z671" s="64"/>
      <c r="AA671" s="64"/>
      <c r="AB671" s="64"/>
      <c r="AC671" s="64"/>
      <c r="AD671" s="64"/>
      <c r="AE671" s="64"/>
      <c r="AF671" s="64"/>
      <c r="AG671" s="64"/>
      <c r="AH671" s="64"/>
    </row>
    <row r="672">
      <c r="A672" s="64"/>
      <c r="B672" s="64"/>
      <c r="C672" s="64"/>
      <c r="D672" s="64"/>
      <c r="E672" s="64"/>
      <c r="F672" s="64"/>
      <c r="G672" s="64"/>
      <c r="H672" s="64"/>
      <c r="I672" s="64"/>
      <c r="J672" s="64"/>
      <c r="K672" s="64"/>
      <c r="L672" s="64"/>
      <c r="M672" s="64"/>
      <c r="N672" s="64"/>
      <c r="O672" s="64"/>
      <c r="P672" s="64"/>
      <c r="Q672" s="64"/>
      <c r="R672" s="64"/>
      <c r="S672" s="64"/>
      <c r="T672" s="64"/>
      <c r="U672" s="64"/>
      <c r="V672" s="64"/>
      <c r="W672" s="64"/>
      <c r="X672" s="64"/>
      <c r="Y672" s="64"/>
      <c r="Z672" s="64"/>
      <c r="AA672" s="64"/>
      <c r="AB672" s="64"/>
      <c r="AC672" s="64"/>
      <c r="AD672" s="64"/>
      <c r="AE672" s="64"/>
      <c r="AF672" s="64"/>
      <c r="AG672" s="64"/>
      <c r="AH672" s="64"/>
    </row>
    <row r="673">
      <c r="A673" s="64"/>
      <c r="B673" s="64"/>
      <c r="C673" s="64"/>
      <c r="D673" s="64"/>
      <c r="E673" s="64"/>
      <c r="F673" s="64"/>
      <c r="G673" s="64"/>
      <c r="H673" s="64"/>
      <c r="I673" s="64"/>
      <c r="J673" s="64"/>
      <c r="K673" s="64"/>
      <c r="L673" s="64"/>
      <c r="M673" s="64"/>
      <c r="N673" s="64"/>
      <c r="O673" s="64"/>
      <c r="P673" s="64"/>
      <c r="Q673" s="64"/>
      <c r="R673" s="64"/>
      <c r="S673" s="64"/>
      <c r="T673" s="64"/>
      <c r="U673" s="64"/>
      <c r="V673" s="64"/>
      <c r="W673" s="64"/>
      <c r="X673" s="64"/>
      <c r="Y673" s="64"/>
      <c r="Z673" s="64"/>
      <c r="AA673" s="64"/>
      <c r="AB673" s="64"/>
      <c r="AC673" s="64"/>
      <c r="AD673" s="64"/>
      <c r="AE673" s="64"/>
      <c r="AF673" s="64"/>
      <c r="AG673" s="64"/>
      <c r="AH673" s="64"/>
    </row>
    <row r="674">
      <c r="A674" s="64"/>
      <c r="B674" s="64"/>
      <c r="C674" s="64"/>
      <c r="D674" s="64"/>
      <c r="E674" s="64"/>
      <c r="F674" s="64"/>
      <c r="G674" s="64"/>
      <c r="H674" s="64"/>
      <c r="I674" s="64"/>
      <c r="J674" s="64"/>
      <c r="K674" s="64"/>
      <c r="L674" s="64"/>
      <c r="M674" s="64"/>
      <c r="N674" s="64"/>
      <c r="O674" s="64"/>
      <c r="P674" s="64"/>
      <c r="Q674" s="64"/>
      <c r="R674" s="64"/>
      <c r="S674" s="64"/>
      <c r="T674" s="64"/>
      <c r="U674" s="64"/>
      <c r="V674" s="64"/>
      <c r="W674" s="64"/>
      <c r="X674" s="64"/>
      <c r="Y674" s="64"/>
      <c r="Z674" s="64"/>
      <c r="AA674" s="64"/>
      <c r="AB674" s="64"/>
      <c r="AC674" s="64"/>
      <c r="AD674" s="64"/>
      <c r="AE674" s="64"/>
      <c r="AF674" s="64"/>
      <c r="AG674" s="64"/>
      <c r="AH674" s="64"/>
    </row>
    <row r="675">
      <c r="A675" s="64"/>
      <c r="B675" s="64"/>
      <c r="C675" s="64"/>
      <c r="D675" s="64"/>
      <c r="E675" s="64"/>
      <c r="F675" s="64"/>
      <c r="G675" s="64"/>
      <c r="H675" s="64"/>
      <c r="I675" s="64"/>
      <c r="J675" s="64"/>
      <c r="K675" s="64"/>
      <c r="L675" s="64"/>
      <c r="M675" s="64"/>
      <c r="N675" s="64"/>
      <c r="O675" s="64"/>
      <c r="P675" s="64"/>
      <c r="Q675" s="64"/>
      <c r="R675" s="64"/>
      <c r="S675" s="64"/>
      <c r="T675" s="64"/>
      <c r="U675" s="64"/>
      <c r="V675" s="64"/>
      <c r="W675" s="64"/>
      <c r="X675" s="64"/>
      <c r="Y675" s="64"/>
      <c r="Z675" s="64"/>
      <c r="AA675" s="64"/>
      <c r="AB675" s="64"/>
      <c r="AC675" s="64"/>
      <c r="AD675" s="64"/>
      <c r="AE675" s="64"/>
      <c r="AF675" s="64"/>
      <c r="AG675" s="64"/>
      <c r="AH675" s="64"/>
    </row>
    <row r="676">
      <c r="A676" s="64"/>
      <c r="B676" s="64"/>
      <c r="C676" s="64"/>
      <c r="D676" s="64"/>
      <c r="E676" s="64"/>
      <c r="F676" s="64"/>
      <c r="G676" s="64"/>
      <c r="H676" s="64"/>
      <c r="I676" s="64"/>
      <c r="J676" s="64"/>
      <c r="K676" s="64"/>
      <c r="L676" s="64"/>
      <c r="M676" s="64"/>
      <c r="N676" s="64"/>
      <c r="O676" s="64"/>
      <c r="P676" s="64"/>
      <c r="Q676" s="64"/>
      <c r="R676" s="64"/>
      <c r="S676" s="64"/>
      <c r="T676" s="64"/>
      <c r="U676" s="64"/>
      <c r="V676" s="64"/>
      <c r="W676" s="64"/>
      <c r="X676" s="64"/>
      <c r="Y676" s="64"/>
      <c r="Z676" s="64"/>
      <c r="AA676" s="64"/>
      <c r="AB676" s="64"/>
      <c r="AC676" s="64"/>
      <c r="AD676" s="64"/>
      <c r="AE676" s="64"/>
      <c r="AF676" s="64"/>
      <c r="AG676" s="64"/>
      <c r="AH676" s="64"/>
    </row>
    <row r="677">
      <c r="A677" s="64"/>
      <c r="B677" s="64"/>
      <c r="C677" s="64"/>
      <c r="D677" s="64"/>
      <c r="E677" s="64"/>
      <c r="F677" s="64"/>
      <c r="G677" s="64"/>
      <c r="H677" s="64"/>
      <c r="I677" s="64"/>
      <c r="J677" s="64"/>
      <c r="K677" s="64"/>
      <c r="L677" s="64"/>
      <c r="M677" s="64"/>
      <c r="N677" s="64"/>
      <c r="O677" s="64"/>
      <c r="P677" s="64"/>
      <c r="Q677" s="64"/>
      <c r="R677" s="64"/>
      <c r="S677" s="64"/>
      <c r="T677" s="64"/>
      <c r="U677" s="64"/>
      <c r="V677" s="64"/>
      <c r="W677" s="64"/>
      <c r="X677" s="64"/>
      <c r="Y677" s="64"/>
      <c r="Z677" s="64"/>
      <c r="AA677" s="64"/>
      <c r="AB677" s="64"/>
      <c r="AC677" s="64"/>
      <c r="AD677" s="64"/>
      <c r="AE677" s="64"/>
      <c r="AF677" s="64"/>
      <c r="AG677" s="64"/>
      <c r="AH677" s="64"/>
    </row>
    <row r="678">
      <c r="A678" s="64"/>
      <c r="B678" s="64"/>
      <c r="C678" s="64"/>
      <c r="D678" s="64"/>
      <c r="E678" s="64"/>
      <c r="F678" s="64"/>
      <c r="G678" s="64"/>
      <c r="H678" s="64"/>
      <c r="I678" s="64"/>
      <c r="J678" s="64"/>
      <c r="K678" s="64"/>
      <c r="L678" s="64"/>
      <c r="M678" s="64"/>
      <c r="N678" s="64"/>
      <c r="O678" s="64"/>
      <c r="P678" s="64"/>
      <c r="Q678" s="64"/>
      <c r="R678" s="64"/>
      <c r="S678" s="64"/>
      <c r="T678" s="64"/>
      <c r="U678" s="64"/>
      <c r="V678" s="64"/>
      <c r="W678" s="64"/>
      <c r="X678" s="64"/>
      <c r="Y678" s="64"/>
      <c r="Z678" s="64"/>
      <c r="AA678" s="64"/>
      <c r="AB678" s="64"/>
      <c r="AC678" s="64"/>
      <c r="AD678" s="64"/>
      <c r="AE678" s="64"/>
      <c r="AF678" s="64"/>
      <c r="AG678" s="64"/>
      <c r="AH678" s="64"/>
    </row>
    <row r="679">
      <c r="A679" s="64"/>
      <c r="B679" s="64"/>
      <c r="C679" s="64"/>
      <c r="D679" s="64"/>
      <c r="E679" s="64"/>
      <c r="F679" s="64"/>
      <c r="G679" s="64"/>
      <c r="H679" s="64"/>
      <c r="I679" s="64"/>
      <c r="J679" s="64"/>
      <c r="K679" s="64"/>
      <c r="L679" s="64"/>
      <c r="M679" s="64"/>
      <c r="N679" s="64"/>
      <c r="O679" s="64"/>
      <c r="P679" s="64"/>
      <c r="Q679" s="64"/>
      <c r="R679" s="64"/>
      <c r="S679" s="64"/>
      <c r="T679" s="64"/>
      <c r="U679" s="64"/>
      <c r="V679" s="64"/>
      <c r="W679" s="64"/>
      <c r="X679" s="64"/>
      <c r="Y679" s="64"/>
      <c r="Z679" s="64"/>
      <c r="AA679" s="64"/>
      <c r="AB679" s="64"/>
      <c r="AC679" s="64"/>
      <c r="AD679" s="64"/>
      <c r="AE679" s="64"/>
      <c r="AF679" s="64"/>
      <c r="AG679" s="64"/>
      <c r="AH679" s="64"/>
    </row>
    <row r="680">
      <c r="A680" s="64"/>
      <c r="B680" s="64"/>
      <c r="C680" s="64"/>
      <c r="D680" s="64"/>
      <c r="E680" s="64"/>
      <c r="F680" s="64"/>
      <c r="G680" s="64"/>
      <c r="H680" s="64"/>
      <c r="I680" s="64"/>
      <c r="J680" s="64"/>
      <c r="K680" s="64"/>
      <c r="L680" s="64"/>
      <c r="M680" s="64"/>
      <c r="N680" s="64"/>
      <c r="O680" s="64"/>
      <c r="P680" s="64"/>
      <c r="Q680" s="64"/>
      <c r="R680" s="64"/>
      <c r="S680" s="64"/>
      <c r="T680" s="64"/>
      <c r="U680" s="64"/>
      <c r="V680" s="64"/>
      <c r="W680" s="64"/>
      <c r="X680" s="64"/>
      <c r="Y680" s="64"/>
      <c r="Z680" s="64"/>
      <c r="AA680" s="64"/>
      <c r="AB680" s="64"/>
      <c r="AC680" s="64"/>
      <c r="AD680" s="64"/>
      <c r="AE680" s="64"/>
      <c r="AF680" s="64"/>
      <c r="AG680" s="64"/>
      <c r="AH680" s="64"/>
    </row>
    <row r="681">
      <c r="A681" s="64"/>
      <c r="B681" s="64"/>
      <c r="C681" s="64"/>
      <c r="D681" s="64"/>
      <c r="E681" s="64"/>
      <c r="F681" s="64"/>
      <c r="G681" s="64"/>
      <c r="H681" s="64"/>
      <c r="I681" s="64"/>
      <c r="J681" s="64"/>
      <c r="K681" s="64"/>
      <c r="L681" s="64"/>
      <c r="M681" s="64"/>
      <c r="N681" s="64"/>
      <c r="O681" s="64"/>
      <c r="P681" s="64"/>
      <c r="Q681" s="64"/>
      <c r="R681" s="64"/>
      <c r="S681" s="64"/>
      <c r="T681" s="64"/>
      <c r="U681" s="64"/>
      <c r="V681" s="64"/>
      <c r="W681" s="64"/>
      <c r="X681" s="64"/>
      <c r="Y681" s="64"/>
      <c r="Z681" s="64"/>
      <c r="AA681" s="64"/>
      <c r="AB681" s="64"/>
      <c r="AC681" s="64"/>
      <c r="AD681" s="64"/>
      <c r="AE681" s="64"/>
      <c r="AF681" s="64"/>
      <c r="AG681" s="64"/>
      <c r="AH681" s="64"/>
    </row>
    <row r="682">
      <c r="A682" s="64"/>
      <c r="B682" s="64"/>
      <c r="C682" s="64"/>
      <c r="D682" s="64"/>
      <c r="E682" s="64"/>
      <c r="F682" s="64"/>
      <c r="G682" s="64"/>
      <c r="H682" s="64"/>
      <c r="I682" s="64"/>
      <c r="J682" s="64"/>
      <c r="K682" s="64"/>
      <c r="L682" s="64"/>
      <c r="M682" s="64"/>
      <c r="N682" s="64"/>
      <c r="O682" s="64"/>
      <c r="P682" s="64"/>
      <c r="Q682" s="64"/>
      <c r="R682" s="64"/>
      <c r="S682" s="64"/>
      <c r="T682" s="64"/>
      <c r="U682" s="64"/>
      <c r="V682" s="64"/>
      <c r="W682" s="64"/>
      <c r="X682" s="64"/>
      <c r="Y682" s="64"/>
      <c r="Z682" s="64"/>
      <c r="AA682" s="64"/>
      <c r="AB682" s="64"/>
      <c r="AC682" s="64"/>
      <c r="AD682" s="64"/>
      <c r="AE682" s="64"/>
      <c r="AF682" s="64"/>
      <c r="AG682" s="64"/>
      <c r="AH682" s="64"/>
    </row>
    <row r="683">
      <c r="A683" s="64"/>
      <c r="B683" s="64"/>
      <c r="C683" s="64"/>
      <c r="D683" s="64"/>
      <c r="E683" s="64"/>
      <c r="F683" s="64"/>
      <c r="G683" s="64"/>
      <c r="H683" s="64"/>
      <c r="I683" s="64"/>
      <c r="J683" s="64"/>
      <c r="K683" s="64"/>
      <c r="L683" s="64"/>
      <c r="M683" s="64"/>
      <c r="N683" s="64"/>
      <c r="O683" s="64"/>
      <c r="P683" s="64"/>
      <c r="Q683" s="64"/>
      <c r="R683" s="64"/>
      <c r="S683" s="64"/>
      <c r="T683" s="64"/>
      <c r="U683" s="64"/>
      <c r="V683" s="64"/>
      <c r="W683" s="64"/>
      <c r="X683" s="64"/>
      <c r="Y683" s="64"/>
      <c r="Z683" s="64"/>
      <c r="AA683" s="64"/>
      <c r="AB683" s="64"/>
      <c r="AC683" s="64"/>
      <c r="AD683" s="64"/>
      <c r="AE683" s="64"/>
      <c r="AF683" s="64"/>
      <c r="AG683" s="64"/>
      <c r="AH683" s="64"/>
    </row>
    <row r="684">
      <c r="A684" s="64"/>
      <c r="B684" s="64"/>
      <c r="C684" s="64"/>
      <c r="D684" s="64"/>
      <c r="E684" s="64"/>
      <c r="F684" s="64"/>
      <c r="G684" s="64"/>
      <c r="H684" s="64"/>
      <c r="I684" s="64"/>
      <c r="J684" s="64"/>
      <c r="K684" s="64"/>
      <c r="L684" s="64"/>
      <c r="M684" s="64"/>
      <c r="N684" s="64"/>
      <c r="O684" s="64"/>
      <c r="P684" s="64"/>
      <c r="Q684" s="64"/>
      <c r="R684" s="64"/>
      <c r="S684" s="64"/>
      <c r="T684" s="64"/>
      <c r="U684" s="64"/>
      <c r="V684" s="64"/>
      <c r="W684" s="64"/>
      <c r="X684" s="64"/>
      <c r="Y684" s="64"/>
      <c r="Z684" s="64"/>
      <c r="AA684" s="64"/>
      <c r="AB684" s="64"/>
      <c r="AC684" s="64"/>
      <c r="AD684" s="64"/>
      <c r="AE684" s="64"/>
      <c r="AF684" s="64"/>
      <c r="AG684" s="64"/>
      <c r="AH684" s="64"/>
    </row>
    <row r="685">
      <c r="A685" s="64"/>
      <c r="B685" s="64"/>
      <c r="C685" s="64"/>
      <c r="D685" s="64"/>
      <c r="E685" s="64"/>
      <c r="F685" s="64"/>
      <c r="G685" s="64"/>
      <c r="H685" s="64"/>
      <c r="I685" s="64"/>
      <c r="J685" s="64"/>
      <c r="K685" s="64"/>
      <c r="L685" s="64"/>
      <c r="M685" s="64"/>
      <c r="N685" s="64"/>
      <c r="O685" s="64"/>
      <c r="P685" s="64"/>
      <c r="Q685" s="64"/>
      <c r="R685" s="64"/>
      <c r="S685" s="64"/>
      <c r="T685" s="64"/>
      <c r="U685" s="64"/>
      <c r="V685" s="64"/>
      <c r="W685" s="64"/>
      <c r="X685" s="64"/>
      <c r="Y685" s="64"/>
      <c r="Z685" s="64"/>
      <c r="AA685" s="64"/>
      <c r="AB685" s="64"/>
      <c r="AC685" s="64"/>
      <c r="AD685" s="64"/>
      <c r="AE685" s="64"/>
      <c r="AF685" s="64"/>
      <c r="AG685" s="64"/>
      <c r="AH685" s="64"/>
    </row>
    <row r="686">
      <c r="A686" s="64"/>
      <c r="B686" s="64"/>
      <c r="C686" s="64"/>
      <c r="D686" s="64"/>
      <c r="E686" s="64"/>
      <c r="F686" s="64"/>
      <c r="G686" s="64"/>
      <c r="H686" s="64"/>
      <c r="I686" s="64"/>
      <c r="J686" s="64"/>
      <c r="K686" s="64"/>
      <c r="L686" s="64"/>
      <c r="M686" s="64"/>
      <c r="N686" s="64"/>
      <c r="O686" s="64"/>
      <c r="P686" s="64"/>
      <c r="Q686" s="64"/>
      <c r="R686" s="64"/>
      <c r="S686" s="64"/>
      <c r="T686" s="64"/>
      <c r="U686" s="64"/>
      <c r="V686" s="64"/>
      <c r="W686" s="64"/>
      <c r="X686" s="64"/>
      <c r="Y686" s="64"/>
      <c r="Z686" s="64"/>
      <c r="AA686" s="64"/>
      <c r="AB686" s="64"/>
      <c r="AC686" s="64"/>
      <c r="AD686" s="64"/>
      <c r="AE686" s="64"/>
      <c r="AF686" s="64"/>
      <c r="AG686" s="64"/>
      <c r="AH686" s="64"/>
    </row>
    <row r="687">
      <c r="A687" s="64"/>
      <c r="B687" s="64"/>
      <c r="C687" s="64"/>
      <c r="D687" s="64"/>
      <c r="E687" s="64"/>
      <c r="F687" s="64"/>
      <c r="G687" s="64"/>
      <c r="H687" s="64"/>
      <c r="I687" s="64"/>
      <c r="J687" s="64"/>
      <c r="K687" s="64"/>
      <c r="L687" s="64"/>
      <c r="M687" s="64"/>
      <c r="N687" s="64"/>
      <c r="O687" s="64"/>
      <c r="P687" s="64"/>
      <c r="Q687" s="64"/>
      <c r="R687" s="64"/>
      <c r="S687" s="64"/>
      <c r="T687" s="64"/>
      <c r="U687" s="64"/>
      <c r="V687" s="64"/>
      <c r="W687" s="64"/>
      <c r="X687" s="64"/>
      <c r="Y687" s="64"/>
      <c r="Z687" s="64"/>
      <c r="AA687" s="64"/>
      <c r="AB687" s="64"/>
      <c r="AC687" s="64"/>
      <c r="AD687" s="64"/>
      <c r="AE687" s="64"/>
      <c r="AF687" s="64"/>
      <c r="AG687" s="64"/>
      <c r="AH687" s="64"/>
    </row>
    <row r="688">
      <c r="A688" s="64"/>
      <c r="B688" s="64"/>
      <c r="C688" s="64"/>
      <c r="D688" s="64"/>
      <c r="E688" s="64"/>
      <c r="F688" s="64"/>
      <c r="G688" s="64"/>
      <c r="H688" s="64"/>
      <c r="I688" s="64"/>
      <c r="J688" s="64"/>
      <c r="K688" s="64"/>
      <c r="L688" s="64"/>
      <c r="M688" s="64"/>
      <c r="N688" s="64"/>
      <c r="O688" s="64"/>
      <c r="P688" s="64"/>
      <c r="Q688" s="64"/>
      <c r="R688" s="64"/>
      <c r="S688" s="64"/>
      <c r="T688" s="64"/>
      <c r="U688" s="64"/>
      <c r="V688" s="64"/>
      <c r="W688" s="64"/>
      <c r="X688" s="64"/>
      <c r="Y688" s="64"/>
      <c r="Z688" s="64"/>
      <c r="AA688" s="64"/>
      <c r="AB688" s="64"/>
      <c r="AC688" s="64"/>
      <c r="AD688" s="64"/>
      <c r="AE688" s="64"/>
      <c r="AF688" s="64"/>
      <c r="AG688" s="64"/>
      <c r="AH688" s="64"/>
    </row>
    <row r="689">
      <c r="A689" s="64"/>
      <c r="B689" s="64"/>
      <c r="C689" s="64"/>
      <c r="D689" s="64"/>
      <c r="E689" s="64"/>
      <c r="F689" s="64"/>
      <c r="G689" s="64"/>
      <c r="H689" s="64"/>
      <c r="I689" s="64"/>
      <c r="J689" s="64"/>
      <c r="K689" s="64"/>
      <c r="L689" s="64"/>
      <c r="M689" s="64"/>
      <c r="N689" s="64"/>
      <c r="O689" s="64"/>
      <c r="P689" s="64"/>
      <c r="Q689" s="64"/>
      <c r="R689" s="64"/>
      <c r="S689" s="64"/>
      <c r="T689" s="64"/>
      <c r="U689" s="64"/>
      <c r="V689" s="64"/>
      <c r="W689" s="64"/>
      <c r="X689" s="64"/>
      <c r="Y689" s="64"/>
      <c r="Z689" s="64"/>
      <c r="AA689" s="64"/>
      <c r="AB689" s="64"/>
      <c r="AC689" s="64"/>
      <c r="AD689" s="64"/>
      <c r="AE689" s="64"/>
      <c r="AF689" s="64"/>
      <c r="AG689" s="64"/>
      <c r="AH689" s="64"/>
    </row>
    <row r="690">
      <c r="A690" s="64"/>
      <c r="B690" s="64"/>
      <c r="C690" s="64"/>
      <c r="D690" s="64"/>
      <c r="E690" s="64"/>
      <c r="F690" s="64"/>
      <c r="G690" s="64"/>
      <c r="H690" s="64"/>
      <c r="I690" s="64"/>
      <c r="J690" s="64"/>
      <c r="K690" s="64"/>
      <c r="L690" s="64"/>
      <c r="M690" s="64"/>
      <c r="N690" s="64"/>
      <c r="O690" s="64"/>
      <c r="P690" s="64"/>
      <c r="Q690" s="64"/>
      <c r="R690" s="64"/>
      <c r="S690" s="64"/>
      <c r="T690" s="64"/>
      <c r="U690" s="64"/>
      <c r="V690" s="64"/>
      <c r="W690" s="64"/>
      <c r="X690" s="64"/>
      <c r="Y690" s="64"/>
      <c r="Z690" s="64"/>
      <c r="AA690" s="64"/>
      <c r="AB690" s="64"/>
      <c r="AC690" s="64"/>
      <c r="AD690" s="64"/>
      <c r="AE690" s="64"/>
      <c r="AF690" s="64"/>
      <c r="AG690" s="64"/>
      <c r="AH690" s="64"/>
    </row>
    <row r="691">
      <c r="A691" s="64"/>
      <c r="B691" s="64"/>
      <c r="C691" s="64"/>
      <c r="D691" s="64"/>
      <c r="E691" s="64"/>
      <c r="F691" s="64"/>
      <c r="G691" s="64"/>
      <c r="H691" s="64"/>
      <c r="I691" s="64"/>
      <c r="J691" s="64"/>
      <c r="K691" s="64"/>
      <c r="L691" s="64"/>
      <c r="M691" s="64"/>
      <c r="N691" s="64"/>
      <c r="O691" s="64"/>
      <c r="P691" s="64"/>
      <c r="Q691" s="64"/>
      <c r="R691" s="64"/>
      <c r="S691" s="64"/>
      <c r="T691" s="64"/>
      <c r="U691" s="64"/>
      <c r="V691" s="64"/>
      <c r="W691" s="64"/>
      <c r="X691" s="64"/>
      <c r="Y691" s="64"/>
      <c r="Z691" s="64"/>
      <c r="AA691" s="64"/>
      <c r="AB691" s="64"/>
      <c r="AC691" s="64"/>
      <c r="AD691" s="64"/>
      <c r="AE691" s="64"/>
      <c r="AF691" s="64"/>
      <c r="AG691" s="64"/>
      <c r="AH691" s="64"/>
    </row>
    <row r="692">
      <c r="A692" s="64"/>
      <c r="B692" s="64"/>
      <c r="C692" s="64"/>
      <c r="D692" s="64"/>
      <c r="E692" s="64"/>
      <c r="F692" s="64"/>
      <c r="G692" s="64"/>
      <c r="H692" s="64"/>
      <c r="I692" s="64"/>
      <c r="J692" s="64"/>
      <c r="K692" s="64"/>
      <c r="L692" s="64"/>
      <c r="M692" s="64"/>
      <c r="N692" s="64"/>
      <c r="O692" s="64"/>
      <c r="P692" s="64"/>
      <c r="Q692" s="64"/>
      <c r="R692" s="64"/>
      <c r="S692" s="64"/>
      <c r="T692" s="64"/>
      <c r="U692" s="64"/>
      <c r="V692" s="64"/>
      <c r="W692" s="64"/>
      <c r="X692" s="64"/>
      <c r="Y692" s="64"/>
      <c r="Z692" s="64"/>
      <c r="AA692" s="64"/>
      <c r="AB692" s="64"/>
      <c r="AC692" s="64"/>
      <c r="AD692" s="64"/>
      <c r="AE692" s="64"/>
      <c r="AF692" s="64"/>
      <c r="AG692" s="64"/>
      <c r="AH692" s="64"/>
    </row>
    <row r="693">
      <c r="A693" s="64"/>
      <c r="B693" s="64"/>
      <c r="C693" s="64"/>
      <c r="D693" s="64"/>
      <c r="E693" s="64"/>
      <c r="F693" s="64"/>
      <c r="G693" s="64"/>
      <c r="H693" s="64"/>
      <c r="I693" s="64"/>
      <c r="J693" s="64"/>
      <c r="K693" s="64"/>
      <c r="L693" s="64"/>
      <c r="M693" s="64"/>
      <c r="N693" s="64"/>
      <c r="O693" s="64"/>
      <c r="P693" s="64"/>
      <c r="Q693" s="64"/>
      <c r="R693" s="64"/>
      <c r="S693" s="64"/>
      <c r="T693" s="64"/>
      <c r="U693" s="64"/>
      <c r="V693" s="64"/>
      <c r="W693" s="64"/>
      <c r="X693" s="64"/>
      <c r="Y693" s="64"/>
      <c r="Z693" s="64"/>
      <c r="AA693" s="64"/>
      <c r="AB693" s="64"/>
      <c r="AC693" s="64"/>
      <c r="AD693" s="64"/>
      <c r="AE693" s="64"/>
      <c r="AF693" s="64"/>
      <c r="AG693" s="64"/>
      <c r="AH693" s="64"/>
    </row>
    <row r="694">
      <c r="A694" s="64"/>
      <c r="B694" s="64"/>
      <c r="C694" s="64"/>
      <c r="D694" s="64"/>
      <c r="E694" s="64"/>
      <c r="F694" s="64"/>
      <c r="G694" s="64"/>
      <c r="H694" s="64"/>
      <c r="I694" s="64"/>
      <c r="J694" s="64"/>
      <c r="K694" s="64"/>
      <c r="L694" s="64"/>
      <c r="M694" s="64"/>
      <c r="N694" s="64"/>
      <c r="O694" s="64"/>
      <c r="P694" s="64"/>
      <c r="Q694" s="64"/>
      <c r="R694" s="64"/>
      <c r="S694" s="64"/>
      <c r="T694" s="64"/>
      <c r="U694" s="64"/>
      <c r="V694" s="64"/>
      <c r="W694" s="64"/>
      <c r="X694" s="64"/>
      <c r="Y694" s="64"/>
      <c r="Z694" s="64"/>
      <c r="AA694" s="64"/>
      <c r="AB694" s="64"/>
      <c r="AC694" s="64"/>
      <c r="AD694" s="64"/>
      <c r="AE694" s="64"/>
      <c r="AF694" s="64"/>
      <c r="AG694" s="64"/>
      <c r="AH694" s="64"/>
    </row>
    <row r="695">
      <c r="A695" s="64"/>
      <c r="B695" s="64"/>
      <c r="C695" s="64"/>
      <c r="D695" s="64"/>
      <c r="E695" s="64"/>
      <c r="F695" s="64"/>
      <c r="G695" s="64"/>
      <c r="H695" s="64"/>
      <c r="I695" s="64"/>
      <c r="J695" s="64"/>
      <c r="K695" s="64"/>
      <c r="L695" s="64"/>
      <c r="M695" s="64"/>
      <c r="N695" s="64"/>
      <c r="O695" s="64"/>
      <c r="P695" s="64"/>
      <c r="Q695" s="64"/>
      <c r="R695" s="64"/>
      <c r="S695" s="64"/>
      <c r="T695" s="64"/>
      <c r="U695" s="64"/>
      <c r="V695" s="64"/>
      <c r="W695" s="64"/>
      <c r="X695" s="64"/>
      <c r="Y695" s="64"/>
      <c r="Z695" s="64"/>
      <c r="AA695" s="64"/>
      <c r="AB695" s="64"/>
      <c r="AC695" s="64"/>
      <c r="AD695" s="64"/>
      <c r="AE695" s="64"/>
      <c r="AF695" s="64"/>
      <c r="AG695" s="64"/>
      <c r="AH695" s="64"/>
    </row>
    <row r="696">
      <c r="A696" s="64"/>
      <c r="B696" s="64"/>
      <c r="C696" s="64"/>
      <c r="D696" s="64"/>
      <c r="E696" s="64"/>
      <c r="F696" s="64"/>
      <c r="G696" s="64"/>
      <c r="H696" s="64"/>
      <c r="I696" s="64"/>
      <c r="J696" s="64"/>
      <c r="K696" s="64"/>
      <c r="L696" s="64"/>
      <c r="M696" s="64"/>
      <c r="N696" s="64"/>
      <c r="O696" s="64"/>
      <c r="P696" s="64"/>
      <c r="Q696" s="64"/>
      <c r="R696" s="64"/>
      <c r="S696" s="64"/>
      <c r="T696" s="64"/>
      <c r="U696" s="64"/>
      <c r="V696" s="64"/>
      <c r="W696" s="64"/>
      <c r="X696" s="64"/>
      <c r="Y696" s="64"/>
      <c r="Z696" s="64"/>
      <c r="AA696" s="64"/>
      <c r="AB696" s="64"/>
      <c r="AC696" s="64"/>
      <c r="AD696" s="64"/>
      <c r="AE696" s="64"/>
      <c r="AF696" s="64"/>
      <c r="AG696" s="64"/>
      <c r="AH696" s="64"/>
    </row>
    <row r="697">
      <c r="A697" s="64"/>
      <c r="B697" s="64"/>
      <c r="C697" s="64"/>
      <c r="D697" s="64"/>
      <c r="E697" s="64"/>
      <c r="F697" s="64"/>
      <c r="G697" s="64"/>
      <c r="H697" s="64"/>
      <c r="I697" s="64"/>
      <c r="J697" s="64"/>
      <c r="K697" s="64"/>
      <c r="L697" s="64"/>
      <c r="M697" s="64"/>
      <c r="N697" s="64"/>
      <c r="O697" s="64"/>
      <c r="P697" s="64"/>
      <c r="Q697" s="64"/>
      <c r="R697" s="64"/>
      <c r="S697" s="64"/>
      <c r="T697" s="64"/>
      <c r="U697" s="64"/>
      <c r="V697" s="64"/>
      <c r="W697" s="64"/>
      <c r="X697" s="64"/>
      <c r="Y697" s="64"/>
      <c r="Z697" s="64"/>
      <c r="AA697" s="64"/>
      <c r="AB697" s="64"/>
      <c r="AC697" s="64"/>
      <c r="AD697" s="64"/>
      <c r="AE697" s="64"/>
      <c r="AF697" s="64"/>
      <c r="AG697" s="64"/>
      <c r="AH697" s="64"/>
    </row>
    <row r="698">
      <c r="A698" s="64"/>
      <c r="B698" s="64"/>
      <c r="C698" s="64"/>
      <c r="D698" s="64"/>
      <c r="E698" s="64"/>
      <c r="F698" s="64"/>
      <c r="G698" s="64"/>
      <c r="H698" s="64"/>
      <c r="I698" s="64"/>
      <c r="J698" s="64"/>
      <c r="K698" s="64"/>
      <c r="L698" s="64"/>
      <c r="M698" s="64"/>
      <c r="N698" s="64"/>
      <c r="O698" s="64"/>
      <c r="P698" s="64"/>
      <c r="Q698" s="64"/>
      <c r="R698" s="64"/>
      <c r="S698" s="64"/>
      <c r="T698" s="64"/>
      <c r="U698" s="64"/>
      <c r="V698" s="64"/>
      <c r="W698" s="64"/>
      <c r="X698" s="64"/>
      <c r="Y698" s="64"/>
      <c r="Z698" s="64"/>
      <c r="AA698" s="64"/>
      <c r="AB698" s="64"/>
      <c r="AC698" s="64"/>
      <c r="AD698" s="64"/>
      <c r="AE698" s="64"/>
      <c r="AF698" s="64"/>
      <c r="AG698" s="64"/>
      <c r="AH698" s="64"/>
    </row>
    <row r="699">
      <c r="A699" s="64"/>
      <c r="B699" s="64"/>
      <c r="C699" s="64"/>
      <c r="D699" s="64"/>
      <c r="E699" s="64"/>
      <c r="F699" s="64"/>
      <c r="G699" s="64"/>
      <c r="H699" s="64"/>
      <c r="I699" s="64"/>
      <c r="J699" s="64"/>
      <c r="K699" s="64"/>
      <c r="L699" s="64"/>
      <c r="M699" s="64"/>
      <c r="N699" s="64"/>
      <c r="O699" s="64"/>
      <c r="P699" s="64"/>
      <c r="Q699" s="64"/>
      <c r="R699" s="64"/>
      <c r="S699" s="64"/>
      <c r="T699" s="64"/>
      <c r="U699" s="64"/>
      <c r="V699" s="64"/>
      <c r="W699" s="64"/>
      <c r="X699" s="64"/>
      <c r="Y699" s="64"/>
      <c r="Z699" s="64"/>
      <c r="AA699" s="64"/>
      <c r="AB699" s="64"/>
      <c r="AC699" s="64"/>
      <c r="AD699" s="64"/>
      <c r="AE699" s="64"/>
      <c r="AF699" s="64"/>
      <c r="AG699" s="64"/>
      <c r="AH699" s="64"/>
    </row>
    <row r="700">
      <c r="A700" s="64"/>
      <c r="B700" s="64"/>
      <c r="C700" s="64"/>
      <c r="D700" s="64"/>
      <c r="E700" s="64"/>
      <c r="F700" s="64"/>
      <c r="G700" s="64"/>
      <c r="H700" s="64"/>
      <c r="I700" s="64"/>
      <c r="J700" s="64"/>
      <c r="K700" s="64"/>
      <c r="L700" s="64"/>
      <c r="M700" s="64"/>
      <c r="N700" s="64"/>
      <c r="O700" s="64"/>
      <c r="P700" s="64"/>
      <c r="Q700" s="64"/>
      <c r="R700" s="64"/>
      <c r="S700" s="64"/>
      <c r="T700" s="64"/>
      <c r="U700" s="64"/>
      <c r="V700" s="64"/>
      <c r="W700" s="64"/>
      <c r="X700" s="64"/>
      <c r="Y700" s="64"/>
      <c r="Z700" s="64"/>
      <c r="AA700" s="64"/>
      <c r="AB700" s="64"/>
      <c r="AC700" s="64"/>
      <c r="AD700" s="64"/>
      <c r="AE700" s="64"/>
      <c r="AF700" s="64"/>
      <c r="AG700" s="64"/>
      <c r="AH700" s="64"/>
    </row>
    <row r="701">
      <c r="A701" s="64"/>
      <c r="B701" s="64"/>
      <c r="C701" s="64"/>
      <c r="D701" s="64"/>
      <c r="E701" s="64"/>
      <c r="F701" s="64"/>
      <c r="G701" s="64"/>
      <c r="H701" s="64"/>
      <c r="I701" s="64"/>
      <c r="J701" s="64"/>
      <c r="K701" s="64"/>
      <c r="L701" s="64"/>
      <c r="M701" s="64"/>
      <c r="N701" s="64"/>
      <c r="O701" s="64"/>
      <c r="P701" s="64"/>
      <c r="Q701" s="64"/>
      <c r="R701" s="64"/>
      <c r="S701" s="64"/>
      <c r="T701" s="64"/>
      <c r="U701" s="64"/>
      <c r="V701" s="64"/>
      <c r="W701" s="64"/>
      <c r="X701" s="64"/>
      <c r="Y701" s="64"/>
      <c r="Z701" s="64"/>
      <c r="AA701" s="64"/>
      <c r="AB701" s="64"/>
      <c r="AC701" s="64"/>
      <c r="AD701" s="64"/>
      <c r="AE701" s="64"/>
      <c r="AF701" s="64"/>
      <c r="AG701" s="64"/>
      <c r="AH701" s="64"/>
    </row>
    <row r="702">
      <c r="A702" s="64"/>
      <c r="B702" s="64"/>
      <c r="C702" s="64"/>
      <c r="D702" s="64"/>
      <c r="E702" s="64"/>
      <c r="F702" s="64"/>
      <c r="G702" s="64"/>
      <c r="H702" s="64"/>
      <c r="I702" s="64"/>
      <c r="J702" s="64"/>
      <c r="K702" s="64"/>
      <c r="L702" s="64"/>
      <c r="M702" s="64"/>
      <c r="N702" s="64"/>
      <c r="O702" s="64"/>
      <c r="P702" s="64"/>
      <c r="Q702" s="64"/>
      <c r="R702" s="64"/>
      <c r="S702" s="64"/>
      <c r="T702" s="64"/>
      <c r="U702" s="64"/>
      <c r="V702" s="64"/>
      <c r="W702" s="64"/>
      <c r="X702" s="64"/>
      <c r="Y702" s="64"/>
      <c r="Z702" s="64"/>
      <c r="AA702" s="64"/>
      <c r="AB702" s="64"/>
      <c r="AC702" s="64"/>
      <c r="AD702" s="64"/>
      <c r="AE702" s="64"/>
      <c r="AF702" s="64"/>
      <c r="AG702" s="64"/>
      <c r="AH702" s="64"/>
    </row>
    <row r="703">
      <c r="A703" s="64"/>
      <c r="B703" s="64"/>
      <c r="C703" s="64"/>
      <c r="D703" s="64"/>
      <c r="E703" s="64"/>
      <c r="F703" s="64"/>
      <c r="G703" s="64"/>
      <c r="H703" s="64"/>
      <c r="I703" s="64"/>
      <c r="J703" s="64"/>
      <c r="K703" s="64"/>
      <c r="L703" s="64"/>
      <c r="M703" s="64"/>
      <c r="N703" s="64"/>
      <c r="O703" s="64"/>
      <c r="P703" s="64"/>
      <c r="Q703" s="64"/>
      <c r="R703" s="64"/>
      <c r="S703" s="64"/>
      <c r="T703" s="64"/>
      <c r="U703" s="64"/>
      <c r="V703" s="64"/>
      <c r="W703" s="64"/>
      <c r="X703" s="64"/>
      <c r="Y703" s="64"/>
      <c r="Z703" s="64"/>
      <c r="AA703" s="64"/>
      <c r="AB703" s="64"/>
      <c r="AC703" s="64"/>
      <c r="AD703" s="64"/>
      <c r="AE703" s="64"/>
      <c r="AF703" s="64"/>
      <c r="AG703" s="64"/>
      <c r="AH703" s="64"/>
    </row>
    <row r="704">
      <c r="A704" s="64"/>
      <c r="B704" s="64"/>
      <c r="C704" s="64"/>
      <c r="D704" s="64"/>
      <c r="E704" s="64"/>
      <c r="F704" s="64"/>
      <c r="G704" s="64"/>
      <c r="H704" s="64"/>
      <c r="I704" s="64"/>
      <c r="J704" s="64"/>
      <c r="K704" s="64"/>
      <c r="L704" s="64"/>
      <c r="M704" s="64"/>
      <c r="N704" s="64"/>
      <c r="O704" s="64"/>
      <c r="P704" s="64"/>
      <c r="Q704" s="64"/>
      <c r="R704" s="64"/>
      <c r="S704" s="64"/>
      <c r="T704" s="64"/>
      <c r="U704" s="64"/>
      <c r="V704" s="64"/>
      <c r="W704" s="64"/>
      <c r="X704" s="64"/>
      <c r="Y704" s="64"/>
      <c r="Z704" s="64"/>
      <c r="AA704" s="64"/>
      <c r="AB704" s="64"/>
      <c r="AC704" s="64"/>
      <c r="AD704" s="64"/>
      <c r="AE704" s="64"/>
      <c r="AF704" s="64"/>
      <c r="AG704" s="64"/>
      <c r="AH704" s="64"/>
    </row>
    <row r="705">
      <c r="A705" s="64"/>
      <c r="B705" s="64"/>
      <c r="C705" s="64"/>
      <c r="D705" s="64"/>
      <c r="E705" s="64"/>
      <c r="F705" s="64"/>
      <c r="G705" s="64"/>
      <c r="H705" s="64"/>
      <c r="I705" s="64"/>
      <c r="J705" s="64"/>
      <c r="K705" s="64"/>
      <c r="L705" s="64"/>
      <c r="M705" s="64"/>
      <c r="N705" s="64"/>
      <c r="O705" s="64"/>
      <c r="P705" s="64"/>
      <c r="Q705" s="64"/>
      <c r="R705" s="64"/>
      <c r="S705" s="64"/>
      <c r="T705" s="64"/>
      <c r="U705" s="64"/>
      <c r="V705" s="64"/>
      <c r="W705" s="64"/>
      <c r="X705" s="64"/>
      <c r="Y705" s="64"/>
      <c r="Z705" s="64"/>
      <c r="AA705" s="64"/>
      <c r="AB705" s="64"/>
      <c r="AC705" s="64"/>
      <c r="AD705" s="64"/>
      <c r="AE705" s="64"/>
      <c r="AF705" s="64"/>
      <c r="AG705" s="64"/>
      <c r="AH705" s="64"/>
    </row>
    <row r="706">
      <c r="A706" s="64"/>
      <c r="B706" s="64"/>
      <c r="C706" s="64"/>
      <c r="D706" s="64"/>
      <c r="E706" s="64"/>
      <c r="F706" s="64"/>
      <c r="G706" s="64"/>
      <c r="H706" s="64"/>
      <c r="I706" s="64"/>
      <c r="J706" s="64"/>
      <c r="K706" s="64"/>
      <c r="L706" s="64"/>
      <c r="M706" s="64"/>
      <c r="N706" s="64"/>
      <c r="O706" s="64"/>
      <c r="P706" s="64"/>
      <c r="Q706" s="64"/>
      <c r="R706" s="64"/>
      <c r="S706" s="64"/>
      <c r="T706" s="64"/>
      <c r="U706" s="64"/>
      <c r="V706" s="64"/>
      <c r="W706" s="64"/>
      <c r="X706" s="64"/>
      <c r="Y706" s="64"/>
      <c r="Z706" s="64"/>
      <c r="AA706" s="64"/>
      <c r="AB706" s="64"/>
      <c r="AC706" s="64"/>
      <c r="AD706" s="64"/>
      <c r="AE706" s="64"/>
      <c r="AF706" s="64"/>
      <c r="AG706" s="64"/>
      <c r="AH706" s="64"/>
    </row>
    <row r="707">
      <c r="A707" s="64"/>
      <c r="B707" s="64"/>
      <c r="C707" s="64"/>
      <c r="D707" s="64"/>
      <c r="E707" s="64"/>
      <c r="F707" s="64"/>
      <c r="G707" s="64"/>
      <c r="H707" s="64"/>
      <c r="I707" s="64"/>
      <c r="J707" s="64"/>
      <c r="K707" s="64"/>
      <c r="L707" s="64"/>
      <c r="M707" s="64"/>
      <c r="N707" s="64"/>
      <c r="O707" s="64"/>
      <c r="P707" s="64"/>
      <c r="Q707" s="64"/>
      <c r="R707" s="64"/>
      <c r="S707" s="64"/>
      <c r="T707" s="64"/>
      <c r="U707" s="64"/>
      <c r="V707" s="64"/>
      <c r="W707" s="64"/>
      <c r="X707" s="64"/>
      <c r="Y707" s="64"/>
      <c r="Z707" s="64"/>
      <c r="AA707" s="64"/>
      <c r="AB707" s="64"/>
      <c r="AC707" s="64"/>
      <c r="AD707" s="64"/>
      <c r="AE707" s="64"/>
      <c r="AF707" s="64"/>
      <c r="AG707" s="64"/>
      <c r="AH707" s="64"/>
    </row>
    <row r="708">
      <c r="A708" s="64"/>
      <c r="B708" s="64"/>
      <c r="C708" s="64"/>
      <c r="D708" s="64"/>
      <c r="E708" s="64"/>
      <c r="F708" s="64"/>
      <c r="G708" s="64"/>
      <c r="H708" s="64"/>
      <c r="I708" s="64"/>
      <c r="J708" s="64"/>
      <c r="K708" s="64"/>
      <c r="L708" s="64"/>
      <c r="M708" s="64"/>
      <c r="N708" s="64"/>
      <c r="O708" s="64"/>
      <c r="P708" s="64"/>
      <c r="Q708" s="64"/>
      <c r="R708" s="64"/>
      <c r="S708" s="64"/>
      <c r="T708" s="64"/>
      <c r="U708" s="64"/>
      <c r="V708" s="64"/>
      <c r="W708" s="64"/>
      <c r="X708" s="64"/>
      <c r="Y708" s="64"/>
      <c r="Z708" s="64"/>
      <c r="AA708" s="64"/>
      <c r="AB708" s="64"/>
      <c r="AC708" s="64"/>
      <c r="AD708" s="64"/>
      <c r="AE708" s="64"/>
      <c r="AF708" s="64"/>
      <c r="AG708" s="64"/>
      <c r="AH708" s="64"/>
    </row>
    <row r="709">
      <c r="A709" s="64"/>
      <c r="B709" s="64"/>
      <c r="C709" s="64"/>
      <c r="D709" s="64"/>
      <c r="E709" s="64"/>
      <c r="F709" s="64"/>
      <c r="G709" s="64"/>
      <c r="H709" s="64"/>
      <c r="I709" s="64"/>
      <c r="J709" s="64"/>
      <c r="K709" s="64"/>
      <c r="L709" s="64"/>
      <c r="M709" s="64"/>
      <c r="N709" s="64"/>
      <c r="O709" s="64"/>
      <c r="P709" s="64"/>
      <c r="Q709" s="64"/>
      <c r="R709" s="64"/>
      <c r="S709" s="64"/>
      <c r="T709" s="64"/>
      <c r="U709" s="64"/>
      <c r="V709" s="64"/>
      <c r="W709" s="64"/>
      <c r="X709" s="64"/>
      <c r="Y709" s="64"/>
      <c r="Z709" s="64"/>
      <c r="AA709" s="64"/>
      <c r="AB709" s="64"/>
      <c r="AC709" s="64"/>
      <c r="AD709" s="64"/>
      <c r="AE709" s="64"/>
      <c r="AF709" s="64"/>
      <c r="AG709" s="64"/>
      <c r="AH709" s="64"/>
    </row>
    <row r="710">
      <c r="A710" s="64"/>
      <c r="B710" s="64"/>
      <c r="C710" s="64"/>
      <c r="D710" s="64"/>
      <c r="E710" s="64"/>
      <c r="F710" s="64"/>
      <c r="G710" s="64"/>
      <c r="H710" s="64"/>
      <c r="I710" s="64"/>
      <c r="J710" s="64"/>
      <c r="K710" s="64"/>
      <c r="L710" s="64"/>
      <c r="M710" s="64"/>
      <c r="N710" s="64"/>
      <c r="O710" s="64"/>
      <c r="P710" s="64"/>
      <c r="Q710" s="64"/>
      <c r="R710" s="64"/>
      <c r="S710" s="64"/>
      <c r="T710" s="64"/>
      <c r="U710" s="64"/>
      <c r="V710" s="64"/>
      <c r="W710" s="64"/>
      <c r="X710" s="64"/>
      <c r="Y710" s="64"/>
      <c r="Z710" s="64"/>
      <c r="AA710" s="64"/>
      <c r="AB710" s="64"/>
      <c r="AC710" s="64"/>
      <c r="AD710" s="64"/>
      <c r="AE710" s="64"/>
      <c r="AF710" s="64"/>
      <c r="AG710" s="64"/>
      <c r="AH710" s="64"/>
    </row>
    <row r="711">
      <c r="A711" s="64"/>
      <c r="B711" s="64"/>
      <c r="C711" s="64"/>
      <c r="D711" s="64"/>
      <c r="E711" s="64"/>
      <c r="F711" s="64"/>
      <c r="G711" s="64"/>
      <c r="H711" s="64"/>
      <c r="I711" s="64"/>
      <c r="J711" s="64"/>
      <c r="K711" s="64"/>
      <c r="L711" s="64"/>
      <c r="M711" s="64"/>
      <c r="N711" s="64"/>
      <c r="O711" s="64"/>
      <c r="P711" s="64"/>
      <c r="Q711" s="64"/>
      <c r="R711" s="64"/>
      <c r="S711" s="64"/>
      <c r="T711" s="64"/>
      <c r="U711" s="64"/>
      <c r="V711" s="64"/>
      <c r="W711" s="64"/>
      <c r="X711" s="64"/>
      <c r="Y711" s="64"/>
      <c r="Z711" s="64"/>
      <c r="AA711" s="64"/>
      <c r="AB711" s="64"/>
      <c r="AC711" s="64"/>
      <c r="AD711" s="64"/>
      <c r="AE711" s="64"/>
      <c r="AF711" s="64"/>
      <c r="AG711" s="64"/>
      <c r="AH711" s="64"/>
    </row>
    <row r="712">
      <c r="A712" s="64"/>
      <c r="B712" s="64"/>
      <c r="C712" s="64"/>
      <c r="D712" s="64"/>
      <c r="E712" s="64"/>
      <c r="F712" s="64"/>
      <c r="G712" s="64"/>
      <c r="H712" s="64"/>
      <c r="I712" s="64"/>
      <c r="J712" s="64"/>
      <c r="K712" s="64"/>
      <c r="L712" s="64"/>
      <c r="M712" s="64"/>
      <c r="N712" s="64"/>
      <c r="O712" s="64"/>
      <c r="P712" s="64"/>
      <c r="Q712" s="64"/>
      <c r="R712" s="64"/>
      <c r="S712" s="64"/>
      <c r="T712" s="64"/>
      <c r="U712" s="64"/>
      <c r="V712" s="64"/>
      <c r="W712" s="64"/>
      <c r="X712" s="64"/>
      <c r="Y712" s="64"/>
      <c r="Z712" s="64"/>
      <c r="AA712" s="64"/>
      <c r="AB712" s="64"/>
      <c r="AC712" s="64"/>
      <c r="AD712" s="64"/>
      <c r="AE712" s="64"/>
      <c r="AF712" s="64"/>
      <c r="AG712" s="64"/>
      <c r="AH712" s="64"/>
    </row>
    <row r="713">
      <c r="A713" s="64"/>
      <c r="B713" s="64"/>
      <c r="C713" s="64"/>
      <c r="D713" s="64"/>
      <c r="E713" s="64"/>
      <c r="F713" s="64"/>
      <c r="G713" s="64"/>
      <c r="H713" s="64"/>
      <c r="I713" s="64"/>
      <c r="J713" s="64"/>
      <c r="K713" s="64"/>
      <c r="L713" s="64"/>
      <c r="M713" s="64"/>
      <c r="N713" s="64"/>
      <c r="O713" s="64"/>
      <c r="P713" s="64"/>
      <c r="Q713" s="64"/>
      <c r="R713" s="64"/>
      <c r="S713" s="64"/>
      <c r="T713" s="64"/>
      <c r="U713" s="64"/>
      <c r="V713" s="64"/>
      <c r="W713" s="64"/>
      <c r="X713" s="64"/>
      <c r="Y713" s="64"/>
      <c r="Z713" s="64"/>
      <c r="AA713" s="64"/>
      <c r="AB713" s="64"/>
      <c r="AC713" s="64"/>
      <c r="AD713" s="64"/>
      <c r="AE713" s="64"/>
      <c r="AF713" s="64"/>
      <c r="AG713" s="64"/>
      <c r="AH713" s="64"/>
    </row>
    <row r="714">
      <c r="A714" s="64"/>
      <c r="B714" s="64"/>
      <c r="C714" s="64"/>
      <c r="D714" s="64"/>
      <c r="E714" s="64"/>
      <c r="F714" s="64"/>
      <c r="G714" s="64"/>
      <c r="H714" s="64"/>
      <c r="I714" s="64"/>
      <c r="J714" s="64"/>
      <c r="K714" s="64"/>
      <c r="L714" s="64"/>
      <c r="M714" s="64"/>
      <c r="N714" s="64"/>
      <c r="O714" s="64"/>
      <c r="P714" s="64"/>
      <c r="Q714" s="64"/>
      <c r="R714" s="64"/>
      <c r="S714" s="64"/>
      <c r="T714" s="64"/>
      <c r="U714" s="64"/>
      <c r="V714" s="64"/>
      <c r="W714" s="64"/>
      <c r="X714" s="64"/>
      <c r="Y714" s="64"/>
      <c r="Z714" s="64"/>
      <c r="AA714" s="64"/>
      <c r="AB714" s="64"/>
      <c r="AC714" s="64"/>
      <c r="AD714" s="64"/>
      <c r="AE714" s="64"/>
      <c r="AF714" s="64"/>
      <c r="AG714" s="64"/>
      <c r="AH714" s="64"/>
    </row>
    <row r="715">
      <c r="A715" s="64"/>
      <c r="B715" s="64"/>
      <c r="C715" s="64"/>
      <c r="D715" s="64"/>
      <c r="E715" s="64"/>
      <c r="F715" s="64"/>
      <c r="G715" s="64"/>
      <c r="H715" s="64"/>
      <c r="I715" s="64"/>
      <c r="J715" s="64"/>
      <c r="K715" s="64"/>
      <c r="L715" s="64"/>
      <c r="M715" s="64"/>
      <c r="N715" s="64"/>
      <c r="O715" s="64"/>
      <c r="P715" s="64"/>
      <c r="Q715" s="64"/>
      <c r="R715" s="64"/>
      <c r="S715" s="64"/>
      <c r="T715" s="64"/>
      <c r="U715" s="64"/>
      <c r="V715" s="64"/>
      <c r="W715" s="64"/>
      <c r="X715" s="64"/>
      <c r="Y715" s="64"/>
      <c r="Z715" s="64"/>
      <c r="AA715" s="64"/>
      <c r="AB715" s="64"/>
      <c r="AC715" s="64"/>
      <c r="AD715" s="64"/>
      <c r="AE715" s="64"/>
      <c r="AF715" s="64"/>
      <c r="AG715" s="64"/>
      <c r="AH715" s="64"/>
    </row>
    <row r="716">
      <c r="A716" s="64"/>
      <c r="B716" s="64"/>
      <c r="C716" s="64"/>
      <c r="D716" s="64"/>
      <c r="E716" s="64"/>
      <c r="F716" s="64"/>
      <c r="G716" s="64"/>
      <c r="H716" s="64"/>
      <c r="I716" s="64"/>
      <c r="J716" s="64"/>
      <c r="K716" s="64"/>
      <c r="L716" s="64"/>
      <c r="M716" s="64"/>
      <c r="N716" s="64"/>
      <c r="O716" s="64"/>
      <c r="P716" s="64"/>
      <c r="Q716" s="64"/>
      <c r="R716" s="64"/>
      <c r="S716" s="64"/>
      <c r="T716" s="64"/>
      <c r="U716" s="64"/>
      <c r="V716" s="64"/>
      <c r="W716" s="64"/>
      <c r="X716" s="64"/>
      <c r="Y716" s="64"/>
      <c r="Z716" s="64"/>
      <c r="AA716" s="64"/>
      <c r="AB716" s="64"/>
      <c r="AC716" s="64"/>
      <c r="AD716" s="64"/>
      <c r="AE716" s="64"/>
      <c r="AF716" s="64"/>
      <c r="AG716" s="64"/>
      <c r="AH716" s="64"/>
    </row>
    <row r="717">
      <c r="A717" s="64"/>
      <c r="B717" s="64"/>
      <c r="C717" s="64"/>
      <c r="D717" s="64"/>
      <c r="E717" s="64"/>
      <c r="F717" s="64"/>
      <c r="G717" s="64"/>
      <c r="H717" s="64"/>
      <c r="I717" s="64"/>
      <c r="J717" s="64"/>
      <c r="K717" s="64"/>
      <c r="L717" s="64"/>
      <c r="M717" s="64"/>
      <c r="N717" s="64"/>
      <c r="O717" s="64"/>
      <c r="P717" s="64"/>
      <c r="Q717" s="64"/>
      <c r="R717" s="64"/>
      <c r="S717" s="64"/>
      <c r="T717" s="64"/>
      <c r="U717" s="64"/>
      <c r="V717" s="64"/>
      <c r="W717" s="64"/>
      <c r="X717" s="64"/>
      <c r="Y717" s="64"/>
      <c r="Z717" s="64"/>
      <c r="AA717" s="64"/>
      <c r="AB717" s="64"/>
      <c r="AC717" s="64"/>
      <c r="AD717" s="64"/>
      <c r="AE717" s="64"/>
      <c r="AF717" s="64"/>
      <c r="AG717" s="64"/>
      <c r="AH717" s="64"/>
    </row>
    <row r="718">
      <c r="A718" s="64"/>
      <c r="B718" s="64"/>
      <c r="C718" s="64"/>
      <c r="D718" s="64"/>
      <c r="E718" s="64"/>
      <c r="F718" s="64"/>
      <c r="G718" s="64"/>
      <c r="H718" s="64"/>
      <c r="I718" s="64"/>
      <c r="J718" s="64"/>
      <c r="K718" s="64"/>
      <c r="L718" s="64"/>
      <c r="M718" s="64"/>
      <c r="N718" s="64"/>
      <c r="O718" s="64"/>
      <c r="P718" s="64"/>
      <c r="Q718" s="64"/>
      <c r="R718" s="64"/>
      <c r="S718" s="64"/>
      <c r="T718" s="64"/>
      <c r="U718" s="64"/>
      <c r="V718" s="64"/>
      <c r="W718" s="64"/>
      <c r="X718" s="64"/>
      <c r="Y718" s="64"/>
      <c r="Z718" s="64"/>
      <c r="AA718" s="64"/>
      <c r="AB718" s="64"/>
      <c r="AC718" s="64"/>
      <c r="AD718" s="64"/>
      <c r="AE718" s="64"/>
      <c r="AF718" s="64"/>
      <c r="AG718" s="64"/>
      <c r="AH718" s="64"/>
    </row>
    <row r="719">
      <c r="A719" s="64"/>
      <c r="B719" s="64"/>
      <c r="C719" s="64"/>
      <c r="D719" s="64"/>
      <c r="E719" s="64"/>
      <c r="F719" s="64"/>
      <c r="G719" s="64"/>
      <c r="H719" s="64"/>
      <c r="I719" s="64"/>
      <c r="J719" s="64"/>
      <c r="K719" s="64"/>
      <c r="L719" s="64"/>
      <c r="M719" s="64"/>
      <c r="N719" s="64"/>
      <c r="O719" s="64"/>
      <c r="P719" s="64"/>
      <c r="Q719" s="64"/>
      <c r="R719" s="64"/>
      <c r="S719" s="64"/>
      <c r="T719" s="64"/>
      <c r="U719" s="64"/>
      <c r="V719" s="64"/>
      <c r="W719" s="64"/>
      <c r="X719" s="64"/>
      <c r="Y719" s="64"/>
      <c r="Z719" s="64"/>
      <c r="AA719" s="64"/>
      <c r="AB719" s="64"/>
      <c r="AC719" s="64"/>
      <c r="AD719" s="64"/>
      <c r="AE719" s="64"/>
      <c r="AF719" s="64"/>
      <c r="AG719" s="64"/>
      <c r="AH719" s="64"/>
    </row>
    <row r="720">
      <c r="A720" s="64"/>
      <c r="B720" s="64"/>
      <c r="C720" s="64"/>
      <c r="D720" s="64"/>
      <c r="E720" s="64"/>
      <c r="F720" s="64"/>
      <c r="G720" s="64"/>
      <c r="H720" s="64"/>
      <c r="I720" s="64"/>
      <c r="J720" s="64"/>
      <c r="K720" s="64"/>
      <c r="L720" s="64"/>
      <c r="M720" s="64"/>
      <c r="N720" s="64"/>
      <c r="O720" s="64"/>
      <c r="P720" s="64"/>
      <c r="Q720" s="64"/>
      <c r="R720" s="64"/>
      <c r="S720" s="64"/>
      <c r="T720" s="64"/>
      <c r="U720" s="64"/>
      <c r="V720" s="64"/>
      <c r="W720" s="64"/>
      <c r="X720" s="64"/>
      <c r="Y720" s="64"/>
      <c r="Z720" s="64"/>
      <c r="AA720" s="64"/>
      <c r="AB720" s="64"/>
      <c r="AC720" s="64"/>
      <c r="AD720" s="64"/>
      <c r="AE720" s="64"/>
      <c r="AF720" s="64"/>
      <c r="AG720" s="64"/>
      <c r="AH720" s="64"/>
    </row>
    <row r="721">
      <c r="A721" s="64"/>
      <c r="B721" s="64"/>
      <c r="C721" s="64"/>
      <c r="D721" s="64"/>
      <c r="E721" s="64"/>
      <c r="F721" s="64"/>
      <c r="G721" s="64"/>
      <c r="H721" s="64"/>
      <c r="I721" s="64"/>
      <c r="J721" s="64"/>
      <c r="K721" s="64"/>
      <c r="L721" s="64"/>
      <c r="M721" s="64"/>
      <c r="N721" s="64"/>
      <c r="O721" s="64"/>
      <c r="P721" s="64"/>
      <c r="Q721" s="64"/>
      <c r="R721" s="64"/>
      <c r="S721" s="64"/>
      <c r="T721" s="64"/>
      <c r="U721" s="64"/>
      <c r="V721" s="64"/>
      <c r="W721" s="64"/>
      <c r="X721" s="64"/>
      <c r="Y721" s="64"/>
      <c r="Z721" s="64"/>
      <c r="AA721" s="64"/>
      <c r="AB721" s="64"/>
      <c r="AC721" s="64"/>
      <c r="AD721" s="64"/>
      <c r="AE721" s="64"/>
      <c r="AF721" s="64"/>
      <c r="AG721" s="64"/>
      <c r="AH721" s="64"/>
    </row>
    <row r="722">
      <c r="A722" s="64"/>
      <c r="B722" s="64"/>
      <c r="C722" s="64"/>
      <c r="D722" s="64"/>
      <c r="E722" s="64"/>
      <c r="F722" s="64"/>
      <c r="G722" s="64"/>
      <c r="H722" s="64"/>
      <c r="I722" s="64"/>
      <c r="J722" s="64"/>
      <c r="K722" s="64"/>
      <c r="L722" s="64"/>
      <c r="M722" s="64"/>
      <c r="N722" s="64"/>
      <c r="O722" s="64"/>
      <c r="P722" s="64"/>
      <c r="Q722" s="64"/>
      <c r="R722" s="64"/>
      <c r="S722" s="64"/>
      <c r="T722" s="64"/>
      <c r="U722" s="64"/>
      <c r="V722" s="64"/>
      <c r="W722" s="64"/>
      <c r="X722" s="64"/>
      <c r="Y722" s="64"/>
      <c r="Z722" s="64"/>
      <c r="AA722" s="64"/>
      <c r="AB722" s="64"/>
      <c r="AC722" s="64"/>
      <c r="AD722" s="64"/>
      <c r="AE722" s="64"/>
      <c r="AF722" s="64"/>
      <c r="AG722" s="64"/>
      <c r="AH722" s="64"/>
    </row>
    <row r="723">
      <c r="A723" s="64"/>
      <c r="B723" s="64"/>
      <c r="C723" s="64"/>
      <c r="D723" s="64"/>
      <c r="E723" s="64"/>
      <c r="F723" s="64"/>
      <c r="G723" s="64"/>
      <c r="H723" s="64"/>
      <c r="I723" s="64"/>
      <c r="J723" s="64"/>
      <c r="K723" s="64"/>
      <c r="L723" s="64"/>
      <c r="M723" s="64"/>
      <c r="N723" s="64"/>
      <c r="O723" s="64"/>
      <c r="P723" s="64"/>
      <c r="Q723" s="64"/>
      <c r="R723" s="64"/>
      <c r="S723" s="64"/>
      <c r="T723" s="64"/>
      <c r="U723" s="64"/>
      <c r="V723" s="64"/>
      <c r="W723" s="64"/>
      <c r="X723" s="64"/>
      <c r="Y723" s="64"/>
      <c r="Z723" s="64"/>
      <c r="AA723" s="64"/>
      <c r="AB723" s="64"/>
      <c r="AC723" s="64"/>
      <c r="AD723" s="64"/>
      <c r="AE723" s="64"/>
      <c r="AF723" s="64"/>
      <c r="AG723" s="64"/>
      <c r="AH723" s="64"/>
    </row>
    <row r="724">
      <c r="A724" s="64"/>
      <c r="B724" s="64"/>
      <c r="C724" s="64"/>
      <c r="D724" s="64"/>
      <c r="E724" s="64"/>
      <c r="F724" s="64"/>
      <c r="G724" s="64"/>
      <c r="H724" s="64"/>
      <c r="I724" s="64"/>
      <c r="J724" s="64"/>
      <c r="K724" s="64"/>
      <c r="L724" s="64"/>
      <c r="M724" s="64"/>
      <c r="N724" s="64"/>
      <c r="O724" s="64"/>
      <c r="P724" s="64"/>
      <c r="Q724" s="64"/>
      <c r="R724" s="64"/>
      <c r="S724" s="64"/>
      <c r="T724" s="64"/>
      <c r="U724" s="64"/>
      <c r="V724" s="64"/>
      <c r="W724" s="64"/>
      <c r="X724" s="64"/>
      <c r="Y724" s="64"/>
      <c r="Z724" s="64"/>
      <c r="AA724" s="64"/>
      <c r="AB724" s="64"/>
      <c r="AC724" s="64"/>
      <c r="AD724" s="64"/>
      <c r="AE724" s="64"/>
      <c r="AF724" s="64"/>
      <c r="AG724" s="64"/>
      <c r="AH724" s="64"/>
    </row>
    <row r="725">
      <c r="A725" s="64"/>
      <c r="B725" s="64"/>
      <c r="C725" s="64"/>
      <c r="D725" s="64"/>
      <c r="E725" s="64"/>
      <c r="F725" s="64"/>
      <c r="G725" s="64"/>
      <c r="H725" s="64"/>
      <c r="I725" s="64"/>
      <c r="J725" s="64"/>
      <c r="K725" s="64"/>
      <c r="L725" s="64"/>
      <c r="M725" s="64"/>
      <c r="N725" s="64"/>
      <c r="O725" s="64"/>
      <c r="P725" s="64"/>
      <c r="Q725" s="64"/>
      <c r="R725" s="64"/>
      <c r="S725" s="64"/>
      <c r="T725" s="64"/>
      <c r="U725" s="64"/>
      <c r="V725" s="64"/>
      <c r="W725" s="64"/>
      <c r="X725" s="64"/>
      <c r="Y725" s="64"/>
      <c r="Z725" s="64"/>
      <c r="AA725" s="64"/>
      <c r="AB725" s="64"/>
      <c r="AC725" s="64"/>
      <c r="AD725" s="64"/>
      <c r="AE725" s="64"/>
      <c r="AF725" s="64"/>
      <c r="AG725" s="64"/>
      <c r="AH725" s="64"/>
    </row>
    <row r="726">
      <c r="A726" s="64"/>
      <c r="B726" s="64"/>
      <c r="C726" s="64"/>
      <c r="D726" s="64"/>
      <c r="E726" s="64"/>
      <c r="F726" s="64"/>
      <c r="G726" s="64"/>
      <c r="H726" s="64"/>
      <c r="I726" s="64"/>
      <c r="J726" s="64"/>
      <c r="K726" s="64"/>
      <c r="L726" s="64"/>
      <c r="M726" s="64"/>
      <c r="N726" s="64"/>
      <c r="O726" s="64"/>
      <c r="P726" s="64"/>
      <c r="Q726" s="64"/>
      <c r="R726" s="64"/>
      <c r="S726" s="64"/>
      <c r="T726" s="64"/>
      <c r="U726" s="64"/>
      <c r="V726" s="64"/>
      <c r="W726" s="64"/>
      <c r="X726" s="64"/>
      <c r="Y726" s="64"/>
      <c r="Z726" s="64"/>
      <c r="AA726" s="64"/>
      <c r="AB726" s="64"/>
      <c r="AC726" s="64"/>
      <c r="AD726" s="64"/>
      <c r="AE726" s="64"/>
      <c r="AF726" s="64"/>
      <c r="AG726" s="64"/>
      <c r="AH726" s="64"/>
    </row>
    <row r="727">
      <c r="A727" s="64"/>
      <c r="B727" s="64"/>
      <c r="C727" s="64"/>
      <c r="D727" s="64"/>
      <c r="E727" s="64"/>
      <c r="F727" s="64"/>
      <c r="G727" s="64"/>
      <c r="H727" s="64"/>
      <c r="I727" s="64"/>
      <c r="J727" s="64"/>
      <c r="K727" s="64"/>
      <c r="L727" s="64"/>
      <c r="M727" s="64"/>
      <c r="N727" s="64"/>
      <c r="O727" s="64"/>
      <c r="P727" s="64"/>
      <c r="Q727" s="64"/>
      <c r="R727" s="64"/>
      <c r="S727" s="64"/>
      <c r="T727" s="64"/>
      <c r="U727" s="64"/>
      <c r="V727" s="64"/>
      <c r="W727" s="64"/>
      <c r="X727" s="64"/>
      <c r="Y727" s="64"/>
      <c r="Z727" s="64"/>
      <c r="AA727" s="64"/>
      <c r="AB727" s="64"/>
      <c r="AC727" s="64"/>
      <c r="AD727" s="64"/>
      <c r="AE727" s="64"/>
      <c r="AF727" s="64"/>
      <c r="AG727" s="64"/>
      <c r="AH727" s="64"/>
    </row>
    <row r="728">
      <c r="A728" s="64"/>
      <c r="B728" s="64"/>
      <c r="C728" s="64"/>
      <c r="D728" s="64"/>
      <c r="E728" s="64"/>
      <c r="F728" s="64"/>
      <c r="G728" s="64"/>
      <c r="H728" s="64"/>
      <c r="I728" s="64"/>
      <c r="J728" s="64"/>
      <c r="K728" s="64"/>
      <c r="L728" s="64"/>
      <c r="M728" s="64"/>
      <c r="N728" s="64"/>
      <c r="O728" s="64"/>
      <c r="P728" s="64"/>
      <c r="Q728" s="64"/>
      <c r="R728" s="64"/>
      <c r="S728" s="64"/>
      <c r="T728" s="64"/>
      <c r="U728" s="64"/>
      <c r="V728" s="64"/>
      <c r="W728" s="64"/>
      <c r="X728" s="64"/>
      <c r="Y728" s="64"/>
      <c r="Z728" s="64"/>
      <c r="AA728" s="64"/>
      <c r="AB728" s="64"/>
      <c r="AC728" s="64"/>
      <c r="AD728" s="64"/>
      <c r="AE728" s="64"/>
      <c r="AF728" s="64"/>
      <c r="AG728" s="64"/>
      <c r="AH728" s="64"/>
    </row>
    <row r="729">
      <c r="A729" s="64"/>
      <c r="B729" s="64"/>
      <c r="C729" s="64"/>
      <c r="D729" s="64"/>
      <c r="E729" s="64"/>
      <c r="F729" s="64"/>
      <c r="G729" s="64"/>
      <c r="H729" s="64"/>
      <c r="I729" s="64"/>
      <c r="J729" s="64"/>
      <c r="K729" s="64"/>
      <c r="L729" s="64"/>
      <c r="M729" s="64"/>
      <c r="N729" s="64"/>
      <c r="O729" s="64"/>
      <c r="P729" s="64"/>
      <c r="Q729" s="64"/>
      <c r="R729" s="64"/>
      <c r="S729" s="64"/>
      <c r="T729" s="64"/>
      <c r="U729" s="64"/>
      <c r="V729" s="64"/>
      <c r="W729" s="64"/>
      <c r="X729" s="64"/>
      <c r="Y729" s="64"/>
      <c r="Z729" s="64"/>
      <c r="AA729" s="64"/>
      <c r="AB729" s="64"/>
      <c r="AC729" s="64"/>
      <c r="AD729" s="64"/>
      <c r="AE729" s="64"/>
      <c r="AF729" s="64"/>
      <c r="AG729" s="64"/>
      <c r="AH729" s="64"/>
    </row>
    <row r="730">
      <c r="A730" s="64"/>
      <c r="B730" s="64"/>
      <c r="C730" s="64"/>
      <c r="D730" s="64"/>
      <c r="E730" s="64"/>
      <c r="F730" s="64"/>
      <c r="G730" s="64"/>
      <c r="H730" s="64"/>
      <c r="I730" s="64"/>
      <c r="J730" s="64"/>
      <c r="K730" s="64"/>
      <c r="L730" s="64"/>
      <c r="M730" s="64"/>
      <c r="N730" s="64"/>
      <c r="O730" s="64"/>
      <c r="P730" s="64"/>
      <c r="Q730" s="64"/>
      <c r="R730" s="64"/>
      <c r="S730" s="64"/>
      <c r="T730" s="64"/>
      <c r="U730" s="64"/>
      <c r="V730" s="64"/>
      <c r="W730" s="64"/>
      <c r="X730" s="64"/>
      <c r="Y730" s="64"/>
      <c r="Z730" s="64"/>
      <c r="AA730" s="64"/>
      <c r="AB730" s="64"/>
      <c r="AC730" s="64"/>
      <c r="AD730" s="64"/>
      <c r="AE730" s="64"/>
      <c r="AF730" s="64"/>
      <c r="AG730" s="64"/>
      <c r="AH730" s="64"/>
    </row>
    <row r="731">
      <c r="A731" s="64"/>
      <c r="B731" s="64"/>
      <c r="C731" s="64"/>
      <c r="D731" s="64"/>
      <c r="E731" s="64"/>
      <c r="F731" s="64"/>
      <c r="G731" s="64"/>
      <c r="H731" s="64"/>
      <c r="I731" s="64"/>
      <c r="J731" s="64"/>
      <c r="K731" s="64"/>
      <c r="L731" s="64"/>
      <c r="M731" s="64"/>
      <c r="N731" s="64"/>
      <c r="O731" s="64"/>
      <c r="P731" s="64"/>
      <c r="Q731" s="64"/>
      <c r="R731" s="64"/>
      <c r="S731" s="64"/>
      <c r="T731" s="64"/>
      <c r="U731" s="64"/>
      <c r="V731" s="64"/>
      <c r="W731" s="64"/>
      <c r="X731" s="64"/>
      <c r="Y731" s="64"/>
      <c r="Z731" s="64"/>
      <c r="AA731" s="64"/>
      <c r="AB731" s="64"/>
      <c r="AC731" s="64"/>
      <c r="AD731" s="64"/>
      <c r="AE731" s="64"/>
      <c r="AF731" s="64"/>
      <c r="AG731" s="64"/>
      <c r="AH731" s="64"/>
    </row>
    <row r="732">
      <c r="A732" s="64"/>
      <c r="B732" s="64"/>
      <c r="C732" s="64"/>
      <c r="D732" s="64"/>
      <c r="E732" s="64"/>
      <c r="F732" s="64"/>
      <c r="G732" s="64"/>
      <c r="H732" s="64"/>
      <c r="I732" s="64"/>
      <c r="J732" s="64"/>
      <c r="K732" s="64"/>
      <c r="L732" s="64"/>
      <c r="M732" s="64"/>
      <c r="N732" s="64"/>
      <c r="O732" s="64"/>
      <c r="P732" s="64"/>
      <c r="Q732" s="64"/>
      <c r="R732" s="64"/>
      <c r="S732" s="64"/>
      <c r="T732" s="64"/>
      <c r="U732" s="64"/>
      <c r="V732" s="64"/>
      <c r="W732" s="64"/>
      <c r="X732" s="64"/>
      <c r="Y732" s="64"/>
      <c r="Z732" s="64"/>
      <c r="AA732" s="64"/>
      <c r="AB732" s="64"/>
      <c r="AC732" s="64"/>
      <c r="AD732" s="64"/>
      <c r="AE732" s="64"/>
      <c r="AF732" s="64"/>
      <c r="AG732" s="64"/>
      <c r="AH732" s="64"/>
    </row>
    <row r="733">
      <c r="A733" s="64"/>
      <c r="B733" s="64"/>
      <c r="C733" s="64"/>
      <c r="D733" s="64"/>
      <c r="E733" s="64"/>
      <c r="F733" s="64"/>
      <c r="G733" s="64"/>
      <c r="H733" s="64"/>
      <c r="I733" s="64"/>
      <c r="J733" s="64"/>
      <c r="K733" s="64"/>
      <c r="L733" s="64"/>
      <c r="M733" s="64"/>
      <c r="N733" s="64"/>
      <c r="O733" s="64"/>
      <c r="P733" s="64"/>
      <c r="Q733" s="64"/>
      <c r="R733" s="64"/>
      <c r="S733" s="64"/>
      <c r="T733" s="64"/>
      <c r="U733" s="64"/>
      <c r="V733" s="64"/>
      <c r="W733" s="64"/>
      <c r="X733" s="64"/>
      <c r="Y733" s="64"/>
      <c r="Z733" s="64"/>
      <c r="AA733" s="64"/>
      <c r="AB733" s="64"/>
      <c r="AC733" s="64"/>
      <c r="AD733" s="64"/>
      <c r="AE733" s="64"/>
      <c r="AF733" s="64"/>
      <c r="AG733" s="64"/>
      <c r="AH733" s="64"/>
    </row>
    <row r="734">
      <c r="A734" s="64"/>
      <c r="B734" s="64"/>
      <c r="C734" s="64"/>
      <c r="D734" s="64"/>
      <c r="E734" s="64"/>
      <c r="F734" s="64"/>
      <c r="G734" s="64"/>
      <c r="H734" s="64"/>
      <c r="I734" s="64"/>
      <c r="J734" s="64"/>
      <c r="K734" s="64"/>
      <c r="L734" s="64"/>
      <c r="M734" s="64"/>
      <c r="N734" s="64"/>
      <c r="O734" s="64"/>
      <c r="P734" s="64"/>
      <c r="Q734" s="64"/>
      <c r="R734" s="64"/>
      <c r="S734" s="64"/>
      <c r="T734" s="64"/>
      <c r="U734" s="64"/>
      <c r="V734" s="64"/>
      <c r="W734" s="64"/>
      <c r="X734" s="64"/>
      <c r="Y734" s="64"/>
      <c r="Z734" s="64"/>
      <c r="AA734" s="64"/>
      <c r="AB734" s="64"/>
      <c r="AC734" s="64"/>
      <c r="AD734" s="64"/>
      <c r="AE734" s="64"/>
      <c r="AF734" s="64"/>
      <c r="AG734" s="64"/>
      <c r="AH734" s="64"/>
    </row>
    <row r="735">
      <c r="A735" s="64"/>
      <c r="B735" s="64"/>
      <c r="C735" s="64"/>
      <c r="D735" s="64"/>
      <c r="E735" s="64"/>
      <c r="F735" s="64"/>
      <c r="G735" s="64"/>
      <c r="H735" s="64"/>
      <c r="I735" s="64"/>
      <c r="J735" s="64"/>
      <c r="K735" s="64"/>
      <c r="L735" s="64"/>
      <c r="M735" s="64"/>
      <c r="N735" s="64"/>
      <c r="O735" s="64"/>
      <c r="P735" s="64"/>
      <c r="Q735" s="64"/>
      <c r="R735" s="64"/>
      <c r="S735" s="64"/>
      <c r="T735" s="64"/>
      <c r="U735" s="64"/>
      <c r="V735" s="64"/>
      <c r="W735" s="64"/>
      <c r="X735" s="64"/>
      <c r="Y735" s="64"/>
      <c r="Z735" s="64"/>
      <c r="AA735" s="64"/>
      <c r="AB735" s="64"/>
      <c r="AC735" s="64"/>
      <c r="AD735" s="64"/>
      <c r="AE735" s="64"/>
      <c r="AF735" s="64"/>
      <c r="AG735" s="64"/>
      <c r="AH735" s="64"/>
    </row>
    <row r="736">
      <c r="A736" s="64"/>
      <c r="B736" s="64"/>
      <c r="C736" s="64"/>
      <c r="D736" s="64"/>
      <c r="E736" s="64"/>
      <c r="F736" s="64"/>
      <c r="G736" s="64"/>
      <c r="H736" s="64"/>
      <c r="I736" s="64"/>
      <c r="J736" s="64"/>
      <c r="K736" s="64"/>
      <c r="L736" s="64"/>
      <c r="M736" s="64"/>
      <c r="N736" s="64"/>
      <c r="O736" s="64"/>
      <c r="P736" s="64"/>
      <c r="Q736" s="64"/>
      <c r="R736" s="64"/>
      <c r="S736" s="64"/>
      <c r="T736" s="64"/>
      <c r="U736" s="64"/>
      <c r="V736" s="64"/>
      <c r="W736" s="64"/>
      <c r="X736" s="64"/>
      <c r="Y736" s="64"/>
      <c r="Z736" s="64"/>
      <c r="AA736" s="64"/>
      <c r="AB736" s="64"/>
      <c r="AC736" s="64"/>
      <c r="AD736" s="64"/>
      <c r="AE736" s="64"/>
      <c r="AF736" s="64"/>
      <c r="AG736" s="64"/>
      <c r="AH736" s="64"/>
    </row>
    <row r="737">
      <c r="A737" s="64"/>
      <c r="B737" s="64"/>
      <c r="C737" s="64"/>
      <c r="D737" s="64"/>
      <c r="E737" s="64"/>
      <c r="F737" s="64"/>
      <c r="G737" s="64"/>
      <c r="H737" s="64"/>
      <c r="I737" s="64"/>
      <c r="J737" s="64"/>
      <c r="K737" s="64"/>
      <c r="L737" s="64"/>
      <c r="M737" s="64"/>
      <c r="N737" s="64"/>
      <c r="O737" s="64"/>
      <c r="P737" s="64"/>
      <c r="Q737" s="64"/>
      <c r="R737" s="64"/>
      <c r="S737" s="64"/>
      <c r="T737" s="64"/>
      <c r="U737" s="64"/>
      <c r="V737" s="64"/>
      <c r="W737" s="64"/>
      <c r="X737" s="64"/>
      <c r="Y737" s="64"/>
      <c r="Z737" s="64"/>
      <c r="AA737" s="64"/>
      <c r="AB737" s="64"/>
      <c r="AC737" s="64"/>
      <c r="AD737" s="64"/>
      <c r="AE737" s="64"/>
      <c r="AF737" s="64"/>
      <c r="AG737" s="64"/>
      <c r="AH737" s="64"/>
    </row>
    <row r="738">
      <c r="A738" s="64"/>
      <c r="B738" s="64"/>
      <c r="C738" s="64"/>
      <c r="D738" s="64"/>
      <c r="E738" s="64"/>
      <c r="F738" s="64"/>
      <c r="G738" s="64"/>
      <c r="H738" s="64"/>
      <c r="I738" s="64"/>
      <c r="J738" s="64"/>
      <c r="K738" s="64"/>
      <c r="L738" s="64"/>
      <c r="M738" s="64"/>
      <c r="N738" s="64"/>
      <c r="O738" s="64"/>
      <c r="P738" s="64"/>
      <c r="Q738" s="64"/>
      <c r="R738" s="64"/>
      <c r="S738" s="64"/>
      <c r="T738" s="64"/>
      <c r="U738" s="64"/>
      <c r="V738" s="64"/>
      <c r="W738" s="64"/>
      <c r="X738" s="64"/>
      <c r="Y738" s="64"/>
      <c r="Z738" s="64"/>
      <c r="AA738" s="64"/>
      <c r="AB738" s="64"/>
      <c r="AC738" s="64"/>
      <c r="AD738" s="64"/>
      <c r="AE738" s="64"/>
      <c r="AF738" s="64"/>
      <c r="AG738" s="64"/>
      <c r="AH738" s="64"/>
    </row>
    <row r="739">
      <c r="A739" s="64"/>
      <c r="B739" s="64"/>
      <c r="C739" s="64"/>
      <c r="D739" s="64"/>
      <c r="E739" s="64"/>
      <c r="F739" s="64"/>
      <c r="G739" s="64"/>
      <c r="H739" s="64"/>
      <c r="I739" s="64"/>
      <c r="J739" s="64"/>
      <c r="K739" s="64"/>
      <c r="L739" s="64"/>
      <c r="M739" s="64"/>
      <c r="N739" s="64"/>
      <c r="O739" s="64"/>
      <c r="P739" s="64"/>
      <c r="Q739" s="64"/>
      <c r="R739" s="64"/>
      <c r="S739" s="64"/>
      <c r="T739" s="64"/>
      <c r="U739" s="64"/>
      <c r="V739" s="64"/>
      <c r="W739" s="64"/>
      <c r="X739" s="64"/>
      <c r="Y739" s="64"/>
      <c r="Z739" s="64"/>
      <c r="AA739" s="64"/>
      <c r="AB739" s="64"/>
      <c r="AC739" s="64"/>
      <c r="AD739" s="64"/>
      <c r="AE739" s="64"/>
      <c r="AF739" s="64"/>
      <c r="AG739" s="64"/>
      <c r="AH739" s="64"/>
    </row>
    <row r="740">
      <c r="A740" s="64"/>
      <c r="B740" s="64"/>
      <c r="C740" s="64"/>
      <c r="D740" s="64"/>
      <c r="E740" s="64"/>
      <c r="F740" s="64"/>
      <c r="G740" s="64"/>
      <c r="H740" s="64"/>
      <c r="I740" s="64"/>
      <c r="J740" s="64"/>
      <c r="K740" s="64"/>
      <c r="L740" s="64"/>
      <c r="M740" s="64"/>
      <c r="N740" s="64"/>
      <c r="O740" s="64"/>
      <c r="P740" s="64"/>
      <c r="Q740" s="64"/>
      <c r="R740" s="64"/>
      <c r="S740" s="64"/>
      <c r="T740" s="64"/>
      <c r="U740" s="64"/>
      <c r="V740" s="64"/>
      <c r="W740" s="64"/>
      <c r="X740" s="64"/>
      <c r="Y740" s="64"/>
      <c r="Z740" s="64"/>
      <c r="AA740" s="64"/>
      <c r="AB740" s="64"/>
      <c r="AC740" s="64"/>
      <c r="AD740" s="64"/>
      <c r="AE740" s="64"/>
      <c r="AF740" s="64"/>
      <c r="AG740" s="64"/>
      <c r="AH740" s="64"/>
    </row>
    <row r="741">
      <c r="A741" s="64"/>
      <c r="B741" s="64"/>
      <c r="C741" s="64"/>
      <c r="D741" s="64"/>
      <c r="E741" s="64"/>
      <c r="F741" s="64"/>
      <c r="G741" s="64"/>
      <c r="H741" s="64"/>
      <c r="I741" s="64"/>
      <c r="J741" s="64"/>
      <c r="K741" s="64"/>
      <c r="L741" s="64"/>
      <c r="M741" s="64"/>
      <c r="N741" s="64"/>
      <c r="O741" s="64"/>
      <c r="P741" s="64"/>
      <c r="Q741" s="64"/>
      <c r="R741" s="64"/>
      <c r="S741" s="64"/>
      <c r="T741" s="64"/>
      <c r="U741" s="64"/>
      <c r="V741" s="64"/>
      <c r="W741" s="64"/>
      <c r="X741" s="64"/>
      <c r="Y741" s="64"/>
      <c r="Z741" s="64"/>
      <c r="AA741" s="64"/>
      <c r="AB741" s="64"/>
      <c r="AC741" s="64"/>
      <c r="AD741" s="64"/>
      <c r="AE741" s="64"/>
      <c r="AF741" s="64"/>
      <c r="AG741" s="64"/>
      <c r="AH741" s="64"/>
    </row>
    <row r="742">
      <c r="A742" s="64"/>
      <c r="B742" s="64"/>
      <c r="C742" s="64"/>
      <c r="D742" s="64"/>
      <c r="E742" s="64"/>
      <c r="F742" s="64"/>
      <c r="G742" s="64"/>
      <c r="H742" s="64"/>
      <c r="I742" s="64"/>
      <c r="J742" s="64"/>
      <c r="K742" s="64"/>
      <c r="L742" s="64"/>
      <c r="M742" s="64"/>
      <c r="N742" s="64"/>
      <c r="O742" s="64"/>
      <c r="P742" s="64"/>
      <c r="Q742" s="64"/>
      <c r="R742" s="64"/>
      <c r="S742" s="64"/>
      <c r="T742" s="64"/>
      <c r="U742" s="64"/>
      <c r="V742" s="64"/>
      <c r="W742" s="64"/>
      <c r="X742" s="64"/>
      <c r="Y742" s="64"/>
      <c r="Z742" s="64"/>
      <c r="AA742" s="64"/>
      <c r="AB742" s="64"/>
      <c r="AC742" s="64"/>
      <c r="AD742" s="64"/>
      <c r="AE742" s="64"/>
      <c r="AF742" s="64"/>
      <c r="AG742" s="64"/>
      <c r="AH742" s="64"/>
    </row>
    <row r="743">
      <c r="A743" s="64"/>
      <c r="B743" s="64"/>
      <c r="C743" s="64"/>
      <c r="D743" s="64"/>
      <c r="E743" s="64"/>
      <c r="F743" s="64"/>
      <c r="G743" s="64"/>
      <c r="H743" s="64"/>
      <c r="I743" s="64"/>
      <c r="J743" s="64"/>
      <c r="K743" s="64"/>
      <c r="L743" s="64"/>
      <c r="M743" s="64"/>
      <c r="N743" s="64"/>
      <c r="O743" s="64"/>
      <c r="P743" s="64"/>
      <c r="Q743" s="64"/>
      <c r="R743" s="64"/>
      <c r="S743" s="64"/>
      <c r="T743" s="64"/>
      <c r="U743" s="64"/>
      <c r="V743" s="64"/>
      <c r="W743" s="64"/>
      <c r="X743" s="64"/>
      <c r="Y743" s="64"/>
      <c r="Z743" s="64"/>
      <c r="AA743" s="64"/>
      <c r="AB743" s="64"/>
      <c r="AC743" s="64"/>
      <c r="AD743" s="64"/>
      <c r="AE743" s="64"/>
      <c r="AF743" s="64"/>
      <c r="AG743" s="64"/>
      <c r="AH743" s="64"/>
    </row>
    <row r="744">
      <c r="A744" s="64"/>
      <c r="B744" s="64"/>
      <c r="C744" s="64"/>
      <c r="D744" s="64"/>
      <c r="E744" s="64"/>
      <c r="F744" s="64"/>
      <c r="G744" s="64"/>
      <c r="H744" s="64"/>
      <c r="I744" s="64"/>
      <c r="J744" s="64"/>
      <c r="K744" s="64"/>
      <c r="L744" s="64"/>
      <c r="M744" s="64"/>
      <c r="N744" s="64"/>
      <c r="O744" s="64"/>
      <c r="P744" s="64"/>
      <c r="Q744" s="64"/>
      <c r="R744" s="64"/>
      <c r="S744" s="64"/>
      <c r="T744" s="64"/>
      <c r="U744" s="64"/>
      <c r="V744" s="64"/>
      <c r="W744" s="64"/>
      <c r="X744" s="64"/>
      <c r="Y744" s="64"/>
      <c r="Z744" s="64"/>
      <c r="AA744" s="64"/>
      <c r="AB744" s="64"/>
      <c r="AC744" s="64"/>
      <c r="AD744" s="64"/>
      <c r="AE744" s="64"/>
      <c r="AF744" s="64"/>
      <c r="AG744" s="64"/>
      <c r="AH744" s="64"/>
    </row>
    <row r="745">
      <c r="A745" s="64"/>
      <c r="B745" s="64"/>
      <c r="C745" s="64"/>
      <c r="D745" s="64"/>
      <c r="E745" s="64"/>
      <c r="F745" s="64"/>
      <c r="G745" s="64"/>
      <c r="H745" s="64"/>
      <c r="I745" s="64"/>
      <c r="J745" s="64"/>
      <c r="K745" s="64"/>
      <c r="L745" s="64"/>
      <c r="M745" s="64"/>
      <c r="N745" s="64"/>
      <c r="O745" s="64"/>
      <c r="P745" s="64"/>
      <c r="Q745" s="64"/>
      <c r="R745" s="64"/>
      <c r="S745" s="64"/>
      <c r="T745" s="64"/>
      <c r="U745" s="64"/>
      <c r="V745" s="64"/>
      <c r="W745" s="64"/>
      <c r="X745" s="64"/>
      <c r="Y745" s="64"/>
      <c r="Z745" s="64"/>
      <c r="AA745" s="64"/>
      <c r="AB745" s="64"/>
      <c r="AC745" s="64"/>
      <c r="AD745" s="64"/>
      <c r="AE745" s="64"/>
      <c r="AF745" s="64"/>
      <c r="AG745" s="64"/>
      <c r="AH745" s="64"/>
    </row>
    <row r="746">
      <c r="A746" s="64"/>
      <c r="B746" s="64"/>
      <c r="C746" s="64"/>
      <c r="D746" s="64"/>
      <c r="E746" s="64"/>
      <c r="F746" s="64"/>
      <c r="G746" s="64"/>
      <c r="H746" s="64"/>
      <c r="I746" s="64"/>
      <c r="J746" s="64"/>
      <c r="K746" s="64"/>
      <c r="L746" s="64"/>
      <c r="M746" s="64"/>
      <c r="N746" s="64"/>
      <c r="O746" s="64"/>
      <c r="P746" s="64"/>
      <c r="Q746" s="64"/>
      <c r="R746" s="64"/>
      <c r="S746" s="64"/>
      <c r="T746" s="64"/>
      <c r="U746" s="64"/>
      <c r="V746" s="64"/>
      <c r="W746" s="64"/>
      <c r="X746" s="64"/>
      <c r="Y746" s="64"/>
      <c r="Z746" s="64"/>
      <c r="AA746" s="64"/>
      <c r="AB746" s="64"/>
      <c r="AC746" s="64"/>
      <c r="AD746" s="64"/>
      <c r="AE746" s="64"/>
      <c r="AF746" s="64"/>
      <c r="AG746" s="64"/>
      <c r="AH746" s="64"/>
    </row>
    <row r="747">
      <c r="A747" s="64"/>
      <c r="B747" s="64"/>
      <c r="C747" s="64"/>
      <c r="D747" s="64"/>
      <c r="E747" s="64"/>
      <c r="F747" s="64"/>
      <c r="G747" s="64"/>
      <c r="H747" s="64"/>
      <c r="I747" s="64"/>
      <c r="J747" s="64"/>
      <c r="K747" s="64"/>
      <c r="L747" s="64"/>
      <c r="M747" s="64"/>
      <c r="N747" s="64"/>
      <c r="O747" s="64"/>
      <c r="P747" s="64"/>
      <c r="Q747" s="64"/>
      <c r="R747" s="64"/>
      <c r="S747" s="64"/>
      <c r="T747" s="64"/>
      <c r="U747" s="64"/>
      <c r="V747" s="64"/>
      <c r="W747" s="64"/>
      <c r="X747" s="64"/>
      <c r="Y747" s="64"/>
      <c r="Z747" s="64"/>
      <c r="AA747" s="64"/>
      <c r="AB747" s="64"/>
      <c r="AC747" s="64"/>
      <c r="AD747" s="64"/>
      <c r="AE747" s="64"/>
      <c r="AF747" s="64"/>
      <c r="AG747" s="64"/>
      <c r="AH747" s="64"/>
    </row>
    <row r="748">
      <c r="A748" s="64"/>
      <c r="B748" s="64"/>
      <c r="C748" s="64"/>
      <c r="D748" s="64"/>
      <c r="E748" s="64"/>
      <c r="F748" s="64"/>
      <c r="G748" s="64"/>
      <c r="H748" s="64"/>
      <c r="I748" s="64"/>
      <c r="J748" s="64"/>
      <c r="K748" s="64"/>
      <c r="L748" s="64"/>
      <c r="M748" s="64"/>
      <c r="N748" s="64"/>
      <c r="O748" s="64"/>
      <c r="P748" s="64"/>
      <c r="Q748" s="64"/>
      <c r="R748" s="64"/>
      <c r="S748" s="64"/>
      <c r="T748" s="64"/>
      <c r="U748" s="64"/>
      <c r="V748" s="64"/>
      <c r="W748" s="64"/>
      <c r="X748" s="64"/>
      <c r="Y748" s="64"/>
      <c r="Z748" s="64"/>
      <c r="AA748" s="64"/>
      <c r="AB748" s="64"/>
      <c r="AC748" s="64"/>
      <c r="AD748" s="64"/>
      <c r="AE748" s="64"/>
      <c r="AF748" s="64"/>
      <c r="AG748" s="64"/>
      <c r="AH748" s="64"/>
    </row>
    <row r="749">
      <c r="A749" s="64"/>
      <c r="B749" s="64"/>
      <c r="C749" s="64"/>
      <c r="D749" s="64"/>
      <c r="E749" s="64"/>
      <c r="F749" s="64"/>
      <c r="G749" s="64"/>
      <c r="H749" s="64"/>
      <c r="I749" s="64"/>
      <c r="J749" s="64"/>
      <c r="K749" s="64"/>
      <c r="L749" s="64"/>
      <c r="M749" s="64"/>
      <c r="N749" s="64"/>
      <c r="O749" s="64"/>
      <c r="P749" s="64"/>
      <c r="Q749" s="64"/>
      <c r="R749" s="64"/>
      <c r="S749" s="64"/>
      <c r="T749" s="64"/>
      <c r="U749" s="64"/>
      <c r="V749" s="64"/>
      <c r="W749" s="64"/>
      <c r="X749" s="64"/>
      <c r="Y749" s="64"/>
      <c r="Z749" s="64"/>
      <c r="AA749" s="64"/>
      <c r="AB749" s="64"/>
      <c r="AC749" s="64"/>
      <c r="AD749" s="64"/>
      <c r="AE749" s="64"/>
      <c r="AF749" s="64"/>
      <c r="AG749" s="64"/>
      <c r="AH749" s="64"/>
    </row>
    <row r="750">
      <c r="A750" s="64"/>
      <c r="B750" s="64"/>
      <c r="C750" s="64"/>
      <c r="D750" s="64"/>
      <c r="E750" s="64"/>
      <c r="F750" s="64"/>
      <c r="G750" s="64"/>
      <c r="H750" s="64"/>
      <c r="I750" s="64"/>
      <c r="J750" s="64"/>
      <c r="K750" s="64"/>
      <c r="L750" s="64"/>
      <c r="M750" s="64"/>
      <c r="N750" s="64"/>
      <c r="O750" s="64"/>
      <c r="P750" s="64"/>
      <c r="Q750" s="64"/>
      <c r="R750" s="64"/>
      <c r="S750" s="64"/>
      <c r="T750" s="64"/>
      <c r="U750" s="64"/>
      <c r="V750" s="64"/>
      <c r="W750" s="64"/>
      <c r="X750" s="64"/>
      <c r="Y750" s="64"/>
      <c r="Z750" s="64"/>
      <c r="AA750" s="64"/>
      <c r="AB750" s="64"/>
      <c r="AC750" s="64"/>
      <c r="AD750" s="64"/>
      <c r="AE750" s="64"/>
      <c r="AF750" s="64"/>
      <c r="AG750" s="64"/>
      <c r="AH750" s="64"/>
    </row>
    <row r="751">
      <c r="A751" s="64"/>
      <c r="B751" s="64"/>
      <c r="C751" s="64"/>
      <c r="D751" s="64"/>
      <c r="E751" s="64"/>
      <c r="F751" s="64"/>
      <c r="G751" s="64"/>
      <c r="H751" s="64"/>
      <c r="I751" s="64"/>
      <c r="J751" s="64"/>
      <c r="K751" s="64"/>
      <c r="L751" s="64"/>
      <c r="M751" s="64"/>
      <c r="N751" s="64"/>
      <c r="O751" s="64"/>
      <c r="P751" s="64"/>
      <c r="Q751" s="64"/>
      <c r="R751" s="64"/>
      <c r="S751" s="64"/>
      <c r="T751" s="64"/>
      <c r="U751" s="64"/>
      <c r="V751" s="64"/>
      <c r="W751" s="64"/>
      <c r="X751" s="64"/>
      <c r="Y751" s="64"/>
      <c r="Z751" s="64"/>
      <c r="AA751" s="64"/>
      <c r="AB751" s="64"/>
      <c r="AC751" s="64"/>
      <c r="AD751" s="64"/>
      <c r="AE751" s="64"/>
      <c r="AF751" s="64"/>
      <c r="AG751" s="64"/>
      <c r="AH751" s="64"/>
    </row>
    <row r="752">
      <c r="A752" s="64"/>
      <c r="B752" s="64"/>
      <c r="C752" s="64"/>
      <c r="D752" s="64"/>
      <c r="E752" s="64"/>
      <c r="F752" s="64"/>
      <c r="G752" s="64"/>
      <c r="H752" s="64"/>
      <c r="I752" s="64"/>
      <c r="J752" s="64"/>
      <c r="K752" s="64"/>
      <c r="L752" s="64"/>
      <c r="M752" s="64"/>
      <c r="N752" s="64"/>
      <c r="O752" s="64"/>
      <c r="P752" s="64"/>
      <c r="Q752" s="64"/>
      <c r="R752" s="64"/>
      <c r="S752" s="64"/>
      <c r="T752" s="64"/>
      <c r="U752" s="64"/>
      <c r="V752" s="64"/>
      <c r="W752" s="64"/>
      <c r="X752" s="64"/>
      <c r="Y752" s="64"/>
      <c r="Z752" s="64"/>
      <c r="AA752" s="64"/>
      <c r="AB752" s="64"/>
      <c r="AC752" s="64"/>
      <c r="AD752" s="64"/>
      <c r="AE752" s="64"/>
      <c r="AF752" s="64"/>
      <c r="AG752" s="64"/>
      <c r="AH752" s="64"/>
    </row>
    <row r="753">
      <c r="A753" s="64"/>
      <c r="B753" s="64"/>
      <c r="C753" s="64"/>
      <c r="D753" s="64"/>
      <c r="E753" s="64"/>
      <c r="F753" s="64"/>
      <c r="G753" s="64"/>
      <c r="H753" s="64"/>
      <c r="I753" s="64"/>
      <c r="J753" s="64"/>
      <c r="K753" s="64"/>
      <c r="L753" s="64"/>
      <c r="M753" s="64"/>
      <c r="N753" s="64"/>
      <c r="O753" s="64"/>
      <c r="P753" s="64"/>
      <c r="Q753" s="64"/>
      <c r="R753" s="64"/>
      <c r="S753" s="64"/>
      <c r="T753" s="64"/>
      <c r="U753" s="64"/>
      <c r="V753" s="64"/>
      <c r="W753" s="64"/>
      <c r="X753" s="64"/>
      <c r="Y753" s="64"/>
      <c r="Z753" s="64"/>
      <c r="AA753" s="64"/>
      <c r="AB753" s="64"/>
      <c r="AC753" s="64"/>
      <c r="AD753" s="64"/>
      <c r="AE753" s="64"/>
      <c r="AF753" s="64"/>
      <c r="AG753" s="64"/>
      <c r="AH753" s="64"/>
    </row>
    <row r="754">
      <c r="A754" s="64"/>
      <c r="B754" s="64"/>
      <c r="C754" s="64"/>
      <c r="D754" s="64"/>
      <c r="E754" s="64"/>
      <c r="F754" s="64"/>
      <c r="G754" s="64"/>
      <c r="H754" s="64"/>
      <c r="I754" s="64"/>
      <c r="J754" s="64"/>
      <c r="K754" s="64"/>
      <c r="L754" s="64"/>
      <c r="M754" s="64"/>
      <c r="N754" s="64"/>
      <c r="O754" s="64"/>
      <c r="P754" s="64"/>
      <c r="Q754" s="64"/>
      <c r="R754" s="64"/>
      <c r="S754" s="64"/>
      <c r="T754" s="64"/>
      <c r="U754" s="64"/>
      <c r="V754" s="64"/>
      <c r="W754" s="64"/>
      <c r="X754" s="64"/>
      <c r="Y754" s="64"/>
      <c r="Z754" s="64"/>
      <c r="AA754" s="64"/>
      <c r="AB754" s="64"/>
      <c r="AC754" s="64"/>
      <c r="AD754" s="64"/>
      <c r="AE754" s="64"/>
      <c r="AF754" s="64"/>
      <c r="AG754" s="64"/>
      <c r="AH754" s="64"/>
    </row>
    <row r="755">
      <c r="A755" s="64"/>
      <c r="B755" s="64"/>
      <c r="C755" s="64"/>
      <c r="D755" s="64"/>
      <c r="E755" s="64"/>
      <c r="F755" s="64"/>
      <c r="G755" s="64"/>
      <c r="H755" s="64"/>
      <c r="I755" s="64"/>
      <c r="J755" s="64"/>
      <c r="K755" s="64"/>
      <c r="L755" s="64"/>
      <c r="M755" s="64"/>
      <c r="N755" s="64"/>
      <c r="O755" s="64"/>
      <c r="P755" s="64"/>
      <c r="Q755" s="64"/>
      <c r="R755" s="64"/>
      <c r="S755" s="64"/>
      <c r="T755" s="64"/>
      <c r="U755" s="64"/>
      <c r="V755" s="64"/>
      <c r="W755" s="64"/>
      <c r="X755" s="64"/>
      <c r="Y755" s="64"/>
      <c r="Z755" s="64"/>
      <c r="AA755" s="64"/>
      <c r="AB755" s="64"/>
      <c r="AC755" s="64"/>
      <c r="AD755" s="64"/>
      <c r="AE755" s="64"/>
      <c r="AF755" s="64"/>
      <c r="AG755" s="64"/>
      <c r="AH755" s="64"/>
    </row>
    <row r="756">
      <c r="A756" s="64"/>
      <c r="B756" s="64"/>
      <c r="C756" s="64"/>
      <c r="D756" s="64"/>
      <c r="E756" s="64"/>
      <c r="F756" s="64"/>
      <c r="G756" s="64"/>
      <c r="H756" s="64"/>
      <c r="I756" s="64"/>
      <c r="J756" s="64"/>
      <c r="K756" s="64"/>
      <c r="L756" s="64"/>
      <c r="M756" s="64"/>
      <c r="N756" s="64"/>
      <c r="O756" s="64"/>
      <c r="P756" s="64"/>
      <c r="Q756" s="64"/>
      <c r="R756" s="64"/>
      <c r="S756" s="64"/>
      <c r="T756" s="64"/>
      <c r="U756" s="64"/>
      <c r="V756" s="64"/>
      <c r="W756" s="64"/>
      <c r="X756" s="64"/>
      <c r="Y756" s="64"/>
      <c r="Z756" s="64"/>
      <c r="AA756" s="64"/>
      <c r="AB756" s="64"/>
      <c r="AC756" s="64"/>
      <c r="AD756" s="64"/>
      <c r="AE756" s="64"/>
      <c r="AF756" s="64"/>
      <c r="AG756" s="64"/>
      <c r="AH756" s="64"/>
    </row>
    <row r="757">
      <c r="A757" s="64"/>
      <c r="B757" s="64"/>
      <c r="C757" s="64"/>
      <c r="D757" s="64"/>
      <c r="E757" s="64"/>
      <c r="F757" s="64"/>
      <c r="G757" s="64"/>
      <c r="H757" s="64"/>
      <c r="I757" s="64"/>
      <c r="J757" s="64"/>
      <c r="K757" s="64"/>
      <c r="L757" s="64"/>
      <c r="M757" s="64"/>
      <c r="N757" s="64"/>
      <c r="O757" s="64"/>
      <c r="P757" s="64"/>
      <c r="Q757" s="64"/>
      <c r="R757" s="64"/>
      <c r="S757" s="64"/>
      <c r="T757" s="64"/>
      <c r="U757" s="64"/>
      <c r="V757" s="64"/>
      <c r="W757" s="64"/>
      <c r="X757" s="64"/>
      <c r="Y757" s="64"/>
      <c r="Z757" s="64"/>
      <c r="AA757" s="64"/>
      <c r="AB757" s="64"/>
      <c r="AC757" s="64"/>
      <c r="AD757" s="64"/>
      <c r="AE757" s="64"/>
      <c r="AF757" s="64"/>
      <c r="AG757" s="64"/>
      <c r="AH757" s="64"/>
    </row>
    <row r="758">
      <c r="A758" s="64"/>
      <c r="B758" s="64"/>
      <c r="C758" s="64"/>
      <c r="D758" s="64"/>
      <c r="E758" s="64"/>
      <c r="F758" s="64"/>
      <c r="G758" s="64"/>
      <c r="H758" s="64"/>
      <c r="I758" s="64"/>
      <c r="J758" s="64"/>
      <c r="K758" s="64"/>
      <c r="L758" s="64"/>
      <c r="M758" s="64"/>
      <c r="N758" s="64"/>
      <c r="O758" s="64"/>
      <c r="P758" s="64"/>
      <c r="Q758" s="64"/>
      <c r="R758" s="64"/>
      <c r="S758" s="64"/>
      <c r="T758" s="64"/>
      <c r="U758" s="64"/>
      <c r="V758" s="64"/>
      <c r="W758" s="64"/>
      <c r="X758" s="64"/>
      <c r="Y758" s="64"/>
      <c r="Z758" s="64"/>
      <c r="AA758" s="64"/>
      <c r="AB758" s="64"/>
      <c r="AC758" s="64"/>
      <c r="AD758" s="64"/>
      <c r="AE758" s="64"/>
      <c r="AF758" s="64"/>
      <c r="AG758" s="64"/>
      <c r="AH758" s="64"/>
    </row>
    <row r="759">
      <c r="A759" s="64"/>
      <c r="B759" s="64"/>
      <c r="C759" s="64"/>
      <c r="D759" s="64"/>
      <c r="E759" s="64"/>
      <c r="F759" s="64"/>
      <c r="G759" s="64"/>
      <c r="H759" s="64"/>
      <c r="I759" s="64"/>
      <c r="J759" s="64"/>
      <c r="K759" s="64"/>
      <c r="L759" s="64"/>
      <c r="M759" s="64"/>
      <c r="N759" s="64"/>
      <c r="O759" s="64"/>
      <c r="P759" s="64"/>
      <c r="Q759" s="64"/>
      <c r="R759" s="64"/>
      <c r="S759" s="64"/>
      <c r="T759" s="64"/>
      <c r="U759" s="64"/>
      <c r="V759" s="64"/>
      <c r="W759" s="64"/>
      <c r="X759" s="64"/>
      <c r="Y759" s="64"/>
      <c r="Z759" s="64"/>
      <c r="AA759" s="64"/>
      <c r="AB759" s="64"/>
      <c r="AC759" s="64"/>
      <c r="AD759" s="64"/>
      <c r="AE759" s="64"/>
      <c r="AF759" s="64"/>
      <c r="AG759" s="64"/>
      <c r="AH759" s="64"/>
    </row>
    <row r="760">
      <c r="A760" s="64"/>
      <c r="B760" s="64"/>
      <c r="C760" s="64"/>
      <c r="D760" s="64"/>
      <c r="E760" s="64"/>
      <c r="F760" s="64"/>
      <c r="G760" s="64"/>
      <c r="H760" s="64"/>
      <c r="I760" s="64"/>
      <c r="J760" s="64"/>
      <c r="K760" s="64"/>
      <c r="L760" s="64"/>
      <c r="M760" s="64"/>
      <c r="N760" s="64"/>
      <c r="O760" s="64"/>
      <c r="P760" s="64"/>
      <c r="Q760" s="64"/>
      <c r="R760" s="64"/>
      <c r="S760" s="64"/>
      <c r="T760" s="64"/>
      <c r="U760" s="64"/>
      <c r="V760" s="64"/>
      <c r="W760" s="64"/>
      <c r="X760" s="64"/>
      <c r="Y760" s="64"/>
      <c r="Z760" s="64"/>
      <c r="AA760" s="64"/>
      <c r="AB760" s="64"/>
      <c r="AC760" s="64"/>
      <c r="AD760" s="64"/>
      <c r="AE760" s="64"/>
      <c r="AF760" s="64"/>
      <c r="AG760" s="64"/>
      <c r="AH760" s="64"/>
    </row>
    <row r="761">
      <c r="A761" s="64"/>
      <c r="B761" s="64"/>
      <c r="C761" s="64"/>
      <c r="D761" s="64"/>
      <c r="E761" s="64"/>
      <c r="F761" s="64"/>
      <c r="G761" s="64"/>
      <c r="H761" s="64"/>
      <c r="I761" s="64"/>
      <c r="J761" s="64"/>
      <c r="K761" s="64"/>
      <c r="L761" s="64"/>
      <c r="M761" s="64"/>
      <c r="N761" s="64"/>
      <c r="O761" s="64"/>
      <c r="P761" s="64"/>
      <c r="Q761" s="64"/>
      <c r="R761" s="64"/>
      <c r="S761" s="64"/>
      <c r="T761" s="64"/>
      <c r="U761" s="64"/>
      <c r="V761" s="64"/>
      <c r="W761" s="64"/>
      <c r="X761" s="64"/>
      <c r="Y761" s="64"/>
      <c r="Z761" s="64"/>
      <c r="AA761" s="64"/>
      <c r="AB761" s="64"/>
      <c r="AC761" s="64"/>
      <c r="AD761" s="64"/>
      <c r="AE761" s="64"/>
      <c r="AF761" s="64"/>
      <c r="AG761" s="64"/>
      <c r="AH761" s="64"/>
    </row>
    <row r="762">
      <c r="A762" s="64"/>
      <c r="B762" s="64"/>
      <c r="C762" s="64"/>
      <c r="D762" s="64"/>
      <c r="E762" s="64"/>
      <c r="F762" s="64"/>
      <c r="G762" s="64"/>
      <c r="H762" s="64"/>
      <c r="I762" s="64"/>
      <c r="J762" s="64"/>
      <c r="K762" s="64"/>
      <c r="L762" s="64"/>
      <c r="M762" s="64"/>
      <c r="N762" s="64"/>
      <c r="O762" s="64"/>
      <c r="P762" s="64"/>
      <c r="Q762" s="64"/>
      <c r="R762" s="64"/>
      <c r="S762" s="64"/>
      <c r="T762" s="64"/>
      <c r="U762" s="64"/>
      <c r="V762" s="64"/>
      <c r="W762" s="64"/>
      <c r="X762" s="64"/>
      <c r="Y762" s="64"/>
      <c r="Z762" s="64"/>
      <c r="AA762" s="64"/>
      <c r="AB762" s="64"/>
      <c r="AC762" s="64"/>
      <c r="AD762" s="64"/>
      <c r="AE762" s="64"/>
      <c r="AF762" s="64"/>
      <c r="AG762" s="64"/>
      <c r="AH762" s="64"/>
    </row>
    <row r="763">
      <c r="A763" s="64"/>
      <c r="B763" s="64"/>
      <c r="C763" s="64"/>
      <c r="D763" s="64"/>
      <c r="E763" s="64"/>
      <c r="F763" s="64"/>
      <c r="G763" s="64"/>
      <c r="H763" s="64"/>
      <c r="I763" s="64"/>
      <c r="J763" s="64"/>
      <c r="K763" s="64"/>
      <c r="L763" s="64"/>
      <c r="M763" s="64"/>
      <c r="N763" s="64"/>
      <c r="O763" s="64"/>
      <c r="P763" s="64"/>
      <c r="Q763" s="64"/>
      <c r="R763" s="64"/>
      <c r="S763" s="64"/>
      <c r="T763" s="64"/>
      <c r="U763" s="64"/>
      <c r="V763" s="64"/>
      <c r="W763" s="64"/>
      <c r="X763" s="64"/>
      <c r="Y763" s="64"/>
      <c r="Z763" s="64"/>
      <c r="AA763" s="64"/>
      <c r="AB763" s="64"/>
      <c r="AC763" s="64"/>
      <c r="AD763" s="64"/>
      <c r="AE763" s="64"/>
      <c r="AF763" s="64"/>
      <c r="AG763" s="64"/>
      <c r="AH763" s="64"/>
    </row>
    <row r="764">
      <c r="A764" s="64"/>
      <c r="B764" s="64"/>
      <c r="C764" s="64"/>
      <c r="D764" s="64"/>
      <c r="E764" s="64"/>
      <c r="F764" s="64"/>
      <c r="G764" s="64"/>
      <c r="H764" s="64"/>
      <c r="I764" s="64"/>
      <c r="J764" s="64"/>
      <c r="K764" s="64"/>
      <c r="L764" s="64"/>
      <c r="M764" s="64"/>
      <c r="N764" s="64"/>
      <c r="O764" s="64"/>
      <c r="P764" s="64"/>
      <c r="Q764" s="64"/>
      <c r="R764" s="64"/>
      <c r="S764" s="64"/>
      <c r="T764" s="64"/>
      <c r="U764" s="64"/>
      <c r="V764" s="64"/>
      <c r="W764" s="64"/>
      <c r="X764" s="64"/>
      <c r="Y764" s="64"/>
      <c r="Z764" s="64"/>
      <c r="AA764" s="64"/>
      <c r="AB764" s="64"/>
      <c r="AC764" s="64"/>
      <c r="AD764" s="64"/>
      <c r="AE764" s="64"/>
      <c r="AF764" s="64"/>
      <c r="AG764" s="64"/>
      <c r="AH764" s="64"/>
    </row>
    <row r="765">
      <c r="A765" s="64"/>
      <c r="B765" s="64"/>
      <c r="C765" s="64"/>
      <c r="D765" s="64"/>
      <c r="E765" s="64"/>
      <c r="F765" s="64"/>
      <c r="G765" s="64"/>
      <c r="H765" s="64"/>
      <c r="I765" s="64"/>
      <c r="J765" s="64"/>
      <c r="K765" s="64"/>
      <c r="L765" s="64"/>
      <c r="M765" s="64"/>
      <c r="N765" s="64"/>
      <c r="O765" s="64"/>
      <c r="P765" s="64"/>
      <c r="Q765" s="64"/>
      <c r="R765" s="64"/>
      <c r="S765" s="64"/>
      <c r="T765" s="64"/>
      <c r="U765" s="64"/>
      <c r="V765" s="64"/>
      <c r="W765" s="64"/>
      <c r="X765" s="64"/>
      <c r="Y765" s="64"/>
      <c r="Z765" s="64"/>
      <c r="AA765" s="64"/>
      <c r="AB765" s="64"/>
      <c r="AC765" s="64"/>
      <c r="AD765" s="64"/>
      <c r="AE765" s="64"/>
      <c r="AF765" s="64"/>
      <c r="AG765" s="64"/>
      <c r="AH765" s="64"/>
    </row>
    <row r="766">
      <c r="A766" s="64"/>
      <c r="B766" s="64"/>
      <c r="C766" s="64"/>
      <c r="D766" s="64"/>
      <c r="E766" s="64"/>
      <c r="F766" s="64"/>
      <c r="G766" s="64"/>
      <c r="H766" s="64"/>
      <c r="I766" s="64"/>
      <c r="J766" s="64"/>
      <c r="K766" s="64"/>
      <c r="L766" s="64"/>
      <c r="M766" s="64"/>
      <c r="N766" s="64"/>
      <c r="O766" s="64"/>
      <c r="P766" s="64"/>
      <c r="Q766" s="64"/>
      <c r="R766" s="64"/>
      <c r="S766" s="64"/>
      <c r="T766" s="64"/>
      <c r="U766" s="64"/>
      <c r="V766" s="64"/>
      <c r="W766" s="64"/>
      <c r="X766" s="64"/>
      <c r="Y766" s="64"/>
      <c r="Z766" s="64"/>
      <c r="AA766" s="64"/>
      <c r="AB766" s="64"/>
      <c r="AC766" s="64"/>
      <c r="AD766" s="64"/>
      <c r="AE766" s="64"/>
      <c r="AF766" s="64"/>
      <c r="AG766" s="64"/>
      <c r="AH766" s="64"/>
    </row>
    <row r="767">
      <c r="A767" s="64"/>
      <c r="B767" s="64"/>
      <c r="C767" s="64"/>
      <c r="D767" s="64"/>
      <c r="E767" s="64"/>
      <c r="F767" s="64"/>
      <c r="G767" s="64"/>
      <c r="H767" s="64"/>
      <c r="I767" s="64"/>
      <c r="J767" s="64"/>
      <c r="K767" s="64"/>
      <c r="L767" s="64"/>
      <c r="M767" s="64"/>
      <c r="N767" s="64"/>
      <c r="O767" s="64"/>
      <c r="P767" s="64"/>
      <c r="Q767" s="64"/>
      <c r="R767" s="64"/>
      <c r="S767" s="64"/>
      <c r="T767" s="64"/>
      <c r="U767" s="64"/>
      <c r="V767" s="64"/>
      <c r="W767" s="64"/>
      <c r="X767" s="64"/>
      <c r="Y767" s="64"/>
      <c r="Z767" s="64"/>
      <c r="AA767" s="64"/>
      <c r="AB767" s="64"/>
      <c r="AC767" s="64"/>
      <c r="AD767" s="64"/>
      <c r="AE767" s="64"/>
      <c r="AF767" s="64"/>
      <c r="AG767" s="64"/>
      <c r="AH767" s="64"/>
    </row>
    <row r="768">
      <c r="A768" s="64"/>
      <c r="B768" s="64"/>
      <c r="C768" s="64"/>
      <c r="D768" s="64"/>
      <c r="E768" s="64"/>
      <c r="F768" s="64"/>
      <c r="G768" s="64"/>
      <c r="H768" s="64"/>
      <c r="I768" s="64"/>
      <c r="J768" s="64"/>
      <c r="K768" s="64"/>
      <c r="L768" s="64"/>
      <c r="M768" s="64"/>
      <c r="N768" s="64"/>
      <c r="O768" s="64"/>
      <c r="P768" s="64"/>
      <c r="Q768" s="64"/>
      <c r="R768" s="64"/>
      <c r="S768" s="64"/>
      <c r="T768" s="64"/>
      <c r="U768" s="64"/>
      <c r="V768" s="64"/>
      <c r="W768" s="64"/>
      <c r="X768" s="64"/>
      <c r="Y768" s="64"/>
      <c r="Z768" s="64"/>
      <c r="AA768" s="64"/>
      <c r="AB768" s="64"/>
      <c r="AC768" s="64"/>
      <c r="AD768" s="64"/>
      <c r="AE768" s="64"/>
      <c r="AF768" s="64"/>
      <c r="AG768" s="64"/>
      <c r="AH768" s="64"/>
    </row>
    <row r="769">
      <c r="A769" s="64"/>
      <c r="B769" s="64"/>
      <c r="C769" s="64"/>
      <c r="D769" s="64"/>
      <c r="E769" s="64"/>
      <c r="F769" s="64"/>
      <c r="G769" s="64"/>
      <c r="H769" s="64"/>
      <c r="I769" s="64"/>
      <c r="J769" s="64"/>
      <c r="K769" s="64"/>
      <c r="L769" s="64"/>
      <c r="M769" s="64"/>
      <c r="N769" s="64"/>
      <c r="O769" s="64"/>
      <c r="P769" s="64"/>
      <c r="Q769" s="64"/>
      <c r="R769" s="64"/>
      <c r="S769" s="64"/>
      <c r="T769" s="64"/>
      <c r="U769" s="64"/>
      <c r="V769" s="64"/>
      <c r="W769" s="64"/>
      <c r="X769" s="64"/>
      <c r="Y769" s="64"/>
      <c r="Z769" s="64"/>
      <c r="AA769" s="64"/>
      <c r="AB769" s="64"/>
      <c r="AC769" s="64"/>
      <c r="AD769" s="64"/>
      <c r="AE769" s="64"/>
      <c r="AF769" s="64"/>
      <c r="AG769" s="64"/>
      <c r="AH769" s="64"/>
    </row>
    <row r="770">
      <c r="A770" s="64"/>
      <c r="B770" s="64"/>
      <c r="C770" s="64"/>
      <c r="D770" s="64"/>
      <c r="E770" s="64"/>
      <c r="F770" s="64"/>
      <c r="G770" s="64"/>
      <c r="H770" s="64"/>
      <c r="I770" s="64"/>
      <c r="J770" s="64"/>
      <c r="K770" s="64"/>
      <c r="L770" s="64"/>
      <c r="M770" s="64"/>
      <c r="N770" s="64"/>
      <c r="O770" s="64"/>
      <c r="P770" s="64"/>
      <c r="Q770" s="64"/>
      <c r="R770" s="64"/>
      <c r="S770" s="64"/>
      <c r="T770" s="64"/>
      <c r="U770" s="64"/>
      <c r="V770" s="64"/>
      <c r="W770" s="64"/>
      <c r="X770" s="64"/>
      <c r="Y770" s="64"/>
      <c r="Z770" s="64"/>
      <c r="AA770" s="64"/>
      <c r="AB770" s="64"/>
      <c r="AC770" s="64"/>
      <c r="AD770" s="64"/>
      <c r="AE770" s="64"/>
      <c r="AF770" s="64"/>
      <c r="AG770" s="64"/>
      <c r="AH770" s="64"/>
    </row>
    <row r="771">
      <c r="A771" s="64"/>
      <c r="B771" s="64"/>
      <c r="C771" s="64"/>
      <c r="D771" s="64"/>
      <c r="E771" s="64"/>
      <c r="F771" s="64"/>
      <c r="G771" s="64"/>
      <c r="H771" s="64"/>
      <c r="I771" s="64"/>
      <c r="J771" s="64"/>
      <c r="K771" s="64"/>
      <c r="L771" s="64"/>
      <c r="M771" s="64"/>
      <c r="N771" s="64"/>
      <c r="O771" s="64"/>
      <c r="P771" s="64"/>
      <c r="Q771" s="64"/>
      <c r="R771" s="64"/>
      <c r="S771" s="64"/>
      <c r="T771" s="64"/>
      <c r="U771" s="64"/>
      <c r="V771" s="64"/>
      <c r="W771" s="64"/>
      <c r="X771" s="64"/>
      <c r="Y771" s="64"/>
      <c r="Z771" s="64"/>
      <c r="AA771" s="64"/>
      <c r="AB771" s="64"/>
      <c r="AC771" s="64"/>
      <c r="AD771" s="64"/>
      <c r="AE771" s="64"/>
      <c r="AF771" s="64"/>
      <c r="AG771" s="64"/>
      <c r="AH771" s="64"/>
    </row>
    <row r="772">
      <c r="A772" s="64"/>
      <c r="B772" s="64"/>
      <c r="C772" s="64"/>
      <c r="D772" s="64"/>
      <c r="E772" s="64"/>
      <c r="F772" s="64"/>
      <c r="G772" s="64"/>
      <c r="H772" s="64"/>
      <c r="I772" s="64"/>
      <c r="J772" s="64"/>
      <c r="K772" s="64"/>
      <c r="L772" s="64"/>
      <c r="M772" s="64"/>
      <c r="N772" s="64"/>
      <c r="O772" s="64"/>
      <c r="P772" s="64"/>
      <c r="Q772" s="64"/>
      <c r="R772" s="64"/>
      <c r="S772" s="64"/>
      <c r="T772" s="64"/>
      <c r="U772" s="64"/>
      <c r="V772" s="64"/>
      <c r="W772" s="64"/>
      <c r="X772" s="64"/>
      <c r="Y772" s="64"/>
      <c r="Z772" s="64"/>
      <c r="AA772" s="64"/>
      <c r="AB772" s="64"/>
      <c r="AC772" s="64"/>
      <c r="AD772" s="64"/>
      <c r="AE772" s="64"/>
      <c r="AF772" s="64"/>
      <c r="AG772" s="64"/>
      <c r="AH772" s="64"/>
    </row>
    <row r="773">
      <c r="A773" s="64"/>
      <c r="B773" s="64"/>
      <c r="C773" s="64"/>
      <c r="D773" s="64"/>
      <c r="E773" s="64"/>
      <c r="F773" s="64"/>
      <c r="G773" s="64"/>
      <c r="H773" s="64"/>
      <c r="I773" s="64"/>
      <c r="J773" s="64"/>
      <c r="K773" s="64"/>
      <c r="L773" s="64"/>
      <c r="M773" s="64"/>
      <c r="N773" s="64"/>
      <c r="O773" s="64"/>
      <c r="P773" s="64"/>
      <c r="Q773" s="64"/>
      <c r="R773" s="64"/>
      <c r="S773" s="64"/>
      <c r="T773" s="64"/>
      <c r="U773" s="64"/>
      <c r="V773" s="64"/>
      <c r="W773" s="64"/>
      <c r="X773" s="64"/>
      <c r="Y773" s="64"/>
      <c r="Z773" s="64"/>
      <c r="AA773" s="64"/>
      <c r="AB773" s="64"/>
      <c r="AC773" s="64"/>
      <c r="AD773" s="64"/>
      <c r="AE773" s="64"/>
      <c r="AF773" s="64"/>
      <c r="AG773" s="64"/>
      <c r="AH773" s="64"/>
    </row>
    <row r="774">
      <c r="A774" s="64"/>
      <c r="B774" s="64"/>
      <c r="C774" s="64"/>
      <c r="D774" s="64"/>
      <c r="E774" s="64"/>
      <c r="F774" s="64"/>
      <c r="G774" s="64"/>
      <c r="H774" s="64"/>
      <c r="I774" s="64"/>
      <c r="J774" s="64"/>
      <c r="K774" s="64"/>
      <c r="L774" s="64"/>
      <c r="M774" s="64"/>
      <c r="N774" s="64"/>
      <c r="O774" s="64"/>
      <c r="P774" s="64"/>
      <c r="Q774" s="64"/>
      <c r="R774" s="64"/>
      <c r="S774" s="64"/>
      <c r="T774" s="64"/>
      <c r="U774" s="64"/>
      <c r="V774" s="64"/>
      <c r="W774" s="64"/>
      <c r="X774" s="64"/>
      <c r="Y774" s="64"/>
      <c r="Z774" s="64"/>
      <c r="AA774" s="64"/>
      <c r="AB774" s="64"/>
      <c r="AC774" s="64"/>
      <c r="AD774" s="64"/>
      <c r="AE774" s="64"/>
      <c r="AF774" s="64"/>
      <c r="AG774" s="64"/>
      <c r="AH774" s="64"/>
    </row>
    <row r="775">
      <c r="A775" s="64"/>
      <c r="B775" s="64"/>
      <c r="C775" s="64"/>
      <c r="D775" s="64"/>
      <c r="E775" s="64"/>
      <c r="F775" s="64"/>
      <c r="G775" s="64"/>
      <c r="H775" s="64"/>
      <c r="I775" s="64"/>
      <c r="J775" s="64"/>
      <c r="K775" s="64"/>
      <c r="L775" s="64"/>
      <c r="M775" s="64"/>
      <c r="N775" s="64"/>
      <c r="O775" s="64"/>
      <c r="P775" s="64"/>
      <c r="Q775" s="64"/>
      <c r="R775" s="64"/>
      <c r="S775" s="64"/>
      <c r="T775" s="64"/>
      <c r="U775" s="64"/>
      <c r="V775" s="64"/>
      <c r="W775" s="64"/>
      <c r="X775" s="64"/>
      <c r="Y775" s="64"/>
      <c r="Z775" s="64"/>
      <c r="AA775" s="64"/>
      <c r="AB775" s="64"/>
      <c r="AC775" s="64"/>
      <c r="AD775" s="64"/>
      <c r="AE775" s="64"/>
      <c r="AF775" s="64"/>
      <c r="AG775" s="64"/>
      <c r="AH775" s="64"/>
    </row>
    <row r="776">
      <c r="A776" s="64"/>
      <c r="B776" s="64"/>
      <c r="C776" s="64"/>
      <c r="D776" s="64"/>
      <c r="E776" s="64"/>
      <c r="F776" s="64"/>
      <c r="G776" s="64"/>
      <c r="H776" s="64"/>
      <c r="I776" s="64"/>
      <c r="J776" s="64"/>
      <c r="K776" s="64"/>
      <c r="L776" s="64"/>
      <c r="M776" s="64"/>
      <c r="N776" s="64"/>
      <c r="O776" s="64"/>
      <c r="P776" s="64"/>
      <c r="Q776" s="64"/>
      <c r="R776" s="64"/>
      <c r="S776" s="64"/>
      <c r="T776" s="64"/>
      <c r="U776" s="64"/>
      <c r="V776" s="64"/>
      <c r="W776" s="64"/>
      <c r="X776" s="64"/>
      <c r="Y776" s="64"/>
      <c r="Z776" s="64"/>
      <c r="AA776" s="64"/>
      <c r="AB776" s="64"/>
      <c r="AC776" s="64"/>
      <c r="AD776" s="64"/>
      <c r="AE776" s="64"/>
      <c r="AF776" s="64"/>
      <c r="AG776" s="64"/>
      <c r="AH776" s="64"/>
    </row>
    <row r="777">
      <c r="A777" s="64"/>
      <c r="B777" s="64"/>
      <c r="C777" s="64"/>
      <c r="D777" s="64"/>
      <c r="E777" s="64"/>
      <c r="F777" s="64"/>
      <c r="G777" s="64"/>
      <c r="H777" s="64"/>
      <c r="I777" s="64"/>
      <c r="J777" s="64"/>
      <c r="K777" s="64"/>
      <c r="L777" s="64"/>
      <c r="M777" s="64"/>
      <c r="N777" s="64"/>
      <c r="O777" s="64"/>
      <c r="P777" s="64"/>
      <c r="Q777" s="64"/>
      <c r="R777" s="64"/>
      <c r="S777" s="64"/>
      <c r="T777" s="64"/>
      <c r="U777" s="64"/>
      <c r="V777" s="64"/>
      <c r="W777" s="64"/>
      <c r="X777" s="64"/>
      <c r="Y777" s="64"/>
      <c r="Z777" s="64"/>
      <c r="AA777" s="64"/>
      <c r="AB777" s="64"/>
      <c r="AC777" s="64"/>
      <c r="AD777" s="64"/>
      <c r="AE777" s="64"/>
      <c r="AF777" s="64"/>
      <c r="AG777" s="64"/>
      <c r="AH777" s="64"/>
    </row>
    <row r="778">
      <c r="A778" s="64"/>
      <c r="B778" s="64"/>
      <c r="C778" s="64"/>
      <c r="D778" s="64"/>
      <c r="E778" s="64"/>
      <c r="F778" s="64"/>
      <c r="G778" s="64"/>
      <c r="H778" s="64"/>
      <c r="I778" s="64"/>
      <c r="J778" s="64"/>
      <c r="K778" s="64"/>
      <c r="L778" s="64"/>
      <c r="M778" s="64"/>
      <c r="N778" s="64"/>
      <c r="O778" s="64"/>
      <c r="P778" s="64"/>
      <c r="Q778" s="64"/>
      <c r="R778" s="64"/>
      <c r="S778" s="64"/>
      <c r="T778" s="64"/>
      <c r="U778" s="64"/>
      <c r="V778" s="64"/>
      <c r="W778" s="64"/>
      <c r="X778" s="64"/>
      <c r="Y778" s="64"/>
      <c r="Z778" s="64"/>
      <c r="AA778" s="64"/>
      <c r="AB778" s="64"/>
      <c r="AC778" s="64"/>
      <c r="AD778" s="64"/>
      <c r="AE778" s="64"/>
      <c r="AF778" s="64"/>
      <c r="AG778" s="64"/>
      <c r="AH778" s="64"/>
    </row>
    <row r="779">
      <c r="A779" s="64"/>
      <c r="B779" s="64"/>
      <c r="C779" s="64"/>
      <c r="D779" s="64"/>
      <c r="E779" s="64"/>
      <c r="F779" s="64"/>
      <c r="G779" s="64"/>
      <c r="H779" s="64"/>
      <c r="I779" s="64"/>
      <c r="J779" s="64"/>
      <c r="K779" s="64"/>
      <c r="L779" s="64"/>
      <c r="M779" s="64"/>
      <c r="N779" s="64"/>
      <c r="O779" s="64"/>
      <c r="P779" s="64"/>
      <c r="Q779" s="64"/>
      <c r="R779" s="64"/>
      <c r="S779" s="64"/>
      <c r="T779" s="64"/>
      <c r="U779" s="64"/>
      <c r="V779" s="64"/>
      <c r="W779" s="64"/>
      <c r="X779" s="64"/>
      <c r="Y779" s="64"/>
      <c r="Z779" s="64"/>
      <c r="AA779" s="64"/>
      <c r="AB779" s="64"/>
      <c r="AC779" s="64"/>
      <c r="AD779" s="64"/>
      <c r="AE779" s="64"/>
      <c r="AF779" s="64"/>
      <c r="AG779" s="64"/>
      <c r="AH779" s="64"/>
    </row>
    <row r="780">
      <c r="A780" s="64"/>
      <c r="B780" s="64"/>
      <c r="C780" s="64"/>
      <c r="D780" s="64"/>
      <c r="E780" s="64"/>
      <c r="F780" s="64"/>
      <c r="G780" s="64"/>
      <c r="H780" s="64"/>
      <c r="I780" s="64"/>
      <c r="J780" s="64"/>
      <c r="K780" s="64"/>
      <c r="L780" s="64"/>
      <c r="M780" s="64"/>
      <c r="N780" s="64"/>
      <c r="O780" s="64"/>
      <c r="P780" s="64"/>
      <c r="Q780" s="64"/>
      <c r="R780" s="64"/>
      <c r="S780" s="64"/>
      <c r="T780" s="64"/>
      <c r="U780" s="64"/>
      <c r="V780" s="64"/>
      <c r="W780" s="64"/>
      <c r="X780" s="64"/>
      <c r="Y780" s="64"/>
      <c r="Z780" s="64"/>
      <c r="AA780" s="64"/>
      <c r="AB780" s="64"/>
      <c r="AC780" s="64"/>
      <c r="AD780" s="64"/>
      <c r="AE780" s="64"/>
      <c r="AF780" s="64"/>
      <c r="AG780" s="64"/>
      <c r="AH780" s="64"/>
    </row>
    <row r="781">
      <c r="A781" s="64"/>
      <c r="B781" s="64"/>
      <c r="C781" s="64"/>
      <c r="D781" s="64"/>
      <c r="E781" s="64"/>
      <c r="F781" s="64"/>
      <c r="G781" s="64"/>
      <c r="H781" s="64"/>
      <c r="I781" s="64"/>
      <c r="J781" s="64"/>
      <c r="K781" s="64"/>
      <c r="L781" s="64"/>
      <c r="M781" s="64"/>
      <c r="N781" s="64"/>
      <c r="O781" s="64"/>
      <c r="P781" s="64"/>
      <c r="Q781" s="64"/>
      <c r="R781" s="64"/>
      <c r="S781" s="64"/>
      <c r="T781" s="64"/>
      <c r="U781" s="64"/>
      <c r="V781" s="64"/>
      <c r="W781" s="64"/>
      <c r="X781" s="64"/>
      <c r="Y781" s="64"/>
      <c r="Z781" s="64"/>
      <c r="AA781" s="64"/>
      <c r="AB781" s="64"/>
      <c r="AC781" s="64"/>
      <c r="AD781" s="64"/>
      <c r="AE781" s="64"/>
      <c r="AF781" s="64"/>
      <c r="AG781" s="64"/>
      <c r="AH781" s="64"/>
    </row>
    <row r="782">
      <c r="A782" s="64"/>
      <c r="B782" s="64"/>
      <c r="C782" s="64"/>
      <c r="D782" s="64"/>
      <c r="E782" s="64"/>
      <c r="F782" s="64"/>
      <c r="G782" s="64"/>
      <c r="H782" s="64"/>
      <c r="I782" s="64"/>
      <c r="J782" s="64"/>
      <c r="K782" s="64"/>
      <c r="L782" s="64"/>
      <c r="M782" s="64"/>
      <c r="N782" s="64"/>
      <c r="O782" s="64"/>
      <c r="P782" s="64"/>
      <c r="Q782" s="64"/>
      <c r="R782" s="64"/>
      <c r="S782" s="64"/>
      <c r="T782" s="64"/>
      <c r="U782" s="64"/>
      <c r="V782" s="64"/>
      <c r="W782" s="64"/>
      <c r="X782" s="64"/>
      <c r="Y782" s="64"/>
      <c r="Z782" s="64"/>
      <c r="AA782" s="64"/>
      <c r="AB782" s="64"/>
      <c r="AC782" s="64"/>
      <c r="AD782" s="64"/>
      <c r="AE782" s="64"/>
      <c r="AF782" s="64"/>
      <c r="AG782" s="64"/>
      <c r="AH782" s="64"/>
    </row>
    <row r="783">
      <c r="A783" s="64"/>
      <c r="B783" s="64"/>
      <c r="C783" s="64"/>
      <c r="D783" s="64"/>
      <c r="E783" s="64"/>
      <c r="F783" s="64"/>
      <c r="G783" s="64"/>
      <c r="H783" s="64"/>
      <c r="I783" s="64"/>
      <c r="J783" s="64"/>
      <c r="K783" s="64"/>
      <c r="L783" s="64"/>
      <c r="M783" s="64"/>
      <c r="N783" s="64"/>
      <c r="O783" s="64"/>
      <c r="P783" s="64"/>
      <c r="Q783" s="64"/>
      <c r="R783" s="64"/>
      <c r="S783" s="64"/>
      <c r="T783" s="64"/>
      <c r="U783" s="64"/>
      <c r="V783" s="64"/>
      <c r="W783" s="64"/>
      <c r="X783" s="64"/>
      <c r="Y783" s="64"/>
      <c r="Z783" s="64"/>
      <c r="AA783" s="64"/>
      <c r="AB783" s="64"/>
      <c r="AC783" s="64"/>
      <c r="AD783" s="64"/>
      <c r="AE783" s="64"/>
      <c r="AF783" s="64"/>
      <c r="AG783" s="64"/>
      <c r="AH783" s="64"/>
    </row>
    <row r="784">
      <c r="A784" s="64"/>
      <c r="B784" s="64"/>
      <c r="C784" s="64"/>
      <c r="D784" s="64"/>
      <c r="E784" s="64"/>
      <c r="F784" s="64"/>
      <c r="G784" s="64"/>
      <c r="H784" s="64"/>
      <c r="I784" s="64"/>
      <c r="J784" s="64"/>
      <c r="K784" s="64"/>
      <c r="L784" s="64"/>
      <c r="M784" s="64"/>
      <c r="N784" s="64"/>
      <c r="O784" s="64"/>
      <c r="P784" s="64"/>
      <c r="Q784" s="64"/>
      <c r="R784" s="64"/>
      <c r="S784" s="64"/>
      <c r="T784" s="64"/>
      <c r="U784" s="64"/>
      <c r="V784" s="64"/>
      <c r="W784" s="64"/>
      <c r="X784" s="64"/>
      <c r="Y784" s="64"/>
      <c r="Z784" s="64"/>
      <c r="AA784" s="64"/>
      <c r="AB784" s="64"/>
      <c r="AC784" s="64"/>
      <c r="AD784" s="64"/>
      <c r="AE784" s="64"/>
      <c r="AF784" s="64"/>
      <c r="AG784" s="64"/>
      <c r="AH784" s="64"/>
    </row>
    <row r="785">
      <c r="A785" s="64"/>
      <c r="B785" s="64"/>
      <c r="C785" s="64"/>
      <c r="D785" s="64"/>
      <c r="E785" s="64"/>
      <c r="F785" s="64"/>
      <c r="G785" s="64"/>
      <c r="H785" s="64"/>
      <c r="I785" s="64"/>
      <c r="J785" s="64"/>
      <c r="K785" s="64"/>
      <c r="L785" s="64"/>
      <c r="M785" s="64"/>
      <c r="N785" s="64"/>
      <c r="O785" s="64"/>
      <c r="P785" s="64"/>
      <c r="Q785" s="64"/>
      <c r="R785" s="64"/>
      <c r="S785" s="64"/>
      <c r="T785" s="64"/>
      <c r="U785" s="64"/>
      <c r="V785" s="64"/>
      <c r="W785" s="64"/>
      <c r="X785" s="64"/>
      <c r="Y785" s="64"/>
      <c r="Z785" s="64"/>
      <c r="AA785" s="64"/>
      <c r="AB785" s="64"/>
      <c r="AC785" s="64"/>
      <c r="AD785" s="64"/>
      <c r="AE785" s="64"/>
      <c r="AF785" s="64"/>
      <c r="AG785" s="64"/>
      <c r="AH785" s="64"/>
    </row>
    <row r="786">
      <c r="A786" s="64"/>
      <c r="B786" s="64"/>
      <c r="C786" s="64"/>
      <c r="D786" s="64"/>
      <c r="E786" s="64"/>
      <c r="F786" s="64"/>
      <c r="G786" s="64"/>
      <c r="H786" s="64"/>
      <c r="I786" s="64"/>
      <c r="J786" s="64"/>
      <c r="K786" s="64"/>
      <c r="L786" s="64"/>
      <c r="M786" s="64"/>
      <c r="N786" s="64"/>
      <c r="O786" s="64"/>
      <c r="P786" s="64"/>
      <c r="Q786" s="64"/>
      <c r="R786" s="64"/>
      <c r="S786" s="64"/>
      <c r="T786" s="64"/>
      <c r="U786" s="64"/>
      <c r="V786" s="64"/>
      <c r="W786" s="64"/>
      <c r="X786" s="64"/>
      <c r="Y786" s="64"/>
      <c r="Z786" s="64"/>
      <c r="AA786" s="64"/>
      <c r="AB786" s="64"/>
      <c r="AC786" s="64"/>
      <c r="AD786" s="64"/>
      <c r="AE786" s="64"/>
      <c r="AF786" s="64"/>
      <c r="AG786" s="64"/>
      <c r="AH786" s="64"/>
    </row>
    <row r="787">
      <c r="A787" s="64"/>
      <c r="B787" s="64"/>
      <c r="C787" s="64"/>
      <c r="D787" s="64"/>
      <c r="E787" s="64"/>
      <c r="F787" s="64"/>
      <c r="G787" s="64"/>
      <c r="H787" s="64"/>
      <c r="I787" s="64"/>
      <c r="J787" s="64"/>
      <c r="K787" s="64"/>
      <c r="L787" s="64"/>
      <c r="M787" s="64"/>
      <c r="N787" s="64"/>
      <c r="O787" s="64"/>
      <c r="P787" s="64"/>
      <c r="Q787" s="64"/>
      <c r="R787" s="64"/>
      <c r="S787" s="64"/>
      <c r="T787" s="64"/>
      <c r="U787" s="64"/>
      <c r="V787" s="64"/>
      <c r="W787" s="64"/>
      <c r="X787" s="64"/>
      <c r="Y787" s="64"/>
      <c r="Z787" s="64"/>
      <c r="AA787" s="64"/>
      <c r="AB787" s="64"/>
      <c r="AC787" s="64"/>
      <c r="AD787" s="64"/>
      <c r="AE787" s="64"/>
      <c r="AF787" s="64"/>
      <c r="AG787" s="64"/>
      <c r="AH787" s="64"/>
    </row>
    <row r="788">
      <c r="A788" s="64"/>
      <c r="B788" s="64"/>
      <c r="C788" s="64"/>
      <c r="D788" s="64"/>
      <c r="E788" s="64"/>
      <c r="F788" s="64"/>
      <c r="G788" s="64"/>
      <c r="H788" s="64"/>
      <c r="I788" s="64"/>
      <c r="J788" s="64"/>
      <c r="K788" s="64"/>
      <c r="L788" s="64"/>
      <c r="M788" s="64"/>
      <c r="N788" s="64"/>
      <c r="O788" s="64"/>
      <c r="P788" s="64"/>
      <c r="Q788" s="64"/>
      <c r="R788" s="64"/>
      <c r="S788" s="64"/>
      <c r="T788" s="64"/>
      <c r="U788" s="64"/>
      <c r="V788" s="64"/>
      <c r="W788" s="64"/>
      <c r="X788" s="64"/>
      <c r="Y788" s="64"/>
      <c r="Z788" s="64"/>
      <c r="AA788" s="64"/>
      <c r="AB788" s="64"/>
      <c r="AC788" s="64"/>
      <c r="AD788" s="64"/>
      <c r="AE788" s="64"/>
      <c r="AF788" s="64"/>
      <c r="AG788" s="64"/>
      <c r="AH788" s="64"/>
    </row>
    <row r="789">
      <c r="A789" s="64"/>
      <c r="B789" s="64"/>
      <c r="C789" s="64"/>
      <c r="D789" s="64"/>
      <c r="E789" s="64"/>
      <c r="F789" s="64"/>
      <c r="G789" s="64"/>
      <c r="H789" s="64"/>
      <c r="I789" s="64"/>
      <c r="J789" s="64"/>
      <c r="K789" s="64"/>
      <c r="L789" s="64"/>
      <c r="M789" s="64"/>
      <c r="N789" s="64"/>
      <c r="O789" s="64"/>
      <c r="P789" s="64"/>
      <c r="Q789" s="64"/>
      <c r="R789" s="64"/>
      <c r="S789" s="64"/>
      <c r="T789" s="64"/>
      <c r="U789" s="64"/>
      <c r="V789" s="64"/>
      <c r="W789" s="64"/>
      <c r="X789" s="64"/>
      <c r="Y789" s="64"/>
      <c r="Z789" s="64"/>
      <c r="AA789" s="64"/>
      <c r="AB789" s="64"/>
      <c r="AC789" s="64"/>
      <c r="AD789" s="64"/>
      <c r="AE789" s="64"/>
      <c r="AF789" s="64"/>
      <c r="AG789" s="64"/>
      <c r="AH789" s="64"/>
    </row>
    <row r="790">
      <c r="A790" s="64"/>
      <c r="B790" s="64"/>
      <c r="C790" s="64"/>
      <c r="D790" s="64"/>
      <c r="E790" s="64"/>
      <c r="F790" s="64"/>
      <c r="G790" s="64"/>
      <c r="H790" s="64"/>
      <c r="I790" s="64"/>
      <c r="J790" s="64"/>
      <c r="K790" s="64"/>
      <c r="L790" s="64"/>
      <c r="M790" s="64"/>
      <c r="N790" s="64"/>
      <c r="O790" s="64"/>
      <c r="P790" s="64"/>
      <c r="Q790" s="64"/>
      <c r="R790" s="64"/>
      <c r="S790" s="64"/>
      <c r="T790" s="64"/>
      <c r="U790" s="64"/>
      <c r="V790" s="64"/>
      <c r="W790" s="64"/>
      <c r="X790" s="64"/>
      <c r="Y790" s="64"/>
      <c r="Z790" s="64"/>
      <c r="AA790" s="64"/>
      <c r="AB790" s="64"/>
      <c r="AC790" s="64"/>
      <c r="AD790" s="64"/>
      <c r="AE790" s="64"/>
      <c r="AF790" s="64"/>
      <c r="AG790" s="64"/>
      <c r="AH790" s="64"/>
    </row>
    <row r="791">
      <c r="A791" s="64"/>
      <c r="B791" s="64"/>
      <c r="C791" s="64"/>
      <c r="D791" s="64"/>
      <c r="E791" s="64"/>
      <c r="F791" s="64"/>
      <c r="G791" s="64"/>
      <c r="H791" s="64"/>
      <c r="I791" s="64"/>
      <c r="J791" s="64"/>
      <c r="K791" s="64"/>
      <c r="L791" s="64"/>
      <c r="M791" s="64"/>
      <c r="N791" s="64"/>
      <c r="O791" s="64"/>
      <c r="P791" s="64"/>
      <c r="Q791" s="64"/>
      <c r="R791" s="64"/>
      <c r="S791" s="64"/>
      <c r="T791" s="64"/>
      <c r="U791" s="64"/>
      <c r="V791" s="64"/>
      <c r="W791" s="64"/>
      <c r="X791" s="64"/>
      <c r="Y791" s="64"/>
      <c r="Z791" s="64"/>
      <c r="AA791" s="64"/>
      <c r="AB791" s="64"/>
      <c r="AC791" s="64"/>
      <c r="AD791" s="64"/>
      <c r="AE791" s="64"/>
      <c r="AF791" s="64"/>
      <c r="AG791" s="64"/>
      <c r="AH791" s="64"/>
    </row>
    <row r="792">
      <c r="A792" s="64"/>
      <c r="B792" s="64"/>
      <c r="C792" s="64"/>
      <c r="D792" s="64"/>
      <c r="E792" s="64"/>
      <c r="F792" s="64"/>
      <c r="G792" s="64"/>
      <c r="H792" s="64"/>
      <c r="I792" s="64"/>
      <c r="J792" s="64"/>
      <c r="K792" s="64"/>
      <c r="L792" s="64"/>
      <c r="M792" s="64"/>
      <c r="N792" s="64"/>
      <c r="O792" s="64"/>
      <c r="P792" s="64"/>
      <c r="Q792" s="64"/>
      <c r="R792" s="64"/>
      <c r="S792" s="64"/>
      <c r="T792" s="64"/>
      <c r="U792" s="64"/>
      <c r="V792" s="64"/>
      <c r="W792" s="64"/>
      <c r="X792" s="64"/>
      <c r="Y792" s="64"/>
      <c r="Z792" s="64"/>
      <c r="AA792" s="64"/>
      <c r="AB792" s="64"/>
      <c r="AC792" s="64"/>
      <c r="AD792" s="64"/>
      <c r="AE792" s="64"/>
      <c r="AF792" s="64"/>
      <c r="AG792" s="64"/>
      <c r="AH792" s="64"/>
    </row>
    <row r="793">
      <c r="A793" s="64"/>
      <c r="B793" s="64"/>
      <c r="C793" s="64"/>
      <c r="D793" s="64"/>
      <c r="E793" s="64"/>
      <c r="F793" s="64"/>
      <c r="G793" s="64"/>
      <c r="H793" s="64"/>
      <c r="I793" s="64"/>
      <c r="J793" s="64"/>
      <c r="K793" s="64"/>
      <c r="L793" s="64"/>
      <c r="M793" s="64"/>
      <c r="N793" s="64"/>
      <c r="O793" s="64"/>
      <c r="P793" s="64"/>
      <c r="Q793" s="64"/>
      <c r="R793" s="64"/>
      <c r="S793" s="64"/>
      <c r="T793" s="64"/>
      <c r="U793" s="64"/>
      <c r="V793" s="64"/>
      <c r="W793" s="64"/>
      <c r="X793" s="64"/>
      <c r="Y793" s="64"/>
      <c r="Z793" s="64"/>
      <c r="AA793" s="64"/>
      <c r="AB793" s="64"/>
      <c r="AC793" s="64"/>
      <c r="AD793" s="64"/>
      <c r="AE793" s="64"/>
      <c r="AF793" s="64"/>
      <c r="AG793" s="64"/>
      <c r="AH793" s="64"/>
    </row>
    <row r="794">
      <c r="A794" s="64"/>
      <c r="B794" s="64"/>
      <c r="C794" s="64"/>
      <c r="D794" s="64"/>
      <c r="E794" s="64"/>
      <c r="F794" s="64"/>
      <c r="G794" s="64"/>
      <c r="H794" s="64"/>
      <c r="I794" s="64"/>
      <c r="J794" s="64"/>
      <c r="K794" s="64"/>
      <c r="L794" s="64"/>
      <c r="M794" s="64"/>
      <c r="N794" s="64"/>
      <c r="O794" s="64"/>
      <c r="P794" s="64"/>
      <c r="Q794" s="64"/>
      <c r="R794" s="64"/>
      <c r="S794" s="64"/>
      <c r="T794" s="64"/>
      <c r="U794" s="64"/>
      <c r="V794" s="64"/>
      <c r="W794" s="64"/>
      <c r="X794" s="64"/>
      <c r="Y794" s="64"/>
      <c r="Z794" s="64"/>
      <c r="AA794" s="64"/>
      <c r="AB794" s="64"/>
      <c r="AC794" s="64"/>
      <c r="AD794" s="64"/>
      <c r="AE794" s="64"/>
      <c r="AF794" s="64"/>
      <c r="AG794" s="64"/>
      <c r="AH794" s="64"/>
    </row>
    <row r="795">
      <c r="A795" s="64"/>
      <c r="B795" s="64"/>
      <c r="C795" s="64"/>
      <c r="D795" s="64"/>
      <c r="E795" s="64"/>
      <c r="F795" s="64"/>
      <c r="G795" s="64"/>
      <c r="H795" s="64"/>
      <c r="I795" s="64"/>
      <c r="J795" s="64"/>
      <c r="K795" s="64"/>
      <c r="L795" s="64"/>
      <c r="M795" s="64"/>
      <c r="N795" s="64"/>
      <c r="O795" s="64"/>
      <c r="P795" s="64"/>
      <c r="Q795" s="64"/>
      <c r="R795" s="64"/>
      <c r="S795" s="64"/>
      <c r="T795" s="64"/>
      <c r="U795" s="64"/>
      <c r="V795" s="64"/>
      <c r="W795" s="64"/>
      <c r="X795" s="64"/>
      <c r="Y795" s="64"/>
      <c r="Z795" s="64"/>
      <c r="AA795" s="64"/>
      <c r="AB795" s="64"/>
      <c r="AC795" s="64"/>
      <c r="AD795" s="64"/>
      <c r="AE795" s="64"/>
      <c r="AF795" s="64"/>
      <c r="AG795" s="64"/>
      <c r="AH795" s="64"/>
    </row>
    <row r="796">
      <c r="A796" s="64"/>
      <c r="B796" s="64"/>
      <c r="C796" s="64"/>
      <c r="D796" s="64"/>
      <c r="E796" s="64"/>
      <c r="F796" s="64"/>
      <c r="G796" s="64"/>
      <c r="H796" s="64"/>
      <c r="I796" s="64"/>
      <c r="J796" s="64"/>
      <c r="K796" s="64"/>
      <c r="L796" s="64"/>
      <c r="M796" s="64"/>
      <c r="N796" s="64"/>
      <c r="O796" s="64"/>
      <c r="P796" s="64"/>
      <c r="Q796" s="64"/>
      <c r="R796" s="64"/>
      <c r="S796" s="64"/>
      <c r="T796" s="64"/>
      <c r="U796" s="64"/>
      <c r="V796" s="64"/>
      <c r="W796" s="64"/>
      <c r="X796" s="64"/>
      <c r="Y796" s="64"/>
      <c r="Z796" s="64"/>
      <c r="AA796" s="64"/>
      <c r="AB796" s="64"/>
      <c r="AC796" s="64"/>
      <c r="AD796" s="64"/>
      <c r="AE796" s="64"/>
      <c r="AF796" s="64"/>
      <c r="AG796" s="64"/>
      <c r="AH796" s="64"/>
    </row>
    <row r="797">
      <c r="A797" s="64"/>
      <c r="B797" s="64"/>
      <c r="C797" s="64"/>
      <c r="D797" s="64"/>
      <c r="E797" s="64"/>
      <c r="F797" s="64"/>
      <c r="G797" s="64"/>
      <c r="H797" s="64"/>
      <c r="I797" s="64"/>
      <c r="J797" s="64"/>
      <c r="K797" s="64"/>
      <c r="L797" s="64"/>
      <c r="M797" s="64"/>
      <c r="N797" s="64"/>
      <c r="O797" s="64"/>
      <c r="P797" s="64"/>
      <c r="Q797" s="64"/>
      <c r="R797" s="64"/>
      <c r="S797" s="64"/>
      <c r="T797" s="64"/>
      <c r="U797" s="64"/>
      <c r="V797" s="64"/>
      <c r="W797" s="64"/>
      <c r="X797" s="64"/>
      <c r="Y797" s="64"/>
      <c r="Z797" s="64"/>
      <c r="AA797" s="64"/>
      <c r="AB797" s="64"/>
      <c r="AC797" s="64"/>
      <c r="AD797" s="64"/>
      <c r="AE797" s="64"/>
      <c r="AF797" s="64"/>
      <c r="AG797" s="64"/>
      <c r="AH797" s="64"/>
    </row>
    <row r="798">
      <c r="A798" s="64"/>
      <c r="B798" s="64"/>
      <c r="C798" s="64"/>
      <c r="D798" s="64"/>
      <c r="E798" s="64"/>
      <c r="F798" s="64"/>
      <c r="G798" s="64"/>
      <c r="H798" s="64"/>
      <c r="I798" s="64"/>
      <c r="J798" s="64"/>
      <c r="K798" s="64"/>
      <c r="L798" s="64"/>
      <c r="M798" s="64"/>
      <c r="N798" s="64"/>
      <c r="O798" s="64"/>
      <c r="P798" s="64"/>
      <c r="Q798" s="64"/>
      <c r="R798" s="64"/>
      <c r="S798" s="64"/>
      <c r="T798" s="64"/>
      <c r="U798" s="64"/>
      <c r="V798" s="64"/>
      <c r="W798" s="64"/>
      <c r="X798" s="64"/>
      <c r="Y798" s="64"/>
      <c r="Z798" s="64"/>
      <c r="AA798" s="64"/>
      <c r="AB798" s="64"/>
      <c r="AC798" s="64"/>
      <c r="AD798" s="64"/>
      <c r="AE798" s="64"/>
      <c r="AF798" s="64"/>
      <c r="AG798" s="64"/>
      <c r="AH798" s="64"/>
    </row>
    <row r="799">
      <c r="A799" s="64"/>
      <c r="B799" s="64"/>
      <c r="C799" s="64"/>
      <c r="D799" s="64"/>
      <c r="E799" s="64"/>
      <c r="F799" s="64"/>
      <c r="G799" s="64"/>
      <c r="H799" s="64"/>
      <c r="I799" s="64"/>
      <c r="J799" s="64"/>
      <c r="K799" s="64"/>
      <c r="L799" s="64"/>
      <c r="M799" s="64"/>
      <c r="N799" s="64"/>
      <c r="O799" s="64"/>
      <c r="P799" s="64"/>
      <c r="Q799" s="64"/>
      <c r="R799" s="64"/>
      <c r="S799" s="64"/>
      <c r="T799" s="64"/>
      <c r="U799" s="64"/>
      <c r="V799" s="64"/>
      <c r="W799" s="64"/>
      <c r="X799" s="64"/>
      <c r="Y799" s="64"/>
      <c r="Z799" s="64"/>
      <c r="AA799" s="64"/>
      <c r="AB799" s="64"/>
      <c r="AC799" s="64"/>
      <c r="AD799" s="64"/>
      <c r="AE799" s="64"/>
      <c r="AF799" s="64"/>
      <c r="AG799" s="64"/>
      <c r="AH799" s="64"/>
    </row>
    <row r="800">
      <c r="A800" s="64"/>
      <c r="B800" s="64"/>
      <c r="C800" s="64"/>
      <c r="D800" s="64"/>
      <c r="E800" s="64"/>
      <c r="F800" s="64"/>
      <c r="G800" s="64"/>
      <c r="H800" s="64"/>
      <c r="I800" s="64"/>
      <c r="J800" s="64"/>
      <c r="K800" s="64"/>
      <c r="L800" s="64"/>
      <c r="M800" s="64"/>
      <c r="N800" s="64"/>
      <c r="O800" s="64"/>
      <c r="P800" s="64"/>
      <c r="Q800" s="64"/>
      <c r="R800" s="64"/>
      <c r="S800" s="64"/>
      <c r="T800" s="64"/>
      <c r="U800" s="64"/>
      <c r="V800" s="64"/>
      <c r="W800" s="64"/>
      <c r="X800" s="64"/>
      <c r="Y800" s="64"/>
      <c r="Z800" s="64"/>
      <c r="AA800" s="64"/>
      <c r="AB800" s="64"/>
      <c r="AC800" s="64"/>
      <c r="AD800" s="64"/>
      <c r="AE800" s="64"/>
      <c r="AF800" s="64"/>
      <c r="AG800" s="64"/>
      <c r="AH800" s="64"/>
    </row>
    <row r="801">
      <c r="A801" s="64"/>
      <c r="B801" s="64"/>
      <c r="C801" s="64"/>
      <c r="D801" s="64"/>
      <c r="E801" s="64"/>
      <c r="F801" s="64"/>
      <c r="G801" s="64"/>
      <c r="H801" s="64"/>
      <c r="I801" s="64"/>
      <c r="J801" s="64"/>
      <c r="K801" s="64"/>
      <c r="L801" s="64"/>
      <c r="M801" s="64"/>
      <c r="N801" s="64"/>
      <c r="O801" s="64"/>
      <c r="P801" s="64"/>
      <c r="Q801" s="64"/>
      <c r="R801" s="64"/>
      <c r="S801" s="64"/>
      <c r="T801" s="64"/>
      <c r="U801" s="64"/>
      <c r="V801" s="64"/>
      <c r="W801" s="64"/>
      <c r="X801" s="64"/>
      <c r="Y801" s="64"/>
      <c r="Z801" s="64"/>
      <c r="AA801" s="64"/>
      <c r="AB801" s="64"/>
      <c r="AC801" s="64"/>
      <c r="AD801" s="64"/>
      <c r="AE801" s="64"/>
      <c r="AF801" s="64"/>
      <c r="AG801" s="64"/>
      <c r="AH801" s="64"/>
    </row>
    <row r="802">
      <c r="A802" s="64"/>
      <c r="B802" s="64"/>
      <c r="C802" s="64"/>
      <c r="D802" s="64"/>
      <c r="E802" s="64"/>
      <c r="F802" s="64"/>
      <c r="G802" s="64"/>
      <c r="H802" s="64"/>
      <c r="I802" s="64"/>
      <c r="J802" s="64"/>
      <c r="K802" s="64"/>
      <c r="L802" s="64"/>
      <c r="M802" s="64"/>
      <c r="N802" s="64"/>
      <c r="O802" s="64"/>
      <c r="P802" s="64"/>
      <c r="Q802" s="64"/>
      <c r="R802" s="64"/>
      <c r="S802" s="64"/>
      <c r="T802" s="64"/>
      <c r="U802" s="64"/>
      <c r="V802" s="64"/>
      <c r="W802" s="64"/>
      <c r="X802" s="64"/>
      <c r="Y802" s="64"/>
      <c r="Z802" s="64"/>
      <c r="AA802" s="64"/>
      <c r="AB802" s="64"/>
      <c r="AC802" s="64"/>
      <c r="AD802" s="64"/>
      <c r="AE802" s="64"/>
      <c r="AF802" s="64"/>
      <c r="AG802" s="64"/>
      <c r="AH802" s="64"/>
    </row>
    <row r="803">
      <c r="A803" s="64"/>
      <c r="B803" s="64"/>
      <c r="C803" s="64"/>
      <c r="D803" s="64"/>
      <c r="E803" s="64"/>
      <c r="F803" s="64"/>
      <c r="G803" s="64"/>
      <c r="H803" s="64"/>
      <c r="I803" s="64"/>
      <c r="J803" s="64"/>
      <c r="K803" s="64"/>
      <c r="L803" s="64"/>
      <c r="M803" s="64"/>
      <c r="N803" s="64"/>
      <c r="O803" s="64"/>
      <c r="P803" s="64"/>
      <c r="Q803" s="64"/>
      <c r="R803" s="64"/>
      <c r="S803" s="64"/>
      <c r="T803" s="64"/>
      <c r="U803" s="64"/>
      <c r="V803" s="64"/>
      <c r="W803" s="64"/>
      <c r="X803" s="64"/>
      <c r="Y803" s="64"/>
      <c r="Z803" s="64"/>
      <c r="AA803" s="64"/>
      <c r="AB803" s="64"/>
      <c r="AC803" s="64"/>
      <c r="AD803" s="64"/>
      <c r="AE803" s="64"/>
      <c r="AF803" s="64"/>
      <c r="AG803" s="64"/>
      <c r="AH803" s="64"/>
    </row>
    <row r="804">
      <c r="A804" s="64"/>
      <c r="B804" s="64"/>
      <c r="C804" s="64"/>
      <c r="D804" s="64"/>
      <c r="E804" s="64"/>
      <c r="F804" s="64"/>
      <c r="G804" s="64"/>
      <c r="H804" s="64"/>
      <c r="I804" s="64"/>
      <c r="J804" s="64"/>
      <c r="K804" s="64"/>
      <c r="L804" s="64"/>
      <c r="M804" s="64"/>
      <c r="N804" s="64"/>
      <c r="O804" s="64"/>
      <c r="P804" s="64"/>
      <c r="Q804" s="64"/>
      <c r="R804" s="64"/>
      <c r="S804" s="64"/>
      <c r="T804" s="64"/>
      <c r="U804" s="64"/>
      <c r="V804" s="64"/>
      <c r="W804" s="64"/>
      <c r="X804" s="64"/>
      <c r="Y804" s="64"/>
      <c r="Z804" s="64"/>
      <c r="AA804" s="64"/>
      <c r="AB804" s="64"/>
      <c r="AC804" s="64"/>
      <c r="AD804" s="64"/>
      <c r="AE804" s="64"/>
      <c r="AF804" s="64"/>
      <c r="AG804" s="64"/>
      <c r="AH804" s="64"/>
    </row>
    <row r="805">
      <c r="A805" s="64"/>
      <c r="B805" s="64"/>
      <c r="C805" s="64"/>
      <c r="D805" s="64"/>
      <c r="E805" s="64"/>
      <c r="F805" s="64"/>
      <c r="G805" s="64"/>
      <c r="H805" s="64"/>
      <c r="I805" s="64"/>
      <c r="J805" s="64"/>
      <c r="K805" s="64"/>
      <c r="L805" s="64"/>
      <c r="M805" s="64"/>
      <c r="N805" s="64"/>
      <c r="O805" s="64"/>
      <c r="P805" s="64"/>
      <c r="Q805" s="64"/>
      <c r="R805" s="64"/>
      <c r="S805" s="64"/>
      <c r="T805" s="64"/>
      <c r="U805" s="64"/>
      <c r="V805" s="64"/>
      <c r="W805" s="64"/>
      <c r="X805" s="64"/>
      <c r="Y805" s="64"/>
      <c r="Z805" s="64"/>
      <c r="AA805" s="64"/>
      <c r="AB805" s="64"/>
      <c r="AC805" s="64"/>
      <c r="AD805" s="64"/>
      <c r="AE805" s="64"/>
      <c r="AF805" s="64"/>
      <c r="AG805" s="64"/>
      <c r="AH805" s="64"/>
    </row>
    <row r="806">
      <c r="A806" s="64"/>
      <c r="B806" s="64"/>
      <c r="C806" s="64"/>
      <c r="D806" s="64"/>
      <c r="E806" s="64"/>
      <c r="F806" s="64"/>
      <c r="G806" s="64"/>
      <c r="H806" s="64"/>
      <c r="I806" s="64"/>
      <c r="J806" s="64"/>
      <c r="K806" s="64"/>
      <c r="L806" s="64"/>
      <c r="M806" s="64"/>
      <c r="N806" s="64"/>
      <c r="O806" s="64"/>
      <c r="P806" s="64"/>
      <c r="Q806" s="64"/>
      <c r="R806" s="64"/>
      <c r="S806" s="64"/>
      <c r="T806" s="64"/>
      <c r="U806" s="64"/>
      <c r="V806" s="64"/>
      <c r="W806" s="64"/>
      <c r="X806" s="64"/>
      <c r="Y806" s="64"/>
      <c r="Z806" s="64"/>
      <c r="AA806" s="64"/>
      <c r="AB806" s="64"/>
      <c r="AC806" s="64"/>
      <c r="AD806" s="64"/>
      <c r="AE806" s="64"/>
      <c r="AF806" s="64"/>
      <c r="AG806" s="64"/>
      <c r="AH806" s="64"/>
    </row>
    <row r="807">
      <c r="A807" s="64"/>
      <c r="B807" s="64"/>
      <c r="C807" s="64"/>
      <c r="D807" s="64"/>
      <c r="E807" s="64"/>
      <c r="F807" s="64"/>
      <c r="G807" s="64"/>
      <c r="H807" s="64"/>
      <c r="I807" s="64"/>
      <c r="J807" s="64"/>
      <c r="K807" s="64"/>
      <c r="L807" s="64"/>
      <c r="M807" s="64"/>
      <c r="N807" s="64"/>
      <c r="O807" s="64"/>
      <c r="P807" s="64"/>
      <c r="Q807" s="64"/>
      <c r="R807" s="64"/>
      <c r="S807" s="64"/>
      <c r="T807" s="64"/>
      <c r="U807" s="64"/>
      <c r="V807" s="64"/>
      <c r="W807" s="64"/>
      <c r="X807" s="64"/>
      <c r="Y807" s="64"/>
      <c r="Z807" s="64"/>
      <c r="AA807" s="64"/>
      <c r="AB807" s="64"/>
      <c r="AC807" s="64"/>
      <c r="AD807" s="64"/>
      <c r="AE807" s="64"/>
      <c r="AF807" s="64"/>
      <c r="AG807" s="64"/>
      <c r="AH807" s="64"/>
    </row>
    <row r="808">
      <c r="A808" s="64"/>
      <c r="B808" s="64"/>
      <c r="C808" s="64"/>
      <c r="D808" s="64"/>
      <c r="E808" s="64"/>
      <c r="F808" s="64"/>
      <c r="G808" s="64"/>
      <c r="H808" s="64"/>
      <c r="I808" s="64"/>
      <c r="J808" s="64"/>
      <c r="K808" s="64"/>
      <c r="L808" s="64"/>
      <c r="M808" s="64"/>
      <c r="N808" s="64"/>
      <c r="O808" s="64"/>
      <c r="P808" s="64"/>
      <c r="Q808" s="64"/>
      <c r="R808" s="64"/>
      <c r="S808" s="64"/>
      <c r="T808" s="64"/>
      <c r="U808" s="64"/>
      <c r="V808" s="64"/>
      <c r="W808" s="64"/>
      <c r="X808" s="64"/>
      <c r="Y808" s="64"/>
      <c r="Z808" s="64"/>
      <c r="AA808" s="64"/>
      <c r="AB808" s="64"/>
      <c r="AC808" s="64"/>
      <c r="AD808" s="64"/>
      <c r="AE808" s="64"/>
      <c r="AF808" s="64"/>
      <c r="AG808" s="64"/>
      <c r="AH808" s="64"/>
    </row>
    <row r="809">
      <c r="A809" s="64"/>
      <c r="B809" s="64"/>
      <c r="C809" s="64"/>
      <c r="D809" s="64"/>
      <c r="E809" s="64"/>
      <c r="F809" s="64"/>
      <c r="G809" s="64"/>
      <c r="H809" s="64"/>
      <c r="I809" s="64"/>
      <c r="J809" s="64"/>
      <c r="K809" s="64"/>
      <c r="L809" s="64"/>
      <c r="M809" s="64"/>
      <c r="N809" s="64"/>
      <c r="O809" s="64"/>
      <c r="P809" s="64"/>
      <c r="Q809" s="64"/>
      <c r="R809" s="64"/>
      <c r="S809" s="64"/>
      <c r="T809" s="64"/>
      <c r="U809" s="64"/>
      <c r="V809" s="64"/>
      <c r="W809" s="64"/>
      <c r="X809" s="64"/>
      <c r="Y809" s="64"/>
      <c r="Z809" s="64"/>
      <c r="AA809" s="64"/>
      <c r="AB809" s="64"/>
      <c r="AC809" s="64"/>
      <c r="AD809" s="64"/>
      <c r="AE809" s="64"/>
      <c r="AF809" s="64"/>
      <c r="AG809" s="64"/>
      <c r="AH809" s="64"/>
    </row>
    <row r="810">
      <c r="A810" s="64"/>
      <c r="B810" s="64"/>
      <c r="C810" s="64"/>
      <c r="D810" s="64"/>
      <c r="E810" s="64"/>
      <c r="F810" s="64"/>
      <c r="G810" s="64"/>
      <c r="H810" s="64"/>
      <c r="I810" s="64"/>
      <c r="J810" s="64"/>
      <c r="K810" s="64"/>
      <c r="L810" s="64"/>
      <c r="M810" s="64"/>
      <c r="N810" s="64"/>
      <c r="O810" s="64"/>
      <c r="P810" s="64"/>
      <c r="Q810" s="64"/>
      <c r="R810" s="64"/>
      <c r="S810" s="64"/>
      <c r="T810" s="64"/>
      <c r="U810" s="64"/>
      <c r="V810" s="64"/>
      <c r="W810" s="64"/>
      <c r="X810" s="64"/>
      <c r="Y810" s="64"/>
      <c r="Z810" s="64"/>
      <c r="AA810" s="64"/>
      <c r="AB810" s="64"/>
      <c r="AC810" s="64"/>
      <c r="AD810" s="64"/>
      <c r="AE810" s="64"/>
      <c r="AF810" s="64"/>
      <c r="AG810" s="64"/>
      <c r="AH810" s="64"/>
    </row>
    <row r="811">
      <c r="A811" s="64"/>
      <c r="B811" s="64"/>
      <c r="C811" s="64"/>
      <c r="D811" s="64"/>
      <c r="E811" s="64"/>
      <c r="F811" s="64"/>
      <c r="G811" s="64"/>
      <c r="H811" s="64"/>
      <c r="I811" s="64"/>
      <c r="J811" s="64"/>
      <c r="K811" s="64"/>
      <c r="L811" s="64"/>
      <c r="M811" s="64"/>
      <c r="N811" s="64"/>
      <c r="O811" s="64"/>
      <c r="P811" s="64"/>
      <c r="Q811" s="64"/>
      <c r="R811" s="64"/>
      <c r="S811" s="64"/>
      <c r="T811" s="64"/>
      <c r="U811" s="64"/>
      <c r="V811" s="64"/>
      <c r="W811" s="64"/>
      <c r="X811" s="64"/>
      <c r="Y811" s="64"/>
      <c r="Z811" s="64"/>
      <c r="AA811" s="64"/>
      <c r="AB811" s="64"/>
      <c r="AC811" s="64"/>
      <c r="AD811" s="64"/>
      <c r="AE811" s="64"/>
      <c r="AF811" s="64"/>
      <c r="AG811" s="64"/>
      <c r="AH811" s="64"/>
    </row>
    <row r="812">
      <c r="A812" s="64"/>
      <c r="B812" s="64"/>
      <c r="C812" s="64"/>
      <c r="D812" s="64"/>
      <c r="E812" s="64"/>
      <c r="F812" s="64"/>
      <c r="G812" s="64"/>
      <c r="H812" s="64"/>
      <c r="I812" s="64"/>
      <c r="J812" s="64"/>
      <c r="K812" s="64"/>
      <c r="L812" s="64"/>
      <c r="M812" s="64"/>
      <c r="N812" s="64"/>
      <c r="O812" s="64"/>
      <c r="P812" s="64"/>
      <c r="Q812" s="64"/>
      <c r="R812" s="64"/>
      <c r="S812" s="64"/>
      <c r="T812" s="64"/>
      <c r="U812" s="64"/>
      <c r="V812" s="64"/>
      <c r="W812" s="64"/>
      <c r="X812" s="64"/>
      <c r="Y812" s="64"/>
      <c r="Z812" s="64"/>
      <c r="AA812" s="64"/>
      <c r="AB812" s="64"/>
      <c r="AC812" s="64"/>
      <c r="AD812" s="64"/>
      <c r="AE812" s="64"/>
      <c r="AF812" s="64"/>
      <c r="AG812" s="64"/>
      <c r="AH812" s="64"/>
    </row>
    <row r="813">
      <c r="A813" s="64"/>
      <c r="B813" s="64"/>
      <c r="C813" s="64"/>
      <c r="D813" s="64"/>
      <c r="E813" s="64"/>
      <c r="F813" s="64"/>
      <c r="G813" s="64"/>
      <c r="H813" s="64"/>
      <c r="I813" s="64"/>
      <c r="J813" s="64"/>
      <c r="K813" s="64"/>
      <c r="L813" s="64"/>
      <c r="M813" s="64"/>
      <c r="N813" s="64"/>
      <c r="O813" s="64"/>
      <c r="P813" s="64"/>
      <c r="Q813" s="64"/>
      <c r="R813" s="64"/>
      <c r="S813" s="64"/>
      <c r="T813" s="64"/>
      <c r="U813" s="64"/>
      <c r="V813" s="64"/>
      <c r="W813" s="64"/>
      <c r="X813" s="64"/>
      <c r="Y813" s="64"/>
      <c r="Z813" s="64"/>
      <c r="AA813" s="64"/>
      <c r="AB813" s="64"/>
      <c r="AC813" s="64"/>
      <c r="AD813" s="64"/>
      <c r="AE813" s="64"/>
      <c r="AF813" s="64"/>
      <c r="AG813" s="64"/>
      <c r="AH813" s="64"/>
    </row>
    <row r="814">
      <c r="A814" s="64"/>
      <c r="B814" s="64"/>
      <c r="C814" s="64"/>
      <c r="D814" s="64"/>
      <c r="E814" s="64"/>
      <c r="F814" s="64"/>
      <c r="G814" s="64"/>
      <c r="H814" s="64"/>
      <c r="I814" s="64"/>
      <c r="J814" s="64"/>
      <c r="K814" s="64"/>
      <c r="L814" s="64"/>
      <c r="M814" s="64"/>
      <c r="N814" s="64"/>
      <c r="O814" s="64"/>
      <c r="P814" s="64"/>
      <c r="Q814" s="64"/>
      <c r="R814" s="64"/>
      <c r="S814" s="64"/>
      <c r="T814" s="64"/>
      <c r="U814" s="64"/>
      <c r="V814" s="64"/>
      <c r="W814" s="64"/>
      <c r="X814" s="64"/>
      <c r="Y814" s="64"/>
      <c r="Z814" s="64"/>
      <c r="AA814" s="64"/>
      <c r="AB814" s="64"/>
      <c r="AC814" s="64"/>
      <c r="AD814" s="64"/>
      <c r="AE814" s="64"/>
      <c r="AF814" s="64"/>
      <c r="AG814" s="64"/>
      <c r="AH814" s="64"/>
    </row>
    <row r="815">
      <c r="A815" s="64"/>
      <c r="B815" s="64"/>
      <c r="C815" s="64"/>
      <c r="D815" s="64"/>
      <c r="E815" s="64"/>
      <c r="F815" s="64"/>
      <c r="G815" s="64"/>
      <c r="H815" s="64"/>
      <c r="I815" s="64"/>
      <c r="J815" s="64"/>
      <c r="K815" s="64"/>
      <c r="L815" s="64"/>
      <c r="M815" s="64"/>
      <c r="N815" s="64"/>
      <c r="O815" s="64"/>
      <c r="P815" s="64"/>
      <c r="Q815" s="64"/>
      <c r="R815" s="64"/>
      <c r="S815" s="64"/>
      <c r="T815" s="64"/>
      <c r="U815" s="64"/>
      <c r="V815" s="64"/>
      <c r="W815" s="64"/>
      <c r="X815" s="64"/>
      <c r="Y815" s="64"/>
      <c r="Z815" s="64"/>
      <c r="AA815" s="64"/>
      <c r="AB815" s="64"/>
      <c r="AC815" s="64"/>
      <c r="AD815" s="64"/>
      <c r="AE815" s="64"/>
      <c r="AF815" s="64"/>
      <c r="AG815" s="64"/>
      <c r="AH815" s="64"/>
    </row>
    <row r="816">
      <c r="A816" s="64"/>
      <c r="B816" s="64"/>
      <c r="C816" s="64"/>
      <c r="D816" s="64"/>
      <c r="E816" s="64"/>
      <c r="F816" s="64"/>
      <c r="G816" s="64"/>
      <c r="H816" s="64"/>
      <c r="I816" s="64"/>
      <c r="J816" s="64"/>
      <c r="K816" s="64"/>
      <c r="L816" s="64"/>
      <c r="M816" s="64"/>
      <c r="N816" s="64"/>
      <c r="O816" s="64"/>
      <c r="P816" s="64"/>
      <c r="Q816" s="64"/>
      <c r="R816" s="64"/>
      <c r="S816" s="64"/>
      <c r="T816" s="64"/>
      <c r="U816" s="64"/>
      <c r="V816" s="64"/>
      <c r="W816" s="64"/>
      <c r="X816" s="64"/>
      <c r="Y816" s="64"/>
      <c r="Z816" s="64"/>
      <c r="AA816" s="64"/>
      <c r="AB816" s="64"/>
      <c r="AC816" s="64"/>
      <c r="AD816" s="64"/>
      <c r="AE816" s="64"/>
      <c r="AF816" s="64"/>
      <c r="AG816" s="64"/>
      <c r="AH816" s="64"/>
    </row>
    <row r="817">
      <c r="A817" s="64"/>
      <c r="B817" s="64"/>
      <c r="C817" s="64"/>
      <c r="D817" s="64"/>
      <c r="E817" s="64"/>
      <c r="F817" s="64"/>
      <c r="G817" s="64"/>
      <c r="H817" s="64"/>
      <c r="I817" s="64"/>
      <c r="J817" s="64"/>
      <c r="K817" s="64"/>
      <c r="L817" s="64"/>
      <c r="M817" s="64"/>
      <c r="N817" s="64"/>
      <c r="O817" s="64"/>
      <c r="P817" s="64"/>
      <c r="Q817" s="64"/>
      <c r="R817" s="64"/>
      <c r="S817" s="64"/>
      <c r="T817" s="64"/>
      <c r="U817" s="64"/>
      <c r="V817" s="64"/>
      <c r="W817" s="64"/>
      <c r="X817" s="64"/>
      <c r="Y817" s="64"/>
      <c r="Z817" s="64"/>
      <c r="AA817" s="64"/>
      <c r="AB817" s="64"/>
      <c r="AC817" s="64"/>
      <c r="AD817" s="64"/>
      <c r="AE817" s="64"/>
      <c r="AF817" s="64"/>
      <c r="AG817" s="64"/>
      <c r="AH817" s="64"/>
    </row>
    <row r="818">
      <c r="A818" s="64"/>
      <c r="B818" s="64"/>
      <c r="C818" s="64"/>
      <c r="D818" s="64"/>
      <c r="E818" s="64"/>
      <c r="F818" s="64"/>
      <c r="G818" s="64"/>
      <c r="H818" s="64"/>
      <c r="I818" s="64"/>
      <c r="J818" s="64"/>
      <c r="K818" s="64"/>
      <c r="L818" s="64"/>
      <c r="M818" s="64"/>
      <c r="N818" s="64"/>
      <c r="O818" s="64"/>
      <c r="P818" s="64"/>
      <c r="Q818" s="64"/>
      <c r="R818" s="64"/>
      <c r="S818" s="64"/>
      <c r="T818" s="64"/>
      <c r="U818" s="64"/>
      <c r="V818" s="64"/>
      <c r="W818" s="64"/>
      <c r="X818" s="64"/>
      <c r="Y818" s="64"/>
      <c r="Z818" s="64"/>
      <c r="AA818" s="64"/>
      <c r="AB818" s="64"/>
      <c r="AC818" s="64"/>
      <c r="AD818" s="64"/>
      <c r="AE818" s="64"/>
      <c r="AF818" s="64"/>
      <c r="AG818" s="64"/>
      <c r="AH818" s="64"/>
    </row>
    <row r="819">
      <c r="A819" s="64"/>
      <c r="B819" s="64"/>
      <c r="C819" s="64"/>
      <c r="D819" s="64"/>
      <c r="E819" s="64"/>
      <c r="F819" s="64"/>
      <c r="G819" s="64"/>
      <c r="H819" s="64"/>
      <c r="I819" s="64"/>
      <c r="J819" s="64"/>
      <c r="K819" s="64"/>
      <c r="L819" s="64"/>
      <c r="M819" s="64"/>
      <c r="N819" s="64"/>
      <c r="O819" s="64"/>
      <c r="P819" s="64"/>
      <c r="Q819" s="64"/>
      <c r="R819" s="64"/>
      <c r="S819" s="64"/>
      <c r="T819" s="64"/>
      <c r="U819" s="64"/>
      <c r="V819" s="64"/>
      <c r="W819" s="64"/>
      <c r="X819" s="64"/>
      <c r="Y819" s="64"/>
      <c r="Z819" s="64"/>
      <c r="AA819" s="64"/>
      <c r="AB819" s="64"/>
      <c r="AC819" s="64"/>
      <c r="AD819" s="64"/>
      <c r="AE819" s="64"/>
      <c r="AF819" s="64"/>
      <c r="AG819" s="64"/>
      <c r="AH819" s="64"/>
    </row>
    <row r="820">
      <c r="A820" s="64"/>
      <c r="B820" s="64"/>
      <c r="C820" s="64"/>
      <c r="D820" s="64"/>
      <c r="E820" s="64"/>
      <c r="F820" s="64"/>
      <c r="G820" s="64"/>
      <c r="H820" s="64"/>
      <c r="I820" s="64"/>
      <c r="J820" s="64"/>
      <c r="K820" s="64"/>
      <c r="L820" s="64"/>
      <c r="M820" s="64"/>
      <c r="N820" s="64"/>
      <c r="O820" s="64"/>
      <c r="P820" s="64"/>
      <c r="Q820" s="64"/>
      <c r="R820" s="64"/>
      <c r="S820" s="64"/>
      <c r="T820" s="64"/>
      <c r="U820" s="64"/>
      <c r="V820" s="64"/>
      <c r="W820" s="64"/>
      <c r="X820" s="64"/>
      <c r="Y820" s="64"/>
      <c r="Z820" s="64"/>
      <c r="AA820" s="64"/>
      <c r="AB820" s="64"/>
      <c r="AC820" s="64"/>
      <c r="AD820" s="64"/>
      <c r="AE820" s="64"/>
      <c r="AF820" s="64"/>
      <c r="AG820" s="64"/>
      <c r="AH820" s="64"/>
    </row>
    <row r="821">
      <c r="A821" s="64"/>
      <c r="B821" s="64"/>
      <c r="C821" s="64"/>
      <c r="D821" s="64"/>
      <c r="E821" s="64"/>
      <c r="F821" s="64"/>
      <c r="G821" s="64"/>
      <c r="H821" s="64"/>
      <c r="I821" s="64"/>
      <c r="J821" s="64"/>
      <c r="K821" s="64"/>
      <c r="L821" s="64"/>
      <c r="M821" s="64"/>
      <c r="N821" s="64"/>
      <c r="O821" s="64"/>
      <c r="P821" s="64"/>
      <c r="Q821" s="64"/>
      <c r="R821" s="64"/>
      <c r="S821" s="64"/>
      <c r="T821" s="64"/>
      <c r="U821" s="64"/>
      <c r="V821" s="64"/>
      <c r="W821" s="64"/>
      <c r="X821" s="64"/>
      <c r="Y821" s="64"/>
      <c r="Z821" s="64"/>
      <c r="AA821" s="64"/>
      <c r="AB821" s="64"/>
      <c r="AC821" s="64"/>
      <c r="AD821" s="64"/>
      <c r="AE821" s="64"/>
      <c r="AF821" s="64"/>
      <c r="AG821" s="64"/>
      <c r="AH821" s="64"/>
    </row>
    <row r="822">
      <c r="A822" s="64"/>
      <c r="B822" s="64"/>
      <c r="C822" s="64"/>
      <c r="D822" s="64"/>
      <c r="E822" s="64"/>
      <c r="F822" s="64"/>
      <c r="G822" s="64"/>
      <c r="H822" s="64"/>
      <c r="I822" s="64"/>
      <c r="J822" s="64"/>
      <c r="K822" s="64"/>
      <c r="L822" s="64"/>
      <c r="M822" s="64"/>
      <c r="N822" s="64"/>
      <c r="O822" s="64"/>
      <c r="P822" s="64"/>
      <c r="Q822" s="64"/>
      <c r="R822" s="64"/>
      <c r="S822" s="64"/>
      <c r="T822" s="64"/>
      <c r="U822" s="64"/>
      <c r="V822" s="64"/>
      <c r="W822" s="64"/>
      <c r="X822" s="64"/>
      <c r="Y822" s="64"/>
      <c r="Z822" s="64"/>
      <c r="AA822" s="64"/>
      <c r="AB822" s="64"/>
      <c r="AC822" s="64"/>
      <c r="AD822" s="64"/>
      <c r="AE822" s="64"/>
      <c r="AF822" s="64"/>
      <c r="AG822" s="64"/>
      <c r="AH822" s="64"/>
    </row>
    <row r="823">
      <c r="A823" s="64"/>
      <c r="B823" s="64"/>
      <c r="C823" s="64"/>
      <c r="D823" s="64"/>
      <c r="E823" s="64"/>
      <c r="F823" s="64"/>
      <c r="G823" s="64"/>
      <c r="H823" s="64"/>
      <c r="I823" s="64"/>
      <c r="J823" s="64"/>
      <c r="K823" s="64"/>
      <c r="L823" s="64"/>
      <c r="M823" s="64"/>
      <c r="N823" s="64"/>
      <c r="O823" s="64"/>
      <c r="P823" s="64"/>
      <c r="Q823" s="64"/>
      <c r="R823" s="64"/>
      <c r="S823" s="64"/>
      <c r="T823" s="64"/>
      <c r="U823" s="64"/>
      <c r="V823" s="64"/>
      <c r="W823" s="64"/>
      <c r="X823" s="64"/>
      <c r="Y823" s="64"/>
      <c r="Z823" s="64"/>
      <c r="AA823" s="64"/>
      <c r="AB823" s="64"/>
      <c r="AC823" s="64"/>
      <c r="AD823" s="64"/>
      <c r="AE823" s="64"/>
      <c r="AF823" s="64"/>
      <c r="AG823" s="64"/>
      <c r="AH823" s="64"/>
    </row>
    <row r="824">
      <c r="A824" s="64"/>
      <c r="B824" s="64"/>
      <c r="C824" s="64"/>
      <c r="D824" s="64"/>
      <c r="E824" s="64"/>
      <c r="F824" s="64"/>
      <c r="G824" s="64"/>
      <c r="H824" s="64"/>
      <c r="I824" s="64"/>
      <c r="J824" s="64"/>
      <c r="K824" s="64"/>
      <c r="L824" s="64"/>
      <c r="M824" s="64"/>
      <c r="N824" s="64"/>
      <c r="O824" s="64"/>
      <c r="P824" s="64"/>
      <c r="Q824" s="64"/>
      <c r="R824" s="64"/>
      <c r="S824" s="64"/>
      <c r="T824" s="64"/>
      <c r="U824" s="64"/>
      <c r="V824" s="64"/>
      <c r="W824" s="64"/>
      <c r="X824" s="64"/>
      <c r="Y824" s="64"/>
      <c r="Z824" s="64"/>
      <c r="AA824" s="64"/>
      <c r="AB824" s="64"/>
      <c r="AC824" s="64"/>
      <c r="AD824" s="64"/>
      <c r="AE824" s="64"/>
      <c r="AF824" s="64"/>
      <c r="AG824" s="64"/>
      <c r="AH824" s="64"/>
    </row>
    <row r="825">
      <c r="A825" s="64"/>
      <c r="B825" s="64"/>
      <c r="C825" s="64"/>
      <c r="D825" s="64"/>
      <c r="E825" s="64"/>
      <c r="F825" s="64"/>
      <c r="G825" s="64"/>
      <c r="H825" s="64"/>
      <c r="I825" s="64"/>
      <c r="J825" s="64"/>
      <c r="K825" s="64"/>
      <c r="L825" s="64"/>
      <c r="M825" s="64"/>
      <c r="N825" s="64"/>
      <c r="O825" s="64"/>
      <c r="P825" s="64"/>
      <c r="Q825" s="64"/>
      <c r="R825" s="64"/>
      <c r="S825" s="64"/>
      <c r="T825" s="64"/>
      <c r="U825" s="64"/>
      <c r="V825" s="64"/>
      <c r="W825" s="64"/>
      <c r="X825" s="64"/>
      <c r="Y825" s="64"/>
      <c r="Z825" s="64"/>
      <c r="AA825" s="64"/>
      <c r="AB825" s="64"/>
      <c r="AC825" s="64"/>
      <c r="AD825" s="64"/>
      <c r="AE825" s="64"/>
      <c r="AF825" s="64"/>
      <c r="AG825" s="64"/>
      <c r="AH825" s="64"/>
    </row>
    <row r="826">
      <c r="A826" s="64"/>
      <c r="B826" s="64"/>
      <c r="C826" s="64"/>
      <c r="D826" s="64"/>
      <c r="E826" s="64"/>
      <c r="F826" s="64"/>
      <c r="G826" s="64"/>
      <c r="H826" s="64"/>
      <c r="I826" s="64"/>
      <c r="J826" s="64"/>
      <c r="K826" s="64"/>
      <c r="L826" s="64"/>
      <c r="M826" s="64"/>
      <c r="N826" s="64"/>
      <c r="O826" s="64"/>
      <c r="P826" s="64"/>
      <c r="Q826" s="64"/>
      <c r="R826" s="64"/>
      <c r="S826" s="64"/>
      <c r="T826" s="64"/>
      <c r="U826" s="64"/>
      <c r="V826" s="64"/>
      <c r="W826" s="64"/>
      <c r="X826" s="64"/>
      <c r="Y826" s="64"/>
      <c r="Z826" s="64"/>
      <c r="AA826" s="64"/>
      <c r="AB826" s="64"/>
      <c r="AC826" s="64"/>
      <c r="AD826" s="64"/>
      <c r="AE826" s="64"/>
      <c r="AF826" s="64"/>
      <c r="AG826" s="64"/>
      <c r="AH826" s="64"/>
    </row>
    <row r="827">
      <c r="A827" s="64"/>
      <c r="B827" s="64"/>
      <c r="C827" s="64"/>
      <c r="D827" s="64"/>
      <c r="E827" s="64"/>
      <c r="F827" s="64"/>
      <c r="G827" s="64"/>
      <c r="H827" s="64"/>
      <c r="I827" s="64"/>
      <c r="J827" s="64"/>
      <c r="K827" s="64"/>
      <c r="L827" s="64"/>
      <c r="M827" s="64"/>
      <c r="N827" s="64"/>
      <c r="O827" s="64"/>
      <c r="P827" s="64"/>
      <c r="Q827" s="64"/>
      <c r="R827" s="64"/>
      <c r="S827" s="64"/>
      <c r="T827" s="64"/>
      <c r="U827" s="64"/>
      <c r="V827" s="64"/>
      <c r="W827" s="64"/>
      <c r="X827" s="64"/>
      <c r="Y827" s="64"/>
      <c r="Z827" s="64"/>
      <c r="AA827" s="64"/>
      <c r="AB827" s="64"/>
      <c r="AC827" s="64"/>
      <c r="AD827" s="64"/>
      <c r="AE827" s="64"/>
      <c r="AF827" s="64"/>
      <c r="AG827" s="64"/>
      <c r="AH827" s="64"/>
    </row>
    <row r="828">
      <c r="A828" s="64"/>
      <c r="B828" s="64"/>
      <c r="C828" s="64"/>
      <c r="D828" s="64"/>
      <c r="E828" s="64"/>
      <c r="F828" s="64"/>
      <c r="G828" s="64"/>
      <c r="H828" s="64"/>
      <c r="I828" s="64"/>
      <c r="J828" s="64"/>
      <c r="K828" s="64"/>
      <c r="L828" s="64"/>
      <c r="M828" s="64"/>
      <c r="N828" s="64"/>
      <c r="O828" s="64"/>
      <c r="P828" s="64"/>
      <c r="Q828" s="64"/>
      <c r="R828" s="64"/>
      <c r="S828" s="64"/>
      <c r="T828" s="64"/>
      <c r="U828" s="64"/>
      <c r="V828" s="64"/>
      <c r="W828" s="64"/>
      <c r="X828" s="64"/>
      <c r="Y828" s="64"/>
      <c r="Z828" s="64"/>
      <c r="AA828" s="64"/>
      <c r="AB828" s="64"/>
      <c r="AC828" s="64"/>
      <c r="AD828" s="64"/>
      <c r="AE828" s="64"/>
      <c r="AF828" s="64"/>
      <c r="AG828" s="64"/>
      <c r="AH828" s="64"/>
    </row>
    <row r="829">
      <c r="A829" s="64"/>
      <c r="B829" s="64"/>
      <c r="C829" s="64"/>
      <c r="D829" s="64"/>
      <c r="E829" s="64"/>
      <c r="F829" s="64"/>
      <c r="G829" s="64"/>
      <c r="H829" s="64"/>
      <c r="I829" s="64"/>
      <c r="J829" s="64"/>
      <c r="K829" s="64"/>
      <c r="L829" s="64"/>
      <c r="M829" s="64"/>
      <c r="N829" s="64"/>
      <c r="O829" s="64"/>
      <c r="P829" s="64"/>
      <c r="Q829" s="64"/>
      <c r="R829" s="64"/>
      <c r="S829" s="64"/>
      <c r="T829" s="64"/>
      <c r="U829" s="64"/>
      <c r="V829" s="64"/>
      <c r="W829" s="64"/>
      <c r="X829" s="64"/>
      <c r="Y829" s="64"/>
      <c r="Z829" s="64"/>
      <c r="AA829" s="64"/>
      <c r="AB829" s="64"/>
      <c r="AC829" s="64"/>
      <c r="AD829" s="64"/>
      <c r="AE829" s="64"/>
      <c r="AF829" s="64"/>
      <c r="AG829" s="64"/>
      <c r="AH829" s="64"/>
    </row>
    <row r="830">
      <c r="A830" s="64"/>
      <c r="B830" s="64"/>
      <c r="C830" s="64"/>
      <c r="D830" s="64"/>
      <c r="E830" s="64"/>
      <c r="F830" s="64"/>
      <c r="G830" s="64"/>
      <c r="H830" s="64"/>
      <c r="I830" s="64"/>
      <c r="J830" s="64"/>
      <c r="K830" s="64"/>
      <c r="L830" s="64"/>
      <c r="M830" s="64"/>
      <c r="N830" s="64"/>
      <c r="O830" s="64"/>
      <c r="P830" s="64"/>
      <c r="Q830" s="64"/>
      <c r="R830" s="64"/>
      <c r="S830" s="64"/>
      <c r="T830" s="64"/>
      <c r="U830" s="64"/>
      <c r="V830" s="64"/>
      <c r="W830" s="64"/>
      <c r="X830" s="64"/>
      <c r="Y830" s="64"/>
      <c r="Z830" s="64"/>
      <c r="AA830" s="64"/>
      <c r="AB830" s="64"/>
      <c r="AC830" s="64"/>
      <c r="AD830" s="64"/>
      <c r="AE830" s="64"/>
      <c r="AF830" s="64"/>
      <c r="AG830" s="64"/>
      <c r="AH830" s="64"/>
    </row>
    <row r="831">
      <c r="A831" s="64"/>
      <c r="B831" s="64"/>
      <c r="C831" s="64"/>
      <c r="D831" s="64"/>
      <c r="E831" s="64"/>
      <c r="F831" s="64"/>
      <c r="G831" s="64"/>
      <c r="H831" s="64"/>
      <c r="I831" s="64"/>
      <c r="J831" s="64"/>
      <c r="K831" s="64"/>
      <c r="L831" s="64"/>
      <c r="M831" s="64"/>
      <c r="N831" s="64"/>
      <c r="O831" s="64"/>
      <c r="P831" s="64"/>
      <c r="Q831" s="64"/>
      <c r="R831" s="64"/>
      <c r="S831" s="64"/>
      <c r="T831" s="64"/>
      <c r="U831" s="64"/>
      <c r="V831" s="64"/>
      <c r="W831" s="64"/>
      <c r="X831" s="64"/>
      <c r="Y831" s="64"/>
      <c r="Z831" s="64"/>
      <c r="AA831" s="64"/>
      <c r="AB831" s="64"/>
      <c r="AC831" s="64"/>
      <c r="AD831" s="64"/>
      <c r="AE831" s="64"/>
      <c r="AF831" s="64"/>
      <c r="AG831" s="64"/>
      <c r="AH831" s="64"/>
    </row>
    <row r="832">
      <c r="A832" s="64"/>
      <c r="B832" s="64"/>
      <c r="C832" s="64"/>
      <c r="D832" s="64"/>
      <c r="E832" s="64"/>
      <c r="F832" s="64"/>
      <c r="G832" s="64"/>
      <c r="H832" s="64"/>
      <c r="I832" s="64"/>
      <c r="J832" s="64"/>
      <c r="K832" s="64"/>
      <c r="L832" s="64"/>
      <c r="M832" s="64"/>
      <c r="N832" s="64"/>
      <c r="O832" s="64"/>
      <c r="P832" s="64"/>
      <c r="Q832" s="64"/>
      <c r="R832" s="64"/>
      <c r="S832" s="64"/>
      <c r="T832" s="64"/>
      <c r="U832" s="64"/>
      <c r="V832" s="64"/>
      <c r="W832" s="64"/>
      <c r="X832" s="64"/>
      <c r="Y832" s="64"/>
      <c r="Z832" s="64"/>
      <c r="AA832" s="64"/>
      <c r="AB832" s="64"/>
      <c r="AC832" s="64"/>
      <c r="AD832" s="64"/>
      <c r="AE832" s="64"/>
      <c r="AF832" s="64"/>
      <c r="AG832" s="64"/>
      <c r="AH832" s="64"/>
    </row>
    <row r="833">
      <c r="A833" s="64"/>
      <c r="B833" s="64"/>
      <c r="C833" s="64"/>
      <c r="D833" s="64"/>
      <c r="E833" s="64"/>
      <c r="F833" s="64"/>
      <c r="G833" s="64"/>
      <c r="H833" s="64"/>
      <c r="I833" s="64"/>
      <c r="J833" s="64"/>
      <c r="K833" s="64"/>
      <c r="L833" s="64"/>
      <c r="M833" s="64"/>
      <c r="N833" s="64"/>
      <c r="O833" s="64"/>
      <c r="P833" s="64"/>
      <c r="Q833" s="64"/>
      <c r="R833" s="64"/>
      <c r="S833" s="64"/>
      <c r="T833" s="64"/>
      <c r="U833" s="64"/>
      <c r="V833" s="64"/>
      <c r="W833" s="64"/>
      <c r="X833" s="64"/>
      <c r="Y833" s="64"/>
      <c r="Z833" s="64"/>
      <c r="AA833" s="64"/>
      <c r="AB833" s="64"/>
      <c r="AC833" s="64"/>
      <c r="AD833" s="64"/>
      <c r="AE833" s="64"/>
      <c r="AF833" s="64"/>
      <c r="AG833" s="64"/>
      <c r="AH833" s="64"/>
    </row>
    <row r="834">
      <c r="A834" s="64"/>
      <c r="B834" s="64"/>
      <c r="C834" s="64"/>
      <c r="D834" s="64"/>
      <c r="E834" s="64"/>
      <c r="F834" s="64"/>
      <c r="G834" s="64"/>
      <c r="H834" s="64"/>
      <c r="I834" s="64"/>
      <c r="J834" s="64"/>
      <c r="K834" s="64"/>
      <c r="L834" s="64"/>
      <c r="M834" s="64"/>
      <c r="N834" s="64"/>
      <c r="O834" s="64"/>
      <c r="P834" s="64"/>
      <c r="Q834" s="64"/>
      <c r="R834" s="64"/>
      <c r="S834" s="64"/>
      <c r="T834" s="64"/>
      <c r="U834" s="64"/>
      <c r="V834" s="64"/>
      <c r="W834" s="64"/>
      <c r="X834" s="64"/>
      <c r="Y834" s="64"/>
      <c r="Z834" s="64"/>
      <c r="AA834" s="64"/>
      <c r="AB834" s="64"/>
      <c r="AC834" s="64"/>
      <c r="AD834" s="64"/>
      <c r="AE834" s="64"/>
      <c r="AF834" s="64"/>
      <c r="AG834" s="64"/>
      <c r="AH834" s="64"/>
    </row>
    <row r="835">
      <c r="A835" s="64"/>
      <c r="B835" s="64"/>
      <c r="C835" s="64"/>
      <c r="D835" s="64"/>
      <c r="E835" s="64"/>
      <c r="F835" s="64"/>
      <c r="G835" s="64"/>
      <c r="H835" s="64"/>
      <c r="I835" s="64"/>
      <c r="J835" s="64"/>
      <c r="K835" s="64"/>
      <c r="L835" s="64"/>
      <c r="M835" s="64"/>
      <c r="N835" s="64"/>
      <c r="O835" s="64"/>
      <c r="P835" s="64"/>
      <c r="Q835" s="64"/>
      <c r="R835" s="64"/>
      <c r="S835" s="64"/>
      <c r="T835" s="64"/>
      <c r="U835" s="64"/>
      <c r="V835" s="64"/>
      <c r="W835" s="64"/>
      <c r="X835" s="64"/>
      <c r="Y835" s="64"/>
      <c r="Z835" s="64"/>
      <c r="AA835" s="64"/>
      <c r="AB835" s="64"/>
      <c r="AC835" s="64"/>
      <c r="AD835" s="64"/>
      <c r="AE835" s="64"/>
      <c r="AF835" s="64"/>
      <c r="AG835" s="64"/>
      <c r="AH835" s="64"/>
    </row>
    <row r="836">
      <c r="A836" s="64"/>
      <c r="B836" s="64"/>
      <c r="C836" s="64"/>
      <c r="D836" s="64"/>
      <c r="E836" s="64"/>
      <c r="F836" s="64"/>
      <c r="G836" s="64"/>
      <c r="H836" s="64"/>
      <c r="I836" s="64"/>
      <c r="J836" s="64"/>
      <c r="K836" s="64"/>
      <c r="L836" s="64"/>
      <c r="M836" s="64"/>
      <c r="N836" s="64"/>
      <c r="O836" s="64"/>
      <c r="P836" s="64"/>
      <c r="Q836" s="64"/>
      <c r="R836" s="64"/>
      <c r="S836" s="64"/>
      <c r="T836" s="64"/>
      <c r="U836" s="64"/>
      <c r="V836" s="64"/>
      <c r="W836" s="64"/>
      <c r="X836" s="64"/>
      <c r="Y836" s="64"/>
      <c r="Z836" s="64"/>
      <c r="AA836" s="64"/>
      <c r="AB836" s="64"/>
      <c r="AC836" s="64"/>
      <c r="AD836" s="64"/>
      <c r="AE836" s="64"/>
      <c r="AF836" s="64"/>
      <c r="AG836" s="64"/>
      <c r="AH836" s="64"/>
    </row>
    <row r="837">
      <c r="A837" s="64"/>
      <c r="B837" s="64"/>
      <c r="C837" s="64"/>
      <c r="D837" s="64"/>
      <c r="E837" s="64"/>
      <c r="F837" s="64"/>
      <c r="G837" s="64"/>
      <c r="H837" s="64"/>
      <c r="I837" s="64"/>
      <c r="J837" s="64"/>
      <c r="K837" s="64"/>
      <c r="L837" s="64"/>
      <c r="M837" s="64"/>
      <c r="N837" s="64"/>
      <c r="O837" s="64"/>
      <c r="P837" s="64"/>
      <c r="Q837" s="64"/>
      <c r="R837" s="64"/>
      <c r="S837" s="64"/>
      <c r="T837" s="64"/>
      <c r="U837" s="64"/>
      <c r="V837" s="64"/>
      <c r="W837" s="64"/>
      <c r="X837" s="64"/>
      <c r="Y837" s="64"/>
      <c r="Z837" s="64"/>
      <c r="AA837" s="64"/>
      <c r="AB837" s="64"/>
      <c r="AC837" s="64"/>
      <c r="AD837" s="64"/>
      <c r="AE837" s="64"/>
      <c r="AF837" s="64"/>
      <c r="AG837" s="64"/>
      <c r="AH837" s="64"/>
    </row>
    <row r="838">
      <c r="A838" s="64"/>
      <c r="B838" s="64"/>
      <c r="C838" s="64"/>
      <c r="D838" s="64"/>
      <c r="E838" s="64"/>
      <c r="F838" s="64"/>
      <c r="G838" s="64"/>
      <c r="H838" s="64"/>
      <c r="I838" s="64"/>
      <c r="J838" s="64"/>
      <c r="K838" s="64"/>
      <c r="L838" s="64"/>
      <c r="M838" s="64"/>
      <c r="N838" s="64"/>
      <c r="O838" s="64"/>
      <c r="P838" s="64"/>
      <c r="Q838" s="64"/>
      <c r="R838" s="64"/>
      <c r="S838" s="64"/>
      <c r="T838" s="64"/>
      <c r="U838" s="64"/>
      <c r="V838" s="64"/>
      <c r="W838" s="64"/>
      <c r="X838" s="64"/>
      <c r="Y838" s="64"/>
      <c r="Z838" s="64"/>
      <c r="AA838" s="64"/>
      <c r="AB838" s="64"/>
      <c r="AC838" s="64"/>
      <c r="AD838" s="64"/>
      <c r="AE838" s="64"/>
      <c r="AF838" s="64"/>
      <c r="AG838" s="64"/>
      <c r="AH838" s="64"/>
    </row>
    <row r="839">
      <c r="A839" s="64"/>
      <c r="B839" s="64"/>
      <c r="C839" s="64"/>
      <c r="D839" s="64"/>
      <c r="E839" s="64"/>
      <c r="F839" s="64"/>
      <c r="G839" s="64"/>
      <c r="H839" s="64"/>
      <c r="I839" s="64"/>
      <c r="J839" s="64"/>
      <c r="K839" s="64"/>
      <c r="L839" s="64"/>
      <c r="M839" s="64"/>
      <c r="N839" s="64"/>
      <c r="O839" s="64"/>
      <c r="P839" s="64"/>
      <c r="Q839" s="64"/>
      <c r="R839" s="64"/>
      <c r="S839" s="64"/>
      <c r="T839" s="64"/>
      <c r="U839" s="64"/>
      <c r="V839" s="64"/>
      <c r="W839" s="64"/>
      <c r="X839" s="64"/>
      <c r="Y839" s="64"/>
      <c r="Z839" s="64"/>
      <c r="AA839" s="64"/>
      <c r="AB839" s="64"/>
      <c r="AC839" s="64"/>
      <c r="AD839" s="64"/>
      <c r="AE839" s="64"/>
      <c r="AF839" s="64"/>
      <c r="AG839" s="64"/>
      <c r="AH839" s="64"/>
    </row>
    <row r="840">
      <c r="A840" s="64"/>
      <c r="B840" s="64"/>
      <c r="C840" s="64"/>
      <c r="D840" s="64"/>
      <c r="E840" s="64"/>
      <c r="F840" s="64"/>
      <c r="G840" s="64"/>
      <c r="H840" s="64"/>
      <c r="I840" s="64"/>
      <c r="J840" s="64"/>
      <c r="K840" s="64"/>
      <c r="L840" s="64"/>
      <c r="M840" s="64"/>
      <c r="N840" s="64"/>
      <c r="O840" s="64"/>
      <c r="P840" s="64"/>
      <c r="Q840" s="64"/>
      <c r="R840" s="64"/>
      <c r="S840" s="64"/>
      <c r="T840" s="64"/>
      <c r="U840" s="64"/>
      <c r="V840" s="64"/>
      <c r="W840" s="64"/>
      <c r="X840" s="64"/>
      <c r="Y840" s="64"/>
      <c r="Z840" s="64"/>
      <c r="AA840" s="64"/>
      <c r="AB840" s="64"/>
      <c r="AC840" s="64"/>
      <c r="AD840" s="64"/>
      <c r="AE840" s="64"/>
      <c r="AF840" s="64"/>
      <c r="AG840" s="64"/>
      <c r="AH840" s="64"/>
    </row>
    <row r="841">
      <c r="A841" s="64"/>
      <c r="B841" s="64"/>
      <c r="C841" s="64"/>
      <c r="D841" s="64"/>
      <c r="E841" s="64"/>
      <c r="F841" s="64"/>
      <c r="G841" s="64"/>
      <c r="H841" s="64"/>
      <c r="I841" s="64"/>
      <c r="J841" s="64"/>
      <c r="K841" s="64"/>
      <c r="L841" s="64"/>
      <c r="M841" s="64"/>
      <c r="N841" s="64"/>
      <c r="O841" s="64"/>
      <c r="P841" s="64"/>
      <c r="Q841" s="64"/>
      <c r="R841" s="64"/>
      <c r="S841" s="64"/>
      <c r="T841" s="64"/>
      <c r="U841" s="64"/>
      <c r="V841" s="64"/>
      <c r="W841" s="64"/>
      <c r="X841" s="64"/>
      <c r="Y841" s="64"/>
      <c r="Z841" s="64"/>
      <c r="AA841" s="64"/>
      <c r="AB841" s="64"/>
      <c r="AC841" s="64"/>
      <c r="AD841" s="64"/>
      <c r="AE841" s="64"/>
      <c r="AF841" s="64"/>
      <c r="AG841" s="64"/>
      <c r="AH841" s="64"/>
    </row>
    <row r="842">
      <c r="A842" s="64"/>
      <c r="B842" s="64"/>
      <c r="C842" s="64"/>
      <c r="D842" s="64"/>
      <c r="E842" s="64"/>
      <c r="F842" s="64"/>
      <c r="G842" s="64"/>
      <c r="H842" s="64"/>
      <c r="I842" s="64"/>
      <c r="J842" s="64"/>
      <c r="K842" s="64"/>
      <c r="L842" s="64"/>
      <c r="M842" s="64"/>
      <c r="N842" s="64"/>
      <c r="O842" s="64"/>
      <c r="P842" s="64"/>
      <c r="Q842" s="64"/>
      <c r="R842" s="64"/>
      <c r="S842" s="64"/>
      <c r="T842" s="64"/>
      <c r="U842" s="64"/>
      <c r="V842" s="64"/>
      <c r="W842" s="64"/>
      <c r="X842" s="64"/>
      <c r="Y842" s="64"/>
      <c r="Z842" s="64"/>
      <c r="AA842" s="64"/>
      <c r="AB842" s="64"/>
      <c r="AC842" s="64"/>
      <c r="AD842" s="64"/>
      <c r="AE842" s="64"/>
      <c r="AF842" s="64"/>
      <c r="AG842" s="64"/>
      <c r="AH842" s="64"/>
    </row>
    <row r="843">
      <c r="A843" s="64"/>
      <c r="B843" s="64"/>
      <c r="C843" s="64"/>
      <c r="D843" s="64"/>
      <c r="E843" s="64"/>
      <c r="F843" s="64"/>
      <c r="G843" s="64"/>
      <c r="H843" s="64"/>
      <c r="I843" s="64"/>
      <c r="J843" s="64"/>
      <c r="K843" s="64"/>
      <c r="L843" s="64"/>
      <c r="M843" s="64"/>
      <c r="N843" s="64"/>
      <c r="O843" s="64"/>
      <c r="P843" s="64"/>
      <c r="Q843" s="64"/>
      <c r="R843" s="64"/>
      <c r="S843" s="64"/>
      <c r="T843" s="64"/>
      <c r="U843" s="64"/>
      <c r="V843" s="64"/>
      <c r="W843" s="64"/>
      <c r="X843" s="64"/>
      <c r="Y843" s="64"/>
      <c r="Z843" s="64"/>
      <c r="AA843" s="64"/>
      <c r="AB843" s="64"/>
      <c r="AC843" s="64"/>
      <c r="AD843" s="64"/>
      <c r="AE843" s="64"/>
      <c r="AF843" s="64"/>
      <c r="AG843" s="64"/>
      <c r="AH843" s="64"/>
    </row>
    <row r="844">
      <c r="A844" s="64"/>
      <c r="B844" s="64"/>
      <c r="C844" s="64"/>
      <c r="D844" s="64"/>
      <c r="E844" s="64"/>
      <c r="F844" s="64"/>
      <c r="G844" s="64"/>
      <c r="H844" s="64"/>
      <c r="I844" s="64"/>
      <c r="J844" s="64"/>
      <c r="K844" s="64"/>
      <c r="L844" s="64"/>
      <c r="M844" s="64"/>
      <c r="N844" s="64"/>
      <c r="O844" s="64"/>
      <c r="P844" s="64"/>
      <c r="Q844" s="64"/>
      <c r="R844" s="64"/>
      <c r="S844" s="64"/>
      <c r="T844" s="64"/>
      <c r="U844" s="64"/>
      <c r="V844" s="64"/>
      <c r="W844" s="64"/>
      <c r="X844" s="64"/>
      <c r="Y844" s="64"/>
      <c r="Z844" s="64"/>
      <c r="AA844" s="64"/>
      <c r="AB844" s="64"/>
      <c r="AC844" s="64"/>
      <c r="AD844" s="64"/>
      <c r="AE844" s="64"/>
      <c r="AF844" s="64"/>
      <c r="AG844" s="64"/>
      <c r="AH844" s="64"/>
    </row>
    <row r="845">
      <c r="A845" s="64"/>
      <c r="B845" s="64"/>
      <c r="C845" s="64"/>
      <c r="D845" s="64"/>
      <c r="E845" s="64"/>
      <c r="F845" s="64"/>
      <c r="G845" s="64"/>
      <c r="H845" s="64"/>
      <c r="I845" s="64"/>
      <c r="J845" s="64"/>
      <c r="K845" s="64"/>
      <c r="L845" s="64"/>
      <c r="M845" s="64"/>
      <c r="N845" s="64"/>
      <c r="O845" s="64"/>
      <c r="P845" s="64"/>
      <c r="Q845" s="64"/>
      <c r="R845" s="64"/>
      <c r="S845" s="64"/>
      <c r="T845" s="64"/>
      <c r="U845" s="64"/>
      <c r="V845" s="64"/>
      <c r="W845" s="64"/>
      <c r="X845" s="64"/>
      <c r="Y845" s="64"/>
      <c r="Z845" s="64"/>
      <c r="AA845" s="64"/>
      <c r="AB845" s="64"/>
      <c r="AC845" s="64"/>
      <c r="AD845" s="64"/>
      <c r="AE845" s="64"/>
      <c r="AF845" s="64"/>
      <c r="AG845" s="64"/>
      <c r="AH845" s="64"/>
    </row>
    <row r="846">
      <c r="A846" s="64"/>
      <c r="B846" s="64"/>
      <c r="C846" s="64"/>
      <c r="D846" s="64"/>
      <c r="E846" s="64"/>
      <c r="F846" s="64"/>
      <c r="G846" s="64"/>
      <c r="H846" s="64"/>
      <c r="I846" s="64"/>
      <c r="J846" s="64"/>
      <c r="K846" s="64"/>
      <c r="L846" s="64"/>
      <c r="M846" s="64"/>
      <c r="N846" s="64"/>
      <c r="O846" s="64"/>
      <c r="P846" s="64"/>
      <c r="Q846" s="64"/>
      <c r="R846" s="64"/>
      <c r="S846" s="64"/>
      <c r="T846" s="64"/>
      <c r="U846" s="64"/>
      <c r="V846" s="64"/>
      <c r="W846" s="64"/>
      <c r="X846" s="64"/>
      <c r="Y846" s="64"/>
      <c r="Z846" s="64"/>
      <c r="AA846" s="64"/>
      <c r="AB846" s="64"/>
      <c r="AC846" s="64"/>
      <c r="AD846" s="64"/>
      <c r="AE846" s="64"/>
      <c r="AF846" s="64"/>
      <c r="AG846" s="64"/>
      <c r="AH846" s="64"/>
    </row>
    <row r="847">
      <c r="A847" s="64"/>
      <c r="B847" s="64"/>
      <c r="C847" s="64"/>
      <c r="D847" s="64"/>
      <c r="E847" s="64"/>
      <c r="F847" s="64"/>
      <c r="G847" s="64"/>
      <c r="H847" s="64"/>
      <c r="I847" s="64"/>
      <c r="J847" s="64"/>
      <c r="K847" s="64"/>
      <c r="L847" s="64"/>
      <c r="M847" s="64"/>
      <c r="N847" s="64"/>
      <c r="O847" s="64"/>
      <c r="P847" s="64"/>
      <c r="Q847" s="64"/>
      <c r="R847" s="64"/>
      <c r="S847" s="64"/>
      <c r="T847" s="64"/>
      <c r="U847" s="64"/>
      <c r="V847" s="64"/>
      <c r="W847" s="64"/>
      <c r="X847" s="64"/>
      <c r="Y847" s="64"/>
      <c r="Z847" s="64"/>
      <c r="AA847" s="64"/>
      <c r="AB847" s="64"/>
      <c r="AC847" s="64"/>
      <c r="AD847" s="64"/>
      <c r="AE847" s="64"/>
      <c r="AF847" s="64"/>
      <c r="AG847" s="64"/>
      <c r="AH847" s="64"/>
    </row>
    <row r="848">
      <c r="A848" s="64"/>
      <c r="B848" s="64"/>
      <c r="C848" s="64"/>
      <c r="D848" s="64"/>
      <c r="E848" s="64"/>
      <c r="F848" s="64"/>
      <c r="G848" s="64"/>
      <c r="H848" s="64"/>
      <c r="I848" s="64"/>
      <c r="J848" s="64"/>
      <c r="K848" s="64"/>
      <c r="L848" s="64"/>
      <c r="M848" s="64"/>
      <c r="N848" s="64"/>
      <c r="O848" s="64"/>
      <c r="P848" s="64"/>
      <c r="Q848" s="64"/>
      <c r="R848" s="64"/>
      <c r="S848" s="64"/>
      <c r="T848" s="64"/>
      <c r="U848" s="64"/>
      <c r="V848" s="64"/>
      <c r="W848" s="64"/>
      <c r="X848" s="64"/>
      <c r="Y848" s="64"/>
      <c r="Z848" s="64"/>
      <c r="AA848" s="64"/>
      <c r="AB848" s="64"/>
      <c r="AC848" s="64"/>
      <c r="AD848" s="64"/>
      <c r="AE848" s="64"/>
      <c r="AF848" s="64"/>
      <c r="AG848" s="64"/>
      <c r="AH848" s="64"/>
    </row>
    <row r="849">
      <c r="A849" s="64"/>
      <c r="B849" s="64"/>
      <c r="C849" s="64"/>
      <c r="D849" s="64"/>
      <c r="E849" s="64"/>
      <c r="F849" s="64"/>
      <c r="G849" s="64"/>
      <c r="H849" s="64"/>
      <c r="I849" s="64"/>
      <c r="J849" s="64"/>
      <c r="K849" s="64"/>
      <c r="L849" s="64"/>
      <c r="M849" s="64"/>
      <c r="N849" s="64"/>
      <c r="O849" s="64"/>
      <c r="P849" s="64"/>
      <c r="Q849" s="64"/>
      <c r="R849" s="64"/>
      <c r="S849" s="64"/>
      <c r="T849" s="64"/>
      <c r="U849" s="64"/>
      <c r="V849" s="64"/>
      <c r="W849" s="64"/>
      <c r="X849" s="64"/>
      <c r="Y849" s="64"/>
      <c r="Z849" s="64"/>
      <c r="AA849" s="64"/>
      <c r="AB849" s="64"/>
      <c r="AC849" s="64"/>
      <c r="AD849" s="64"/>
      <c r="AE849" s="64"/>
      <c r="AF849" s="64"/>
      <c r="AG849" s="64"/>
      <c r="AH849" s="64"/>
    </row>
    <row r="850">
      <c r="A850" s="64"/>
      <c r="B850" s="64"/>
      <c r="C850" s="64"/>
      <c r="D850" s="64"/>
      <c r="E850" s="64"/>
      <c r="F850" s="64"/>
      <c r="G850" s="64"/>
      <c r="H850" s="64"/>
      <c r="I850" s="64"/>
      <c r="J850" s="64"/>
      <c r="K850" s="64"/>
      <c r="L850" s="64"/>
      <c r="M850" s="64"/>
      <c r="N850" s="64"/>
      <c r="O850" s="64"/>
      <c r="P850" s="64"/>
      <c r="Q850" s="64"/>
      <c r="R850" s="64"/>
      <c r="S850" s="64"/>
      <c r="T850" s="64"/>
      <c r="U850" s="64"/>
      <c r="V850" s="64"/>
      <c r="W850" s="64"/>
      <c r="X850" s="64"/>
      <c r="Y850" s="64"/>
      <c r="Z850" s="64"/>
      <c r="AA850" s="64"/>
      <c r="AB850" s="64"/>
      <c r="AC850" s="64"/>
      <c r="AD850" s="64"/>
      <c r="AE850" s="64"/>
      <c r="AF850" s="64"/>
      <c r="AG850" s="64"/>
      <c r="AH850" s="64"/>
    </row>
    <row r="851">
      <c r="A851" s="64"/>
      <c r="B851" s="64"/>
      <c r="C851" s="64"/>
      <c r="D851" s="64"/>
      <c r="E851" s="64"/>
      <c r="F851" s="64"/>
      <c r="G851" s="64"/>
      <c r="H851" s="64"/>
      <c r="I851" s="64"/>
      <c r="J851" s="64"/>
      <c r="K851" s="64"/>
      <c r="L851" s="64"/>
      <c r="M851" s="64"/>
      <c r="N851" s="64"/>
      <c r="O851" s="64"/>
      <c r="P851" s="64"/>
      <c r="Q851" s="64"/>
      <c r="R851" s="64"/>
      <c r="S851" s="64"/>
      <c r="T851" s="64"/>
      <c r="U851" s="64"/>
      <c r="V851" s="64"/>
      <c r="W851" s="64"/>
      <c r="X851" s="64"/>
      <c r="Y851" s="64"/>
      <c r="Z851" s="64"/>
      <c r="AA851" s="64"/>
      <c r="AB851" s="64"/>
      <c r="AC851" s="64"/>
      <c r="AD851" s="64"/>
      <c r="AE851" s="64"/>
      <c r="AF851" s="64"/>
      <c r="AG851" s="64"/>
      <c r="AH851" s="64"/>
    </row>
    <row r="852">
      <c r="A852" s="64"/>
      <c r="B852" s="64"/>
      <c r="C852" s="64"/>
      <c r="D852" s="64"/>
      <c r="E852" s="64"/>
      <c r="F852" s="64"/>
      <c r="G852" s="64"/>
      <c r="H852" s="64"/>
      <c r="I852" s="64"/>
      <c r="J852" s="64"/>
      <c r="K852" s="64"/>
      <c r="L852" s="64"/>
      <c r="M852" s="64"/>
      <c r="N852" s="64"/>
      <c r="O852" s="64"/>
      <c r="P852" s="64"/>
      <c r="Q852" s="64"/>
      <c r="R852" s="64"/>
      <c r="S852" s="64"/>
      <c r="T852" s="64"/>
      <c r="U852" s="64"/>
      <c r="V852" s="64"/>
      <c r="W852" s="64"/>
      <c r="X852" s="64"/>
      <c r="Y852" s="64"/>
      <c r="Z852" s="64"/>
      <c r="AA852" s="64"/>
      <c r="AB852" s="64"/>
      <c r="AC852" s="64"/>
      <c r="AD852" s="64"/>
      <c r="AE852" s="64"/>
      <c r="AF852" s="64"/>
      <c r="AG852" s="64"/>
      <c r="AH852" s="64"/>
    </row>
    <row r="853">
      <c r="A853" s="64"/>
      <c r="B853" s="64"/>
      <c r="C853" s="64"/>
      <c r="D853" s="64"/>
      <c r="E853" s="64"/>
      <c r="F853" s="64"/>
      <c r="G853" s="64"/>
      <c r="H853" s="64"/>
      <c r="I853" s="64"/>
      <c r="J853" s="64"/>
      <c r="K853" s="64"/>
      <c r="L853" s="64"/>
      <c r="M853" s="64"/>
      <c r="N853" s="64"/>
      <c r="O853" s="64"/>
      <c r="P853" s="64"/>
      <c r="Q853" s="64"/>
      <c r="R853" s="64"/>
      <c r="S853" s="64"/>
      <c r="T853" s="64"/>
      <c r="U853" s="64"/>
      <c r="V853" s="64"/>
      <c r="W853" s="64"/>
      <c r="X853" s="64"/>
      <c r="Y853" s="64"/>
      <c r="Z853" s="64"/>
      <c r="AA853" s="64"/>
      <c r="AB853" s="64"/>
      <c r="AC853" s="64"/>
      <c r="AD853" s="64"/>
      <c r="AE853" s="64"/>
      <c r="AF853" s="64"/>
      <c r="AG853" s="64"/>
      <c r="AH853" s="64"/>
    </row>
    <row r="854">
      <c r="A854" s="64"/>
      <c r="B854" s="64"/>
      <c r="C854" s="64"/>
      <c r="D854" s="64"/>
      <c r="E854" s="64"/>
      <c r="F854" s="64"/>
      <c r="G854" s="64"/>
      <c r="H854" s="64"/>
      <c r="I854" s="64"/>
      <c r="J854" s="64"/>
      <c r="K854" s="64"/>
      <c r="L854" s="64"/>
      <c r="M854" s="64"/>
      <c r="N854" s="64"/>
      <c r="O854" s="64"/>
      <c r="P854" s="64"/>
      <c r="Q854" s="64"/>
      <c r="R854" s="64"/>
      <c r="S854" s="64"/>
      <c r="T854" s="64"/>
      <c r="U854" s="64"/>
      <c r="V854" s="64"/>
      <c r="W854" s="64"/>
      <c r="X854" s="64"/>
      <c r="Y854" s="64"/>
      <c r="Z854" s="64"/>
      <c r="AA854" s="64"/>
      <c r="AB854" s="64"/>
      <c r="AC854" s="64"/>
      <c r="AD854" s="64"/>
      <c r="AE854" s="64"/>
      <c r="AF854" s="64"/>
      <c r="AG854" s="64"/>
      <c r="AH854" s="64"/>
    </row>
    <row r="855">
      <c r="A855" s="64"/>
      <c r="B855" s="64"/>
      <c r="C855" s="64"/>
      <c r="D855" s="64"/>
      <c r="E855" s="64"/>
      <c r="F855" s="64"/>
      <c r="G855" s="64"/>
      <c r="H855" s="64"/>
      <c r="I855" s="64"/>
      <c r="J855" s="64"/>
      <c r="K855" s="64"/>
      <c r="L855" s="64"/>
      <c r="M855" s="64"/>
      <c r="N855" s="64"/>
      <c r="O855" s="64"/>
      <c r="P855" s="64"/>
      <c r="Q855" s="64"/>
      <c r="R855" s="64"/>
      <c r="S855" s="64"/>
      <c r="T855" s="64"/>
      <c r="U855" s="64"/>
      <c r="V855" s="64"/>
      <c r="W855" s="64"/>
      <c r="X855" s="64"/>
      <c r="Y855" s="64"/>
      <c r="Z855" s="64"/>
      <c r="AA855" s="64"/>
      <c r="AB855" s="64"/>
      <c r="AC855" s="64"/>
      <c r="AD855" s="64"/>
      <c r="AE855" s="64"/>
      <c r="AF855" s="64"/>
      <c r="AG855" s="64"/>
      <c r="AH855" s="64"/>
    </row>
    <row r="856">
      <c r="A856" s="64"/>
      <c r="B856" s="64"/>
      <c r="C856" s="64"/>
      <c r="D856" s="64"/>
      <c r="E856" s="64"/>
      <c r="F856" s="64"/>
      <c r="G856" s="64"/>
      <c r="H856" s="64"/>
      <c r="I856" s="64"/>
      <c r="J856" s="64"/>
      <c r="K856" s="64"/>
      <c r="L856" s="64"/>
      <c r="M856" s="64"/>
      <c r="N856" s="64"/>
      <c r="O856" s="64"/>
      <c r="P856" s="64"/>
      <c r="Q856" s="64"/>
      <c r="R856" s="64"/>
      <c r="S856" s="64"/>
      <c r="T856" s="64"/>
      <c r="U856" s="64"/>
      <c r="V856" s="64"/>
      <c r="W856" s="64"/>
      <c r="X856" s="64"/>
      <c r="Y856" s="64"/>
      <c r="Z856" s="64"/>
      <c r="AA856" s="64"/>
      <c r="AB856" s="64"/>
      <c r="AC856" s="64"/>
      <c r="AD856" s="64"/>
      <c r="AE856" s="64"/>
      <c r="AF856" s="64"/>
      <c r="AG856" s="64"/>
      <c r="AH856" s="64"/>
    </row>
    <row r="857">
      <c r="A857" s="64"/>
      <c r="B857" s="64"/>
      <c r="C857" s="64"/>
      <c r="D857" s="64"/>
      <c r="E857" s="64"/>
      <c r="F857" s="64"/>
      <c r="G857" s="64"/>
      <c r="H857" s="64"/>
      <c r="I857" s="64"/>
      <c r="J857" s="64"/>
      <c r="K857" s="64"/>
      <c r="L857" s="64"/>
      <c r="M857" s="64"/>
      <c r="N857" s="64"/>
      <c r="O857" s="64"/>
      <c r="P857" s="64"/>
      <c r="Q857" s="64"/>
      <c r="R857" s="64"/>
      <c r="S857" s="64"/>
      <c r="T857" s="64"/>
      <c r="U857" s="64"/>
      <c r="V857" s="64"/>
      <c r="W857" s="64"/>
      <c r="X857" s="64"/>
      <c r="Y857" s="64"/>
      <c r="Z857" s="64"/>
      <c r="AA857" s="64"/>
      <c r="AB857" s="64"/>
      <c r="AC857" s="64"/>
      <c r="AD857" s="64"/>
      <c r="AE857" s="64"/>
      <c r="AF857" s="64"/>
      <c r="AG857" s="64"/>
      <c r="AH857" s="64"/>
    </row>
    <row r="858">
      <c r="A858" s="64"/>
      <c r="B858" s="64"/>
      <c r="C858" s="64"/>
      <c r="D858" s="64"/>
      <c r="E858" s="64"/>
      <c r="F858" s="64"/>
      <c r="G858" s="64"/>
      <c r="H858" s="64"/>
      <c r="I858" s="64"/>
      <c r="J858" s="64"/>
      <c r="K858" s="64"/>
      <c r="L858" s="64"/>
      <c r="M858" s="64"/>
      <c r="N858" s="64"/>
      <c r="O858" s="64"/>
      <c r="P858" s="64"/>
      <c r="Q858" s="64"/>
      <c r="R858" s="64"/>
      <c r="S858" s="64"/>
      <c r="T858" s="64"/>
      <c r="U858" s="64"/>
      <c r="V858" s="64"/>
      <c r="W858" s="64"/>
      <c r="X858" s="64"/>
      <c r="Y858" s="64"/>
      <c r="Z858" s="64"/>
      <c r="AA858" s="64"/>
      <c r="AB858" s="64"/>
      <c r="AC858" s="64"/>
      <c r="AD858" s="64"/>
      <c r="AE858" s="64"/>
      <c r="AF858" s="64"/>
      <c r="AG858" s="64"/>
      <c r="AH858" s="64"/>
    </row>
    <row r="859">
      <c r="A859" s="64"/>
      <c r="B859" s="64"/>
      <c r="C859" s="64"/>
      <c r="D859" s="64"/>
      <c r="E859" s="64"/>
      <c r="F859" s="64"/>
      <c r="G859" s="64"/>
      <c r="H859" s="64"/>
      <c r="I859" s="64"/>
      <c r="J859" s="64"/>
      <c r="K859" s="64"/>
      <c r="L859" s="64"/>
      <c r="M859" s="64"/>
      <c r="N859" s="64"/>
      <c r="O859" s="64"/>
      <c r="P859" s="64"/>
      <c r="Q859" s="64"/>
      <c r="R859" s="64"/>
      <c r="S859" s="64"/>
      <c r="T859" s="64"/>
      <c r="U859" s="64"/>
      <c r="V859" s="64"/>
      <c r="W859" s="64"/>
      <c r="X859" s="64"/>
      <c r="Y859" s="64"/>
      <c r="Z859" s="64"/>
      <c r="AA859" s="64"/>
      <c r="AB859" s="64"/>
      <c r="AC859" s="64"/>
      <c r="AD859" s="64"/>
      <c r="AE859" s="64"/>
      <c r="AF859" s="64"/>
      <c r="AG859" s="64"/>
      <c r="AH859" s="64"/>
    </row>
    <row r="860">
      <c r="A860" s="64"/>
      <c r="B860" s="64"/>
      <c r="C860" s="64"/>
      <c r="D860" s="64"/>
      <c r="E860" s="64"/>
      <c r="F860" s="64"/>
      <c r="G860" s="64"/>
      <c r="H860" s="64"/>
      <c r="I860" s="64"/>
      <c r="J860" s="64"/>
      <c r="K860" s="64"/>
      <c r="L860" s="64"/>
      <c r="M860" s="64"/>
      <c r="N860" s="64"/>
      <c r="O860" s="64"/>
      <c r="P860" s="64"/>
      <c r="Q860" s="64"/>
      <c r="R860" s="64"/>
      <c r="S860" s="64"/>
      <c r="T860" s="64"/>
      <c r="U860" s="64"/>
      <c r="V860" s="64"/>
      <c r="W860" s="64"/>
      <c r="X860" s="64"/>
      <c r="Y860" s="64"/>
      <c r="Z860" s="64"/>
      <c r="AA860" s="64"/>
      <c r="AB860" s="64"/>
      <c r="AC860" s="64"/>
      <c r="AD860" s="64"/>
      <c r="AE860" s="64"/>
      <c r="AF860" s="64"/>
      <c r="AG860" s="64"/>
      <c r="AH860" s="64"/>
    </row>
    <row r="861">
      <c r="A861" s="64"/>
      <c r="B861" s="64"/>
      <c r="C861" s="64"/>
      <c r="D861" s="64"/>
      <c r="E861" s="64"/>
      <c r="F861" s="64"/>
      <c r="G861" s="64"/>
      <c r="H861" s="64"/>
      <c r="I861" s="64"/>
      <c r="J861" s="64"/>
      <c r="K861" s="64"/>
      <c r="L861" s="64"/>
      <c r="M861" s="64"/>
      <c r="N861" s="64"/>
      <c r="O861" s="64"/>
      <c r="P861" s="64"/>
      <c r="Q861" s="64"/>
      <c r="R861" s="64"/>
      <c r="S861" s="64"/>
      <c r="T861" s="64"/>
      <c r="U861" s="64"/>
      <c r="V861" s="64"/>
      <c r="W861" s="64"/>
      <c r="X861" s="64"/>
      <c r="Y861" s="64"/>
      <c r="Z861" s="64"/>
      <c r="AA861" s="64"/>
      <c r="AB861" s="64"/>
      <c r="AC861" s="64"/>
      <c r="AD861" s="64"/>
      <c r="AE861" s="64"/>
      <c r="AF861" s="64"/>
      <c r="AG861" s="64"/>
      <c r="AH861" s="64"/>
    </row>
    <row r="862">
      <c r="A862" s="64"/>
      <c r="B862" s="64"/>
      <c r="C862" s="64"/>
      <c r="D862" s="64"/>
      <c r="E862" s="64"/>
      <c r="F862" s="64"/>
      <c r="G862" s="64"/>
      <c r="H862" s="64"/>
      <c r="I862" s="64"/>
      <c r="J862" s="64"/>
      <c r="K862" s="64"/>
      <c r="L862" s="64"/>
      <c r="M862" s="64"/>
      <c r="N862" s="64"/>
      <c r="O862" s="64"/>
      <c r="P862" s="64"/>
      <c r="Q862" s="64"/>
      <c r="R862" s="64"/>
      <c r="S862" s="64"/>
      <c r="T862" s="64"/>
      <c r="U862" s="64"/>
      <c r="V862" s="64"/>
      <c r="W862" s="64"/>
      <c r="X862" s="64"/>
      <c r="Y862" s="64"/>
      <c r="Z862" s="64"/>
      <c r="AA862" s="64"/>
      <c r="AB862" s="64"/>
      <c r="AC862" s="64"/>
      <c r="AD862" s="64"/>
      <c r="AE862" s="64"/>
      <c r="AF862" s="64"/>
      <c r="AG862" s="64"/>
      <c r="AH862" s="64"/>
    </row>
    <row r="863">
      <c r="A863" s="64"/>
      <c r="B863" s="64"/>
      <c r="C863" s="64"/>
      <c r="D863" s="64"/>
      <c r="E863" s="64"/>
      <c r="F863" s="64"/>
      <c r="G863" s="64"/>
      <c r="H863" s="64"/>
      <c r="I863" s="64"/>
      <c r="J863" s="64"/>
      <c r="K863" s="64"/>
      <c r="L863" s="64"/>
      <c r="M863" s="64"/>
      <c r="N863" s="64"/>
      <c r="O863" s="64"/>
      <c r="P863" s="64"/>
      <c r="Q863" s="64"/>
      <c r="R863" s="64"/>
      <c r="S863" s="64"/>
      <c r="T863" s="64"/>
      <c r="U863" s="64"/>
      <c r="V863" s="64"/>
      <c r="W863" s="64"/>
      <c r="X863" s="64"/>
      <c r="Y863" s="64"/>
      <c r="Z863" s="64"/>
      <c r="AA863" s="64"/>
      <c r="AB863" s="64"/>
      <c r="AC863" s="64"/>
      <c r="AD863" s="64"/>
      <c r="AE863" s="64"/>
      <c r="AF863" s="64"/>
      <c r="AG863" s="64"/>
      <c r="AH863" s="64"/>
    </row>
    <row r="864">
      <c r="A864" s="64"/>
      <c r="B864" s="64"/>
      <c r="C864" s="64"/>
      <c r="D864" s="64"/>
      <c r="E864" s="64"/>
      <c r="F864" s="64"/>
      <c r="G864" s="64"/>
      <c r="H864" s="64"/>
      <c r="I864" s="64"/>
      <c r="J864" s="64"/>
      <c r="K864" s="64"/>
      <c r="L864" s="64"/>
      <c r="M864" s="64"/>
      <c r="N864" s="64"/>
      <c r="O864" s="64"/>
      <c r="P864" s="64"/>
      <c r="Q864" s="64"/>
      <c r="R864" s="64"/>
      <c r="S864" s="64"/>
      <c r="T864" s="64"/>
      <c r="U864" s="64"/>
      <c r="V864" s="64"/>
      <c r="W864" s="64"/>
      <c r="X864" s="64"/>
      <c r="Y864" s="64"/>
      <c r="Z864" s="64"/>
      <c r="AA864" s="64"/>
      <c r="AB864" s="64"/>
      <c r="AC864" s="64"/>
      <c r="AD864" s="64"/>
      <c r="AE864" s="64"/>
      <c r="AF864" s="64"/>
      <c r="AG864" s="64"/>
      <c r="AH864" s="64"/>
    </row>
    <row r="865">
      <c r="A865" s="64"/>
      <c r="B865" s="64"/>
      <c r="C865" s="64"/>
      <c r="D865" s="64"/>
      <c r="E865" s="64"/>
      <c r="F865" s="64"/>
      <c r="G865" s="64"/>
      <c r="H865" s="64"/>
      <c r="I865" s="64"/>
      <c r="J865" s="64"/>
      <c r="K865" s="64"/>
      <c r="L865" s="64"/>
      <c r="M865" s="64"/>
      <c r="N865" s="64"/>
      <c r="O865" s="64"/>
      <c r="P865" s="64"/>
      <c r="Q865" s="64"/>
      <c r="R865" s="64"/>
      <c r="S865" s="64"/>
      <c r="T865" s="64"/>
      <c r="U865" s="64"/>
      <c r="V865" s="64"/>
      <c r="W865" s="64"/>
      <c r="X865" s="64"/>
      <c r="Y865" s="64"/>
      <c r="Z865" s="64"/>
      <c r="AA865" s="64"/>
      <c r="AB865" s="64"/>
      <c r="AC865" s="64"/>
      <c r="AD865" s="64"/>
      <c r="AE865" s="64"/>
      <c r="AF865" s="64"/>
      <c r="AG865" s="64"/>
      <c r="AH865" s="64"/>
    </row>
    <row r="866">
      <c r="A866" s="64"/>
      <c r="B866" s="64"/>
      <c r="C866" s="64"/>
      <c r="D866" s="64"/>
      <c r="E866" s="64"/>
      <c r="F866" s="64"/>
      <c r="G866" s="64"/>
      <c r="H866" s="64"/>
      <c r="I866" s="64"/>
      <c r="J866" s="64"/>
      <c r="K866" s="64"/>
      <c r="L866" s="64"/>
      <c r="M866" s="64"/>
      <c r="N866" s="64"/>
      <c r="O866" s="64"/>
      <c r="P866" s="64"/>
      <c r="Q866" s="64"/>
      <c r="R866" s="64"/>
      <c r="S866" s="64"/>
      <c r="T866" s="64"/>
      <c r="U866" s="64"/>
      <c r="V866" s="64"/>
      <c r="W866" s="64"/>
      <c r="X866" s="64"/>
      <c r="Y866" s="64"/>
      <c r="Z866" s="64"/>
      <c r="AA866" s="64"/>
      <c r="AB866" s="64"/>
      <c r="AC866" s="64"/>
      <c r="AD866" s="64"/>
      <c r="AE866" s="64"/>
      <c r="AF866" s="64"/>
      <c r="AG866" s="64"/>
      <c r="AH866" s="64"/>
    </row>
    <row r="867">
      <c r="A867" s="64"/>
      <c r="B867" s="64"/>
      <c r="C867" s="64"/>
      <c r="D867" s="64"/>
      <c r="E867" s="64"/>
      <c r="F867" s="64"/>
      <c r="G867" s="64"/>
      <c r="H867" s="64"/>
      <c r="I867" s="64"/>
      <c r="J867" s="64"/>
      <c r="K867" s="64"/>
      <c r="L867" s="64"/>
      <c r="M867" s="64"/>
      <c r="N867" s="64"/>
      <c r="O867" s="64"/>
      <c r="P867" s="64"/>
      <c r="Q867" s="64"/>
      <c r="R867" s="64"/>
      <c r="S867" s="64"/>
      <c r="T867" s="64"/>
      <c r="U867" s="64"/>
      <c r="V867" s="64"/>
      <c r="W867" s="64"/>
      <c r="X867" s="64"/>
      <c r="Y867" s="64"/>
      <c r="Z867" s="64"/>
      <c r="AA867" s="64"/>
      <c r="AB867" s="64"/>
      <c r="AC867" s="64"/>
      <c r="AD867" s="64"/>
      <c r="AE867" s="64"/>
      <c r="AF867" s="64"/>
      <c r="AG867" s="64"/>
      <c r="AH867" s="64"/>
    </row>
    <row r="868">
      <c r="A868" s="64"/>
      <c r="B868" s="64"/>
      <c r="C868" s="64"/>
      <c r="D868" s="64"/>
      <c r="E868" s="64"/>
      <c r="F868" s="64"/>
      <c r="G868" s="64"/>
      <c r="H868" s="64"/>
      <c r="I868" s="64"/>
      <c r="J868" s="64"/>
      <c r="K868" s="64"/>
      <c r="L868" s="64"/>
      <c r="M868" s="64"/>
      <c r="N868" s="64"/>
      <c r="O868" s="64"/>
      <c r="P868" s="64"/>
      <c r="Q868" s="64"/>
      <c r="R868" s="64"/>
      <c r="S868" s="64"/>
      <c r="T868" s="64"/>
      <c r="U868" s="64"/>
      <c r="V868" s="64"/>
      <c r="W868" s="64"/>
      <c r="X868" s="64"/>
      <c r="Y868" s="64"/>
      <c r="Z868" s="64"/>
      <c r="AA868" s="64"/>
      <c r="AB868" s="64"/>
      <c r="AC868" s="64"/>
      <c r="AD868" s="64"/>
      <c r="AE868" s="64"/>
      <c r="AF868" s="64"/>
      <c r="AG868" s="64"/>
      <c r="AH868" s="64"/>
    </row>
    <row r="869">
      <c r="A869" s="64"/>
      <c r="B869" s="64"/>
      <c r="C869" s="64"/>
      <c r="D869" s="64"/>
      <c r="E869" s="64"/>
      <c r="F869" s="64"/>
      <c r="G869" s="64"/>
      <c r="H869" s="64"/>
      <c r="I869" s="64"/>
      <c r="J869" s="64"/>
      <c r="K869" s="64"/>
      <c r="L869" s="64"/>
      <c r="M869" s="64"/>
      <c r="N869" s="64"/>
      <c r="O869" s="64"/>
      <c r="P869" s="64"/>
      <c r="Q869" s="64"/>
      <c r="R869" s="64"/>
      <c r="S869" s="64"/>
      <c r="T869" s="64"/>
      <c r="U869" s="64"/>
      <c r="V869" s="64"/>
      <c r="W869" s="64"/>
      <c r="X869" s="64"/>
      <c r="Y869" s="64"/>
      <c r="Z869" s="64"/>
      <c r="AA869" s="64"/>
      <c r="AB869" s="64"/>
      <c r="AC869" s="64"/>
      <c r="AD869" s="64"/>
      <c r="AE869" s="64"/>
      <c r="AF869" s="64"/>
      <c r="AG869" s="64"/>
      <c r="AH869" s="64"/>
    </row>
    <row r="870">
      <c r="A870" s="64"/>
      <c r="B870" s="64"/>
      <c r="C870" s="64"/>
      <c r="D870" s="64"/>
      <c r="E870" s="64"/>
      <c r="F870" s="64"/>
      <c r="G870" s="64"/>
      <c r="H870" s="64"/>
      <c r="I870" s="64"/>
      <c r="J870" s="64"/>
      <c r="K870" s="64"/>
      <c r="L870" s="64"/>
      <c r="M870" s="64"/>
      <c r="N870" s="64"/>
      <c r="O870" s="64"/>
      <c r="P870" s="64"/>
      <c r="Q870" s="64"/>
      <c r="R870" s="64"/>
      <c r="S870" s="64"/>
      <c r="T870" s="64"/>
      <c r="U870" s="64"/>
      <c r="V870" s="64"/>
      <c r="W870" s="64"/>
      <c r="X870" s="64"/>
      <c r="Y870" s="64"/>
      <c r="Z870" s="64"/>
      <c r="AA870" s="64"/>
      <c r="AB870" s="64"/>
      <c r="AC870" s="64"/>
      <c r="AD870" s="64"/>
      <c r="AE870" s="64"/>
      <c r="AF870" s="64"/>
      <c r="AG870" s="64"/>
      <c r="AH870" s="64"/>
    </row>
    <row r="871">
      <c r="A871" s="64"/>
      <c r="B871" s="64"/>
      <c r="C871" s="64"/>
      <c r="D871" s="64"/>
      <c r="E871" s="64"/>
      <c r="F871" s="64"/>
      <c r="G871" s="64"/>
      <c r="H871" s="64"/>
      <c r="I871" s="64"/>
      <c r="J871" s="64"/>
      <c r="K871" s="64"/>
      <c r="L871" s="64"/>
      <c r="M871" s="64"/>
      <c r="N871" s="64"/>
      <c r="O871" s="64"/>
      <c r="P871" s="64"/>
      <c r="Q871" s="64"/>
      <c r="R871" s="64"/>
      <c r="S871" s="64"/>
      <c r="T871" s="64"/>
      <c r="U871" s="64"/>
      <c r="V871" s="64"/>
      <c r="W871" s="64"/>
      <c r="X871" s="64"/>
      <c r="Y871" s="64"/>
      <c r="Z871" s="64"/>
      <c r="AA871" s="64"/>
      <c r="AB871" s="64"/>
      <c r="AC871" s="64"/>
      <c r="AD871" s="64"/>
      <c r="AE871" s="64"/>
      <c r="AF871" s="64"/>
      <c r="AG871" s="64"/>
      <c r="AH871" s="64"/>
    </row>
    <row r="872">
      <c r="A872" s="64"/>
      <c r="B872" s="64"/>
      <c r="C872" s="64"/>
      <c r="D872" s="64"/>
      <c r="E872" s="64"/>
      <c r="F872" s="64"/>
      <c r="G872" s="64"/>
      <c r="H872" s="64"/>
      <c r="I872" s="64"/>
      <c r="J872" s="64"/>
      <c r="K872" s="64"/>
      <c r="L872" s="64"/>
      <c r="M872" s="64"/>
      <c r="N872" s="64"/>
      <c r="O872" s="64"/>
      <c r="P872" s="64"/>
      <c r="Q872" s="64"/>
      <c r="R872" s="64"/>
      <c r="S872" s="64"/>
      <c r="T872" s="64"/>
      <c r="U872" s="64"/>
      <c r="V872" s="64"/>
      <c r="W872" s="64"/>
      <c r="X872" s="64"/>
      <c r="Y872" s="64"/>
      <c r="Z872" s="64"/>
      <c r="AA872" s="64"/>
      <c r="AB872" s="64"/>
      <c r="AC872" s="64"/>
      <c r="AD872" s="64"/>
      <c r="AE872" s="64"/>
      <c r="AF872" s="64"/>
      <c r="AG872" s="64"/>
      <c r="AH872" s="64"/>
    </row>
    <row r="873">
      <c r="A873" s="64"/>
      <c r="B873" s="64"/>
      <c r="C873" s="64"/>
      <c r="D873" s="64"/>
      <c r="E873" s="64"/>
      <c r="F873" s="64"/>
      <c r="G873" s="64"/>
      <c r="H873" s="64"/>
      <c r="I873" s="64"/>
      <c r="J873" s="64"/>
      <c r="K873" s="64"/>
      <c r="L873" s="64"/>
      <c r="M873" s="64"/>
      <c r="N873" s="64"/>
      <c r="O873" s="64"/>
      <c r="P873" s="64"/>
      <c r="Q873" s="64"/>
      <c r="R873" s="64"/>
      <c r="S873" s="64"/>
      <c r="T873" s="64"/>
      <c r="U873" s="64"/>
      <c r="V873" s="64"/>
      <c r="W873" s="64"/>
      <c r="X873" s="64"/>
      <c r="Y873" s="64"/>
      <c r="Z873" s="64"/>
      <c r="AA873" s="64"/>
      <c r="AB873" s="64"/>
      <c r="AC873" s="64"/>
      <c r="AD873" s="64"/>
      <c r="AE873" s="64"/>
      <c r="AF873" s="64"/>
      <c r="AG873" s="64"/>
      <c r="AH873" s="64"/>
    </row>
    <row r="874">
      <c r="A874" s="64"/>
      <c r="B874" s="64"/>
      <c r="C874" s="64"/>
      <c r="D874" s="64"/>
      <c r="E874" s="64"/>
      <c r="F874" s="64"/>
      <c r="G874" s="64"/>
      <c r="H874" s="64"/>
      <c r="I874" s="64"/>
      <c r="J874" s="64"/>
      <c r="K874" s="64"/>
      <c r="L874" s="64"/>
      <c r="M874" s="64"/>
      <c r="N874" s="64"/>
      <c r="O874" s="64"/>
      <c r="P874" s="64"/>
      <c r="Q874" s="64"/>
      <c r="R874" s="64"/>
      <c r="S874" s="64"/>
      <c r="T874" s="64"/>
      <c r="U874" s="64"/>
      <c r="V874" s="64"/>
      <c r="W874" s="64"/>
      <c r="X874" s="64"/>
      <c r="Y874" s="64"/>
      <c r="Z874" s="64"/>
      <c r="AA874" s="64"/>
      <c r="AB874" s="64"/>
      <c r="AC874" s="64"/>
      <c r="AD874" s="64"/>
      <c r="AE874" s="64"/>
      <c r="AF874" s="64"/>
      <c r="AG874" s="64"/>
      <c r="AH874" s="64"/>
    </row>
    <row r="875">
      <c r="A875" s="64"/>
      <c r="B875" s="64"/>
      <c r="C875" s="64"/>
      <c r="D875" s="64"/>
      <c r="E875" s="64"/>
      <c r="F875" s="64"/>
      <c r="G875" s="64"/>
      <c r="H875" s="64"/>
      <c r="I875" s="64"/>
      <c r="J875" s="64"/>
      <c r="K875" s="64"/>
      <c r="L875" s="64"/>
      <c r="M875" s="64"/>
      <c r="N875" s="64"/>
      <c r="O875" s="64"/>
      <c r="P875" s="64"/>
      <c r="Q875" s="64"/>
      <c r="R875" s="64"/>
      <c r="S875" s="64"/>
      <c r="T875" s="64"/>
      <c r="U875" s="64"/>
      <c r="V875" s="64"/>
      <c r="W875" s="64"/>
      <c r="X875" s="64"/>
      <c r="Y875" s="64"/>
      <c r="Z875" s="64"/>
      <c r="AA875" s="64"/>
      <c r="AB875" s="64"/>
      <c r="AC875" s="64"/>
      <c r="AD875" s="64"/>
      <c r="AE875" s="64"/>
      <c r="AF875" s="64"/>
      <c r="AG875" s="64"/>
      <c r="AH875" s="64"/>
    </row>
    <row r="876">
      <c r="A876" s="64"/>
      <c r="B876" s="64"/>
      <c r="C876" s="64"/>
      <c r="D876" s="64"/>
      <c r="E876" s="64"/>
      <c r="F876" s="64"/>
      <c r="G876" s="64"/>
      <c r="H876" s="64"/>
      <c r="I876" s="64"/>
      <c r="J876" s="64"/>
      <c r="K876" s="64"/>
      <c r="L876" s="64"/>
      <c r="M876" s="64"/>
      <c r="N876" s="64"/>
      <c r="O876" s="64"/>
      <c r="P876" s="64"/>
      <c r="Q876" s="64"/>
      <c r="R876" s="64"/>
      <c r="S876" s="64"/>
      <c r="T876" s="64"/>
      <c r="U876" s="64"/>
      <c r="V876" s="64"/>
      <c r="W876" s="64"/>
      <c r="X876" s="64"/>
      <c r="Y876" s="64"/>
      <c r="Z876" s="64"/>
      <c r="AA876" s="64"/>
      <c r="AB876" s="64"/>
      <c r="AC876" s="64"/>
      <c r="AD876" s="64"/>
      <c r="AE876" s="64"/>
      <c r="AF876" s="64"/>
      <c r="AG876" s="64"/>
      <c r="AH876" s="64"/>
    </row>
    <row r="877">
      <c r="A877" s="64"/>
      <c r="B877" s="64"/>
      <c r="C877" s="64"/>
      <c r="D877" s="64"/>
      <c r="E877" s="64"/>
      <c r="F877" s="64"/>
      <c r="G877" s="64"/>
      <c r="H877" s="64"/>
      <c r="I877" s="64"/>
      <c r="J877" s="64"/>
      <c r="K877" s="64"/>
      <c r="L877" s="64"/>
      <c r="M877" s="64"/>
      <c r="N877" s="64"/>
      <c r="O877" s="64"/>
      <c r="P877" s="64"/>
      <c r="Q877" s="64"/>
      <c r="R877" s="64"/>
      <c r="S877" s="64"/>
      <c r="T877" s="64"/>
      <c r="U877" s="64"/>
      <c r="V877" s="64"/>
      <c r="W877" s="64"/>
      <c r="X877" s="64"/>
      <c r="Y877" s="64"/>
      <c r="Z877" s="64"/>
      <c r="AA877" s="64"/>
      <c r="AB877" s="64"/>
      <c r="AC877" s="64"/>
      <c r="AD877" s="64"/>
      <c r="AE877" s="64"/>
      <c r="AF877" s="64"/>
      <c r="AG877" s="64"/>
      <c r="AH877" s="64"/>
    </row>
    <row r="878">
      <c r="A878" s="64"/>
      <c r="B878" s="64"/>
      <c r="C878" s="64"/>
      <c r="D878" s="64"/>
      <c r="E878" s="64"/>
      <c r="F878" s="64"/>
      <c r="G878" s="64"/>
      <c r="H878" s="64"/>
      <c r="I878" s="64"/>
      <c r="J878" s="64"/>
      <c r="K878" s="64"/>
      <c r="L878" s="64"/>
      <c r="M878" s="64"/>
      <c r="N878" s="64"/>
      <c r="O878" s="64"/>
      <c r="P878" s="64"/>
      <c r="Q878" s="64"/>
      <c r="R878" s="64"/>
      <c r="S878" s="64"/>
      <c r="T878" s="64"/>
      <c r="U878" s="64"/>
      <c r="V878" s="64"/>
      <c r="W878" s="64"/>
      <c r="X878" s="64"/>
      <c r="Y878" s="64"/>
      <c r="Z878" s="64"/>
      <c r="AA878" s="64"/>
      <c r="AB878" s="64"/>
      <c r="AC878" s="64"/>
      <c r="AD878" s="64"/>
      <c r="AE878" s="64"/>
      <c r="AF878" s="64"/>
      <c r="AG878" s="64"/>
      <c r="AH878" s="64"/>
    </row>
    <row r="879">
      <c r="A879" s="64"/>
      <c r="B879" s="64"/>
      <c r="C879" s="64"/>
      <c r="D879" s="64"/>
      <c r="E879" s="64"/>
      <c r="F879" s="64"/>
      <c r="G879" s="64"/>
      <c r="H879" s="64"/>
      <c r="I879" s="64"/>
      <c r="J879" s="64"/>
      <c r="K879" s="64"/>
      <c r="L879" s="64"/>
      <c r="M879" s="64"/>
      <c r="N879" s="64"/>
      <c r="O879" s="64"/>
      <c r="P879" s="64"/>
      <c r="Q879" s="64"/>
      <c r="R879" s="64"/>
      <c r="S879" s="64"/>
      <c r="T879" s="64"/>
      <c r="U879" s="64"/>
      <c r="V879" s="64"/>
      <c r="W879" s="64"/>
      <c r="X879" s="64"/>
      <c r="Y879" s="64"/>
      <c r="Z879" s="64"/>
      <c r="AA879" s="64"/>
      <c r="AB879" s="64"/>
      <c r="AC879" s="64"/>
      <c r="AD879" s="64"/>
      <c r="AE879" s="64"/>
      <c r="AF879" s="64"/>
      <c r="AG879" s="64"/>
      <c r="AH879" s="64"/>
    </row>
    <row r="880">
      <c r="A880" s="64"/>
      <c r="B880" s="64"/>
      <c r="C880" s="64"/>
      <c r="D880" s="64"/>
      <c r="E880" s="64"/>
      <c r="F880" s="64"/>
      <c r="G880" s="64"/>
      <c r="H880" s="64"/>
      <c r="I880" s="64"/>
      <c r="J880" s="64"/>
      <c r="K880" s="64"/>
      <c r="L880" s="64"/>
      <c r="M880" s="64"/>
      <c r="N880" s="64"/>
      <c r="O880" s="64"/>
      <c r="P880" s="64"/>
      <c r="Q880" s="64"/>
      <c r="R880" s="64"/>
      <c r="S880" s="64"/>
      <c r="T880" s="64"/>
      <c r="U880" s="64"/>
      <c r="V880" s="64"/>
      <c r="W880" s="64"/>
      <c r="X880" s="64"/>
      <c r="Y880" s="64"/>
      <c r="Z880" s="64"/>
      <c r="AA880" s="64"/>
      <c r="AB880" s="64"/>
      <c r="AC880" s="64"/>
      <c r="AD880" s="64"/>
      <c r="AE880" s="64"/>
      <c r="AF880" s="64"/>
      <c r="AG880" s="64"/>
      <c r="AH880" s="64"/>
    </row>
    <row r="881">
      <c r="A881" s="64"/>
      <c r="B881" s="64"/>
      <c r="C881" s="64"/>
      <c r="D881" s="64"/>
      <c r="E881" s="64"/>
      <c r="F881" s="64"/>
      <c r="G881" s="64"/>
      <c r="H881" s="64"/>
      <c r="I881" s="64"/>
      <c r="J881" s="64"/>
      <c r="K881" s="64"/>
      <c r="L881" s="64"/>
      <c r="M881" s="64"/>
      <c r="N881" s="64"/>
      <c r="O881" s="64"/>
      <c r="P881" s="64"/>
      <c r="Q881" s="64"/>
      <c r="R881" s="64"/>
      <c r="S881" s="64"/>
      <c r="T881" s="64"/>
      <c r="U881" s="64"/>
      <c r="V881" s="64"/>
      <c r="W881" s="64"/>
      <c r="X881" s="64"/>
      <c r="Y881" s="64"/>
      <c r="Z881" s="64"/>
      <c r="AA881" s="64"/>
      <c r="AB881" s="64"/>
      <c r="AC881" s="64"/>
      <c r="AD881" s="64"/>
      <c r="AE881" s="64"/>
      <c r="AF881" s="64"/>
      <c r="AG881" s="64"/>
      <c r="AH881" s="64"/>
    </row>
    <row r="882">
      <c r="A882" s="64"/>
      <c r="B882" s="64"/>
      <c r="C882" s="64"/>
      <c r="D882" s="64"/>
      <c r="E882" s="64"/>
      <c r="F882" s="64"/>
      <c r="G882" s="64"/>
      <c r="H882" s="64"/>
      <c r="I882" s="64"/>
      <c r="J882" s="64"/>
      <c r="K882" s="64"/>
      <c r="L882" s="64"/>
      <c r="M882" s="64"/>
      <c r="N882" s="64"/>
      <c r="O882" s="64"/>
      <c r="P882" s="64"/>
      <c r="Q882" s="64"/>
      <c r="R882" s="64"/>
      <c r="S882" s="64"/>
      <c r="T882" s="64"/>
      <c r="U882" s="64"/>
      <c r="V882" s="64"/>
      <c r="W882" s="64"/>
      <c r="X882" s="64"/>
      <c r="Y882" s="64"/>
      <c r="Z882" s="64"/>
      <c r="AA882" s="64"/>
      <c r="AB882" s="64"/>
      <c r="AC882" s="64"/>
      <c r="AD882" s="64"/>
      <c r="AE882" s="64"/>
      <c r="AF882" s="64"/>
      <c r="AG882" s="64"/>
      <c r="AH882" s="64"/>
    </row>
    <row r="883">
      <c r="A883" s="64"/>
      <c r="B883" s="64"/>
      <c r="C883" s="64"/>
      <c r="D883" s="64"/>
      <c r="E883" s="64"/>
      <c r="F883" s="64"/>
      <c r="G883" s="64"/>
      <c r="H883" s="64"/>
      <c r="I883" s="64"/>
      <c r="J883" s="64"/>
      <c r="K883" s="64"/>
      <c r="L883" s="64"/>
      <c r="M883" s="64"/>
      <c r="N883" s="64"/>
      <c r="O883" s="64"/>
      <c r="P883" s="64"/>
      <c r="Q883" s="64"/>
      <c r="R883" s="64"/>
      <c r="S883" s="64"/>
      <c r="T883" s="64"/>
      <c r="U883" s="64"/>
      <c r="V883" s="64"/>
      <c r="W883" s="64"/>
      <c r="X883" s="64"/>
      <c r="Y883" s="64"/>
      <c r="Z883" s="64"/>
      <c r="AA883" s="64"/>
      <c r="AB883" s="64"/>
      <c r="AC883" s="64"/>
      <c r="AD883" s="64"/>
      <c r="AE883" s="64"/>
      <c r="AF883" s="64"/>
      <c r="AG883" s="64"/>
      <c r="AH883" s="64"/>
    </row>
    <row r="884">
      <c r="A884" s="64"/>
      <c r="B884" s="64"/>
      <c r="C884" s="64"/>
      <c r="D884" s="64"/>
      <c r="E884" s="64"/>
      <c r="F884" s="64"/>
      <c r="G884" s="64"/>
      <c r="H884" s="64"/>
      <c r="I884" s="64"/>
      <c r="J884" s="64"/>
      <c r="K884" s="64"/>
      <c r="L884" s="64"/>
      <c r="M884" s="64"/>
      <c r="N884" s="64"/>
      <c r="O884" s="64"/>
      <c r="P884" s="64"/>
      <c r="Q884" s="64"/>
      <c r="R884" s="64"/>
      <c r="S884" s="64"/>
      <c r="T884" s="64"/>
      <c r="U884" s="64"/>
      <c r="V884" s="64"/>
      <c r="W884" s="64"/>
      <c r="X884" s="64"/>
      <c r="Y884" s="64"/>
      <c r="Z884" s="64"/>
      <c r="AA884" s="64"/>
      <c r="AB884" s="64"/>
      <c r="AC884" s="64"/>
      <c r="AD884" s="64"/>
      <c r="AE884" s="64"/>
      <c r="AF884" s="64"/>
      <c r="AG884" s="64"/>
      <c r="AH884" s="64"/>
    </row>
    <row r="885">
      <c r="A885" s="64"/>
      <c r="B885" s="64"/>
      <c r="C885" s="64"/>
      <c r="D885" s="64"/>
      <c r="E885" s="64"/>
      <c r="F885" s="64"/>
      <c r="G885" s="64"/>
      <c r="H885" s="64"/>
      <c r="I885" s="64"/>
      <c r="J885" s="64"/>
      <c r="K885" s="64"/>
      <c r="L885" s="64"/>
      <c r="M885" s="64"/>
      <c r="N885" s="64"/>
      <c r="O885" s="64"/>
      <c r="P885" s="64"/>
      <c r="Q885" s="64"/>
      <c r="R885" s="64"/>
      <c r="S885" s="64"/>
      <c r="T885" s="64"/>
      <c r="U885" s="64"/>
      <c r="V885" s="64"/>
      <c r="W885" s="64"/>
      <c r="X885" s="64"/>
      <c r="Y885" s="64"/>
      <c r="Z885" s="64"/>
      <c r="AA885" s="64"/>
      <c r="AB885" s="64"/>
      <c r="AC885" s="64"/>
      <c r="AD885" s="64"/>
      <c r="AE885" s="64"/>
      <c r="AF885" s="64"/>
      <c r="AG885" s="64"/>
      <c r="AH885" s="64"/>
    </row>
    <row r="886">
      <c r="A886" s="64"/>
      <c r="B886" s="64"/>
      <c r="C886" s="64"/>
      <c r="D886" s="64"/>
      <c r="E886" s="64"/>
      <c r="F886" s="64"/>
      <c r="G886" s="64"/>
      <c r="H886" s="64"/>
      <c r="I886" s="64"/>
      <c r="J886" s="64"/>
      <c r="K886" s="64"/>
      <c r="L886" s="64"/>
      <c r="M886" s="64"/>
      <c r="N886" s="64"/>
      <c r="O886" s="64"/>
      <c r="P886" s="64"/>
      <c r="Q886" s="64"/>
      <c r="R886" s="64"/>
      <c r="S886" s="64"/>
      <c r="T886" s="64"/>
      <c r="U886" s="64"/>
      <c r="V886" s="64"/>
      <c r="W886" s="64"/>
      <c r="X886" s="64"/>
      <c r="Y886" s="64"/>
      <c r="Z886" s="64"/>
      <c r="AA886" s="64"/>
      <c r="AB886" s="64"/>
      <c r="AC886" s="64"/>
      <c r="AD886" s="64"/>
      <c r="AE886" s="64"/>
      <c r="AF886" s="64"/>
      <c r="AG886" s="64"/>
      <c r="AH886" s="64"/>
    </row>
    <row r="887">
      <c r="A887" s="64"/>
      <c r="B887" s="64"/>
      <c r="C887" s="64"/>
      <c r="D887" s="64"/>
      <c r="E887" s="64"/>
      <c r="F887" s="64"/>
      <c r="G887" s="64"/>
      <c r="H887" s="64"/>
      <c r="I887" s="64"/>
      <c r="J887" s="64"/>
      <c r="K887" s="64"/>
      <c r="L887" s="64"/>
      <c r="M887" s="64"/>
      <c r="N887" s="64"/>
      <c r="O887" s="64"/>
      <c r="P887" s="64"/>
      <c r="Q887" s="64"/>
      <c r="R887" s="64"/>
      <c r="S887" s="64"/>
      <c r="T887" s="64"/>
      <c r="U887" s="64"/>
      <c r="V887" s="64"/>
      <c r="W887" s="64"/>
      <c r="X887" s="64"/>
      <c r="Y887" s="64"/>
      <c r="Z887" s="64"/>
      <c r="AA887" s="64"/>
      <c r="AB887" s="64"/>
      <c r="AC887" s="64"/>
      <c r="AD887" s="64"/>
      <c r="AE887" s="64"/>
      <c r="AF887" s="64"/>
      <c r="AG887" s="64"/>
      <c r="AH887" s="64"/>
    </row>
    <row r="888">
      <c r="A888" s="64"/>
      <c r="B888" s="64"/>
      <c r="C888" s="64"/>
      <c r="D888" s="64"/>
      <c r="E888" s="64"/>
      <c r="F888" s="64"/>
      <c r="G888" s="64"/>
      <c r="H888" s="64"/>
      <c r="I888" s="64"/>
      <c r="J888" s="64"/>
      <c r="K888" s="64"/>
      <c r="L888" s="64"/>
      <c r="M888" s="64"/>
      <c r="N888" s="64"/>
      <c r="O888" s="64"/>
      <c r="P888" s="64"/>
      <c r="Q888" s="64"/>
      <c r="R888" s="64"/>
      <c r="S888" s="64"/>
      <c r="T888" s="64"/>
      <c r="U888" s="64"/>
      <c r="V888" s="64"/>
      <c r="W888" s="64"/>
      <c r="X888" s="64"/>
      <c r="Y888" s="64"/>
      <c r="Z888" s="64"/>
      <c r="AA888" s="64"/>
      <c r="AB888" s="64"/>
      <c r="AC888" s="64"/>
      <c r="AD888" s="64"/>
      <c r="AE888" s="64"/>
      <c r="AF888" s="64"/>
      <c r="AG888" s="64"/>
      <c r="AH888" s="64"/>
    </row>
    <row r="889">
      <c r="A889" s="64"/>
      <c r="B889" s="64"/>
      <c r="C889" s="64"/>
      <c r="D889" s="64"/>
      <c r="E889" s="64"/>
      <c r="F889" s="64"/>
      <c r="G889" s="64"/>
      <c r="H889" s="64"/>
      <c r="I889" s="64"/>
      <c r="J889" s="64"/>
      <c r="K889" s="64"/>
      <c r="L889" s="64"/>
      <c r="M889" s="64"/>
      <c r="N889" s="64"/>
      <c r="O889" s="64"/>
      <c r="P889" s="64"/>
      <c r="Q889" s="64"/>
      <c r="R889" s="64"/>
      <c r="S889" s="64"/>
      <c r="T889" s="64"/>
      <c r="U889" s="64"/>
      <c r="V889" s="64"/>
      <c r="W889" s="64"/>
      <c r="X889" s="64"/>
      <c r="Y889" s="64"/>
      <c r="Z889" s="64"/>
      <c r="AA889" s="64"/>
      <c r="AB889" s="64"/>
      <c r="AC889" s="64"/>
      <c r="AD889" s="64"/>
      <c r="AE889" s="64"/>
      <c r="AF889" s="64"/>
      <c r="AG889" s="64"/>
      <c r="AH889" s="64"/>
    </row>
    <row r="890">
      <c r="A890" s="64"/>
      <c r="B890" s="64"/>
      <c r="C890" s="64"/>
      <c r="D890" s="64"/>
      <c r="E890" s="64"/>
      <c r="F890" s="64"/>
      <c r="G890" s="64"/>
      <c r="H890" s="64"/>
      <c r="I890" s="64"/>
      <c r="J890" s="64"/>
      <c r="K890" s="64"/>
      <c r="L890" s="64"/>
      <c r="M890" s="64"/>
      <c r="N890" s="64"/>
      <c r="O890" s="64"/>
      <c r="P890" s="64"/>
      <c r="Q890" s="64"/>
      <c r="R890" s="64"/>
      <c r="S890" s="64"/>
      <c r="T890" s="64"/>
      <c r="U890" s="64"/>
      <c r="V890" s="64"/>
      <c r="W890" s="64"/>
      <c r="X890" s="64"/>
      <c r="Y890" s="64"/>
      <c r="Z890" s="64"/>
      <c r="AA890" s="64"/>
      <c r="AB890" s="64"/>
      <c r="AC890" s="64"/>
      <c r="AD890" s="64"/>
      <c r="AE890" s="64"/>
      <c r="AF890" s="64"/>
      <c r="AG890" s="64"/>
      <c r="AH890" s="64"/>
    </row>
    <row r="891">
      <c r="A891" s="64"/>
      <c r="B891" s="64"/>
      <c r="C891" s="64"/>
      <c r="D891" s="64"/>
      <c r="E891" s="64"/>
      <c r="F891" s="64"/>
      <c r="G891" s="64"/>
      <c r="H891" s="64"/>
      <c r="I891" s="64"/>
      <c r="J891" s="64"/>
      <c r="K891" s="64"/>
      <c r="L891" s="64"/>
      <c r="M891" s="64"/>
      <c r="N891" s="64"/>
      <c r="O891" s="64"/>
      <c r="P891" s="64"/>
      <c r="Q891" s="64"/>
      <c r="R891" s="64"/>
      <c r="S891" s="64"/>
      <c r="T891" s="64"/>
      <c r="U891" s="64"/>
      <c r="V891" s="64"/>
      <c r="W891" s="64"/>
      <c r="X891" s="64"/>
      <c r="Y891" s="64"/>
      <c r="Z891" s="64"/>
      <c r="AA891" s="64"/>
      <c r="AB891" s="64"/>
      <c r="AC891" s="64"/>
      <c r="AD891" s="64"/>
      <c r="AE891" s="64"/>
      <c r="AF891" s="64"/>
      <c r="AG891" s="64"/>
      <c r="AH891" s="64"/>
    </row>
    <row r="892">
      <c r="A892" s="64"/>
      <c r="B892" s="64"/>
      <c r="C892" s="64"/>
      <c r="D892" s="64"/>
      <c r="E892" s="64"/>
      <c r="F892" s="64"/>
      <c r="G892" s="64"/>
      <c r="H892" s="64"/>
      <c r="I892" s="64"/>
      <c r="J892" s="64"/>
      <c r="K892" s="64"/>
      <c r="L892" s="64"/>
      <c r="M892" s="64"/>
      <c r="N892" s="64"/>
      <c r="O892" s="64"/>
      <c r="P892" s="64"/>
      <c r="Q892" s="64"/>
      <c r="R892" s="64"/>
      <c r="S892" s="64"/>
      <c r="T892" s="64"/>
      <c r="U892" s="64"/>
      <c r="V892" s="64"/>
      <c r="W892" s="64"/>
      <c r="X892" s="64"/>
      <c r="Y892" s="64"/>
      <c r="Z892" s="64"/>
      <c r="AA892" s="64"/>
      <c r="AB892" s="64"/>
      <c r="AC892" s="64"/>
      <c r="AD892" s="64"/>
      <c r="AE892" s="64"/>
      <c r="AF892" s="64"/>
      <c r="AG892" s="64"/>
      <c r="AH892" s="64"/>
    </row>
    <row r="893">
      <c r="A893" s="64"/>
      <c r="B893" s="64"/>
      <c r="C893" s="64"/>
      <c r="D893" s="64"/>
      <c r="E893" s="64"/>
      <c r="F893" s="64"/>
      <c r="G893" s="64"/>
      <c r="H893" s="64"/>
      <c r="I893" s="64"/>
      <c r="J893" s="64"/>
      <c r="K893" s="64"/>
      <c r="L893" s="64"/>
      <c r="M893" s="64"/>
      <c r="N893" s="64"/>
      <c r="O893" s="64"/>
      <c r="P893" s="64"/>
      <c r="Q893" s="64"/>
      <c r="R893" s="64"/>
      <c r="S893" s="64"/>
      <c r="T893" s="64"/>
      <c r="U893" s="64"/>
      <c r="V893" s="64"/>
      <c r="W893" s="64"/>
      <c r="X893" s="64"/>
      <c r="Y893" s="64"/>
      <c r="Z893" s="64"/>
      <c r="AA893" s="64"/>
      <c r="AB893" s="64"/>
      <c r="AC893" s="64"/>
      <c r="AD893" s="64"/>
      <c r="AE893" s="64"/>
      <c r="AF893" s="64"/>
      <c r="AG893" s="64"/>
      <c r="AH893" s="64"/>
    </row>
    <row r="894">
      <c r="A894" s="64"/>
      <c r="B894" s="64"/>
      <c r="C894" s="64"/>
      <c r="D894" s="64"/>
      <c r="E894" s="64"/>
      <c r="F894" s="64"/>
      <c r="G894" s="64"/>
      <c r="H894" s="64"/>
      <c r="I894" s="64"/>
      <c r="J894" s="64"/>
      <c r="K894" s="64"/>
      <c r="L894" s="64"/>
      <c r="M894" s="64"/>
      <c r="N894" s="64"/>
      <c r="O894" s="64"/>
      <c r="P894" s="64"/>
      <c r="Q894" s="64"/>
      <c r="R894" s="64"/>
      <c r="S894" s="64"/>
      <c r="T894" s="64"/>
      <c r="U894" s="64"/>
      <c r="V894" s="64"/>
      <c r="W894" s="64"/>
      <c r="X894" s="64"/>
      <c r="Y894" s="64"/>
      <c r="Z894" s="64"/>
      <c r="AA894" s="64"/>
      <c r="AB894" s="64"/>
      <c r="AC894" s="64"/>
      <c r="AD894" s="64"/>
      <c r="AE894" s="64"/>
      <c r="AF894" s="64"/>
      <c r="AG894" s="64"/>
      <c r="AH894" s="64"/>
    </row>
    <row r="895">
      <c r="A895" s="64"/>
      <c r="B895" s="64"/>
      <c r="C895" s="64"/>
      <c r="D895" s="64"/>
      <c r="E895" s="64"/>
      <c r="F895" s="64"/>
      <c r="G895" s="64"/>
      <c r="H895" s="64"/>
      <c r="I895" s="64"/>
      <c r="J895" s="64"/>
      <c r="K895" s="64"/>
      <c r="L895" s="64"/>
      <c r="M895" s="64"/>
      <c r="N895" s="64"/>
      <c r="O895" s="64"/>
      <c r="P895" s="64"/>
      <c r="Q895" s="64"/>
      <c r="R895" s="64"/>
      <c r="S895" s="64"/>
      <c r="T895" s="64"/>
      <c r="U895" s="64"/>
      <c r="V895" s="64"/>
      <c r="W895" s="64"/>
      <c r="X895" s="64"/>
      <c r="Y895" s="64"/>
      <c r="Z895" s="64"/>
      <c r="AA895" s="64"/>
      <c r="AB895" s="64"/>
      <c r="AC895" s="64"/>
      <c r="AD895" s="64"/>
      <c r="AE895" s="64"/>
      <c r="AF895" s="64"/>
      <c r="AG895" s="64"/>
      <c r="AH895" s="64"/>
    </row>
    <row r="896">
      <c r="A896" s="64"/>
      <c r="B896" s="64"/>
      <c r="C896" s="64"/>
      <c r="D896" s="64"/>
      <c r="E896" s="64"/>
      <c r="F896" s="64"/>
      <c r="G896" s="64"/>
      <c r="H896" s="64"/>
      <c r="I896" s="64"/>
      <c r="J896" s="64"/>
      <c r="K896" s="64"/>
      <c r="L896" s="64"/>
      <c r="M896" s="64"/>
      <c r="N896" s="64"/>
      <c r="O896" s="64"/>
      <c r="P896" s="64"/>
      <c r="Q896" s="64"/>
      <c r="R896" s="64"/>
      <c r="S896" s="64"/>
      <c r="T896" s="64"/>
      <c r="U896" s="64"/>
      <c r="V896" s="64"/>
      <c r="W896" s="64"/>
      <c r="X896" s="64"/>
      <c r="Y896" s="64"/>
      <c r="Z896" s="64"/>
      <c r="AA896" s="64"/>
      <c r="AB896" s="64"/>
      <c r="AC896" s="64"/>
      <c r="AD896" s="64"/>
      <c r="AE896" s="64"/>
      <c r="AF896" s="64"/>
      <c r="AG896" s="64"/>
      <c r="AH896" s="64"/>
    </row>
    <row r="897">
      <c r="A897" s="64"/>
      <c r="B897" s="64"/>
      <c r="C897" s="64"/>
      <c r="D897" s="64"/>
      <c r="E897" s="64"/>
      <c r="F897" s="64"/>
      <c r="G897" s="64"/>
      <c r="H897" s="64"/>
      <c r="I897" s="64"/>
      <c r="J897" s="64"/>
      <c r="K897" s="64"/>
      <c r="L897" s="64"/>
      <c r="M897" s="64"/>
      <c r="N897" s="64"/>
      <c r="O897" s="64"/>
      <c r="P897" s="64"/>
      <c r="Q897" s="64"/>
      <c r="R897" s="64"/>
      <c r="S897" s="64"/>
      <c r="T897" s="64"/>
      <c r="U897" s="64"/>
      <c r="V897" s="64"/>
      <c r="W897" s="64"/>
      <c r="X897" s="64"/>
      <c r="Y897" s="64"/>
      <c r="Z897" s="64"/>
      <c r="AA897" s="64"/>
      <c r="AB897" s="64"/>
      <c r="AC897" s="64"/>
      <c r="AD897" s="64"/>
      <c r="AE897" s="64"/>
      <c r="AF897" s="64"/>
      <c r="AG897" s="64"/>
      <c r="AH897" s="64"/>
    </row>
    <row r="898">
      <c r="A898" s="64"/>
      <c r="B898" s="64"/>
      <c r="C898" s="64"/>
      <c r="D898" s="64"/>
      <c r="E898" s="64"/>
      <c r="F898" s="64"/>
      <c r="G898" s="64"/>
      <c r="H898" s="64"/>
      <c r="I898" s="64"/>
      <c r="J898" s="64"/>
      <c r="K898" s="64"/>
      <c r="L898" s="64"/>
      <c r="M898" s="64"/>
      <c r="N898" s="64"/>
      <c r="O898" s="64"/>
      <c r="P898" s="64"/>
      <c r="Q898" s="64"/>
      <c r="R898" s="64"/>
      <c r="S898" s="64"/>
      <c r="T898" s="64"/>
      <c r="U898" s="64"/>
      <c r="V898" s="64"/>
      <c r="W898" s="64"/>
      <c r="X898" s="64"/>
      <c r="Y898" s="64"/>
      <c r="Z898" s="64"/>
      <c r="AA898" s="64"/>
      <c r="AB898" s="64"/>
      <c r="AC898" s="64"/>
      <c r="AD898" s="64"/>
      <c r="AE898" s="64"/>
      <c r="AF898" s="64"/>
      <c r="AG898" s="64"/>
      <c r="AH898" s="64"/>
    </row>
    <row r="899">
      <c r="A899" s="64"/>
      <c r="B899" s="64"/>
      <c r="C899" s="64"/>
      <c r="D899" s="64"/>
      <c r="E899" s="64"/>
      <c r="F899" s="64"/>
      <c r="G899" s="64"/>
      <c r="H899" s="64"/>
      <c r="I899" s="64"/>
      <c r="J899" s="64"/>
      <c r="K899" s="64"/>
      <c r="L899" s="64"/>
      <c r="M899" s="64"/>
      <c r="N899" s="64"/>
      <c r="O899" s="64"/>
      <c r="P899" s="64"/>
      <c r="Q899" s="64"/>
      <c r="R899" s="64"/>
      <c r="S899" s="64"/>
      <c r="T899" s="64"/>
      <c r="U899" s="64"/>
      <c r="V899" s="64"/>
      <c r="W899" s="64"/>
      <c r="X899" s="64"/>
      <c r="Y899" s="64"/>
      <c r="Z899" s="64"/>
      <c r="AA899" s="64"/>
      <c r="AB899" s="64"/>
      <c r="AC899" s="64"/>
      <c r="AD899" s="64"/>
      <c r="AE899" s="64"/>
      <c r="AF899" s="64"/>
      <c r="AG899" s="64"/>
      <c r="AH899" s="64"/>
    </row>
    <row r="900">
      <c r="A900" s="64"/>
      <c r="B900" s="64"/>
      <c r="C900" s="64"/>
      <c r="D900" s="64"/>
      <c r="E900" s="64"/>
      <c r="F900" s="64"/>
      <c r="G900" s="64"/>
      <c r="H900" s="64"/>
      <c r="I900" s="64"/>
      <c r="J900" s="64"/>
      <c r="K900" s="64"/>
      <c r="L900" s="64"/>
      <c r="M900" s="64"/>
      <c r="N900" s="64"/>
      <c r="O900" s="64"/>
      <c r="P900" s="64"/>
      <c r="Q900" s="64"/>
      <c r="R900" s="64"/>
      <c r="S900" s="64"/>
      <c r="T900" s="64"/>
      <c r="U900" s="64"/>
      <c r="V900" s="64"/>
      <c r="W900" s="64"/>
      <c r="X900" s="64"/>
      <c r="Y900" s="64"/>
      <c r="Z900" s="64"/>
      <c r="AA900" s="64"/>
      <c r="AB900" s="64"/>
      <c r="AC900" s="64"/>
      <c r="AD900" s="64"/>
      <c r="AE900" s="64"/>
      <c r="AF900" s="64"/>
      <c r="AG900" s="64"/>
      <c r="AH900" s="64"/>
    </row>
    <row r="901">
      <c r="A901" s="64"/>
      <c r="B901" s="64"/>
      <c r="C901" s="64"/>
      <c r="D901" s="64"/>
      <c r="E901" s="64"/>
      <c r="F901" s="64"/>
      <c r="G901" s="64"/>
      <c r="H901" s="64"/>
      <c r="I901" s="64"/>
      <c r="J901" s="64"/>
      <c r="K901" s="64"/>
      <c r="L901" s="64"/>
      <c r="M901" s="64"/>
      <c r="N901" s="64"/>
      <c r="O901" s="64"/>
      <c r="P901" s="64"/>
      <c r="Q901" s="64"/>
      <c r="R901" s="64"/>
      <c r="S901" s="64"/>
      <c r="T901" s="64"/>
      <c r="U901" s="64"/>
      <c r="V901" s="64"/>
      <c r="W901" s="64"/>
      <c r="X901" s="64"/>
      <c r="Y901" s="64"/>
      <c r="Z901" s="64"/>
      <c r="AA901" s="64"/>
      <c r="AB901" s="64"/>
      <c r="AC901" s="64"/>
      <c r="AD901" s="64"/>
      <c r="AE901" s="64"/>
      <c r="AF901" s="64"/>
      <c r="AG901" s="64"/>
      <c r="AH901" s="64"/>
    </row>
    <row r="902">
      <c r="A902" s="64"/>
      <c r="B902" s="64"/>
      <c r="C902" s="64"/>
      <c r="D902" s="64"/>
      <c r="E902" s="64"/>
      <c r="F902" s="64"/>
      <c r="G902" s="64"/>
      <c r="H902" s="64"/>
      <c r="I902" s="64"/>
      <c r="J902" s="64"/>
      <c r="K902" s="64"/>
      <c r="L902" s="64"/>
      <c r="M902" s="64"/>
      <c r="N902" s="64"/>
      <c r="O902" s="64"/>
      <c r="P902" s="64"/>
      <c r="Q902" s="64"/>
      <c r="R902" s="64"/>
      <c r="S902" s="64"/>
      <c r="T902" s="64"/>
      <c r="U902" s="64"/>
      <c r="V902" s="64"/>
      <c r="W902" s="64"/>
      <c r="X902" s="64"/>
      <c r="Y902" s="64"/>
      <c r="Z902" s="64"/>
      <c r="AA902" s="64"/>
      <c r="AB902" s="64"/>
      <c r="AC902" s="64"/>
      <c r="AD902" s="64"/>
      <c r="AE902" s="64"/>
      <c r="AF902" s="64"/>
      <c r="AG902" s="64"/>
      <c r="AH902" s="64"/>
    </row>
    <row r="903">
      <c r="A903" s="64"/>
      <c r="B903" s="64"/>
      <c r="C903" s="64"/>
      <c r="D903" s="64"/>
      <c r="E903" s="64"/>
      <c r="F903" s="64"/>
      <c r="G903" s="64"/>
      <c r="H903" s="64"/>
      <c r="I903" s="64"/>
      <c r="J903" s="64"/>
      <c r="K903" s="64"/>
      <c r="L903" s="64"/>
      <c r="M903" s="64"/>
      <c r="N903" s="64"/>
      <c r="O903" s="64"/>
      <c r="P903" s="64"/>
      <c r="Q903" s="64"/>
      <c r="R903" s="64"/>
      <c r="S903" s="64"/>
      <c r="T903" s="64"/>
      <c r="U903" s="64"/>
      <c r="V903" s="64"/>
      <c r="W903" s="64"/>
      <c r="X903" s="64"/>
      <c r="Y903" s="64"/>
      <c r="Z903" s="64"/>
      <c r="AA903" s="64"/>
      <c r="AB903" s="64"/>
      <c r="AC903" s="64"/>
      <c r="AD903" s="64"/>
      <c r="AE903" s="64"/>
      <c r="AF903" s="64"/>
      <c r="AG903" s="64"/>
      <c r="AH903" s="64"/>
    </row>
    <row r="904">
      <c r="A904" s="64"/>
      <c r="B904" s="64"/>
      <c r="C904" s="64"/>
      <c r="D904" s="64"/>
      <c r="E904" s="64"/>
      <c r="F904" s="64"/>
      <c r="G904" s="64"/>
      <c r="H904" s="64"/>
      <c r="I904" s="64"/>
      <c r="J904" s="64"/>
      <c r="K904" s="64"/>
      <c r="L904" s="64"/>
      <c r="M904" s="64"/>
      <c r="N904" s="64"/>
      <c r="O904" s="64"/>
      <c r="P904" s="64"/>
      <c r="Q904" s="64"/>
      <c r="R904" s="64"/>
      <c r="S904" s="64"/>
      <c r="T904" s="64"/>
      <c r="U904" s="64"/>
      <c r="V904" s="64"/>
      <c r="W904" s="64"/>
      <c r="X904" s="64"/>
      <c r="Y904" s="64"/>
      <c r="Z904" s="64"/>
      <c r="AA904" s="64"/>
      <c r="AB904" s="64"/>
      <c r="AC904" s="64"/>
      <c r="AD904" s="64"/>
      <c r="AE904" s="64"/>
      <c r="AF904" s="64"/>
      <c r="AG904" s="64"/>
      <c r="AH904" s="64"/>
    </row>
    <row r="905">
      <c r="A905" s="64"/>
      <c r="B905" s="64"/>
      <c r="C905" s="64"/>
      <c r="D905" s="64"/>
      <c r="E905" s="64"/>
      <c r="F905" s="64"/>
      <c r="G905" s="64"/>
      <c r="H905" s="64"/>
      <c r="I905" s="64"/>
      <c r="J905" s="64"/>
      <c r="K905" s="64"/>
      <c r="L905" s="64"/>
      <c r="M905" s="64"/>
      <c r="N905" s="64"/>
      <c r="O905" s="64"/>
      <c r="P905" s="64"/>
      <c r="Q905" s="64"/>
      <c r="R905" s="64"/>
      <c r="S905" s="64"/>
      <c r="T905" s="64"/>
      <c r="U905" s="64"/>
      <c r="V905" s="64"/>
      <c r="W905" s="64"/>
      <c r="X905" s="64"/>
      <c r="Y905" s="64"/>
      <c r="Z905" s="64"/>
      <c r="AA905" s="64"/>
      <c r="AB905" s="64"/>
      <c r="AC905" s="64"/>
      <c r="AD905" s="64"/>
      <c r="AE905" s="64"/>
      <c r="AF905" s="64"/>
      <c r="AG905" s="64"/>
      <c r="AH905" s="64"/>
    </row>
    <row r="906">
      <c r="A906" s="64"/>
      <c r="B906" s="64"/>
      <c r="C906" s="64"/>
      <c r="D906" s="64"/>
      <c r="E906" s="64"/>
      <c r="F906" s="64"/>
      <c r="G906" s="64"/>
      <c r="H906" s="64"/>
      <c r="I906" s="64"/>
      <c r="J906" s="64"/>
      <c r="K906" s="64"/>
      <c r="L906" s="64"/>
      <c r="M906" s="64"/>
      <c r="N906" s="64"/>
      <c r="O906" s="64"/>
      <c r="P906" s="64"/>
      <c r="Q906" s="64"/>
      <c r="R906" s="64"/>
      <c r="S906" s="64"/>
      <c r="T906" s="64"/>
      <c r="U906" s="64"/>
      <c r="V906" s="64"/>
      <c r="W906" s="64"/>
      <c r="X906" s="64"/>
      <c r="Y906" s="64"/>
      <c r="Z906" s="64"/>
      <c r="AA906" s="64"/>
      <c r="AB906" s="64"/>
      <c r="AC906" s="64"/>
      <c r="AD906" s="64"/>
      <c r="AE906" s="64"/>
      <c r="AF906" s="64"/>
      <c r="AG906" s="64"/>
      <c r="AH906" s="64"/>
    </row>
    <row r="907">
      <c r="A907" s="64"/>
      <c r="B907" s="64"/>
      <c r="C907" s="64"/>
      <c r="D907" s="64"/>
      <c r="E907" s="64"/>
      <c r="F907" s="64"/>
      <c r="G907" s="64"/>
      <c r="H907" s="64"/>
      <c r="I907" s="64"/>
      <c r="J907" s="64"/>
      <c r="K907" s="64"/>
      <c r="L907" s="64"/>
      <c r="M907" s="64"/>
      <c r="N907" s="64"/>
      <c r="O907" s="64"/>
      <c r="P907" s="64"/>
      <c r="Q907" s="64"/>
      <c r="R907" s="64"/>
      <c r="S907" s="64"/>
      <c r="T907" s="64"/>
      <c r="U907" s="64"/>
      <c r="V907" s="64"/>
      <c r="W907" s="64"/>
      <c r="X907" s="64"/>
      <c r="Y907" s="64"/>
      <c r="Z907" s="64"/>
      <c r="AA907" s="64"/>
      <c r="AB907" s="64"/>
      <c r="AC907" s="64"/>
      <c r="AD907" s="64"/>
      <c r="AE907" s="64"/>
      <c r="AF907" s="64"/>
      <c r="AG907" s="64"/>
      <c r="AH907" s="64"/>
    </row>
    <row r="908">
      <c r="A908" s="64"/>
      <c r="B908" s="64"/>
      <c r="C908" s="64"/>
      <c r="D908" s="64"/>
      <c r="E908" s="64"/>
      <c r="F908" s="64"/>
      <c r="G908" s="64"/>
      <c r="H908" s="64"/>
      <c r="I908" s="64"/>
      <c r="J908" s="64"/>
      <c r="K908" s="64"/>
      <c r="L908" s="64"/>
      <c r="M908" s="64"/>
      <c r="N908" s="64"/>
      <c r="O908" s="64"/>
      <c r="P908" s="64"/>
      <c r="Q908" s="64"/>
      <c r="R908" s="64"/>
      <c r="S908" s="64"/>
      <c r="T908" s="64"/>
      <c r="U908" s="64"/>
      <c r="V908" s="64"/>
      <c r="W908" s="64"/>
      <c r="X908" s="64"/>
      <c r="Y908" s="64"/>
      <c r="Z908" s="64"/>
      <c r="AA908" s="64"/>
      <c r="AB908" s="64"/>
      <c r="AC908" s="64"/>
      <c r="AD908" s="64"/>
      <c r="AE908" s="64"/>
      <c r="AF908" s="64"/>
      <c r="AG908" s="64"/>
      <c r="AH908" s="64"/>
    </row>
    <row r="909">
      <c r="A909" s="64"/>
      <c r="B909" s="64"/>
      <c r="C909" s="64"/>
      <c r="D909" s="64"/>
      <c r="E909" s="64"/>
      <c r="F909" s="64"/>
      <c r="G909" s="64"/>
      <c r="H909" s="64"/>
      <c r="I909" s="64"/>
      <c r="J909" s="64"/>
      <c r="K909" s="64"/>
      <c r="L909" s="64"/>
      <c r="M909" s="64"/>
      <c r="N909" s="64"/>
      <c r="O909" s="64"/>
      <c r="P909" s="64"/>
      <c r="Q909" s="64"/>
      <c r="R909" s="64"/>
      <c r="S909" s="64"/>
      <c r="T909" s="64"/>
      <c r="U909" s="64"/>
      <c r="V909" s="64"/>
      <c r="W909" s="64"/>
      <c r="X909" s="64"/>
      <c r="Y909" s="64"/>
      <c r="Z909" s="64"/>
      <c r="AA909" s="64"/>
      <c r="AB909" s="64"/>
      <c r="AC909" s="64"/>
      <c r="AD909" s="64"/>
      <c r="AE909" s="64"/>
      <c r="AF909" s="64"/>
      <c r="AG909" s="64"/>
      <c r="AH909" s="64"/>
    </row>
    <row r="910">
      <c r="A910" s="64"/>
      <c r="B910" s="64"/>
      <c r="C910" s="64"/>
      <c r="D910" s="64"/>
      <c r="E910" s="64"/>
      <c r="F910" s="64"/>
      <c r="G910" s="64"/>
      <c r="H910" s="64"/>
      <c r="I910" s="64"/>
      <c r="J910" s="64"/>
      <c r="K910" s="64"/>
      <c r="L910" s="64"/>
      <c r="M910" s="64"/>
      <c r="N910" s="64"/>
      <c r="O910" s="64"/>
      <c r="P910" s="64"/>
      <c r="Q910" s="64"/>
      <c r="R910" s="64"/>
      <c r="S910" s="64"/>
      <c r="T910" s="64"/>
      <c r="U910" s="64"/>
      <c r="V910" s="64"/>
      <c r="W910" s="64"/>
      <c r="X910" s="64"/>
      <c r="Y910" s="64"/>
      <c r="Z910" s="64"/>
      <c r="AA910" s="64"/>
      <c r="AB910" s="64"/>
      <c r="AC910" s="64"/>
      <c r="AD910" s="64"/>
      <c r="AE910" s="64"/>
      <c r="AF910" s="64"/>
      <c r="AG910" s="64"/>
      <c r="AH910" s="64"/>
    </row>
    <row r="911">
      <c r="A911" s="64"/>
      <c r="B911" s="64"/>
      <c r="C911" s="64"/>
      <c r="D911" s="64"/>
      <c r="E911" s="64"/>
      <c r="F911" s="64"/>
      <c r="G911" s="64"/>
      <c r="H911" s="64"/>
      <c r="I911" s="64"/>
      <c r="J911" s="64"/>
      <c r="K911" s="64"/>
      <c r="L911" s="64"/>
      <c r="M911" s="64"/>
      <c r="N911" s="64"/>
      <c r="O911" s="64"/>
      <c r="P911" s="64"/>
      <c r="Q911" s="64"/>
      <c r="R911" s="64"/>
      <c r="S911" s="64"/>
      <c r="T911" s="64"/>
      <c r="U911" s="64"/>
      <c r="V911" s="64"/>
      <c r="W911" s="64"/>
      <c r="X911" s="64"/>
      <c r="Y911" s="64"/>
      <c r="Z911" s="64"/>
      <c r="AA911" s="64"/>
      <c r="AB911" s="64"/>
      <c r="AC911" s="64"/>
      <c r="AD911" s="64"/>
      <c r="AE911" s="64"/>
      <c r="AF911" s="64"/>
      <c r="AG911" s="64"/>
      <c r="AH911" s="64"/>
    </row>
    <row r="912">
      <c r="A912" s="64"/>
      <c r="B912" s="64"/>
      <c r="C912" s="64"/>
      <c r="D912" s="64"/>
      <c r="E912" s="64"/>
      <c r="F912" s="64"/>
      <c r="G912" s="64"/>
      <c r="H912" s="64"/>
      <c r="I912" s="64"/>
      <c r="J912" s="64"/>
      <c r="K912" s="64"/>
      <c r="L912" s="64"/>
      <c r="M912" s="64"/>
      <c r="N912" s="64"/>
      <c r="O912" s="64"/>
      <c r="P912" s="64"/>
      <c r="Q912" s="64"/>
      <c r="R912" s="64"/>
      <c r="S912" s="64"/>
      <c r="T912" s="64"/>
      <c r="U912" s="64"/>
      <c r="V912" s="64"/>
      <c r="W912" s="64"/>
      <c r="X912" s="64"/>
      <c r="Y912" s="64"/>
      <c r="Z912" s="64"/>
      <c r="AA912" s="64"/>
      <c r="AB912" s="64"/>
      <c r="AC912" s="64"/>
      <c r="AD912" s="64"/>
      <c r="AE912" s="64"/>
      <c r="AF912" s="64"/>
      <c r="AG912" s="64"/>
      <c r="AH912" s="64"/>
    </row>
    <row r="913">
      <c r="A913" s="64"/>
      <c r="B913" s="64"/>
      <c r="C913" s="64"/>
      <c r="D913" s="64"/>
      <c r="E913" s="64"/>
      <c r="F913" s="64"/>
      <c r="G913" s="64"/>
      <c r="H913" s="64"/>
      <c r="I913" s="64"/>
      <c r="J913" s="64"/>
      <c r="K913" s="64"/>
      <c r="L913" s="64"/>
      <c r="M913" s="64"/>
      <c r="N913" s="64"/>
      <c r="O913" s="64"/>
      <c r="P913" s="64"/>
      <c r="Q913" s="64"/>
      <c r="R913" s="64"/>
      <c r="S913" s="64"/>
      <c r="T913" s="64"/>
      <c r="U913" s="64"/>
      <c r="V913" s="64"/>
      <c r="W913" s="64"/>
      <c r="X913" s="64"/>
      <c r="Y913" s="64"/>
      <c r="Z913" s="64"/>
      <c r="AA913" s="64"/>
      <c r="AB913" s="64"/>
      <c r="AC913" s="64"/>
      <c r="AD913" s="64"/>
      <c r="AE913" s="64"/>
      <c r="AF913" s="64"/>
      <c r="AG913" s="64"/>
      <c r="AH913" s="64"/>
    </row>
    <row r="914">
      <c r="A914" s="64"/>
      <c r="B914" s="64"/>
      <c r="C914" s="64"/>
      <c r="D914" s="64"/>
      <c r="E914" s="64"/>
      <c r="F914" s="64"/>
      <c r="G914" s="64"/>
      <c r="H914" s="64"/>
      <c r="I914" s="64"/>
      <c r="J914" s="64"/>
      <c r="K914" s="64"/>
      <c r="L914" s="64"/>
      <c r="M914" s="64"/>
      <c r="N914" s="64"/>
      <c r="O914" s="64"/>
      <c r="P914" s="64"/>
      <c r="Q914" s="64"/>
      <c r="R914" s="64"/>
      <c r="S914" s="64"/>
      <c r="T914" s="64"/>
      <c r="U914" s="64"/>
      <c r="V914" s="64"/>
      <c r="W914" s="64"/>
      <c r="X914" s="64"/>
      <c r="Y914" s="64"/>
      <c r="Z914" s="64"/>
      <c r="AA914" s="64"/>
      <c r="AB914" s="64"/>
      <c r="AC914" s="64"/>
      <c r="AD914" s="64"/>
      <c r="AE914" s="64"/>
      <c r="AF914" s="64"/>
      <c r="AG914" s="64"/>
      <c r="AH914" s="64"/>
    </row>
    <row r="915">
      <c r="A915" s="64"/>
      <c r="B915" s="64"/>
      <c r="C915" s="64"/>
      <c r="D915" s="64"/>
      <c r="E915" s="64"/>
      <c r="F915" s="64"/>
      <c r="G915" s="64"/>
      <c r="H915" s="64"/>
      <c r="I915" s="64"/>
      <c r="J915" s="64"/>
      <c r="K915" s="64"/>
      <c r="L915" s="64"/>
      <c r="M915" s="64"/>
      <c r="N915" s="64"/>
      <c r="O915" s="64"/>
      <c r="P915" s="64"/>
      <c r="Q915" s="64"/>
      <c r="R915" s="64"/>
      <c r="S915" s="64"/>
      <c r="T915" s="64"/>
      <c r="U915" s="64"/>
      <c r="V915" s="64"/>
      <c r="W915" s="64"/>
      <c r="X915" s="64"/>
      <c r="Y915" s="64"/>
      <c r="Z915" s="64"/>
      <c r="AA915" s="64"/>
      <c r="AB915" s="64"/>
      <c r="AC915" s="64"/>
      <c r="AD915" s="64"/>
      <c r="AE915" s="64"/>
      <c r="AF915" s="64"/>
      <c r="AG915" s="64"/>
      <c r="AH915" s="64"/>
    </row>
    <row r="916">
      <c r="A916" s="64"/>
      <c r="B916" s="64"/>
      <c r="C916" s="64"/>
      <c r="D916" s="64"/>
      <c r="E916" s="64"/>
      <c r="F916" s="64"/>
      <c r="G916" s="64"/>
      <c r="H916" s="64"/>
      <c r="I916" s="64"/>
      <c r="J916" s="64"/>
      <c r="K916" s="64"/>
      <c r="L916" s="64"/>
      <c r="M916" s="64"/>
      <c r="N916" s="64"/>
      <c r="O916" s="64"/>
      <c r="P916" s="64"/>
      <c r="Q916" s="64"/>
      <c r="R916" s="64"/>
      <c r="S916" s="64"/>
      <c r="T916" s="64"/>
      <c r="U916" s="64"/>
      <c r="V916" s="64"/>
      <c r="W916" s="64"/>
      <c r="X916" s="64"/>
      <c r="Y916" s="64"/>
      <c r="Z916" s="64"/>
      <c r="AA916" s="64"/>
      <c r="AB916" s="64"/>
      <c r="AC916" s="64"/>
      <c r="AD916" s="64"/>
      <c r="AE916" s="64"/>
      <c r="AF916" s="64"/>
      <c r="AG916" s="64"/>
      <c r="AH916" s="64"/>
    </row>
    <row r="917">
      <c r="A917" s="64"/>
      <c r="B917" s="64"/>
      <c r="C917" s="64"/>
      <c r="D917" s="64"/>
      <c r="E917" s="64"/>
      <c r="F917" s="64"/>
      <c r="G917" s="64"/>
      <c r="H917" s="64"/>
      <c r="I917" s="64"/>
      <c r="J917" s="64"/>
      <c r="K917" s="64"/>
      <c r="L917" s="64"/>
      <c r="M917" s="64"/>
      <c r="N917" s="64"/>
      <c r="O917" s="64"/>
      <c r="P917" s="64"/>
      <c r="Q917" s="64"/>
      <c r="R917" s="64"/>
      <c r="S917" s="64"/>
      <c r="T917" s="64"/>
      <c r="U917" s="64"/>
      <c r="V917" s="64"/>
      <c r="W917" s="64"/>
      <c r="X917" s="64"/>
      <c r="Y917" s="64"/>
      <c r="Z917" s="64"/>
      <c r="AA917" s="64"/>
      <c r="AB917" s="64"/>
      <c r="AC917" s="64"/>
      <c r="AD917" s="64"/>
      <c r="AE917" s="64"/>
      <c r="AF917" s="64"/>
      <c r="AG917" s="64"/>
      <c r="AH917" s="64"/>
    </row>
    <row r="918">
      <c r="A918" s="64"/>
      <c r="B918" s="64"/>
      <c r="C918" s="64"/>
      <c r="D918" s="64"/>
      <c r="E918" s="64"/>
      <c r="F918" s="64"/>
      <c r="G918" s="64"/>
      <c r="H918" s="64"/>
      <c r="I918" s="64"/>
      <c r="J918" s="64"/>
      <c r="K918" s="64"/>
      <c r="L918" s="64"/>
      <c r="M918" s="64"/>
      <c r="N918" s="64"/>
      <c r="O918" s="64"/>
      <c r="P918" s="64"/>
      <c r="Q918" s="64"/>
      <c r="R918" s="64"/>
      <c r="S918" s="64"/>
      <c r="T918" s="64"/>
      <c r="U918" s="64"/>
      <c r="V918" s="64"/>
      <c r="W918" s="64"/>
      <c r="X918" s="64"/>
      <c r="Y918" s="64"/>
      <c r="Z918" s="64"/>
      <c r="AA918" s="64"/>
      <c r="AB918" s="64"/>
      <c r="AC918" s="64"/>
      <c r="AD918" s="64"/>
      <c r="AE918" s="64"/>
      <c r="AF918" s="64"/>
      <c r="AG918" s="64"/>
      <c r="AH918" s="64"/>
    </row>
    <row r="919">
      <c r="A919" s="64"/>
      <c r="B919" s="64"/>
      <c r="C919" s="64"/>
      <c r="D919" s="64"/>
      <c r="E919" s="64"/>
      <c r="F919" s="64"/>
      <c r="G919" s="64"/>
      <c r="H919" s="64"/>
      <c r="I919" s="64"/>
      <c r="J919" s="64"/>
      <c r="K919" s="64"/>
      <c r="L919" s="64"/>
      <c r="M919" s="64"/>
      <c r="N919" s="64"/>
      <c r="O919" s="64"/>
      <c r="P919" s="64"/>
      <c r="Q919" s="64"/>
      <c r="R919" s="64"/>
      <c r="S919" s="64"/>
      <c r="T919" s="64"/>
      <c r="U919" s="64"/>
      <c r="V919" s="64"/>
      <c r="W919" s="64"/>
      <c r="X919" s="64"/>
      <c r="Y919" s="64"/>
      <c r="Z919" s="64"/>
      <c r="AA919" s="64"/>
      <c r="AB919" s="64"/>
      <c r="AC919" s="64"/>
      <c r="AD919" s="64"/>
      <c r="AE919" s="64"/>
      <c r="AF919" s="64"/>
      <c r="AG919" s="64"/>
      <c r="AH919" s="64"/>
    </row>
    <row r="920">
      <c r="A920" s="64"/>
      <c r="B920" s="64"/>
      <c r="C920" s="64"/>
      <c r="D920" s="64"/>
      <c r="E920" s="64"/>
      <c r="F920" s="64"/>
      <c r="G920" s="64"/>
      <c r="H920" s="64"/>
      <c r="I920" s="64"/>
      <c r="J920" s="64"/>
      <c r="K920" s="64"/>
      <c r="L920" s="64"/>
      <c r="M920" s="64"/>
      <c r="N920" s="64"/>
      <c r="O920" s="64"/>
      <c r="P920" s="64"/>
      <c r="Q920" s="64"/>
      <c r="R920" s="64"/>
      <c r="S920" s="64"/>
      <c r="T920" s="64"/>
      <c r="U920" s="64"/>
      <c r="V920" s="64"/>
      <c r="W920" s="64"/>
      <c r="X920" s="64"/>
      <c r="Y920" s="64"/>
      <c r="Z920" s="64"/>
      <c r="AA920" s="64"/>
      <c r="AB920" s="64"/>
      <c r="AC920" s="64"/>
      <c r="AD920" s="64"/>
      <c r="AE920" s="64"/>
      <c r="AF920" s="64"/>
      <c r="AG920" s="64"/>
      <c r="AH920" s="64"/>
    </row>
    <row r="921">
      <c r="A921" s="64"/>
      <c r="B921" s="64"/>
      <c r="C921" s="64"/>
      <c r="D921" s="64"/>
      <c r="E921" s="64"/>
      <c r="F921" s="64"/>
      <c r="G921" s="64"/>
      <c r="H921" s="64"/>
      <c r="I921" s="64"/>
      <c r="J921" s="64"/>
      <c r="K921" s="64"/>
      <c r="L921" s="64"/>
      <c r="M921" s="64"/>
      <c r="N921" s="64"/>
      <c r="O921" s="64"/>
      <c r="P921" s="64"/>
      <c r="Q921" s="64"/>
      <c r="R921" s="64"/>
      <c r="S921" s="64"/>
      <c r="T921" s="64"/>
      <c r="U921" s="64"/>
      <c r="V921" s="64"/>
      <c r="W921" s="64"/>
      <c r="X921" s="64"/>
      <c r="Y921" s="64"/>
      <c r="Z921" s="64"/>
      <c r="AA921" s="64"/>
      <c r="AB921" s="64"/>
      <c r="AC921" s="64"/>
      <c r="AD921" s="64"/>
      <c r="AE921" s="64"/>
      <c r="AF921" s="64"/>
      <c r="AG921" s="64"/>
      <c r="AH921" s="64"/>
    </row>
    <row r="922">
      <c r="A922" s="64"/>
      <c r="B922" s="64"/>
      <c r="C922" s="64"/>
      <c r="D922" s="64"/>
      <c r="E922" s="64"/>
      <c r="F922" s="64"/>
      <c r="G922" s="64"/>
      <c r="H922" s="64"/>
      <c r="I922" s="64"/>
      <c r="J922" s="64"/>
      <c r="K922" s="64"/>
      <c r="L922" s="64"/>
      <c r="M922" s="64"/>
      <c r="N922" s="64"/>
      <c r="O922" s="64"/>
      <c r="P922" s="64"/>
      <c r="Q922" s="64"/>
      <c r="R922" s="64"/>
      <c r="S922" s="64"/>
      <c r="T922" s="64"/>
      <c r="U922" s="64"/>
      <c r="V922" s="64"/>
      <c r="W922" s="64"/>
      <c r="X922" s="64"/>
      <c r="Y922" s="64"/>
      <c r="Z922" s="64"/>
      <c r="AA922" s="64"/>
      <c r="AB922" s="64"/>
      <c r="AC922" s="64"/>
      <c r="AD922" s="64"/>
      <c r="AE922" s="64"/>
      <c r="AF922" s="64"/>
      <c r="AG922" s="64"/>
      <c r="AH922" s="64"/>
    </row>
    <row r="923">
      <c r="A923" s="64"/>
      <c r="B923" s="64"/>
      <c r="C923" s="64"/>
      <c r="D923" s="64"/>
      <c r="E923" s="64"/>
      <c r="F923" s="64"/>
      <c r="G923" s="64"/>
      <c r="H923" s="64"/>
      <c r="I923" s="64"/>
      <c r="J923" s="64"/>
      <c r="K923" s="64"/>
      <c r="L923" s="64"/>
      <c r="M923" s="64"/>
      <c r="N923" s="64"/>
      <c r="O923" s="64"/>
      <c r="P923" s="64"/>
      <c r="Q923" s="64"/>
      <c r="R923" s="64"/>
      <c r="S923" s="64"/>
      <c r="T923" s="64"/>
      <c r="U923" s="64"/>
      <c r="V923" s="64"/>
      <c r="W923" s="64"/>
      <c r="X923" s="64"/>
      <c r="Y923" s="64"/>
      <c r="Z923" s="64"/>
      <c r="AA923" s="64"/>
      <c r="AB923" s="64"/>
      <c r="AC923" s="64"/>
      <c r="AD923" s="64"/>
      <c r="AE923" s="64"/>
      <c r="AF923" s="64"/>
      <c r="AG923" s="64"/>
      <c r="AH923" s="64"/>
    </row>
    <row r="924">
      <c r="A924" s="64"/>
      <c r="B924" s="64"/>
      <c r="C924" s="64"/>
      <c r="D924" s="64"/>
      <c r="E924" s="64"/>
      <c r="F924" s="64"/>
      <c r="G924" s="64"/>
      <c r="H924" s="64"/>
      <c r="I924" s="64"/>
      <c r="J924" s="64"/>
      <c r="K924" s="64"/>
      <c r="L924" s="64"/>
      <c r="M924" s="64"/>
      <c r="N924" s="64"/>
      <c r="O924" s="64"/>
      <c r="P924" s="64"/>
      <c r="Q924" s="64"/>
      <c r="R924" s="64"/>
      <c r="S924" s="64"/>
      <c r="T924" s="64"/>
      <c r="U924" s="64"/>
      <c r="V924" s="64"/>
      <c r="W924" s="64"/>
      <c r="X924" s="64"/>
      <c r="Y924" s="64"/>
      <c r="Z924" s="64"/>
      <c r="AA924" s="64"/>
      <c r="AB924" s="64"/>
      <c r="AC924" s="64"/>
      <c r="AD924" s="64"/>
      <c r="AE924" s="64"/>
      <c r="AF924" s="64"/>
      <c r="AG924" s="64"/>
      <c r="AH924" s="64"/>
    </row>
    <row r="925">
      <c r="A925" s="64"/>
      <c r="B925" s="64"/>
      <c r="C925" s="64"/>
      <c r="D925" s="64"/>
      <c r="E925" s="64"/>
      <c r="F925" s="64"/>
      <c r="G925" s="64"/>
      <c r="H925" s="64"/>
      <c r="I925" s="64"/>
      <c r="J925" s="64"/>
      <c r="K925" s="64"/>
      <c r="L925" s="64"/>
      <c r="M925" s="64"/>
      <c r="N925" s="64"/>
      <c r="O925" s="64"/>
      <c r="P925" s="64"/>
      <c r="Q925" s="64"/>
      <c r="R925" s="64"/>
      <c r="S925" s="64"/>
      <c r="T925" s="64"/>
      <c r="U925" s="64"/>
      <c r="V925" s="64"/>
      <c r="W925" s="64"/>
      <c r="X925" s="64"/>
      <c r="Y925" s="64"/>
      <c r="Z925" s="64"/>
      <c r="AA925" s="64"/>
      <c r="AB925" s="64"/>
      <c r="AC925" s="64"/>
      <c r="AD925" s="64"/>
      <c r="AE925" s="64"/>
      <c r="AF925" s="64"/>
      <c r="AG925" s="64"/>
      <c r="AH925" s="64"/>
    </row>
    <row r="926">
      <c r="A926" s="64"/>
      <c r="B926" s="64"/>
      <c r="C926" s="64"/>
      <c r="D926" s="64"/>
      <c r="E926" s="64"/>
      <c r="F926" s="64"/>
      <c r="G926" s="64"/>
      <c r="H926" s="64"/>
      <c r="I926" s="64"/>
      <c r="J926" s="64"/>
      <c r="K926" s="64"/>
      <c r="L926" s="64"/>
      <c r="M926" s="64"/>
      <c r="N926" s="64"/>
      <c r="O926" s="64"/>
      <c r="P926" s="64"/>
      <c r="Q926" s="64"/>
      <c r="R926" s="64"/>
      <c r="S926" s="64"/>
      <c r="T926" s="64"/>
      <c r="U926" s="64"/>
      <c r="V926" s="64"/>
      <c r="W926" s="64"/>
      <c r="X926" s="64"/>
      <c r="Y926" s="64"/>
      <c r="Z926" s="64"/>
      <c r="AA926" s="64"/>
      <c r="AB926" s="64"/>
      <c r="AC926" s="64"/>
      <c r="AD926" s="64"/>
      <c r="AE926" s="64"/>
      <c r="AF926" s="64"/>
      <c r="AG926" s="64"/>
      <c r="AH926" s="64"/>
    </row>
    <row r="927">
      <c r="A927" s="64"/>
      <c r="B927" s="64"/>
      <c r="C927" s="64"/>
      <c r="D927" s="64"/>
      <c r="E927" s="64"/>
      <c r="F927" s="64"/>
      <c r="G927" s="64"/>
      <c r="H927" s="64"/>
      <c r="I927" s="64"/>
      <c r="J927" s="64"/>
      <c r="K927" s="64"/>
      <c r="L927" s="64"/>
      <c r="M927" s="64"/>
      <c r="N927" s="64"/>
      <c r="O927" s="64"/>
      <c r="P927" s="64"/>
      <c r="Q927" s="64"/>
      <c r="R927" s="64"/>
      <c r="S927" s="64"/>
      <c r="T927" s="64"/>
      <c r="U927" s="64"/>
      <c r="V927" s="64"/>
      <c r="W927" s="64"/>
      <c r="X927" s="64"/>
      <c r="Y927" s="64"/>
      <c r="Z927" s="64"/>
      <c r="AA927" s="64"/>
      <c r="AB927" s="64"/>
      <c r="AC927" s="64"/>
      <c r="AD927" s="64"/>
      <c r="AE927" s="64"/>
      <c r="AF927" s="64"/>
      <c r="AG927" s="64"/>
      <c r="AH927" s="64"/>
    </row>
    <row r="928">
      <c r="A928" s="64"/>
      <c r="B928" s="64"/>
      <c r="C928" s="64"/>
      <c r="D928" s="64"/>
      <c r="E928" s="64"/>
      <c r="F928" s="64"/>
      <c r="G928" s="64"/>
      <c r="H928" s="64"/>
      <c r="I928" s="64"/>
      <c r="J928" s="64"/>
      <c r="K928" s="64"/>
      <c r="L928" s="64"/>
      <c r="M928" s="64"/>
      <c r="N928" s="64"/>
      <c r="O928" s="64"/>
      <c r="P928" s="64"/>
      <c r="Q928" s="64"/>
      <c r="R928" s="64"/>
      <c r="S928" s="64"/>
      <c r="T928" s="64"/>
      <c r="U928" s="64"/>
      <c r="V928" s="64"/>
      <c r="W928" s="64"/>
      <c r="X928" s="64"/>
      <c r="Y928" s="64"/>
      <c r="Z928" s="64"/>
      <c r="AA928" s="64"/>
      <c r="AB928" s="64"/>
      <c r="AC928" s="64"/>
      <c r="AD928" s="64"/>
      <c r="AE928" s="64"/>
      <c r="AF928" s="64"/>
      <c r="AG928" s="64"/>
      <c r="AH928" s="64"/>
    </row>
    <row r="929">
      <c r="A929" s="64"/>
      <c r="B929" s="64"/>
      <c r="C929" s="64"/>
      <c r="D929" s="64"/>
      <c r="E929" s="64"/>
      <c r="F929" s="64"/>
      <c r="G929" s="64"/>
      <c r="H929" s="64"/>
      <c r="I929" s="64"/>
      <c r="J929" s="64"/>
      <c r="K929" s="64"/>
      <c r="L929" s="64"/>
      <c r="M929" s="64"/>
      <c r="N929" s="64"/>
      <c r="O929" s="64"/>
      <c r="P929" s="64"/>
      <c r="Q929" s="64"/>
      <c r="R929" s="64"/>
      <c r="S929" s="64"/>
      <c r="T929" s="64"/>
      <c r="U929" s="64"/>
      <c r="V929" s="64"/>
      <c r="W929" s="64"/>
      <c r="X929" s="64"/>
      <c r="Y929" s="64"/>
      <c r="Z929" s="64"/>
      <c r="AA929" s="64"/>
      <c r="AB929" s="64"/>
      <c r="AC929" s="64"/>
      <c r="AD929" s="64"/>
      <c r="AE929" s="64"/>
      <c r="AF929" s="64"/>
      <c r="AG929" s="64"/>
      <c r="AH929" s="64"/>
    </row>
    <row r="930">
      <c r="A930" s="64"/>
      <c r="B930" s="64"/>
      <c r="C930" s="64"/>
      <c r="D930" s="64"/>
      <c r="E930" s="64"/>
      <c r="F930" s="64"/>
      <c r="G930" s="64"/>
      <c r="H930" s="64"/>
      <c r="I930" s="64"/>
      <c r="J930" s="64"/>
      <c r="K930" s="64"/>
      <c r="L930" s="64"/>
      <c r="M930" s="64"/>
      <c r="N930" s="64"/>
      <c r="O930" s="64"/>
      <c r="P930" s="64"/>
      <c r="Q930" s="64"/>
      <c r="R930" s="64"/>
      <c r="S930" s="64"/>
      <c r="T930" s="64"/>
      <c r="U930" s="64"/>
      <c r="V930" s="64"/>
      <c r="W930" s="64"/>
      <c r="X930" s="64"/>
      <c r="Y930" s="64"/>
      <c r="Z930" s="64"/>
      <c r="AA930" s="64"/>
      <c r="AB930" s="64"/>
      <c r="AC930" s="64"/>
      <c r="AD930" s="64"/>
      <c r="AE930" s="64"/>
      <c r="AF930" s="64"/>
      <c r="AG930" s="64"/>
      <c r="AH930" s="64"/>
    </row>
    <row r="931">
      <c r="A931" s="64"/>
      <c r="B931" s="64"/>
      <c r="C931" s="64"/>
      <c r="D931" s="64"/>
      <c r="E931" s="64"/>
      <c r="F931" s="64"/>
      <c r="G931" s="64"/>
      <c r="H931" s="64"/>
      <c r="I931" s="64"/>
      <c r="J931" s="64"/>
      <c r="K931" s="64"/>
      <c r="L931" s="64"/>
      <c r="M931" s="64"/>
      <c r="N931" s="64"/>
      <c r="O931" s="64"/>
      <c r="P931" s="64"/>
      <c r="Q931" s="64"/>
      <c r="R931" s="64"/>
      <c r="S931" s="64"/>
      <c r="T931" s="64"/>
      <c r="U931" s="64"/>
      <c r="V931" s="64"/>
      <c r="W931" s="64"/>
      <c r="X931" s="64"/>
      <c r="Y931" s="64"/>
      <c r="Z931" s="64"/>
      <c r="AA931" s="64"/>
      <c r="AB931" s="64"/>
      <c r="AC931" s="64"/>
      <c r="AD931" s="64"/>
      <c r="AE931" s="64"/>
      <c r="AF931" s="64"/>
      <c r="AG931" s="64"/>
      <c r="AH931" s="64"/>
    </row>
    <row r="932">
      <c r="A932" s="64"/>
      <c r="B932" s="64"/>
      <c r="C932" s="64"/>
      <c r="D932" s="64"/>
      <c r="E932" s="64"/>
      <c r="F932" s="64"/>
      <c r="G932" s="64"/>
      <c r="H932" s="64"/>
      <c r="I932" s="64"/>
      <c r="J932" s="64"/>
      <c r="K932" s="64"/>
      <c r="L932" s="64"/>
      <c r="M932" s="64"/>
      <c r="N932" s="64"/>
      <c r="O932" s="64"/>
      <c r="P932" s="64"/>
      <c r="Q932" s="64"/>
      <c r="R932" s="64"/>
      <c r="S932" s="64"/>
      <c r="T932" s="64"/>
      <c r="U932" s="64"/>
      <c r="V932" s="64"/>
      <c r="W932" s="64"/>
      <c r="X932" s="64"/>
      <c r="Y932" s="64"/>
      <c r="Z932" s="64"/>
      <c r="AA932" s="64"/>
      <c r="AB932" s="64"/>
      <c r="AC932" s="64"/>
      <c r="AD932" s="64"/>
      <c r="AE932" s="64"/>
      <c r="AF932" s="64"/>
      <c r="AG932" s="64"/>
      <c r="AH932" s="64"/>
    </row>
    <row r="933">
      <c r="A933" s="64"/>
      <c r="B933" s="64"/>
      <c r="C933" s="64"/>
      <c r="D933" s="64"/>
      <c r="E933" s="64"/>
      <c r="F933" s="64"/>
      <c r="G933" s="64"/>
      <c r="H933" s="64"/>
      <c r="I933" s="64"/>
      <c r="J933" s="64"/>
      <c r="K933" s="64"/>
      <c r="L933" s="64"/>
      <c r="M933" s="64"/>
      <c r="N933" s="64"/>
      <c r="O933" s="64"/>
      <c r="P933" s="64"/>
      <c r="Q933" s="64"/>
      <c r="R933" s="64"/>
      <c r="S933" s="64"/>
      <c r="T933" s="64"/>
      <c r="U933" s="64"/>
      <c r="V933" s="64"/>
      <c r="W933" s="64"/>
      <c r="X933" s="64"/>
      <c r="Y933" s="64"/>
      <c r="Z933" s="64"/>
      <c r="AA933" s="64"/>
      <c r="AB933" s="64"/>
      <c r="AC933" s="64"/>
      <c r="AD933" s="64"/>
      <c r="AE933" s="64"/>
      <c r="AF933" s="64"/>
      <c r="AG933" s="64"/>
      <c r="AH933" s="64"/>
    </row>
    <row r="934">
      <c r="A934" s="64"/>
      <c r="B934" s="64"/>
      <c r="C934" s="64"/>
      <c r="D934" s="64"/>
      <c r="E934" s="64"/>
      <c r="F934" s="64"/>
      <c r="G934" s="64"/>
      <c r="H934" s="64"/>
      <c r="I934" s="64"/>
      <c r="J934" s="64"/>
      <c r="K934" s="64"/>
      <c r="L934" s="64"/>
      <c r="M934" s="64"/>
      <c r="N934" s="64"/>
      <c r="O934" s="64"/>
      <c r="P934" s="64"/>
      <c r="Q934" s="64"/>
      <c r="R934" s="64"/>
      <c r="S934" s="64"/>
      <c r="T934" s="64"/>
      <c r="U934" s="64"/>
      <c r="V934" s="64"/>
      <c r="W934" s="64"/>
      <c r="X934" s="64"/>
      <c r="Y934" s="64"/>
      <c r="Z934" s="64"/>
      <c r="AA934" s="64"/>
      <c r="AB934" s="64"/>
      <c r="AC934" s="64"/>
      <c r="AD934" s="64"/>
      <c r="AE934" s="64"/>
      <c r="AF934" s="64"/>
      <c r="AG934" s="64"/>
      <c r="AH934" s="64"/>
    </row>
    <row r="935">
      <c r="A935" s="64"/>
      <c r="B935" s="64"/>
      <c r="C935" s="64"/>
      <c r="D935" s="64"/>
      <c r="E935" s="64"/>
      <c r="F935" s="64"/>
      <c r="G935" s="64"/>
      <c r="H935" s="64"/>
      <c r="I935" s="64"/>
      <c r="J935" s="64"/>
      <c r="K935" s="64"/>
      <c r="L935" s="64"/>
      <c r="M935" s="64"/>
      <c r="N935" s="64"/>
      <c r="O935" s="64"/>
      <c r="P935" s="64"/>
      <c r="Q935" s="64"/>
      <c r="R935" s="64"/>
      <c r="S935" s="64"/>
      <c r="T935" s="64"/>
      <c r="U935" s="64"/>
      <c r="V935" s="64"/>
      <c r="W935" s="64"/>
      <c r="X935" s="64"/>
      <c r="Y935" s="64"/>
      <c r="Z935" s="64"/>
      <c r="AA935" s="64"/>
      <c r="AB935" s="64"/>
      <c r="AC935" s="64"/>
      <c r="AD935" s="64"/>
      <c r="AE935" s="64"/>
      <c r="AF935" s="64"/>
      <c r="AG935" s="64"/>
      <c r="AH935" s="64"/>
    </row>
    <row r="936">
      <c r="A936" s="64"/>
      <c r="B936" s="64"/>
      <c r="C936" s="64"/>
      <c r="D936" s="64"/>
      <c r="E936" s="64"/>
      <c r="F936" s="64"/>
      <c r="G936" s="64"/>
      <c r="H936" s="64"/>
      <c r="I936" s="64"/>
      <c r="J936" s="64"/>
      <c r="K936" s="64"/>
      <c r="L936" s="64"/>
      <c r="M936" s="64"/>
      <c r="N936" s="64"/>
      <c r="O936" s="64"/>
      <c r="P936" s="64"/>
      <c r="Q936" s="64"/>
      <c r="R936" s="64"/>
      <c r="S936" s="64"/>
      <c r="T936" s="64"/>
      <c r="U936" s="64"/>
      <c r="V936" s="64"/>
      <c r="W936" s="64"/>
      <c r="X936" s="64"/>
      <c r="Y936" s="64"/>
      <c r="Z936" s="64"/>
      <c r="AA936" s="64"/>
      <c r="AB936" s="64"/>
      <c r="AC936" s="64"/>
      <c r="AD936" s="64"/>
      <c r="AE936" s="64"/>
      <c r="AF936" s="64"/>
      <c r="AG936" s="64"/>
      <c r="AH936" s="64"/>
    </row>
    <row r="937">
      <c r="A937" s="64"/>
      <c r="B937" s="64"/>
      <c r="C937" s="64"/>
      <c r="D937" s="64"/>
      <c r="E937" s="64"/>
      <c r="F937" s="64"/>
      <c r="G937" s="64"/>
      <c r="H937" s="64"/>
      <c r="I937" s="64"/>
      <c r="J937" s="64"/>
      <c r="K937" s="64"/>
      <c r="L937" s="64"/>
      <c r="M937" s="64"/>
      <c r="N937" s="64"/>
      <c r="O937" s="64"/>
      <c r="P937" s="64"/>
      <c r="Q937" s="64"/>
      <c r="R937" s="64"/>
      <c r="S937" s="64"/>
      <c r="T937" s="64"/>
      <c r="U937" s="64"/>
      <c r="V937" s="64"/>
      <c r="W937" s="64"/>
      <c r="X937" s="64"/>
      <c r="Y937" s="64"/>
      <c r="Z937" s="64"/>
      <c r="AA937" s="64"/>
      <c r="AB937" s="64"/>
      <c r="AC937" s="64"/>
      <c r="AD937" s="64"/>
      <c r="AE937" s="64"/>
      <c r="AF937" s="64"/>
      <c r="AG937" s="64"/>
      <c r="AH937" s="64"/>
    </row>
    <row r="938">
      <c r="A938" s="64"/>
      <c r="B938" s="64"/>
      <c r="C938" s="64"/>
      <c r="D938" s="64"/>
      <c r="E938" s="64"/>
      <c r="F938" s="64"/>
      <c r="G938" s="64"/>
      <c r="H938" s="64"/>
      <c r="I938" s="64"/>
      <c r="J938" s="64"/>
      <c r="K938" s="64"/>
      <c r="L938" s="64"/>
      <c r="M938" s="64"/>
      <c r="N938" s="64"/>
      <c r="O938" s="64"/>
      <c r="P938" s="64"/>
      <c r="Q938" s="64"/>
      <c r="R938" s="64"/>
      <c r="S938" s="64"/>
      <c r="T938" s="64"/>
      <c r="U938" s="64"/>
      <c r="V938" s="64"/>
      <c r="W938" s="64"/>
      <c r="X938" s="64"/>
      <c r="Y938" s="64"/>
      <c r="Z938" s="64"/>
      <c r="AA938" s="64"/>
      <c r="AB938" s="64"/>
      <c r="AC938" s="64"/>
      <c r="AD938" s="64"/>
      <c r="AE938" s="64"/>
      <c r="AF938" s="64"/>
      <c r="AG938" s="64"/>
      <c r="AH938" s="64"/>
    </row>
    <row r="939">
      <c r="A939" s="64"/>
      <c r="B939" s="64"/>
      <c r="C939" s="64"/>
      <c r="D939" s="64"/>
      <c r="E939" s="64"/>
      <c r="F939" s="64"/>
      <c r="G939" s="64"/>
      <c r="H939" s="64"/>
      <c r="I939" s="64"/>
      <c r="J939" s="64"/>
      <c r="K939" s="64"/>
      <c r="L939" s="64"/>
      <c r="M939" s="64"/>
      <c r="N939" s="64"/>
      <c r="O939" s="64"/>
      <c r="P939" s="64"/>
      <c r="Q939" s="64"/>
      <c r="R939" s="64"/>
      <c r="S939" s="64"/>
      <c r="T939" s="64"/>
      <c r="U939" s="64"/>
      <c r="V939" s="64"/>
      <c r="W939" s="64"/>
      <c r="X939" s="64"/>
      <c r="Y939" s="64"/>
      <c r="Z939" s="64"/>
      <c r="AA939" s="64"/>
      <c r="AB939" s="64"/>
      <c r="AC939" s="64"/>
      <c r="AD939" s="64"/>
      <c r="AE939" s="64"/>
      <c r="AF939" s="64"/>
      <c r="AG939" s="64"/>
      <c r="AH939" s="64"/>
    </row>
    <row r="940">
      <c r="A940" s="64"/>
      <c r="B940" s="64"/>
      <c r="C940" s="64"/>
      <c r="D940" s="64"/>
      <c r="E940" s="64"/>
      <c r="F940" s="64"/>
      <c r="G940" s="64"/>
      <c r="H940" s="64"/>
      <c r="I940" s="64"/>
      <c r="J940" s="64"/>
      <c r="K940" s="64"/>
      <c r="L940" s="64"/>
      <c r="M940" s="64"/>
      <c r="N940" s="64"/>
      <c r="O940" s="64"/>
      <c r="P940" s="64"/>
      <c r="Q940" s="64"/>
      <c r="R940" s="64"/>
      <c r="S940" s="64"/>
      <c r="T940" s="64"/>
      <c r="U940" s="64"/>
      <c r="V940" s="64"/>
      <c r="W940" s="64"/>
      <c r="X940" s="64"/>
      <c r="Y940" s="64"/>
      <c r="Z940" s="64"/>
      <c r="AA940" s="64"/>
      <c r="AB940" s="64"/>
      <c r="AC940" s="64"/>
      <c r="AD940" s="64"/>
      <c r="AE940" s="64"/>
      <c r="AF940" s="64"/>
      <c r="AG940" s="64"/>
      <c r="AH940" s="64"/>
    </row>
    <row r="941">
      <c r="A941" s="64"/>
      <c r="B941" s="64"/>
      <c r="C941" s="64"/>
      <c r="D941" s="64"/>
      <c r="E941" s="64"/>
      <c r="F941" s="64"/>
      <c r="G941" s="64"/>
      <c r="H941" s="64"/>
      <c r="I941" s="64"/>
      <c r="J941" s="64"/>
      <c r="K941" s="64"/>
      <c r="L941" s="64"/>
      <c r="M941" s="64"/>
      <c r="N941" s="64"/>
      <c r="O941" s="64"/>
      <c r="P941" s="64"/>
      <c r="Q941" s="64"/>
      <c r="R941" s="64"/>
      <c r="S941" s="64"/>
      <c r="T941" s="64"/>
      <c r="U941" s="64"/>
      <c r="V941" s="64"/>
      <c r="W941" s="64"/>
      <c r="X941" s="64"/>
      <c r="Y941" s="64"/>
      <c r="Z941" s="64"/>
      <c r="AA941" s="64"/>
      <c r="AB941" s="64"/>
      <c r="AC941" s="64"/>
      <c r="AD941" s="64"/>
      <c r="AE941" s="64"/>
      <c r="AF941" s="64"/>
      <c r="AG941" s="64"/>
      <c r="AH941" s="64"/>
    </row>
    <row r="942">
      <c r="A942" s="64"/>
      <c r="B942" s="64"/>
      <c r="C942" s="64"/>
      <c r="D942" s="64"/>
      <c r="E942" s="64"/>
      <c r="F942" s="64"/>
      <c r="G942" s="64"/>
      <c r="H942" s="64"/>
      <c r="I942" s="64"/>
      <c r="J942" s="64"/>
      <c r="K942" s="64"/>
      <c r="L942" s="64"/>
      <c r="M942" s="64"/>
      <c r="N942" s="64"/>
      <c r="O942" s="64"/>
      <c r="P942" s="64"/>
      <c r="Q942" s="64"/>
      <c r="R942" s="64"/>
      <c r="S942" s="64"/>
      <c r="T942" s="64"/>
      <c r="U942" s="64"/>
      <c r="V942" s="64"/>
      <c r="W942" s="64"/>
      <c r="X942" s="64"/>
      <c r="Y942" s="64"/>
      <c r="Z942" s="64"/>
      <c r="AA942" s="64"/>
      <c r="AB942" s="64"/>
      <c r="AC942" s="64"/>
      <c r="AD942" s="64"/>
      <c r="AE942" s="64"/>
      <c r="AF942" s="64"/>
      <c r="AG942" s="64"/>
      <c r="AH942" s="64"/>
    </row>
    <row r="943">
      <c r="A943" s="64"/>
      <c r="B943" s="64"/>
      <c r="C943" s="64"/>
      <c r="D943" s="64"/>
      <c r="E943" s="64"/>
      <c r="F943" s="64"/>
      <c r="G943" s="64"/>
      <c r="H943" s="64"/>
      <c r="I943" s="64"/>
      <c r="J943" s="64"/>
      <c r="K943" s="64"/>
      <c r="L943" s="64"/>
      <c r="M943" s="64"/>
      <c r="N943" s="64"/>
      <c r="O943" s="64"/>
      <c r="P943" s="64"/>
      <c r="Q943" s="64"/>
      <c r="R943" s="64"/>
      <c r="S943" s="64"/>
      <c r="T943" s="64"/>
      <c r="U943" s="64"/>
      <c r="V943" s="64"/>
      <c r="W943" s="64"/>
      <c r="X943" s="64"/>
      <c r="Y943" s="64"/>
      <c r="Z943" s="64"/>
      <c r="AA943" s="64"/>
      <c r="AB943" s="64"/>
      <c r="AC943" s="64"/>
      <c r="AD943" s="64"/>
      <c r="AE943" s="64"/>
      <c r="AF943" s="64"/>
      <c r="AG943" s="64"/>
      <c r="AH943" s="64"/>
    </row>
    <row r="944">
      <c r="A944" s="64"/>
      <c r="B944" s="64"/>
      <c r="C944" s="64"/>
      <c r="D944" s="64"/>
      <c r="E944" s="64"/>
      <c r="F944" s="64"/>
      <c r="G944" s="64"/>
      <c r="H944" s="64"/>
      <c r="I944" s="64"/>
      <c r="J944" s="64"/>
      <c r="K944" s="64"/>
      <c r="L944" s="64"/>
      <c r="M944" s="64"/>
      <c r="N944" s="64"/>
      <c r="O944" s="64"/>
      <c r="P944" s="64"/>
      <c r="Q944" s="64"/>
      <c r="R944" s="64"/>
      <c r="S944" s="64"/>
      <c r="T944" s="64"/>
      <c r="U944" s="64"/>
      <c r="V944" s="64"/>
      <c r="W944" s="64"/>
      <c r="X944" s="64"/>
      <c r="Y944" s="64"/>
      <c r="Z944" s="64"/>
      <c r="AA944" s="64"/>
      <c r="AB944" s="64"/>
      <c r="AC944" s="64"/>
      <c r="AD944" s="64"/>
      <c r="AE944" s="64"/>
      <c r="AF944" s="64"/>
      <c r="AG944" s="64"/>
      <c r="AH944" s="64"/>
    </row>
    <row r="945">
      <c r="A945" s="64"/>
      <c r="B945" s="64"/>
      <c r="C945" s="64"/>
      <c r="D945" s="64"/>
      <c r="E945" s="64"/>
      <c r="F945" s="64"/>
      <c r="G945" s="64"/>
      <c r="H945" s="64"/>
      <c r="I945" s="64"/>
      <c r="J945" s="64"/>
      <c r="K945" s="64"/>
      <c r="L945" s="64"/>
      <c r="M945" s="64"/>
      <c r="N945" s="64"/>
      <c r="O945" s="64"/>
      <c r="P945" s="64"/>
      <c r="Q945" s="64"/>
      <c r="R945" s="64"/>
      <c r="S945" s="64"/>
      <c r="T945" s="64"/>
      <c r="U945" s="64"/>
      <c r="V945" s="64"/>
      <c r="W945" s="64"/>
      <c r="X945" s="64"/>
      <c r="Y945" s="64"/>
      <c r="Z945" s="64"/>
      <c r="AA945" s="64"/>
      <c r="AB945" s="64"/>
      <c r="AC945" s="64"/>
      <c r="AD945" s="64"/>
      <c r="AE945" s="64"/>
      <c r="AF945" s="64"/>
      <c r="AG945" s="64"/>
      <c r="AH945" s="64"/>
    </row>
    <row r="946">
      <c r="A946" s="64"/>
      <c r="B946" s="64"/>
      <c r="C946" s="64"/>
      <c r="D946" s="64"/>
      <c r="E946" s="64"/>
      <c r="F946" s="64"/>
      <c r="G946" s="64"/>
      <c r="H946" s="64"/>
      <c r="I946" s="64"/>
      <c r="J946" s="64"/>
      <c r="K946" s="64"/>
      <c r="L946" s="64"/>
      <c r="M946" s="64"/>
      <c r="N946" s="64"/>
      <c r="O946" s="64"/>
      <c r="P946" s="64"/>
      <c r="Q946" s="64"/>
      <c r="R946" s="64"/>
      <c r="S946" s="64"/>
      <c r="T946" s="64"/>
      <c r="U946" s="64"/>
      <c r="V946" s="64"/>
      <c r="W946" s="64"/>
      <c r="X946" s="64"/>
      <c r="Y946" s="64"/>
      <c r="Z946" s="64"/>
      <c r="AA946" s="64"/>
      <c r="AB946" s="64"/>
      <c r="AC946" s="64"/>
      <c r="AD946" s="64"/>
      <c r="AE946" s="64"/>
      <c r="AF946" s="64"/>
      <c r="AG946" s="64"/>
      <c r="AH946" s="64"/>
    </row>
    <row r="947">
      <c r="A947" s="64"/>
      <c r="B947" s="64"/>
      <c r="C947" s="64"/>
      <c r="D947" s="64"/>
      <c r="E947" s="64"/>
      <c r="F947" s="64"/>
      <c r="G947" s="64"/>
      <c r="H947" s="64"/>
      <c r="I947" s="64"/>
      <c r="J947" s="64"/>
      <c r="K947" s="64"/>
      <c r="L947" s="64"/>
      <c r="M947" s="64"/>
      <c r="N947" s="64"/>
      <c r="O947" s="64"/>
      <c r="P947" s="64"/>
      <c r="Q947" s="64"/>
      <c r="R947" s="64"/>
      <c r="S947" s="64"/>
      <c r="T947" s="64"/>
      <c r="U947" s="64"/>
      <c r="V947" s="64"/>
      <c r="W947" s="64"/>
      <c r="X947" s="64"/>
      <c r="Y947" s="64"/>
      <c r="Z947" s="64"/>
      <c r="AA947" s="64"/>
      <c r="AB947" s="64"/>
      <c r="AC947" s="64"/>
      <c r="AD947" s="64"/>
      <c r="AE947" s="64"/>
      <c r="AF947" s="64"/>
      <c r="AG947" s="64"/>
      <c r="AH947" s="64"/>
    </row>
    <row r="948">
      <c r="A948" s="64"/>
      <c r="B948" s="64"/>
      <c r="C948" s="64"/>
      <c r="D948" s="64"/>
      <c r="E948" s="64"/>
      <c r="F948" s="64"/>
      <c r="G948" s="64"/>
      <c r="H948" s="64"/>
      <c r="I948" s="64"/>
      <c r="J948" s="64"/>
      <c r="K948" s="64"/>
      <c r="L948" s="64"/>
      <c r="M948" s="64"/>
      <c r="N948" s="64"/>
      <c r="O948" s="64"/>
      <c r="P948" s="64"/>
      <c r="Q948" s="64"/>
      <c r="R948" s="64"/>
      <c r="S948" s="64"/>
      <c r="T948" s="64"/>
      <c r="U948" s="64"/>
      <c r="V948" s="64"/>
      <c r="W948" s="64"/>
      <c r="X948" s="64"/>
      <c r="Y948" s="64"/>
      <c r="Z948" s="64"/>
      <c r="AA948" s="64"/>
      <c r="AB948" s="64"/>
      <c r="AC948" s="64"/>
      <c r="AD948" s="64"/>
      <c r="AE948" s="64"/>
      <c r="AF948" s="64"/>
      <c r="AG948" s="64"/>
      <c r="AH948" s="64"/>
    </row>
    <row r="949">
      <c r="A949" s="64"/>
      <c r="B949" s="64"/>
      <c r="C949" s="64"/>
      <c r="D949" s="64"/>
      <c r="E949" s="64"/>
      <c r="F949" s="64"/>
      <c r="G949" s="64"/>
      <c r="H949" s="64"/>
      <c r="I949" s="64"/>
      <c r="J949" s="64"/>
      <c r="K949" s="64"/>
      <c r="L949" s="64"/>
      <c r="M949" s="64"/>
      <c r="N949" s="64"/>
      <c r="O949" s="64"/>
      <c r="P949" s="64"/>
      <c r="Q949" s="64"/>
      <c r="R949" s="64"/>
      <c r="S949" s="64"/>
      <c r="T949" s="64"/>
      <c r="U949" s="64"/>
      <c r="V949" s="64"/>
      <c r="W949" s="64"/>
      <c r="X949" s="64"/>
      <c r="Y949" s="64"/>
      <c r="Z949" s="64"/>
      <c r="AA949" s="64"/>
      <c r="AB949" s="64"/>
      <c r="AC949" s="64"/>
      <c r="AD949" s="64"/>
      <c r="AE949" s="64"/>
      <c r="AF949" s="64"/>
      <c r="AG949" s="64"/>
      <c r="AH949" s="64"/>
    </row>
    <row r="950">
      <c r="A950" s="64"/>
      <c r="B950" s="64"/>
      <c r="C950" s="64"/>
      <c r="D950" s="64"/>
      <c r="E950" s="64"/>
      <c r="F950" s="64"/>
      <c r="G950" s="64"/>
      <c r="H950" s="64"/>
      <c r="I950" s="64"/>
      <c r="J950" s="64"/>
      <c r="K950" s="64"/>
      <c r="L950" s="64"/>
      <c r="M950" s="64"/>
      <c r="N950" s="64"/>
      <c r="O950" s="64"/>
      <c r="P950" s="64"/>
      <c r="Q950" s="64"/>
      <c r="R950" s="64"/>
      <c r="S950" s="64"/>
      <c r="T950" s="64"/>
      <c r="U950" s="64"/>
      <c r="V950" s="64"/>
      <c r="W950" s="64"/>
      <c r="X950" s="64"/>
      <c r="Y950" s="64"/>
      <c r="Z950" s="64"/>
      <c r="AA950" s="64"/>
      <c r="AB950" s="64"/>
      <c r="AC950" s="64"/>
      <c r="AD950" s="64"/>
      <c r="AE950" s="64"/>
      <c r="AF950" s="64"/>
      <c r="AG950" s="64"/>
      <c r="AH950" s="64"/>
    </row>
    <row r="951">
      <c r="A951" s="64"/>
      <c r="B951" s="64"/>
      <c r="C951" s="64"/>
      <c r="D951" s="64"/>
      <c r="E951" s="64"/>
      <c r="F951" s="64"/>
      <c r="G951" s="64"/>
      <c r="H951" s="64"/>
      <c r="I951" s="64"/>
      <c r="J951" s="64"/>
      <c r="K951" s="64"/>
      <c r="L951" s="64"/>
      <c r="M951" s="64"/>
      <c r="N951" s="64"/>
      <c r="O951" s="64"/>
      <c r="P951" s="64"/>
      <c r="Q951" s="64"/>
      <c r="R951" s="64"/>
      <c r="S951" s="64"/>
      <c r="T951" s="64"/>
      <c r="U951" s="64"/>
      <c r="V951" s="64"/>
      <c r="W951" s="64"/>
      <c r="X951" s="64"/>
      <c r="Y951" s="64"/>
      <c r="Z951" s="64"/>
      <c r="AA951" s="64"/>
      <c r="AB951" s="64"/>
      <c r="AC951" s="64"/>
      <c r="AD951" s="64"/>
      <c r="AE951" s="64"/>
      <c r="AF951" s="64"/>
      <c r="AG951" s="64"/>
      <c r="AH951" s="64"/>
    </row>
    <row r="952">
      <c r="A952" s="64"/>
      <c r="B952" s="64"/>
      <c r="C952" s="64"/>
      <c r="D952" s="64"/>
      <c r="E952" s="64"/>
      <c r="F952" s="64"/>
      <c r="G952" s="64"/>
      <c r="H952" s="64"/>
      <c r="I952" s="64"/>
      <c r="J952" s="64"/>
      <c r="K952" s="64"/>
      <c r="L952" s="64"/>
      <c r="M952" s="64"/>
      <c r="N952" s="64"/>
      <c r="O952" s="64"/>
      <c r="P952" s="64"/>
      <c r="Q952" s="64"/>
      <c r="R952" s="64"/>
      <c r="S952" s="64"/>
      <c r="T952" s="64"/>
      <c r="U952" s="64"/>
      <c r="V952" s="64"/>
      <c r="W952" s="64"/>
      <c r="X952" s="64"/>
      <c r="Y952" s="64"/>
      <c r="Z952" s="64"/>
      <c r="AA952" s="64"/>
      <c r="AB952" s="64"/>
      <c r="AC952" s="64"/>
      <c r="AD952" s="64"/>
      <c r="AE952" s="64"/>
      <c r="AF952" s="64"/>
      <c r="AG952" s="64"/>
      <c r="AH952" s="64"/>
    </row>
    <row r="953">
      <c r="A953" s="64"/>
      <c r="B953" s="64"/>
      <c r="C953" s="64"/>
      <c r="D953" s="64"/>
      <c r="E953" s="64"/>
      <c r="F953" s="64"/>
      <c r="G953" s="64"/>
      <c r="H953" s="64"/>
      <c r="I953" s="64"/>
      <c r="J953" s="64"/>
      <c r="K953" s="64"/>
      <c r="L953" s="64"/>
      <c r="M953" s="64"/>
      <c r="N953" s="64"/>
      <c r="O953" s="64"/>
      <c r="P953" s="64"/>
      <c r="Q953" s="64"/>
      <c r="R953" s="64"/>
      <c r="S953" s="64"/>
      <c r="T953" s="64"/>
      <c r="U953" s="64"/>
      <c r="V953" s="64"/>
      <c r="W953" s="64"/>
      <c r="X953" s="64"/>
      <c r="Y953" s="64"/>
      <c r="Z953" s="64"/>
      <c r="AA953" s="64"/>
      <c r="AB953" s="64"/>
      <c r="AC953" s="64"/>
      <c r="AD953" s="64"/>
      <c r="AE953" s="64"/>
      <c r="AF953" s="64"/>
      <c r="AG953" s="64"/>
      <c r="AH953" s="64"/>
    </row>
    <row r="954">
      <c r="A954" s="64"/>
      <c r="B954" s="64"/>
      <c r="C954" s="64"/>
      <c r="D954" s="64"/>
      <c r="E954" s="64"/>
      <c r="F954" s="64"/>
      <c r="G954" s="64"/>
      <c r="H954" s="64"/>
      <c r="I954" s="64"/>
      <c r="J954" s="64"/>
      <c r="K954" s="64"/>
      <c r="L954" s="64"/>
      <c r="M954" s="64"/>
      <c r="N954" s="64"/>
      <c r="O954" s="64"/>
      <c r="P954" s="64"/>
      <c r="Q954" s="64"/>
      <c r="R954" s="64"/>
      <c r="S954" s="64"/>
      <c r="T954" s="64"/>
      <c r="U954" s="64"/>
      <c r="V954" s="64"/>
      <c r="W954" s="64"/>
      <c r="X954" s="64"/>
      <c r="Y954" s="64"/>
      <c r="Z954" s="64"/>
      <c r="AA954" s="64"/>
      <c r="AB954" s="64"/>
      <c r="AC954" s="64"/>
      <c r="AD954" s="64"/>
      <c r="AE954" s="64"/>
      <c r="AF954" s="64"/>
      <c r="AG954" s="64"/>
      <c r="AH954" s="64"/>
    </row>
    <row r="955">
      <c r="A955" s="64"/>
      <c r="B955" s="64"/>
      <c r="C955" s="64"/>
      <c r="D955" s="64"/>
      <c r="E955" s="64"/>
      <c r="F955" s="64"/>
      <c r="G955" s="64"/>
      <c r="H955" s="64"/>
      <c r="I955" s="64"/>
      <c r="J955" s="64"/>
      <c r="K955" s="64"/>
      <c r="L955" s="64"/>
      <c r="M955" s="64"/>
      <c r="N955" s="64"/>
      <c r="O955" s="64"/>
      <c r="P955" s="64"/>
      <c r="Q955" s="64"/>
      <c r="R955" s="64"/>
      <c r="S955" s="64"/>
      <c r="T955" s="64"/>
      <c r="U955" s="64"/>
      <c r="V955" s="64"/>
      <c r="W955" s="64"/>
      <c r="X955" s="64"/>
      <c r="Y955" s="64"/>
      <c r="Z955" s="64"/>
      <c r="AA955" s="64"/>
      <c r="AB955" s="64"/>
      <c r="AC955" s="64"/>
      <c r="AD955" s="64"/>
      <c r="AE955" s="64"/>
      <c r="AF955" s="64"/>
      <c r="AG955" s="64"/>
      <c r="AH955" s="64"/>
    </row>
    <row r="956">
      <c r="A956" s="64"/>
      <c r="B956" s="64"/>
      <c r="C956" s="64"/>
      <c r="D956" s="64"/>
      <c r="E956" s="64"/>
      <c r="F956" s="64"/>
      <c r="G956" s="64"/>
      <c r="H956" s="64"/>
      <c r="I956" s="64"/>
      <c r="J956" s="64"/>
      <c r="K956" s="64"/>
      <c r="L956" s="64"/>
      <c r="M956" s="64"/>
      <c r="N956" s="64"/>
      <c r="O956" s="64"/>
      <c r="P956" s="64"/>
      <c r="Q956" s="64"/>
      <c r="R956" s="64"/>
      <c r="S956" s="64"/>
      <c r="T956" s="64"/>
      <c r="U956" s="64"/>
      <c r="V956" s="64"/>
      <c r="W956" s="64"/>
      <c r="X956" s="64"/>
      <c r="Y956" s="64"/>
      <c r="Z956" s="64"/>
      <c r="AA956" s="64"/>
      <c r="AB956" s="64"/>
      <c r="AC956" s="64"/>
      <c r="AD956" s="64"/>
      <c r="AE956" s="64"/>
      <c r="AF956" s="64"/>
      <c r="AG956" s="64"/>
      <c r="AH956" s="64"/>
    </row>
    <row r="957">
      <c r="A957" s="64"/>
      <c r="B957" s="64"/>
      <c r="C957" s="64"/>
      <c r="D957" s="64"/>
      <c r="E957" s="64"/>
      <c r="F957" s="64"/>
      <c r="G957" s="64"/>
      <c r="H957" s="64"/>
      <c r="I957" s="64"/>
      <c r="J957" s="64"/>
      <c r="K957" s="64"/>
      <c r="L957" s="64"/>
      <c r="M957" s="64"/>
      <c r="N957" s="64"/>
      <c r="O957" s="64"/>
      <c r="P957" s="64"/>
      <c r="Q957" s="64"/>
      <c r="R957" s="64"/>
      <c r="S957" s="64"/>
      <c r="T957" s="64"/>
      <c r="U957" s="64"/>
      <c r="V957" s="64"/>
      <c r="W957" s="64"/>
      <c r="X957" s="64"/>
      <c r="Y957" s="64"/>
      <c r="Z957" s="64"/>
      <c r="AA957" s="64"/>
      <c r="AB957" s="64"/>
      <c r="AC957" s="64"/>
      <c r="AD957" s="64"/>
      <c r="AE957" s="64"/>
      <c r="AF957" s="64"/>
      <c r="AG957" s="64"/>
      <c r="AH957" s="64"/>
    </row>
    <row r="958">
      <c r="A958" s="64"/>
      <c r="B958" s="64"/>
      <c r="C958" s="64"/>
      <c r="D958" s="64"/>
      <c r="E958" s="64"/>
      <c r="F958" s="64"/>
      <c r="G958" s="64"/>
      <c r="H958" s="64"/>
      <c r="I958" s="64"/>
      <c r="J958" s="64"/>
      <c r="K958" s="64"/>
      <c r="L958" s="64"/>
      <c r="M958" s="64"/>
      <c r="N958" s="64"/>
      <c r="O958" s="64"/>
      <c r="P958" s="64"/>
      <c r="Q958" s="64"/>
      <c r="R958" s="64"/>
      <c r="S958" s="64"/>
      <c r="T958" s="64"/>
      <c r="U958" s="64"/>
      <c r="V958" s="64"/>
      <c r="W958" s="64"/>
      <c r="X958" s="64"/>
      <c r="Y958" s="64"/>
      <c r="Z958" s="64"/>
      <c r="AA958" s="64"/>
      <c r="AB958" s="64"/>
      <c r="AC958" s="64"/>
      <c r="AD958" s="64"/>
      <c r="AE958" s="64"/>
      <c r="AF958" s="64"/>
      <c r="AG958" s="64"/>
      <c r="AH958" s="64"/>
    </row>
    <row r="959">
      <c r="A959" s="64"/>
      <c r="B959" s="64"/>
      <c r="C959" s="64"/>
      <c r="D959" s="64"/>
      <c r="E959" s="64"/>
      <c r="F959" s="64"/>
      <c r="G959" s="64"/>
      <c r="H959" s="64"/>
      <c r="I959" s="64"/>
      <c r="J959" s="64"/>
      <c r="K959" s="64"/>
      <c r="L959" s="64"/>
      <c r="M959" s="64"/>
      <c r="N959" s="64"/>
      <c r="O959" s="64"/>
      <c r="P959" s="64"/>
      <c r="Q959" s="64"/>
      <c r="R959" s="64"/>
      <c r="S959" s="64"/>
      <c r="T959" s="64"/>
      <c r="U959" s="64"/>
      <c r="V959" s="64"/>
      <c r="W959" s="64"/>
      <c r="X959" s="64"/>
      <c r="Y959" s="64"/>
      <c r="Z959" s="64"/>
      <c r="AA959" s="64"/>
      <c r="AB959" s="64"/>
      <c r="AC959" s="64"/>
      <c r="AD959" s="64"/>
      <c r="AE959" s="64"/>
      <c r="AF959" s="64"/>
      <c r="AG959" s="64"/>
      <c r="AH959" s="64"/>
    </row>
    <row r="960">
      <c r="A960" s="64"/>
      <c r="B960" s="64"/>
      <c r="C960" s="64"/>
      <c r="D960" s="64"/>
      <c r="E960" s="64"/>
      <c r="F960" s="64"/>
      <c r="G960" s="64"/>
      <c r="H960" s="64"/>
      <c r="I960" s="64"/>
      <c r="J960" s="64"/>
      <c r="K960" s="64"/>
      <c r="L960" s="64"/>
      <c r="M960" s="64"/>
      <c r="N960" s="64"/>
      <c r="O960" s="64"/>
      <c r="P960" s="64"/>
      <c r="Q960" s="64"/>
      <c r="R960" s="64"/>
      <c r="S960" s="64"/>
      <c r="T960" s="64"/>
      <c r="U960" s="64"/>
      <c r="V960" s="64"/>
      <c r="W960" s="64"/>
      <c r="X960" s="64"/>
      <c r="Y960" s="64"/>
      <c r="Z960" s="64"/>
      <c r="AA960" s="64"/>
      <c r="AB960" s="64"/>
      <c r="AC960" s="64"/>
      <c r="AD960" s="64"/>
      <c r="AE960" s="64"/>
      <c r="AF960" s="64"/>
      <c r="AG960" s="64"/>
      <c r="AH960" s="64"/>
    </row>
    <row r="961">
      <c r="A961" s="64"/>
      <c r="B961" s="64"/>
      <c r="C961" s="64"/>
      <c r="D961" s="64"/>
      <c r="E961" s="64"/>
      <c r="F961" s="64"/>
      <c r="G961" s="64"/>
      <c r="H961" s="64"/>
      <c r="I961" s="64"/>
      <c r="J961" s="64"/>
      <c r="K961" s="64"/>
      <c r="L961" s="64"/>
      <c r="M961" s="64"/>
      <c r="N961" s="64"/>
      <c r="O961" s="64"/>
      <c r="P961" s="64"/>
      <c r="Q961" s="64"/>
      <c r="R961" s="64"/>
      <c r="S961" s="64"/>
      <c r="T961" s="64"/>
      <c r="U961" s="64"/>
      <c r="V961" s="64"/>
      <c r="W961" s="64"/>
      <c r="X961" s="64"/>
      <c r="Y961" s="64"/>
      <c r="Z961" s="64"/>
      <c r="AA961" s="64"/>
      <c r="AB961" s="64"/>
      <c r="AC961" s="64"/>
      <c r="AD961" s="64"/>
      <c r="AE961" s="64"/>
      <c r="AF961" s="64"/>
      <c r="AG961" s="64"/>
      <c r="AH961" s="64"/>
    </row>
    <row r="962">
      <c r="A962" s="64"/>
      <c r="B962" s="64"/>
      <c r="C962" s="64"/>
      <c r="D962" s="64"/>
      <c r="E962" s="64"/>
      <c r="F962" s="64"/>
      <c r="G962" s="64"/>
      <c r="H962" s="64"/>
      <c r="I962" s="64"/>
      <c r="J962" s="64"/>
      <c r="K962" s="64"/>
      <c r="L962" s="64"/>
      <c r="M962" s="64"/>
      <c r="N962" s="64"/>
      <c r="O962" s="64"/>
      <c r="P962" s="64"/>
      <c r="Q962" s="64"/>
      <c r="R962" s="64"/>
      <c r="S962" s="64"/>
      <c r="T962" s="64"/>
      <c r="U962" s="64"/>
      <c r="V962" s="64"/>
      <c r="W962" s="64"/>
      <c r="X962" s="64"/>
      <c r="Y962" s="64"/>
      <c r="Z962" s="64"/>
      <c r="AA962" s="64"/>
      <c r="AB962" s="64"/>
      <c r="AC962" s="64"/>
      <c r="AD962" s="64"/>
      <c r="AE962" s="64"/>
      <c r="AF962" s="64"/>
      <c r="AG962" s="64"/>
      <c r="AH962" s="64"/>
    </row>
    <row r="963">
      <c r="A963" s="64"/>
      <c r="B963" s="64"/>
      <c r="C963" s="64"/>
      <c r="D963" s="64"/>
      <c r="E963" s="64"/>
      <c r="F963" s="64"/>
      <c r="G963" s="64"/>
      <c r="H963" s="64"/>
      <c r="I963" s="64"/>
      <c r="J963" s="64"/>
      <c r="K963" s="64"/>
      <c r="L963" s="64"/>
      <c r="M963" s="64"/>
      <c r="N963" s="64"/>
      <c r="O963" s="64"/>
      <c r="P963" s="64"/>
      <c r="Q963" s="64"/>
      <c r="R963" s="64"/>
      <c r="S963" s="64"/>
      <c r="T963" s="64"/>
      <c r="U963" s="64"/>
      <c r="V963" s="64"/>
      <c r="W963" s="64"/>
      <c r="X963" s="64"/>
      <c r="Y963" s="64"/>
      <c r="Z963" s="64"/>
      <c r="AA963" s="64"/>
      <c r="AB963" s="64"/>
      <c r="AC963" s="64"/>
      <c r="AD963" s="64"/>
      <c r="AE963" s="64"/>
      <c r="AF963" s="64"/>
      <c r="AG963" s="64"/>
      <c r="AH963" s="64"/>
    </row>
    <row r="964">
      <c r="A964" s="64"/>
      <c r="B964" s="64"/>
      <c r="C964" s="64"/>
      <c r="D964" s="64"/>
      <c r="E964" s="64"/>
      <c r="F964" s="64"/>
      <c r="G964" s="64"/>
      <c r="H964" s="64"/>
      <c r="I964" s="64"/>
      <c r="J964" s="64"/>
      <c r="K964" s="64"/>
      <c r="L964" s="64"/>
      <c r="M964" s="64"/>
      <c r="N964" s="64"/>
      <c r="O964" s="64"/>
      <c r="P964" s="64"/>
      <c r="Q964" s="64"/>
      <c r="R964" s="64"/>
      <c r="S964" s="64"/>
      <c r="T964" s="64"/>
      <c r="U964" s="64"/>
      <c r="V964" s="64"/>
      <c r="W964" s="64"/>
      <c r="X964" s="64"/>
      <c r="Y964" s="64"/>
      <c r="Z964" s="64"/>
      <c r="AA964" s="64"/>
      <c r="AB964" s="64"/>
      <c r="AC964" s="64"/>
      <c r="AD964" s="64"/>
      <c r="AE964" s="64"/>
      <c r="AF964" s="64"/>
      <c r="AG964" s="64"/>
      <c r="AH964" s="64"/>
    </row>
    <row r="965">
      <c r="A965" s="64"/>
      <c r="B965" s="64"/>
      <c r="C965" s="64"/>
      <c r="D965" s="64"/>
      <c r="E965" s="64"/>
      <c r="F965" s="64"/>
      <c r="G965" s="64"/>
      <c r="H965" s="64"/>
      <c r="I965" s="64"/>
      <c r="J965" s="64"/>
      <c r="K965" s="64"/>
      <c r="L965" s="64"/>
      <c r="M965" s="64"/>
      <c r="N965" s="64"/>
      <c r="O965" s="64"/>
      <c r="P965" s="64"/>
      <c r="Q965" s="64"/>
      <c r="R965" s="64"/>
      <c r="S965" s="64"/>
      <c r="T965" s="64"/>
      <c r="U965" s="64"/>
      <c r="V965" s="64"/>
      <c r="W965" s="64"/>
      <c r="X965" s="64"/>
      <c r="Y965" s="64"/>
      <c r="Z965" s="64"/>
      <c r="AA965" s="64"/>
      <c r="AB965" s="64"/>
      <c r="AC965" s="64"/>
      <c r="AD965" s="64"/>
      <c r="AE965" s="64"/>
      <c r="AF965" s="64"/>
      <c r="AG965" s="64"/>
      <c r="AH965" s="64"/>
    </row>
    <row r="966">
      <c r="A966" s="64"/>
      <c r="B966" s="64"/>
      <c r="C966" s="64"/>
      <c r="D966" s="64"/>
      <c r="E966" s="64"/>
      <c r="F966" s="64"/>
      <c r="G966" s="64"/>
      <c r="H966" s="64"/>
      <c r="I966" s="64"/>
      <c r="J966" s="64"/>
      <c r="K966" s="64"/>
      <c r="L966" s="64"/>
      <c r="M966" s="64"/>
      <c r="N966" s="64"/>
      <c r="O966" s="64"/>
      <c r="P966" s="64"/>
      <c r="Q966" s="64"/>
      <c r="R966" s="64"/>
      <c r="S966" s="64"/>
      <c r="T966" s="64"/>
      <c r="U966" s="64"/>
      <c r="V966" s="64"/>
      <c r="W966" s="64"/>
      <c r="X966" s="64"/>
      <c r="Y966" s="64"/>
      <c r="Z966" s="64"/>
      <c r="AA966" s="64"/>
      <c r="AB966" s="64"/>
      <c r="AC966" s="64"/>
      <c r="AD966" s="64"/>
      <c r="AE966" s="64"/>
      <c r="AF966" s="64"/>
      <c r="AG966" s="64"/>
      <c r="AH966" s="64"/>
    </row>
    <row r="967">
      <c r="A967" s="64"/>
      <c r="B967" s="64"/>
      <c r="C967" s="64"/>
      <c r="D967" s="64"/>
      <c r="E967" s="64"/>
      <c r="F967" s="64"/>
      <c r="G967" s="64"/>
      <c r="H967" s="64"/>
      <c r="I967" s="64"/>
      <c r="J967" s="64"/>
      <c r="K967" s="64"/>
      <c r="L967" s="64"/>
      <c r="M967" s="64"/>
      <c r="N967" s="64"/>
      <c r="O967" s="64"/>
      <c r="P967" s="64"/>
      <c r="Q967" s="64"/>
      <c r="R967" s="64"/>
      <c r="S967" s="64"/>
      <c r="T967" s="64"/>
      <c r="U967" s="64"/>
      <c r="V967" s="64"/>
      <c r="W967" s="64"/>
      <c r="X967" s="64"/>
      <c r="Y967" s="64"/>
      <c r="Z967" s="64"/>
      <c r="AA967" s="64"/>
      <c r="AB967" s="64"/>
      <c r="AC967" s="64"/>
      <c r="AD967" s="64"/>
      <c r="AE967" s="64"/>
      <c r="AF967" s="64"/>
      <c r="AG967" s="64"/>
      <c r="AH967" s="64"/>
    </row>
    <row r="968">
      <c r="A968" s="64"/>
      <c r="B968" s="64"/>
      <c r="C968" s="64"/>
      <c r="D968" s="64"/>
      <c r="E968" s="64"/>
      <c r="F968" s="64"/>
      <c r="G968" s="64"/>
      <c r="H968" s="64"/>
      <c r="I968" s="64"/>
      <c r="J968" s="64"/>
      <c r="K968" s="64"/>
      <c r="L968" s="64"/>
      <c r="M968" s="64"/>
      <c r="N968" s="64"/>
      <c r="O968" s="64"/>
      <c r="P968" s="64"/>
      <c r="Q968" s="64"/>
      <c r="R968" s="64"/>
      <c r="S968" s="64"/>
      <c r="T968" s="64"/>
      <c r="U968" s="64"/>
      <c r="V968" s="64"/>
      <c r="W968" s="64"/>
      <c r="X968" s="64"/>
      <c r="Y968" s="64"/>
      <c r="Z968" s="64"/>
      <c r="AA968" s="64"/>
      <c r="AB968" s="64"/>
      <c r="AC968" s="64"/>
      <c r="AD968" s="64"/>
      <c r="AE968" s="64"/>
      <c r="AF968" s="64"/>
      <c r="AG968" s="64"/>
      <c r="AH968" s="64"/>
    </row>
    <row r="969">
      <c r="A969" s="64"/>
      <c r="B969" s="64"/>
      <c r="C969" s="64"/>
      <c r="D969" s="64"/>
      <c r="E969" s="64"/>
      <c r="F969" s="64"/>
      <c r="G969" s="64"/>
      <c r="H969" s="64"/>
      <c r="I969" s="64"/>
      <c r="J969" s="64"/>
      <c r="K969" s="64"/>
      <c r="L969" s="64"/>
      <c r="M969" s="64"/>
      <c r="N969" s="64"/>
      <c r="O969" s="64"/>
      <c r="P969" s="64"/>
      <c r="Q969" s="64"/>
      <c r="R969" s="64"/>
      <c r="S969" s="64"/>
      <c r="T969" s="64"/>
      <c r="U969" s="64"/>
      <c r="V969" s="64"/>
      <c r="W969" s="64"/>
      <c r="X969" s="64"/>
      <c r="Y969" s="64"/>
      <c r="Z969" s="64"/>
      <c r="AA969" s="64"/>
      <c r="AB969" s="64"/>
      <c r="AC969" s="64"/>
      <c r="AD969" s="64"/>
      <c r="AE969" s="64"/>
      <c r="AF969" s="64"/>
      <c r="AG969" s="64"/>
      <c r="AH969" s="64"/>
    </row>
    <row r="970">
      <c r="A970" s="64"/>
      <c r="B970" s="64"/>
      <c r="C970" s="64"/>
      <c r="D970" s="64"/>
      <c r="E970" s="64"/>
      <c r="F970" s="64"/>
      <c r="G970" s="64"/>
      <c r="H970" s="64"/>
      <c r="I970" s="64"/>
      <c r="J970" s="64"/>
      <c r="K970" s="64"/>
      <c r="L970" s="64"/>
      <c r="M970" s="64"/>
      <c r="N970" s="64"/>
      <c r="O970" s="64"/>
      <c r="P970" s="64"/>
      <c r="Q970" s="64"/>
      <c r="R970" s="64"/>
      <c r="S970" s="64"/>
      <c r="T970" s="64"/>
      <c r="U970" s="64"/>
      <c r="V970" s="64"/>
      <c r="W970" s="64"/>
      <c r="X970" s="64"/>
      <c r="Y970" s="64"/>
      <c r="Z970" s="64"/>
      <c r="AA970" s="64"/>
      <c r="AB970" s="64"/>
      <c r="AC970" s="64"/>
      <c r="AD970" s="64"/>
      <c r="AE970" s="64"/>
      <c r="AF970" s="64"/>
      <c r="AG970" s="64"/>
      <c r="AH970" s="64"/>
    </row>
    <row r="971">
      <c r="A971" s="64"/>
      <c r="B971" s="64"/>
      <c r="C971" s="64"/>
      <c r="D971" s="64"/>
      <c r="E971" s="64"/>
      <c r="F971" s="64"/>
      <c r="G971" s="64"/>
      <c r="H971" s="64"/>
      <c r="I971" s="64"/>
      <c r="J971" s="64"/>
      <c r="K971" s="64"/>
      <c r="L971" s="64"/>
      <c r="M971" s="64"/>
      <c r="N971" s="64"/>
      <c r="O971" s="64"/>
      <c r="P971" s="64"/>
      <c r="Q971" s="64"/>
      <c r="R971" s="64"/>
      <c r="S971" s="64"/>
      <c r="T971" s="64"/>
      <c r="U971" s="64"/>
      <c r="V971" s="64"/>
      <c r="W971" s="64"/>
      <c r="X971" s="64"/>
      <c r="Y971" s="64"/>
      <c r="Z971" s="64"/>
      <c r="AA971" s="64"/>
      <c r="AB971" s="64"/>
      <c r="AC971" s="64"/>
      <c r="AD971" s="64"/>
      <c r="AE971" s="64"/>
      <c r="AF971" s="64"/>
      <c r="AG971" s="64"/>
      <c r="AH971" s="64"/>
    </row>
    <row r="972">
      <c r="A972" s="64"/>
      <c r="B972" s="64"/>
      <c r="C972" s="64"/>
      <c r="D972" s="64"/>
      <c r="E972" s="64"/>
      <c r="F972" s="64"/>
      <c r="G972" s="64"/>
      <c r="H972" s="64"/>
      <c r="I972" s="64"/>
      <c r="J972" s="64"/>
      <c r="K972" s="64"/>
      <c r="L972" s="64"/>
      <c r="M972" s="64"/>
      <c r="N972" s="64"/>
      <c r="O972" s="64"/>
      <c r="P972" s="64"/>
      <c r="Q972" s="64"/>
      <c r="R972" s="64"/>
      <c r="S972" s="64"/>
      <c r="T972" s="64"/>
      <c r="U972" s="64"/>
      <c r="V972" s="64"/>
      <c r="W972" s="64"/>
      <c r="X972" s="64"/>
      <c r="Y972" s="64"/>
      <c r="Z972" s="64"/>
      <c r="AA972" s="64"/>
      <c r="AB972" s="64"/>
      <c r="AC972" s="64"/>
      <c r="AD972" s="64"/>
      <c r="AE972" s="64"/>
      <c r="AF972" s="64"/>
      <c r="AG972" s="64"/>
      <c r="AH972" s="64"/>
    </row>
    <row r="973">
      <c r="A973" s="64"/>
      <c r="B973" s="64"/>
      <c r="C973" s="64"/>
      <c r="D973" s="64"/>
      <c r="E973" s="64"/>
      <c r="F973" s="64"/>
      <c r="G973" s="64"/>
      <c r="H973" s="64"/>
      <c r="I973" s="64"/>
      <c r="J973" s="64"/>
      <c r="K973" s="64"/>
      <c r="L973" s="64"/>
      <c r="M973" s="64"/>
      <c r="N973" s="64"/>
      <c r="O973" s="64"/>
      <c r="P973" s="64"/>
      <c r="Q973" s="64"/>
      <c r="R973" s="64"/>
      <c r="S973" s="64"/>
      <c r="T973" s="64"/>
      <c r="U973" s="64"/>
      <c r="V973" s="64"/>
      <c r="W973" s="64"/>
      <c r="X973" s="64"/>
      <c r="Y973" s="64"/>
      <c r="Z973" s="64"/>
      <c r="AA973" s="64"/>
      <c r="AB973" s="64"/>
      <c r="AC973" s="64"/>
      <c r="AD973" s="64"/>
      <c r="AE973" s="64"/>
      <c r="AF973" s="64"/>
      <c r="AG973" s="64"/>
      <c r="AH973" s="64"/>
    </row>
    <row r="974">
      <c r="A974" s="64"/>
      <c r="B974" s="64"/>
      <c r="C974" s="64"/>
      <c r="D974" s="64"/>
      <c r="E974" s="64"/>
      <c r="F974" s="64"/>
      <c r="G974" s="64"/>
      <c r="H974" s="64"/>
      <c r="I974" s="64"/>
      <c r="J974" s="64"/>
      <c r="K974" s="64"/>
      <c r="L974" s="64"/>
      <c r="M974" s="64"/>
      <c r="N974" s="64"/>
      <c r="O974" s="64"/>
      <c r="P974" s="64"/>
      <c r="Q974" s="64"/>
      <c r="R974" s="64"/>
      <c r="S974" s="64"/>
      <c r="T974" s="64"/>
      <c r="U974" s="64"/>
      <c r="V974" s="64"/>
      <c r="W974" s="64"/>
      <c r="X974" s="64"/>
      <c r="Y974" s="64"/>
      <c r="Z974" s="64"/>
      <c r="AA974" s="64"/>
      <c r="AB974" s="64"/>
      <c r="AC974" s="64"/>
      <c r="AD974" s="64"/>
      <c r="AE974" s="64"/>
      <c r="AF974" s="64"/>
      <c r="AG974" s="64"/>
      <c r="AH974" s="64"/>
    </row>
    <row r="975">
      <c r="A975" s="64"/>
      <c r="B975" s="64"/>
      <c r="C975" s="64"/>
      <c r="D975" s="64"/>
      <c r="E975" s="64"/>
      <c r="F975" s="64"/>
      <c r="G975" s="64"/>
      <c r="H975" s="64"/>
      <c r="I975" s="64"/>
      <c r="J975" s="64"/>
      <c r="K975" s="64"/>
      <c r="L975" s="64"/>
      <c r="M975" s="64"/>
      <c r="N975" s="64"/>
      <c r="O975" s="64"/>
      <c r="P975" s="64"/>
      <c r="Q975" s="64"/>
      <c r="R975" s="64"/>
      <c r="S975" s="64"/>
      <c r="T975" s="64"/>
      <c r="U975" s="64"/>
      <c r="V975" s="64"/>
      <c r="W975" s="64"/>
      <c r="X975" s="64"/>
      <c r="Y975" s="64"/>
      <c r="Z975" s="64"/>
      <c r="AA975" s="64"/>
      <c r="AB975" s="64"/>
      <c r="AC975" s="64"/>
      <c r="AD975" s="64"/>
      <c r="AE975" s="64"/>
      <c r="AF975" s="64"/>
      <c r="AG975" s="64"/>
      <c r="AH975" s="64"/>
    </row>
    <row r="976">
      <c r="A976" s="64"/>
      <c r="B976" s="64"/>
      <c r="C976" s="64"/>
      <c r="D976" s="64"/>
      <c r="E976" s="64"/>
      <c r="F976" s="64"/>
      <c r="G976" s="64"/>
      <c r="H976" s="64"/>
      <c r="I976" s="64"/>
      <c r="J976" s="64"/>
      <c r="K976" s="64"/>
      <c r="L976" s="64"/>
      <c r="M976" s="64"/>
      <c r="N976" s="64"/>
      <c r="O976" s="64"/>
      <c r="P976" s="64"/>
      <c r="Q976" s="64"/>
      <c r="R976" s="64"/>
      <c r="S976" s="64"/>
      <c r="T976" s="64"/>
      <c r="U976" s="64"/>
      <c r="V976" s="64"/>
      <c r="W976" s="64"/>
      <c r="X976" s="64"/>
      <c r="Y976" s="64"/>
      <c r="Z976" s="64"/>
      <c r="AA976" s="64"/>
      <c r="AB976" s="64"/>
      <c r="AC976" s="64"/>
      <c r="AD976" s="64"/>
      <c r="AE976" s="64"/>
      <c r="AF976" s="64"/>
      <c r="AG976" s="64"/>
      <c r="AH976" s="64"/>
    </row>
    <row r="977">
      <c r="A977" s="64"/>
      <c r="B977" s="64"/>
      <c r="C977" s="64"/>
      <c r="D977" s="64"/>
      <c r="E977" s="64"/>
      <c r="F977" s="64"/>
      <c r="G977" s="64"/>
      <c r="H977" s="64"/>
      <c r="I977" s="64"/>
      <c r="J977" s="64"/>
      <c r="K977" s="64"/>
      <c r="L977" s="64"/>
      <c r="M977" s="64"/>
      <c r="N977" s="64"/>
      <c r="O977" s="64"/>
      <c r="P977" s="64"/>
      <c r="Q977" s="64"/>
      <c r="R977" s="64"/>
      <c r="S977" s="64"/>
      <c r="T977" s="64"/>
      <c r="U977" s="64"/>
      <c r="V977" s="64"/>
      <c r="W977" s="64"/>
      <c r="X977" s="64"/>
      <c r="Y977" s="64"/>
      <c r="Z977" s="64"/>
      <c r="AA977" s="64"/>
      <c r="AB977" s="64"/>
      <c r="AC977" s="64"/>
      <c r="AD977" s="64"/>
      <c r="AE977" s="64"/>
      <c r="AF977" s="64"/>
      <c r="AG977" s="64"/>
      <c r="AH977" s="64"/>
    </row>
    <row r="978">
      <c r="A978" s="64"/>
      <c r="B978" s="64"/>
      <c r="C978" s="64"/>
      <c r="D978" s="64"/>
      <c r="E978" s="64"/>
      <c r="F978" s="64"/>
      <c r="G978" s="64"/>
      <c r="H978" s="64"/>
      <c r="I978" s="64"/>
      <c r="J978" s="64"/>
      <c r="K978" s="64"/>
      <c r="L978" s="64"/>
      <c r="M978" s="64"/>
      <c r="N978" s="64"/>
      <c r="O978" s="64"/>
      <c r="P978" s="64"/>
      <c r="Q978" s="64"/>
      <c r="R978" s="64"/>
      <c r="S978" s="64"/>
      <c r="T978" s="64"/>
      <c r="U978" s="64"/>
      <c r="V978" s="64"/>
      <c r="W978" s="64"/>
      <c r="X978" s="64"/>
      <c r="Y978" s="64"/>
      <c r="Z978" s="64"/>
      <c r="AA978" s="64"/>
      <c r="AB978" s="64"/>
      <c r="AC978" s="64"/>
      <c r="AD978" s="64"/>
      <c r="AE978" s="64"/>
      <c r="AF978" s="64"/>
      <c r="AG978" s="64"/>
      <c r="AH978" s="64"/>
    </row>
    <row r="979">
      <c r="A979" s="64"/>
      <c r="B979" s="64"/>
      <c r="C979" s="64"/>
      <c r="D979" s="64"/>
      <c r="E979" s="64"/>
      <c r="F979" s="64"/>
      <c r="G979" s="64"/>
      <c r="H979" s="64"/>
      <c r="I979" s="64"/>
      <c r="J979" s="64"/>
      <c r="K979" s="64"/>
      <c r="L979" s="64"/>
      <c r="M979" s="64"/>
      <c r="N979" s="64"/>
      <c r="O979" s="64"/>
      <c r="P979" s="64"/>
      <c r="Q979" s="64"/>
      <c r="R979" s="64"/>
      <c r="S979" s="64"/>
      <c r="T979" s="64"/>
      <c r="U979" s="64"/>
      <c r="V979" s="64"/>
      <c r="W979" s="64"/>
      <c r="X979" s="64"/>
      <c r="Y979" s="64"/>
      <c r="Z979" s="64"/>
      <c r="AA979" s="64"/>
      <c r="AB979" s="64"/>
      <c r="AC979" s="64"/>
      <c r="AD979" s="64"/>
      <c r="AE979" s="64"/>
      <c r="AF979" s="64"/>
      <c r="AG979" s="64"/>
      <c r="AH979" s="64"/>
    </row>
    <row r="980">
      <c r="A980" s="64"/>
      <c r="B980" s="64"/>
      <c r="C980" s="64"/>
      <c r="D980" s="64"/>
      <c r="E980" s="64"/>
      <c r="F980" s="64"/>
      <c r="G980" s="64"/>
      <c r="H980" s="64"/>
      <c r="I980" s="64"/>
      <c r="J980" s="64"/>
      <c r="K980" s="64"/>
      <c r="L980" s="64"/>
      <c r="M980" s="64"/>
      <c r="N980" s="64"/>
      <c r="O980" s="64"/>
      <c r="P980" s="64"/>
      <c r="Q980" s="64"/>
      <c r="R980" s="64"/>
      <c r="S980" s="64"/>
      <c r="T980" s="64"/>
      <c r="U980" s="64"/>
      <c r="V980" s="64"/>
      <c r="W980" s="64"/>
      <c r="X980" s="64"/>
      <c r="Y980" s="64"/>
      <c r="Z980" s="64"/>
      <c r="AA980" s="64"/>
      <c r="AB980" s="64"/>
      <c r="AC980" s="64"/>
      <c r="AD980" s="64"/>
      <c r="AE980" s="64"/>
      <c r="AF980" s="64"/>
      <c r="AG980" s="64"/>
      <c r="AH980" s="64"/>
    </row>
    <row r="981">
      <c r="A981" s="64"/>
      <c r="B981" s="64"/>
      <c r="C981" s="64"/>
      <c r="D981" s="64"/>
      <c r="E981" s="64"/>
      <c r="F981" s="64"/>
      <c r="G981" s="64"/>
      <c r="H981" s="64"/>
      <c r="I981" s="64"/>
      <c r="J981" s="64"/>
      <c r="K981" s="64"/>
      <c r="L981" s="64"/>
      <c r="M981" s="64"/>
      <c r="N981" s="64"/>
      <c r="O981" s="64"/>
      <c r="P981" s="64"/>
      <c r="Q981" s="64"/>
      <c r="R981" s="64"/>
      <c r="S981" s="64"/>
      <c r="T981" s="64"/>
      <c r="U981" s="64"/>
      <c r="V981" s="64"/>
      <c r="W981" s="64"/>
      <c r="X981" s="64"/>
      <c r="Y981" s="64"/>
      <c r="Z981" s="64"/>
      <c r="AA981" s="64"/>
      <c r="AB981" s="64"/>
      <c r="AC981" s="64"/>
      <c r="AD981" s="64"/>
      <c r="AE981" s="64"/>
      <c r="AF981" s="64"/>
      <c r="AG981" s="64"/>
      <c r="AH981" s="64"/>
    </row>
    <row r="982">
      <c r="A982" s="64"/>
      <c r="B982" s="64"/>
      <c r="C982" s="64"/>
      <c r="D982" s="64"/>
      <c r="E982" s="64"/>
      <c r="F982" s="64"/>
      <c r="G982" s="64"/>
      <c r="H982" s="64"/>
      <c r="I982" s="64"/>
      <c r="J982" s="64"/>
      <c r="K982" s="64"/>
      <c r="L982" s="64"/>
      <c r="M982" s="64"/>
      <c r="N982" s="64"/>
      <c r="O982" s="64"/>
      <c r="P982" s="64"/>
      <c r="Q982" s="64"/>
      <c r="R982" s="64"/>
      <c r="S982" s="64"/>
      <c r="T982" s="64"/>
      <c r="U982" s="64"/>
      <c r="V982" s="64"/>
      <c r="W982" s="64"/>
      <c r="X982" s="64"/>
      <c r="Y982" s="64"/>
      <c r="Z982" s="64"/>
      <c r="AA982" s="64"/>
      <c r="AB982" s="64"/>
      <c r="AC982" s="64"/>
      <c r="AD982" s="64"/>
      <c r="AE982" s="64"/>
      <c r="AF982" s="64"/>
      <c r="AG982" s="64"/>
      <c r="AH982" s="64"/>
    </row>
    <row r="983">
      <c r="A983" s="64"/>
      <c r="B983" s="64"/>
      <c r="C983" s="64"/>
      <c r="D983" s="64"/>
      <c r="E983" s="64"/>
      <c r="F983" s="64"/>
      <c r="G983" s="64"/>
      <c r="H983" s="64"/>
      <c r="I983" s="64"/>
      <c r="J983" s="64"/>
      <c r="K983" s="64"/>
      <c r="L983" s="64"/>
      <c r="M983" s="64"/>
      <c r="N983" s="64"/>
      <c r="O983" s="64"/>
      <c r="P983" s="64"/>
      <c r="Q983" s="64"/>
      <c r="R983" s="64"/>
      <c r="S983" s="64"/>
      <c r="T983" s="64"/>
      <c r="U983" s="64"/>
      <c r="V983" s="64"/>
      <c r="W983" s="64"/>
      <c r="X983" s="64"/>
      <c r="Y983" s="64"/>
      <c r="Z983" s="64"/>
      <c r="AA983" s="64"/>
      <c r="AB983" s="64"/>
      <c r="AC983" s="64"/>
      <c r="AD983" s="64"/>
      <c r="AE983" s="64"/>
      <c r="AF983" s="64"/>
      <c r="AG983" s="64"/>
      <c r="AH983" s="64"/>
    </row>
    <row r="984">
      <c r="A984" s="64"/>
      <c r="B984" s="64"/>
      <c r="C984" s="64"/>
      <c r="D984" s="64"/>
      <c r="E984" s="64"/>
      <c r="F984" s="64"/>
      <c r="G984" s="64"/>
      <c r="H984" s="64"/>
      <c r="I984" s="64"/>
      <c r="J984" s="64"/>
      <c r="K984" s="64"/>
      <c r="L984" s="64"/>
      <c r="M984" s="64"/>
      <c r="N984" s="64"/>
      <c r="O984" s="64"/>
      <c r="P984" s="64"/>
      <c r="Q984" s="64"/>
      <c r="R984" s="64"/>
      <c r="S984" s="64"/>
      <c r="T984" s="64"/>
      <c r="U984" s="64"/>
      <c r="V984" s="64"/>
      <c r="W984" s="64"/>
      <c r="X984" s="64"/>
      <c r="Y984" s="64"/>
      <c r="Z984" s="64"/>
      <c r="AA984" s="64"/>
      <c r="AB984" s="64"/>
      <c r="AC984" s="64"/>
      <c r="AD984" s="64"/>
      <c r="AE984" s="64"/>
      <c r="AF984" s="64"/>
      <c r="AG984" s="64"/>
      <c r="AH984" s="64"/>
    </row>
    <row r="985">
      <c r="A985" s="64"/>
      <c r="B985" s="64"/>
      <c r="C985" s="64"/>
      <c r="D985" s="64"/>
      <c r="E985" s="64"/>
      <c r="F985" s="64"/>
      <c r="G985" s="64"/>
      <c r="H985" s="64"/>
      <c r="I985" s="64"/>
      <c r="J985" s="64"/>
      <c r="K985" s="64"/>
      <c r="L985" s="64"/>
      <c r="M985" s="64"/>
      <c r="N985" s="64"/>
      <c r="O985" s="64"/>
      <c r="P985" s="64"/>
      <c r="Q985" s="64"/>
      <c r="R985" s="64"/>
      <c r="S985" s="64"/>
      <c r="T985" s="64"/>
      <c r="U985" s="64"/>
      <c r="V985" s="64"/>
      <c r="W985" s="64"/>
      <c r="X985" s="64"/>
      <c r="Y985" s="64"/>
      <c r="Z985" s="64"/>
      <c r="AA985" s="64"/>
      <c r="AB985" s="64"/>
      <c r="AC985" s="64"/>
      <c r="AD985" s="64"/>
      <c r="AE985" s="64"/>
      <c r="AF985" s="64"/>
      <c r="AG985" s="64"/>
      <c r="AH985" s="64"/>
    </row>
    <row r="986">
      <c r="A986" s="64"/>
      <c r="B986" s="64"/>
      <c r="C986" s="64"/>
      <c r="D986" s="64"/>
      <c r="E986" s="64"/>
      <c r="F986" s="64"/>
      <c r="G986" s="64"/>
      <c r="H986" s="64"/>
      <c r="I986" s="64"/>
      <c r="J986" s="64"/>
      <c r="K986" s="64"/>
      <c r="L986" s="64"/>
      <c r="M986" s="64"/>
      <c r="N986" s="64"/>
      <c r="O986" s="64"/>
      <c r="P986" s="64"/>
      <c r="Q986" s="64"/>
      <c r="R986" s="64"/>
      <c r="S986" s="64"/>
      <c r="T986" s="64"/>
      <c r="U986" s="64"/>
      <c r="V986" s="64"/>
      <c r="W986" s="64"/>
      <c r="X986" s="64"/>
      <c r="Y986" s="64"/>
      <c r="Z986" s="64"/>
      <c r="AA986" s="64"/>
      <c r="AB986" s="64"/>
      <c r="AC986" s="64"/>
      <c r="AD986" s="64"/>
      <c r="AE986" s="64"/>
      <c r="AF986" s="64"/>
      <c r="AG986" s="64"/>
      <c r="AH986" s="64"/>
    </row>
    <row r="987">
      <c r="A987" s="64"/>
      <c r="B987" s="64"/>
      <c r="C987" s="64"/>
      <c r="D987" s="64"/>
      <c r="E987" s="64"/>
      <c r="F987" s="64"/>
      <c r="G987" s="64"/>
      <c r="H987" s="64"/>
      <c r="I987" s="64"/>
      <c r="J987" s="64"/>
      <c r="K987" s="64"/>
      <c r="L987" s="64"/>
      <c r="M987" s="64"/>
      <c r="N987" s="64"/>
      <c r="O987" s="64"/>
      <c r="P987" s="64"/>
      <c r="Q987" s="64"/>
      <c r="R987" s="64"/>
      <c r="S987" s="64"/>
      <c r="T987" s="64"/>
      <c r="U987" s="64"/>
      <c r="V987" s="64"/>
      <c r="W987" s="64"/>
      <c r="X987" s="64"/>
      <c r="Y987" s="64"/>
      <c r="Z987" s="64"/>
      <c r="AA987" s="64"/>
      <c r="AB987" s="64"/>
      <c r="AC987" s="64"/>
      <c r="AD987" s="64"/>
      <c r="AE987" s="64"/>
      <c r="AF987" s="64"/>
      <c r="AG987" s="64"/>
      <c r="AH987" s="64"/>
    </row>
    <row r="988">
      <c r="A988" s="64"/>
      <c r="B988" s="64"/>
      <c r="C988" s="64"/>
      <c r="D988" s="64"/>
      <c r="E988" s="64"/>
      <c r="F988" s="64"/>
      <c r="G988" s="64"/>
      <c r="H988" s="64"/>
      <c r="I988" s="64"/>
      <c r="J988" s="64"/>
      <c r="K988" s="64"/>
      <c r="L988" s="64"/>
      <c r="M988" s="64"/>
      <c r="N988" s="64"/>
      <c r="O988" s="64"/>
      <c r="P988" s="64"/>
      <c r="Q988" s="64"/>
      <c r="R988" s="64"/>
      <c r="S988" s="64"/>
      <c r="T988" s="64"/>
      <c r="U988" s="64"/>
      <c r="V988" s="64"/>
      <c r="W988" s="64"/>
      <c r="X988" s="64"/>
      <c r="Y988" s="64"/>
      <c r="Z988" s="64"/>
      <c r="AA988" s="64"/>
      <c r="AB988" s="64"/>
      <c r="AC988" s="64"/>
      <c r="AD988" s="64"/>
      <c r="AE988" s="64"/>
      <c r="AF988" s="64"/>
      <c r="AG988" s="64"/>
      <c r="AH988" s="64"/>
    </row>
    <row r="989">
      <c r="A989" s="64"/>
      <c r="B989" s="64"/>
      <c r="C989" s="64"/>
      <c r="D989" s="64"/>
      <c r="E989" s="64"/>
      <c r="F989" s="64"/>
      <c r="G989" s="64"/>
      <c r="H989" s="64"/>
      <c r="I989" s="64"/>
      <c r="J989" s="64"/>
      <c r="K989" s="64"/>
      <c r="L989" s="64"/>
      <c r="M989" s="64"/>
      <c r="N989" s="64"/>
      <c r="O989" s="64"/>
      <c r="P989" s="64"/>
      <c r="Q989" s="64"/>
      <c r="R989" s="64"/>
      <c r="S989" s="64"/>
      <c r="T989" s="64"/>
      <c r="U989" s="64"/>
      <c r="V989" s="64"/>
      <c r="W989" s="64"/>
      <c r="X989" s="64"/>
      <c r="Y989" s="64"/>
      <c r="Z989" s="64"/>
      <c r="AA989" s="64"/>
      <c r="AB989" s="64"/>
      <c r="AC989" s="64"/>
      <c r="AD989" s="64"/>
      <c r="AE989" s="64"/>
      <c r="AF989" s="64"/>
      <c r="AG989" s="64"/>
      <c r="AH989" s="64"/>
    </row>
    <row r="990">
      <c r="A990" s="64"/>
      <c r="B990" s="64"/>
      <c r="C990" s="64"/>
      <c r="D990" s="64"/>
      <c r="E990" s="64"/>
      <c r="F990" s="64"/>
      <c r="G990" s="64"/>
      <c r="H990" s="64"/>
      <c r="I990" s="64"/>
      <c r="J990" s="64"/>
      <c r="K990" s="64"/>
      <c r="L990" s="64"/>
      <c r="M990" s="64"/>
      <c r="N990" s="64"/>
      <c r="O990" s="64"/>
      <c r="P990" s="64"/>
      <c r="Q990" s="64"/>
      <c r="R990" s="64"/>
      <c r="S990" s="64"/>
      <c r="T990" s="64"/>
      <c r="U990" s="64"/>
      <c r="V990" s="64"/>
      <c r="W990" s="64"/>
      <c r="X990" s="64"/>
      <c r="Y990" s="64"/>
      <c r="Z990" s="64"/>
      <c r="AA990" s="64"/>
      <c r="AB990" s="64"/>
      <c r="AC990" s="64"/>
      <c r="AD990" s="64"/>
      <c r="AE990" s="64"/>
      <c r="AF990" s="64"/>
      <c r="AG990" s="64"/>
      <c r="AH990" s="64"/>
    </row>
    <row r="991">
      <c r="A991" s="64"/>
      <c r="B991" s="64"/>
      <c r="C991" s="64"/>
      <c r="D991" s="64"/>
      <c r="E991" s="64"/>
      <c r="F991" s="64"/>
      <c r="G991" s="64"/>
      <c r="H991" s="64"/>
      <c r="I991" s="64"/>
      <c r="J991" s="64"/>
      <c r="K991" s="64"/>
      <c r="L991" s="64"/>
      <c r="M991" s="64"/>
      <c r="N991" s="64"/>
      <c r="O991" s="64"/>
      <c r="P991" s="64"/>
      <c r="Q991" s="64"/>
      <c r="R991" s="64"/>
      <c r="S991" s="64"/>
      <c r="T991" s="64"/>
      <c r="U991" s="64"/>
      <c r="V991" s="64"/>
      <c r="W991" s="64"/>
      <c r="X991" s="64"/>
      <c r="Y991" s="64"/>
      <c r="Z991" s="64"/>
      <c r="AA991" s="64"/>
      <c r="AB991" s="64"/>
      <c r="AC991" s="64"/>
      <c r="AD991" s="64"/>
      <c r="AE991" s="64"/>
      <c r="AF991" s="64"/>
      <c r="AG991" s="64"/>
      <c r="AH991" s="64"/>
    </row>
    <row r="992">
      <c r="A992" s="64"/>
      <c r="B992" s="64"/>
      <c r="C992" s="64"/>
      <c r="D992" s="64"/>
      <c r="E992" s="64"/>
      <c r="F992" s="64"/>
      <c r="G992" s="64"/>
      <c r="H992" s="64"/>
      <c r="I992" s="64"/>
      <c r="J992" s="64"/>
      <c r="K992" s="64"/>
      <c r="L992" s="64"/>
      <c r="M992" s="64"/>
      <c r="N992" s="64"/>
      <c r="O992" s="64"/>
      <c r="P992" s="64"/>
      <c r="Q992" s="64"/>
      <c r="R992" s="64"/>
      <c r="S992" s="64"/>
      <c r="T992" s="64"/>
      <c r="U992" s="64"/>
      <c r="V992" s="64"/>
      <c r="W992" s="64"/>
      <c r="X992" s="64"/>
      <c r="Y992" s="64"/>
      <c r="Z992" s="64"/>
      <c r="AA992" s="64"/>
      <c r="AB992" s="64"/>
      <c r="AC992" s="64"/>
      <c r="AD992" s="64"/>
      <c r="AE992" s="64"/>
      <c r="AF992" s="64"/>
      <c r="AG992" s="64"/>
      <c r="AH992" s="64"/>
    </row>
    <row r="993">
      <c r="A993" s="64"/>
      <c r="B993" s="64"/>
      <c r="C993" s="64"/>
      <c r="D993" s="64"/>
      <c r="E993" s="64"/>
      <c r="F993" s="64"/>
      <c r="G993" s="64"/>
      <c r="H993" s="64"/>
      <c r="I993" s="64"/>
      <c r="J993" s="64"/>
      <c r="K993" s="64"/>
      <c r="L993" s="64"/>
      <c r="M993" s="64"/>
      <c r="N993" s="64"/>
      <c r="O993" s="64"/>
      <c r="P993" s="64"/>
      <c r="Q993" s="64"/>
      <c r="R993" s="64"/>
      <c r="S993" s="64"/>
      <c r="T993" s="64"/>
      <c r="U993" s="64"/>
      <c r="V993" s="64"/>
      <c r="W993" s="64"/>
      <c r="X993" s="64"/>
      <c r="Y993" s="64"/>
      <c r="Z993" s="64"/>
      <c r="AA993" s="64"/>
      <c r="AB993" s="64"/>
      <c r="AC993" s="64"/>
      <c r="AD993" s="64"/>
      <c r="AE993" s="64"/>
      <c r="AF993" s="64"/>
      <c r="AG993" s="64"/>
      <c r="AH993" s="64"/>
    </row>
    <row r="994">
      <c r="A994" s="64"/>
      <c r="B994" s="64"/>
      <c r="C994" s="64"/>
      <c r="D994" s="64"/>
      <c r="E994" s="64"/>
      <c r="F994" s="64"/>
      <c r="G994" s="64"/>
      <c r="H994" s="64"/>
      <c r="I994" s="64"/>
      <c r="J994" s="64"/>
      <c r="K994" s="64"/>
      <c r="L994" s="64"/>
      <c r="M994" s="64"/>
      <c r="N994" s="64"/>
      <c r="O994" s="64"/>
      <c r="P994" s="64"/>
      <c r="Q994" s="64"/>
      <c r="R994" s="64"/>
      <c r="S994" s="64"/>
      <c r="T994" s="64"/>
      <c r="U994" s="64"/>
      <c r="V994" s="64"/>
      <c r="W994" s="64"/>
      <c r="X994" s="64"/>
      <c r="Y994" s="64"/>
      <c r="Z994" s="64"/>
      <c r="AA994" s="64"/>
      <c r="AB994" s="64"/>
      <c r="AC994" s="64"/>
      <c r="AD994" s="64"/>
      <c r="AE994" s="64"/>
      <c r="AF994" s="64"/>
      <c r="AG994" s="64"/>
      <c r="AH994" s="64"/>
    </row>
    <row r="995">
      <c r="A995" s="64"/>
      <c r="B995" s="64"/>
      <c r="C995" s="64"/>
      <c r="D995" s="64"/>
      <c r="E995" s="64"/>
      <c r="F995" s="64"/>
      <c r="G995" s="64"/>
      <c r="H995" s="64"/>
      <c r="I995" s="64"/>
      <c r="J995" s="64"/>
      <c r="K995" s="64"/>
      <c r="L995" s="64"/>
      <c r="M995" s="64"/>
      <c r="N995" s="64"/>
      <c r="O995" s="64"/>
      <c r="P995" s="64"/>
      <c r="Q995" s="64"/>
      <c r="R995" s="64"/>
      <c r="S995" s="64"/>
      <c r="T995" s="64"/>
      <c r="U995" s="64"/>
      <c r="V995" s="64"/>
      <c r="W995" s="64"/>
      <c r="X995" s="64"/>
      <c r="Y995" s="64"/>
      <c r="Z995" s="64"/>
      <c r="AA995" s="64"/>
      <c r="AB995" s="64"/>
      <c r="AC995" s="64"/>
      <c r="AD995" s="64"/>
      <c r="AE995" s="64"/>
      <c r="AF995" s="64"/>
      <c r="AG995" s="64"/>
      <c r="AH995" s="64"/>
    </row>
    <row r="996">
      <c r="A996" s="64"/>
      <c r="B996" s="64"/>
      <c r="C996" s="64"/>
      <c r="D996" s="64"/>
      <c r="E996" s="64"/>
      <c r="F996" s="64"/>
      <c r="G996" s="64"/>
      <c r="H996" s="64"/>
      <c r="I996" s="64"/>
      <c r="J996" s="64"/>
      <c r="K996" s="64"/>
      <c r="L996" s="64"/>
      <c r="M996" s="64"/>
      <c r="N996" s="64"/>
      <c r="O996" s="64"/>
      <c r="P996" s="64"/>
      <c r="Q996" s="64"/>
      <c r="R996" s="64"/>
      <c r="S996" s="64"/>
      <c r="T996" s="64"/>
      <c r="U996" s="64"/>
      <c r="V996" s="64"/>
      <c r="W996" s="64"/>
      <c r="X996" s="64"/>
      <c r="Y996" s="64"/>
      <c r="Z996" s="64"/>
      <c r="AA996" s="64"/>
      <c r="AB996" s="64"/>
      <c r="AC996" s="64"/>
      <c r="AD996" s="64"/>
      <c r="AE996" s="64"/>
      <c r="AF996" s="64"/>
      <c r="AG996" s="64"/>
      <c r="AH996" s="64"/>
    </row>
    <row r="997">
      <c r="A997" s="64"/>
      <c r="B997" s="64"/>
      <c r="C997" s="64"/>
      <c r="D997" s="64"/>
      <c r="E997" s="64"/>
      <c r="F997" s="64"/>
      <c r="G997" s="64"/>
      <c r="H997" s="64"/>
      <c r="I997" s="64"/>
      <c r="J997" s="64"/>
      <c r="K997" s="64"/>
      <c r="L997" s="64"/>
      <c r="M997" s="64"/>
      <c r="N997" s="64"/>
      <c r="O997" s="64"/>
      <c r="P997" s="64"/>
      <c r="Q997" s="64"/>
      <c r="R997" s="64"/>
      <c r="S997" s="64"/>
      <c r="T997" s="64"/>
      <c r="U997" s="64"/>
      <c r="V997" s="64"/>
      <c r="W997" s="64"/>
      <c r="X997" s="64"/>
      <c r="Y997" s="64"/>
      <c r="Z997" s="64"/>
      <c r="AA997" s="64"/>
      <c r="AB997" s="64"/>
      <c r="AC997" s="64"/>
      <c r="AD997" s="64"/>
      <c r="AE997" s="64"/>
      <c r="AF997" s="64"/>
      <c r="AG997" s="64"/>
      <c r="AH997" s="64"/>
    </row>
    <row r="998">
      <c r="A998" s="64"/>
      <c r="B998" s="64"/>
      <c r="C998" s="64"/>
      <c r="D998" s="64"/>
      <c r="E998" s="64"/>
      <c r="F998" s="64"/>
      <c r="G998" s="64"/>
      <c r="H998" s="64"/>
      <c r="I998" s="64"/>
      <c r="J998" s="64"/>
      <c r="K998" s="64"/>
      <c r="L998" s="64"/>
      <c r="M998" s="64"/>
      <c r="N998" s="64"/>
      <c r="O998" s="64"/>
      <c r="P998" s="64"/>
      <c r="Q998" s="64"/>
      <c r="R998" s="64"/>
      <c r="S998" s="64"/>
      <c r="T998" s="64"/>
      <c r="U998" s="64"/>
      <c r="V998" s="64"/>
      <c r="W998" s="64"/>
      <c r="X998" s="64"/>
      <c r="Y998" s="64"/>
      <c r="Z998" s="64"/>
      <c r="AA998" s="64"/>
      <c r="AB998" s="64"/>
      <c r="AC998" s="64"/>
      <c r="AD998" s="64"/>
      <c r="AE998" s="64"/>
      <c r="AF998" s="64"/>
      <c r="AG998" s="64"/>
      <c r="AH998" s="64"/>
    </row>
    <row r="999">
      <c r="A999" s="64"/>
      <c r="B999" s="64"/>
      <c r="C999" s="64"/>
      <c r="D999" s="64"/>
      <c r="E999" s="64"/>
      <c r="F999" s="64"/>
      <c r="G999" s="64"/>
      <c r="H999" s="64"/>
      <c r="I999" s="64"/>
      <c r="J999" s="64"/>
      <c r="K999" s="64"/>
      <c r="L999" s="64"/>
      <c r="M999" s="64"/>
      <c r="N999" s="64"/>
      <c r="O999" s="64"/>
      <c r="P999" s="64"/>
      <c r="Q999" s="64"/>
      <c r="R999" s="64"/>
      <c r="S999" s="64"/>
      <c r="T999" s="64"/>
      <c r="U999" s="64"/>
      <c r="V999" s="64"/>
      <c r="W999" s="64"/>
      <c r="X999" s="64"/>
      <c r="Y999" s="64"/>
      <c r="Z999" s="64"/>
      <c r="AA999" s="64"/>
      <c r="AB999" s="64"/>
      <c r="AC999" s="64"/>
      <c r="AD999" s="64"/>
      <c r="AE999" s="64"/>
      <c r="AF999" s="64"/>
      <c r="AG999" s="64"/>
      <c r="AH999" s="64"/>
    </row>
    <row r="1000">
      <c r="A1000" s="64"/>
      <c r="B1000" s="64"/>
      <c r="C1000" s="64"/>
      <c r="D1000" s="64"/>
      <c r="E1000" s="64"/>
      <c r="F1000" s="64"/>
      <c r="G1000" s="64"/>
      <c r="H1000" s="64"/>
      <c r="I1000" s="64"/>
      <c r="J1000" s="64"/>
      <c r="K1000" s="64"/>
      <c r="L1000" s="64"/>
      <c r="M1000" s="64"/>
      <c r="N1000" s="64"/>
      <c r="O1000" s="64"/>
      <c r="P1000" s="64"/>
      <c r="Q1000" s="64"/>
      <c r="R1000" s="64"/>
      <c r="S1000" s="64"/>
      <c r="T1000" s="64"/>
      <c r="U1000" s="64"/>
      <c r="V1000" s="64"/>
      <c r="W1000" s="64"/>
      <c r="X1000" s="64"/>
      <c r="Y1000" s="64"/>
      <c r="Z1000" s="64"/>
      <c r="AA1000" s="64"/>
      <c r="AB1000" s="64"/>
      <c r="AC1000" s="64"/>
      <c r="AD1000" s="64"/>
      <c r="AE1000" s="64"/>
      <c r="AF1000" s="64"/>
      <c r="AG1000" s="64"/>
      <c r="AH1000" s="64"/>
    </row>
  </sheetData>
  <mergeCells count="2">
    <mergeCell ref="A1:D1"/>
    <mergeCell ref="A2:P2"/>
  </mergeCells>
  <dataValidations>
    <dataValidation type="list" allowBlank="1" showErrorMessage="1" sqref="K4:K8">
      <formula1>"Strong = Explicit data &amp; proofs on IIP hard criteria ,Good = Strong signals ,Give it a shot = Indicative signals "</formula1>
    </dataValidation>
    <dataValidation type="list" allowBlank="1" showErrorMessage="1" sqref="C4:C8">
      <formula1>"Family Office,HNWI,Fund of Funds"</formula1>
    </dataValidation>
    <dataValidation type="list" allowBlank="1" showErrorMessage="1" sqref="D4:D8">
      <formula1>"Emerging,Developing,Established"</formula1>
    </dataValidation>
    <dataValidation type="list" allowBlank="1" showErrorMessage="1" sqref="P4:P8">
      <formula1>"No response,Response - positive,Response - meeting sheduled,Response - not interested"</formula1>
    </dataValidation>
    <dataValidation type="list" allowBlank="1" showErrorMessage="1" sqref="L4:L8">
      <formula1>"Private data provider,Public data provider,News article,Call or meeting,Event attendee list,User generated list,Website"</formula1>
    </dataValidation>
  </dataValidations>
  <hyperlinks>
    <hyperlink r:id="rId1" ref="F4"/>
    <hyperlink r:id="rId2" ref="F5"/>
    <hyperlink r:id="rId3" ref="F6"/>
    <hyperlink r:id="rId4" ref="F7"/>
    <hyperlink r:id="rId5" ref="F8"/>
  </hyperlinks>
  <drawing r:id="rId6"/>
</worksheet>
</file>